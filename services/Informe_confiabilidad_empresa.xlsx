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S\Desktop\PRUEBA\"/>
    </mc:Choice>
  </mc:AlternateContent>
  <xr:revisionPtr revIDLastSave="0" documentId="13_ncr:1_{BE60EFBD-1480-44D6-8A6B-A0AAC483AB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5" r:id="rId1"/>
    <sheet name="BASE DATOS" sheetId="4" r:id="rId2"/>
  </sheets>
  <definedNames>
    <definedName name="_xlnm._FilterDatabase" localSheetId="1" hidden="1">'BASE DATOS'!$A$1:$K$5704</definedName>
    <definedName name="SegmentaciónDeDatos_Centro_de_Costos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30" i="4" l="1"/>
  <c r="L1831" i="4"/>
  <c r="L1832" i="4"/>
  <c r="L1833" i="4"/>
  <c r="L1834" i="4"/>
  <c r="L1835" i="4"/>
  <c r="L2022" i="4"/>
  <c r="L1836" i="4"/>
  <c r="L1837" i="4"/>
  <c r="L1838" i="4"/>
  <c r="L1839" i="4"/>
  <c r="L1840" i="4"/>
  <c r="L1841" i="4"/>
  <c r="L1842" i="4"/>
  <c r="L1843" i="4"/>
  <c r="L2021" i="4"/>
  <c r="L1845" i="4"/>
  <c r="L1846" i="4"/>
  <c r="L1847" i="4"/>
  <c r="L1848" i="4"/>
  <c r="L2018" i="4"/>
  <c r="L1849" i="4"/>
  <c r="L1850" i="4"/>
  <c r="L1851" i="4"/>
  <c r="L1903" i="4"/>
  <c r="L1852" i="4"/>
  <c r="L1853" i="4"/>
  <c r="L1854" i="4"/>
  <c r="L1855" i="4"/>
  <c r="L1856" i="4"/>
  <c r="L2025" i="4"/>
  <c r="L1857" i="4"/>
  <c r="L1858" i="4"/>
  <c r="L1859" i="4"/>
  <c r="L2014" i="4"/>
  <c r="L1860" i="4"/>
  <c r="L1861" i="4"/>
  <c r="L2006" i="4"/>
  <c r="L1862" i="4"/>
  <c r="L1863" i="4"/>
  <c r="L2026" i="4"/>
  <c r="L1864" i="4"/>
  <c r="L1865" i="4"/>
  <c r="L1866" i="4"/>
  <c r="L1867" i="4"/>
  <c r="L1868" i="4"/>
  <c r="L2015" i="4"/>
  <c r="L1869" i="4"/>
  <c r="L1870" i="4"/>
  <c r="L1871" i="4"/>
  <c r="L1872" i="4"/>
  <c r="L1873" i="4"/>
  <c r="L2012" i="4"/>
  <c r="L1874" i="4"/>
  <c r="L1875" i="4"/>
  <c r="L1876" i="4"/>
  <c r="L1829" i="4"/>
  <c r="L1877" i="4"/>
  <c r="L1878" i="4"/>
  <c r="L1879" i="4"/>
  <c r="L1880" i="4"/>
  <c r="L1881" i="4"/>
  <c r="L1941" i="4"/>
  <c r="L1882" i="4"/>
  <c r="L1883" i="4"/>
  <c r="L1884" i="4"/>
  <c r="L1885" i="4"/>
  <c r="L1886" i="4"/>
  <c r="L1980" i="4"/>
  <c r="L1888" i="4"/>
  <c r="L1889" i="4"/>
  <c r="L1890" i="4"/>
  <c r="L1891" i="4"/>
  <c r="L1892" i="4"/>
  <c r="L1893" i="4"/>
  <c r="L1894" i="4"/>
  <c r="L1895" i="4"/>
  <c r="L1896" i="4"/>
  <c r="L1897" i="4"/>
  <c r="L1921" i="4"/>
  <c r="L1899" i="4"/>
  <c r="L1947" i="4"/>
  <c r="L1900" i="4"/>
  <c r="L1901" i="4"/>
  <c r="L1902" i="4"/>
  <c r="L1887" i="4"/>
  <c r="L1904" i="4"/>
  <c r="L1905" i="4"/>
  <c r="L1906" i="4"/>
  <c r="L1907" i="4"/>
  <c r="L1908" i="4"/>
  <c r="L1909" i="4"/>
  <c r="L1910" i="4"/>
  <c r="L2007" i="4"/>
  <c r="L1911" i="4"/>
  <c r="L1912" i="4"/>
  <c r="L1913" i="4"/>
  <c r="L2019" i="4"/>
  <c r="L1914" i="4"/>
  <c r="L1915" i="4"/>
  <c r="L1916" i="4"/>
  <c r="L1917" i="4"/>
  <c r="L1918" i="4"/>
  <c r="L1919" i="4"/>
  <c r="L1920" i="4"/>
  <c r="L2027" i="4"/>
  <c r="L1922" i="4"/>
  <c r="L2023" i="4"/>
  <c r="L1923" i="4"/>
  <c r="L1924" i="4"/>
  <c r="L1925" i="4"/>
  <c r="L2008" i="4"/>
  <c r="L1926" i="4"/>
  <c r="L1927" i="4"/>
  <c r="L1928" i="4"/>
  <c r="L1929" i="4"/>
  <c r="L1930" i="4"/>
  <c r="L1931" i="4"/>
  <c r="L1932" i="4"/>
  <c r="L1933" i="4"/>
  <c r="L1999" i="4"/>
  <c r="L1934" i="4"/>
  <c r="L1935" i="4"/>
  <c r="L1936" i="4"/>
  <c r="L1844" i="4"/>
  <c r="L1937" i="4"/>
  <c r="L1938" i="4"/>
  <c r="L1969" i="4"/>
  <c r="L1939" i="4"/>
  <c r="L1940" i="4"/>
  <c r="L1828" i="4"/>
  <c r="L1942" i="4"/>
  <c r="L1943" i="4"/>
  <c r="L1944" i="4"/>
  <c r="L1945" i="4"/>
  <c r="L1946" i="4"/>
  <c r="L2024" i="4"/>
  <c r="L1948" i="4"/>
  <c r="L1949" i="4"/>
  <c r="L1950" i="4"/>
  <c r="L1951" i="4"/>
  <c r="L1952" i="4"/>
  <c r="L1953" i="4"/>
  <c r="L1954" i="4"/>
  <c r="L1955" i="4"/>
  <c r="L2013" i="4"/>
  <c r="L1956" i="4"/>
  <c r="L1957" i="4"/>
  <c r="L1958" i="4"/>
  <c r="L1959" i="4"/>
  <c r="L1960" i="4"/>
  <c r="L2016" i="4"/>
  <c r="L1961" i="4"/>
  <c r="L1962" i="4"/>
  <c r="L1963" i="4"/>
  <c r="L1964" i="4"/>
  <c r="L1965" i="4"/>
  <c r="L2011" i="4"/>
  <c r="L1966" i="4"/>
  <c r="L1967" i="4"/>
  <c r="L1968" i="4"/>
  <c r="L2009" i="4"/>
  <c r="L1970" i="4"/>
  <c r="L1971" i="4"/>
  <c r="L1972" i="4"/>
  <c r="L1973" i="4"/>
  <c r="L1974" i="4"/>
  <c r="L1975" i="4"/>
  <c r="L1976" i="4"/>
  <c r="L1898" i="4"/>
  <c r="L1977" i="4"/>
  <c r="L1978" i="4"/>
  <c r="L1979" i="4"/>
  <c r="L2003" i="4"/>
  <c r="L1981" i="4"/>
  <c r="L1982" i="4"/>
  <c r="L1983" i="4"/>
  <c r="L1984" i="4"/>
  <c r="L1985" i="4"/>
  <c r="L1986" i="4"/>
  <c r="L2010" i="4"/>
  <c r="L1987" i="4"/>
  <c r="L1988" i="4"/>
  <c r="L1989" i="4"/>
  <c r="L1990" i="4"/>
  <c r="L1991" i="4"/>
  <c r="L1992" i="4"/>
  <c r="L1993" i="4"/>
  <c r="L1994" i="4"/>
  <c r="L2017" i="4"/>
  <c r="L1995" i="4"/>
  <c r="L1996" i="4"/>
  <c r="L1997" i="4"/>
  <c r="L1998" i="4"/>
  <c r="L2020" i="4"/>
  <c r="L2000" i="4"/>
  <c r="L2001" i="4"/>
  <c r="L2002" i="4"/>
  <c r="L2005" i="4"/>
  <c r="L2004" i="4"/>
  <c r="L2214" i="4"/>
  <c r="L2209" i="4"/>
  <c r="L2182" i="4"/>
  <c r="L2204" i="4"/>
  <c r="L2183" i="4"/>
  <c r="L2190" i="4"/>
  <c r="L2212" i="4"/>
  <c r="L2188" i="4"/>
  <c r="L2207" i="4"/>
  <c r="L2185" i="4"/>
  <c r="L2191" i="4"/>
  <c r="L2192" i="4"/>
  <c r="L2186" i="4"/>
  <c r="L2193" i="4"/>
  <c r="L2213" i="4"/>
  <c r="L2206" i="4"/>
  <c r="L2194" i="4"/>
  <c r="L2195" i="4"/>
  <c r="L2196" i="4"/>
  <c r="L2184" i="4"/>
  <c r="L2197" i="4"/>
  <c r="L2198" i="4"/>
  <c r="L2199" i="4"/>
  <c r="L2211" i="4"/>
  <c r="L2205" i="4"/>
  <c r="L2200" i="4"/>
  <c r="L2201" i="4"/>
  <c r="L2189" i="4"/>
  <c r="L2202" i="4"/>
  <c r="L2210" i="4"/>
  <c r="L2203" i="4"/>
  <c r="L2187" i="4"/>
  <c r="L2208" i="4"/>
  <c r="L3211" i="4"/>
  <c r="L3221" i="4"/>
  <c r="L3222" i="4"/>
  <c r="L3223" i="4"/>
  <c r="L3210" i="4"/>
  <c r="L3224" i="4"/>
  <c r="L3225" i="4"/>
  <c r="L3238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05" i="4"/>
  <c r="L3239" i="4"/>
  <c r="L3240" i="4"/>
  <c r="L3241" i="4"/>
  <c r="L3242" i="4"/>
  <c r="L3243" i="4"/>
  <c r="L3244" i="4"/>
  <c r="L3245" i="4"/>
  <c r="L3212" i="4"/>
  <c r="L3246" i="4"/>
  <c r="L3247" i="4"/>
  <c r="L3203" i="4"/>
  <c r="L3249" i="4"/>
  <c r="L3250" i="4"/>
  <c r="L3251" i="4"/>
  <c r="L3252" i="4"/>
  <c r="L3253" i="4"/>
  <c r="L3208" i="4"/>
  <c r="L3254" i="4"/>
  <c r="L3255" i="4"/>
  <c r="L3256" i="4"/>
  <c r="L3218" i="4"/>
  <c r="L3257" i="4"/>
  <c r="L3258" i="4"/>
  <c r="L3259" i="4"/>
  <c r="L3260" i="4"/>
  <c r="L3261" i="4"/>
  <c r="L3262" i="4"/>
  <c r="L3371" i="4"/>
  <c r="L3263" i="4"/>
  <c r="L3264" i="4"/>
  <c r="L3215" i="4"/>
  <c r="L3265" i="4"/>
  <c r="L3266" i="4"/>
  <c r="L3267" i="4"/>
  <c r="L3268" i="4"/>
  <c r="L3269" i="4"/>
  <c r="L3270" i="4"/>
  <c r="L3209" i="4"/>
  <c r="L3271" i="4"/>
  <c r="L3272" i="4"/>
  <c r="L3273" i="4"/>
  <c r="L3216" i="4"/>
  <c r="L3274" i="4"/>
  <c r="L3275" i="4"/>
  <c r="L3276" i="4"/>
  <c r="L3201" i="4"/>
  <c r="L3277" i="4"/>
  <c r="L3278" i="4"/>
  <c r="L3279" i="4"/>
  <c r="L3213" i="4"/>
  <c r="L3280" i="4"/>
  <c r="L3281" i="4"/>
  <c r="L3282" i="4"/>
  <c r="L3283" i="4"/>
  <c r="L3284" i="4"/>
  <c r="L3217" i="4"/>
  <c r="L3285" i="4"/>
  <c r="L3286" i="4"/>
  <c r="L3287" i="4"/>
  <c r="L3220" i="4"/>
  <c r="L3288" i="4"/>
  <c r="L3289" i="4"/>
  <c r="L3290" i="4"/>
  <c r="L3291" i="4"/>
  <c r="L3292" i="4"/>
  <c r="L3293" i="4"/>
  <c r="L3199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207" i="4"/>
  <c r="L3310" i="4"/>
  <c r="L3311" i="4"/>
  <c r="L3214" i="4"/>
  <c r="L3312" i="4"/>
  <c r="L3313" i="4"/>
  <c r="L3314" i="4"/>
  <c r="L3315" i="4"/>
  <c r="L3316" i="4"/>
  <c r="L3317" i="4"/>
  <c r="L3318" i="4"/>
  <c r="L3319" i="4"/>
  <c r="L3320" i="4"/>
  <c r="L3321" i="4"/>
  <c r="L3206" i="4"/>
  <c r="L3322" i="4"/>
  <c r="L3204" i="4"/>
  <c r="L3323" i="4"/>
  <c r="L3324" i="4"/>
  <c r="L3325" i="4"/>
  <c r="L3202" i="4"/>
  <c r="L3326" i="4"/>
  <c r="L3327" i="4"/>
  <c r="L3369" i="4"/>
  <c r="L3328" i="4"/>
  <c r="L3329" i="4"/>
  <c r="L3330" i="4"/>
  <c r="L3331" i="4"/>
  <c r="L3332" i="4"/>
  <c r="L3333" i="4"/>
  <c r="L3334" i="4"/>
  <c r="L3335" i="4"/>
  <c r="L3336" i="4"/>
  <c r="L3337" i="4"/>
  <c r="L3367" i="4"/>
  <c r="L3338" i="4"/>
  <c r="L3339" i="4"/>
  <c r="L3340" i="4"/>
  <c r="L3370" i="4"/>
  <c r="L3341" i="4"/>
  <c r="L3342" i="4"/>
  <c r="L3343" i="4"/>
  <c r="L3219" i="4"/>
  <c r="L3344" i="4"/>
  <c r="L3345" i="4"/>
  <c r="L3346" i="4"/>
  <c r="L3347" i="4"/>
  <c r="L3348" i="4"/>
  <c r="L3349" i="4"/>
  <c r="L3350" i="4"/>
  <c r="L3351" i="4"/>
  <c r="L3368" i="4"/>
  <c r="L3352" i="4"/>
  <c r="L3353" i="4"/>
  <c r="L3354" i="4"/>
  <c r="L3200" i="4"/>
  <c r="L3355" i="4"/>
  <c r="L3356" i="4"/>
  <c r="L3248" i="4"/>
  <c r="L3357" i="4"/>
  <c r="L3358" i="4"/>
  <c r="L3359" i="4"/>
  <c r="L3360" i="4"/>
  <c r="L3361" i="4"/>
  <c r="L3362" i="4"/>
  <c r="L3363" i="4"/>
  <c r="L3364" i="4"/>
  <c r="L3365" i="4"/>
  <c r="L3366" i="4"/>
  <c r="L4549" i="4"/>
  <c r="L5698" i="4"/>
  <c r="L5550" i="4"/>
  <c r="L5551" i="4"/>
  <c r="L5552" i="4"/>
  <c r="L5547" i="4"/>
  <c r="L5554" i="4"/>
  <c r="L5555" i="4"/>
  <c r="L5556" i="4"/>
  <c r="L5557" i="4"/>
  <c r="L5558" i="4"/>
  <c r="L5559" i="4"/>
  <c r="L5560" i="4"/>
  <c r="L5561" i="4"/>
  <c r="L5542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604" i="4"/>
  <c r="L5580" i="4"/>
  <c r="L5581" i="4"/>
  <c r="L5538" i="4"/>
  <c r="L5582" i="4"/>
  <c r="L5583" i="4"/>
  <c r="L5584" i="4"/>
  <c r="L5537" i="4"/>
  <c r="L5585" i="4"/>
  <c r="L5586" i="4"/>
  <c r="L5587" i="4"/>
  <c r="L5539" i="4"/>
  <c r="L5588" i="4"/>
  <c r="L5589" i="4"/>
  <c r="L5590" i="4"/>
  <c r="L5591" i="4"/>
  <c r="L5592" i="4"/>
  <c r="L5593" i="4"/>
  <c r="L5594" i="4"/>
  <c r="L5595" i="4"/>
  <c r="L5596" i="4"/>
  <c r="L5597" i="4"/>
  <c r="L5546" i="4"/>
  <c r="L5598" i="4"/>
  <c r="L5599" i="4"/>
  <c r="L5600" i="4"/>
  <c r="L5601" i="4"/>
  <c r="L5602" i="4"/>
  <c r="L5603" i="4"/>
  <c r="L5689" i="4"/>
  <c r="L5605" i="4"/>
  <c r="L5606" i="4"/>
  <c r="L5607" i="4"/>
  <c r="L5655" i="4"/>
  <c r="L5608" i="4"/>
  <c r="L5609" i="4"/>
  <c r="L5610" i="4"/>
  <c r="L5611" i="4"/>
  <c r="L5612" i="4"/>
  <c r="L5613" i="4"/>
  <c r="L5614" i="4"/>
  <c r="L5615" i="4"/>
  <c r="L5616" i="4"/>
  <c r="L5647" i="4"/>
  <c r="L5617" i="4"/>
  <c r="L5579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543" i="4"/>
  <c r="L5630" i="4"/>
  <c r="L5631" i="4"/>
  <c r="L5632" i="4"/>
  <c r="L5553" i="4"/>
  <c r="L5633" i="4"/>
  <c r="L5634" i="4"/>
  <c r="L5635" i="4"/>
  <c r="L5544" i="4"/>
  <c r="L5636" i="4"/>
  <c r="L5637" i="4"/>
  <c r="L5638" i="4"/>
  <c r="L5639" i="4"/>
  <c r="L5640" i="4"/>
  <c r="L5641" i="4"/>
  <c r="L5642" i="4"/>
  <c r="L5643" i="4"/>
  <c r="L5644" i="4"/>
  <c r="L5645" i="4"/>
  <c r="L5646" i="4"/>
  <c r="L5534" i="4"/>
  <c r="L5648" i="4"/>
  <c r="L5649" i="4"/>
  <c r="L5650" i="4"/>
  <c r="L5651" i="4"/>
  <c r="L5652" i="4"/>
  <c r="L5653" i="4"/>
  <c r="L5654" i="4"/>
  <c r="L5545" i="4"/>
  <c r="L5656" i="4"/>
  <c r="L5657" i="4"/>
  <c r="L5658" i="4"/>
  <c r="L5659" i="4"/>
  <c r="L5660" i="4"/>
  <c r="L5661" i="4"/>
  <c r="L5662" i="4"/>
  <c r="L5663" i="4"/>
  <c r="L5664" i="4"/>
  <c r="L5665" i="4"/>
  <c r="L5541" i="4"/>
  <c r="L5666" i="4"/>
  <c r="L5667" i="4"/>
  <c r="L5540" i="4"/>
  <c r="L5668" i="4"/>
  <c r="L5669" i="4"/>
  <c r="L5670" i="4"/>
  <c r="L5549" i="4"/>
  <c r="L5671" i="4"/>
  <c r="L5672" i="4"/>
  <c r="L5673" i="4"/>
  <c r="L5548" i="4"/>
  <c r="L5674" i="4"/>
  <c r="L5675" i="4"/>
  <c r="L5676" i="4"/>
  <c r="L5677" i="4"/>
  <c r="L5678" i="4"/>
  <c r="L5679" i="4"/>
  <c r="L5536" i="4"/>
  <c r="L5680" i="4"/>
  <c r="L5681" i="4"/>
  <c r="L5682" i="4"/>
  <c r="L5683" i="4"/>
  <c r="L5684" i="4"/>
  <c r="L5685" i="4"/>
  <c r="L5686" i="4"/>
  <c r="L5687" i="4"/>
  <c r="L5688" i="4"/>
  <c r="L5533" i="4"/>
  <c r="L5690" i="4"/>
  <c r="L5691" i="4"/>
  <c r="L5692" i="4"/>
  <c r="L5693" i="4"/>
  <c r="L5694" i="4"/>
  <c r="L5695" i="4"/>
  <c r="L5696" i="4"/>
  <c r="L5697" i="4"/>
  <c r="L5535" i="4"/>
  <c r="L5699" i="4"/>
  <c r="L5700" i="4"/>
  <c r="L5701" i="4"/>
  <c r="L5702" i="4"/>
  <c r="L5703" i="4"/>
  <c r="L5704" i="4"/>
  <c r="M1830" i="4"/>
  <c r="M1831" i="4"/>
  <c r="M1832" i="4"/>
  <c r="M1833" i="4"/>
  <c r="M1834" i="4"/>
  <c r="M1835" i="4"/>
  <c r="M2022" i="4"/>
  <c r="M1836" i="4"/>
  <c r="M1837" i="4"/>
  <c r="M1838" i="4"/>
  <c r="M1839" i="4"/>
  <c r="M1840" i="4"/>
  <c r="M1841" i="4"/>
  <c r="M1842" i="4"/>
  <c r="M1843" i="4"/>
  <c r="M2021" i="4"/>
  <c r="M1845" i="4"/>
  <c r="M1846" i="4"/>
  <c r="M1847" i="4"/>
  <c r="M1848" i="4"/>
  <c r="M2018" i="4"/>
  <c r="M1849" i="4"/>
  <c r="M1850" i="4"/>
  <c r="M1851" i="4"/>
  <c r="M1903" i="4"/>
  <c r="M1852" i="4"/>
  <c r="M1853" i="4"/>
  <c r="M1854" i="4"/>
  <c r="M1855" i="4"/>
  <c r="M1856" i="4"/>
  <c r="M2025" i="4"/>
  <c r="M1857" i="4"/>
  <c r="M1858" i="4"/>
  <c r="M1859" i="4"/>
  <c r="M2014" i="4"/>
  <c r="M1860" i="4"/>
  <c r="M1861" i="4"/>
  <c r="M2006" i="4"/>
  <c r="M1862" i="4"/>
  <c r="M1863" i="4"/>
  <c r="M2026" i="4"/>
  <c r="M1864" i="4"/>
  <c r="M1865" i="4"/>
  <c r="M1866" i="4"/>
  <c r="M1867" i="4"/>
  <c r="M1868" i="4"/>
  <c r="M2015" i="4"/>
  <c r="M1869" i="4"/>
  <c r="M1870" i="4"/>
  <c r="M1871" i="4"/>
  <c r="M1872" i="4"/>
  <c r="M1873" i="4"/>
  <c r="M2012" i="4"/>
  <c r="M1874" i="4"/>
  <c r="M1875" i="4"/>
  <c r="M1876" i="4"/>
  <c r="M1829" i="4"/>
  <c r="M1877" i="4"/>
  <c r="M1878" i="4"/>
  <c r="M1879" i="4"/>
  <c r="M1880" i="4"/>
  <c r="M1881" i="4"/>
  <c r="M1941" i="4"/>
  <c r="M1882" i="4"/>
  <c r="M1883" i="4"/>
  <c r="M1884" i="4"/>
  <c r="M1885" i="4"/>
  <c r="M1886" i="4"/>
  <c r="M1980" i="4"/>
  <c r="M1888" i="4"/>
  <c r="M1889" i="4"/>
  <c r="M1890" i="4"/>
  <c r="M1891" i="4"/>
  <c r="M1892" i="4"/>
  <c r="M1893" i="4"/>
  <c r="M1894" i="4"/>
  <c r="M1895" i="4"/>
  <c r="M1896" i="4"/>
  <c r="M1897" i="4"/>
  <c r="M1921" i="4"/>
  <c r="M1899" i="4"/>
  <c r="M1947" i="4"/>
  <c r="M1900" i="4"/>
  <c r="M1901" i="4"/>
  <c r="M1902" i="4"/>
  <c r="M1887" i="4"/>
  <c r="M1904" i="4"/>
  <c r="M1905" i="4"/>
  <c r="M1906" i="4"/>
  <c r="M1907" i="4"/>
  <c r="M1908" i="4"/>
  <c r="M1909" i="4"/>
  <c r="M1910" i="4"/>
  <c r="M2007" i="4"/>
  <c r="M1911" i="4"/>
  <c r="M1912" i="4"/>
  <c r="M1913" i="4"/>
  <c r="M2019" i="4"/>
  <c r="M1914" i="4"/>
  <c r="M1915" i="4"/>
  <c r="M1916" i="4"/>
  <c r="M1917" i="4"/>
  <c r="M1918" i="4"/>
  <c r="M1919" i="4"/>
  <c r="M1920" i="4"/>
  <c r="M2027" i="4"/>
  <c r="M1922" i="4"/>
  <c r="M2023" i="4"/>
  <c r="M1923" i="4"/>
  <c r="M1924" i="4"/>
  <c r="M1925" i="4"/>
  <c r="M2008" i="4"/>
  <c r="M1926" i="4"/>
  <c r="M1927" i="4"/>
  <c r="M1928" i="4"/>
  <c r="M1929" i="4"/>
  <c r="M1930" i="4"/>
  <c r="M1931" i="4"/>
  <c r="M1932" i="4"/>
  <c r="M1933" i="4"/>
  <c r="M1999" i="4"/>
  <c r="M1934" i="4"/>
  <c r="M1935" i="4"/>
  <c r="M1936" i="4"/>
  <c r="M1844" i="4"/>
  <c r="M1937" i="4"/>
  <c r="M1938" i="4"/>
  <c r="M1969" i="4"/>
  <c r="M1939" i="4"/>
  <c r="M1940" i="4"/>
  <c r="M1828" i="4"/>
  <c r="M1942" i="4"/>
  <c r="M1943" i="4"/>
  <c r="M1944" i="4"/>
  <c r="M1945" i="4"/>
  <c r="M1946" i="4"/>
  <c r="M2024" i="4"/>
  <c r="M1948" i="4"/>
  <c r="M1949" i="4"/>
  <c r="M1950" i="4"/>
  <c r="M1951" i="4"/>
  <c r="M1952" i="4"/>
  <c r="M1953" i="4"/>
  <c r="M1954" i="4"/>
  <c r="M1955" i="4"/>
  <c r="M2013" i="4"/>
  <c r="M1956" i="4"/>
  <c r="M1957" i="4"/>
  <c r="M1958" i="4"/>
  <c r="M1959" i="4"/>
  <c r="M1960" i="4"/>
  <c r="M2016" i="4"/>
  <c r="M1961" i="4"/>
  <c r="M1962" i="4"/>
  <c r="M1963" i="4"/>
  <c r="M1964" i="4"/>
  <c r="M1965" i="4"/>
  <c r="M2011" i="4"/>
  <c r="M1966" i="4"/>
  <c r="M1967" i="4"/>
  <c r="M1968" i="4"/>
  <c r="M2009" i="4"/>
  <c r="M1970" i="4"/>
  <c r="M1971" i="4"/>
  <c r="M1972" i="4"/>
  <c r="M1973" i="4"/>
  <c r="M1974" i="4"/>
  <c r="M1975" i="4"/>
  <c r="M1976" i="4"/>
  <c r="M1898" i="4"/>
  <c r="M1977" i="4"/>
  <c r="M1978" i="4"/>
  <c r="M1979" i="4"/>
  <c r="M2003" i="4"/>
  <c r="M1981" i="4"/>
  <c r="M1982" i="4"/>
  <c r="M1983" i="4"/>
  <c r="M1984" i="4"/>
  <c r="M1985" i="4"/>
  <c r="M1986" i="4"/>
  <c r="M2010" i="4"/>
  <c r="M1987" i="4"/>
  <c r="M1988" i="4"/>
  <c r="M1989" i="4"/>
  <c r="M1990" i="4"/>
  <c r="M1991" i="4"/>
  <c r="M1992" i="4"/>
  <c r="M1993" i="4"/>
  <c r="M1994" i="4"/>
  <c r="M2017" i="4"/>
  <c r="M1995" i="4"/>
  <c r="M1996" i="4"/>
  <c r="M1997" i="4"/>
  <c r="M1998" i="4"/>
  <c r="M2020" i="4"/>
  <c r="M2000" i="4"/>
  <c r="M2001" i="4"/>
  <c r="M2002" i="4"/>
  <c r="M2005" i="4"/>
  <c r="M2004" i="4"/>
  <c r="M2214" i="4"/>
  <c r="M2209" i="4"/>
  <c r="M2182" i="4"/>
  <c r="M2204" i="4"/>
  <c r="M2183" i="4"/>
  <c r="M2190" i="4"/>
  <c r="M2212" i="4"/>
  <c r="M2188" i="4"/>
  <c r="M2207" i="4"/>
  <c r="M2185" i="4"/>
  <c r="M2191" i="4"/>
  <c r="M2192" i="4"/>
  <c r="M2186" i="4"/>
  <c r="M2193" i="4"/>
  <c r="M2213" i="4"/>
  <c r="M2206" i="4"/>
  <c r="M2194" i="4"/>
  <c r="M2195" i="4"/>
  <c r="M2196" i="4"/>
  <c r="M2184" i="4"/>
  <c r="M2197" i="4"/>
  <c r="M2198" i="4"/>
  <c r="M2199" i="4"/>
  <c r="M2211" i="4"/>
  <c r="M2205" i="4"/>
  <c r="M2200" i="4"/>
  <c r="M2201" i="4"/>
  <c r="M2189" i="4"/>
  <c r="M2202" i="4"/>
  <c r="M2210" i="4"/>
  <c r="M2203" i="4"/>
  <c r="M2187" i="4"/>
  <c r="M2208" i="4"/>
  <c r="M3211" i="4"/>
  <c r="M3221" i="4"/>
  <c r="M3222" i="4"/>
  <c r="M3223" i="4"/>
  <c r="M3210" i="4"/>
  <c r="M3224" i="4"/>
  <c r="M3225" i="4"/>
  <c r="M3238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05" i="4"/>
  <c r="M3239" i="4"/>
  <c r="M3240" i="4"/>
  <c r="M3241" i="4"/>
  <c r="M3242" i="4"/>
  <c r="M3243" i="4"/>
  <c r="M3244" i="4"/>
  <c r="M3245" i="4"/>
  <c r="M3212" i="4"/>
  <c r="M3246" i="4"/>
  <c r="M3247" i="4"/>
  <c r="M3203" i="4"/>
  <c r="M3249" i="4"/>
  <c r="M3250" i="4"/>
  <c r="M3251" i="4"/>
  <c r="M3252" i="4"/>
  <c r="M3253" i="4"/>
  <c r="M3208" i="4"/>
  <c r="M3254" i="4"/>
  <c r="M3255" i="4"/>
  <c r="M3256" i="4"/>
  <c r="M3218" i="4"/>
  <c r="M3257" i="4"/>
  <c r="M3258" i="4"/>
  <c r="M3259" i="4"/>
  <c r="M3260" i="4"/>
  <c r="M3261" i="4"/>
  <c r="M3262" i="4"/>
  <c r="M3371" i="4"/>
  <c r="M3263" i="4"/>
  <c r="M3264" i="4"/>
  <c r="M3215" i="4"/>
  <c r="M3265" i="4"/>
  <c r="M3266" i="4"/>
  <c r="M3267" i="4"/>
  <c r="M3268" i="4"/>
  <c r="M3269" i="4"/>
  <c r="M3270" i="4"/>
  <c r="M3209" i="4"/>
  <c r="M3271" i="4"/>
  <c r="M3272" i="4"/>
  <c r="M3273" i="4"/>
  <c r="M3216" i="4"/>
  <c r="M3274" i="4"/>
  <c r="M3275" i="4"/>
  <c r="M3276" i="4"/>
  <c r="M3201" i="4"/>
  <c r="M3277" i="4"/>
  <c r="M3278" i="4"/>
  <c r="M3279" i="4"/>
  <c r="M3213" i="4"/>
  <c r="M3280" i="4"/>
  <c r="M3281" i="4"/>
  <c r="M3282" i="4"/>
  <c r="M3283" i="4"/>
  <c r="M3284" i="4"/>
  <c r="M3217" i="4"/>
  <c r="M3285" i="4"/>
  <c r="M3286" i="4"/>
  <c r="M3287" i="4"/>
  <c r="M3220" i="4"/>
  <c r="M3288" i="4"/>
  <c r="M3289" i="4"/>
  <c r="M3290" i="4"/>
  <c r="M3291" i="4"/>
  <c r="M3292" i="4"/>
  <c r="M3293" i="4"/>
  <c r="M3199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207" i="4"/>
  <c r="M3310" i="4"/>
  <c r="M3311" i="4"/>
  <c r="M3214" i="4"/>
  <c r="M3312" i="4"/>
  <c r="M3313" i="4"/>
  <c r="M3314" i="4"/>
  <c r="M3315" i="4"/>
  <c r="M3316" i="4"/>
  <c r="M3317" i="4"/>
  <c r="M3318" i="4"/>
  <c r="M3319" i="4"/>
  <c r="M3320" i="4"/>
  <c r="M3321" i="4"/>
  <c r="M3206" i="4"/>
  <c r="M3322" i="4"/>
  <c r="M3204" i="4"/>
  <c r="M3323" i="4"/>
  <c r="M3324" i="4"/>
  <c r="M3325" i="4"/>
  <c r="M3202" i="4"/>
  <c r="M3326" i="4"/>
  <c r="M3327" i="4"/>
  <c r="M3369" i="4"/>
  <c r="M3328" i="4"/>
  <c r="M3329" i="4"/>
  <c r="M3330" i="4"/>
  <c r="M3331" i="4"/>
  <c r="M3332" i="4"/>
  <c r="M3333" i="4"/>
  <c r="M3334" i="4"/>
  <c r="M3335" i="4"/>
  <c r="M3336" i="4"/>
  <c r="M3337" i="4"/>
  <c r="M3367" i="4"/>
  <c r="M3338" i="4"/>
  <c r="M3339" i="4"/>
  <c r="M3340" i="4"/>
  <c r="M3370" i="4"/>
  <c r="M3341" i="4"/>
  <c r="M3342" i="4"/>
  <c r="M3343" i="4"/>
  <c r="M3219" i="4"/>
  <c r="M3344" i="4"/>
  <c r="M3345" i="4"/>
  <c r="M3346" i="4"/>
  <c r="M3347" i="4"/>
  <c r="M3348" i="4"/>
  <c r="M3349" i="4"/>
  <c r="M3350" i="4"/>
  <c r="M3351" i="4"/>
  <c r="M3368" i="4"/>
  <c r="M3352" i="4"/>
  <c r="M3353" i="4"/>
  <c r="M3354" i="4"/>
  <c r="M3200" i="4"/>
  <c r="M3355" i="4"/>
  <c r="M3356" i="4"/>
  <c r="M3248" i="4"/>
  <c r="M3357" i="4"/>
  <c r="M3358" i="4"/>
  <c r="M3359" i="4"/>
  <c r="M3360" i="4"/>
  <c r="M3361" i="4"/>
  <c r="M3362" i="4"/>
  <c r="M3363" i="4"/>
  <c r="M3364" i="4"/>
  <c r="M3365" i="4"/>
  <c r="M3366" i="4"/>
  <c r="M4549" i="4"/>
  <c r="M5698" i="4"/>
  <c r="M5550" i="4"/>
  <c r="M5551" i="4"/>
  <c r="M5552" i="4"/>
  <c r="M5547" i="4"/>
  <c r="M5554" i="4"/>
  <c r="M5555" i="4"/>
  <c r="M5556" i="4"/>
  <c r="M5557" i="4"/>
  <c r="M5558" i="4"/>
  <c r="M5559" i="4"/>
  <c r="M5560" i="4"/>
  <c r="M5561" i="4"/>
  <c r="M5542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604" i="4"/>
  <c r="M5580" i="4"/>
  <c r="M5581" i="4"/>
  <c r="M5538" i="4"/>
  <c r="M5582" i="4"/>
  <c r="M5583" i="4"/>
  <c r="M5584" i="4"/>
  <c r="M5537" i="4"/>
  <c r="M5585" i="4"/>
  <c r="M5586" i="4"/>
  <c r="M5587" i="4"/>
  <c r="M5539" i="4"/>
  <c r="M5588" i="4"/>
  <c r="M5589" i="4"/>
  <c r="M5590" i="4"/>
  <c r="M5591" i="4"/>
  <c r="M5592" i="4"/>
  <c r="M5593" i="4"/>
  <c r="M5594" i="4"/>
  <c r="M5595" i="4"/>
  <c r="M5596" i="4"/>
  <c r="M5597" i="4"/>
  <c r="M5546" i="4"/>
  <c r="M5598" i="4"/>
  <c r="M5599" i="4"/>
  <c r="M5600" i="4"/>
  <c r="M5601" i="4"/>
  <c r="M5602" i="4"/>
  <c r="M5603" i="4"/>
  <c r="M5689" i="4"/>
  <c r="M5605" i="4"/>
  <c r="M5606" i="4"/>
  <c r="M5607" i="4"/>
  <c r="M5655" i="4"/>
  <c r="M5608" i="4"/>
  <c r="M5609" i="4"/>
  <c r="M5610" i="4"/>
  <c r="M5611" i="4"/>
  <c r="M5612" i="4"/>
  <c r="M5613" i="4"/>
  <c r="M5614" i="4"/>
  <c r="M5615" i="4"/>
  <c r="M5616" i="4"/>
  <c r="M5647" i="4"/>
  <c r="M5617" i="4"/>
  <c r="M5579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543" i="4"/>
  <c r="M5630" i="4"/>
  <c r="M5631" i="4"/>
  <c r="M5632" i="4"/>
  <c r="M5553" i="4"/>
  <c r="M5633" i="4"/>
  <c r="M5634" i="4"/>
  <c r="M5635" i="4"/>
  <c r="M5544" i="4"/>
  <c r="M5636" i="4"/>
  <c r="M5637" i="4"/>
  <c r="M5638" i="4"/>
  <c r="M5639" i="4"/>
  <c r="M5640" i="4"/>
  <c r="M5641" i="4"/>
  <c r="M5642" i="4"/>
  <c r="M5643" i="4"/>
  <c r="M5644" i="4"/>
  <c r="M5645" i="4"/>
  <c r="M5646" i="4"/>
  <c r="M5534" i="4"/>
  <c r="M5648" i="4"/>
  <c r="M5649" i="4"/>
  <c r="M5650" i="4"/>
  <c r="M5651" i="4"/>
  <c r="M5652" i="4"/>
  <c r="M5653" i="4"/>
  <c r="M5654" i="4"/>
  <c r="M5545" i="4"/>
  <c r="M5656" i="4"/>
  <c r="M5657" i="4"/>
  <c r="M5658" i="4"/>
  <c r="M5659" i="4"/>
  <c r="M5660" i="4"/>
  <c r="M5661" i="4"/>
  <c r="M5662" i="4"/>
  <c r="M5663" i="4"/>
  <c r="M5664" i="4"/>
  <c r="M5665" i="4"/>
  <c r="M5541" i="4"/>
  <c r="M5666" i="4"/>
  <c r="M5667" i="4"/>
  <c r="M5540" i="4"/>
  <c r="M5668" i="4"/>
  <c r="M5669" i="4"/>
  <c r="M5670" i="4"/>
  <c r="M5549" i="4"/>
  <c r="M5671" i="4"/>
  <c r="M5672" i="4"/>
  <c r="M5673" i="4"/>
  <c r="M5548" i="4"/>
  <c r="M5674" i="4"/>
  <c r="M5675" i="4"/>
  <c r="M5676" i="4"/>
  <c r="M5677" i="4"/>
  <c r="M5678" i="4"/>
  <c r="M5679" i="4"/>
  <c r="M5536" i="4"/>
  <c r="M5680" i="4"/>
  <c r="M5681" i="4"/>
  <c r="M5682" i="4"/>
  <c r="M5683" i="4"/>
  <c r="M5684" i="4"/>
  <c r="M5685" i="4"/>
  <c r="M5686" i="4"/>
  <c r="M5687" i="4"/>
  <c r="M5688" i="4"/>
  <c r="M5533" i="4"/>
  <c r="M5690" i="4"/>
  <c r="M5691" i="4"/>
  <c r="M5692" i="4"/>
  <c r="M5693" i="4"/>
  <c r="M5694" i="4"/>
  <c r="M5695" i="4"/>
  <c r="M5696" i="4"/>
  <c r="M5697" i="4"/>
  <c r="M5535" i="4"/>
  <c r="M5699" i="4"/>
  <c r="M5700" i="4"/>
  <c r="M5701" i="4"/>
  <c r="M5702" i="4"/>
  <c r="M5703" i="4"/>
  <c r="M5704" i="4"/>
  <c r="N1830" i="4"/>
  <c r="N1831" i="4"/>
  <c r="N1832" i="4"/>
  <c r="N1833" i="4"/>
  <c r="N1834" i="4"/>
  <c r="N1835" i="4"/>
  <c r="N2022" i="4"/>
  <c r="N1836" i="4"/>
  <c r="N1837" i="4"/>
  <c r="N1838" i="4"/>
  <c r="N1839" i="4"/>
  <c r="N1840" i="4"/>
  <c r="N1841" i="4"/>
  <c r="N1842" i="4"/>
  <c r="N1843" i="4"/>
  <c r="N2021" i="4"/>
  <c r="N1845" i="4"/>
  <c r="N1846" i="4"/>
  <c r="N1847" i="4"/>
  <c r="N1848" i="4"/>
  <c r="N2018" i="4"/>
  <c r="N1849" i="4"/>
  <c r="N1850" i="4"/>
  <c r="N1851" i="4"/>
  <c r="N1903" i="4"/>
  <c r="N1852" i="4"/>
  <c r="N1853" i="4"/>
  <c r="N1854" i="4"/>
  <c r="N1855" i="4"/>
  <c r="N1856" i="4"/>
  <c r="N2025" i="4"/>
  <c r="N1857" i="4"/>
  <c r="N1858" i="4"/>
  <c r="N1859" i="4"/>
  <c r="N2014" i="4"/>
  <c r="N1860" i="4"/>
  <c r="N1861" i="4"/>
  <c r="N2006" i="4"/>
  <c r="N1862" i="4"/>
  <c r="N1863" i="4"/>
  <c r="N2026" i="4"/>
  <c r="N1864" i="4"/>
  <c r="N1865" i="4"/>
  <c r="N1866" i="4"/>
  <c r="N1867" i="4"/>
  <c r="N1868" i="4"/>
  <c r="N2015" i="4"/>
  <c r="N1869" i="4"/>
  <c r="N1870" i="4"/>
  <c r="N1871" i="4"/>
  <c r="N1872" i="4"/>
  <c r="N1873" i="4"/>
  <c r="N2012" i="4"/>
  <c r="N1874" i="4"/>
  <c r="N1875" i="4"/>
  <c r="N1876" i="4"/>
  <c r="N1829" i="4"/>
  <c r="N1877" i="4"/>
  <c r="N1878" i="4"/>
  <c r="N1879" i="4"/>
  <c r="N1880" i="4"/>
  <c r="N1881" i="4"/>
  <c r="N1941" i="4"/>
  <c r="N1882" i="4"/>
  <c r="N1883" i="4"/>
  <c r="N1884" i="4"/>
  <c r="N1885" i="4"/>
  <c r="N1886" i="4"/>
  <c r="N1980" i="4"/>
  <c r="N1888" i="4"/>
  <c r="N1889" i="4"/>
  <c r="N1890" i="4"/>
  <c r="N1891" i="4"/>
  <c r="N1892" i="4"/>
  <c r="N1893" i="4"/>
  <c r="N1894" i="4"/>
  <c r="N1895" i="4"/>
  <c r="N1896" i="4"/>
  <c r="N1897" i="4"/>
  <c r="N1921" i="4"/>
  <c r="N1899" i="4"/>
  <c r="N1947" i="4"/>
  <c r="N1900" i="4"/>
  <c r="N1901" i="4"/>
  <c r="N1902" i="4"/>
  <c r="N1887" i="4"/>
  <c r="N1904" i="4"/>
  <c r="N1905" i="4"/>
  <c r="N1906" i="4"/>
  <c r="N1907" i="4"/>
  <c r="N1908" i="4"/>
  <c r="N1909" i="4"/>
  <c r="N1910" i="4"/>
  <c r="N2007" i="4"/>
  <c r="N1911" i="4"/>
  <c r="N1912" i="4"/>
  <c r="N1913" i="4"/>
  <c r="N2019" i="4"/>
  <c r="N1914" i="4"/>
  <c r="N1915" i="4"/>
  <c r="N1916" i="4"/>
  <c r="N1917" i="4"/>
  <c r="N1918" i="4"/>
  <c r="N1919" i="4"/>
  <c r="N1920" i="4"/>
  <c r="N2027" i="4"/>
  <c r="N1922" i="4"/>
  <c r="N2023" i="4"/>
  <c r="N1923" i="4"/>
  <c r="N1924" i="4"/>
  <c r="N1925" i="4"/>
  <c r="N2008" i="4"/>
  <c r="N1926" i="4"/>
  <c r="N1927" i="4"/>
  <c r="N1928" i="4"/>
  <c r="N1929" i="4"/>
  <c r="N1930" i="4"/>
  <c r="N1931" i="4"/>
  <c r="N1932" i="4"/>
  <c r="N1933" i="4"/>
  <c r="N1999" i="4"/>
  <c r="N1934" i="4"/>
  <c r="N1935" i="4"/>
  <c r="N1936" i="4"/>
  <c r="N1844" i="4"/>
  <c r="N1937" i="4"/>
  <c r="N1938" i="4"/>
  <c r="N1969" i="4"/>
  <c r="N1939" i="4"/>
  <c r="N1940" i="4"/>
  <c r="N1828" i="4"/>
  <c r="N1942" i="4"/>
  <c r="N1943" i="4"/>
  <c r="N1944" i="4"/>
  <c r="N1945" i="4"/>
  <c r="N1946" i="4"/>
  <c r="N2024" i="4"/>
  <c r="N1948" i="4"/>
  <c r="N1949" i="4"/>
  <c r="N1950" i="4"/>
  <c r="N1951" i="4"/>
  <c r="N1952" i="4"/>
  <c r="N1953" i="4"/>
  <c r="N1954" i="4"/>
  <c r="N1955" i="4"/>
  <c r="N2013" i="4"/>
  <c r="N1956" i="4"/>
  <c r="N1957" i="4"/>
  <c r="N1958" i="4"/>
  <c r="N1959" i="4"/>
  <c r="N1960" i="4"/>
  <c r="N2016" i="4"/>
  <c r="N1961" i="4"/>
  <c r="N1962" i="4"/>
  <c r="N1963" i="4"/>
  <c r="N1964" i="4"/>
  <c r="N1965" i="4"/>
  <c r="N2011" i="4"/>
  <c r="N1966" i="4"/>
  <c r="N1967" i="4"/>
  <c r="N1968" i="4"/>
  <c r="N2009" i="4"/>
  <c r="N1970" i="4"/>
  <c r="N1971" i="4"/>
  <c r="N1972" i="4"/>
  <c r="N1973" i="4"/>
  <c r="N1974" i="4"/>
  <c r="N1975" i="4"/>
  <c r="N1976" i="4"/>
  <c r="N1898" i="4"/>
  <c r="N1977" i="4"/>
  <c r="N1978" i="4"/>
  <c r="N1979" i="4"/>
  <c r="N2003" i="4"/>
  <c r="N1981" i="4"/>
  <c r="N1982" i="4"/>
  <c r="N1983" i="4"/>
  <c r="N1984" i="4"/>
  <c r="N1985" i="4"/>
  <c r="N1986" i="4"/>
  <c r="N2010" i="4"/>
  <c r="N1987" i="4"/>
  <c r="N1988" i="4"/>
  <c r="N1989" i="4"/>
  <c r="N1990" i="4"/>
  <c r="N1991" i="4"/>
  <c r="N1992" i="4"/>
  <c r="N1993" i="4"/>
  <c r="N1994" i="4"/>
  <c r="N2017" i="4"/>
  <c r="N1995" i="4"/>
  <c r="N1996" i="4"/>
  <c r="N1997" i="4"/>
  <c r="N1998" i="4"/>
  <c r="N2020" i="4"/>
  <c r="N2000" i="4"/>
  <c r="N2001" i="4"/>
  <c r="N2002" i="4"/>
  <c r="N2005" i="4"/>
  <c r="N2004" i="4"/>
  <c r="N2214" i="4"/>
  <c r="N2209" i="4"/>
  <c r="N2182" i="4"/>
  <c r="N2204" i="4"/>
  <c r="N2183" i="4"/>
  <c r="N2190" i="4"/>
  <c r="N2212" i="4"/>
  <c r="N2188" i="4"/>
  <c r="N2207" i="4"/>
  <c r="N2185" i="4"/>
  <c r="N2191" i="4"/>
  <c r="N2192" i="4"/>
  <c r="N2186" i="4"/>
  <c r="N2193" i="4"/>
  <c r="N2213" i="4"/>
  <c r="N2206" i="4"/>
  <c r="N2194" i="4"/>
  <c r="N2195" i="4"/>
  <c r="N2196" i="4"/>
  <c r="N2184" i="4"/>
  <c r="N2197" i="4"/>
  <c r="N2198" i="4"/>
  <c r="N2199" i="4"/>
  <c r="N2211" i="4"/>
  <c r="N2205" i="4"/>
  <c r="N2200" i="4"/>
  <c r="N2201" i="4"/>
  <c r="N2189" i="4"/>
  <c r="N2202" i="4"/>
  <c r="N2210" i="4"/>
  <c r="N2203" i="4"/>
  <c r="N2187" i="4"/>
  <c r="N2208" i="4"/>
  <c r="N3211" i="4"/>
  <c r="N3221" i="4"/>
  <c r="N3222" i="4"/>
  <c r="N3223" i="4"/>
  <c r="N3210" i="4"/>
  <c r="N3224" i="4"/>
  <c r="N3225" i="4"/>
  <c r="N3238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05" i="4"/>
  <c r="N3239" i="4"/>
  <c r="N3240" i="4"/>
  <c r="N3241" i="4"/>
  <c r="N3242" i="4"/>
  <c r="N3243" i="4"/>
  <c r="N3244" i="4"/>
  <c r="N3245" i="4"/>
  <c r="N3212" i="4"/>
  <c r="N3246" i="4"/>
  <c r="N3247" i="4"/>
  <c r="N3203" i="4"/>
  <c r="N3249" i="4"/>
  <c r="N3250" i="4"/>
  <c r="N3251" i="4"/>
  <c r="N3252" i="4"/>
  <c r="N3253" i="4"/>
  <c r="N3208" i="4"/>
  <c r="N3254" i="4"/>
  <c r="N3255" i="4"/>
  <c r="N3256" i="4"/>
  <c r="N3218" i="4"/>
  <c r="N3257" i="4"/>
  <c r="N3258" i="4"/>
  <c r="N3259" i="4"/>
  <c r="N3260" i="4"/>
  <c r="N3261" i="4"/>
  <c r="N3262" i="4"/>
  <c r="N3371" i="4"/>
  <c r="N3263" i="4"/>
  <c r="N3264" i="4"/>
  <c r="N3215" i="4"/>
  <c r="N3265" i="4"/>
  <c r="N3266" i="4"/>
  <c r="N3267" i="4"/>
  <c r="N3268" i="4"/>
  <c r="N3269" i="4"/>
  <c r="N3270" i="4"/>
  <c r="N3209" i="4"/>
  <c r="N3271" i="4"/>
  <c r="N3272" i="4"/>
  <c r="N3273" i="4"/>
  <c r="N3216" i="4"/>
  <c r="N3274" i="4"/>
  <c r="N3275" i="4"/>
  <c r="N3276" i="4"/>
  <c r="N3201" i="4"/>
  <c r="N3277" i="4"/>
  <c r="N3278" i="4"/>
  <c r="N3279" i="4"/>
  <c r="N3213" i="4"/>
  <c r="N3280" i="4"/>
  <c r="N3281" i="4"/>
  <c r="N3282" i="4"/>
  <c r="N3283" i="4"/>
  <c r="N3284" i="4"/>
  <c r="N3217" i="4"/>
  <c r="N3285" i="4"/>
  <c r="N3286" i="4"/>
  <c r="N3287" i="4"/>
  <c r="N3220" i="4"/>
  <c r="N3288" i="4"/>
  <c r="N3289" i="4"/>
  <c r="N3290" i="4"/>
  <c r="N3291" i="4"/>
  <c r="N3292" i="4"/>
  <c r="N3293" i="4"/>
  <c r="N3199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207" i="4"/>
  <c r="N3310" i="4"/>
  <c r="N3311" i="4"/>
  <c r="N3214" i="4"/>
  <c r="N3312" i="4"/>
  <c r="N3313" i="4"/>
  <c r="N3314" i="4"/>
  <c r="N3315" i="4"/>
  <c r="N3316" i="4"/>
  <c r="N3317" i="4"/>
  <c r="N3318" i="4"/>
  <c r="N3319" i="4"/>
  <c r="N3320" i="4"/>
  <c r="N3321" i="4"/>
  <c r="N3206" i="4"/>
  <c r="N3322" i="4"/>
  <c r="N3204" i="4"/>
  <c r="N3323" i="4"/>
  <c r="N3324" i="4"/>
  <c r="N3325" i="4"/>
  <c r="N3202" i="4"/>
  <c r="N3326" i="4"/>
  <c r="N3327" i="4"/>
  <c r="N3369" i="4"/>
  <c r="N3328" i="4"/>
  <c r="N3329" i="4"/>
  <c r="N3330" i="4"/>
  <c r="N3331" i="4"/>
  <c r="N3332" i="4"/>
  <c r="N3333" i="4"/>
  <c r="N3334" i="4"/>
  <c r="N3335" i="4"/>
  <c r="N3336" i="4"/>
  <c r="N3337" i="4"/>
  <c r="N3367" i="4"/>
  <c r="N3338" i="4"/>
  <c r="N3339" i="4"/>
  <c r="N3340" i="4"/>
  <c r="N3370" i="4"/>
  <c r="N3341" i="4"/>
  <c r="N3342" i="4"/>
  <c r="N3343" i="4"/>
  <c r="N3219" i="4"/>
  <c r="N3344" i="4"/>
  <c r="N3345" i="4"/>
  <c r="N3346" i="4"/>
  <c r="N3347" i="4"/>
  <c r="N3348" i="4"/>
  <c r="N3349" i="4"/>
  <c r="N3350" i="4"/>
  <c r="N3351" i="4"/>
  <c r="N3368" i="4"/>
  <c r="N3352" i="4"/>
  <c r="N3353" i="4"/>
  <c r="N3354" i="4"/>
  <c r="N3200" i="4"/>
  <c r="N3355" i="4"/>
  <c r="N3356" i="4"/>
  <c r="N3248" i="4"/>
  <c r="N3357" i="4"/>
  <c r="N3358" i="4"/>
  <c r="N3359" i="4"/>
  <c r="N3360" i="4"/>
  <c r="N3361" i="4"/>
  <c r="N3362" i="4"/>
  <c r="N3363" i="4"/>
  <c r="N3364" i="4"/>
  <c r="N3365" i="4"/>
  <c r="N3366" i="4"/>
  <c r="N4549" i="4"/>
  <c r="N5698" i="4"/>
  <c r="N5550" i="4"/>
  <c r="N5551" i="4"/>
  <c r="N5552" i="4"/>
  <c r="N5547" i="4"/>
  <c r="N5554" i="4"/>
  <c r="N5555" i="4"/>
  <c r="N5556" i="4"/>
  <c r="N5557" i="4"/>
  <c r="N5558" i="4"/>
  <c r="N5559" i="4"/>
  <c r="N5560" i="4"/>
  <c r="N5561" i="4"/>
  <c r="N5542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604" i="4"/>
  <c r="N5580" i="4"/>
  <c r="N5581" i="4"/>
  <c r="N5538" i="4"/>
  <c r="N5582" i="4"/>
  <c r="N5583" i="4"/>
  <c r="N5584" i="4"/>
  <c r="N5537" i="4"/>
  <c r="N5585" i="4"/>
  <c r="N5586" i="4"/>
  <c r="N5587" i="4"/>
  <c r="N5539" i="4"/>
  <c r="N5588" i="4"/>
  <c r="N5589" i="4"/>
  <c r="N5590" i="4"/>
  <c r="N5591" i="4"/>
  <c r="N5592" i="4"/>
  <c r="N5593" i="4"/>
  <c r="N5594" i="4"/>
  <c r="N5595" i="4"/>
  <c r="N5596" i="4"/>
  <c r="N5597" i="4"/>
  <c r="N5546" i="4"/>
  <c r="N5598" i="4"/>
  <c r="N5599" i="4"/>
  <c r="N5600" i="4"/>
  <c r="N5601" i="4"/>
  <c r="N5602" i="4"/>
  <c r="N5603" i="4"/>
  <c r="N5689" i="4"/>
  <c r="N5605" i="4"/>
  <c r="N5606" i="4"/>
  <c r="N5607" i="4"/>
  <c r="N5655" i="4"/>
  <c r="N5608" i="4"/>
  <c r="N5609" i="4"/>
  <c r="N5610" i="4"/>
  <c r="N5611" i="4"/>
  <c r="N5612" i="4"/>
  <c r="N5613" i="4"/>
  <c r="N5614" i="4"/>
  <c r="N5615" i="4"/>
  <c r="N5616" i="4"/>
  <c r="N5647" i="4"/>
  <c r="N5617" i="4"/>
  <c r="N5579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543" i="4"/>
  <c r="N5630" i="4"/>
  <c r="N5631" i="4"/>
  <c r="N5632" i="4"/>
  <c r="N5553" i="4"/>
  <c r="N5633" i="4"/>
  <c r="N5634" i="4"/>
  <c r="N5635" i="4"/>
  <c r="N5544" i="4"/>
  <c r="N5636" i="4"/>
  <c r="N5637" i="4"/>
  <c r="N5638" i="4"/>
  <c r="N5639" i="4"/>
  <c r="N5640" i="4"/>
  <c r="N5641" i="4"/>
  <c r="N5642" i="4"/>
  <c r="N5643" i="4"/>
  <c r="N5644" i="4"/>
  <c r="N5645" i="4"/>
  <c r="N5646" i="4"/>
  <c r="N5534" i="4"/>
  <c r="N5648" i="4"/>
  <c r="N5649" i="4"/>
  <c r="N5650" i="4"/>
  <c r="N5651" i="4"/>
  <c r="N5652" i="4"/>
  <c r="N5653" i="4"/>
  <c r="N5654" i="4"/>
  <c r="N5545" i="4"/>
  <c r="N5656" i="4"/>
  <c r="N5657" i="4"/>
  <c r="N5658" i="4"/>
  <c r="N5659" i="4"/>
  <c r="N5660" i="4"/>
  <c r="N5661" i="4"/>
  <c r="N5662" i="4"/>
  <c r="N5663" i="4"/>
  <c r="N5664" i="4"/>
  <c r="N5665" i="4"/>
  <c r="N5541" i="4"/>
  <c r="N5666" i="4"/>
  <c r="N5667" i="4"/>
  <c r="N5540" i="4"/>
  <c r="N5668" i="4"/>
  <c r="N5669" i="4"/>
  <c r="N5670" i="4"/>
  <c r="N5549" i="4"/>
  <c r="N5671" i="4"/>
  <c r="N5672" i="4"/>
  <c r="N5673" i="4"/>
  <c r="N5548" i="4"/>
  <c r="N5674" i="4"/>
  <c r="N5675" i="4"/>
  <c r="N5676" i="4"/>
  <c r="N5677" i="4"/>
  <c r="N5678" i="4"/>
  <c r="N5679" i="4"/>
  <c r="N5536" i="4"/>
  <c r="N5680" i="4"/>
  <c r="N5681" i="4"/>
  <c r="N5682" i="4"/>
  <c r="N5683" i="4"/>
  <c r="N5684" i="4"/>
  <c r="N5685" i="4"/>
  <c r="N5686" i="4"/>
  <c r="N5687" i="4"/>
  <c r="N5688" i="4"/>
  <c r="N5533" i="4"/>
  <c r="N5690" i="4"/>
  <c r="N5691" i="4"/>
  <c r="N5692" i="4"/>
  <c r="N5693" i="4"/>
  <c r="N5694" i="4"/>
  <c r="N5695" i="4"/>
  <c r="N5696" i="4"/>
  <c r="N5697" i="4"/>
  <c r="N5535" i="4"/>
  <c r="N5699" i="4"/>
  <c r="N5700" i="4"/>
  <c r="N5701" i="4"/>
  <c r="N5702" i="4"/>
  <c r="N5703" i="4"/>
  <c r="N5704" i="4"/>
  <c r="I4363" i="4"/>
  <c r="L4358" i="4"/>
  <c r="L4359" i="4"/>
  <c r="L4360" i="4"/>
  <c r="L4361" i="4"/>
  <c r="L4362" i="4"/>
  <c r="L4417" i="4"/>
  <c r="L4364" i="4"/>
  <c r="L4365" i="4"/>
  <c r="L4401" i="4"/>
  <c r="L4367" i="4"/>
  <c r="L4395" i="4"/>
  <c r="L4383" i="4"/>
  <c r="L4370" i="4"/>
  <c r="L4487" i="4"/>
  <c r="L4432" i="4"/>
  <c r="L4418" i="4"/>
  <c r="L4402" i="4"/>
  <c r="L4389" i="4"/>
  <c r="L4400" i="4"/>
  <c r="L4491" i="4"/>
  <c r="L4403" i="4"/>
  <c r="L4532" i="4"/>
  <c r="L4380" i="4"/>
  <c r="L4381" i="4"/>
  <c r="L4382" i="4"/>
  <c r="L4387" i="4"/>
  <c r="L4488" i="4"/>
  <c r="L4375" i="4"/>
  <c r="L4386" i="4"/>
  <c r="L4422" i="4"/>
  <c r="L4388" i="4"/>
  <c r="L4427" i="4"/>
  <c r="L4390" i="4"/>
  <c r="L4435" i="4"/>
  <c r="L4392" i="4"/>
  <c r="L4393" i="4"/>
  <c r="L4419" i="4"/>
  <c r="L4391" i="4"/>
  <c r="L4396" i="4"/>
  <c r="L4405" i="4"/>
  <c r="L4368" i="4"/>
  <c r="L4399" i="4"/>
  <c r="L4429" i="4"/>
  <c r="L4372" i="4"/>
  <c r="L4426" i="4"/>
  <c r="L4415" i="4"/>
  <c r="L4404" i="4"/>
  <c r="L4433" i="4"/>
  <c r="L4406" i="4"/>
  <c r="L4411" i="4"/>
  <c r="L4408" i="4"/>
  <c r="L4420" i="4"/>
  <c r="L4410" i="4"/>
  <c r="L4385" i="4"/>
  <c r="L4379" i="4"/>
  <c r="L4413" i="4"/>
  <c r="L4414" i="4"/>
  <c r="L4394" i="4"/>
  <c r="L4416" i="4"/>
  <c r="L4369" i="4"/>
  <c r="L4421" i="4"/>
  <c r="L4377" i="4"/>
  <c r="L4376" i="4"/>
  <c r="L4378" i="4"/>
  <c r="L4366" i="4"/>
  <c r="L4423" i="4"/>
  <c r="L4424" i="4"/>
  <c r="L4425" i="4"/>
  <c r="L4363" i="4"/>
  <c r="L4541" i="4"/>
  <c r="L4434" i="4"/>
  <c r="L4486" i="4"/>
  <c r="L4430" i="4"/>
  <c r="L4431" i="4"/>
  <c r="L4374" i="4"/>
  <c r="L4397" i="4"/>
  <c r="L4535" i="4"/>
  <c r="L4452" i="4"/>
  <c r="L4373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92" i="4"/>
  <c r="L4453" i="4"/>
  <c r="L4502" i="4"/>
  <c r="L4519" i="4"/>
  <c r="L4527" i="4"/>
  <c r="L4511" i="4"/>
  <c r="L4504" i="4"/>
  <c r="L4458" i="4"/>
  <c r="L4506" i="4"/>
  <c r="L4507" i="4"/>
  <c r="L4516" i="4"/>
  <c r="L4463" i="4"/>
  <c r="L4464" i="4"/>
  <c r="L4465" i="4"/>
  <c r="L4466" i="4"/>
  <c r="L4467" i="4"/>
  <c r="L4468" i="4"/>
  <c r="L4469" i="4"/>
  <c r="L4470" i="4"/>
  <c r="L4471" i="4"/>
  <c r="L4472" i="4"/>
  <c r="L4412" i="4"/>
  <c r="L4474" i="4"/>
  <c r="L4475" i="4"/>
  <c r="L4476" i="4"/>
  <c r="L4477" i="4"/>
  <c r="L4478" i="4"/>
  <c r="L4479" i="4"/>
  <c r="L4480" i="4"/>
  <c r="L4481" i="4"/>
  <c r="L4482" i="4"/>
  <c r="L4483" i="4"/>
  <c r="L4484" i="4"/>
  <c r="L4398" i="4"/>
  <c r="L4407" i="4"/>
  <c r="L4384" i="4"/>
  <c r="L4436" i="4"/>
  <c r="L4489" i="4"/>
  <c r="L4490" i="4"/>
  <c r="L4409" i="4"/>
  <c r="L4473" i="4"/>
  <c r="L4493" i="4"/>
  <c r="L4494" i="4"/>
  <c r="L4495" i="4"/>
  <c r="L4496" i="4"/>
  <c r="L4497" i="4"/>
  <c r="L4533" i="4"/>
  <c r="L4499" i="4"/>
  <c r="L4525" i="4"/>
  <c r="L4528" i="4"/>
  <c r="L4508" i="4"/>
  <c r="L4524" i="4"/>
  <c r="L4509" i="4"/>
  <c r="L4501" i="4"/>
  <c r="L4455" i="4"/>
  <c r="L4457" i="4"/>
  <c r="L4517" i="4"/>
  <c r="L4510" i="4"/>
  <c r="L4530" i="4"/>
  <c r="L4518" i="4"/>
  <c r="L4512" i="4"/>
  <c r="L4454" i="4"/>
  <c r="L4526" i="4"/>
  <c r="L4529" i="4"/>
  <c r="L4461" i="4"/>
  <c r="L4521" i="4"/>
  <c r="L4456" i="4"/>
  <c r="L4460" i="4"/>
  <c r="L4513" i="4"/>
  <c r="L4462" i="4"/>
  <c r="L4522" i="4"/>
  <c r="L4505" i="4"/>
  <c r="L4514" i="4"/>
  <c r="L4515" i="4"/>
  <c r="L4459" i="4"/>
  <c r="L4503" i="4"/>
  <c r="L4520" i="4"/>
  <c r="L4500" i="4"/>
  <c r="L4523" i="4"/>
  <c r="L4498" i="4"/>
  <c r="L4371" i="4"/>
  <c r="L4485" i="4"/>
  <c r="L4534" i="4"/>
  <c r="L4428" i="4"/>
  <c r="L4536" i="4"/>
  <c r="L4537" i="4"/>
  <c r="L4538" i="4"/>
  <c r="L4539" i="4"/>
  <c r="L4540" i="4"/>
  <c r="L4531" i="4"/>
  <c r="L4542" i="4"/>
  <c r="L4543" i="4"/>
  <c r="L4544" i="4"/>
  <c r="L4545" i="4"/>
  <c r="L4546" i="4"/>
  <c r="L4547" i="4"/>
  <c r="L4548" i="4"/>
  <c r="M4358" i="4"/>
  <c r="M4359" i="4"/>
  <c r="M4360" i="4"/>
  <c r="M4361" i="4"/>
  <c r="M4362" i="4"/>
  <c r="M4417" i="4"/>
  <c r="M4364" i="4"/>
  <c r="M4365" i="4"/>
  <c r="M4401" i="4"/>
  <c r="M4367" i="4"/>
  <c r="M4395" i="4"/>
  <c r="M4383" i="4"/>
  <c r="M4370" i="4"/>
  <c r="M4487" i="4"/>
  <c r="M4432" i="4"/>
  <c r="M4418" i="4"/>
  <c r="M4402" i="4"/>
  <c r="M4389" i="4"/>
  <c r="M4400" i="4"/>
  <c r="M4491" i="4"/>
  <c r="M4403" i="4"/>
  <c r="M4532" i="4"/>
  <c r="M4380" i="4"/>
  <c r="M4381" i="4"/>
  <c r="M4382" i="4"/>
  <c r="M4387" i="4"/>
  <c r="M4488" i="4"/>
  <c r="M4375" i="4"/>
  <c r="M4386" i="4"/>
  <c r="M4422" i="4"/>
  <c r="M4388" i="4"/>
  <c r="M4427" i="4"/>
  <c r="M4390" i="4"/>
  <c r="M4435" i="4"/>
  <c r="M4392" i="4"/>
  <c r="M4393" i="4"/>
  <c r="M4419" i="4"/>
  <c r="M4391" i="4"/>
  <c r="M4396" i="4"/>
  <c r="M4405" i="4"/>
  <c r="M4368" i="4"/>
  <c r="M4399" i="4"/>
  <c r="M4429" i="4"/>
  <c r="M4372" i="4"/>
  <c r="M4426" i="4"/>
  <c r="M4415" i="4"/>
  <c r="M4404" i="4"/>
  <c r="M4433" i="4"/>
  <c r="M4406" i="4"/>
  <c r="M4411" i="4"/>
  <c r="M4408" i="4"/>
  <c r="M4420" i="4"/>
  <c r="M4410" i="4"/>
  <c r="M4385" i="4"/>
  <c r="M4379" i="4"/>
  <c r="M4413" i="4"/>
  <c r="M4414" i="4"/>
  <c r="M4394" i="4"/>
  <c r="M4416" i="4"/>
  <c r="M4369" i="4"/>
  <c r="M4421" i="4"/>
  <c r="M4377" i="4"/>
  <c r="M4376" i="4"/>
  <c r="M4378" i="4"/>
  <c r="M4366" i="4"/>
  <c r="M4423" i="4"/>
  <c r="M4424" i="4"/>
  <c r="M4425" i="4"/>
  <c r="M4363" i="4"/>
  <c r="M4541" i="4"/>
  <c r="M4434" i="4"/>
  <c r="M4486" i="4"/>
  <c r="M4430" i="4"/>
  <c r="M4431" i="4"/>
  <c r="M4374" i="4"/>
  <c r="M4397" i="4"/>
  <c r="M4535" i="4"/>
  <c r="M4452" i="4"/>
  <c r="M4373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92" i="4"/>
  <c r="M4453" i="4"/>
  <c r="M4502" i="4"/>
  <c r="M4519" i="4"/>
  <c r="M4527" i="4"/>
  <c r="M4511" i="4"/>
  <c r="M4504" i="4"/>
  <c r="M4458" i="4"/>
  <c r="M4506" i="4"/>
  <c r="M4507" i="4"/>
  <c r="M4516" i="4"/>
  <c r="M4463" i="4"/>
  <c r="M4464" i="4"/>
  <c r="M4465" i="4"/>
  <c r="M4466" i="4"/>
  <c r="M4467" i="4"/>
  <c r="M4468" i="4"/>
  <c r="M4469" i="4"/>
  <c r="M4470" i="4"/>
  <c r="M4471" i="4"/>
  <c r="M4472" i="4"/>
  <c r="M4412" i="4"/>
  <c r="M4474" i="4"/>
  <c r="M4475" i="4"/>
  <c r="M4476" i="4"/>
  <c r="M4477" i="4"/>
  <c r="M4478" i="4"/>
  <c r="M4479" i="4"/>
  <c r="M4480" i="4"/>
  <c r="M4481" i="4"/>
  <c r="M4482" i="4"/>
  <c r="M4483" i="4"/>
  <c r="M4484" i="4"/>
  <c r="M4398" i="4"/>
  <c r="M4407" i="4"/>
  <c r="M4384" i="4"/>
  <c r="M4436" i="4"/>
  <c r="M4489" i="4"/>
  <c r="M4490" i="4"/>
  <c r="M4409" i="4"/>
  <c r="M4473" i="4"/>
  <c r="M4493" i="4"/>
  <c r="M4494" i="4"/>
  <c r="M4495" i="4"/>
  <c r="M4496" i="4"/>
  <c r="M4497" i="4"/>
  <c r="M4533" i="4"/>
  <c r="M4499" i="4"/>
  <c r="M4525" i="4"/>
  <c r="M4528" i="4"/>
  <c r="M4508" i="4"/>
  <c r="M4524" i="4"/>
  <c r="M4509" i="4"/>
  <c r="M4501" i="4"/>
  <c r="M4455" i="4"/>
  <c r="M4457" i="4"/>
  <c r="M4517" i="4"/>
  <c r="M4510" i="4"/>
  <c r="M4530" i="4"/>
  <c r="M4518" i="4"/>
  <c r="M4512" i="4"/>
  <c r="M4454" i="4"/>
  <c r="M4526" i="4"/>
  <c r="M4529" i="4"/>
  <c r="M4461" i="4"/>
  <c r="M4521" i="4"/>
  <c r="M4456" i="4"/>
  <c r="M4460" i="4"/>
  <c r="M4513" i="4"/>
  <c r="M4462" i="4"/>
  <c r="M4522" i="4"/>
  <c r="M4505" i="4"/>
  <c r="M4514" i="4"/>
  <c r="M4515" i="4"/>
  <c r="M4459" i="4"/>
  <c r="M4503" i="4"/>
  <c r="M4520" i="4"/>
  <c r="M4500" i="4"/>
  <c r="M4523" i="4"/>
  <c r="M4498" i="4"/>
  <c r="M4371" i="4"/>
  <c r="M4485" i="4"/>
  <c r="M4534" i="4"/>
  <c r="M4428" i="4"/>
  <c r="M4536" i="4"/>
  <c r="M4537" i="4"/>
  <c r="M4538" i="4"/>
  <c r="M4539" i="4"/>
  <c r="M4540" i="4"/>
  <c r="M4531" i="4"/>
  <c r="M4542" i="4"/>
  <c r="M4543" i="4"/>
  <c r="M4544" i="4"/>
  <c r="M4545" i="4"/>
  <c r="M4546" i="4"/>
  <c r="M4547" i="4"/>
  <c r="M4548" i="4"/>
  <c r="N4358" i="4"/>
  <c r="N4359" i="4"/>
  <c r="N4360" i="4"/>
  <c r="N4361" i="4"/>
  <c r="N4362" i="4"/>
  <c r="N4417" i="4"/>
  <c r="N4364" i="4"/>
  <c r="N4365" i="4"/>
  <c r="N4401" i="4"/>
  <c r="N4367" i="4"/>
  <c r="N4395" i="4"/>
  <c r="N4383" i="4"/>
  <c r="N4370" i="4"/>
  <c r="N4487" i="4"/>
  <c r="N4432" i="4"/>
  <c r="N4418" i="4"/>
  <c r="N4402" i="4"/>
  <c r="N4389" i="4"/>
  <c r="N4400" i="4"/>
  <c r="N4491" i="4"/>
  <c r="N4403" i="4"/>
  <c r="N4532" i="4"/>
  <c r="N4380" i="4"/>
  <c r="N4381" i="4"/>
  <c r="N4382" i="4"/>
  <c r="N4387" i="4"/>
  <c r="N4488" i="4"/>
  <c r="N4375" i="4"/>
  <c r="N4386" i="4"/>
  <c r="N4422" i="4"/>
  <c r="N4388" i="4"/>
  <c r="N4427" i="4"/>
  <c r="N4390" i="4"/>
  <c r="N4435" i="4"/>
  <c r="N4392" i="4"/>
  <c r="N4393" i="4"/>
  <c r="N4419" i="4"/>
  <c r="N4391" i="4"/>
  <c r="N4396" i="4"/>
  <c r="N4405" i="4"/>
  <c r="N4368" i="4"/>
  <c r="N4399" i="4"/>
  <c r="N4429" i="4"/>
  <c r="N4372" i="4"/>
  <c r="N4426" i="4"/>
  <c r="N4415" i="4"/>
  <c r="N4404" i="4"/>
  <c r="N4433" i="4"/>
  <c r="N4406" i="4"/>
  <c r="N4411" i="4"/>
  <c r="N4408" i="4"/>
  <c r="N4420" i="4"/>
  <c r="N4410" i="4"/>
  <c r="N4385" i="4"/>
  <c r="N4379" i="4"/>
  <c r="N4413" i="4"/>
  <c r="N4414" i="4"/>
  <c r="N4394" i="4"/>
  <c r="N4416" i="4"/>
  <c r="N4369" i="4"/>
  <c r="N4421" i="4"/>
  <c r="N4377" i="4"/>
  <c r="N4376" i="4"/>
  <c r="N4378" i="4"/>
  <c r="N4366" i="4"/>
  <c r="N4423" i="4"/>
  <c r="N4424" i="4"/>
  <c r="N4425" i="4"/>
  <c r="N4363" i="4"/>
  <c r="N4541" i="4"/>
  <c r="N4434" i="4"/>
  <c r="N4486" i="4"/>
  <c r="N4430" i="4"/>
  <c r="N4431" i="4"/>
  <c r="N4374" i="4"/>
  <c r="N4397" i="4"/>
  <c r="N4535" i="4"/>
  <c r="N4452" i="4"/>
  <c r="N4373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92" i="4"/>
  <c r="N4453" i="4"/>
  <c r="N4502" i="4"/>
  <c r="N4519" i="4"/>
  <c r="N4527" i="4"/>
  <c r="N4511" i="4"/>
  <c r="N4504" i="4"/>
  <c r="N4458" i="4"/>
  <c r="N4506" i="4"/>
  <c r="N4507" i="4"/>
  <c r="N4516" i="4"/>
  <c r="N4463" i="4"/>
  <c r="N4464" i="4"/>
  <c r="N4465" i="4"/>
  <c r="N4466" i="4"/>
  <c r="N4467" i="4"/>
  <c r="N4468" i="4"/>
  <c r="N4469" i="4"/>
  <c r="N4470" i="4"/>
  <c r="N4471" i="4"/>
  <c r="N4472" i="4"/>
  <c r="N4412" i="4"/>
  <c r="N4474" i="4"/>
  <c r="N4475" i="4"/>
  <c r="N4476" i="4"/>
  <c r="N4477" i="4"/>
  <c r="N4478" i="4"/>
  <c r="N4479" i="4"/>
  <c r="N4480" i="4"/>
  <c r="N4481" i="4"/>
  <c r="N4482" i="4"/>
  <c r="N4483" i="4"/>
  <c r="N4484" i="4"/>
  <c r="N4398" i="4"/>
  <c r="N4407" i="4"/>
  <c r="N4384" i="4"/>
  <c r="N4436" i="4"/>
  <c r="N4489" i="4"/>
  <c r="N4490" i="4"/>
  <c r="N4409" i="4"/>
  <c r="N4473" i="4"/>
  <c r="N4493" i="4"/>
  <c r="N4494" i="4"/>
  <c r="N4495" i="4"/>
  <c r="N4496" i="4"/>
  <c r="N4497" i="4"/>
  <c r="N4533" i="4"/>
  <c r="N4499" i="4"/>
  <c r="N4525" i="4"/>
  <c r="N4528" i="4"/>
  <c r="N4508" i="4"/>
  <c r="N4524" i="4"/>
  <c r="N4509" i="4"/>
  <c r="N4501" i="4"/>
  <c r="N4455" i="4"/>
  <c r="N4457" i="4"/>
  <c r="N4517" i="4"/>
  <c r="N4510" i="4"/>
  <c r="N4530" i="4"/>
  <c r="N4518" i="4"/>
  <c r="N4512" i="4"/>
  <c r="N4454" i="4"/>
  <c r="N4526" i="4"/>
  <c r="N4529" i="4"/>
  <c r="N4461" i="4"/>
  <c r="N4521" i="4"/>
  <c r="N4456" i="4"/>
  <c r="N4460" i="4"/>
  <c r="N4513" i="4"/>
  <c r="N4462" i="4"/>
  <c r="N4522" i="4"/>
  <c r="N4505" i="4"/>
  <c r="N4514" i="4"/>
  <c r="N4515" i="4"/>
  <c r="N4459" i="4"/>
  <c r="N4503" i="4"/>
  <c r="N4520" i="4"/>
  <c r="N4500" i="4"/>
  <c r="N4523" i="4"/>
  <c r="N4498" i="4"/>
  <c r="N4371" i="4"/>
  <c r="N4485" i="4"/>
  <c r="N4534" i="4"/>
  <c r="N4428" i="4"/>
  <c r="N4536" i="4"/>
  <c r="N4537" i="4"/>
  <c r="N4538" i="4"/>
  <c r="N4539" i="4"/>
  <c r="N4540" i="4"/>
  <c r="N4531" i="4"/>
  <c r="N4542" i="4"/>
  <c r="N4543" i="4"/>
  <c r="N4544" i="4"/>
  <c r="N4545" i="4"/>
  <c r="N4546" i="4"/>
  <c r="N4547" i="4"/>
  <c r="N4548" i="4"/>
  <c r="H1595" i="4"/>
  <c r="H307" i="4"/>
  <c r="H1545" i="4"/>
  <c r="H1467" i="4"/>
  <c r="H1468" i="4"/>
  <c r="H1466" i="4"/>
  <c r="H3900" i="4"/>
  <c r="H2742" i="4"/>
  <c r="H5076" i="4"/>
  <c r="H521" i="4"/>
  <c r="H4962" i="4" l="1"/>
  <c r="H3786" i="4"/>
  <c r="H2628" i="4"/>
  <c r="H400" i="4"/>
  <c r="H1346" i="4"/>
  <c r="H4894" i="4"/>
  <c r="H3718" i="4"/>
  <c r="H2560" i="4"/>
  <c r="K219" i="4"/>
  <c r="L2560" i="4" l="1"/>
  <c r="L2921" i="4"/>
  <c r="L3139" i="4"/>
  <c r="L3193" i="4"/>
  <c r="L2615" i="4"/>
  <c r="L2646" i="4"/>
  <c r="L2647" i="4"/>
  <c r="L2648" i="4"/>
  <c r="L2649" i="4"/>
  <c r="L2651" i="4"/>
  <c r="L2723" i="4"/>
  <c r="L2724" i="4"/>
  <c r="L2725" i="4"/>
  <c r="L2726" i="4"/>
  <c r="L2727" i="4"/>
  <c r="L2759" i="4"/>
  <c r="L2763" i="4"/>
  <c r="L2800" i="4"/>
  <c r="L2838" i="4"/>
  <c r="L2839" i="4"/>
  <c r="L2863" i="4"/>
  <c r="L2923" i="4"/>
  <c r="L2943" i="4"/>
  <c r="L3125" i="4"/>
  <c r="L3140" i="4"/>
  <c r="L3141" i="4"/>
  <c r="L3163" i="4"/>
  <c r="L3164" i="4"/>
  <c r="L3195" i="4"/>
  <c r="L2767" i="4"/>
  <c r="L2601" i="4"/>
  <c r="L2603" i="4"/>
  <c r="L2650" i="4"/>
  <c r="L2658" i="4"/>
  <c r="L2691" i="4"/>
  <c r="L2758" i="4"/>
  <c r="L3142" i="4"/>
  <c r="L3143" i="4"/>
  <c r="L3144" i="4"/>
  <c r="L3194" i="4"/>
  <c r="L2561" i="4"/>
  <c r="L2576" i="4"/>
  <c r="L2577" i="4"/>
  <c r="L2578" i="4"/>
  <c r="L2579" i="4"/>
  <c r="L2580" i="4"/>
  <c r="L2581" i="4"/>
  <c r="L2640" i="4"/>
  <c r="L2917" i="4"/>
  <c r="L2918" i="4"/>
  <c r="L2919" i="4"/>
  <c r="L2920" i="4"/>
  <c r="L2922" i="4"/>
  <c r="L2924" i="4"/>
  <c r="L3190" i="4"/>
  <c r="L2760" i="4"/>
  <c r="L2793" i="4"/>
  <c r="L2891" i="4"/>
  <c r="L2892" i="4"/>
  <c r="L2893" i="4"/>
  <c r="L3189" i="4"/>
  <c r="L2652" i="4"/>
  <c r="L2792" i="4"/>
  <c r="L2846" i="4"/>
  <c r="L2851" i="4"/>
  <c r="L2756" i="4"/>
  <c r="L2811" i="4"/>
  <c r="L2829" i="4"/>
  <c r="L2607" i="4"/>
  <c r="L2937" i="4"/>
  <c r="L2942" i="4"/>
  <c r="L2950" i="4"/>
  <c r="L2952" i="4"/>
  <c r="L2876" i="4"/>
  <c r="L2933" i="4"/>
  <c r="L2686" i="4"/>
  <c r="L2939" i="4"/>
  <c r="L2589" i="4"/>
  <c r="L2821" i="4"/>
  <c r="L2847" i="4"/>
  <c r="L2861" i="4"/>
  <c r="L2887" i="4"/>
  <c r="L2953" i="4"/>
  <c r="L2841" i="4"/>
  <c r="L2889" i="4"/>
  <c r="L2926" i="4"/>
  <c r="L2938" i="4"/>
  <c r="L2947" i="4"/>
  <c r="L2783" i="4"/>
  <c r="L2828" i="4"/>
  <c r="L2843" i="4"/>
  <c r="L3137" i="4"/>
  <c r="L3153" i="4"/>
  <c r="L3191" i="4"/>
  <c r="L2609" i="4"/>
  <c r="L2611" i="4"/>
  <c r="L2613" i="4"/>
  <c r="L2614" i="4"/>
  <c r="L2661" i="4"/>
  <c r="L2702" i="4"/>
  <c r="L2708" i="4"/>
  <c r="L2710" i="4"/>
  <c r="L2775" i="4"/>
  <c r="L2776" i="4"/>
  <c r="L2812" i="4"/>
  <c r="L2813" i="4"/>
  <c r="L2830" i="4"/>
  <c r="L2831" i="4"/>
  <c r="L2837" i="4"/>
  <c r="L2849" i="4"/>
  <c r="L2869" i="4"/>
  <c r="L2872" i="4"/>
  <c r="L2875" i="4"/>
  <c r="L2888" i="4"/>
  <c r="L2902" i="4"/>
  <c r="L2925" i="4"/>
  <c r="L2932" i="4"/>
  <c r="L2948" i="4"/>
  <c r="L2949" i="4"/>
  <c r="L3121" i="4"/>
  <c r="L3168" i="4"/>
  <c r="L3182" i="4"/>
  <c r="L2900" i="4"/>
  <c r="L2600" i="4"/>
  <c r="L2693" i="4"/>
  <c r="L2842" i="4"/>
  <c r="L2860" i="4"/>
  <c r="L2894" i="4"/>
  <c r="L2929" i="4"/>
  <c r="L3192" i="4"/>
  <c r="L2666" i="4"/>
  <c r="L2703" i="4"/>
  <c r="L2715" i="4"/>
  <c r="L2931" i="4"/>
  <c r="L2784" i="4"/>
  <c r="L2785" i="4"/>
  <c r="L2799" i="4"/>
  <c r="L2944" i="4"/>
  <c r="L2694" i="4"/>
  <c r="L2695" i="4"/>
  <c r="L2696" i="4"/>
  <c r="L2761" i="4"/>
  <c r="L2951" i="4"/>
  <c r="L2659" i="4"/>
  <c r="L2791" i="4"/>
  <c r="L2936" i="4"/>
  <c r="L2574" i="4"/>
  <c r="L2689" i="4"/>
  <c r="L2699" i="4"/>
  <c r="L2729" i="4"/>
  <c r="L2762" i="4"/>
  <c r="L2790" i="4"/>
  <c r="L2643" i="4"/>
  <c r="L2909" i="4"/>
  <c r="L2945" i="4"/>
  <c r="L2836" i="4"/>
  <c r="L2641" i="4"/>
  <c r="L2644" i="4"/>
  <c r="L2616" i="4"/>
  <c r="L2585" i="4"/>
  <c r="L2864" i="4"/>
  <c r="L2582" i="4"/>
  <c r="L2583" i="4"/>
  <c r="L2584" i="4"/>
  <c r="L2586" i="4"/>
  <c r="L2588" i="4"/>
  <c r="L2596" i="4"/>
  <c r="L2604" i="4"/>
  <c r="L2605" i="4"/>
  <c r="L2610" i="4"/>
  <c r="L2617" i="4"/>
  <c r="L2657" i="4"/>
  <c r="L2665" i="4"/>
  <c r="L2667" i="4"/>
  <c r="L2668" i="4"/>
  <c r="L2669" i="4"/>
  <c r="L2670" i="4"/>
  <c r="L2684" i="4"/>
  <c r="L2685" i="4"/>
  <c r="L2690" i="4"/>
  <c r="L2698" i="4"/>
  <c r="L2700" i="4"/>
  <c r="L2716" i="4"/>
  <c r="L2732" i="4"/>
  <c r="L2749" i="4"/>
  <c r="L2754" i="4"/>
  <c r="L2772" i="4"/>
  <c r="L2774" i="4"/>
  <c r="L2781" i="4"/>
  <c r="L2788" i="4"/>
  <c r="L2796" i="4"/>
  <c r="L2798" i="4"/>
  <c r="L2801" i="4"/>
  <c r="L2804" i="4"/>
  <c r="L2809" i="4"/>
  <c r="L2817" i="4"/>
  <c r="L2819" i="4"/>
  <c r="L2824" i="4"/>
  <c r="L2826" i="4"/>
  <c r="L2832" i="4"/>
  <c r="L2848" i="4"/>
  <c r="L2862" i="4"/>
  <c r="L2870" i="4"/>
  <c r="L2871" i="4"/>
  <c r="L2873" i="4"/>
  <c r="L2880" i="4"/>
  <c r="L2881" i="4"/>
  <c r="L2886" i="4"/>
  <c r="L2885" i="4"/>
  <c r="L2896" i="4"/>
  <c r="L2897" i="4"/>
  <c r="L2910" i="4"/>
  <c r="L2911" i="4"/>
  <c r="L2916" i="4"/>
  <c r="L2935" i="4"/>
  <c r="L3154" i="4"/>
  <c r="L3155" i="4"/>
  <c r="L3156" i="4"/>
  <c r="L3157" i="4"/>
  <c r="L3158" i="4"/>
  <c r="L3161" i="4"/>
  <c r="L3197" i="4"/>
  <c r="L3198" i="4"/>
  <c r="L2645" i="4"/>
  <c r="L2750" i="4"/>
  <c r="L2575" i="4"/>
  <c r="L2773" i="4"/>
  <c r="L2803" i="4"/>
  <c r="L2778" i="4"/>
  <c r="L2683" i="4"/>
  <c r="L2672" i="4"/>
  <c r="L2673" i="4"/>
  <c r="L2674" i="4"/>
  <c r="L2676" i="4"/>
  <c r="L2677" i="4"/>
  <c r="L2678" i="4"/>
  <c r="L2680" i="4"/>
  <c r="L2681" i="4"/>
  <c r="L2682" i="4"/>
  <c r="L2675" i="4"/>
  <c r="L2679" i="4"/>
  <c r="L2745" i="4"/>
  <c r="L2746" i="4"/>
  <c r="L2878" i="4"/>
  <c r="L2688" i="4"/>
  <c r="L2664" i="4"/>
  <c r="L2687" i="4"/>
  <c r="L2707" i="4"/>
  <c r="L2877" i="4"/>
  <c r="L2946" i="4"/>
  <c r="L2852" i="4"/>
  <c r="L3186" i="4"/>
  <c r="L2597" i="4"/>
  <c r="L2739" i="4"/>
  <c r="L2740" i="4"/>
  <c r="L2741" i="4"/>
  <c r="L2748" i="4"/>
  <c r="L2751" i="4"/>
  <c r="L2752" i="4"/>
  <c r="L2794" i="4"/>
  <c r="L2827" i="4"/>
  <c r="L2844" i="4"/>
  <c r="L2845" i="4"/>
  <c r="L2908" i="4"/>
  <c r="L3165" i="4"/>
  <c r="L3167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3" i="4"/>
  <c r="L3185" i="4"/>
  <c r="L3187" i="4"/>
  <c r="L3188" i="4"/>
  <c r="L2834" i="4"/>
  <c r="L2835" i="4"/>
  <c r="L3184" i="4"/>
  <c r="L2709" i="4"/>
  <c r="L2904" i="4"/>
  <c r="L2906" i="4"/>
  <c r="L2907" i="4"/>
  <c r="L2606" i="4"/>
  <c r="L2711" i="4"/>
  <c r="L2712" i="4"/>
  <c r="L2797" i="4"/>
  <c r="L2822" i="4"/>
  <c r="L2905" i="4"/>
  <c r="L2654" i="4"/>
  <c r="L2592" i="4"/>
  <c r="L2634" i="4"/>
  <c r="L2618" i="4"/>
  <c r="L2593" i="4"/>
  <c r="L2913" i="4"/>
  <c r="L2633" i="4"/>
  <c r="L2637" i="4"/>
  <c r="L2818" i="4"/>
  <c r="L2890" i="4"/>
  <c r="L2591" i="4"/>
  <c r="L2594" i="4"/>
  <c r="L2595" i="4"/>
  <c r="L2624" i="4"/>
  <c r="L2625" i="4"/>
  <c r="L2626" i="4"/>
  <c r="L2628" i="4"/>
  <c r="L2706" i="4"/>
  <c r="L2713" i="4"/>
  <c r="L2714" i="4"/>
  <c r="L2840" i="4"/>
  <c r="L2895" i="4"/>
  <c r="L2898" i="4"/>
  <c r="L3162" i="4"/>
  <c r="L2777" i="4"/>
  <c r="L2630" i="4"/>
  <c r="L2632" i="4"/>
  <c r="L2636" i="4"/>
  <c r="L2620" i="4"/>
  <c r="L2627" i="4"/>
  <c r="L2639" i="4"/>
  <c r="L2768" i="4"/>
  <c r="L2865" i="4"/>
  <c r="L2879" i="4"/>
  <c r="L2914" i="4"/>
  <c r="L2915" i="4"/>
  <c r="L2934" i="4"/>
  <c r="L2940" i="4"/>
  <c r="L2941" i="4"/>
  <c r="L3126" i="4"/>
  <c r="L3127" i="4"/>
  <c r="L3128" i="4"/>
  <c r="L3138" i="4"/>
  <c r="L2622" i="4"/>
  <c r="L2882" i="4"/>
  <c r="L2655" i="4"/>
  <c r="L2569" i="4"/>
  <c r="L2899" i="4"/>
  <c r="L2816" i="4"/>
  <c r="L2928" i="4"/>
  <c r="L2755" i="4"/>
  <c r="L2608" i="4"/>
  <c r="L2653" i="4"/>
  <c r="L2789" i="4"/>
  <c r="L2868" i="4"/>
  <c r="L3120" i="4"/>
  <c r="L2571" i="4"/>
  <c r="L2753" i="4"/>
  <c r="L2779" i="4"/>
  <c r="L2820" i="4"/>
  <c r="L2823" i="4"/>
  <c r="L2825" i="4"/>
  <c r="L2850" i="4"/>
  <c r="L2766" i="4"/>
  <c r="L2782" i="4"/>
  <c r="L2802" i="4"/>
  <c r="L2744" i="4"/>
  <c r="L2612" i="4"/>
  <c r="L2656" i="4"/>
  <c r="L2663" i="4"/>
  <c r="L2701" i="4"/>
  <c r="L2795" i="4"/>
  <c r="L2833" i="4"/>
  <c r="L2866" i="4"/>
  <c r="L2901" i="4"/>
  <c r="L3145" i="4"/>
  <c r="L3146" i="4"/>
  <c r="L3159" i="4"/>
  <c r="L2927" i="4"/>
  <c r="L2747" i="4"/>
  <c r="L2771" i="4"/>
  <c r="L2721" i="4"/>
  <c r="L2635" i="4"/>
  <c r="L2623" i="4"/>
  <c r="L2629" i="4"/>
  <c r="L2631" i="4"/>
  <c r="L2638" i="4"/>
  <c r="L2912" i="4"/>
  <c r="L2598" i="4"/>
  <c r="L2717" i="4"/>
  <c r="L2720" i="4"/>
  <c r="L2787" i="4"/>
  <c r="L2621" i="4"/>
  <c r="L2642" i="4"/>
  <c r="L2718" i="4"/>
  <c r="L2719" i="4"/>
  <c r="L2722" i="4"/>
  <c r="L2730" i="4"/>
  <c r="L2733" i="4"/>
  <c r="L2734" i="4"/>
  <c r="L2735" i="4"/>
  <c r="L2736" i="4"/>
  <c r="L2737" i="4"/>
  <c r="L2738" i="4"/>
  <c r="L2742" i="4"/>
  <c r="L2757" i="4"/>
  <c r="L2764" i="4"/>
  <c r="L2765" i="4"/>
  <c r="L2769" i="4"/>
  <c r="L2770" i="4"/>
  <c r="L2780" i="4"/>
  <c r="L2786" i="4"/>
  <c r="L2805" i="4"/>
  <c r="L2807" i="4"/>
  <c r="L2808" i="4"/>
  <c r="L2884" i="4"/>
  <c r="L3122" i="4"/>
  <c r="L3123" i="4"/>
  <c r="L3124" i="4"/>
  <c r="L3147" i="4"/>
  <c r="L3148" i="4"/>
  <c r="L3149" i="4"/>
  <c r="L3150" i="4"/>
  <c r="L3151" i="4"/>
  <c r="L3160" i="4"/>
  <c r="L3196" i="4"/>
  <c r="L2806" i="4"/>
  <c r="L2883" i="4"/>
  <c r="L2903" i="4"/>
  <c r="L3152" i="4"/>
  <c r="L2619" i="4"/>
  <c r="L2853" i="4"/>
  <c r="L2854" i="4"/>
  <c r="L2855" i="4"/>
  <c r="L2856" i="4"/>
  <c r="L2954" i="4"/>
  <c r="L2956" i="4"/>
  <c r="L2957" i="4"/>
  <c r="L2958" i="4"/>
  <c r="L2959" i="4"/>
  <c r="L2960" i="4"/>
  <c r="L2972" i="4"/>
  <c r="L2973" i="4"/>
  <c r="L2974" i="4"/>
  <c r="L2975" i="4"/>
  <c r="L2976" i="4"/>
  <c r="L2978" i="4"/>
  <c r="L2980" i="4"/>
  <c r="L2982" i="4"/>
  <c r="L2983" i="4"/>
  <c r="L2984" i="4"/>
  <c r="L2985" i="4"/>
  <c r="L2986" i="4"/>
  <c r="L2988" i="4"/>
  <c r="L2990" i="4"/>
  <c r="L2991" i="4"/>
  <c r="L2992" i="4"/>
  <c r="L2993" i="4"/>
  <c r="L2998" i="4"/>
  <c r="L2999" i="4"/>
  <c r="L3000" i="4"/>
  <c r="L3001" i="4"/>
  <c r="L3003" i="4"/>
  <c r="L3004" i="4"/>
  <c r="L3005" i="4"/>
  <c r="L3006" i="4"/>
  <c r="L3009" i="4"/>
  <c r="L3010" i="4"/>
  <c r="L3011" i="4"/>
  <c r="L3012" i="4"/>
  <c r="L3014" i="4"/>
  <c r="L3018" i="4"/>
  <c r="L3019" i="4"/>
  <c r="L3020" i="4"/>
  <c r="L3021" i="4"/>
  <c r="L3022" i="4"/>
  <c r="L3023" i="4"/>
  <c r="L3024" i="4"/>
  <c r="L3025" i="4"/>
  <c r="L3026" i="4"/>
  <c r="L3035" i="4"/>
  <c r="L3036" i="4"/>
  <c r="L3038" i="4"/>
  <c r="L3040" i="4"/>
  <c r="L3041" i="4"/>
  <c r="L3042" i="4"/>
  <c r="L3044" i="4"/>
  <c r="L3045" i="4"/>
  <c r="L3048" i="4"/>
  <c r="L3049" i="4"/>
  <c r="L3052" i="4"/>
  <c r="L3053" i="4"/>
  <c r="L3055" i="4"/>
  <c r="L3056" i="4"/>
  <c r="L3057" i="4"/>
  <c r="L3060" i="4"/>
  <c r="L3062" i="4"/>
  <c r="L3063" i="4"/>
  <c r="L3064" i="4"/>
  <c r="L3065" i="4"/>
  <c r="L3066" i="4"/>
  <c r="L3069" i="4"/>
  <c r="L3070" i="4"/>
  <c r="L3071" i="4"/>
  <c r="L3072" i="4"/>
  <c r="L3075" i="4"/>
  <c r="L3076" i="4"/>
  <c r="L3077" i="4"/>
  <c r="L3078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9" i="4"/>
  <c r="L3102" i="4"/>
  <c r="L3106" i="4"/>
  <c r="L3107" i="4"/>
  <c r="L3108" i="4"/>
  <c r="L3109" i="4"/>
  <c r="L3111" i="4"/>
  <c r="L3112" i="4"/>
  <c r="L3115" i="4"/>
  <c r="L3116" i="4"/>
  <c r="L3118" i="4"/>
  <c r="L3113" i="4"/>
  <c r="L3007" i="4"/>
  <c r="L2997" i="4"/>
  <c r="L3016" i="4"/>
  <c r="L3043" i="4"/>
  <c r="L3101" i="4"/>
  <c r="L3034" i="4"/>
  <c r="L2857" i="4"/>
  <c r="L2858" i="4"/>
  <c r="L2955" i="4"/>
  <c r="L2966" i="4"/>
  <c r="L2977" i="4"/>
  <c r="L2979" i="4"/>
  <c r="L2995" i="4"/>
  <c r="L3008" i="4"/>
  <c r="L3033" i="4"/>
  <c r="L3037" i="4"/>
  <c r="L3054" i="4"/>
  <c r="L3073" i="4"/>
  <c r="L3074" i="4"/>
  <c r="L3114" i="4"/>
  <c r="L2961" i="4"/>
  <c r="L2981" i="4"/>
  <c r="L2987" i="4"/>
  <c r="L2989" i="4"/>
  <c r="L3002" i="4"/>
  <c r="L3013" i="4"/>
  <c r="L3039" i="4"/>
  <c r="L3047" i="4"/>
  <c r="L3050" i="4"/>
  <c r="L3051" i="4"/>
  <c r="L3059" i="4"/>
  <c r="L3067" i="4"/>
  <c r="L3068" i="4"/>
  <c r="L3100" i="4"/>
  <c r="L3117" i="4"/>
  <c r="L2859" i="4"/>
  <c r="L2962" i="4"/>
  <c r="L2964" i="4"/>
  <c r="L2965" i="4"/>
  <c r="L2967" i="4"/>
  <c r="L2968" i="4"/>
  <c r="L2969" i="4"/>
  <c r="L2970" i="4"/>
  <c r="L2971" i="4"/>
  <c r="L2996" i="4"/>
  <c r="L3015" i="4"/>
  <c r="L3017" i="4"/>
  <c r="L3028" i="4"/>
  <c r="L3029" i="4"/>
  <c r="L3030" i="4"/>
  <c r="L3031" i="4"/>
  <c r="L3032" i="4"/>
  <c r="L3058" i="4"/>
  <c r="L3079" i="4"/>
  <c r="L3080" i="4"/>
  <c r="L3081" i="4"/>
  <c r="L3098" i="4"/>
  <c r="L3103" i="4"/>
  <c r="L3104" i="4"/>
  <c r="L3105" i="4"/>
  <c r="L3110" i="4"/>
  <c r="L3119" i="4"/>
  <c r="L2994" i="4"/>
  <c r="L3027" i="4"/>
  <c r="L3046" i="4"/>
  <c r="L3061" i="4"/>
  <c r="L2602" i="4"/>
  <c r="L2568" i="4"/>
  <c r="L2587" i="4"/>
  <c r="L2590" i="4"/>
  <c r="L2662" i="4"/>
  <c r="L2692" i="4"/>
  <c r="L2874" i="4"/>
  <c r="L2660" i="4"/>
  <c r="L2930" i="4"/>
  <c r="L2705" i="4"/>
  <c r="L2731" i="4"/>
  <c r="L2867" i="4"/>
  <c r="L2704" i="4"/>
  <c r="L2566" i="4"/>
  <c r="L2567" i="4"/>
  <c r="L2671" i="4"/>
  <c r="L2728" i="4"/>
  <c r="L2810" i="4"/>
  <c r="L2599" i="4"/>
  <c r="L2697" i="4"/>
  <c r="L2743" i="4"/>
  <c r="L2565" i="4"/>
  <c r="L2562" i="4"/>
  <c r="L2563" i="4"/>
  <c r="L2564" i="4"/>
  <c r="L3166" i="4"/>
  <c r="L2814" i="4"/>
  <c r="L2815" i="4"/>
  <c r="L2570" i="4"/>
  <c r="L2573" i="4"/>
  <c r="L2572" i="4"/>
  <c r="L3129" i="4"/>
  <c r="L3130" i="4"/>
  <c r="L3131" i="4"/>
  <c r="L3132" i="4"/>
  <c r="L3133" i="4"/>
  <c r="L3134" i="4"/>
  <c r="L3135" i="4"/>
  <c r="L3136" i="4"/>
  <c r="L2963" i="4"/>
  <c r="L1467" i="4"/>
  <c r="L1468" i="4"/>
  <c r="L1608" i="4"/>
  <c r="L1776" i="4"/>
  <c r="L1778" i="4"/>
  <c r="L1343" i="4"/>
  <c r="L1361" i="4"/>
  <c r="L1362" i="4"/>
  <c r="L1363" i="4"/>
  <c r="L1364" i="4"/>
  <c r="L1366" i="4"/>
  <c r="L1436" i="4"/>
  <c r="L1437" i="4"/>
  <c r="L1438" i="4"/>
  <c r="L1439" i="4"/>
  <c r="L1440" i="4"/>
  <c r="L1463" i="4"/>
  <c r="L1466" i="4"/>
  <c r="L1469" i="4"/>
  <c r="L1488" i="4"/>
  <c r="L1489" i="4"/>
  <c r="L1501" i="4"/>
  <c r="L1529" i="4"/>
  <c r="L1530" i="4"/>
  <c r="L1554" i="4"/>
  <c r="L1612" i="4"/>
  <c r="L1633" i="4"/>
  <c r="L1765" i="4"/>
  <c r="L1777" i="4"/>
  <c r="L1779" i="4"/>
  <c r="L1783" i="4"/>
  <c r="L1820" i="4"/>
  <c r="L1426" i="4"/>
  <c r="L1609" i="4"/>
  <c r="L1610" i="4"/>
  <c r="L1328" i="4"/>
  <c r="L1330" i="4"/>
  <c r="L1365" i="4"/>
  <c r="L1374" i="4"/>
  <c r="L1402" i="4"/>
  <c r="L1462" i="4"/>
  <c r="L1780" i="4"/>
  <c r="L1781" i="4"/>
  <c r="L1782" i="4"/>
  <c r="L1297" i="4"/>
  <c r="L1307" i="4"/>
  <c r="L1308" i="4"/>
  <c r="L1309" i="4"/>
  <c r="L1310" i="4"/>
  <c r="L1311" i="4"/>
  <c r="L1312" i="4"/>
  <c r="L1357" i="4"/>
  <c r="L1602" i="4"/>
  <c r="L1603" i="4"/>
  <c r="L1604" i="4"/>
  <c r="L1605" i="4"/>
  <c r="L1606" i="4"/>
  <c r="L1607" i="4"/>
  <c r="L1611" i="4"/>
  <c r="L1613" i="4"/>
  <c r="L1818" i="4"/>
  <c r="L1464" i="4"/>
  <c r="L1368" i="4"/>
  <c r="L1492" i="4"/>
  <c r="L1580" i="4"/>
  <c r="L1763" i="4"/>
  <c r="L1491" i="4"/>
  <c r="L1536" i="4"/>
  <c r="L1522" i="4"/>
  <c r="L1334" i="4"/>
  <c r="L1636" i="4"/>
  <c r="L1638" i="4"/>
  <c r="L1521" i="4"/>
  <c r="L1621" i="4"/>
  <c r="L1762" i="4"/>
  <c r="L1320" i="4"/>
  <c r="L1533" i="4"/>
  <c r="L1482" i="4"/>
  <c r="L1535" i="4"/>
  <c r="L1788" i="4"/>
  <c r="L1335" i="4"/>
  <c r="L1339" i="4"/>
  <c r="L1341" i="4"/>
  <c r="L1348" i="4"/>
  <c r="L1376" i="4"/>
  <c r="L1403" i="4"/>
  <c r="L1412" i="4"/>
  <c r="L1423" i="4"/>
  <c r="L1424" i="4"/>
  <c r="L1476" i="4"/>
  <c r="L1477" i="4"/>
  <c r="L1509" i="4"/>
  <c r="L1510" i="4"/>
  <c r="L1523" i="4"/>
  <c r="L1524" i="4"/>
  <c r="L1528" i="4"/>
  <c r="L1540" i="4"/>
  <c r="L1564" i="4"/>
  <c r="L1567" i="4"/>
  <c r="L1579" i="4"/>
  <c r="L1614" i="4"/>
  <c r="L1615" i="4"/>
  <c r="L1620" i="4"/>
  <c r="L1759" i="4"/>
  <c r="L1764" i="4"/>
  <c r="L1795" i="4"/>
  <c r="L1801" i="4"/>
  <c r="L1803" i="4"/>
  <c r="L1814" i="4"/>
  <c r="L1326" i="4"/>
  <c r="L1327" i="4"/>
  <c r="L1340" i="4"/>
  <c r="L1405" i="4"/>
  <c r="L1406" i="4"/>
  <c r="L1417" i="4"/>
  <c r="L1461" i="4"/>
  <c r="L1534" i="4"/>
  <c r="L1541" i="4"/>
  <c r="L1552" i="4"/>
  <c r="L1581" i="4"/>
  <c r="L1585" i="4"/>
  <c r="L1599" i="4"/>
  <c r="L1618" i="4"/>
  <c r="L1792" i="4"/>
  <c r="L1819" i="4"/>
  <c r="L1551" i="4"/>
  <c r="L1542" i="4"/>
  <c r="L1336" i="4"/>
  <c r="L1431" i="4"/>
  <c r="L1571" i="4"/>
  <c r="L1619" i="4"/>
  <c r="L1484" i="4"/>
  <c r="L1407" i="4"/>
  <c r="L1408" i="4"/>
  <c r="L1409" i="4"/>
  <c r="L1637" i="4"/>
  <c r="L1490" i="4"/>
  <c r="L1629" i="4"/>
  <c r="L1305" i="4"/>
  <c r="L1400" i="4"/>
  <c r="L1413" i="4"/>
  <c r="L1442" i="4"/>
  <c r="L1465" i="4"/>
  <c r="L1416" i="4"/>
  <c r="L1545" i="4"/>
  <c r="L1798" i="4"/>
  <c r="L1527" i="4"/>
  <c r="L1358" i="4"/>
  <c r="L1359" i="4"/>
  <c r="L1555" i="4"/>
  <c r="L1314" i="4"/>
  <c r="L1315" i="4"/>
  <c r="L1316" i="4"/>
  <c r="L1317" i="4"/>
  <c r="L1319" i="4"/>
  <c r="L1322" i="4"/>
  <c r="L1331" i="4"/>
  <c r="L1332" i="4"/>
  <c r="L1337" i="4"/>
  <c r="L1344" i="4"/>
  <c r="L1345" i="4"/>
  <c r="L1373" i="4"/>
  <c r="L1378" i="4"/>
  <c r="L1380" i="4"/>
  <c r="L1381" i="4"/>
  <c r="L1382" i="4"/>
  <c r="L1383" i="4"/>
  <c r="L1384" i="4"/>
  <c r="L1394" i="4"/>
  <c r="L1395" i="4"/>
  <c r="L1396" i="4"/>
  <c r="L1401" i="4"/>
  <c r="L1411" i="4"/>
  <c r="L1414" i="4"/>
  <c r="L1421" i="4"/>
  <c r="L1432" i="4"/>
  <c r="L1456" i="4"/>
  <c r="L1459" i="4"/>
  <c r="L1474" i="4"/>
  <c r="L1487" i="4"/>
  <c r="L1495" i="4"/>
  <c r="L1499" i="4"/>
  <c r="L1500" i="4"/>
  <c r="L1502" i="4"/>
  <c r="L1507" i="4"/>
  <c r="L1513" i="4"/>
  <c r="L1514" i="4"/>
  <c r="L1518" i="4"/>
  <c r="L1519" i="4"/>
  <c r="L1525" i="4"/>
  <c r="L1532" i="4"/>
  <c r="L1539" i="4"/>
  <c r="L1553" i="4"/>
  <c r="L1565" i="4"/>
  <c r="L1566" i="4"/>
  <c r="L1568" i="4"/>
  <c r="L1573" i="4"/>
  <c r="L1574" i="4"/>
  <c r="L1578" i="4"/>
  <c r="L1577" i="4"/>
  <c r="L1583" i="4"/>
  <c r="L1584" i="4"/>
  <c r="L1598" i="4"/>
  <c r="L1601" i="4"/>
  <c r="L1623" i="4"/>
  <c r="L1789" i="4"/>
  <c r="L1790" i="4"/>
  <c r="L1791" i="4"/>
  <c r="L1793" i="4"/>
  <c r="L1794" i="4"/>
  <c r="L1800" i="4"/>
  <c r="L1824" i="4"/>
  <c r="L1825" i="4"/>
  <c r="L1826" i="4"/>
  <c r="L1827" i="4"/>
  <c r="L1360" i="4"/>
  <c r="L1457" i="4"/>
  <c r="L1306" i="4"/>
  <c r="L1475" i="4"/>
  <c r="L1504" i="4"/>
  <c r="L1479" i="4"/>
  <c r="L1386" i="4"/>
  <c r="L1387" i="4"/>
  <c r="L1388" i="4"/>
  <c r="L1389" i="4"/>
  <c r="L1390" i="4"/>
  <c r="L1392" i="4"/>
  <c r="L1393" i="4"/>
  <c r="L1391" i="4"/>
  <c r="L1478" i="4"/>
  <c r="L1787" i="4"/>
  <c r="L1450" i="4"/>
  <c r="L1397" i="4"/>
  <c r="L1399" i="4"/>
  <c r="L1422" i="4"/>
  <c r="L1634" i="4"/>
  <c r="L1427" i="4"/>
  <c r="L1627" i="4"/>
  <c r="L1625" i="4"/>
  <c r="L1626" i="4"/>
  <c r="L1628" i="4"/>
  <c r="L1447" i="4"/>
  <c r="L1454" i="4"/>
  <c r="L1455" i="4"/>
  <c r="L1494" i="4"/>
  <c r="L1520" i="4"/>
  <c r="L1546" i="4"/>
  <c r="L1547" i="4"/>
  <c r="L1548" i="4"/>
  <c r="L1624" i="4"/>
  <c r="L1796" i="4"/>
  <c r="L1804" i="4"/>
  <c r="L1805" i="4"/>
  <c r="L1806" i="4"/>
  <c r="L1807" i="4"/>
  <c r="L1808" i="4"/>
  <c r="L1809" i="4"/>
  <c r="L1810" i="4"/>
  <c r="L1811" i="4"/>
  <c r="L1812" i="4"/>
  <c r="L1813" i="4"/>
  <c r="L1815" i="4"/>
  <c r="L1816" i="4"/>
  <c r="L1635" i="4"/>
  <c r="L1537" i="4"/>
  <c r="L1538" i="4"/>
  <c r="L1817" i="4"/>
  <c r="L1595" i="4"/>
  <c r="L1591" i="4"/>
  <c r="L1367" i="4"/>
  <c r="L1592" i="4"/>
  <c r="L1596" i="4"/>
  <c r="L1757" i="4"/>
  <c r="L1597" i="4"/>
  <c r="L1496" i="4"/>
  <c r="L1333" i="4"/>
  <c r="L1425" i="4"/>
  <c r="L1429" i="4"/>
  <c r="L1498" i="4"/>
  <c r="L1516" i="4"/>
  <c r="L1593" i="4"/>
  <c r="L1594" i="4"/>
  <c r="L1823" i="4"/>
  <c r="L1497" i="4"/>
  <c r="L1370" i="4"/>
  <c r="L1353" i="4"/>
  <c r="L1430" i="4"/>
  <c r="L1531" i="4"/>
  <c r="L1582" i="4"/>
  <c r="L1354" i="4"/>
  <c r="L1349" i="4"/>
  <c r="L1356" i="4"/>
  <c r="L1556" i="4"/>
  <c r="L1557" i="4"/>
  <c r="L1572" i="4"/>
  <c r="L1622" i="4"/>
  <c r="L1631" i="4"/>
  <c r="L1632" i="4"/>
  <c r="L1766" i="4"/>
  <c r="L1767" i="4"/>
  <c r="L1775" i="4"/>
  <c r="L1569" i="4"/>
  <c r="L1821" i="4"/>
  <c r="L1630" i="4"/>
  <c r="L1575" i="4"/>
  <c r="L1371" i="4"/>
  <c r="L1587" i="4"/>
  <c r="L1588" i="4"/>
  <c r="L1589" i="4"/>
  <c r="L1586" i="4"/>
  <c r="L1617" i="4"/>
  <c r="L1460" i="4"/>
  <c r="L1369" i="4"/>
  <c r="L1563" i="4"/>
  <c r="L1758" i="4"/>
  <c r="L1761" i="4"/>
  <c r="L1458" i="4"/>
  <c r="L1480" i="4"/>
  <c r="L1515" i="4"/>
  <c r="L1517" i="4"/>
  <c r="L1543" i="4"/>
  <c r="L1471" i="4"/>
  <c r="L1550" i="4"/>
  <c r="L1503" i="4"/>
  <c r="L1452" i="4"/>
  <c r="L1338" i="4"/>
  <c r="L1372" i="4"/>
  <c r="L1379" i="4"/>
  <c r="L1415" i="4"/>
  <c r="L1451" i="4"/>
  <c r="L1483" i="4"/>
  <c r="L1493" i="4"/>
  <c r="L1526" i="4"/>
  <c r="L1559" i="4"/>
  <c r="L1590" i="4"/>
  <c r="L1784" i="4"/>
  <c r="L1785" i="4"/>
  <c r="L1797" i="4"/>
  <c r="L1558" i="4"/>
  <c r="L1616" i="4"/>
  <c r="L1453" i="4"/>
  <c r="L1473" i="4"/>
  <c r="L1351" i="4"/>
  <c r="L1352" i="4"/>
  <c r="L1355" i="4"/>
  <c r="L1600" i="4"/>
  <c r="L1324" i="4"/>
  <c r="L1350" i="4"/>
  <c r="L1433" i="4"/>
  <c r="L1435" i="4"/>
  <c r="L1443" i="4"/>
  <c r="L1446" i="4"/>
  <c r="L1448" i="4"/>
  <c r="L1470" i="4"/>
  <c r="L1472" i="4"/>
  <c r="L1481" i="4"/>
  <c r="L1485" i="4"/>
  <c r="L1486" i="4"/>
  <c r="L1506" i="4"/>
  <c r="L1576" i="4"/>
  <c r="L1760" i="4"/>
  <c r="L1786" i="4"/>
  <c r="L1799" i="4"/>
  <c r="L1822" i="4"/>
  <c r="L1434" i="4"/>
  <c r="L1505" i="4"/>
  <c r="L1549" i="4"/>
  <c r="L1639" i="4"/>
  <c r="L1640" i="4"/>
  <c r="L1641" i="4"/>
  <c r="L1642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3" i="4"/>
  <c r="L1674" i="4"/>
  <c r="L1675" i="4"/>
  <c r="L1676" i="4"/>
  <c r="L1677" i="4"/>
  <c r="L1678" i="4"/>
  <c r="L1680" i="4"/>
  <c r="L1681" i="4"/>
  <c r="L1682" i="4"/>
  <c r="L1683" i="4"/>
  <c r="L1685" i="4"/>
  <c r="L1686" i="4"/>
  <c r="L1687" i="4"/>
  <c r="L1689" i="4"/>
  <c r="L1690" i="4"/>
  <c r="L1691" i="4"/>
  <c r="L1692" i="4"/>
  <c r="L1693" i="4"/>
  <c r="L1694" i="4"/>
  <c r="L1698" i="4"/>
  <c r="L1699" i="4"/>
  <c r="L1700" i="4"/>
  <c r="L1701" i="4"/>
  <c r="L1702" i="4"/>
  <c r="L1703" i="4"/>
  <c r="L1704" i="4"/>
  <c r="L1705" i="4"/>
  <c r="L1706" i="4"/>
  <c r="L1708" i="4"/>
  <c r="L1709" i="4"/>
  <c r="L1711" i="4"/>
  <c r="L1712" i="4"/>
  <c r="L1713" i="4"/>
  <c r="L1714" i="4"/>
  <c r="L1715" i="4"/>
  <c r="L1716" i="4"/>
  <c r="L1718" i="4"/>
  <c r="L1719" i="4"/>
  <c r="L1720" i="4"/>
  <c r="L1721" i="4"/>
  <c r="L1722" i="4"/>
  <c r="L1723" i="4"/>
  <c r="L1724" i="4"/>
  <c r="L1725" i="4"/>
  <c r="L1726" i="4"/>
  <c r="L1727" i="4"/>
  <c r="L1728" i="4"/>
  <c r="L1733" i="4"/>
  <c r="L1734" i="4"/>
  <c r="L1735" i="4"/>
  <c r="L1736" i="4"/>
  <c r="L1737" i="4"/>
  <c r="L1738" i="4"/>
  <c r="L1739" i="4"/>
  <c r="L1740" i="4"/>
  <c r="L1741" i="4"/>
  <c r="L1745" i="4"/>
  <c r="L1746" i="4"/>
  <c r="L1747" i="4"/>
  <c r="L1748" i="4"/>
  <c r="L1751" i="4"/>
  <c r="L1752" i="4"/>
  <c r="L1753" i="4"/>
  <c r="L1754" i="4"/>
  <c r="L1750" i="4"/>
  <c r="L1688" i="4"/>
  <c r="L1729" i="4"/>
  <c r="L1710" i="4"/>
  <c r="L1643" i="4"/>
  <c r="L1645" i="4"/>
  <c r="L1646" i="4"/>
  <c r="L1672" i="4"/>
  <c r="L1679" i="4"/>
  <c r="L1684" i="4"/>
  <c r="L1696" i="4"/>
  <c r="L1697" i="4"/>
  <c r="L1707" i="4"/>
  <c r="L1730" i="4"/>
  <c r="L1731" i="4"/>
  <c r="L1732" i="4"/>
  <c r="L1742" i="4"/>
  <c r="L1743" i="4"/>
  <c r="L1744" i="4"/>
  <c r="L1749" i="4"/>
  <c r="L1755" i="4"/>
  <c r="L1756" i="4"/>
  <c r="L1671" i="4"/>
  <c r="L1695" i="4"/>
  <c r="L1717" i="4"/>
  <c r="L1377" i="4"/>
  <c r="L1329" i="4"/>
  <c r="L1346" i="4"/>
  <c r="L1313" i="4"/>
  <c r="L1302" i="4"/>
  <c r="L1318" i="4"/>
  <c r="L1321" i="4"/>
  <c r="L1404" i="4"/>
  <c r="L1570" i="4"/>
  <c r="L1375" i="4"/>
  <c r="L1323" i="4"/>
  <c r="L1420" i="4"/>
  <c r="L1418" i="4"/>
  <c r="L1444" i="4"/>
  <c r="L1445" i="4"/>
  <c r="L1428" i="4"/>
  <c r="L1342" i="4"/>
  <c r="L1419" i="4"/>
  <c r="L1560" i="4"/>
  <c r="L1562" i="4"/>
  <c r="L1561" i="4"/>
  <c r="L1385" i="4"/>
  <c r="L1441" i="4"/>
  <c r="L1508" i="4"/>
  <c r="L1325" i="4"/>
  <c r="L1410" i="4"/>
  <c r="L1398" i="4"/>
  <c r="L1449" i="4"/>
  <c r="L1347" i="4"/>
  <c r="L1544" i="4"/>
  <c r="L1301" i="4"/>
  <c r="L1298" i="4"/>
  <c r="L1299" i="4"/>
  <c r="L1802" i="4"/>
  <c r="L1300" i="4"/>
  <c r="L1511" i="4"/>
  <c r="L1512" i="4"/>
  <c r="L1303" i="4"/>
  <c r="L1304" i="4"/>
  <c r="L1768" i="4"/>
  <c r="L1769" i="4"/>
  <c r="L1770" i="4"/>
  <c r="L1771" i="4"/>
  <c r="L1772" i="4"/>
  <c r="L1773" i="4"/>
  <c r="L1774" i="4"/>
  <c r="L1644" i="4"/>
  <c r="L4894" i="4"/>
  <c r="L5255" i="4"/>
  <c r="L5473" i="4"/>
  <c r="L5527" i="4"/>
  <c r="L4949" i="4"/>
  <c r="L4980" i="4"/>
  <c r="L4981" i="4"/>
  <c r="L4982" i="4"/>
  <c r="L4983" i="4"/>
  <c r="L4985" i="4"/>
  <c r="L5057" i="4"/>
  <c r="L5058" i="4"/>
  <c r="L5059" i="4"/>
  <c r="L5060" i="4"/>
  <c r="L5061" i="4"/>
  <c r="L5093" i="4"/>
  <c r="L5097" i="4"/>
  <c r="L5134" i="4"/>
  <c r="L5172" i="4"/>
  <c r="L5173" i="4"/>
  <c r="L5197" i="4"/>
  <c r="L5257" i="4"/>
  <c r="L5277" i="4"/>
  <c r="L5459" i="4"/>
  <c r="L5474" i="4"/>
  <c r="L5475" i="4"/>
  <c r="L5497" i="4"/>
  <c r="L5498" i="4"/>
  <c r="L5529" i="4"/>
  <c r="L5101" i="4"/>
  <c r="L4935" i="4"/>
  <c r="L4937" i="4"/>
  <c r="L4984" i="4"/>
  <c r="L4992" i="4"/>
  <c r="L5025" i="4"/>
  <c r="L5092" i="4"/>
  <c r="L5476" i="4"/>
  <c r="L5477" i="4"/>
  <c r="L5478" i="4"/>
  <c r="L5528" i="4"/>
  <c r="L4895" i="4"/>
  <c r="L4910" i="4"/>
  <c r="L4911" i="4"/>
  <c r="L4912" i="4"/>
  <c r="L4913" i="4"/>
  <c r="L4914" i="4"/>
  <c r="L4915" i="4"/>
  <c r="L4974" i="4"/>
  <c r="L5251" i="4"/>
  <c r="L5252" i="4"/>
  <c r="L5253" i="4"/>
  <c r="L5254" i="4"/>
  <c r="L5256" i="4"/>
  <c r="L5258" i="4"/>
  <c r="L5524" i="4"/>
  <c r="L5094" i="4"/>
  <c r="L5127" i="4"/>
  <c r="L5225" i="4"/>
  <c r="L5226" i="4"/>
  <c r="L5227" i="4"/>
  <c r="L5523" i="4"/>
  <c r="L4986" i="4"/>
  <c r="L5126" i="4"/>
  <c r="L5180" i="4"/>
  <c r="L5185" i="4"/>
  <c r="L5090" i="4"/>
  <c r="L5145" i="4"/>
  <c r="L5163" i="4"/>
  <c r="L4941" i="4"/>
  <c r="L5271" i="4"/>
  <c r="L5276" i="4"/>
  <c r="L5284" i="4"/>
  <c r="L5286" i="4"/>
  <c r="L5210" i="4"/>
  <c r="L5267" i="4"/>
  <c r="L5020" i="4"/>
  <c r="L5273" i="4"/>
  <c r="L4923" i="4"/>
  <c r="L5155" i="4"/>
  <c r="L5181" i="4"/>
  <c r="L5195" i="4"/>
  <c r="L5221" i="4"/>
  <c r="L5287" i="4"/>
  <c r="L5175" i="4"/>
  <c r="L5223" i="4"/>
  <c r="L5260" i="4"/>
  <c r="L5272" i="4"/>
  <c r="L5281" i="4"/>
  <c r="L5117" i="4"/>
  <c r="L5162" i="4"/>
  <c r="L5177" i="4"/>
  <c r="L5471" i="4"/>
  <c r="L5487" i="4"/>
  <c r="L5525" i="4"/>
  <c r="L4943" i="4"/>
  <c r="L4945" i="4"/>
  <c r="L4947" i="4"/>
  <c r="L4948" i="4"/>
  <c r="L4995" i="4"/>
  <c r="L5036" i="4"/>
  <c r="L5042" i="4"/>
  <c r="L5044" i="4"/>
  <c r="L5109" i="4"/>
  <c r="L5110" i="4"/>
  <c r="L5146" i="4"/>
  <c r="L5147" i="4"/>
  <c r="L5164" i="4"/>
  <c r="L5165" i="4"/>
  <c r="L5171" i="4"/>
  <c r="L5183" i="4"/>
  <c r="L5203" i="4"/>
  <c r="L5206" i="4"/>
  <c r="L5209" i="4"/>
  <c r="L5222" i="4"/>
  <c r="L5236" i="4"/>
  <c r="L5259" i="4"/>
  <c r="L5266" i="4"/>
  <c r="L5282" i="4"/>
  <c r="L5283" i="4"/>
  <c r="L5455" i="4"/>
  <c r="L5502" i="4"/>
  <c r="L5516" i="4"/>
  <c r="L5234" i="4"/>
  <c r="L4934" i="4"/>
  <c r="L5027" i="4"/>
  <c r="L5176" i="4"/>
  <c r="L5194" i="4"/>
  <c r="L5228" i="4"/>
  <c r="L5263" i="4"/>
  <c r="L5526" i="4"/>
  <c r="L5000" i="4"/>
  <c r="L5037" i="4"/>
  <c r="L5049" i="4"/>
  <c r="L5265" i="4"/>
  <c r="L5118" i="4"/>
  <c r="L5119" i="4"/>
  <c r="L5133" i="4"/>
  <c r="L5278" i="4"/>
  <c r="L5028" i="4"/>
  <c r="L5029" i="4"/>
  <c r="L5030" i="4"/>
  <c r="L5095" i="4"/>
  <c r="L5285" i="4"/>
  <c r="L4993" i="4"/>
  <c r="L5125" i="4"/>
  <c r="L5270" i="4"/>
  <c r="L4908" i="4"/>
  <c r="L5023" i="4"/>
  <c r="L5033" i="4"/>
  <c r="L5063" i="4"/>
  <c r="L5096" i="4"/>
  <c r="L5124" i="4"/>
  <c r="L4977" i="4"/>
  <c r="L5243" i="4"/>
  <c r="L5279" i="4"/>
  <c r="L5170" i="4"/>
  <c r="L4975" i="4"/>
  <c r="L4978" i="4"/>
  <c r="L4950" i="4"/>
  <c r="L4919" i="4"/>
  <c r="L5198" i="4"/>
  <c r="L4916" i="4"/>
  <c r="L4917" i="4"/>
  <c r="L4918" i="4"/>
  <c r="L4920" i="4"/>
  <c r="L4922" i="4"/>
  <c r="L4930" i="4"/>
  <c r="L4938" i="4"/>
  <c r="L4939" i="4"/>
  <c r="L4944" i="4"/>
  <c r="L4951" i="4"/>
  <c r="L4991" i="4"/>
  <c r="L4999" i="4"/>
  <c r="L5001" i="4"/>
  <c r="L5002" i="4"/>
  <c r="L5003" i="4"/>
  <c r="L5004" i="4"/>
  <c r="L5018" i="4"/>
  <c r="L5019" i="4"/>
  <c r="L5024" i="4"/>
  <c r="L5032" i="4"/>
  <c r="L5034" i="4"/>
  <c r="L5050" i="4"/>
  <c r="L5066" i="4"/>
  <c r="L5083" i="4"/>
  <c r="L5088" i="4"/>
  <c r="L5106" i="4"/>
  <c r="L5108" i="4"/>
  <c r="L5115" i="4"/>
  <c r="L5122" i="4"/>
  <c r="L5130" i="4"/>
  <c r="L5132" i="4"/>
  <c r="L5135" i="4"/>
  <c r="L5138" i="4"/>
  <c r="L5143" i="4"/>
  <c r="L5151" i="4"/>
  <c r="L5153" i="4"/>
  <c r="L5158" i="4"/>
  <c r="L5160" i="4"/>
  <c r="L5166" i="4"/>
  <c r="L5182" i="4"/>
  <c r="L5196" i="4"/>
  <c r="L5204" i="4"/>
  <c r="L5205" i="4"/>
  <c r="L5207" i="4"/>
  <c r="L5214" i="4"/>
  <c r="L5215" i="4"/>
  <c r="L5220" i="4"/>
  <c r="L5219" i="4"/>
  <c r="L5230" i="4"/>
  <c r="L5231" i="4"/>
  <c r="L5244" i="4"/>
  <c r="L5245" i="4"/>
  <c r="L5250" i="4"/>
  <c r="L5269" i="4"/>
  <c r="L5488" i="4"/>
  <c r="L5489" i="4"/>
  <c r="L5490" i="4"/>
  <c r="L5491" i="4"/>
  <c r="L5492" i="4"/>
  <c r="L5495" i="4"/>
  <c r="L5531" i="4"/>
  <c r="L5532" i="4"/>
  <c r="L4979" i="4"/>
  <c r="L5084" i="4"/>
  <c r="L4909" i="4"/>
  <c r="L5107" i="4"/>
  <c r="L5137" i="4"/>
  <c r="L5112" i="4"/>
  <c r="L5017" i="4"/>
  <c r="L5006" i="4"/>
  <c r="L5007" i="4"/>
  <c r="L5008" i="4"/>
  <c r="L5010" i="4"/>
  <c r="L5011" i="4"/>
  <c r="L5012" i="4"/>
  <c r="L5014" i="4"/>
  <c r="L5015" i="4"/>
  <c r="L5016" i="4"/>
  <c r="L5009" i="4"/>
  <c r="L5013" i="4"/>
  <c r="L5079" i="4"/>
  <c r="L5080" i="4"/>
  <c r="L5212" i="4"/>
  <c r="L5022" i="4"/>
  <c r="L4998" i="4"/>
  <c r="L5021" i="4"/>
  <c r="L5041" i="4"/>
  <c r="L5211" i="4"/>
  <c r="L5280" i="4"/>
  <c r="L5186" i="4"/>
  <c r="L5520" i="4"/>
  <c r="L4931" i="4"/>
  <c r="L5073" i="4"/>
  <c r="L5074" i="4"/>
  <c r="L5075" i="4"/>
  <c r="L5082" i="4"/>
  <c r="L5085" i="4"/>
  <c r="L5086" i="4"/>
  <c r="L5128" i="4"/>
  <c r="L5161" i="4"/>
  <c r="L5178" i="4"/>
  <c r="L5179" i="4"/>
  <c r="L5242" i="4"/>
  <c r="L5499" i="4"/>
  <c r="L5501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7" i="4"/>
  <c r="L5519" i="4"/>
  <c r="L5521" i="4"/>
  <c r="L5522" i="4"/>
  <c r="L5168" i="4"/>
  <c r="L5169" i="4"/>
  <c r="L5518" i="4"/>
  <c r="L5043" i="4"/>
  <c r="L5238" i="4"/>
  <c r="L5240" i="4"/>
  <c r="L5241" i="4"/>
  <c r="L4940" i="4"/>
  <c r="L5045" i="4"/>
  <c r="L5046" i="4"/>
  <c r="L5131" i="4"/>
  <c r="L5156" i="4"/>
  <c r="L5239" i="4"/>
  <c r="L4988" i="4"/>
  <c r="L4926" i="4"/>
  <c r="L4968" i="4"/>
  <c r="L4952" i="4"/>
  <c r="L4927" i="4"/>
  <c r="L5247" i="4"/>
  <c r="L4967" i="4"/>
  <c r="L4971" i="4"/>
  <c r="L5152" i="4"/>
  <c r="L5224" i="4"/>
  <c r="L4925" i="4"/>
  <c r="L4928" i="4"/>
  <c r="L4929" i="4"/>
  <c r="L4958" i="4"/>
  <c r="L4959" i="4"/>
  <c r="L4960" i="4"/>
  <c r="L4962" i="4"/>
  <c r="L5040" i="4"/>
  <c r="L5047" i="4"/>
  <c r="L5048" i="4"/>
  <c r="L5174" i="4"/>
  <c r="L5229" i="4"/>
  <c r="L5232" i="4"/>
  <c r="L5496" i="4"/>
  <c r="L5111" i="4"/>
  <c r="L4964" i="4"/>
  <c r="L4966" i="4"/>
  <c r="L4970" i="4"/>
  <c r="L4954" i="4"/>
  <c r="L4961" i="4"/>
  <c r="L4973" i="4"/>
  <c r="L5102" i="4"/>
  <c r="L5199" i="4"/>
  <c r="L5213" i="4"/>
  <c r="L5248" i="4"/>
  <c r="L5249" i="4"/>
  <c r="L5268" i="4"/>
  <c r="L5274" i="4"/>
  <c r="L5275" i="4"/>
  <c r="L5460" i="4"/>
  <c r="L5461" i="4"/>
  <c r="L5462" i="4"/>
  <c r="L5472" i="4"/>
  <c r="L4956" i="4"/>
  <c r="L5216" i="4"/>
  <c r="L4989" i="4"/>
  <c r="L4903" i="4"/>
  <c r="L5233" i="4"/>
  <c r="L5150" i="4"/>
  <c r="L5262" i="4"/>
  <c r="L5089" i="4"/>
  <c r="L4942" i="4"/>
  <c r="L4987" i="4"/>
  <c r="L5123" i="4"/>
  <c r="L5202" i="4"/>
  <c r="L5454" i="4"/>
  <c r="L4905" i="4"/>
  <c r="L5087" i="4"/>
  <c r="L5113" i="4"/>
  <c r="L5154" i="4"/>
  <c r="L5157" i="4"/>
  <c r="L5159" i="4"/>
  <c r="L5184" i="4"/>
  <c r="L5100" i="4"/>
  <c r="L5116" i="4"/>
  <c r="L5136" i="4"/>
  <c r="L5078" i="4"/>
  <c r="L4946" i="4"/>
  <c r="L4990" i="4"/>
  <c r="L4997" i="4"/>
  <c r="L5035" i="4"/>
  <c r="L5129" i="4"/>
  <c r="L5167" i="4"/>
  <c r="L5200" i="4"/>
  <c r="L5235" i="4"/>
  <c r="L5479" i="4"/>
  <c r="L5480" i="4"/>
  <c r="L5493" i="4"/>
  <c r="L5261" i="4"/>
  <c r="L5081" i="4"/>
  <c r="L5105" i="4"/>
  <c r="L5055" i="4"/>
  <c r="L4969" i="4"/>
  <c r="L4957" i="4"/>
  <c r="L4963" i="4"/>
  <c r="L4965" i="4"/>
  <c r="L4972" i="4"/>
  <c r="L5246" i="4"/>
  <c r="L4932" i="4"/>
  <c r="L5051" i="4"/>
  <c r="L5054" i="4"/>
  <c r="L5121" i="4"/>
  <c r="L4955" i="4"/>
  <c r="L4976" i="4"/>
  <c r="L5052" i="4"/>
  <c r="L5053" i="4"/>
  <c r="L5056" i="4"/>
  <c r="L5064" i="4"/>
  <c r="L5067" i="4"/>
  <c r="L5068" i="4"/>
  <c r="L5069" i="4"/>
  <c r="L5070" i="4"/>
  <c r="L5071" i="4"/>
  <c r="L5072" i="4"/>
  <c r="L5076" i="4"/>
  <c r="L5091" i="4"/>
  <c r="L5098" i="4"/>
  <c r="L5099" i="4"/>
  <c r="L5103" i="4"/>
  <c r="L5104" i="4"/>
  <c r="L5114" i="4"/>
  <c r="L5120" i="4"/>
  <c r="L5139" i="4"/>
  <c r="L5141" i="4"/>
  <c r="L5142" i="4"/>
  <c r="L5218" i="4"/>
  <c r="L5456" i="4"/>
  <c r="L5457" i="4"/>
  <c r="L5458" i="4"/>
  <c r="L5481" i="4"/>
  <c r="L5482" i="4"/>
  <c r="L5483" i="4"/>
  <c r="L5484" i="4"/>
  <c r="L5485" i="4"/>
  <c r="L5494" i="4"/>
  <c r="L5530" i="4"/>
  <c r="L5140" i="4"/>
  <c r="L5217" i="4"/>
  <c r="L5237" i="4"/>
  <c r="L5486" i="4"/>
  <c r="L4953" i="4"/>
  <c r="L5187" i="4"/>
  <c r="L5188" i="4"/>
  <c r="L5189" i="4"/>
  <c r="L5190" i="4"/>
  <c r="L5288" i="4"/>
  <c r="L5290" i="4"/>
  <c r="L5291" i="4"/>
  <c r="L5292" i="4"/>
  <c r="L5293" i="4"/>
  <c r="L5294" i="4"/>
  <c r="L5306" i="4"/>
  <c r="L5307" i="4"/>
  <c r="L5308" i="4"/>
  <c r="L5309" i="4"/>
  <c r="L5310" i="4"/>
  <c r="L5312" i="4"/>
  <c r="L5314" i="4"/>
  <c r="L5316" i="4"/>
  <c r="L5317" i="4"/>
  <c r="L5318" i="4"/>
  <c r="L5319" i="4"/>
  <c r="L5320" i="4"/>
  <c r="L5322" i="4"/>
  <c r="L5324" i="4"/>
  <c r="L5325" i="4"/>
  <c r="L5326" i="4"/>
  <c r="L5327" i="4"/>
  <c r="L5332" i="4"/>
  <c r="L5333" i="4"/>
  <c r="L5334" i="4"/>
  <c r="L5335" i="4"/>
  <c r="L5337" i="4"/>
  <c r="L5338" i="4"/>
  <c r="L5339" i="4"/>
  <c r="L5340" i="4"/>
  <c r="L5343" i="4"/>
  <c r="L5344" i="4"/>
  <c r="L5345" i="4"/>
  <c r="L5346" i="4"/>
  <c r="L5348" i="4"/>
  <c r="L5352" i="4"/>
  <c r="L5353" i="4"/>
  <c r="L5354" i="4"/>
  <c r="L5355" i="4"/>
  <c r="L5356" i="4"/>
  <c r="L5357" i="4"/>
  <c r="L5358" i="4"/>
  <c r="L5359" i="4"/>
  <c r="L5360" i="4"/>
  <c r="L5369" i="4"/>
  <c r="L5370" i="4"/>
  <c r="L5372" i="4"/>
  <c r="L5374" i="4"/>
  <c r="L5375" i="4"/>
  <c r="L5376" i="4"/>
  <c r="L5378" i="4"/>
  <c r="L5379" i="4"/>
  <c r="L5382" i="4"/>
  <c r="L5383" i="4"/>
  <c r="L5386" i="4"/>
  <c r="L5387" i="4"/>
  <c r="L5389" i="4"/>
  <c r="L5390" i="4"/>
  <c r="L5391" i="4"/>
  <c r="L5394" i="4"/>
  <c r="L5396" i="4"/>
  <c r="L5397" i="4"/>
  <c r="L5398" i="4"/>
  <c r="L5399" i="4"/>
  <c r="L5400" i="4"/>
  <c r="L5403" i="4"/>
  <c r="L5404" i="4"/>
  <c r="L5405" i="4"/>
  <c r="L5406" i="4"/>
  <c r="L5409" i="4"/>
  <c r="L5410" i="4"/>
  <c r="L5411" i="4"/>
  <c r="L5412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3" i="4"/>
  <c r="L5436" i="4"/>
  <c r="L5440" i="4"/>
  <c r="L5441" i="4"/>
  <c r="L5442" i="4"/>
  <c r="L5443" i="4"/>
  <c r="L5445" i="4"/>
  <c r="L5446" i="4"/>
  <c r="L5449" i="4"/>
  <c r="L5450" i="4"/>
  <c r="L5452" i="4"/>
  <c r="L5447" i="4"/>
  <c r="L5341" i="4"/>
  <c r="L5331" i="4"/>
  <c r="L5350" i="4"/>
  <c r="L5377" i="4"/>
  <c r="L5435" i="4"/>
  <c r="L5368" i="4"/>
  <c r="L5191" i="4"/>
  <c r="L5192" i="4"/>
  <c r="L5289" i="4"/>
  <c r="L5300" i="4"/>
  <c r="L5311" i="4"/>
  <c r="L5313" i="4"/>
  <c r="L5329" i="4"/>
  <c r="L5342" i="4"/>
  <c r="L5367" i="4"/>
  <c r="L5371" i="4"/>
  <c r="L5388" i="4"/>
  <c r="L5407" i="4"/>
  <c r="L5408" i="4"/>
  <c r="L5448" i="4"/>
  <c r="L5295" i="4"/>
  <c r="L5315" i="4"/>
  <c r="L5321" i="4"/>
  <c r="L5323" i="4"/>
  <c r="L5336" i="4"/>
  <c r="L5347" i="4"/>
  <c r="L5373" i="4"/>
  <c r="L5381" i="4"/>
  <c r="L5384" i="4"/>
  <c r="L5385" i="4"/>
  <c r="L5393" i="4"/>
  <c r="L5401" i="4"/>
  <c r="L5402" i="4"/>
  <c r="L5434" i="4"/>
  <c r="L5451" i="4"/>
  <c r="L5193" i="4"/>
  <c r="L5296" i="4"/>
  <c r="L5298" i="4"/>
  <c r="L5299" i="4"/>
  <c r="L5301" i="4"/>
  <c r="L5302" i="4"/>
  <c r="L5303" i="4"/>
  <c r="L5304" i="4"/>
  <c r="L5305" i="4"/>
  <c r="L5330" i="4"/>
  <c r="L5349" i="4"/>
  <c r="L5351" i="4"/>
  <c r="L5362" i="4"/>
  <c r="L5363" i="4"/>
  <c r="L5364" i="4"/>
  <c r="L5365" i="4"/>
  <c r="L5366" i="4"/>
  <c r="L5392" i="4"/>
  <c r="L5413" i="4"/>
  <c r="L5414" i="4"/>
  <c r="L5415" i="4"/>
  <c r="L5432" i="4"/>
  <c r="L5437" i="4"/>
  <c r="L5438" i="4"/>
  <c r="L5439" i="4"/>
  <c r="L5444" i="4"/>
  <c r="L5453" i="4"/>
  <c r="L5328" i="4"/>
  <c r="L5361" i="4"/>
  <c r="L5380" i="4"/>
  <c r="L5395" i="4"/>
  <c r="L4936" i="4"/>
  <c r="L4902" i="4"/>
  <c r="L4921" i="4"/>
  <c r="L4924" i="4"/>
  <c r="L4996" i="4"/>
  <c r="L5026" i="4"/>
  <c r="L5208" i="4"/>
  <c r="L4994" i="4"/>
  <c r="L5264" i="4"/>
  <c r="L5039" i="4"/>
  <c r="L5065" i="4"/>
  <c r="L5201" i="4"/>
  <c r="L5038" i="4"/>
  <c r="L4900" i="4"/>
  <c r="L4901" i="4"/>
  <c r="L5005" i="4"/>
  <c r="L5062" i="4"/>
  <c r="L5144" i="4"/>
  <c r="L4933" i="4"/>
  <c r="L5031" i="4"/>
  <c r="L5077" i="4"/>
  <c r="L4899" i="4"/>
  <c r="L4896" i="4"/>
  <c r="L4897" i="4"/>
  <c r="L4898" i="4"/>
  <c r="L5500" i="4"/>
  <c r="L5148" i="4"/>
  <c r="L5149" i="4"/>
  <c r="L4904" i="4"/>
  <c r="L4907" i="4"/>
  <c r="L4906" i="4"/>
  <c r="L5463" i="4"/>
  <c r="L5464" i="4"/>
  <c r="L5465" i="4"/>
  <c r="L5466" i="4"/>
  <c r="L5467" i="4"/>
  <c r="L5468" i="4"/>
  <c r="L5469" i="4"/>
  <c r="L5470" i="4"/>
  <c r="L5297" i="4"/>
  <c r="L15" i="4"/>
  <c r="L18" i="4"/>
  <c r="L87" i="4"/>
  <c r="L310" i="4"/>
  <c r="L710" i="4"/>
  <c r="L713" i="4"/>
  <c r="L856" i="4"/>
  <c r="L890" i="4"/>
  <c r="L50" i="4"/>
  <c r="L90" i="4"/>
  <c r="L94" i="4"/>
  <c r="L97" i="4"/>
  <c r="L100" i="4"/>
  <c r="L103" i="4"/>
  <c r="L203" i="4"/>
  <c r="L206" i="4"/>
  <c r="L208" i="4"/>
  <c r="L211" i="4"/>
  <c r="L230" i="4"/>
  <c r="L244" i="4"/>
  <c r="L284" i="4"/>
  <c r="L300" i="4"/>
  <c r="L303" i="4"/>
  <c r="L327" i="4"/>
  <c r="L466" i="4"/>
  <c r="L508" i="4"/>
  <c r="L615" i="4"/>
  <c r="L733" i="4"/>
  <c r="L737" i="4"/>
  <c r="L753" i="4"/>
  <c r="L904" i="4"/>
  <c r="L200" i="4"/>
  <c r="L249" i="4"/>
  <c r="L431" i="4"/>
  <c r="L447" i="4"/>
  <c r="L47" i="4"/>
  <c r="L53" i="4"/>
  <c r="L111" i="4"/>
  <c r="L180" i="4"/>
  <c r="L225" i="4"/>
  <c r="L255" i="4"/>
  <c r="L743" i="4"/>
  <c r="L750" i="4"/>
  <c r="L887" i="4"/>
  <c r="L894" i="4"/>
  <c r="L901" i="4"/>
  <c r="L219" i="4"/>
  <c r="L13" i="4"/>
  <c r="L29" i="4"/>
  <c r="L32" i="4"/>
  <c r="L34" i="4"/>
  <c r="L37" i="4"/>
  <c r="L40" i="4"/>
  <c r="L43" i="4"/>
  <c r="L46" i="4"/>
  <c r="L259" i="4"/>
  <c r="L351" i="4"/>
  <c r="L373" i="4"/>
  <c r="L393" i="4"/>
  <c r="L396" i="4"/>
  <c r="L399" i="4"/>
  <c r="L423" i="4"/>
  <c r="L426" i="4"/>
  <c r="L450" i="4"/>
  <c r="L453" i="4"/>
  <c r="L456" i="4"/>
  <c r="L861" i="4"/>
  <c r="L864" i="4"/>
  <c r="L898" i="4"/>
  <c r="L233" i="4"/>
  <c r="L390" i="4"/>
  <c r="L106" i="4"/>
  <c r="L277" i="4"/>
  <c r="L332" i="4"/>
  <c r="L333" i="4"/>
  <c r="L340" i="4"/>
  <c r="L857" i="4"/>
  <c r="L427" i="4"/>
  <c r="L571" i="4"/>
  <c r="L609" i="4"/>
  <c r="L380" i="4"/>
  <c r="L742" i="4"/>
  <c r="L744" i="4"/>
  <c r="L679" i="4"/>
  <c r="L876" i="4"/>
  <c r="L727" i="4"/>
  <c r="L844" i="4"/>
  <c r="L366" i="4"/>
  <c r="L664" i="4"/>
  <c r="L618" i="4"/>
  <c r="L666" i="4"/>
  <c r="L718" i="4"/>
  <c r="L728" i="4"/>
  <c r="L620" i="4"/>
  <c r="L736" i="4"/>
  <c r="L381" i="4"/>
  <c r="L383" i="4"/>
  <c r="L386" i="4"/>
  <c r="L389" i="4"/>
  <c r="L468" i="4"/>
  <c r="L477" i="4"/>
  <c r="L480" i="4"/>
  <c r="L493" i="4"/>
  <c r="L532" i="4"/>
  <c r="L533" i="4"/>
  <c r="L553" i="4"/>
  <c r="L554" i="4"/>
  <c r="L565" i="4"/>
  <c r="L574" i="4"/>
  <c r="L610" i="4"/>
  <c r="L613" i="4"/>
  <c r="L622" i="4"/>
  <c r="L623" i="4"/>
  <c r="L647" i="4"/>
  <c r="L651" i="4"/>
  <c r="L656" i="4"/>
  <c r="L665" i="4"/>
  <c r="L716" i="4"/>
  <c r="L717" i="4"/>
  <c r="L726" i="4"/>
  <c r="L741" i="4"/>
  <c r="L840" i="4"/>
  <c r="L845" i="4"/>
  <c r="L877" i="4"/>
  <c r="L882" i="4"/>
  <c r="L885" i="4"/>
  <c r="L893" i="4"/>
  <c r="L499" i="4"/>
  <c r="L372" i="4"/>
  <c r="L385" i="4"/>
  <c r="L470" i="4"/>
  <c r="L471" i="4"/>
  <c r="L482" i="4"/>
  <c r="L534" i="4"/>
  <c r="L541" i="4"/>
  <c r="L552" i="4"/>
  <c r="L619" i="4"/>
  <c r="L676" i="4"/>
  <c r="L724" i="4"/>
  <c r="L897" i="4"/>
  <c r="L624" i="4"/>
  <c r="L604" i="4"/>
  <c r="L720" i="4"/>
  <c r="L723" i="4"/>
  <c r="L730" i="4"/>
  <c r="L884" i="4"/>
  <c r="L364" i="4"/>
  <c r="L441" i="4"/>
  <c r="L481" i="4"/>
  <c r="L500" i="4"/>
  <c r="L652" i="4"/>
  <c r="L725" i="4"/>
  <c r="L715" i="4"/>
  <c r="L719" i="4"/>
  <c r="L558" i="4"/>
  <c r="L280" i="4"/>
  <c r="L511" i="4"/>
  <c r="L184" i="4"/>
  <c r="L187" i="4"/>
  <c r="L191" i="4"/>
  <c r="L238" i="4"/>
  <c r="L538" i="4"/>
  <c r="L114" i="4"/>
  <c r="L270" i="4"/>
  <c r="L478" i="4"/>
  <c r="L26" i="4"/>
  <c r="L177" i="4"/>
  <c r="L197" i="4"/>
  <c r="L215" i="4"/>
  <c r="L241" i="4"/>
  <c r="L263" i="4"/>
  <c r="L266" i="4"/>
  <c r="L307" i="4"/>
  <c r="L312" i="4"/>
  <c r="L531" i="4"/>
  <c r="L612" i="4"/>
  <c r="L361" i="4"/>
  <c r="L420" i="4"/>
  <c r="L356" i="4"/>
  <c r="L360" i="4"/>
  <c r="L638" i="4"/>
  <c r="L355" i="4"/>
  <c r="L357" i="4"/>
  <c r="L358" i="4"/>
  <c r="L359" i="4"/>
  <c r="L362" i="4"/>
  <c r="L365" i="4"/>
  <c r="L368" i="4"/>
  <c r="L377" i="4"/>
  <c r="L378" i="4"/>
  <c r="L382" i="4"/>
  <c r="L388" i="4"/>
  <c r="L433" i="4"/>
  <c r="L440" i="4"/>
  <c r="L442" i="4"/>
  <c r="L443" i="4"/>
  <c r="L444" i="4"/>
  <c r="L445" i="4"/>
  <c r="L458" i="4"/>
  <c r="L459" i="4"/>
  <c r="L460" i="4"/>
  <c r="L465" i="4"/>
  <c r="L476" i="4"/>
  <c r="L479" i="4"/>
  <c r="L489" i="4"/>
  <c r="L501" i="4"/>
  <c r="L512" i="4"/>
  <c r="L515" i="4"/>
  <c r="L526" i="4"/>
  <c r="L530" i="4"/>
  <c r="L564" i="4"/>
  <c r="L566" i="4"/>
  <c r="L575" i="4"/>
  <c r="L582" i="4"/>
  <c r="L583" i="4"/>
  <c r="L597" i="4"/>
  <c r="L598" i="4"/>
  <c r="L603" i="4"/>
  <c r="L606" i="4"/>
  <c r="L611" i="4"/>
  <c r="L617" i="4"/>
  <c r="L621" i="4"/>
  <c r="L636" i="4"/>
  <c r="L645" i="4"/>
  <c r="L646" i="4"/>
  <c r="L648" i="4"/>
  <c r="L657" i="4"/>
  <c r="L658" i="4"/>
  <c r="L663" i="4"/>
  <c r="L661" i="4"/>
  <c r="L672" i="4"/>
  <c r="L673" i="4"/>
  <c r="L692" i="4"/>
  <c r="L693" i="4"/>
  <c r="L694" i="4"/>
  <c r="L700" i="4"/>
  <c r="L732" i="4"/>
  <c r="L871" i="4"/>
  <c r="L872" i="4"/>
  <c r="L873" i="4"/>
  <c r="L874" i="4"/>
  <c r="L875" i="4"/>
  <c r="L879" i="4"/>
  <c r="L908" i="4"/>
  <c r="L909" i="4"/>
  <c r="L910" i="4"/>
  <c r="L421" i="4"/>
  <c r="L527" i="4"/>
  <c r="L346" i="4"/>
  <c r="L551" i="4"/>
  <c r="L588" i="4"/>
  <c r="L555" i="4"/>
  <c r="L83" i="4"/>
  <c r="L162" i="4"/>
  <c r="L118" i="4"/>
  <c r="L121" i="4"/>
  <c r="L125" i="4"/>
  <c r="L139" i="4"/>
  <c r="L147" i="4"/>
  <c r="L166" i="4"/>
  <c r="L170" i="4"/>
  <c r="L174" i="4"/>
  <c r="L56" i="4"/>
  <c r="L59" i="4"/>
  <c r="L63" i="4"/>
  <c r="L66" i="4"/>
  <c r="L69" i="4"/>
  <c r="L72" i="4"/>
  <c r="L77" i="4"/>
  <c r="L80" i="4"/>
  <c r="L135" i="4"/>
  <c r="L155" i="4"/>
  <c r="L461" i="4"/>
  <c r="L367" i="4"/>
  <c r="L870" i="4"/>
  <c r="L487" i="4"/>
  <c r="L488" i="4"/>
  <c r="L523" i="4"/>
  <c r="L654" i="4"/>
  <c r="L437" i="4"/>
  <c r="L634" i="4"/>
  <c r="L439" i="4"/>
  <c r="L401" i="4"/>
  <c r="L438" i="4"/>
  <c r="L463" i="4"/>
  <c r="L490" i="4"/>
  <c r="L491" i="4"/>
  <c r="L513" i="4"/>
  <c r="L653" i="4"/>
  <c r="L662" i="4"/>
  <c r="L678" i="4"/>
  <c r="L684" i="4"/>
  <c r="L691" i="4"/>
  <c r="L740" i="4"/>
  <c r="L297" i="4"/>
  <c r="L783" i="4"/>
  <c r="L792" i="4"/>
  <c r="L801" i="4"/>
  <c r="L831" i="4"/>
  <c r="L836" i="4"/>
  <c r="L847" i="4"/>
  <c r="L853" i="4"/>
  <c r="L384" i="4"/>
  <c r="L492" i="4"/>
  <c r="L607" i="4"/>
  <c r="L535" i="4"/>
  <c r="L685" i="4"/>
  <c r="L462" i="4"/>
  <c r="L686" i="4"/>
  <c r="L689" i="4"/>
  <c r="L579" i="4"/>
  <c r="L690" i="4"/>
  <c r="L342" i="4"/>
  <c r="L577" i="4"/>
  <c r="L379" i="4"/>
  <c r="L494" i="4"/>
  <c r="L497" i="4"/>
  <c r="L580" i="4"/>
  <c r="L581" i="4"/>
  <c r="L600" i="4"/>
  <c r="L687" i="4"/>
  <c r="L688" i="4"/>
  <c r="L578" i="4"/>
  <c r="L430" i="4"/>
  <c r="L635" i="4"/>
  <c r="L403" i="4"/>
  <c r="L697" i="4"/>
  <c r="L417" i="4"/>
  <c r="L667" i="4"/>
  <c r="L677" i="4"/>
  <c r="L410" i="4"/>
  <c r="L411" i="4"/>
  <c r="L485" i="4"/>
  <c r="L498" i="4"/>
  <c r="L616" i="4"/>
  <c r="L671" i="4"/>
  <c r="L880" i="4"/>
  <c r="L414" i="4"/>
  <c r="L418" i="4"/>
  <c r="L404" i="4"/>
  <c r="L412" i="4"/>
  <c r="L415" i="4"/>
  <c r="L547" i="4"/>
  <c r="L639" i="4"/>
  <c r="L655" i="4"/>
  <c r="L698" i="4"/>
  <c r="L699" i="4"/>
  <c r="L731" i="4"/>
  <c r="L735" i="4"/>
  <c r="L848" i="4"/>
  <c r="L849" i="4"/>
  <c r="L850" i="4"/>
  <c r="L858" i="4"/>
  <c r="L649" i="4"/>
  <c r="L407" i="4"/>
  <c r="L409" i="4"/>
  <c r="L674" i="4"/>
  <c r="L905" i="4"/>
  <c r="L906" i="4"/>
  <c r="L907" i="4"/>
  <c r="L486" i="4"/>
  <c r="L734" i="4"/>
  <c r="L846" i="4"/>
  <c r="L281" i="4"/>
  <c r="L108" i="4"/>
  <c r="L344" i="4"/>
  <c r="L345" i="4"/>
  <c r="L347" i="4"/>
  <c r="L84" i="4"/>
  <c r="L343" i="4"/>
  <c r="L292" i="4"/>
  <c r="L472" i="4"/>
  <c r="L221" i="4"/>
  <c r="L107" i="4"/>
  <c r="L260" i="4"/>
  <c r="L328" i="4"/>
  <c r="L329" i="4"/>
  <c r="L602" i="4"/>
  <c r="L220" i="4"/>
  <c r="L251" i="4"/>
  <c r="L293" i="4"/>
  <c r="L294" i="4"/>
  <c r="L295" i="4"/>
  <c r="L304" i="4"/>
  <c r="L245" i="4"/>
  <c r="L601" i="4"/>
  <c r="L285" i="4"/>
  <c r="L524" i="4"/>
  <c r="L432" i="4"/>
  <c r="L573" i="4"/>
  <c r="L375" i="4"/>
  <c r="L525" i="4"/>
  <c r="L695" i="4"/>
  <c r="L550" i="4"/>
  <c r="L408" i="4"/>
  <c r="L413" i="4"/>
  <c r="L416" i="4"/>
  <c r="L419" i="4"/>
  <c r="L696" i="4"/>
  <c r="L370" i="4"/>
  <c r="L502" i="4"/>
  <c r="L561" i="4"/>
  <c r="L405" i="4"/>
  <c r="L406" i="4"/>
  <c r="L503" i="4"/>
  <c r="L504" i="4"/>
  <c r="L506" i="4"/>
  <c r="L516" i="4"/>
  <c r="L517" i="4"/>
  <c r="L518" i="4"/>
  <c r="L519" i="4"/>
  <c r="L520" i="4"/>
  <c r="L521" i="4"/>
  <c r="L543" i="4"/>
  <c r="L544" i="4"/>
  <c r="L548" i="4"/>
  <c r="L549" i="4"/>
  <c r="L557" i="4"/>
  <c r="L559" i="4"/>
  <c r="L560" i="4"/>
  <c r="L589" i="4"/>
  <c r="L591" i="4"/>
  <c r="L592" i="4"/>
  <c r="L659" i="4"/>
  <c r="L841" i="4"/>
  <c r="L842" i="4"/>
  <c r="L843" i="4"/>
  <c r="L865" i="4"/>
  <c r="L866" i="4"/>
  <c r="L867" i="4"/>
  <c r="L868" i="4"/>
  <c r="L878" i="4"/>
  <c r="L467" i="4"/>
  <c r="L505" i="4"/>
  <c r="L576" i="4"/>
  <c r="L590" i="4"/>
  <c r="L869" i="4"/>
  <c r="L628" i="4"/>
  <c r="L629" i="4"/>
  <c r="L630" i="4"/>
  <c r="L745" i="4"/>
  <c r="L746" i="4"/>
  <c r="L747" i="4"/>
  <c r="L748" i="4"/>
  <c r="L749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2" i="4"/>
  <c r="L773" i="4"/>
  <c r="L774" i="4"/>
  <c r="L775" i="4"/>
  <c r="L776" i="4"/>
  <c r="L777" i="4"/>
  <c r="L778" i="4"/>
  <c r="L780" i="4"/>
  <c r="L781" i="4"/>
  <c r="L785" i="4"/>
  <c r="L786" i="4"/>
  <c r="L788" i="4"/>
  <c r="L790" i="4"/>
  <c r="L791" i="4"/>
  <c r="L794" i="4"/>
  <c r="L795" i="4"/>
  <c r="L796" i="4"/>
  <c r="L798" i="4"/>
  <c r="L799" i="4"/>
  <c r="L802" i="4"/>
  <c r="L803" i="4"/>
  <c r="L804" i="4"/>
  <c r="L805" i="4"/>
  <c r="L806" i="4"/>
  <c r="L807" i="4"/>
  <c r="L808" i="4"/>
  <c r="L809" i="4"/>
  <c r="L810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4" i="4"/>
  <c r="L837" i="4"/>
  <c r="L631" i="4"/>
  <c r="L835" i="4"/>
  <c r="L779" i="4"/>
  <c r="L784" i="4"/>
  <c r="L632" i="4"/>
  <c r="L797" i="4"/>
  <c r="L539" i="4"/>
  <c r="L540" i="4"/>
  <c r="L542" i="4"/>
  <c r="L545" i="4"/>
  <c r="L556" i="4"/>
  <c r="L567" i="4"/>
  <c r="L569" i="4"/>
  <c r="L572" i="4"/>
  <c r="L584" i="4"/>
  <c r="L586" i="4"/>
  <c r="L587" i="4"/>
  <c r="L594" i="4"/>
  <c r="L595" i="4"/>
  <c r="L596" i="4"/>
  <c r="L599" i="4"/>
  <c r="L546" i="4"/>
  <c r="L568" i="4"/>
  <c r="L570" i="4"/>
  <c r="L585" i="4"/>
  <c r="L675" i="4"/>
  <c r="L400" i="4"/>
  <c r="L354" i="4"/>
  <c r="L363" i="4"/>
  <c r="L469" i="4"/>
  <c r="L650" i="4"/>
  <c r="L436" i="4"/>
  <c r="L341" i="4"/>
  <c r="L369" i="4"/>
  <c r="L484" i="4"/>
  <c r="L721" i="4"/>
  <c r="L729" i="4"/>
  <c r="L514" i="4"/>
  <c r="L605" i="4"/>
  <c r="L641" i="4"/>
  <c r="L496" i="4"/>
  <c r="L642" i="4"/>
  <c r="L387" i="4"/>
  <c r="L483" i="4"/>
  <c r="L640" i="4"/>
  <c r="L643" i="4"/>
  <c r="L339" i="4"/>
  <c r="L446" i="4"/>
  <c r="L593" i="4"/>
  <c r="L371" i="4"/>
  <c r="L475" i="4"/>
  <c r="L522" i="4"/>
  <c r="L338" i="4"/>
  <c r="L336" i="4"/>
  <c r="L883" i="4"/>
  <c r="L337" i="4"/>
  <c r="L288" i="4"/>
  <c r="L291" i="4"/>
  <c r="L19" i="4"/>
  <c r="L23" i="4"/>
  <c r="L22" i="4"/>
  <c r="L627" i="4"/>
  <c r="L644" i="4"/>
  <c r="L669" i="4"/>
  <c r="L681" i="4"/>
  <c r="L701" i="4"/>
  <c r="L704" i="4"/>
  <c r="L707" i="4"/>
  <c r="L2094" i="4"/>
  <c r="L2116" i="4"/>
  <c r="L2121" i="4"/>
  <c r="L2143" i="4"/>
  <c r="L2176" i="4"/>
  <c r="L2119" i="4"/>
  <c r="L2142" i="4"/>
  <c r="L2063" i="4"/>
  <c r="L2084" i="4"/>
  <c r="L2086" i="4"/>
  <c r="L2088" i="4"/>
  <c r="L2101" i="4"/>
  <c r="L2102" i="4"/>
  <c r="L2123" i="4"/>
  <c r="L2131" i="4"/>
  <c r="L2140" i="4"/>
  <c r="L2178" i="4"/>
  <c r="L2083" i="4"/>
  <c r="L2096" i="4"/>
  <c r="L2133" i="4"/>
  <c r="L2141" i="4"/>
  <c r="L2103" i="4"/>
  <c r="L2055" i="4"/>
  <c r="L2125" i="4"/>
  <c r="L2054" i="4"/>
  <c r="L2056" i="4"/>
  <c r="L2058" i="4"/>
  <c r="L2060" i="4"/>
  <c r="L2081" i="4"/>
  <c r="L2104" i="4"/>
  <c r="L2107" i="4"/>
  <c r="L2110" i="4"/>
  <c r="L2115" i="4"/>
  <c r="L2118" i="4"/>
  <c r="L2174" i="4"/>
  <c r="L2175" i="4"/>
  <c r="L2181" i="4"/>
  <c r="L2112" i="4"/>
  <c r="L2128" i="4"/>
  <c r="L2092" i="4"/>
  <c r="L2093" i="4"/>
  <c r="L2129" i="4"/>
  <c r="L2082" i="4"/>
  <c r="L2180" i="4"/>
  <c r="L2135" i="4"/>
  <c r="L2105" i="4"/>
  <c r="L2108" i="4"/>
  <c r="L2062" i="4"/>
  <c r="L2089" i="4"/>
  <c r="L2109" i="4"/>
  <c r="L2120" i="4"/>
  <c r="L2136" i="4"/>
  <c r="L2078" i="4"/>
  <c r="L2075" i="4"/>
  <c r="L2064" i="4"/>
  <c r="L2065" i="4"/>
  <c r="L2137" i="4"/>
  <c r="L2074" i="4"/>
  <c r="L2059" i="4"/>
  <c r="L2132" i="4"/>
  <c r="L2071" i="4"/>
  <c r="L2073" i="4"/>
  <c r="L2076" i="4"/>
  <c r="L2067" i="4"/>
  <c r="L2138" i="4"/>
  <c r="L2139" i="4"/>
  <c r="L2117" i="4"/>
  <c r="L2124" i="4"/>
  <c r="L2079" i="4"/>
  <c r="L2085" i="4"/>
  <c r="L2106" i="4"/>
  <c r="L2122" i="4"/>
  <c r="L2126" i="4"/>
  <c r="L2134" i="4"/>
  <c r="L2172" i="4"/>
  <c r="L2173" i="4"/>
  <c r="L2177" i="4"/>
  <c r="L2100" i="4"/>
  <c r="L2069" i="4"/>
  <c r="L2070" i="4"/>
  <c r="L2072" i="4"/>
  <c r="L2077" i="4"/>
  <c r="L2061" i="4"/>
  <c r="L2068" i="4"/>
  <c r="L2090" i="4"/>
  <c r="L2095" i="4"/>
  <c r="L2097" i="4"/>
  <c r="L2098" i="4"/>
  <c r="L2099" i="4"/>
  <c r="L2113" i="4"/>
  <c r="L2114" i="4"/>
  <c r="L2130" i="4"/>
  <c r="L2171" i="4"/>
  <c r="L2179" i="4"/>
  <c r="L2151" i="4"/>
  <c r="L2154" i="4"/>
  <c r="L2167" i="4"/>
  <c r="L2170" i="4"/>
  <c r="L2150" i="4"/>
  <c r="L2145" i="4"/>
  <c r="L2153" i="4"/>
  <c r="L2164" i="4"/>
  <c r="L2144" i="4"/>
  <c r="L2147" i="4"/>
  <c r="L2148" i="4"/>
  <c r="L2152" i="4"/>
  <c r="L2155" i="4"/>
  <c r="L2158" i="4"/>
  <c r="L2160" i="4"/>
  <c r="L2161" i="4"/>
  <c r="L2162" i="4"/>
  <c r="L2165" i="4"/>
  <c r="L2166" i="4"/>
  <c r="L2168" i="4"/>
  <c r="L2146" i="4"/>
  <c r="L2156" i="4"/>
  <c r="L2169" i="4"/>
  <c r="L2149" i="4"/>
  <c r="L2157" i="4"/>
  <c r="L2159" i="4"/>
  <c r="L2163" i="4"/>
  <c r="L2057" i="4"/>
  <c r="L2080" i="4"/>
  <c r="L2087" i="4"/>
  <c r="L2091" i="4"/>
  <c r="L2111" i="4"/>
  <c r="L2127" i="4"/>
  <c r="L2066" i="4"/>
  <c r="L2053" i="4"/>
  <c r="L3718" i="4"/>
  <c r="L4079" i="4"/>
  <c r="L4298" i="4"/>
  <c r="L4352" i="4"/>
  <c r="L3773" i="4"/>
  <c r="L3804" i="4"/>
  <c r="L3805" i="4"/>
  <c r="L3806" i="4"/>
  <c r="L3807" i="4"/>
  <c r="L3809" i="4"/>
  <c r="L3881" i="4"/>
  <c r="L3882" i="4"/>
  <c r="L3883" i="4"/>
  <c r="L3884" i="4"/>
  <c r="L3885" i="4"/>
  <c r="L3917" i="4"/>
  <c r="L3921" i="4"/>
  <c r="L3958" i="4"/>
  <c r="L3996" i="4"/>
  <c r="L3997" i="4"/>
  <c r="L4021" i="4"/>
  <c r="L4081" i="4"/>
  <c r="L4101" i="4"/>
  <c r="L4284" i="4"/>
  <c r="L4299" i="4"/>
  <c r="L4300" i="4"/>
  <c r="L4322" i="4"/>
  <c r="L4323" i="4"/>
  <c r="L4354" i="4"/>
  <c r="L3925" i="4"/>
  <c r="L3759" i="4"/>
  <c r="L3761" i="4"/>
  <c r="L3808" i="4"/>
  <c r="L3816" i="4"/>
  <c r="L3849" i="4"/>
  <c r="L3916" i="4"/>
  <c r="L4301" i="4"/>
  <c r="L4302" i="4"/>
  <c r="L4303" i="4"/>
  <c r="L4353" i="4"/>
  <c r="L3719" i="4"/>
  <c r="L3734" i="4"/>
  <c r="L3735" i="4"/>
  <c r="L3736" i="4"/>
  <c r="L3737" i="4"/>
  <c r="L3738" i="4"/>
  <c r="L3739" i="4"/>
  <c r="L3798" i="4"/>
  <c r="L4075" i="4"/>
  <c r="L4076" i="4"/>
  <c r="L4077" i="4"/>
  <c r="L4078" i="4"/>
  <c r="L4080" i="4"/>
  <c r="L4082" i="4"/>
  <c r="L4349" i="4"/>
  <c r="L3918" i="4"/>
  <c r="L3951" i="4"/>
  <c r="L4049" i="4"/>
  <c r="L4050" i="4"/>
  <c r="L4051" i="4"/>
  <c r="L4348" i="4"/>
  <c r="L3810" i="4"/>
  <c r="L3950" i="4"/>
  <c r="L4004" i="4"/>
  <c r="L4009" i="4"/>
  <c r="L3914" i="4"/>
  <c r="L3969" i="4"/>
  <c r="L3987" i="4"/>
  <c r="L3765" i="4"/>
  <c r="L4095" i="4"/>
  <c r="L4100" i="4"/>
  <c r="L4109" i="4"/>
  <c r="L4111" i="4"/>
  <c r="L4034" i="4"/>
  <c r="L4091" i="4"/>
  <c r="L3844" i="4"/>
  <c r="L4097" i="4"/>
  <c r="L3747" i="4"/>
  <c r="L3979" i="4"/>
  <c r="L4005" i="4"/>
  <c r="L4019" i="4"/>
  <c r="L4045" i="4"/>
  <c r="L4112" i="4"/>
  <c r="L3999" i="4"/>
  <c r="L4047" i="4"/>
  <c r="L4084" i="4"/>
  <c r="L4096" i="4"/>
  <c r="L4106" i="4"/>
  <c r="L3941" i="4"/>
  <c r="L3986" i="4"/>
  <c r="L4001" i="4"/>
  <c r="L4296" i="4"/>
  <c r="L4312" i="4"/>
  <c r="L4350" i="4"/>
  <c r="L3767" i="4"/>
  <c r="L3769" i="4"/>
  <c r="L3771" i="4"/>
  <c r="L3772" i="4"/>
  <c r="L3819" i="4"/>
  <c r="L3860" i="4"/>
  <c r="L3866" i="4"/>
  <c r="L3868" i="4"/>
  <c r="L3933" i="4"/>
  <c r="L3934" i="4"/>
  <c r="L3970" i="4"/>
  <c r="L3971" i="4"/>
  <c r="L3988" i="4"/>
  <c r="L3989" i="4"/>
  <c r="L3995" i="4"/>
  <c r="L4007" i="4"/>
  <c r="L4027" i="4"/>
  <c r="L4030" i="4"/>
  <c r="L4033" i="4"/>
  <c r="L4046" i="4"/>
  <c r="L4060" i="4"/>
  <c r="L4083" i="4"/>
  <c r="L4090" i="4"/>
  <c r="L4107" i="4"/>
  <c r="L4108" i="4"/>
  <c r="L4280" i="4"/>
  <c r="L4327" i="4"/>
  <c r="L4341" i="4"/>
  <c r="L4058" i="4"/>
  <c r="L3758" i="4"/>
  <c r="L3851" i="4"/>
  <c r="L4000" i="4"/>
  <c r="L4018" i="4"/>
  <c r="L4052" i="4"/>
  <c r="L4087" i="4"/>
  <c r="L4351" i="4"/>
  <c r="L3824" i="4"/>
  <c r="L3861" i="4"/>
  <c r="L3873" i="4"/>
  <c r="L4089" i="4"/>
  <c r="L3942" i="4"/>
  <c r="L3943" i="4"/>
  <c r="L3957" i="4"/>
  <c r="L4102" i="4"/>
  <c r="L3852" i="4"/>
  <c r="L3853" i="4"/>
  <c r="L3854" i="4"/>
  <c r="L3919" i="4"/>
  <c r="L4110" i="4"/>
  <c r="L3817" i="4"/>
  <c r="L3949" i="4"/>
  <c r="L4094" i="4"/>
  <c r="L3732" i="4"/>
  <c r="L3847" i="4"/>
  <c r="L3857" i="4"/>
  <c r="L3887" i="4"/>
  <c r="L3920" i="4"/>
  <c r="L3948" i="4"/>
  <c r="L3801" i="4"/>
  <c r="L4067" i="4"/>
  <c r="L4103" i="4"/>
  <c r="L3994" i="4"/>
  <c r="L3799" i="4"/>
  <c r="L3802" i="4"/>
  <c r="L3774" i="4"/>
  <c r="L3743" i="4"/>
  <c r="L4022" i="4"/>
  <c r="L3740" i="4"/>
  <c r="L3741" i="4"/>
  <c r="L3742" i="4"/>
  <c r="L3744" i="4"/>
  <c r="L3746" i="4"/>
  <c r="L3754" i="4"/>
  <c r="L3762" i="4"/>
  <c r="L3763" i="4"/>
  <c r="L3768" i="4"/>
  <c r="L3775" i="4"/>
  <c r="L3815" i="4"/>
  <c r="L3823" i="4"/>
  <c r="L3825" i="4"/>
  <c r="L3826" i="4"/>
  <c r="L3827" i="4"/>
  <c r="L3828" i="4"/>
  <c r="L3842" i="4"/>
  <c r="L3843" i="4"/>
  <c r="L3848" i="4"/>
  <c r="L3856" i="4"/>
  <c r="L3858" i="4"/>
  <c r="L3874" i="4"/>
  <c r="L3890" i="4"/>
  <c r="L3907" i="4"/>
  <c r="L3912" i="4"/>
  <c r="L3930" i="4"/>
  <c r="L3932" i="4"/>
  <c r="L3939" i="4"/>
  <c r="L3946" i="4"/>
  <c r="L3954" i="4"/>
  <c r="L3956" i="4"/>
  <c r="L3959" i="4"/>
  <c r="L3962" i="4"/>
  <c r="L3967" i="4"/>
  <c r="L3975" i="4"/>
  <c r="L3977" i="4"/>
  <c r="L3982" i="4"/>
  <c r="L3984" i="4"/>
  <c r="L3990" i="4"/>
  <c r="L4006" i="4"/>
  <c r="L4020" i="4"/>
  <c r="L4028" i="4"/>
  <c r="L4029" i="4"/>
  <c r="L4031" i="4"/>
  <c r="L4038" i="4"/>
  <c r="L4039" i="4"/>
  <c r="L4044" i="4"/>
  <c r="L4043" i="4"/>
  <c r="L4054" i="4"/>
  <c r="L4055" i="4"/>
  <c r="L4068" i="4"/>
  <c r="L4069" i="4"/>
  <c r="L4074" i="4"/>
  <c r="L4093" i="4"/>
  <c r="L4313" i="4"/>
  <c r="L4314" i="4"/>
  <c r="L4315" i="4"/>
  <c r="L4316" i="4"/>
  <c r="L4317" i="4"/>
  <c r="L4320" i="4"/>
  <c r="L4356" i="4"/>
  <c r="L4357" i="4"/>
  <c r="L3803" i="4"/>
  <c r="L3908" i="4"/>
  <c r="L3733" i="4"/>
  <c r="L3931" i="4"/>
  <c r="L3961" i="4"/>
  <c r="L3936" i="4"/>
  <c r="L3841" i="4"/>
  <c r="L3830" i="4"/>
  <c r="L3831" i="4"/>
  <c r="L3832" i="4"/>
  <c r="L3834" i="4"/>
  <c r="L3835" i="4"/>
  <c r="L3836" i="4"/>
  <c r="L3838" i="4"/>
  <c r="L3839" i="4"/>
  <c r="L3840" i="4"/>
  <c r="L3833" i="4"/>
  <c r="L3837" i="4"/>
  <c r="L3903" i="4"/>
  <c r="L3904" i="4"/>
  <c r="L4036" i="4"/>
  <c r="L3846" i="4"/>
  <c r="L3822" i="4"/>
  <c r="L3845" i="4"/>
  <c r="L3865" i="4"/>
  <c r="L4035" i="4"/>
  <c r="L4104" i="4"/>
  <c r="L4105" i="4"/>
  <c r="L4010" i="4"/>
  <c r="L4345" i="4"/>
  <c r="L3755" i="4"/>
  <c r="L3897" i="4"/>
  <c r="L3898" i="4"/>
  <c r="L3899" i="4"/>
  <c r="L3906" i="4"/>
  <c r="L3909" i="4"/>
  <c r="L3910" i="4"/>
  <c r="L3952" i="4"/>
  <c r="L3985" i="4"/>
  <c r="L4002" i="4"/>
  <c r="L4003" i="4"/>
  <c r="L4066" i="4"/>
  <c r="L4324" i="4"/>
  <c r="L4326" i="4"/>
  <c r="L4328" i="4"/>
  <c r="L4329" i="4"/>
  <c r="L4330" i="4"/>
  <c r="L4331" i="4"/>
  <c r="L4332" i="4"/>
  <c r="L4333" i="4"/>
  <c r="L3490" i="4"/>
  <c r="L3549" i="4"/>
  <c r="L4336" i="4"/>
  <c r="L3642" i="4"/>
  <c r="L4338" i="4"/>
  <c r="L4339" i="4"/>
  <c r="L4340" i="4"/>
  <c r="L4342" i="4"/>
  <c r="L4334" i="4"/>
  <c r="L4346" i="4"/>
  <c r="L4347" i="4"/>
  <c r="L3992" i="4"/>
  <c r="L3993" i="4"/>
  <c r="L4343" i="4"/>
  <c r="L3867" i="4"/>
  <c r="L4062" i="4"/>
  <c r="L4064" i="4"/>
  <c r="L4065" i="4"/>
  <c r="L3764" i="4"/>
  <c r="L3869" i="4"/>
  <c r="L3870" i="4"/>
  <c r="L3955" i="4"/>
  <c r="L3980" i="4"/>
  <c r="L4063" i="4"/>
  <c r="L3812" i="4"/>
  <c r="L3750" i="4"/>
  <c r="L3792" i="4"/>
  <c r="L3776" i="4"/>
  <c r="L3751" i="4"/>
  <c r="L4071" i="4"/>
  <c r="L3791" i="4"/>
  <c r="L3795" i="4"/>
  <c r="L3976" i="4"/>
  <c r="L4048" i="4"/>
  <c r="L3749" i="4"/>
  <c r="L3752" i="4"/>
  <c r="L3753" i="4"/>
  <c r="L3782" i="4"/>
  <c r="L3783" i="4"/>
  <c r="L3784" i="4"/>
  <c r="L3786" i="4"/>
  <c r="L3864" i="4"/>
  <c r="L3871" i="4"/>
  <c r="L3872" i="4"/>
  <c r="L3998" i="4"/>
  <c r="L4053" i="4"/>
  <c r="L4056" i="4"/>
  <c r="L4321" i="4"/>
  <c r="L3935" i="4"/>
  <c r="L3788" i="4"/>
  <c r="L3790" i="4"/>
  <c r="L3794" i="4"/>
  <c r="L3778" i="4"/>
  <c r="L3785" i="4"/>
  <c r="L3797" i="4"/>
  <c r="L3926" i="4"/>
  <c r="L4023" i="4"/>
  <c r="L4037" i="4"/>
  <c r="L4072" i="4"/>
  <c r="L4073" i="4"/>
  <c r="L4092" i="4"/>
  <c r="L4098" i="4"/>
  <c r="L4099" i="4"/>
  <c r="L4285" i="4"/>
  <c r="L4286" i="4"/>
  <c r="L4287" i="4"/>
  <c r="L4297" i="4"/>
  <c r="L3780" i="4"/>
  <c r="L4040" i="4"/>
  <c r="L3813" i="4"/>
  <c r="L3727" i="4"/>
  <c r="L4057" i="4"/>
  <c r="L3974" i="4"/>
  <c r="L4086" i="4"/>
  <c r="L3913" i="4"/>
  <c r="L3766" i="4"/>
  <c r="L3811" i="4"/>
  <c r="L3947" i="4"/>
  <c r="L4026" i="4"/>
  <c r="L4279" i="4"/>
  <c r="L3729" i="4"/>
  <c r="L3911" i="4"/>
  <c r="L3937" i="4"/>
  <c r="L3978" i="4"/>
  <c r="L3981" i="4"/>
  <c r="L3983" i="4"/>
  <c r="L4008" i="4"/>
  <c r="L3924" i="4"/>
  <c r="L3940" i="4"/>
  <c r="L3960" i="4"/>
  <c r="L3902" i="4"/>
  <c r="L3770" i="4"/>
  <c r="L3814" i="4"/>
  <c r="L3821" i="4"/>
  <c r="L3859" i="4"/>
  <c r="L3953" i="4"/>
  <c r="L3991" i="4"/>
  <c r="L4024" i="4"/>
  <c r="L4059" i="4"/>
  <c r="L4304" i="4"/>
  <c r="L4305" i="4"/>
  <c r="L4318" i="4"/>
  <c r="L4085" i="4"/>
  <c r="L3905" i="4"/>
  <c r="L3929" i="4"/>
  <c r="L3879" i="4"/>
  <c r="L3793" i="4"/>
  <c r="L3781" i="4"/>
  <c r="L3787" i="4"/>
  <c r="L3789" i="4"/>
  <c r="L3796" i="4"/>
  <c r="L4070" i="4"/>
  <c r="L3756" i="4"/>
  <c r="L3875" i="4"/>
  <c r="L3878" i="4"/>
  <c r="L3945" i="4"/>
  <c r="L3779" i="4"/>
  <c r="L3800" i="4"/>
  <c r="L3876" i="4"/>
  <c r="L3877" i="4"/>
  <c r="L3880" i="4"/>
  <c r="L3888" i="4"/>
  <c r="L3891" i="4"/>
  <c r="L3892" i="4"/>
  <c r="L3893" i="4"/>
  <c r="L3894" i="4"/>
  <c r="L3895" i="4"/>
  <c r="L3896" i="4"/>
  <c r="L3900" i="4"/>
  <c r="L3915" i="4"/>
  <c r="L3922" i="4"/>
  <c r="L3923" i="4"/>
  <c r="L3927" i="4"/>
  <c r="L3928" i="4"/>
  <c r="L3938" i="4"/>
  <c r="L3944" i="4"/>
  <c r="L3963" i="4"/>
  <c r="L3965" i="4"/>
  <c r="L3966" i="4"/>
  <c r="L4042" i="4"/>
  <c r="L4281" i="4"/>
  <c r="L4282" i="4"/>
  <c r="L4283" i="4"/>
  <c r="L4306" i="4"/>
  <c r="L4307" i="4"/>
  <c r="L4308" i="4"/>
  <c r="L4309" i="4"/>
  <c r="L4310" i="4"/>
  <c r="L4319" i="4"/>
  <c r="L4355" i="4"/>
  <c r="L3964" i="4"/>
  <c r="L4041" i="4"/>
  <c r="L4061" i="4"/>
  <c r="L4311" i="4"/>
  <c r="L3777" i="4"/>
  <c r="L4011" i="4"/>
  <c r="L4012" i="4"/>
  <c r="L4013" i="4"/>
  <c r="L4014" i="4"/>
  <c r="L4113" i="4"/>
  <c r="L4115" i="4"/>
  <c r="L4116" i="4"/>
  <c r="L4117" i="4"/>
  <c r="L4118" i="4"/>
  <c r="L4119" i="4"/>
  <c r="L4131" i="4"/>
  <c r="L4132" i="4"/>
  <c r="L4133" i="4"/>
  <c r="L4134" i="4"/>
  <c r="L4135" i="4"/>
  <c r="L4137" i="4"/>
  <c r="L4139" i="4"/>
  <c r="L4141" i="4"/>
  <c r="L4142" i="4"/>
  <c r="L4143" i="4"/>
  <c r="L4144" i="4"/>
  <c r="L4145" i="4"/>
  <c r="L4147" i="4"/>
  <c r="L4149" i="4"/>
  <c r="L4150" i="4"/>
  <c r="L4151" i="4"/>
  <c r="L4152" i="4"/>
  <c r="L4157" i="4"/>
  <c r="L4158" i="4"/>
  <c r="L4159" i="4"/>
  <c r="L4160" i="4"/>
  <c r="L4162" i="4"/>
  <c r="L4163" i="4"/>
  <c r="L4164" i="4"/>
  <c r="L4165" i="4"/>
  <c r="L4168" i="4"/>
  <c r="L4169" i="4"/>
  <c r="L4170" i="4"/>
  <c r="L4171" i="4"/>
  <c r="L4173" i="4"/>
  <c r="L4177" i="4"/>
  <c r="L4178" i="4"/>
  <c r="L4179" i="4"/>
  <c r="L4180" i="4"/>
  <c r="L4181" i="4"/>
  <c r="L4182" i="4"/>
  <c r="L4183" i="4"/>
  <c r="L4184" i="4"/>
  <c r="L4185" i="4"/>
  <c r="L4194" i="4"/>
  <c r="L4195" i="4"/>
  <c r="L4197" i="4"/>
  <c r="L4199" i="4"/>
  <c r="L4200" i="4"/>
  <c r="L4201" i="4"/>
  <c r="L4203" i="4"/>
  <c r="L4204" i="4"/>
  <c r="L4207" i="4"/>
  <c r="L4208" i="4"/>
  <c r="L4211" i="4"/>
  <c r="L4212" i="4"/>
  <c r="L4214" i="4"/>
  <c r="L4215" i="4"/>
  <c r="L4216" i="4"/>
  <c r="L4219" i="4"/>
  <c r="L4221" i="4"/>
  <c r="L4222" i="4"/>
  <c r="L4223" i="4"/>
  <c r="L4224" i="4"/>
  <c r="L4225" i="4"/>
  <c r="L4228" i="4"/>
  <c r="L4229" i="4"/>
  <c r="L4230" i="4"/>
  <c r="L4231" i="4"/>
  <c r="L4234" i="4"/>
  <c r="L4235" i="4"/>
  <c r="L4236" i="4"/>
  <c r="L4237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8" i="4"/>
  <c r="L4261" i="4"/>
  <c r="L4265" i="4"/>
  <c r="L4266" i="4"/>
  <c r="L4267" i="4"/>
  <c r="L4268" i="4"/>
  <c r="L4270" i="4"/>
  <c r="L4271" i="4"/>
  <c r="L4274" i="4"/>
  <c r="L4275" i="4"/>
  <c r="L4277" i="4"/>
  <c r="L4272" i="4"/>
  <c r="L4166" i="4"/>
  <c r="L4156" i="4"/>
  <c r="L4175" i="4"/>
  <c r="L4202" i="4"/>
  <c r="L4260" i="4"/>
  <c r="L4193" i="4"/>
  <c r="L4015" i="4"/>
  <c r="L4016" i="4"/>
  <c r="L4114" i="4"/>
  <c r="L4125" i="4"/>
  <c r="L4136" i="4"/>
  <c r="L4138" i="4"/>
  <c r="L4154" i="4"/>
  <c r="L4167" i="4"/>
  <c r="L4192" i="4"/>
  <c r="L4196" i="4"/>
  <c r="L4213" i="4"/>
  <c r="L4232" i="4"/>
  <c r="L4233" i="4"/>
  <c r="L4273" i="4"/>
  <c r="L4120" i="4"/>
  <c r="L4140" i="4"/>
  <c r="L4146" i="4"/>
  <c r="L4148" i="4"/>
  <c r="L4161" i="4"/>
  <c r="L4172" i="4"/>
  <c r="L4198" i="4"/>
  <c r="L4206" i="4"/>
  <c r="L4209" i="4"/>
  <c r="L4210" i="4"/>
  <c r="L4218" i="4"/>
  <c r="L4226" i="4"/>
  <c r="L4227" i="4"/>
  <c r="L4259" i="4"/>
  <c r="L4276" i="4"/>
  <c r="L4017" i="4"/>
  <c r="L4121" i="4"/>
  <c r="L4123" i="4"/>
  <c r="L4124" i="4"/>
  <c r="L4126" i="4"/>
  <c r="L4127" i="4"/>
  <c r="L4128" i="4"/>
  <c r="L4129" i="4"/>
  <c r="L4130" i="4"/>
  <c r="L4155" i="4"/>
  <c r="L4174" i="4"/>
  <c r="L4176" i="4"/>
  <c r="L4187" i="4"/>
  <c r="L4188" i="4"/>
  <c r="L4189" i="4"/>
  <c r="L4190" i="4"/>
  <c r="L4191" i="4"/>
  <c r="L4217" i="4"/>
  <c r="L4238" i="4"/>
  <c r="L4239" i="4"/>
  <c r="L4240" i="4"/>
  <c r="L4257" i="4"/>
  <c r="L4262" i="4"/>
  <c r="L4263" i="4"/>
  <c r="L4264" i="4"/>
  <c r="L4269" i="4"/>
  <c r="L4278" i="4"/>
  <c r="L4153" i="4"/>
  <c r="L4186" i="4"/>
  <c r="L4205" i="4"/>
  <c r="L4220" i="4"/>
  <c r="L3760" i="4"/>
  <c r="L3726" i="4"/>
  <c r="L3745" i="4"/>
  <c r="L3748" i="4"/>
  <c r="L3820" i="4"/>
  <c r="L3850" i="4"/>
  <c r="L4032" i="4"/>
  <c r="L3818" i="4"/>
  <c r="L4088" i="4"/>
  <c r="L3863" i="4"/>
  <c r="L3889" i="4"/>
  <c r="L4025" i="4"/>
  <c r="L3862" i="4"/>
  <c r="L3724" i="4"/>
  <c r="L3725" i="4"/>
  <c r="L3829" i="4"/>
  <c r="L3886" i="4"/>
  <c r="L3968" i="4"/>
  <c r="L3757" i="4"/>
  <c r="L3855" i="4"/>
  <c r="L3901" i="4"/>
  <c r="L3723" i="4"/>
  <c r="L3720" i="4"/>
  <c r="L3721" i="4"/>
  <c r="L3722" i="4"/>
  <c r="L4325" i="4"/>
  <c r="L3972" i="4"/>
  <c r="L3973" i="4"/>
  <c r="L3728" i="4"/>
  <c r="L3731" i="4"/>
  <c r="L3730" i="4"/>
  <c r="L4288" i="4"/>
  <c r="L4289" i="4"/>
  <c r="L4290" i="4"/>
  <c r="L4291" i="4"/>
  <c r="L4292" i="4"/>
  <c r="L4293" i="4"/>
  <c r="L4294" i="4"/>
  <c r="L4295" i="4"/>
  <c r="L4122" i="4"/>
  <c r="M2560" i="4"/>
  <c r="M2921" i="4"/>
  <c r="M3139" i="4"/>
  <c r="M3193" i="4"/>
  <c r="M2615" i="4"/>
  <c r="M2646" i="4"/>
  <c r="M2647" i="4"/>
  <c r="M2648" i="4"/>
  <c r="M2649" i="4"/>
  <c r="M2651" i="4"/>
  <c r="M2723" i="4"/>
  <c r="M2724" i="4"/>
  <c r="M2725" i="4"/>
  <c r="M2726" i="4"/>
  <c r="M2727" i="4"/>
  <c r="M2759" i="4"/>
  <c r="M2763" i="4"/>
  <c r="M2800" i="4"/>
  <c r="M2838" i="4"/>
  <c r="M2839" i="4"/>
  <c r="M2863" i="4"/>
  <c r="M2923" i="4"/>
  <c r="M2943" i="4"/>
  <c r="M3125" i="4"/>
  <c r="M3140" i="4"/>
  <c r="M3141" i="4"/>
  <c r="M3163" i="4"/>
  <c r="M3164" i="4"/>
  <c r="M3195" i="4"/>
  <c r="M2767" i="4"/>
  <c r="M2601" i="4"/>
  <c r="M2603" i="4"/>
  <c r="M2650" i="4"/>
  <c r="M2658" i="4"/>
  <c r="M2691" i="4"/>
  <c r="M2758" i="4"/>
  <c r="M3142" i="4"/>
  <c r="M3143" i="4"/>
  <c r="M3144" i="4"/>
  <c r="M3194" i="4"/>
  <c r="M2561" i="4"/>
  <c r="M2576" i="4"/>
  <c r="M2577" i="4"/>
  <c r="M2578" i="4"/>
  <c r="M2579" i="4"/>
  <c r="M2580" i="4"/>
  <c r="M2581" i="4"/>
  <c r="M2640" i="4"/>
  <c r="M2917" i="4"/>
  <c r="M2918" i="4"/>
  <c r="M2919" i="4"/>
  <c r="M2920" i="4"/>
  <c r="M2922" i="4"/>
  <c r="M2924" i="4"/>
  <c r="M3190" i="4"/>
  <c r="M2760" i="4"/>
  <c r="M2793" i="4"/>
  <c r="M2891" i="4"/>
  <c r="M2892" i="4"/>
  <c r="M2893" i="4"/>
  <c r="M3189" i="4"/>
  <c r="M2652" i="4"/>
  <c r="M2792" i="4"/>
  <c r="M2846" i="4"/>
  <c r="M2851" i="4"/>
  <c r="M2756" i="4"/>
  <c r="M2811" i="4"/>
  <c r="M2829" i="4"/>
  <c r="M2607" i="4"/>
  <c r="M2937" i="4"/>
  <c r="M2942" i="4"/>
  <c r="M2950" i="4"/>
  <c r="M2952" i="4"/>
  <c r="M2876" i="4"/>
  <c r="M2933" i="4"/>
  <c r="M2686" i="4"/>
  <c r="M2939" i="4"/>
  <c r="M2589" i="4"/>
  <c r="M2821" i="4"/>
  <c r="M2847" i="4"/>
  <c r="M2861" i="4"/>
  <c r="M2887" i="4"/>
  <c r="M2953" i="4"/>
  <c r="M2841" i="4"/>
  <c r="M2889" i="4"/>
  <c r="M2926" i="4"/>
  <c r="M2938" i="4"/>
  <c r="M2947" i="4"/>
  <c r="M2783" i="4"/>
  <c r="M2828" i="4"/>
  <c r="M2843" i="4"/>
  <c r="M3137" i="4"/>
  <c r="M3153" i="4"/>
  <c r="M3191" i="4"/>
  <c r="M2609" i="4"/>
  <c r="M2611" i="4"/>
  <c r="M2613" i="4"/>
  <c r="M2614" i="4"/>
  <c r="M2661" i="4"/>
  <c r="M2702" i="4"/>
  <c r="M2708" i="4"/>
  <c r="M2710" i="4"/>
  <c r="M2775" i="4"/>
  <c r="M2776" i="4"/>
  <c r="M2812" i="4"/>
  <c r="M2813" i="4"/>
  <c r="M2830" i="4"/>
  <c r="M2831" i="4"/>
  <c r="M2837" i="4"/>
  <c r="M2849" i="4"/>
  <c r="M2869" i="4"/>
  <c r="M2872" i="4"/>
  <c r="M2875" i="4"/>
  <c r="M2888" i="4"/>
  <c r="M2902" i="4"/>
  <c r="M2925" i="4"/>
  <c r="M2932" i="4"/>
  <c r="M2948" i="4"/>
  <c r="M2949" i="4"/>
  <c r="M3121" i="4"/>
  <c r="M3168" i="4"/>
  <c r="M3182" i="4"/>
  <c r="M2900" i="4"/>
  <c r="M2600" i="4"/>
  <c r="M2693" i="4"/>
  <c r="M2842" i="4"/>
  <c r="M2860" i="4"/>
  <c r="M2894" i="4"/>
  <c r="M2929" i="4"/>
  <c r="M3192" i="4"/>
  <c r="M2666" i="4"/>
  <c r="M2703" i="4"/>
  <c r="M2715" i="4"/>
  <c r="M2931" i="4"/>
  <c r="M2784" i="4"/>
  <c r="M2785" i="4"/>
  <c r="M2799" i="4"/>
  <c r="M2944" i="4"/>
  <c r="M2694" i="4"/>
  <c r="M2695" i="4"/>
  <c r="M2696" i="4"/>
  <c r="M2761" i="4"/>
  <c r="M2951" i="4"/>
  <c r="M2659" i="4"/>
  <c r="M2791" i="4"/>
  <c r="M2936" i="4"/>
  <c r="M2574" i="4"/>
  <c r="M2689" i="4"/>
  <c r="M2699" i="4"/>
  <c r="M2729" i="4"/>
  <c r="M2762" i="4"/>
  <c r="M2790" i="4"/>
  <c r="M2643" i="4"/>
  <c r="M2909" i="4"/>
  <c r="M2945" i="4"/>
  <c r="M2836" i="4"/>
  <c r="M2641" i="4"/>
  <c r="M2644" i="4"/>
  <c r="M2616" i="4"/>
  <c r="M2585" i="4"/>
  <c r="M2864" i="4"/>
  <c r="M2582" i="4"/>
  <c r="M2583" i="4"/>
  <c r="M2584" i="4"/>
  <c r="M2586" i="4"/>
  <c r="M2588" i="4"/>
  <c r="M2596" i="4"/>
  <c r="M2604" i="4"/>
  <c r="M2605" i="4"/>
  <c r="M2610" i="4"/>
  <c r="M2617" i="4"/>
  <c r="M2657" i="4"/>
  <c r="M2665" i="4"/>
  <c r="M2667" i="4"/>
  <c r="M2668" i="4"/>
  <c r="M2669" i="4"/>
  <c r="M2670" i="4"/>
  <c r="M2684" i="4"/>
  <c r="M2685" i="4"/>
  <c r="M2690" i="4"/>
  <c r="M2698" i="4"/>
  <c r="M2700" i="4"/>
  <c r="M2716" i="4"/>
  <c r="M2732" i="4"/>
  <c r="M2749" i="4"/>
  <c r="M2754" i="4"/>
  <c r="M2772" i="4"/>
  <c r="M2774" i="4"/>
  <c r="M2781" i="4"/>
  <c r="M2788" i="4"/>
  <c r="M2796" i="4"/>
  <c r="M2798" i="4"/>
  <c r="M2801" i="4"/>
  <c r="M2804" i="4"/>
  <c r="M2809" i="4"/>
  <c r="M2817" i="4"/>
  <c r="M2819" i="4"/>
  <c r="M2824" i="4"/>
  <c r="M2826" i="4"/>
  <c r="M2832" i="4"/>
  <c r="M2848" i="4"/>
  <c r="M2862" i="4"/>
  <c r="M2870" i="4"/>
  <c r="M2871" i="4"/>
  <c r="M2873" i="4"/>
  <c r="M2880" i="4"/>
  <c r="M2881" i="4"/>
  <c r="M2886" i="4"/>
  <c r="M2885" i="4"/>
  <c r="M2896" i="4"/>
  <c r="M2897" i="4"/>
  <c r="M2910" i="4"/>
  <c r="M2911" i="4"/>
  <c r="M2916" i="4"/>
  <c r="M2935" i="4"/>
  <c r="M3154" i="4"/>
  <c r="M3155" i="4"/>
  <c r="M3156" i="4"/>
  <c r="M3157" i="4"/>
  <c r="M3158" i="4"/>
  <c r="M3161" i="4"/>
  <c r="M3197" i="4"/>
  <c r="M3198" i="4"/>
  <c r="M2645" i="4"/>
  <c r="M2750" i="4"/>
  <c r="M2575" i="4"/>
  <c r="M2773" i="4"/>
  <c r="M2803" i="4"/>
  <c r="M2778" i="4"/>
  <c r="M2683" i="4"/>
  <c r="M2672" i="4"/>
  <c r="M2673" i="4"/>
  <c r="M2674" i="4"/>
  <c r="M2676" i="4"/>
  <c r="M2677" i="4"/>
  <c r="M2678" i="4"/>
  <c r="M2680" i="4"/>
  <c r="M2681" i="4"/>
  <c r="M2682" i="4"/>
  <c r="M2675" i="4"/>
  <c r="M2679" i="4"/>
  <c r="M2745" i="4"/>
  <c r="M2746" i="4"/>
  <c r="M2878" i="4"/>
  <c r="M2688" i="4"/>
  <c r="M2664" i="4"/>
  <c r="M2687" i="4"/>
  <c r="M2707" i="4"/>
  <c r="M2877" i="4"/>
  <c r="M2946" i="4"/>
  <c r="M2852" i="4"/>
  <c r="M3186" i="4"/>
  <c r="M2597" i="4"/>
  <c r="M2739" i="4"/>
  <c r="M2740" i="4"/>
  <c r="M2741" i="4"/>
  <c r="M2748" i="4"/>
  <c r="M2751" i="4"/>
  <c r="M2752" i="4"/>
  <c r="M2794" i="4"/>
  <c r="M2827" i="4"/>
  <c r="M2844" i="4"/>
  <c r="M2845" i="4"/>
  <c r="M2908" i="4"/>
  <c r="M3165" i="4"/>
  <c r="M3167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3" i="4"/>
  <c r="M3185" i="4"/>
  <c r="M3187" i="4"/>
  <c r="M3188" i="4"/>
  <c r="M2834" i="4"/>
  <c r="M2835" i="4"/>
  <c r="M3184" i="4"/>
  <c r="M2709" i="4"/>
  <c r="M2904" i="4"/>
  <c r="M2906" i="4"/>
  <c r="M2907" i="4"/>
  <c r="M2606" i="4"/>
  <c r="M2711" i="4"/>
  <c r="M2712" i="4"/>
  <c r="M2797" i="4"/>
  <c r="M2822" i="4"/>
  <c r="M2905" i="4"/>
  <c r="M2654" i="4"/>
  <c r="M2592" i="4"/>
  <c r="M2634" i="4"/>
  <c r="M2618" i="4"/>
  <c r="M2593" i="4"/>
  <c r="M2913" i="4"/>
  <c r="M2633" i="4"/>
  <c r="M2637" i="4"/>
  <c r="M2818" i="4"/>
  <c r="M2890" i="4"/>
  <c r="M2591" i="4"/>
  <c r="M2594" i="4"/>
  <c r="M2595" i="4"/>
  <c r="M2624" i="4"/>
  <c r="M2625" i="4"/>
  <c r="M2626" i="4"/>
  <c r="M2628" i="4"/>
  <c r="M2706" i="4"/>
  <c r="M2713" i="4"/>
  <c r="M2714" i="4"/>
  <c r="M2840" i="4"/>
  <c r="M2895" i="4"/>
  <c r="M2898" i="4"/>
  <c r="M3162" i="4"/>
  <c r="M2777" i="4"/>
  <c r="M2630" i="4"/>
  <c r="M2632" i="4"/>
  <c r="M2636" i="4"/>
  <c r="M2620" i="4"/>
  <c r="M2627" i="4"/>
  <c r="M2639" i="4"/>
  <c r="M2768" i="4"/>
  <c r="M2865" i="4"/>
  <c r="M2879" i="4"/>
  <c r="M2914" i="4"/>
  <c r="M2915" i="4"/>
  <c r="M2934" i="4"/>
  <c r="M2940" i="4"/>
  <c r="M2941" i="4"/>
  <c r="M3126" i="4"/>
  <c r="M3127" i="4"/>
  <c r="M3128" i="4"/>
  <c r="M3138" i="4"/>
  <c r="M2622" i="4"/>
  <c r="M2882" i="4"/>
  <c r="M2655" i="4"/>
  <c r="M2569" i="4"/>
  <c r="M2899" i="4"/>
  <c r="M2816" i="4"/>
  <c r="M2928" i="4"/>
  <c r="M2755" i="4"/>
  <c r="M2608" i="4"/>
  <c r="M2653" i="4"/>
  <c r="M2789" i="4"/>
  <c r="M2868" i="4"/>
  <c r="M3120" i="4"/>
  <c r="M2571" i="4"/>
  <c r="M2753" i="4"/>
  <c r="M2779" i="4"/>
  <c r="M2820" i="4"/>
  <c r="M2823" i="4"/>
  <c r="M2825" i="4"/>
  <c r="M2850" i="4"/>
  <c r="M2766" i="4"/>
  <c r="M2782" i="4"/>
  <c r="M2802" i="4"/>
  <c r="M2744" i="4"/>
  <c r="M2612" i="4"/>
  <c r="M2656" i="4"/>
  <c r="M2663" i="4"/>
  <c r="M2701" i="4"/>
  <c r="M2795" i="4"/>
  <c r="M2833" i="4"/>
  <c r="M2866" i="4"/>
  <c r="M2901" i="4"/>
  <c r="M3145" i="4"/>
  <c r="M3146" i="4"/>
  <c r="M3159" i="4"/>
  <c r="M2927" i="4"/>
  <c r="M2747" i="4"/>
  <c r="M2771" i="4"/>
  <c r="M2721" i="4"/>
  <c r="M2635" i="4"/>
  <c r="M2623" i="4"/>
  <c r="M2629" i="4"/>
  <c r="M2631" i="4"/>
  <c r="M2638" i="4"/>
  <c r="M2912" i="4"/>
  <c r="M2598" i="4"/>
  <c r="M2717" i="4"/>
  <c r="M2720" i="4"/>
  <c r="M2787" i="4"/>
  <c r="M2621" i="4"/>
  <c r="M2642" i="4"/>
  <c r="M2718" i="4"/>
  <c r="M2719" i="4"/>
  <c r="M2722" i="4"/>
  <c r="M2730" i="4"/>
  <c r="M2733" i="4"/>
  <c r="M2734" i="4"/>
  <c r="M2735" i="4"/>
  <c r="M2736" i="4"/>
  <c r="M2737" i="4"/>
  <c r="M2738" i="4"/>
  <c r="M2742" i="4"/>
  <c r="M2757" i="4"/>
  <c r="M2764" i="4"/>
  <c r="M2765" i="4"/>
  <c r="M2769" i="4"/>
  <c r="M2770" i="4"/>
  <c r="M2780" i="4"/>
  <c r="M2786" i="4"/>
  <c r="M2805" i="4"/>
  <c r="M2807" i="4"/>
  <c r="M2808" i="4"/>
  <c r="M2884" i="4"/>
  <c r="M3122" i="4"/>
  <c r="M3123" i="4"/>
  <c r="M3124" i="4"/>
  <c r="M3147" i="4"/>
  <c r="M3148" i="4"/>
  <c r="M3149" i="4"/>
  <c r="M3150" i="4"/>
  <c r="M3151" i="4"/>
  <c r="M3160" i="4"/>
  <c r="M3196" i="4"/>
  <c r="M2806" i="4"/>
  <c r="M2883" i="4"/>
  <c r="M2903" i="4"/>
  <c r="M3152" i="4"/>
  <c r="M2619" i="4"/>
  <c r="M2853" i="4"/>
  <c r="M2854" i="4"/>
  <c r="M2855" i="4"/>
  <c r="M2856" i="4"/>
  <c r="M2954" i="4"/>
  <c r="M2956" i="4"/>
  <c r="M2957" i="4"/>
  <c r="M2958" i="4"/>
  <c r="M2959" i="4"/>
  <c r="M2960" i="4"/>
  <c r="M2972" i="4"/>
  <c r="M2973" i="4"/>
  <c r="M2974" i="4"/>
  <c r="M2975" i="4"/>
  <c r="M2976" i="4"/>
  <c r="M2978" i="4"/>
  <c r="M2980" i="4"/>
  <c r="M2982" i="4"/>
  <c r="M2983" i="4"/>
  <c r="M2984" i="4"/>
  <c r="M2985" i="4"/>
  <c r="M2986" i="4"/>
  <c r="M2988" i="4"/>
  <c r="M2990" i="4"/>
  <c r="M2991" i="4"/>
  <c r="M2992" i="4"/>
  <c r="M2993" i="4"/>
  <c r="M2998" i="4"/>
  <c r="M2999" i="4"/>
  <c r="M3000" i="4"/>
  <c r="M3001" i="4"/>
  <c r="M3003" i="4"/>
  <c r="M3004" i="4"/>
  <c r="M3005" i="4"/>
  <c r="M3006" i="4"/>
  <c r="M3009" i="4"/>
  <c r="M3010" i="4"/>
  <c r="M3011" i="4"/>
  <c r="M3012" i="4"/>
  <c r="M3014" i="4"/>
  <c r="M3018" i="4"/>
  <c r="M3019" i="4"/>
  <c r="M3020" i="4"/>
  <c r="M3021" i="4"/>
  <c r="M3022" i="4"/>
  <c r="M3023" i="4"/>
  <c r="M3024" i="4"/>
  <c r="M3025" i="4"/>
  <c r="M3026" i="4"/>
  <c r="M3035" i="4"/>
  <c r="M3036" i="4"/>
  <c r="M3038" i="4"/>
  <c r="M3040" i="4"/>
  <c r="M3041" i="4"/>
  <c r="M3042" i="4"/>
  <c r="M3044" i="4"/>
  <c r="M3045" i="4"/>
  <c r="M3048" i="4"/>
  <c r="M3049" i="4"/>
  <c r="M3052" i="4"/>
  <c r="M3053" i="4"/>
  <c r="M3055" i="4"/>
  <c r="M3056" i="4"/>
  <c r="M3057" i="4"/>
  <c r="M3060" i="4"/>
  <c r="M3062" i="4"/>
  <c r="M3063" i="4"/>
  <c r="M3064" i="4"/>
  <c r="M3065" i="4"/>
  <c r="M3066" i="4"/>
  <c r="M3069" i="4"/>
  <c r="M3070" i="4"/>
  <c r="M3071" i="4"/>
  <c r="M3072" i="4"/>
  <c r="M3075" i="4"/>
  <c r="M3076" i="4"/>
  <c r="M3077" i="4"/>
  <c r="M3078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9" i="4"/>
  <c r="M3102" i="4"/>
  <c r="M3106" i="4"/>
  <c r="M3107" i="4"/>
  <c r="M3108" i="4"/>
  <c r="M3109" i="4"/>
  <c r="M3111" i="4"/>
  <c r="M3112" i="4"/>
  <c r="M3115" i="4"/>
  <c r="M3116" i="4"/>
  <c r="M3118" i="4"/>
  <c r="M3113" i="4"/>
  <c r="M3007" i="4"/>
  <c r="M2997" i="4"/>
  <c r="M3016" i="4"/>
  <c r="M3043" i="4"/>
  <c r="M3101" i="4"/>
  <c r="M3034" i="4"/>
  <c r="M2857" i="4"/>
  <c r="M2858" i="4"/>
  <c r="M2955" i="4"/>
  <c r="M2966" i="4"/>
  <c r="M2977" i="4"/>
  <c r="M2979" i="4"/>
  <c r="M2995" i="4"/>
  <c r="M3008" i="4"/>
  <c r="M3033" i="4"/>
  <c r="M3037" i="4"/>
  <c r="M3054" i="4"/>
  <c r="M3073" i="4"/>
  <c r="M3074" i="4"/>
  <c r="M3114" i="4"/>
  <c r="M2961" i="4"/>
  <c r="M2981" i="4"/>
  <c r="M2987" i="4"/>
  <c r="M2989" i="4"/>
  <c r="M3002" i="4"/>
  <c r="M3013" i="4"/>
  <c r="M3039" i="4"/>
  <c r="M3047" i="4"/>
  <c r="M3050" i="4"/>
  <c r="M3051" i="4"/>
  <c r="M3059" i="4"/>
  <c r="M3067" i="4"/>
  <c r="M3068" i="4"/>
  <c r="M3100" i="4"/>
  <c r="M3117" i="4"/>
  <c r="M2859" i="4"/>
  <c r="M2962" i="4"/>
  <c r="M2964" i="4"/>
  <c r="M2965" i="4"/>
  <c r="M2967" i="4"/>
  <c r="M2968" i="4"/>
  <c r="M2969" i="4"/>
  <c r="M2970" i="4"/>
  <c r="M2971" i="4"/>
  <c r="M2996" i="4"/>
  <c r="M3015" i="4"/>
  <c r="M3017" i="4"/>
  <c r="M3028" i="4"/>
  <c r="M3029" i="4"/>
  <c r="M3030" i="4"/>
  <c r="M3031" i="4"/>
  <c r="M3032" i="4"/>
  <c r="M3058" i="4"/>
  <c r="M3079" i="4"/>
  <c r="M3080" i="4"/>
  <c r="M3081" i="4"/>
  <c r="M3098" i="4"/>
  <c r="M3103" i="4"/>
  <c r="M3104" i="4"/>
  <c r="M3105" i="4"/>
  <c r="M3110" i="4"/>
  <c r="M3119" i="4"/>
  <c r="M2994" i="4"/>
  <c r="M3027" i="4"/>
  <c r="M3046" i="4"/>
  <c r="M3061" i="4"/>
  <c r="M2602" i="4"/>
  <c r="M2568" i="4"/>
  <c r="M2587" i="4"/>
  <c r="M2590" i="4"/>
  <c r="M2662" i="4"/>
  <c r="M2692" i="4"/>
  <c r="M2874" i="4"/>
  <c r="M2660" i="4"/>
  <c r="M2930" i="4"/>
  <c r="M2705" i="4"/>
  <c r="M2731" i="4"/>
  <c r="M2867" i="4"/>
  <c r="M2704" i="4"/>
  <c r="M2566" i="4"/>
  <c r="M2567" i="4"/>
  <c r="M2671" i="4"/>
  <c r="M2728" i="4"/>
  <c r="M2810" i="4"/>
  <c r="M2599" i="4"/>
  <c r="M2697" i="4"/>
  <c r="M2743" i="4"/>
  <c r="M2565" i="4"/>
  <c r="M2562" i="4"/>
  <c r="M2563" i="4"/>
  <c r="M2564" i="4"/>
  <c r="M3166" i="4"/>
  <c r="M2814" i="4"/>
  <c r="M2815" i="4"/>
  <c r="M2570" i="4"/>
  <c r="M2573" i="4"/>
  <c r="M2572" i="4"/>
  <c r="M3129" i="4"/>
  <c r="M3130" i="4"/>
  <c r="M3131" i="4"/>
  <c r="M3132" i="4"/>
  <c r="M3133" i="4"/>
  <c r="M3134" i="4"/>
  <c r="M3135" i="4"/>
  <c r="M3136" i="4"/>
  <c r="M2963" i="4"/>
  <c r="M1467" i="4"/>
  <c r="M1468" i="4"/>
  <c r="M1608" i="4"/>
  <c r="M1776" i="4"/>
  <c r="M1778" i="4"/>
  <c r="M1343" i="4"/>
  <c r="M1361" i="4"/>
  <c r="M1362" i="4"/>
  <c r="M1363" i="4"/>
  <c r="M1364" i="4"/>
  <c r="M1366" i="4"/>
  <c r="M1436" i="4"/>
  <c r="M1437" i="4"/>
  <c r="M1438" i="4"/>
  <c r="M1439" i="4"/>
  <c r="M1440" i="4"/>
  <c r="M1463" i="4"/>
  <c r="M1466" i="4"/>
  <c r="M1469" i="4"/>
  <c r="M1488" i="4"/>
  <c r="M1489" i="4"/>
  <c r="M1501" i="4"/>
  <c r="M1529" i="4"/>
  <c r="M1530" i="4"/>
  <c r="M1554" i="4"/>
  <c r="M1612" i="4"/>
  <c r="M1633" i="4"/>
  <c r="M1765" i="4"/>
  <c r="M1777" i="4"/>
  <c r="M1779" i="4"/>
  <c r="M1783" i="4"/>
  <c r="M1820" i="4"/>
  <c r="M1426" i="4"/>
  <c r="M1609" i="4"/>
  <c r="M1610" i="4"/>
  <c r="M1328" i="4"/>
  <c r="M1330" i="4"/>
  <c r="M1365" i="4"/>
  <c r="M1374" i="4"/>
  <c r="M1402" i="4"/>
  <c r="M1462" i="4"/>
  <c r="M1780" i="4"/>
  <c r="M1781" i="4"/>
  <c r="M1782" i="4"/>
  <c r="M1297" i="4"/>
  <c r="M1307" i="4"/>
  <c r="M1308" i="4"/>
  <c r="M1309" i="4"/>
  <c r="M1310" i="4"/>
  <c r="M1311" i="4"/>
  <c r="M1312" i="4"/>
  <c r="M1357" i="4"/>
  <c r="M1602" i="4"/>
  <c r="M1603" i="4"/>
  <c r="M1604" i="4"/>
  <c r="M1605" i="4"/>
  <c r="M1606" i="4"/>
  <c r="M1607" i="4"/>
  <c r="M1611" i="4"/>
  <c r="M1613" i="4"/>
  <c r="M1818" i="4"/>
  <c r="M1464" i="4"/>
  <c r="M1368" i="4"/>
  <c r="M1492" i="4"/>
  <c r="M1580" i="4"/>
  <c r="M1763" i="4"/>
  <c r="M1491" i="4"/>
  <c r="M1536" i="4"/>
  <c r="M1522" i="4"/>
  <c r="M1334" i="4"/>
  <c r="M1636" i="4"/>
  <c r="M1638" i="4"/>
  <c r="M1521" i="4"/>
  <c r="M1621" i="4"/>
  <c r="M1762" i="4"/>
  <c r="M1320" i="4"/>
  <c r="M1533" i="4"/>
  <c r="M1482" i="4"/>
  <c r="M1535" i="4"/>
  <c r="M1788" i="4"/>
  <c r="M1335" i="4"/>
  <c r="M1339" i="4"/>
  <c r="M1341" i="4"/>
  <c r="M1348" i="4"/>
  <c r="M1376" i="4"/>
  <c r="M1403" i="4"/>
  <c r="M1412" i="4"/>
  <c r="M1423" i="4"/>
  <c r="M1424" i="4"/>
  <c r="M1476" i="4"/>
  <c r="M1477" i="4"/>
  <c r="M1509" i="4"/>
  <c r="M1510" i="4"/>
  <c r="M1523" i="4"/>
  <c r="M1524" i="4"/>
  <c r="M1528" i="4"/>
  <c r="M1540" i="4"/>
  <c r="M1564" i="4"/>
  <c r="M1567" i="4"/>
  <c r="M1579" i="4"/>
  <c r="M1614" i="4"/>
  <c r="M1615" i="4"/>
  <c r="M1620" i="4"/>
  <c r="M1759" i="4"/>
  <c r="M1764" i="4"/>
  <c r="M1795" i="4"/>
  <c r="M1801" i="4"/>
  <c r="M1803" i="4"/>
  <c r="M1814" i="4"/>
  <c r="M1326" i="4"/>
  <c r="M1327" i="4"/>
  <c r="M1340" i="4"/>
  <c r="M1405" i="4"/>
  <c r="M1406" i="4"/>
  <c r="M1417" i="4"/>
  <c r="M1461" i="4"/>
  <c r="M1534" i="4"/>
  <c r="M1541" i="4"/>
  <c r="M1552" i="4"/>
  <c r="M1581" i="4"/>
  <c r="M1585" i="4"/>
  <c r="M1599" i="4"/>
  <c r="M1618" i="4"/>
  <c r="M1792" i="4"/>
  <c r="M1819" i="4"/>
  <c r="M1551" i="4"/>
  <c r="M1542" i="4"/>
  <c r="M1336" i="4"/>
  <c r="M1431" i="4"/>
  <c r="M1571" i="4"/>
  <c r="M1619" i="4"/>
  <c r="M1484" i="4"/>
  <c r="M1407" i="4"/>
  <c r="M1408" i="4"/>
  <c r="M1409" i="4"/>
  <c r="M1637" i="4"/>
  <c r="M1490" i="4"/>
  <c r="M1629" i="4"/>
  <c r="M1305" i="4"/>
  <c r="M1400" i="4"/>
  <c r="M1413" i="4"/>
  <c r="M1442" i="4"/>
  <c r="M1465" i="4"/>
  <c r="M1416" i="4"/>
  <c r="M1545" i="4"/>
  <c r="M1798" i="4"/>
  <c r="M1527" i="4"/>
  <c r="M1358" i="4"/>
  <c r="M1359" i="4"/>
  <c r="M1555" i="4"/>
  <c r="M1314" i="4"/>
  <c r="M1315" i="4"/>
  <c r="M1316" i="4"/>
  <c r="M1317" i="4"/>
  <c r="M1319" i="4"/>
  <c r="M1322" i="4"/>
  <c r="M1331" i="4"/>
  <c r="M1332" i="4"/>
  <c r="M1337" i="4"/>
  <c r="M1344" i="4"/>
  <c r="M1345" i="4"/>
  <c r="M1373" i="4"/>
  <c r="M1378" i="4"/>
  <c r="M1380" i="4"/>
  <c r="M1381" i="4"/>
  <c r="M1382" i="4"/>
  <c r="M1383" i="4"/>
  <c r="M1384" i="4"/>
  <c r="M1394" i="4"/>
  <c r="M1395" i="4"/>
  <c r="M1396" i="4"/>
  <c r="M1401" i="4"/>
  <c r="M1411" i="4"/>
  <c r="M1414" i="4"/>
  <c r="M1421" i="4"/>
  <c r="M1432" i="4"/>
  <c r="M1456" i="4"/>
  <c r="M1459" i="4"/>
  <c r="M1474" i="4"/>
  <c r="M1487" i="4"/>
  <c r="M1495" i="4"/>
  <c r="M1499" i="4"/>
  <c r="M1500" i="4"/>
  <c r="M1502" i="4"/>
  <c r="M1507" i="4"/>
  <c r="M1513" i="4"/>
  <c r="M1514" i="4"/>
  <c r="M1518" i="4"/>
  <c r="M1519" i="4"/>
  <c r="M1525" i="4"/>
  <c r="M1532" i="4"/>
  <c r="M1539" i="4"/>
  <c r="M1553" i="4"/>
  <c r="M1565" i="4"/>
  <c r="M1566" i="4"/>
  <c r="M1568" i="4"/>
  <c r="M1573" i="4"/>
  <c r="M1574" i="4"/>
  <c r="M1578" i="4"/>
  <c r="M1577" i="4"/>
  <c r="M1583" i="4"/>
  <c r="M1584" i="4"/>
  <c r="M1598" i="4"/>
  <c r="M1601" i="4"/>
  <c r="M1623" i="4"/>
  <c r="M1789" i="4"/>
  <c r="M1790" i="4"/>
  <c r="M1791" i="4"/>
  <c r="M1793" i="4"/>
  <c r="M1794" i="4"/>
  <c r="M1800" i="4"/>
  <c r="M1824" i="4"/>
  <c r="M1825" i="4"/>
  <c r="M1826" i="4"/>
  <c r="M1827" i="4"/>
  <c r="M1360" i="4"/>
  <c r="M1457" i="4"/>
  <c r="M1306" i="4"/>
  <c r="M1475" i="4"/>
  <c r="M1504" i="4"/>
  <c r="M1479" i="4"/>
  <c r="M1386" i="4"/>
  <c r="M1387" i="4"/>
  <c r="M1388" i="4"/>
  <c r="M1389" i="4"/>
  <c r="M1390" i="4"/>
  <c r="M1392" i="4"/>
  <c r="M1393" i="4"/>
  <c r="M1391" i="4"/>
  <c r="M1478" i="4"/>
  <c r="M1787" i="4"/>
  <c r="M1450" i="4"/>
  <c r="M1397" i="4"/>
  <c r="M1399" i="4"/>
  <c r="M1422" i="4"/>
  <c r="M1634" i="4"/>
  <c r="M1427" i="4"/>
  <c r="M1627" i="4"/>
  <c r="M1625" i="4"/>
  <c r="M1626" i="4"/>
  <c r="M1628" i="4"/>
  <c r="M1447" i="4"/>
  <c r="M1454" i="4"/>
  <c r="M1455" i="4"/>
  <c r="M1494" i="4"/>
  <c r="M1520" i="4"/>
  <c r="M1546" i="4"/>
  <c r="M1547" i="4"/>
  <c r="M1548" i="4"/>
  <c r="M1624" i="4"/>
  <c r="M1796" i="4"/>
  <c r="M1804" i="4"/>
  <c r="M1805" i="4"/>
  <c r="M1806" i="4"/>
  <c r="M1807" i="4"/>
  <c r="M1808" i="4"/>
  <c r="M1809" i="4"/>
  <c r="M1810" i="4"/>
  <c r="M1811" i="4"/>
  <c r="M1812" i="4"/>
  <c r="M1813" i="4"/>
  <c r="M1815" i="4"/>
  <c r="M1816" i="4"/>
  <c r="M1635" i="4"/>
  <c r="M1537" i="4"/>
  <c r="M1538" i="4"/>
  <c r="M1817" i="4"/>
  <c r="M1595" i="4"/>
  <c r="M1591" i="4"/>
  <c r="M1367" i="4"/>
  <c r="M1592" i="4"/>
  <c r="M1596" i="4"/>
  <c r="M1757" i="4"/>
  <c r="M1597" i="4"/>
  <c r="M1496" i="4"/>
  <c r="M1333" i="4"/>
  <c r="M1425" i="4"/>
  <c r="M1429" i="4"/>
  <c r="M1498" i="4"/>
  <c r="M1516" i="4"/>
  <c r="M1593" i="4"/>
  <c r="M1594" i="4"/>
  <c r="M1823" i="4"/>
  <c r="M1497" i="4"/>
  <c r="M1370" i="4"/>
  <c r="M1353" i="4"/>
  <c r="M1430" i="4"/>
  <c r="M1531" i="4"/>
  <c r="M1582" i="4"/>
  <c r="M1354" i="4"/>
  <c r="M1349" i="4"/>
  <c r="M1356" i="4"/>
  <c r="M1556" i="4"/>
  <c r="M1557" i="4"/>
  <c r="M1572" i="4"/>
  <c r="M1622" i="4"/>
  <c r="M1631" i="4"/>
  <c r="M1632" i="4"/>
  <c r="M1766" i="4"/>
  <c r="M1767" i="4"/>
  <c r="M1775" i="4"/>
  <c r="M1569" i="4"/>
  <c r="M1821" i="4"/>
  <c r="M1630" i="4"/>
  <c r="M1575" i="4"/>
  <c r="M1371" i="4"/>
  <c r="M1587" i="4"/>
  <c r="M1588" i="4"/>
  <c r="M1589" i="4"/>
  <c r="M1586" i="4"/>
  <c r="M1617" i="4"/>
  <c r="M1460" i="4"/>
  <c r="M1369" i="4"/>
  <c r="M1563" i="4"/>
  <c r="M1758" i="4"/>
  <c r="M1761" i="4"/>
  <c r="M1458" i="4"/>
  <c r="M1480" i="4"/>
  <c r="M1515" i="4"/>
  <c r="M1517" i="4"/>
  <c r="M1543" i="4"/>
  <c r="M1471" i="4"/>
  <c r="M1550" i="4"/>
  <c r="M1503" i="4"/>
  <c r="M1452" i="4"/>
  <c r="M1338" i="4"/>
  <c r="M1372" i="4"/>
  <c r="M1379" i="4"/>
  <c r="M1415" i="4"/>
  <c r="M1451" i="4"/>
  <c r="M1483" i="4"/>
  <c r="M1493" i="4"/>
  <c r="M1526" i="4"/>
  <c r="M1559" i="4"/>
  <c r="M1590" i="4"/>
  <c r="M1784" i="4"/>
  <c r="M1785" i="4"/>
  <c r="M1797" i="4"/>
  <c r="M1558" i="4"/>
  <c r="M1616" i="4"/>
  <c r="M1453" i="4"/>
  <c r="M1473" i="4"/>
  <c r="M1351" i="4"/>
  <c r="M1352" i="4"/>
  <c r="M1355" i="4"/>
  <c r="M1600" i="4"/>
  <c r="M1324" i="4"/>
  <c r="M1350" i="4"/>
  <c r="M1433" i="4"/>
  <c r="M1435" i="4"/>
  <c r="M1443" i="4"/>
  <c r="M1446" i="4"/>
  <c r="M1448" i="4"/>
  <c r="M1470" i="4"/>
  <c r="M1472" i="4"/>
  <c r="M1481" i="4"/>
  <c r="M1485" i="4"/>
  <c r="M1486" i="4"/>
  <c r="M1506" i="4"/>
  <c r="M1576" i="4"/>
  <c r="M1760" i="4"/>
  <c r="M1786" i="4"/>
  <c r="M1799" i="4"/>
  <c r="M1822" i="4"/>
  <c r="M1434" i="4"/>
  <c r="M1505" i="4"/>
  <c r="M1549" i="4"/>
  <c r="M1639" i="4"/>
  <c r="M1640" i="4"/>
  <c r="M1641" i="4"/>
  <c r="M1642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3" i="4"/>
  <c r="M1674" i="4"/>
  <c r="M1675" i="4"/>
  <c r="M1676" i="4"/>
  <c r="M1677" i="4"/>
  <c r="M1678" i="4"/>
  <c r="M1680" i="4"/>
  <c r="M1681" i="4"/>
  <c r="M1682" i="4"/>
  <c r="M1683" i="4"/>
  <c r="M1685" i="4"/>
  <c r="M1686" i="4"/>
  <c r="M1687" i="4"/>
  <c r="M1689" i="4"/>
  <c r="M1690" i="4"/>
  <c r="M1691" i="4"/>
  <c r="M1692" i="4"/>
  <c r="M1693" i="4"/>
  <c r="M1694" i="4"/>
  <c r="M1698" i="4"/>
  <c r="M1699" i="4"/>
  <c r="M1700" i="4"/>
  <c r="M1701" i="4"/>
  <c r="M1702" i="4"/>
  <c r="M1703" i="4"/>
  <c r="M1704" i="4"/>
  <c r="M1705" i="4"/>
  <c r="M1706" i="4"/>
  <c r="M1708" i="4"/>
  <c r="M1709" i="4"/>
  <c r="M1711" i="4"/>
  <c r="M1712" i="4"/>
  <c r="M1713" i="4"/>
  <c r="M1714" i="4"/>
  <c r="M1715" i="4"/>
  <c r="M1716" i="4"/>
  <c r="M1718" i="4"/>
  <c r="M1719" i="4"/>
  <c r="M1720" i="4"/>
  <c r="M1721" i="4"/>
  <c r="M1722" i="4"/>
  <c r="M1723" i="4"/>
  <c r="M1724" i="4"/>
  <c r="M1725" i="4"/>
  <c r="M1726" i="4"/>
  <c r="M1727" i="4"/>
  <c r="M1728" i="4"/>
  <c r="M1733" i="4"/>
  <c r="M1734" i="4"/>
  <c r="M1735" i="4"/>
  <c r="M1736" i="4"/>
  <c r="M1737" i="4"/>
  <c r="M1738" i="4"/>
  <c r="M1739" i="4"/>
  <c r="M1740" i="4"/>
  <c r="M1741" i="4"/>
  <c r="M1745" i="4"/>
  <c r="M1746" i="4"/>
  <c r="M1747" i="4"/>
  <c r="M1748" i="4"/>
  <c r="M1751" i="4"/>
  <c r="M1752" i="4"/>
  <c r="M1753" i="4"/>
  <c r="M1754" i="4"/>
  <c r="M1750" i="4"/>
  <c r="M1688" i="4"/>
  <c r="M1729" i="4"/>
  <c r="M1710" i="4"/>
  <c r="M1643" i="4"/>
  <c r="M1645" i="4"/>
  <c r="M1646" i="4"/>
  <c r="M1672" i="4"/>
  <c r="M1679" i="4"/>
  <c r="M1684" i="4"/>
  <c r="M1696" i="4"/>
  <c r="M1697" i="4"/>
  <c r="M1707" i="4"/>
  <c r="M1730" i="4"/>
  <c r="M1731" i="4"/>
  <c r="M1732" i="4"/>
  <c r="M1742" i="4"/>
  <c r="M1743" i="4"/>
  <c r="M1744" i="4"/>
  <c r="M1749" i="4"/>
  <c r="M1755" i="4"/>
  <c r="M1756" i="4"/>
  <c r="M1671" i="4"/>
  <c r="M1695" i="4"/>
  <c r="M1717" i="4"/>
  <c r="M1377" i="4"/>
  <c r="M1329" i="4"/>
  <c r="M1346" i="4"/>
  <c r="M1313" i="4"/>
  <c r="M1302" i="4"/>
  <c r="M1318" i="4"/>
  <c r="M1321" i="4"/>
  <c r="M1404" i="4"/>
  <c r="M1570" i="4"/>
  <c r="M1375" i="4"/>
  <c r="M1323" i="4"/>
  <c r="M1420" i="4"/>
  <c r="M1418" i="4"/>
  <c r="M1444" i="4"/>
  <c r="M1445" i="4"/>
  <c r="M1428" i="4"/>
  <c r="M1342" i="4"/>
  <c r="M1419" i="4"/>
  <c r="M1560" i="4"/>
  <c r="M1562" i="4"/>
  <c r="M1561" i="4"/>
  <c r="M1385" i="4"/>
  <c r="M1441" i="4"/>
  <c r="M1508" i="4"/>
  <c r="M1325" i="4"/>
  <c r="M1410" i="4"/>
  <c r="M1398" i="4"/>
  <c r="M1449" i="4"/>
  <c r="M1347" i="4"/>
  <c r="M1544" i="4"/>
  <c r="M1301" i="4"/>
  <c r="M1298" i="4"/>
  <c r="M1299" i="4"/>
  <c r="M1802" i="4"/>
  <c r="M1300" i="4"/>
  <c r="M1511" i="4"/>
  <c r="M1512" i="4"/>
  <c r="M1303" i="4"/>
  <c r="M1304" i="4"/>
  <c r="M1768" i="4"/>
  <c r="M1769" i="4"/>
  <c r="M1770" i="4"/>
  <c r="M1771" i="4"/>
  <c r="M1772" i="4"/>
  <c r="M1773" i="4"/>
  <c r="M1774" i="4"/>
  <c r="M1644" i="4"/>
  <c r="M4894" i="4"/>
  <c r="M5255" i="4"/>
  <c r="M5473" i="4"/>
  <c r="M5527" i="4"/>
  <c r="M4949" i="4"/>
  <c r="M4980" i="4"/>
  <c r="M4981" i="4"/>
  <c r="M4982" i="4"/>
  <c r="M4983" i="4"/>
  <c r="M4985" i="4"/>
  <c r="M5057" i="4"/>
  <c r="M5058" i="4"/>
  <c r="M5059" i="4"/>
  <c r="M5060" i="4"/>
  <c r="M5061" i="4"/>
  <c r="M5093" i="4"/>
  <c r="M5097" i="4"/>
  <c r="M5134" i="4"/>
  <c r="M5172" i="4"/>
  <c r="M5173" i="4"/>
  <c r="M5197" i="4"/>
  <c r="M5257" i="4"/>
  <c r="M5277" i="4"/>
  <c r="M5459" i="4"/>
  <c r="M5474" i="4"/>
  <c r="M5475" i="4"/>
  <c r="M5497" i="4"/>
  <c r="M5498" i="4"/>
  <c r="M5529" i="4"/>
  <c r="M5101" i="4"/>
  <c r="M4935" i="4"/>
  <c r="M4937" i="4"/>
  <c r="M4984" i="4"/>
  <c r="M4992" i="4"/>
  <c r="M5025" i="4"/>
  <c r="M5092" i="4"/>
  <c r="M5476" i="4"/>
  <c r="M5477" i="4"/>
  <c r="M5478" i="4"/>
  <c r="M5528" i="4"/>
  <c r="M4895" i="4"/>
  <c r="M4910" i="4"/>
  <c r="M4911" i="4"/>
  <c r="M4912" i="4"/>
  <c r="M4913" i="4"/>
  <c r="M4914" i="4"/>
  <c r="M4915" i="4"/>
  <c r="M4974" i="4"/>
  <c r="M5251" i="4"/>
  <c r="M5252" i="4"/>
  <c r="M5253" i="4"/>
  <c r="M5254" i="4"/>
  <c r="M5256" i="4"/>
  <c r="M5258" i="4"/>
  <c r="M5524" i="4"/>
  <c r="M5094" i="4"/>
  <c r="M5127" i="4"/>
  <c r="M5225" i="4"/>
  <c r="M5226" i="4"/>
  <c r="M5227" i="4"/>
  <c r="M5523" i="4"/>
  <c r="M4986" i="4"/>
  <c r="M5126" i="4"/>
  <c r="M5180" i="4"/>
  <c r="M5185" i="4"/>
  <c r="M5090" i="4"/>
  <c r="M5145" i="4"/>
  <c r="M5163" i="4"/>
  <c r="M4941" i="4"/>
  <c r="M5271" i="4"/>
  <c r="M5276" i="4"/>
  <c r="M5284" i="4"/>
  <c r="M5286" i="4"/>
  <c r="M5210" i="4"/>
  <c r="M5267" i="4"/>
  <c r="M5020" i="4"/>
  <c r="M5273" i="4"/>
  <c r="M4923" i="4"/>
  <c r="M5155" i="4"/>
  <c r="M5181" i="4"/>
  <c r="M5195" i="4"/>
  <c r="M5221" i="4"/>
  <c r="M5287" i="4"/>
  <c r="M5175" i="4"/>
  <c r="M5223" i="4"/>
  <c r="M5260" i="4"/>
  <c r="M5272" i="4"/>
  <c r="M5281" i="4"/>
  <c r="M5117" i="4"/>
  <c r="M5162" i="4"/>
  <c r="M5177" i="4"/>
  <c r="M5471" i="4"/>
  <c r="M5487" i="4"/>
  <c r="M5525" i="4"/>
  <c r="M4943" i="4"/>
  <c r="M4945" i="4"/>
  <c r="M4947" i="4"/>
  <c r="M4948" i="4"/>
  <c r="M4995" i="4"/>
  <c r="M5036" i="4"/>
  <c r="M5042" i="4"/>
  <c r="M5044" i="4"/>
  <c r="M5109" i="4"/>
  <c r="M5110" i="4"/>
  <c r="M5146" i="4"/>
  <c r="M5147" i="4"/>
  <c r="M5164" i="4"/>
  <c r="M5165" i="4"/>
  <c r="M5171" i="4"/>
  <c r="M5183" i="4"/>
  <c r="M5203" i="4"/>
  <c r="M5206" i="4"/>
  <c r="M5209" i="4"/>
  <c r="M5222" i="4"/>
  <c r="M5236" i="4"/>
  <c r="M5259" i="4"/>
  <c r="M5266" i="4"/>
  <c r="M5282" i="4"/>
  <c r="M5283" i="4"/>
  <c r="M5455" i="4"/>
  <c r="M5502" i="4"/>
  <c r="M5516" i="4"/>
  <c r="M5234" i="4"/>
  <c r="M4934" i="4"/>
  <c r="M5027" i="4"/>
  <c r="M5176" i="4"/>
  <c r="M5194" i="4"/>
  <c r="M5228" i="4"/>
  <c r="M5263" i="4"/>
  <c r="M5526" i="4"/>
  <c r="M5000" i="4"/>
  <c r="M5037" i="4"/>
  <c r="M5049" i="4"/>
  <c r="M5265" i="4"/>
  <c r="M5118" i="4"/>
  <c r="M5119" i="4"/>
  <c r="M5133" i="4"/>
  <c r="M5278" i="4"/>
  <c r="M5028" i="4"/>
  <c r="M5029" i="4"/>
  <c r="M5030" i="4"/>
  <c r="M5095" i="4"/>
  <c r="M5285" i="4"/>
  <c r="M4993" i="4"/>
  <c r="M5125" i="4"/>
  <c r="M5270" i="4"/>
  <c r="M4908" i="4"/>
  <c r="M5023" i="4"/>
  <c r="M5033" i="4"/>
  <c r="M5063" i="4"/>
  <c r="M5096" i="4"/>
  <c r="M5124" i="4"/>
  <c r="M4977" i="4"/>
  <c r="M5243" i="4"/>
  <c r="M5279" i="4"/>
  <c r="M5170" i="4"/>
  <c r="M4975" i="4"/>
  <c r="M4978" i="4"/>
  <c r="M4950" i="4"/>
  <c r="M4919" i="4"/>
  <c r="M5198" i="4"/>
  <c r="M4916" i="4"/>
  <c r="M4917" i="4"/>
  <c r="M4918" i="4"/>
  <c r="M4920" i="4"/>
  <c r="M4922" i="4"/>
  <c r="M4930" i="4"/>
  <c r="M4938" i="4"/>
  <c r="M4939" i="4"/>
  <c r="M4944" i="4"/>
  <c r="M4951" i="4"/>
  <c r="M4991" i="4"/>
  <c r="M4999" i="4"/>
  <c r="M5001" i="4"/>
  <c r="M5002" i="4"/>
  <c r="M5003" i="4"/>
  <c r="M5004" i="4"/>
  <c r="M5018" i="4"/>
  <c r="M5019" i="4"/>
  <c r="M5024" i="4"/>
  <c r="M5032" i="4"/>
  <c r="M5034" i="4"/>
  <c r="M5050" i="4"/>
  <c r="M5066" i="4"/>
  <c r="M5083" i="4"/>
  <c r="M5088" i="4"/>
  <c r="M5106" i="4"/>
  <c r="M5108" i="4"/>
  <c r="M5115" i="4"/>
  <c r="M5122" i="4"/>
  <c r="M5130" i="4"/>
  <c r="M5132" i="4"/>
  <c r="M5135" i="4"/>
  <c r="M5138" i="4"/>
  <c r="M5143" i="4"/>
  <c r="M5151" i="4"/>
  <c r="M5153" i="4"/>
  <c r="M5158" i="4"/>
  <c r="M5160" i="4"/>
  <c r="M5166" i="4"/>
  <c r="M5182" i="4"/>
  <c r="M5196" i="4"/>
  <c r="M5204" i="4"/>
  <c r="M5205" i="4"/>
  <c r="M5207" i="4"/>
  <c r="M5214" i="4"/>
  <c r="M5215" i="4"/>
  <c r="M5220" i="4"/>
  <c r="M5219" i="4"/>
  <c r="M5230" i="4"/>
  <c r="M5231" i="4"/>
  <c r="M5244" i="4"/>
  <c r="M5245" i="4"/>
  <c r="M5250" i="4"/>
  <c r="M5269" i="4"/>
  <c r="M5488" i="4"/>
  <c r="M5489" i="4"/>
  <c r="M5490" i="4"/>
  <c r="M5491" i="4"/>
  <c r="M5492" i="4"/>
  <c r="M5495" i="4"/>
  <c r="M5531" i="4"/>
  <c r="M5532" i="4"/>
  <c r="M4979" i="4"/>
  <c r="M5084" i="4"/>
  <c r="M4909" i="4"/>
  <c r="M5107" i="4"/>
  <c r="M5137" i="4"/>
  <c r="M5112" i="4"/>
  <c r="M5017" i="4"/>
  <c r="M5006" i="4"/>
  <c r="M5007" i="4"/>
  <c r="M5008" i="4"/>
  <c r="M5010" i="4"/>
  <c r="M5011" i="4"/>
  <c r="M5012" i="4"/>
  <c r="M5014" i="4"/>
  <c r="M5015" i="4"/>
  <c r="M5016" i="4"/>
  <c r="M5009" i="4"/>
  <c r="M5013" i="4"/>
  <c r="M5079" i="4"/>
  <c r="M5080" i="4"/>
  <c r="M5212" i="4"/>
  <c r="M5022" i="4"/>
  <c r="M4998" i="4"/>
  <c r="M5021" i="4"/>
  <c r="M5041" i="4"/>
  <c r="M5211" i="4"/>
  <c r="M5280" i="4"/>
  <c r="M5186" i="4"/>
  <c r="M5520" i="4"/>
  <c r="M4931" i="4"/>
  <c r="M5073" i="4"/>
  <c r="M5074" i="4"/>
  <c r="M5075" i="4"/>
  <c r="M5082" i="4"/>
  <c r="M5085" i="4"/>
  <c r="M5086" i="4"/>
  <c r="M5128" i="4"/>
  <c r="M5161" i="4"/>
  <c r="M5178" i="4"/>
  <c r="M5179" i="4"/>
  <c r="M5242" i="4"/>
  <c r="M5499" i="4"/>
  <c r="M5501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7" i="4"/>
  <c r="M5519" i="4"/>
  <c r="M5521" i="4"/>
  <c r="M5522" i="4"/>
  <c r="M5168" i="4"/>
  <c r="M5169" i="4"/>
  <c r="M5518" i="4"/>
  <c r="M5043" i="4"/>
  <c r="M5238" i="4"/>
  <c r="M5240" i="4"/>
  <c r="M5241" i="4"/>
  <c r="M4940" i="4"/>
  <c r="M5045" i="4"/>
  <c r="M5046" i="4"/>
  <c r="M5131" i="4"/>
  <c r="M5156" i="4"/>
  <c r="M5239" i="4"/>
  <c r="M4988" i="4"/>
  <c r="M4926" i="4"/>
  <c r="M4968" i="4"/>
  <c r="M4952" i="4"/>
  <c r="M4927" i="4"/>
  <c r="M5247" i="4"/>
  <c r="M4967" i="4"/>
  <c r="M4971" i="4"/>
  <c r="M5152" i="4"/>
  <c r="M5224" i="4"/>
  <c r="M4925" i="4"/>
  <c r="M4928" i="4"/>
  <c r="M4929" i="4"/>
  <c r="M4958" i="4"/>
  <c r="M4959" i="4"/>
  <c r="M4960" i="4"/>
  <c r="M4962" i="4"/>
  <c r="M5040" i="4"/>
  <c r="M5047" i="4"/>
  <c r="M5048" i="4"/>
  <c r="M5174" i="4"/>
  <c r="M5229" i="4"/>
  <c r="M5232" i="4"/>
  <c r="M5496" i="4"/>
  <c r="M5111" i="4"/>
  <c r="M4964" i="4"/>
  <c r="M4966" i="4"/>
  <c r="M4970" i="4"/>
  <c r="M4954" i="4"/>
  <c r="M4961" i="4"/>
  <c r="M4973" i="4"/>
  <c r="M5102" i="4"/>
  <c r="M5199" i="4"/>
  <c r="M5213" i="4"/>
  <c r="M5248" i="4"/>
  <c r="M5249" i="4"/>
  <c r="M5268" i="4"/>
  <c r="M5274" i="4"/>
  <c r="M5275" i="4"/>
  <c r="M5460" i="4"/>
  <c r="M5461" i="4"/>
  <c r="M5462" i="4"/>
  <c r="M5472" i="4"/>
  <c r="M4956" i="4"/>
  <c r="M5216" i="4"/>
  <c r="M4989" i="4"/>
  <c r="M4903" i="4"/>
  <c r="M5233" i="4"/>
  <c r="M5150" i="4"/>
  <c r="M5262" i="4"/>
  <c r="M5089" i="4"/>
  <c r="M4942" i="4"/>
  <c r="M4987" i="4"/>
  <c r="M5123" i="4"/>
  <c r="M5202" i="4"/>
  <c r="M5454" i="4"/>
  <c r="M4905" i="4"/>
  <c r="M5087" i="4"/>
  <c r="M5113" i="4"/>
  <c r="M5154" i="4"/>
  <c r="M5157" i="4"/>
  <c r="M5159" i="4"/>
  <c r="M5184" i="4"/>
  <c r="M5100" i="4"/>
  <c r="M5116" i="4"/>
  <c r="M5136" i="4"/>
  <c r="M5078" i="4"/>
  <c r="M4946" i="4"/>
  <c r="M4990" i="4"/>
  <c r="M4997" i="4"/>
  <c r="M5035" i="4"/>
  <c r="M5129" i="4"/>
  <c r="M5167" i="4"/>
  <c r="M5200" i="4"/>
  <c r="M5235" i="4"/>
  <c r="M5479" i="4"/>
  <c r="M5480" i="4"/>
  <c r="M5493" i="4"/>
  <c r="M5261" i="4"/>
  <c r="M5081" i="4"/>
  <c r="M5105" i="4"/>
  <c r="M5055" i="4"/>
  <c r="M4969" i="4"/>
  <c r="M4957" i="4"/>
  <c r="M4963" i="4"/>
  <c r="M4965" i="4"/>
  <c r="M4972" i="4"/>
  <c r="M5246" i="4"/>
  <c r="M4932" i="4"/>
  <c r="M5051" i="4"/>
  <c r="M5054" i="4"/>
  <c r="M5121" i="4"/>
  <c r="M4955" i="4"/>
  <c r="M4976" i="4"/>
  <c r="M5052" i="4"/>
  <c r="M5053" i="4"/>
  <c r="M5056" i="4"/>
  <c r="M5064" i="4"/>
  <c r="M5067" i="4"/>
  <c r="M5068" i="4"/>
  <c r="M5069" i="4"/>
  <c r="M5070" i="4"/>
  <c r="M5071" i="4"/>
  <c r="M5072" i="4"/>
  <c r="M5076" i="4"/>
  <c r="M5091" i="4"/>
  <c r="M5098" i="4"/>
  <c r="M5099" i="4"/>
  <c r="M5103" i="4"/>
  <c r="M5104" i="4"/>
  <c r="M5114" i="4"/>
  <c r="M5120" i="4"/>
  <c r="M5139" i="4"/>
  <c r="M5141" i="4"/>
  <c r="M5142" i="4"/>
  <c r="M5218" i="4"/>
  <c r="M5456" i="4"/>
  <c r="M5457" i="4"/>
  <c r="M5458" i="4"/>
  <c r="M5481" i="4"/>
  <c r="M5482" i="4"/>
  <c r="M5483" i="4"/>
  <c r="M5484" i="4"/>
  <c r="M5485" i="4"/>
  <c r="M5494" i="4"/>
  <c r="M5530" i="4"/>
  <c r="M5140" i="4"/>
  <c r="M5217" i="4"/>
  <c r="M5237" i="4"/>
  <c r="M5486" i="4"/>
  <c r="M4953" i="4"/>
  <c r="M5187" i="4"/>
  <c r="M5188" i="4"/>
  <c r="M5189" i="4"/>
  <c r="M5190" i="4"/>
  <c r="M5288" i="4"/>
  <c r="M5290" i="4"/>
  <c r="M5291" i="4"/>
  <c r="M5292" i="4"/>
  <c r="M5293" i="4"/>
  <c r="M5294" i="4"/>
  <c r="M5306" i="4"/>
  <c r="M5307" i="4"/>
  <c r="M5308" i="4"/>
  <c r="M5309" i="4"/>
  <c r="M5310" i="4"/>
  <c r="M5312" i="4"/>
  <c r="M5314" i="4"/>
  <c r="M5316" i="4"/>
  <c r="M5317" i="4"/>
  <c r="M5318" i="4"/>
  <c r="M5319" i="4"/>
  <c r="M5320" i="4"/>
  <c r="M5322" i="4"/>
  <c r="M5324" i="4"/>
  <c r="M5325" i="4"/>
  <c r="M5326" i="4"/>
  <c r="M5327" i="4"/>
  <c r="M5332" i="4"/>
  <c r="M5333" i="4"/>
  <c r="M5334" i="4"/>
  <c r="M5335" i="4"/>
  <c r="M5337" i="4"/>
  <c r="M5338" i="4"/>
  <c r="M5339" i="4"/>
  <c r="M5340" i="4"/>
  <c r="M5343" i="4"/>
  <c r="M5344" i="4"/>
  <c r="M5345" i="4"/>
  <c r="M5346" i="4"/>
  <c r="M5348" i="4"/>
  <c r="M5352" i="4"/>
  <c r="M5353" i="4"/>
  <c r="M5354" i="4"/>
  <c r="M5355" i="4"/>
  <c r="M5356" i="4"/>
  <c r="M5357" i="4"/>
  <c r="M5358" i="4"/>
  <c r="M5359" i="4"/>
  <c r="M5360" i="4"/>
  <c r="M5369" i="4"/>
  <c r="M5370" i="4"/>
  <c r="M5372" i="4"/>
  <c r="M5374" i="4"/>
  <c r="M5375" i="4"/>
  <c r="M5376" i="4"/>
  <c r="M5378" i="4"/>
  <c r="M5379" i="4"/>
  <c r="M5382" i="4"/>
  <c r="M5383" i="4"/>
  <c r="M5386" i="4"/>
  <c r="M5387" i="4"/>
  <c r="M5389" i="4"/>
  <c r="M5390" i="4"/>
  <c r="M5391" i="4"/>
  <c r="M5394" i="4"/>
  <c r="M5396" i="4"/>
  <c r="M5397" i="4"/>
  <c r="M5398" i="4"/>
  <c r="M5399" i="4"/>
  <c r="M5400" i="4"/>
  <c r="M5403" i="4"/>
  <c r="M5404" i="4"/>
  <c r="M5405" i="4"/>
  <c r="M5406" i="4"/>
  <c r="M5409" i="4"/>
  <c r="M5410" i="4"/>
  <c r="M5411" i="4"/>
  <c r="M5412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3" i="4"/>
  <c r="M5436" i="4"/>
  <c r="M5440" i="4"/>
  <c r="M5441" i="4"/>
  <c r="M5442" i="4"/>
  <c r="M5443" i="4"/>
  <c r="M5445" i="4"/>
  <c r="M5446" i="4"/>
  <c r="M5449" i="4"/>
  <c r="M5450" i="4"/>
  <c r="M5452" i="4"/>
  <c r="M5447" i="4"/>
  <c r="M5341" i="4"/>
  <c r="M5331" i="4"/>
  <c r="M5350" i="4"/>
  <c r="M5377" i="4"/>
  <c r="M5435" i="4"/>
  <c r="M5368" i="4"/>
  <c r="M5191" i="4"/>
  <c r="M5192" i="4"/>
  <c r="M5289" i="4"/>
  <c r="M5300" i="4"/>
  <c r="M5311" i="4"/>
  <c r="M5313" i="4"/>
  <c r="M5329" i="4"/>
  <c r="M5342" i="4"/>
  <c r="M5367" i="4"/>
  <c r="M5371" i="4"/>
  <c r="M5388" i="4"/>
  <c r="M5407" i="4"/>
  <c r="M5408" i="4"/>
  <c r="M5448" i="4"/>
  <c r="M5295" i="4"/>
  <c r="M5315" i="4"/>
  <c r="M5321" i="4"/>
  <c r="M5323" i="4"/>
  <c r="M5336" i="4"/>
  <c r="M5347" i="4"/>
  <c r="M5373" i="4"/>
  <c r="M5381" i="4"/>
  <c r="M5384" i="4"/>
  <c r="M5385" i="4"/>
  <c r="M5393" i="4"/>
  <c r="M5401" i="4"/>
  <c r="M5402" i="4"/>
  <c r="M5434" i="4"/>
  <c r="M5451" i="4"/>
  <c r="M5193" i="4"/>
  <c r="M5296" i="4"/>
  <c r="M5298" i="4"/>
  <c r="M5299" i="4"/>
  <c r="M5301" i="4"/>
  <c r="M5302" i="4"/>
  <c r="M5303" i="4"/>
  <c r="M5304" i="4"/>
  <c r="M5305" i="4"/>
  <c r="M5330" i="4"/>
  <c r="M5349" i="4"/>
  <c r="M5351" i="4"/>
  <c r="M5362" i="4"/>
  <c r="M5363" i="4"/>
  <c r="M5364" i="4"/>
  <c r="M5365" i="4"/>
  <c r="M5366" i="4"/>
  <c r="M5392" i="4"/>
  <c r="M5413" i="4"/>
  <c r="M5414" i="4"/>
  <c r="M5415" i="4"/>
  <c r="M5432" i="4"/>
  <c r="M5437" i="4"/>
  <c r="M5438" i="4"/>
  <c r="M5439" i="4"/>
  <c r="M5444" i="4"/>
  <c r="M5453" i="4"/>
  <c r="M5328" i="4"/>
  <c r="M5361" i="4"/>
  <c r="M5380" i="4"/>
  <c r="M5395" i="4"/>
  <c r="M4936" i="4"/>
  <c r="M4902" i="4"/>
  <c r="M4921" i="4"/>
  <c r="M4924" i="4"/>
  <c r="M4996" i="4"/>
  <c r="M5026" i="4"/>
  <c r="M5208" i="4"/>
  <c r="M4994" i="4"/>
  <c r="M5264" i="4"/>
  <c r="M5039" i="4"/>
  <c r="M5065" i="4"/>
  <c r="M5201" i="4"/>
  <c r="M5038" i="4"/>
  <c r="M4900" i="4"/>
  <c r="M4901" i="4"/>
  <c r="M5005" i="4"/>
  <c r="M5062" i="4"/>
  <c r="M5144" i="4"/>
  <c r="M4933" i="4"/>
  <c r="M5031" i="4"/>
  <c r="M5077" i="4"/>
  <c r="M4899" i="4"/>
  <c r="M4896" i="4"/>
  <c r="M4897" i="4"/>
  <c r="M4898" i="4"/>
  <c r="M5500" i="4"/>
  <c r="M5148" i="4"/>
  <c r="M5149" i="4"/>
  <c r="M4904" i="4"/>
  <c r="M4907" i="4"/>
  <c r="M4906" i="4"/>
  <c r="M5463" i="4"/>
  <c r="M5464" i="4"/>
  <c r="M5465" i="4"/>
  <c r="M5466" i="4"/>
  <c r="M5467" i="4"/>
  <c r="M5468" i="4"/>
  <c r="M5469" i="4"/>
  <c r="M5470" i="4"/>
  <c r="M5297" i="4"/>
  <c r="M15" i="4"/>
  <c r="M18" i="4"/>
  <c r="M87" i="4"/>
  <c r="M310" i="4"/>
  <c r="M710" i="4"/>
  <c r="M713" i="4"/>
  <c r="M856" i="4"/>
  <c r="M890" i="4"/>
  <c r="M50" i="4"/>
  <c r="M90" i="4"/>
  <c r="M94" i="4"/>
  <c r="M97" i="4"/>
  <c r="M100" i="4"/>
  <c r="M103" i="4"/>
  <c r="M203" i="4"/>
  <c r="M206" i="4"/>
  <c r="M208" i="4"/>
  <c r="M211" i="4"/>
  <c r="M230" i="4"/>
  <c r="M244" i="4"/>
  <c r="M284" i="4"/>
  <c r="M300" i="4"/>
  <c r="M303" i="4"/>
  <c r="M327" i="4"/>
  <c r="M466" i="4"/>
  <c r="M508" i="4"/>
  <c r="M615" i="4"/>
  <c r="M733" i="4"/>
  <c r="M737" i="4"/>
  <c r="M753" i="4"/>
  <c r="M904" i="4"/>
  <c r="M200" i="4"/>
  <c r="M249" i="4"/>
  <c r="M431" i="4"/>
  <c r="M447" i="4"/>
  <c r="M47" i="4"/>
  <c r="M53" i="4"/>
  <c r="M111" i="4"/>
  <c r="M180" i="4"/>
  <c r="M225" i="4"/>
  <c r="M255" i="4"/>
  <c r="M743" i="4"/>
  <c r="M750" i="4"/>
  <c r="M887" i="4"/>
  <c r="M894" i="4"/>
  <c r="M901" i="4"/>
  <c r="M219" i="4"/>
  <c r="M13" i="4"/>
  <c r="M29" i="4"/>
  <c r="M32" i="4"/>
  <c r="M34" i="4"/>
  <c r="M37" i="4"/>
  <c r="M40" i="4"/>
  <c r="M43" i="4"/>
  <c r="M46" i="4"/>
  <c r="M259" i="4"/>
  <c r="M351" i="4"/>
  <c r="M373" i="4"/>
  <c r="M393" i="4"/>
  <c r="M396" i="4"/>
  <c r="M399" i="4"/>
  <c r="M423" i="4"/>
  <c r="M426" i="4"/>
  <c r="M450" i="4"/>
  <c r="M453" i="4"/>
  <c r="M456" i="4"/>
  <c r="M861" i="4"/>
  <c r="M864" i="4"/>
  <c r="M898" i="4"/>
  <c r="M233" i="4"/>
  <c r="M390" i="4"/>
  <c r="M106" i="4"/>
  <c r="M277" i="4"/>
  <c r="M332" i="4"/>
  <c r="M333" i="4"/>
  <c r="M340" i="4"/>
  <c r="M857" i="4"/>
  <c r="M427" i="4"/>
  <c r="M571" i="4"/>
  <c r="M609" i="4"/>
  <c r="M380" i="4"/>
  <c r="M742" i="4"/>
  <c r="M744" i="4"/>
  <c r="M679" i="4"/>
  <c r="M876" i="4"/>
  <c r="M727" i="4"/>
  <c r="M844" i="4"/>
  <c r="M366" i="4"/>
  <c r="M664" i="4"/>
  <c r="M618" i="4"/>
  <c r="M666" i="4"/>
  <c r="M718" i="4"/>
  <c r="M728" i="4"/>
  <c r="M620" i="4"/>
  <c r="M736" i="4"/>
  <c r="M381" i="4"/>
  <c r="M383" i="4"/>
  <c r="M386" i="4"/>
  <c r="M389" i="4"/>
  <c r="M468" i="4"/>
  <c r="M477" i="4"/>
  <c r="M480" i="4"/>
  <c r="M493" i="4"/>
  <c r="M532" i="4"/>
  <c r="M533" i="4"/>
  <c r="M553" i="4"/>
  <c r="M554" i="4"/>
  <c r="M565" i="4"/>
  <c r="M574" i="4"/>
  <c r="M610" i="4"/>
  <c r="M613" i="4"/>
  <c r="M622" i="4"/>
  <c r="M623" i="4"/>
  <c r="M647" i="4"/>
  <c r="M651" i="4"/>
  <c r="M656" i="4"/>
  <c r="M665" i="4"/>
  <c r="M716" i="4"/>
  <c r="M717" i="4"/>
  <c r="M726" i="4"/>
  <c r="M741" i="4"/>
  <c r="M840" i="4"/>
  <c r="M845" i="4"/>
  <c r="M877" i="4"/>
  <c r="M882" i="4"/>
  <c r="M885" i="4"/>
  <c r="M893" i="4"/>
  <c r="M499" i="4"/>
  <c r="M372" i="4"/>
  <c r="M385" i="4"/>
  <c r="M470" i="4"/>
  <c r="M471" i="4"/>
  <c r="M482" i="4"/>
  <c r="M534" i="4"/>
  <c r="M541" i="4"/>
  <c r="M552" i="4"/>
  <c r="M619" i="4"/>
  <c r="M676" i="4"/>
  <c r="M724" i="4"/>
  <c r="M897" i="4"/>
  <c r="M624" i="4"/>
  <c r="M604" i="4"/>
  <c r="M720" i="4"/>
  <c r="M723" i="4"/>
  <c r="M730" i="4"/>
  <c r="M884" i="4"/>
  <c r="M364" i="4"/>
  <c r="M441" i="4"/>
  <c r="M481" i="4"/>
  <c r="M500" i="4"/>
  <c r="M652" i="4"/>
  <c r="M725" i="4"/>
  <c r="M715" i="4"/>
  <c r="M719" i="4"/>
  <c r="M558" i="4"/>
  <c r="M280" i="4"/>
  <c r="M511" i="4"/>
  <c r="M184" i="4"/>
  <c r="M187" i="4"/>
  <c r="M191" i="4"/>
  <c r="M238" i="4"/>
  <c r="M538" i="4"/>
  <c r="M114" i="4"/>
  <c r="M270" i="4"/>
  <c r="M478" i="4"/>
  <c r="M26" i="4"/>
  <c r="M177" i="4"/>
  <c r="M197" i="4"/>
  <c r="M215" i="4"/>
  <c r="M241" i="4"/>
  <c r="M263" i="4"/>
  <c r="M266" i="4"/>
  <c r="M307" i="4"/>
  <c r="M312" i="4"/>
  <c r="M531" i="4"/>
  <c r="M612" i="4"/>
  <c r="M361" i="4"/>
  <c r="M420" i="4"/>
  <c r="M356" i="4"/>
  <c r="M360" i="4"/>
  <c r="M638" i="4"/>
  <c r="M355" i="4"/>
  <c r="M357" i="4"/>
  <c r="M358" i="4"/>
  <c r="M359" i="4"/>
  <c r="M362" i="4"/>
  <c r="M365" i="4"/>
  <c r="M368" i="4"/>
  <c r="M377" i="4"/>
  <c r="M378" i="4"/>
  <c r="M382" i="4"/>
  <c r="M388" i="4"/>
  <c r="M433" i="4"/>
  <c r="M440" i="4"/>
  <c r="M442" i="4"/>
  <c r="M443" i="4"/>
  <c r="M444" i="4"/>
  <c r="M445" i="4"/>
  <c r="M458" i="4"/>
  <c r="M459" i="4"/>
  <c r="M460" i="4"/>
  <c r="M465" i="4"/>
  <c r="M476" i="4"/>
  <c r="M479" i="4"/>
  <c r="M489" i="4"/>
  <c r="M501" i="4"/>
  <c r="M512" i="4"/>
  <c r="M515" i="4"/>
  <c r="M526" i="4"/>
  <c r="M530" i="4"/>
  <c r="M564" i="4"/>
  <c r="M566" i="4"/>
  <c r="M575" i="4"/>
  <c r="M582" i="4"/>
  <c r="M583" i="4"/>
  <c r="M597" i="4"/>
  <c r="M598" i="4"/>
  <c r="M603" i="4"/>
  <c r="M606" i="4"/>
  <c r="M611" i="4"/>
  <c r="M617" i="4"/>
  <c r="M621" i="4"/>
  <c r="M636" i="4"/>
  <c r="M645" i="4"/>
  <c r="M646" i="4"/>
  <c r="M648" i="4"/>
  <c r="M657" i="4"/>
  <c r="M658" i="4"/>
  <c r="M663" i="4"/>
  <c r="M661" i="4"/>
  <c r="M672" i="4"/>
  <c r="M673" i="4"/>
  <c r="M692" i="4"/>
  <c r="M693" i="4"/>
  <c r="M694" i="4"/>
  <c r="M700" i="4"/>
  <c r="M732" i="4"/>
  <c r="M871" i="4"/>
  <c r="M872" i="4"/>
  <c r="M873" i="4"/>
  <c r="M874" i="4"/>
  <c r="M875" i="4"/>
  <c r="M879" i="4"/>
  <c r="M908" i="4"/>
  <c r="M909" i="4"/>
  <c r="M910" i="4"/>
  <c r="M421" i="4"/>
  <c r="M527" i="4"/>
  <c r="M346" i="4"/>
  <c r="M551" i="4"/>
  <c r="M588" i="4"/>
  <c r="M555" i="4"/>
  <c r="M83" i="4"/>
  <c r="M162" i="4"/>
  <c r="M118" i="4"/>
  <c r="M121" i="4"/>
  <c r="M125" i="4"/>
  <c r="M139" i="4"/>
  <c r="M147" i="4"/>
  <c r="M166" i="4"/>
  <c r="M170" i="4"/>
  <c r="M174" i="4"/>
  <c r="M56" i="4"/>
  <c r="M59" i="4"/>
  <c r="M63" i="4"/>
  <c r="M66" i="4"/>
  <c r="M69" i="4"/>
  <c r="M72" i="4"/>
  <c r="M77" i="4"/>
  <c r="M80" i="4"/>
  <c r="M135" i="4"/>
  <c r="M155" i="4"/>
  <c r="M461" i="4"/>
  <c r="M367" i="4"/>
  <c r="M870" i="4"/>
  <c r="M487" i="4"/>
  <c r="M488" i="4"/>
  <c r="M523" i="4"/>
  <c r="M654" i="4"/>
  <c r="M437" i="4"/>
  <c r="M634" i="4"/>
  <c r="M439" i="4"/>
  <c r="M401" i="4"/>
  <c r="M438" i="4"/>
  <c r="M463" i="4"/>
  <c r="M490" i="4"/>
  <c r="M491" i="4"/>
  <c r="M513" i="4"/>
  <c r="M653" i="4"/>
  <c r="M662" i="4"/>
  <c r="M678" i="4"/>
  <c r="M684" i="4"/>
  <c r="M691" i="4"/>
  <c r="M740" i="4"/>
  <c r="M297" i="4"/>
  <c r="M783" i="4"/>
  <c r="M792" i="4"/>
  <c r="M801" i="4"/>
  <c r="M831" i="4"/>
  <c r="M836" i="4"/>
  <c r="M847" i="4"/>
  <c r="M853" i="4"/>
  <c r="M384" i="4"/>
  <c r="M492" i="4"/>
  <c r="M607" i="4"/>
  <c r="M535" i="4"/>
  <c r="M685" i="4"/>
  <c r="M462" i="4"/>
  <c r="M686" i="4"/>
  <c r="M689" i="4"/>
  <c r="M579" i="4"/>
  <c r="M690" i="4"/>
  <c r="M342" i="4"/>
  <c r="M577" i="4"/>
  <c r="M379" i="4"/>
  <c r="M494" i="4"/>
  <c r="M497" i="4"/>
  <c r="M580" i="4"/>
  <c r="M581" i="4"/>
  <c r="M600" i="4"/>
  <c r="M687" i="4"/>
  <c r="M688" i="4"/>
  <c r="M578" i="4"/>
  <c r="M430" i="4"/>
  <c r="M635" i="4"/>
  <c r="M403" i="4"/>
  <c r="M697" i="4"/>
  <c r="M417" i="4"/>
  <c r="M667" i="4"/>
  <c r="M677" i="4"/>
  <c r="M410" i="4"/>
  <c r="M411" i="4"/>
  <c r="M485" i="4"/>
  <c r="M498" i="4"/>
  <c r="M616" i="4"/>
  <c r="M671" i="4"/>
  <c r="M880" i="4"/>
  <c r="M414" i="4"/>
  <c r="M418" i="4"/>
  <c r="M404" i="4"/>
  <c r="M412" i="4"/>
  <c r="M415" i="4"/>
  <c r="M547" i="4"/>
  <c r="M639" i="4"/>
  <c r="M655" i="4"/>
  <c r="M698" i="4"/>
  <c r="M699" i="4"/>
  <c r="M731" i="4"/>
  <c r="M735" i="4"/>
  <c r="M848" i="4"/>
  <c r="M849" i="4"/>
  <c r="M850" i="4"/>
  <c r="M858" i="4"/>
  <c r="M649" i="4"/>
  <c r="M407" i="4"/>
  <c r="M409" i="4"/>
  <c r="M674" i="4"/>
  <c r="M905" i="4"/>
  <c r="M906" i="4"/>
  <c r="M907" i="4"/>
  <c r="M486" i="4"/>
  <c r="M734" i="4"/>
  <c r="M846" i="4"/>
  <c r="M281" i="4"/>
  <c r="M108" i="4"/>
  <c r="M344" i="4"/>
  <c r="M345" i="4"/>
  <c r="M347" i="4"/>
  <c r="M84" i="4"/>
  <c r="M343" i="4"/>
  <c r="M292" i="4"/>
  <c r="M472" i="4"/>
  <c r="M221" i="4"/>
  <c r="M107" i="4"/>
  <c r="M260" i="4"/>
  <c r="M328" i="4"/>
  <c r="M329" i="4"/>
  <c r="M602" i="4"/>
  <c r="M220" i="4"/>
  <c r="M251" i="4"/>
  <c r="M293" i="4"/>
  <c r="M294" i="4"/>
  <c r="M295" i="4"/>
  <c r="M304" i="4"/>
  <c r="M245" i="4"/>
  <c r="M601" i="4"/>
  <c r="M285" i="4"/>
  <c r="M524" i="4"/>
  <c r="M432" i="4"/>
  <c r="M573" i="4"/>
  <c r="M375" i="4"/>
  <c r="M525" i="4"/>
  <c r="M695" i="4"/>
  <c r="M550" i="4"/>
  <c r="M408" i="4"/>
  <c r="M413" i="4"/>
  <c r="M416" i="4"/>
  <c r="M419" i="4"/>
  <c r="M696" i="4"/>
  <c r="M370" i="4"/>
  <c r="M502" i="4"/>
  <c r="M561" i="4"/>
  <c r="M405" i="4"/>
  <c r="M406" i="4"/>
  <c r="M503" i="4"/>
  <c r="M504" i="4"/>
  <c r="M506" i="4"/>
  <c r="M516" i="4"/>
  <c r="M517" i="4"/>
  <c r="M518" i="4"/>
  <c r="M519" i="4"/>
  <c r="M520" i="4"/>
  <c r="M521" i="4"/>
  <c r="M543" i="4"/>
  <c r="M544" i="4"/>
  <c r="M548" i="4"/>
  <c r="M549" i="4"/>
  <c r="M557" i="4"/>
  <c r="M559" i="4"/>
  <c r="M560" i="4"/>
  <c r="M589" i="4"/>
  <c r="M591" i="4"/>
  <c r="M592" i="4"/>
  <c r="M659" i="4"/>
  <c r="M841" i="4"/>
  <c r="M842" i="4"/>
  <c r="M843" i="4"/>
  <c r="M865" i="4"/>
  <c r="M866" i="4"/>
  <c r="M867" i="4"/>
  <c r="M868" i="4"/>
  <c r="M878" i="4"/>
  <c r="M467" i="4"/>
  <c r="M505" i="4"/>
  <c r="M576" i="4"/>
  <c r="M590" i="4"/>
  <c r="M869" i="4"/>
  <c r="M628" i="4"/>
  <c r="M629" i="4"/>
  <c r="M630" i="4"/>
  <c r="M745" i="4"/>
  <c r="M746" i="4"/>
  <c r="M747" i="4"/>
  <c r="M748" i="4"/>
  <c r="M749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2" i="4"/>
  <c r="M773" i="4"/>
  <c r="M774" i="4"/>
  <c r="M775" i="4"/>
  <c r="M776" i="4"/>
  <c r="M777" i="4"/>
  <c r="M778" i="4"/>
  <c r="M780" i="4"/>
  <c r="M781" i="4"/>
  <c r="M785" i="4"/>
  <c r="M786" i="4"/>
  <c r="M788" i="4"/>
  <c r="M790" i="4"/>
  <c r="M791" i="4"/>
  <c r="M794" i="4"/>
  <c r="M795" i="4"/>
  <c r="M796" i="4"/>
  <c r="M798" i="4"/>
  <c r="M799" i="4"/>
  <c r="M802" i="4"/>
  <c r="M803" i="4"/>
  <c r="M804" i="4"/>
  <c r="M805" i="4"/>
  <c r="M806" i="4"/>
  <c r="M807" i="4"/>
  <c r="M808" i="4"/>
  <c r="M809" i="4"/>
  <c r="M810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4" i="4"/>
  <c r="M837" i="4"/>
  <c r="M631" i="4"/>
  <c r="M835" i="4"/>
  <c r="M779" i="4"/>
  <c r="M784" i="4"/>
  <c r="M632" i="4"/>
  <c r="M797" i="4"/>
  <c r="M539" i="4"/>
  <c r="M540" i="4"/>
  <c r="M542" i="4"/>
  <c r="M545" i="4"/>
  <c r="M556" i="4"/>
  <c r="M567" i="4"/>
  <c r="M569" i="4"/>
  <c r="M572" i="4"/>
  <c r="M584" i="4"/>
  <c r="M586" i="4"/>
  <c r="M587" i="4"/>
  <c r="M594" i="4"/>
  <c r="M595" i="4"/>
  <c r="M596" i="4"/>
  <c r="M599" i="4"/>
  <c r="M546" i="4"/>
  <c r="M568" i="4"/>
  <c r="M570" i="4"/>
  <c r="M585" i="4"/>
  <c r="M675" i="4"/>
  <c r="M400" i="4"/>
  <c r="M354" i="4"/>
  <c r="M363" i="4"/>
  <c r="M469" i="4"/>
  <c r="M650" i="4"/>
  <c r="M436" i="4"/>
  <c r="M341" i="4"/>
  <c r="M369" i="4"/>
  <c r="M484" i="4"/>
  <c r="M721" i="4"/>
  <c r="M729" i="4"/>
  <c r="M514" i="4"/>
  <c r="M605" i="4"/>
  <c r="M641" i="4"/>
  <c r="M496" i="4"/>
  <c r="M642" i="4"/>
  <c r="M387" i="4"/>
  <c r="M483" i="4"/>
  <c r="M640" i="4"/>
  <c r="M643" i="4"/>
  <c r="M339" i="4"/>
  <c r="M446" i="4"/>
  <c r="M593" i="4"/>
  <c r="M371" i="4"/>
  <c r="M475" i="4"/>
  <c r="M522" i="4"/>
  <c r="M338" i="4"/>
  <c r="M336" i="4"/>
  <c r="M883" i="4"/>
  <c r="M337" i="4"/>
  <c r="M288" i="4"/>
  <c r="M291" i="4"/>
  <c r="M19" i="4"/>
  <c r="M23" i="4"/>
  <c r="M22" i="4"/>
  <c r="M627" i="4"/>
  <c r="M644" i="4"/>
  <c r="M669" i="4"/>
  <c r="M681" i="4"/>
  <c r="M701" i="4"/>
  <c r="M704" i="4"/>
  <c r="M707" i="4"/>
  <c r="M2094" i="4"/>
  <c r="M2116" i="4"/>
  <c r="M2121" i="4"/>
  <c r="M2143" i="4"/>
  <c r="M2176" i="4"/>
  <c r="M2119" i="4"/>
  <c r="M2142" i="4"/>
  <c r="M2063" i="4"/>
  <c r="M2084" i="4"/>
  <c r="M2086" i="4"/>
  <c r="M2088" i="4"/>
  <c r="M2101" i="4"/>
  <c r="M2102" i="4"/>
  <c r="M2123" i="4"/>
  <c r="M2131" i="4"/>
  <c r="M2140" i="4"/>
  <c r="M2178" i="4"/>
  <c r="M2083" i="4"/>
  <c r="M2096" i="4"/>
  <c r="M2133" i="4"/>
  <c r="M2141" i="4"/>
  <c r="M2103" i="4"/>
  <c r="M2055" i="4"/>
  <c r="M2125" i="4"/>
  <c r="M2054" i="4"/>
  <c r="M2056" i="4"/>
  <c r="M2058" i="4"/>
  <c r="M2060" i="4"/>
  <c r="M2081" i="4"/>
  <c r="M2104" i="4"/>
  <c r="M2107" i="4"/>
  <c r="M2110" i="4"/>
  <c r="M2115" i="4"/>
  <c r="M2118" i="4"/>
  <c r="M2174" i="4"/>
  <c r="M2175" i="4"/>
  <c r="M2181" i="4"/>
  <c r="M2112" i="4"/>
  <c r="M2128" i="4"/>
  <c r="M2092" i="4"/>
  <c r="M2093" i="4"/>
  <c r="M2129" i="4"/>
  <c r="M2082" i="4"/>
  <c r="M2180" i="4"/>
  <c r="M2135" i="4"/>
  <c r="M2105" i="4"/>
  <c r="M2108" i="4"/>
  <c r="M2062" i="4"/>
  <c r="M2089" i="4"/>
  <c r="M2109" i="4"/>
  <c r="M2120" i="4"/>
  <c r="M2136" i="4"/>
  <c r="M2078" i="4"/>
  <c r="M2075" i="4"/>
  <c r="M2064" i="4"/>
  <c r="M2065" i="4"/>
  <c r="M2137" i="4"/>
  <c r="M2074" i="4"/>
  <c r="M2059" i="4"/>
  <c r="M2132" i="4"/>
  <c r="M2071" i="4"/>
  <c r="M2073" i="4"/>
  <c r="M2076" i="4"/>
  <c r="M2067" i="4"/>
  <c r="M2138" i="4"/>
  <c r="M2139" i="4"/>
  <c r="M2117" i="4"/>
  <c r="M2124" i="4"/>
  <c r="M2079" i="4"/>
  <c r="M2085" i="4"/>
  <c r="M2106" i="4"/>
  <c r="M2122" i="4"/>
  <c r="M2126" i="4"/>
  <c r="M2134" i="4"/>
  <c r="M2172" i="4"/>
  <c r="M2173" i="4"/>
  <c r="M2177" i="4"/>
  <c r="M2100" i="4"/>
  <c r="M2069" i="4"/>
  <c r="M2070" i="4"/>
  <c r="M2072" i="4"/>
  <c r="M2077" i="4"/>
  <c r="M2061" i="4"/>
  <c r="M2068" i="4"/>
  <c r="M2090" i="4"/>
  <c r="M2095" i="4"/>
  <c r="M2097" i="4"/>
  <c r="M2098" i="4"/>
  <c r="M2099" i="4"/>
  <c r="M2113" i="4"/>
  <c r="M2114" i="4"/>
  <c r="M2130" i="4"/>
  <c r="M2171" i="4"/>
  <c r="M2179" i="4"/>
  <c r="M2151" i="4"/>
  <c r="M2154" i="4"/>
  <c r="M2167" i="4"/>
  <c r="M2170" i="4"/>
  <c r="M2150" i="4"/>
  <c r="M2145" i="4"/>
  <c r="M2153" i="4"/>
  <c r="M2164" i="4"/>
  <c r="M2144" i="4"/>
  <c r="M2147" i="4"/>
  <c r="M2148" i="4"/>
  <c r="M2152" i="4"/>
  <c r="M2155" i="4"/>
  <c r="M2158" i="4"/>
  <c r="M2160" i="4"/>
  <c r="M2161" i="4"/>
  <c r="M2162" i="4"/>
  <c r="M2165" i="4"/>
  <c r="M2166" i="4"/>
  <c r="M2168" i="4"/>
  <c r="M2146" i="4"/>
  <c r="M2156" i="4"/>
  <c r="M2169" i="4"/>
  <c r="M2149" i="4"/>
  <c r="M2157" i="4"/>
  <c r="M2159" i="4"/>
  <c r="M2163" i="4"/>
  <c r="M2057" i="4"/>
  <c r="M2080" i="4"/>
  <c r="M2087" i="4"/>
  <c r="M2091" i="4"/>
  <c r="M2111" i="4"/>
  <c r="M2127" i="4"/>
  <c r="M2066" i="4"/>
  <c r="M2053" i="4"/>
  <c r="M3718" i="4"/>
  <c r="M4079" i="4"/>
  <c r="M4298" i="4"/>
  <c r="M4352" i="4"/>
  <c r="M3773" i="4"/>
  <c r="M3804" i="4"/>
  <c r="M3805" i="4"/>
  <c r="M3806" i="4"/>
  <c r="M3807" i="4"/>
  <c r="M3809" i="4"/>
  <c r="M3881" i="4"/>
  <c r="M3882" i="4"/>
  <c r="M3883" i="4"/>
  <c r="M3884" i="4"/>
  <c r="M3885" i="4"/>
  <c r="M3917" i="4"/>
  <c r="M3921" i="4"/>
  <c r="M3958" i="4"/>
  <c r="M3996" i="4"/>
  <c r="M3997" i="4"/>
  <c r="M4021" i="4"/>
  <c r="M4081" i="4"/>
  <c r="M4101" i="4"/>
  <c r="M4284" i="4"/>
  <c r="M4299" i="4"/>
  <c r="M4300" i="4"/>
  <c r="M4322" i="4"/>
  <c r="M4323" i="4"/>
  <c r="M4354" i="4"/>
  <c r="M3925" i="4"/>
  <c r="M3759" i="4"/>
  <c r="M3761" i="4"/>
  <c r="M3808" i="4"/>
  <c r="M3816" i="4"/>
  <c r="M3849" i="4"/>
  <c r="M3916" i="4"/>
  <c r="M4301" i="4"/>
  <c r="M4302" i="4"/>
  <c r="M4303" i="4"/>
  <c r="M4353" i="4"/>
  <c r="M3719" i="4"/>
  <c r="M3734" i="4"/>
  <c r="M3735" i="4"/>
  <c r="M3736" i="4"/>
  <c r="M3737" i="4"/>
  <c r="M3738" i="4"/>
  <c r="M3739" i="4"/>
  <c r="M3798" i="4"/>
  <c r="M4075" i="4"/>
  <c r="M4076" i="4"/>
  <c r="M4077" i="4"/>
  <c r="M4078" i="4"/>
  <c r="M4080" i="4"/>
  <c r="M4082" i="4"/>
  <c r="M4349" i="4"/>
  <c r="M3918" i="4"/>
  <c r="M3951" i="4"/>
  <c r="M4049" i="4"/>
  <c r="M4050" i="4"/>
  <c r="M4051" i="4"/>
  <c r="M4348" i="4"/>
  <c r="M3810" i="4"/>
  <c r="M3950" i="4"/>
  <c r="M4004" i="4"/>
  <c r="M4009" i="4"/>
  <c r="M3914" i="4"/>
  <c r="M3969" i="4"/>
  <c r="M3987" i="4"/>
  <c r="M3765" i="4"/>
  <c r="M4095" i="4"/>
  <c r="M4100" i="4"/>
  <c r="M4109" i="4"/>
  <c r="M4111" i="4"/>
  <c r="M4034" i="4"/>
  <c r="M4091" i="4"/>
  <c r="M3844" i="4"/>
  <c r="M4097" i="4"/>
  <c r="M3747" i="4"/>
  <c r="M3979" i="4"/>
  <c r="M4005" i="4"/>
  <c r="M4019" i="4"/>
  <c r="M4045" i="4"/>
  <c r="M4112" i="4"/>
  <c r="M3999" i="4"/>
  <c r="M4047" i="4"/>
  <c r="M4084" i="4"/>
  <c r="M4096" i="4"/>
  <c r="M4106" i="4"/>
  <c r="M3941" i="4"/>
  <c r="M3986" i="4"/>
  <c r="M4001" i="4"/>
  <c r="M4296" i="4"/>
  <c r="M4312" i="4"/>
  <c r="M4350" i="4"/>
  <c r="M3767" i="4"/>
  <c r="M3769" i="4"/>
  <c r="M3771" i="4"/>
  <c r="M3772" i="4"/>
  <c r="M3819" i="4"/>
  <c r="M3860" i="4"/>
  <c r="M3866" i="4"/>
  <c r="M3868" i="4"/>
  <c r="M3933" i="4"/>
  <c r="M3934" i="4"/>
  <c r="M3970" i="4"/>
  <c r="M3971" i="4"/>
  <c r="M3988" i="4"/>
  <c r="M3989" i="4"/>
  <c r="M3995" i="4"/>
  <c r="M4007" i="4"/>
  <c r="M4027" i="4"/>
  <c r="M4030" i="4"/>
  <c r="M4033" i="4"/>
  <c r="M4046" i="4"/>
  <c r="M4060" i="4"/>
  <c r="M4083" i="4"/>
  <c r="M4090" i="4"/>
  <c r="M4107" i="4"/>
  <c r="M4108" i="4"/>
  <c r="M4280" i="4"/>
  <c r="M4327" i="4"/>
  <c r="M4341" i="4"/>
  <c r="M4058" i="4"/>
  <c r="M3758" i="4"/>
  <c r="M3851" i="4"/>
  <c r="M4000" i="4"/>
  <c r="M4018" i="4"/>
  <c r="M4052" i="4"/>
  <c r="M4087" i="4"/>
  <c r="M4351" i="4"/>
  <c r="M3824" i="4"/>
  <c r="M3861" i="4"/>
  <c r="M3873" i="4"/>
  <c r="M4089" i="4"/>
  <c r="M3942" i="4"/>
  <c r="M3943" i="4"/>
  <c r="M3957" i="4"/>
  <c r="M4102" i="4"/>
  <c r="M3852" i="4"/>
  <c r="M3853" i="4"/>
  <c r="M3854" i="4"/>
  <c r="M3919" i="4"/>
  <c r="M4110" i="4"/>
  <c r="M3817" i="4"/>
  <c r="M3949" i="4"/>
  <c r="M4094" i="4"/>
  <c r="M3732" i="4"/>
  <c r="M3847" i="4"/>
  <c r="M3857" i="4"/>
  <c r="M3887" i="4"/>
  <c r="M3920" i="4"/>
  <c r="M3948" i="4"/>
  <c r="M3801" i="4"/>
  <c r="M4067" i="4"/>
  <c r="M4103" i="4"/>
  <c r="M3994" i="4"/>
  <c r="M3799" i="4"/>
  <c r="M3802" i="4"/>
  <c r="M3774" i="4"/>
  <c r="M3743" i="4"/>
  <c r="M4022" i="4"/>
  <c r="M3740" i="4"/>
  <c r="M3741" i="4"/>
  <c r="M3742" i="4"/>
  <c r="M3744" i="4"/>
  <c r="M3746" i="4"/>
  <c r="M3754" i="4"/>
  <c r="M3762" i="4"/>
  <c r="M3763" i="4"/>
  <c r="M3768" i="4"/>
  <c r="M3775" i="4"/>
  <c r="M3815" i="4"/>
  <c r="M3823" i="4"/>
  <c r="M3825" i="4"/>
  <c r="M3826" i="4"/>
  <c r="M3827" i="4"/>
  <c r="M3828" i="4"/>
  <c r="M3842" i="4"/>
  <c r="M3843" i="4"/>
  <c r="M3848" i="4"/>
  <c r="M3856" i="4"/>
  <c r="M3858" i="4"/>
  <c r="M3874" i="4"/>
  <c r="M3890" i="4"/>
  <c r="M3907" i="4"/>
  <c r="M3912" i="4"/>
  <c r="M3930" i="4"/>
  <c r="M3932" i="4"/>
  <c r="M3939" i="4"/>
  <c r="M3946" i="4"/>
  <c r="M3954" i="4"/>
  <c r="M3956" i="4"/>
  <c r="M3959" i="4"/>
  <c r="M3962" i="4"/>
  <c r="M3967" i="4"/>
  <c r="M3975" i="4"/>
  <c r="M3977" i="4"/>
  <c r="M3982" i="4"/>
  <c r="M3984" i="4"/>
  <c r="M3990" i="4"/>
  <c r="M4006" i="4"/>
  <c r="M4020" i="4"/>
  <c r="M4028" i="4"/>
  <c r="M4029" i="4"/>
  <c r="M4031" i="4"/>
  <c r="M4038" i="4"/>
  <c r="M4039" i="4"/>
  <c r="M4044" i="4"/>
  <c r="M4043" i="4"/>
  <c r="M4054" i="4"/>
  <c r="M4055" i="4"/>
  <c r="M4068" i="4"/>
  <c r="M4069" i="4"/>
  <c r="M4074" i="4"/>
  <c r="M4093" i="4"/>
  <c r="M4313" i="4"/>
  <c r="M4314" i="4"/>
  <c r="M4315" i="4"/>
  <c r="M4316" i="4"/>
  <c r="M4317" i="4"/>
  <c r="M4320" i="4"/>
  <c r="M4356" i="4"/>
  <c r="M4357" i="4"/>
  <c r="M3803" i="4"/>
  <c r="M3908" i="4"/>
  <c r="M3733" i="4"/>
  <c r="M3931" i="4"/>
  <c r="M3961" i="4"/>
  <c r="M3936" i="4"/>
  <c r="M3841" i="4"/>
  <c r="M3830" i="4"/>
  <c r="M3831" i="4"/>
  <c r="M3832" i="4"/>
  <c r="M3834" i="4"/>
  <c r="M3835" i="4"/>
  <c r="M3836" i="4"/>
  <c r="M3838" i="4"/>
  <c r="M3839" i="4"/>
  <c r="M3840" i="4"/>
  <c r="M3833" i="4"/>
  <c r="M3837" i="4"/>
  <c r="M3903" i="4"/>
  <c r="M3904" i="4"/>
  <c r="M4036" i="4"/>
  <c r="M3846" i="4"/>
  <c r="M3822" i="4"/>
  <c r="M3845" i="4"/>
  <c r="M3865" i="4"/>
  <c r="M4035" i="4"/>
  <c r="M4104" i="4"/>
  <c r="M4105" i="4"/>
  <c r="M4010" i="4"/>
  <c r="M4345" i="4"/>
  <c r="M3755" i="4"/>
  <c r="M3897" i="4"/>
  <c r="M3898" i="4"/>
  <c r="M3899" i="4"/>
  <c r="M3906" i="4"/>
  <c r="M3909" i="4"/>
  <c r="M3910" i="4"/>
  <c r="M3952" i="4"/>
  <c r="M3985" i="4"/>
  <c r="M4002" i="4"/>
  <c r="M4003" i="4"/>
  <c r="M4066" i="4"/>
  <c r="M4324" i="4"/>
  <c r="M4326" i="4"/>
  <c r="M4328" i="4"/>
  <c r="M4329" i="4"/>
  <c r="M4330" i="4"/>
  <c r="M4331" i="4"/>
  <c r="M4332" i="4"/>
  <c r="M4333" i="4"/>
  <c r="M3490" i="4"/>
  <c r="M3549" i="4"/>
  <c r="M4336" i="4"/>
  <c r="M3642" i="4"/>
  <c r="M4338" i="4"/>
  <c r="M4339" i="4"/>
  <c r="M4340" i="4"/>
  <c r="M4342" i="4"/>
  <c r="M4334" i="4"/>
  <c r="M4346" i="4"/>
  <c r="M4347" i="4"/>
  <c r="M3992" i="4"/>
  <c r="M3993" i="4"/>
  <c r="M4343" i="4"/>
  <c r="M3867" i="4"/>
  <c r="M4062" i="4"/>
  <c r="M4064" i="4"/>
  <c r="M4065" i="4"/>
  <c r="M3764" i="4"/>
  <c r="M3869" i="4"/>
  <c r="M3870" i="4"/>
  <c r="M3955" i="4"/>
  <c r="M3980" i="4"/>
  <c r="M4063" i="4"/>
  <c r="M3812" i="4"/>
  <c r="M3750" i="4"/>
  <c r="M3792" i="4"/>
  <c r="M3776" i="4"/>
  <c r="M3751" i="4"/>
  <c r="M4071" i="4"/>
  <c r="M3791" i="4"/>
  <c r="M3795" i="4"/>
  <c r="M3976" i="4"/>
  <c r="M4048" i="4"/>
  <c r="M3749" i="4"/>
  <c r="M3752" i="4"/>
  <c r="M3753" i="4"/>
  <c r="M3782" i="4"/>
  <c r="M3783" i="4"/>
  <c r="M3784" i="4"/>
  <c r="M3786" i="4"/>
  <c r="M3864" i="4"/>
  <c r="M3871" i="4"/>
  <c r="M3872" i="4"/>
  <c r="M3998" i="4"/>
  <c r="M4053" i="4"/>
  <c r="M4056" i="4"/>
  <c r="M4321" i="4"/>
  <c r="M3935" i="4"/>
  <c r="M3788" i="4"/>
  <c r="M3790" i="4"/>
  <c r="M3794" i="4"/>
  <c r="M3778" i="4"/>
  <c r="M3785" i="4"/>
  <c r="M3797" i="4"/>
  <c r="M3926" i="4"/>
  <c r="M4023" i="4"/>
  <c r="M4037" i="4"/>
  <c r="M4072" i="4"/>
  <c r="M4073" i="4"/>
  <c r="M4092" i="4"/>
  <c r="M4098" i="4"/>
  <c r="M4099" i="4"/>
  <c r="M4285" i="4"/>
  <c r="M4286" i="4"/>
  <c r="M4287" i="4"/>
  <c r="M4297" i="4"/>
  <c r="M3780" i="4"/>
  <c r="M4040" i="4"/>
  <c r="M3813" i="4"/>
  <c r="M3727" i="4"/>
  <c r="M4057" i="4"/>
  <c r="M3974" i="4"/>
  <c r="M4086" i="4"/>
  <c r="M3913" i="4"/>
  <c r="M3766" i="4"/>
  <c r="M3811" i="4"/>
  <c r="M3947" i="4"/>
  <c r="M4026" i="4"/>
  <c r="M4279" i="4"/>
  <c r="M3729" i="4"/>
  <c r="M3911" i="4"/>
  <c r="M3937" i="4"/>
  <c r="M3978" i="4"/>
  <c r="M3981" i="4"/>
  <c r="M3983" i="4"/>
  <c r="M4008" i="4"/>
  <c r="M3924" i="4"/>
  <c r="M3940" i="4"/>
  <c r="M3960" i="4"/>
  <c r="M3902" i="4"/>
  <c r="M3770" i="4"/>
  <c r="M3814" i="4"/>
  <c r="M3821" i="4"/>
  <c r="M3859" i="4"/>
  <c r="M3953" i="4"/>
  <c r="M3991" i="4"/>
  <c r="M4024" i="4"/>
  <c r="M4059" i="4"/>
  <c r="M4304" i="4"/>
  <c r="M4305" i="4"/>
  <c r="M4318" i="4"/>
  <c r="M4085" i="4"/>
  <c r="M3905" i="4"/>
  <c r="M3929" i="4"/>
  <c r="M3879" i="4"/>
  <c r="M3793" i="4"/>
  <c r="M3781" i="4"/>
  <c r="M3787" i="4"/>
  <c r="M3789" i="4"/>
  <c r="M3796" i="4"/>
  <c r="M4070" i="4"/>
  <c r="M3756" i="4"/>
  <c r="M3875" i="4"/>
  <c r="M3878" i="4"/>
  <c r="M3945" i="4"/>
  <c r="M3779" i="4"/>
  <c r="M3800" i="4"/>
  <c r="M3876" i="4"/>
  <c r="M3877" i="4"/>
  <c r="M3880" i="4"/>
  <c r="M3888" i="4"/>
  <c r="M3891" i="4"/>
  <c r="M3892" i="4"/>
  <c r="M3893" i="4"/>
  <c r="M3894" i="4"/>
  <c r="M3895" i="4"/>
  <c r="M3896" i="4"/>
  <c r="M3900" i="4"/>
  <c r="M3915" i="4"/>
  <c r="M3922" i="4"/>
  <c r="M3923" i="4"/>
  <c r="M3927" i="4"/>
  <c r="M3928" i="4"/>
  <c r="M3938" i="4"/>
  <c r="M3944" i="4"/>
  <c r="M3963" i="4"/>
  <c r="M3965" i="4"/>
  <c r="M3966" i="4"/>
  <c r="M4042" i="4"/>
  <c r="M4281" i="4"/>
  <c r="M4282" i="4"/>
  <c r="M4283" i="4"/>
  <c r="M4306" i="4"/>
  <c r="M4307" i="4"/>
  <c r="M4308" i="4"/>
  <c r="M4309" i="4"/>
  <c r="M4310" i="4"/>
  <c r="M4319" i="4"/>
  <c r="M4355" i="4"/>
  <c r="M3964" i="4"/>
  <c r="M4041" i="4"/>
  <c r="M4061" i="4"/>
  <c r="M4311" i="4"/>
  <c r="M3777" i="4"/>
  <c r="M4011" i="4"/>
  <c r="M4012" i="4"/>
  <c r="M4013" i="4"/>
  <c r="M4014" i="4"/>
  <c r="M4113" i="4"/>
  <c r="M4115" i="4"/>
  <c r="M4116" i="4"/>
  <c r="M4117" i="4"/>
  <c r="M4118" i="4"/>
  <c r="M4119" i="4"/>
  <c r="M4131" i="4"/>
  <c r="M4132" i="4"/>
  <c r="M4133" i="4"/>
  <c r="M4134" i="4"/>
  <c r="M4135" i="4"/>
  <c r="M4137" i="4"/>
  <c r="M4139" i="4"/>
  <c r="M4141" i="4"/>
  <c r="M4142" i="4"/>
  <c r="M4143" i="4"/>
  <c r="M4144" i="4"/>
  <c r="M4145" i="4"/>
  <c r="M4147" i="4"/>
  <c r="M4149" i="4"/>
  <c r="M4150" i="4"/>
  <c r="M4151" i="4"/>
  <c r="M4152" i="4"/>
  <c r="M4157" i="4"/>
  <c r="M4158" i="4"/>
  <c r="M4159" i="4"/>
  <c r="M4160" i="4"/>
  <c r="M4162" i="4"/>
  <c r="M4163" i="4"/>
  <c r="M4164" i="4"/>
  <c r="M4165" i="4"/>
  <c r="M4168" i="4"/>
  <c r="M4169" i="4"/>
  <c r="M4170" i="4"/>
  <c r="M4171" i="4"/>
  <c r="M4173" i="4"/>
  <c r="M4177" i="4"/>
  <c r="M4178" i="4"/>
  <c r="M4179" i="4"/>
  <c r="M4180" i="4"/>
  <c r="M4181" i="4"/>
  <c r="M4182" i="4"/>
  <c r="M4183" i="4"/>
  <c r="M4184" i="4"/>
  <c r="M4185" i="4"/>
  <c r="M4194" i="4"/>
  <c r="M4195" i="4"/>
  <c r="M4197" i="4"/>
  <c r="M4199" i="4"/>
  <c r="M4200" i="4"/>
  <c r="M4201" i="4"/>
  <c r="M4203" i="4"/>
  <c r="M4204" i="4"/>
  <c r="M4207" i="4"/>
  <c r="M4208" i="4"/>
  <c r="M4211" i="4"/>
  <c r="M4212" i="4"/>
  <c r="M4214" i="4"/>
  <c r="M4215" i="4"/>
  <c r="M4216" i="4"/>
  <c r="M4219" i="4"/>
  <c r="M4221" i="4"/>
  <c r="M4222" i="4"/>
  <c r="M4223" i="4"/>
  <c r="M4224" i="4"/>
  <c r="M4225" i="4"/>
  <c r="M4228" i="4"/>
  <c r="M4229" i="4"/>
  <c r="M4230" i="4"/>
  <c r="M4231" i="4"/>
  <c r="M4234" i="4"/>
  <c r="M4235" i="4"/>
  <c r="M4236" i="4"/>
  <c r="M4237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8" i="4"/>
  <c r="M4261" i="4"/>
  <c r="M4265" i="4"/>
  <c r="M4266" i="4"/>
  <c r="M4267" i="4"/>
  <c r="M4268" i="4"/>
  <c r="M4270" i="4"/>
  <c r="M4271" i="4"/>
  <c r="M4274" i="4"/>
  <c r="M4275" i="4"/>
  <c r="M4277" i="4"/>
  <c r="M4272" i="4"/>
  <c r="M4166" i="4"/>
  <c r="M4156" i="4"/>
  <c r="M4175" i="4"/>
  <c r="M4202" i="4"/>
  <c r="M4260" i="4"/>
  <c r="M4193" i="4"/>
  <c r="M4015" i="4"/>
  <c r="M4016" i="4"/>
  <c r="M4114" i="4"/>
  <c r="M4125" i="4"/>
  <c r="M4136" i="4"/>
  <c r="M4138" i="4"/>
  <c r="M4154" i="4"/>
  <c r="M4167" i="4"/>
  <c r="M4192" i="4"/>
  <c r="M4196" i="4"/>
  <c r="M4213" i="4"/>
  <c r="M4232" i="4"/>
  <c r="M4233" i="4"/>
  <c r="M4273" i="4"/>
  <c r="M4120" i="4"/>
  <c r="M4140" i="4"/>
  <c r="M4146" i="4"/>
  <c r="M4148" i="4"/>
  <c r="M4161" i="4"/>
  <c r="M4172" i="4"/>
  <c r="M4198" i="4"/>
  <c r="M4206" i="4"/>
  <c r="M4209" i="4"/>
  <c r="M4210" i="4"/>
  <c r="M4218" i="4"/>
  <c r="M4226" i="4"/>
  <c r="M4227" i="4"/>
  <c r="M4259" i="4"/>
  <c r="M4276" i="4"/>
  <c r="M4017" i="4"/>
  <c r="M4121" i="4"/>
  <c r="M4123" i="4"/>
  <c r="M4124" i="4"/>
  <c r="M4126" i="4"/>
  <c r="M4127" i="4"/>
  <c r="M4128" i="4"/>
  <c r="M4129" i="4"/>
  <c r="M4130" i="4"/>
  <c r="M4155" i="4"/>
  <c r="M4174" i="4"/>
  <c r="M4176" i="4"/>
  <c r="M4187" i="4"/>
  <c r="M4188" i="4"/>
  <c r="M4189" i="4"/>
  <c r="M4190" i="4"/>
  <c r="M4191" i="4"/>
  <c r="M4217" i="4"/>
  <c r="M4238" i="4"/>
  <c r="M4239" i="4"/>
  <c r="M4240" i="4"/>
  <c r="M4257" i="4"/>
  <c r="M4262" i="4"/>
  <c r="M4263" i="4"/>
  <c r="M4264" i="4"/>
  <c r="M4269" i="4"/>
  <c r="M4278" i="4"/>
  <c r="M4153" i="4"/>
  <c r="M4186" i="4"/>
  <c r="M4205" i="4"/>
  <c r="M4220" i="4"/>
  <c r="M3760" i="4"/>
  <c r="M3726" i="4"/>
  <c r="M3745" i="4"/>
  <c r="M3748" i="4"/>
  <c r="M3820" i="4"/>
  <c r="M3850" i="4"/>
  <c r="M4032" i="4"/>
  <c r="M3818" i="4"/>
  <c r="M4088" i="4"/>
  <c r="M3863" i="4"/>
  <c r="M3889" i="4"/>
  <c r="M4025" i="4"/>
  <c r="M3862" i="4"/>
  <c r="M3724" i="4"/>
  <c r="M3725" i="4"/>
  <c r="M3829" i="4"/>
  <c r="M3886" i="4"/>
  <c r="M3968" i="4"/>
  <c r="M3757" i="4"/>
  <c r="M3855" i="4"/>
  <c r="M3901" i="4"/>
  <c r="M3723" i="4"/>
  <c r="M3720" i="4"/>
  <c r="M3721" i="4"/>
  <c r="M3722" i="4"/>
  <c r="M4325" i="4"/>
  <c r="M3972" i="4"/>
  <c r="M3973" i="4"/>
  <c r="M3728" i="4"/>
  <c r="M3731" i="4"/>
  <c r="M3730" i="4"/>
  <c r="M4288" i="4"/>
  <c r="M4289" i="4"/>
  <c r="M4290" i="4"/>
  <c r="M4291" i="4"/>
  <c r="M4292" i="4"/>
  <c r="M4293" i="4"/>
  <c r="M4294" i="4"/>
  <c r="M4295" i="4"/>
  <c r="M4122" i="4"/>
  <c r="N2560" i="4"/>
  <c r="N2921" i="4"/>
  <c r="N3139" i="4"/>
  <c r="N3193" i="4"/>
  <c r="N2615" i="4"/>
  <c r="N2646" i="4"/>
  <c r="N2647" i="4"/>
  <c r="N2648" i="4"/>
  <c r="N2649" i="4"/>
  <c r="N2651" i="4"/>
  <c r="N2723" i="4"/>
  <c r="N2724" i="4"/>
  <c r="N2725" i="4"/>
  <c r="N2726" i="4"/>
  <c r="N2727" i="4"/>
  <c r="N2759" i="4"/>
  <c r="N2763" i="4"/>
  <c r="N2800" i="4"/>
  <c r="N2838" i="4"/>
  <c r="N2839" i="4"/>
  <c r="N2863" i="4"/>
  <c r="N2923" i="4"/>
  <c r="N2943" i="4"/>
  <c r="N3125" i="4"/>
  <c r="N3140" i="4"/>
  <c r="N3141" i="4"/>
  <c r="N3163" i="4"/>
  <c r="N3164" i="4"/>
  <c r="N3195" i="4"/>
  <c r="N2767" i="4"/>
  <c r="N2601" i="4"/>
  <c r="N2603" i="4"/>
  <c r="N2650" i="4"/>
  <c r="N2658" i="4"/>
  <c r="N2691" i="4"/>
  <c r="N2758" i="4"/>
  <c r="N3142" i="4"/>
  <c r="N3143" i="4"/>
  <c r="N3144" i="4"/>
  <c r="N3194" i="4"/>
  <c r="N2561" i="4"/>
  <c r="N2576" i="4"/>
  <c r="N2577" i="4"/>
  <c r="N2578" i="4"/>
  <c r="N2579" i="4"/>
  <c r="N2580" i="4"/>
  <c r="N2581" i="4"/>
  <c r="N2640" i="4"/>
  <c r="N2917" i="4"/>
  <c r="N2918" i="4"/>
  <c r="N2919" i="4"/>
  <c r="N2920" i="4"/>
  <c r="N2922" i="4"/>
  <c r="N2924" i="4"/>
  <c r="N3190" i="4"/>
  <c r="N2760" i="4"/>
  <c r="N2793" i="4"/>
  <c r="N2891" i="4"/>
  <c r="N2892" i="4"/>
  <c r="N2893" i="4"/>
  <c r="N3189" i="4"/>
  <c r="N2652" i="4"/>
  <c r="N2792" i="4"/>
  <c r="N2846" i="4"/>
  <c r="N2851" i="4"/>
  <c r="N2756" i="4"/>
  <c r="N2811" i="4"/>
  <c r="N2829" i="4"/>
  <c r="N2607" i="4"/>
  <c r="N2937" i="4"/>
  <c r="N2942" i="4"/>
  <c r="N2950" i="4"/>
  <c r="N2952" i="4"/>
  <c r="N2876" i="4"/>
  <c r="N2933" i="4"/>
  <c r="N2686" i="4"/>
  <c r="N2939" i="4"/>
  <c r="N2589" i="4"/>
  <c r="N2821" i="4"/>
  <c r="N2847" i="4"/>
  <c r="N2861" i="4"/>
  <c r="N2887" i="4"/>
  <c r="N2953" i="4"/>
  <c r="N2841" i="4"/>
  <c r="N2889" i="4"/>
  <c r="N2926" i="4"/>
  <c r="N2938" i="4"/>
  <c r="N2947" i="4"/>
  <c r="N2783" i="4"/>
  <c r="N2828" i="4"/>
  <c r="N2843" i="4"/>
  <c r="N3137" i="4"/>
  <c r="N3153" i="4"/>
  <c r="N3191" i="4"/>
  <c r="N2609" i="4"/>
  <c r="N2611" i="4"/>
  <c r="N2613" i="4"/>
  <c r="N2614" i="4"/>
  <c r="N2661" i="4"/>
  <c r="N2702" i="4"/>
  <c r="N2708" i="4"/>
  <c r="N2710" i="4"/>
  <c r="N2775" i="4"/>
  <c r="N2776" i="4"/>
  <c r="N2812" i="4"/>
  <c r="N2813" i="4"/>
  <c r="N2830" i="4"/>
  <c r="N2831" i="4"/>
  <c r="N2837" i="4"/>
  <c r="N2849" i="4"/>
  <c r="N2869" i="4"/>
  <c r="N2872" i="4"/>
  <c r="N2875" i="4"/>
  <c r="N2888" i="4"/>
  <c r="N2902" i="4"/>
  <c r="N2925" i="4"/>
  <c r="N2932" i="4"/>
  <c r="N2948" i="4"/>
  <c r="N2949" i="4"/>
  <c r="N3121" i="4"/>
  <c r="N3168" i="4"/>
  <c r="N3182" i="4"/>
  <c r="N2900" i="4"/>
  <c r="N2600" i="4"/>
  <c r="N2693" i="4"/>
  <c r="N2842" i="4"/>
  <c r="N2860" i="4"/>
  <c r="N2894" i="4"/>
  <c r="N2929" i="4"/>
  <c r="N3192" i="4"/>
  <c r="N2666" i="4"/>
  <c r="N2703" i="4"/>
  <c r="N2715" i="4"/>
  <c r="N2931" i="4"/>
  <c r="N2784" i="4"/>
  <c r="N2785" i="4"/>
  <c r="N2799" i="4"/>
  <c r="N2944" i="4"/>
  <c r="N2694" i="4"/>
  <c r="N2695" i="4"/>
  <c r="N2696" i="4"/>
  <c r="N2761" i="4"/>
  <c r="N2951" i="4"/>
  <c r="N2659" i="4"/>
  <c r="N2791" i="4"/>
  <c r="N2936" i="4"/>
  <c r="N2574" i="4"/>
  <c r="N2689" i="4"/>
  <c r="N2699" i="4"/>
  <c r="N2729" i="4"/>
  <c r="N2762" i="4"/>
  <c r="N2790" i="4"/>
  <c r="N2643" i="4"/>
  <c r="N2909" i="4"/>
  <c r="N2945" i="4"/>
  <c r="N2836" i="4"/>
  <c r="N2641" i="4"/>
  <c r="N2644" i="4"/>
  <c r="N2616" i="4"/>
  <c r="N2585" i="4"/>
  <c r="N2864" i="4"/>
  <c r="N2582" i="4"/>
  <c r="N2583" i="4"/>
  <c r="N2584" i="4"/>
  <c r="N2586" i="4"/>
  <c r="N2588" i="4"/>
  <c r="N2596" i="4"/>
  <c r="N2604" i="4"/>
  <c r="N2605" i="4"/>
  <c r="N2610" i="4"/>
  <c r="N2617" i="4"/>
  <c r="N2657" i="4"/>
  <c r="N2665" i="4"/>
  <c r="N2667" i="4"/>
  <c r="N2668" i="4"/>
  <c r="N2669" i="4"/>
  <c r="N2670" i="4"/>
  <c r="N2684" i="4"/>
  <c r="N2685" i="4"/>
  <c r="N2690" i="4"/>
  <c r="N2698" i="4"/>
  <c r="N2700" i="4"/>
  <c r="N2716" i="4"/>
  <c r="N2732" i="4"/>
  <c r="N2749" i="4"/>
  <c r="N2754" i="4"/>
  <c r="N2772" i="4"/>
  <c r="N2774" i="4"/>
  <c r="N2781" i="4"/>
  <c r="N2788" i="4"/>
  <c r="N2796" i="4"/>
  <c r="N2798" i="4"/>
  <c r="N2801" i="4"/>
  <c r="N2804" i="4"/>
  <c r="N2809" i="4"/>
  <c r="N2817" i="4"/>
  <c r="N2819" i="4"/>
  <c r="N2824" i="4"/>
  <c r="N2826" i="4"/>
  <c r="N2832" i="4"/>
  <c r="N2848" i="4"/>
  <c r="N2862" i="4"/>
  <c r="N2870" i="4"/>
  <c r="N2871" i="4"/>
  <c r="N2873" i="4"/>
  <c r="N2880" i="4"/>
  <c r="N2881" i="4"/>
  <c r="N2886" i="4"/>
  <c r="N2885" i="4"/>
  <c r="N2896" i="4"/>
  <c r="N2897" i="4"/>
  <c r="N2910" i="4"/>
  <c r="N2911" i="4"/>
  <c r="N2916" i="4"/>
  <c r="N2935" i="4"/>
  <c r="N3154" i="4"/>
  <c r="N3155" i="4"/>
  <c r="N3156" i="4"/>
  <c r="N3157" i="4"/>
  <c r="N3158" i="4"/>
  <c r="N3161" i="4"/>
  <c r="N3197" i="4"/>
  <c r="N3198" i="4"/>
  <c r="N2645" i="4"/>
  <c r="N2750" i="4"/>
  <c r="N2575" i="4"/>
  <c r="N2773" i="4"/>
  <c r="N2803" i="4"/>
  <c r="N2778" i="4"/>
  <c r="N2683" i="4"/>
  <c r="N2672" i="4"/>
  <c r="N2673" i="4"/>
  <c r="N2674" i="4"/>
  <c r="N2676" i="4"/>
  <c r="N2677" i="4"/>
  <c r="N2678" i="4"/>
  <c r="N2680" i="4"/>
  <c r="N2681" i="4"/>
  <c r="N2682" i="4"/>
  <c r="N2675" i="4"/>
  <c r="N2679" i="4"/>
  <c r="N2745" i="4"/>
  <c r="N2746" i="4"/>
  <c r="N2878" i="4"/>
  <c r="N2688" i="4"/>
  <c r="N2664" i="4"/>
  <c r="N2687" i="4"/>
  <c r="N2707" i="4"/>
  <c r="N2877" i="4"/>
  <c r="N2946" i="4"/>
  <c r="N2852" i="4"/>
  <c r="N3186" i="4"/>
  <c r="N2597" i="4"/>
  <c r="N2739" i="4"/>
  <c r="N2740" i="4"/>
  <c r="N2741" i="4"/>
  <c r="N2748" i="4"/>
  <c r="N2751" i="4"/>
  <c r="N2752" i="4"/>
  <c r="N2794" i="4"/>
  <c r="N2827" i="4"/>
  <c r="N2844" i="4"/>
  <c r="N2845" i="4"/>
  <c r="N2908" i="4"/>
  <c r="N3165" i="4"/>
  <c r="N3167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3" i="4"/>
  <c r="N3185" i="4"/>
  <c r="N3187" i="4"/>
  <c r="N3188" i="4"/>
  <c r="N2834" i="4"/>
  <c r="N2835" i="4"/>
  <c r="N3184" i="4"/>
  <c r="N2709" i="4"/>
  <c r="N2904" i="4"/>
  <c r="N2906" i="4"/>
  <c r="N2907" i="4"/>
  <c r="N2606" i="4"/>
  <c r="N2711" i="4"/>
  <c r="N2712" i="4"/>
  <c r="N2797" i="4"/>
  <c r="N2822" i="4"/>
  <c r="N2905" i="4"/>
  <c r="N2654" i="4"/>
  <c r="N2592" i="4"/>
  <c r="N2634" i="4"/>
  <c r="N2618" i="4"/>
  <c r="N2593" i="4"/>
  <c r="N2913" i="4"/>
  <c r="N2633" i="4"/>
  <c r="N2637" i="4"/>
  <c r="N2818" i="4"/>
  <c r="N2890" i="4"/>
  <c r="N2591" i="4"/>
  <c r="N2594" i="4"/>
  <c r="N2595" i="4"/>
  <c r="N2624" i="4"/>
  <c r="N2625" i="4"/>
  <c r="N2626" i="4"/>
  <c r="N2628" i="4"/>
  <c r="N2706" i="4"/>
  <c r="N2713" i="4"/>
  <c r="N2714" i="4"/>
  <c r="N2840" i="4"/>
  <c r="N2895" i="4"/>
  <c r="N2898" i="4"/>
  <c r="N3162" i="4"/>
  <c r="N2777" i="4"/>
  <c r="N2630" i="4"/>
  <c r="N2632" i="4"/>
  <c r="N2636" i="4"/>
  <c r="N2620" i="4"/>
  <c r="N2627" i="4"/>
  <c r="N2639" i="4"/>
  <c r="N2768" i="4"/>
  <c r="N2865" i="4"/>
  <c r="N2879" i="4"/>
  <c r="N2914" i="4"/>
  <c r="N2915" i="4"/>
  <c r="N2934" i="4"/>
  <c r="N2940" i="4"/>
  <c r="N2941" i="4"/>
  <c r="N3126" i="4"/>
  <c r="N3127" i="4"/>
  <c r="N3128" i="4"/>
  <c r="N3138" i="4"/>
  <c r="N2622" i="4"/>
  <c r="N2882" i="4"/>
  <c r="N2655" i="4"/>
  <c r="N2569" i="4"/>
  <c r="N2899" i="4"/>
  <c r="N2816" i="4"/>
  <c r="N2928" i="4"/>
  <c r="N2755" i="4"/>
  <c r="N2608" i="4"/>
  <c r="N2653" i="4"/>
  <c r="N2789" i="4"/>
  <c r="N2868" i="4"/>
  <c r="N3120" i="4"/>
  <c r="N2571" i="4"/>
  <c r="N2753" i="4"/>
  <c r="N2779" i="4"/>
  <c r="N2820" i="4"/>
  <c r="N2823" i="4"/>
  <c r="N2825" i="4"/>
  <c r="N2850" i="4"/>
  <c r="N2766" i="4"/>
  <c r="N2782" i="4"/>
  <c r="N2802" i="4"/>
  <c r="N2744" i="4"/>
  <c r="N2612" i="4"/>
  <c r="N2656" i="4"/>
  <c r="N2663" i="4"/>
  <c r="N2701" i="4"/>
  <c r="N2795" i="4"/>
  <c r="N2833" i="4"/>
  <c r="N2866" i="4"/>
  <c r="N2901" i="4"/>
  <c r="N3145" i="4"/>
  <c r="N3146" i="4"/>
  <c r="N3159" i="4"/>
  <c r="N2927" i="4"/>
  <c r="N2747" i="4"/>
  <c r="N2771" i="4"/>
  <c r="N2721" i="4"/>
  <c r="N2635" i="4"/>
  <c r="N2623" i="4"/>
  <c r="N2629" i="4"/>
  <c r="N2631" i="4"/>
  <c r="N2638" i="4"/>
  <c r="N2912" i="4"/>
  <c r="N2598" i="4"/>
  <c r="N2717" i="4"/>
  <c r="N2720" i="4"/>
  <c r="N2787" i="4"/>
  <c r="N2621" i="4"/>
  <c r="N2642" i="4"/>
  <c r="N2718" i="4"/>
  <c r="N2719" i="4"/>
  <c r="N2722" i="4"/>
  <c r="N2730" i="4"/>
  <c r="N2733" i="4"/>
  <c r="N2734" i="4"/>
  <c r="N2735" i="4"/>
  <c r="N2736" i="4"/>
  <c r="N2737" i="4"/>
  <c r="N2738" i="4"/>
  <c r="N2742" i="4"/>
  <c r="N2757" i="4"/>
  <c r="N2764" i="4"/>
  <c r="N2765" i="4"/>
  <c r="N2769" i="4"/>
  <c r="N2770" i="4"/>
  <c r="N2780" i="4"/>
  <c r="N2786" i="4"/>
  <c r="N2805" i="4"/>
  <c r="N2807" i="4"/>
  <c r="N2808" i="4"/>
  <c r="N2884" i="4"/>
  <c r="N3122" i="4"/>
  <c r="N3123" i="4"/>
  <c r="N3124" i="4"/>
  <c r="N3147" i="4"/>
  <c r="N3148" i="4"/>
  <c r="N3149" i="4"/>
  <c r="N3150" i="4"/>
  <c r="N3151" i="4"/>
  <c r="N3160" i="4"/>
  <c r="N3196" i="4"/>
  <c r="N2806" i="4"/>
  <c r="N2883" i="4"/>
  <c r="N2903" i="4"/>
  <c r="N3152" i="4"/>
  <c r="N2619" i="4"/>
  <c r="N2853" i="4"/>
  <c r="N2854" i="4"/>
  <c r="N2855" i="4"/>
  <c r="N2856" i="4"/>
  <c r="N2954" i="4"/>
  <c r="N2956" i="4"/>
  <c r="N2957" i="4"/>
  <c r="N2958" i="4"/>
  <c r="N2959" i="4"/>
  <c r="N2960" i="4"/>
  <c r="N2972" i="4"/>
  <c r="N2973" i="4"/>
  <c r="N2974" i="4"/>
  <c r="N2975" i="4"/>
  <c r="N2976" i="4"/>
  <c r="N2978" i="4"/>
  <c r="N2980" i="4"/>
  <c r="N2982" i="4"/>
  <c r="N2983" i="4"/>
  <c r="N2984" i="4"/>
  <c r="N2985" i="4"/>
  <c r="N2986" i="4"/>
  <c r="N2988" i="4"/>
  <c r="N2990" i="4"/>
  <c r="N2991" i="4"/>
  <c r="N2992" i="4"/>
  <c r="N2993" i="4"/>
  <c r="N2998" i="4"/>
  <c r="N2999" i="4"/>
  <c r="N3000" i="4"/>
  <c r="N3001" i="4"/>
  <c r="N3003" i="4"/>
  <c r="N3004" i="4"/>
  <c r="N3005" i="4"/>
  <c r="N3006" i="4"/>
  <c r="N3009" i="4"/>
  <c r="N3010" i="4"/>
  <c r="N3011" i="4"/>
  <c r="N3012" i="4"/>
  <c r="N3014" i="4"/>
  <c r="N3018" i="4"/>
  <c r="N3019" i="4"/>
  <c r="N3020" i="4"/>
  <c r="N3021" i="4"/>
  <c r="N3022" i="4"/>
  <c r="N3023" i="4"/>
  <c r="N3024" i="4"/>
  <c r="N3025" i="4"/>
  <c r="N3026" i="4"/>
  <c r="N3035" i="4"/>
  <c r="N3036" i="4"/>
  <c r="N3038" i="4"/>
  <c r="N3040" i="4"/>
  <c r="N3041" i="4"/>
  <c r="N3042" i="4"/>
  <c r="N3044" i="4"/>
  <c r="N3045" i="4"/>
  <c r="N3048" i="4"/>
  <c r="N3049" i="4"/>
  <c r="N3052" i="4"/>
  <c r="N3053" i="4"/>
  <c r="N3055" i="4"/>
  <c r="N3056" i="4"/>
  <c r="N3057" i="4"/>
  <c r="N3060" i="4"/>
  <c r="N3062" i="4"/>
  <c r="N3063" i="4"/>
  <c r="N3064" i="4"/>
  <c r="N3065" i="4"/>
  <c r="N3066" i="4"/>
  <c r="N3069" i="4"/>
  <c r="N3070" i="4"/>
  <c r="N3071" i="4"/>
  <c r="N3072" i="4"/>
  <c r="N3075" i="4"/>
  <c r="N3076" i="4"/>
  <c r="N3077" i="4"/>
  <c r="N3078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9" i="4"/>
  <c r="N3102" i="4"/>
  <c r="N3106" i="4"/>
  <c r="N3107" i="4"/>
  <c r="N3108" i="4"/>
  <c r="N3109" i="4"/>
  <c r="N3111" i="4"/>
  <c r="N3112" i="4"/>
  <c r="N3115" i="4"/>
  <c r="N3116" i="4"/>
  <c r="N3118" i="4"/>
  <c r="N3113" i="4"/>
  <c r="N3007" i="4"/>
  <c r="N2997" i="4"/>
  <c r="N3016" i="4"/>
  <c r="N3043" i="4"/>
  <c r="N3101" i="4"/>
  <c r="N3034" i="4"/>
  <c r="N2857" i="4"/>
  <c r="N2858" i="4"/>
  <c r="N2955" i="4"/>
  <c r="N2966" i="4"/>
  <c r="N2977" i="4"/>
  <c r="N2979" i="4"/>
  <c r="N2995" i="4"/>
  <c r="N3008" i="4"/>
  <c r="N3033" i="4"/>
  <c r="N3037" i="4"/>
  <c r="N3054" i="4"/>
  <c r="N3073" i="4"/>
  <c r="N3074" i="4"/>
  <c r="N3114" i="4"/>
  <c r="N2961" i="4"/>
  <c r="N2981" i="4"/>
  <c r="N2987" i="4"/>
  <c r="N2989" i="4"/>
  <c r="N3002" i="4"/>
  <c r="N3013" i="4"/>
  <c r="N3039" i="4"/>
  <c r="N3047" i="4"/>
  <c r="N3050" i="4"/>
  <c r="N3051" i="4"/>
  <c r="N3059" i="4"/>
  <c r="N3067" i="4"/>
  <c r="N3068" i="4"/>
  <c r="N3100" i="4"/>
  <c r="N3117" i="4"/>
  <c r="N2859" i="4"/>
  <c r="N2962" i="4"/>
  <c r="N2964" i="4"/>
  <c r="N2965" i="4"/>
  <c r="N2967" i="4"/>
  <c r="N2968" i="4"/>
  <c r="N2969" i="4"/>
  <c r="N2970" i="4"/>
  <c r="N2971" i="4"/>
  <c r="N2996" i="4"/>
  <c r="N3015" i="4"/>
  <c r="N3017" i="4"/>
  <c r="N3028" i="4"/>
  <c r="N3029" i="4"/>
  <c r="N3030" i="4"/>
  <c r="N3031" i="4"/>
  <c r="N3032" i="4"/>
  <c r="N3058" i="4"/>
  <c r="N3079" i="4"/>
  <c r="N3080" i="4"/>
  <c r="N3081" i="4"/>
  <c r="N3098" i="4"/>
  <c r="N3103" i="4"/>
  <c r="N3104" i="4"/>
  <c r="N3105" i="4"/>
  <c r="N3110" i="4"/>
  <c r="N3119" i="4"/>
  <c r="N2994" i="4"/>
  <c r="N3027" i="4"/>
  <c r="N3046" i="4"/>
  <c r="N3061" i="4"/>
  <c r="N2602" i="4"/>
  <c r="N2568" i="4"/>
  <c r="N2587" i="4"/>
  <c r="N2590" i="4"/>
  <c r="N2662" i="4"/>
  <c r="N2692" i="4"/>
  <c r="N2874" i="4"/>
  <c r="N2660" i="4"/>
  <c r="N2930" i="4"/>
  <c r="N2705" i="4"/>
  <c r="N2731" i="4"/>
  <c r="N2867" i="4"/>
  <c r="N2704" i="4"/>
  <c r="N2566" i="4"/>
  <c r="N2567" i="4"/>
  <c r="N2671" i="4"/>
  <c r="N2728" i="4"/>
  <c r="N2810" i="4"/>
  <c r="N2599" i="4"/>
  <c r="N2697" i="4"/>
  <c r="N2743" i="4"/>
  <c r="N2565" i="4"/>
  <c r="N2562" i="4"/>
  <c r="N2563" i="4"/>
  <c r="N2564" i="4"/>
  <c r="N3166" i="4"/>
  <c r="N2814" i="4"/>
  <c r="N2815" i="4"/>
  <c r="N2570" i="4"/>
  <c r="N2573" i="4"/>
  <c r="N2572" i="4"/>
  <c r="N3129" i="4"/>
  <c r="N3130" i="4"/>
  <c r="N3131" i="4"/>
  <c r="N3132" i="4"/>
  <c r="N3133" i="4"/>
  <c r="N3134" i="4"/>
  <c r="N3135" i="4"/>
  <c r="N3136" i="4"/>
  <c r="N2963" i="4"/>
  <c r="N1467" i="4"/>
  <c r="N1468" i="4"/>
  <c r="N1608" i="4"/>
  <c r="N1776" i="4"/>
  <c r="N1778" i="4"/>
  <c r="N1343" i="4"/>
  <c r="N1361" i="4"/>
  <c r="N1362" i="4"/>
  <c r="N1363" i="4"/>
  <c r="N1364" i="4"/>
  <c r="N1366" i="4"/>
  <c r="N1436" i="4"/>
  <c r="N1437" i="4"/>
  <c r="N1438" i="4"/>
  <c r="N1439" i="4"/>
  <c r="N1440" i="4"/>
  <c r="N1463" i="4"/>
  <c r="N1466" i="4"/>
  <c r="N1469" i="4"/>
  <c r="N1488" i="4"/>
  <c r="N1489" i="4"/>
  <c r="N1501" i="4"/>
  <c r="N1529" i="4"/>
  <c r="N1530" i="4"/>
  <c r="N1554" i="4"/>
  <c r="N1612" i="4"/>
  <c r="N1633" i="4"/>
  <c r="N1765" i="4"/>
  <c r="N1777" i="4"/>
  <c r="N1779" i="4"/>
  <c r="N1783" i="4"/>
  <c r="N1820" i="4"/>
  <c r="N1426" i="4"/>
  <c r="N1609" i="4"/>
  <c r="N1610" i="4"/>
  <c r="N1328" i="4"/>
  <c r="N1330" i="4"/>
  <c r="N1365" i="4"/>
  <c r="N1374" i="4"/>
  <c r="N1402" i="4"/>
  <c r="N1462" i="4"/>
  <c r="N1780" i="4"/>
  <c r="N1781" i="4"/>
  <c r="N1782" i="4"/>
  <c r="N1297" i="4"/>
  <c r="N1307" i="4"/>
  <c r="N1308" i="4"/>
  <c r="N1309" i="4"/>
  <c r="N1310" i="4"/>
  <c r="N1311" i="4"/>
  <c r="N1312" i="4"/>
  <c r="N1357" i="4"/>
  <c r="N1602" i="4"/>
  <c r="N1603" i="4"/>
  <c r="N1604" i="4"/>
  <c r="N1605" i="4"/>
  <c r="N1606" i="4"/>
  <c r="N1607" i="4"/>
  <c r="N1611" i="4"/>
  <c r="N1613" i="4"/>
  <c r="N1818" i="4"/>
  <c r="N1464" i="4"/>
  <c r="N1368" i="4"/>
  <c r="N1492" i="4"/>
  <c r="N1580" i="4"/>
  <c r="N1763" i="4"/>
  <c r="N1491" i="4"/>
  <c r="N1536" i="4"/>
  <c r="N1522" i="4"/>
  <c r="N1334" i="4"/>
  <c r="N1636" i="4"/>
  <c r="N1638" i="4"/>
  <c r="N1521" i="4"/>
  <c r="N1621" i="4"/>
  <c r="N1762" i="4"/>
  <c r="N1320" i="4"/>
  <c r="N1533" i="4"/>
  <c r="N1482" i="4"/>
  <c r="N1535" i="4"/>
  <c r="N1788" i="4"/>
  <c r="N1335" i="4"/>
  <c r="N1339" i="4"/>
  <c r="N1341" i="4"/>
  <c r="N1348" i="4"/>
  <c r="N1376" i="4"/>
  <c r="N1403" i="4"/>
  <c r="N1412" i="4"/>
  <c r="N1423" i="4"/>
  <c r="N1424" i="4"/>
  <c r="N1476" i="4"/>
  <c r="N1477" i="4"/>
  <c r="N1509" i="4"/>
  <c r="N1510" i="4"/>
  <c r="N1523" i="4"/>
  <c r="N1524" i="4"/>
  <c r="N1528" i="4"/>
  <c r="N1540" i="4"/>
  <c r="N1564" i="4"/>
  <c r="N1567" i="4"/>
  <c r="N1579" i="4"/>
  <c r="N1614" i="4"/>
  <c r="N1615" i="4"/>
  <c r="N1620" i="4"/>
  <c r="N1759" i="4"/>
  <c r="N1764" i="4"/>
  <c r="N1795" i="4"/>
  <c r="N1801" i="4"/>
  <c r="N1803" i="4"/>
  <c r="N1814" i="4"/>
  <c r="N1326" i="4"/>
  <c r="N1327" i="4"/>
  <c r="N1340" i="4"/>
  <c r="N1405" i="4"/>
  <c r="N1406" i="4"/>
  <c r="N1417" i="4"/>
  <c r="N1461" i="4"/>
  <c r="N1534" i="4"/>
  <c r="N1541" i="4"/>
  <c r="N1552" i="4"/>
  <c r="N1581" i="4"/>
  <c r="N1585" i="4"/>
  <c r="N1599" i="4"/>
  <c r="N1618" i="4"/>
  <c r="N1792" i="4"/>
  <c r="N1819" i="4"/>
  <c r="N1551" i="4"/>
  <c r="N1542" i="4"/>
  <c r="N1336" i="4"/>
  <c r="N1431" i="4"/>
  <c r="N1571" i="4"/>
  <c r="N1619" i="4"/>
  <c r="N1484" i="4"/>
  <c r="N1407" i="4"/>
  <c r="N1408" i="4"/>
  <c r="N1409" i="4"/>
  <c r="N1637" i="4"/>
  <c r="N1490" i="4"/>
  <c r="N1629" i="4"/>
  <c r="N1305" i="4"/>
  <c r="N1400" i="4"/>
  <c r="N1413" i="4"/>
  <c r="N1442" i="4"/>
  <c r="N1465" i="4"/>
  <c r="N1416" i="4"/>
  <c r="N1545" i="4"/>
  <c r="N1798" i="4"/>
  <c r="N1527" i="4"/>
  <c r="N1358" i="4"/>
  <c r="N1359" i="4"/>
  <c r="N1555" i="4"/>
  <c r="N1314" i="4"/>
  <c r="N1315" i="4"/>
  <c r="N1316" i="4"/>
  <c r="N1317" i="4"/>
  <c r="N1319" i="4"/>
  <c r="N1322" i="4"/>
  <c r="N1331" i="4"/>
  <c r="N1332" i="4"/>
  <c r="N1337" i="4"/>
  <c r="N1344" i="4"/>
  <c r="N1345" i="4"/>
  <c r="N1373" i="4"/>
  <c r="N1378" i="4"/>
  <c r="N1380" i="4"/>
  <c r="N1381" i="4"/>
  <c r="N1382" i="4"/>
  <c r="N1383" i="4"/>
  <c r="N1384" i="4"/>
  <c r="N1394" i="4"/>
  <c r="N1395" i="4"/>
  <c r="N1396" i="4"/>
  <c r="N1401" i="4"/>
  <c r="N1411" i="4"/>
  <c r="N1414" i="4"/>
  <c r="N1421" i="4"/>
  <c r="N1432" i="4"/>
  <c r="N1456" i="4"/>
  <c r="N1459" i="4"/>
  <c r="N1474" i="4"/>
  <c r="N1487" i="4"/>
  <c r="N1495" i="4"/>
  <c r="N1499" i="4"/>
  <c r="N1500" i="4"/>
  <c r="N1502" i="4"/>
  <c r="N1507" i="4"/>
  <c r="N1513" i="4"/>
  <c r="N1514" i="4"/>
  <c r="N1518" i="4"/>
  <c r="N1519" i="4"/>
  <c r="N1525" i="4"/>
  <c r="N1532" i="4"/>
  <c r="N1539" i="4"/>
  <c r="N1553" i="4"/>
  <c r="N1565" i="4"/>
  <c r="N1566" i="4"/>
  <c r="N1568" i="4"/>
  <c r="N1573" i="4"/>
  <c r="N1574" i="4"/>
  <c r="N1578" i="4"/>
  <c r="N1577" i="4"/>
  <c r="N1583" i="4"/>
  <c r="N1584" i="4"/>
  <c r="N1598" i="4"/>
  <c r="N1601" i="4"/>
  <c r="N1623" i="4"/>
  <c r="N1789" i="4"/>
  <c r="N1790" i="4"/>
  <c r="N1791" i="4"/>
  <c r="N1793" i="4"/>
  <c r="N1794" i="4"/>
  <c r="N1800" i="4"/>
  <c r="N1824" i="4"/>
  <c r="N1825" i="4"/>
  <c r="N1826" i="4"/>
  <c r="N1827" i="4"/>
  <c r="N1360" i="4"/>
  <c r="N1457" i="4"/>
  <c r="N1306" i="4"/>
  <c r="N1475" i="4"/>
  <c r="N1504" i="4"/>
  <c r="N1479" i="4"/>
  <c r="N1386" i="4"/>
  <c r="N1387" i="4"/>
  <c r="N1388" i="4"/>
  <c r="N1389" i="4"/>
  <c r="N1390" i="4"/>
  <c r="N1392" i="4"/>
  <c r="N1393" i="4"/>
  <c r="N1391" i="4"/>
  <c r="N1478" i="4"/>
  <c r="N1787" i="4"/>
  <c r="N1450" i="4"/>
  <c r="N1397" i="4"/>
  <c r="N1399" i="4"/>
  <c r="N1422" i="4"/>
  <c r="N1634" i="4"/>
  <c r="N1427" i="4"/>
  <c r="N1627" i="4"/>
  <c r="N1625" i="4"/>
  <c r="N1626" i="4"/>
  <c r="N1628" i="4"/>
  <c r="N1447" i="4"/>
  <c r="N1454" i="4"/>
  <c r="N1455" i="4"/>
  <c r="N1494" i="4"/>
  <c r="N1520" i="4"/>
  <c r="N1546" i="4"/>
  <c r="N1547" i="4"/>
  <c r="N1548" i="4"/>
  <c r="N1624" i="4"/>
  <c r="N1796" i="4"/>
  <c r="N1804" i="4"/>
  <c r="N1805" i="4"/>
  <c r="N1806" i="4"/>
  <c r="N1807" i="4"/>
  <c r="N1808" i="4"/>
  <c r="N1809" i="4"/>
  <c r="N1810" i="4"/>
  <c r="N1811" i="4"/>
  <c r="N1812" i="4"/>
  <c r="N1813" i="4"/>
  <c r="N1815" i="4"/>
  <c r="N1816" i="4"/>
  <c r="N1635" i="4"/>
  <c r="N1537" i="4"/>
  <c r="N1538" i="4"/>
  <c r="N1817" i="4"/>
  <c r="N1595" i="4"/>
  <c r="N1591" i="4"/>
  <c r="N1367" i="4"/>
  <c r="N1592" i="4"/>
  <c r="N1596" i="4"/>
  <c r="N1757" i="4"/>
  <c r="N1597" i="4"/>
  <c r="N1496" i="4"/>
  <c r="N1333" i="4"/>
  <c r="N1425" i="4"/>
  <c r="N1429" i="4"/>
  <c r="N1498" i="4"/>
  <c r="N1516" i="4"/>
  <c r="N1593" i="4"/>
  <c r="N1594" i="4"/>
  <c r="N1823" i="4"/>
  <c r="N1497" i="4"/>
  <c r="N1370" i="4"/>
  <c r="N1353" i="4"/>
  <c r="N1430" i="4"/>
  <c r="N1531" i="4"/>
  <c r="N1582" i="4"/>
  <c r="N1354" i="4"/>
  <c r="N1349" i="4"/>
  <c r="N1356" i="4"/>
  <c r="N1556" i="4"/>
  <c r="N1557" i="4"/>
  <c r="N1572" i="4"/>
  <c r="N1622" i="4"/>
  <c r="N1631" i="4"/>
  <c r="N1632" i="4"/>
  <c r="N1766" i="4"/>
  <c r="N1767" i="4"/>
  <c r="N1775" i="4"/>
  <c r="N1569" i="4"/>
  <c r="N1821" i="4"/>
  <c r="N1630" i="4"/>
  <c r="N1575" i="4"/>
  <c r="N1371" i="4"/>
  <c r="N1587" i="4"/>
  <c r="N1588" i="4"/>
  <c r="N1589" i="4"/>
  <c r="N1586" i="4"/>
  <c r="N1617" i="4"/>
  <c r="N1460" i="4"/>
  <c r="N1369" i="4"/>
  <c r="N1563" i="4"/>
  <c r="N1758" i="4"/>
  <c r="N1761" i="4"/>
  <c r="N1458" i="4"/>
  <c r="N1480" i="4"/>
  <c r="N1515" i="4"/>
  <c r="N1517" i="4"/>
  <c r="N1543" i="4"/>
  <c r="N1471" i="4"/>
  <c r="N1550" i="4"/>
  <c r="N1503" i="4"/>
  <c r="N1452" i="4"/>
  <c r="N1338" i="4"/>
  <c r="N1372" i="4"/>
  <c r="N1379" i="4"/>
  <c r="N1415" i="4"/>
  <c r="N1451" i="4"/>
  <c r="N1483" i="4"/>
  <c r="N1493" i="4"/>
  <c r="N1526" i="4"/>
  <c r="N1559" i="4"/>
  <c r="N1590" i="4"/>
  <c r="N1784" i="4"/>
  <c r="N1785" i="4"/>
  <c r="N1797" i="4"/>
  <c r="N1558" i="4"/>
  <c r="N1616" i="4"/>
  <c r="N1453" i="4"/>
  <c r="N1473" i="4"/>
  <c r="N1351" i="4"/>
  <c r="N1352" i="4"/>
  <c r="N1355" i="4"/>
  <c r="N1600" i="4"/>
  <c r="N1324" i="4"/>
  <c r="N1350" i="4"/>
  <c r="N1433" i="4"/>
  <c r="N1435" i="4"/>
  <c r="N1443" i="4"/>
  <c r="N1446" i="4"/>
  <c r="N1448" i="4"/>
  <c r="N1470" i="4"/>
  <c r="N1472" i="4"/>
  <c r="N1481" i="4"/>
  <c r="N1485" i="4"/>
  <c r="N1486" i="4"/>
  <c r="N1506" i="4"/>
  <c r="N1576" i="4"/>
  <c r="N1760" i="4"/>
  <c r="N1786" i="4"/>
  <c r="N1799" i="4"/>
  <c r="N1822" i="4"/>
  <c r="N1434" i="4"/>
  <c r="N1505" i="4"/>
  <c r="N1549" i="4"/>
  <c r="N1639" i="4"/>
  <c r="N1640" i="4"/>
  <c r="N1641" i="4"/>
  <c r="N1642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3" i="4"/>
  <c r="N1674" i="4"/>
  <c r="N1675" i="4"/>
  <c r="N1676" i="4"/>
  <c r="N1677" i="4"/>
  <c r="N1678" i="4"/>
  <c r="N1680" i="4"/>
  <c r="N1681" i="4"/>
  <c r="N1682" i="4"/>
  <c r="N1683" i="4"/>
  <c r="N1685" i="4"/>
  <c r="N1686" i="4"/>
  <c r="N1687" i="4"/>
  <c r="N1689" i="4"/>
  <c r="N1690" i="4"/>
  <c r="N1691" i="4"/>
  <c r="N1692" i="4"/>
  <c r="N1693" i="4"/>
  <c r="N1694" i="4"/>
  <c r="N1698" i="4"/>
  <c r="N1699" i="4"/>
  <c r="N1700" i="4"/>
  <c r="N1701" i="4"/>
  <c r="N1702" i="4"/>
  <c r="N1703" i="4"/>
  <c r="N1704" i="4"/>
  <c r="N1705" i="4"/>
  <c r="N1706" i="4"/>
  <c r="N1708" i="4"/>
  <c r="N1709" i="4"/>
  <c r="N1711" i="4"/>
  <c r="N1712" i="4"/>
  <c r="N1713" i="4"/>
  <c r="N1714" i="4"/>
  <c r="N1715" i="4"/>
  <c r="N1716" i="4"/>
  <c r="N1718" i="4"/>
  <c r="N1719" i="4"/>
  <c r="N1720" i="4"/>
  <c r="N1721" i="4"/>
  <c r="N1722" i="4"/>
  <c r="N1723" i="4"/>
  <c r="N1724" i="4"/>
  <c r="N1725" i="4"/>
  <c r="N1726" i="4"/>
  <c r="N1727" i="4"/>
  <c r="N1728" i="4"/>
  <c r="N1733" i="4"/>
  <c r="N1734" i="4"/>
  <c r="N1735" i="4"/>
  <c r="N1736" i="4"/>
  <c r="N1737" i="4"/>
  <c r="N1738" i="4"/>
  <c r="N1739" i="4"/>
  <c r="N1740" i="4"/>
  <c r="N1741" i="4"/>
  <c r="N1745" i="4"/>
  <c r="N1746" i="4"/>
  <c r="N1747" i="4"/>
  <c r="N1748" i="4"/>
  <c r="N1751" i="4"/>
  <c r="N1752" i="4"/>
  <c r="N1753" i="4"/>
  <c r="N1754" i="4"/>
  <c r="N1750" i="4"/>
  <c r="N1688" i="4"/>
  <c r="N1729" i="4"/>
  <c r="N1710" i="4"/>
  <c r="N1643" i="4"/>
  <c r="N1645" i="4"/>
  <c r="N1646" i="4"/>
  <c r="N1672" i="4"/>
  <c r="N1679" i="4"/>
  <c r="N1684" i="4"/>
  <c r="N1696" i="4"/>
  <c r="N1697" i="4"/>
  <c r="N1707" i="4"/>
  <c r="N1730" i="4"/>
  <c r="N1731" i="4"/>
  <c r="N1732" i="4"/>
  <c r="N1742" i="4"/>
  <c r="N1743" i="4"/>
  <c r="N1744" i="4"/>
  <c r="N1749" i="4"/>
  <c r="N1755" i="4"/>
  <c r="N1756" i="4"/>
  <c r="N1671" i="4"/>
  <c r="N1695" i="4"/>
  <c r="N1717" i="4"/>
  <c r="N1377" i="4"/>
  <c r="N1329" i="4"/>
  <c r="N1346" i="4"/>
  <c r="N1313" i="4"/>
  <c r="N1302" i="4"/>
  <c r="N1318" i="4"/>
  <c r="N1321" i="4"/>
  <c r="N1404" i="4"/>
  <c r="N1570" i="4"/>
  <c r="N1375" i="4"/>
  <c r="N1323" i="4"/>
  <c r="N1420" i="4"/>
  <c r="N1418" i="4"/>
  <c r="N1444" i="4"/>
  <c r="N1445" i="4"/>
  <c r="N1428" i="4"/>
  <c r="N1342" i="4"/>
  <c r="N1419" i="4"/>
  <c r="N1560" i="4"/>
  <c r="N1562" i="4"/>
  <c r="N1561" i="4"/>
  <c r="N1385" i="4"/>
  <c r="N1441" i="4"/>
  <c r="N1508" i="4"/>
  <c r="N1325" i="4"/>
  <c r="N1410" i="4"/>
  <c r="N1398" i="4"/>
  <c r="N1449" i="4"/>
  <c r="N1347" i="4"/>
  <c r="N1544" i="4"/>
  <c r="N1301" i="4"/>
  <c r="N1298" i="4"/>
  <c r="N1299" i="4"/>
  <c r="N1802" i="4"/>
  <c r="N1300" i="4"/>
  <c r="N1511" i="4"/>
  <c r="N1512" i="4"/>
  <c r="N1303" i="4"/>
  <c r="N1304" i="4"/>
  <c r="N1768" i="4"/>
  <c r="N1769" i="4"/>
  <c r="N1770" i="4"/>
  <c r="N1771" i="4"/>
  <c r="N1772" i="4"/>
  <c r="N1773" i="4"/>
  <c r="N1774" i="4"/>
  <c r="N1644" i="4"/>
  <c r="N4894" i="4"/>
  <c r="N5255" i="4"/>
  <c r="N5473" i="4"/>
  <c r="N5527" i="4"/>
  <c r="N4949" i="4"/>
  <c r="N4980" i="4"/>
  <c r="N4981" i="4"/>
  <c r="N4982" i="4"/>
  <c r="N4983" i="4"/>
  <c r="N4985" i="4"/>
  <c r="N5057" i="4"/>
  <c r="N5058" i="4"/>
  <c r="N5059" i="4"/>
  <c r="N5060" i="4"/>
  <c r="N5061" i="4"/>
  <c r="N5093" i="4"/>
  <c r="N5097" i="4"/>
  <c r="N5134" i="4"/>
  <c r="N5172" i="4"/>
  <c r="N5173" i="4"/>
  <c r="N5197" i="4"/>
  <c r="N5257" i="4"/>
  <c r="N5277" i="4"/>
  <c r="N5459" i="4"/>
  <c r="N5474" i="4"/>
  <c r="N5475" i="4"/>
  <c r="N5497" i="4"/>
  <c r="N5498" i="4"/>
  <c r="N5529" i="4"/>
  <c r="N5101" i="4"/>
  <c r="N4935" i="4"/>
  <c r="N4937" i="4"/>
  <c r="N4984" i="4"/>
  <c r="N4992" i="4"/>
  <c r="N5025" i="4"/>
  <c r="N5092" i="4"/>
  <c r="N5476" i="4"/>
  <c r="N5477" i="4"/>
  <c r="N5478" i="4"/>
  <c r="N5528" i="4"/>
  <c r="N4895" i="4"/>
  <c r="N4910" i="4"/>
  <c r="N4911" i="4"/>
  <c r="N4912" i="4"/>
  <c r="N4913" i="4"/>
  <c r="N4914" i="4"/>
  <c r="N4915" i="4"/>
  <c r="N4974" i="4"/>
  <c r="N5251" i="4"/>
  <c r="N5252" i="4"/>
  <c r="N5253" i="4"/>
  <c r="N5254" i="4"/>
  <c r="N5256" i="4"/>
  <c r="N5258" i="4"/>
  <c r="N5524" i="4"/>
  <c r="N5094" i="4"/>
  <c r="N5127" i="4"/>
  <c r="N5225" i="4"/>
  <c r="N5226" i="4"/>
  <c r="N5227" i="4"/>
  <c r="N5523" i="4"/>
  <c r="N4986" i="4"/>
  <c r="N5126" i="4"/>
  <c r="N5180" i="4"/>
  <c r="N5185" i="4"/>
  <c r="N5090" i="4"/>
  <c r="N5145" i="4"/>
  <c r="N5163" i="4"/>
  <c r="N4941" i="4"/>
  <c r="N5271" i="4"/>
  <c r="N5276" i="4"/>
  <c r="N5284" i="4"/>
  <c r="N5286" i="4"/>
  <c r="N5210" i="4"/>
  <c r="N5267" i="4"/>
  <c r="N5020" i="4"/>
  <c r="N5273" i="4"/>
  <c r="N4923" i="4"/>
  <c r="N5155" i="4"/>
  <c r="N5181" i="4"/>
  <c r="N5195" i="4"/>
  <c r="N5221" i="4"/>
  <c r="N5287" i="4"/>
  <c r="N5175" i="4"/>
  <c r="N5223" i="4"/>
  <c r="N5260" i="4"/>
  <c r="N5272" i="4"/>
  <c r="N5281" i="4"/>
  <c r="N5117" i="4"/>
  <c r="N5162" i="4"/>
  <c r="N5177" i="4"/>
  <c r="N5471" i="4"/>
  <c r="N5487" i="4"/>
  <c r="N5525" i="4"/>
  <c r="N4943" i="4"/>
  <c r="N4945" i="4"/>
  <c r="N4947" i="4"/>
  <c r="N4948" i="4"/>
  <c r="N4995" i="4"/>
  <c r="N5036" i="4"/>
  <c r="N5042" i="4"/>
  <c r="N5044" i="4"/>
  <c r="N5109" i="4"/>
  <c r="N5110" i="4"/>
  <c r="N5146" i="4"/>
  <c r="N5147" i="4"/>
  <c r="N5164" i="4"/>
  <c r="N5165" i="4"/>
  <c r="N5171" i="4"/>
  <c r="N5183" i="4"/>
  <c r="N5203" i="4"/>
  <c r="N5206" i="4"/>
  <c r="N5209" i="4"/>
  <c r="N5222" i="4"/>
  <c r="N5236" i="4"/>
  <c r="N5259" i="4"/>
  <c r="N5266" i="4"/>
  <c r="N5282" i="4"/>
  <c r="N5283" i="4"/>
  <c r="N5455" i="4"/>
  <c r="N5502" i="4"/>
  <c r="N5516" i="4"/>
  <c r="N5234" i="4"/>
  <c r="N4934" i="4"/>
  <c r="N5027" i="4"/>
  <c r="N5176" i="4"/>
  <c r="N5194" i="4"/>
  <c r="N5228" i="4"/>
  <c r="N5263" i="4"/>
  <c r="N5526" i="4"/>
  <c r="N5000" i="4"/>
  <c r="N5037" i="4"/>
  <c r="N5049" i="4"/>
  <c r="N5265" i="4"/>
  <c r="N5118" i="4"/>
  <c r="N5119" i="4"/>
  <c r="N5133" i="4"/>
  <c r="N5278" i="4"/>
  <c r="N5028" i="4"/>
  <c r="N5029" i="4"/>
  <c r="N5030" i="4"/>
  <c r="N5095" i="4"/>
  <c r="N5285" i="4"/>
  <c r="N4993" i="4"/>
  <c r="N5125" i="4"/>
  <c r="N5270" i="4"/>
  <c r="N4908" i="4"/>
  <c r="N5023" i="4"/>
  <c r="N5033" i="4"/>
  <c r="N5063" i="4"/>
  <c r="N5096" i="4"/>
  <c r="N5124" i="4"/>
  <c r="N4977" i="4"/>
  <c r="N5243" i="4"/>
  <c r="N5279" i="4"/>
  <c r="N5170" i="4"/>
  <c r="N4975" i="4"/>
  <c r="N4978" i="4"/>
  <c r="N4950" i="4"/>
  <c r="N4919" i="4"/>
  <c r="N5198" i="4"/>
  <c r="N4916" i="4"/>
  <c r="N4917" i="4"/>
  <c r="N4918" i="4"/>
  <c r="N4920" i="4"/>
  <c r="N4922" i="4"/>
  <c r="N4930" i="4"/>
  <c r="N4938" i="4"/>
  <c r="N4939" i="4"/>
  <c r="N4944" i="4"/>
  <c r="N4951" i="4"/>
  <c r="N4991" i="4"/>
  <c r="N4999" i="4"/>
  <c r="N5001" i="4"/>
  <c r="N5002" i="4"/>
  <c r="N5003" i="4"/>
  <c r="N5004" i="4"/>
  <c r="N5018" i="4"/>
  <c r="N5019" i="4"/>
  <c r="N5024" i="4"/>
  <c r="N5032" i="4"/>
  <c r="N5034" i="4"/>
  <c r="N5050" i="4"/>
  <c r="N5066" i="4"/>
  <c r="N5083" i="4"/>
  <c r="N5088" i="4"/>
  <c r="N5106" i="4"/>
  <c r="N5108" i="4"/>
  <c r="N5115" i="4"/>
  <c r="N5122" i="4"/>
  <c r="N5130" i="4"/>
  <c r="N5132" i="4"/>
  <c r="N5135" i="4"/>
  <c r="N5138" i="4"/>
  <c r="N5143" i="4"/>
  <c r="N5151" i="4"/>
  <c r="N5153" i="4"/>
  <c r="N5158" i="4"/>
  <c r="N5160" i="4"/>
  <c r="N5166" i="4"/>
  <c r="N5182" i="4"/>
  <c r="N5196" i="4"/>
  <c r="N5204" i="4"/>
  <c r="N5205" i="4"/>
  <c r="N5207" i="4"/>
  <c r="N5214" i="4"/>
  <c r="N5215" i="4"/>
  <c r="N5220" i="4"/>
  <c r="N5219" i="4"/>
  <c r="N5230" i="4"/>
  <c r="N5231" i="4"/>
  <c r="N5244" i="4"/>
  <c r="N5245" i="4"/>
  <c r="N5250" i="4"/>
  <c r="N5269" i="4"/>
  <c r="N5488" i="4"/>
  <c r="N5489" i="4"/>
  <c r="N5490" i="4"/>
  <c r="N5491" i="4"/>
  <c r="N5492" i="4"/>
  <c r="N5495" i="4"/>
  <c r="N5531" i="4"/>
  <c r="N5532" i="4"/>
  <c r="N4979" i="4"/>
  <c r="N5084" i="4"/>
  <c r="N4909" i="4"/>
  <c r="N5107" i="4"/>
  <c r="N5137" i="4"/>
  <c r="N5112" i="4"/>
  <c r="N5017" i="4"/>
  <c r="N5006" i="4"/>
  <c r="N5007" i="4"/>
  <c r="N5008" i="4"/>
  <c r="N5010" i="4"/>
  <c r="N5011" i="4"/>
  <c r="N5012" i="4"/>
  <c r="N5014" i="4"/>
  <c r="N5015" i="4"/>
  <c r="N5016" i="4"/>
  <c r="N5009" i="4"/>
  <c r="N5013" i="4"/>
  <c r="N5079" i="4"/>
  <c r="N5080" i="4"/>
  <c r="N5212" i="4"/>
  <c r="N5022" i="4"/>
  <c r="N4998" i="4"/>
  <c r="N5021" i="4"/>
  <c r="N5041" i="4"/>
  <c r="N5211" i="4"/>
  <c r="N5280" i="4"/>
  <c r="N5186" i="4"/>
  <c r="N5520" i="4"/>
  <c r="N4931" i="4"/>
  <c r="N5073" i="4"/>
  <c r="N5074" i="4"/>
  <c r="N5075" i="4"/>
  <c r="N5082" i="4"/>
  <c r="N5085" i="4"/>
  <c r="N5086" i="4"/>
  <c r="N5128" i="4"/>
  <c r="N5161" i="4"/>
  <c r="N5178" i="4"/>
  <c r="N5179" i="4"/>
  <c r="N5242" i="4"/>
  <c r="N5499" i="4"/>
  <c r="N5501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7" i="4"/>
  <c r="N5519" i="4"/>
  <c r="N5521" i="4"/>
  <c r="N5522" i="4"/>
  <c r="N5168" i="4"/>
  <c r="N5169" i="4"/>
  <c r="N5518" i="4"/>
  <c r="N5043" i="4"/>
  <c r="N5238" i="4"/>
  <c r="N5240" i="4"/>
  <c r="N5241" i="4"/>
  <c r="N4940" i="4"/>
  <c r="N5045" i="4"/>
  <c r="N5046" i="4"/>
  <c r="N5131" i="4"/>
  <c r="N5156" i="4"/>
  <c r="N5239" i="4"/>
  <c r="N4988" i="4"/>
  <c r="N4926" i="4"/>
  <c r="N4968" i="4"/>
  <c r="N4952" i="4"/>
  <c r="N4927" i="4"/>
  <c r="N5247" i="4"/>
  <c r="N4967" i="4"/>
  <c r="N4971" i="4"/>
  <c r="N5152" i="4"/>
  <c r="N5224" i="4"/>
  <c r="N4925" i="4"/>
  <c r="N4928" i="4"/>
  <c r="N4929" i="4"/>
  <c r="N4958" i="4"/>
  <c r="N4959" i="4"/>
  <c r="N4960" i="4"/>
  <c r="N4962" i="4"/>
  <c r="N5040" i="4"/>
  <c r="N5047" i="4"/>
  <c r="N5048" i="4"/>
  <c r="N5174" i="4"/>
  <c r="N5229" i="4"/>
  <c r="N5232" i="4"/>
  <c r="N5496" i="4"/>
  <c r="N5111" i="4"/>
  <c r="N4964" i="4"/>
  <c r="N4966" i="4"/>
  <c r="N4970" i="4"/>
  <c r="N4954" i="4"/>
  <c r="N4961" i="4"/>
  <c r="N4973" i="4"/>
  <c r="N5102" i="4"/>
  <c r="N5199" i="4"/>
  <c r="N5213" i="4"/>
  <c r="N5248" i="4"/>
  <c r="N5249" i="4"/>
  <c r="N5268" i="4"/>
  <c r="N5274" i="4"/>
  <c r="N5275" i="4"/>
  <c r="N5460" i="4"/>
  <c r="N5461" i="4"/>
  <c r="N5462" i="4"/>
  <c r="N5472" i="4"/>
  <c r="N4956" i="4"/>
  <c r="N5216" i="4"/>
  <c r="N4989" i="4"/>
  <c r="N4903" i="4"/>
  <c r="N5233" i="4"/>
  <c r="N5150" i="4"/>
  <c r="N5262" i="4"/>
  <c r="N5089" i="4"/>
  <c r="N4942" i="4"/>
  <c r="N4987" i="4"/>
  <c r="N5123" i="4"/>
  <c r="N5202" i="4"/>
  <c r="N5454" i="4"/>
  <c r="N4905" i="4"/>
  <c r="N5087" i="4"/>
  <c r="N5113" i="4"/>
  <c r="N5154" i="4"/>
  <c r="N5157" i="4"/>
  <c r="N5159" i="4"/>
  <c r="N5184" i="4"/>
  <c r="N5100" i="4"/>
  <c r="N5116" i="4"/>
  <c r="N5136" i="4"/>
  <c r="N5078" i="4"/>
  <c r="N4946" i="4"/>
  <c r="N4990" i="4"/>
  <c r="N4997" i="4"/>
  <c r="N5035" i="4"/>
  <c r="N5129" i="4"/>
  <c r="N5167" i="4"/>
  <c r="N5200" i="4"/>
  <c r="N5235" i="4"/>
  <c r="N5479" i="4"/>
  <c r="N5480" i="4"/>
  <c r="N5493" i="4"/>
  <c r="N5261" i="4"/>
  <c r="N5081" i="4"/>
  <c r="N5105" i="4"/>
  <c r="N5055" i="4"/>
  <c r="N4969" i="4"/>
  <c r="N4957" i="4"/>
  <c r="N4963" i="4"/>
  <c r="N4965" i="4"/>
  <c r="N4972" i="4"/>
  <c r="N5246" i="4"/>
  <c r="N4932" i="4"/>
  <c r="N5051" i="4"/>
  <c r="N5054" i="4"/>
  <c r="N5121" i="4"/>
  <c r="N4955" i="4"/>
  <c r="N4976" i="4"/>
  <c r="N5052" i="4"/>
  <c r="N5053" i="4"/>
  <c r="N5056" i="4"/>
  <c r="N5064" i="4"/>
  <c r="N5067" i="4"/>
  <c r="N5068" i="4"/>
  <c r="N5069" i="4"/>
  <c r="N5070" i="4"/>
  <c r="N5071" i="4"/>
  <c r="N5072" i="4"/>
  <c r="N5076" i="4"/>
  <c r="N5091" i="4"/>
  <c r="N5098" i="4"/>
  <c r="N5099" i="4"/>
  <c r="N5103" i="4"/>
  <c r="N5104" i="4"/>
  <c r="N5114" i="4"/>
  <c r="N5120" i="4"/>
  <c r="N5139" i="4"/>
  <c r="N5141" i="4"/>
  <c r="N5142" i="4"/>
  <c r="N5218" i="4"/>
  <c r="N5456" i="4"/>
  <c r="N5457" i="4"/>
  <c r="N5458" i="4"/>
  <c r="N5481" i="4"/>
  <c r="N5482" i="4"/>
  <c r="N5483" i="4"/>
  <c r="N5484" i="4"/>
  <c r="N5485" i="4"/>
  <c r="N5494" i="4"/>
  <c r="N5530" i="4"/>
  <c r="N5140" i="4"/>
  <c r="N5217" i="4"/>
  <c r="N5237" i="4"/>
  <c r="N5486" i="4"/>
  <c r="N4953" i="4"/>
  <c r="N5187" i="4"/>
  <c r="N5188" i="4"/>
  <c r="N5189" i="4"/>
  <c r="N5190" i="4"/>
  <c r="N5288" i="4"/>
  <c r="N5290" i="4"/>
  <c r="N5291" i="4"/>
  <c r="N5292" i="4"/>
  <c r="N5293" i="4"/>
  <c r="N5294" i="4"/>
  <c r="N5306" i="4"/>
  <c r="N5307" i="4"/>
  <c r="N5308" i="4"/>
  <c r="N5309" i="4"/>
  <c r="N5310" i="4"/>
  <c r="N5312" i="4"/>
  <c r="N5314" i="4"/>
  <c r="N5316" i="4"/>
  <c r="N5317" i="4"/>
  <c r="N5318" i="4"/>
  <c r="N5319" i="4"/>
  <c r="N5320" i="4"/>
  <c r="N5322" i="4"/>
  <c r="N5324" i="4"/>
  <c r="N5325" i="4"/>
  <c r="N5326" i="4"/>
  <c r="N5327" i="4"/>
  <c r="N5332" i="4"/>
  <c r="N5333" i="4"/>
  <c r="N5334" i="4"/>
  <c r="N5335" i="4"/>
  <c r="N5337" i="4"/>
  <c r="N5338" i="4"/>
  <c r="N5339" i="4"/>
  <c r="N5340" i="4"/>
  <c r="N5343" i="4"/>
  <c r="N5344" i="4"/>
  <c r="N5345" i="4"/>
  <c r="N5346" i="4"/>
  <c r="N5348" i="4"/>
  <c r="N5352" i="4"/>
  <c r="N5353" i="4"/>
  <c r="N5354" i="4"/>
  <c r="N5355" i="4"/>
  <c r="N5356" i="4"/>
  <c r="N5357" i="4"/>
  <c r="N5358" i="4"/>
  <c r="N5359" i="4"/>
  <c r="N5360" i="4"/>
  <c r="N5369" i="4"/>
  <c r="N5370" i="4"/>
  <c r="N5372" i="4"/>
  <c r="N5374" i="4"/>
  <c r="N5375" i="4"/>
  <c r="N5376" i="4"/>
  <c r="N5378" i="4"/>
  <c r="N5379" i="4"/>
  <c r="N5382" i="4"/>
  <c r="N5383" i="4"/>
  <c r="N5386" i="4"/>
  <c r="N5387" i="4"/>
  <c r="N5389" i="4"/>
  <c r="N5390" i="4"/>
  <c r="N5391" i="4"/>
  <c r="N5394" i="4"/>
  <c r="N5396" i="4"/>
  <c r="N5397" i="4"/>
  <c r="N5398" i="4"/>
  <c r="N5399" i="4"/>
  <c r="N5400" i="4"/>
  <c r="N5403" i="4"/>
  <c r="N5404" i="4"/>
  <c r="N5405" i="4"/>
  <c r="N5406" i="4"/>
  <c r="N5409" i="4"/>
  <c r="N5410" i="4"/>
  <c r="N5411" i="4"/>
  <c r="N5412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3" i="4"/>
  <c r="N5436" i="4"/>
  <c r="N5440" i="4"/>
  <c r="N5441" i="4"/>
  <c r="N5442" i="4"/>
  <c r="N5443" i="4"/>
  <c r="N5445" i="4"/>
  <c r="N5446" i="4"/>
  <c r="N5449" i="4"/>
  <c r="N5450" i="4"/>
  <c r="N5452" i="4"/>
  <c r="N5447" i="4"/>
  <c r="N5341" i="4"/>
  <c r="N5331" i="4"/>
  <c r="N5350" i="4"/>
  <c r="N5377" i="4"/>
  <c r="N5435" i="4"/>
  <c r="N5368" i="4"/>
  <c r="N5191" i="4"/>
  <c r="N5192" i="4"/>
  <c r="N5289" i="4"/>
  <c r="N5300" i="4"/>
  <c r="N5311" i="4"/>
  <c r="N5313" i="4"/>
  <c r="N5329" i="4"/>
  <c r="N5342" i="4"/>
  <c r="N5367" i="4"/>
  <c r="N5371" i="4"/>
  <c r="N5388" i="4"/>
  <c r="N5407" i="4"/>
  <c r="N5408" i="4"/>
  <c r="N5448" i="4"/>
  <c r="N5295" i="4"/>
  <c r="N5315" i="4"/>
  <c r="N5321" i="4"/>
  <c r="N5323" i="4"/>
  <c r="N5336" i="4"/>
  <c r="N5347" i="4"/>
  <c r="N5373" i="4"/>
  <c r="N5381" i="4"/>
  <c r="N5384" i="4"/>
  <c r="N5385" i="4"/>
  <c r="N5393" i="4"/>
  <c r="N5401" i="4"/>
  <c r="N5402" i="4"/>
  <c r="N5434" i="4"/>
  <c r="N5451" i="4"/>
  <c r="N5193" i="4"/>
  <c r="N5296" i="4"/>
  <c r="N5298" i="4"/>
  <c r="N5299" i="4"/>
  <c r="N5301" i="4"/>
  <c r="N5302" i="4"/>
  <c r="N5303" i="4"/>
  <c r="N5304" i="4"/>
  <c r="N5305" i="4"/>
  <c r="N5330" i="4"/>
  <c r="N5349" i="4"/>
  <c r="N5351" i="4"/>
  <c r="N5362" i="4"/>
  <c r="N5363" i="4"/>
  <c r="N5364" i="4"/>
  <c r="N5365" i="4"/>
  <c r="N5366" i="4"/>
  <c r="N5392" i="4"/>
  <c r="N5413" i="4"/>
  <c r="N5414" i="4"/>
  <c r="N5415" i="4"/>
  <c r="N5432" i="4"/>
  <c r="N5437" i="4"/>
  <c r="N5438" i="4"/>
  <c r="N5439" i="4"/>
  <c r="N5444" i="4"/>
  <c r="N5453" i="4"/>
  <c r="N5328" i="4"/>
  <c r="N5361" i="4"/>
  <c r="N5380" i="4"/>
  <c r="N5395" i="4"/>
  <c r="N4936" i="4"/>
  <c r="N4902" i="4"/>
  <c r="N4921" i="4"/>
  <c r="N4924" i="4"/>
  <c r="N4996" i="4"/>
  <c r="N5026" i="4"/>
  <c r="N5208" i="4"/>
  <c r="N4994" i="4"/>
  <c r="N5264" i="4"/>
  <c r="N5039" i="4"/>
  <c r="N5065" i="4"/>
  <c r="N5201" i="4"/>
  <c r="N5038" i="4"/>
  <c r="N4900" i="4"/>
  <c r="N4901" i="4"/>
  <c r="N5005" i="4"/>
  <c r="N5062" i="4"/>
  <c r="N5144" i="4"/>
  <c r="N4933" i="4"/>
  <c r="N5031" i="4"/>
  <c r="N5077" i="4"/>
  <c r="N4899" i="4"/>
  <c r="N4896" i="4"/>
  <c r="N4897" i="4"/>
  <c r="N4898" i="4"/>
  <c r="N5500" i="4"/>
  <c r="N5148" i="4"/>
  <c r="N5149" i="4"/>
  <c r="N4904" i="4"/>
  <c r="N4907" i="4"/>
  <c r="N4906" i="4"/>
  <c r="N5463" i="4"/>
  <c r="N5464" i="4"/>
  <c r="N5465" i="4"/>
  <c r="N5466" i="4"/>
  <c r="N5467" i="4"/>
  <c r="N5468" i="4"/>
  <c r="N5469" i="4"/>
  <c r="N5470" i="4"/>
  <c r="N5297" i="4"/>
  <c r="N15" i="4"/>
  <c r="N18" i="4"/>
  <c r="N87" i="4"/>
  <c r="N310" i="4"/>
  <c r="N710" i="4"/>
  <c r="N713" i="4"/>
  <c r="N856" i="4"/>
  <c r="N890" i="4"/>
  <c r="N50" i="4"/>
  <c r="N90" i="4"/>
  <c r="N94" i="4"/>
  <c r="N97" i="4"/>
  <c r="N100" i="4"/>
  <c r="N103" i="4"/>
  <c r="N203" i="4"/>
  <c r="N206" i="4"/>
  <c r="N208" i="4"/>
  <c r="N211" i="4"/>
  <c r="N230" i="4"/>
  <c r="N244" i="4"/>
  <c r="N284" i="4"/>
  <c r="N300" i="4"/>
  <c r="N303" i="4"/>
  <c r="N327" i="4"/>
  <c r="N466" i="4"/>
  <c r="N508" i="4"/>
  <c r="N615" i="4"/>
  <c r="N733" i="4"/>
  <c r="N737" i="4"/>
  <c r="N753" i="4"/>
  <c r="N904" i="4"/>
  <c r="N200" i="4"/>
  <c r="N249" i="4"/>
  <c r="N431" i="4"/>
  <c r="N447" i="4"/>
  <c r="N47" i="4"/>
  <c r="N53" i="4"/>
  <c r="N111" i="4"/>
  <c r="N180" i="4"/>
  <c r="N225" i="4"/>
  <c r="N255" i="4"/>
  <c r="N743" i="4"/>
  <c r="N750" i="4"/>
  <c r="N887" i="4"/>
  <c r="N894" i="4"/>
  <c r="N901" i="4"/>
  <c r="N219" i="4"/>
  <c r="N13" i="4"/>
  <c r="N29" i="4"/>
  <c r="N32" i="4"/>
  <c r="N34" i="4"/>
  <c r="N37" i="4"/>
  <c r="N40" i="4"/>
  <c r="N43" i="4"/>
  <c r="N46" i="4"/>
  <c r="N259" i="4"/>
  <c r="N351" i="4"/>
  <c r="N373" i="4"/>
  <c r="N393" i="4"/>
  <c r="N396" i="4"/>
  <c r="N399" i="4"/>
  <c r="N423" i="4"/>
  <c r="N426" i="4"/>
  <c r="N450" i="4"/>
  <c r="N453" i="4"/>
  <c r="N456" i="4"/>
  <c r="N861" i="4"/>
  <c r="N864" i="4"/>
  <c r="N898" i="4"/>
  <c r="N233" i="4"/>
  <c r="N390" i="4"/>
  <c r="N106" i="4"/>
  <c r="N277" i="4"/>
  <c r="N332" i="4"/>
  <c r="N333" i="4"/>
  <c r="N340" i="4"/>
  <c r="N857" i="4"/>
  <c r="N427" i="4"/>
  <c r="N571" i="4"/>
  <c r="N609" i="4"/>
  <c r="N380" i="4"/>
  <c r="N742" i="4"/>
  <c r="N744" i="4"/>
  <c r="N679" i="4"/>
  <c r="N876" i="4"/>
  <c r="N727" i="4"/>
  <c r="N844" i="4"/>
  <c r="N366" i="4"/>
  <c r="N664" i="4"/>
  <c r="N618" i="4"/>
  <c r="N666" i="4"/>
  <c r="N718" i="4"/>
  <c r="N728" i="4"/>
  <c r="N620" i="4"/>
  <c r="N736" i="4"/>
  <c r="N381" i="4"/>
  <c r="N383" i="4"/>
  <c r="N386" i="4"/>
  <c r="N389" i="4"/>
  <c r="N468" i="4"/>
  <c r="N477" i="4"/>
  <c r="N480" i="4"/>
  <c r="N493" i="4"/>
  <c r="N532" i="4"/>
  <c r="N533" i="4"/>
  <c r="N553" i="4"/>
  <c r="N554" i="4"/>
  <c r="N565" i="4"/>
  <c r="N574" i="4"/>
  <c r="N610" i="4"/>
  <c r="N613" i="4"/>
  <c r="N622" i="4"/>
  <c r="N623" i="4"/>
  <c r="N647" i="4"/>
  <c r="N651" i="4"/>
  <c r="N656" i="4"/>
  <c r="N665" i="4"/>
  <c r="N716" i="4"/>
  <c r="N717" i="4"/>
  <c r="N726" i="4"/>
  <c r="N741" i="4"/>
  <c r="N840" i="4"/>
  <c r="N845" i="4"/>
  <c r="N877" i="4"/>
  <c r="N882" i="4"/>
  <c r="N885" i="4"/>
  <c r="N893" i="4"/>
  <c r="N499" i="4"/>
  <c r="N372" i="4"/>
  <c r="N385" i="4"/>
  <c r="N470" i="4"/>
  <c r="N471" i="4"/>
  <c r="N482" i="4"/>
  <c r="N534" i="4"/>
  <c r="N541" i="4"/>
  <c r="N552" i="4"/>
  <c r="N619" i="4"/>
  <c r="N676" i="4"/>
  <c r="N724" i="4"/>
  <c r="N897" i="4"/>
  <c r="N624" i="4"/>
  <c r="N604" i="4"/>
  <c r="N720" i="4"/>
  <c r="N723" i="4"/>
  <c r="N730" i="4"/>
  <c r="N884" i="4"/>
  <c r="N364" i="4"/>
  <c r="N441" i="4"/>
  <c r="N481" i="4"/>
  <c r="N500" i="4"/>
  <c r="N652" i="4"/>
  <c r="N725" i="4"/>
  <c r="N715" i="4"/>
  <c r="N719" i="4"/>
  <c r="N558" i="4"/>
  <c r="N280" i="4"/>
  <c r="N511" i="4"/>
  <c r="N184" i="4"/>
  <c r="N187" i="4"/>
  <c r="N191" i="4"/>
  <c r="N238" i="4"/>
  <c r="N538" i="4"/>
  <c r="N114" i="4"/>
  <c r="N270" i="4"/>
  <c r="N478" i="4"/>
  <c r="N26" i="4"/>
  <c r="N177" i="4"/>
  <c r="N197" i="4"/>
  <c r="N215" i="4"/>
  <c r="N241" i="4"/>
  <c r="N263" i="4"/>
  <c r="N266" i="4"/>
  <c r="N307" i="4"/>
  <c r="N312" i="4"/>
  <c r="N531" i="4"/>
  <c r="N612" i="4"/>
  <c r="N361" i="4"/>
  <c r="N420" i="4"/>
  <c r="N356" i="4"/>
  <c r="N360" i="4"/>
  <c r="N638" i="4"/>
  <c r="N355" i="4"/>
  <c r="N357" i="4"/>
  <c r="N358" i="4"/>
  <c r="N359" i="4"/>
  <c r="N362" i="4"/>
  <c r="N365" i="4"/>
  <c r="N368" i="4"/>
  <c r="N377" i="4"/>
  <c r="N378" i="4"/>
  <c r="N382" i="4"/>
  <c r="N388" i="4"/>
  <c r="N433" i="4"/>
  <c r="N440" i="4"/>
  <c r="N442" i="4"/>
  <c r="N443" i="4"/>
  <c r="N444" i="4"/>
  <c r="N445" i="4"/>
  <c r="N458" i="4"/>
  <c r="N459" i="4"/>
  <c r="N460" i="4"/>
  <c r="N465" i="4"/>
  <c r="N476" i="4"/>
  <c r="N479" i="4"/>
  <c r="N489" i="4"/>
  <c r="N501" i="4"/>
  <c r="N512" i="4"/>
  <c r="N515" i="4"/>
  <c r="N526" i="4"/>
  <c r="N530" i="4"/>
  <c r="N564" i="4"/>
  <c r="N566" i="4"/>
  <c r="N575" i="4"/>
  <c r="N582" i="4"/>
  <c r="N583" i="4"/>
  <c r="N597" i="4"/>
  <c r="N598" i="4"/>
  <c r="N603" i="4"/>
  <c r="N606" i="4"/>
  <c r="N611" i="4"/>
  <c r="N617" i="4"/>
  <c r="N621" i="4"/>
  <c r="N636" i="4"/>
  <c r="N645" i="4"/>
  <c r="N646" i="4"/>
  <c r="N648" i="4"/>
  <c r="N657" i="4"/>
  <c r="N658" i="4"/>
  <c r="N663" i="4"/>
  <c r="N661" i="4"/>
  <c r="N672" i="4"/>
  <c r="N673" i="4"/>
  <c r="N692" i="4"/>
  <c r="N693" i="4"/>
  <c r="N694" i="4"/>
  <c r="N700" i="4"/>
  <c r="N732" i="4"/>
  <c r="N871" i="4"/>
  <c r="N872" i="4"/>
  <c r="N873" i="4"/>
  <c r="N874" i="4"/>
  <c r="N875" i="4"/>
  <c r="N879" i="4"/>
  <c r="N908" i="4"/>
  <c r="N909" i="4"/>
  <c r="N910" i="4"/>
  <c r="N421" i="4"/>
  <c r="N527" i="4"/>
  <c r="N346" i="4"/>
  <c r="N551" i="4"/>
  <c r="N588" i="4"/>
  <c r="N555" i="4"/>
  <c r="N83" i="4"/>
  <c r="N162" i="4"/>
  <c r="N118" i="4"/>
  <c r="N121" i="4"/>
  <c r="N125" i="4"/>
  <c r="N139" i="4"/>
  <c r="N147" i="4"/>
  <c r="N166" i="4"/>
  <c r="N170" i="4"/>
  <c r="N174" i="4"/>
  <c r="N56" i="4"/>
  <c r="N59" i="4"/>
  <c r="N63" i="4"/>
  <c r="N66" i="4"/>
  <c r="N69" i="4"/>
  <c r="N72" i="4"/>
  <c r="N77" i="4"/>
  <c r="N80" i="4"/>
  <c r="N135" i="4"/>
  <c r="N155" i="4"/>
  <c r="N461" i="4"/>
  <c r="N367" i="4"/>
  <c r="N870" i="4"/>
  <c r="N487" i="4"/>
  <c r="N488" i="4"/>
  <c r="N523" i="4"/>
  <c r="N654" i="4"/>
  <c r="N437" i="4"/>
  <c r="N634" i="4"/>
  <c r="N439" i="4"/>
  <c r="N401" i="4"/>
  <c r="N438" i="4"/>
  <c r="N463" i="4"/>
  <c r="N490" i="4"/>
  <c r="N491" i="4"/>
  <c r="N513" i="4"/>
  <c r="N653" i="4"/>
  <c r="N662" i="4"/>
  <c r="N678" i="4"/>
  <c r="N684" i="4"/>
  <c r="N691" i="4"/>
  <c r="N740" i="4"/>
  <c r="N297" i="4"/>
  <c r="N783" i="4"/>
  <c r="N792" i="4"/>
  <c r="N801" i="4"/>
  <c r="N831" i="4"/>
  <c r="N836" i="4"/>
  <c r="N847" i="4"/>
  <c r="N853" i="4"/>
  <c r="N384" i="4"/>
  <c r="N492" i="4"/>
  <c r="N607" i="4"/>
  <c r="N535" i="4"/>
  <c r="N685" i="4"/>
  <c r="N462" i="4"/>
  <c r="N686" i="4"/>
  <c r="N689" i="4"/>
  <c r="N579" i="4"/>
  <c r="N690" i="4"/>
  <c r="N342" i="4"/>
  <c r="N577" i="4"/>
  <c r="N379" i="4"/>
  <c r="N494" i="4"/>
  <c r="N497" i="4"/>
  <c r="N580" i="4"/>
  <c r="N581" i="4"/>
  <c r="N600" i="4"/>
  <c r="N687" i="4"/>
  <c r="N688" i="4"/>
  <c r="N578" i="4"/>
  <c r="N430" i="4"/>
  <c r="N635" i="4"/>
  <c r="N403" i="4"/>
  <c r="N697" i="4"/>
  <c r="N417" i="4"/>
  <c r="N667" i="4"/>
  <c r="N677" i="4"/>
  <c r="N410" i="4"/>
  <c r="N411" i="4"/>
  <c r="N485" i="4"/>
  <c r="N498" i="4"/>
  <c r="N616" i="4"/>
  <c r="N671" i="4"/>
  <c r="N880" i="4"/>
  <c r="N414" i="4"/>
  <c r="N418" i="4"/>
  <c r="N404" i="4"/>
  <c r="N412" i="4"/>
  <c r="N415" i="4"/>
  <c r="N547" i="4"/>
  <c r="N639" i="4"/>
  <c r="N655" i="4"/>
  <c r="N698" i="4"/>
  <c r="N699" i="4"/>
  <c r="N731" i="4"/>
  <c r="N735" i="4"/>
  <c r="N848" i="4"/>
  <c r="N849" i="4"/>
  <c r="N850" i="4"/>
  <c r="N858" i="4"/>
  <c r="N649" i="4"/>
  <c r="N407" i="4"/>
  <c r="N409" i="4"/>
  <c r="N674" i="4"/>
  <c r="N905" i="4"/>
  <c r="N906" i="4"/>
  <c r="N907" i="4"/>
  <c r="N486" i="4"/>
  <c r="N734" i="4"/>
  <c r="N846" i="4"/>
  <c r="N281" i="4"/>
  <c r="N108" i="4"/>
  <c r="N344" i="4"/>
  <c r="N345" i="4"/>
  <c r="N347" i="4"/>
  <c r="N84" i="4"/>
  <c r="N343" i="4"/>
  <c r="N292" i="4"/>
  <c r="N472" i="4"/>
  <c r="N221" i="4"/>
  <c r="N107" i="4"/>
  <c r="N260" i="4"/>
  <c r="N328" i="4"/>
  <c r="N329" i="4"/>
  <c r="N602" i="4"/>
  <c r="N220" i="4"/>
  <c r="N251" i="4"/>
  <c r="N293" i="4"/>
  <c r="N294" i="4"/>
  <c r="N295" i="4"/>
  <c r="N304" i="4"/>
  <c r="N245" i="4"/>
  <c r="N601" i="4"/>
  <c r="N285" i="4"/>
  <c r="N524" i="4"/>
  <c r="N432" i="4"/>
  <c r="N573" i="4"/>
  <c r="N375" i="4"/>
  <c r="N525" i="4"/>
  <c r="N695" i="4"/>
  <c r="N550" i="4"/>
  <c r="N408" i="4"/>
  <c r="N413" i="4"/>
  <c r="N416" i="4"/>
  <c r="N419" i="4"/>
  <c r="N696" i="4"/>
  <c r="N370" i="4"/>
  <c r="N502" i="4"/>
  <c r="N561" i="4"/>
  <c r="N405" i="4"/>
  <c r="N406" i="4"/>
  <c r="N503" i="4"/>
  <c r="N504" i="4"/>
  <c r="N506" i="4"/>
  <c r="N516" i="4"/>
  <c r="N517" i="4"/>
  <c r="N518" i="4"/>
  <c r="N519" i="4"/>
  <c r="N520" i="4"/>
  <c r="N521" i="4"/>
  <c r="N543" i="4"/>
  <c r="N544" i="4"/>
  <c r="N548" i="4"/>
  <c r="N549" i="4"/>
  <c r="N557" i="4"/>
  <c r="N559" i="4"/>
  <c r="N560" i="4"/>
  <c r="N589" i="4"/>
  <c r="N591" i="4"/>
  <c r="N592" i="4"/>
  <c r="N659" i="4"/>
  <c r="N841" i="4"/>
  <c r="N842" i="4"/>
  <c r="N843" i="4"/>
  <c r="N865" i="4"/>
  <c r="N866" i="4"/>
  <c r="N867" i="4"/>
  <c r="N868" i="4"/>
  <c r="N878" i="4"/>
  <c r="N467" i="4"/>
  <c r="N505" i="4"/>
  <c r="N576" i="4"/>
  <c r="N590" i="4"/>
  <c r="N869" i="4"/>
  <c r="N628" i="4"/>
  <c r="N629" i="4"/>
  <c r="N630" i="4"/>
  <c r="N745" i="4"/>
  <c r="N746" i="4"/>
  <c r="N747" i="4"/>
  <c r="N748" i="4"/>
  <c r="N749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2" i="4"/>
  <c r="N773" i="4"/>
  <c r="N774" i="4"/>
  <c r="N775" i="4"/>
  <c r="N776" i="4"/>
  <c r="N777" i="4"/>
  <c r="N778" i="4"/>
  <c r="N780" i="4"/>
  <c r="N781" i="4"/>
  <c r="N785" i="4"/>
  <c r="N786" i="4"/>
  <c r="N788" i="4"/>
  <c r="N790" i="4"/>
  <c r="N791" i="4"/>
  <c r="N794" i="4"/>
  <c r="N795" i="4"/>
  <c r="N796" i="4"/>
  <c r="N798" i="4"/>
  <c r="N799" i="4"/>
  <c r="N802" i="4"/>
  <c r="N803" i="4"/>
  <c r="N804" i="4"/>
  <c r="N805" i="4"/>
  <c r="N806" i="4"/>
  <c r="N807" i="4"/>
  <c r="N808" i="4"/>
  <c r="N809" i="4"/>
  <c r="N810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4" i="4"/>
  <c r="N837" i="4"/>
  <c r="N631" i="4"/>
  <c r="N835" i="4"/>
  <c r="N779" i="4"/>
  <c r="N784" i="4"/>
  <c r="N632" i="4"/>
  <c r="N797" i="4"/>
  <c r="N539" i="4"/>
  <c r="N540" i="4"/>
  <c r="N542" i="4"/>
  <c r="N545" i="4"/>
  <c r="N556" i="4"/>
  <c r="N567" i="4"/>
  <c r="N569" i="4"/>
  <c r="N572" i="4"/>
  <c r="N584" i="4"/>
  <c r="N586" i="4"/>
  <c r="N587" i="4"/>
  <c r="N594" i="4"/>
  <c r="N595" i="4"/>
  <c r="N596" i="4"/>
  <c r="N599" i="4"/>
  <c r="N546" i="4"/>
  <c r="N568" i="4"/>
  <c r="N570" i="4"/>
  <c r="N585" i="4"/>
  <c r="N675" i="4"/>
  <c r="N400" i="4"/>
  <c r="N354" i="4"/>
  <c r="N363" i="4"/>
  <c r="N469" i="4"/>
  <c r="N650" i="4"/>
  <c r="N436" i="4"/>
  <c r="N341" i="4"/>
  <c r="N369" i="4"/>
  <c r="N484" i="4"/>
  <c r="N721" i="4"/>
  <c r="N729" i="4"/>
  <c r="N514" i="4"/>
  <c r="N605" i="4"/>
  <c r="N641" i="4"/>
  <c r="N496" i="4"/>
  <c r="N642" i="4"/>
  <c r="N387" i="4"/>
  <c r="N483" i="4"/>
  <c r="N640" i="4"/>
  <c r="N643" i="4"/>
  <c r="N339" i="4"/>
  <c r="N446" i="4"/>
  <c r="N593" i="4"/>
  <c r="N371" i="4"/>
  <c r="N475" i="4"/>
  <c r="N522" i="4"/>
  <c r="N338" i="4"/>
  <c r="N336" i="4"/>
  <c r="N883" i="4"/>
  <c r="N337" i="4"/>
  <c r="N288" i="4"/>
  <c r="N291" i="4"/>
  <c r="N19" i="4"/>
  <c r="N23" i="4"/>
  <c r="N22" i="4"/>
  <c r="N627" i="4"/>
  <c r="N644" i="4"/>
  <c r="N669" i="4"/>
  <c r="N681" i="4"/>
  <c r="N701" i="4"/>
  <c r="N704" i="4"/>
  <c r="N707" i="4"/>
  <c r="N2094" i="4"/>
  <c r="N2116" i="4"/>
  <c r="N2121" i="4"/>
  <c r="N2143" i="4"/>
  <c r="N2176" i="4"/>
  <c r="N2119" i="4"/>
  <c r="N2142" i="4"/>
  <c r="N2063" i="4"/>
  <c r="N2084" i="4"/>
  <c r="N2086" i="4"/>
  <c r="N2088" i="4"/>
  <c r="N2101" i="4"/>
  <c r="N2102" i="4"/>
  <c r="N2123" i="4"/>
  <c r="N2131" i="4"/>
  <c r="N2140" i="4"/>
  <c r="N2178" i="4"/>
  <c r="N2083" i="4"/>
  <c r="N2096" i="4"/>
  <c r="N2133" i="4"/>
  <c r="N2141" i="4"/>
  <c r="N2103" i="4"/>
  <c r="N2055" i="4"/>
  <c r="N2125" i="4"/>
  <c r="N2054" i="4"/>
  <c r="N2056" i="4"/>
  <c r="N2058" i="4"/>
  <c r="N2060" i="4"/>
  <c r="N2081" i="4"/>
  <c r="N2104" i="4"/>
  <c r="N2107" i="4"/>
  <c r="N2110" i="4"/>
  <c r="N2115" i="4"/>
  <c r="N2118" i="4"/>
  <c r="N2174" i="4"/>
  <c r="N2175" i="4"/>
  <c r="N2181" i="4"/>
  <c r="N2112" i="4"/>
  <c r="N2128" i="4"/>
  <c r="N2092" i="4"/>
  <c r="N2093" i="4"/>
  <c r="N2129" i="4"/>
  <c r="N2082" i="4"/>
  <c r="N2180" i="4"/>
  <c r="N2135" i="4"/>
  <c r="N2105" i="4"/>
  <c r="N2108" i="4"/>
  <c r="N2062" i="4"/>
  <c r="N2089" i="4"/>
  <c r="N2109" i="4"/>
  <c r="N2120" i="4"/>
  <c r="N2136" i="4"/>
  <c r="N2078" i="4"/>
  <c r="N2075" i="4"/>
  <c r="N2064" i="4"/>
  <c r="N2065" i="4"/>
  <c r="N2137" i="4"/>
  <c r="N2074" i="4"/>
  <c r="N2059" i="4"/>
  <c r="N2132" i="4"/>
  <c r="N2071" i="4"/>
  <c r="N2073" i="4"/>
  <c r="N2076" i="4"/>
  <c r="N2067" i="4"/>
  <c r="N2138" i="4"/>
  <c r="N2139" i="4"/>
  <c r="N2117" i="4"/>
  <c r="N2124" i="4"/>
  <c r="N2079" i="4"/>
  <c r="N2085" i="4"/>
  <c r="N2106" i="4"/>
  <c r="N2122" i="4"/>
  <c r="N2126" i="4"/>
  <c r="N2134" i="4"/>
  <c r="N2172" i="4"/>
  <c r="N2173" i="4"/>
  <c r="N2177" i="4"/>
  <c r="N2100" i="4"/>
  <c r="N2069" i="4"/>
  <c r="N2070" i="4"/>
  <c r="N2072" i="4"/>
  <c r="N2077" i="4"/>
  <c r="N2061" i="4"/>
  <c r="N2068" i="4"/>
  <c r="N2090" i="4"/>
  <c r="N2095" i="4"/>
  <c r="N2097" i="4"/>
  <c r="N2098" i="4"/>
  <c r="N2099" i="4"/>
  <c r="N2113" i="4"/>
  <c r="N2114" i="4"/>
  <c r="N2130" i="4"/>
  <c r="N2171" i="4"/>
  <c r="N2179" i="4"/>
  <c r="N2151" i="4"/>
  <c r="N2154" i="4"/>
  <c r="N2167" i="4"/>
  <c r="N2170" i="4"/>
  <c r="N2150" i="4"/>
  <c r="N2145" i="4"/>
  <c r="N2153" i="4"/>
  <c r="N2164" i="4"/>
  <c r="N2144" i="4"/>
  <c r="N2147" i="4"/>
  <c r="N2148" i="4"/>
  <c r="N2152" i="4"/>
  <c r="N2155" i="4"/>
  <c r="N2158" i="4"/>
  <c r="N2160" i="4"/>
  <c r="N2161" i="4"/>
  <c r="N2162" i="4"/>
  <c r="N2165" i="4"/>
  <c r="N2166" i="4"/>
  <c r="N2168" i="4"/>
  <c r="N2146" i="4"/>
  <c r="N2156" i="4"/>
  <c r="N2169" i="4"/>
  <c r="N2149" i="4"/>
  <c r="N2157" i="4"/>
  <c r="N2159" i="4"/>
  <c r="N2163" i="4"/>
  <c r="N2057" i="4"/>
  <c r="N2080" i="4"/>
  <c r="N2087" i="4"/>
  <c r="N2091" i="4"/>
  <c r="N2111" i="4"/>
  <c r="N2127" i="4"/>
  <c r="N2066" i="4"/>
  <c r="N2053" i="4"/>
  <c r="N3718" i="4"/>
  <c r="N4079" i="4"/>
  <c r="N4298" i="4"/>
  <c r="N4352" i="4"/>
  <c r="N3773" i="4"/>
  <c r="N3804" i="4"/>
  <c r="N3805" i="4"/>
  <c r="N3806" i="4"/>
  <c r="N3807" i="4"/>
  <c r="N3809" i="4"/>
  <c r="N3881" i="4"/>
  <c r="N3882" i="4"/>
  <c r="N3883" i="4"/>
  <c r="N3884" i="4"/>
  <c r="N3885" i="4"/>
  <c r="N3917" i="4"/>
  <c r="N3921" i="4"/>
  <c r="N3958" i="4"/>
  <c r="N3996" i="4"/>
  <c r="N3997" i="4"/>
  <c r="N4021" i="4"/>
  <c r="N4081" i="4"/>
  <c r="N4101" i="4"/>
  <c r="N4284" i="4"/>
  <c r="N4299" i="4"/>
  <c r="N4300" i="4"/>
  <c r="N4322" i="4"/>
  <c r="N4323" i="4"/>
  <c r="N4354" i="4"/>
  <c r="N3925" i="4"/>
  <c r="N3759" i="4"/>
  <c r="N3761" i="4"/>
  <c r="N3808" i="4"/>
  <c r="N3816" i="4"/>
  <c r="N3849" i="4"/>
  <c r="N3916" i="4"/>
  <c r="N4301" i="4"/>
  <c r="N4302" i="4"/>
  <c r="N4303" i="4"/>
  <c r="N4353" i="4"/>
  <c r="N3719" i="4"/>
  <c r="N3734" i="4"/>
  <c r="N3735" i="4"/>
  <c r="N3736" i="4"/>
  <c r="N3737" i="4"/>
  <c r="N3738" i="4"/>
  <c r="N3739" i="4"/>
  <c r="N3798" i="4"/>
  <c r="N4075" i="4"/>
  <c r="N4076" i="4"/>
  <c r="N4077" i="4"/>
  <c r="N4078" i="4"/>
  <c r="N4080" i="4"/>
  <c r="N4082" i="4"/>
  <c r="N4349" i="4"/>
  <c r="N3918" i="4"/>
  <c r="N3951" i="4"/>
  <c r="N4049" i="4"/>
  <c r="N4050" i="4"/>
  <c r="N4051" i="4"/>
  <c r="N4348" i="4"/>
  <c r="N3810" i="4"/>
  <c r="N3950" i="4"/>
  <c r="N4004" i="4"/>
  <c r="N4009" i="4"/>
  <c r="N3914" i="4"/>
  <c r="N3969" i="4"/>
  <c r="N3987" i="4"/>
  <c r="N3765" i="4"/>
  <c r="N4095" i="4"/>
  <c r="N4100" i="4"/>
  <c r="N4109" i="4"/>
  <c r="N4111" i="4"/>
  <c r="N4034" i="4"/>
  <c r="N4091" i="4"/>
  <c r="N3844" i="4"/>
  <c r="N4097" i="4"/>
  <c r="N3747" i="4"/>
  <c r="N3979" i="4"/>
  <c r="N4005" i="4"/>
  <c r="N4019" i="4"/>
  <c r="N4045" i="4"/>
  <c r="N4112" i="4"/>
  <c r="N3999" i="4"/>
  <c r="N4047" i="4"/>
  <c r="N4084" i="4"/>
  <c r="N4096" i="4"/>
  <c r="N4106" i="4"/>
  <c r="N3941" i="4"/>
  <c r="N3986" i="4"/>
  <c r="N4001" i="4"/>
  <c r="N4296" i="4"/>
  <c r="N4312" i="4"/>
  <c r="N4350" i="4"/>
  <c r="N3767" i="4"/>
  <c r="N3769" i="4"/>
  <c r="N3771" i="4"/>
  <c r="N3772" i="4"/>
  <c r="N3819" i="4"/>
  <c r="N3860" i="4"/>
  <c r="N3866" i="4"/>
  <c r="N3868" i="4"/>
  <c r="N3933" i="4"/>
  <c r="N3934" i="4"/>
  <c r="N3970" i="4"/>
  <c r="N3971" i="4"/>
  <c r="N3988" i="4"/>
  <c r="N3989" i="4"/>
  <c r="N3995" i="4"/>
  <c r="N4007" i="4"/>
  <c r="N4027" i="4"/>
  <c r="N4030" i="4"/>
  <c r="N4033" i="4"/>
  <c r="N4046" i="4"/>
  <c r="N4060" i="4"/>
  <c r="N4083" i="4"/>
  <c r="N4090" i="4"/>
  <c r="N4107" i="4"/>
  <c r="N4108" i="4"/>
  <c r="N4280" i="4"/>
  <c r="N4327" i="4"/>
  <c r="N4341" i="4"/>
  <c r="N4058" i="4"/>
  <c r="N3758" i="4"/>
  <c r="N3851" i="4"/>
  <c r="N4000" i="4"/>
  <c r="N4018" i="4"/>
  <c r="N4052" i="4"/>
  <c r="N4087" i="4"/>
  <c r="N4351" i="4"/>
  <c r="N3824" i="4"/>
  <c r="N3861" i="4"/>
  <c r="N3873" i="4"/>
  <c r="N4089" i="4"/>
  <c r="N3942" i="4"/>
  <c r="N3943" i="4"/>
  <c r="N3957" i="4"/>
  <c r="N4102" i="4"/>
  <c r="N3852" i="4"/>
  <c r="N3853" i="4"/>
  <c r="N3854" i="4"/>
  <c r="N3919" i="4"/>
  <c r="N4110" i="4"/>
  <c r="N3817" i="4"/>
  <c r="N3949" i="4"/>
  <c r="N4094" i="4"/>
  <c r="N3732" i="4"/>
  <c r="N3847" i="4"/>
  <c r="N3857" i="4"/>
  <c r="N3887" i="4"/>
  <c r="N3920" i="4"/>
  <c r="N3948" i="4"/>
  <c r="N3801" i="4"/>
  <c r="N4067" i="4"/>
  <c r="N4103" i="4"/>
  <c r="N3994" i="4"/>
  <c r="N3799" i="4"/>
  <c r="N3802" i="4"/>
  <c r="N3774" i="4"/>
  <c r="N3743" i="4"/>
  <c r="N4022" i="4"/>
  <c r="N3740" i="4"/>
  <c r="N3741" i="4"/>
  <c r="N3742" i="4"/>
  <c r="N3744" i="4"/>
  <c r="N3746" i="4"/>
  <c r="N3754" i="4"/>
  <c r="N3762" i="4"/>
  <c r="N3763" i="4"/>
  <c r="N3768" i="4"/>
  <c r="N3775" i="4"/>
  <c r="N3815" i="4"/>
  <c r="N3823" i="4"/>
  <c r="N3825" i="4"/>
  <c r="N3826" i="4"/>
  <c r="N3827" i="4"/>
  <c r="N3828" i="4"/>
  <c r="N3842" i="4"/>
  <c r="N3843" i="4"/>
  <c r="N3848" i="4"/>
  <c r="N3856" i="4"/>
  <c r="N3858" i="4"/>
  <c r="N3874" i="4"/>
  <c r="N3890" i="4"/>
  <c r="N3907" i="4"/>
  <c r="N3912" i="4"/>
  <c r="N3930" i="4"/>
  <c r="N3932" i="4"/>
  <c r="N3939" i="4"/>
  <c r="N3946" i="4"/>
  <c r="N3954" i="4"/>
  <c r="N3956" i="4"/>
  <c r="N3959" i="4"/>
  <c r="N3962" i="4"/>
  <c r="N3967" i="4"/>
  <c r="N3975" i="4"/>
  <c r="N3977" i="4"/>
  <c r="N3982" i="4"/>
  <c r="N3984" i="4"/>
  <c r="N3990" i="4"/>
  <c r="N4006" i="4"/>
  <c r="N4020" i="4"/>
  <c r="N4028" i="4"/>
  <c r="N4029" i="4"/>
  <c r="N4031" i="4"/>
  <c r="N4038" i="4"/>
  <c r="N4039" i="4"/>
  <c r="N4044" i="4"/>
  <c r="N4043" i="4"/>
  <c r="N4054" i="4"/>
  <c r="N4055" i="4"/>
  <c r="N4068" i="4"/>
  <c r="N4069" i="4"/>
  <c r="N4074" i="4"/>
  <c r="N4093" i="4"/>
  <c r="N4313" i="4"/>
  <c r="N4314" i="4"/>
  <c r="N4315" i="4"/>
  <c r="N4316" i="4"/>
  <c r="N4317" i="4"/>
  <c r="N4320" i="4"/>
  <c r="N4356" i="4"/>
  <c r="N4357" i="4"/>
  <c r="N3803" i="4"/>
  <c r="N3908" i="4"/>
  <c r="N3733" i="4"/>
  <c r="N3931" i="4"/>
  <c r="N3961" i="4"/>
  <c r="N3936" i="4"/>
  <c r="N3841" i="4"/>
  <c r="N3830" i="4"/>
  <c r="N3831" i="4"/>
  <c r="N3832" i="4"/>
  <c r="N3834" i="4"/>
  <c r="N3835" i="4"/>
  <c r="N3836" i="4"/>
  <c r="N3838" i="4"/>
  <c r="N3839" i="4"/>
  <c r="N3840" i="4"/>
  <c r="N3833" i="4"/>
  <c r="N3837" i="4"/>
  <c r="N3903" i="4"/>
  <c r="N3904" i="4"/>
  <c r="N4036" i="4"/>
  <c r="N3846" i="4"/>
  <c r="N3822" i="4"/>
  <c r="N3845" i="4"/>
  <c r="N3865" i="4"/>
  <c r="N4035" i="4"/>
  <c r="N4104" i="4"/>
  <c r="N4105" i="4"/>
  <c r="N4010" i="4"/>
  <c r="N4345" i="4"/>
  <c r="N3755" i="4"/>
  <c r="N3897" i="4"/>
  <c r="N3898" i="4"/>
  <c r="N3899" i="4"/>
  <c r="N3906" i="4"/>
  <c r="N3909" i="4"/>
  <c r="N3910" i="4"/>
  <c r="N3952" i="4"/>
  <c r="N3985" i="4"/>
  <c r="N4002" i="4"/>
  <c r="N4003" i="4"/>
  <c r="N4066" i="4"/>
  <c r="N4324" i="4"/>
  <c r="N4326" i="4"/>
  <c r="N4328" i="4"/>
  <c r="N4329" i="4"/>
  <c r="N4330" i="4"/>
  <c r="N4331" i="4"/>
  <c r="N4332" i="4"/>
  <c r="N4333" i="4"/>
  <c r="N3490" i="4"/>
  <c r="N3549" i="4"/>
  <c r="N4336" i="4"/>
  <c r="N3642" i="4"/>
  <c r="N4338" i="4"/>
  <c r="N4339" i="4"/>
  <c r="N4340" i="4"/>
  <c r="N4342" i="4"/>
  <c r="N4334" i="4"/>
  <c r="N4346" i="4"/>
  <c r="N4347" i="4"/>
  <c r="N3992" i="4"/>
  <c r="N3993" i="4"/>
  <c r="N4343" i="4"/>
  <c r="N3867" i="4"/>
  <c r="N4062" i="4"/>
  <c r="N4064" i="4"/>
  <c r="N4065" i="4"/>
  <c r="N3764" i="4"/>
  <c r="N3869" i="4"/>
  <c r="N3870" i="4"/>
  <c r="N3955" i="4"/>
  <c r="N3980" i="4"/>
  <c r="N4063" i="4"/>
  <c r="N3812" i="4"/>
  <c r="N3750" i="4"/>
  <c r="N3792" i="4"/>
  <c r="N3776" i="4"/>
  <c r="N3751" i="4"/>
  <c r="N4071" i="4"/>
  <c r="N3791" i="4"/>
  <c r="N3795" i="4"/>
  <c r="N3976" i="4"/>
  <c r="N4048" i="4"/>
  <c r="N3749" i="4"/>
  <c r="N3752" i="4"/>
  <c r="N3753" i="4"/>
  <c r="N3782" i="4"/>
  <c r="N3783" i="4"/>
  <c r="N3784" i="4"/>
  <c r="N3786" i="4"/>
  <c r="N3864" i="4"/>
  <c r="N3871" i="4"/>
  <c r="N3872" i="4"/>
  <c r="N3998" i="4"/>
  <c r="N4053" i="4"/>
  <c r="N4056" i="4"/>
  <c r="N4321" i="4"/>
  <c r="N3935" i="4"/>
  <c r="N3788" i="4"/>
  <c r="N3790" i="4"/>
  <c r="N3794" i="4"/>
  <c r="N3778" i="4"/>
  <c r="N3785" i="4"/>
  <c r="N3797" i="4"/>
  <c r="N3926" i="4"/>
  <c r="N4023" i="4"/>
  <c r="N4037" i="4"/>
  <c r="N4072" i="4"/>
  <c r="N4073" i="4"/>
  <c r="N4092" i="4"/>
  <c r="N4098" i="4"/>
  <c r="N4099" i="4"/>
  <c r="N4285" i="4"/>
  <c r="N4286" i="4"/>
  <c r="N4287" i="4"/>
  <c r="N4297" i="4"/>
  <c r="N3780" i="4"/>
  <c r="N4040" i="4"/>
  <c r="N3813" i="4"/>
  <c r="N3727" i="4"/>
  <c r="N4057" i="4"/>
  <c r="N3974" i="4"/>
  <c r="N4086" i="4"/>
  <c r="N3913" i="4"/>
  <c r="N3766" i="4"/>
  <c r="N3811" i="4"/>
  <c r="N3947" i="4"/>
  <c r="N4026" i="4"/>
  <c r="N4279" i="4"/>
  <c r="N3729" i="4"/>
  <c r="N3911" i="4"/>
  <c r="N3937" i="4"/>
  <c r="N3978" i="4"/>
  <c r="N3981" i="4"/>
  <c r="N3983" i="4"/>
  <c r="N4008" i="4"/>
  <c r="N3924" i="4"/>
  <c r="N3940" i="4"/>
  <c r="N3960" i="4"/>
  <c r="N3902" i="4"/>
  <c r="N3770" i="4"/>
  <c r="N3814" i="4"/>
  <c r="N3821" i="4"/>
  <c r="N3859" i="4"/>
  <c r="N3953" i="4"/>
  <c r="N3991" i="4"/>
  <c r="N4024" i="4"/>
  <c r="N4059" i="4"/>
  <c r="N4304" i="4"/>
  <c r="N4305" i="4"/>
  <c r="N4318" i="4"/>
  <c r="N4085" i="4"/>
  <c r="N3905" i="4"/>
  <c r="N3929" i="4"/>
  <c r="N3879" i="4"/>
  <c r="N3793" i="4"/>
  <c r="N3781" i="4"/>
  <c r="N3787" i="4"/>
  <c r="N3789" i="4"/>
  <c r="N3796" i="4"/>
  <c r="N4070" i="4"/>
  <c r="N3756" i="4"/>
  <c r="N3875" i="4"/>
  <c r="N3878" i="4"/>
  <c r="N3945" i="4"/>
  <c r="N3779" i="4"/>
  <c r="N3800" i="4"/>
  <c r="N3876" i="4"/>
  <c r="N3877" i="4"/>
  <c r="N3880" i="4"/>
  <c r="N3888" i="4"/>
  <c r="N3891" i="4"/>
  <c r="N3892" i="4"/>
  <c r="N3893" i="4"/>
  <c r="N3894" i="4"/>
  <c r="N3895" i="4"/>
  <c r="N3896" i="4"/>
  <c r="N3900" i="4"/>
  <c r="N3915" i="4"/>
  <c r="N3922" i="4"/>
  <c r="N3923" i="4"/>
  <c r="N3927" i="4"/>
  <c r="N3928" i="4"/>
  <c r="N3938" i="4"/>
  <c r="N3944" i="4"/>
  <c r="N3963" i="4"/>
  <c r="N3965" i="4"/>
  <c r="N3966" i="4"/>
  <c r="N4042" i="4"/>
  <c r="N4281" i="4"/>
  <c r="N4282" i="4"/>
  <c r="N4283" i="4"/>
  <c r="N4306" i="4"/>
  <c r="N4307" i="4"/>
  <c r="N4308" i="4"/>
  <c r="N4309" i="4"/>
  <c r="N4310" i="4"/>
  <c r="N4319" i="4"/>
  <c r="N4355" i="4"/>
  <c r="N3964" i="4"/>
  <c r="N4041" i="4"/>
  <c r="N4061" i="4"/>
  <c r="N4311" i="4"/>
  <c r="N3777" i="4"/>
  <c r="N4011" i="4"/>
  <c r="N4012" i="4"/>
  <c r="N4013" i="4"/>
  <c r="N4014" i="4"/>
  <c r="N4113" i="4"/>
  <c r="N4115" i="4"/>
  <c r="N4116" i="4"/>
  <c r="N4117" i="4"/>
  <c r="N4118" i="4"/>
  <c r="N4119" i="4"/>
  <c r="N4131" i="4"/>
  <c r="N4132" i="4"/>
  <c r="N4133" i="4"/>
  <c r="N4134" i="4"/>
  <c r="N4135" i="4"/>
  <c r="N4137" i="4"/>
  <c r="N4139" i="4"/>
  <c r="N4141" i="4"/>
  <c r="N4142" i="4"/>
  <c r="N4143" i="4"/>
  <c r="N4144" i="4"/>
  <c r="N4145" i="4"/>
  <c r="N4147" i="4"/>
  <c r="N4149" i="4"/>
  <c r="N4150" i="4"/>
  <c r="N4151" i="4"/>
  <c r="N4152" i="4"/>
  <c r="N4157" i="4"/>
  <c r="N4158" i="4"/>
  <c r="N4159" i="4"/>
  <c r="N4160" i="4"/>
  <c r="N4162" i="4"/>
  <c r="N4163" i="4"/>
  <c r="N4164" i="4"/>
  <c r="N4165" i="4"/>
  <c r="N4168" i="4"/>
  <c r="N4169" i="4"/>
  <c r="N4170" i="4"/>
  <c r="N4171" i="4"/>
  <c r="N4173" i="4"/>
  <c r="N4177" i="4"/>
  <c r="N4178" i="4"/>
  <c r="N4179" i="4"/>
  <c r="N4180" i="4"/>
  <c r="N4181" i="4"/>
  <c r="N4182" i="4"/>
  <c r="N4183" i="4"/>
  <c r="N4184" i="4"/>
  <c r="N4185" i="4"/>
  <c r="N4194" i="4"/>
  <c r="N4195" i="4"/>
  <c r="N4197" i="4"/>
  <c r="N4199" i="4"/>
  <c r="N4200" i="4"/>
  <c r="N4201" i="4"/>
  <c r="N4203" i="4"/>
  <c r="N4204" i="4"/>
  <c r="N4207" i="4"/>
  <c r="N4208" i="4"/>
  <c r="N4211" i="4"/>
  <c r="N4212" i="4"/>
  <c r="N4214" i="4"/>
  <c r="N4215" i="4"/>
  <c r="N4216" i="4"/>
  <c r="N4219" i="4"/>
  <c r="N4221" i="4"/>
  <c r="N4222" i="4"/>
  <c r="N4223" i="4"/>
  <c r="N4224" i="4"/>
  <c r="N4225" i="4"/>
  <c r="N4228" i="4"/>
  <c r="N4229" i="4"/>
  <c r="N4230" i="4"/>
  <c r="N4231" i="4"/>
  <c r="N4234" i="4"/>
  <c r="N4235" i="4"/>
  <c r="N4236" i="4"/>
  <c r="N4237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8" i="4"/>
  <c r="N4261" i="4"/>
  <c r="N4265" i="4"/>
  <c r="N4266" i="4"/>
  <c r="N4267" i="4"/>
  <c r="N4268" i="4"/>
  <c r="N4270" i="4"/>
  <c r="N4271" i="4"/>
  <c r="N4274" i="4"/>
  <c r="N4275" i="4"/>
  <c r="N4277" i="4"/>
  <c r="N4272" i="4"/>
  <c r="N4166" i="4"/>
  <c r="N4156" i="4"/>
  <c r="N4175" i="4"/>
  <c r="N4202" i="4"/>
  <c r="N4260" i="4"/>
  <c r="N4193" i="4"/>
  <c r="N4015" i="4"/>
  <c r="N4016" i="4"/>
  <c r="N4114" i="4"/>
  <c r="N4125" i="4"/>
  <c r="N4136" i="4"/>
  <c r="N4138" i="4"/>
  <c r="N4154" i="4"/>
  <c r="N4167" i="4"/>
  <c r="N4192" i="4"/>
  <c r="N4196" i="4"/>
  <c r="N4213" i="4"/>
  <c r="N4232" i="4"/>
  <c r="N4233" i="4"/>
  <c r="N4273" i="4"/>
  <c r="N4120" i="4"/>
  <c r="N4140" i="4"/>
  <c r="N4146" i="4"/>
  <c r="N4148" i="4"/>
  <c r="N4161" i="4"/>
  <c r="N4172" i="4"/>
  <c r="N4198" i="4"/>
  <c r="N4206" i="4"/>
  <c r="N4209" i="4"/>
  <c r="N4210" i="4"/>
  <c r="N4218" i="4"/>
  <c r="N4226" i="4"/>
  <c r="N4227" i="4"/>
  <c r="N4259" i="4"/>
  <c r="N4276" i="4"/>
  <c r="N4017" i="4"/>
  <c r="N4121" i="4"/>
  <c r="N4123" i="4"/>
  <c r="N4124" i="4"/>
  <c r="N4126" i="4"/>
  <c r="N4127" i="4"/>
  <c r="N4128" i="4"/>
  <c r="N4129" i="4"/>
  <c r="N4130" i="4"/>
  <c r="N4155" i="4"/>
  <c r="N4174" i="4"/>
  <c r="N4176" i="4"/>
  <c r="N4187" i="4"/>
  <c r="N4188" i="4"/>
  <c r="N4189" i="4"/>
  <c r="N4190" i="4"/>
  <c r="N4191" i="4"/>
  <c r="N4217" i="4"/>
  <c r="N4238" i="4"/>
  <c r="N4239" i="4"/>
  <c r="N4240" i="4"/>
  <c r="N4257" i="4"/>
  <c r="N4262" i="4"/>
  <c r="N4263" i="4"/>
  <c r="N4264" i="4"/>
  <c r="N4269" i="4"/>
  <c r="N4278" i="4"/>
  <c r="N4153" i="4"/>
  <c r="N4186" i="4"/>
  <c r="N4205" i="4"/>
  <c r="N4220" i="4"/>
  <c r="N3760" i="4"/>
  <c r="N3726" i="4"/>
  <c r="N3745" i="4"/>
  <c r="N3748" i="4"/>
  <c r="N3820" i="4"/>
  <c r="N3850" i="4"/>
  <c r="N4032" i="4"/>
  <c r="N3818" i="4"/>
  <c r="N4088" i="4"/>
  <c r="N3863" i="4"/>
  <c r="N3889" i="4"/>
  <c r="N4025" i="4"/>
  <c r="N3862" i="4"/>
  <c r="N3724" i="4"/>
  <c r="N3725" i="4"/>
  <c r="N3829" i="4"/>
  <c r="N3886" i="4"/>
  <c r="N3968" i="4"/>
  <c r="N3757" i="4"/>
  <c r="N3855" i="4"/>
  <c r="N3901" i="4"/>
  <c r="N3723" i="4"/>
  <c r="N3720" i="4"/>
  <c r="N3721" i="4"/>
  <c r="N3722" i="4"/>
  <c r="N4325" i="4"/>
  <c r="N3972" i="4"/>
  <c r="N3973" i="4"/>
  <c r="N3728" i="4"/>
  <c r="N3731" i="4"/>
  <c r="N3730" i="4"/>
  <c r="N4288" i="4"/>
  <c r="N4289" i="4"/>
  <c r="N4290" i="4"/>
  <c r="N4291" i="4"/>
  <c r="N4292" i="4"/>
  <c r="N4293" i="4"/>
  <c r="N4294" i="4"/>
  <c r="N4295" i="4"/>
  <c r="N4122" i="4"/>
  <c r="L331" i="4"/>
  <c r="L896" i="4"/>
  <c r="K1164" i="4"/>
  <c r="M1164" i="4" s="1"/>
  <c r="K1222" i="4"/>
  <c r="M1222" i="4" s="1"/>
  <c r="M912" i="4"/>
  <c r="M913" i="4"/>
  <c r="M914" i="4"/>
  <c r="M915" i="4"/>
  <c r="M231" i="4"/>
  <c r="M916" i="4"/>
  <c r="M917" i="4"/>
  <c r="M918" i="4"/>
  <c r="M922" i="4"/>
  <c r="M920" i="4"/>
  <c r="M921" i="4"/>
  <c r="M923" i="4"/>
  <c r="M933" i="4"/>
  <c r="M924" i="4"/>
  <c r="M925" i="4"/>
  <c r="M926" i="4"/>
  <c r="M935" i="4"/>
  <c r="M928" i="4"/>
  <c r="M929" i="4"/>
  <c r="M930" i="4"/>
  <c r="M931" i="4"/>
  <c r="M932" i="4"/>
  <c r="M939" i="4"/>
  <c r="M934" i="4"/>
  <c r="M942" i="4"/>
  <c r="M936" i="4"/>
  <c r="M937" i="4"/>
  <c r="M944" i="4"/>
  <c r="M946" i="4"/>
  <c r="M940" i="4"/>
  <c r="M949" i="4"/>
  <c r="M951" i="4"/>
  <c r="M943" i="4"/>
  <c r="M953" i="4"/>
  <c r="M972" i="4"/>
  <c r="M955" i="4"/>
  <c r="M947" i="4"/>
  <c r="M959" i="4"/>
  <c r="M969" i="4"/>
  <c r="M950" i="4"/>
  <c r="M971" i="4"/>
  <c r="M952" i="4"/>
  <c r="M986" i="4"/>
  <c r="M954" i="4"/>
  <c r="M988" i="4"/>
  <c r="M1027" i="4"/>
  <c r="M957" i="4"/>
  <c r="M958" i="4"/>
  <c r="M1029" i="4"/>
  <c r="M960" i="4"/>
  <c r="M961" i="4"/>
  <c r="M962" i="4"/>
  <c r="M1042" i="4"/>
  <c r="M964" i="4"/>
  <c r="M965" i="4"/>
  <c r="M966" i="4"/>
  <c r="M1273" i="4"/>
  <c r="M1129" i="4"/>
  <c r="M1058" i="4"/>
  <c r="M970" i="4"/>
  <c r="M1060" i="4"/>
  <c r="M1211" i="4"/>
  <c r="M973" i="4"/>
  <c r="M1179" i="4"/>
  <c r="M975" i="4"/>
  <c r="M976" i="4"/>
  <c r="M1185" i="4"/>
  <c r="M978" i="4"/>
  <c r="M1138" i="4"/>
  <c r="M980" i="4"/>
  <c r="M70" i="4"/>
  <c r="M981" i="4"/>
  <c r="M1193" i="4"/>
  <c r="M983" i="4"/>
  <c r="M984" i="4"/>
  <c r="M1063" i="4"/>
  <c r="M149" i="4"/>
  <c r="M1061" i="4"/>
  <c r="M987" i="4"/>
  <c r="M17" i="4"/>
  <c r="M1068" i="4"/>
  <c r="M8" i="4"/>
  <c r="M1276" i="4"/>
  <c r="M1048" i="4"/>
  <c r="M1141" i="4"/>
  <c r="M991" i="4"/>
  <c r="M1014" i="4"/>
  <c r="M1070" i="4"/>
  <c r="M1270" i="4"/>
  <c r="M73" i="4"/>
  <c r="M1084" i="4"/>
  <c r="M10" i="4"/>
  <c r="M997" i="4"/>
  <c r="M1056" i="4"/>
  <c r="M1100" i="4"/>
  <c r="M982" i="4"/>
  <c r="M276" i="4"/>
  <c r="M7" i="4"/>
  <c r="M301" i="4"/>
  <c r="M1104" i="4"/>
  <c r="M1105" i="4"/>
  <c r="M1114" i="4"/>
  <c r="M838" i="4"/>
  <c r="M995" i="4"/>
  <c r="M1005" i="4"/>
  <c r="M1006" i="4"/>
  <c r="M1007" i="4"/>
  <c r="M1008" i="4"/>
  <c r="M1009" i="4"/>
  <c r="M1010" i="4"/>
  <c r="M1011" i="4"/>
  <c r="M1012" i="4"/>
  <c r="M1013" i="4"/>
  <c r="M1148" i="4"/>
  <c r="M1015" i="4"/>
  <c r="M1016" i="4"/>
  <c r="M1017" i="4"/>
  <c r="M1044" i="4"/>
  <c r="M1019" i="4"/>
  <c r="M1020" i="4"/>
  <c r="M1021" i="4"/>
  <c r="M1022" i="4"/>
  <c r="M1023" i="4"/>
  <c r="M1024" i="4"/>
  <c r="M1025" i="4"/>
  <c r="M1026" i="4"/>
  <c r="M1120" i="4"/>
  <c r="M185" i="4"/>
  <c r="M1028" i="4"/>
  <c r="M1130" i="4"/>
  <c r="M1030" i="4"/>
  <c r="M1131" i="4"/>
  <c r="M1032" i="4"/>
  <c r="M473" i="4"/>
  <c r="M1033" i="4"/>
  <c r="M1034" i="4"/>
  <c r="M1035" i="4"/>
  <c r="M1036" i="4"/>
  <c r="M189" i="4"/>
  <c r="M1037" i="4"/>
  <c r="M1038" i="4"/>
  <c r="M1039" i="4"/>
  <c r="M1040" i="4"/>
  <c r="M1043" i="4"/>
  <c r="M1051" i="4"/>
  <c r="M967" i="4"/>
  <c r="M1052" i="4"/>
  <c r="M48" i="4"/>
  <c r="M989" i="4"/>
  <c r="M1001" i="4"/>
  <c r="M1046" i="4"/>
  <c r="M1059" i="4"/>
  <c r="M134" i="4"/>
  <c r="M286" i="4"/>
  <c r="M1069" i="4"/>
  <c r="M1096" i="4"/>
  <c r="M1112" i="4"/>
  <c r="M1128" i="4"/>
  <c r="M1168" i="4"/>
  <c r="M993" i="4"/>
  <c r="M1173" i="4"/>
  <c r="M1121" i="4"/>
  <c r="M968" i="4"/>
  <c r="M1175" i="4"/>
  <c r="M1223" i="4"/>
  <c r="M308" i="4"/>
  <c r="M1190" i="4"/>
  <c r="M1203" i="4"/>
  <c r="M1213" i="4"/>
  <c r="M999" i="4"/>
  <c r="M234" i="4"/>
  <c r="M98" i="4"/>
  <c r="M1238" i="4"/>
  <c r="M1245" i="4"/>
  <c r="M1091" i="4"/>
  <c r="M1154" i="4"/>
  <c r="M1206" i="4"/>
  <c r="M1256" i="4"/>
  <c r="M1192" i="4"/>
  <c r="M1094" i="4"/>
  <c r="M1072" i="4"/>
  <c r="M1073" i="4"/>
  <c r="M1074" i="4"/>
  <c r="M1075" i="4"/>
  <c r="M1076" i="4"/>
  <c r="M1077" i="4"/>
  <c r="M1078" i="4"/>
  <c r="M859" i="4"/>
  <c r="M1079" i="4"/>
  <c r="M1080" i="4"/>
  <c r="M1081" i="4"/>
  <c r="M608" i="4"/>
  <c r="M216" i="4"/>
  <c r="M309" i="4"/>
  <c r="M311" i="4"/>
  <c r="M708" i="4"/>
  <c r="M711" i="4"/>
  <c r="M854" i="4"/>
  <c r="M127" i="4"/>
  <c r="M348" i="4"/>
  <c r="M88" i="4"/>
  <c r="M196" i="4"/>
  <c r="M1082" i="4"/>
  <c r="M289" i="4"/>
  <c r="M625" i="4"/>
  <c r="M2" i="4"/>
  <c r="M705" i="4"/>
  <c r="M1083" i="4"/>
  <c r="M226" i="4"/>
  <c r="M889" i="4"/>
  <c r="M633" i="4"/>
  <c r="M660" i="4"/>
  <c r="M670" i="4"/>
  <c r="M682" i="4"/>
  <c r="M902" i="4"/>
  <c r="M457" i="4"/>
  <c r="M495" i="4"/>
  <c r="M424" i="4"/>
  <c r="M1126" i="4"/>
  <c r="M751" i="4"/>
  <c r="M895" i="4"/>
  <c r="M198" i="4"/>
  <c r="M434" i="4"/>
  <c r="M1217" i="4"/>
  <c r="M1234" i="4"/>
  <c r="M222" i="4"/>
  <c r="M246" i="4"/>
  <c r="M252" i="4"/>
  <c r="M428" i="4"/>
  <c r="M738" i="4"/>
  <c r="M282" i="4"/>
  <c r="M881" i="4"/>
  <c r="M891" i="4"/>
  <c r="M452" i="4"/>
  <c r="M181" i="4"/>
  <c r="M143" i="4"/>
  <c r="M793" i="4"/>
  <c r="M261" i="4"/>
  <c r="M299" i="4"/>
  <c r="M136" i="4"/>
  <c r="M1227" i="4"/>
  <c r="M109" i="4"/>
  <c r="M256" i="4"/>
  <c r="M702" i="4"/>
  <c r="M352" i="4"/>
  <c r="M85" i="4"/>
  <c r="M242" i="4"/>
  <c r="M218" i="4"/>
  <c r="M852" i="4"/>
  <c r="M95" i="4"/>
  <c r="M51" i="4"/>
  <c r="M178" i="4"/>
  <c r="M1243" i="4"/>
  <c r="M862" i="4"/>
  <c r="M11" i="4"/>
  <c r="M899" i="4"/>
  <c r="M1003" i="4"/>
  <c r="M44" i="4"/>
  <c r="M105" i="4"/>
  <c r="M1252" i="4"/>
  <c r="M334" i="4"/>
  <c r="M374" i="4"/>
  <c r="M140" i="4"/>
  <c r="M172" i="4"/>
  <c r="M267" i="4"/>
  <c r="M787" i="4"/>
  <c r="M201" i="4"/>
  <c r="M209" i="4"/>
  <c r="M151" i="4"/>
  <c r="M92" i="4"/>
  <c r="M313" i="4"/>
  <c r="M27" i="4"/>
  <c r="M35" i="4"/>
  <c r="M41" i="4"/>
  <c r="M1098" i="4"/>
  <c r="M394" i="4"/>
  <c r="M397" i="4"/>
  <c r="M996" i="4"/>
  <c r="M448" i="4"/>
  <c r="M278" i="4"/>
  <c r="M81" i="4"/>
  <c r="M509" i="4"/>
  <c r="M182" i="4"/>
  <c r="M536" i="4"/>
  <c r="M112" i="4"/>
  <c r="M1259" i="4"/>
  <c r="M24" i="4"/>
  <c r="M30" i="4"/>
  <c r="M1277" i="4"/>
  <c r="M39" i="4"/>
  <c r="M1067" i="4"/>
  <c r="M204" i="4"/>
  <c r="M977" i="4"/>
  <c r="M1290" i="4"/>
  <c r="M175" i="4"/>
  <c r="M1108" i="4"/>
  <c r="M194" i="4"/>
  <c r="M213" i="4"/>
  <c r="M1065" i="4"/>
  <c r="M349" i="4"/>
  <c r="M714" i="4"/>
  <c r="M264" i="4"/>
  <c r="M102" i="4"/>
  <c r="M117" i="4"/>
  <c r="M305" i="4"/>
  <c r="M528" i="4"/>
  <c r="M156" i="4"/>
  <c r="M454" i="4"/>
  <c r="M119" i="4"/>
  <c r="M123" i="4"/>
  <c r="M115" i="4"/>
  <c r="M153" i="4"/>
  <c r="M126" i="4"/>
  <c r="M271" i="4"/>
  <c r="M128" i="4"/>
  <c r="M129" i="4"/>
  <c r="M130" i="4"/>
  <c r="M402" i="4"/>
  <c r="M132" i="4"/>
  <c r="M133" i="4"/>
  <c r="M269" i="4"/>
  <c r="M122" i="4"/>
  <c r="M239" i="4"/>
  <c r="M137" i="4"/>
  <c r="M811" i="4"/>
  <c r="M391" i="4"/>
  <c r="M164" i="4"/>
  <c r="M141" i="4"/>
  <c r="M771" i="4"/>
  <c r="M1293" i="4"/>
  <c r="M159" i="4"/>
  <c r="M161" i="4"/>
  <c r="M167" i="4"/>
  <c r="M319" i="4"/>
  <c r="M832" i="4"/>
  <c r="M148" i="4"/>
  <c r="M227" i="4"/>
  <c r="M144" i="4"/>
  <c r="M6" i="4"/>
  <c r="M152" i="4"/>
  <c r="M57" i="4"/>
  <c r="M562" i="4"/>
  <c r="M64" i="4"/>
  <c r="M20" i="4"/>
  <c r="M54" i="4"/>
  <c r="M4" i="4"/>
  <c r="M188" i="4"/>
  <c r="M325" i="4"/>
  <c r="M247" i="4"/>
  <c r="M145" i="4"/>
  <c r="M60" i="4"/>
  <c r="M235" i="4"/>
  <c r="M74" i="4"/>
  <c r="M67" i="4"/>
  <c r="M78" i="4"/>
  <c r="M4550" i="4"/>
  <c r="M4551" i="4"/>
  <c r="M4552" i="4"/>
  <c r="M4553" i="4"/>
  <c r="M4554" i="4"/>
  <c r="M4555" i="4"/>
  <c r="M4565" i="4"/>
  <c r="M4571" i="4"/>
  <c r="M4558" i="4"/>
  <c r="M4618" i="4"/>
  <c r="M4623" i="4"/>
  <c r="M4626" i="4"/>
  <c r="M4652" i="4"/>
  <c r="M4665" i="4"/>
  <c r="M4709" i="4"/>
  <c r="M4725" i="4"/>
  <c r="M4726" i="4"/>
  <c r="M4567" i="4"/>
  <c r="M4568" i="4"/>
  <c r="M4569" i="4"/>
  <c r="M4570" i="4"/>
  <c r="M4787" i="4"/>
  <c r="M4572" i="4"/>
  <c r="M4801" i="4"/>
  <c r="M4813" i="4"/>
  <c r="M4881" i="4"/>
  <c r="M4576" i="4"/>
  <c r="M4562" i="4"/>
  <c r="M4578" i="4"/>
  <c r="M4603" i="4"/>
  <c r="M4580" i="4"/>
  <c r="M4581" i="4"/>
  <c r="M4809" i="4"/>
  <c r="M4870" i="4"/>
  <c r="M4584" i="4"/>
  <c r="M4585" i="4"/>
  <c r="M4586" i="4"/>
  <c r="M4587" i="4"/>
  <c r="M4588" i="4"/>
  <c r="M4589" i="4"/>
  <c r="M4590" i="4"/>
  <c r="M4575" i="4"/>
  <c r="M4592" i="4"/>
  <c r="M4756" i="4"/>
  <c r="M4594" i="4"/>
  <c r="M4595" i="4"/>
  <c r="M4596" i="4"/>
  <c r="M4597" i="4"/>
  <c r="M4598" i="4"/>
  <c r="M4599" i="4"/>
  <c r="M4673" i="4"/>
  <c r="M4733" i="4"/>
  <c r="M4737" i="4"/>
  <c r="M4739" i="4"/>
  <c r="M4604" i="4"/>
  <c r="M4605" i="4"/>
  <c r="M4609" i="4"/>
  <c r="M4607" i="4"/>
  <c r="M4612" i="4"/>
  <c r="M4660" i="4"/>
  <c r="M4763" i="4"/>
  <c r="M4611" i="4"/>
  <c r="M4557" i="4"/>
  <c r="M4601" i="4"/>
  <c r="M4613" i="4"/>
  <c r="M4615" i="4"/>
  <c r="M4662" i="4"/>
  <c r="M4617" i="4"/>
  <c r="M4667" i="4"/>
  <c r="M4619" i="4"/>
  <c r="M4620" i="4"/>
  <c r="M4766" i="4"/>
  <c r="M4622" i="4"/>
  <c r="M4579" i="4"/>
  <c r="M4624" i="4"/>
  <c r="M4583" i="4"/>
  <c r="M4591" i="4"/>
  <c r="M4627" i="4"/>
  <c r="M4628" i="4"/>
  <c r="M4629" i="4"/>
  <c r="M4582" i="4"/>
  <c r="M4631" i="4"/>
  <c r="M4632" i="4"/>
  <c r="M4633" i="4"/>
  <c r="M4638" i="4"/>
  <c r="M4675" i="4"/>
  <c r="M4683" i="4"/>
  <c r="M4635" i="4"/>
  <c r="M4686" i="4"/>
  <c r="M4639" i="4"/>
  <c r="M4640" i="4"/>
  <c r="M4641" i="4"/>
  <c r="M4642" i="4"/>
  <c r="M4643" i="4"/>
  <c r="M4644" i="4"/>
  <c r="M4645" i="4"/>
  <c r="M4646" i="4"/>
  <c r="M4647" i="4"/>
  <c r="M4648" i="4"/>
  <c r="M4649" i="4"/>
  <c r="M4753" i="4"/>
  <c r="M4818" i="4"/>
  <c r="M4819" i="4"/>
  <c r="M4653" i="4"/>
  <c r="M4654" i="4"/>
  <c r="M4655" i="4"/>
  <c r="M4821" i="4"/>
  <c r="M4657" i="4"/>
  <c r="M4658" i="4"/>
  <c r="M4825" i="4"/>
  <c r="M4826" i="4"/>
  <c r="M4831" i="4"/>
  <c r="M4833" i="4"/>
  <c r="M4838" i="4"/>
  <c r="M4664" i="4"/>
  <c r="M4842" i="4"/>
  <c r="M4844" i="4"/>
  <c r="M4847" i="4"/>
  <c r="M4852" i="4"/>
  <c r="M4669" i="4"/>
  <c r="M4670" i="4"/>
  <c r="M4671" i="4"/>
  <c r="M4672" i="4"/>
  <c r="M4608" i="4"/>
  <c r="M4637" i="4"/>
  <c r="M4634" i="4"/>
  <c r="M4676" i="4"/>
  <c r="M4679" i="4"/>
  <c r="M4680" i="4"/>
  <c r="M4681" i="4"/>
  <c r="M4859" i="4"/>
  <c r="M4866" i="4"/>
  <c r="M4682" i="4"/>
  <c r="M4685" i="4"/>
  <c r="M4678" i="4"/>
  <c r="M4689" i="4"/>
  <c r="M4693" i="4"/>
  <c r="M4696" i="4"/>
  <c r="M4688" i="4"/>
  <c r="M4702" i="4"/>
  <c r="M4727" i="4"/>
  <c r="M4691" i="4"/>
  <c r="M4692" i="4"/>
  <c r="M4845" i="4"/>
  <c r="M4854" i="4"/>
  <c r="M4695" i="4"/>
  <c r="M4840" i="4"/>
  <c r="M4697" i="4"/>
  <c r="M4699" i="4"/>
  <c r="M4728" i="4"/>
  <c r="M4755" i="4"/>
  <c r="M4775" i="4"/>
  <c r="M4786" i="4"/>
  <c r="M4703" i="4"/>
  <c r="M4776" i="4"/>
  <c r="M4780" i="4"/>
  <c r="M4706" i="4"/>
  <c r="M4707" i="4"/>
  <c r="M4708" i="4"/>
  <c r="M4713" i="4"/>
  <c r="M4714" i="4"/>
  <c r="M4711" i="4"/>
  <c r="M4712" i="4"/>
  <c r="M4556" i="4"/>
  <c r="M4789" i="4"/>
  <c r="M4715" i="4"/>
  <c r="M4716" i="4"/>
  <c r="M4717" i="4"/>
  <c r="M4792" i="4"/>
  <c r="M4719" i="4"/>
  <c r="M4720" i="4"/>
  <c r="M4721" i="4"/>
  <c r="M2215" i="4"/>
  <c r="M2216" i="4"/>
  <c r="M2217" i="4"/>
  <c r="M2234" i="4"/>
  <c r="M2219" i="4"/>
  <c r="M2220" i="4"/>
  <c r="M2221" i="4"/>
  <c r="M2237" i="4"/>
  <c r="M2223" i="4"/>
  <c r="M2277" i="4"/>
  <c r="M2225" i="4"/>
  <c r="M2279" i="4"/>
  <c r="M2291" i="4"/>
  <c r="M2373" i="4"/>
  <c r="M2229" i="4"/>
  <c r="M2230" i="4"/>
  <c r="M2231" i="4"/>
  <c r="M2398" i="4"/>
  <c r="M2233" i="4"/>
  <c r="M2424" i="4"/>
  <c r="M2235" i="4"/>
  <c r="M2459" i="4"/>
  <c r="M2487" i="4"/>
  <c r="M2238" i="4"/>
  <c r="M2509" i="4"/>
  <c r="M2240" i="4"/>
  <c r="M2241" i="4"/>
  <c r="M2242" i="4"/>
  <c r="M2243" i="4"/>
  <c r="M2244" i="4"/>
  <c r="M2290" i="4"/>
  <c r="M2374" i="4"/>
  <c r="M2247" i="4"/>
  <c r="M2531" i="4"/>
  <c r="M2249" i="4"/>
  <c r="M2250" i="4"/>
  <c r="M2251" i="4"/>
  <c r="M2252" i="4"/>
  <c r="M2253" i="4"/>
  <c r="M2254" i="4"/>
  <c r="M2255" i="4"/>
  <c r="M2246" i="4"/>
  <c r="M2257" i="4"/>
  <c r="M2414" i="4"/>
  <c r="M2259" i="4"/>
  <c r="M2260" i="4"/>
  <c r="M2261" i="4"/>
  <c r="M2262" i="4"/>
  <c r="M2554" i="4"/>
  <c r="M2264" i="4"/>
  <c r="M2386" i="4"/>
  <c r="M2266" i="4"/>
  <c r="M2404" i="4"/>
  <c r="M2413" i="4"/>
  <c r="M2269" i="4"/>
  <c r="M2270" i="4"/>
  <c r="M2271" i="4"/>
  <c r="M2272" i="4"/>
  <c r="M2273" i="4"/>
  <c r="M2318" i="4"/>
  <c r="M2438" i="4"/>
  <c r="M2276" i="4"/>
  <c r="M2226" i="4"/>
  <c r="M2268" i="4"/>
  <c r="M2274" i="4"/>
  <c r="M2280" i="4"/>
  <c r="M2371" i="4"/>
  <c r="M2282" i="4"/>
  <c r="M2382" i="4"/>
  <c r="M2284" i="4"/>
  <c r="M2285" i="4"/>
  <c r="M2286" i="4"/>
  <c r="M2287" i="4"/>
  <c r="M2256" i="4"/>
  <c r="M2289" i="4"/>
  <c r="M2258" i="4"/>
  <c r="M2263" i="4"/>
  <c r="M2292" i="4"/>
  <c r="M2293" i="4"/>
  <c r="M2248" i="4"/>
  <c r="M2295" i="4"/>
  <c r="M2296" i="4"/>
  <c r="M2297" i="4"/>
  <c r="M2298" i="4"/>
  <c r="M2302" i="4"/>
  <c r="M2341" i="4"/>
  <c r="M2353" i="4"/>
  <c r="M2288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515" i="4"/>
  <c r="M2319" i="4"/>
  <c r="M2320" i="4"/>
  <c r="M2321" i="4"/>
  <c r="M2322" i="4"/>
  <c r="M2521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01" i="4"/>
  <c r="M2283" i="4"/>
  <c r="M2342" i="4"/>
  <c r="M2346" i="4"/>
  <c r="M2349" i="4"/>
  <c r="M2351" i="4"/>
  <c r="M2507" i="4"/>
  <c r="M2518" i="4"/>
  <c r="M2348" i="4"/>
  <c r="M2356" i="4"/>
  <c r="M2345" i="4"/>
  <c r="M2359" i="4"/>
  <c r="M2361" i="4"/>
  <c r="M2367" i="4"/>
  <c r="M2354" i="4"/>
  <c r="M2390" i="4"/>
  <c r="M2400" i="4"/>
  <c r="M2439" i="4"/>
  <c r="M2466" i="4"/>
  <c r="M2500" i="4"/>
  <c r="M2506" i="4"/>
  <c r="M2365" i="4"/>
  <c r="M2493" i="4"/>
  <c r="M2363" i="4"/>
  <c r="M2369" i="4"/>
  <c r="M2421" i="4"/>
  <c r="M2434" i="4"/>
  <c r="M2477" i="4"/>
  <c r="M2479" i="4"/>
  <c r="M2486" i="4"/>
  <c r="M2370" i="4"/>
  <c r="M2445" i="4"/>
  <c r="M2447" i="4"/>
  <c r="M2454" i="4"/>
  <c r="M2457" i="4"/>
  <c r="M2375" i="4"/>
  <c r="M2376" i="4"/>
  <c r="M2377" i="4"/>
  <c r="M2222" i="4"/>
  <c r="M2379" i="4"/>
  <c r="M2380" i="4"/>
  <c r="M2381" i="4"/>
  <c r="M2465" i="4"/>
  <c r="M2383" i="4"/>
  <c r="M2384" i="4"/>
  <c r="M2472" i="4"/>
  <c r="M2476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7" i="4"/>
  <c r="M3496" i="4"/>
  <c r="M3505" i="4"/>
  <c r="M3458" i="4"/>
  <c r="M3508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657" i="4"/>
  <c r="M3555" i="4"/>
  <c r="M3483" i="4"/>
  <c r="M3574" i="4"/>
  <c r="M4344" i="4"/>
  <c r="M3486" i="4"/>
  <c r="M3487" i="4"/>
  <c r="M3488" i="4"/>
  <c r="M3489" i="4"/>
  <c r="M3481" i="4"/>
  <c r="M3491" i="4"/>
  <c r="M3492" i="4"/>
  <c r="M3493" i="4"/>
  <c r="M3494" i="4"/>
  <c r="M3495" i="4"/>
  <c r="M3456" i="4"/>
  <c r="M3455" i="4"/>
  <c r="M3498" i="4"/>
  <c r="M3500" i="4"/>
  <c r="M3503" i="4"/>
  <c r="M3501" i="4"/>
  <c r="M3502" i="4"/>
  <c r="M3685" i="4"/>
  <c r="M3504" i="4"/>
  <c r="M3507" i="4"/>
  <c r="M3499" i="4"/>
  <c r="M3510" i="4"/>
  <c r="M3512" i="4"/>
  <c r="M3518" i="4"/>
  <c r="M3522" i="4"/>
  <c r="M3523" i="4"/>
  <c r="M3547" i="4"/>
  <c r="M3614" i="4"/>
  <c r="M3615" i="4"/>
  <c r="M3653" i="4"/>
  <c r="M3678" i="4"/>
  <c r="M3516" i="4"/>
  <c r="M3651" i="4"/>
  <c r="M3514" i="4"/>
  <c r="M3520" i="4"/>
  <c r="M3548" i="4"/>
  <c r="M3606" i="4"/>
  <c r="M3630" i="4"/>
  <c r="M3648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2028" i="4"/>
  <c r="M2029" i="4"/>
  <c r="M163" i="4"/>
  <c r="M1133" i="4"/>
  <c r="M2030" i="4"/>
  <c r="M4781" i="4"/>
  <c r="M168" i="4"/>
  <c r="M4687" i="4"/>
  <c r="M65" i="4"/>
  <c r="M974" i="4"/>
  <c r="M3509" i="4"/>
  <c r="M2031" i="4"/>
  <c r="M4574" i="4"/>
  <c r="M1064" i="4"/>
  <c r="M3544" i="4"/>
  <c r="M3545" i="4"/>
  <c r="M2278" i="4"/>
  <c r="M1062" i="4"/>
  <c r="M2032" i="4"/>
  <c r="M79" i="4"/>
  <c r="M1196" i="4"/>
  <c r="M5" i="4"/>
  <c r="M89" i="4"/>
  <c r="M3546" i="4"/>
  <c r="M1089" i="4"/>
  <c r="M1049" i="4"/>
  <c r="M1274" i="4"/>
  <c r="M3680" i="4"/>
  <c r="M202" i="4"/>
  <c r="M2033" i="4"/>
  <c r="M2034" i="4"/>
  <c r="M2035" i="4"/>
  <c r="M3643" i="4"/>
  <c r="M4337" i="4"/>
  <c r="M4650" i="4"/>
  <c r="M124" i="4"/>
  <c r="M3550" i="4"/>
  <c r="M3551" i="4"/>
  <c r="M3552" i="4"/>
  <c r="M1180" i="4"/>
  <c r="M2388" i="4"/>
  <c r="M3553" i="4"/>
  <c r="M76" i="4"/>
  <c r="M3554" i="4"/>
  <c r="M1110" i="4"/>
  <c r="M3482" i="4"/>
  <c r="M1111" i="4"/>
  <c r="M4808" i="4"/>
  <c r="M4740" i="4"/>
  <c r="M2553" i="4"/>
  <c r="M1291" i="4"/>
  <c r="M1113" i="4"/>
  <c r="M58" i="4"/>
  <c r="M3556" i="4"/>
  <c r="M2358" i="4"/>
  <c r="M4636" i="4"/>
  <c r="M154" i="4"/>
  <c r="M55" i="4"/>
  <c r="M4729" i="4"/>
  <c r="M4730" i="4"/>
  <c r="M1066" i="4"/>
  <c r="M205" i="4"/>
  <c r="M1115" i="4"/>
  <c r="M3557" i="4"/>
  <c r="M4731" i="4"/>
  <c r="M3558" i="4"/>
  <c r="M298" i="4"/>
  <c r="M3559" i="4"/>
  <c r="M3560" i="4"/>
  <c r="M68" i="4"/>
  <c r="M2391" i="4"/>
  <c r="M2392" i="4"/>
  <c r="M3561" i="4"/>
  <c r="M101" i="4"/>
  <c r="M1116" i="4"/>
  <c r="M120" i="4"/>
  <c r="M2478" i="4"/>
  <c r="M2406" i="4"/>
  <c r="M1117" i="4"/>
  <c r="M1118" i="4"/>
  <c r="M2236" i="4"/>
  <c r="M3562" i="4"/>
  <c r="M142" i="4"/>
  <c r="M3563" i="4"/>
  <c r="M93" i="4"/>
  <c r="M903" i="4"/>
  <c r="M4621" i="4"/>
  <c r="M3564" i="4"/>
  <c r="M2036" i="4"/>
  <c r="M3565" i="4"/>
  <c r="M1289" i="4"/>
  <c r="M863" i="4"/>
  <c r="M2396" i="4"/>
  <c r="M158" i="4"/>
  <c r="M3566" i="4"/>
  <c r="M2397" i="4"/>
  <c r="M3567" i="4"/>
  <c r="M3568" i="4"/>
  <c r="M2344" i="4"/>
  <c r="M302" i="4"/>
  <c r="M2399" i="4"/>
  <c r="M4625" i="4"/>
  <c r="M2245" i="4"/>
  <c r="M1134" i="4"/>
  <c r="M2401" i="4"/>
  <c r="M3569" i="4"/>
  <c r="M1191" i="4"/>
  <c r="M3570" i="4"/>
  <c r="M1122" i="4"/>
  <c r="M232" i="4"/>
  <c r="M3571" i="4"/>
  <c r="M2402" i="4"/>
  <c r="M3572" i="4"/>
  <c r="M173" i="4"/>
  <c r="M4616" i="4"/>
  <c r="M2559" i="4"/>
  <c r="M1090" i="4"/>
  <c r="M1124" i="4"/>
  <c r="M192" i="4"/>
  <c r="M4735" i="4"/>
  <c r="M1125" i="4"/>
  <c r="M1092" i="4"/>
  <c r="M1220" i="4"/>
  <c r="M1153" i="4"/>
  <c r="M2409" i="4"/>
  <c r="M2405" i="4"/>
  <c r="M331" i="4"/>
  <c r="M3573" i="4"/>
  <c r="M1235" i="4"/>
  <c r="M4736" i="4"/>
  <c r="M2520" i="4"/>
  <c r="M2407" i="4"/>
  <c r="M3628" i="4"/>
  <c r="M3575" i="4"/>
  <c r="M1225" i="4"/>
  <c r="M31" i="4"/>
  <c r="M3576" i="4"/>
  <c r="M3577" i="4"/>
  <c r="M948" i="4"/>
  <c r="M3578" i="4"/>
  <c r="M2408" i="4"/>
  <c r="M2357" i="4"/>
  <c r="M3579" i="4"/>
  <c r="M3580" i="4"/>
  <c r="M3581" i="4"/>
  <c r="M2410" i="4"/>
  <c r="M3582" i="4"/>
  <c r="M3583" i="4"/>
  <c r="M116" i="4"/>
  <c r="M4754" i="4"/>
  <c r="M1132" i="4"/>
  <c r="M1093" i="4"/>
  <c r="M3584" i="4"/>
  <c r="M3585" i="4"/>
  <c r="M2411" i="4"/>
  <c r="M3586" i="4"/>
  <c r="M1194" i="4"/>
  <c r="M91" i="4"/>
  <c r="M2412" i="4"/>
  <c r="M1135" i="4"/>
  <c r="M326" i="4"/>
  <c r="M190" i="4"/>
  <c r="M1136" i="4"/>
  <c r="M3587" i="4"/>
  <c r="M2300" i="4"/>
  <c r="M963" i="4"/>
  <c r="M1087" i="4"/>
  <c r="M4566" i="4"/>
  <c r="M919" i="4"/>
  <c r="M1041" i="4"/>
  <c r="M4559" i="4"/>
  <c r="M253" i="4"/>
  <c r="M3588" i="4"/>
  <c r="M207" i="4"/>
  <c r="M4677" i="4"/>
  <c r="M3589" i="4"/>
  <c r="M896" i="4"/>
  <c r="M4741" i="4"/>
  <c r="M1018" i="4"/>
  <c r="M4742" i="4"/>
  <c r="M1142" i="4"/>
  <c r="M186" i="4"/>
  <c r="M3590" i="4"/>
  <c r="M4743" i="4"/>
  <c r="M2265" i="4"/>
  <c r="M1137" i="4"/>
  <c r="M4744" i="4"/>
  <c r="M4745" i="4"/>
  <c r="M4746" i="4"/>
  <c r="M2415" i="4"/>
  <c r="M52" i="4"/>
  <c r="M2416" i="4"/>
  <c r="M3591" i="4"/>
  <c r="M210" i="4"/>
  <c r="M4747" i="4"/>
  <c r="M2417" i="4"/>
  <c r="M4748" i="4"/>
  <c r="M1145" i="4"/>
  <c r="M1146" i="4"/>
  <c r="M1004" i="4"/>
  <c r="M3592" i="4"/>
  <c r="M1147" i="4"/>
  <c r="M3593" i="4"/>
  <c r="M2037" i="4"/>
  <c r="M3594" i="4"/>
  <c r="M2490" i="4"/>
  <c r="M1149" i="4"/>
  <c r="M4749" i="4"/>
  <c r="M2419" i="4"/>
  <c r="M3595" i="4"/>
  <c r="M96" i="4"/>
  <c r="M2038" i="4"/>
  <c r="M1150" i="4"/>
  <c r="M3596" i="4"/>
  <c r="M1151" i="4"/>
  <c r="M4738" i="4"/>
  <c r="M2420" i="4"/>
  <c r="M992" i="4"/>
  <c r="M941" i="4"/>
  <c r="M3597" i="4"/>
  <c r="M2485" i="4"/>
  <c r="M1106" i="4"/>
  <c r="M138" i="4"/>
  <c r="M3598" i="4"/>
  <c r="M2422" i="4"/>
  <c r="M3599" i="4"/>
  <c r="M4751" i="4"/>
  <c r="M4752" i="4"/>
  <c r="M3600" i="4"/>
  <c r="M38" i="4"/>
  <c r="M2403" i="4"/>
  <c r="M3601" i="4"/>
  <c r="M4764" i="4"/>
  <c r="M1242" i="4"/>
  <c r="M3602" i="4"/>
  <c r="M4797" i="4"/>
  <c r="M474" i="4"/>
  <c r="M945" i="4"/>
  <c r="M12" i="4"/>
  <c r="M886" i="4"/>
  <c r="M1157" i="4"/>
  <c r="M4684" i="4"/>
  <c r="M2228" i="4"/>
  <c r="M2425" i="4"/>
  <c r="M3603" i="4"/>
  <c r="M2426" i="4"/>
  <c r="M4705" i="4"/>
  <c r="M2427" i="4"/>
  <c r="M71" i="4"/>
  <c r="M4663" i="4"/>
  <c r="M2428" i="4"/>
  <c r="M250" i="4"/>
  <c r="M4758" i="4"/>
  <c r="M3604" i="4"/>
  <c r="M1158" i="4"/>
  <c r="M3605" i="4"/>
  <c r="M3517" i="4"/>
  <c r="M1159" i="4"/>
  <c r="M3607" i="4"/>
  <c r="M425" i="4"/>
  <c r="M1088" i="4"/>
  <c r="M1161" i="4"/>
  <c r="M2429" i="4"/>
  <c r="M4759" i="4"/>
  <c r="M3608" i="4"/>
  <c r="M892" i="4"/>
  <c r="M1162" i="4"/>
  <c r="M2430" i="4"/>
  <c r="M3609" i="4"/>
  <c r="M258" i="4"/>
  <c r="M3610" i="4"/>
  <c r="M2442" i="4"/>
  <c r="M99" i="4"/>
  <c r="M2432" i="4"/>
  <c r="M2433" i="4"/>
  <c r="M2431" i="4"/>
  <c r="M3611" i="4"/>
  <c r="M2366" i="4"/>
  <c r="M2436" i="4"/>
  <c r="M2437" i="4"/>
  <c r="M1163" i="4"/>
  <c r="M4785" i="4"/>
  <c r="M3612" i="4"/>
  <c r="M4761" i="4"/>
  <c r="M45" i="4"/>
  <c r="M1165" i="4"/>
  <c r="M2347" i="4"/>
  <c r="M4651" i="4"/>
  <c r="M4630" i="4"/>
  <c r="M3649" i="4"/>
  <c r="M938" i="4"/>
  <c r="M2343" i="4"/>
  <c r="M1167" i="4"/>
  <c r="M1296" i="4"/>
  <c r="M3652" i="4"/>
  <c r="M1050" i="4"/>
  <c r="M4893" i="4"/>
  <c r="M1170" i="4"/>
  <c r="M146" i="4"/>
  <c r="M1171" i="4"/>
  <c r="M1172" i="4"/>
  <c r="M4802" i="4"/>
  <c r="M3521" i="4"/>
  <c r="M28" i="4"/>
  <c r="M4757" i="4"/>
  <c r="M927" i="4"/>
  <c r="M4690" i="4"/>
  <c r="M4710" i="4"/>
  <c r="M4769" i="4"/>
  <c r="M994" i="4"/>
  <c r="M3616" i="4"/>
  <c r="M1207" i="4"/>
  <c r="M1176" i="4"/>
  <c r="M1177" i="4"/>
  <c r="M3617" i="4"/>
  <c r="M833" i="4"/>
  <c r="M782" i="4"/>
  <c r="M2039" i="4"/>
  <c r="M4770" i="4"/>
  <c r="M335" i="4"/>
  <c r="M3618" i="4"/>
  <c r="M4823" i="4"/>
  <c r="M223" i="4"/>
  <c r="M4772" i="4"/>
  <c r="M3619" i="4"/>
  <c r="M722" i="4"/>
  <c r="M290" i="4"/>
  <c r="M4773" i="4"/>
  <c r="M3620" i="4"/>
  <c r="M2299" i="4"/>
  <c r="M1178" i="4"/>
  <c r="M395" i="4"/>
  <c r="M1127" i="4"/>
  <c r="M1002" i="4"/>
  <c r="M1181" i="4"/>
  <c r="M321" i="4"/>
  <c r="M4806" i="4"/>
  <c r="M1182" i="4"/>
  <c r="M2441" i="4"/>
  <c r="M1183" i="4"/>
  <c r="M2372" i="4"/>
  <c r="M4829" i="4"/>
  <c r="M1184" i="4"/>
  <c r="M4783" i="4"/>
  <c r="M451" i="4"/>
  <c r="M4777" i="4"/>
  <c r="M274" i="4"/>
  <c r="M3459" i="4"/>
  <c r="M273" i="4"/>
  <c r="M422" i="4"/>
  <c r="M4778" i="4"/>
  <c r="M1292" i="4"/>
  <c r="M2443" i="4"/>
  <c r="M3622" i="4"/>
  <c r="M1186" i="4"/>
  <c r="M4779" i="4"/>
  <c r="M110" i="4"/>
  <c r="M3623" i="4"/>
  <c r="M4782" i="4"/>
  <c r="M4767" i="4"/>
  <c r="M4602" i="4"/>
  <c r="M3624" i="4"/>
  <c r="M2444" i="4"/>
  <c r="M3625" i="4"/>
  <c r="M4810" i="4"/>
  <c r="M4784" i="4"/>
  <c r="M1187" i="4"/>
  <c r="M1188" i="4"/>
  <c r="M2275" i="4"/>
  <c r="M3626" i="4"/>
  <c r="M3627" i="4"/>
  <c r="M1102" i="4"/>
  <c r="M1189" i="4"/>
  <c r="M4335" i="4"/>
  <c r="M860" i="4"/>
  <c r="M4661" i="4"/>
  <c r="M3629" i="4"/>
  <c r="M3613" i="4"/>
  <c r="M42" i="4"/>
  <c r="M171" i="4"/>
  <c r="M4700" i="4"/>
  <c r="M2446" i="4"/>
  <c r="M2423" i="4"/>
  <c r="M36" i="4"/>
  <c r="M1272" i="4"/>
  <c r="M1271" i="4"/>
  <c r="M4832" i="4"/>
  <c r="M3631" i="4"/>
  <c r="M4788" i="4"/>
  <c r="M2448" i="4"/>
  <c r="M237" i="4"/>
  <c r="M2449" i="4"/>
  <c r="M3632" i="4"/>
  <c r="M4830" i="4"/>
  <c r="M2450" i="4"/>
  <c r="M3633" i="4"/>
  <c r="M4790" i="4"/>
  <c r="M2451" i="4"/>
  <c r="M4791" i="4"/>
  <c r="M1275" i="4"/>
  <c r="M4724" i="4"/>
  <c r="M2452" i="4"/>
  <c r="M2453" i="4"/>
  <c r="M4834" i="4"/>
  <c r="M1216" i="4"/>
  <c r="M1195" i="4"/>
  <c r="M956" i="4"/>
  <c r="M262" i="4"/>
  <c r="M4877" i="4"/>
  <c r="M2294" i="4"/>
  <c r="M2455" i="4"/>
  <c r="M3634" i="4"/>
  <c r="M236" i="4"/>
  <c r="M4762" i="4"/>
  <c r="M4796" i="4"/>
  <c r="M4666" i="4"/>
  <c r="M265" i="4"/>
  <c r="M1197" i="4"/>
  <c r="M3635" i="4"/>
  <c r="M4798" i="4"/>
  <c r="M4799" i="4"/>
  <c r="M176" i="4"/>
  <c r="M75" i="4"/>
  <c r="M1198" i="4"/>
  <c r="M4800" i="4"/>
  <c r="M1199" i="4"/>
  <c r="M4577" i="4"/>
  <c r="M25" i="4"/>
  <c r="M2456" i="4"/>
  <c r="M1200" i="4"/>
  <c r="M888" i="4"/>
  <c r="M3636" i="4"/>
  <c r="M2267" i="4"/>
  <c r="M1201" i="4"/>
  <c r="M195" i="4"/>
  <c r="M4734" i="4"/>
  <c r="M2040" i="4"/>
  <c r="M4803" i="4"/>
  <c r="M4804" i="4"/>
  <c r="M1143" i="4"/>
  <c r="M3637" i="4"/>
  <c r="M614" i="4"/>
  <c r="M1160" i="4"/>
  <c r="M4805" i="4"/>
  <c r="M1204" i="4"/>
  <c r="M4674" i="4"/>
  <c r="M4807" i="4"/>
  <c r="M4760" i="4"/>
  <c r="M2458" i="4"/>
  <c r="M3638" i="4"/>
  <c r="M4563" i="4"/>
  <c r="M2378" i="4"/>
  <c r="M2552" i="4"/>
  <c r="M316" i="4"/>
  <c r="M4704" i="4"/>
  <c r="M3639" i="4"/>
  <c r="M4811" i="4"/>
  <c r="M2461" i="4"/>
  <c r="M3640" i="4"/>
  <c r="M3641" i="4"/>
  <c r="M2462" i="4"/>
  <c r="M2463" i="4"/>
  <c r="M4812" i="4"/>
  <c r="M2464" i="4"/>
  <c r="M2218" i="4"/>
  <c r="M851" i="4"/>
  <c r="M2435" i="4"/>
  <c r="M3484" i="4"/>
  <c r="M1205" i="4"/>
  <c r="M268" i="4"/>
  <c r="M229" i="4"/>
  <c r="M3524" i="4"/>
  <c r="M4765" i="4"/>
  <c r="M2467" i="4"/>
  <c r="M2389" i="4"/>
  <c r="M2469" i="4"/>
  <c r="M3644" i="4"/>
  <c r="M4814" i="4"/>
  <c r="M3645" i="4"/>
  <c r="M4860" i="4"/>
  <c r="M4816" i="4"/>
  <c r="M4817" i="4"/>
  <c r="M179" i="4"/>
  <c r="M3646" i="4"/>
  <c r="M2470" i="4"/>
  <c r="M2227" i="4"/>
  <c r="M3647" i="4"/>
  <c r="M1214" i="4"/>
  <c r="M4668" i="4"/>
  <c r="M350" i="4"/>
  <c r="M4564" i="4"/>
  <c r="M637" i="4"/>
  <c r="M2418" i="4"/>
  <c r="M4820" i="4"/>
  <c r="M4659" i="4"/>
  <c r="M2323" i="4"/>
  <c r="M3621" i="4"/>
  <c r="M2474" i="4"/>
  <c r="M2475" i="4"/>
  <c r="M4822" i="4"/>
  <c r="M3543" i="4"/>
  <c r="M1209" i="4"/>
  <c r="M1208" i="4"/>
  <c r="M1152" i="4"/>
  <c r="M2350" i="4"/>
  <c r="M4656" i="4"/>
  <c r="M1139" i="4"/>
  <c r="M4824" i="4"/>
  <c r="M1140" i="4"/>
  <c r="M2340" i="4"/>
  <c r="M254" i="4"/>
  <c r="M4614" i="4"/>
  <c r="M4815" i="4"/>
  <c r="M3650" i="4"/>
  <c r="M2491" i="4"/>
  <c r="M169" i="4"/>
  <c r="M2495" i="4"/>
  <c r="M1155" i="4"/>
  <c r="M3511" i="4"/>
  <c r="M3515" i="4"/>
  <c r="M2480" i="4"/>
  <c r="M1099" i="4"/>
  <c r="M2481" i="4"/>
  <c r="M4827" i="4"/>
  <c r="M243" i="4"/>
  <c r="M1269" i="4"/>
  <c r="M257" i="4"/>
  <c r="M626" i="4"/>
  <c r="M2482" i="4"/>
  <c r="M1215" i="4"/>
  <c r="M2394" i="4"/>
  <c r="M49" i="4"/>
  <c r="M3497" i="4"/>
  <c r="M3654" i="4"/>
  <c r="M3655" i="4"/>
  <c r="M668" i="4"/>
  <c r="M4828" i="4"/>
  <c r="M3656" i="4"/>
  <c r="M1156" i="4"/>
  <c r="M240" i="4"/>
  <c r="M1055" i="4"/>
  <c r="M3485" i="4"/>
  <c r="M3658" i="4"/>
  <c r="M1218" i="4"/>
  <c r="M2484" i="4"/>
  <c r="M4722" i="4"/>
  <c r="M4718" i="4"/>
  <c r="M4768" i="4"/>
  <c r="M4750" i="4"/>
  <c r="M2360" i="4"/>
  <c r="M2364" i="4"/>
  <c r="M2041" i="4"/>
  <c r="M449" i="4"/>
  <c r="M3659" i="4"/>
  <c r="M3660" i="4"/>
  <c r="M2505" i="4"/>
  <c r="M4573" i="4"/>
  <c r="M2488" i="4"/>
  <c r="M3661" i="4"/>
  <c r="M1219" i="4"/>
  <c r="M287" i="4"/>
  <c r="M2489" i="4"/>
  <c r="M4561" i="4"/>
  <c r="M3662" i="4"/>
  <c r="M2498" i="4"/>
  <c r="M4835" i="4"/>
  <c r="M4836" i="4"/>
  <c r="M2468" i="4"/>
  <c r="M2492" i="4"/>
  <c r="M1169" i="4"/>
  <c r="M2387" i="4"/>
  <c r="M703" i="4"/>
  <c r="M1221" i="4"/>
  <c r="M398" i="4"/>
  <c r="M1085" i="4"/>
  <c r="M2494" i="4"/>
  <c r="M3663" i="4"/>
  <c r="M680" i="4"/>
  <c r="M1212" i="4"/>
  <c r="M3664" i="4"/>
  <c r="M2281" i="4"/>
  <c r="M2496" i="4"/>
  <c r="M3665" i="4"/>
  <c r="M2497" i="4"/>
  <c r="M3666" i="4"/>
  <c r="M4837" i="4"/>
  <c r="M1224" i="4"/>
  <c r="M3667" i="4"/>
  <c r="M2385" i="4"/>
  <c r="M1241" i="4"/>
  <c r="M3668" i="4"/>
  <c r="M4856" i="4"/>
  <c r="M1226" i="4"/>
  <c r="M104" i="4"/>
  <c r="M2499" i="4"/>
  <c r="M4839" i="4"/>
  <c r="M683" i="4"/>
  <c r="M2368" i="4"/>
  <c r="M3669" i="4"/>
  <c r="M2501" i="4"/>
  <c r="M314" i="4"/>
  <c r="M2502" i="4"/>
  <c r="M2503" i="4"/>
  <c r="M4855" i="4"/>
  <c r="M706" i="4"/>
  <c r="M61" i="4"/>
  <c r="M3506" i="4"/>
  <c r="M2362" i="4"/>
  <c r="M3671" i="4"/>
  <c r="M2224" i="4"/>
  <c r="M2393" i="4"/>
  <c r="M2440" i="4"/>
  <c r="M2042" i="4"/>
  <c r="M4841" i="4"/>
  <c r="M2508" i="4"/>
  <c r="M1095" i="4"/>
  <c r="M1228" i="4"/>
  <c r="M3672" i="4"/>
  <c r="M4560" i="4"/>
  <c r="M4843" i="4"/>
  <c r="M1086" i="4"/>
  <c r="M1230" i="4"/>
  <c r="M2471" i="4"/>
  <c r="M4793" i="4"/>
  <c r="M272" i="4"/>
  <c r="M4774" i="4"/>
  <c r="M2504" i="4"/>
  <c r="M3673" i="4"/>
  <c r="M1144" i="4"/>
  <c r="M1232" i="4"/>
  <c r="M2511" i="4"/>
  <c r="M2512" i="4"/>
  <c r="M2513" i="4"/>
  <c r="M2514" i="4"/>
  <c r="M3" i="4"/>
  <c r="M3674" i="4"/>
  <c r="M193" i="4"/>
  <c r="M4846" i="4"/>
  <c r="M2483" i="4"/>
  <c r="M4794" i="4"/>
  <c r="M4848" i="4"/>
  <c r="M3675" i="4"/>
  <c r="M1233" i="4"/>
  <c r="M3676" i="4"/>
  <c r="M4849" i="4"/>
  <c r="M4850" i="4"/>
  <c r="M2516" i="4"/>
  <c r="M4851" i="4"/>
  <c r="M2517" i="4"/>
  <c r="M4771" i="4"/>
  <c r="M4853" i="4"/>
  <c r="M2043" i="4"/>
  <c r="M275" i="4"/>
  <c r="M4701" i="4"/>
  <c r="M4723" i="4"/>
  <c r="M4606" i="4"/>
  <c r="M3677" i="4"/>
  <c r="M4857" i="4"/>
  <c r="M4858" i="4"/>
  <c r="M4698" i="4"/>
  <c r="M1107" i="4"/>
  <c r="M1097" i="4"/>
  <c r="M4600" i="4"/>
  <c r="M2395" i="4"/>
  <c r="M1236" i="4"/>
  <c r="M2519" i="4"/>
  <c r="M4861" i="4"/>
  <c r="M1237" i="4"/>
  <c r="M3670" i="4"/>
  <c r="M4862" i="4"/>
  <c r="M4863" i="4"/>
  <c r="M296" i="4"/>
  <c r="M3679" i="4"/>
  <c r="M3519" i="4"/>
  <c r="M1000" i="4"/>
  <c r="M1239" i="4"/>
  <c r="M3681" i="4"/>
  <c r="M1240" i="4"/>
  <c r="M3682" i="4"/>
  <c r="M3683" i="4"/>
  <c r="M4864" i="4"/>
  <c r="M2232" i="4"/>
  <c r="M1166" i="4"/>
  <c r="M1071" i="4"/>
  <c r="M3684" i="4"/>
  <c r="M1053" i="4"/>
  <c r="M2460" i="4"/>
  <c r="M2044" i="4"/>
  <c r="M529" i="4"/>
  <c r="M21" i="4"/>
  <c r="M1244" i="4"/>
  <c r="M4865" i="4"/>
  <c r="M979" i="4"/>
  <c r="M3513" i="4"/>
  <c r="M4694" i="4"/>
  <c r="M3686" i="4"/>
  <c r="M2045" i="4"/>
  <c r="M2046" i="4"/>
  <c r="M2047" i="4"/>
  <c r="M2048" i="4"/>
  <c r="M2049" i="4"/>
  <c r="M2050" i="4"/>
  <c r="M2051" i="4"/>
  <c r="M2052" i="4"/>
  <c r="M1246" i="4"/>
  <c r="M1247" i="4"/>
  <c r="M1248" i="4"/>
  <c r="M1249" i="4"/>
  <c r="M1250" i="4"/>
  <c r="M1251" i="4"/>
  <c r="M1202" i="4"/>
  <c r="M1253" i="4"/>
  <c r="M1254" i="4"/>
  <c r="M1255" i="4"/>
  <c r="M1031" i="4"/>
  <c r="M1257" i="4"/>
  <c r="M1258" i="4"/>
  <c r="M1229" i="4"/>
  <c r="M1260" i="4"/>
  <c r="M1261" i="4"/>
  <c r="M1262" i="4"/>
  <c r="M1263" i="4"/>
  <c r="M1264" i="4"/>
  <c r="M1265" i="4"/>
  <c r="M1266" i="4"/>
  <c r="M1267" i="4"/>
  <c r="M1268" i="4"/>
  <c r="M1210" i="4"/>
  <c r="M1054" i="4"/>
  <c r="M1174" i="4"/>
  <c r="M1057" i="4"/>
  <c r="M1101" i="4"/>
  <c r="M985" i="4"/>
  <c r="M998" i="4"/>
  <c r="M1103" i="4"/>
  <c r="M1119" i="4"/>
  <c r="M1278" i="4"/>
  <c r="M1279" i="4"/>
  <c r="M1280" i="4"/>
  <c r="M1281" i="4"/>
  <c r="M1282" i="4"/>
  <c r="M1283" i="4"/>
  <c r="M1284" i="4"/>
  <c r="M1285" i="4"/>
  <c r="M1286" i="4"/>
  <c r="M1287" i="4"/>
  <c r="M1288" i="4"/>
  <c r="M1123" i="4"/>
  <c r="M1045" i="4"/>
  <c r="M990" i="4"/>
  <c r="M1047" i="4"/>
  <c r="M1294" i="4"/>
  <c r="M1109" i="4"/>
  <c r="M1295" i="4"/>
  <c r="M1231" i="4"/>
  <c r="M2522" i="4"/>
  <c r="M2523" i="4"/>
  <c r="M2524" i="4"/>
  <c r="M2239" i="4"/>
  <c r="M2526" i="4"/>
  <c r="M2527" i="4"/>
  <c r="M2528" i="4"/>
  <c r="M2529" i="4"/>
  <c r="M2530" i="4"/>
  <c r="M2525" i="4"/>
  <c r="M2532" i="4"/>
  <c r="M2533" i="4"/>
  <c r="M2534" i="4"/>
  <c r="M2535" i="4"/>
  <c r="M2536" i="4"/>
  <c r="M2537" i="4"/>
  <c r="M2538" i="4"/>
  <c r="M2539" i="4"/>
  <c r="M2540" i="4"/>
  <c r="M2355" i="4"/>
  <c r="M2542" i="4"/>
  <c r="M2543" i="4"/>
  <c r="M2544" i="4"/>
  <c r="M2545" i="4"/>
  <c r="M2546" i="4"/>
  <c r="M2547" i="4"/>
  <c r="M2548" i="4"/>
  <c r="M2549" i="4"/>
  <c r="M2550" i="4"/>
  <c r="M2551" i="4"/>
  <c r="M2352" i="4"/>
  <c r="M2510" i="4"/>
  <c r="M2541" i="4"/>
  <c r="M2555" i="4"/>
  <c r="M2556" i="4"/>
  <c r="M2557" i="4"/>
  <c r="M2558" i="4"/>
  <c r="M2473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4867" i="4"/>
  <c r="M4868" i="4"/>
  <c r="M4869" i="4"/>
  <c r="M4732" i="4"/>
  <c r="M4871" i="4"/>
  <c r="M4872" i="4"/>
  <c r="M4873" i="4"/>
  <c r="M4874" i="4"/>
  <c r="M4875" i="4"/>
  <c r="M4876" i="4"/>
  <c r="M4610" i="4"/>
  <c r="M4878" i="4"/>
  <c r="M4879" i="4"/>
  <c r="M4880" i="4"/>
  <c r="M4593" i="4"/>
  <c r="M4882" i="4"/>
  <c r="M4883" i="4"/>
  <c r="M4884" i="4"/>
  <c r="M4885" i="4"/>
  <c r="M4886" i="4"/>
  <c r="M4887" i="4"/>
  <c r="M4888" i="4"/>
  <c r="M4889" i="4"/>
  <c r="M4890" i="4"/>
  <c r="M4891" i="4"/>
  <c r="M4892" i="4"/>
  <c r="M4795" i="4"/>
  <c r="M14" i="4"/>
  <c r="M16" i="4"/>
  <c r="M86" i="4"/>
  <c r="M217" i="4"/>
  <c r="M709" i="4"/>
  <c r="M712" i="4"/>
  <c r="M855" i="4"/>
  <c r="M228" i="4"/>
  <c r="M283" i="4"/>
  <c r="M464" i="4"/>
  <c r="M507" i="4"/>
  <c r="M752" i="4"/>
  <c r="M199" i="4"/>
  <c r="M392" i="4"/>
  <c r="M429" i="4"/>
  <c r="M435" i="4"/>
  <c r="M224" i="4"/>
  <c r="M248" i="4"/>
  <c r="M739" i="4"/>
  <c r="M353" i="4"/>
  <c r="M455" i="4"/>
  <c r="M900" i="4"/>
  <c r="M376" i="4"/>
  <c r="M279" i="4"/>
  <c r="M510" i="4"/>
  <c r="M183" i="4"/>
  <c r="M537" i="4"/>
  <c r="M113" i="4"/>
  <c r="M214" i="4"/>
  <c r="M306" i="4"/>
  <c r="M82" i="4"/>
  <c r="M157" i="4"/>
  <c r="M165" i="4"/>
  <c r="M131" i="4"/>
  <c r="M33" i="4"/>
  <c r="M315" i="4"/>
  <c r="M150" i="4"/>
  <c r="M317" i="4"/>
  <c r="M318" i="4"/>
  <c r="M9" i="4"/>
  <c r="M320" i="4"/>
  <c r="M62" i="4"/>
  <c r="M322" i="4"/>
  <c r="M323" i="4"/>
  <c r="M324" i="4"/>
  <c r="M160" i="4"/>
  <c r="M789" i="4"/>
  <c r="M800" i="4"/>
  <c r="M812" i="4"/>
  <c r="M839" i="4"/>
  <c r="M330" i="4"/>
  <c r="M212" i="4"/>
  <c r="M563" i="4"/>
  <c r="M911" i="4"/>
  <c r="L2033" i="4" l="1"/>
  <c r="L2045" i="4"/>
  <c r="L2046" i="4"/>
  <c r="L2047" i="4"/>
  <c r="L2030" i="4"/>
  <c r="L2041" i="4"/>
  <c r="L2043" i="4"/>
  <c r="L2040" i="4"/>
  <c r="L2039" i="4"/>
  <c r="L2036" i="4"/>
  <c r="L2035" i="4"/>
  <c r="L2038" i="4"/>
  <c r="L2044" i="4"/>
  <c r="L2037" i="4"/>
  <c r="L2031" i="4"/>
  <c r="L2032" i="4"/>
  <c r="L2029" i="4"/>
  <c r="L2028" i="4"/>
  <c r="L2034" i="4"/>
  <c r="L2048" i="4"/>
  <c r="L2049" i="4"/>
  <c r="L2042" i="4"/>
  <c r="L2050" i="4"/>
  <c r="L2051" i="4"/>
  <c r="L2052" i="4"/>
  <c r="L1246" i="4"/>
  <c r="L1247" i="4"/>
  <c r="L1248" i="4"/>
  <c r="L1249" i="4"/>
  <c r="L1250" i="4"/>
  <c r="L1251" i="4"/>
  <c r="L1202" i="4"/>
  <c r="L1253" i="4"/>
  <c r="L1181" i="4"/>
  <c r="L1111" i="4"/>
  <c r="L1118" i="4"/>
  <c r="L1142" i="4"/>
  <c r="L1055" i="4"/>
  <c r="L1214" i="4"/>
  <c r="L1115" i="4"/>
  <c r="L1125" i="4"/>
  <c r="L1116" i="4"/>
  <c r="L1087" i="4"/>
  <c r="L1225" i="4"/>
  <c r="L1254" i="4"/>
  <c r="L927" i="4"/>
  <c r="L1088" i="4"/>
  <c r="L1152" i="4"/>
  <c r="L1187" i="4"/>
  <c r="L1090" i="4"/>
  <c r="L1167" i="4"/>
  <c r="L1162" i="4"/>
  <c r="L1255" i="4"/>
  <c r="L1031" i="4"/>
  <c r="L941" i="4"/>
  <c r="L1145" i="4"/>
  <c r="L948" i="4"/>
  <c r="L1224" i="4"/>
  <c r="L1257" i="4"/>
  <c r="L1258" i="4"/>
  <c r="L1194" i="4"/>
  <c r="L1216" i="4"/>
  <c r="L938" i="4"/>
  <c r="L1137" i="4"/>
  <c r="L1229" i="4"/>
  <c r="L1232" i="4"/>
  <c r="L956" i="4"/>
  <c r="L1182" i="4"/>
  <c r="L1166" i="4"/>
  <c r="L1124" i="4"/>
  <c r="L1209" i="4"/>
  <c r="L1207" i="4"/>
  <c r="L1218" i="4"/>
  <c r="L1149" i="4"/>
  <c r="L1156" i="4"/>
  <c r="L1204" i="4"/>
  <c r="L1241" i="4"/>
  <c r="L1178" i="4"/>
  <c r="L1215" i="4"/>
  <c r="L1260" i="4"/>
  <c r="L1197" i="4"/>
  <c r="L1085" i="4"/>
  <c r="L1205" i="4"/>
  <c r="L1221" i="4"/>
  <c r="L1143" i="4"/>
  <c r="L1135" i="4"/>
  <c r="L919" i="4"/>
  <c r="L1261" i="4"/>
  <c r="L1093" i="4"/>
  <c r="L1240" i="4"/>
  <c r="L1107" i="4"/>
  <c r="L1262" i="4"/>
  <c r="L1134" i="4"/>
  <c r="L1263" i="4"/>
  <c r="L1264" i="4"/>
  <c r="L1265" i="4"/>
  <c r="L1237" i="4"/>
  <c r="L1164" i="4"/>
  <c r="L1150" i="4"/>
  <c r="L1222" i="4"/>
  <c r="L1228" i="4"/>
  <c r="L1102" i="4"/>
  <c r="L1201" i="4"/>
  <c r="L1188" i="4"/>
  <c r="L1239" i="4"/>
  <c r="L1160" i="4"/>
  <c r="L1266" i="4"/>
  <c r="L1267" i="4"/>
  <c r="L1189" i="4"/>
  <c r="L1144" i="4"/>
  <c r="L1157" i="4"/>
  <c r="L1268" i="4"/>
  <c r="L992" i="4"/>
  <c r="L994" i="4"/>
  <c r="L1004" i="4"/>
  <c r="L1139" i="4"/>
  <c r="L1147" i="4"/>
  <c r="L1210" i="4"/>
  <c r="L1269" i="4"/>
  <c r="L1271" i="4"/>
  <c r="L1054" i="4"/>
  <c r="L1174" i="4"/>
  <c r="L1136" i="4"/>
  <c r="L1089" i="4"/>
  <c r="L1292" i="4"/>
  <c r="L1050" i="4"/>
  <c r="L1057" i="4"/>
  <c r="L1101" i="4"/>
  <c r="L985" i="4"/>
  <c r="L998" i="4"/>
  <c r="L1000" i="4"/>
  <c r="L1041" i="4"/>
  <c r="L1103" i="4"/>
  <c r="L1106" i="4"/>
  <c r="L1119" i="4"/>
  <c r="L1127" i="4"/>
  <c r="L1133" i="4"/>
  <c r="L1278" i="4"/>
  <c r="L1279" i="4"/>
  <c r="L1280" i="4"/>
  <c r="L1281" i="4"/>
  <c r="L1282" i="4"/>
  <c r="L1151" i="4"/>
  <c r="L1132" i="4"/>
  <c r="L1146" i="4"/>
  <c r="L963" i="4"/>
  <c r="L1176" i="4"/>
  <c r="L1159" i="4"/>
  <c r="L1283" i="4"/>
  <c r="L1199" i="4"/>
  <c r="L1171" i="4"/>
  <c r="L1284" i="4"/>
  <c r="L1172" i="4"/>
  <c r="L1186" i="4"/>
  <c r="L1184" i="4"/>
  <c r="L1161" i="4"/>
  <c r="L1285" i="4"/>
  <c r="L1117" i="4"/>
  <c r="L1049" i="4"/>
  <c r="L1291" i="4"/>
  <c r="L1219" i="4"/>
  <c r="L1110" i="4"/>
  <c r="L1113" i="4"/>
  <c r="L1018" i="4"/>
  <c r="L1170" i="4"/>
  <c r="L1153" i="4"/>
  <c r="L1286" i="4"/>
  <c r="L1287" i="4"/>
  <c r="L1200" i="4"/>
  <c r="L1195" i="4"/>
  <c r="L1226" i="4"/>
  <c r="L1288" i="4"/>
  <c r="L1122" i="4"/>
  <c r="L1158" i="4"/>
  <c r="L1165" i="4"/>
  <c r="L1198" i="4"/>
  <c r="L1064" i="4"/>
  <c r="L1123" i="4"/>
  <c r="L1045" i="4"/>
  <c r="L945" i="4"/>
  <c r="L974" i="4"/>
  <c r="L979" i="4"/>
  <c r="L990" i="4"/>
  <c r="L1002" i="4"/>
  <c r="L1047" i="4"/>
  <c r="L1062" i="4"/>
  <c r="L1071" i="4"/>
  <c r="L1092" i="4"/>
  <c r="L1095" i="4"/>
  <c r="L1097" i="4"/>
  <c r="L1099" i="4"/>
  <c r="L1275" i="4"/>
  <c r="L1289" i="4"/>
  <c r="L1294" i="4"/>
  <c r="L1109" i="4"/>
  <c r="L1066" i="4"/>
  <c r="L1140" i="4"/>
  <c r="L1155" i="4"/>
  <c r="L1169" i="4"/>
  <c r="L1180" i="4"/>
  <c r="L1191" i="4"/>
  <c r="L1196" i="4"/>
  <c r="L1212" i="4"/>
  <c r="L1220" i="4"/>
  <c r="L1235" i="4"/>
  <c r="L1242" i="4"/>
  <c r="L1272" i="4"/>
  <c r="L1274" i="4"/>
  <c r="L1177" i="4"/>
  <c r="L1296" i="4"/>
  <c r="L1163" i="4"/>
  <c r="L1183" i="4"/>
  <c r="L1295" i="4"/>
  <c r="L1208" i="4"/>
  <c r="L1236" i="4"/>
  <c r="L1086" i="4"/>
  <c r="L1233" i="4"/>
  <c r="L1230" i="4"/>
  <c r="L1244" i="4"/>
  <c r="L1053" i="4"/>
  <c r="L1231" i="4"/>
  <c r="L2522" i="4"/>
  <c r="L2523" i="4"/>
  <c r="L2524" i="4"/>
  <c r="L2232" i="4"/>
  <c r="L2441" i="4"/>
  <c r="L2236" i="4"/>
  <c r="L2239" i="4"/>
  <c r="L2526" i="4"/>
  <c r="L2278" i="4"/>
  <c r="L2388" i="4"/>
  <c r="L2391" i="4"/>
  <c r="L2399" i="4"/>
  <c r="L2294" i="4"/>
  <c r="L2467" i="4"/>
  <c r="L2514" i="4"/>
  <c r="L2492" i="4"/>
  <c r="L2416" i="4"/>
  <c r="L2430" i="4"/>
  <c r="L2431" i="4"/>
  <c r="L2527" i="4"/>
  <c r="L2411" i="4"/>
  <c r="L2405" i="4"/>
  <c r="L2490" i="4"/>
  <c r="L2498" i="4"/>
  <c r="L2505" i="4"/>
  <c r="L2559" i="4"/>
  <c r="L2443" i="4"/>
  <c r="L2228" i="4"/>
  <c r="L2528" i="4"/>
  <c r="L2428" i="4"/>
  <c r="L2397" i="4"/>
  <c r="L2378" i="4"/>
  <c r="L2418" i="4"/>
  <c r="L2552" i="4"/>
  <c r="L2218" i="4"/>
  <c r="L2516" i="4"/>
  <c r="L2470" i="4"/>
  <c r="L2497" i="4"/>
  <c r="L2480" i="4"/>
  <c r="L2496" i="4"/>
  <c r="L2501" i="4"/>
  <c r="L2427" i="4"/>
  <c r="L2463" i="4"/>
  <c r="L2458" i="4"/>
  <c r="L2529" i="4"/>
  <c r="L2423" i="4"/>
  <c r="L2530" i="4"/>
  <c r="L2553" i="4"/>
  <c r="L2436" i="4"/>
  <c r="L2387" i="4"/>
  <c r="L2403" i="4"/>
  <c r="L2406" i="4"/>
  <c r="L2409" i="4"/>
  <c r="L2525" i="4"/>
  <c r="L2532" i="4"/>
  <c r="L2533" i="4"/>
  <c r="L2534" i="4"/>
  <c r="L2426" i="4"/>
  <c r="L2437" i="4"/>
  <c r="L2323" i="4"/>
  <c r="L2442" i="4"/>
  <c r="L2494" i="4"/>
  <c r="L2227" i="4"/>
  <c r="L2432" i="4"/>
  <c r="L2275" i="4"/>
  <c r="L2281" i="4"/>
  <c r="L2372" i="4"/>
  <c r="L2535" i="4"/>
  <c r="L2385" i="4"/>
  <c r="L2536" i="4"/>
  <c r="L2517" i="4"/>
  <c r="L2537" i="4"/>
  <c r="L2444" i="4"/>
  <c r="L2484" i="4"/>
  <c r="L2508" i="4"/>
  <c r="L2511" i="4"/>
  <c r="L2499" i="4"/>
  <c r="L2446" i="4"/>
  <c r="L2449" i="4"/>
  <c r="L2265" i="4"/>
  <c r="L2538" i="4"/>
  <c r="L2267" i="4"/>
  <c r="L2539" i="4"/>
  <c r="L2540" i="4"/>
  <c r="L2340" i="4"/>
  <c r="L2343" i="4"/>
  <c r="L2355" i="4"/>
  <c r="L2299" i="4"/>
  <c r="L2358" i="4"/>
  <c r="L2542" i="4"/>
  <c r="L2543" i="4"/>
  <c r="L2417" i="4"/>
  <c r="L2544" i="4"/>
  <c r="L2401" i="4"/>
  <c r="L2545" i="4"/>
  <c r="L2392" i="4"/>
  <c r="L2488" i="4"/>
  <c r="L2461" i="4"/>
  <c r="L2396" i="4"/>
  <c r="L2422" i="4"/>
  <c r="L2546" i="4"/>
  <c r="L2433" i="4"/>
  <c r="L2547" i="4"/>
  <c r="L2520" i="4"/>
  <c r="L2429" i="4"/>
  <c r="L2408" i="4"/>
  <c r="L2420" i="4"/>
  <c r="L2548" i="4"/>
  <c r="L2451" i="4"/>
  <c r="L2450" i="4"/>
  <c r="L2448" i="4"/>
  <c r="L2502" i="4"/>
  <c r="L2482" i="4"/>
  <c r="L2503" i="4"/>
  <c r="L2549" i="4"/>
  <c r="L2453" i="4"/>
  <c r="L2415" i="4"/>
  <c r="L2412" i="4"/>
  <c r="L2407" i="4"/>
  <c r="L2550" i="4"/>
  <c r="L2551" i="4"/>
  <c r="L2474" i="4"/>
  <c r="L2475" i="4"/>
  <c r="L2469" i="4"/>
  <c r="L2394" i="4"/>
  <c r="L2357" i="4"/>
  <c r="L2300" i="4"/>
  <c r="L2245" i="4"/>
  <c r="L2455" i="4"/>
  <c r="L2347" i="4"/>
  <c r="L2350" i="4"/>
  <c r="L2352" i="4"/>
  <c r="L2510" i="4"/>
  <c r="L2541" i="4"/>
  <c r="L2555" i="4"/>
  <c r="L2344" i="4"/>
  <c r="L2360" i="4"/>
  <c r="L2362" i="4"/>
  <c r="L2368" i="4"/>
  <c r="L2556" i="4"/>
  <c r="L2393" i="4"/>
  <c r="L2395" i="4"/>
  <c r="L2440" i="4"/>
  <c r="L2468" i="4"/>
  <c r="L2504" i="4"/>
  <c r="L2402" i="4"/>
  <c r="L2366" i="4"/>
  <c r="L2495" i="4"/>
  <c r="L2557" i="4"/>
  <c r="L2364" i="4"/>
  <c r="L2389" i="4"/>
  <c r="L2425" i="4"/>
  <c r="L2435" i="4"/>
  <c r="L2478" i="4"/>
  <c r="L2485" i="4"/>
  <c r="L2491" i="4"/>
  <c r="L2456" i="4"/>
  <c r="L2464" i="4"/>
  <c r="L2410" i="4"/>
  <c r="L2481" i="4"/>
  <c r="L2489" i="4"/>
  <c r="L2452" i="4"/>
  <c r="L2419" i="4"/>
  <c r="L2462" i="4"/>
  <c r="L2224" i="4"/>
  <c r="L2460" i="4"/>
  <c r="L2512" i="4"/>
  <c r="L2513" i="4"/>
  <c r="L2471" i="4"/>
  <c r="L2519" i="4"/>
  <c r="L2558" i="4"/>
  <c r="L2473" i="4"/>
  <c r="L2483" i="4"/>
  <c r="L3687" i="4"/>
  <c r="L3688" i="4"/>
  <c r="L3689" i="4"/>
  <c r="L3664" i="4"/>
  <c r="L3554" i="4"/>
  <c r="L3610" i="4"/>
  <c r="L3578" i="4"/>
  <c r="L3690" i="4"/>
  <c r="L3544" i="4"/>
  <c r="L3553" i="4"/>
  <c r="L3572" i="4"/>
  <c r="L3558" i="4"/>
  <c r="L3611" i="4"/>
  <c r="L3632" i="4"/>
  <c r="L3624" i="4"/>
  <c r="L3580" i="4"/>
  <c r="L3550" i="4"/>
  <c r="L3609" i="4"/>
  <c r="L3552" i="4"/>
  <c r="L3691" i="4"/>
  <c r="L3605" i="4"/>
  <c r="L3593" i="4"/>
  <c r="L3556" i="4"/>
  <c r="L3646" i="4"/>
  <c r="L3640" i="4"/>
  <c r="L3655" i="4"/>
  <c r="L3627" i="4"/>
  <c r="L3602" i="4"/>
  <c r="L3692" i="4"/>
  <c r="L3596" i="4"/>
  <c r="L3594" i="4"/>
  <c r="L3604" i="4"/>
  <c r="L3586" i="4"/>
  <c r="L3575" i="4"/>
  <c r="L3595" i="4"/>
  <c r="L3686" i="4"/>
  <c r="L3577" i="4"/>
  <c r="L3668" i="4"/>
  <c r="L3662" i="4"/>
  <c r="L3647" i="4"/>
  <c r="L3666" i="4"/>
  <c r="L3650" i="4"/>
  <c r="L3677" i="4"/>
  <c r="L3658" i="4"/>
  <c r="L3635" i="4"/>
  <c r="L3660" i="4"/>
  <c r="L3638" i="4"/>
  <c r="L3693" i="4"/>
  <c r="L3629" i="4"/>
  <c r="L3694" i="4"/>
  <c r="L3561" i="4"/>
  <c r="L3591" i="4"/>
  <c r="L3598" i="4"/>
  <c r="L3590" i="4"/>
  <c r="L3564" i="4"/>
  <c r="L3545" i="4"/>
  <c r="L3645" i="4"/>
  <c r="L3695" i="4"/>
  <c r="L3696" i="4"/>
  <c r="L3697" i="4"/>
  <c r="L3618" i="4"/>
  <c r="L3623" i="4"/>
  <c r="L3674" i="4"/>
  <c r="L3579" i="4"/>
  <c r="L3682" i="4"/>
  <c r="L3672" i="4"/>
  <c r="L3565" i="4"/>
  <c r="L3582" i="4"/>
  <c r="L3626" i="4"/>
  <c r="L3563" i="4"/>
  <c r="L3698" i="4"/>
  <c r="L3631" i="4"/>
  <c r="L3699" i="4"/>
  <c r="L3673" i="4"/>
  <c r="L3700" i="4"/>
  <c r="L3619" i="4"/>
  <c r="L3636" i="4"/>
  <c r="L3637" i="4"/>
  <c r="L3603" i="4"/>
  <c r="L3625" i="4"/>
  <c r="L3587" i="4"/>
  <c r="L3589" i="4"/>
  <c r="L3562" i="4"/>
  <c r="L3701" i="4"/>
  <c r="L3607" i="4"/>
  <c r="L3702" i="4"/>
  <c r="L3665" i="4"/>
  <c r="L3459" i="4"/>
  <c r="L3497" i="4"/>
  <c r="L3506" i="4"/>
  <c r="L3588" i="4"/>
  <c r="L3509" i="4"/>
  <c r="L3703" i="4"/>
  <c r="L3704" i="4"/>
  <c r="L3568" i="4"/>
  <c r="L3705" i="4"/>
  <c r="L3584" i="4"/>
  <c r="L3706" i="4"/>
  <c r="L3573" i="4"/>
  <c r="L3661" i="4"/>
  <c r="L3612" i="4"/>
  <c r="L3707" i="4"/>
  <c r="L3599" i="4"/>
  <c r="L3708" i="4"/>
  <c r="L3571" i="4"/>
  <c r="L3557" i="4"/>
  <c r="L3551" i="4"/>
  <c r="L3628" i="4"/>
  <c r="L3567" i="4"/>
  <c r="L4337" i="4"/>
  <c r="L3709" i="4"/>
  <c r="L3710" i="4"/>
  <c r="L3633" i="4"/>
  <c r="L3482" i="4"/>
  <c r="L3639" i="4"/>
  <c r="L3484" i="4"/>
  <c r="L3485" i="4"/>
  <c r="L4335" i="4"/>
  <c r="L3592" i="4"/>
  <c r="L3560" i="4"/>
  <c r="L3601" i="4"/>
  <c r="L3559" i="4"/>
  <c r="L3600" i="4"/>
  <c r="L3711" i="4"/>
  <c r="L3597" i="4"/>
  <c r="L3581" i="4"/>
  <c r="L3644" i="4"/>
  <c r="L3669" i="4"/>
  <c r="L3570" i="4"/>
  <c r="L3566" i="4"/>
  <c r="L3585" i="4"/>
  <c r="L3634" i="4"/>
  <c r="L3583" i="4"/>
  <c r="L3616" i="4"/>
  <c r="L3712" i="4"/>
  <c r="L3659" i="4"/>
  <c r="L3654" i="4"/>
  <c r="L3713" i="4"/>
  <c r="L3546" i="4"/>
  <c r="L3511" i="4"/>
  <c r="L3513" i="4"/>
  <c r="L3519" i="4"/>
  <c r="L3679" i="4"/>
  <c r="L3524" i="4"/>
  <c r="L3543" i="4"/>
  <c r="L3663" i="4"/>
  <c r="L3621" i="4"/>
  <c r="L3670" i="4"/>
  <c r="L3680" i="4"/>
  <c r="L3517" i="4"/>
  <c r="L3652" i="4"/>
  <c r="L3515" i="4"/>
  <c r="L3521" i="4"/>
  <c r="L3576" i="4"/>
  <c r="L3613" i="4"/>
  <c r="L3643" i="4"/>
  <c r="L3649" i="4"/>
  <c r="L3641" i="4"/>
  <c r="L3608" i="4"/>
  <c r="L3620" i="4"/>
  <c r="L3569" i="4"/>
  <c r="L3714" i="4"/>
  <c r="L3667" i="4"/>
  <c r="L3656" i="4"/>
  <c r="L3617" i="4"/>
  <c r="L3622" i="4"/>
  <c r="L3684" i="4"/>
  <c r="L3675" i="4"/>
  <c r="L3715" i="4"/>
  <c r="L3671" i="4"/>
  <c r="L3676" i="4"/>
  <c r="L3683" i="4"/>
  <c r="L3716" i="4"/>
  <c r="L3717" i="4"/>
  <c r="L3681" i="4"/>
  <c r="L4867" i="4"/>
  <c r="L4868" i="4"/>
  <c r="L4869" i="4"/>
  <c r="L4564" i="4"/>
  <c r="L4749" i="4"/>
  <c r="L4566" i="4"/>
  <c r="L4573" i="4"/>
  <c r="L4616" i="4"/>
  <c r="L4621" i="4"/>
  <c r="L4730" i="4"/>
  <c r="L4625" i="4"/>
  <c r="L4729" i="4"/>
  <c r="L4656" i="4"/>
  <c r="L4666" i="4"/>
  <c r="L4710" i="4"/>
  <c r="L4805" i="4"/>
  <c r="L4732" i="4"/>
  <c r="L4804" i="4"/>
  <c r="L4760" i="4"/>
  <c r="L4765" i="4"/>
  <c r="L4784" i="4"/>
  <c r="L4797" i="4"/>
  <c r="L4802" i="4"/>
  <c r="L4810" i="4"/>
  <c r="L4815" i="4"/>
  <c r="L4893" i="4"/>
  <c r="L4817" i="4"/>
  <c r="L4563" i="4"/>
  <c r="L4871" i="4"/>
  <c r="L4606" i="4"/>
  <c r="L4651" i="4"/>
  <c r="L4741" i="4"/>
  <c r="L4757" i="4"/>
  <c r="L4877" i="4"/>
  <c r="L4837" i="4"/>
  <c r="L4851" i="4"/>
  <c r="L4779" i="4"/>
  <c r="L4857" i="4"/>
  <c r="L4560" i="4"/>
  <c r="L4872" i="4"/>
  <c r="L4561" i="4"/>
  <c r="L4798" i="4"/>
  <c r="L4836" i="4"/>
  <c r="L4873" i="4"/>
  <c r="L4874" i="4"/>
  <c r="L4863" i="4"/>
  <c r="L4865" i="4"/>
  <c r="L4743" i="4"/>
  <c r="L4659" i="4"/>
  <c r="L4704" i="4"/>
  <c r="L4734" i="4"/>
  <c r="L4738" i="4"/>
  <c r="L4750" i="4"/>
  <c r="L4860" i="4"/>
  <c r="L4875" i="4"/>
  <c r="L4876" i="4"/>
  <c r="L4610" i="4"/>
  <c r="L4747" i="4"/>
  <c r="L4772" i="4"/>
  <c r="L4661" i="4"/>
  <c r="L4764" i="4"/>
  <c r="L4771" i="4"/>
  <c r="L4559" i="4"/>
  <c r="L4602" i="4"/>
  <c r="L4614" i="4"/>
  <c r="L4799" i="4"/>
  <c r="L4663" i="4"/>
  <c r="L4878" i="4"/>
  <c r="L4668" i="4"/>
  <c r="L4879" i="4"/>
  <c r="L4862" i="4"/>
  <c r="L4768" i="4"/>
  <c r="L4827" i="4"/>
  <c r="L4577" i="4"/>
  <c r="L4816" i="4"/>
  <c r="L4841" i="4"/>
  <c r="L4880" i="4"/>
  <c r="L4769" i="4"/>
  <c r="L4803" i="4"/>
  <c r="L4593" i="4"/>
  <c r="L4600" i="4"/>
  <c r="L4791" i="4"/>
  <c r="L4882" i="4"/>
  <c r="L4812" i="4"/>
  <c r="L4674" i="4"/>
  <c r="L4677" i="4"/>
  <c r="L4684" i="4"/>
  <c r="L4636" i="4"/>
  <c r="L4687" i="4"/>
  <c r="L4883" i="4"/>
  <c r="L4748" i="4"/>
  <c r="L4858" i="4"/>
  <c r="L4773" i="4"/>
  <c r="L4884" i="4"/>
  <c r="L4752" i="4"/>
  <c r="L4850" i="4"/>
  <c r="L4761" i="4"/>
  <c r="L4778" i="4"/>
  <c r="L4751" i="4"/>
  <c r="L4853" i="4"/>
  <c r="L4754" i="4"/>
  <c r="L4731" i="4"/>
  <c r="L4745" i="4"/>
  <c r="L4759" i="4"/>
  <c r="L4788" i="4"/>
  <c r="L4885" i="4"/>
  <c r="L4823" i="4"/>
  <c r="L4758" i="4"/>
  <c r="L4790" i="4"/>
  <c r="L4820" i="4"/>
  <c r="L4830" i="4"/>
  <c r="L4832" i="4"/>
  <c r="L4811" i="4"/>
  <c r="L4834" i="4"/>
  <c r="L4746" i="4"/>
  <c r="L4770" i="4"/>
  <c r="L4886" i="4"/>
  <c r="L4807" i="4"/>
  <c r="L4856" i="4"/>
  <c r="L4887" i="4"/>
  <c r="L4888" i="4"/>
  <c r="L4822" i="4"/>
  <c r="L4814" i="4"/>
  <c r="L4718" i="4"/>
  <c r="L4762" i="4"/>
  <c r="L4630" i="4"/>
  <c r="L4574" i="4"/>
  <c r="L4744" i="4"/>
  <c r="L4705" i="4"/>
  <c r="L4724" i="4"/>
  <c r="L4889" i="4"/>
  <c r="L4890" i="4"/>
  <c r="L4808" i="4"/>
  <c r="L4891" i="4"/>
  <c r="L4650" i="4"/>
  <c r="L4690" i="4"/>
  <c r="L4694" i="4"/>
  <c r="L4698" i="4"/>
  <c r="L4701" i="4"/>
  <c r="L4722" i="4"/>
  <c r="L4723" i="4"/>
  <c r="L4824" i="4"/>
  <c r="L4774" i="4"/>
  <c r="L4835" i="4"/>
  <c r="L4855" i="4"/>
  <c r="L4735" i="4"/>
  <c r="L4828" i="4"/>
  <c r="L4846" i="4"/>
  <c r="L4700" i="4"/>
  <c r="L4740" i="4"/>
  <c r="L4767" i="4"/>
  <c r="L4781" i="4"/>
  <c r="L4806" i="4"/>
  <c r="L4829" i="4"/>
  <c r="L4892" i="4"/>
  <c r="L4782" i="4"/>
  <c r="L4783" i="4"/>
  <c r="L4785" i="4"/>
  <c r="L4777" i="4"/>
  <c r="L4800" i="4"/>
  <c r="L4796" i="4"/>
  <c r="L4736" i="4"/>
  <c r="L4742" i="4"/>
  <c r="L4864" i="4"/>
  <c r="L4839" i="4"/>
  <c r="L4843" i="4"/>
  <c r="L4861" i="4"/>
  <c r="L4849" i="4"/>
  <c r="L4793" i="4"/>
  <c r="L4848" i="4"/>
  <c r="L4794" i="4"/>
  <c r="L4795" i="4"/>
  <c r="L14" i="4"/>
  <c r="L16" i="4"/>
  <c r="L86" i="4"/>
  <c r="L217" i="4"/>
  <c r="L709" i="4"/>
  <c r="L712" i="4"/>
  <c r="L855" i="4"/>
  <c r="L888" i="4"/>
  <c r="L49" i="4"/>
  <c r="L89" i="4"/>
  <c r="L96" i="4"/>
  <c r="L99" i="4"/>
  <c r="L101" i="4"/>
  <c r="L202" i="4"/>
  <c r="L205" i="4"/>
  <c r="L207" i="4"/>
  <c r="L210" i="4"/>
  <c r="L228" i="4"/>
  <c r="L243" i="4"/>
  <c r="L283" i="4"/>
  <c r="L298" i="4"/>
  <c r="L302" i="4"/>
  <c r="L326" i="4"/>
  <c r="L464" i="4"/>
  <c r="L507" i="4"/>
  <c r="L614" i="4"/>
  <c r="L722" i="4"/>
  <c r="L752" i="4"/>
  <c r="L903" i="4"/>
  <c r="L199" i="4"/>
  <c r="L392" i="4"/>
  <c r="L429" i="4"/>
  <c r="L435" i="4"/>
  <c r="L52" i="4"/>
  <c r="L179" i="4"/>
  <c r="L224" i="4"/>
  <c r="L248" i="4"/>
  <c r="L253" i="4"/>
  <c r="L350" i="4"/>
  <c r="L739" i="4"/>
  <c r="L860" i="4"/>
  <c r="L886" i="4"/>
  <c r="L892" i="4"/>
  <c r="L3" i="4"/>
  <c r="L12" i="4"/>
  <c r="L28" i="4"/>
  <c r="L31" i="4"/>
  <c r="L36" i="4"/>
  <c r="L38" i="4"/>
  <c r="L42" i="4"/>
  <c r="L45" i="4"/>
  <c r="L93" i="4"/>
  <c r="L110" i="4"/>
  <c r="L258" i="4"/>
  <c r="L353" i="4"/>
  <c r="L395" i="4"/>
  <c r="L398" i="4"/>
  <c r="L422" i="4"/>
  <c r="L425" i="4"/>
  <c r="L449" i="4"/>
  <c r="L451" i="4"/>
  <c r="L455" i="4"/>
  <c r="L863" i="4"/>
  <c r="L900" i="4"/>
  <c r="L232" i="4"/>
  <c r="L376" i="4"/>
  <c r="L104" i="4"/>
  <c r="L273" i="4"/>
  <c r="L335" i="4"/>
  <c r="L279" i="4"/>
  <c r="L510" i="4"/>
  <c r="L183" i="4"/>
  <c r="L186" i="4"/>
  <c r="L190" i="4"/>
  <c r="L236" i="4"/>
  <c r="L474" i="4"/>
  <c r="L537" i="4"/>
  <c r="L113" i="4"/>
  <c r="L25" i="4"/>
  <c r="L176" i="4"/>
  <c r="L195" i="4"/>
  <c r="L214" i="4"/>
  <c r="L240" i="4"/>
  <c r="L262" i="4"/>
  <c r="L265" i="4"/>
  <c r="L268" i="4"/>
  <c r="L306" i="4"/>
  <c r="L529" i="4"/>
  <c r="L82" i="4"/>
  <c r="L157" i="4"/>
  <c r="L116" i="4"/>
  <c r="L120" i="4"/>
  <c r="L124" i="4"/>
  <c r="L138" i="4"/>
  <c r="L142" i="4"/>
  <c r="L165" i="4"/>
  <c r="L169" i="4"/>
  <c r="L173" i="4"/>
  <c r="L55" i="4"/>
  <c r="L58" i="4"/>
  <c r="L61" i="4"/>
  <c r="L65" i="4"/>
  <c r="L68" i="4"/>
  <c r="L71" i="4"/>
  <c r="L76" i="4"/>
  <c r="L79" i="4"/>
  <c r="L131" i="4"/>
  <c r="L154" i="4"/>
  <c r="L5" i="4"/>
  <c r="L33" i="4"/>
  <c r="L315" i="4"/>
  <c r="L150" i="4"/>
  <c r="L317" i="4"/>
  <c r="L318" i="4"/>
  <c r="L9" i="4"/>
  <c r="L257" i="4"/>
  <c r="L272" i="4"/>
  <c r="L320" i="4"/>
  <c r="L62" i="4"/>
  <c r="L91" i="4"/>
  <c r="L192" i="4"/>
  <c r="L146" i="4"/>
  <c r="L322" i="4"/>
  <c r="L323" i="4"/>
  <c r="L158" i="4"/>
  <c r="L324" i="4"/>
  <c r="L160" i="4"/>
  <c r="L782" i="4"/>
  <c r="L789" i="4"/>
  <c r="L800" i="4"/>
  <c r="L812" i="4"/>
  <c r="L833" i="4"/>
  <c r="L839" i="4"/>
  <c r="L851" i="4"/>
  <c r="L296" i="4"/>
  <c r="L75" i="4"/>
  <c r="L330" i="4"/>
  <c r="L223" i="4"/>
  <c r="L254" i="4"/>
  <c r="L163" i="4"/>
  <c r="L171" i="4"/>
  <c r="L193" i="4"/>
  <c r="L212" i="4"/>
  <c r="L275" i="4"/>
  <c r="L229" i="4"/>
  <c r="L237" i="4"/>
  <c r="L250" i="4"/>
  <c r="L168" i="4"/>
  <c r="L274" i="4"/>
  <c r="L314" i="4"/>
  <c r="L321" i="4"/>
  <c r="L316" i="4"/>
  <c r="L563" i="4"/>
  <c r="L287" i="4"/>
  <c r="L290" i="4"/>
  <c r="L21" i="4"/>
  <c r="L626" i="4"/>
  <c r="L637" i="4"/>
  <c r="L668" i="4"/>
  <c r="L680" i="4"/>
  <c r="L683" i="4"/>
  <c r="L703" i="4"/>
  <c r="L706" i="4"/>
  <c r="N2033" i="4"/>
  <c r="N2045" i="4"/>
  <c r="N2046" i="4"/>
  <c r="N2047" i="4"/>
  <c r="N2030" i="4"/>
  <c r="N2041" i="4"/>
  <c r="N2043" i="4"/>
  <c r="N2040" i="4"/>
  <c r="N2039" i="4"/>
  <c r="N2036" i="4"/>
  <c r="N2035" i="4"/>
  <c r="N2038" i="4"/>
  <c r="N2044" i="4"/>
  <c r="N2037" i="4"/>
  <c r="N2031" i="4"/>
  <c r="N2032" i="4"/>
  <c r="N2029" i="4"/>
  <c r="N2028" i="4"/>
  <c r="N2034" i="4"/>
  <c r="N2048" i="4"/>
  <c r="N2049" i="4"/>
  <c r="N2042" i="4"/>
  <c r="N2050" i="4"/>
  <c r="N2051" i="4"/>
  <c r="N2052" i="4"/>
  <c r="N1246" i="4"/>
  <c r="N1247" i="4"/>
  <c r="N1248" i="4"/>
  <c r="N1249" i="4"/>
  <c r="N1250" i="4"/>
  <c r="N1251" i="4"/>
  <c r="N1202" i="4"/>
  <c r="N1253" i="4"/>
  <c r="N1181" i="4"/>
  <c r="N1111" i="4"/>
  <c r="N1118" i="4"/>
  <c r="N1142" i="4"/>
  <c r="N1055" i="4"/>
  <c r="N1214" i="4"/>
  <c r="N1115" i="4"/>
  <c r="N1125" i="4"/>
  <c r="N1116" i="4"/>
  <c r="N1087" i="4"/>
  <c r="N1225" i="4"/>
  <c r="N1254" i="4"/>
  <c r="N927" i="4"/>
  <c r="N1088" i="4"/>
  <c r="N1152" i="4"/>
  <c r="N1187" i="4"/>
  <c r="N1090" i="4"/>
  <c r="N1167" i="4"/>
  <c r="N1162" i="4"/>
  <c r="N1255" i="4"/>
  <c r="N1031" i="4"/>
  <c r="N941" i="4"/>
  <c r="N1145" i="4"/>
  <c r="N948" i="4"/>
  <c r="N1224" i="4"/>
  <c r="N1257" i="4"/>
  <c r="N1258" i="4"/>
  <c r="N1194" i="4"/>
  <c r="N1216" i="4"/>
  <c r="N938" i="4"/>
  <c r="N1137" i="4"/>
  <c r="N1229" i="4"/>
  <c r="N1232" i="4"/>
  <c r="N956" i="4"/>
  <c r="N1182" i="4"/>
  <c r="N1166" i="4"/>
  <c r="N1124" i="4"/>
  <c r="N1209" i="4"/>
  <c r="N1207" i="4"/>
  <c r="N1218" i="4"/>
  <c r="N1149" i="4"/>
  <c r="N1156" i="4"/>
  <c r="N1204" i="4"/>
  <c r="N1241" i="4"/>
  <c r="N1178" i="4"/>
  <c r="N1215" i="4"/>
  <c r="N1260" i="4"/>
  <c r="N1197" i="4"/>
  <c r="N1085" i="4"/>
  <c r="N1205" i="4"/>
  <c r="N1221" i="4"/>
  <c r="N1143" i="4"/>
  <c r="N1135" i="4"/>
  <c r="N919" i="4"/>
  <c r="N1261" i="4"/>
  <c r="N1093" i="4"/>
  <c r="N1240" i="4"/>
  <c r="N1107" i="4"/>
  <c r="N1262" i="4"/>
  <c r="N1134" i="4"/>
  <c r="N1263" i="4"/>
  <c r="N1264" i="4"/>
  <c r="N1265" i="4"/>
  <c r="N1237" i="4"/>
  <c r="N1164" i="4"/>
  <c r="N1150" i="4"/>
  <c r="N1222" i="4"/>
  <c r="N1228" i="4"/>
  <c r="N1102" i="4"/>
  <c r="N1201" i="4"/>
  <c r="N1188" i="4"/>
  <c r="N1239" i="4"/>
  <c r="N1160" i="4"/>
  <c r="N1266" i="4"/>
  <c r="N1267" i="4"/>
  <c r="N1189" i="4"/>
  <c r="N1144" i="4"/>
  <c r="N1157" i="4"/>
  <c r="N1268" i="4"/>
  <c r="N992" i="4"/>
  <c r="N994" i="4"/>
  <c r="N1004" i="4"/>
  <c r="N1139" i="4"/>
  <c r="N1147" i="4"/>
  <c r="N1210" i="4"/>
  <c r="N1269" i="4"/>
  <c r="N1271" i="4"/>
  <c r="N1054" i="4"/>
  <c r="N1174" i="4"/>
  <c r="N1136" i="4"/>
  <c r="N1089" i="4"/>
  <c r="N1292" i="4"/>
  <c r="N1050" i="4"/>
  <c r="N1057" i="4"/>
  <c r="N1101" i="4"/>
  <c r="N985" i="4"/>
  <c r="N998" i="4"/>
  <c r="N1000" i="4"/>
  <c r="N1041" i="4"/>
  <c r="N1103" i="4"/>
  <c r="N1106" i="4"/>
  <c r="N1119" i="4"/>
  <c r="N1127" i="4"/>
  <c r="N1133" i="4"/>
  <c r="N1278" i="4"/>
  <c r="N1279" i="4"/>
  <c r="N1280" i="4"/>
  <c r="N1281" i="4"/>
  <c r="N1282" i="4"/>
  <c r="N1151" i="4"/>
  <c r="N1132" i="4"/>
  <c r="N1146" i="4"/>
  <c r="N963" i="4"/>
  <c r="N1176" i="4"/>
  <c r="N1159" i="4"/>
  <c r="N1283" i="4"/>
  <c r="N1199" i="4"/>
  <c r="N1171" i="4"/>
  <c r="N1284" i="4"/>
  <c r="N1172" i="4"/>
  <c r="N1186" i="4"/>
  <c r="N1184" i="4"/>
  <c r="N1161" i="4"/>
  <c r="N1285" i="4"/>
  <c r="N1117" i="4"/>
  <c r="N1049" i="4"/>
  <c r="N1291" i="4"/>
  <c r="N1219" i="4"/>
  <c r="N1110" i="4"/>
  <c r="N1113" i="4"/>
  <c r="N1018" i="4"/>
  <c r="N1170" i="4"/>
  <c r="N1153" i="4"/>
  <c r="N1286" i="4"/>
  <c r="N1287" i="4"/>
  <c r="N1200" i="4"/>
  <c r="N1195" i="4"/>
  <c r="N1226" i="4"/>
  <c r="N1288" i="4"/>
  <c r="N1122" i="4"/>
  <c r="N1158" i="4"/>
  <c r="N1165" i="4"/>
  <c r="N1198" i="4"/>
  <c r="N1064" i="4"/>
  <c r="N1123" i="4"/>
  <c r="N1045" i="4"/>
  <c r="N945" i="4"/>
  <c r="N974" i="4"/>
  <c r="N979" i="4"/>
  <c r="N990" i="4"/>
  <c r="N1002" i="4"/>
  <c r="N1047" i="4"/>
  <c r="N1062" i="4"/>
  <c r="N1071" i="4"/>
  <c r="N1092" i="4"/>
  <c r="N1095" i="4"/>
  <c r="N1097" i="4"/>
  <c r="N1099" i="4"/>
  <c r="N1275" i="4"/>
  <c r="N1289" i="4"/>
  <c r="N1294" i="4"/>
  <c r="N1109" i="4"/>
  <c r="N1066" i="4"/>
  <c r="N1140" i="4"/>
  <c r="N1155" i="4"/>
  <c r="N1169" i="4"/>
  <c r="N1180" i="4"/>
  <c r="N1191" i="4"/>
  <c r="N1196" i="4"/>
  <c r="N1212" i="4"/>
  <c r="N1220" i="4"/>
  <c r="N1235" i="4"/>
  <c r="N1242" i="4"/>
  <c r="N1272" i="4"/>
  <c r="N1274" i="4"/>
  <c r="N1177" i="4"/>
  <c r="N1296" i="4"/>
  <c r="N1163" i="4"/>
  <c r="N1183" i="4"/>
  <c r="N1295" i="4"/>
  <c r="N1208" i="4"/>
  <c r="N1236" i="4"/>
  <c r="N1086" i="4"/>
  <c r="N1233" i="4"/>
  <c r="N1230" i="4"/>
  <c r="N1244" i="4"/>
  <c r="N1053" i="4"/>
  <c r="N1231" i="4"/>
  <c r="N2522" i="4"/>
  <c r="N2523" i="4"/>
  <c r="N2524" i="4"/>
  <c r="N2232" i="4"/>
  <c r="N2441" i="4"/>
  <c r="N2236" i="4"/>
  <c r="N2239" i="4"/>
  <c r="N2526" i="4"/>
  <c r="N2278" i="4"/>
  <c r="N2388" i="4"/>
  <c r="N2391" i="4"/>
  <c r="N2399" i="4"/>
  <c r="N2294" i="4"/>
  <c r="N2467" i="4"/>
  <c r="N2514" i="4"/>
  <c r="N2492" i="4"/>
  <c r="N2416" i="4"/>
  <c r="N2430" i="4"/>
  <c r="N2431" i="4"/>
  <c r="N2527" i="4"/>
  <c r="N2411" i="4"/>
  <c r="N2405" i="4"/>
  <c r="N2490" i="4"/>
  <c r="N2498" i="4"/>
  <c r="N2505" i="4"/>
  <c r="N2559" i="4"/>
  <c r="N2443" i="4"/>
  <c r="N2228" i="4"/>
  <c r="N2528" i="4"/>
  <c r="N2428" i="4"/>
  <c r="N2397" i="4"/>
  <c r="N2378" i="4"/>
  <c r="N2418" i="4"/>
  <c r="N2552" i="4"/>
  <c r="N2218" i="4"/>
  <c r="N2516" i="4"/>
  <c r="N2470" i="4"/>
  <c r="N2497" i="4"/>
  <c r="N2480" i="4"/>
  <c r="N2496" i="4"/>
  <c r="N2501" i="4"/>
  <c r="N2427" i="4"/>
  <c r="N2463" i="4"/>
  <c r="N2458" i="4"/>
  <c r="N2529" i="4"/>
  <c r="N2423" i="4"/>
  <c r="N2530" i="4"/>
  <c r="N2553" i="4"/>
  <c r="N2436" i="4"/>
  <c r="N2387" i="4"/>
  <c r="N2403" i="4"/>
  <c r="N2406" i="4"/>
  <c r="N2409" i="4"/>
  <c r="N2525" i="4"/>
  <c r="N2532" i="4"/>
  <c r="N2533" i="4"/>
  <c r="N2534" i="4"/>
  <c r="N2426" i="4"/>
  <c r="N2437" i="4"/>
  <c r="N2323" i="4"/>
  <c r="N2442" i="4"/>
  <c r="N2494" i="4"/>
  <c r="N2227" i="4"/>
  <c r="N2432" i="4"/>
  <c r="N2275" i="4"/>
  <c r="N2281" i="4"/>
  <c r="N2372" i="4"/>
  <c r="N2535" i="4"/>
  <c r="N2385" i="4"/>
  <c r="N2536" i="4"/>
  <c r="N2517" i="4"/>
  <c r="N2537" i="4"/>
  <c r="N2444" i="4"/>
  <c r="N2484" i="4"/>
  <c r="N2508" i="4"/>
  <c r="N2511" i="4"/>
  <c r="N2499" i="4"/>
  <c r="N2446" i="4"/>
  <c r="N2449" i="4"/>
  <c r="N2265" i="4"/>
  <c r="N2538" i="4"/>
  <c r="N2267" i="4"/>
  <c r="N2539" i="4"/>
  <c r="N2540" i="4"/>
  <c r="N2340" i="4"/>
  <c r="N2343" i="4"/>
  <c r="N2355" i="4"/>
  <c r="N2299" i="4"/>
  <c r="N2358" i="4"/>
  <c r="N2542" i="4"/>
  <c r="N2543" i="4"/>
  <c r="N2417" i="4"/>
  <c r="N2544" i="4"/>
  <c r="N2401" i="4"/>
  <c r="N2545" i="4"/>
  <c r="N2392" i="4"/>
  <c r="N2488" i="4"/>
  <c r="N2461" i="4"/>
  <c r="N2396" i="4"/>
  <c r="N2422" i="4"/>
  <c r="N2546" i="4"/>
  <c r="N2433" i="4"/>
  <c r="N2547" i="4"/>
  <c r="N2520" i="4"/>
  <c r="N2429" i="4"/>
  <c r="N2408" i="4"/>
  <c r="N2420" i="4"/>
  <c r="N2548" i="4"/>
  <c r="N2451" i="4"/>
  <c r="N2450" i="4"/>
  <c r="N2448" i="4"/>
  <c r="N2502" i="4"/>
  <c r="N2482" i="4"/>
  <c r="N2503" i="4"/>
  <c r="N2549" i="4"/>
  <c r="N2453" i="4"/>
  <c r="N2415" i="4"/>
  <c r="N2412" i="4"/>
  <c r="N2407" i="4"/>
  <c r="N2550" i="4"/>
  <c r="N2551" i="4"/>
  <c r="N2474" i="4"/>
  <c r="N2475" i="4"/>
  <c r="N2469" i="4"/>
  <c r="N2394" i="4"/>
  <c r="N2357" i="4"/>
  <c r="N2300" i="4"/>
  <c r="N2245" i="4"/>
  <c r="N2455" i="4"/>
  <c r="N2347" i="4"/>
  <c r="N2350" i="4"/>
  <c r="N2352" i="4"/>
  <c r="N2510" i="4"/>
  <c r="N2541" i="4"/>
  <c r="N2555" i="4"/>
  <c r="N2344" i="4"/>
  <c r="N2360" i="4"/>
  <c r="N2362" i="4"/>
  <c r="N2368" i="4"/>
  <c r="N2556" i="4"/>
  <c r="N2393" i="4"/>
  <c r="N2395" i="4"/>
  <c r="N2440" i="4"/>
  <c r="N2468" i="4"/>
  <c r="N2504" i="4"/>
  <c r="N2402" i="4"/>
  <c r="N2366" i="4"/>
  <c r="N2495" i="4"/>
  <c r="N2557" i="4"/>
  <c r="N2364" i="4"/>
  <c r="N2389" i="4"/>
  <c r="N2425" i="4"/>
  <c r="N2435" i="4"/>
  <c r="N2478" i="4"/>
  <c r="N2485" i="4"/>
  <c r="N2491" i="4"/>
  <c r="N2456" i="4"/>
  <c r="N2464" i="4"/>
  <c r="N2410" i="4"/>
  <c r="N2481" i="4"/>
  <c r="N2489" i="4"/>
  <c r="N2452" i="4"/>
  <c r="N2419" i="4"/>
  <c r="N2462" i="4"/>
  <c r="N2224" i="4"/>
  <c r="N2460" i="4"/>
  <c r="N2512" i="4"/>
  <c r="N2513" i="4"/>
  <c r="N2471" i="4"/>
  <c r="N2519" i="4"/>
  <c r="N2558" i="4"/>
  <c r="N2473" i="4"/>
  <c r="N2483" i="4"/>
  <c r="N3687" i="4"/>
  <c r="N3688" i="4"/>
  <c r="N3689" i="4"/>
  <c r="N3664" i="4"/>
  <c r="N3554" i="4"/>
  <c r="N3610" i="4"/>
  <c r="N3578" i="4"/>
  <c r="N3690" i="4"/>
  <c r="N3544" i="4"/>
  <c r="N3553" i="4"/>
  <c r="N3572" i="4"/>
  <c r="N3558" i="4"/>
  <c r="N3611" i="4"/>
  <c r="N3632" i="4"/>
  <c r="N3624" i="4"/>
  <c r="N3580" i="4"/>
  <c r="N3550" i="4"/>
  <c r="N3609" i="4"/>
  <c r="N3552" i="4"/>
  <c r="N3691" i="4"/>
  <c r="N3605" i="4"/>
  <c r="N3593" i="4"/>
  <c r="N3556" i="4"/>
  <c r="N3646" i="4"/>
  <c r="N3640" i="4"/>
  <c r="N3655" i="4"/>
  <c r="N3627" i="4"/>
  <c r="N3602" i="4"/>
  <c r="N3692" i="4"/>
  <c r="N3596" i="4"/>
  <c r="N3594" i="4"/>
  <c r="N3604" i="4"/>
  <c r="N3586" i="4"/>
  <c r="N3575" i="4"/>
  <c r="N3595" i="4"/>
  <c r="N3686" i="4"/>
  <c r="N3577" i="4"/>
  <c r="N3668" i="4"/>
  <c r="N3662" i="4"/>
  <c r="N3647" i="4"/>
  <c r="N3666" i="4"/>
  <c r="N3650" i="4"/>
  <c r="N3677" i="4"/>
  <c r="N3658" i="4"/>
  <c r="N3635" i="4"/>
  <c r="N3660" i="4"/>
  <c r="N3638" i="4"/>
  <c r="N3693" i="4"/>
  <c r="N3629" i="4"/>
  <c r="N3694" i="4"/>
  <c r="N3561" i="4"/>
  <c r="N3591" i="4"/>
  <c r="N3598" i="4"/>
  <c r="N3590" i="4"/>
  <c r="N3564" i="4"/>
  <c r="N3545" i="4"/>
  <c r="N3645" i="4"/>
  <c r="N3695" i="4"/>
  <c r="N3696" i="4"/>
  <c r="N3697" i="4"/>
  <c r="N3618" i="4"/>
  <c r="N3623" i="4"/>
  <c r="N3674" i="4"/>
  <c r="N3579" i="4"/>
  <c r="N3682" i="4"/>
  <c r="N3672" i="4"/>
  <c r="N3565" i="4"/>
  <c r="N3582" i="4"/>
  <c r="N3626" i="4"/>
  <c r="N3563" i="4"/>
  <c r="N3698" i="4"/>
  <c r="N3631" i="4"/>
  <c r="N3699" i="4"/>
  <c r="N3673" i="4"/>
  <c r="N3700" i="4"/>
  <c r="N3619" i="4"/>
  <c r="N3636" i="4"/>
  <c r="N3637" i="4"/>
  <c r="N3603" i="4"/>
  <c r="N3625" i="4"/>
  <c r="N3587" i="4"/>
  <c r="N3589" i="4"/>
  <c r="N3562" i="4"/>
  <c r="N3701" i="4"/>
  <c r="N3607" i="4"/>
  <c r="N3702" i="4"/>
  <c r="N3665" i="4"/>
  <c r="N3459" i="4"/>
  <c r="N3497" i="4"/>
  <c r="N3506" i="4"/>
  <c r="N3588" i="4"/>
  <c r="N3509" i="4"/>
  <c r="N3703" i="4"/>
  <c r="N3704" i="4"/>
  <c r="N3568" i="4"/>
  <c r="N3705" i="4"/>
  <c r="N3584" i="4"/>
  <c r="N3706" i="4"/>
  <c r="N3573" i="4"/>
  <c r="N3661" i="4"/>
  <c r="N3612" i="4"/>
  <c r="N3707" i="4"/>
  <c r="N3599" i="4"/>
  <c r="N3708" i="4"/>
  <c r="N3571" i="4"/>
  <c r="N3557" i="4"/>
  <c r="N3551" i="4"/>
  <c r="N3628" i="4"/>
  <c r="N3567" i="4"/>
  <c r="N4337" i="4"/>
  <c r="N3709" i="4"/>
  <c r="N3710" i="4"/>
  <c r="N3633" i="4"/>
  <c r="N3482" i="4"/>
  <c r="N3639" i="4"/>
  <c r="N3484" i="4"/>
  <c r="N3485" i="4"/>
  <c r="N4335" i="4"/>
  <c r="N3592" i="4"/>
  <c r="N3560" i="4"/>
  <c r="N3601" i="4"/>
  <c r="N3559" i="4"/>
  <c r="N3600" i="4"/>
  <c r="N3711" i="4"/>
  <c r="N3597" i="4"/>
  <c r="N3581" i="4"/>
  <c r="N3644" i="4"/>
  <c r="N3669" i="4"/>
  <c r="N3570" i="4"/>
  <c r="N3566" i="4"/>
  <c r="N3585" i="4"/>
  <c r="N3634" i="4"/>
  <c r="N3583" i="4"/>
  <c r="N3616" i="4"/>
  <c r="N3712" i="4"/>
  <c r="N3659" i="4"/>
  <c r="N3654" i="4"/>
  <c r="N3713" i="4"/>
  <c r="N3546" i="4"/>
  <c r="N3511" i="4"/>
  <c r="N3513" i="4"/>
  <c r="N3519" i="4"/>
  <c r="N3679" i="4"/>
  <c r="N3524" i="4"/>
  <c r="N3543" i="4"/>
  <c r="N3663" i="4"/>
  <c r="N3621" i="4"/>
  <c r="N3670" i="4"/>
  <c r="N3680" i="4"/>
  <c r="N3517" i="4"/>
  <c r="N3652" i="4"/>
  <c r="N3515" i="4"/>
  <c r="N3521" i="4"/>
  <c r="N3576" i="4"/>
  <c r="N3613" i="4"/>
  <c r="N3643" i="4"/>
  <c r="N3649" i="4"/>
  <c r="N3641" i="4"/>
  <c r="N3608" i="4"/>
  <c r="N3620" i="4"/>
  <c r="N3569" i="4"/>
  <c r="N3714" i="4"/>
  <c r="N3667" i="4"/>
  <c r="N3656" i="4"/>
  <c r="N3617" i="4"/>
  <c r="N3622" i="4"/>
  <c r="N3684" i="4"/>
  <c r="N3675" i="4"/>
  <c r="N3715" i="4"/>
  <c r="N3671" i="4"/>
  <c r="N3676" i="4"/>
  <c r="N3683" i="4"/>
  <c r="N3716" i="4"/>
  <c r="N3717" i="4"/>
  <c r="N3681" i="4"/>
  <c r="N4867" i="4"/>
  <c r="N4868" i="4"/>
  <c r="N4869" i="4"/>
  <c r="N4564" i="4"/>
  <c r="N4749" i="4"/>
  <c r="N4566" i="4"/>
  <c r="N4573" i="4"/>
  <c r="N4616" i="4"/>
  <c r="N4621" i="4"/>
  <c r="N4730" i="4"/>
  <c r="N4625" i="4"/>
  <c r="N4729" i="4"/>
  <c r="N4656" i="4"/>
  <c r="N4666" i="4"/>
  <c r="N4710" i="4"/>
  <c r="N4805" i="4"/>
  <c r="N4732" i="4"/>
  <c r="N4804" i="4"/>
  <c r="N4760" i="4"/>
  <c r="N4765" i="4"/>
  <c r="N4784" i="4"/>
  <c r="N4797" i="4"/>
  <c r="N4802" i="4"/>
  <c r="N4810" i="4"/>
  <c r="N4815" i="4"/>
  <c r="N4893" i="4"/>
  <c r="N4817" i="4"/>
  <c r="N4563" i="4"/>
  <c r="N4871" i="4"/>
  <c r="N4606" i="4"/>
  <c r="N4651" i="4"/>
  <c r="N4741" i="4"/>
  <c r="N4757" i="4"/>
  <c r="N4877" i="4"/>
  <c r="N4837" i="4"/>
  <c r="N4851" i="4"/>
  <c r="N4779" i="4"/>
  <c r="N4857" i="4"/>
  <c r="N4560" i="4"/>
  <c r="N4872" i="4"/>
  <c r="N4561" i="4"/>
  <c r="N4798" i="4"/>
  <c r="N4836" i="4"/>
  <c r="N4873" i="4"/>
  <c r="N4874" i="4"/>
  <c r="N4863" i="4"/>
  <c r="N4865" i="4"/>
  <c r="N4743" i="4"/>
  <c r="N4659" i="4"/>
  <c r="N4704" i="4"/>
  <c r="N4734" i="4"/>
  <c r="N4738" i="4"/>
  <c r="N4750" i="4"/>
  <c r="N4860" i="4"/>
  <c r="N4875" i="4"/>
  <c r="N4876" i="4"/>
  <c r="N4610" i="4"/>
  <c r="N4747" i="4"/>
  <c r="N4772" i="4"/>
  <c r="N4661" i="4"/>
  <c r="N4764" i="4"/>
  <c r="N4771" i="4"/>
  <c r="N4559" i="4"/>
  <c r="N4602" i="4"/>
  <c r="N4614" i="4"/>
  <c r="N4799" i="4"/>
  <c r="N4663" i="4"/>
  <c r="N4878" i="4"/>
  <c r="N4668" i="4"/>
  <c r="N4879" i="4"/>
  <c r="N4862" i="4"/>
  <c r="N4768" i="4"/>
  <c r="N4827" i="4"/>
  <c r="N4577" i="4"/>
  <c r="N4816" i="4"/>
  <c r="N4841" i="4"/>
  <c r="N4880" i="4"/>
  <c r="N4769" i="4"/>
  <c r="N4803" i="4"/>
  <c r="N4593" i="4"/>
  <c r="N4600" i="4"/>
  <c r="N4791" i="4"/>
  <c r="N4882" i="4"/>
  <c r="N4812" i="4"/>
  <c r="N4674" i="4"/>
  <c r="N4677" i="4"/>
  <c r="N4684" i="4"/>
  <c r="N4636" i="4"/>
  <c r="N4687" i="4"/>
  <c r="N4883" i="4"/>
  <c r="N4748" i="4"/>
  <c r="N4858" i="4"/>
  <c r="N4773" i="4"/>
  <c r="N4884" i="4"/>
  <c r="N4752" i="4"/>
  <c r="N4850" i="4"/>
  <c r="N4761" i="4"/>
  <c r="N4778" i="4"/>
  <c r="N4751" i="4"/>
  <c r="N4853" i="4"/>
  <c r="N4754" i="4"/>
  <c r="N4731" i="4"/>
  <c r="N4745" i="4"/>
  <c r="N4759" i="4"/>
  <c r="N4788" i="4"/>
  <c r="N4885" i="4"/>
  <c r="N4823" i="4"/>
  <c r="N4758" i="4"/>
  <c r="N4790" i="4"/>
  <c r="N4820" i="4"/>
  <c r="N4830" i="4"/>
  <c r="N4832" i="4"/>
  <c r="N4811" i="4"/>
  <c r="N4834" i="4"/>
  <c r="N4746" i="4"/>
  <c r="N4770" i="4"/>
  <c r="N4886" i="4"/>
  <c r="N4807" i="4"/>
  <c r="N4856" i="4"/>
  <c r="N4887" i="4"/>
  <c r="N4888" i="4"/>
  <c r="N4822" i="4"/>
  <c r="N4814" i="4"/>
  <c r="N4718" i="4"/>
  <c r="N4762" i="4"/>
  <c r="N4630" i="4"/>
  <c r="N4574" i="4"/>
  <c r="N4744" i="4"/>
  <c r="N4705" i="4"/>
  <c r="N4724" i="4"/>
  <c r="N4889" i="4"/>
  <c r="N4890" i="4"/>
  <c r="N4808" i="4"/>
  <c r="N4891" i="4"/>
  <c r="N4650" i="4"/>
  <c r="N4690" i="4"/>
  <c r="N4694" i="4"/>
  <c r="N4698" i="4"/>
  <c r="N4701" i="4"/>
  <c r="N4722" i="4"/>
  <c r="N4723" i="4"/>
  <c r="N4824" i="4"/>
  <c r="N4774" i="4"/>
  <c r="N4835" i="4"/>
  <c r="N4855" i="4"/>
  <c r="N4735" i="4"/>
  <c r="N4828" i="4"/>
  <c r="N4846" i="4"/>
  <c r="N4700" i="4"/>
  <c r="N4740" i="4"/>
  <c r="N4767" i="4"/>
  <c r="N4781" i="4"/>
  <c r="N4806" i="4"/>
  <c r="N4829" i="4"/>
  <c r="N4892" i="4"/>
  <c r="N4782" i="4"/>
  <c r="N4783" i="4"/>
  <c r="N4785" i="4"/>
  <c r="N4777" i="4"/>
  <c r="N4800" i="4"/>
  <c r="N4796" i="4"/>
  <c r="N4736" i="4"/>
  <c r="N4742" i="4"/>
  <c r="N4864" i="4"/>
  <c r="N4839" i="4"/>
  <c r="N4843" i="4"/>
  <c r="N4861" i="4"/>
  <c r="N4849" i="4"/>
  <c r="N4793" i="4"/>
  <c r="N4848" i="4"/>
  <c r="N4794" i="4"/>
  <c r="N4795" i="4"/>
  <c r="N14" i="4"/>
  <c r="N16" i="4"/>
  <c r="N86" i="4"/>
  <c r="N217" i="4"/>
  <c r="N709" i="4"/>
  <c r="N712" i="4"/>
  <c r="N855" i="4"/>
  <c r="N888" i="4"/>
  <c r="N49" i="4"/>
  <c r="N89" i="4"/>
  <c r="N96" i="4"/>
  <c r="N99" i="4"/>
  <c r="N101" i="4"/>
  <c r="N202" i="4"/>
  <c r="N205" i="4"/>
  <c r="N207" i="4"/>
  <c r="N210" i="4"/>
  <c r="N228" i="4"/>
  <c r="N243" i="4"/>
  <c r="N283" i="4"/>
  <c r="N298" i="4"/>
  <c r="N302" i="4"/>
  <c r="N326" i="4"/>
  <c r="N464" i="4"/>
  <c r="N507" i="4"/>
  <c r="N614" i="4"/>
  <c r="N722" i="4"/>
  <c r="N752" i="4"/>
  <c r="N903" i="4"/>
  <c r="N199" i="4"/>
  <c r="N392" i="4"/>
  <c r="N429" i="4"/>
  <c r="N435" i="4"/>
  <c r="N52" i="4"/>
  <c r="N179" i="4"/>
  <c r="N224" i="4"/>
  <c r="N248" i="4"/>
  <c r="N253" i="4"/>
  <c r="N350" i="4"/>
  <c r="N739" i="4"/>
  <c r="N860" i="4"/>
  <c r="N886" i="4"/>
  <c r="N892" i="4"/>
  <c r="N3" i="4"/>
  <c r="N12" i="4"/>
  <c r="N28" i="4"/>
  <c r="N31" i="4"/>
  <c r="N36" i="4"/>
  <c r="N38" i="4"/>
  <c r="N42" i="4"/>
  <c r="N45" i="4"/>
  <c r="N93" i="4"/>
  <c r="N110" i="4"/>
  <c r="N258" i="4"/>
  <c r="N353" i="4"/>
  <c r="N395" i="4"/>
  <c r="N398" i="4"/>
  <c r="N422" i="4"/>
  <c r="N425" i="4"/>
  <c r="N449" i="4"/>
  <c r="N451" i="4"/>
  <c r="N455" i="4"/>
  <c r="N863" i="4"/>
  <c r="N896" i="4"/>
  <c r="N900" i="4"/>
  <c r="N232" i="4"/>
  <c r="N376" i="4"/>
  <c r="N104" i="4"/>
  <c r="N273" i="4"/>
  <c r="N335" i="4"/>
  <c r="N279" i="4"/>
  <c r="N510" i="4"/>
  <c r="N183" i="4"/>
  <c r="N186" i="4"/>
  <c r="N190" i="4"/>
  <c r="N236" i="4"/>
  <c r="N474" i="4"/>
  <c r="N537" i="4"/>
  <c r="N113" i="4"/>
  <c r="N25" i="4"/>
  <c r="N176" i="4"/>
  <c r="N195" i="4"/>
  <c r="N214" i="4"/>
  <c r="N240" i="4"/>
  <c r="N262" i="4"/>
  <c r="N265" i="4"/>
  <c r="N268" i="4"/>
  <c r="N306" i="4"/>
  <c r="N529" i="4"/>
  <c r="N82" i="4"/>
  <c r="N157" i="4"/>
  <c r="N116" i="4"/>
  <c r="N120" i="4"/>
  <c r="N124" i="4"/>
  <c r="N138" i="4"/>
  <c r="N142" i="4"/>
  <c r="N165" i="4"/>
  <c r="N169" i="4"/>
  <c r="N173" i="4"/>
  <c r="N55" i="4"/>
  <c r="N58" i="4"/>
  <c r="N61" i="4"/>
  <c r="N65" i="4"/>
  <c r="N68" i="4"/>
  <c r="N71" i="4"/>
  <c r="N76" i="4"/>
  <c r="N79" i="4"/>
  <c r="N131" i="4"/>
  <c r="N154" i="4"/>
  <c r="N5" i="4"/>
  <c r="N331" i="4"/>
  <c r="N33" i="4"/>
  <c r="N315" i="4"/>
  <c r="N150" i="4"/>
  <c r="N317" i="4"/>
  <c r="N318" i="4"/>
  <c r="N9" i="4"/>
  <c r="N257" i="4"/>
  <c r="N272" i="4"/>
  <c r="N320" i="4"/>
  <c r="N62" i="4"/>
  <c r="N91" i="4"/>
  <c r="N192" i="4"/>
  <c r="N146" i="4"/>
  <c r="N322" i="4"/>
  <c r="N323" i="4"/>
  <c r="N158" i="4"/>
  <c r="N324" i="4"/>
  <c r="N160" i="4"/>
  <c r="N782" i="4"/>
  <c r="N789" i="4"/>
  <c r="N800" i="4"/>
  <c r="N812" i="4"/>
  <c r="N833" i="4"/>
  <c r="N839" i="4"/>
  <c r="N851" i="4"/>
  <c r="N296" i="4"/>
  <c r="N75" i="4"/>
  <c r="N330" i="4"/>
  <c r="N223" i="4"/>
  <c r="N254" i="4"/>
  <c r="N163" i="4"/>
  <c r="N171" i="4"/>
  <c r="N193" i="4"/>
  <c r="N212" i="4"/>
  <c r="N275" i="4"/>
  <c r="N229" i="4"/>
  <c r="N237" i="4"/>
  <c r="N250" i="4"/>
  <c r="N168" i="4"/>
  <c r="N274" i="4"/>
  <c r="N314" i="4"/>
  <c r="N321" i="4"/>
  <c r="N316" i="4"/>
  <c r="N563" i="4"/>
  <c r="N287" i="4"/>
  <c r="N290" i="4"/>
  <c r="N21" i="4"/>
  <c r="N626" i="4"/>
  <c r="N637" i="4"/>
  <c r="N668" i="4"/>
  <c r="N680" i="4"/>
  <c r="N683" i="4"/>
  <c r="N703" i="4"/>
  <c r="N706" i="4"/>
  <c r="L4550" i="4"/>
  <c r="L4551" i="4"/>
  <c r="L4552" i="4"/>
  <c r="L4553" i="4"/>
  <c r="L4554" i="4"/>
  <c r="L4555" i="4"/>
  <c r="L4565" i="4"/>
  <c r="L4571" i="4"/>
  <c r="L4558" i="4"/>
  <c r="L4618" i="4"/>
  <c r="L4623" i="4"/>
  <c r="L4626" i="4"/>
  <c r="L4652" i="4"/>
  <c r="L4665" i="4"/>
  <c r="L4709" i="4"/>
  <c r="L4725" i="4"/>
  <c r="L4726" i="4"/>
  <c r="L4567" i="4"/>
  <c r="L4568" i="4"/>
  <c r="L4569" i="4"/>
  <c r="L4570" i="4"/>
  <c r="L4787" i="4"/>
  <c r="L4572" i="4"/>
  <c r="L4801" i="4"/>
  <c r="L4813" i="4"/>
  <c r="L4881" i="4"/>
  <c r="L4576" i="4"/>
  <c r="L4562" i="4"/>
  <c r="L4578" i="4"/>
  <c r="L4603" i="4"/>
  <c r="L4580" i="4"/>
  <c r="L4581" i="4"/>
  <c r="L4809" i="4"/>
  <c r="L4870" i="4"/>
  <c r="L4584" i="4"/>
  <c r="L4585" i="4"/>
  <c r="L4586" i="4"/>
  <c r="L4587" i="4"/>
  <c r="L4588" i="4"/>
  <c r="L4589" i="4"/>
  <c r="L4590" i="4"/>
  <c r="L4575" i="4"/>
  <c r="L4592" i="4"/>
  <c r="L4756" i="4"/>
  <c r="L4594" i="4"/>
  <c r="L4595" i="4"/>
  <c r="L4596" i="4"/>
  <c r="L4597" i="4"/>
  <c r="L4598" i="4"/>
  <c r="L4599" i="4"/>
  <c r="L4673" i="4"/>
  <c r="L4733" i="4"/>
  <c r="L4737" i="4"/>
  <c r="L4739" i="4"/>
  <c r="L4604" i="4"/>
  <c r="L4605" i="4"/>
  <c r="L4609" i="4"/>
  <c r="L4607" i="4"/>
  <c r="L4612" i="4"/>
  <c r="L4660" i="4"/>
  <c r="L4763" i="4"/>
  <c r="L4611" i="4"/>
  <c r="L4557" i="4"/>
  <c r="L4601" i="4"/>
  <c r="L4613" i="4"/>
  <c r="L4615" i="4"/>
  <c r="L4662" i="4"/>
  <c r="L4617" i="4"/>
  <c r="L4667" i="4"/>
  <c r="L4619" i="4"/>
  <c r="L4620" i="4"/>
  <c r="L4766" i="4"/>
  <c r="L4622" i="4"/>
  <c r="L4579" i="4"/>
  <c r="L4624" i="4"/>
  <c r="L4583" i="4"/>
  <c r="L4591" i="4"/>
  <c r="L4627" i="4"/>
  <c r="L4628" i="4"/>
  <c r="L4629" i="4"/>
  <c r="L4582" i="4"/>
  <c r="L4631" i="4"/>
  <c r="L4632" i="4"/>
  <c r="L4633" i="4"/>
  <c r="L4638" i="4"/>
  <c r="L4675" i="4"/>
  <c r="L4683" i="4"/>
  <c r="L4635" i="4"/>
  <c r="L4686" i="4"/>
  <c r="L4639" i="4"/>
  <c r="L4640" i="4"/>
  <c r="L4641" i="4"/>
  <c r="L4642" i="4"/>
  <c r="L4643" i="4"/>
  <c r="L4644" i="4"/>
  <c r="L4645" i="4"/>
  <c r="L4646" i="4"/>
  <c r="L4647" i="4"/>
  <c r="L4648" i="4"/>
  <c r="L4649" i="4"/>
  <c r="L4753" i="4"/>
  <c r="L4818" i="4"/>
  <c r="L4819" i="4"/>
  <c r="L4653" i="4"/>
  <c r="L4654" i="4"/>
  <c r="L4655" i="4"/>
  <c r="L4821" i="4"/>
  <c r="L4657" i="4"/>
  <c r="L4658" i="4"/>
  <c r="L4825" i="4"/>
  <c r="L4826" i="4"/>
  <c r="L4831" i="4"/>
  <c r="L4833" i="4"/>
  <c r="L4838" i="4"/>
  <c r="L4664" i="4"/>
  <c r="L4842" i="4"/>
  <c r="L4844" i="4"/>
  <c r="L4847" i="4"/>
  <c r="L4852" i="4"/>
  <c r="L4669" i="4"/>
  <c r="L4670" i="4"/>
  <c r="L4671" i="4"/>
  <c r="L4672" i="4"/>
  <c r="L4608" i="4"/>
  <c r="L4637" i="4"/>
  <c r="L4634" i="4"/>
  <c r="L4676" i="4"/>
  <c r="L4679" i="4"/>
  <c r="L4680" i="4"/>
  <c r="L4681" i="4"/>
  <c r="L4859" i="4"/>
  <c r="L4866" i="4"/>
  <c r="L4682" i="4"/>
  <c r="L4685" i="4"/>
  <c r="L4678" i="4"/>
  <c r="L4689" i="4"/>
  <c r="L4693" i="4"/>
  <c r="L4696" i="4"/>
  <c r="L4688" i="4"/>
  <c r="L4702" i="4"/>
  <c r="L4727" i="4"/>
  <c r="L4691" i="4"/>
  <c r="L4692" i="4"/>
  <c r="L4845" i="4"/>
  <c r="L4854" i="4"/>
  <c r="L4695" i="4"/>
  <c r="L4840" i="4"/>
  <c r="L4697" i="4"/>
  <c r="L4699" i="4"/>
  <c r="L4728" i="4"/>
  <c r="L4755" i="4"/>
  <c r="L4775" i="4"/>
  <c r="L4786" i="4"/>
  <c r="L4703" i="4"/>
  <c r="L4776" i="4"/>
  <c r="L4780" i="4"/>
  <c r="L4706" i="4"/>
  <c r="L4707" i="4"/>
  <c r="L4708" i="4"/>
  <c r="L4713" i="4"/>
  <c r="L4714" i="4"/>
  <c r="L4711" i="4"/>
  <c r="L4712" i="4"/>
  <c r="L4556" i="4"/>
  <c r="L4789" i="4"/>
  <c r="L4715" i="4"/>
  <c r="L4716" i="4"/>
  <c r="L4717" i="4"/>
  <c r="L4792" i="4"/>
  <c r="L4719" i="4"/>
  <c r="L4720" i="4"/>
  <c r="L4721" i="4"/>
  <c r="L2215" i="4"/>
  <c r="L2216" i="4"/>
  <c r="L2217" i="4"/>
  <c r="L2234" i="4"/>
  <c r="L2219" i="4"/>
  <c r="L2220" i="4"/>
  <c r="L2221" i="4"/>
  <c r="L2237" i="4"/>
  <c r="L2223" i="4"/>
  <c r="L2277" i="4"/>
  <c r="L2225" i="4"/>
  <c r="L2279" i="4"/>
  <c r="L2291" i="4"/>
  <c r="L2373" i="4"/>
  <c r="L2229" i="4"/>
  <c r="L2230" i="4"/>
  <c r="L2231" i="4"/>
  <c r="L2398" i="4"/>
  <c r="L2233" i="4"/>
  <c r="L2424" i="4"/>
  <c r="L2235" i="4"/>
  <c r="L2459" i="4"/>
  <c r="L2487" i="4"/>
  <c r="L2238" i="4"/>
  <c r="L2509" i="4"/>
  <c r="L2240" i="4"/>
  <c r="L2241" i="4"/>
  <c r="L2242" i="4"/>
  <c r="L2243" i="4"/>
  <c r="L2244" i="4"/>
  <c r="L2290" i="4"/>
  <c r="L2374" i="4"/>
  <c r="L2247" i="4"/>
  <c r="L2531" i="4"/>
  <c r="L2249" i="4"/>
  <c r="L2250" i="4"/>
  <c r="L2251" i="4"/>
  <c r="L2252" i="4"/>
  <c r="L2253" i="4"/>
  <c r="L2254" i="4"/>
  <c r="L2255" i="4"/>
  <c r="L2246" i="4"/>
  <c r="L2257" i="4"/>
  <c r="L2414" i="4"/>
  <c r="L2259" i="4"/>
  <c r="L2260" i="4"/>
  <c r="L2261" i="4"/>
  <c r="L2262" i="4"/>
  <c r="L2554" i="4"/>
  <c r="L2264" i="4"/>
  <c r="L2386" i="4"/>
  <c r="L2266" i="4"/>
  <c r="L2404" i="4"/>
  <c r="L2413" i="4"/>
  <c r="L2269" i="4"/>
  <c r="L2270" i="4"/>
  <c r="L2271" i="4"/>
  <c r="L2272" i="4"/>
  <c r="L2273" i="4"/>
  <c r="L2318" i="4"/>
  <c r="L2438" i="4"/>
  <c r="L2276" i="4"/>
  <c r="L2226" i="4"/>
  <c r="L2268" i="4"/>
  <c r="L2274" i="4"/>
  <c r="L2280" i="4"/>
  <c r="L2371" i="4"/>
  <c r="L2282" i="4"/>
  <c r="L2382" i="4"/>
  <c r="L2284" i="4"/>
  <c r="L2285" i="4"/>
  <c r="L2286" i="4"/>
  <c r="L2287" i="4"/>
  <c r="L2256" i="4"/>
  <c r="L2289" i="4"/>
  <c r="L2258" i="4"/>
  <c r="L2263" i="4"/>
  <c r="L2292" i="4"/>
  <c r="L2293" i="4"/>
  <c r="L2248" i="4"/>
  <c r="L2295" i="4"/>
  <c r="L2296" i="4"/>
  <c r="L2297" i="4"/>
  <c r="L2298" i="4"/>
  <c r="L2302" i="4"/>
  <c r="L2341" i="4"/>
  <c r="L2353" i="4"/>
  <c r="L2288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515" i="4"/>
  <c r="L2319" i="4"/>
  <c r="L2320" i="4"/>
  <c r="L2321" i="4"/>
  <c r="L2322" i="4"/>
  <c r="L2521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01" i="4"/>
  <c r="L2283" i="4"/>
  <c r="L2342" i="4"/>
  <c r="L2346" i="4"/>
  <c r="L2349" i="4"/>
  <c r="L2351" i="4"/>
  <c r="L2507" i="4"/>
  <c r="L2518" i="4"/>
  <c r="L2348" i="4"/>
  <c r="L2356" i="4"/>
  <c r="L2345" i="4"/>
  <c r="L2359" i="4"/>
  <c r="L2361" i="4"/>
  <c r="L2367" i="4"/>
  <c r="L2354" i="4"/>
  <c r="L2390" i="4"/>
  <c r="L2400" i="4"/>
  <c r="L2439" i="4"/>
  <c r="L2466" i="4"/>
  <c r="L2500" i="4"/>
  <c r="L2506" i="4"/>
  <c r="L2365" i="4"/>
  <c r="L2493" i="4"/>
  <c r="L2363" i="4"/>
  <c r="L2369" i="4"/>
  <c r="L2421" i="4"/>
  <c r="L2434" i="4"/>
  <c r="L2477" i="4"/>
  <c r="L2479" i="4"/>
  <c r="L2486" i="4"/>
  <c r="L2370" i="4"/>
  <c r="L2445" i="4"/>
  <c r="L2447" i="4"/>
  <c r="L2454" i="4"/>
  <c r="L2457" i="4"/>
  <c r="L2375" i="4"/>
  <c r="L2376" i="4"/>
  <c r="L2377" i="4"/>
  <c r="L2222" i="4"/>
  <c r="L2379" i="4"/>
  <c r="L2380" i="4"/>
  <c r="L2381" i="4"/>
  <c r="L2465" i="4"/>
  <c r="L2383" i="4"/>
  <c r="L2384" i="4"/>
  <c r="L2472" i="4"/>
  <c r="L2476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7" i="4"/>
  <c r="L3496" i="4"/>
  <c r="L3505" i="4"/>
  <c r="L3458" i="4"/>
  <c r="L3508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657" i="4"/>
  <c r="L3555" i="4"/>
  <c r="L3483" i="4"/>
  <c r="L3574" i="4"/>
  <c r="L4344" i="4"/>
  <c r="L3486" i="4"/>
  <c r="L3487" i="4"/>
  <c r="L3488" i="4"/>
  <c r="L3489" i="4"/>
  <c r="L3481" i="4"/>
  <c r="L3491" i="4"/>
  <c r="L3492" i="4"/>
  <c r="L3493" i="4"/>
  <c r="L3494" i="4"/>
  <c r="L3495" i="4"/>
  <c r="L3456" i="4"/>
  <c r="L3455" i="4"/>
  <c r="L3498" i="4"/>
  <c r="L3500" i="4"/>
  <c r="L3503" i="4"/>
  <c r="L3501" i="4"/>
  <c r="L3502" i="4"/>
  <c r="L3685" i="4"/>
  <c r="L3504" i="4"/>
  <c r="L3507" i="4"/>
  <c r="L3499" i="4"/>
  <c r="L3510" i="4"/>
  <c r="L3512" i="4"/>
  <c r="L3518" i="4"/>
  <c r="L3522" i="4"/>
  <c r="L3523" i="4"/>
  <c r="L3547" i="4"/>
  <c r="L3614" i="4"/>
  <c r="L3615" i="4"/>
  <c r="L3653" i="4"/>
  <c r="L3678" i="4"/>
  <c r="L3516" i="4"/>
  <c r="L3651" i="4"/>
  <c r="L3514" i="4"/>
  <c r="L3520" i="4"/>
  <c r="L3548" i="4"/>
  <c r="L3606" i="4"/>
  <c r="L3630" i="4"/>
  <c r="L3648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N4550" i="4"/>
  <c r="N4551" i="4"/>
  <c r="N4552" i="4"/>
  <c r="N4553" i="4"/>
  <c r="N4554" i="4"/>
  <c r="N4555" i="4"/>
  <c r="N4565" i="4"/>
  <c r="N4571" i="4"/>
  <c r="N4558" i="4"/>
  <c r="N4618" i="4"/>
  <c r="N4623" i="4"/>
  <c r="N4626" i="4"/>
  <c r="N4652" i="4"/>
  <c r="N4665" i="4"/>
  <c r="N4709" i="4"/>
  <c r="N4725" i="4"/>
  <c r="N4726" i="4"/>
  <c r="N4567" i="4"/>
  <c r="N4568" i="4"/>
  <c r="N4569" i="4"/>
  <c r="N4570" i="4"/>
  <c r="N4787" i="4"/>
  <c r="N4572" i="4"/>
  <c r="N4801" i="4"/>
  <c r="N4813" i="4"/>
  <c r="N4881" i="4"/>
  <c r="N4576" i="4"/>
  <c r="N4562" i="4"/>
  <c r="N4578" i="4"/>
  <c r="N4603" i="4"/>
  <c r="N4580" i="4"/>
  <c r="N4581" i="4"/>
  <c r="N4809" i="4"/>
  <c r="N4870" i="4"/>
  <c r="N4584" i="4"/>
  <c r="N4585" i="4"/>
  <c r="N4586" i="4"/>
  <c r="N4587" i="4"/>
  <c r="N4588" i="4"/>
  <c r="N4589" i="4"/>
  <c r="N4590" i="4"/>
  <c r="N4575" i="4"/>
  <c r="N4592" i="4"/>
  <c r="N4756" i="4"/>
  <c r="N4594" i="4"/>
  <c r="N4595" i="4"/>
  <c r="N4596" i="4"/>
  <c r="N4597" i="4"/>
  <c r="N4598" i="4"/>
  <c r="N4599" i="4"/>
  <c r="N4673" i="4"/>
  <c r="N4733" i="4"/>
  <c r="N4737" i="4"/>
  <c r="N4739" i="4"/>
  <c r="N4604" i="4"/>
  <c r="N4605" i="4"/>
  <c r="N4609" i="4"/>
  <c r="N4607" i="4"/>
  <c r="N4612" i="4"/>
  <c r="N4660" i="4"/>
  <c r="N4763" i="4"/>
  <c r="N4611" i="4"/>
  <c r="N4557" i="4"/>
  <c r="N4601" i="4"/>
  <c r="N4613" i="4"/>
  <c r="N4615" i="4"/>
  <c r="N4662" i="4"/>
  <c r="N4617" i="4"/>
  <c r="N4667" i="4"/>
  <c r="N4619" i="4"/>
  <c r="N4620" i="4"/>
  <c r="N4766" i="4"/>
  <c r="N4622" i="4"/>
  <c r="N4579" i="4"/>
  <c r="N4624" i="4"/>
  <c r="N4583" i="4"/>
  <c r="N4591" i="4"/>
  <c r="N4627" i="4"/>
  <c r="N4628" i="4"/>
  <c r="N4629" i="4"/>
  <c r="N4582" i="4"/>
  <c r="N4631" i="4"/>
  <c r="N4632" i="4"/>
  <c r="N4633" i="4"/>
  <c r="N4638" i="4"/>
  <c r="N4675" i="4"/>
  <c r="N4683" i="4"/>
  <c r="N4635" i="4"/>
  <c r="N4686" i="4"/>
  <c r="N4639" i="4"/>
  <c r="N4640" i="4"/>
  <c r="N4641" i="4"/>
  <c r="N4642" i="4"/>
  <c r="N4643" i="4"/>
  <c r="N4644" i="4"/>
  <c r="N4645" i="4"/>
  <c r="N4646" i="4"/>
  <c r="N4647" i="4"/>
  <c r="N4648" i="4"/>
  <c r="N4649" i="4"/>
  <c r="N4753" i="4"/>
  <c r="N4818" i="4"/>
  <c r="N4819" i="4"/>
  <c r="N4653" i="4"/>
  <c r="N4654" i="4"/>
  <c r="N4655" i="4"/>
  <c r="N4821" i="4"/>
  <c r="N4657" i="4"/>
  <c r="N4658" i="4"/>
  <c r="N4825" i="4"/>
  <c r="N4826" i="4"/>
  <c r="N4831" i="4"/>
  <c r="N4833" i="4"/>
  <c r="N4838" i="4"/>
  <c r="N4664" i="4"/>
  <c r="N4842" i="4"/>
  <c r="N4844" i="4"/>
  <c r="N4847" i="4"/>
  <c r="N4852" i="4"/>
  <c r="N4669" i="4"/>
  <c r="N4670" i="4"/>
  <c r="N4671" i="4"/>
  <c r="N4672" i="4"/>
  <c r="N4608" i="4"/>
  <c r="N4637" i="4"/>
  <c r="N4634" i="4"/>
  <c r="N4676" i="4"/>
  <c r="N4679" i="4"/>
  <c r="N4680" i="4"/>
  <c r="N4681" i="4"/>
  <c r="N4859" i="4"/>
  <c r="N4866" i="4"/>
  <c r="N4682" i="4"/>
  <c r="N4685" i="4"/>
  <c r="N4678" i="4"/>
  <c r="N4689" i="4"/>
  <c r="N4693" i="4"/>
  <c r="N4696" i="4"/>
  <c r="N4688" i="4"/>
  <c r="N4702" i="4"/>
  <c r="N4727" i="4"/>
  <c r="N4691" i="4"/>
  <c r="N4692" i="4"/>
  <c r="N4845" i="4"/>
  <c r="N4854" i="4"/>
  <c r="N4695" i="4"/>
  <c r="N4840" i="4"/>
  <c r="N4697" i="4"/>
  <c r="N4699" i="4"/>
  <c r="N4728" i="4"/>
  <c r="N4755" i="4"/>
  <c r="N4775" i="4"/>
  <c r="N4786" i="4"/>
  <c r="N4703" i="4"/>
  <c r="N4776" i="4"/>
  <c r="N4780" i="4"/>
  <c r="N4706" i="4"/>
  <c r="N4707" i="4"/>
  <c r="N4708" i="4"/>
  <c r="N4713" i="4"/>
  <c r="N4714" i="4"/>
  <c r="N4711" i="4"/>
  <c r="N4712" i="4"/>
  <c r="N4556" i="4"/>
  <c r="N4789" i="4"/>
  <c r="N4715" i="4"/>
  <c r="N4716" i="4"/>
  <c r="N4717" i="4"/>
  <c r="N4792" i="4"/>
  <c r="N4719" i="4"/>
  <c r="N4720" i="4"/>
  <c r="N4721" i="4"/>
  <c r="N2215" i="4"/>
  <c r="N2216" i="4"/>
  <c r="N2217" i="4"/>
  <c r="N2234" i="4"/>
  <c r="N2219" i="4"/>
  <c r="N2220" i="4"/>
  <c r="N2221" i="4"/>
  <c r="N2237" i="4"/>
  <c r="N2223" i="4"/>
  <c r="N2277" i="4"/>
  <c r="N2225" i="4"/>
  <c r="N2279" i="4"/>
  <c r="N2291" i="4"/>
  <c r="N2373" i="4"/>
  <c r="N2229" i="4"/>
  <c r="N2230" i="4"/>
  <c r="N2231" i="4"/>
  <c r="N2398" i="4"/>
  <c r="N2233" i="4"/>
  <c r="N2424" i="4"/>
  <c r="N2235" i="4"/>
  <c r="N2459" i="4"/>
  <c r="N2487" i="4"/>
  <c r="N2238" i="4"/>
  <c r="N2509" i="4"/>
  <c r="N2240" i="4"/>
  <c r="N2241" i="4"/>
  <c r="N2242" i="4"/>
  <c r="N2243" i="4"/>
  <c r="N2244" i="4"/>
  <c r="N2290" i="4"/>
  <c r="N2374" i="4"/>
  <c r="N2247" i="4"/>
  <c r="N2531" i="4"/>
  <c r="N2249" i="4"/>
  <c r="N2250" i="4"/>
  <c r="N2251" i="4"/>
  <c r="N2252" i="4"/>
  <c r="N2253" i="4"/>
  <c r="N2254" i="4"/>
  <c r="N2255" i="4"/>
  <c r="N2246" i="4"/>
  <c r="N2257" i="4"/>
  <c r="N2414" i="4"/>
  <c r="N2259" i="4"/>
  <c r="N2260" i="4"/>
  <c r="N2261" i="4"/>
  <c r="N2262" i="4"/>
  <c r="N2554" i="4"/>
  <c r="N2264" i="4"/>
  <c r="N2386" i="4"/>
  <c r="N2266" i="4"/>
  <c r="N2404" i="4"/>
  <c r="N2413" i="4"/>
  <c r="N2269" i="4"/>
  <c r="N2270" i="4"/>
  <c r="N2271" i="4"/>
  <c r="N2272" i="4"/>
  <c r="N2273" i="4"/>
  <c r="N2318" i="4"/>
  <c r="N2438" i="4"/>
  <c r="N2276" i="4"/>
  <c r="N2226" i="4"/>
  <c r="N2268" i="4"/>
  <c r="N2274" i="4"/>
  <c r="N2280" i="4"/>
  <c r="N2371" i="4"/>
  <c r="N2282" i="4"/>
  <c r="N2382" i="4"/>
  <c r="N2284" i="4"/>
  <c r="N2285" i="4"/>
  <c r="N2286" i="4"/>
  <c r="N2287" i="4"/>
  <c r="N2256" i="4"/>
  <c r="N2289" i="4"/>
  <c r="N2258" i="4"/>
  <c r="N2263" i="4"/>
  <c r="N2292" i="4"/>
  <c r="N2293" i="4"/>
  <c r="N2248" i="4"/>
  <c r="N2295" i="4"/>
  <c r="N2296" i="4"/>
  <c r="N2297" i="4"/>
  <c r="N2298" i="4"/>
  <c r="N2302" i="4"/>
  <c r="N2341" i="4"/>
  <c r="N2353" i="4"/>
  <c r="N2288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515" i="4"/>
  <c r="N2319" i="4"/>
  <c r="N2320" i="4"/>
  <c r="N2321" i="4"/>
  <c r="N2322" i="4"/>
  <c r="N2521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01" i="4"/>
  <c r="N2283" i="4"/>
  <c r="N2342" i="4"/>
  <c r="N2346" i="4"/>
  <c r="N2349" i="4"/>
  <c r="N2351" i="4"/>
  <c r="N2507" i="4"/>
  <c r="N2518" i="4"/>
  <c r="N2348" i="4"/>
  <c r="N2356" i="4"/>
  <c r="N2345" i="4"/>
  <c r="N2359" i="4"/>
  <c r="N2361" i="4"/>
  <c r="N2367" i="4"/>
  <c r="N2354" i="4"/>
  <c r="N2390" i="4"/>
  <c r="N2400" i="4"/>
  <c r="N2439" i="4"/>
  <c r="N2466" i="4"/>
  <c r="N2500" i="4"/>
  <c r="N2506" i="4"/>
  <c r="N2365" i="4"/>
  <c r="N2493" i="4"/>
  <c r="N2363" i="4"/>
  <c r="N2369" i="4"/>
  <c r="N2421" i="4"/>
  <c r="N2434" i="4"/>
  <c r="N2477" i="4"/>
  <c r="N2479" i="4"/>
  <c r="N2486" i="4"/>
  <c r="N2370" i="4"/>
  <c r="N2445" i="4"/>
  <c r="N2447" i="4"/>
  <c r="N2454" i="4"/>
  <c r="N2457" i="4"/>
  <c r="N2375" i="4"/>
  <c r="N2376" i="4"/>
  <c r="N2377" i="4"/>
  <c r="N2222" i="4"/>
  <c r="N2379" i="4"/>
  <c r="N2380" i="4"/>
  <c r="N2381" i="4"/>
  <c r="N2465" i="4"/>
  <c r="N2383" i="4"/>
  <c r="N2384" i="4"/>
  <c r="N2472" i="4"/>
  <c r="N2476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7" i="4"/>
  <c r="N3496" i="4"/>
  <c r="N3505" i="4"/>
  <c r="N3458" i="4"/>
  <c r="N3508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657" i="4"/>
  <c r="N3555" i="4"/>
  <c r="N3483" i="4"/>
  <c r="N3574" i="4"/>
  <c r="N4344" i="4"/>
  <c r="N3486" i="4"/>
  <c r="N3487" i="4"/>
  <c r="N3488" i="4"/>
  <c r="N3489" i="4"/>
  <c r="N3481" i="4"/>
  <c r="N3491" i="4"/>
  <c r="N3492" i="4"/>
  <c r="N3493" i="4"/>
  <c r="N3494" i="4"/>
  <c r="N3495" i="4"/>
  <c r="N3456" i="4"/>
  <c r="N3455" i="4"/>
  <c r="N3498" i="4"/>
  <c r="N3500" i="4"/>
  <c r="N3503" i="4"/>
  <c r="N3501" i="4"/>
  <c r="N3502" i="4"/>
  <c r="N3685" i="4"/>
  <c r="N3504" i="4"/>
  <c r="N3507" i="4"/>
  <c r="N3499" i="4"/>
  <c r="N3510" i="4"/>
  <c r="N3512" i="4"/>
  <c r="N3518" i="4"/>
  <c r="N3522" i="4"/>
  <c r="N3523" i="4"/>
  <c r="N3547" i="4"/>
  <c r="N3614" i="4"/>
  <c r="N3615" i="4"/>
  <c r="N3653" i="4"/>
  <c r="N3678" i="4"/>
  <c r="N3516" i="4"/>
  <c r="N3651" i="4"/>
  <c r="N3514" i="4"/>
  <c r="N3520" i="4"/>
  <c r="N3548" i="4"/>
  <c r="N3606" i="4"/>
  <c r="N3630" i="4"/>
  <c r="N3648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969" i="4"/>
  <c r="N922" i="4"/>
  <c r="N971" i="4"/>
  <c r="N913" i="4"/>
  <c r="N914" i="4"/>
  <c r="N1120" i="4"/>
  <c r="N1130" i="4"/>
  <c r="N959" i="4"/>
  <c r="N917" i="4"/>
  <c r="N918" i="4"/>
  <c r="N1058" i="4"/>
  <c r="N920" i="4"/>
  <c r="N1217" i="4"/>
  <c r="N949" i="4"/>
  <c r="N933" i="4"/>
  <c r="N924" i="4"/>
  <c r="N925" i="4"/>
  <c r="N926" i="4"/>
  <c r="N1060" i="4"/>
  <c r="N1173" i="4"/>
  <c r="N929" i="4"/>
  <c r="N930" i="4"/>
  <c r="N931" i="4"/>
  <c r="N986" i="4"/>
  <c r="N1175" i="4"/>
  <c r="N934" i="4"/>
  <c r="N939" i="4"/>
  <c r="N936" i="4"/>
  <c r="N937" i="4"/>
  <c r="N1061" i="4"/>
  <c r="N1243" i="4"/>
  <c r="N911" i="4"/>
  <c r="N1068" i="4"/>
  <c r="N951" i="4"/>
  <c r="N943" i="4"/>
  <c r="N942" i="4"/>
  <c r="N915" i="4"/>
  <c r="N988" i="4"/>
  <c r="N947" i="4"/>
  <c r="N944" i="4"/>
  <c r="N1131" i="4"/>
  <c r="N950" i="4"/>
  <c r="N946" i="4"/>
  <c r="N952" i="4"/>
  <c r="N923" i="4"/>
  <c r="N954" i="4"/>
  <c r="N953" i="4"/>
  <c r="N1027" i="4"/>
  <c r="N957" i="4"/>
  <c r="N958" i="4"/>
  <c r="N1227" i="4"/>
  <c r="N1252" i="4"/>
  <c r="N961" i="4"/>
  <c r="N962" i="4"/>
  <c r="N1190" i="4"/>
  <c r="N1029" i="4"/>
  <c r="N1259" i="4"/>
  <c r="N966" i="4"/>
  <c r="N1203" i="4"/>
  <c r="N1206" i="4"/>
  <c r="N935" i="4"/>
  <c r="N970" i="4"/>
  <c r="N955" i="4"/>
  <c r="N997" i="4"/>
  <c r="N973" i="4"/>
  <c r="N964" i="4"/>
  <c r="N975" i="4"/>
  <c r="N976" i="4"/>
  <c r="N912" i="4"/>
  <c r="N978" i="4"/>
  <c r="N932" i="4"/>
  <c r="N980" i="4"/>
  <c r="N1083" i="4"/>
  <c r="N981" i="4"/>
  <c r="N928" i="4"/>
  <c r="N983" i="4"/>
  <c r="N984" i="4"/>
  <c r="N960" i="4"/>
  <c r="N921" i="4"/>
  <c r="N965" i="4"/>
  <c r="N987" i="4"/>
  <c r="N993" i="4"/>
  <c r="N1141" i="4"/>
  <c r="N1192" i="4"/>
  <c r="N1270" i="4"/>
  <c r="N1015" i="4"/>
  <c r="N991" i="4"/>
  <c r="N995" i="4"/>
  <c r="N1014" i="4"/>
  <c r="N1070" i="4"/>
  <c r="N1148" i="4"/>
  <c r="N1082" i="4"/>
  <c r="N1084" i="4"/>
  <c r="N1290" i="4"/>
  <c r="N1048" i="4"/>
  <c r="N1056" i="4"/>
  <c r="N1100" i="4"/>
  <c r="N982" i="4"/>
  <c r="N996" i="4"/>
  <c r="N999" i="4"/>
  <c r="N1003" i="4"/>
  <c r="N1104" i="4"/>
  <c r="N1105" i="4"/>
  <c r="N1114" i="4"/>
  <c r="N1126" i="4"/>
  <c r="N1129" i="4"/>
  <c r="N1005" i="4"/>
  <c r="N1006" i="4"/>
  <c r="N1007" i="4"/>
  <c r="N1008" i="4"/>
  <c r="N1009" i="4"/>
  <c r="N1010" i="4"/>
  <c r="N1011" i="4"/>
  <c r="N1012" i="4"/>
  <c r="N1013" i="4"/>
  <c r="N916" i="4"/>
  <c r="N1128" i="4"/>
  <c r="N1016" i="4"/>
  <c r="N1017" i="4"/>
  <c r="N1044" i="4"/>
  <c r="N1019" i="4"/>
  <c r="N1020" i="4"/>
  <c r="N1021" i="4"/>
  <c r="N1022" i="4"/>
  <c r="N1023" i="4"/>
  <c r="N1024" i="4"/>
  <c r="N1025" i="4"/>
  <c r="N1026" i="4"/>
  <c r="N1051" i="4"/>
  <c r="N1256" i="4"/>
  <c r="N1028" i="4"/>
  <c r="N1052" i="4"/>
  <c r="N1030" i="4"/>
  <c r="N1042" i="4"/>
  <c r="N1032" i="4"/>
  <c r="N1069" i="4"/>
  <c r="N1033" i="4"/>
  <c r="N1034" i="4"/>
  <c r="N1035" i="4"/>
  <c r="N1036" i="4"/>
  <c r="N1112" i="4"/>
  <c r="N1037" i="4"/>
  <c r="N1038" i="4"/>
  <c r="N1039" i="4"/>
  <c r="N1040" i="4"/>
  <c r="N1043" i="4"/>
  <c r="N1063" i="4"/>
  <c r="N967" i="4"/>
  <c r="N972" i="4"/>
  <c r="N977" i="4"/>
  <c r="N989" i="4"/>
  <c r="N1001" i="4"/>
  <c r="N1046" i="4"/>
  <c r="N1059" i="4"/>
  <c r="N1067" i="4"/>
  <c r="N1091" i="4"/>
  <c r="N1094" i="4"/>
  <c r="N1096" i="4"/>
  <c r="N1098" i="4"/>
  <c r="N1276" i="4"/>
  <c r="N1277" i="4"/>
  <c r="N1293" i="4"/>
  <c r="N1108" i="4"/>
  <c r="N1121" i="4"/>
  <c r="N968" i="4"/>
  <c r="N1065" i="4"/>
  <c r="N1138" i="4"/>
  <c r="N1154" i="4"/>
  <c r="N1179" i="4"/>
  <c r="N1185" i="4"/>
  <c r="N1193" i="4"/>
  <c r="N1211" i="4"/>
  <c r="N1213" i="4"/>
  <c r="N1223" i="4"/>
  <c r="N1238" i="4"/>
  <c r="N1245" i="4"/>
  <c r="N1273" i="4"/>
  <c r="N940" i="4"/>
  <c r="N1234" i="4"/>
  <c r="N1072" i="4"/>
  <c r="N1073" i="4"/>
  <c r="N1074" i="4"/>
  <c r="N1075" i="4"/>
  <c r="N1076" i="4"/>
  <c r="N1077" i="4"/>
  <c r="N1078" i="4"/>
  <c r="N1168" i="4"/>
  <c r="N1079" i="4"/>
  <c r="N1080" i="4"/>
  <c r="N1081" i="4"/>
  <c r="N85" i="4"/>
  <c r="N216" i="4"/>
  <c r="N309" i="4"/>
  <c r="N311" i="4"/>
  <c r="N708" i="4"/>
  <c r="N711" i="4"/>
  <c r="N854" i="4"/>
  <c r="N889" i="4"/>
  <c r="N48" i="4"/>
  <c r="N88" i="4"/>
  <c r="N92" i="4"/>
  <c r="N95" i="4"/>
  <c r="N98" i="4"/>
  <c r="N102" i="4"/>
  <c r="N201" i="4"/>
  <c r="N204" i="4"/>
  <c r="N209" i="4"/>
  <c r="N226" i="4"/>
  <c r="N242" i="4"/>
  <c r="N282" i="4"/>
  <c r="N299" i="4"/>
  <c r="N301" i="4"/>
  <c r="N313" i="4"/>
  <c r="N348" i="4"/>
  <c r="N457" i="4"/>
  <c r="N495" i="4"/>
  <c r="N608" i="4"/>
  <c r="N714" i="4"/>
  <c r="N751" i="4"/>
  <c r="N902" i="4"/>
  <c r="N198" i="4"/>
  <c r="N434" i="4"/>
  <c r="N51" i="4"/>
  <c r="N178" i="4"/>
  <c r="N222" i="4"/>
  <c r="N246" i="4"/>
  <c r="N252" i="4"/>
  <c r="N428" i="4"/>
  <c r="N738" i="4"/>
  <c r="N859" i="4"/>
  <c r="N881" i="4"/>
  <c r="N891" i="4"/>
  <c r="N2" i="4"/>
  <c r="N11" i="4"/>
  <c r="N27" i="4"/>
  <c r="N30" i="4"/>
  <c r="N35" i="4"/>
  <c r="N39" i="4"/>
  <c r="N41" i="4"/>
  <c r="N44" i="4"/>
  <c r="N109" i="4"/>
  <c r="N256" i="4"/>
  <c r="N349" i="4"/>
  <c r="N352" i="4"/>
  <c r="N391" i="4"/>
  <c r="N394" i="4"/>
  <c r="N397" i="4"/>
  <c r="N402" i="4"/>
  <c r="N424" i="4"/>
  <c r="N448" i="4"/>
  <c r="N452" i="4"/>
  <c r="N454" i="4"/>
  <c r="N862" i="4"/>
  <c r="N895" i="4"/>
  <c r="N899" i="4"/>
  <c r="N231" i="4"/>
  <c r="N374" i="4"/>
  <c r="N105" i="4"/>
  <c r="N271" i="4"/>
  <c r="N334" i="4"/>
  <c r="N278" i="4"/>
  <c r="N509" i="4"/>
  <c r="N182" i="4"/>
  <c r="N185" i="4"/>
  <c r="N189" i="4"/>
  <c r="N234" i="4"/>
  <c r="N473" i="4"/>
  <c r="N536" i="4"/>
  <c r="N112" i="4"/>
  <c r="N24" i="4"/>
  <c r="N175" i="4"/>
  <c r="N194" i="4"/>
  <c r="N213" i="4"/>
  <c r="N239" i="4"/>
  <c r="N261" i="4"/>
  <c r="N264" i="4"/>
  <c r="N267" i="4"/>
  <c r="N305" i="4"/>
  <c r="N528" i="4"/>
  <c r="N81" i="4"/>
  <c r="N156" i="4"/>
  <c r="N119" i="4"/>
  <c r="N140" i="4"/>
  <c r="N164" i="4"/>
  <c r="N172" i="4"/>
  <c r="N308" i="4"/>
  <c r="N54" i="4"/>
  <c r="N57" i="4"/>
  <c r="N60" i="4"/>
  <c r="N64" i="4"/>
  <c r="N67" i="4"/>
  <c r="N70" i="4"/>
  <c r="N74" i="4"/>
  <c r="N78" i="4"/>
  <c r="N115" i="4"/>
  <c r="N122" i="4"/>
  <c r="N127" i="4"/>
  <c r="N136" i="4"/>
  <c r="N153" i="4"/>
  <c r="N4" i="4"/>
  <c r="N325" i="4"/>
  <c r="N17" i="4"/>
  <c r="N126" i="4"/>
  <c r="N149" i="4"/>
  <c r="N117" i="4"/>
  <c r="N128" i="4"/>
  <c r="N10" i="4"/>
  <c r="N129" i="4"/>
  <c r="N8" i="4"/>
  <c r="N130" i="4"/>
  <c r="N123" i="4"/>
  <c r="N132" i="4"/>
  <c r="N73" i="4"/>
  <c r="N134" i="4"/>
  <c r="N145" i="4"/>
  <c r="N133" i="4"/>
  <c r="N137" i="4"/>
  <c r="N151" i="4"/>
  <c r="N159" i="4"/>
  <c r="N141" i="4"/>
  <c r="N771" i="4"/>
  <c r="N787" i="4"/>
  <c r="N793" i="4"/>
  <c r="N811" i="4"/>
  <c r="N832" i="4"/>
  <c r="N838" i="4"/>
  <c r="N852" i="4"/>
  <c r="N181" i="4"/>
  <c r="N7" i="4"/>
  <c r="N148" i="4"/>
  <c r="N6" i="4"/>
  <c r="N144" i="4"/>
  <c r="N161" i="4"/>
  <c r="N167" i="4"/>
  <c r="N188" i="4"/>
  <c r="N196" i="4"/>
  <c r="N218" i="4"/>
  <c r="N227" i="4"/>
  <c r="N235" i="4"/>
  <c r="N247" i="4"/>
  <c r="N152" i="4"/>
  <c r="N269" i="4"/>
  <c r="N276" i="4"/>
  <c r="N319" i="4"/>
  <c r="N143" i="4"/>
  <c r="N562" i="4"/>
  <c r="N286" i="4"/>
  <c r="N289" i="4"/>
  <c r="N20" i="4"/>
  <c r="N625" i="4"/>
  <c r="N633" i="4"/>
  <c r="N660" i="4"/>
  <c r="N670" i="4"/>
  <c r="N682" i="4"/>
  <c r="N702" i="4"/>
  <c r="N705" i="4"/>
  <c r="L969" i="4"/>
  <c r="L922" i="4"/>
  <c r="L971" i="4"/>
  <c r="L913" i="4"/>
  <c r="L914" i="4"/>
  <c r="L1120" i="4"/>
  <c r="L1130" i="4"/>
  <c r="L959" i="4"/>
  <c r="L917" i="4"/>
  <c r="L918" i="4"/>
  <c r="L1058" i="4"/>
  <c r="L920" i="4"/>
  <c r="L1217" i="4"/>
  <c r="L949" i="4"/>
  <c r="L933" i="4"/>
  <c r="L924" i="4"/>
  <c r="L925" i="4"/>
  <c r="L926" i="4"/>
  <c r="L1060" i="4"/>
  <c r="L1173" i="4"/>
  <c r="L929" i="4"/>
  <c r="L930" i="4"/>
  <c r="L931" i="4"/>
  <c r="L986" i="4"/>
  <c r="L1175" i="4"/>
  <c r="L934" i="4"/>
  <c r="L939" i="4"/>
  <c r="L936" i="4"/>
  <c r="L937" i="4"/>
  <c r="L1061" i="4"/>
  <c r="L1243" i="4"/>
  <c r="L911" i="4"/>
  <c r="L1068" i="4"/>
  <c r="L951" i="4"/>
  <c r="L943" i="4"/>
  <c r="L942" i="4"/>
  <c r="L915" i="4"/>
  <c r="L988" i="4"/>
  <c r="L947" i="4"/>
  <c r="L944" i="4"/>
  <c r="L1131" i="4"/>
  <c r="L950" i="4"/>
  <c r="L946" i="4"/>
  <c r="L952" i="4"/>
  <c r="L923" i="4"/>
  <c r="L954" i="4"/>
  <c r="L953" i="4"/>
  <c r="L1027" i="4"/>
  <c r="L957" i="4"/>
  <c r="L958" i="4"/>
  <c r="L1227" i="4"/>
  <c r="L1252" i="4"/>
  <c r="L961" i="4"/>
  <c r="L962" i="4"/>
  <c r="L1190" i="4"/>
  <c r="L1029" i="4"/>
  <c r="L1259" i="4"/>
  <c r="L966" i="4"/>
  <c r="L1203" i="4"/>
  <c r="L1206" i="4"/>
  <c r="L935" i="4"/>
  <c r="L970" i="4"/>
  <c r="L955" i="4"/>
  <c r="L997" i="4"/>
  <c r="L973" i="4"/>
  <c r="L964" i="4"/>
  <c r="L975" i="4"/>
  <c r="L976" i="4"/>
  <c r="L912" i="4"/>
  <c r="L978" i="4"/>
  <c r="L932" i="4"/>
  <c r="L980" i="4"/>
  <c r="L1083" i="4"/>
  <c r="L981" i="4"/>
  <c r="L928" i="4"/>
  <c r="L983" i="4"/>
  <c r="L984" i="4"/>
  <c r="L960" i="4"/>
  <c r="L921" i="4"/>
  <c r="L965" i="4"/>
  <c r="L987" i="4"/>
  <c r="L993" i="4"/>
  <c r="L1141" i="4"/>
  <c r="L1192" i="4"/>
  <c r="L1270" i="4"/>
  <c r="L1015" i="4"/>
  <c r="L991" i="4"/>
  <c r="L995" i="4"/>
  <c r="L1014" i="4"/>
  <c r="L1070" i="4"/>
  <c r="L1148" i="4"/>
  <c r="L1082" i="4"/>
  <c r="L1084" i="4"/>
  <c r="L1290" i="4"/>
  <c r="L1048" i="4"/>
  <c r="L1056" i="4"/>
  <c r="L1100" i="4"/>
  <c r="L982" i="4"/>
  <c r="L996" i="4"/>
  <c r="L999" i="4"/>
  <c r="L1003" i="4"/>
  <c r="L1104" i="4"/>
  <c r="L1105" i="4"/>
  <c r="L1114" i="4"/>
  <c r="L1126" i="4"/>
  <c r="L1129" i="4"/>
  <c r="L1005" i="4"/>
  <c r="L1006" i="4"/>
  <c r="L1007" i="4"/>
  <c r="L1008" i="4"/>
  <c r="L1009" i="4"/>
  <c r="L1010" i="4"/>
  <c r="L1011" i="4"/>
  <c r="L1012" i="4"/>
  <c r="L1013" i="4"/>
  <c r="L916" i="4"/>
  <c r="L1128" i="4"/>
  <c r="L1016" i="4"/>
  <c r="L1017" i="4"/>
  <c r="L1044" i="4"/>
  <c r="L1019" i="4"/>
  <c r="L1020" i="4"/>
  <c r="L1021" i="4"/>
  <c r="L1022" i="4"/>
  <c r="L1023" i="4"/>
  <c r="L1024" i="4"/>
  <c r="L1025" i="4"/>
  <c r="L1026" i="4"/>
  <c r="L1051" i="4"/>
  <c r="L1256" i="4"/>
  <c r="L1028" i="4"/>
  <c r="L1052" i="4"/>
  <c r="L1030" i="4"/>
  <c r="L1042" i="4"/>
  <c r="L1032" i="4"/>
  <c r="L1069" i="4"/>
  <c r="L1033" i="4"/>
  <c r="L1034" i="4"/>
  <c r="L1035" i="4"/>
  <c r="L1036" i="4"/>
  <c r="L1112" i="4"/>
  <c r="L1037" i="4"/>
  <c r="L1038" i="4"/>
  <c r="L1039" i="4"/>
  <c r="L1040" i="4"/>
  <c r="L1043" i="4"/>
  <c r="L1063" i="4"/>
  <c r="L967" i="4"/>
  <c r="L972" i="4"/>
  <c r="L977" i="4"/>
  <c r="L989" i="4"/>
  <c r="L1001" i="4"/>
  <c r="L1046" i="4"/>
  <c r="L1059" i="4"/>
  <c r="L1067" i="4"/>
  <c r="L1091" i="4"/>
  <c r="L1094" i="4"/>
  <c r="L1096" i="4"/>
  <c r="L1098" i="4"/>
  <c r="L1276" i="4"/>
  <c r="L1277" i="4"/>
  <c r="L1293" i="4"/>
  <c r="L1108" i="4"/>
  <c r="L1121" i="4"/>
  <c r="L968" i="4"/>
  <c r="L1065" i="4"/>
  <c r="L1138" i="4"/>
  <c r="L1154" i="4"/>
  <c r="L1179" i="4"/>
  <c r="L1185" i="4"/>
  <c r="L1193" i="4"/>
  <c r="L1211" i="4"/>
  <c r="L1213" i="4"/>
  <c r="L1223" i="4"/>
  <c r="L1238" i="4"/>
  <c r="L1245" i="4"/>
  <c r="L1273" i="4"/>
  <c r="L940" i="4"/>
  <c r="L1234" i="4"/>
  <c r="L1072" i="4"/>
  <c r="L1073" i="4"/>
  <c r="L1074" i="4"/>
  <c r="L1075" i="4"/>
  <c r="L1076" i="4"/>
  <c r="L1077" i="4"/>
  <c r="L1078" i="4"/>
  <c r="L1168" i="4"/>
  <c r="L1079" i="4"/>
  <c r="L1080" i="4"/>
  <c r="L1081" i="4"/>
  <c r="L85" i="4"/>
  <c r="L216" i="4"/>
  <c r="L309" i="4"/>
  <c r="L311" i="4"/>
  <c r="L708" i="4"/>
  <c r="L711" i="4"/>
  <c r="L854" i="4"/>
  <c r="L889" i="4"/>
  <c r="L48" i="4"/>
  <c r="L88" i="4"/>
  <c r="L92" i="4"/>
  <c r="L95" i="4"/>
  <c r="L98" i="4"/>
  <c r="L102" i="4"/>
  <c r="L201" i="4"/>
  <c r="L204" i="4"/>
  <c r="L209" i="4"/>
  <c r="L226" i="4"/>
  <c r="L242" i="4"/>
  <c r="L282" i="4"/>
  <c r="L299" i="4"/>
  <c r="L301" i="4"/>
  <c r="L313" i="4"/>
  <c r="L348" i="4"/>
  <c r="L457" i="4"/>
  <c r="L495" i="4"/>
  <c r="L608" i="4"/>
  <c r="L714" i="4"/>
  <c r="L751" i="4"/>
  <c r="L902" i="4"/>
  <c r="L198" i="4"/>
  <c r="L434" i="4"/>
  <c r="L51" i="4"/>
  <c r="L178" i="4"/>
  <c r="L222" i="4"/>
  <c r="L246" i="4"/>
  <c r="L252" i="4"/>
  <c r="L428" i="4"/>
  <c r="L738" i="4"/>
  <c r="L859" i="4"/>
  <c r="L881" i="4"/>
  <c r="L891" i="4"/>
  <c r="L2" i="4"/>
  <c r="L11" i="4"/>
  <c r="L27" i="4"/>
  <c r="L30" i="4"/>
  <c r="L35" i="4"/>
  <c r="L39" i="4"/>
  <c r="L41" i="4"/>
  <c r="L44" i="4"/>
  <c r="L109" i="4"/>
  <c r="L256" i="4"/>
  <c r="L349" i="4"/>
  <c r="L352" i="4"/>
  <c r="L391" i="4"/>
  <c r="L394" i="4"/>
  <c r="L397" i="4"/>
  <c r="L402" i="4"/>
  <c r="L424" i="4"/>
  <c r="L448" i="4"/>
  <c r="L452" i="4"/>
  <c r="L454" i="4"/>
  <c r="L862" i="4"/>
  <c r="L895" i="4"/>
  <c r="L899" i="4"/>
  <c r="L231" i="4"/>
  <c r="L374" i="4"/>
  <c r="L105" i="4"/>
  <c r="L271" i="4"/>
  <c r="L334" i="4"/>
  <c r="L278" i="4"/>
  <c r="L509" i="4"/>
  <c r="L182" i="4"/>
  <c r="L185" i="4"/>
  <c r="L189" i="4"/>
  <c r="L234" i="4"/>
  <c r="L473" i="4"/>
  <c r="L536" i="4"/>
  <c r="L112" i="4"/>
  <c r="L24" i="4"/>
  <c r="L175" i="4"/>
  <c r="L194" i="4"/>
  <c r="L213" i="4"/>
  <c r="L239" i="4"/>
  <c r="L261" i="4"/>
  <c r="L264" i="4"/>
  <c r="L267" i="4"/>
  <c r="L305" i="4"/>
  <c r="L528" i="4"/>
  <c r="L81" i="4"/>
  <c r="L156" i="4"/>
  <c r="L119" i="4"/>
  <c r="L140" i="4"/>
  <c r="L164" i="4"/>
  <c r="L172" i="4"/>
  <c r="L308" i="4"/>
  <c r="L54" i="4"/>
  <c r="L57" i="4"/>
  <c r="L60" i="4"/>
  <c r="L64" i="4"/>
  <c r="L67" i="4"/>
  <c r="L70" i="4"/>
  <c r="L74" i="4"/>
  <c r="L78" i="4"/>
  <c r="L115" i="4"/>
  <c r="L122" i="4"/>
  <c r="L127" i="4"/>
  <c r="L136" i="4"/>
  <c r="L153" i="4"/>
  <c r="L4" i="4"/>
  <c r="L325" i="4"/>
  <c r="L17" i="4"/>
  <c r="L126" i="4"/>
  <c r="L149" i="4"/>
  <c r="L117" i="4"/>
  <c r="L128" i="4"/>
  <c r="L10" i="4"/>
  <c r="L129" i="4"/>
  <c r="L8" i="4"/>
  <c r="L130" i="4"/>
  <c r="L123" i="4"/>
  <c r="L132" i="4"/>
  <c r="L73" i="4"/>
  <c r="L134" i="4"/>
  <c r="L145" i="4"/>
  <c r="L133" i="4"/>
  <c r="L137" i="4"/>
  <c r="L151" i="4"/>
  <c r="L159" i="4"/>
  <c r="L141" i="4"/>
  <c r="L771" i="4"/>
  <c r="L787" i="4"/>
  <c r="L793" i="4"/>
  <c r="L811" i="4"/>
  <c r="L832" i="4"/>
  <c r="L838" i="4"/>
  <c r="L852" i="4"/>
  <c r="L181" i="4"/>
  <c r="L7" i="4"/>
  <c r="L148" i="4"/>
  <c r="L6" i="4"/>
  <c r="L144" i="4"/>
  <c r="L161" i="4"/>
  <c r="L167" i="4"/>
  <c r="L188" i="4"/>
  <c r="L196" i="4"/>
  <c r="L218" i="4"/>
  <c r="L227" i="4"/>
  <c r="L235" i="4"/>
  <c r="L247" i="4"/>
  <c r="L152" i="4"/>
  <c r="L269" i="4"/>
  <c r="L276" i="4"/>
  <c r="L319" i="4"/>
  <c r="L143" i="4"/>
  <c r="L562" i="4"/>
  <c r="L286" i="4"/>
  <c r="L289" i="4"/>
  <c r="L20" i="4"/>
  <c r="L625" i="4"/>
  <c r="L633" i="4"/>
  <c r="L660" i="4"/>
  <c r="L670" i="4"/>
  <c r="L682" i="4"/>
  <c r="L702" i="4"/>
  <c r="L705" i="4"/>
</calcChain>
</file>

<file path=xl/sharedStrings.xml><?xml version="1.0" encoding="utf-8"?>
<sst xmlns="http://schemas.openxmlformats.org/spreadsheetml/2006/main" count="34244" uniqueCount="1101">
  <si>
    <t>ONZA</t>
  </si>
  <si>
    <t>GRAMOS</t>
  </si>
  <si>
    <t>UNIDADES</t>
  </si>
  <si>
    <t>SCHEEPPES SODA10 OZ</t>
  </si>
  <si>
    <t>FILETE DE POLLO X 120GR</t>
  </si>
  <si>
    <t>PECHUGA DE POLLO DESHUESADO X1000</t>
  </si>
  <si>
    <t>CHICHARRON UND*300G</t>
  </si>
  <si>
    <t>SOLOMITO X 200G</t>
  </si>
  <si>
    <t>FILETE DE ATUN ENTERO KG</t>
  </si>
  <si>
    <t>CAMARON CRUDO 41-50 0% PORCIONX 7UND PAQUETE POR 10 PORCIONES</t>
  </si>
  <si>
    <t xml:space="preserve">COLA DE LANGOSTA UND 130G </t>
  </si>
  <si>
    <t xml:space="preserve">MEJILLON NEGRO 454GR </t>
  </si>
  <si>
    <t>PALMITO KANIKAMA PREMIUM X 30UND</t>
  </si>
  <si>
    <t>TILAPIA ROJA X UND</t>
  </si>
  <si>
    <t>TUBOS DE CALAMAR X KILO</t>
  </si>
  <si>
    <t>DOBLE MAESTRO DIAMANTE 750ML</t>
  </si>
  <si>
    <t>BAILEYS ORIGINAL 1,0L</t>
  </si>
  <si>
    <t>BUCHANANS 18 AÃ‘OS 750ML</t>
  </si>
  <si>
    <t>BUCHANANS DELUXE AGED 12 YEARS 0.375L</t>
  </si>
  <si>
    <t>BUCHANANS DELUXE AGED 12 YEARS 0.750L</t>
  </si>
  <si>
    <t>BULLEIT BOURBON 0,75L</t>
  </si>
  <si>
    <t>DON JULIO 70 700ML</t>
  </si>
  <si>
    <t>DON JULIO AÃ‘EJO X700ML</t>
  </si>
  <si>
    <t>GINEBRA PINK GORDONS 700 ml</t>
  </si>
  <si>
    <t>GORDON DRY GIN 750 L50</t>
  </si>
  <si>
    <t>LICOR 43*750ML</t>
  </si>
  <si>
    <t>MEZCAL 400 CONEJOS JOVEN SPADIN 750 ML</t>
  </si>
  <si>
    <t>MEZCAL UNIÃ“N EL JOVEN *700ML</t>
  </si>
  <si>
    <t>OLD PARR AGED 12 YEARS 0.5L</t>
  </si>
  <si>
    <t>RON ZACAPA 23 AÃ‘OS 70OML</t>
  </si>
  <si>
    <t>SMIRNOFF NO.21 RED VODKA 0,7L</t>
  </si>
  <si>
    <t>TANQUERAY LONDON DRY GIN 0.70L</t>
  </si>
  <si>
    <t>TEQUILA 1800 REPOSADO 700ML</t>
  </si>
  <si>
    <t>TEQUILA JOSE CUERVO ESPECIAL REPOSADO 990 ML</t>
  </si>
  <si>
    <t>WHISKY OLD PARR 12 AÃ‘OS 750 ML</t>
  </si>
  <si>
    <t>AMARETTO DISARONNO X 750</t>
  </si>
  <si>
    <t>APEROL X 750ML</t>
  </si>
  <si>
    <t>CAMPARI 750</t>
  </si>
  <si>
    <t>CINZANO TO SPRITZ 750</t>
  </si>
  <si>
    <t>GREY GOOSE ORIGINAL 700ML</t>
  </si>
  <si>
    <t xml:space="preserve">RON BACARDI CARTA BLANCA SUPERIOR 980 ML </t>
  </si>
  <si>
    <t>VERMUTH BIANCO*750</t>
  </si>
  <si>
    <t>VERMUTH DRY MARTINI*750</t>
  </si>
  <si>
    <t xml:space="preserve">VODKA SKYY 750ML </t>
  </si>
  <si>
    <t>ABSOLUT 700 ML</t>
  </si>
  <si>
    <t>AGUARDIENTE ANTIOQUEÃ‘O AZUL 375ML</t>
  </si>
  <si>
    <t>AGUARDIENTE ANTIOQUEÃ‘O AZUL 750ML</t>
  </si>
  <si>
    <t>AGUARDIENTE ANTIOQUEÃ‘O ROJO 375ML</t>
  </si>
  <si>
    <t>AGUARDIENTE ANTIOQUEÃ‘O ROJO 750ML</t>
  </si>
  <si>
    <t>AGUARDIENTE ANTIOQUEÃ‘O VERDE 375ML</t>
  </si>
  <si>
    <t>AGUARDIENTE ANTIOQUEÃ‘O VERDE 750ML</t>
  </si>
  <si>
    <t>GINEBRA HENDRICKS 750CC</t>
  </si>
  <si>
    <t>GINEBRA SELVA X700ML</t>
  </si>
  <si>
    <t>RON MEDELIN 8 AÃ‘OS 375 ML</t>
  </si>
  <si>
    <t>RON MEDELLIN 3 AÃ‘OS 750ML</t>
  </si>
  <si>
    <t>RON MEDELLIN 8 AÃ‘OS 750ML</t>
  </si>
  <si>
    <t>RON ZACAPA AMBAR 12 AÃ‘OS 750ML</t>
  </si>
  <si>
    <t>L. TRIPLE SEC TEICHENNE 1000ML</t>
  </si>
  <si>
    <t>PISCO BARSOL MOSTOVERDE ITALIA X 750</t>
  </si>
  <si>
    <t>PISCO BARSOL QUEBRANTA 4000L</t>
  </si>
  <si>
    <t>COCA COLA 10 OZ VIDRIO</t>
  </si>
  <si>
    <t>COCA COLA S/AZ 10 OZ</t>
  </si>
  <si>
    <t>GINGER ALE BOTELLA 300ML - SCHWEPPES</t>
  </si>
  <si>
    <t>SPRITE 400 ML</t>
  </si>
  <si>
    <t>JUNIPER TORONJA X207ML</t>
  </si>
  <si>
    <t>AGUA TONICA TRADICIONAL JUNIPER X200ML</t>
  </si>
  <si>
    <t>CIDRA DE ROSAS JUNIPER X 207ML</t>
  </si>
  <si>
    <t>COCONUT JUNIPER X 207 MIL</t>
  </si>
  <si>
    <t>ELDER FLOWER TONICA JUNIPER X207ML</t>
  </si>
  <si>
    <t>GINGER BEER SIN LICOR JUNIPER X 200ML</t>
  </si>
  <si>
    <t>SODA HATSU X6 UND</t>
  </si>
  <si>
    <t>CERVEZA AGUILA LIGTH RETORNABLE 330CC</t>
  </si>
  <si>
    <t>CERVEZA AGUILA RETORNABLE 330CC</t>
  </si>
  <si>
    <t>CERVEZA CLUB COL DORADA RETORNABLE 330CC</t>
  </si>
  <si>
    <t>CERVEZA CORONA NRB SIXPACK X 330ML</t>
  </si>
  <si>
    <t>CERVEZA NEGRA COCINA</t>
  </si>
  <si>
    <t>CERVEZA STELLA ARTOIS SIXPACK NR 330 MEX</t>
  </si>
  <si>
    <t>CERVEZA CLUB COL ROJA RETORNABLE 330 CC</t>
  </si>
  <si>
    <t>CERVEZA HEINIKEN BOT.NR 330 6X4</t>
  </si>
  <si>
    <t>FILETE DE POLLO X 180GR</t>
  </si>
  <si>
    <t>FINCA LAS MORAS BLACK LABEL MALBEC 750ML</t>
  </si>
  <si>
    <t>COPA</t>
  </si>
  <si>
    <t>VINO COUS. MACUL DON LUIS SUV BLA 750</t>
  </si>
  <si>
    <t>VINO LAMBRUSCO ROSAD PICCINI REGNO 750 ML</t>
  </si>
  <si>
    <t xml:space="preserve">VINO LAS MORAS BLANCO CHARDONAY 750ML </t>
  </si>
  <si>
    <t>VINO LAS MORAS ROSADO SYRAH 750ML</t>
  </si>
  <si>
    <t xml:space="preserve">VINO LAS MORAS TINTO CABERNET SAUV 750 ML </t>
  </si>
  <si>
    <t>VINO PICCINI LAMBRUS TTO REGNO DOC 750 ML</t>
  </si>
  <si>
    <t>VINO ROSALEDA ROSE 750ML</t>
  </si>
  <si>
    <t>VINO ROSALEDA SAUV BLANC 750 ML</t>
  </si>
  <si>
    <t>VINO ROSALEDA TINTO MERLOT 750ML</t>
  </si>
  <si>
    <t>VINO TINTO LA CELIA RESERVA MALBEC</t>
  </si>
  <si>
    <t>VINO TINTO TARAPACÃ MERLOT 750 ML</t>
  </si>
  <si>
    <t>SALMON FRESCO 3-4TD</t>
  </si>
  <si>
    <t>LANGOSTINOS CRUDO 16/20 X UNIDAD</t>
  </si>
  <si>
    <t>FILETE DE TILAPIA FRESCA LO</t>
  </si>
  <si>
    <t>SUB. TUBOS DE CALAMAR X 80G</t>
  </si>
  <si>
    <t xml:space="preserve">MANANTIAL CON GAS VIDRIO 300ML </t>
  </si>
  <si>
    <t xml:space="preserve">MANANTIAL SIN GAS 500ML </t>
  </si>
  <si>
    <t>ACQUA PANNA VIDRIO 505 ML</t>
  </si>
  <si>
    <t>AGUA S. PELLEGRINO VIDRIO 505ML</t>
  </si>
  <si>
    <t>AGUA HATSU X 6UND</t>
  </si>
  <si>
    <t>TE HATSU AMARILLO 400X6</t>
  </si>
  <si>
    <t>TE HATSU AZUL 400ML X 6</t>
  </si>
  <si>
    <t>TE HATSU BLANCO 400ML X6</t>
  </si>
  <si>
    <t>TE HATSU LILA 400ML X6</t>
  </si>
  <si>
    <t>TE HATSU NEGRO 400ML X6</t>
  </si>
  <si>
    <t>TE HATSU ROJO 400X6</t>
  </si>
  <si>
    <t>TE HATSU ROSADO SIX400X6</t>
  </si>
  <si>
    <t>TE HATSU ROSAS  400ML X6</t>
  </si>
  <si>
    <t>COCA COLA 1,5 LT PET</t>
  </si>
  <si>
    <t>LICORES</t>
  </si>
  <si>
    <t>Bar</t>
  </si>
  <si>
    <t>WHISKY MACALLAN 12 AÃ‘OS *700</t>
  </si>
  <si>
    <t>GASEOSAS Y SODAS</t>
  </si>
  <si>
    <t>CERVEZAS</t>
  </si>
  <si>
    <t>PROTEINAS</t>
  </si>
  <si>
    <t>Cocina</t>
  </si>
  <si>
    <t>VINOS</t>
  </si>
  <si>
    <t>PESCADOS Y MARISCOS</t>
  </si>
  <si>
    <t>SUB RECETAS</t>
  </si>
  <si>
    <t>SUB-RECETAS BAR</t>
  </si>
  <si>
    <t>AGUA Y TE</t>
  </si>
  <si>
    <t>CINZANO VERMUTH ROSSO 750ML</t>
  </si>
  <si>
    <t>RESERVA DE DON JULIO BLANCO 0,70L</t>
  </si>
  <si>
    <t>Estado</t>
  </si>
  <si>
    <t>DON JULIO REPOSADO 700ML</t>
  </si>
  <si>
    <t>a / 1270</t>
  </si>
  <si>
    <t>MALANGA</t>
  </si>
  <si>
    <t>TEQUILA HERRADURA AÃ‘EJO 750ML</t>
  </si>
  <si>
    <t>WHISKY ESCOCES GAELIK 700ML</t>
  </si>
  <si>
    <t>BUCHANANS MASTER 0,75L</t>
  </si>
  <si>
    <t>GLENMORANGIE 10 AÃ‘OS</t>
  </si>
  <si>
    <t>JOHNNIE WALKER BLACK LABEL 700ML</t>
  </si>
  <si>
    <t>JOHNNIE WALKER RED LABEL 700ML</t>
  </si>
  <si>
    <t>THE SINGLETON MALT 700ML</t>
  </si>
  <si>
    <t>CREMA DE WHISKY BLACK JACK 750 CC</t>
  </si>
  <si>
    <t>RON TROPICO BLANCO 750CC</t>
  </si>
  <si>
    <t>BULLDOG GIN 750ML</t>
  </si>
  <si>
    <t>RON SAILOR JERRY  700ML</t>
  </si>
  <si>
    <t>BOT TANQUERAY RANG 750</t>
  </si>
  <si>
    <t xml:space="preserve">ND </t>
  </si>
  <si>
    <t>RON MALIBU / 750CC 20 VOL C12</t>
  </si>
  <si>
    <t>RON MEDELLIN 3 AÃ‘OS 375 ML</t>
  </si>
  <si>
    <t>RON VIEJO DE CALDAS 3 AÃ‘OS 750 ML</t>
  </si>
  <si>
    <t>CACHAZA 61 *970ML</t>
  </si>
  <si>
    <t>LEMÃ“N LIME BITTER</t>
  </si>
  <si>
    <t>SODA COCINA</t>
  </si>
  <si>
    <t>JUNIPER COFFE SODA CAJA X 24</t>
  </si>
  <si>
    <t>JUNIPER LEMONGRASS X 207ML</t>
  </si>
  <si>
    <t>COLOMBIANA PET 1.5 LX 12 P.E</t>
  </si>
  <si>
    <t>NATUMALTA PET 1500 X6</t>
  </si>
  <si>
    <t>nd</t>
  </si>
  <si>
    <t>CERVEZA CLUB COL NEGRARETORNABLE 330CC</t>
  </si>
  <si>
    <t>HEINIKEN BARRIL 8 LTS PET</t>
  </si>
  <si>
    <t>JAMON SERRANO</t>
  </si>
  <si>
    <t>TOCINETA PREMIUM X KILO</t>
  </si>
  <si>
    <t>CARNE MOLIDA X KILO</t>
  </si>
  <si>
    <t>CHORIZO DE CERDO * UND</t>
  </si>
  <si>
    <t>COSTILLA X UND 500GR</t>
  </si>
  <si>
    <t>PIERNA DE CERDO*120G</t>
  </si>
  <si>
    <t>POSTA DE RES UND X</t>
  </si>
  <si>
    <t>PUNTA DE ANCA DE RES X KILO</t>
  </si>
  <si>
    <t>SOBRE BARRIGA X KILO</t>
  </si>
  <si>
    <t>SOLOMITO X 180G</t>
  </si>
  <si>
    <t>CAVA DON ROMAN ROSE 750ML</t>
  </si>
  <si>
    <t>CROSADO SOUL 750ML</t>
  </si>
  <si>
    <t>RIOJA DE BORDON RESERVA TEMPRANILLO GARNACHA D.O.C</t>
  </si>
  <si>
    <t>SANTA EMA RESERVAS MEDIA CHARDONAY</t>
  </si>
  <si>
    <t>TRAPICHE CABERNET SAUVINGNON X 750ML</t>
  </si>
  <si>
    <t>VINO TINTO MALBECM. LAS MORAS 375ML</t>
  </si>
  <si>
    <t>SANTA EMA BARRIEL RESERVA 60/40 750ML</t>
  </si>
  <si>
    <t>SANTA EMA CHARDONAY S.T RVA 2022/750ML</t>
  </si>
  <si>
    <t>SANTA EMA ST SUAVIGNON BLANC X 750 RVA 2020</t>
  </si>
  <si>
    <t>ESPUMOSO BARON DE ROTHERG BRUT 750</t>
  </si>
  <si>
    <t>FINCA LAS MORAS BARREL SELEC MALBEC 750ML</t>
  </si>
  <si>
    <t>FINCA LAS MORAS RESERVA CABERNET SYRAH *750ML</t>
  </si>
  <si>
    <t>LAS MORAS RESERVA CHARDONAY 750ML</t>
  </si>
  <si>
    <t>NAVARRO COL PRIV BLEND 0.75L</t>
  </si>
  <si>
    <t>NAVARRO COREAS BRUT ROSE 750ML</t>
  </si>
  <si>
    <t>NAVARRO COREAS EXTRA BRUT 750ML</t>
  </si>
  <si>
    <t>SANTA CAROLINA CARMENERE 75O ML</t>
  </si>
  <si>
    <t>TRAPICHE RESERVA MALBEC 750ML</t>
  </si>
  <si>
    <t xml:space="preserve">VINO ENATE CHARDONAY 750 ML </t>
  </si>
  <si>
    <t>VINO LAS MORAS TINTO MALBEC 750 ML</t>
  </si>
  <si>
    <t>VINO TRAPICHE FINO MALBEC 750ML</t>
  </si>
  <si>
    <t>VINO TRAPICHE MERLOT VARIETAL 750L</t>
  </si>
  <si>
    <t>SPARKLING ANGEL 750ML</t>
  </si>
  <si>
    <t>MONTES ALPHA CHARDONNAY 750ML</t>
  </si>
  <si>
    <t>MONTES CHERUP 750ML</t>
  </si>
  <si>
    <t>VNO CHAN DE ROSAS CUVEE ALBARIÃ‘O 750ML</t>
  </si>
  <si>
    <t xml:space="preserve">FILETE DE SALMON X 180GN </t>
  </si>
  <si>
    <t>ATUN POR 130 GRAMOS</t>
  </si>
  <si>
    <t>CARNE DE JAIBA CLAWN X KILO</t>
  </si>
  <si>
    <t>CASCARA DE LANGOSTINO X KILO</t>
  </si>
  <si>
    <t>FILETE DE DORADO X 200GR</t>
  </si>
  <si>
    <t>FILETE DE ROBALO*200G</t>
  </si>
  <si>
    <t>HUESO DE PESCADO MAR X KILO</t>
  </si>
  <si>
    <t>PALMITO DE CANGREJO x500GR</t>
  </si>
  <si>
    <t>TINTA DE CALAMAR SQUID INK X 500 GR</t>
  </si>
  <si>
    <t>PULPO MEXICANO 2-4</t>
  </si>
  <si>
    <t>CABEZA DE TILAPIA NEGRA X KILO</t>
  </si>
  <si>
    <t>SUB. BROWNIE DE CHOCOLATE</t>
  </si>
  <si>
    <t>SUB. BROWNIE DE CHOCOLATE BLANCO</t>
  </si>
  <si>
    <t>SUB. CHICHARRON</t>
  </si>
  <si>
    <t>SUB. COSTILLA</t>
  </si>
  <si>
    <t>SUB. CROQUETAS DE JAIBA</t>
  </si>
  <si>
    <t>SUB. PALMITOS</t>
  </si>
  <si>
    <t>SUB. POSTA</t>
  </si>
  <si>
    <t>SUB. PULPO MEXICANO</t>
  </si>
  <si>
    <t>SUB. ROLL SPRING ROLLS</t>
  </si>
  <si>
    <t>SUB. SOBREBARRIGA</t>
  </si>
  <si>
    <t>a / 1271</t>
  </si>
  <si>
    <t>HOT WINGS</t>
  </si>
  <si>
    <t>BLACK HONEY LAFRICA X750ML</t>
  </si>
  <si>
    <t>FLOR DE CAÃ‘A 12 AÃ‘OS 750</t>
  </si>
  <si>
    <t>ND</t>
  </si>
  <si>
    <t>TEQUILA BLACO CAZADOR X 750ML</t>
  </si>
  <si>
    <t>TEQUILA JIMADOR BLANCO 700ML</t>
  </si>
  <si>
    <t>VODKA ABSOLUT RASPBERRI 750ML</t>
  </si>
  <si>
    <t>AMATORE AMARETTO 750ML</t>
  </si>
  <si>
    <t>JACK DANIEL'SÂ OLD NO. 7</t>
  </si>
  <si>
    <t>TEQUILA PATRON REPOSADO 700</t>
  </si>
  <si>
    <t>WHISKEY JACK DANIELS HONEY 750CC 35Âº ALC.</t>
  </si>
  <si>
    <t>WHISKY JACK DANIELS 700 APPLE 700</t>
  </si>
  <si>
    <t xml:space="preserve"> FRANGELICO HAZELNUT LIQUER 750ML</t>
  </si>
  <si>
    <t>JAGERMEISTER - JAGER 750ML</t>
  </si>
  <si>
    <t>RON BACARDI DE MANDARINA*750ML</t>
  </si>
  <si>
    <t>RON VIEJO DE CALDAS 3 AÃ‘OS 375ML</t>
  </si>
  <si>
    <t>RON VIEJO DE CALDAS 8 AÃ‘OS</t>
  </si>
  <si>
    <t>WHISKEY BULLEIT RYE GLASS 750ML</t>
  </si>
  <si>
    <t>WHISKY JACK DANIEL'S FIRE 700ML</t>
  </si>
  <si>
    <t>RON CARBON 750ML</t>
  </si>
  <si>
    <t>CANADA DRY X300ML</t>
  </si>
  <si>
    <t>JUNIPER DE DURAZNO *207ML</t>
  </si>
  <si>
    <t>BARRIL DE CERVEZA TACOS PICANTE  X20L</t>
  </si>
  <si>
    <t>CERVEZA MODELO ESPECIAL BOTELLA X6UND (2130 ML</t>
  </si>
  <si>
    <t>BARRIL CERVEZA IRISH RED ALE 20L</t>
  </si>
  <si>
    <t>BARRIL DE CERVEZA AMERICA APA BARRIL X 20LT</t>
  </si>
  <si>
    <t>BARRIL DE CERVEZA AMERICA LAGER</t>
  </si>
  <si>
    <t>BARRIL DE CERVEZA AMERICA SEASON IPA</t>
  </si>
  <si>
    <t>BARRIL DE CERVEZA DARK LAGER</t>
  </si>
  <si>
    <t>BARRIL DE CERVEZA IPA REGULAR X20L</t>
  </si>
  <si>
    <t>BARRIL DE CERVEZA SAN JUANERA FRUTOS ROJO</t>
  </si>
  <si>
    <t>BARRIL DE CERVEZA STOUT NEGRA 20LM</t>
  </si>
  <si>
    <t>ALAS x KILO</t>
  </si>
  <si>
    <t>CONTRA MUSLOS x1KL</t>
  </si>
  <si>
    <t>CONTRAMUSLO DESHUESADO X KILO MALANGA</t>
  </si>
  <si>
    <t>CARNE DE MORRILLO X KILO</t>
  </si>
  <si>
    <t>GRASA DE CHICHARRON X KILO</t>
  </si>
  <si>
    <t>CARNE REFRIGERADA WINGS X UNIDAD</t>
  </si>
  <si>
    <t xml:space="preserve">BIG BOGGER X10UND </t>
  </si>
  <si>
    <t>COLA DE RES X KILO</t>
  </si>
  <si>
    <t>COSTILLAS CON CARTILAGO  X KILO</t>
  </si>
  <si>
    <t>ENTRECOT UND *250G</t>
  </si>
  <si>
    <t>PECHO DE RES X KILOO</t>
  </si>
  <si>
    <t>ANCHOAS x50g</t>
  </si>
  <si>
    <t>SUB. ALAS PICADAS</t>
  </si>
  <si>
    <t>SUB. BRISKET COCCION</t>
  </si>
  <si>
    <t>SUB. BROWNIE DE CHOCOLATE  (VOLCAN)</t>
  </si>
  <si>
    <t>SUB. BROWNIE DE CUMPLE</t>
  </si>
  <si>
    <t>SUB. CHEESE CAKE NEW YORK</t>
  </si>
  <si>
    <t>SUB. CHILE CON CARNE</t>
  </si>
  <si>
    <t>SUB. CONTRA MUSLOS (HOTWINGS)</t>
  </si>
  <si>
    <t xml:space="preserve">SUB. COSTILLA SAN LUIS </t>
  </si>
  <si>
    <t>SUB. COSTILLAS HOT WINGS</t>
  </si>
  <si>
    <t>SUB. CRISPETAS DE POLLO</t>
  </si>
  <si>
    <t>SUB. DEDOS DE MOZARELLA</t>
  </si>
  <si>
    <t>SUB. SALSA BBQ DULCE</t>
  </si>
  <si>
    <t>FILETE DE PECHUGA MARIPOSA *150G</t>
  </si>
  <si>
    <t>SUB. GALLETA DE CHOCOLATE</t>
  </si>
  <si>
    <t>Costo Ajuste</t>
  </si>
  <si>
    <t>FECHA</t>
  </si>
  <si>
    <t>SERIE</t>
  </si>
  <si>
    <t>FAMILIA</t>
  </si>
  <si>
    <t>Artículo</t>
  </si>
  <si>
    <t>Subartículo</t>
  </si>
  <si>
    <t>Stock a Fecha</t>
  </si>
  <si>
    <t>Stock Inventario</t>
  </si>
  <si>
    <t>Variación Stock</t>
  </si>
  <si>
    <t>Almacen</t>
  </si>
  <si>
    <t>Centro de Costos</t>
  </si>
  <si>
    <t>Coste LÃ­nea</t>
  </si>
  <si>
    <t>a / 1267</t>
  </si>
  <si>
    <t>ROCOTO PROVENZA</t>
  </si>
  <si>
    <t>ABSOLUT 350ML</t>
  </si>
  <si>
    <t>TEQUILA 1800 AÃ‘EJO 700ML</t>
  </si>
  <si>
    <t>BAILEYS ORIGINAL 1,0LORD097ORD096</t>
  </si>
  <si>
    <t>PISCO BARSOL ACHOLADO 750ML</t>
  </si>
  <si>
    <t>RED BULL ENERGY DRINK, 8.3OZ. CAN, 24/CT, ORIGINAL</t>
  </si>
  <si>
    <t xml:space="preserve">CERVEZA TORREALTA </t>
  </si>
  <si>
    <t>CERVEZA CUSQUEÃ‘A NEGRA SIX PACK BOTELLAS (310 ML)</t>
  </si>
  <si>
    <t>VINO TINTO TARAPACA MALBEC 750 ML</t>
  </si>
  <si>
    <t>ALBARIÃ‘O MAR DE FRADES 75 CL.</t>
  </si>
  <si>
    <t>ESPUMANTE CHANDON ARGENTINA BRUT 187ML</t>
  </si>
  <si>
    <t>ESPUMANTE CHANDON EXTRA BRUT BLANC DE NOIR 750ML</t>
  </si>
  <si>
    <t>FREIXENET CORDÃ“N NEGRO BRUT 187ML</t>
  </si>
  <si>
    <t>FREIXENET CORDÃ“N NEGRO BRUT 750ML</t>
  </si>
  <si>
    <t>LA CELIA RESERVA CHARDONNAY 750L</t>
  </si>
  <si>
    <t>MIONETTO PROSECCO DOC TREVISO PRESTIGE COLLECTION BRUT 0.75L</t>
  </si>
  <si>
    <t>MIONETTO PROSECCO DOC TREVISO PRESTIGE COLLECTION BRUT 187L</t>
  </si>
  <si>
    <t>RAMON BILBAO ROSADO RIOJA 75CL</t>
  </si>
  <si>
    <t>VEUVE DURAND CHAMPAGNE BRUT RÃ‰SERVE</t>
  </si>
  <si>
    <t>VINO BCO RAMON BILBAO VERDEJO 750ML</t>
  </si>
  <si>
    <t>VINO LAMBRUSCO BLANCO PICCINI 750ML</t>
  </si>
  <si>
    <t>VINO TARAPACA VARIETAL CABERNET 750ML</t>
  </si>
  <si>
    <t>VINO TARAPACA VARIETAL ROSÃ‰ 75CL</t>
  </si>
  <si>
    <t>VINO TARAPACA VARIETAL SAUVIGNON BL 750ML</t>
  </si>
  <si>
    <t>VINO TINTO RAMÃ“N BILBAO CRIANZA TEMPRANILLO</t>
  </si>
  <si>
    <t>MENADE ORGANIC SAUVIGNON, CASTILLA Y LEON, SPAIN VERDEJO</t>
  </si>
  <si>
    <t>MENADE SAUVIGNON BLANC RUEDA 2023 (BIO)</t>
  </si>
  <si>
    <t>VINO TINTO OSTATU CRIANZA 750ML</t>
  </si>
  <si>
    <t xml:space="preserve">SUB. CALAMAR CEVICHERIA </t>
  </si>
  <si>
    <t>SUB. CAUSA DE ATUN</t>
  </si>
  <si>
    <t>SUB. CROQUETA DE POLLO</t>
  </si>
  <si>
    <t>SUB. EMPANADAS DE LOMO SALTADO</t>
  </si>
  <si>
    <t>SUB. LANGOSTINOS APANADOS (ROCOTO)</t>
  </si>
  <si>
    <t>SUB. LANGOSTINOS CROCANTES (ROCOTO)</t>
  </si>
  <si>
    <t>SUB. POLLO AJI DE GALLINA</t>
  </si>
  <si>
    <t>SUB. POLLO LIMEÃ‘O</t>
  </si>
  <si>
    <t>SUB. TORTA DE CHOCOLATE</t>
  </si>
  <si>
    <t>SUB. COSTILLAS (ROCOTO)</t>
  </si>
  <si>
    <t>SUB. SPRINROLL DE NUTELLA (ROCOTO)</t>
  </si>
  <si>
    <t>SUB-RECETAS CP</t>
  </si>
  <si>
    <t>SUB. CHANCHO A LA CRIOLLA</t>
  </si>
  <si>
    <t>SUB. EMPANADAS</t>
  </si>
  <si>
    <t>SUB. PASTA DE AJI AMARILLO (ROCOTO)</t>
  </si>
  <si>
    <t>SUB. PASTA DE AJI ROCOTO (PC)</t>
  </si>
  <si>
    <t>SUB. PULPO MEXICANO (ROCOTO)*150G</t>
  </si>
  <si>
    <t>SUB. PULPO MEXICANO *40</t>
  </si>
  <si>
    <t>SUB. SPRING ROLLS AJI DEGALLINA</t>
  </si>
  <si>
    <t>SUB. MACERADO DE COCA</t>
  </si>
  <si>
    <t>SUB. MACERADO DE MARACUMANGO</t>
  </si>
  <si>
    <t>SUB. MACERADO DE PISCOS HIERBA-LUISA</t>
  </si>
  <si>
    <t xml:space="preserve">SUB. MACERADO DE UCHUVA Y AJI ROCOTO </t>
  </si>
  <si>
    <t>SUB. TAMARINDO-LULO Y JALAPEÃ‘O</t>
  </si>
  <si>
    <t>a / 1268</t>
  </si>
  <si>
    <t>ROCOTO AMSTERDAM</t>
  </si>
  <si>
    <t>a / 1269</t>
  </si>
  <si>
    <t>ROCOTO LAURELES</t>
  </si>
  <si>
    <t>a / 1273</t>
  </si>
  <si>
    <t>PLANTA PRODUCCIÃ“N ROCOTO</t>
  </si>
  <si>
    <t>PECHUGA DE POLLO CON HUESO X KILO</t>
  </si>
  <si>
    <t>SUB. FRESA DESHIDRATADA</t>
  </si>
  <si>
    <t>SUB. BASE AJI DE GALLINA</t>
  </si>
  <si>
    <t>SUB. FODGE CUBIERTA</t>
  </si>
  <si>
    <t>SUB. POLLO COCIDO</t>
  </si>
  <si>
    <t>SUB. AJI PANCA</t>
  </si>
  <si>
    <t>SUB. CHICHA MORADA</t>
  </si>
  <si>
    <t>SUB. FRIJOL CANARIO</t>
  </si>
  <si>
    <t>SUB. MERENGUE</t>
  </si>
  <si>
    <t>SUB. PAPA CRIOLLA</t>
  </si>
  <si>
    <t>SUB. BIZCOCHO DE CHOCOLATE</t>
  </si>
  <si>
    <t>SUB. GANACHE DE CHOCOLATE</t>
  </si>
  <si>
    <t>SUB. TORONJA DESHIDRATADA</t>
  </si>
  <si>
    <t>SUB. COCO DESHIDRATADO</t>
  </si>
  <si>
    <t>SUB. LIMON DESHIDRATADO</t>
  </si>
  <si>
    <t>SUB. PIÃ‘A DESHIDRATADA</t>
  </si>
  <si>
    <t>a / 1275</t>
  </si>
  <si>
    <t xml:space="preserve"> GLENMORANGIE 12 AÃ‘OS</t>
  </si>
  <si>
    <t>GLENMORANGIE 14 AÃ‘OS</t>
  </si>
  <si>
    <t>RON PARCE 12 AÃ‘OS 750ML</t>
  </si>
  <si>
    <t>RON PARCE 8 AÃ‘OS 750ML</t>
  </si>
  <si>
    <t>RON PARCE BROTHERS BLEND 750ML</t>
  </si>
  <si>
    <t>DON JULIO BLANCO 0,70L</t>
  </si>
  <si>
    <t>DON JULIO REPOSADO 750ML</t>
  </si>
  <si>
    <t xml:space="preserve">VODKA KARLOVA 100ML </t>
  </si>
  <si>
    <t>CERVEZA PILSEN  NEGRA COCINA</t>
  </si>
  <si>
    <t>CERVEZA PILSEN RETORNABLE 330CC</t>
  </si>
  <si>
    <t>PIERNA DE CERDO*100G</t>
  </si>
  <si>
    <t>MARTINI VERMUTH ROSSO 750ML</t>
  </si>
  <si>
    <t>SUB. BROWNIE DE RED VELVET</t>
  </si>
  <si>
    <t>a / 1276</t>
  </si>
  <si>
    <t>BRETAÃ‘A FRIOPACK 300L</t>
  </si>
  <si>
    <t>LAMBRUSCO CLETO CHIARLI ROSE 750ML</t>
  </si>
  <si>
    <t>VINO TARAPACA CABERNET SAUVIGNON BL 750ML</t>
  </si>
  <si>
    <t xml:space="preserve">SUB. LANGOSTINOS CROCANTES </t>
  </si>
  <si>
    <t>SUB. MACERADO DE TAMARINDO-LULO Y JALAPEÃ‘O</t>
  </si>
  <si>
    <t>a / 1277</t>
  </si>
  <si>
    <t>TEQUILA PATRON CRISTALINO 700</t>
  </si>
  <si>
    <t xml:space="preserve">TEQUILA PATRON REPOSADO 700 </t>
  </si>
  <si>
    <t>TEQUILA PATRON SILVER 700</t>
  </si>
  <si>
    <t>a / 1278</t>
  </si>
  <si>
    <t>a / 1279</t>
  </si>
  <si>
    <t>ABSOLUT VODKA CITRON 750 ML</t>
  </si>
  <si>
    <t>ABSOLUT VODKA MANDARINA 750 ML</t>
  </si>
  <si>
    <t>WHISKY JACK DANIEL'S FIRE 750ML</t>
  </si>
  <si>
    <t>JAMÃ“N DE CERDO VIANDÃ‰ 400 GRS</t>
  </si>
  <si>
    <t>CARNE PARA HAMBURGUESA X UNIDAD</t>
  </si>
  <si>
    <t>RECORTE DE POLLO IMPORTADO *KILO</t>
  </si>
  <si>
    <t>ANCHOAS X50GR</t>
  </si>
  <si>
    <t>SUB. ALITAS ADOBADA</t>
  </si>
  <si>
    <t>SUB. FILETE DE PECHUGASUB *150G</t>
  </si>
  <si>
    <t>Ajuste</t>
  </si>
  <si>
    <t>a / 1281</t>
  </si>
  <si>
    <t xml:space="preserve">VODKA KARLOVA 700ML </t>
  </si>
  <si>
    <t>ABARROTES</t>
  </si>
  <si>
    <t>CACAO ORGANICO GRANULADOA</t>
  </si>
  <si>
    <t>KIT MADERAS AHUMADOR POLYSCIENCE BREVILLE</t>
  </si>
  <si>
    <t>MIXTURA DE AJONJOLI X 500 GR</t>
  </si>
  <si>
    <t>FRIJOL CANARIO * KILO</t>
  </si>
  <si>
    <t>MAIZ CANCHA</t>
  </si>
  <si>
    <t>MAYOESA ALASENA X475G</t>
  </si>
  <si>
    <t>ARMONIA TARTUFATA X 500</t>
  </si>
  <si>
    <t>SEAWEED SALAD SHIRAKIKU X 4.4 LB</t>
  </si>
  <si>
    <t>SHIRAKIKU GYOSAS SKIN PQT X 10 OZ</t>
  </si>
  <si>
    <t>SPRING ROLL WEI CHUAN X 25 WRAPS</t>
  </si>
  <si>
    <t>SRIRACHA HOT CHILLI SAUCE x 482ML</t>
  </si>
  <si>
    <t>PASTA LA MOLISANA ASPAGUETTI AL NERO SEPPIA*250G</t>
  </si>
  <si>
    <t>SALSA EN POLVO TAJIN CLASICO X 142G</t>
  </si>
  <si>
    <t>CHICHA JORA*1L</t>
  </si>
  <si>
    <t>SERRIN JACK DANIELS 130GR BT</t>
  </si>
  <si>
    <t>AJONJOLI BLANCO TOSTADO *500G</t>
  </si>
  <si>
    <t>MANI TRITURADO X500 GR</t>
  </si>
  <si>
    <t>MIXTURA DE QUINUA X500G</t>
  </si>
  <si>
    <t>NUEZ PECANA X 907 GR</t>
  </si>
  <si>
    <t>PIMIENTA DE OLOR X 250G</t>
  </si>
  <si>
    <t>STAR ANISE THAI X113GR</t>
  </si>
  <si>
    <t xml:space="preserve">MIEL DE ABEJA PURA S/ VALENTINX 480G </t>
  </si>
  <si>
    <t>PIMIENTA ROSADA EN GRANO X250G</t>
  </si>
  <si>
    <t>SAL ROSADA DEL HIMALAYA X 500G</t>
  </si>
  <si>
    <t>SEMILLA DE CORIANDRO X 300GR</t>
  </si>
  <si>
    <t>SORBATO DE POTASIO * KILO</t>
  </si>
  <si>
    <t>HONDASHI*1KG</t>
  </si>
  <si>
    <t xml:space="preserve">MASAGO X 4.4 LB </t>
  </si>
  <si>
    <t>MIGA DE PAN PANKO BLANCO X 20 KILOS</t>
  </si>
  <si>
    <t>TEMPURA KILO</t>
  </si>
  <si>
    <t>TOGARASHI HACHI 300 GR</t>
  </si>
  <si>
    <t>WAKAME*500G</t>
  </si>
  <si>
    <t>ARROZ  CASTELLANO X 1KG</t>
  </si>
  <si>
    <t>ARVEJA MCCAIN X 1KG 4922</t>
  </si>
  <si>
    <t>AZUCAR MANUELITA  BOLSA X 5LB</t>
  </si>
  <si>
    <t>AZUCAR SOBRES MANUELITA BOLSA X200S X 5G</t>
  </si>
  <si>
    <t>CANELA EN POLVO BADIA X454G</t>
  </si>
  <si>
    <t>COLCAFE GRANULADO CLASICO X500 GR</t>
  </si>
  <si>
    <t xml:space="preserve">CREMA AVELLANAS CORDILLERA X1K </t>
  </si>
  <si>
    <t>CREMA DE COCO ROLAND X 960 GR</t>
  </si>
  <si>
    <t>HARINA DE TRIGO HAZ DE OROS BOLSA X550g</t>
  </si>
  <si>
    <t>HARINA PAN BLANCA X 1KG</t>
  </si>
  <si>
    <t>MAIZ TIERNO METOO VACUMX 340G DRE 285G</t>
  </si>
  <si>
    <t>MAIZENA X  KILO</t>
  </si>
  <si>
    <t xml:space="preserve">MAYONESA ESP ZAFRAN X 3600G 685-542-102 </t>
  </si>
  <si>
    <t>MAYONESA FRUCO GALON X3770G</t>
  </si>
  <si>
    <t>MENTAS *50UND COLOMBINA</t>
  </si>
  <si>
    <t>MOSTAZA FRUCO GAL X 4015G</t>
  </si>
  <si>
    <t>PANELA REG. SAN VALENTIN EMPACAR X PAR</t>
  </si>
  <si>
    <t>PAPA DELGADA 9X9 2KG 5300</t>
  </si>
  <si>
    <t>PASTA DE TOMATE X KILO</t>
  </si>
  <si>
    <t>PIMIENTA NEGRA MOLIDA BADIA 453GR</t>
  </si>
  <si>
    <t>PURE DE PAPA KNORR X800G</t>
  </si>
  <si>
    <t>SAL REFISAL X 1000G</t>
  </si>
  <si>
    <t>SALSA DE TOMATE FRUCO GX 4350G</t>
  </si>
  <si>
    <t>SPAGHETTI NÂ°5 MONTICELLOÂ 500 GR</t>
  </si>
  <si>
    <t>SPLENDA X 700U X 1G</t>
  </si>
  <si>
    <t>SUGG SYRUP VAINILLA CHOCOANA VIDRIOX750ML</t>
  </si>
  <si>
    <t>VINO BLANCO CAVIC TETRAPACK X 1LT</t>
  </si>
  <si>
    <t>VINO TINTO CAVIC TETRAPACK X 1LT</t>
  </si>
  <si>
    <t>PULPA DE TAMARINDO X KILO</t>
  </si>
  <si>
    <t>ALMIDON EXTRA ROSQUILLERO X1000 GR</t>
  </si>
  <si>
    <t>COBERTURA MON NEGRA X 2,5KL LUKER-CAJAX4-5%</t>
  </si>
  <si>
    <t xml:space="preserve">MIEL MAPLE BARY X 480G </t>
  </si>
  <si>
    <t>NUEZ MOSCADAGRA</t>
  </si>
  <si>
    <t>PISTACHOS SALADOS *706 NUTOS</t>
  </si>
  <si>
    <t>SALSA DE HUMO INNOVAL X 1000</t>
  </si>
  <si>
    <t>WHIP TOPPING X 1 KL</t>
  </si>
  <si>
    <t>CEBOLLA EN POLVO BADIA x500G</t>
  </si>
  <si>
    <t>COLOR LA GRAN COCINA CIX 500GR</t>
  </si>
  <si>
    <t>CURRY BADIA X454G</t>
  </si>
  <si>
    <t>SALSA DE SOYA X 2O LITROS</t>
  </si>
  <si>
    <t>HUEVO DE CODORNIZ *24UND</t>
  </si>
  <si>
    <t>HUEVOS AA</t>
  </si>
  <si>
    <t>FRUVER</t>
  </si>
  <si>
    <t>MENTA X KILO</t>
  </si>
  <si>
    <t xml:space="preserve">BOTONES DE ROSAS </t>
  </si>
  <si>
    <t>BROCOLI X KILO</t>
  </si>
  <si>
    <t>BANDEJA MAIZ DULCE BANDEJA X 1000</t>
  </si>
  <si>
    <t>AJI LIMO X KILO</t>
  </si>
  <si>
    <t>OREGANO X 500GR</t>
  </si>
  <si>
    <t>AJI AMARILLO X KILO</t>
  </si>
  <si>
    <t>AJI CHILE X KILO</t>
  </si>
  <si>
    <t>AJI DULCE X KILO</t>
  </si>
  <si>
    <t>AJI ROCOTO X KILO</t>
  </si>
  <si>
    <t>AJO LIMPIO X KILO</t>
  </si>
  <si>
    <t>ALBAHACA X KILO</t>
  </si>
  <si>
    <t>APIO X KILO</t>
  </si>
  <si>
    <t>ARANDANOS CAJA X 125GRA</t>
  </si>
  <si>
    <t>ARVEJA DESGRANADA X KILO</t>
  </si>
  <si>
    <t>BANDEJA UVA ISABELLA X KILO</t>
  </si>
  <si>
    <t>CAMOTE X KILO</t>
  </si>
  <si>
    <t>CEBOLLA BLANCA LIMPIA X KILO</t>
  </si>
  <si>
    <t>CEBOLLA MORADA LIMPIA</t>
  </si>
  <si>
    <t>CEBOLLA PUERRO X KILO</t>
  </si>
  <si>
    <t>CEBOLLA RAMA LIMPIA X KILO</t>
  </si>
  <si>
    <t>CEBOLLIN*KILO</t>
  </si>
  <si>
    <t>CHAMPIÃ‘ON PORTOBELLO X KILO</t>
  </si>
  <si>
    <t>CHAMPIÃ‘ON X KILO</t>
  </si>
  <si>
    <t>CILANTRO LIMPIO X KILO</t>
  </si>
  <si>
    <t>COCO X KILO</t>
  </si>
  <si>
    <t>COGOLLO EUROPEO *250</t>
  </si>
  <si>
    <t>CURUBA * KILO</t>
  </si>
  <si>
    <t>ESPINACA BOGOTANA X KILO</t>
  </si>
  <si>
    <t>FLOR DE JAMAICA X KILO</t>
  </si>
  <si>
    <t>FRESA JUMBO I X KILO</t>
  </si>
  <si>
    <t>GUAYABA X KILO</t>
  </si>
  <si>
    <t>HABICHUELA X KILO</t>
  </si>
  <si>
    <t>HOJA DE BIJAO</t>
  </si>
  <si>
    <t>JENGIBRE X KILO</t>
  </si>
  <si>
    <t>LAUREL X KILO</t>
  </si>
  <si>
    <t>LECHUGA ROMANA *250G</t>
  </si>
  <si>
    <t>LIMON MANDARINO X KILO</t>
  </si>
  <si>
    <t>LIMONCILLO X KILO</t>
  </si>
  <si>
    <t>LULO X KILO</t>
  </si>
  <si>
    <t>MANDARINA X KILO</t>
  </si>
  <si>
    <t>MANGO TOMMY X KILO</t>
  </si>
  <si>
    <t>MANZANA ROJA X KILO</t>
  </si>
  <si>
    <t>MARACUYA X KILO</t>
  </si>
  <si>
    <t>MAZORCA SIN CAPACHO X KILO</t>
  </si>
  <si>
    <t>MORA X KILO</t>
  </si>
  <si>
    <t>OCHUVA CON CAPACHO</t>
  </si>
  <si>
    <t>PAPA CAPIRA COROZO *1KL</t>
  </si>
  <si>
    <t>PAPA CRIOLLA BALIN O CHIRIYA</t>
  </si>
  <si>
    <t>PAPA NEVADA X KILO</t>
  </si>
  <si>
    <t>PEPINO COHOMBROX KILO</t>
  </si>
  <si>
    <t>PEREJIL CRESPO X KILO</t>
  </si>
  <si>
    <t>PIMENTON X KILO</t>
  </si>
  <si>
    <t>PIÃ‘A ORO MIEL X KILO</t>
  </si>
  <si>
    <t>PLATANO MADURO</t>
  </si>
  <si>
    <t>PLATANO VERDE X KILO</t>
  </si>
  <si>
    <t>REMOLACHA X KILO</t>
  </si>
  <si>
    <t>REPOLLO MORADO X KILO</t>
  </si>
  <si>
    <t>ROMERO X KILO</t>
  </si>
  <si>
    <t>SANDIA X KILO</t>
  </si>
  <si>
    <t>TOMATE CHERRY X KILO</t>
  </si>
  <si>
    <t>TOMATE CHONTO X KILO</t>
  </si>
  <si>
    <t>TOMATE PERLA X KILO</t>
  </si>
  <si>
    <t>TOMILLO X KILO</t>
  </si>
  <si>
    <t>TORONJA X KILO</t>
  </si>
  <si>
    <t>UVA CHILENA X KILO</t>
  </si>
  <si>
    <t>YUCA X KILO</t>
  </si>
  <si>
    <t>ZANAHORIA TRONCO X KILO</t>
  </si>
  <si>
    <t>BROTES DE RABANO 50</t>
  </si>
  <si>
    <t>FLORES COMESTIBLES (PENSAMIENTOS)</t>
  </si>
  <si>
    <t>AGUACATE CHOCKETTE X KILO</t>
  </si>
  <si>
    <t>GULUPA X KILO</t>
  </si>
  <si>
    <t>LIMON TAHITI X KILO</t>
  </si>
  <si>
    <t>HIERBA BUENA X 500 KILO</t>
  </si>
  <si>
    <t>CHICHARRON X KILO</t>
  </si>
  <si>
    <t>LACTEOS</t>
  </si>
  <si>
    <t>CREMA DE AGRIA X400G</t>
  </si>
  <si>
    <t>QUESO ALPINA PARMESANO RAYADO 2.5 L</t>
  </si>
  <si>
    <t>QUESO PARMESSANO EN CUÃ‘A *1K</t>
  </si>
  <si>
    <t>QUESO PHILADELPHIA KRAFT 190GR</t>
  </si>
  <si>
    <t>AREQUIPE ALPINA INSTITUCIONAL 5KG</t>
  </si>
  <si>
    <t xml:space="preserve">CREMA DE LECHE  X 9700G </t>
  </si>
  <si>
    <t>CUAJADA COLANTA X 500G</t>
  </si>
  <si>
    <t>LECHE UHT ENTERA BOLSA X 1000ML</t>
  </si>
  <si>
    <t>MANTEQUILLA FRESCA BATIDA X KILO</t>
  </si>
  <si>
    <t>QUESO CREMA GRANEL X 4K</t>
  </si>
  <si>
    <t>CAJA 10 LT VAINILLA POP CREM</t>
  </si>
  <si>
    <t>MATERIAL DE EMPAQUE</t>
  </si>
  <si>
    <t xml:space="preserve">AL-24 BASE </t>
  </si>
  <si>
    <t>BOLSA PLANA FLEXIBLE SIN IMPRESION TRANSPARENTE 32X42 CM 70 MICRAS</t>
  </si>
  <si>
    <t>BOLSA 1X0 (18X 12cm)</t>
  </si>
  <si>
    <t xml:space="preserve">AL-27 TAPA DOMO </t>
  </si>
  <si>
    <t>ROLLO DE ETIQUETAS ADHESIVAS 50*74 MM X 1000UND</t>
  </si>
  <si>
    <t>BOLSA PLANA FLEXIBLE SIN IMPRESION TRANSPARENTE 20X35 CM 70 MICRAS</t>
  </si>
  <si>
    <t>BOLSA TRASNP 8*12 ALTA X100UND</t>
  </si>
  <si>
    <t>MANGAS REPOSTERAS #18</t>
  </si>
  <si>
    <t>PINCHO CALAVERA MEX 12CMX100 LACELIER</t>
  </si>
  <si>
    <t>AL-139 TAPA Y DOMO 12 ONZAS</t>
  </si>
  <si>
    <t>AL-47 TAPA DOMO SEMIOVALADA EN BOPS</t>
  </si>
  <si>
    <t xml:space="preserve">AL-55 BASE EMPAQUE EN BOPS NEGRO </t>
  </si>
  <si>
    <t>BOLSA KRAF NÂ° 1 *100 UN</t>
  </si>
  <si>
    <t>BOLSA KRAF NÂ° 12 *50 UND</t>
  </si>
  <si>
    <t>BOLSA KRAF NÂ° 25 *100 UND</t>
  </si>
  <si>
    <t>BOLSA KRAF NÂ° 60 *50 UND</t>
  </si>
  <si>
    <t>CONTENEDOR C1 (REM No 46532)</t>
  </si>
  <si>
    <t>CUCHARAS NEGRAS DARNEL X100 UND</t>
  </si>
  <si>
    <t>CUCHILLOS NEGROS DARNEL X100UND</t>
  </si>
  <si>
    <t>MEZCLADORES DE LICOR*100 UND</t>
  </si>
  <si>
    <t>PITILLOS DESECHABLES *200 UND</t>
  </si>
  <si>
    <t>PORTA CUBIERTOS DE PAPEL</t>
  </si>
  <si>
    <t>VASO ECONO TRASNSPARENTE X12ONZ X 50UND</t>
  </si>
  <si>
    <t>HASIS BAMBOO ATL PAQ X 100UND</t>
  </si>
  <si>
    <t>BOLSA PARA PORCIONAR 10*14 100UND</t>
  </si>
  <si>
    <t>BOLSA PARA PORCIONAR 6*9 100UND</t>
  </si>
  <si>
    <t>BOLSA TRASNP 6*8 ALTA X100UNDJ</t>
  </si>
  <si>
    <t>BOLSA AL VACIO 32*42 DE 65 MICRAS N</t>
  </si>
  <si>
    <t>BOLSA KRAF NÂ° 6 X 100UNDEMP093</t>
  </si>
  <si>
    <t>BOLSA ZIPLOC 20X30X100 UND</t>
  </si>
  <si>
    <t>GUANTE PLASTICO PQ 100 CLAY CJ100</t>
  </si>
  <si>
    <t>PALILLO REDONDO DIENTES FESTIVAL*120UND</t>
  </si>
  <si>
    <t>PELIE VINIPEL 12PULGX1500MTS SM-300-1500</t>
  </si>
  <si>
    <t>ROLLO PAPEL ALUMINIO TUC 300METROS</t>
  </si>
  <si>
    <t>ROLLO TERMICO IMPRESORA 70*80 PQT6UND</t>
  </si>
  <si>
    <t>SALSERO DIP 1,5 OZ TUC NEGRO X100U</t>
  </si>
  <si>
    <t>SERV. DE LUJO EXTRAF X50U 72501-72506</t>
  </si>
  <si>
    <t>SET DE CUBIERTOS TAMI BCO+SERXUDSCMOT101</t>
  </si>
  <si>
    <t>TAPA COPA SOUFFLÃ‰ 1,5OZ SIN BASE</t>
  </si>
  <si>
    <t>TAPA SALSERA DIP 0.5/0.75/10.0OZ TUCX100U</t>
  </si>
  <si>
    <t>TAPA VASO 16ONZ DARNEL*50UND</t>
  </si>
  <si>
    <t>TENEDOR DARNEL NEGRO X 100UND</t>
  </si>
  <si>
    <t>BOLSA CON AGARRADERA TROQUELADA DE 29X19X32</t>
  </si>
  <si>
    <t>INSUMOS BAR</t>
  </si>
  <si>
    <t>PETALOS DE ROSAS</t>
  </si>
  <si>
    <t>CAJA DE HIELO CUBO IGLU X 18UN</t>
  </si>
  <si>
    <t>ACIDO ASCORBICO 500GR</t>
  </si>
  <si>
    <t>PULPA DE COCO PAQUETE X10UND</t>
  </si>
  <si>
    <t>MANDARINA PAQUETE X 7 UNIDADES</t>
  </si>
  <si>
    <t>SALSA DE CHOCOLATE HERSHEYS X1360GR</t>
  </si>
  <si>
    <t>FRESH CITRUS 1.5LT PET (12)</t>
  </si>
  <si>
    <t>AROMATICA *7G</t>
  </si>
  <si>
    <t>CAFE VENETO SELECT PEPA X 2,5 KG</t>
  </si>
  <si>
    <t>JUGO DE ARANDANOS YUS PET 945 ML</t>
  </si>
  <si>
    <t>PANELA PULV ORGANIC BLACKMILL SACHET 5GR 200U</t>
  </si>
  <si>
    <t>SUGG SYRUP LYCHE VIDRIOX750ML</t>
  </si>
  <si>
    <t>AGRAZ *1000</t>
  </si>
  <si>
    <t>FRESA JUMBO * KILO BAR</t>
  </si>
  <si>
    <t>HIERBABUENA * KILO BAR</t>
  </si>
  <si>
    <t>MANGO TOMMY*KILO BAR</t>
  </si>
  <si>
    <t xml:space="preserve">MANZANA ROJA BAR </t>
  </si>
  <si>
    <t>MANZANA VERDE BAR</t>
  </si>
  <si>
    <t>NARANJA VALENCIAX KILO</t>
  </si>
  <si>
    <t>GOTAS AMARGAS BITTER ANGOSTURA*150G</t>
  </si>
  <si>
    <t>HOJA DE COCA*500G</t>
  </si>
  <si>
    <t>LIMON TAHITI *KILO BAR</t>
  </si>
  <si>
    <t>MATERIAL DE ASEO</t>
  </si>
  <si>
    <t>GUANTES DE NITRIO TALLA S</t>
  </si>
  <si>
    <t>DETERGENTE CREMA FROTEX VALVULA TX1000G</t>
  </si>
  <si>
    <t xml:space="preserve">BOLSA ROJA 18*24 </t>
  </si>
  <si>
    <t>BOLSA DE BLANCA BASURA JUMBO+50 UND</t>
  </si>
  <si>
    <t>BOLSA PARA BASURA NEGRA 46*46 PQT*10UND</t>
  </si>
  <si>
    <t>BOLSA PARA PORCIONAR 6*8 100UND</t>
  </si>
  <si>
    <t xml:space="preserve">BOLSA VERDE PARA LA BASURA </t>
  </si>
  <si>
    <t>ROLLO BOLSA 26*40 DE 198K</t>
  </si>
  <si>
    <t>ALCOHOL ETILICO 96%*20L</t>
  </si>
  <si>
    <t>DELANTAL GRANDE PROTEX BLANCO</t>
  </si>
  <si>
    <t>DESINFECTANTE BIOBAC *1L</t>
  </si>
  <si>
    <t>JABON REY 300G</t>
  </si>
  <si>
    <t>BOLSA BLANCA T30*100UND</t>
  </si>
  <si>
    <t>BREAK UP CHLOR D3.4 *20L W5172-REF:100865811</t>
  </si>
  <si>
    <t>DELANTAL POLOETILENO BLANCO X20u</t>
  </si>
  <si>
    <t>DESENGRASANTE SANIPLUS LM BRISA MARINA X4L</t>
  </si>
  <si>
    <t>DETERGENTE EN POLVO PPT*1KL</t>
  </si>
  <si>
    <t>ESCOBILLON SANITARIO BASE</t>
  </si>
  <si>
    <t xml:space="preserve">ESPONJA DE ALAMBRE LIDER </t>
  </si>
  <si>
    <t>ESPONJA DOBLE USO LAMINADA 3M VERDE</t>
  </si>
  <si>
    <t>ESPONJA ORO PLATA BRIO</t>
  </si>
  <si>
    <t>ESPONJILLA ACERO INOXIDABLE BRIO</t>
  </si>
  <si>
    <t>ESPONJILLA LA MAQUINA INSTITUC GRIS x 1U</t>
  </si>
  <si>
    <t>ESPONJILLA RULO DE ACERO IN BRIOX12U AUT</t>
  </si>
  <si>
    <t xml:space="preserve">FABULOSO SANIPLUS LMCANELA X GARRAFA </t>
  </si>
  <si>
    <t>GEL ANTIBACTERIAL SOFT CARE DESE H5X950M</t>
  </si>
  <si>
    <t>GORRO MALLA NEGRA 53CM*20u</t>
  </si>
  <si>
    <t>GORRO TIPO MONJA VELO 6UND</t>
  </si>
  <si>
    <t>GUANTES DE NITRIO TALLA L</t>
  </si>
  <si>
    <t>GUANTES DE NITRIO TALLA M</t>
  </si>
  <si>
    <t>HIPOCLORITO DE SODIO 15%*20L</t>
  </si>
  <si>
    <t>JABON ESPUMA SUAVx1000CC80530</t>
  </si>
  <si>
    <t>LIMPIADOR DE ACERO INOXIDABLE LATA X296ML</t>
  </si>
  <si>
    <t>LIMPION IND DESECH HD 2X305M 74079</t>
  </si>
  <si>
    <t>LIMPION INDUSTRIAL FAMILIA 74167 *1 UND</t>
  </si>
  <si>
    <t>PH JUMBO BCO TH 4ROLLOSx95MT 71197-71198</t>
  </si>
  <si>
    <t>SUMA BLEND X 20 L(Detergente liquido para  lavadodeloza)-Ref:AV00417</t>
  </si>
  <si>
    <t>SUMA EDEN D4.5X5L REF 101108972</t>
  </si>
  <si>
    <t>SUMA GRIL *5L REF:AV0077</t>
  </si>
  <si>
    <t>TIRILLA MEDI CHLORINE 10-200PPM DAV72431</t>
  </si>
  <si>
    <t>TIRILLA MEDI PH 0.06PPM DAV72577</t>
  </si>
  <si>
    <t>TIRILLA MEDI QUAT TEST 0-400PPM-DAV72432</t>
  </si>
  <si>
    <t>TOALLA DE MANO EN Z-200246</t>
  </si>
  <si>
    <t>TOALLA MANO NAT ROLL 6UX 100M 73689</t>
  </si>
  <si>
    <t>ULCX20L-REF: AV00274</t>
  </si>
  <si>
    <t xml:space="preserve">WYPALL X 80 AZUL 877 X 25 PAÃ‘OS </t>
  </si>
  <si>
    <t>LIMPIAVIDRIOS SANIPLUS*4L</t>
  </si>
  <si>
    <t>PH INDICADOR STRIPS ROLL-EDEN-REF DAV72577</t>
  </si>
  <si>
    <t>QUAT TES PAPER 100 STRIP/VIAL-SANITIZER REF:DAV72432</t>
  </si>
  <si>
    <t>TOALLA MICROFIBRA 50*50</t>
  </si>
  <si>
    <t>BOLSA 1X0 (20,5 X 13,5 cm)</t>
  </si>
  <si>
    <t>SUB.  SALSA TARTARA</t>
  </si>
  <si>
    <t>SUB. ACEITE DE CILANTRO</t>
  </si>
  <si>
    <t>SUB. ACEVICHADA</t>
  </si>
  <si>
    <t>SUB. ADEREZO DE CEBOLLA</t>
  </si>
  <si>
    <t>SUB. ADOBO</t>
  </si>
  <si>
    <t>SUB. AJI AMARILLO AHUMADO</t>
  </si>
  <si>
    <t>SUB. AROS DE CEBOLLA</t>
  </si>
  <si>
    <t>SUB. ARROZ COCIDO</t>
  </si>
  <si>
    <t>SUB. BASE DE MAYO ACEVICHADA (ROCOTO)</t>
  </si>
  <si>
    <t>SUB. BASE LECHE DE TIGRE</t>
  </si>
  <si>
    <t>SUB. BASE NORTEÃ‘A (CALLAO)</t>
  </si>
  <si>
    <t>SUB. CAMOTE GLASEADO</t>
  </si>
  <si>
    <t>SUB. CAUSA AJI AMARILLO</t>
  </si>
  <si>
    <t>SUB. CAUSA CILANTRO</t>
  </si>
  <si>
    <t>SUB. CEBOLLAS ENCURTIDAS</t>
  </si>
  <si>
    <t>SUB. CHALACA</t>
  </si>
  <si>
    <t>SUB. CHIMICHURRI (ROCOTO)</t>
  </si>
  <si>
    <t>SUB. CHIPS DE PLATANO</t>
  </si>
  <si>
    <t>SUB. CHIPS DE YUCA</t>
  </si>
  <si>
    <t>SUB. COCCION CHULETA</t>
  </si>
  <si>
    <t>SUB. CREMA MELCOCHA (ROCOTO)</t>
  </si>
  <si>
    <t>SUB. CROQUETAS DE AJI DE GALLINA</t>
  </si>
  <si>
    <t>SUB. ESPESANTE</t>
  </si>
  <si>
    <t>SUB. FALSA LECHE DE TIGRE</t>
  </si>
  <si>
    <t>SUB. FETUCCINI</t>
  </si>
  <si>
    <t>SUB. FONDO CLARO DE PESCADO</t>
  </si>
  <si>
    <t>SUB. FONDO DE PESCADO</t>
  </si>
  <si>
    <t>SUB. FONDO DE PESCADO ROJO</t>
  </si>
  <si>
    <t>SUB. FRUTOS ROJOS (ROCOTO)</t>
  </si>
  <si>
    <t>SUB. GUACAMOLE</t>
  </si>
  <si>
    <t>SUB. GUACAMOLE (ROCOTO)</t>
  </si>
  <si>
    <t>SUB. HOJUELA</t>
  </si>
  <si>
    <t xml:space="preserve">SUB. HUANCAINA  </t>
  </si>
  <si>
    <t>SUB. HUEVO BATIDO</t>
  </si>
  <si>
    <t>SUB. LECHE DE COCO (ROCOTO)</t>
  </si>
  <si>
    <t>SUB. LECHE DE TIGRE</t>
  </si>
  <si>
    <t xml:space="preserve">SUB. MAYONESA ACEVICHADA </t>
  </si>
  <si>
    <t>SUB. MAYONESA AL OLIVO</t>
  </si>
  <si>
    <t>SUB. MELCOCHA</t>
  </si>
  <si>
    <t>SUB. MERMELADA DE AJI AMARILLO</t>
  </si>
  <si>
    <t>SUB. MERMELADA DE TAMARINDO</t>
  </si>
  <si>
    <t>SUB. MEZCLA NUTELLA</t>
  </si>
  <si>
    <t>SUB. MIX DE VEGETALES (ZANAHORIA Y ARVEJA)</t>
  </si>
  <si>
    <t>SUB. MIX DE VERDURAS</t>
  </si>
  <si>
    <t>SUB. PAPA DORADA</t>
  </si>
  <si>
    <t>SUB. PASTA DE AJI AMARILLO</t>
  </si>
  <si>
    <t>SUB. PASTA DE AJO</t>
  </si>
  <si>
    <t>SUB. PASTA DE CILANTRO (ROCOTO)</t>
  </si>
  <si>
    <t>SUB. PASTA DE PIMENTON</t>
  </si>
  <si>
    <t>SUB. PASTA DE TOMATE</t>
  </si>
  <si>
    <t>SUB. PASTA ROCOTO</t>
  </si>
  <si>
    <t>SUB. PESTO</t>
  </si>
  <si>
    <t>SUB. POLLO ACEVICHADO</t>
  </si>
  <si>
    <t>SUB. PUERRO CROCANTE</t>
  </si>
  <si>
    <t>SUB. PUERRO CROCANTE (ROCOTO)</t>
  </si>
  <si>
    <t>SUB. PURE DE CAMOTE (ROCOTO)</t>
  </si>
  <si>
    <t>SUB. PURE DE PAPA</t>
  </si>
  <si>
    <t>SUB. PURE DE PAPA (ROCOTO)</t>
  </si>
  <si>
    <t>SUB. QUINUA POP</t>
  </si>
  <si>
    <t>SUB. RELLENO DE WONTON DE POLLO</t>
  </si>
  <si>
    <t>SUB. RELLENO EMPANADA DE LOMO SALTADO</t>
  </si>
  <si>
    <t>SUB. REMOLACHA CROCANTE</t>
  </si>
  <si>
    <t>SUB. ROLLITOS PRIMAVERA</t>
  </si>
  <si>
    <t>SUB. SALSA ANTICUCHERA</t>
  </si>
  <si>
    <t>SUB. SALSA BBQ DE LA CASA</t>
  </si>
  <si>
    <t>SUB. SALSA CRIOLLA</t>
  </si>
  <si>
    <t>SUB. SALSA CRIOLLA PERUANA</t>
  </si>
  <si>
    <t>SUB. SALSA DE CHANCHO</t>
  </si>
  <si>
    <t>SUB. SALSA DE CHICHARRONES</t>
  </si>
  <si>
    <t>SUB. SALSA DE EMPANADAS</t>
  </si>
  <si>
    <t>SUB. SALSA DE FRUTOS ROJOS</t>
  </si>
  <si>
    <t>SUB. SALSA DINAMITA (ROCOTO)</t>
  </si>
  <si>
    <t>SUB. SALSA ESCABECHADA</t>
  </si>
  <si>
    <t>SUB. SALSA GOLF</t>
  </si>
  <si>
    <t>SUB. SALSA SAMBAL</t>
  </si>
  <si>
    <t>SUB. SALSA TAMARINDO CHIFERA</t>
  </si>
  <si>
    <t>SUB. SALSA TIPAKAY</t>
  </si>
  <si>
    <t>SUB. SALSA TRUFADA CON AJI PANKA</t>
  </si>
  <si>
    <t>SUB. SPAGUETTI DE LA ABUELA</t>
  </si>
  <si>
    <t>SUB. SUSPIRO LIMEÃ‘O</t>
  </si>
  <si>
    <t>SUB. TARTAR DE LA CASA ROCOTO</t>
  </si>
  <si>
    <t>SUB. TARTARA RC</t>
  </si>
  <si>
    <t>SUB. TEMPURA (ROCOTO)</t>
  </si>
  <si>
    <t>SUB. TERIYAKY</t>
  </si>
  <si>
    <t>SUB. TORTILLA DE HUEVO</t>
  </si>
  <si>
    <t xml:space="preserve">SUB. VINAGRETA ENSALADA </t>
  </si>
  <si>
    <t>SUB. VINAGRETA FRESCA</t>
  </si>
  <si>
    <t xml:space="preserve">SUB. YUCA COCIDA </t>
  </si>
  <si>
    <t>SUB. GALLETA DE MANTEQUILLA</t>
  </si>
  <si>
    <t>SUB. MEZCLADE TACU TACU</t>
  </si>
  <si>
    <t>SUB. MASA PARA EMPANADAS ROCOTO</t>
  </si>
  <si>
    <t xml:space="preserve">SUB.  TIERRA DE MANI Y PECANAS </t>
  </si>
  <si>
    <t>SUB. ALMIBAR DE MANGO MADURO</t>
  </si>
  <si>
    <t>SUB. BASE PESTO PERÃš</t>
  </si>
  <si>
    <t>SUB. CAMARON APANADO</t>
  </si>
  <si>
    <t>SUB. COCO MELADO</t>
  </si>
  <si>
    <t>SUB. MASA PARA EMPANADAS</t>
  </si>
  <si>
    <t>SUB. MAYONESA DE CILANTRO</t>
  </si>
  <si>
    <t>SUB. PASTA DE JENGIBRE</t>
  </si>
  <si>
    <t>SUB. RELLENO AJI DEGALLINA</t>
  </si>
  <si>
    <t>SUB. RELLENO DE ATUN PARA WONTON</t>
  </si>
  <si>
    <t>SUB. VINAGRE BLANCO</t>
  </si>
  <si>
    <t>SUB. CANCHA CHULPI</t>
  </si>
  <si>
    <t>SUB. PERNIL ANTICUCHERO</t>
  </si>
  <si>
    <t xml:space="preserve">SUB. WONTON DE ATÃšN </t>
  </si>
  <si>
    <t>SUB. ALMIBAR</t>
  </si>
  <si>
    <t>SUB. ALMIBAR DE JENGIBRE</t>
  </si>
  <si>
    <t>SUB. ALMIBAR DE MANGO BICHE</t>
  </si>
  <si>
    <t>SUB. ALMIBAR DE MARACUYA</t>
  </si>
  <si>
    <t xml:space="preserve">SUB. ALMIBAR DE PANELA </t>
  </si>
  <si>
    <t>SUB. ALMIBAR DE PIÃ‘A</t>
  </si>
  <si>
    <t>SUB. ALMIBAR DE ROCOTO</t>
  </si>
  <si>
    <t xml:space="preserve">SUB. ALMIBAR DE SANDIA </t>
  </si>
  <si>
    <t>SUB. CORDIAL DE ALBAHACA</t>
  </si>
  <si>
    <t>SUB. FRUTOS ROJOS BAR</t>
  </si>
  <si>
    <t>SUB. PERFUME DE CARDAMOMO</t>
  </si>
  <si>
    <t>SUB. SAL DE FLOR DE JAMAICA</t>
  </si>
  <si>
    <t>SUB. SAL TROPICAL</t>
  </si>
  <si>
    <t>SUB. SALMUERA</t>
  </si>
  <si>
    <t>SUB. SIROPE DE FRUTOS ROJOS</t>
  </si>
  <si>
    <t>SUB. SYRUP DE CANELA MACERADA</t>
  </si>
  <si>
    <t>SUB. SYRUP DE LYCHE</t>
  </si>
  <si>
    <t>SUB. SYRUP DE MANGO MADURO</t>
  </si>
  <si>
    <t>SUB. ZUMO DE LIMON</t>
  </si>
  <si>
    <t>SUB. NARANJA DESHIDRATADA</t>
  </si>
  <si>
    <t>SALSAS ESPECIAS Y CONDIMENTOS</t>
  </si>
  <si>
    <t>ANÃS EN GRANO</t>
  </si>
  <si>
    <t>ACHIOTE EN GRANO*1000</t>
  </si>
  <si>
    <t>AJINOMOTO X KILO</t>
  </si>
  <si>
    <t>AJONJOLI NEGRO X 500GR</t>
  </si>
  <si>
    <t xml:space="preserve">CARDAMOMO ORO X500GR (PELADO) </t>
  </si>
  <si>
    <t xml:space="preserve">CLAVOS DE OLOR </t>
  </si>
  <si>
    <t>PAPRIKA P&amp;I GOURMET FRASCO X 500G</t>
  </si>
  <si>
    <t>CANELA ASTILLAS SAN VALENTIN X500G</t>
  </si>
  <si>
    <t>SALSA DE OSTRAS ASIAFOOD PO 2LT</t>
  </si>
  <si>
    <t>COMINO MOLIDO X 500GR</t>
  </si>
  <si>
    <t>ESENCIA DE VAINILLA X500C.C</t>
  </si>
  <si>
    <t xml:space="preserve">PANADERIA Y PASTELERIA </t>
  </si>
  <si>
    <t>PAN TAJADO BIMBO X 600G</t>
  </si>
  <si>
    <t>COM PAN BAGUETTE CONGELADO X 400G PT MB</t>
  </si>
  <si>
    <t>ENLATADOS Y CONSERVAS</t>
  </si>
  <si>
    <t>ACEITUNA VERDE DESHUESADA 330GR</t>
  </si>
  <si>
    <t>ACEITUNAS MORADA ALFA *1000g</t>
  </si>
  <si>
    <t>CEREZA MARRASCHINO ALFAFRASX 1000G DREN 580G</t>
  </si>
  <si>
    <t>DURAZNO EN MITADDISPRONATX 820G DREN 470G</t>
  </si>
  <si>
    <t>LYCHEE SAN VALENTIN 567G DREN 225G</t>
  </si>
  <si>
    <t>NUECES ESPECIAS Y FRUTOS</t>
  </si>
  <si>
    <t>ALMENDRA ENTERA X 500 GR</t>
  </si>
  <si>
    <t>COCO RALLADO NRO1 IPRODESA XK CD21</t>
  </si>
  <si>
    <t>DESPENSA</t>
  </si>
  <si>
    <t>FETUHINI MONTICELLO X 500G</t>
  </si>
  <si>
    <t>ACEITES Y VINAGRES</t>
  </si>
  <si>
    <t>ACEITE VEGETAL X 20LT</t>
  </si>
  <si>
    <t>ACEITE DE AJONJOLI KADOYA X 1.62LT</t>
  </si>
  <si>
    <t>ACEITE DE OLIVA VIR EXTRA GRAN S ABRIL PX1L</t>
  </si>
  <si>
    <t>ACEITE MESTRE OLEO X 3000CC</t>
  </si>
  <si>
    <t>VINAGRE BLANCO FRUCO X 3060ML</t>
  </si>
  <si>
    <t>SUB. ALMIBAR DE GULUPA Y MARACUYA</t>
  </si>
  <si>
    <t>a / 1282</t>
  </si>
  <si>
    <t>TÃ‰ DE FRUTOS ROJOS</t>
  </si>
  <si>
    <t>MILO *300g</t>
  </si>
  <si>
    <t>MASMELO FIRESIDE X 1000GR</t>
  </si>
  <si>
    <t>SYRUP COCO KANALO 1000ML</t>
  </si>
  <si>
    <t>BOCADILLO DE GUAYABA X150G46</t>
  </si>
  <si>
    <t>CLAMATO COCTEL DE TOMATE*946</t>
  </si>
  <si>
    <t>COCOA NATURAL 16% X KILO</t>
  </si>
  <si>
    <t xml:space="preserve">MAIZ EN GRANO MCCAIN X 1KG </t>
  </si>
  <si>
    <t>SAL PARRILLERA REFISALSALSERO X 454G</t>
  </si>
  <si>
    <t>TABASCO PEPPER SAUCE*150ML</t>
  </si>
  <si>
    <t>TORTILLA DE MAIZ X 20UND</t>
  </si>
  <si>
    <t>VINAGRE BALSAMICO LA CURAÃ‘A X 1000 ML</t>
  </si>
  <si>
    <t>ALMIDON CORRIENTE X 1000GR</t>
  </si>
  <si>
    <t>AZUCAR MICROPULVERIZADA X 500G</t>
  </si>
  <si>
    <t>COBERTURA MON BLANCAX 2,5 GR</t>
  </si>
  <si>
    <t xml:space="preserve">COLORANTE GEL AMARILLO X 60 ML </t>
  </si>
  <si>
    <t>GELATINA SIN SABOR X30G</t>
  </si>
  <si>
    <t>MULTIGRANOLA TONING X1000 GR</t>
  </si>
  <si>
    <t xml:space="preserve">POLVO PARA HORNEAR CAROLOSEN X 1000GR </t>
  </si>
  <si>
    <t>ROJO ESCARLATA CAROL TARO X 500G</t>
  </si>
  <si>
    <t>TOMATES SECOS</t>
  </si>
  <si>
    <t>NITRÃ“GENO LÃQUIDO</t>
  </si>
  <si>
    <t>NACHO TRIANGULAR MAXABOX X 1000 GR</t>
  </si>
  <si>
    <t xml:space="preserve">ARROZ ARBOREO COLAVITA X 1 KG </t>
  </si>
  <si>
    <t>PATACONES MEDIANOS VERDE X UND</t>
  </si>
  <si>
    <t>UCHUVA CON CAPACHO KILO</t>
  </si>
  <si>
    <t>AJI JALAPEÃ‘O*1KL</t>
  </si>
  <si>
    <t>BANANO X KILO</t>
  </si>
  <si>
    <t>CARAMBOLO BANDEJA X500G</t>
  </si>
  <si>
    <t>CHAMPIÃ‘ON ORELLANA X KILO</t>
  </si>
  <si>
    <t>COROZO COSTEÃ‘O X KILO</t>
  </si>
  <si>
    <t>LECHUGA CRESPA *500G</t>
  </si>
  <si>
    <t>MANZANA VERDE X KILO</t>
  </si>
  <si>
    <t>MEZCLUM X 500G</t>
  </si>
  <si>
    <t>ZARZAMORAS X 250G</t>
  </si>
  <si>
    <t>ZUKINI VERDE X KILO</t>
  </si>
  <si>
    <t xml:space="preserve">QUESO MONPOSINO </t>
  </si>
  <si>
    <t xml:space="preserve">QUESO ALPINA AZUL BLQ 8 LBS APROX </t>
  </si>
  <si>
    <t>BURRATA DIBUFALA TARRO 6UDS *80GR C/U</t>
  </si>
  <si>
    <t>QUESO MOZZARELLA BLOQUE X 2,5K</t>
  </si>
  <si>
    <t>SUERO ATOYABUEY BONGA DEL SINU 5000</t>
  </si>
  <si>
    <t>LECHE CONDENSADA LA LECHERA BOLSA X 4,5K</t>
  </si>
  <si>
    <t>QUESO COSTEÃ‘O BLOQUE 2,5K</t>
  </si>
  <si>
    <t xml:space="preserve">YOGUR FRESA BOLSA X 900G </t>
  </si>
  <si>
    <t>LECHE POLVO COLANTA X900G</t>
  </si>
  <si>
    <t>PALILLOS HAMBURGUESA EL SOL 10CAJASX 125U</t>
  </si>
  <si>
    <t>PAPEL PARAFINADO BLANCO 100MT</t>
  </si>
  <si>
    <t>WRAP IMP.2T PPCK37.MW(HOT WINGS) 15X20 GM37.5</t>
  </si>
  <si>
    <t>SELLO PLUS DE 16 ONZAS TAPA ALTA DARNEL</t>
  </si>
  <si>
    <t>PULPA DE FRUTOS DE ARANDANOS*10UND</t>
  </si>
  <si>
    <t>PULPA MANGO 1000 GR</t>
  </si>
  <si>
    <t>PULPA MANGO BICHE 1200GR</t>
  </si>
  <si>
    <t>SYROPE DE FREIJOA*750ML</t>
  </si>
  <si>
    <t>NECTAR DE PERA X 1000 ML</t>
  </si>
  <si>
    <t>FAMITEX COCINA SALMON X 10U 74322</t>
  </si>
  <si>
    <t>JABON LAVA LOZA MANTYS</t>
  </si>
  <si>
    <t>DESINFECTANTE ORGANICO SANIPLUS DM 100E*4L</t>
  </si>
  <si>
    <t>SUB. ACEITE DE ACHIOTE</t>
  </si>
  <si>
    <t>SUB. ADEREZO PICADILLO</t>
  </si>
  <si>
    <t>SUB. AREPAS MALANGA</t>
  </si>
  <si>
    <t>SUB. ARROZ ARBOREO</t>
  </si>
  <si>
    <t>SUB. BASE LECHE DE TIGRE MALANGA</t>
  </si>
  <si>
    <t>SUB. BBQ DE GUAYABA</t>
  </si>
  <si>
    <t>SUB. BBQ DE MANGO</t>
  </si>
  <si>
    <t>SUB. BIZCOCHUELO</t>
  </si>
  <si>
    <t>SUB. BUÃ‘UELO</t>
  </si>
  <si>
    <t>SUB. CARIMAÃ‘OLA</t>
  </si>
  <si>
    <t>SUB. CHAMPIÃ‘ON DESHIDRATADO</t>
  </si>
  <si>
    <t>SUB. CHEESE CAKE</t>
  </si>
  <si>
    <t>SUB. CHEESECAKE HORNEADO</t>
  </si>
  <si>
    <t>SUB. CHIMICHURRY ROJO</t>
  </si>
  <si>
    <t>SUB. CHIMICHURRY VERDE</t>
  </si>
  <si>
    <t>SUB. CHIPS DE CAMOTE</t>
  </si>
  <si>
    <t>SUB. CREMA DE COROZO</t>
  </si>
  <si>
    <t>SUB. CREMA DE QUESO</t>
  </si>
  <si>
    <t>SUB. CREMA PASTELERO</t>
  </si>
  <si>
    <t>SUB. DECORACION CHOCOLATE</t>
  </si>
  <si>
    <t>SUB. FRUTOS AMARILLO</t>
  </si>
  <si>
    <t>SUB. FRUTOS DEL BOSQUE</t>
  </si>
  <si>
    <t>SUB. HOGAO</t>
  </si>
  <si>
    <t>SUB. LECHE DE COCO</t>
  </si>
  <si>
    <t>SUB. MASA DE AREPAS</t>
  </si>
  <si>
    <t>SUB. MAYO BALSAMICA</t>
  </si>
  <si>
    <t>SUB. MAYO HIERBABUENA</t>
  </si>
  <si>
    <t>SUB. MAYONESA DE MARACUYA</t>
  </si>
  <si>
    <t>SUB. MERENGUE FLOR DE JAMAICA</t>
  </si>
  <si>
    <t>SUB. MERMELADA DE AJI DULCE</t>
  </si>
  <si>
    <t>SUB. MIEL MOSTAZA</t>
  </si>
  <si>
    <t>SUB. PANCAKE VAINILLA</t>
  </si>
  <si>
    <t>SUB. PASTA DE CILANTRO</t>
  </si>
  <si>
    <t>SUB. PICO DE GALLO</t>
  </si>
  <si>
    <t>SUB. PURE DE MADURO</t>
  </si>
  <si>
    <t>SUB. REDUCCION BALSAMICA</t>
  </si>
  <si>
    <t>SUB. REDUCCION DE COROZO</t>
  </si>
  <si>
    <t>SUB. REDUCCION DE MARACUYA</t>
  </si>
  <si>
    <t>SUB. REMOJE</t>
  </si>
  <si>
    <t>SUB. SALSA AGRIDULCE</t>
  </si>
  <si>
    <t>SUB. SALSA DE CAFE</t>
  </si>
  <si>
    <t>SUB. SALSA DE CILANTRO</t>
  </si>
  <si>
    <t>SUB. SALSA DE FRUTOS AMARILLOS</t>
  </si>
  <si>
    <t>SUB. SALSA DINAMITA</t>
  </si>
  <si>
    <t xml:space="preserve">SUB. SALSA HOLANDESA </t>
  </si>
  <si>
    <t>SUB. SALSA PARRILLERA</t>
  </si>
  <si>
    <t>SUB. SORBETE DE NATILLA</t>
  </si>
  <si>
    <t>SUB. TIERRA DE ARVERJA</t>
  </si>
  <si>
    <t>SUB. TOMATES CONFITADOS</t>
  </si>
  <si>
    <t>SUB. VINAGRETA DE MANGO</t>
  </si>
  <si>
    <t>SUB. WAFLE DE PAN DE YUCA</t>
  </si>
  <si>
    <t>SUB. RON DE COCO</t>
  </si>
  <si>
    <t>SUB. COROZO CREAM</t>
  </si>
  <si>
    <t>SUB. ESPUMA DE FEIJOA</t>
  </si>
  <si>
    <t>SUB. FRESA DE ALMIBAR</t>
  </si>
  <si>
    <t>SUB. LULO DESHIDRATADO</t>
  </si>
  <si>
    <t>SUB. MANGO DESHIDRATADO</t>
  </si>
  <si>
    <t>SUB. PALETA DE MANGO BICHE</t>
  </si>
  <si>
    <t>SUB. SIROPE DE BANANO</t>
  </si>
  <si>
    <t>SUB. SIROPE DE LULO</t>
  </si>
  <si>
    <t>SUB. ZUMO DE SANDÃA</t>
  </si>
  <si>
    <t>INSUMOS REPOSTERIA</t>
  </si>
  <si>
    <t>CAPSULAS X 10 UND DISPENSADOR CHNATILL</t>
  </si>
  <si>
    <t>BBQ BOLSA 5000G BARY CJ</t>
  </si>
  <si>
    <t>AHUMADO/SALSA HUMO ASTEK X 3850ML</t>
  </si>
  <si>
    <t>ALCAPARRA ALFRESCO X 500GR</t>
  </si>
  <si>
    <t xml:space="preserve">COLORANTE GEL ROJO X 60 ML </t>
  </si>
  <si>
    <t>ESENCIA COCO MUND HEVO X 500C.C</t>
  </si>
  <si>
    <t>CROUTONES *250G</t>
  </si>
  <si>
    <t>BAGUETTE TORPEADO HARINA 120GR</t>
  </si>
  <si>
    <t xml:space="preserve">PAN ARTELLANO CON PARMESANO </t>
  </si>
  <si>
    <t>PAN PERRO BRIOCHE 70GR  X4UND</t>
  </si>
  <si>
    <t xml:space="preserve">PAN DE CEBOLLA </t>
  </si>
  <si>
    <t>CHOCOLATE  LUKER X500G</t>
  </si>
  <si>
    <t>BICARBONATO LA GRAN COCINA x500G</t>
  </si>
  <si>
    <t>NATILLA X300G</t>
  </si>
  <si>
    <t>ACEITE TRUFADO</t>
  </si>
  <si>
    <t>a / 1283</t>
  </si>
  <si>
    <t>a / 1284</t>
  </si>
  <si>
    <t>TEQUILA JOSE CUERVO SILVER X750 ML</t>
  </si>
  <si>
    <t>AGUARDIENTE ANTIOQUEÃ‘O REAL SIN AZUCAR 24Â° 75OML</t>
  </si>
  <si>
    <t>PULPA DE AGUACATE X KILO</t>
  </si>
  <si>
    <t>TORTILLA DE MAIZ *10UND</t>
  </si>
  <si>
    <t>SALSA HOISIN LKK USA 6X5 LBS</t>
  </si>
  <si>
    <t>SIROPE DE MAYACUYA *750G</t>
  </si>
  <si>
    <t>BARQUILLO PIAZA DE CHOCOLATE/VAINILLA</t>
  </si>
  <si>
    <t>GALLETA OREO MEDIANA TRITURADA X4KG</t>
  </si>
  <si>
    <t>GALLETA SULTANA*225g</t>
  </si>
  <si>
    <t>JALAPEÃ‘OS CON QUESOCHEDDAR x 1.13KG 132B</t>
  </si>
  <si>
    <t>LATA CHILE CON CARNE LATA*300G</t>
  </si>
  <si>
    <t>MOSTAZA CLASICA ANTIGDIJOSHACIE FRASX380G</t>
  </si>
  <si>
    <t>PEPINILLOS AGRIDULCE ENTE ALFRESCOX500G</t>
  </si>
  <si>
    <t>CURCUMA BOLSA X 454 GR</t>
  </si>
  <si>
    <t>GLUCOSA 1130 COLORISA X 700GR</t>
  </si>
  <si>
    <t>HARINA Ã‰LITE PARA HOJALDRES X 2,5 KG 3 CASTILLOSFRED</t>
  </si>
  <si>
    <t>MARACUYA DULCE 4L</t>
  </si>
  <si>
    <t>SALSA BBQ 1L (BASE COOK)</t>
  </si>
  <si>
    <t>SALSA DE FRUTOS ROJOS DULCE (1.230G)</t>
  </si>
  <si>
    <t>SALSA MIEL MOSTAZA *4L</t>
  </si>
  <si>
    <t>VINAGRETA CESAR (1.100G)</t>
  </si>
  <si>
    <t>AJO EN POLVO P&amp;L GOURMET FRASCO X500G</t>
  </si>
  <si>
    <t>SAL CURANTE AL 12% K 5KG</t>
  </si>
  <si>
    <t>SALMUERA CARNES AHUMADAS X 5KG</t>
  </si>
  <si>
    <t>AJI PANCA X KILO</t>
  </si>
  <si>
    <t>AJI CAROLINA RAPPER X KILO</t>
  </si>
  <si>
    <t xml:space="preserve">ENELDO X KILO </t>
  </si>
  <si>
    <t>ESPARRAGO KILO</t>
  </si>
  <si>
    <t>JALAPEÃ‘O X KILO</t>
  </si>
  <si>
    <t>REPOLLO BLANCO * KILO</t>
  </si>
  <si>
    <t>TOMATE RIÃ‘ON POR KILO</t>
  </si>
  <si>
    <t>CHATA X UNIDAD DE 300GR</t>
  </si>
  <si>
    <t>CONTRA MUSLOS DESHUESADO CON PIEL x1KL</t>
  </si>
  <si>
    <t xml:space="preserve">CARNE REFRIGERADA WINGS X UNIDAD </t>
  </si>
  <si>
    <t>AZUCAR PANELA Y ENDULZANTE</t>
  </si>
  <si>
    <t>AZUCAR MANUELITA MORENA BS X 5LB</t>
  </si>
  <si>
    <t xml:space="preserve">MARGARINA </t>
  </si>
  <si>
    <t>GELATO MARACUYA MANGO FERRARA 1L</t>
  </si>
  <si>
    <t>CHEDDAR CAS TAJADAS X 1,25 KG</t>
  </si>
  <si>
    <t xml:space="preserve">LECHE UHT DESLACTOSADA BOLSA X 1000ML </t>
  </si>
  <si>
    <t xml:space="preserve">ADEREZO QUESO CHEDDAR X 1L </t>
  </si>
  <si>
    <t>PORTA COMIDA P3 ECOLOG X 2O UND</t>
  </si>
  <si>
    <t>BOLSA PARA PORCIONAR 15*20 100UND</t>
  </si>
  <si>
    <t>BOLSA IMP.1T PPCK 37.MW 8X3X14 GMS 37.5</t>
  </si>
  <si>
    <t>POCKET PPCK37.MW(HOT WINGS) 11X11 GMS 37.5</t>
  </si>
  <si>
    <t>WRAP IMP.2T PPCK37.MW(HOT WINGS) 30X20 GM37.5</t>
  </si>
  <si>
    <t>WRAP IMP.2T PPCK37.MW(HOT WINGS) 30X35 GM37.5</t>
  </si>
  <si>
    <t>CONTENEDOR P1 (REM No 46533)</t>
  </si>
  <si>
    <t xml:space="preserve">TALONARIO COMANDAS </t>
  </si>
  <si>
    <t>LEMONCHELLO</t>
  </si>
  <si>
    <t>BASE COCTEL STRAWBERRY PUREE FINEST 1000</t>
  </si>
  <si>
    <t>PIÃ‘A DESHIBRATADA *1KL</t>
  </si>
  <si>
    <t>SUGG SYRUP CANELA VIDRIOX750ML</t>
  </si>
  <si>
    <t>REPUESTO MINDLY SCENTED 80530</t>
  </si>
  <si>
    <t>BOLSA CANASTA 63(1/2)X98(1/2) 100U</t>
  </si>
  <si>
    <t>SUMA SANITIZER X5L(DESINFECTANTE LIQUIDO A BASE DE AMONIO CUATERNARIO)-REF: AV00822</t>
  </si>
  <si>
    <t>UNDX5000G</t>
  </si>
  <si>
    <t>CITROACTIVO X 4 LITROS</t>
  </si>
  <si>
    <t xml:space="preserve">LAVA PLUS *20L </t>
  </si>
  <si>
    <t>SUB. ADEREZO CESAR</t>
  </si>
  <si>
    <t>SUB. BBQ ESPECIAL</t>
  </si>
  <si>
    <t>SUB. BBQ HOT</t>
  </si>
  <si>
    <t>SUB. BBQ JACK DANIELS</t>
  </si>
  <si>
    <t>SUB. CEBOLLAS CARAMELIZADAS</t>
  </si>
  <si>
    <t>SUB. COLE SLOW</t>
  </si>
  <si>
    <t>SUB. MACARRONES CON QUESO</t>
  </si>
  <si>
    <t>SUB. MASA HOJALDRE</t>
  </si>
  <si>
    <t>SUB. PAPA EN ESPIRAL</t>
  </si>
  <si>
    <t>SUB. PICO DE GALLO HOTWINGS</t>
  </si>
  <si>
    <t>SUB. POLLO APANADO</t>
  </si>
  <si>
    <t xml:space="preserve">SUB. RELENO DE POLLO </t>
  </si>
  <si>
    <t>SUB. RUB</t>
  </si>
  <si>
    <t>SUB. SALSA 911</t>
  </si>
  <si>
    <t>SUB. SALSA BUFALO HOT</t>
  </si>
  <si>
    <t>SUB. SALSA BUFALO MEDIO</t>
  </si>
  <si>
    <t xml:space="preserve">SUB. SALSA BUFALO SUAVE </t>
  </si>
  <si>
    <t>SUB. SALSA CHEDDAR</t>
  </si>
  <si>
    <t>SUB. SALSA CHILI DULCE</t>
  </si>
  <si>
    <t>SUB. SALSA DE CARAMELO</t>
  </si>
  <si>
    <t>SUB. SALSA DE FRUTOS ROJOS (HOTWINGS)</t>
  </si>
  <si>
    <t>SUB. SALSA DE LA CASA</t>
  </si>
  <si>
    <t>SUB. SALSA DE PIMIENTOS</t>
  </si>
  <si>
    <t>SUB. SALSA DE QUESO AZUL</t>
  </si>
  <si>
    <t>SUB. SALSA LEMON</t>
  </si>
  <si>
    <t>SUB. SALSA REFORZADA</t>
  </si>
  <si>
    <t>SUB. SALSA TARTARA HT</t>
  </si>
  <si>
    <t>SUB. SALSA TRUFA</t>
  </si>
  <si>
    <t>SUB. TORTA CUMPLEAÃ‘OS MALANGA</t>
  </si>
  <si>
    <t>SUB. ZUMO DE PIÃ‘A</t>
  </si>
  <si>
    <t>SUB. SANGRITA</t>
  </si>
  <si>
    <t>POLVO DE BIZCOCHO MAMA INES 250 GRAMOS</t>
  </si>
  <si>
    <t>ADEREZO CESAR ZAFRAN x 1000GR 688-435-601</t>
  </si>
  <si>
    <t>SALSA DE AJI ADEREZOS X 1050G</t>
  </si>
  <si>
    <t>SALSA INGLESA ADEREZOS PET X 1070 G</t>
  </si>
  <si>
    <t>MARACUYA PICANTE * 4L</t>
  </si>
  <si>
    <t>PAN PARA HAMBURGUESA</t>
  </si>
  <si>
    <t>PAN PARA PERRO X10UND</t>
  </si>
  <si>
    <t>a / 1285</t>
  </si>
  <si>
    <t xml:space="preserve">YOGUR NATURAL BOLSA X 900G </t>
  </si>
  <si>
    <t>KUMIS ORIGINAL BOLSA 1000 GR ALPINA</t>
  </si>
  <si>
    <t>BANDEJA # 1 (DOMO)</t>
  </si>
  <si>
    <t>BANDEJA #1.5</t>
  </si>
  <si>
    <t>MAIZ MORADO X KILO</t>
  </si>
  <si>
    <t>SUB. PULPO MEXICANO 100GR</t>
  </si>
  <si>
    <t>LEVADURA FLEISCHMANN X 500 GR- CAJA X 50-3%</t>
  </si>
  <si>
    <t>a / 1286</t>
  </si>
  <si>
    <t>Material de Aseo</t>
  </si>
  <si>
    <t>Materila de Empaque</t>
  </si>
  <si>
    <t>GLENMORANGIE 12 AÃ‘OS</t>
  </si>
  <si>
    <t>FRANGELICO HAZELNUT LIQUER 750ML</t>
  </si>
  <si>
    <t>a / 1287</t>
  </si>
  <si>
    <t xml:space="preserve">CREMA DE CAFE COLOMA X 750ML </t>
  </si>
  <si>
    <t>SOHO LYCHEE * 750ML</t>
  </si>
  <si>
    <t>ESPUMANTE CHANDON EXTRA BRUT 750ML</t>
  </si>
  <si>
    <t>a / 1295</t>
  </si>
  <si>
    <t>a / 1288</t>
  </si>
  <si>
    <t>SOHO LYCHEE * 750MLLIC124</t>
  </si>
  <si>
    <t>UNDX22ONZ</t>
  </si>
  <si>
    <t>a / 1294</t>
  </si>
  <si>
    <t>a / 1291</t>
  </si>
  <si>
    <t>a / 1290</t>
  </si>
  <si>
    <t>a / 1289</t>
  </si>
  <si>
    <t>a / 1292</t>
  </si>
  <si>
    <t>Etiquetas de fila</t>
  </si>
  <si>
    <t>Total general</t>
  </si>
  <si>
    <t>Suma de Variación Stock</t>
  </si>
  <si>
    <t>Etiquetas de columna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</si>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</sst>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Verdan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indexed="7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44" fontId="2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" fontId="8" fillId="0" borderId="0" xfId="1" applyNumberFormat="1" applyFont="1" applyAlignment="1">
      <alignment horizontal="center"/>
    </xf>
    <xf numFmtId="0" fontId="8" fillId="0" borderId="0" xfId="1" applyFont="1" applyAlignment="1" applyProtection="1">
      <alignment horizontal="left" vertical="center"/>
      <protection locked="0"/>
    </xf>
    <xf numFmtId="1" fontId="8" fillId="0" borderId="0" xfId="1" applyNumberFormat="1" applyFont="1" applyAlignment="1" applyProtection="1">
      <alignment horizontal="left"/>
      <protection locked="0"/>
    </xf>
    <xf numFmtId="1" fontId="8" fillId="0" borderId="0" xfId="1" applyNumberFormat="1" applyFont="1" applyAlignment="1" applyProtection="1">
      <alignment horizontal="center" vertical="center"/>
      <protection locked="0"/>
    </xf>
    <xf numFmtId="1" fontId="8" fillId="0" borderId="0" xfId="10" applyNumberFormat="1" applyFont="1" applyFill="1" applyAlignment="1" applyProtection="1">
      <alignment horizontal="center" vertical="center"/>
      <protection locked="0"/>
    </xf>
    <xf numFmtId="1" fontId="8" fillId="0" borderId="0" xfId="10" applyNumberFormat="1" applyFont="1" applyFill="1" applyAlignment="1" applyProtection="1">
      <alignment horizontal="center" vertical="center"/>
    </xf>
    <xf numFmtId="1" fontId="6" fillId="0" borderId="0" xfId="10" applyNumberFormat="1" applyFont="1" applyAlignment="1">
      <alignment horizontal="center"/>
    </xf>
    <xf numFmtId="14" fontId="8" fillId="0" borderId="0" xfId="1" applyNumberFormat="1" applyFont="1" applyAlignment="1" applyProtection="1">
      <alignment horizontal="left" vertical="center"/>
      <protection locked="0"/>
    </xf>
    <xf numFmtId="14" fontId="6" fillId="0" borderId="0" xfId="0" applyNumberFormat="1" applyFont="1" applyAlignment="1">
      <alignment horizontal="left"/>
    </xf>
    <xf numFmtId="1" fontId="8" fillId="2" borderId="0" xfId="1" applyNumberFormat="1" applyFont="1" applyFill="1" applyAlignment="1" applyProtection="1">
      <alignment horizontal="left"/>
      <protection locked="0"/>
    </xf>
    <xf numFmtId="1" fontId="8" fillId="2" borderId="0" xfId="1" applyNumberFormat="1" applyFont="1" applyFill="1" applyAlignment="1">
      <alignment horizontal="center"/>
    </xf>
    <xf numFmtId="1" fontId="8" fillId="2" borderId="0" xfId="1" applyNumberFormat="1" applyFont="1" applyFill="1" applyAlignment="1" applyProtection="1">
      <alignment horizontal="center" vertical="center"/>
      <protection locked="0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0" xfId="10" applyNumberFormat="1" applyFont="1" applyAlignment="1">
      <alignment horizontal="center" wrapText="1"/>
    </xf>
    <xf numFmtId="1" fontId="7" fillId="0" borderId="0" xfId="1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164" fontId="8" fillId="0" borderId="0" xfId="10" applyNumberFormat="1" applyFont="1" applyAlignment="1" applyProtection="1">
      <alignment horizontal="center" vertical="center"/>
      <protection locked="0"/>
    </xf>
    <xf numFmtId="164" fontId="8" fillId="0" borderId="0" xfId="10" applyNumberFormat="1" applyFont="1" applyFill="1" applyAlignment="1" applyProtection="1">
      <alignment horizontal="center" vertical="center"/>
      <protection locked="0"/>
    </xf>
    <xf numFmtId="164" fontId="7" fillId="0" borderId="0" xfId="10" applyNumberFormat="1" applyFont="1" applyAlignment="1">
      <alignment horizontal="center"/>
    </xf>
    <xf numFmtId="164" fontId="6" fillId="0" borderId="0" xfId="10" applyNumberFormat="1" applyFont="1" applyAlignment="1">
      <alignment horizontal="center"/>
    </xf>
    <xf numFmtId="1" fontId="8" fillId="0" borderId="0" xfId="1" applyNumberFormat="1" applyFont="1" applyAlignment="1">
      <alignment horizontal="left"/>
    </xf>
    <xf numFmtId="1" fontId="8" fillId="3" borderId="0" xfId="1" applyNumberFormat="1" applyFont="1" applyFill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horizontal="left"/>
    </xf>
    <xf numFmtId="1" fontId="8" fillId="4" borderId="0" xfId="1" applyNumberFormat="1" applyFont="1" applyFill="1" applyAlignment="1" applyProtection="1">
      <alignment horizontal="center" vertical="center"/>
      <protection locked="0"/>
    </xf>
    <xf numFmtId="14" fontId="8" fillId="2" borderId="0" xfId="1" applyNumberFormat="1" applyFont="1" applyFill="1" applyAlignment="1" applyProtection="1">
      <alignment horizontal="left" vertical="center"/>
      <protection locked="0"/>
    </xf>
    <xf numFmtId="0" fontId="8" fillId="2" borderId="0" xfId="1" applyFont="1" applyFill="1" applyAlignment="1" applyProtection="1">
      <alignment horizontal="left" vertical="center"/>
      <protection locked="0"/>
    </xf>
    <xf numFmtId="0" fontId="6" fillId="2" borderId="0" xfId="0" applyFont="1" applyFill="1" applyAlignment="1">
      <alignment horizontal="left"/>
    </xf>
    <xf numFmtId="164" fontId="8" fillId="2" borderId="0" xfId="10" applyNumberFormat="1" applyFont="1" applyFill="1" applyAlignment="1" applyProtection="1">
      <alignment horizontal="center" vertical="center"/>
      <protection locked="0"/>
    </xf>
    <xf numFmtId="1" fontId="8" fillId="2" borderId="0" xfId="10" applyNumberFormat="1" applyFont="1" applyFill="1" applyAlignment="1" applyProtection="1">
      <alignment horizontal="center" vertical="center"/>
      <protection locked="0"/>
    </xf>
    <xf numFmtId="1" fontId="8" fillId="2" borderId="0" xfId="10" applyNumberFormat="1" applyFont="1" applyFill="1" applyAlignment="1" applyProtection="1">
      <alignment horizontal="center" vertical="center"/>
    </xf>
    <xf numFmtId="49" fontId="6" fillId="2" borderId="0" xfId="0" applyNumberFormat="1" applyFont="1" applyFill="1" applyAlignment="1">
      <alignment horizontal="center"/>
    </xf>
    <xf numFmtId="0" fontId="6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1">
    <cellStyle name="Moneda" xfId="10" builtinId="4"/>
    <cellStyle name="Normal" xfId="0" builtinId="0"/>
    <cellStyle name="Normal 2" xfId="1" xr:uid="{00000000-0005-0000-0000-000001000000}"/>
    <cellStyle name="Normal 2 2" xfId="3" xr:uid="{00000000-0005-0000-0000-000002000000}"/>
    <cellStyle name="Normal 2 3" xfId="5" xr:uid="{00000000-0005-0000-0000-000003000000}"/>
    <cellStyle name="Normal 2 4" xfId="7" xr:uid="{00000000-0005-0000-0000-000004000000}"/>
    <cellStyle name="Normal 2 5" xfId="9" xr:uid="{00000000-0005-0000-0000-000005000000}"/>
    <cellStyle name="Normal 3" xfId="2" xr:uid="{00000000-0005-0000-0000-000006000000}"/>
    <cellStyle name="Normal 4" xfId="4" xr:uid="{00000000-0005-0000-0000-000007000000}"/>
    <cellStyle name="Normal 5" xfId="6" xr:uid="{00000000-0005-0000-0000-000008000000}"/>
    <cellStyle name="Normal 6" xfId="8" xr:uid="{00000000-0005-0000-0000-000009000000}"/>
  </cellStyles>
  <dxfs count="3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bgColor rgb="FFFFFF00"/>
        </patternFill>
      </fill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Estilo de escala de tiempo 1" pivot="0" table="0" count="8" xr9:uid="{8133D773-1ACC-4306-9482-C5047D5AE783}">
      <tableStyleElement type="wholeTable" dxfId="37"/>
      <tableStyleElement type="headerRow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Estilo de escala de tiempo 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129540</xdr:colOff>
      <xdr:row>3</xdr:row>
      <xdr:rowOff>30480</xdr:rowOff>
    </xdr:from>
    <xdr:to>
      <xdr:col>10</xdr:col>
      <xdr:colOff>373380</xdr:colOff>
      <xdr:row>16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entro de Costos">
              <a:extLst>
                <a:ext uri="{FF2B5EF4-FFF2-40B4-BE49-F238E27FC236}">
                  <a16:creationId xmlns:a16="http://schemas.microsoft.com/office/drawing/2014/main" id="{363D9110-8D13-73EF-1BD8-A201EBD596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ost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2400" y="5791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" refreshedDate="46066.472430324073" createdVersion="8" refreshedVersion="8" minRefreshableVersion="3" recordCount="5872" xr:uid="{3FDCF367-52CB-4931-BE95-A76C6B127229}">
  <cacheSource type="worksheet">
    <worksheetSource name="Tabla2"/>
  </cacheSource>
  <cacheFields count="14">
    <cacheField name="FECHA" numFmtId="14">
      <sharedItems containsSemiMixedTypes="0" containsNonDate="0" containsDate="1" containsString="0" minDate="2026-01-15T00:00:00" maxDate="2026-02-13T00:00:00" count="6">
        <d v="2026-01-15T00:00:00"/>
        <d v="2026-01-22T00:00:00"/>
        <d v="2026-01-31T00:00:00"/>
        <d v="2026-01-20T00:00:00"/>
        <d v="2026-02-11T00:00:00"/>
        <d v="2026-02-12T00:00:00"/>
      </sharedItems>
    </cacheField>
    <cacheField name="SERIE" numFmtId="0">
      <sharedItems count="26">
        <s v="a / 1270"/>
        <s v="a / 1271"/>
        <s v="a / 1275"/>
        <s v="a / 1279"/>
        <s v="a / 1267"/>
        <s v="a / 1278"/>
        <s v="a / 1268"/>
        <s v="a / 1276"/>
        <s v="a / 1269"/>
        <s v="a / 1277"/>
        <s v="a / 1286"/>
        <s v="a / 1273"/>
        <s v="a / 1281"/>
        <s v="a / 1283"/>
        <s v="a / 1282"/>
        <s v="a / 1284"/>
        <s v="a / 1285"/>
        <s v="a / 1287"/>
        <s v="a / 1293"/>
        <s v="a / 1291"/>
        <s v="a / 1294"/>
        <s v="a / 1292"/>
        <s v="a / 1295"/>
        <s v="a / 1288"/>
        <s v="a / 1290"/>
        <s v="a / 1289"/>
      </sharedItems>
    </cacheField>
    <cacheField name="Almacen" numFmtId="0">
      <sharedItems count="6">
        <s v="MALANGA"/>
        <s v="HOT WINGS"/>
        <s v="ROCOTO PROVENZA"/>
        <s v="ROCOTO AMSTERDAM"/>
        <s v="ROCOTO LAURELES"/>
        <s v="PLANTA PRODUCCIÃ“N ROCOTO"/>
      </sharedItems>
    </cacheField>
    <cacheField name="FAMILIA" numFmtId="0">
      <sharedItems containsBlank="1"/>
    </cacheField>
    <cacheField name="Centro de Costos" numFmtId="0">
      <sharedItems count="4">
        <s v="Bar"/>
        <s v="Cocina"/>
        <s v="Materila de Empaque"/>
        <s v="Material de Aseo"/>
      </sharedItems>
    </cacheField>
    <cacheField name="Artículo" numFmtId="1">
      <sharedItems count="1017">
        <s v="RON TROPICO BLANCO 750CC"/>
        <s v="SCHEEPPES SODA10 OZ"/>
        <s v="BUCHANANS 18 AÃ‘OS 750ML"/>
        <s v="BUCHANANS DELUXE AGED 12 YEARS 0.375L"/>
        <s v="GINEBRA HENDRICKS 750CC"/>
        <s v="GINEBRA SELVA X700ML"/>
        <s v="ESPUMOSO BARON DE ROTHERG BRUT 750"/>
        <s v="DOBLE MAESTRO DIAMANTE 750ML"/>
        <s v="DON JULIO 70 700ML"/>
        <s v="RON VIEJO DE CALDAS 3 AÃ‘OS 750 ML"/>
        <s v="DON JULIO REPOSADO 700ML"/>
        <s v="COLOMBIANA PET 1.5 LX 12 P.E"/>
        <s v="WHISKY ESCOCES GAELIK 700ML"/>
        <s v="AGUARDIENTE ANTIOQUEÃ‘O ROJO 750ML"/>
        <s v="JOHNNIE WALKER BLACK LABEL 700ML"/>
        <s v="JOHNNIE WALKER RED LABEL 700ML"/>
        <s v="LICOR 43*750ML"/>
        <s v="GORDON DRY GIN 750 L50"/>
        <s v="GINGER BEER SIN LICOR JUNIPER X 200ML"/>
        <s v="OLD PARR AGED 12 YEARS 0.5L"/>
        <s v="RESERVA DE DON JULIO BLANCO 0,70L"/>
        <s v="RON ZACAPA 23 AÃ‘OS 70OML"/>
        <s v="AGUA TONICA TRADICIONAL JUNIPER X200ML"/>
        <s v="TEQUILA 1800 REPOSADO 700ML"/>
        <s v="L. TRIPLE SEC TEICHENNE 1000ML"/>
        <s v="THE SINGLETON MALT 700ML"/>
        <s v="VERMUTH DRY MARTINI*750"/>
        <s v="RON MALIBU / 750CC 20 VOL C12"/>
        <s v="TEQUILA JOSE CUERVO ESPECIAL REPOSADO 990 ML"/>
        <s v="MANANTIAL CON GAS VIDRIO 300ML "/>
        <s v="TANQUERAY LONDON DRY GIN 0.70L"/>
        <s v="CINZANO TO SPRITZ 750"/>
        <s v="BULLDOG GIN 750ML"/>
        <s v="VODKA SKYY 750ML "/>
        <s v="ATUN POR 130 GRAMOS"/>
        <s v="AGUARDIENTE ANTIOQUEÃ‘O AZUL 750ML"/>
        <s v="VERMUTH BIANCO*750"/>
        <s v="GLENMORANGIE 10 AÃ‘OS"/>
        <s v="AGUARDIENTE ANTIOQUEÃ‘O AZUL 375ML"/>
        <s v="APEROL X 750ML"/>
        <s v="AGUARDIENTE ANTIOQUEÃ‘O ROJO 375ML"/>
        <s v="AGUARDIENTE ANTIOQUEÃ‘O VERDE 750ML"/>
        <s v="AGUARDIENTE ANTIOQUEÃ‘O VERDE 375ML"/>
        <s v="PISCO BARSOL QUEBRANTA 4000L"/>
        <s v="CAMPARI 750"/>
        <s v="ND "/>
        <s v="BULLEIT BOURBON 0,75L"/>
        <s v="JUNIPER TORONJA X207ML"/>
        <s v="RON MEDELIN 8 AÃ‘OS 375 ML"/>
        <s v="RON MEDELLIN 3 AÃ‘OS 375 ML"/>
        <s v="COCA COLA 1,5 LT PET"/>
        <s v="NATUMALTA PET 1500 X6"/>
        <s v="RON ZACAPA AMBAR 12 AÃ‘OS 750ML"/>
        <s v="CABEZA DE TILAPIA NEGRA X KILO"/>
        <s v="TEQUILA HERRADURA AÃ‘EJO 750ML"/>
        <s v="PISCO BARSOL MOSTOVERDE ITALIA X 750"/>
        <s v="BAILEYS ORIGINAL 1,0L"/>
        <s v="CAMARON CRUDO 41-50 0% PORCIONX 7UND PAQUETE POR 10 PORCIONES"/>
        <s v="SODA COCINA"/>
        <s v="COCA COLA 10 OZ VIDRIO"/>
        <s v="COCA COLA S/AZ 10 OZ"/>
        <s v="CARNE DE JAIBA CLAWN X KILO"/>
        <s v="SPRITE 400 ML"/>
        <s v="CIDRA DE ROSAS JUNIPER X 207ML"/>
        <s v="BARRIL DE CERVEZA IPA REGULAR X20L"/>
        <s v="ELDER FLOWER TONICA JUNIPER X207ML"/>
        <s v="CARNE MOLIDA X KILO"/>
        <s v="JUNIPER COFFE SODA CAJA X 24"/>
        <s v="JUNIPER LEMONGRASS X 207ML"/>
        <s v="ALAS x KILO"/>
        <s v="SMIRNOFF NO.21 RED VODKA 0,7L"/>
        <s v="SODA HATSU X6 UND"/>
        <s v="RON SAILOR JERRY  700ML"/>
        <s v="ANCHOAS x50g"/>
        <s v="CASCARA DE LANGOSTINO X KILO"/>
        <s v="CERVEZA AGUILA LIGTH RETORNABLE 330CC"/>
        <s v="CERVEZA AGUILA RETORNABLE 330CC"/>
        <s v="CERVEZA CLUB COL DORADA RETORNABLE 330CC"/>
        <s v="CHICHARRON UND*300G"/>
        <s v="LEMÃ“N LIME BITTER"/>
        <s v="CHORIZO DE CERDO * UND"/>
        <s v="CARNE PARA HAMBURGUESA X UNIDAD"/>
        <s v="CARNE REFRIGERADA WINGS X UNIDAD"/>
        <s v="MEZCAL UNIÃ“N EL JOVEN *700ML"/>
        <s v="COLA DE LANGOSTA UND 130G "/>
        <s v="COSTILLA X UND 500GR"/>
        <s v="VINO ROSALEDA ROSE 750ML"/>
        <s v="CAVA DON ROMAN ROSE 750ML"/>
        <s v="CROSADO SOUL 750ML"/>
        <s v="RIOJA DE BORDON RESERVA TEMPRANILLO GARNACHA D.O.C"/>
        <s v="SANTA EMA RESERVAS MEDIA CHARDONAY"/>
        <s v="TRAPICHE CABERNET SAUVINGNON X 750ML"/>
        <s v="VINO TINTO MALBECM. LAS MORAS 375ML"/>
        <s v="SANTA EMA BARRIEL RESERVA 60/40 750ML"/>
        <s v="SANTA EMA CHARDONAY S.T RVA 2022/750ML"/>
        <s v="SANTA EMA ST SUAVIGNON BLANC X 750 RVA 2020"/>
        <s v="CERVEZA CLUB COL NEGRARETORNABLE 330CC"/>
        <s v="nd"/>
        <s v="FINCA LAS MORAS BLACK LABEL MALBEC 750ML"/>
        <s v="FINCA LAS MORAS RESERVA CABERNET SYRAH *750ML"/>
        <s v="NAVARRO COL PRIV BLEND 0.75L"/>
        <s v="NAVARRO COREAS BRUT ROSE 750ML"/>
        <s v="NAVARRO COREAS EXTRA BRUT 750ML"/>
        <s v="SANTA CAROLINA CARMENERE 75O ML"/>
        <s v="TRAPICHE RESERVA MALBEC 750ML"/>
        <s v="VINO COUS. MACUL DON LUIS SUV BLA 750"/>
        <s v="VINO ENATE CHARDONAY 750 ML "/>
        <s v="VINO LAMBRUSCO ROSAD PICCINI REGNO 750 ML"/>
        <s v="BOT TANQUERAY RANG 750"/>
        <s v="VINO LAS MORAS TINTO CABERNET SAUV 750 ML "/>
        <s v="RON MEDELLIN 8 AÃ‘OS 750ML"/>
        <s v="VINO PICCINI LAMBRUS TTO REGNO DOC 750 ML"/>
        <s v="VINO ROSALEDA SAUV BLANC 750 ML"/>
        <s v="VINO TINTO LA CELIA RESERVA MALBEC"/>
        <s v="VINO TINTO TARAPACÃ MERLOT 750 ML"/>
        <s v="VINO TRAPICHE FINO MALBEC 750ML"/>
        <s v="VINO TRAPICHE MERLOT VARIETAL 750L"/>
        <s v="SPARKLING ANGEL 750ML"/>
        <s v="MONTES ALPHA CHARDONNAY 750ML"/>
        <s v="MONTES CHERUP 750ML"/>
        <s v="VNO CHAN DE ROSAS CUVEE ALBARIÃ‘O 750ML"/>
        <s v="FILETE DE ATUN ENTERO KG"/>
        <s v="LAS MORAS RESERVA CHARDONAY 750ML"/>
        <s v="AMATORE AMARETTO 750ML"/>
        <s v="FILETE DE DORADO X 200GR"/>
        <s v="FILETE DE POLLO X 120GR"/>
        <s v="CONTRA MUSLOS x1KL"/>
        <s v=" FRANGELICO HAZELNUT LIQUER 750ML"/>
        <s v="VINO LAS MORAS BLANCO CHARDONAY 750ML "/>
        <s v="VINO LAS MORAS TINTO MALBEC 750 ML"/>
        <s v="TE HATSU ROSADO SIX400X6"/>
        <s v="FILETE DE POLLO X 180GR"/>
        <s v="DON JULIO AÃ‘EJO X700ML"/>
        <s v="FILETE DE ROBALO*200G"/>
        <s v="MEZCAL 400 CONEJOS JOVEN SPADIN 750 ML"/>
        <s v="WHISKY OLD PARR 12 AÃ‘OS 750 ML"/>
        <s v="FILETE DE SALMON X 180GN "/>
        <s v="GINGER ALE BOTELLA 300ML - SCHWEPPES"/>
        <s v="BUCHANANS MASTER 0,75L"/>
        <s v="FILETE DE TILAPIA FRESCA LO"/>
        <s v="HUESO DE PESCADO MAR X KILO"/>
        <s v="AMARETTO DISARONNO X 750"/>
        <s v="VINO ROSALEDA TINTO MERLOT 750ML"/>
        <s v="CERVEZA CLUB COL ROJA RETORNABLE 330 CC"/>
        <s v="ACQUA PANNA VIDRIO 505 ML"/>
        <s v="AGUA S. PELLEGRINO VIDRIO 505ML"/>
        <s v="AGUA HATSU X 6UND"/>
        <s v="TE HATSU AMARILLO 400X6"/>
        <s v="TE HATSU AZUL 400ML X 6"/>
        <s v="TE HATSU BLANCO 400ML X6"/>
        <s v="TE HATSU LILA 400ML X6"/>
        <s v="TE HATSU ROJO 400X6"/>
        <s v="TE HATSU ROSAS  400ML X6"/>
        <s v="FLOR DE CAÃ‘A 12 AÃ‘OS 750"/>
        <s v="TEQUILA BLACO CAZADOR X 750ML"/>
        <s v="TEQUILA JIMADOR BLANCO 700ML"/>
        <s v="VODKA ABSOLUT RASPBERRI 750ML"/>
        <s v="HEINIKEN BARRIL 8 LTS PET"/>
        <s v="MANANTIAL SIN GAS 500ML "/>
        <s v="ABSOLUT 700 ML"/>
        <s v="COCONUT JUNIPER X 207 MIL"/>
        <s v="GINEBRA PINK GORDONS 700 ml"/>
        <s v="TE HATSU NEGRO 400ML X6"/>
        <s v="JAMON SERRANO"/>
        <s v="WHISKY JACK DANIEL'S FIRE 700ML"/>
        <s v="CREMA DE WHISKY BLACK JACK 750 CC"/>
        <s v="GREY GOOSE ORIGINAL 700ML"/>
        <s v="JACK DANIEL'SÂ OLD NO. 7"/>
        <s v="TEQUILA PATRON REPOSADO 700"/>
        <s v="WHISKEY JACK DANIELS HONEY 750CC 35Âº ALC."/>
        <s v="WHISKY JACK DANIELS 700 APPLE 700"/>
        <s v="BLACK HONEY LAFRICA X750ML"/>
        <s v="BUCHANANS DELUXE AGED 12 YEARS 0.750L"/>
        <s v="DON JULIO REPOSADO 750ML"/>
        <s v="JAGERMEISTER - JAGER 750ML"/>
        <s v="RON BACARDI DE MANDARINA*750ML"/>
        <s v="COSTILLAS CON CARTILAGO  X KILO"/>
        <s v="CACHAZA 61 *970ML"/>
        <s v="CERVEZA CORONA NRB SIXPACK X 330ML"/>
        <s v="WHISKEY BULLEIT RYE GLASS 750ML"/>
        <s v="WHISKY MACALLAN 12 AÃ‘OS *700"/>
        <s v="CERVEZA NEGRA COCINA"/>
        <s v="RON CARBON 750ML"/>
        <s v="CERVEZA PILSEN RETORNABLE 330CC"/>
        <s v="CERVEZA STELLA ARTOIS SIXPACK NR 330 MEX"/>
        <s v="VINO LAS MORAS ROSADO SYRAH 750ML"/>
        <s v="LANGOSTINOS CRUDO 16/20 X UNIDAD"/>
        <s v="RON VIEJO DE CALDAS 3 AÃ‘OS 375ML"/>
        <s v="BARRIL DE CERVEZA TACOS PICANTE  X20L"/>
        <s v="CANADA DRY X300ML"/>
        <s v="MEJILLON NEGRO 454GR "/>
        <s v="PALMITO DE CANGREJO x500GR"/>
        <s v="PALMITO KANIKAMA PREMIUM X 30UND"/>
        <s v="CINZANO VERMUTH ROSSO 750ML"/>
        <s v="JUNIPER DE DURAZNO *207ML"/>
        <s v="CARNE DE MORRILLO X KILO"/>
        <s v="CERVEZA MODELO ESPECIAL BOTELLA X6UND (2130 ML"/>
        <s v="RON VIEJO DE CALDAS 8 AÃ‘OS"/>
        <s v="COLA DE RES X KILO"/>
        <s v="CERVEZA HEINIKEN BOT.NR 330 6X4"/>
        <s v="CONTRAMUSLO DESHUESADO X KILO MALANGA"/>
        <s v="GRASA DE CHICHARRON X KILO"/>
        <s v="BIG BOGGER X10UND "/>
        <s v="RON MEDELLIN 3 AÃ‘OS 750ML"/>
        <s v="PIERNA DE CERDO*120G"/>
        <s v="ENTRECOT UND *250G"/>
        <s v="POSTA DE RES UND X"/>
        <s v="SOLOMITO X 200G"/>
        <s v="PECHUGA DE POLLO DESHUESADO X1000"/>
        <s v="FILETE DE PECHUGA MARIPOSA *150G"/>
        <s v="PECHO DE RES X KILOO"/>
        <s v="PUNTA DE ANCA DE RES X KILO"/>
        <s v="SUB. COSTILLAS HOT WINGS"/>
        <s v="BARRIL DE CERVEZA AMERICA APA BARRIL X 20LT"/>
        <s v="SUB. GALLETA DE CHOCOLATE"/>
        <s v="BARRIL DE CERVEZA AMERICA SEASON IPA"/>
        <s v="BARRIL CERVEZA IRISH RED ALE 20L"/>
        <s v="SOLOMITO X 180G"/>
        <s v="SUB. ALAS PICADAS"/>
        <s v="BARRIL DE CERVEZA AMERICA LAGER"/>
        <s v="SUB. ALITAS ADOBADA"/>
        <s v="BARRIL DE CERVEZA SAN JUANERA FRUTOS ROJO"/>
        <s v="BARRIL DE CERVEZA DARK LAGER"/>
        <s v="BARRIL DE CERVEZA STOUT NEGRA 20LM"/>
        <s v="ABSOLUT 350ML"/>
        <s v="TEQUILA 1800 AÃ‘EJO 700ML"/>
        <s v="BAILEYS ORIGINAL 1,0LORD097ORD096"/>
        <s v="CERVEZA CUSQUEÃ‘A NEGRA SIX PACK BOTELLAS (310 ML)"/>
        <s v="CERVEZA PILSEN  NEGRA COCINA"/>
        <s v="RED BULL ENERGY DRINK, 8.3OZ. CAN, 24/CT, ORIGINAL"/>
        <s v="CERVEZA TORREALTA "/>
        <s v="DON JULIO BLANCO 0,70L"/>
        <s v="VINO TINTO TARAPACA MALBEC 750 ML"/>
        <s v="ALBARIÃ‘O MAR DE FRADES 75 CL."/>
        <s v="ESPUMANTE CHANDON ARGENTINA BRUT 187ML"/>
        <s v="ESPUMANTE CHANDON EXTRA BRUT BLANC DE NOIR 750ML"/>
        <s v="FREIXENET CORDÃ“N NEGRO BRUT 187ML"/>
        <s v="FREIXENET CORDÃ“N NEGRO BRUT 750ML"/>
        <s v="LA CELIA RESERVA CHARDONNAY 750L"/>
        <s v="MIONETTO PROSECCO DOC TREVISO PRESTIGE COLLECTION BRUT 0.75L"/>
        <s v="MIONETTO PROSECCO DOC TREVISO PRESTIGE COLLECTION BRUT 187L"/>
        <s v="VINO LAMBRUSCO BLANCO PICCINI 750ML"/>
        <s v="VINO TARAPACA VARIETAL ROSÃ‰ 75CL"/>
        <s v="MENADE ORGANIC SAUVIGNON, CASTILLA Y LEON, SPAIN VERDEJO"/>
        <s v="MENADE SAUVIGNON BLANC RUEDA 2023 (BIO)"/>
        <s v="VINO TINTO OSTATU CRIANZA 750ML"/>
        <s v="PULPO MEXICANO 2-4"/>
        <s v="SALMON FRESCO 3-4TD"/>
        <s v="SUB. EMPANADAS DE LOMO SALTADO"/>
        <s v="SUB. CALAMAR CEVICHERIA "/>
        <s v="SUB. POLLO AJI DE GALLINA"/>
        <s v="SUB. POLLO LIMEÃ‘O"/>
        <s v="SUB. CAUSA DE ATUN"/>
        <s v="SUB. COSTILLAS (ROCOTO)"/>
        <s v="SUB. CROQUETA DE POLLO"/>
        <s v="SUB. CHANCHO A LA CRIOLLA"/>
        <s v="SUB. EMPANADAS"/>
        <s v="SUB. LANGOSTINOS APANADOS (ROCOTO)"/>
        <s v="SUB. SPRING ROLLS AJI DEGALLINA"/>
        <s v="SUB. MACERADO DE PISCOS HIERBA-LUISA"/>
        <s v="SUB. MACERADO DE UCHUVA Y AJI ROCOTO "/>
        <s v="SUB. TAMARINDO-LULO Y JALAPEÃ‘O"/>
        <s v="MARTINI VERMUTH ROSSO 750ML"/>
        <s v="PISCO BARSOL ACHOLADO 750ML"/>
        <s v="RAMON BILBAO ROSADO RIOJA 75CL"/>
        <s v="VEUVE DURAND CHAMPAGNE BRUT RÃ‰SERVE"/>
        <s v="VINO TARAPACA VARIETAL CABERNET 750ML"/>
        <s v="VINO TARAPACA VARIETAL SAUVIGNON BL 750ML"/>
        <s v="VINO TINTO RAMÃ“N BILBAO CRIANZA TEMPRANILLO"/>
        <s v="SUB. MACERADO DE COCA"/>
        <s v="RON BACARDI CARTA BLANCA SUPERIOR 980 ML "/>
        <s v="VINO BCO RAMON BILBAO VERDEJO 750ML"/>
        <s v="TILAPIA ROJA X UND"/>
        <s v="SUB. MACERADO DE MARACUMANGO"/>
        <s v="SUB. PULPO MEXICANO *40"/>
        <s v="SUB. PULPO MEXICANO (ROCOTO)*150G"/>
        <s v="SUB. BRISKET COCCION"/>
        <s v="SUB. LANGOSTINOS CROCANTES "/>
        <s v="SUB. PASTA DE AJI AMARILLO (ROCOTO)"/>
        <s v="PIERNA DE CERDO*100G"/>
        <s v="SUB. PASTA DE AJI ROCOTO (PC)"/>
        <s v="SUB. LANGOSTINOS CROCANTES (ROCOTO)"/>
        <s v="PECHUGA DE POLLO CON HUESO X KILO"/>
        <s v="SUB. CHICHA MORADA"/>
        <s v="SUB. BROWNIE DE CHOCOLATE  (VOLCAN)"/>
        <s v="SUB. TUBOS DE CALAMAR X 80G"/>
        <s v="SOBRE BARRIGA X KILO"/>
        <s v="FINCA LAS MORAS BARREL SELEC MALBEC 750ML"/>
        <s v="TEQUILA PATRON CRISTALINO 700"/>
        <s v="SUB. BROWNIE DE CUMPLE"/>
        <s v="SUB. BROWNIE DE CHOCOLATE"/>
        <s v="SUB. PAPA CRIOLLA"/>
        <s v="TEQUILA PATRON REPOSADO 700 "/>
        <s v="SUB. FRIJOL CANARIO"/>
        <s v="SUB. BROWNIE DE CHOCOLATE BLANCO"/>
        <s v="SUB. BROWNIE DE RED VELVET"/>
        <s v="SUB. CHEESE CAKE NEW YORK"/>
        <s v="SUB. AJI PANCA"/>
        <s v="ANCHOAS X50GR"/>
        <s v="SUB. CHICHARRON"/>
        <s v="SUB. CHILE CON CARNE"/>
        <s v="SUB. COSTILLA"/>
        <s v="SUB. MACERADO DE TAMARINDO-LULO Y JALAPEÃ‘O"/>
        <s v="SUB. CONTRA MUSLOS (HOTWINGS)"/>
        <s v="SUB. CROQUETAS DE JAIBA"/>
        <s v="SUB. POLLO COCIDO"/>
        <s v="TUBOS DE CALAMAR X KILO"/>
        <s v="SUB. COSTILLA SAN LUIS "/>
        <s v="VODKA KARLOVA 100ML "/>
        <s v="SUB. PALMITOS"/>
        <s v="SUB. SPRINROLL DE NUTELLA (ROCOTO)"/>
        <s v="SUB. POSTA"/>
        <s v="SUB. TORTA DE CHOCOLATE"/>
        <s v="SUB. BASE AJI DE GALLINA"/>
        <s v="VINO TARAPACA CABERNET SAUVIGNON BL 750ML"/>
        <s v="SUB. PULPO MEXICANO"/>
        <s v="SUB. CRISPETAS DE POLLO"/>
        <s v="SUB. TORONJA DESHIDRATADA"/>
        <s v="SUB. FODGE CUBIERTA"/>
        <s v="SUB. DEDOS DE MOZARELLA"/>
        <s v="SUB. ROLL SPRING ROLLS"/>
        <s v="SUB. MERENGUE"/>
        <s v="SUB. SOBREBARRIGA"/>
        <s v="TEQUILA PATRON SILVER 700"/>
        <s v="SUB. FRESA DESHIDRATADA"/>
        <s v="SUB. BIZCOCHO DE CHOCOLATE"/>
        <s v="SUB. GANACHE DE CHOCOLATE"/>
        <s v="SUB. COCO DESHIDRATADO"/>
        <s v="SUB. LIMON DESHIDRATADO"/>
        <s v="SUB. PIÃ‘A DESHIDRATADA"/>
        <s v=" GLENMORANGIE 12 AÃ‘OS"/>
        <s v="GLENMORANGIE 14 AÃ‘OS"/>
        <s v="RON PARCE 12 AÃ‘OS 750ML"/>
        <s v="RON PARCE 8 AÃ‘OS 750ML"/>
        <s v="RON PARCE BROTHERS BLEND 750ML"/>
        <s v="TINTA DE CALAMAR SQUID INK X 500 GR"/>
        <s v="TOCINETA PREMIUM X KILO"/>
        <s v="BRETAÃ‘A FRIOPACK 300L"/>
        <s v="LAMBRUSCO CLETO CHIARLI ROSE 750ML"/>
        <s v="ABSOLUT VODKA CITRON 750 ML"/>
        <s v="ABSOLUT VODKA MANDARINA 750 ML"/>
        <s v="SUB. FILETE DE PECHUGASUB *150G"/>
        <s v="JAMÃ“N DE CERDO VIANDÃ‰ 400 GRS"/>
        <s v="SUB. SALSA BBQ DULCE"/>
        <s v="RECORTE DE POLLO IMPORTADO *KILO"/>
        <s v="WHISKY JACK DANIEL'S FIRE 750ML"/>
        <s v="ACEITE DE AJONJOLI KADOYA X 1.62LT"/>
        <s v="ACEITE DE OLIVA VIR EXTRA GRAN S ABRIL PX1L"/>
        <s v="ACEITE MESTRE OLEO X 3000CC"/>
        <s v="ACEITE TRUFADO"/>
        <s v="ACEITE VEGETAL X 20LT"/>
        <s v="ACEITUNA VERDE DESHUESADA 330GR"/>
        <s v="ACEITUNAS MORADA ALFA *1000g"/>
        <s v="ACHIOTE EN GRANO*1000"/>
        <s v="ACIDO ASCORBICO 500GR"/>
        <s v="ADEREZO CESAR ZAFRAN x 1000GR 688-435-601"/>
        <s v="ADEREZO QUESO CHEDDAR X 1L "/>
        <s v="AGRAZ *1000"/>
        <s v="AGUACATE CHOCKETTE X KILO"/>
        <s v="AGUARDIENTE ANTIOQUEÃ‘O REAL SIN AZUCAR 24Â° 75OML"/>
        <s v="AHUMADO/SALSA HUMO ASTEK X 3850ML"/>
        <s v="AJI AMARILLO X KILO"/>
        <s v="AJI CAROLINA RAPPER X KILO"/>
        <s v="AJI CHILE X KILO"/>
        <s v="AJI DULCE X KILO"/>
        <s v="AJI JALAPEÃ‘O*1KL"/>
        <s v="AJI LIMO X KILO"/>
        <s v="AJI PANCA X KILO"/>
        <s v="AJI ROCOTO X KILO"/>
        <s v="AJINOMOTO X KILO"/>
        <s v="AJO EN POLVO P&amp;L GOURMET FRASCO X500G"/>
        <s v="AJO LIMPIO X KILO"/>
        <s v="AJONJOLI BLANCO TOSTADO *500G"/>
        <s v="AJONJOLI NEGRO X 500GR"/>
        <s v="AL-139 TAPA Y DOMO 12 ONZAS"/>
        <s v="AL-24 BASE "/>
        <s v="AL-27 TAPA DOMO "/>
        <s v="AL-47 TAPA DOMO SEMIOVALADA EN BOPS"/>
        <s v="AL-55 BASE EMPAQUE EN BOPS NEGRO "/>
        <s v="ALBAHACA X KILO"/>
        <s v="ALCAPARRA ALFRESCO X 500GR"/>
        <s v="ALCOHOL ETILICO 96%*20L"/>
        <s v="ALMENDRA ENTERA X 500 GR"/>
        <s v="ALMIDON CORRIENTE X 1000GR"/>
        <s v="ALMIDON EXTRA ROSQUILLERO X1000 GR"/>
        <s v="ANÃS EN GRANO"/>
        <s v="APIO X KILO"/>
        <s v="ARANDANOS CAJA X 125GRA"/>
        <s v="AREQUIPE ALPINA INSTITUCIONAL 5KG"/>
        <s v="ARMONIA TARTUFATA X 500"/>
        <s v="AROMATICA *7G"/>
        <s v="ARROZ  CASTELLANO X 1KG"/>
        <s v="ARROZ ARBOREO COLAVITA X 1 KG "/>
        <s v="ARVEJA DESGRANADA X KILO"/>
        <s v="ARVEJA MCCAIN X 1KG 4922"/>
        <s v="AZUCAR MANUELITA  BOLSA X 5LB"/>
        <s v="AZUCAR MANUELITA MORENA BS X 5LB"/>
        <s v="AZUCAR MICROPULVERIZADA X 500G"/>
        <s v="AZUCAR SOBRES MANUELITA BOLSA X200S X 5G"/>
        <s v="BAGUETTE TORPEADO HARINA 120GR"/>
        <s v="BANANO X KILO"/>
        <s v="BANDEJA # 1 (DOMO)"/>
        <s v="BANDEJA #1.5"/>
        <s v="BANDEJA MAIZ DULCE BANDEJA X 1000"/>
        <s v="BANDEJA UVA ISABELLA X KILO"/>
        <s v="BARQUILLO PIAZA DE CHOCOLATE/VAINILLA"/>
        <s v="BASE COCTEL STRAWBERRY PUREE FINEST 1000"/>
        <s v="BBQ BOLSA 5000G BARY CJ"/>
        <s v="BICARBONATO LA GRAN COCINA x500G"/>
        <s v="BOCADILLO DE GUAYABA X150G46"/>
        <s v="BOLSA 1X0 (18X 12cm)"/>
        <s v="BOLSA 1X0 (20,5 X 13,5 cm)"/>
        <s v="BOLSA AL VACIO 32*42 DE 65 MICRAS N"/>
        <s v="BOLSA BLANCA T30*100UND"/>
        <s v="BOLSA CANASTA 63(1/2)X98(1/2) 100U"/>
        <s v="BOLSA CON AGARRADERA TROQUELADA DE 29X19X32"/>
        <s v="BOLSA DE BLANCA BASURA JUMBO+50 UND"/>
        <s v="BOLSA IMP.1T PPCK 37.MW 8X3X14 GMS 37.5"/>
        <s v="BOLSA KRAF NÂ° 1 *100 UN"/>
        <s v="BOLSA KRAF NÂ° 12 *50 UND"/>
        <s v="BOLSA KRAF NÂ° 25 *100 UND"/>
        <s v="BOLSA KRAF NÂ° 6 X 100UNDEMP093"/>
        <s v="BOLSA KRAF NÂ° 60 *50 UND"/>
        <s v="BOLSA PARA BASURA NEGRA 46*46 PQT*10UND"/>
        <s v="BOLSA PARA PORCIONAR 10*14 100UND"/>
        <s v="BOLSA PARA PORCIONAR 15*20 100UND"/>
        <s v="BOLSA PARA PORCIONAR 6*8 100UND"/>
        <s v="BOLSA PARA PORCIONAR 6*9 100UND"/>
        <s v="BOLSA PLANA FLEXIBLE SIN IMPRESION TRANSPARENTE 20X35 CM 70 MICRAS"/>
        <s v="BOLSA PLANA FLEXIBLE SIN IMPRESION TRANSPARENTE 32X42 CM 70 MICRAS"/>
        <s v="BOLSA ROJA 18*24 "/>
        <s v="BOLSA TRASNP 6*8 ALTA X100UNDJ"/>
        <s v="BOLSA TRASNP 8*12 ALTA X100UND"/>
        <s v="BOLSA VERDE PARA LA BASURA "/>
        <s v="BOLSA ZIPLOC 20X30X100 UND"/>
        <s v="BOTONES DE ROSAS "/>
        <s v="BREAK UP CHLOR D3.4 *20L W5172-REF:100865811"/>
        <s v="BROCOLI X KILO"/>
        <s v="BROTES DE RABANO 50"/>
        <s v="BURRATA DIBUFALA TARRO 6UDS *80GR C/U"/>
        <s v="CACAO ORGANICO GRANULADOA"/>
        <s v="CAFE VENETO SELECT PEPA X 2,5 KG"/>
        <s v="CAJA 10 LT VAINILLA POP CREM"/>
        <s v="CAJA DE HIELO CUBO IGLU X 18UN"/>
        <s v="CAMOTE X KILO"/>
        <s v="CANELA ASTILLAS SAN VALENTIN X500G"/>
        <s v="CANELA EN POLVO BADIA X454G"/>
        <s v="CAPSULAS X 10 UND DISPENSADOR CHNATILL"/>
        <s v="CARAMBOLO BANDEJA X500G"/>
        <s v="CARDAMOMO ORO X500GR (PELADO) "/>
        <s v="CARNE REFRIGERADA WINGS X UNIDAD "/>
        <s v="CEBOLLA BLANCA LIMPIA X KILO"/>
        <s v="CEBOLLA EN POLVO BADIA x500G"/>
        <s v="CEBOLLA MORADA LIMPIA"/>
        <s v="CEBOLLA PUERRO X KILO"/>
        <s v="CEBOLLA RAMA LIMPIA X KILO"/>
        <s v="CEBOLLIN*KILO"/>
        <s v="CEREZA MARRASCHINO ALFAFRASX 1000G DREN 580G"/>
        <s v="CHAMPIÃ‘ON ORELLANA X KILO"/>
        <s v="CHAMPIÃ‘ON PORTOBELLO X KILO"/>
        <s v="CHAMPIÃ‘ON X KILO"/>
        <s v="CHATA X UNIDAD DE 300GR"/>
        <s v="CHEDDAR CAS TAJADAS X 1,25 KG"/>
        <s v="CHICHA JORA*1L"/>
        <s v="CHICHARRON X KILO"/>
        <s v="CHOCOLATE  LUKER X500G"/>
        <s v="CILANTRO LIMPIO X KILO"/>
        <s v="CITROACTIVO X 4 LITROS"/>
        <s v="CLAMATO COCTEL DE TOMATE*946"/>
        <s v="CLAVOS DE OLOR "/>
        <s v="COBERTURA MON BLANCAX 2,5 GR"/>
        <s v="COBERTURA MON NEGRA X 2,5KL LUKER-CAJAX4-5%"/>
        <s v="COCO RALLADO NRO1 IPRODESA XK CD21"/>
        <s v="COCO X KILO"/>
        <s v="COCOA NATURAL 16% X KILO"/>
        <s v="COGOLLO EUROPEO *250"/>
        <s v="COLCAFE GRANULADO CLASICO X500 GR"/>
        <s v="COLOR LA GRAN COCINA CIX 500GR"/>
        <s v="COLORANTE GEL AMARILLO X 60 ML "/>
        <s v="COLORANTE GEL ROJO X 60 ML "/>
        <s v="COM PAN BAGUETTE CONGELADO X 400G PT MB"/>
        <s v="COMINO MOLIDO X 500GR"/>
        <s v="CONTENEDOR C1 (REM No 46532)"/>
        <s v="CONTENEDOR P1 (REM No 46533)"/>
        <s v="CONTRA MUSLOS DESHUESADO CON PIEL x1KL"/>
        <s v="COROZO COSTEÃ‘O X KILO"/>
        <s v="CREMA AVELLANAS CORDILLERA X1K "/>
        <s v="CREMA DE AGRIA X400G"/>
        <s v="CREMA DE COCO ROLAND X 960 GR"/>
        <s v="CREMA DE LECHE  X 9700G "/>
        <s v="CROUTONES *250G"/>
        <s v="CUAJADA COLANTA X 500G"/>
        <s v="CUCHARAS NEGRAS DARNEL X100 UND"/>
        <s v="CUCHILLOS NEGROS DARNEL X100UND"/>
        <s v="CURCUMA BOLSA X 454 GR"/>
        <s v="CURRY BADIA X454G"/>
        <s v="CURUBA * KILO"/>
        <s v="DELANTAL GRANDE PROTEX BLANCO"/>
        <s v="DELANTAL POLOETILENO BLANCO X20u"/>
        <s v="DESENGRASANTE SANIPLUS LM BRISA MARINA X4L"/>
        <s v="DESINFECTANTE BIOBAC *1L"/>
        <s v="DESINFECTANTE ORGANICO SANIPLUS DM 100E*4L"/>
        <s v="DETERGENTE CREMA FROTEX VALVULA TX1000G"/>
        <s v="DETERGENTE EN POLVO PPT*1KL"/>
        <s v="DURAZNO EN MITADDISPRONATX 820G DREN 470G"/>
        <s v="ENELDO X KILO "/>
        <s v="ESCOBILLON SANITARIO BASE"/>
        <s v="ESENCIA COCO MUND HEVO X 500C.C"/>
        <s v="ESENCIA DE VAINILLA X500C.C"/>
        <s v="ESPARRAGO KILO"/>
        <s v="ESPINACA BOGOTANA X KILO"/>
        <s v="ESPONJA DE ALAMBRE LIDER "/>
        <s v="ESPONJA DOBLE USO LAMINADA 3M VERDE"/>
        <s v="ESPONJA ORO PLATA BRIO"/>
        <s v="ESPONJILLA ACERO INOXIDABLE BRIO"/>
        <s v="ESPONJILLA LA MAQUINA INSTITUC GRIS x 1U"/>
        <s v="ESPONJILLA RULO DE ACERO IN BRIOX12U AUT"/>
        <s v="FABULOSO SANIPLUS LMCANELA X GARRAFA "/>
        <s v="FAMITEX COCINA SALMON X 10U 74322"/>
        <s v="FETUHINI MONTICELLO X 500G"/>
        <s v="FLOR DE JAMAICA X KILO"/>
        <s v="FLORES COMESTIBLES (PENSAMIENTOS)"/>
        <s v="FRANGELICO HAZELNUT LIQUER 750ML"/>
        <s v="FRESA JUMBO * KILO BAR"/>
        <s v="FRESA JUMBO I X KILO"/>
        <s v="FRESH CITRUS 1.5LT PET (12)"/>
        <s v="FRIJOL CANARIO * KILO"/>
        <s v="GALLETA OREO MEDIANA TRITURADA X4KG"/>
        <s v="GALLETA SULTANA*225g"/>
        <s v="GEL ANTIBACTERIAL SOFT CARE DESE H5X950M"/>
        <s v="GELATINA SIN SABOR X30G"/>
        <s v="GELATO MARACUYA MANGO FERRARA 1L"/>
        <s v="GLENMORANGIE 12 AÃ‘OS"/>
        <s v="GLUCOSA 1130 COLORISA X 700GR"/>
        <s v="GORRO MALLA NEGRA 53CM*20u"/>
        <s v="GORRO TIPO MONJA VELO 6UND"/>
        <s v="GOTAS AMARGAS BITTER ANGOSTURA*150G"/>
        <s v="GUANTE PLASTICO PQ 100 CLAY CJ100"/>
        <s v="GUANTES DE NITRIO TALLA L"/>
        <s v="GUANTES DE NITRIO TALLA M"/>
        <s v="GUANTES DE NITRIO TALLA S"/>
        <s v="GUAYABA X KILO"/>
        <s v="GULUPA X KILO"/>
        <s v="HABICHUELA X KILO"/>
        <s v="HARINA Ã‰LITE PARA HOJALDRES X 2,5 KG 3 CASTILLOSFRED"/>
        <s v="HARINA DE TRIGO HAZ DE OROS BOLSA X550g"/>
        <s v="HARINA PAN BLANCA X 1KG"/>
        <s v="HASIS BAMBOO ATL PAQ X 100UND"/>
        <s v="HIERBA BUENA X 500 KILO"/>
        <s v="HIERBABUENA * KILO BAR"/>
        <s v="HIPOCLORITO DE SODIO 15%*20L"/>
        <s v="HOJA DE BIJAO"/>
        <s v="HOJA DE COCA*500G"/>
        <s v="HONDASHI*1KG"/>
        <s v="HUEVO DE CODORNIZ *24UND"/>
        <s v="HUEVOS AA"/>
        <s v="JABON ESPUMA SUAVx1000CC80530"/>
        <s v="JABON LAVA LOZA MANTYS"/>
        <s v="JABON REY 300G"/>
        <s v="JALAPEÃ‘O X KILO"/>
        <s v="JALAPEÃ‘OS CON QUESOCHEDDAR x 1.13KG 132B"/>
        <s v="JENGIBRE X KILO"/>
        <s v="JUGO DE ARANDANOS YUS PET 945 ML"/>
        <s v="KIT MADERAS AHUMADOR POLYSCIENCE BREVILLE"/>
        <s v="KUMIS ORIGINAL BOLSA 1000 GR ALPINA"/>
        <s v="LATA CHILE CON CARNE LATA*300G"/>
        <s v="LAUREL X KILO"/>
        <s v="LAVA PLUS *20L "/>
        <s v="LECHE CONDENSADA LA LECHERA BOLSA X 4,5K"/>
        <s v="LECHE POLVO COLANTA X900G"/>
        <s v="LECHE UHT DESLACTOSADA BOLSA X 1000ML "/>
        <s v="LECHE UHT ENTERA BOLSA X 1000ML"/>
        <s v="LECHUGA CRESPA *500G"/>
        <s v="LECHUGA ROMANA *250G"/>
        <s v="LEMONCHELLO"/>
        <s v="LEVADURA FLEISCHMANN X 500 GR- CAJA X 50-3%"/>
        <s v="LIMON MANDARINO X KILO"/>
        <s v="LIMON TAHITI *KILO BAR"/>
        <s v="LIMON TAHITI X KILO"/>
        <s v="LIMONCILLO X KILO"/>
        <s v="LIMPIADOR DE ACERO INOXIDABLE LATA X296ML"/>
        <s v="LIMPIAVIDRIOS SANIPLUS*4L"/>
        <s v="LIMPION IND DESECH HD 2X305M 74079"/>
        <s v="LIMPION INDUSTRIAL FAMILIA 74167 *1 UND"/>
        <s v="LULO X KILO"/>
        <s v="LYCHEE SAN VALENTIN 567G DREN 225G"/>
        <s v="MAIZ CANCHA"/>
        <s v="MAIZ EN GRANO MCCAIN X 1KG "/>
        <s v="MAIZ MORADO X KILO"/>
        <s v="MAIZ TIERNO METOO VACUMX 340G DRE 285G"/>
        <s v="MAIZENA X  KILO"/>
        <s v="MANDARINA PAQUETE X 7 UNIDADES"/>
        <s v="MANDARINA X KILO"/>
        <s v="MANGAS REPOSTERAS #18"/>
        <s v="MANGO TOMMY X KILO"/>
        <s v="MANGO TOMMY*KILO BAR"/>
        <s v="MANI TRITURADO X500 GR"/>
        <s v="MANTEQUILLA FRESCA BATIDA X KILO"/>
        <s v="MANZANA ROJA BAR "/>
        <s v="MANZANA ROJA X KILO"/>
        <s v="MANZANA VERDE BAR"/>
        <s v="MANZANA VERDE X KILO"/>
        <s v="MARACUYA DULCE 4L"/>
        <s v="MARACUYA PICANTE * 4L"/>
        <s v="MARACUYA X KILO"/>
        <s v="MARGARINA "/>
        <s v="MASAGO X 4.4 LB "/>
        <s v="MASMELO FIRESIDE X 1000GR"/>
        <s v="MAYOESA ALASENA X475G"/>
        <s v="MAYONESA ESP ZAFRAN X 3600G 685-542-102 "/>
        <s v="MAYONESA FRUCO GALON X3770G"/>
        <s v="MAZORCA SIN CAPACHO X KILO"/>
        <s v="MENTA X KILO"/>
        <s v="MENTAS *50UND COLOMBINA"/>
        <s v="MEZCLADORES DE LICOR*100 UND"/>
        <s v="MEZCLUM X 500G"/>
        <s v="MIEL DE ABEJA PURA S/ VALENTINX 480G "/>
        <s v="MIEL MAPLE BARY X 480G "/>
        <s v="MIGA DE PAN PANKO BLANCO X 20 KILOS"/>
        <s v="MILO *300g"/>
        <s v="MIXTURA DE AJONJOLI X 500 GR"/>
        <s v="MIXTURA DE QUINUA X500G"/>
        <s v="MORA X KILO"/>
        <s v="MOSTAZA CLASICA ANTIGDIJOSHACIE FRASX380G"/>
        <s v="MOSTAZA FRUCO GAL X 4015G"/>
        <s v="MULTIGRANOLA TONING X1000 GR"/>
        <s v="NACHO TRIANGULAR MAXABOX X 1000 GR"/>
        <s v="NARANJA VALENCIAX KILO"/>
        <s v="NATILLA X300G"/>
        <s v="NECTAR DE PERA X 1000 ML"/>
        <s v="NITRÃ“GENO LÃQUIDO"/>
        <s v="NUEZ MOSCADAGRA"/>
        <s v="NUEZ PECANA X 907 GR"/>
        <s v="OCHUVA CON CAPACHO"/>
        <s v="OREGANO X 500GR"/>
        <s v="PALILLO REDONDO DIENTES FESTIVAL*120UND"/>
        <s v="PALILLOS HAMBURGUESA EL SOL 10CAJASX 125U"/>
        <s v="PAN ARTELLANO CON PARMESANO "/>
        <s v="PAN DE CEBOLLA "/>
        <s v="PAN PARA HAMBURGUESA"/>
        <s v="PAN PARA PERRO X10UND"/>
        <s v="PAN PERRO BRIOCHE 70GR  X4UND"/>
        <s v="PAN TAJADO BIMBO X 600G"/>
        <s v="PANELA PULV ORGANIC BLACKMILL SACHET 5GR 200U"/>
        <s v="PANELA REG. SAN VALENTIN EMPACAR X PAR"/>
        <s v="PAPA CAPIRA COROZO *1KL"/>
        <s v="PAPA CRIOLLA BALIN O CHIRIYA"/>
        <s v="PAPA DELGADA 9X9 2KG 5300"/>
        <s v="PAPA NEVADA X KILO"/>
        <s v="PAPEL PARAFINADO BLANCO 100MT"/>
        <s v="PAPRIKA P&amp;I GOURMET FRASCO X 500G"/>
        <s v="PASTA DE TOMATE X KILO"/>
        <s v="PASTA LA MOLISANA ASPAGUETTI AL NERO SEPPIA*250G"/>
        <s v="PATACONES MEDIANOS VERDE X UND"/>
        <s v="PELIE VINIPEL 12PULGX1500MTS SM-300-1500"/>
        <s v="PEPINILLOS AGRIDULCE ENTE ALFRESCOX500G"/>
        <s v="PEPINO COHOMBROX KILO"/>
        <s v="PEREJIL CRESPO X KILO"/>
        <s v="PETALOS DE ROSAS"/>
        <s v="PH INDICADOR STRIPS ROLL-EDEN-REF DAV72577"/>
        <s v="PH JUMBO BCO TH 4ROLLOSx95MT 71197-71198"/>
        <s v="PIÃ‘A DESHIBRATADA *1KL"/>
        <s v="PIÃ‘A ORO MIEL X KILO"/>
        <s v="PIMENTON X KILO"/>
        <s v="PIMIENTA DE OLOR X 250G"/>
        <s v="PIMIENTA NEGRA MOLIDA BADIA 453GR"/>
        <s v="PIMIENTA ROSADA EN GRANO X250G"/>
        <s v="PINCHO CALAVERA MEX 12CMX100 LACELIER"/>
        <s v="PISTACHOS SALADOS *706 NUTOS"/>
        <s v="PITILLOS DESECHABLES *200 UND"/>
        <s v="PLATANO MADURO"/>
        <s v="PLATANO VERDE X KILO"/>
        <s v="POCKET PPCK37.MW(HOT WINGS) 11X11 GMS 37.5"/>
        <s v="POLVO DE BIZCOCHO MAMA INES 250 GRAMOS"/>
        <s v="POLVO PARA HORNEAR CAROLOSEN X 1000GR "/>
        <s v="PORTA COMIDA P3 ECOLOG X 2O UND"/>
        <s v="PORTA CUBIERTOS DE PAPEL"/>
        <s v="PULPA DE AGUACATE X KILO"/>
        <s v="PULPA DE COCO PAQUETE X10UND"/>
        <s v="PULPA DE FRUTOS DE ARANDANOS*10UND"/>
        <s v="PULPA DE TAMARINDO X KILO"/>
        <s v="PULPA MANGO 1000 GR"/>
        <s v="PULPA MANGO BICHE 1200GR"/>
        <s v="PURE DE PAPA KNORR X800G"/>
        <s v="QUAT TES PAPER 100 STRIP/VIAL-SANITIZER REF:DAV72432"/>
        <s v="QUESO ALPINA AZUL BLQ 8 LBS APROX "/>
        <s v="QUESO ALPINA PARMESANO RAYADO 2.5 L"/>
        <s v="QUESO COSTEÃ‘O BLOQUE 2,5K"/>
        <s v="QUESO CREMA GRANEL X 4K"/>
        <s v="QUESO MONPOSINO "/>
        <s v="QUESO MOZZARELLA BLOQUE X 2,5K"/>
        <s v="QUESO PARMESSANO EN CUÃ‘A *1K"/>
        <s v="QUESO PHILADELPHIA KRAFT 190GR"/>
        <s v="REMOLACHA X KILO"/>
        <s v="REPOLLO BLANCO * KILO"/>
        <s v="REPOLLO MORADO X KILO"/>
        <s v="REPUESTO MINDLY SCENTED 80530"/>
        <s v="ROJO ESCARLATA CAROL TARO X 500G"/>
        <s v="ROLLO BOLSA 26*40 DE 198K"/>
        <s v="ROLLO DE ETIQUETAS ADHESIVAS 50*74 MM X 1000UND"/>
        <s v="ROLLO PAPEL ALUMINIO TUC 300METROS"/>
        <s v="ROLLO TERMICO IMPRESORA 70*80 PQT6UND"/>
        <s v="ROMERO X KILO"/>
        <s v="SAL CURANTE AL 12% K 5KG"/>
        <s v="SAL PARRILLERA REFISALSALSERO X 454G"/>
        <s v="SAL REFISAL X 1000G"/>
        <s v="SAL ROSADA DEL HIMALAYA X 500G"/>
        <s v="SALMUERA CARNES AHUMADAS X 5KG"/>
        <s v="SALSA BBQ 1L (BASE COOK)"/>
        <s v="SALSA DE AJI ADEREZOS X 1050G"/>
        <s v="SALSA DE CHOCOLATE HERSHEYS X1360GR"/>
        <s v="SALSA DE FRUTOS ROJOS DULCE (1.230G)"/>
        <s v="SALSA DE HUMO INNOVAL X 1000"/>
        <s v="SALSA DE OSTRAS ASIAFOOD PO 2LT"/>
        <s v="SALSA DE SOYA X 2O LITROS"/>
        <s v="SALSA DE TOMATE FRUCO GX 4350G"/>
        <s v="SALSA EN POLVO TAJIN CLASICO X 142G"/>
        <s v="SALSA HOISIN LKK USA 6X5 LBS"/>
        <s v="SALSA INGLESA ADEREZOS PET X 1070 G"/>
        <s v="SALSA MIEL MOSTAZA *4L"/>
        <s v="SALSERO DIP 1,5 OZ TUC NEGRO X100U"/>
        <s v="SANDIA X KILO"/>
        <s v="SEAWEED SALAD SHIRAKIKU X 4.4 LB"/>
        <s v="SELLO PLUS DE 16 ONZAS TAPA ALTA DARNEL"/>
        <s v="SEMILLA DE CORIANDRO X 300GR"/>
        <s v="SERRIN JACK DANIELS 130GR BT"/>
        <s v="SERV. DE LUJO EXTRAF X50U 72501-72506"/>
        <s v="SET DE CUBIERTOS TAMI BCO+SERXUDSCMOT101"/>
        <s v="SHIRAKIKU GYOSAS SKIN PQT X 10 OZ"/>
        <s v="SIROPE DE MAYACUYA *750G"/>
        <s v="SORBATO DE POTASIO * KILO"/>
        <s v="SPAGHETTI NÂ°5 MONTICELLOÂ 500 GR"/>
        <s v="SPLENDA X 700U X 1G"/>
        <s v="SPRING ROLL WEI CHUAN X 25 WRAPS"/>
        <s v="SRIRACHA HOT CHILLI SAUCE x 482ML"/>
        <s v="STAR ANISE THAI X113GR"/>
        <s v="SUB.  SALSA TARTARA"/>
        <s v="SUB.  TIERRA DE MANI Y PECANAS "/>
        <s v="SUB. ACEITE DE ACHIOTE"/>
        <s v="SUB. ACEITE DE CILANTRO"/>
        <s v="SUB. ACEVICHADA"/>
        <s v="SUB. ADEREZO CESAR"/>
        <s v="SUB. ADEREZO DE CEBOLLA"/>
        <s v="SUB. ADEREZO PICADILLO"/>
        <s v="SUB. ADOBO"/>
        <s v="SUB. AJI AMARILLO AHUMADO"/>
        <s v="SUB. ALMIBAR"/>
        <s v="SUB. ALMIBAR DE GULUPA Y MARACUYA"/>
        <s v="SUB. ALMIBAR DE JENGIBRE"/>
        <s v="SUB. ALMIBAR DE MANGO BICHE"/>
        <s v="SUB. ALMIBAR DE MANGO MADURO"/>
        <s v="SUB. ALMIBAR DE MARACUYA"/>
        <s v="SUB. ALMIBAR DE PANELA "/>
        <s v="SUB. ALMIBAR DE PIÃ‘A"/>
        <s v="SUB. ALMIBAR DE ROCOTO"/>
        <s v="SUB. ALMIBAR DE SANDIA "/>
        <s v="SUB. AREPAS MALANGA"/>
        <s v="SUB. AROS DE CEBOLLA"/>
        <s v="SUB. ARROZ ARBOREO"/>
        <s v="SUB. ARROZ COCIDO"/>
        <s v="SUB. BASE DE MAYO ACEVICHADA (ROCOTO)"/>
        <s v="SUB. BASE LECHE DE TIGRE"/>
        <s v="SUB. BASE LECHE DE TIGRE MALANGA"/>
        <s v="SUB. BASE NORTEÃ‘A (CALLAO)"/>
        <s v="SUB. BASE PESTO PERÃš"/>
        <s v="SUB. BBQ DE GUAYABA"/>
        <s v="SUB. BBQ DE MANGO"/>
        <s v="SUB. BBQ ESPECIAL"/>
        <s v="SUB. BBQ HOT"/>
        <s v="SUB. BBQ JACK DANIELS"/>
        <s v="SUB. BIZCOCHUELO"/>
        <s v="SUB. BUÃ‘UELO"/>
        <s v="SUB. CAMARON APANADO"/>
        <s v="SUB. CAMOTE GLASEADO"/>
        <s v="SUB. CANCHA CHULPI"/>
        <s v="SUB. CARIMAÃ‘OLA"/>
        <s v="SUB. CAUSA AJI AMARILLO"/>
        <s v="SUB. CAUSA CILANTRO"/>
        <s v="SUB. CEBOLLAS CARAMELIZADAS"/>
        <s v="SUB. CEBOLLAS ENCURTIDAS"/>
        <s v="SUB. CHALACA"/>
        <s v="SUB. CHAMPIÃ‘ON DESHIDRATADO"/>
        <s v="SUB. CHEESE CAKE"/>
        <s v="SUB. CHEESECAKE HORNEADO"/>
        <s v="SUB. CHIMICHURRI (ROCOTO)"/>
        <s v="SUB. CHIMICHURRY ROJO"/>
        <s v="SUB. CHIMICHURRY VERDE"/>
        <s v="SUB. CHIPS DE CAMOTE"/>
        <s v="SUB. CHIPS DE PLATANO"/>
        <s v="SUB. CHIPS DE YUCA"/>
        <s v="SUB. COCCION CHULETA"/>
        <s v="SUB. COCO MELADO"/>
        <s v="SUB. COLE SLOW"/>
        <s v="SUB. CORDIAL DE ALBAHACA"/>
        <s v="SUB. COROZO CREAM"/>
        <s v="SUB. CREMA DE COROZO"/>
        <s v="SUB. CREMA DE QUESO"/>
        <s v="SUB. CREMA MELCOCHA (ROCOTO)"/>
        <s v="SUB. CREMA PASTELERO"/>
        <s v="SUB. CROQUETAS DE AJI DE GALLINA"/>
        <s v="SUB. DECORACION CHOCOLATE"/>
        <s v="SUB. ESPESANTE"/>
        <s v="SUB. ESPUMA DE FEIJOA"/>
        <s v="SUB. FALSA LECHE DE TIGRE"/>
        <s v="SUB. FETUCCINI"/>
        <s v="SUB. FONDO CLARO DE PESCADO"/>
        <s v="SUB. FONDO DE PESCADO"/>
        <s v="SUB. FONDO DE PESCADO ROJO"/>
        <s v="SUB. FRESA DE ALMIBAR"/>
        <s v="SUB. FRUTOS AMARILLO"/>
        <s v="SUB. FRUTOS DEL BOSQUE"/>
        <s v="SUB. FRUTOS ROJOS (ROCOTO)"/>
        <s v="SUB. FRUTOS ROJOS BAR"/>
        <s v="SUB. GALLETA DE MANTEQUILLA"/>
        <s v="SUB. GUACAMOLE"/>
        <s v="SUB. GUACAMOLE (ROCOTO)"/>
        <s v="SUB. HOGAO"/>
        <s v="SUB. HOJUELA"/>
        <s v="SUB. HUANCAINA  "/>
        <s v="SUB. HUEVO BATIDO"/>
        <s v="SUB. LECHE DE COCO"/>
        <s v="SUB. LECHE DE COCO (ROCOTO)"/>
        <s v="SUB. LECHE DE TIGRE"/>
        <s v="SUB. LULO DESHIDRATADO"/>
        <s v="SUB. MACARRONES CON QUESO"/>
        <s v="SUB. MANGO DESHIDRATADO"/>
        <s v="SUB. MASA DE AREPAS"/>
        <s v="SUB. MASA HOJALDRE"/>
        <s v="SUB. MASA PARA EMPANADAS"/>
        <s v="SUB. MASA PARA EMPANADAS ROCOTO"/>
        <s v="SUB. MAYO BALSAMICA"/>
        <s v="SUB. MAYO HIERBABUENA"/>
        <s v="SUB. MAYONESA ACEVICHADA "/>
        <s v="SUB. MAYONESA AL OLIVO"/>
        <s v="SUB. MAYONESA DE CILANTRO"/>
        <s v="SUB. MAYONESA DE MARACUYA"/>
        <s v="SUB. MELCOCHA"/>
        <s v="SUB. MERENGUE FLOR DE JAMAICA"/>
        <s v="SUB. MERMELADA DE AJI AMARILLO"/>
        <s v="SUB. MERMELADA DE AJI DULCE"/>
        <s v="SUB. MERMELADA DE TAMARINDO"/>
        <s v="SUB. MEZCLA NUTELLA"/>
        <s v="SUB. MEZCLADE TACU TACU"/>
        <s v="SUB. MIEL MOSTAZA"/>
        <s v="SUB. MIX DE VEGETALES (ZANAHORIA Y ARVEJA)"/>
        <s v="SUB. MIX DE VERDURAS"/>
        <s v="SUB. NARANJA DESHIDRATADA"/>
        <s v="SUB. PALETA DE MANGO BICHE"/>
        <s v="SUB. PANCAKE VAINILLA"/>
        <s v="SUB. PAPA DORADA"/>
        <s v="SUB. PAPA EN ESPIRAL"/>
        <s v="SUB. PASTA DE AJI AMARILLO"/>
        <s v="SUB. PASTA DE AJO"/>
        <s v="SUB. PASTA DE CILANTRO"/>
        <s v="SUB. PASTA DE CILANTRO (ROCOTO)"/>
        <s v="SUB. PASTA DE JENGIBRE"/>
        <s v="SUB. PASTA DE PIMENTON"/>
        <s v="SUB. PASTA DE TOMATE"/>
        <s v="SUB. PASTA ROCOTO"/>
        <s v="SUB. PERFUME DE CARDAMOMO"/>
        <s v="SUB. PERNIL ANTICUCHERO"/>
        <s v="SUB. PESTO"/>
        <s v="SUB. PICO DE GALLO"/>
        <s v="SUB. PICO DE GALLO HOTWINGS"/>
        <s v="SUB. POLLO ACEVICHADO"/>
        <s v="SUB. POLLO APANADO"/>
        <s v="SUB. PUERRO CROCANTE"/>
        <s v="SUB. PUERRO CROCANTE (ROCOTO)"/>
        <s v="SUB. PULPO MEXICANO 100GR"/>
        <s v="SUB. PURE DE CAMOTE (ROCOTO)"/>
        <s v="SUB. PURE DE MADURO"/>
        <s v="SUB. PURE DE PAPA"/>
        <s v="SUB. PURE DE PAPA (ROCOTO)"/>
        <s v="SUB. QUINUA POP"/>
        <s v="SUB. REDUCCION BALSAMICA"/>
        <s v="SUB. REDUCCION DE COROZO"/>
        <s v="SUB. REDUCCION DE MARACUYA"/>
        <s v="SUB. RELENO DE POLLO "/>
        <s v="SUB. RELLENO AJI DEGALLINA"/>
        <s v="SUB. RELLENO DE ATUN PARA WONTON"/>
        <s v="SUB. RELLENO DE WONTON DE POLLO"/>
        <s v="SUB. RELLENO EMPANADA DE LOMO SALTADO"/>
        <s v="SUB. REMOJE"/>
        <s v="SUB. REMOLACHA CROCANTE"/>
        <s v="SUB. ROLLITOS PRIMAVERA"/>
        <s v="SUB. RON DE COCO"/>
        <s v="SUB. RUB"/>
        <s v="SUB. SAL DE FLOR DE JAMAICA"/>
        <s v="SUB. SAL TROPICAL"/>
        <s v="SUB. SALMUERA"/>
        <s v="SUB. SALSA 911"/>
        <s v="SUB. SALSA AGRIDULCE"/>
        <s v="SUB. SALSA ANTICUCHERA"/>
        <s v="SUB. SALSA BBQ DE LA CASA"/>
        <s v="SUB. SALSA BUFALO HOT"/>
        <s v="SUB. SALSA BUFALO MEDIO"/>
        <s v="SUB. SALSA BUFALO SUAVE "/>
        <s v="SUB. SALSA CHEDDAR"/>
        <s v="SUB. SALSA CHILI DULCE"/>
        <s v="SUB. SALSA CRIOLLA"/>
        <s v="SUB. SALSA CRIOLLA PERUANA"/>
        <s v="SUB. SALSA DE CAFE"/>
        <s v="SUB. SALSA DE CARAMELO"/>
        <s v="SUB. SALSA DE CHANCHO"/>
        <s v="SUB. SALSA DE CHICHARRONES"/>
        <s v="SUB. SALSA DE CILANTRO"/>
        <s v="SUB. SALSA DE EMPANADAS"/>
        <s v="SUB. SALSA DE FRUTOS AMARILLOS"/>
        <s v="SUB. SALSA DE FRUTOS ROJOS"/>
        <s v="SUB. SALSA DE FRUTOS ROJOS (HOTWINGS)"/>
        <s v="SUB. SALSA DE LA CASA"/>
        <s v="SUB. SALSA DE PIMIENTOS"/>
        <s v="SUB. SALSA DE QUESO AZUL"/>
        <s v="SUB. SALSA DINAMITA"/>
        <s v="SUB. SALSA DINAMITA (ROCOTO)"/>
        <s v="SUB. SALSA ESCABECHADA"/>
        <s v="SUB. SALSA GOLF"/>
        <s v="SUB. SALSA HOLANDESA "/>
        <s v="SUB. SALSA LEMON"/>
        <s v="SUB. SALSA PARRILLERA"/>
        <s v="SUB. SALSA REFORZADA"/>
        <s v="SUB. SALSA SAMBAL"/>
        <s v="SUB. SALSA TAMARINDO CHIFERA"/>
        <s v="SUB. SALSA TARTARA HT"/>
        <s v="SUB. SALSA TIPAKAY"/>
        <s v="SUB. SALSA TRUFA"/>
        <s v="SUB. SALSA TRUFADA CON AJI PANKA"/>
        <s v="SUB. SANGRITA"/>
        <s v="SUB. SIROPE DE BANANO"/>
        <s v="SUB. SIROPE DE FRUTOS ROJOS"/>
        <s v="SUB. SIROPE DE LULO"/>
        <s v="SUB. SORBETE DE NATILLA"/>
        <s v="SUB. SPAGUETTI DE LA ABUELA"/>
        <s v="SUB. SUSPIRO LIMEÃ‘O"/>
        <s v="SUB. SYRUP DE CANELA MACERADA"/>
        <s v="SUB. SYRUP DE LYCHE"/>
        <s v="SUB. SYRUP DE MANGO MADURO"/>
        <s v="SUB. TARTAR DE LA CASA ROCOTO"/>
        <s v="SUB. TARTARA RC"/>
        <s v="SUB. TEMPURA (ROCOTO)"/>
        <s v="SUB. TERIYAKY"/>
        <s v="SUB. TIERRA DE ARVERJA"/>
        <s v="SUB. TOMATES CONFITADOS"/>
        <s v="SUB. TORTA CUMPLEAÃ‘OS MALANGA"/>
        <s v="SUB. TORTILLA DE HUEVO"/>
        <s v="SUB. VINAGRE BLANCO"/>
        <s v="SUB. VINAGRETA DE MANGO"/>
        <s v="SUB. VINAGRETA ENSALADA "/>
        <s v="SUB. VINAGRETA FRESCA"/>
        <s v="SUB. WAFLE DE PAN DE YUCA"/>
        <s v="SUB. WONTON DE ATÃšN "/>
        <s v="SUB. YUCA COCIDA "/>
        <s v="SUB. ZUMO DE LIMON"/>
        <s v="SUB. ZUMO DE PIÃ‘A"/>
        <s v="SUB. ZUMO DE SANDÃA"/>
        <s v="SUERO ATOYABUEY BONGA DEL SINU 5000"/>
        <s v="SUGG SYRUP CANELA VIDRIOX750ML"/>
        <s v="SUGG SYRUP LYCHE VIDRIOX750ML"/>
        <s v="SUGG SYRUP VAINILLA CHOCOANA VIDRIOX750ML"/>
        <s v="SUMA BLEND X 20 L(Detergente liquido para  lavadodeloza)-Ref:AV00417"/>
        <s v="SUMA EDEN D4.5X5L REF 101108972"/>
        <s v="SUMA GRIL *5L REF:AV0077"/>
        <s v="SUMA SANITIZER X5L(DESINFECTANTE LIQUIDO A BASE DE AMONIO CUATERNARIO)-REF: AV00822"/>
        <s v="SYROPE DE FREIJOA*750ML"/>
        <s v="SYRUP COCO KANALO 1000ML"/>
        <s v="TÃ‰ DE FRUTOS ROJOS"/>
        <s v="TABASCO PEPPER SAUCE*150ML"/>
        <s v="TALONARIO COMANDAS "/>
        <s v="TAPA COPA SOUFFLÃ‰ 1,5OZ SIN BASE"/>
        <s v="TAPA SALSERA DIP 0.5/0.75/10.0OZ TUCX100U"/>
        <s v="TAPA VASO 16ONZ DARNEL*50UND"/>
        <s v="TEMPURA KILO"/>
        <s v="TENEDOR DARNEL NEGRO X 100UND"/>
        <s v="TEQUILA JOSE CUERVO SILVER X750 ML"/>
        <s v="TIRILLA MEDI CHLORINE 10-200PPM DAV72431"/>
        <s v="TIRILLA MEDI PH 0.06PPM DAV72577"/>
        <s v="TIRILLA MEDI QUAT TEST 0-400PPM-DAV72432"/>
        <s v="TOALLA DE MANO EN Z-200246"/>
        <s v="TOALLA MANO NAT ROLL 6UX 100M 73689"/>
        <s v="TOALLA MICROFIBRA 50*50"/>
        <s v="TOGARASHI HACHI 300 GR"/>
        <s v="TOMATE CHERRY X KILO"/>
        <s v="TOMATE CHONTO X KILO"/>
        <s v="TOMATE PERLA X KILO"/>
        <s v="TOMATE RIÃ‘ON POR KILO"/>
        <s v="TOMATES SECOS"/>
        <s v="TOMILLO X KILO"/>
        <s v="TORONJA X KILO"/>
        <s v="TORTILLA DE MAIZ *10UND"/>
        <s v="TORTILLA DE MAIZ X 20UND"/>
        <s v="UCHUVA CON CAPACHO KILO"/>
        <s v="ULCX20L-REF: AV00274"/>
        <s v="UVA CHILENA X KILO"/>
        <s v="VASO ECONO TRASNSPARENTE X12ONZ X 50UND"/>
        <s v="VINAGRE BALSAMICO LA CURAÃ‘A X 1000 ML"/>
        <s v="VINAGRE BLANCO FRUCO X 3060ML"/>
        <s v="VINAGRETA CESAR (1.100G)"/>
        <s v="VINO BLANCO CAVIC TETRAPACK X 1LT"/>
        <s v="VINO TINTO CAVIC TETRAPACK X 1LT"/>
        <s v="VODKA KARLOVA 700ML "/>
        <s v="WAKAME*500G"/>
        <s v="WHIP TOPPING X 1 KL"/>
        <s v="WRAP IMP.2T PPCK37.MW(HOT WINGS) 15X20 GM37.5"/>
        <s v="WRAP IMP.2T PPCK37.MW(HOT WINGS) 30X20 GM37.5"/>
        <s v="WRAP IMP.2T PPCK37.MW(HOT WINGS) 30X35 GM37.5"/>
        <s v="WYPALL X 80 AZUL 877 X 25 PAÃ‘OS "/>
        <s v="YOGUR FRESA BOLSA X 900G "/>
        <s v="YOGUR NATURAL BOLSA X 900G "/>
        <s v="YUCA X KILO"/>
        <s v="ZANAHORIA TRONCO X KILO"/>
        <s v="ZARZAMORAS X 250G"/>
        <s v="ZUKINI VERDE X KILO"/>
        <s v="SOHO LYCHEE * 750ML"/>
        <s v="CREMA DE CAFE COLOMA X 750ML "/>
        <s v="ESPUMANTE CHANDON EXTRA BRUT 750ML"/>
        <s v="COGNAC - BRANDY HENNESSY VS X 700ML "/>
        <s v="SOHO LYCHEE * 750MLLIC124"/>
      </sharedItems>
    </cacheField>
    <cacheField name="Subartículo" numFmtId="1">
      <sharedItems containsBlank="1"/>
    </cacheField>
    <cacheField name="Coste LÃ­nea" numFmtId="164">
      <sharedItems containsSemiMixedTypes="0" containsString="0" containsNumber="1" minValue="0" maxValue="1658795.9259299999"/>
    </cacheField>
    <cacheField name="Stock a Fecha" numFmtId="1">
      <sharedItems containsSemiMixedTypes="0" containsString="0" containsNumber="1" minValue="-314045" maxValue="377008.90970000002"/>
    </cacheField>
    <cacheField name="Stock Inventario" numFmtId="1">
      <sharedItems containsSemiMixedTypes="0" containsString="0" containsNumber="1" minValue="0" maxValue="2298000"/>
    </cacheField>
    <cacheField name="Variación Stock" numFmtId="1">
      <sharedItems containsSemiMixedTypes="0" containsString="0" containsNumber="1" minValue="-360500" maxValue="2292922"/>
    </cacheField>
    <cacheField name="Costo Ajuste" numFmtId="164">
      <sharedItems containsSemiMixedTypes="0" containsString="0" containsNumber="1" minValue="0" maxValue="5055600000"/>
    </cacheField>
    <cacheField name="Ajuste" numFmtId="164">
      <sharedItems containsSemiMixedTypes="0" containsString="0" containsNumber="1" minValue="-72509411.764771804" maxValue="5044428400"/>
    </cacheField>
    <cacheField name="Estado" numFmtId="49">
      <sharedItems count="3">
        <s v="Sobrante"/>
        <s v="Sin novedad"/>
        <s v="Faltante"/>
      </sharedItems>
    </cacheField>
  </cacheFields>
  <extLst>
    <ext xmlns:x14="http://schemas.microsoft.com/office/spreadsheetml/2009/9/main" uri="{725AE2AE-9491-48be-B2B4-4EB974FC3084}">
      <x14:pivotCacheDefinition pivotCacheId="1834957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2">
  <r>
    <x v="0"/>
    <x v="0"/>
    <x v="0"/>
    <s v="LICORES"/>
    <x v="0"/>
    <x v="0"/>
    <s v="ONZA"/>
    <n v="1919.45833333"/>
    <n v="-245"/>
    <n v="34"/>
    <n v="279"/>
    <n v="65261.583333219998"/>
    <n v="535528.87499906996"/>
    <x v="0"/>
  </r>
  <r>
    <x v="0"/>
    <x v="0"/>
    <x v="0"/>
    <s v="GASEOSAS Y SODAS"/>
    <x v="0"/>
    <x v="1"/>
    <s v="UNIDADES"/>
    <n v="1497.59166667"/>
    <n v="90.85"/>
    <n v="174"/>
    <n v="83.15"/>
    <n v="260580.95000057999"/>
    <n v="124524.74708361051"/>
    <x v="0"/>
  </r>
  <r>
    <x v="0"/>
    <x v="0"/>
    <x v="0"/>
    <s v="LICORES"/>
    <x v="0"/>
    <x v="2"/>
    <s v="ONZA"/>
    <n v="14896.95833333"/>
    <n v="34"/>
    <n v="34"/>
    <n v="0"/>
    <n v="506496.58333321998"/>
    <n v="0"/>
    <x v="1"/>
  </r>
  <r>
    <x v="0"/>
    <x v="0"/>
    <x v="0"/>
    <s v="LICORES"/>
    <x v="0"/>
    <x v="3"/>
    <s v="UNIDADES"/>
    <n v="86743"/>
    <n v="0"/>
    <n v="0"/>
    <n v="0"/>
    <n v="0"/>
    <n v="0"/>
    <x v="1"/>
  </r>
  <r>
    <x v="0"/>
    <x v="0"/>
    <x v="0"/>
    <s v="LICORES"/>
    <x v="0"/>
    <x v="4"/>
    <s v="ONZA"/>
    <n v="9738.2016806699994"/>
    <n v="35"/>
    <n v="35"/>
    <n v="0"/>
    <n v="340837.05882345"/>
    <n v="0"/>
    <x v="1"/>
  </r>
  <r>
    <x v="0"/>
    <x v="1"/>
    <x v="1"/>
    <s v="LICORES"/>
    <x v="0"/>
    <x v="5"/>
    <s v="ONZA"/>
    <n v="6800.3640183199996"/>
    <n v="52"/>
    <n v="52"/>
    <n v="0"/>
    <n v="353618.92895263998"/>
    <n v="0"/>
    <x v="1"/>
  </r>
  <r>
    <x v="0"/>
    <x v="0"/>
    <x v="0"/>
    <s v="VINOS"/>
    <x v="0"/>
    <x v="6"/>
    <s v="ONZA"/>
    <n v="1395.1416666699999"/>
    <n v="123"/>
    <n v="149"/>
    <n v="26"/>
    <n v="207876.10833382999"/>
    <n v="36273.683333419998"/>
    <x v="0"/>
  </r>
  <r>
    <x v="0"/>
    <x v="0"/>
    <x v="0"/>
    <s v="LICORES"/>
    <x v="0"/>
    <x v="7"/>
    <s v="ONZA"/>
    <n v="12833.33333333"/>
    <n v="15"/>
    <n v="15"/>
    <n v="0"/>
    <n v="192499.99999995"/>
    <n v="0"/>
    <x v="1"/>
  </r>
  <r>
    <x v="0"/>
    <x v="0"/>
    <x v="0"/>
    <s v="LICORES"/>
    <x v="0"/>
    <x v="8"/>
    <s v="ONZA"/>
    <n v="15769.5"/>
    <n v="29"/>
    <n v="29"/>
    <n v="0"/>
    <n v="457315.5"/>
    <n v="0"/>
    <x v="1"/>
  </r>
  <r>
    <x v="1"/>
    <x v="2"/>
    <x v="0"/>
    <s v="LICORES"/>
    <x v="0"/>
    <x v="9"/>
    <s v="ONZA"/>
    <n v="2120.6896551700002"/>
    <n v="65"/>
    <n v="130"/>
    <n v="65"/>
    <n v="275689.6551721"/>
    <n v="137844.82758605"/>
    <x v="0"/>
  </r>
  <r>
    <x v="0"/>
    <x v="0"/>
    <x v="0"/>
    <s v="LICORES"/>
    <x v="0"/>
    <x v="10"/>
    <s v="ONZA"/>
    <n v="11532.86363636"/>
    <n v="27"/>
    <n v="27"/>
    <n v="0"/>
    <n v="311387.31818171998"/>
    <n v="0"/>
    <x v="1"/>
  </r>
  <r>
    <x v="0"/>
    <x v="0"/>
    <x v="0"/>
    <s v="GASEOSAS Y SODAS"/>
    <x v="0"/>
    <x v="11"/>
    <s v="UNIDADES"/>
    <n v="3750"/>
    <n v="9.9600000000000009"/>
    <n v="9"/>
    <n v="0"/>
    <n v="33750"/>
    <n v="0"/>
    <x v="1"/>
  </r>
  <r>
    <x v="0"/>
    <x v="0"/>
    <x v="0"/>
    <s v="LICORES"/>
    <x v="0"/>
    <x v="12"/>
    <s v="ONZA"/>
    <n v="1997.7272727300001"/>
    <n v="-20.8018"/>
    <n v="0"/>
    <n v="20.801835000000001"/>
    <n v="0"/>
    <n v="41556.393102329464"/>
    <x v="0"/>
  </r>
  <r>
    <x v="0"/>
    <x v="0"/>
    <x v="0"/>
    <s v="LICORES"/>
    <x v="0"/>
    <x v="13"/>
    <s v="ONZA"/>
    <n v="1729.16666667"/>
    <n v="25"/>
    <n v="40"/>
    <n v="15"/>
    <n v="69166.666666799996"/>
    <n v="25937.50000005"/>
    <x v="0"/>
  </r>
  <r>
    <x v="0"/>
    <x v="0"/>
    <x v="0"/>
    <s v="LICORES"/>
    <x v="0"/>
    <x v="14"/>
    <s v="ONZA"/>
    <n v="6134.2727272700004"/>
    <n v="30"/>
    <n v="30"/>
    <n v="0"/>
    <n v="184028.18181810001"/>
    <n v="0"/>
    <x v="1"/>
  </r>
  <r>
    <x v="0"/>
    <x v="0"/>
    <x v="0"/>
    <s v="LICORES"/>
    <x v="0"/>
    <x v="15"/>
    <s v="ONZA"/>
    <n v="2902.5454545500002"/>
    <n v="26"/>
    <n v="26"/>
    <n v="0"/>
    <n v="75466.1818183"/>
    <n v="0"/>
    <x v="1"/>
  </r>
  <r>
    <x v="0"/>
    <x v="0"/>
    <x v="0"/>
    <s v="LICORES"/>
    <x v="0"/>
    <x v="16"/>
    <s v="ONZA"/>
    <n v="5465.125"/>
    <n v="22"/>
    <n v="22"/>
    <n v="0"/>
    <n v="120232.75"/>
    <n v="0"/>
    <x v="1"/>
  </r>
  <r>
    <x v="1"/>
    <x v="2"/>
    <x v="0"/>
    <s v="LICORES"/>
    <x v="0"/>
    <x v="17"/>
    <s v="ONZA"/>
    <n v="3359.40909091"/>
    <n v="33"/>
    <n v="47"/>
    <n v="14"/>
    <n v="157892.22727276999"/>
    <n v="47031.727272739998"/>
    <x v="0"/>
  </r>
  <r>
    <x v="0"/>
    <x v="0"/>
    <x v="0"/>
    <s v="GASEOSAS Y SODAS"/>
    <x v="0"/>
    <x v="18"/>
    <s v="UNIDADES"/>
    <n v="5133.6000000000004"/>
    <n v="15.11"/>
    <n v="25"/>
    <n v="9.89"/>
    <n v="128340.00000000001"/>
    <n v="50771.304000000004"/>
    <x v="0"/>
  </r>
  <r>
    <x v="0"/>
    <x v="0"/>
    <x v="0"/>
    <s v="LICORES"/>
    <x v="0"/>
    <x v="19"/>
    <s v="UNIDADES"/>
    <n v="93956"/>
    <n v="2"/>
    <n v="2"/>
    <n v="0"/>
    <n v="187912"/>
    <n v="0"/>
    <x v="1"/>
  </r>
  <r>
    <x v="0"/>
    <x v="0"/>
    <x v="0"/>
    <s v="LICORES"/>
    <x v="0"/>
    <x v="20"/>
    <s v="ONZA"/>
    <n v="10178.95454545"/>
    <n v="42"/>
    <n v="42"/>
    <n v="0"/>
    <n v="427516.09090890002"/>
    <n v="0"/>
    <x v="1"/>
  </r>
  <r>
    <x v="0"/>
    <x v="0"/>
    <x v="0"/>
    <s v="LICORES"/>
    <x v="0"/>
    <x v="21"/>
    <s v="ONZA"/>
    <n v="0"/>
    <n v="52"/>
    <n v="52"/>
    <n v="0"/>
    <n v="0"/>
    <n v="0"/>
    <x v="1"/>
  </r>
  <r>
    <x v="0"/>
    <x v="0"/>
    <x v="0"/>
    <s v="GASEOSAS Y SODAS"/>
    <x v="0"/>
    <x v="22"/>
    <s v="UNIDADES"/>
    <n v="5132.5"/>
    <n v="20"/>
    <n v="29"/>
    <n v="9"/>
    <n v="148842.5"/>
    <n v="46192.5"/>
    <x v="0"/>
  </r>
  <r>
    <x v="0"/>
    <x v="0"/>
    <x v="0"/>
    <s v="LICORES"/>
    <x v="0"/>
    <x v="17"/>
    <s v="ONZA"/>
    <n v="3359.40909091"/>
    <n v="59"/>
    <n v="72"/>
    <n v="13"/>
    <n v="241877.45454552001"/>
    <n v="43672.31818183"/>
    <x v="0"/>
  </r>
  <r>
    <x v="0"/>
    <x v="0"/>
    <x v="0"/>
    <s v="LICORES"/>
    <x v="0"/>
    <x v="23"/>
    <s v="ONZA"/>
    <n v="8308.1111111099999"/>
    <n v="30"/>
    <n v="30"/>
    <n v="0"/>
    <n v="249243.33333329999"/>
    <n v="0"/>
    <x v="1"/>
  </r>
  <r>
    <x v="0"/>
    <x v="0"/>
    <x v="0"/>
    <s v="LICORES"/>
    <x v="0"/>
    <x v="24"/>
    <s v="ONZA"/>
    <n v="2012.98701299"/>
    <n v="22"/>
    <n v="32"/>
    <n v="10"/>
    <n v="64415.584415680001"/>
    <n v="20129.870129900002"/>
    <x v="0"/>
  </r>
  <r>
    <x v="0"/>
    <x v="0"/>
    <x v="0"/>
    <s v="LICORES"/>
    <x v="0"/>
    <x v="25"/>
    <s v="ONZA"/>
    <n v="4505.9166666700003"/>
    <n v="10"/>
    <n v="10"/>
    <n v="0"/>
    <n v="45059.166666700003"/>
    <n v="0"/>
    <x v="1"/>
  </r>
  <r>
    <x v="0"/>
    <x v="0"/>
    <x v="0"/>
    <s v="LICORES"/>
    <x v="0"/>
    <x v="26"/>
    <s v="ONZA"/>
    <n v="4587.75"/>
    <n v="0"/>
    <n v="0"/>
    <n v="0"/>
    <n v="0"/>
    <n v="0"/>
    <x v="1"/>
  </r>
  <r>
    <x v="1"/>
    <x v="2"/>
    <x v="0"/>
    <s v="LICORES"/>
    <x v="0"/>
    <x v="27"/>
    <s v="ONZA"/>
    <n v="2961.2083333300002"/>
    <n v="50"/>
    <n v="58"/>
    <n v="8"/>
    <n v="171750.08333314001"/>
    <n v="23689.666666640001"/>
    <x v="0"/>
  </r>
  <r>
    <x v="0"/>
    <x v="0"/>
    <x v="0"/>
    <s v="LICORES"/>
    <x v="0"/>
    <x v="28"/>
    <s v="ONZA"/>
    <n v="3754.15625"/>
    <n v="41"/>
    <n v="48"/>
    <n v="7"/>
    <n v="180199.5"/>
    <n v="26279.09375"/>
    <x v="0"/>
  </r>
  <r>
    <x v="0"/>
    <x v="0"/>
    <x v="0"/>
    <s v="AGUA Y TE"/>
    <x v="0"/>
    <x v="29"/>
    <s v="UNIDADES"/>
    <n v="1234.3916666699999"/>
    <n v="90"/>
    <n v="94"/>
    <n v="4"/>
    <n v="116032.81666698"/>
    <n v="4937.5666666799998"/>
    <x v="0"/>
  </r>
  <r>
    <x v="1"/>
    <x v="2"/>
    <x v="0"/>
    <s v="LICORES"/>
    <x v="0"/>
    <x v="30"/>
    <s v="ONZA"/>
    <n v="6774.5454545499997"/>
    <n v="27.36"/>
    <n v="33"/>
    <n v="5.64"/>
    <n v="223560.00000015"/>
    <n v="38208.436363661996"/>
    <x v="0"/>
  </r>
  <r>
    <x v="0"/>
    <x v="0"/>
    <x v="0"/>
    <s v="LICORES"/>
    <x v="0"/>
    <x v="31"/>
    <s v="ONZA"/>
    <n v="2244.5833333300002"/>
    <n v="30"/>
    <n v="35"/>
    <n v="5"/>
    <n v="78560.416666550009"/>
    <n v="11222.91666665"/>
    <x v="0"/>
  </r>
  <r>
    <x v="0"/>
    <x v="0"/>
    <x v="0"/>
    <s v="LICORES"/>
    <x v="0"/>
    <x v="32"/>
    <s v="ONZA"/>
    <n v="4504.1666666700003"/>
    <n v="30"/>
    <n v="30"/>
    <n v="0"/>
    <n v="135125.0000001"/>
    <n v="0"/>
    <x v="1"/>
  </r>
  <r>
    <x v="0"/>
    <x v="0"/>
    <x v="0"/>
    <s v="LICORES"/>
    <x v="0"/>
    <x v="33"/>
    <s v="ONZA"/>
    <n v="2796.5"/>
    <n v="61"/>
    <n v="66"/>
    <n v="5"/>
    <n v="184569"/>
    <n v="13982.5"/>
    <x v="0"/>
  </r>
  <r>
    <x v="1"/>
    <x v="2"/>
    <x v="0"/>
    <s v="PESCADOS Y MARISCOS"/>
    <x v="1"/>
    <x v="34"/>
    <s v="UNIDADES"/>
    <n v="8233.3333333299997"/>
    <n v="24"/>
    <n v="25"/>
    <n v="1"/>
    <n v="205833.33333324999"/>
    <n v="8233.3333333299997"/>
    <x v="0"/>
  </r>
  <r>
    <x v="0"/>
    <x v="0"/>
    <x v="0"/>
    <s v="LICORES"/>
    <x v="0"/>
    <x v="35"/>
    <s v="ONZA"/>
    <n v="2056.3333333300002"/>
    <n v="26"/>
    <n v="31"/>
    <n v="5"/>
    <n v="63746.333333230003"/>
    <n v="10281.66666665"/>
    <x v="0"/>
  </r>
  <r>
    <x v="0"/>
    <x v="0"/>
    <x v="0"/>
    <s v="LICORES"/>
    <x v="0"/>
    <x v="36"/>
    <s v="ONZA"/>
    <n v="0"/>
    <n v="0"/>
    <n v="0"/>
    <n v="0"/>
    <n v="0"/>
    <n v="0"/>
    <x v="1"/>
  </r>
  <r>
    <x v="1"/>
    <x v="2"/>
    <x v="0"/>
    <s v="LICORES"/>
    <x v="0"/>
    <x v="28"/>
    <s v="ONZA"/>
    <n v="3708.2361111099999"/>
    <n v="78"/>
    <n v="82"/>
    <n v="4"/>
    <n v="304075.36111101997"/>
    <n v="14832.94444444"/>
    <x v="0"/>
  </r>
  <r>
    <x v="0"/>
    <x v="0"/>
    <x v="0"/>
    <s v="LICORES"/>
    <x v="0"/>
    <x v="37"/>
    <s v="ONZA"/>
    <n v="0"/>
    <n v="61"/>
    <n v="64"/>
    <n v="3"/>
    <n v="0"/>
    <n v="0"/>
    <x v="0"/>
  </r>
  <r>
    <x v="0"/>
    <x v="0"/>
    <x v="0"/>
    <s v="LICORES"/>
    <x v="0"/>
    <x v="38"/>
    <s v="UNIDADES"/>
    <n v="26517"/>
    <n v="10"/>
    <n v="10"/>
    <n v="0"/>
    <n v="265170"/>
    <n v="0"/>
    <x v="1"/>
  </r>
  <r>
    <x v="0"/>
    <x v="0"/>
    <x v="0"/>
    <s v="LICORES"/>
    <x v="0"/>
    <x v="39"/>
    <s v="ONZA"/>
    <n v="4075.1666666699998"/>
    <n v="42"/>
    <n v="45"/>
    <n v="3"/>
    <n v="183382.50000015"/>
    <n v="12225.500000009999"/>
    <x v="0"/>
  </r>
  <r>
    <x v="0"/>
    <x v="0"/>
    <x v="0"/>
    <s v="LICORES"/>
    <x v="0"/>
    <x v="40"/>
    <s v="UNIDADES"/>
    <n v="22770"/>
    <n v="4"/>
    <n v="4"/>
    <n v="0"/>
    <n v="91080"/>
    <n v="0"/>
    <x v="1"/>
  </r>
  <r>
    <x v="0"/>
    <x v="0"/>
    <x v="0"/>
    <s v="LICORES"/>
    <x v="0"/>
    <x v="41"/>
    <s v="ONZA"/>
    <n v="1798.58333333"/>
    <n v="33"/>
    <n v="36"/>
    <n v="3"/>
    <n v="64748.999999879998"/>
    <n v="5395.7499999900001"/>
    <x v="0"/>
  </r>
  <r>
    <x v="0"/>
    <x v="0"/>
    <x v="0"/>
    <s v="LICORES"/>
    <x v="0"/>
    <x v="42"/>
    <s v="UNIDADES"/>
    <n v="21478"/>
    <n v="2"/>
    <n v="2"/>
    <n v="0"/>
    <n v="42956"/>
    <n v="0"/>
    <x v="1"/>
  </r>
  <r>
    <x v="0"/>
    <x v="0"/>
    <x v="0"/>
    <s v="LICORES"/>
    <x v="0"/>
    <x v="43"/>
    <s v="ONZA"/>
    <n v="3103.4482758600002"/>
    <n v="136"/>
    <n v="139"/>
    <n v="3"/>
    <n v="431379.31034454005"/>
    <n v="9310.3448275800001"/>
    <x v="0"/>
  </r>
  <r>
    <x v="1"/>
    <x v="2"/>
    <x v="0"/>
    <s v="LICORES"/>
    <x v="0"/>
    <x v="39"/>
    <s v="ONZA"/>
    <n v="4075.1666666699998"/>
    <n v="23"/>
    <n v="26"/>
    <n v="3"/>
    <n v="105954.33333342"/>
    <n v="12225.500000009999"/>
    <x v="0"/>
  </r>
  <r>
    <x v="0"/>
    <x v="0"/>
    <x v="0"/>
    <s v="LICORES"/>
    <x v="0"/>
    <x v="44"/>
    <s v="ONZA"/>
    <n v="4469.0833333299997"/>
    <n v="12"/>
    <n v="12"/>
    <n v="0"/>
    <n v="53628.999999959997"/>
    <n v="0"/>
    <x v="1"/>
  </r>
  <r>
    <x v="0"/>
    <x v="0"/>
    <x v="0"/>
    <s v="LICORES"/>
    <x v="0"/>
    <x v="45"/>
    <s v="ONZA"/>
    <n v="0"/>
    <n v="0"/>
    <n v="0"/>
    <n v="0"/>
    <n v="0"/>
    <n v="0"/>
    <x v="1"/>
  </r>
  <r>
    <x v="0"/>
    <x v="0"/>
    <x v="0"/>
    <s v="LICORES"/>
    <x v="0"/>
    <x v="46"/>
    <s v="ONZA"/>
    <n v="6839.9166666700003"/>
    <n v="14.56"/>
    <n v="17"/>
    <n v="2.44"/>
    <n v="116278.58333339001"/>
    <n v="16689.396666674802"/>
    <x v="0"/>
  </r>
  <r>
    <x v="0"/>
    <x v="0"/>
    <x v="0"/>
    <s v="GASEOSAS Y SODAS"/>
    <x v="0"/>
    <x v="47"/>
    <s v="UNIDADES"/>
    <n v="5132.5"/>
    <n v="22"/>
    <n v="24"/>
    <n v="2"/>
    <n v="123180"/>
    <n v="10265"/>
    <x v="0"/>
  </r>
  <r>
    <x v="0"/>
    <x v="0"/>
    <x v="0"/>
    <s v="LICORES"/>
    <x v="0"/>
    <x v="48"/>
    <s v="UNIDADES"/>
    <n v="41250"/>
    <n v="2"/>
    <n v="2"/>
    <n v="0"/>
    <n v="82500"/>
    <n v="0"/>
    <x v="1"/>
  </r>
  <r>
    <x v="0"/>
    <x v="0"/>
    <x v="0"/>
    <s v="LICORES"/>
    <x v="0"/>
    <x v="49"/>
    <s v="UNIDADES"/>
    <n v="24583"/>
    <n v="2"/>
    <n v="2"/>
    <n v="0"/>
    <n v="49166"/>
    <n v="0"/>
    <x v="1"/>
  </r>
  <r>
    <x v="1"/>
    <x v="2"/>
    <x v="0"/>
    <s v="VINOS"/>
    <x v="0"/>
    <x v="6"/>
    <s v="ONZA"/>
    <n v="1540.1111111099999"/>
    <n v="164"/>
    <n v="180"/>
    <n v="16"/>
    <n v="277219.9999998"/>
    <n v="24641.777777759999"/>
    <x v="0"/>
  </r>
  <r>
    <x v="0"/>
    <x v="0"/>
    <x v="0"/>
    <s v="GASEOSAS Y SODAS"/>
    <x v="0"/>
    <x v="50"/>
    <s v="UNIDADES"/>
    <n v="4126.8333333299997"/>
    <n v="4.05"/>
    <n v="6"/>
    <n v="1.95"/>
    <n v="24760.999999979998"/>
    <n v="8047.3249999934997"/>
    <x v="0"/>
  </r>
  <r>
    <x v="0"/>
    <x v="0"/>
    <x v="0"/>
    <s v="GASEOSAS Y SODAS"/>
    <x v="0"/>
    <x v="51"/>
    <s v="UNIDADES"/>
    <n v="40936"/>
    <n v="4.05"/>
    <n v="6"/>
    <n v="1.95"/>
    <n v="245616"/>
    <n v="79825.2"/>
    <x v="0"/>
  </r>
  <r>
    <x v="0"/>
    <x v="0"/>
    <x v="0"/>
    <s v="LICORES"/>
    <x v="0"/>
    <x v="52"/>
    <s v="ONZA"/>
    <n v="0"/>
    <n v="44"/>
    <n v="44"/>
    <n v="0"/>
    <n v="0"/>
    <n v="0"/>
    <x v="1"/>
  </r>
  <r>
    <x v="0"/>
    <x v="0"/>
    <x v="0"/>
    <s v="PESCADOS Y MARISCOS"/>
    <x v="1"/>
    <x v="34"/>
    <s v="UNIDADES"/>
    <n v="7600"/>
    <n v="21"/>
    <n v="21"/>
    <n v="0"/>
    <n v="159600"/>
    <n v="0"/>
    <x v="1"/>
  </r>
  <r>
    <x v="0"/>
    <x v="0"/>
    <x v="0"/>
    <s v="PESCADOS Y MARISCOS"/>
    <x v="1"/>
    <x v="53"/>
    <s v="GRAMOS"/>
    <n v="10.00913242"/>
    <n v="0"/>
    <n v="0"/>
    <n v="0"/>
    <n v="0"/>
    <n v="0"/>
    <x v="1"/>
  </r>
  <r>
    <x v="0"/>
    <x v="0"/>
    <x v="0"/>
    <s v="LICORES"/>
    <x v="0"/>
    <x v="54"/>
    <s v="ONZA"/>
    <n v="0"/>
    <n v="22"/>
    <n v="24"/>
    <n v="2"/>
    <n v="0"/>
    <n v="0"/>
    <x v="0"/>
  </r>
  <r>
    <x v="0"/>
    <x v="0"/>
    <x v="0"/>
    <s v="LICORES"/>
    <x v="0"/>
    <x v="55"/>
    <s v="ONZA"/>
    <n v="0"/>
    <n v="0"/>
    <n v="0"/>
    <n v="0"/>
    <n v="0"/>
    <n v="0"/>
    <x v="1"/>
  </r>
  <r>
    <x v="0"/>
    <x v="0"/>
    <x v="0"/>
    <s v="LICORES"/>
    <x v="0"/>
    <x v="56"/>
    <s v="ONZA"/>
    <n v="3362.90625"/>
    <n v="40"/>
    <n v="42"/>
    <n v="2"/>
    <n v="141242.0625"/>
    <n v="6725.8125"/>
    <x v="0"/>
  </r>
  <r>
    <x v="0"/>
    <x v="0"/>
    <x v="0"/>
    <s v="PESCADOS Y MARISCOS"/>
    <x v="1"/>
    <x v="57"/>
    <s v="UNIDADES"/>
    <n v="0"/>
    <n v="1577"/>
    <n v="1760"/>
    <n v="183"/>
    <n v="0"/>
    <n v="0"/>
    <x v="0"/>
  </r>
  <r>
    <x v="0"/>
    <x v="0"/>
    <x v="0"/>
    <s v="GASEOSAS Y SODAS"/>
    <x v="0"/>
    <x v="58"/>
    <s v="UNIDADES"/>
    <n v="1944.4444444000001"/>
    <n v="0"/>
    <n v="0"/>
    <n v="0"/>
    <n v="0"/>
    <n v="0"/>
    <x v="1"/>
  </r>
  <r>
    <x v="1"/>
    <x v="2"/>
    <x v="0"/>
    <s v="PESCADOS Y MARISCOS"/>
    <x v="1"/>
    <x v="57"/>
    <s v="UNIDADES"/>
    <n v="485.71428571000001"/>
    <n v="2137"/>
    <n v="2155"/>
    <n v="18"/>
    <n v="1046714.28570505"/>
    <n v="8742.8571427799998"/>
    <x v="0"/>
  </r>
  <r>
    <x v="0"/>
    <x v="0"/>
    <x v="0"/>
    <s v="GASEOSAS Y SODAS"/>
    <x v="0"/>
    <x v="59"/>
    <s v="UNIDADES"/>
    <n v="2323.74029982"/>
    <n v="88"/>
    <n v="88"/>
    <n v="0"/>
    <n v="204489.14638416001"/>
    <n v="0"/>
    <x v="1"/>
  </r>
  <r>
    <x v="0"/>
    <x v="0"/>
    <x v="0"/>
    <s v="GASEOSAS Y SODAS"/>
    <x v="0"/>
    <x v="60"/>
    <s v="UNIDADES"/>
    <n v="2119.75"/>
    <n v="85"/>
    <n v="85"/>
    <n v="0"/>
    <n v="180178.75"/>
    <n v="0"/>
    <x v="1"/>
  </r>
  <r>
    <x v="0"/>
    <x v="0"/>
    <x v="0"/>
    <s v="PESCADOS Y MARISCOS"/>
    <x v="1"/>
    <x v="61"/>
    <s v="GRAMOS"/>
    <n v="59"/>
    <n v="-100"/>
    <n v="27"/>
    <n v="-1074"/>
    <n v="1593"/>
    <n v="-63366"/>
    <x v="2"/>
  </r>
  <r>
    <x v="0"/>
    <x v="0"/>
    <x v="0"/>
    <s v="GASEOSAS Y SODAS"/>
    <x v="0"/>
    <x v="62"/>
    <s v="UNIDADES"/>
    <n v="1395.83333333"/>
    <n v="17"/>
    <n v="17"/>
    <n v="0"/>
    <n v="23729.166666609999"/>
    <n v="0"/>
    <x v="1"/>
  </r>
  <r>
    <x v="1"/>
    <x v="2"/>
    <x v="0"/>
    <s v="PESCADOS Y MARISCOS"/>
    <x v="1"/>
    <x v="61"/>
    <s v="GRAMOS"/>
    <n v="62.6"/>
    <n v="1302"/>
    <n v="31.3"/>
    <n v="-1270.7"/>
    <n v="1959.38"/>
    <n v="-79545.820000000007"/>
    <x v="2"/>
  </r>
  <r>
    <x v="0"/>
    <x v="0"/>
    <x v="0"/>
    <s v="GASEOSAS Y SODAS"/>
    <x v="0"/>
    <x v="63"/>
    <s v="UNIDADES"/>
    <n v="4986.0833333299997"/>
    <n v="23"/>
    <n v="23"/>
    <n v="0"/>
    <n v="114679.91666659"/>
    <n v="0"/>
    <x v="1"/>
  </r>
  <r>
    <x v="0"/>
    <x v="1"/>
    <x v="1"/>
    <s v="CERVEZAS"/>
    <x v="0"/>
    <x v="64"/>
    <s v="GRAMOS"/>
    <n v="22.408944439999999"/>
    <n v="21595"/>
    <n v="38450"/>
    <n v="16855"/>
    <n v="861623.91371799994"/>
    <n v="377702.75853619998"/>
    <x v="0"/>
  </r>
  <r>
    <x v="0"/>
    <x v="0"/>
    <x v="0"/>
    <s v="GASEOSAS Y SODAS"/>
    <x v="0"/>
    <x v="65"/>
    <s v="UNIDADES"/>
    <n v="4986.1393557499996"/>
    <n v="5"/>
    <n v="5"/>
    <n v="0"/>
    <n v="24930.696778749996"/>
    <n v="0"/>
    <x v="1"/>
  </r>
  <r>
    <x v="0"/>
    <x v="0"/>
    <x v="0"/>
    <s v="PROTEINAS"/>
    <x v="1"/>
    <x v="66"/>
    <s v="GRAMOS"/>
    <n v="34"/>
    <n v="-1599.9983999999999"/>
    <n v="0"/>
    <n v="1599.9983999999999"/>
    <n v="0"/>
    <n v="54399.945599999999"/>
    <x v="0"/>
  </r>
  <r>
    <x v="0"/>
    <x v="0"/>
    <x v="0"/>
    <s v="GASEOSAS Y SODAS"/>
    <x v="0"/>
    <x v="67"/>
    <s v="UNIDADES"/>
    <n v="4986.1810224199999"/>
    <n v="0"/>
    <n v="0"/>
    <n v="0"/>
    <n v="0"/>
    <n v="0"/>
    <x v="1"/>
  </r>
  <r>
    <x v="0"/>
    <x v="0"/>
    <x v="0"/>
    <s v="GASEOSAS Y SODAS"/>
    <x v="0"/>
    <x v="68"/>
    <s v="UNIDADES"/>
    <n v="4986.0833333299997"/>
    <n v="0"/>
    <n v="0"/>
    <n v="0"/>
    <n v="0"/>
    <n v="0"/>
    <x v="1"/>
  </r>
  <r>
    <x v="1"/>
    <x v="2"/>
    <x v="0"/>
    <s v="PROTEINAS"/>
    <x v="1"/>
    <x v="66"/>
    <s v="GRAMOS"/>
    <n v="34"/>
    <n v="0"/>
    <n v="0"/>
    <n v="0"/>
    <n v="0"/>
    <n v="0"/>
    <x v="1"/>
  </r>
  <r>
    <x v="0"/>
    <x v="1"/>
    <x v="1"/>
    <s v="PROTEINAS"/>
    <x v="1"/>
    <x v="69"/>
    <s v="GRAMOS"/>
    <n v="12.005530520000001"/>
    <n v="128170"/>
    <n v="119715"/>
    <n v="-8455"/>
    <n v="1437242.0862018"/>
    <n v="-101506.76054660001"/>
    <x v="2"/>
  </r>
  <r>
    <x v="0"/>
    <x v="0"/>
    <x v="0"/>
    <s v="LICORES"/>
    <x v="0"/>
    <x v="70"/>
    <s v="ONZA"/>
    <n v="4008.2727272699999"/>
    <n v="12"/>
    <n v="14"/>
    <n v="2"/>
    <n v="56115.81818178"/>
    <n v="8016.5454545399998"/>
    <x v="0"/>
  </r>
  <r>
    <x v="0"/>
    <x v="0"/>
    <x v="0"/>
    <s v="GASEOSAS Y SODAS"/>
    <x v="0"/>
    <x v="71"/>
    <s v="UNIDADES"/>
    <n v="983.33333332999996"/>
    <n v="0"/>
    <n v="0"/>
    <n v="0"/>
    <n v="0"/>
    <n v="0"/>
    <x v="1"/>
  </r>
  <r>
    <x v="1"/>
    <x v="3"/>
    <x v="1"/>
    <s v="PROTEINAS"/>
    <x v="1"/>
    <x v="69"/>
    <s v="GRAMOS"/>
    <n v="10.11231527"/>
    <n v="166665"/>
    <n v="75000"/>
    <n v="-91665"/>
    <n v="758423.64524999994"/>
    <n v="-926945.37922454998"/>
    <x v="2"/>
  </r>
  <r>
    <x v="0"/>
    <x v="0"/>
    <x v="0"/>
    <s v="LICORES"/>
    <x v="0"/>
    <x v="72"/>
    <s v="ONZA"/>
    <n v="3647.9545454499998"/>
    <n v="63"/>
    <n v="65"/>
    <n v="2"/>
    <n v="237117.04545424998"/>
    <n v="7295.9090908999997"/>
    <x v="0"/>
  </r>
  <r>
    <x v="0"/>
    <x v="1"/>
    <x v="1"/>
    <s v="PESCADOS Y MARISCOS"/>
    <x v="1"/>
    <x v="73"/>
    <s v="GRAMOS"/>
    <n v="326.20299999999997"/>
    <n v="1457.9563000000001"/>
    <n v="1100"/>
    <n v="-357.95627999999999"/>
    <n v="358823.3"/>
    <n v="-116766.41240483998"/>
    <x v="2"/>
  </r>
  <r>
    <x v="0"/>
    <x v="0"/>
    <x v="0"/>
    <s v="PESCADOS Y MARISCOS"/>
    <x v="1"/>
    <x v="74"/>
    <s v="GRAMOS"/>
    <n v="0"/>
    <n v="-7659.8243000000002"/>
    <n v="0"/>
    <n v="7659.8242970000001"/>
    <n v="0"/>
    <n v="0"/>
    <x v="0"/>
  </r>
  <r>
    <x v="1"/>
    <x v="2"/>
    <x v="0"/>
    <s v="PESCADOS Y MARISCOS"/>
    <x v="1"/>
    <x v="74"/>
    <s v="GRAMOS"/>
    <n v="0"/>
    <n v="-2000"/>
    <n v="0"/>
    <n v="2000"/>
    <n v="0"/>
    <n v="0"/>
    <x v="0"/>
  </r>
  <r>
    <x v="0"/>
    <x v="0"/>
    <x v="0"/>
    <s v="CERVEZAS"/>
    <x v="0"/>
    <x v="75"/>
    <s v="UNIDADES"/>
    <n v="2335.03333333"/>
    <n v="38"/>
    <n v="38"/>
    <n v="0"/>
    <n v="88731.266666540003"/>
    <n v="0"/>
    <x v="1"/>
  </r>
  <r>
    <x v="1"/>
    <x v="2"/>
    <x v="0"/>
    <s v="CERVEZAS"/>
    <x v="0"/>
    <x v="75"/>
    <s v="UNIDADES"/>
    <n v="2379.9986666700001"/>
    <n v="62"/>
    <n v="94"/>
    <n v="32"/>
    <n v="223719.87466698"/>
    <n v="76159.957333440005"/>
    <x v="0"/>
  </r>
  <r>
    <x v="0"/>
    <x v="0"/>
    <x v="0"/>
    <s v="CERVEZAS"/>
    <x v="0"/>
    <x v="76"/>
    <s v="UNIDADES"/>
    <n v="2319"/>
    <n v="88"/>
    <n v="87"/>
    <n v="-1"/>
    <n v="201753"/>
    <n v="-2319"/>
    <x v="2"/>
  </r>
  <r>
    <x v="1"/>
    <x v="2"/>
    <x v="0"/>
    <s v="CERVEZAS"/>
    <x v="0"/>
    <x v="76"/>
    <s v="UNIDADES"/>
    <n v="2319"/>
    <n v="68"/>
    <n v="67"/>
    <n v="-1"/>
    <n v="155373"/>
    <n v="-2319"/>
    <x v="2"/>
  </r>
  <r>
    <x v="0"/>
    <x v="0"/>
    <x v="0"/>
    <s v="CERVEZAS"/>
    <x v="0"/>
    <x v="77"/>
    <s v="UNIDADES"/>
    <n v="2725.4166666699998"/>
    <n v="103"/>
    <n v="104"/>
    <n v="1"/>
    <n v="283443.33333368"/>
    <n v="2725.4166666699998"/>
    <x v="0"/>
  </r>
  <r>
    <x v="0"/>
    <x v="1"/>
    <x v="1"/>
    <s v="PESCADOS Y MARISCOS"/>
    <x v="1"/>
    <x v="57"/>
    <s v="UNIDADES"/>
    <n v="0"/>
    <n v="145"/>
    <n v="276"/>
    <n v="131"/>
    <n v="0"/>
    <n v="0"/>
    <x v="0"/>
  </r>
  <r>
    <x v="0"/>
    <x v="0"/>
    <x v="0"/>
    <s v="PROTEINAS"/>
    <x v="1"/>
    <x v="78"/>
    <s v="UNIDADES"/>
    <n v="8634"/>
    <n v="30"/>
    <n v="0"/>
    <n v="-30"/>
    <n v="0"/>
    <n v="-259020"/>
    <x v="2"/>
  </r>
  <r>
    <x v="0"/>
    <x v="1"/>
    <x v="1"/>
    <s v="PROTEINAS"/>
    <x v="1"/>
    <x v="66"/>
    <s v="GRAMOS"/>
    <n v="34"/>
    <n v="-211.36240000000001"/>
    <n v="1010"/>
    <n v="1221.3624"/>
    <n v="34340"/>
    <n v="41526.321599999996"/>
    <x v="0"/>
  </r>
  <r>
    <x v="0"/>
    <x v="0"/>
    <x v="0"/>
    <s v="GASEOSAS Y SODAS"/>
    <x v="0"/>
    <x v="79"/>
    <s v="UNIDADES"/>
    <n v="4900"/>
    <n v="-1"/>
    <n v="0"/>
    <n v="1"/>
    <n v="0"/>
    <n v="4900"/>
    <x v="0"/>
  </r>
  <r>
    <x v="1"/>
    <x v="2"/>
    <x v="0"/>
    <s v="PROTEINAS"/>
    <x v="1"/>
    <x v="78"/>
    <s v="UNIDADES"/>
    <n v="8557.4074074100008"/>
    <n v="0"/>
    <n v="0"/>
    <n v="0"/>
    <n v="0"/>
    <n v="0"/>
    <x v="1"/>
  </r>
  <r>
    <x v="0"/>
    <x v="0"/>
    <x v="0"/>
    <s v="PROTEINAS"/>
    <x v="1"/>
    <x v="80"/>
    <s v="UNIDADES"/>
    <n v="2000"/>
    <n v="8"/>
    <n v="5"/>
    <n v="1.5"/>
    <n v="10000"/>
    <n v="3000"/>
    <x v="0"/>
  </r>
  <r>
    <x v="1"/>
    <x v="2"/>
    <x v="0"/>
    <s v="PROTEINAS"/>
    <x v="1"/>
    <x v="80"/>
    <s v="UNIDADES"/>
    <n v="2000"/>
    <n v="8"/>
    <n v="8"/>
    <n v="0"/>
    <n v="16000"/>
    <n v="0"/>
    <x v="1"/>
  </r>
  <r>
    <x v="1"/>
    <x v="3"/>
    <x v="1"/>
    <s v="PROTEINAS"/>
    <x v="1"/>
    <x v="81"/>
    <s v="UNIDADES"/>
    <n v="4850"/>
    <n v="43"/>
    <n v="0"/>
    <n v="-43"/>
    <n v="0"/>
    <n v="-208550"/>
    <x v="2"/>
  </r>
  <r>
    <x v="0"/>
    <x v="1"/>
    <x v="1"/>
    <s v="PROTEINAS"/>
    <x v="1"/>
    <x v="82"/>
    <s v="UNIDADES"/>
    <n v="4850"/>
    <n v="-57"/>
    <n v="80"/>
    <n v="137"/>
    <n v="388000"/>
    <n v="664450"/>
    <x v="0"/>
  </r>
  <r>
    <x v="0"/>
    <x v="1"/>
    <x v="1"/>
    <s v="LICORES"/>
    <x v="0"/>
    <x v="83"/>
    <s v="ONZA"/>
    <n v="6500"/>
    <n v="-4"/>
    <n v="63"/>
    <n v="67"/>
    <n v="409500"/>
    <n v="435500"/>
    <x v="0"/>
  </r>
  <r>
    <x v="0"/>
    <x v="0"/>
    <x v="0"/>
    <s v="PESCADOS Y MARISCOS"/>
    <x v="1"/>
    <x v="84"/>
    <s v="UNIDADES"/>
    <n v="17250"/>
    <n v="8"/>
    <n v="8"/>
    <n v="0"/>
    <n v="138000"/>
    <n v="0"/>
    <x v="1"/>
  </r>
  <r>
    <x v="1"/>
    <x v="2"/>
    <x v="0"/>
    <s v="PESCADOS Y MARISCOS"/>
    <x v="1"/>
    <x v="84"/>
    <s v="UNIDADES"/>
    <n v="17250"/>
    <n v="8"/>
    <n v="8"/>
    <n v="0"/>
    <n v="138000"/>
    <n v="0"/>
    <x v="1"/>
  </r>
  <r>
    <x v="0"/>
    <x v="0"/>
    <x v="0"/>
    <s v="PROTEINAS"/>
    <x v="1"/>
    <x v="85"/>
    <s v="UNIDADES"/>
    <n v="13810"/>
    <n v="20"/>
    <n v="0"/>
    <n v="-20"/>
    <n v="0"/>
    <n v="-276200"/>
    <x v="2"/>
  </r>
  <r>
    <x v="0"/>
    <x v="1"/>
    <x v="1"/>
    <s v="VINOS"/>
    <x v="0"/>
    <x v="86"/>
    <s v="COPA"/>
    <n v="4385.6000000000004"/>
    <n v="-51"/>
    <n v="0"/>
    <n v="51"/>
    <n v="0"/>
    <n v="223665.6"/>
    <x v="0"/>
  </r>
  <r>
    <x v="1"/>
    <x v="2"/>
    <x v="0"/>
    <s v="CERVEZAS"/>
    <x v="0"/>
    <x v="77"/>
    <s v="UNIDADES"/>
    <n v="2773.5"/>
    <n v="89"/>
    <n v="89"/>
    <n v="0"/>
    <n v="246841.5"/>
    <n v="0"/>
    <x v="1"/>
  </r>
  <r>
    <x v="0"/>
    <x v="0"/>
    <x v="0"/>
    <s v="VINOS"/>
    <x v="0"/>
    <x v="87"/>
    <s v="UNIDADES"/>
    <n v="0"/>
    <n v="0"/>
    <n v="0"/>
    <n v="0"/>
    <n v="0"/>
    <n v="0"/>
    <x v="1"/>
  </r>
  <r>
    <x v="0"/>
    <x v="0"/>
    <x v="0"/>
    <s v="VINOS"/>
    <x v="0"/>
    <x v="88"/>
    <s v="UNIDADES"/>
    <n v="0"/>
    <n v="1"/>
    <n v="1"/>
    <n v="0"/>
    <n v="0"/>
    <n v="0"/>
    <x v="1"/>
  </r>
  <r>
    <x v="0"/>
    <x v="0"/>
    <x v="0"/>
    <s v="VINOS"/>
    <x v="0"/>
    <x v="89"/>
    <s v="UNIDADES"/>
    <n v="0"/>
    <n v="0"/>
    <n v="0"/>
    <n v="0"/>
    <n v="0"/>
    <n v="0"/>
    <x v="1"/>
  </r>
  <r>
    <x v="0"/>
    <x v="0"/>
    <x v="0"/>
    <s v="VINOS"/>
    <x v="0"/>
    <x v="90"/>
    <s v="UNIDADES"/>
    <n v="0"/>
    <n v="2"/>
    <n v="2"/>
    <n v="0"/>
    <n v="0"/>
    <n v="0"/>
    <x v="1"/>
  </r>
  <r>
    <x v="0"/>
    <x v="0"/>
    <x v="0"/>
    <s v="VINOS"/>
    <x v="0"/>
    <x v="91"/>
    <s v="UNIDADES"/>
    <n v="0"/>
    <n v="0"/>
    <n v="0"/>
    <n v="0"/>
    <n v="0"/>
    <n v="0"/>
    <x v="1"/>
  </r>
  <r>
    <x v="0"/>
    <x v="0"/>
    <x v="0"/>
    <s v="VINOS"/>
    <x v="0"/>
    <x v="92"/>
    <s v="UNIDADES"/>
    <n v="0"/>
    <n v="0"/>
    <n v="0"/>
    <n v="0"/>
    <n v="0"/>
    <n v="0"/>
    <x v="1"/>
  </r>
  <r>
    <x v="0"/>
    <x v="0"/>
    <x v="0"/>
    <s v="VINOS"/>
    <x v="0"/>
    <x v="93"/>
    <s v="UNIDADES"/>
    <n v="113953"/>
    <n v="2"/>
    <n v="2"/>
    <n v="0"/>
    <n v="227906"/>
    <n v="0"/>
    <x v="1"/>
  </r>
  <r>
    <x v="0"/>
    <x v="0"/>
    <x v="0"/>
    <s v="VINOS"/>
    <x v="0"/>
    <x v="94"/>
    <s v="UNIDADES"/>
    <n v="55000"/>
    <n v="0"/>
    <n v="0"/>
    <n v="0"/>
    <n v="0"/>
    <n v="0"/>
    <x v="1"/>
  </r>
  <r>
    <x v="0"/>
    <x v="0"/>
    <x v="0"/>
    <s v="VINOS"/>
    <x v="0"/>
    <x v="95"/>
    <s v="UNIDADES"/>
    <n v="90057"/>
    <n v="1"/>
    <n v="1"/>
    <n v="0"/>
    <n v="90057"/>
    <n v="0"/>
    <x v="1"/>
  </r>
  <r>
    <x v="0"/>
    <x v="0"/>
    <x v="0"/>
    <s v="CERVEZAS"/>
    <x v="0"/>
    <x v="96"/>
    <s v="UNIDADES"/>
    <n v="2699.6666666699998"/>
    <n v="0"/>
    <n v="0"/>
    <n v="0"/>
    <n v="0"/>
    <n v="0"/>
    <x v="1"/>
  </r>
  <r>
    <x v="0"/>
    <x v="0"/>
    <x v="0"/>
    <s v="CERVEZAS"/>
    <x v="0"/>
    <x v="97"/>
    <s v="UNIDADES"/>
    <n v="2298.1166666700001"/>
    <n v="0"/>
    <n v="1"/>
    <n v="1"/>
    <n v="2298.1166666700001"/>
    <n v="2298.1166666700001"/>
    <x v="0"/>
  </r>
  <r>
    <x v="0"/>
    <x v="0"/>
    <x v="0"/>
    <s v="VINOS"/>
    <x v="0"/>
    <x v="98"/>
    <s v="UNIDADES"/>
    <n v="95860"/>
    <n v="2"/>
    <n v="2"/>
    <n v="0"/>
    <n v="191720"/>
    <n v="0"/>
    <x v="1"/>
  </r>
  <r>
    <x v="0"/>
    <x v="0"/>
    <x v="0"/>
    <s v="VINOS"/>
    <x v="0"/>
    <x v="99"/>
    <s v="UNIDADES"/>
    <n v="66850"/>
    <n v="0"/>
    <n v="0"/>
    <n v="0"/>
    <n v="0"/>
    <n v="0"/>
    <x v="1"/>
  </r>
  <r>
    <x v="1"/>
    <x v="2"/>
    <x v="0"/>
    <s v="VINOS"/>
    <x v="0"/>
    <x v="86"/>
    <s v="COPA"/>
    <n v="4385.6000000000004"/>
    <n v="55.8"/>
    <n v="61"/>
    <n v="5.2"/>
    <n v="267521.60000000003"/>
    <n v="22805.120000000003"/>
    <x v="0"/>
  </r>
  <r>
    <x v="0"/>
    <x v="0"/>
    <x v="0"/>
    <s v="VINOS"/>
    <x v="0"/>
    <x v="100"/>
    <s v="UNIDADES"/>
    <n v="80870"/>
    <n v="2"/>
    <n v="2"/>
    <n v="0"/>
    <n v="161740"/>
    <n v="0"/>
    <x v="1"/>
  </r>
  <r>
    <x v="0"/>
    <x v="0"/>
    <x v="0"/>
    <s v="VINOS"/>
    <x v="0"/>
    <x v="101"/>
    <s v="UNIDADES"/>
    <n v="80870"/>
    <n v="0"/>
    <n v="0"/>
    <n v="0"/>
    <n v="0"/>
    <n v="0"/>
    <x v="1"/>
  </r>
  <r>
    <x v="0"/>
    <x v="0"/>
    <x v="0"/>
    <s v="VINOS"/>
    <x v="0"/>
    <x v="102"/>
    <s v="UNIDADES"/>
    <n v="80870"/>
    <n v="2"/>
    <n v="2"/>
    <n v="0"/>
    <n v="161740"/>
    <n v="0"/>
    <x v="1"/>
  </r>
  <r>
    <x v="0"/>
    <x v="0"/>
    <x v="0"/>
    <s v="VINOS"/>
    <x v="0"/>
    <x v="103"/>
    <s v="UNIDADES"/>
    <n v="62806"/>
    <n v="2"/>
    <n v="2"/>
    <n v="0"/>
    <n v="125612"/>
    <n v="0"/>
    <x v="1"/>
  </r>
  <r>
    <x v="0"/>
    <x v="0"/>
    <x v="0"/>
    <s v="VINOS"/>
    <x v="0"/>
    <x v="104"/>
    <s v="UNIDADES"/>
    <n v="66111.5"/>
    <n v="2"/>
    <n v="2"/>
    <n v="0"/>
    <n v="132223"/>
    <n v="0"/>
    <x v="1"/>
  </r>
  <r>
    <x v="0"/>
    <x v="0"/>
    <x v="0"/>
    <s v="VINOS"/>
    <x v="0"/>
    <x v="105"/>
    <s v="UNIDADES"/>
    <n v="63372.5"/>
    <n v="2"/>
    <n v="2"/>
    <n v="0"/>
    <n v="126745"/>
    <n v="0"/>
    <x v="1"/>
  </r>
  <r>
    <x v="0"/>
    <x v="0"/>
    <x v="0"/>
    <s v="VINOS"/>
    <x v="0"/>
    <x v="106"/>
    <s v="UNIDADES"/>
    <n v="93809"/>
    <n v="0"/>
    <n v="0"/>
    <n v="0"/>
    <n v="0"/>
    <n v="0"/>
    <x v="1"/>
  </r>
  <r>
    <x v="0"/>
    <x v="0"/>
    <x v="0"/>
    <s v="VINOS"/>
    <x v="0"/>
    <x v="107"/>
    <s v="UNIDADES"/>
    <n v="37607.75"/>
    <n v="10"/>
    <n v="10"/>
    <n v="0"/>
    <n v="376077.5"/>
    <n v="0"/>
    <x v="1"/>
  </r>
  <r>
    <x v="0"/>
    <x v="0"/>
    <x v="0"/>
    <s v="LICORES"/>
    <x v="0"/>
    <x v="108"/>
    <s v="ONZA"/>
    <n v="0"/>
    <n v="15"/>
    <n v="17"/>
    <n v="2"/>
    <n v="0"/>
    <n v="0"/>
    <x v="0"/>
  </r>
  <r>
    <x v="0"/>
    <x v="1"/>
    <x v="1"/>
    <s v="GASEOSAS Y SODAS"/>
    <x v="0"/>
    <x v="59"/>
    <s v="UNIDADES"/>
    <n v="2323.74029982"/>
    <n v="148.5"/>
    <n v="196"/>
    <n v="47.5"/>
    <n v="455453.09876472002"/>
    <n v="110377.66424144999"/>
    <x v="0"/>
  </r>
  <r>
    <x v="0"/>
    <x v="0"/>
    <x v="0"/>
    <s v="VINOS"/>
    <x v="0"/>
    <x v="109"/>
    <s v="COPA"/>
    <n v="10889.4"/>
    <n v="15"/>
    <n v="15"/>
    <n v="0"/>
    <n v="163341"/>
    <n v="0"/>
    <x v="1"/>
  </r>
  <r>
    <x v="0"/>
    <x v="0"/>
    <x v="0"/>
    <s v="LICORES"/>
    <x v="0"/>
    <x v="110"/>
    <s v="ONZA"/>
    <n v="2919.9166666699998"/>
    <n v="39"/>
    <n v="41"/>
    <n v="2"/>
    <n v="119716.58333346999"/>
    <n v="5839.8333333399996"/>
    <x v="0"/>
  </r>
  <r>
    <x v="0"/>
    <x v="0"/>
    <x v="0"/>
    <s v="VINOS"/>
    <x v="0"/>
    <x v="111"/>
    <s v="UNIDADES"/>
    <n v="37612"/>
    <n v="4"/>
    <n v="4"/>
    <n v="0"/>
    <n v="150448"/>
    <n v="0"/>
    <x v="1"/>
  </r>
  <r>
    <x v="1"/>
    <x v="2"/>
    <x v="0"/>
    <s v="LICORES"/>
    <x v="0"/>
    <x v="70"/>
    <s v="ONZA"/>
    <n v="4008.2727272699999"/>
    <n v="-2"/>
    <n v="0"/>
    <n v="2"/>
    <n v="0"/>
    <n v="8016.5454545399998"/>
    <x v="0"/>
  </r>
  <r>
    <x v="0"/>
    <x v="0"/>
    <x v="0"/>
    <s v="VINOS"/>
    <x v="0"/>
    <x v="112"/>
    <s v="COPA"/>
    <n v="4002.6"/>
    <n v="41"/>
    <n v="41"/>
    <n v="0"/>
    <n v="164106.6"/>
    <n v="0"/>
    <x v="1"/>
  </r>
  <r>
    <x v="0"/>
    <x v="1"/>
    <x v="1"/>
    <s v="GASEOSAS Y SODAS"/>
    <x v="0"/>
    <x v="1"/>
    <s v="UNIDADES"/>
    <n v="1497.59166667"/>
    <n v="94"/>
    <n v="141"/>
    <n v="47"/>
    <n v="211160.42500046999"/>
    <n v="70386.80833349"/>
    <x v="0"/>
  </r>
  <r>
    <x v="0"/>
    <x v="0"/>
    <x v="0"/>
    <s v="VINOS"/>
    <x v="0"/>
    <x v="113"/>
    <s v="UNIDADES"/>
    <n v="56095"/>
    <n v="0"/>
    <n v="0"/>
    <n v="0"/>
    <n v="0"/>
    <n v="0"/>
    <x v="1"/>
  </r>
  <r>
    <x v="0"/>
    <x v="0"/>
    <x v="0"/>
    <s v="VINOS"/>
    <x v="0"/>
    <x v="114"/>
    <s v="COPA"/>
    <n v="9481.9714285699993"/>
    <n v="0"/>
    <n v="0"/>
    <n v="0"/>
    <n v="0"/>
    <n v="0"/>
    <x v="1"/>
  </r>
  <r>
    <x v="0"/>
    <x v="0"/>
    <x v="0"/>
    <s v="VINOS"/>
    <x v="0"/>
    <x v="115"/>
    <s v="UNIDADES"/>
    <n v="48142"/>
    <n v="2"/>
    <n v="2"/>
    <n v="0"/>
    <n v="96284"/>
    <n v="0"/>
    <x v="1"/>
  </r>
  <r>
    <x v="0"/>
    <x v="0"/>
    <x v="0"/>
    <s v="VINOS"/>
    <x v="0"/>
    <x v="116"/>
    <s v="UNIDADES"/>
    <n v="53140"/>
    <n v="2"/>
    <n v="2"/>
    <n v="0"/>
    <n v="106280"/>
    <n v="0"/>
    <x v="1"/>
  </r>
  <r>
    <x v="0"/>
    <x v="1"/>
    <x v="1"/>
    <s v="GASEOSAS Y SODAS"/>
    <x v="0"/>
    <x v="60"/>
    <s v="UNIDADES"/>
    <n v="2119.75"/>
    <n v="136"/>
    <n v="169"/>
    <n v="33"/>
    <n v="358237.75"/>
    <n v="69951.75"/>
    <x v="0"/>
  </r>
  <r>
    <x v="0"/>
    <x v="0"/>
    <x v="0"/>
    <s v="VINOS"/>
    <x v="0"/>
    <x v="117"/>
    <s v="UNIDADES"/>
    <n v="0"/>
    <n v="1"/>
    <n v="1"/>
    <n v="0"/>
    <n v="0"/>
    <n v="0"/>
    <x v="1"/>
  </r>
  <r>
    <x v="0"/>
    <x v="0"/>
    <x v="0"/>
    <s v="VINOS"/>
    <x v="0"/>
    <x v="118"/>
    <s v="UNIDADES"/>
    <n v="176006.72268899999"/>
    <n v="2"/>
    <n v="2"/>
    <n v="0"/>
    <n v="352013.44537799997"/>
    <n v="0"/>
    <x v="1"/>
  </r>
  <r>
    <x v="0"/>
    <x v="0"/>
    <x v="0"/>
    <s v="VINOS"/>
    <x v="0"/>
    <x v="119"/>
    <s v="UNIDADES"/>
    <n v="97685.185184999995"/>
    <n v="2"/>
    <n v="2"/>
    <n v="0"/>
    <n v="195370.37036999999"/>
    <n v="0"/>
    <x v="1"/>
  </r>
  <r>
    <x v="0"/>
    <x v="0"/>
    <x v="0"/>
    <s v="VINOS"/>
    <x v="0"/>
    <x v="120"/>
    <s v="UNIDADES"/>
    <n v="98892"/>
    <n v="2"/>
    <n v="2"/>
    <n v="0"/>
    <n v="197784"/>
    <n v="0"/>
    <x v="1"/>
  </r>
  <r>
    <x v="1"/>
    <x v="2"/>
    <x v="0"/>
    <s v="PROTEINAS"/>
    <x v="1"/>
    <x v="85"/>
    <s v="UNIDADES"/>
    <n v="14488.88888889"/>
    <n v="13"/>
    <n v="19"/>
    <n v="6"/>
    <n v="275288.88888891001"/>
    <n v="86933.333333340008"/>
    <x v="0"/>
  </r>
  <r>
    <x v="0"/>
    <x v="0"/>
    <x v="0"/>
    <s v="VINOS"/>
    <x v="0"/>
    <x v="86"/>
    <s v="COPA"/>
    <n v="4385.6000000000004"/>
    <n v="66"/>
    <n v="68"/>
    <n v="2"/>
    <n v="298220.80000000005"/>
    <n v="8771.2000000000007"/>
    <x v="0"/>
  </r>
  <r>
    <x v="0"/>
    <x v="0"/>
    <x v="0"/>
    <s v="PESCADOS Y MARISCOS"/>
    <x v="1"/>
    <x v="121"/>
    <s v="GRAMOS"/>
    <n v="57"/>
    <n v="0"/>
    <n v="0"/>
    <n v="0"/>
    <n v="0"/>
    <n v="0"/>
    <x v="1"/>
  </r>
  <r>
    <x v="0"/>
    <x v="0"/>
    <x v="0"/>
    <s v="VINOS"/>
    <x v="0"/>
    <x v="122"/>
    <s v="UNIDADES"/>
    <n v="49268.9"/>
    <n v="1"/>
    <n v="2"/>
    <n v="1"/>
    <n v="98537.8"/>
    <n v="49268.9"/>
    <x v="0"/>
  </r>
  <r>
    <x v="0"/>
    <x v="1"/>
    <x v="1"/>
    <s v="LICORES"/>
    <x v="0"/>
    <x v="123"/>
    <s v="ONZA"/>
    <n v="2665.4166666699998"/>
    <n v="-2"/>
    <n v="24"/>
    <n v="26"/>
    <n v="63970.000000079992"/>
    <n v="69300.83333342"/>
    <x v="0"/>
  </r>
  <r>
    <x v="1"/>
    <x v="2"/>
    <x v="0"/>
    <s v="PESCADOS Y MARISCOS"/>
    <x v="1"/>
    <x v="121"/>
    <s v="GRAMOS"/>
    <n v="57"/>
    <n v="0"/>
    <n v="0"/>
    <n v="0"/>
    <n v="0"/>
    <n v="0"/>
    <x v="1"/>
  </r>
  <r>
    <x v="0"/>
    <x v="0"/>
    <x v="0"/>
    <s v="PESCADOS Y MARISCOS"/>
    <x v="1"/>
    <x v="124"/>
    <s v="UNIDADES"/>
    <n v="7500"/>
    <n v="0"/>
    <n v="0"/>
    <n v="0"/>
    <n v="0"/>
    <n v="0"/>
    <x v="1"/>
  </r>
  <r>
    <x v="1"/>
    <x v="2"/>
    <x v="0"/>
    <s v="PESCADOS Y MARISCOS"/>
    <x v="1"/>
    <x v="124"/>
    <s v="UNIDADES"/>
    <n v="7500"/>
    <n v="0"/>
    <n v="0"/>
    <n v="0"/>
    <n v="0"/>
    <n v="0"/>
    <x v="1"/>
  </r>
  <r>
    <x v="0"/>
    <x v="0"/>
    <x v="0"/>
    <s v="PROTEINAS"/>
    <x v="1"/>
    <x v="125"/>
    <s v="UNIDADES"/>
    <n v="3206.6666666699998"/>
    <n v="37"/>
    <n v="41"/>
    <n v="4"/>
    <n v="131473.33333346999"/>
    <n v="12826.666666679999"/>
    <x v="0"/>
  </r>
  <r>
    <x v="0"/>
    <x v="1"/>
    <x v="1"/>
    <s v="PROTEINAS"/>
    <x v="1"/>
    <x v="126"/>
    <s v="GRAMOS"/>
    <n v="19.445"/>
    <n v="1425"/>
    <n v="3135"/>
    <n v="1710"/>
    <n v="60960.075000000004"/>
    <n v="33250.949999999997"/>
    <x v="0"/>
  </r>
  <r>
    <x v="0"/>
    <x v="1"/>
    <x v="1"/>
    <s v="LICORES"/>
    <x v="0"/>
    <x v="127"/>
    <s v="ONZA"/>
    <n v="5000"/>
    <n v="1040"/>
    <n v="1049"/>
    <n v="9"/>
    <n v="5245000"/>
    <n v="45000"/>
    <x v="0"/>
  </r>
  <r>
    <x v="1"/>
    <x v="2"/>
    <x v="0"/>
    <s v="VINOS"/>
    <x v="0"/>
    <x v="128"/>
    <s v="COPA"/>
    <n v="10879.03333333"/>
    <n v="59"/>
    <n v="60"/>
    <n v="1"/>
    <n v="652741.9999998"/>
    <n v="10879.03333333"/>
    <x v="0"/>
  </r>
  <r>
    <x v="1"/>
    <x v="2"/>
    <x v="0"/>
    <s v="PROTEINAS"/>
    <x v="1"/>
    <x v="125"/>
    <s v="UNIDADES"/>
    <n v="3120"/>
    <n v="53"/>
    <n v="53"/>
    <n v="0"/>
    <n v="165360"/>
    <n v="0"/>
    <x v="1"/>
  </r>
  <r>
    <x v="0"/>
    <x v="0"/>
    <x v="0"/>
    <s v="VINOS"/>
    <x v="0"/>
    <x v="128"/>
    <s v="COPA"/>
    <n v="10879.03333333"/>
    <n v="46"/>
    <n v="45"/>
    <n v="-1"/>
    <n v="489556.49999985"/>
    <n v="-10879.03333333"/>
    <x v="2"/>
  </r>
  <r>
    <x v="0"/>
    <x v="0"/>
    <x v="0"/>
    <s v="VINOS"/>
    <x v="0"/>
    <x v="129"/>
    <s v="COPA"/>
    <n v="10880.4"/>
    <n v="59"/>
    <n v="58"/>
    <n v="-1"/>
    <n v="631063.19999999995"/>
    <n v="-10880.4"/>
    <x v="2"/>
  </r>
  <r>
    <x v="1"/>
    <x v="2"/>
    <x v="0"/>
    <s v="AGUA Y TE"/>
    <x v="0"/>
    <x v="130"/>
    <s v="UNIDADES"/>
    <n v="3458.3291316700002"/>
    <n v="0"/>
    <n v="2"/>
    <n v="2"/>
    <n v="6916.6582633400003"/>
    <n v="6916.6582633400003"/>
    <x v="0"/>
  </r>
  <r>
    <x v="1"/>
    <x v="2"/>
    <x v="0"/>
    <s v="CERVEZAS"/>
    <x v="0"/>
    <x v="96"/>
    <s v="UNIDADES"/>
    <n v="2699.6666666699998"/>
    <n v="0"/>
    <n v="0"/>
    <n v="0"/>
    <n v="0"/>
    <n v="0"/>
    <x v="1"/>
  </r>
  <r>
    <x v="1"/>
    <x v="2"/>
    <x v="0"/>
    <s v="LICORES"/>
    <x v="0"/>
    <x v="46"/>
    <s v="ONZA"/>
    <n v="6839.9166666700003"/>
    <n v="7.68"/>
    <n v="9"/>
    <n v="1.32"/>
    <n v="61559.250000030006"/>
    <n v="9028.6900000044006"/>
    <x v="0"/>
  </r>
  <r>
    <x v="0"/>
    <x v="0"/>
    <x v="0"/>
    <s v="PROTEINAS"/>
    <x v="1"/>
    <x v="131"/>
    <s v="UNIDADES"/>
    <n v="0"/>
    <n v="0"/>
    <n v="0"/>
    <n v="0"/>
    <n v="0"/>
    <n v="0"/>
    <x v="1"/>
  </r>
  <r>
    <x v="1"/>
    <x v="2"/>
    <x v="0"/>
    <s v="PROTEINAS"/>
    <x v="1"/>
    <x v="131"/>
    <s v="UNIDADES"/>
    <n v="0"/>
    <n v="0"/>
    <n v="0"/>
    <n v="0"/>
    <n v="0"/>
    <n v="0"/>
    <x v="1"/>
  </r>
  <r>
    <x v="0"/>
    <x v="0"/>
    <x v="0"/>
    <s v="LICORES"/>
    <x v="0"/>
    <x v="132"/>
    <s v="ONZA"/>
    <n v="11532.86363636"/>
    <n v="28"/>
    <n v="29"/>
    <n v="1"/>
    <n v="334453.04545444"/>
    <n v="11532.86363636"/>
    <x v="0"/>
  </r>
  <r>
    <x v="0"/>
    <x v="0"/>
    <x v="0"/>
    <s v="PESCADOS Y MARISCOS"/>
    <x v="1"/>
    <x v="133"/>
    <s v="UNIDADES"/>
    <n v="11500"/>
    <n v="63"/>
    <n v="63"/>
    <n v="0"/>
    <n v="724500"/>
    <n v="0"/>
    <x v="1"/>
  </r>
  <r>
    <x v="0"/>
    <x v="1"/>
    <x v="1"/>
    <s v="CERVEZAS"/>
    <x v="0"/>
    <x v="97"/>
    <s v="UNIDADES"/>
    <n v="2298.1166666700001"/>
    <n v="0"/>
    <n v="23"/>
    <n v="23"/>
    <n v="52856.683333410001"/>
    <n v="52856.683333410001"/>
    <x v="0"/>
  </r>
  <r>
    <x v="0"/>
    <x v="0"/>
    <x v="0"/>
    <s v="LICORES"/>
    <x v="0"/>
    <x v="134"/>
    <s v="ONZA"/>
    <n v="9217.1666666700003"/>
    <n v="37"/>
    <n v="38"/>
    <n v="1"/>
    <n v="350252.33333346003"/>
    <n v="9217.1666666700003"/>
    <x v="0"/>
  </r>
  <r>
    <x v="0"/>
    <x v="0"/>
    <x v="0"/>
    <s v="LICORES"/>
    <x v="0"/>
    <x v="135"/>
    <s v="ONZA"/>
    <n v="5658.3333333299997"/>
    <n v="51"/>
    <n v="52"/>
    <n v="1"/>
    <n v="294233.33333315997"/>
    <n v="5658.3333333299997"/>
    <x v="0"/>
  </r>
  <r>
    <x v="1"/>
    <x v="2"/>
    <x v="0"/>
    <s v="PESCADOS Y MARISCOS"/>
    <x v="1"/>
    <x v="133"/>
    <s v="UNIDADES"/>
    <n v="11500"/>
    <n v="71"/>
    <n v="71"/>
    <n v="0"/>
    <n v="816500"/>
    <n v="0"/>
    <x v="1"/>
  </r>
  <r>
    <x v="0"/>
    <x v="0"/>
    <x v="0"/>
    <s v="PESCADOS Y MARISCOS"/>
    <x v="1"/>
    <x v="136"/>
    <s v="UNIDADES"/>
    <n v="10565.67692308"/>
    <n v="57"/>
    <n v="67"/>
    <n v="10"/>
    <n v="707900.35384636"/>
    <n v="105656.7692308"/>
    <x v="0"/>
  </r>
  <r>
    <x v="0"/>
    <x v="1"/>
    <x v="1"/>
    <s v="GASEOSAS Y SODAS"/>
    <x v="0"/>
    <x v="137"/>
    <s v="UNIDADES"/>
    <n v="1654.1729616299999"/>
    <n v="46.8"/>
    <n v="65"/>
    <n v="18.2"/>
    <n v="107521.24250594999"/>
    <n v="30105.947901665997"/>
    <x v="0"/>
  </r>
  <r>
    <x v="0"/>
    <x v="1"/>
    <x v="1"/>
    <s v="LICORES"/>
    <x v="0"/>
    <x v="138"/>
    <s v="ONZA"/>
    <n v="7147.1666666700003"/>
    <n v="31"/>
    <n v="46"/>
    <n v="15"/>
    <n v="328769.66666682001"/>
    <n v="107207.50000005"/>
    <x v="0"/>
  </r>
  <r>
    <x v="1"/>
    <x v="2"/>
    <x v="0"/>
    <s v="PESCADOS Y MARISCOS"/>
    <x v="1"/>
    <x v="136"/>
    <s v="UNIDADES"/>
    <n v="10312.5"/>
    <n v="37"/>
    <n v="81"/>
    <n v="0"/>
    <n v="835312.5"/>
    <n v="0"/>
    <x v="1"/>
  </r>
  <r>
    <x v="0"/>
    <x v="0"/>
    <x v="0"/>
    <s v="PESCADOS Y MARISCOS"/>
    <x v="1"/>
    <x v="139"/>
    <s v="GRAMOS"/>
    <n v="0"/>
    <n v="16004.6664"/>
    <n v="14250"/>
    <n v="-1754.666356"/>
    <n v="0"/>
    <n v="0"/>
    <x v="2"/>
  </r>
  <r>
    <x v="1"/>
    <x v="2"/>
    <x v="0"/>
    <s v="PESCADOS Y MARISCOS"/>
    <x v="1"/>
    <x v="139"/>
    <s v="GRAMOS"/>
    <n v="39"/>
    <n v="12678.8887"/>
    <n v="11950"/>
    <n v="-728.88873899999999"/>
    <n v="466050"/>
    <n v="-28426.660820999998"/>
    <x v="2"/>
  </r>
  <r>
    <x v="0"/>
    <x v="0"/>
    <x v="0"/>
    <s v="PESCADOS Y MARISCOS"/>
    <x v="1"/>
    <x v="140"/>
    <s v="GRAMOS"/>
    <n v="9.5"/>
    <n v="500"/>
    <n v="0"/>
    <n v="-500"/>
    <n v="0"/>
    <n v="-4750"/>
    <x v="2"/>
  </r>
  <r>
    <x v="0"/>
    <x v="0"/>
    <x v="0"/>
    <s v="LICORES"/>
    <x v="0"/>
    <x v="141"/>
    <s v="ONZA"/>
    <n v="1665.04166667"/>
    <n v="18"/>
    <n v="19"/>
    <n v="1"/>
    <n v="31635.791666730001"/>
    <n v="1665.04166667"/>
    <x v="0"/>
  </r>
  <r>
    <x v="0"/>
    <x v="0"/>
    <x v="0"/>
    <s v="VINOS"/>
    <x v="0"/>
    <x v="142"/>
    <s v="COPA"/>
    <n v="4385.1400000000003"/>
    <n v="64"/>
    <n v="63"/>
    <n v="-1"/>
    <n v="276263.82"/>
    <n v="-4385.1400000000003"/>
    <x v="2"/>
  </r>
  <r>
    <x v="0"/>
    <x v="0"/>
    <x v="0"/>
    <s v="CERVEZAS"/>
    <x v="0"/>
    <x v="143"/>
    <s v="UNIDADES"/>
    <n v="2965.8"/>
    <n v="0"/>
    <n v="0"/>
    <n v="0"/>
    <n v="0"/>
    <n v="0"/>
    <x v="1"/>
  </r>
  <r>
    <x v="1"/>
    <x v="2"/>
    <x v="0"/>
    <s v="PESCADOS Y MARISCOS"/>
    <x v="1"/>
    <x v="140"/>
    <s v="GRAMOS"/>
    <n v="9.5"/>
    <n v="1050"/>
    <n v="888"/>
    <n v="-162"/>
    <n v="8436"/>
    <n v="-1539"/>
    <x v="2"/>
  </r>
  <r>
    <x v="0"/>
    <x v="0"/>
    <x v="0"/>
    <s v="AGUA Y TE"/>
    <x v="0"/>
    <x v="144"/>
    <s v="UNIDADES"/>
    <n v="7330"/>
    <n v="31"/>
    <n v="31"/>
    <n v="0"/>
    <n v="227230"/>
    <n v="0"/>
    <x v="1"/>
  </r>
  <r>
    <x v="0"/>
    <x v="0"/>
    <x v="0"/>
    <s v="AGUA Y TE"/>
    <x v="0"/>
    <x v="145"/>
    <s v="UNIDADES"/>
    <n v="7857"/>
    <n v="19"/>
    <n v="19"/>
    <n v="0"/>
    <n v="149283"/>
    <n v="0"/>
    <x v="1"/>
  </r>
  <r>
    <x v="0"/>
    <x v="0"/>
    <x v="0"/>
    <s v="AGUA Y TE"/>
    <x v="0"/>
    <x v="146"/>
    <s v="UNIDADES"/>
    <n v="1408.33333333"/>
    <n v="0"/>
    <n v="0"/>
    <n v="0"/>
    <n v="0"/>
    <n v="0"/>
    <x v="1"/>
  </r>
  <r>
    <x v="0"/>
    <x v="0"/>
    <x v="0"/>
    <s v="AGUA Y TE"/>
    <x v="0"/>
    <x v="147"/>
    <s v="UNIDADES"/>
    <n v="3458.25"/>
    <n v="27"/>
    <n v="27"/>
    <n v="0"/>
    <n v="93372.75"/>
    <n v="0"/>
    <x v="1"/>
  </r>
  <r>
    <x v="0"/>
    <x v="0"/>
    <x v="0"/>
    <s v="AGUA Y TE"/>
    <x v="0"/>
    <x v="148"/>
    <s v="UNIDADES"/>
    <n v="3458.3283333300001"/>
    <n v="6"/>
    <n v="6"/>
    <n v="0"/>
    <n v="20749.96999998"/>
    <n v="0"/>
    <x v="1"/>
  </r>
  <r>
    <x v="0"/>
    <x v="0"/>
    <x v="0"/>
    <s v="AGUA Y TE"/>
    <x v="0"/>
    <x v="149"/>
    <s v="UNIDADES"/>
    <n v="3458.25"/>
    <n v="15"/>
    <n v="15"/>
    <n v="0"/>
    <n v="51873.75"/>
    <n v="0"/>
    <x v="1"/>
  </r>
  <r>
    <x v="0"/>
    <x v="0"/>
    <x v="0"/>
    <s v="AGUA Y TE"/>
    <x v="0"/>
    <x v="150"/>
    <s v="UNIDADES"/>
    <n v="3458.25"/>
    <n v="10"/>
    <n v="10"/>
    <n v="0"/>
    <n v="34582.5"/>
    <n v="0"/>
    <x v="1"/>
  </r>
  <r>
    <x v="0"/>
    <x v="1"/>
    <x v="1"/>
    <s v="LICORES"/>
    <x v="0"/>
    <x v="33"/>
    <s v="ONZA"/>
    <n v="2796.5"/>
    <n v="44"/>
    <n v="59"/>
    <n v="15"/>
    <n v="164993.5"/>
    <n v="41947.5"/>
    <x v="0"/>
  </r>
  <r>
    <x v="0"/>
    <x v="0"/>
    <x v="0"/>
    <s v="AGUA Y TE"/>
    <x v="0"/>
    <x v="151"/>
    <s v="UNIDADES"/>
    <n v="2766.5"/>
    <n v="2"/>
    <n v="2"/>
    <n v="0"/>
    <n v="5533"/>
    <n v="0"/>
    <x v="1"/>
  </r>
  <r>
    <x v="0"/>
    <x v="0"/>
    <x v="0"/>
    <s v="AGUA Y TE"/>
    <x v="0"/>
    <x v="130"/>
    <s v="UNIDADES"/>
    <n v="3458.3291316700002"/>
    <n v="0"/>
    <n v="0"/>
    <n v="0"/>
    <n v="0"/>
    <n v="0"/>
    <x v="1"/>
  </r>
  <r>
    <x v="0"/>
    <x v="0"/>
    <x v="0"/>
    <s v="AGUA Y TE"/>
    <x v="0"/>
    <x v="152"/>
    <s v="UNIDADES"/>
    <n v="2766.6799719999999"/>
    <n v="2"/>
    <n v="2"/>
    <n v="0"/>
    <n v="5533.3599439999998"/>
    <n v="0"/>
    <x v="1"/>
  </r>
  <r>
    <x v="0"/>
    <x v="1"/>
    <x v="1"/>
    <s v="LICORES"/>
    <x v="0"/>
    <x v="30"/>
    <s v="ONZA"/>
    <n v="6774.5454545499997"/>
    <n v="0"/>
    <n v="14"/>
    <n v="14"/>
    <n v="94843.636363700003"/>
    <n v="94843.636363700003"/>
    <x v="0"/>
  </r>
  <r>
    <x v="0"/>
    <x v="1"/>
    <x v="1"/>
    <s v="LICORES"/>
    <x v="0"/>
    <x v="153"/>
    <s v="ONZA"/>
    <n v="5900"/>
    <n v="0"/>
    <n v="0"/>
    <n v="0"/>
    <n v="0"/>
    <n v="0"/>
    <x v="1"/>
  </r>
  <r>
    <x v="0"/>
    <x v="1"/>
    <x v="1"/>
    <s v="LICORES"/>
    <x v="0"/>
    <x v="97"/>
    <s v="ONZA"/>
    <n v="0"/>
    <n v="0"/>
    <n v="0"/>
    <n v="0"/>
    <n v="0"/>
    <n v="0"/>
    <x v="1"/>
  </r>
  <r>
    <x v="0"/>
    <x v="1"/>
    <x v="1"/>
    <s v="LICORES"/>
    <x v="0"/>
    <x v="45"/>
    <s v="ONZA"/>
    <n v="0"/>
    <n v="0"/>
    <n v="0"/>
    <n v="0"/>
    <n v="0"/>
    <n v="0"/>
    <x v="1"/>
  </r>
  <r>
    <x v="0"/>
    <x v="1"/>
    <x v="1"/>
    <s v="LICORES"/>
    <x v="0"/>
    <x v="154"/>
    <s v="ONZA"/>
    <n v="0"/>
    <n v="0"/>
    <n v="0"/>
    <n v="0"/>
    <n v="0"/>
    <n v="0"/>
    <x v="1"/>
  </r>
  <r>
    <x v="0"/>
    <x v="1"/>
    <x v="1"/>
    <s v="LICORES"/>
    <x v="0"/>
    <x v="155"/>
    <s v="ONZA"/>
    <n v="0"/>
    <n v="0"/>
    <n v="0"/>
    <n v="0"/>
    <n v="0"/>
    <n v="0"/>
    <x v="1"/>
  </r>
  <r>
    <x v="0"/>
    <x v="1"/>
    <x v="1"/>
    <s v="LICORES"/>
    <x v="0"/>
    <x v="156"/>
    <s v="ONZA"/>
    <n v="3365.9583333300002"/>
    <n v="0"/>
    <n v="0"/>
    <n v="0"/>
    <n v="0"/>
    <n v="0"/>
    <x v="1"/>
  </r>
  <r>
    <x v="0"/>
    <x v="1"/>
    <x v="1"/>
    <s v="CERVEZAS"/>
    <x v="0"/>
    <x v="96"/>
    <s v="UNIDADES"/>
    <n v="2699.6666666699998"/>
    <n v="-12"/>
    <n v="0"/>
    <n v="12"/>
    <n v="0"/>
    <n v="32396.000000039996"/>
    <x v="0"/>
  </r>
  <r>
    <x v="0"/>
    <x v="1"/>
    <x v="1"/>
    <s v="LICORES"/>
    <x v="0"/>
    <x v="20"/>
    <s v="ONZA"/>
    <n v="10178.95454545"/>
    <n v="26"/>
    <n v="37"/>
    <n v="11"/>
    <n v="376621.31818165001"/>
    <n v="111968.49999995"/>
    <x v="0"/>
  </r>
  <r>
    <x v="0"/>
    <x v="1"/>
    <x v="1"/>
    <s v="LICORES"/>
    <x v="0"/>
    <x v="2"/>
    <s v="ONZA"/>
    <n v="14896.95833333"/>
    <n v="48"/>
    <n v="48"/>
    <n v="0"/>
    <n v="715053.99999984005"/>
    <n v="0"/>
    <x v="1"/>
  </r>
  <r>
    <x v="1"/>
    <x v="3"/>
    <x v="1"/>
    <s v="PROTEINAS"/>
    <x v="1"/>
    <x v="126"/>
    <s v="GRAMOS"/>
    <n v="19.445"/>
    <n v="-1005"/>
    <n v="0"/>
    <n v="1005"/>
    <n v="0"/>
    <n v="19542.224999999999"/>
    <x v="0"/>
  </r>
  <r>
    <x v="0"/>
    <x v="0"/>
    <x v="0"/>
    <s v="CERVEZAS"/>
    <x v="0"/>
    <x v="157"/>
    <s v="UNIDADES"/>
    <n v="3601.6666666699998"/>
    <n v="94"/>
    <n v="88"/>
    <n v="-6"/>
    <n v="316946.66666695999"/>
    <n v="-21610.000000019998"/>
    <x v="2"/>
  </r>
  <r>
    <x v="0"/>
    <x v="1"/>
    <x v="1"/>
    <s v="AGUA Y TE"/>
    <x v="0"/>
    <x v="158"/>
    <s v="UNIDADES"/>
    <n v="1654.27083333"/>
    <n v="123"/>
    <n v="134"/>
    <n v="11"/>
    <n v="221672.29166622"/>
    <n v="18196.979166630001"/>
    <x v="0"/>
  </r>
  <r>
    <x v="0"/>
    <x v="1"/>
    <x v="1"/>
    <s v="AGUA Y TE"/>
    <x v="0"/>
    <x v="147"/>
    <s v="UNIDADES"/>
    <n v="3458.25"/>
    <n v="11"/>
    <n v="21"/>
    <n v="10"/>
    <n v="72623.25"/>
    <n v="34582.5"/>
    <x v="0"/>
  </r>
  <r>
    <x v="0"/>
    <x v="1"/>
    <x v="1"/>
    <s v="LICORES"/>
    <x v="0"/>
    <x v="159"/>
    <s v="ONZA"/>
    <n v="3804.2272727300001"/>
    <n v="55"/>
    <n v="54"/>
    <n v="-1"/>
    <n v="205428.27272742"/>
    <n v="-3804.2272727300001"/>
    <x v="2"/>
  </r>
  <r>
    <x v="1"/>
    <x v="3"/>
    <x v="1"/>
    <s v="LICORES"/>
    <x v="0"/>
    <x v="13"/>
    <s v="ONZA"/>
    <n v="1729.16666667"/>
    <n v="122"/>
    <n v="123"/>
    <n v="1"/>
    <n v="212687.50000041001"/>
    <n v="1729.16666667"/>
    <x v="0"/>
  </r>
  <r>
    <x v="0"/>
    <x v="0"/>
    <x v="0"/>
    <s v="GASEOSAS Y SODAS"/>
    <x v="0"/>
    <x v="160"/>
    <s v="UNIDADES"/>
    <n v="4986.0833333299997"/>
    <n v="43.07"/>
    <n v="37"/>
    <n v="-6.07"/>
    <n v="184485.08333321"/>
    <n v="-30265.525833313099"/>
    <x v="2"/>
  </r>
  <r>
    <x v="0"/>
    <x v="1"/>
    <x v="1"/>
    <s v="LICORES"/>
    <x v="0"/>
    <x v="161"/>
    <s v="ONZA"/>
    <n v="4320.1818181799999"/>
    <n v="0"/>
    <n v="0"/>
    <n v="0"/>
    <n v="0"/>
    <n v="0"/>
    <x v="1"/>
  </r>
  <r>
    <x v="0"/>
    <x v="1"/>
    <x v="1"/>
    <s v="LICORES"/>
    <x v="0"/>
    <x v="41"/>
    <s v="ONZA"/>
    <n v="1798.66666667"/>
    <n v="97"/>
    <n v="96"/>
    <n v="-1"/>
    <n v="172672.00000032"/>
    <n v="-1798.66666667"/>
    <x v="2"/>
  </r>
  <r>
    <x v="0"/>
    <x v="1"/>
    <x v="1"/>
    <s v="AGUA Y TE"/>
    <x v="0"/>
    <x v="148"/>
    <s v="UNIDADES"/>
    <n v="3458.3283333300001"/>
    <n v="16"/>
    <n v="22"/>
    <n v="6"/>
    <n v="76083.223333260001"/>
    <n v="20749.96999998"/>
    <x v="0"/>
  </r>
  <r>
    <x v="0"/>
    <x v="1"/>
    <x v="1"/>
    <s v="AGUA Y TE"/>
    <x v="0"/>
    <x v="149"/>
    <s v="UNIDADES"/>
    <n v="3458.25"/>
    <n v="2"/>
    <n v="8"/>
    <n v="6"/>
    <n v="27666"/>
    <n v="20749.5"/>
    <x v="0"/>
  </r>
  <r>
    <x v="0"/>
    <x v="1"/>
    <x v="1"/>
    <s v="AGUA Y TE"/>
    <x v="0"/>
    <x v="150"/>
    <s v="UNIDADES"/>
    <n v="3458.25"/>
    <n v="11"/>
    <n v="17"/>
    <n v="6"/>
    <n v="58790.25"/>
    <n v="20749.5"/>
    <x v="0"/>
  </r>
  <r>
    <x v="0"/>
    <x v="1"/>
    <x v="1"/>
    <s v="AGUA Y TE"/>
    <x v="0"/>
    <x v="162"/>
    <s v="UNIDADES"/>
    <n v="3458.25"/>
    <n v="12"/>
    <n v="18"/>
    <n v="6"/>
    <n v="62248.5"/>
    <n v="20749.5"/>
    <x v="0"/>
  </r>
  <r>
    <x v="0"/>
    <x v="1"/>
    <x v="1"/>
    <s v="LICORES"/>
    <x v="0"/>
    <x v="135"/>
    <s v="ONZA"/>
    <n v="5562.5"/>
    <n v="47"/>
    <n v="51"/>
    <n v="4"/>
    <n v="283687.5"/>
    <n v="22250"/>
    <x v="0"/>
  </r>
  <r>
    <x v="0"/>
    <x v="1"/>
    <x v="1"/>
    <s v="LICORES"/>
    <x v="0"/>
    <x v="21"/>
    <s v="ONZA"/>
    <n v="0"/>
    <n v="0"/>
    <n v="0"/>
    <n v="0"/>
    <n v="0"/>
    <n v="0"/>
    <x v="1"/>
  </r>
  <r>
    <x v="0"/>
    <x v="1"/>
    <x v="1"/>
    <s v="LICORES"/>
    <x v="0"/>
    <x v="70"/>
    <s v="ONZA"/>
    <n v="4008.2727272699999"/>
    <n v="0"/>
    <n v="0"/>
    <n v="0"/>
    <n v="0"/>
    <n v="0"/>
    <x v="1"/>
  </r>
  <r>
    <x v="0"/>
    <x v="1"/>
    <x v="1"/>
    <s v="LICORES"/>
    <x v="0"/>
    <x v="110"/>
    <s v="ONZA"/>
    <n v="2919.9166666699998"/>
    <n v="56"/>
    <n v="60"/>
    <n v="4"/>
    <n v="175195.0000002"/>
    <n v="11679.666666679999"/>
    <x v="0"/>
  </r>
  <r>
    <x v="0"/>
    <x v="0"/>
    <x v="0"/>
    <s v="PROTEINAS"/>
    <x v="1"/>
    <x v="163"/>
    <s v="GRAMOS"/>
    <n v="7970"/>
    <n v="1"/>
    <n v="58"/>
    <n v="57"/>
    <n v="462260"/>
    <n v="454290"/>
    <x v="0"/>
  </r>
  <r>
    <x v="0"/>
    <x v="1"/>
    <x v="1"/>
    <s v="LICORES"/>
    <x v="0"/>
    <x v="26"/>
    <s v="ONZA"/>
    <n v="4587.75"/>
    <n v="24"/>
    <n v="24"/>
    <n v="0"/>
    <n v="110106"/>
    <n v="0"/>
    <x v="1"/>
  </r>
  <r>
    <x v="0"/>
    <x v="1"/>
    <x v="1"/>
    <s v="LICORES"/>
    <x v="0"/>
    <x v="164"/>
    <s v="ONZA"/>
    <n v="5316.6818181799999"/>
    <n v="46"/>
    <n v="50"/>
    <n v="4"/>
    <n v="265834.09090900002"/>
    <n v="21266.72727272"/>
    <x v="0"/>
  </r>
  <r>
    <x v="0"/>
    <x v="1"/>
    <x v="1"/>
    <s v="LICORES"/>
    <x v="0"/>
    <x v="165"/>
    <s v="ONZA"/>
    <n v="1425.6293103400001"/>
    <n v="0"/>
    <n v="0"/>
    <n v="0"/>
    <n v="0"/>
    <n v="0"/>
    <x v="1"/>
  </r>
  <r>
    <x v="0"/>
    <x v="1"/>
    <x v="1"/>
    <s v="LICORES"/>
    <x v="0"/>
    <x v="0"/>
    <s v="ONZA"/>
    <n v="1919.45833333"/>
    <n v="0"/>
    <n v="0"/>
    <n v="0"/>
    <n v="0"/>
    <n v="0"/>
    <x v="1"/>
  </r>
  <r>
    <x v="1"/>
    <x v="2"/>
    <x v="0"/>
    <s v="LICORES"/>
    <x v="0"/>
    <x v="44"/>
    <s v="ONZA"/>
    <n v="4469.0833333299997"/>
    <n v="10"/>
    <n v="11"/>
    <n v="1"/>
    <n v="49159.916666630001"/>
    <n v="4469.0833333299997"/>
    <x v="0"/>
  </r>
  <r>
    <x v="1"/>
    <x v="2"/>
    <x v="0"/>
    <s v="AGUA Y TE"/>
    <x v="0"/>
    <x v="149"/>
    <s v="UNIDADES"/>
    <n v="3458.25"/>
    <n v="9"/>
    <n v="10"/>
    <n v="1"/>
    <n v="34582.5"/>
    <n v="3458.25"/>
    <x v="0"/>
  </r>
  <r>
    <x v="0"/>
    <x v="1"/>
    <x v="1"/>
    <s v="LICORES"/>
    <x v="0"/>
    <x v="4"/>
    <s v="ONZA"/>
    <n v="9738.2016806699994"/>
    <n v="0"/>
    <n v="0"/>
    <n v="0"/>
    <n v="0"/>
    <n v="0"/>
    <x v="1"/>
  </r>
  <r>
    <x v="0"/>
    <x v="1"/>
    <x v="1"/>
    <s v="LICORES"/>
    <x v="0"/>
    <x v="166"/>
    <s v="ONZA"/>
    <n v="0"/>
    <n v="0"/>
    <n v="0"/>
    <n v="0"/>
    <n v="0"/>
    <n v="0"/>
    <x v="1"/>
  </r>
  <r>
    <x v="0"/>
    <x v="1"/>
    <x v="1"/>
    <s v="LICORES"/>
    <x v="0"/>
    <x v="167"/>
    <s v="ONZA"/>
    <n v="3104.5454545500002"/>
    <n v="98"/>
    <n v="98"/>
    <n v="0"/>
    <n v="304245.45454589999"/>
    <n v="0"/>
    <x v="1"/>
  </r>
  <r>
    <x v="0"/>
    <x v="1"/>
    <x v="1"/>
    <s v="LICORES"/>
    <x v="0"/>
    <x v="72"/>
    <s v="ONZA"/>
    <n v="3647.9545454499998"/>
    <n v="0"/>
    <n v="0"/>
    <n v="0"/>
    <n v="0"/>
    <n v="0"/>
    <x v="1"/>
  </r>
  <r>
    <x v="0"/>
    <x v="1"/>
    <x v="1"/>
    <s v="LICORES"/>
    <x v="0"/>
    <x v="168"/>
    <s v="ONZA"/>
    <n v="10667.40909091"/>
    <n v="0"/>
    <n v="0"/>
    <n v="0"/>
    <n v="0"/>
    <n v="0"/>
    <x v="1"/>
  </r>
  <r>
    <x v="0"/>
    <x v="1"/>
    <x v="1"/>
    <s v="LICORES"/>
    <x v="0"/>
    <x v="16"/>
    <s v="ONZA"/>
    <n v="5465.125"/>
    <n v="20"/>
    <n v="23"/>
    <n v="3"/>
    <n v="125697.875"/>
    <n v="16395.375"/>
    <x v="0"/>
  </r>
  <r>
    <x v="0"/>
    <x v="1"/>
    <x v="1"/>
    <s v="LICORES"/>
    <x v="0"/>
    <x v="169"/>
    <s v="ONZA"/>
    <n v="2566.2447257499998"/>
    <n v="74"/>
    <n v="74"/>
    <n v="0"/>
    <n v="189902.10970549998"/>
    <n v="0"/>
    <x v="1"/>
  </r>
  <r>
    <x v="0"/>
    <x v="1"/>
    <x v="1"/>
    <s v="LICORES"/>
    <x v="0"/>
    <x v="170"/>
    <s v="ONZA"/>
    <n v="3195.4545454499998"/>
    <n v="62"/>
    <n v="65"/>
    <n v="3"/>
    <n v="207704.54545424998"/>
    <n v="9586.3636363499991"/>
    <x v="0"/>
  </r>
  <r>
    <x v="1"/>
    <x v="3"/>
    <x v="1"/>
    <s v="LICORES"/>
    <x v="0"/>
    <x v="41"/>
    <s v="ONZA"/>
    <n v="1798.66666667"/>
    <n v="96"/>
    <n v="97"/>
    <n v="1"/>
    <n v="174470.66666699"/>
    <n v="1798.66666667"/>
    <x v="0"/>
  </r>
  <r>
    <x v="1"/>
    <x v="3"/>
    <x v="1"/>
    <s v="LICORES"/>
    <x v="0"/>
    <x v="123"/>
    <s v="ONZA"/>
    <n v="2665.4166666699998"/>
    <n v="23"/>
    <n v="24"/>
    <n v="1"/>
    <n v="63970.000000079992"/>
    <n v="2665.4166666699998"/>
    <x v="0"/>
  </r>
  <r>
    <x v="1"/>
    <x v="3"/>
    <x v="1"/>
    <s v="PROTEINAS"/>
    <x v="1"/>
    <x v="85"/>
    <s v="UNIDADES"/>
    <n v="14488.88888889"/>
    <n v="5"/>
    <n v="0"/>
    <n v="-5"/>
    <n v="0"/>
    <n v="-72444.444444449997"/>
    <x v="2"/>
  </r>
  <r>
    <x v="0"/>
    <x v="1"/>
    <x v="1"/>
    <s v="LICORES"/>
    <x v="0"/>
    <x v="39"/>
    <s v="ONZA"/>
    <n v="4075.1666666699998"/>
    <n v="64"/>
    <n v="63"/>
    <n v="-1"/>
    <n v="256735.50000020998"/>
    <n v="-4075.1666666699998"/>
    <x v="2"/>
  </r>
  <r>
    <x v="0"/>
    <x v="1"/>
    <x v="1"/>
    <s v="LICORES"/>
    <x v="0"/>
    <x v="171"/>
    <s v="ONZA"/>
    <n v="0"/>
    <n v="-0.5"/>
    <n v="0"/>
    <n v="0.5"/>
    <n v="0"/>
    <n v="0"/>
    <x v="0"/>
  </r>
  <r>
    <x v="1"/>
    <x v="3"/>
    <x v="1"/>
    <s v="LICORES"/>
    <x v="0"/>
    <x v="2"/>
    <s v="ONZA"/>
    <n v="14896.95833333"/>
    <n v="48"/>
    <n v="49.7"/>
    <n v="1.7"/>
    <n v="740378.82916650106"/>
    <n v="25324.829166660998"/>
    <x v="0"/>
  </r>
  <r>
    <x v="0"/>
    <x v="1"/>
    <x v="1"/>
    <s v="LICORES"/>
    <x v="0"/>
    <x v="172"/>
    <s v="ONZA"/>
    <n v="6333.3333333299997"/>
    <n v="37"/>
    <n v="36"/>
    <n v="-1"/>
    <n v="227999.99999987998"/>
    <n v="-6333.3333333299997"/>
    <x v="2"/>
  </r>
  <r>
    <x v="1"/>
    <x v="2"/>
    <x v="0"/>
    <s v="LICORES"/>
    <x v="0"/>
    <x v="173"/>
    <s v="ONZA"/>
    <n v="11532.86363636"/>
    <n v="23"/>
    <n v="24"/>
    <n v="1"/>
    <n v="276788.72727263998"/>
    <n v="11532.86363636"/>
    <x v="0"/>
  </r>
  <r>
    <x v="0"/>
    <x v="1"/>
    <x v="1"/>
    <s v="LICORES"/>
    <x v="0"/>
    <x v="44"/>
    <s v="ONZA"/>
    <n v="4469.0833333299997"/>
    <n v="28"/>
    <n v="28"/>
    <n v="0"/>
    <n v="125134.33333323999"/>
    <n v="0"/>
    <x v="1"/>
  </r>
  <r>
    <x v="0"/>
    <x v="1"/>
    <x v="1"/>
    <s v="LICORES"/>
    <x v="0"/>
    <x v="174"/>
    <s v="ONZA"/>
    <n v="4454.5454545499997"/>
    <n v="47"/>
    <n v="47"/>
    <n v="0"/>
    <n v="209363.63636384998"/>
    <n v="0"/>
    <x v="1"/>
  </r>
  <r>
    <x v="1"/>
    <x v="3"/>
    <x v="1"/>
    <s v="LICORES"/>
    <x v="0"/>
    <x v="172"/>
    <s v="ONZA"/>
    <n v="6333.3333333299997"/>
    <n v="36"/>
    <n v="37"/>
    <n v="1"/>
    <n v="234333.33333321"/>
    <n v="6333.3333333299997"/>
    <x v="0"/>
  </r>
  <r>
    <x v="0"/>
    <x v="1"/>
    <x v="1"/>
    <s v="LICORES"/>
    <x v="0"/>
    <x v="175"/>
    <s v="ONZA"/>
    <n v="1825"/>
    <n v="0"/>
    <n v="0"/>
    <n v="0"/>
    <n v="0"/>
    <n v="0"/>
    <x v="1"/>
  </r>
  <r>
    <x v="1"/>
    <x v="3"/>
    <x v="1"/>
    <s v="LICORES"/>
    <x v="0"/>
    <x v="46"/>
    <s v="ONZA"/>
    <n v="6839.9166666700003"/>
    <n v="62"/>
    <n v="63"/>
    <n v="1"/>
    <n v="430914.75000021001"/>
    <n v="6839.9166666700003"/>
    <x v="0"/>
  </r>
  <r>
    <x v="0"/>
    <x v="1"/>
    <x v="1"/>
    <s v="LICORES"/>
    <x v="0"/>
    <x v="17"/>
    <s v="ONZA"/>
    <n v="3359.40909091"/>
    <n v="22.68"/>
    <n v="23"/>
    <n v="0.32"/>
    <n v="77266.409090929999"/>
    <n v="1075.0109090912001"/>
    <x v="0"/>
  </r>
  <r>
    <x v="0"/>
    <x v="1"/>
    <x v="1"/>
    <s v="PROTEINAS"/>
    <x v="1"/>
    <x v="176"/>
    <s v="GRAMOS"/>
    <n v="28.002673519999998"/>
    <n v="-475"/>
    <n v="0"/>
    <n v="475"/>
    <n v="0"/>
    <n v="13301.269921999999"/>
    <x v="0"/>
  </r>
  <r>
    <x v="1"/>
    <x v="3"/>
    <x v="1"/>
    <s v="LICORES"/>
    <x v="0"/>
    <x v="177"/>
    <s v="ONZA"/>
    <n v="1500"/>
    <n v="32"/>
    <n v="28"/>
    <n v="-4"/>
    <n v="42000"/>
    <n v="-6000"/>
    <x v="2"/>
  </r>
  <r>
    <x v="1"/>
    <x v="3"/>
    <x v="1"/>
    <s v="PESCADOS Y MARISCOS"/>
    <x v="1"/>
    <x v="57"/>
    <s v="UNIDADES"/>
    <n v="485.71428571000001"/>
    <n v="208"/>
    <n v="205"/>
    <n v="-3"/>
    <n v="99571.428570550008"/>
    <n v="-1457.14285713"/>
    <x v="2"/>
  </r>
  <r>
    <x v="0"/>
    <x v="1"/>
    <x v="1"/>
    <s v="CERVEZAS"/>
    <x v="0"/>
    <x v="143"/>
    <s v="UNIDADES"/>
    <n v="2965.8"/>
    <n v="35"/>
    <n v="36"/>
    <n v="1"/>
    <n v="106768.8"/>
    <n v="2965.8"/>
    <x v="0"/>
  </r>
  <r>
    <x v="0"/>
    <x v="1"/>
    <x v="1"/>
    <s v="CERVEZAS"/>
    <x v="0"/>
    <x v="178"/>
    <s v="UNIDADES"/>
    <n v="3465.2083333300002"/>
    <n v="66"/>
    <n v="65"/>
    <n v="-1"/>
    <n v="225238.54166645001"/>
    <n v="-3465.2083333300002"/>
    <x v="2"/>
  </r>
  <r>
    <x v="1"/>
    <x v="2"/>
    <x v="0"/>
    <s v="LICORES"/>
    <x v="0"/>
    <x v="14"/>
    <s v="ONZA"/>
    <n v="6134.2727272700004"/>
    <n v="30"/>
    <n v="31"/>
    <n v="1"/>
    <n v="190162.45454537001"/>
    <n v="6134.2727272700004"/>
    <x v="0"/>
  </r>
  <r>
    <x v="0"/>
    <x v="1"/>
    <x v="1"/>
    <s v="LICORES"/>
    <x v="0"/>
    <x v="179"/>
    <s v="ONZA"/>
    <n v="7004.1666666700003"/>
    <n v="55"/>
    <n v="55"/>
    <n v="0"/>
    <n v="385229.16666685004"/>
    <n v="0"/>
    <x v="1"/>
  </r>
  <r>
    <x v="1"/>
    <x v="3"/>
    <x v="1"/>
    <s v="CERVEZAS"/>
    <x v="0"/>
    <x v="178"/>
    <s v="UNIDADES"/>
    <n v="3465.1666666699998"/>
    <n v="121"/>
    <n v="118"/>
    <n v="-3"/>
    <n v="408889.66666706"/>
    <n v="-10395.500000009999"/>
    <x v="2"/>
  </r>
  <r>
    <x v="0"/>
    <x v="1"/>
    <x v="1"/>
    <s v="LICORES"/>
    <x v="0"/>
    <x v="180"/>
    <s v="ONZA"/>
    <n v="13494.60416667"/>
    <n v="49"/>
    <n v="49"/>
    <n v="0"/>
    <n v="661235.60416682996"/>
    <n v="0"/>
    <x v="1"/>
  </r>
  <r>
    <x v="1"/>
    <x v="2"/>
    <x v="0"/>
    <s v="PROTEINAS"/>
    <x v="1"/>
    <x v="163"/>
    <s v="GRAMOS"/>
    <n v="7970"/>
    <n v="43"/>
    <n v="88"/>
    <n v="45"/>
    <n v="701360"/>
    <n v="358650"/>
    <x v="0"/>
  </r>
  <r>
    <x v="0"/>
    <x v="1"/>
    <x v="1"/>
    <s v="CERVEZAS"/>
    <x v="0"/>
    <x v="181"/>
    <s v="UNIDADES"/>
    <n v="2298"/>
    <n v="43.325600000000001"/>
    <n v="0"/>
    <n v="-43.32555"/>
    <n v="0"/>
    <n v="-99562.113899999997"/>
    <x v="2"/>
  </r>
  <r>
    <x v="0"/>
    <x v="1"/>
    <x v="1"/>
    <s v="LICORES"/>
    <x v="0"/>
    <x v="177"/>
    <s v="ONZA"/>
    <n v="1500"/>
    <n v="32"/>
    <n v="32"/>
    <n v="0"/>
    <n v="48000"/>
    <n v="0"/>
    <x v="1"/>
  </r>
  <r>
    <x v="1"/>
    <x v="2"/>
    <x v="0"/>
    <s v="LICORES"/>
    <x v="0"/>
    <x v="134"/>
    <s v="ONZA"/>
    <n v="9217.1666666700003"/>
    <n v="36"/>
    <n v="37"/>
    <n v="1"/>
    <n v="341035.16666679003"/>
    <n v="9217.1666666700003"/>
    <x v="0"/>
  </r>
  <r>
    <x v="0"/>
    <x v="1"/>
    <x v="1"/>
    <s v="LICORES"/>
    <x v="0"/>
    <x v="43"/>
    <s v="ONZA"/>
    <n v="3103.4482758600002"/>
    <n v="0"/>
    <n v="0"/>
    <n v="0"/>
    <n v="0"/>
    <n v="0"/>
    <x v="1"/>
  </r>
  <r>
    <x v="0"/>
    <x v="1"/>
    <x v="1"/>
    <s v="LICORES"/>
    <x v="0"/>
    <x v="182"/>
    <s v="ONZA"/>
    <n v="4791.0833333299997"/>
    <n v="0"/>
    <n v="0"/>
    <n v="0"/>
    <n v="0"/>
    <n v="0"/>
    <x v="1"/>
  </r>
  <r>
    <x v="1"/>
    <x v="3"/>
    <x v="1"/>
    <s v="CERVEZAS"/>
    <x v="0"/>
    <x v="183"/>
    <s v="UNIDADES"/>
    <n v="2298.1166666700001"/>
    <n v="23"/>
    <n v="30"/>
    <n v="7"/>
    <n v="68943.500000100001"/>
    <n v="16086.81666669"/>
    <x v="0"/>
  </r>
  <r>
    <x v="0"/>
    <x v="1"/>
    <x v="1"/>
    <s v="CERVEZAS"/>
    <x v="0"/>
    <x v="184"/>
    <s v="UNIDADES"/>
    <n v="3179.6666666699998"/>
    <n v="62"/>
    <n v="61"/>
    <n v="-1"/>
    <n v="193959.66666686998"/>
    <n v="-3179.6666666699998"/>
    <x v="2"/>
  </r>
  <r>
    <x v="0"/>
    <x v="1"/>
    <x v="1"/>
    <s v="GASEOSAS Y SODAS"/>
    <x v="0"/>
    <x v="47"/>
    <s v="UNIDADES"/>
    <n v="5132.5"/>
    <n v="17.5"/>
    <n v="16"/>
    <n v="-1.5"/>
    <n v="82120"/>
    <n v="-7698.75"/>
    <x v="2"/>
  </r>
  <r>
    <x v="0"/>
    <x v="1"/>
    <x v="1"/>
    <s v="VINOS"/>
    <x v="0"/>
    <x v="185"/>
    <s v="COPA"/>
    <n v="10875.1"/>
    <n v="12"/>
    <n v="10"/>
    <n v="-2"/>
    <n v="108751"/>
    <n v="-21750.2"/>
    <x v="2"/>
  </r>
  <r>
    <x v="0"/>
    <x v="1"/>
    <x v="1"/>
    <s v="LICORES"/>
    <x v="0"/>
    <x v="8"/>
    <s v="ONZA"/>
    <n v="15769.5"/>
    <n v="40"/>
    <n v="38"/>
    <n v="-2"/>
    <n v="599241"/>
    <n v="-31539"/>
    <x v="2"/>
  </r>
  <r>
    <x v="0"/>
    <x v="1"/>
    <x v="1"/>
    <s v="LICORES"/>
    <x v="0"/>
    <x v="10"/>
    <s v="ONZA"/>
    <n v="11532.86363636"/>
    <n v="29"/>
    <n v="27"/>
    <n v="-2"/>
    <n v="311387.31818171998"/>
    <n v="-23065.72727272"/>
    <x v="2"/>
  </r>
  <r>
    <x v="1"/>
    <x v="3"/>
    <x v="1"/>
    <s v="PROTEINAS"/>
    <x v="1"/>
    <x v="176"/>
    <s v="GRAMOS"/>
    <n v="28.00198314"/>
    <n v="10085"/>
    <n v="10090"/>
    <n v="5"/>
    <n v="282540.00988259999"/>
    <n v="140.00991569999999"/>
    <x v="0"/>
  </r>
  <r>
    <x v="0"/>
    <x v="1"/>
    <x v="1"/>
    <s v="LICORES"/>
    <x v="0"/>
    <x v="3"/>
    <s v="UNIDADES"/>
    <n v="86743"/>
    <n v="4"/>
    <n v="4"/>
    <n v="0"/>
    <n v="346972"/>
    <n v="0"/>
    <x v="1"/>
  </r>
  <r>
    <x v="0"/>
    <x v="1"/>
    <x v="1"/>
    <s v="LICORES"/>
    <x v="0"/>
    <x v="19"/>
    <s v="UNIDADES"/>
    <n v="93956"/>
    <n v="3"/>
    <n v="3"/>
    <n v="0"/>
    <n v="281868"/>
    <n v="0"/>
    <x v="1"/>
  </r>
  <r>
    <x v="0"/>
    <x v="1"/>
    <x v="1"/>
    <s v="LICORES"/>
    <x v="0"/>
    <x v="38"/>
    <s v="UNIDADES"/>
    <n v="26517"/>
    <n v="6"/>
    <n v="6"/>
    <n v="0"/>
    <n v="159102"/>
    <n v="0"/>
    <x v="1"/>
  </r>
  <r>
    <x v="0"/>
    <x v="1"/>
    <x v="1"/>
    <s v="LICORES"/>
    <x v="0"/>
    <x v="40"/>
    <s v="UNIDADES"/>
    <n v="22770"/>
    <n v="5"/>
    <n v="5"/>
    <n v="0"/>
    <n v="113850"/>
    <n v="0"/>
    <x v="1"/>
  </r>
  <r>
    <x v="0"/>
    <x v="1"/>
    <x v="1"/>
    <s v="LICORES"/>
    <x v="0"/>
    <x v="42"/>
    <s v="UNIDADES"/>
    <n v="21478"/>
    <n v="5"/>
    <n v="5"/>
    <n v="0"/>
    <n v="107390"/>
    <n v="0"/>
    <x v="1"/>
  </r>
  <r>
    <x v="0"/>
    <x v="0"/>
    <x v="0"/>
    <s v="PESCADOS Y MARISCOS"/>
    <x v="1"/>
    <x v="186"/>
    <s v="UNIDADES"/>
    <n v="1600"/>
    <n v="271"/>
    <n v="268"/>
    <n v="-3"/>
    <n v="428800"/>
    <n v="-4800"/>
    <x v="2"/>
  </r>
  <r>
    <x v="0"/>
    <x v="1"/>
    <x v="1"/>
    <s v="LICORES"/>
    <x v="0"/>
    <x v="48"/>
    <s v="UNIDADES"/>
    <n v="70078"/>
    <n v="2"/>
    <n v="2"/>
    <n v="0"/>
    <n v="140156"/>
    <n v="0"/>
    <x v="1"/>
  </r>
  <r>
    <x v="0"/>
    <x v="1"/>
    <x v="1"/>
    <s v="LICORES"/>
    <x v="0"/>
    <x v="49"/>
    <s v="UNIDADES"/>
    <n v="24583"/>
    <n v="2"/>
    <n v="2"/>
    <n v="0"/>
    <n v="49166"/>
    <n v="0"/>
    <x v="1"/>
  </r>
  <r>
    <x v="1"/>
    <x v="2"/>
    <x v="0"/>
    <s v="PESCADOS Y MARISCOS"/>
    <x v="1"/>
    <x v="186"/>
    <s v="UNIDADES"/>
    <n v="1600"/>
    <n v="221"/>
    <n v="208"/>
    <n v="-13"/>
    <n v="332800"/>
    <n v="-20800"/>
    <x v="2"/>
  </r>
  <r>
    <x v="0"/>
    <x v="1"/>
    <x v="1"/>
    <s v="LICORES"/>
    <x v="0"/>
    <x v="187"/>
    <s v="UNIDADES"/>
    <n v="28750"/>
    <n v="2"/>
    <n v="2"/>
    <n v="0"/>
    <n v="57500"/>
    <n v="0"/>
    <x v="1"/>
  </r>
  <r>
    <x v="0"/>
    <x v="1"/>
    <x v="1"/>
    <s v="GASEOSAS Y SODAS"/>
    <x v="0"/>
    <x v="79"/>
    <s v="UNIDADES"/>
    <n v="4900"/>
    <n v="0"/>
    <n v="0"/>
    <n v="0"/>
    <n v="0"/>
    <n v="0"/>
    <x v="1"/>
  </r>
  <r>
    <x v="0"/>
    <x v="1"/>
    <x v="1"/>
    <s v="CERVEZAS"/>
    <x v="0"/>
    <x v="188"/>
    <s v="GRAMOS"/>
    <n v="0"/>
    <n v="0"/>
    <n v="0"/>
    <n v="0"/>
    <n v="0"/>
    <n v="0"/>
    <x v="1"/>
  </r>
  <r>
    <x v="0"/>
    <x v="1"/>
    <x v="1"/>
    <s v="GASEOSAS Y SODAS"/>
    <x v="0"/>
    <x v="58"/>
    <s v="UNIDADES"/>
    <n v="1944.4444444000001"/>
    <n v="0"/>
    <n v="0"/>
    <n v="0"/>
    <n v="0"/>
    <n v="0"/>
    <x v="1"/>
  </r>
  <r>
    <x v="0"/>
    <x v="1"/>
    <x v="1"/>
    <s v="GASEOSAS Y SODAS"/>
    <x v="0"/>
    <x v="50"/>
    <s v="UNIDADES"/>
    <n v="4126.8333333299997"/>
    <n v="0"/>
    <n v="0"/>
    <n v="0"/>
    <n v="0"/>
    <n v="0"/>
    <x v="1"/>
  </r>
  <r>
    <x v="0"/>
    <x v="1"/>
    <x v="1"/>
    <s v="GASEOSAS Y SODAS"/>
    <x v="0"/>
    <x v="62"/>
    <s v="UNIDADES"/>
    <n v="1395.83333333"/>
    <n v="0"/>
    <n v="0"/>
    <n v="0"/>
    <n v="0"/>
    <n v="0"/>
    <x v="1"/>
  </r>
  <r>
    <x v="0"/>
    <x v="1"/>
    <x v="1"/>
    <s v="GASEOSAS Y SODAS"/>
    <x v="0"/>
    <x v="189"/>
    <s v="UNIDADES"/>
    <n v="1860"/>
    <n v="0"/>
    <n v="0"/>
    <n v="0"/>
    <n v="0"/>
    <n v="0"/>
    <x v="1"/>
  </r>
  <r>
    <x v="1"/>
    <x v="2"/>
    <x v="0"/>
    <s v="LICORES"/>
    <x v="0"/>
    <x v="5"/>
    <s v="ONZA"/>
    <n v="6800.3640183199996"/>
    <n v="41.34"/>
    <n v="42"/>
    <n v="0.66"/>
    <n v="285615.28876943997"/>
    <n v="4488.2402520912001"/>
    <x v="0"/>
  </r>
  <r>
    <x v="0"/>
    <x v="1"/>
    <x v="1"/>
    <s v="GASEOSAS Y SODAS"/>
    <x v="0"/>
    <x v="22"/>
    <s v="UNIDADES"/>
    <n v="5132.5"/>
    <n v="19"/>
    <n v="19"/>
    <n v="0"/>
    <n v="97517.5"/>
    <n v="0"/>
    <x v="1"/>
  </r>
  <r>
    <x v="0"/>
    <x v="1"/>
    <x v="1"/>
    <s v="LICORES"/>
    <x v="0"/>
    <x v="35"/>
    <s v="ONZA"/>
    <n v="2056.3333333300002"/>
    <n v="138"/>
    <n v="136"/>
    <n v="-2"/>
    <n v="279661.33333288005"/>
    <n v="-4112.6666666600004"/>
    <x v="2"/>
  </r>
  <r>
    <x v="0"/>
    <x v="0"/>
    <x v="0"/>
    <s v="PESCADOS Y MARISCOS"/>
    <x v="1"/>
    <x v="190"/>
    <s v="UNIDADES"/>
    <n v="415.98"/>
    <n v="155"/>
    <n v="150"/>
    <n v="-5"/>
    <n v="62397"/>
    <n v="-2079.9"/>
    <x v="2"/>
  </r>
  <r>
    <x v="0"/>
    <x v="1"/>
    <x v="1"/>
    <s v="LICORES"/>
    <x v="0"/>
    <x v="13"/>
    <s v="ONZA"/>
    <n v="1729.16666667"/>
    <n v="124"/>
    <n v="122"/>
    <n v="-2"/>
    <n v="210958.33333374001"/>
    <n v="-3458.3333333400001"/>
    <x v="2"/>
  </r>
  <r>
    <x v="1"/>
    <x v="2"/>
    <x v="0"/>
    <s v="PESCADOS Y MARISCOS"/>
    <x v="1"/>
    <x v="190"/>
    <s v="UNIDADES"/>
    <n v="415.98"/>
    <n v="74"/>
    <n v="88"/>
    <n v="14"/>
    <n v="36606.240000000005"/>
    <n v="5823.72"/>
    <x v="0"/>
  </r>
  <r>
    <x v="0"/>
    <x v="1"/>
    <x v="1"/>
    <s v="LICORES"/>
    <x v="0"/>
    <x v="31"/>
    <s v="ONZA"/>
    <n v="2244.5833333300002"/>
    <n v="40"/>
    <n v="39"/>
    <n v="-1"/>
    <n v="87538.749999870008"/>
    <n v="-2244.5833333300002"/>
    <x v="2"/>
  </r>
  <r>
    <x v="0"/>
    <x v="0"/>
    <x v="0"/>
    <s v="PESCADOS Y MARISCOS"/>
    <x v="1"/>
    <x v="191"/>
    <s v="UNIDADES"/>
    <n v="453.09375"/>
    <n v="48"/>
    <n v="48"/>
    <n v="0"/>
    <n v="21748.5"/>
    <n v="0"/>
    <x v="1"/>
  </r>
  <r>
    <x v="1"/>
    <x v="2"/>
    <x v="0"/>
    <s v="PESCADOS Y MARISCOS"/>
    <x v="1"/>
    <x v="191"/>
    <s v="UNIDADES"/>
    <n v="453.09375"/>
    <n v="48"/>
    <n v="48"/>
    <n v="0"/>
    <n v="21748.5"/>
    <n v="0"/>
    <x v="1"/>
  </r>
  <r>
    <x v="0"/>
    <x v="1"/>
    <x v="1"/>
    <s v="GASEOSAS Y SODAS"/>
    <x v="0"/>
    <x v="63"/>
    <s v="UNIDADES"/>
    <n v="4986.0833333299997"/>
    <n v="20"/>
    <n v="20"/>
    <n v="0"/>
    <n v="99721.666666599995"/>
    <n v="0"/>
    <x v="1"/>
  </r>
  <r>
    <x v="0"/>
    <x v="0"/>
    <x v="0"/>
    <s v="PESCADOS Y MARISCOS"/>
    <x v="1"/>
    <x v="192"/>
    <s v="UNIDADES"/>
    <n v="773.5"/>
    <n v="116"/>
    <n v="87"/>
    <n v="-29"/>
    <n v="67294.5"/>
    <n v="-22431.5"/>
    <x v="2"/>
  </r>
  <r>
    <x v="0"/>
    <x v="1"/>
    <x v="1"/>
    <s v="GASEOSAS Y SODAS"/>
    <x v="0"/>
    <x v="160"/>
    <s v="UNIDADES"/>
    <n v="4986.0833333299997"/>
    <n v="21"/>
    <n v="21"/>
    <n v="0"/>
    <n v="104707.74999992999"/>
    <n v="0"/>
    <x v="1"/>
  </r>
  <r>
    <x v="0"/>
    <x v="1"/>
    <x v="1"/>
    <s v="GASEOSAS Y SODAS"/>
    <x v="0"/>
    <x v="65"/>
    <s v="UNIDADES"/>
    <n v="4986.1393557499996"/>
    <n v="0"/>
    <n v="0"/>
    <n v="0"/>
    <n v="0"/>
    <n v="0"/>
    <x v="1"/>
  </r>
  <r>
    <x v="1"/>
    <x v="2"/>
    <x v="0"/>
    <s v="PESCADOS Y MARISCOS"/>
    <x v="1"/>
    <x v="192"/>
    <s v="UNIDADES"/>
    <n v="773.5"/>
    <n v="60"/>
    <n v="87"/>
    <n v="27"/>
    <n v="67294.5"/>
    <n v="20884.5"/>
    <x v="0"/>
  </r>
  <r>
    <x v="0"/>
    <x v="1"/>
    <x v="1"/>
    <s v="VINOS"/>
    <x v="0"/>
    <x v="193"/>
    <s v="ONZA"/>
    <n v="2137.5"/>
    <n v="8"/>
    <n v="10"/>
    <n v="2"/>
    <n v="21375"/>
    <n v="4275"/>
    <x v="0"/>
  </r>
  <r>
    <x v="1"/>
    <x v="3"/>
    <x v="1"/>
    <s v="GASEOSAS Y SODAS"/>
    <x v="0"/>
    <x v="160"/>
    <s v="UNIDADES"/>
    <n v="4986.0833333299997"/>
    <n v="19.5"/>
    <n v="19"/>
    <n v="-0.5"/>
    <n v="94735.583333269999"/>
    <n v="-2493.0416666649999"/>
    <x v="2"/>
  </r>
  <r>
    <x v="0"/>
    <x v="1"/>
    <x v="1"/>
    <s v="GASEOSAS Y SODAS"/>
    <x v="0"/>
    <x v="194"/>
    <s v="UNIDADES"/>
    <n v="5023"/>
    <n v="20"/>
    <n v="20"/>
    <n v="0"/>
    <n v="100460"/>
    <n v="0"/>
    <x v="1"/>
  </r>
  <r>
    <x v="0"/>
    <x v="1"/>
    <x v="1"/>
    <s v="LICORES"/>
    <x v="0"/>
    <x v="46"/>
    <s v="ONZA"/>
    <n v="6839.9166666700003"/>
    <n v="70"/>
    <n v="64"/>
    <n v="-6"/>
    <n v="437754.66666688002"/>
    <n v="-41039.500000020002"/>
    <x v="2"/>
  </r>
  <r>
    <x v="0"/>
    <x v="1"/>
    <x v="1"/>
    <s v="PROTEINAS"/>
    <x v="1"/>
    <x v="195"/>
    <s v="GRAMOS"/>
    <n v="27"/>
    <n v="0"/>
    <n v="0"/>
    <n v="0"/>
    <n v="0"/>
    <n v="0"/>
    <x v="1"/>
  </r>
  <r>
    <x v="0"/>
    <x v="1"/>
    <x v="1"/>
    <s v="GASEOSAS Y SODAS"/>
    <x v="0"/>
    <x v="51"/>
    <s v="UNIDADES"/>
    <n v="40936"/>
    <n v="0"/>
    <n v="0"/>
    <n v="0"/>
    <n v="0"/>
    <n v="0"/>
    <x v="1"/>
  </r>
  <r>
    <x v="0"/>
    <x v="1"/>
    <x v="1"/>
    <s v="GASEOSAS Y SODAS"/>
    <x v="0"/>
    <x v="71"/>
    <s v="UNIDADES"/>
    <n v="983.33333332999996"/>
    <n v="6"/>
    <n v="6"/>
    <n v="0"/>
    <n v="5899.9999999800002"/>
    <n v="0"/>
    <x v="1"/>
  </r>
  <r>
    <x v="0"/>
    <x v="1"/>
    <x v="1"/>
    <s v="CERVEZAS"/>
    <x v="0"/>
    <x v="196"/>
    <s v="UNIDADES"/>
    <n v="0"/>
    <n v="0"/>
    <n v="0"/>
    <n v="0"/>
    <n v="0"/>
    <n v="0"/>
    <x v="1"/>
  </r>
  <r>
    <x v="0"/>
    <x v="1"/>
    <x v="1"/>
    <s v="LICORES"/>
    <x v="0"/>
    <x v="197"/>
    <s v="ONZA"/>
    <n v="3610.375"/>
    <n v="18"/>
    <n v="12"/>
    <n v="-6"/>
    <n v="43324.5"/>
    <n v="-21662.25"/>
    <x v="2"/>
  </r>
  <r>
    <x v="0"/>
    <x v="1"/>
    <x v="1"/>
    <s v="CERVEZAS"/>
    <x v="0"/>
    <x v="76"/>
    <s v="UNIDADES"/>
    <n v="2319"/>
    <n v="137"/>
    <n v="137"/>
    <n v="0"/>
    <n v="317703"/>
    <n v="0"/>
    <x v="1"/>
  </r>
  <r>
    <x v="0"/>
    <x v="1"/>
    <x v="1"/>
    <s v="PROTEINAS"/>
    <x v="1"/>
    <x v="198"/>
    <s v="GRAMOS"/>
    <n v="9.5"/>
    <n v="0"/>
    <n v="0"/>
    <n v="0"/>
    <n v="0"/>
    <n v="0"/>
    <x v="1"/>
  </r>
  <r>
    <x v="0"/>
    <x v="1"/>
    <x v="1"/>
    <s v="CERVEZAS"/>
    <x v="0"/>
    <x v="75"/>
    <s v="UNIDADES"/>
    <n v="2335.03333333"/>
    <n v="97"/>
    <n v="97"/>
    <n v="0"/>
    <n v="226498.23333300999"/>
    <n v="0"/>
    <x v="1"/>
  </r>
  <r>
    <x v="0"/>
    <x v="1"/>
    <x v="1"/>
    <s v="CERVEZAS"/>
    <x v="0"/>
    <x v="199"/>
    <s v="UNIDADES"/>
    <n v="3416.64355742"/>
    <n v="146"/>
    <n v="140"/>
    <n v="-6"/>
    <n v="478330.0980388"/>
    <n v="-20499.861344519999"/>
    <x v="2"/>
  </r>
  <r>
    <x v="0"/>
    <x v="1"/>
    <x v="1"/>
    <s v="PROTEINAS"/>
    <x v="1"/>
    <x v="200"/>
    <s v="UNIDADES"/>
    <n v="2520"/>
    <n v="0"/>
    <n v="0"/>
    <n v="0"/>
    <n v="0"/>
    <n v="0"/>
    <x v="1"/>
  </r>
  <r>
    <x v="0"/>
    <x v="1"/>
    <x v="1"/>
    <s v="LICORES"/>
    <x v="0"/>
    <x v="24"/>
    <s v="ONZA"/>
    <n v="2012.98701299"/>
    <n v="90.36"/>
    <n v="79"/>
    <n v="-11.36"/>
    <n v="159025.97402620999"/>
    <n v="-22867.532467566398"/>
    <x v="2"/>
  </r>
  <r>
    <x v="0"/>
    <x v="1"/>
    <x v="1"/>
    <s v="PROTEINAS"/>
    <x v="1"/>
    <x v="201"/>
    <s v="UNIDADES"/>
    <n v="10"/>
    <n v="0"/>
    <n v="0"/>
    <n v="0"/>
    <n v="0"/>
    <n v="0"/>
    <x v="1"/>
  </r>
  <r>
    <x v="0"/>
    <x v="1"/>
    <x v="1"/>
    <s v="PROTEINAS"/>
    <x v="1"/>
    <x v="202"/>
    <s v="UNIDADES"/>
    <n v="3890"/>
    <n v="26"/>
    <n v="26"/>
    <n v="0"/>
    <n v="101140"/>
    <n v="0"/>
    <x v="1"/>
  </r>
  <r>
    <x v="0"/>
    <x v="1"/>
    <x v="1"/>
    <s v="PROTEINAS"/>
    <x v="1"/>
    <x v="80"/>
    <s v="UNIDADES"/>
    <n v="2000"/>
    <n v="0"/>
    <n v="0"/>
    <n v="0"/>
    <n v="0"/>
    <n v="0"/>
    <x v="1"/>
  </r>
  <r>
    <x v="0"/>
    <x v="1"/>
    <x v="1"/>
    <s v="LICORES"/>
    <x v="0"/>
    <x v="203"/>
    <s v="ONZA"/>
    <n v="2134.5416666699998"/>
    <n v="72"/>
    <n v="60"/>
    <n v="-12"/>
    <n v="128072.50000019999"/>
    <n v="-25614.500000039996"/>
    <x v="2"/>
  </r>
  <r>
    <x v="0"/>
    <x v="1"/>
    <x v="1"/>
    <s v="PROTEINAS"/>
    <x v="1"/>
    <x v="85"/>
    <s v="UNIDADES"/>
    <n v="13810"/>
    <n v="0"/>
    <n v="0"/>
    <n v="0"/>
    <n v="0"/>
    <n v="0"/>
    <x v="1"/>
  </r>
  <r>
    <x v="0"/>
    <x v="1"/>
    <x v="1"/>
    <s v="PROTEINAS"/>
    <x v="1"/>
    <x v="204"/>
    <s v="UNIDADES"/>
    <n v="2552.9411764699998"/>
    <n v="0"/>
    <n v="0"/>
    <n v="0"/>
    <n v="0"/>
    <n v="0"/>
    <x v="1"/>
  </r>
  <r>
    <x v="0"/>
    <x v="1"/>
    <x v="1"/>
    <s v="PROTEINAS"/>
    <x v="1"/>
    <x v="205"/>
    <s v="UNIDADES"/>
    <n v="46296.296296239998"/>
    <n v="-7.15"/>
    <n v="17"/>
    <n v="24.15"/>
    <n v="787037.03703607991"/>
    <n v="1118055.5555541958"/>
    <x v="0"/>
  </r>
  <r>
    <x v="0"/>
    <x v="1"/>
    <x v="1"/>
    <s v="CERVEZAS"/>
    <x v="0"/>
    <x v="77"/>
    <s v="UNIDADES"/>
    <n v="2725.4166666699998"/>
    <n v="113"/>
    <n v="100"/>
    <n v="-13"/>
    <n v="272541.66666699998"/>
    <n v="-35430.41666671"/>
    <x v="2"/>
  </r>
  <r>
    <x v="0"/>
    <x v="1"/>
    <x v="1"/>
    <s v="GASEOSAS Y SODAS"/>
    <x v="0"/>
    <x v="18"/>
    <s v="UNIDADES"/>
    <n v="5133.6000000000004"/>
    <n v="17"/>
    <n v="0"/>
    <n v="-17"/>
    <n v="0"/>
    <n v="-87271.200000000012"/>
    <x v="2"/>
  </r>
  <r>
    <x v="0"/>
    <x v="1"/>
    <x v="1"/>
    <s v="PROTEINAS"/>
    <x v="1"/>
    <x v="206"/>
    <s v="UNIDADES"/>
    <n v="10430"/>
    <n v="0"/>
    <n v="0"/>
    <n v="0"/>
    <n v="0"/>
    <n v="0"/>
    <x v="1"/>
  </r>
  <r>
    <x v="0"/>
    <x v="1"/>
    <x v="1"/>
    <s v="VINOS"/>
    <x v="0"/>
    <x v="129"/>
    <s v="COPA"/>
    <n v="10880.4"/>
    <n v="19"/>
    <n v="0"/>
    <n v="-19"/>
    <n v="0"/>
    <n v="-206727.6"/>
    <x v="2"/>
  </r>
  <r>
    <x v="0"/>
    <x v="1"/>
    <x v="1"/>
    <s v="LICORES"/>
    <x v="0"/>
    <x v="27"/>
    <s v="ONZA"/>
    <n v="2457.3333333300002"/>
    <n v="24"/>
    <n v="0"/>
    <n v="-24"/>
    <n v="0"/>
    <n v="-58975.999999920008"/>
    <x v="2"/>
  </r>
  <r>
    <x v="1"/>
    <x v="3"/>
    <x v="1"/>
    <s v="LICORES"/>
    <x v="0"/>
    <x v="8"/>
    <s v="ONZA"/>
    <n v="15769.5"/>
    <n v="38"/>
    <n v="40"/>
    <n v="2"/>
    <n v="630780"/>
    <n v="31539"/>
    <x v="0"/>
  </r>
  <r>
    <x v="0"/>
    <x v="1"/>
    <x v="1"/>
    <s v="PROTEINAS"/>
    <x v="1"/>
    <x v="207"/>
    <s v="UNIDADES"/>
    <n v="11188.88888889"/>
    <n v="0"/>
    <n v="0"/>
    <n v="0"/>
    <n v="0"/>
    <n v="0"/>
    <x v="1"/>
  </r>
  <r>
    <x v="0"/>
    <x v="1"/>
    <x v="1"/>
    <s v="VINOS"/>
    <x v="0"/>
    <x v="107"/>
    <s v="UNIDADES"/>
    <n v="37607.75"/>
    <n v="4"/>
    <n v="4"/>
    <n v="0"/>
    <n v="150431"/>
    <n v="0"/>
    <x v="1"/>
  </r>
  <r>
    <x v="0"/>
    <x v="0"/>
    <x v="0"/>
    <s v="PROTEINAS"/>
    <x v="1"/>
    <x v="208"/>
    <s v="GRAMOS"/>
    <n v="22"/>
    <n v="-8001.6666999999998"/>
    <n v="0"/>
    <n v="8001.6666699999996"/>
    <n v="0"/>
    <n v="176036.66673999999"/>
    <x v="0"/>
  </r>
  <r>
    <x v="0"/>
    <x v="1"/>
    <x v="1"/>
    <s v="SUB RECETAS"/>
    <x v="1"/>
    <x v="209"/>
    <s v="UNIDADES"/>
    <n v="3666.6666740000001"/>
    <n v="-8"/>
    <n v="16"/>
    <n v="24"/>
    <n v="58666.666784000001"/>
    <n v="88000.000176000001"/>
    <x v="0"/>
  </r>
  <r>
    <x v="0"/>
    <x v="1"/>
    <x v="1"/>
    <s v="PESCADOS Y MARISCOS"/>
    <x v="1"/>
    <x v="139"/>
    <s v="GRAMOS"/>
    <n v="0"/>
    <n v="2228.3332999999998"/>
    <n v="1945"/>
    <n v="-283.33327000000003"/>
    <n v="0"/>
    <n v="0"/>
    <x v="2"/>
  </r>
  <r>
    <x v="0"/>
    <x v="1"/>
    <x v="1"/>
    <s v="PROTEINAS"/>
    <x v="1"/>
    <x v="210"/>
    <s v="GRAMOS"/>
    <n v="30.990615219999999"/>
    <n v="12016.889800000001"/>
    <n v="0"/>
    <n v="-12016.889794999999"/>
    <n v="0"/>
    <n v="-372410.80777798966"/>
    <x v="2"/>
  </r>
  <r>
    <x v="1"/>
    <x v="3"/>
    <x v="1"/>
    <s v="PROTEINAS"/>
    <x v="1"/>
    <x v="210"/>
    <s v="GRAMOS"/>
    <n v="32"/>
    <n v="5075"/>
    <n v="5065"/>
    <n v="-10"/>
    <n v="162080"/>
    <n v="-320"/>
    <x v="2"/>
  </r>
  <r>
    <x v="0"/>
    <x v="1"/>
    <x v="1"/>
    <s v="VINOS"/>
    <x v="0"/>
    <x v="111"/>
    <s v="UNIDADES"/>
    <n v="37612"/>
    <n v="4"/>
    <n v="4"/>
    <n v="0"/>
    <n v="150448"/>
    <n v="0"/>
    <x v="1"/>
  </r>
  <r>
    <x v="0"/>
    <x v="1"/>
    <x v="1"/>
    <s v="PESCADOS Y MARISCOS"/>
    <x v="1"/>
    <x v="186"/>
    <s v="UNIDADES"/>
    <n v="1600"/>
    <n v="0"/>
    <n v="0"/>
    <n v="0"/>
    <n v="0"/>
    <n v="0"/>
    <x v="1"/>
  </r>
  <r>
    <x v="0"/>
    <x v="1"/>
    <x v="1"/>
    <s v="PROTEINAS"/>
    <x v="1"/>
    <x v="208"/>
    <s v="GRAMOS"/>
    <n v="22"/>
    <n v="-2001.1102000000001"/>
    <n v="0"/>
    <n v="2001.110195"/>
    <n v="0"/>
    <n v="44024.424290000003"/>
    <x v="0"/>
  </r>
  <r>
    <x v="1"/>
    <x v="3"/>
    <x v="1"/>
    <s v="PROTEINAS"/>
    <x v="1"/>
    <x v="208"/>
    <s v="GRAMOS"/>
    <n v="22"/>
    <n v="5000"/>
    <n v="0"/>
    <n v="-5000"/>
    <n v="0"/>
    <n v="-110000"/>
    <x v="2"/>
  </r>
  <r>
    <x v="0"/>
    <x v="1"/>
    <x v="1"/>
    <s v="PROTEINAS"/>
    <x v="1"/>
    <x v="211"/>
    <s v="UNIDADES"/>
    <n v="17053.33333333"/>
    <n v="8.5"/>
    <n v="9"/>
    <n v="0.5"/>
    <n v="153479.99999996999"/>
    <n v="8526.6666666649999"/>
    <x v="0"/>
  </r>
  <r>
    <x v="0"/>
    <x v="1"/>
    <x v="1"/>
    <s v="SUB RECETAS"/>
    <x v="1"/>
    <x v="212"/>
    <s v="UNIDADES"/>
    <n v="121606.25564468"/>
    <n v="20"/>
    <n v="20"/>
    <n v="0"/>
    <n v="2432125.1128936"/>
    <n v="0"/>
    <x v="1"/>
  </r>
  <r>
    <x v="0"/>
    <x v="1"/>
    <x v="1"/>
    <s v="CERVEZAS"/>
    <x v="0"/>
    <x v="213"/>
    <s v="GRAMOS"/>
    <n v="24.444444440000002"/>
    <n v="24400"/>
    <n v="22000"/>
    <n v="-2400"/>
    <n v="537777.77768000006"/>
    <n v="-58666.666656000001"/>
    <x v="2"/>
  </r>
  <r>
    <x v="0"/>
    <x v="1"/>
    <x v="1"/>
    <s v="SUB-RECETAS BAR"/>
    <x v="0"/>
    <x v="214"/>
    <s v="UNIDADES"/>
    <n v="1705.8435694"/>
    <n v="19"/>
    <n v="19"/>
    <n v="0"/>
    <n v="32411.0278186"/>
    <n v="0"/>
    <x v="1"/>
  </r>
  <r>
    <x v="0"/>
    <x v="1"/>
    <x v="1"/>
    <s v="CERVEZAS"/>
    <x v="0"/>
    <x v="215"/>
    <s v="GRAMOS"/>
    <n v="26.666666670000001"/>
    <n v="27985"/>
    <n v="24970"/>
    <n v="-3015"/>
    <n v="665866.66674990009"/>
    <n v="-80400.000010050004"/>
    <x v="2"/>
  </r>
  <r>
    <x v="0"/>
    <x v="1"/>
    <x v="1"/>
    <s v="AGUA Y TE"/>
    <x v="0"/>
    <x v="146"/>
    <s v="UNIDADES"/>
    <n v="1408.33333333"/>
    <n v="51"/>
    <n v="51"/>
    <n v="0"/>
    <n v="71824.999999830005"/>
    <n v="0"/>
    <x v="1"/>
  </r>
  <r>
    <x v="0"/>
    <x v="1"/>
    <x v="1"/>
    <s v="CERVEZAS"/>
    <x v="0"/>
    <x v="216"/>
    <s v="GRAMOS"/>
    <n v="24.444444440000002"/>
    <n v="24850"/>
    <n v="21200"/>
    <n v="-3650"/>
    <n v="518222.22212800005"/>
    <n v="-89222.222206000006"/>
    <x v="2"/>
  </r>
  <r>
    <x v="1"/>
    <x v="3"/>
    <x v="1"/>
    <s v="PROTEINAS"/>
    <x v="1"/>
    <x v="211"/>
    <s v="UNIDADES"/>
    <n v="16550"/>
    <n v="21.5"/>
    <n v="23"/>
    <n v="1.5"/>
    <n v="380650"/>
    <n v="24825"/>
    <x v="0"/>
  </r>
  <r>
    <x v="0"/>
    <x v="1"/>
    <x v="1"/>
    <s v="PROTEINAS"/>
    <x v="1"/>
    <x v="217"/>
    <s v="UNIDADES"/>
    <n v="11459.77011494"/>
    <n v="53"/>
    <n v="0"/>
    <n v="-53"/>
    <n v="0"/>
    <n v="-607367.81609182002"/>
    <x v="2"/>
  </r>
  <r>
    <x v="1"/>
    <x v="3"/>
    <x v="1"/>
    <s v="PROTEINAS"/>
    <x v="1"/>
    <x v="217"/>
    <s v="UNIDADES"/>
    <n v="11532.5"/>
    <n v="4"/>
    <n v="0"/>
    <n v="-4"/>
    <n v="0"/>
    <n v="-46130"/>
    <x v="2"/>
  </r>
  <r>
    <x v="0"/>
    <x v="1"/>
    <x v="1"/>
    <s v="SUB RECETAS"/>
    <x v="1"/>
    <x v="218"/>
    <s v="GRAMOS"/>
    <n v="15.38461758"/>
    <n v="-187515"/>
    <n v="0"/>
    <n v="187515"/>
    <n v="0"/>
    <n v="2884846.5655137002"/>
    <x v="0"/>
  </r>
  <r>
    <x v="0"/>
    <x v="1"/>
    <x v="1"/>
    <s v="CERVEZAS"/>
    <x v="0"/>
    <x v="219"/>
    <s v="GRAMOS"/>
    <n v="1.12044944"/>
    <n v="362940"/>
    <n v="20720"/>
    <n v="-342220"/>
    <n v="23215.712396800001"/>
    <n v="-383440.20735680003"/>
    <x v="2"/>
  </r>
  <r>
    <x v="1"/>
    <x v="3"/>
    <x v="1"/>
    <s v="SUB RECETAS"/>
    <x v="1"/>
    <x v="220"/>
    <s v="GRAMOS"/>
    <n v="11.91881345"/>
    <n v="-275700"/>
    <n v="147400"/>
    <n v="423100"/>
    <n v="1756833.10253"/>
    <n v="5042849.9706950001"/>
    <x v="0"/>
  </r>
  <r>
    <x v="0"/>
    <x v="1"/>
    <x v="1"/>
    <s v="CERVEZAS"/>
    <x v="0"/>
    <x v="221"/>
    <s v="GRAMOS"/>
    <n v="1.02707722"/>
    <n v="368175"/>
    <n v="25105"/>
    <n v="-343070"/>
    <n v="25784.7736081"/>
    <n v="-352359.38186540001"/>
    <x v="2"/>
  </r>
  <r>
    <x v="0"/>
    <x v="1"/>
    <x v="1"/>
    <s v="CERVEZAS"/>
    <x v="0"/>
    <x v="222"/>
    <s v="GRAMOS"/>
    <n v="1.02707722"/>
    <n v="364855"/>
    <n v="20100"/>
    <n v="-344755"/>
    <n v="20644.252122000002"/>
    <n v="-354090.00698110001"/>
    <x v="2"/>
  </r>
  <r>
    <x v="0"/>
    <x v="1"/>
    <x v="1"/>
    <s v="CERVEZAS"/>
    <x v="0"/>
    <x v="223"/>
    <s v="GRAMOS"/>
    <n v="1.02707722"/>
    <n v="369880"/>
    <n v="9380"/>
    <n v="-360500"/>
    <n v="9633.9843235999997"/>
    <n v="-370261.33781"/>
    <x v="2"/>
  </r>
  <r>
    <x v="0"/>
    <x v="4"/>
    <x v="2"/>
    <s v="LICORES"/>
    <x v="0"/>
    <x v="224"/>
    <s v="UNIDADES"/>
    <n v="0"/>
    <n v="1"/>
    <n v="1"/>
    <n v="0"/>
    <n v="0"/>
    <n v="0"/>
    <x v="1"/>
  </r>
  <r>
    <x v="0"/>
    <x v="4"/>
    <x v="2"/>
    <s v="LICORES"/>
    <x v="0"/>
    <x v="225"/>
    <s v="ONZA"/>
    <n v="0"/>
    <n v="0"/>
    <n v="0"/>
    <n v="0"/>
    <n v="0"/>
    <n v="0"/>
    <x v="1"/>
  </r>
  <r>
    <x v="0"/>
    <x v="4"/>
    <x v="2"/>
    <s v="LICORES"/>
    <x v="0"/>
    <x v="12"/>
    <s v="ONZA"/>
    <n v="0"/>
    <n v="0"/>
    <n v="0"/>
    <n v="0"/>
    <n v="0"/>
    <n v="0"/>
    <x v="1"/>
  </r>
  <r>
    <x v="0"/>
    <x v="4"/>
    <x v="2"/>
    <s v="LICORES"/>
    <x v="0"/>
    <x v="226"/>
    <s v="ONZA"/>
    <n v="2309.40625"/>
    <n v="12"/>
    <n v="12"/>
    <n v="0"/>
    <n v="27712.875"/>
    <n v="0"/>
    <x v="1"/>
  </r>
  <r>
    <x v="0"/>
    <x v="4"/>
    <x v="2"/>
    <s v="LICORES"/>
    <x v="0"/>
    <x v="2"/>
    <s v="ONZA"/>
    <n v="14896.95833333"/>
    <n v="16"/>
    <n v="16"/>
    <n v="0"/>
    <n v="238351.33333328"/>
    <n v="0"/>
    <x v="1"/>
  </r>
  <r>
    <x v="0"/>
    <x v="4"/>
    <x v="2"/>
    <s v="LICORES"/>
    <x v="0"/>
    <x v="3"/>
    <s v="UNIDADES"/>
    <n v="86744"/>
    <n v="1"/>
    <n v="1"/>
    <n v="0"/>
    <n v="86744"/>
    <n v="0"/>
    <x v="1"/>
  </r>
  <r>
    <x v="0"/>
    <x v="4"/>
    <x v="2"/>
    <s v="AGUA Y TE"/>
    <x v="0"/>
    <x v="146"/>
    <s v="UNIDADES"/>
    <n v="1408.33333333"/>
    <n v="0"/>
    <n v="7"/>
    <n v="7"/>
    <n v="9858.3333333099999"/>
    <n v="9858.3333333099999"/>
    <x v="0"/>
  </r>
  <r>
    <x v="0"/>
    <x v="4"/>
    <x v="2"/>
    <s v="GASEOSAS Y SODAS"/>
    <x v="0"/>
    <x v="22"/>
    <s v="UNIDADES"/>
    <n v="4986.0833333299997"/>
    <n v="58"/>
    <n v="55"/>
    <n v="-3"/>
    <n v="274234.58333314996"/>
    <n v="-14958.249999989999"/>
    <x v="2"/>
  </r>
  <r>
    <x v="0"/>
    <x v="4"/>
    <x v="2"/>
    <s v="LICORES"/>
    <x v="0"/>
    <x v="7"/>
    <s v="ONZA"/>
    <n v="11819.5"/>
    <n v="24"/>
    <n v="24"/>
    <n v="0"/>
    <n v="283668"/>
    <n v="0"/>
    <x v="1"/>
  </r>
  <r>
    <x v="1"/>
    <x v="5"/>
    <x v="2"/>
    <s v="GASEOSAS Y SODAS"/>
    <x v="0"/>
    <x v="22"/>
    <s v="UNIDADES"/>
    <n v="4986.0833333299997"/>
    <n v="49"/>
    <n v="55"/>
    <n v="6"/>
    <n v="274234.58333314996"/>
    <n v="29916.499999979998"/>
    <x v="0"/>
  </r>
  <r>
    <x v="1"/>
    <x v="5"/>
    <x v="2"/>
    <s v="LICORES"/>
    <x v="0"/>
    <x v="13"/>
    <s v="ONZA"/>
    <n v="1729.16666667"/>
    <n v="19"/>
    <n v="20"/>
    <n v="1"/>
    <n v="34583.333333399998"/>
    <n v="1729.16666667"/>
    <x v="0"/>
  </r>
  <r>
    <x v="1"/>
    <x v="5"/>
    <x v="2"/>
    <s v="LICORES"/>
    <x v="0"/>
    <x v="41"/>
    <s v="ONZA"/>
    <n v="1658.625"/>
    <n v="41"/>
    <n v="32"/>
    <n v="-9"/>
    <n v="53076"/>
    <n v="-14927.625"/>
    <x v="2"/>
  </r>
  <r>
    <x v="0"/>
    <x v="4"/>
    <x v="2"/>
    <s v="LICORES"/>
    <x v="0"/>
    <x v="39"/>
    <s v="ONZA"/>
    <n v="4075.1666666699998"/>
    <n v="34"/>
    <n v="13"/>
    <n v="-21"/>
    <n v="52977.16666671"/>
    <n v="-85578.500000069995"/>
    <x v="2"/>
  </r>
  <r>
    <x v="1"/>
    <x v="5"/>
    <x v="2"/>
    <s v="LICORES"/>
    <x v="0"/>
    <x v="39"/>
    <s v="ONZA"/>
    <n v="4075.1666666699998"/>
    <n v="-3"/>
    <n v="22"/>
    <n v="25"/>
    <n v="89653.666666739999"/>
    <n v="101879.16666675"/>
    <x v="0"/>
  </r>
  <r>
    <x v="1"/>
    <x v="5"/>
    <x v="2"/>
    <s v="LICORES"/>
    <x v="0"/>
    <x v="56"/>
    <s v="ONZA"/>
    <n v="2309.40625"/>
    <n v="10"/>
    <n v="33"/>
    <n v="23"/>
    <n v="76210.40625"/>
    <n v="53116.34375"/>
    <x v="0"/>
  </r>
  <r>
    <x v="0"/>
    <x v="4"/>
    <x v="2"/>
    <s v="LICORES"/>
    <x v="0"/>
    <x v="172"/>
    <s v="ONZA"/>
    <n v="6746.25"/>
    <n v="41.5"/>
    <n v="42"/>
    <n v="0.5"/>
    <n v="283342.5"/>
    <n v="3373.125"/>
    <x v="0"/>
  </r>
  <r>
    <x v="1"/>
    <x v="5"/>
    <x v="2"/>
    <s v="LICORES"/>
    <x v="0"/>
    <x v="172"/>
    <s v="ONZA"/>
    <n v="6746.25"/>
    <n v="40"/>
    <n v="41"/>
    <n v="1"/>
    <n v="276596.25"/>
    <n v="6746.25"/>
    <x v="0"/>
  </r>
  <r>
    <x v="0"/>
    <x v="4"/>
    <x v="2"/>
    <s v="LICORES"/>
    <x v="0"/>
    <x v="19"/>
    <s v="UNIDADES"/>
    <n v="93956"/>
    <n v="1"/>
    <n v="1"/>
    <n v="0"/>
    <n v="93956"/>
    <n v="0"/>
    <x v="1"/>
  </r>
  <r>
    <x v="0"/>
    <x v="4"/>
    <x v="2"/>
    <s v="LICORES"/>
    <x v="0"/>
    <x v="20"/>
    <s v="ONZA"/>
    <n v="10178.90909091"/>
    <n v="35"/>
    <n v="35"/>
    <n v="0"/>
    <n v="356261.81818184996"/>
    <n v="0"/>
    <x v="1"/>
  </r>
  <r>
    <x v="0"/>
    <x v="4"/>
    <x v="2"/>
    <s v="LICORES"/>
    <x v="0"/>
    <x v="21"/>
    <s v="ONZA"/>
    <n v="12951.25"/>
    <n v="8"/>
    <n v="8"/>
    <n v="0"/>
    <n v="103610"/>
    <n v="0"/>
    <x v="1"/>
  </r>
  <r>
    <x v="0"/>
    <x v="4"/>
    <x v="2"/>
    <s v="LICORES"/>
    <x v="0"/>
    <x v="70"/>
    <s v="ONZA"/>
    <n v="3673.5"/>
    <n v="23"/>
    <n v="23"/>
    <n v="0"/>
    <n v="84490.5"/>
    <n v="0"/>
    <x v="1"/>
  </r>
  <r>
    <x v="0"/>
    <x v="4"/>
    <x v="2"/>
    <s v="LICORES"/>
    <x v="0"/>
    <x v="46"/>
    <s v="ONZA"/>
    <n v="6839.875"/>
    <n v="10.14"/>
    <n v="12"/>
    <n v="1.86"/>
    <n v="82078.5"/>
    <n v="12722.167500000001"/>
    <x v="0"/>
  </r>
  <r>
    <x v="0"/>
    <x v="4"/>
    <x v="2"/>
    <s v="LICORES"/>
    <x v="0"/>
    <x v="23"/>
    <s v="ONZA"/>
    <n v="8628.9583333299997"/>
    <n v="22"/>
    <n v="22"/>
    <n v="0"/>
    <n v="189837.08333326"/>
    <n v="0"/>
    <x v="1"/>
  </r>
  <r>
    <x v="1"/>
    <x v="5"/>
    <x v="2"/>
    <s v="LICORES"/>
    <x v="0"/>
    <x v="46"/>
    <s v="ONZA"/>
    <n v="6839.9166666700003"/>
    <n v="6"/>
    <n v="8"/>
    <n v="2"/>
    <n v="54719.333333360002"/>
    <n v="13679.833333340001"/>
    <x v="0"/>
  </r>
  <r>
    <x v="1"/>
    <x v="5"/>
    <x v="2"/>
    <s v="PESCADOS Y MARISCOS"/>
    <x v="1"/>
    <x v="57"/>
    <s v="UNIDADES"/>
    <n v="485.71428571000001"/>
    <n v="1867"/>
    <n v="1741"/>
    <n v="-126"/>
    <n v="845628.57142111007"/>
    <n v="-61199.99999946"/>
    <x v="2"/>
  </r>
  <r>
    <x v="0"/>
    <x v="4"/>
    <x v="2"/>
    <s v="LICORES"/>
    <x v="0"/>
    <x v="44"/>
    <s v="ONZA"/>
    <n v="4279.4583333299997"/>
    <n v="13"/>
    <n v="15"/>
    <n v="2"/>
    <n v="64191.87499995"/>
    <n v="8558.9166666599995"/>
    <x v="0"/>
  </r>
  <r>
    <x v="0"/>
    <x v="4"/>
    <x v="2"/>
    <s v="LICORES"/>
    <x v="0"/>
    <x v="141"/>
    <s v="ONZA"/>
    <n v="6045.125"/>
    <n v="13"/>
    <n v="13"/>
    <n v="0"/>
    <n v="78586.625"/>
    <n v="0"/>
    <x v="1"/>
  </r>
  <r>
    <x v="1"/>
    <x v="5"/>
    <x v="2"/>
    <s v="CERVEZAS"/>
    <x v="0"/>
    <x v="75"/>
    <s v="UNIDADES"/>
    <n v="2335.0666666699999"/>
    <n v="43"/>
    <n v="42"/>
    <n v="-1"/>
    <n v="98072.800000139992"/>
    <n v="-2335.0666666699999"/>
    <x v="2"/>
  </r>
  <r>
    <x v="0"/>
    <x v="4"/>
    <x v="2"/>
    <s v="LICORES"/>
    <x v="0"/>
    <x v="32"/>
    <s v="ONZA"/>
    <n v="4504.1666666700003"/>
    <n v="0"/>
    <n v="0"/>
    <n v="0"/>
    <n v="0"/>
    <n v="0"/>
    <x v="1"/>
  </r>
  <r>
    <x v="0"/>
    <x v="4"/>
    <x v="2"/>
    <s v="CERVEZAS"/>
    <x v="0"/>
    <x v="76"/>
    <s v="UNIDADES"/>
    <n v="2183.46666667"/>
    <n v="13"/>
    <n v="12"/>
    <n v="-1"/>
    <n v="26201.600000040002"/>
    <n v="-2183.46666667"/>
    <x v="2"/>
  </r>
  <r>
    <x v="0"/>
    <x v="4"/>
    <x v="2"/>
    <s v="LICORES"/>
    <x v="0"/>
    <x v="4"/>
    <s v="ONZA"/>
    <n v="9648.9583333299997"/>
    <n v="25.34"/>
    <n v="25"/>
    <n v="-0.34"/>
    <n v="241223.95833324999"/>
    <n v="-3280.6458333322003"/>
    <x v="2"/>
  </r>
  <r>
    <x v="0"/>
    <x v="4"/>
    <x v="2"/>
    <s v="LICORES"/>
    <x v="0"/>
    <x v="166"/>
    <s v="ONZA"/>
    <n v="9924"/>
    <n v="27"/>
    <n v="27"/>
    <n v="0"/>
    <n v="267948"/>
    <n v="0"/>
    <x v="1"/>
  </r>
  <r>
    <x v="0"/>
    <x v="4"/>
    <x v="2"/>
    <s v="CERVEZAS"/>
    <x v="0"/>
    <x v="77"/>
    <s v="UNIDADES"/>
    <n v="3299.9974999999999"/>
    <n v="46"/>
    <n v="45"/>
    <n v="-1"/>
    <n v="148499.88750000001"/>
    <n v="-3299.9974999999999"/>
    <x v="2"/>
  </r>
  <r>
    <x v="0"/>
    <x v="4"/>
    <x v="2"/>
    <s v="CERVEZAS"/>
    <x v="0"/>
    <x v="227"/>
    <s v="UNIDADES"/>
    <n v="4102.875"/>
    <n v="11"/>
    <n v="23"/>
    <n v="12"/>
    <n v="94366.125"/>
    <n v="49234.5"/>
    <x v="0"/>
  </r>
  <r>
    <x v="0"/>
    <x v="4"/>
    <x v="2"/>
    <s v="LICORES"/>
    <x v="0"/>
    <x v="159"/>
    <s v="ONZA"/>
    <n v="3500"/>
    <n v="13"/>
    <n v="13"/>
    <n v="0"/>
    <n v="45500"/>
    <n v="0"/>
    <x v="1"/>
  </r>
  <r>
    <x v="0"/>
    <x v="4"/>
    <x v="2"/>
    <s v="LICORES"/>
    <x v="0"/>
    <x v="38"/>
    <s v="UNIDADES"/>
    <n v="26517.26"/>
    <n v="1"/>
    <n v="1"/>
    <n v="0"/>
    <n v="26517.26"/>
    <n v="0"/>
    <x v="1"/>
  </r>
  <r>
    <x v="0"/>
    <x v="4"/>
    <x v="2"/>
    <s v="LICORES"/>
    <x v="0"/>
    <x v="35"/>
    <s v="ONZA"/>
    <n v="2056.3333333300002"/>
    <n v="61"/>
    <n v="61"/>
    <n v="0"/>
    <n v="125436.33333313001"/>
    <n v="0"/>
    <x v="1"/>
  </r>
  <r>
    <x v="0"/>
    <x v="4"/>
    <x v="2"/>
    <s v="LICORES"/>
    <x v="0"/>
    <x v="40"/>
    <s v="UNIDADES"/>
    <n v="22770"/>
    <n v="1"/>
    <n v="1"/>
    <n v="0"/>
    <n v="22770"/>
    <n v="0"/>
    <x v="1"/>
  </r>
  <r>
    <x v="0"/>
    <x v="4"/>
    <x v="2"/>
    <s v="LICORES"/>
    <x v="0"/>
    <x v="13"/>
    <s v="ONZA"/>
    <n v="1729.16666667"/>
    <n v="29"/>
    <n v="29"/>
    <n v="0"/>
    <n v="50145.833333430004"/>
    <n v="0"/>
    <x v="1"/>
  </r>
  <r>
    <x v="0"/>
    <x v="4"/>
    <x v="2"/>
    <s v="LICORES"/>
    <x v="0"/>
    <x v="42"/>
    <s v="UNIDADES"/>
    <n v="23367.5"/>
    <n v="0"/>
    <n v="0"/>
    <n v="0"/>
    <n v="0"/>
    <n v="0"/>
    <x v="1"/>
  </r>
  <r>
    <x v="0"/>
    <x v="4"/>
    <x v="2"/>
    <s v="LICORES"/>
    <x v="0"/>
    <x v="41"/>
    <s v="ONZA"/>
    <n v="1658.625"/>
    <n v="41"/>
    <n v="41"/>
    <n v="0"/>
    <n v="68003.625"/>
    <n v="0"/>
    <x v="1"/>
  </r>
  <r>
    <x v="0"/>
    <x v="4"/>
    <x v="2"/>
    <s v="CERVEZAS"/>
    <x v="0"/>
    <x v="181"/>
    <s v="UNIDADES"/>
    <n v="2298.1333333299999"/>
    <n v="541.82000000000005"/>
    <n v="0"/>
    <n v="-541.82000000000005"/>
    <n v="0"/>
    <n v="-1245174.6026648607"/>
    <x v="2"/>
  </r>
  <r>
    <x v="0"/>
    <x v="4"/>
    <x v="2"/>
    <s v="LICORES"/>
    <x v="0"/>
    <x v="45"/>
    <s v="ONZA"/>
    <n v="5670.8333333299997"/>
    <n v="0"/>
    <n v="0"/>
    <n v="0"/>
    <n v="0"/>
    <n v="0"/>
    <x v="1"/>
  </r>
  <r>
    <x v="1"/>
    <x v="5"/>
    <x v="2"/>
    <s v="CERVEZAS"/>
    <x v="0"/>
    <x v="228"/>
    <s v="UNIDADES"/>
    <n v="18598"/>
    <n v="-2.17"/>
    <n v="0"/>
    <n v="2.17"/>
    <n v="0"/>
    <n v="40357.659999999996"/>
    <x v="0"/>
  </r>
  <r>
    <x v="0"/>
    <x v="4"/>
    <x v="2"/>
    <s v="LICORES"/>
    <x v="0"/>
    <x v="48"/>
    <s v="UNIDADES"/>
    <n v="45099.74"/>
    <n v="0"/>
    <n v="0"/>
    <n v="0"/>
    <n v="0"/>
    <n v="0"/>
    <x v="1"/>
  </r>
  <r>
    <x v="0"/>
    <x v="4"/>
    <x v="2"/>
    <s v="LICORES"/>
    <x v="0"/>
    <x v="203"/>
    <s v="ONZA"/>
    <n v="0"/>
    <n v="6"/>
    <n v="6"/>
    <n v="0"/>
    <n v="0"/>
    <n v="0"/>
    <x v="1"/>
  </r>
  <r>
    <x v="0"/>
    <x v="4"/>
    <x v="2"/>
    <s v="LICORES"/>
    <x v="0"/>
    <x v="110"/>
    <s v="ONZA"/>
    <n v="3171.7162499999999"/>
    <n v="6"/>
    <n v="6"/>
    <n v="0"/>
    <n v="19030.297500000001"/>
    <n v="0"/>
    <x v="1"/>
  </r>
  <r>
    <x v="0"/>
    <x v="4"/>
    <x v="2"/>
    <s v="LICORES"/>
    <x v="0"/>
    <x v="52"/>
    <s v="ONZA"/>
    <n v="5291.6666666700003"/>
    <n v="1"/>
    <n v="1"/>
    <n v="0"/>
    <n v="5291.6666666700003"/>
    <n v="0"/>
    <x v="1"/>
  </r>
  <r>
    <x v="0"/>
    <x v="4"/>
    <x v="2"/>
    <s v="LICORES"/>
    <x v="0"/>
    <x v="180"/>
    <s v="ONZA"/>
    <n v="15318.181818180001"/>
    <n v="17"/>
    <n v="17"/>
    <n v="0"/>
    <n v="260409.09090906"/>
    <n v="0"/>
    <x v="1"/>
  </r>
  <r>
    <x v="0"/>
    <x v="4"/>
    <x v="2"/>
    <s v="LICORES"/>
    <x v="0"/>
    <x v="5"/>
    <s v="ONZA"/>
    <n v="6800.3640183199996"/>
    <n v="12"/>
    <n v="12"/>
    <n v="0"/>
    <n v="81604.368219839991"/>
    <n v="0"/>
    <x v="1"/>
  </r>
  <r>
    <x v="1"/>
    <x v="5"/>
    <x v="2"/>
    <s v="CERVEZAS"/>
    <x v="0"/>
    <x v="183"/>
    <s v="UNIDADES"/>
    <n v="3099.6666666699998"/>
    <n v="0"/>
    <n v="7"/>
    <n v="7"/>
    <n v="21697.666666689998"/>
    <n v="21697.666666689998"/>
    <x v="0"/>
  </r>
  <r>
    <x v="0"/>
    <x v="4"/>
    <x v="2"/>
    <s v="GASEOSAS Y SODAS"/>
    <x v="0"/>
    <x v="63"/>
    <s v="UNIDADES"/>
    <n v="4986.1041666700003"/>
    <n v="52"/>
    <n v="41"/>
    <n v="-11"/>
    <n v="204430.27083347001"/>
    <n v="-54847.145833369999"/>
    <x v="2"/>
  </r>
  <r>
    <x v="1"/>
    <x v="5"/>
    <x v="2"/>
    <s v="GASEOSAS Y SODAS"/>
    <x v="0"/>
    <x v="63"/>
    <s v="UNIDADES"/>
    <n v="4986.0833333299997"/>
    <n v="24"/>
    <n v="25"/>
    <n v="1"/>
    <n v="124652.08333324999"/>
    <n v="4986.0833333299997"/>
    <x v="0"/>
  </r>
  <r>
    <x v="0"/>
    <x v="4"/>
    <x v="2"/>
    <s v="LICORES"/>
    <x v="0"/>
    <x v="31"/>
    <s v="ONZA"/>
    <n v="2244.5833333300002"/>
    <n v="30"/>
    <n v="8"/>
    <n v="-22"/>
    <n v="17956.666666640001"/>
    <n v="-49380.833333260001"/>
    <x v="2"/>
  </r>
  <r>
    <x v="0"/>
    <x v="4"/>
    <x v="2"/>
    <s v="GASEOSAS Y SODAS"/>
    <x v="0"/>
    <x v="79"/>
    <s v="UNIDADES"/>
    <n v="0"/>
    <n v="0"/>
    <n v="0"/>
    <n v="0"/>
    <n v="0"/>
    <n v="0"/>
    <x v="1"/>
  </r>
  <r>
    <x v="0"/>
    <x v="4"/>
    <x v="2"/>
    <s v="GASEOSAS Y SODAS"/>
    <x v="0"/>
    <x v="58"/>
    <s v="UNIDADES"/>
    <n v="3333.3333333300002"/>
    <n v="0"/>
    <n v="0"/>
    <n v="0"/>
    <n v="0"/>
    <n v="0"/>
    <x v="1"/>
  </r>
  <r>
    <x v="1"/>
    <x v="5"/>
    <x v="2"/>
    <s v="LICORES"/>
    <x v="0"/>
    <x v="31"/>
    <s v="ONZA"/>
    <n v="2972.2291666699998"/>
    <n v="-16"/>
    <n v="8"/>
    <n v="24"/>
    <n v="23777.833333359999"/>
    <n v="71333.500000079992"/>
    <x v="0"/>
  </r>
  <r>
    <x v="0"/>
    <x v="4"/>
    <x v="2"/>
    <s v="GASEOSAS Y SODAS"/>
    <x v="0"/>
    <x v="59"/>
    <s v="UNIDADES"/>
    <n v="2323.7453703800002"/>
    <n v="120"/>
    <n v="120"/>
    <n v="0"/>
    <n v="278849.44444560003"/>
    <n v="0"/>
    <x v="1"/>
  </r>
  <r>
    <x v="0"/>
    <x v="4"/>
    <x v="2"/>
    <s v="VINOS"/>
    <x v="0"/>
    <x v="193"/>
    <s v="ONZA"/>
    <n v="1842.78125"/>
    <n v="34"/>
    <n v="36"/>
    <n v="2"/>
    <n v="66340.125"/>
    <n v="3685.5625"/>
    <x v="0"/>
  </r>
  <r>
    <x v="0"/>
    <x v="4"/>
    <x v="2"/>
    <s v="GASEOSAS Y SODAS"/>
    <x v="0"/>
    <x v="50"/>
    <s v="UNIDADES"/>
    <n v="0"/>
    <n v="0"/>
    <n v="9"/>
    <n v="9"/>
    <n v="0"/>
    <n v="0"/>
    <x v="0"/>
  </r>
  <r>
    <x v="1"/>
    <x v="5"/>
    <x v="2"/>
    <s v="GASEOSAS Y SODAS"/>
    <x v="0"/>
    <x v="50"/>
    <s v="UNIDADES"/>
    <n v="0"/>
    <n v="9"/>
    <n v="0"/>
    <n v="-9"/>
    <n v="0"/>
    <n v="0"/>
    <x v="2"/>
  </r>
  <r>
    <x v="0"/>
    <x v="4"/>
    <x v="2"/>
    <s v="GASEOSAS Y SODAS"/>
    <x v="0"/>
    <x v="62"/>
    <s v="UNIDADES"/>
    <n v="1395.83333333"/>
    <n v="20"/>
    <n v="20"/>
    <n v="0"/>
    <n v="27916.666666599998"/>
    <n v="0"/>
    <x v="1"/>
  </r>
  <r>
    <x v="0"/>
    <x v="4"/>
    <x v="2"/>
    <s v="GASEOSAS Y SODAS"/>
    <x v="0"/>
    <x v="60"/>
    <s v="UNIDADES"/>
    <n v="2119.75"/>
    <n v="78"/>
    <n v="90"/>
    <n v="12"/>
    <n v="190777.5"/>
    <n v="25437"/>
    <x v="0"/>
  </r>
  <r>
    <x v="0"/>
    <x v="4"/>
    <x v="2"/>
    <s v="GASEOSAS Y SODAS"/>
    <x v="0"/>
    <x v="160"/>
    <s v="UNIDADES"/>
    <n v="4986.0833333299997"/>
    <n v="26.12"/>
    <n v="12"/>
    <n v="-14.12"/>
    <n v="59832.999999959997"/>
    <n v="-70403.496666619598"/>
    <x v="2"/>
  </r>
  <r>
    <x v="1"/>
    <x v="5"/>
    <x v="2"/>
    <s v="GASEOSAS Y SODAS"/>
    <x v="0"/>
    <x v="160"/>
    <s v="UNIDADES"/>
    <n v="4986.0833333299997"/>
    <n v="5.55"/>
    <n v="14"/>
    <n v="8.4499999999999993"/>
    <n v="69805.166666620004"/>
    <n v="42132.404166638495"/>
    <x v="0"/>
  </r>
  <r>
    <x v="0"/>
    <x v="4"/>
    <x v="2"/>
    <s v="GASEOSAS Y SODAS"/>
    <x v="0"/>
    <x v="65"/>
    <s v="UNIDADES"/>
    <n v="4986.0833333299997"/>
    <n v="22"/>
    <n v="22"/>
    <n v="0"/>
    <n v="109693.83333326"/>
    <n v="0"/>
    <x v="1"/>
  </r>
  <r>
    <x v="1"/>
    <x v="5"/>
    <x v="2"/>
    <s v="LICORES"/>
    <x v="0"/>
    <x v="7"/>
    <s v="ONZA"/>
    <n v="11819.5"/>
    <n v="24"/>
    <n v="29"/>
    <n v="5"/>
    <n v="342765.5"/>
    <n v="59097.5"/>
    <x v="0"/>
  </r>
  <r>
    <x v="0"/>
    <x v="4"/>
    <x v="2"/>
    <s v="GASEOSAS Y SODAS"/>
    <x v="0"/>
    <x v="67"/>
    <s v="UNIDADES"/>
    <n v="0"/>
    <n v="0"/>
    <n v="0"/>
    <n v="0"/>
    <n v="0"/>
    <n v="0"/>
    <x v="1"/>
  </r>
  <r>
    <x v="0"/>
    <x v="4"/>
    <x v="2"/>
    <s v="LICORES"/>
    <x v="0"/>
    <x v="8"/>
    <s v="ONZA"/>
    <n v="15769.5"/>
    <n v="24"/>
    <n v="22"/>
    <n v="-2"/>
    <n v="346929"/>
    <n v="-31539"/>
    <x v="2"/>
  </r>
  <r>
    <x v="0"/>
    <x v="4"/>
    <x v="2"/>
    <s v="GASEOSAS Y SODAS"/>
    <x v="0"/>
    <x v="45"/>
    <s v="UNIDADES"/>
    <n v="2120.83"/>
    <n v="0"/>
    <n v="0"/>
    <n v="0"/>
    <n v="0"/>
    <n v="0"/>
    <x v="1"/>
  </r>
  <r>
    <x v="0"/>
    <x v="4"/>
    <x v="2"/>
    <s v="GASEOSAS Y SODAS"/>
    <x v="0"/>
    <x v="229"/>
    <s v="UNIDADES"/>
    <n v="6387.35"/>
    <n v="3"/>
    <n v="3"/>
    <n v="0"/>
    <n v="19162.050000000003"/>
    <n v="0"/>
    <x v="1"/>
  </r>
  <r>
    <x v="1"/>
    <x v="5"/>
    <x v="2"/>
    <s v="LICORES"/>
    <x v="0"/>
    <x v="8"/>
    <s v="ONZA"/>
    <n v="17377"/>
    <n v="20"/>
    <n v="23"/>
    <n v="3"/>
    <n v="399671"/>
    <n v="52131"/>
    <x v="0"/>
  </r>
  <r>
    <x v="0"/>
    <x v="4"/>
    <x v="2"/>
    <s v="CERVEZAS"/>
    <x v="0"/>
    <x v="230"/>
    <s v="UNIDADES"/>
    <n v="11200"/>
    <n v="7"/>
    <n v="7"/>
    <n v="0"/>
    <n v="78400"/>
    <n v="0"/>
    <x v="1"/>
  </r>
  <r>
    <x v="0"/>
    <x v="4"/>
    <x v="2"/>
    <s v="LICORES"/>
    <x v="0"/>
    <x v="132"/>
    <s v="ONZA"/>
    <n v="13020.86363636"/>
    <n v="34"/>
    <n v="36"/>
    <n v="2"/>
    <n v="468751.09090895997"/>
    <n v="26041.72727272"/>
    <x v="0"/>
  </r>
  <r>
    <x v="0"/>
    <x v="4"/>
    <x v="2"/>
    <s v="CERVEZAS"/>
    <x v="0"/>
    <x v="178"/>
    <s v="UNIDADES"/>
    <n v="3736.1666666699998"/>
    <n v="3"/>
    <n v="3"/>
    <n v="0"/>
    <n v="11208.500000009999"/>
    <n v="0"/>
    <x v="1"/>
  </r>
  <r>
    <x v="1"/>
    <x v="5"/>
    <x v="2"/>
    <s v="LICORES"/>
    <x v="0"/>
    <x v="231"/>
    <s v="ONZA"/>
    <n v="10178.90909091"/>
    <n v="35"/>
    <n v="36"/>
    <n v="1"/>
    <n v="366440.72727276001"/>
    <n v="10178.90909091"/>
    <x v="0"/>
  </r>
  <r>
    <x v="0"/>
    <x v="4"/>
    <x v="2"/>
    <s v="LICORES"/>
    <x v="0"/>
    <x v="10"/>
    <s v="ONZA"/>
    <n v="12698.95454545"/>
    <n v="36"/>
    <n v="37"/>
    <n v="1"/>
    <n v="469861.31818165001"/>
    <n v="12698.95454545"/>
    <x v="0"/>
  </r>
  <r>
    <x v="0"/>
    <x v="4"/>
    <x v="2"/>
    <s v="CERVEZAS"/>
    <x v="0"/>
    <x v="184"/>
    <s v="UNIDADES"/>
    <n v="3567.4583333300002"/>
    <n v="18"/>
    <n v="18"/>
    <n v="0"/>
    <n v="64214.249999940002"/>
    <n v="0"/>
    <x v="1"/>
  </r>
  <r>
    <x v="0"/>
    <x v="4"/>
    <x v="2"/>
    <s v="CERVEZAS"/>
    <x v="0"/>
    <x v="97"/>
    <s v="UNIDADES"/>
    <n v="3099.6666666699998"/>
    <n v="0"/>
    <n v="0"/>
    <n v="0"/>
    <n v="0"/>
    <n v="0"/>
    <x v="1"/>
  </r>
  <r>
    <x v="0"/>
    <x v="4"/>
    <x v="2"/>
    <s v="CERVEZAS"/>
    <x v="0"/>
    <x v="75"/>
    <s v="UNIDADES"/>
    <n v="2418.998"/>
    <n v="18"/>
    <n v="18"/>
    <n v="0"/>
    <n v="43541.964"/>
    <n v="0"/>
    <x v="1"/>
  </r>
  <r>
    <x v="1"/>
    <x v="5"/>
    <x v="2"/>
    <s v="PESCADOS Y MARISCOS"/>
    <x v="1"/>
    <x v="121"/>
    <s v="GRAMOS"/>
    <n v="51.00376412"/>
    <n v="5642.384"/>
    <n v="3400"/>
    <n v="-2242.3839670000002"/>
    <n v="173412.79800800001"/>
    <n v="-114370.02291933788"/>
    <x v="2"/>
  </r>
  <r>
    <x v="0"/>
    <x v="4"/>
    <x v="2"/>
    <s v="CERVEZAS"/>
    <x v="0"/>
    <x v="96"/>
    <s v="UNIDADES"/>
    <n v="3200"/>
    <n v="0"/>
    <n v="0"/>
    <n v="0"/>
    <n v="0"/>
    <n v="0"/>
    <x v="1"/>
  </r>
  <r>
    <x v="0"/>
    <x v="4"/>
    <x v="2"/>
    <s v="CERVEZAS"/>
    <x v="0"/>
    <x v="143"/>
    <s v="UNIDADES"/>
    <n v="3299.9991666699998"/>
    <n v="0"/>
    <n v="0"/>
    <n v="0"/>
    <n v="0"/>
    <n v="0"/>
    <x v="1"/>
  </r>
  <r>
    <x v="0"/>
    <x v="4"/>
    <x v="2"/>
    <s v="CERVEZAS"/>
    <x v="0"/>
    <x v="199"/>
    <s v="UNIDADES"/>
    <n v="3261.8333333300002"/>
    <n v="32"/>
    <n v="32"/>
    <n v="0"/>
    <n v="104378.66666656001"/>
    <n v="0"/>
    <x v="1"/>
  </r>
  <r>
    <x v="0"/>
    <x v="4"/>
    <x v="2"/>
    <s v="PESCADOS Y MARISCOS"/>
    <x v="1"/>
    <x v="57"/>
    <s v="UNIDADES"/>
    <n v="485.71428571000001"/>
    <n v="1807"/>
    <n v="1930"/>
    <n v="123"/>
    <n v="937428.57142030005"/>
    <n v="59742.857142330002"/>
    <x v="0"/>
  </r>
  <r>
    <x v="0"/>
    <x v="4"/>
    <x v="2"/>
    <s v="PROTEINAS"/>
    <x v="1"/>
    <x v="78"/>
    <s v="UNIDADES"/>
    <n v="8800"/>
    <n v="40.5"/>
    <n v="39"/>
    <n v="-1.5"/>
    <n v="343200"/>
    <n v="-13200"/>
    <x v="2"/>
  </r>
  <r>
    <x v="1"/>
    <x v="5"/>
    <x v="2"/>
    <s v="PROTEINAS"/>
    <x v="1"/>
    <x v="78"/>
    <s v="UNIDADES"/>
    <n v="8800"/>
    <n v="54"/>
    <n v="55"/>
    <n v="1"/>
    <n v="484000"/>
    <n v="8800"/>
    <x v="0"/>
  </r>
  <r>
    <x v="0"/>
    <x v="4"/>
    <x v="2"/>
    <s v="PESCADOS Y MARISCOS"/>
    <x v="1"/>
    <x v="121"/>
    <s v="GRAMOS"/>
    <n v="50.691016779999998"/>
    <n v="17466.668399999999"/>
    <n v="13304"/>
    <n v="-4162.6684230000001"/>
    <n v="674393.28724112001"/>
    <n v="-211009.89487986913"/>
    <x v="2"/>
  </r>
  <r>
    <x v="0"/>
    <x v="4"/>
    <x v="2"/>
    <s v="PROTEINAS"/>
    <x v="1"/>
    <x v="125"/>
    <s v="UNIDADES"/>
    <n v="3120"/>
    <n v="6"/>
    <n v="7"/>
    <n v="1"/>
    <n v="21840"/>
    <n v="3120"/>
    <x v="0"/>
  </r>
  <r>
    <x v="0"/>
    <x v="4"/>
    <x v="2"/>
    <s v="VINOS"/>
    <x v="0"/>
    <x v="232"/>
    <s v="COPA"/>
    <n v="0"/>
    <n v="0"/>
    <n v="0"/>
    <n v="0"/>
    <n v="0"/>
    <n v="0"/>
    <x v="1"/>
  </r>
  <r>
    <x v="0"/>
    <x v="4"/>
    <x v="2"/>
    <s v="VINOS"/>
    <x v="0"/>
    <x v="233"/>
    <s v="UNIDADES"/>
    <n v="125043"/>
    <n v="2"/>
    <n v="2"/>
    <n v="0"/>
    <n v="250086"/>
    <n v="0"/>
    <x v="1"/>
  </r>
  <r>
    <x v="0"/>
    <x v="4"/>
    <x v="2"/>
    <s v="VINOS"/>
    <x v="0"/>
    <x v="234"/>
    <s v="UNIDADES"/>
    <n v="22425"/>
    <n v="1"/>
    <n v="1"/>
    <n v="0"/>
    <n v="22425"/>
    <n v="0"/>
    <x v="1"/>
  </r>
  <r>
    <x v="0"/>
    <x v="4"/>
    <x v="2"/>
    <s v="VINOS"/>
    <x v="0"/>
    <x v="235"/>
    <s v="UNIDADES"/>
    <n v="71318"/>
    <n v="2"/>
    <n v="2"/>
    <n v="0"/>
    <n v="142636"/>
    <n v="0"/>
    <x v="1"/>
  </r>
  <r>
    <x v="0"/>
    <x v="4"/>
    <x v="2"/>
    <s v="VINOS"/>
    <x v="0"/>
    <x v="6"/>
    <s v="ONZA"/>
    <n v="2903.3333333300002"/>
    <n v="0"/>
    <n v="0"/>
    <n v="0"/>
    <n v="0"/>
    <n v="0"/>
    <x v="1"/>
  </r>
  <r>
    <x v="0"/>
    <x v="4"/>
    <x v="2"/>
    <s v="VINOS"/>
    <x v="0"/>
    <x v="98"/>
    <s v="UNIDADES"/>
    <n v="108834"/>
    <n v="2"/>
    <n v="2"/>
    <n v="0"/>
    <n v="217668"/>
    <n v="0"/>
    <x v="1"/>
  </r>
  <r>
    <x v="0"/>
    <x v="4"/>
    <x v="2"/>
    <s v="VINOS"/>
    <x v="0"/>
    <x v="236"/>
    <s v="UNIDADES"/>
    <n v="27250"/>
    <n v="1"/>
    <n v="1"/>
    <n v="0"/>
    <n v="27250"/>
    <n v="0"/>
    <x v="1"/>
  </r>
  <r>
    <x v="0"/>
    <x v="4"/>
    <x v="2"/>
    <s v="VINOS"/>
    <x v="0"/>
    <x v="237"/>
    <s v="UNIDADES"/>
    <n v="87241.5"/>
    <n v="2"/>
    <n v="2"/>
    <n v="0"/>
    <n v="174483"/>
    <n v="0"/>
    <x v="1"/>
  </r>
  <r>
    <x v="0"/>
    <x v="4"/>
    <x v="2"/>
    <s v="VINOS"/>
    <x v="0"/>
    <x v="238"/>
    <s v="UNIDADES"/>
    <n v="63897.666666669997"/>
    <n v="2"/>
    <n v="2"/>
    <n v="0"/>
    <n v="127795.33333333999"/>
    <n v="0"/>
    <x v="1"/>
  </r>
  <r>
    <x v="0"/>
    <x v="4"/>
    <x v="2"/>
    <s v="VINOS"/>
    <x v="0"/>
    <x v="239"/>
    <s v="UNIDADES"/>
    <n v="72880"/>
    <n v="3"/>
    <n v="3"/>
    <n v="0"/>
    <n v="218640"/>
    <n v="0"/>
    <x v="1"/>
  </r>
  <r>
    <x v="0"/>
    <x v="4"/>
    <x v="2"/>
    <s v="VINOS"/>
    <x v="0"/>
    <x v="240"/>
    <s v="UNIDADES"/>
    <n v="25109.5"/>
    <n v="1"/>
    <n v="1"/>
    <n v="0"/>
    <n v="25109.5"/>
    <n v="0"/>
    <x v="1"/>
  </r>
  <r>
    <x v="1"/>
    <x v="5"/>
    <x v="2"/>
    <s v="PESCADOS Y MARISCOS"/>
    <x v="1"/>
    <x v="139"/>
    <s v="GRAMOS"/>
    <n v="39"/>
    <n v="15733.3333"/>
    <n v="15000"/>
    <n v="-733.33325300000001"/>
    <n v="585000"/>
    <n v="-28599.996867000002"/>
    <x v="2"/>
  </r>
  <r>
    <x v="1"/>
    <x v="5"/>
    <x v="2"/>
    <s v="LICORES"/>
    <x v="0"/>
    <x v="4"/>
    <s v="ONZA"/>
    <n v="9648.9583333299997"/>
    <n v="20.02"/>
    <n v="18"/>
    <n v="-2.02"/>
    <n v="173681.24999993999"/>
    <n v="-19490.895833326598"/>
    <x v="2"/>
  </r>
  <r>
    <x v="0"/>
    <x v="4"/>
    <x v="2"/>
    <s v="LICORES"/>
    <x v="0"/>
    <x v="161"/>
    <s v="ONZA"/>
    <n v="4320.2272727299996"/>
    <n v="21.84"/>
    <n v="17"/>
    <n v="-4.84"/>
    <n v="73443.863636409995"/>
    <n v="-20909.900000013196"/>
    <x v="2"/>
  </r>
  <r>
    <x v="0"/>
    <x v="4"/>
    <x v="2"/>
    <s v="VINOS"/>
    <x v="0"/>
    <x v="105"/>
    <s v="UNIDADES"/>
    <n v="63373"/>
    <n v="3"/>
    <n v="3"/>
    <n v="0"/>
    <n v="190119"/>
    <n v="0"/>
    <x v="1"/>
  </r>
  <r>
    <x v="0"/>
    <x v="4"/>
    <x v="2"/>
    <s v="VINOS"/>
    <x v="0"/>
    <x v="241"/>
    <s v="UNIDADES"/>
    <n v="37617"/>
    <n v="5"/>
    <n v="5"/>
    <n v="0"/>
    <n v="188085"/>
    <n v="0"/>
    <x v="1"/>
  </r>
  <r>
    <x v="0"/>
    <x v="4"/>
    <x v="2"/>
    <s v="VINOS"/>
    <x v="0"/>
    <x v="107"/>
    <s v="UNIDADES"/>
    <n v="37608"/>
    <n v="3"/>
    <n v="3"/>
    <n v="0"/>
    <n v="112824"/>
    <n v="0"/>
    <x v="1"/>
  </r>
  <r>
    <x v="1"/>
    <x v="5"/>
    <x v="2"/>
    <s v="LICORES"/>
    <x v="0"/>
    <x v="161"/>
    <s v="ONZA"/>
    <n v="4724.9090909099996"/>
    <n v="13.84"/>
    <n v="15"/>
    <n v="1.1599999999999999"/>
    <n v="70873.636363649988"/>
    <n v="5480.8945454555987"/>
    <x v="0"/>
  </r>
  <r>
    <x v="0"/>
    <x v="4"/>
    <x v="2"/>
    <s v="VINOS"/>
    <x v="0"/>
    <x v="185"/>
    <s v="COPA"/>
    <n v="9853.2000000000007"/>
    <n v="20"/>
    <n v="20"/>
    <n v="0"/>
    <n v="197064"/>
    <n v="0"/>
    <x v="1"/>
  </r>
  <r>
    <x v="0"/>
    <x v="4"/>
    <x v="2"/>
    <s v="VINOS"/>
    <x v="0"/>
    <x v="109"/>
    <s v="COPA"/>
    <n v="10889.4"/>
    <n v="5"/>
    <n v="5"/>
    <n v="0"/>
    <n v="54447"/>
    <n v="0"/>
    <x v="1"/>
  </r>
  <r>
    <x v="1"/>
    <x v="5"/>
    <x v="2"/>
    <s v="LICORES"/>
    <x v="0"/>
    <x v="5"/>
    <s v="ONZA"/>
    <n v="6800.3640183199996"/>
    <n v="10.34"/>
    <n v="11"/>
    <n v="0.66"/>
    <n v="74804.004201520002"/>
    <n v="4488.2402520912001"/>
    <x v="0"/>
  </r>
  <r>
    <x v="0"/>
    <x v="4"/>
    <x v="2"/>
    <s v="GASEOSAS Y SODAS"/>
    <x v="0"/>
    <x v="137"/>
    <s v="UNIDADES"/>
    <n v="1654.1729616299999"/>
    <n v="60.02"/>
    <n v="57"/>
    <n v="-3.02"/>
    <n v="94287.858812909995"/>
    <n v="-4995.6023441225998"/>
    <x v="2"/>
  </r>
  <r>
    <x v="1"/>
    <x v="5"/>
    <x v="2"/>
    <s v="GASEOSAS Y SODAS"/>
    <x v="0"/>
    <x v="137"/>
    <s v="UNIDADES"/>
    <n v="1654.1429856300001"/>
    <n v="72.09"/>
    <n v="71"/>
    <n v="-1.0900000000000001"/>
    <n v="117444.15197973001"/>
    <n v="-1803.0158543367002"/>
    <x v="2"/>
  </r>
  <r>
    <x v="0"/>
    <x v="4"/>
    <x v="2"/>
    <s v="GASEOSAS Y SODAS"/>
    <x v="0"/>
    <x v="18"/>
    <s v="UNIDADES"/>
    <n v="5133.7083333299997"/>
    <n v="61.12"/>
    <n v="51"/>
    <n v="-10.119999999999999"/>
    <n v="261819.12499982998"/>
    <n v="-51953.128333299595"/>
    <x v="2"/>
  </r>
  <r>
    <x v="1"/>
    <x v="5"/>
    <x v="2"/>
    <s v="GASEOSAS Y SODAS"/>
    <x v="0"/>
    <x v="18"/>
    <s v="UNIDADES"/>
    <n v="5133.6666666700003"/>
    <n v="40.549999999999997"/>
    <n v="39"/>
    <n v="-1.55"/>
    <n v="200213.00000013001"/>
    <n v="-7957.1833333385002"/>
    <x v="2"/>
  </r>
  <r>
    <x v="0"/>
    <x v="4"/>
    <x v="2"/>
    <s v="VINOS"/>
    <x v="0"/>
    <x v="242"/>
    <s v="COPA"/>
    <n v="10715.3"/>
    <n v="24"/>
    <n v="24"/>
    <n v="0"/>
    <n v="257167.19999999998"/>
    <n v="0"/>
    <x v="1"/>
  </r>
  <r>
    <x v="0"/>
    <x v="4"/>
    <x v="2"/>
    <s v="LICORES"/>
    <x v="0"/>
    <x v="17"/>
    <s v="ONZA"/>
    <n v="3359.40909091"/>
    <n v="28.02"/>
    <n v="30"/>
    <n v="1.98"/>
    <n v="100782.27272730001"/>
    <n v="6651.6300000018"/>
    <x v="0"/>
  </r>
  <r>
    <x v="1"/>
    <x v="5"/>
    <x v="2"/>
    <s v="LICORES"/>
    <x v="0"/>
    <x v="17"/>
    <s v="ONZA"/>
    <n v="3359.40909091"/>
    <n v="29.34"/>
    <n v="30"/>
    <n v="0.66"/>
    <n v="100782.27272730001"/>
    <n v="2217.2100000006003"/>
    <x v="0"/>
  </r>
  <r>
    <x v="0"/>
    <x v="4"/>
    <x v="2"/>
    <s v="GASEOSAS Y SODAS"/>
    <x v="0"/>
    <x v="47"/>
    <s v="UNIDADES"/>
    <n v="5132.5"/>
    <n v="7.5"/>
    <n v="16"/>
    <n v="8.5"/>
    <n v="82120"/>
    <n v="43626.25"/>
    <x v="0"/>
  </r>
  <r>
    <x v="1"/>
    <x v="5"/>
    <x v="2"/>
    <s v="GASEOSAS Y SODAS"/>
    <x v="0"/>
    <x v="47"/>
    <s v="UNIDADES"/>
    <n v="5132.5"/>
    <n v="14.5"/>
    <n v="15"/>
    <n v="0.5"/>
    <n v="76987.5"/>
    <n v="2566.25"/>
    <x v="0"/>
  </r>
  <r>
    <x v="0"/>
    <x v="4"/>
    <x v="2"/>
    <s v="VINOS"/>
    <x v="0"/>
    <x v="116"/>
    <s v="UNIDADES"/>
    <n v="48500"/>
    <n v="0"/>
    <n v="0"/>
    <n v="0"/>
    <n v="0"/>
    <n v="0"/>
    <x v="1"/>
  </r>
  <r>
    <x v="0"/>
    <x v="4"/>
    <x v="2"/>
    <s v="VINOS"/>
    <x v="0"/>
    <x v="243"/>
    <s v="UNIDADES"/>
    <n v="83261"/>
    <n v="1"/>
    <n v="1"/>
    <n v="0"/>
    <n v="83261"/>
    <n v="0"/>
    <x v="1"/>
  </r>
  <r>
    <x v="0"/>
    <x v="4"/>
    <x v="2"/>
    <s v="VINOS"/>
    <x v="0"/>
    <x v="244"/>
    <s v="UNIDADES"/>
    <n v="79309.523809499995"/>
    <n v="1"/>
    <n v="1"/>
    <n v="0"/>
    <n v="79309.523809499995"/>
    <n v="0"/>
    <x v="1"/>
  </r>
  <r>
    <x v="0"/>
    <x v="4"/>
    <x v="2"/>
    <s v="VINOS"/>
    <x v="0"/>
    <x v="245"/>
    <s v="UNIDADES"/>
    <n v="79652"/>
    <n v="1"/>
    <n v="1"/>
    <n v="0"/>
    <n v="79652"/>
    <n v="0"/>
    <x v="1"/>
  </r>
  <r>
    <x v="0"/>
    <x v="4"/>
    <x v="2"/>
    <s v="LICORES"/>
    <x v="0"/>
    <x v="24"/>
    <s v="ONZA"/>
    <n v="1993.59090909"/>
    <n v="30.68"/>
    <n v="52"/>
    <n v="21.32"/>
    <n v="103666.72727268"/>
    <n v="42503.358181798802"/>
    <x v="0"/>
  </r>
  <r>
    <x v="1"/>
    <x v="5"/>
    <x v="2"/>
    <s v="PROTEINAS"/>
    <x v="1"/>
    <x v="125"/>
    <s v="UNIDADES"/>
    <n v="3250"/>
    <n v="27"/>
    <n v="28"/>
    <n v="1"/>
    <n v="91000"/>
    <n v="3250"/>
    <x v="0"/>
  </r>
  <r>
    <x v="0"/>
    <x v="4"/>
    <x v="2"/>
    <s v="PROTEINAS"/>
    <x v="1"/>
    <x v="131"/>
    <s v="UNIDADES"/>
    <n v="4680"/>
    <n v="27.5"/>
    <n v="24.5"/>
    <n v="-3"/>
    <n v="114660"/>
    <n v="-14040"/>
    <x v="2"/>
  </r>
  <r>
    <x v="0"/>
    <x v="4"/>
    <x v="2"/>
    <s v="PESCADOS Y MARISCOS"/>
    <x v="1"/>
    <x v="84"/>
    <s v="UNIDADES"/>
    <n v="17250"/>
    <n v="17"/>
    <n v="17"/>
    <n v="0"/>
    <n v="293250"/>
    <n v="0"/>
    <x v="1"/>
  </r>
  <r>
    <x v="1"/>
    <x v="5"/>
    <x v="2"/>
    <s v="PROTEINAS"/>
    <x v="1"/>
    <x v="131"/>
    <s v="UNIDADES"/>
    <n v="4850"/>
    <n v="58"/>
    <n v="56"/>
    <n v="-2"/>
    <n v="271600"/>
    <n v="-9700"/>
    <x v="2"/>
  </r>
  <r>
    <x v="0"/>
    <x v="4"/>
    <x v="2"/>
    <s v="PESCADOS Y MARISCOS"/>
    <x v="1"/>
    <x v="139"/>
    <s v="GRAMOS"/>
    <n v="39"/>
    <n v="32148.444299999999"/>
    <n v="14348"/>
    <n v="-7800"/>
    <n v="559572"/>
    <n v="-304200"/>
    <x v="2"/>
  </r>
  <r>
    <x v="0"/>
    <x v="4"/>
    <x v="2"/>
    <s v="PESCADOS Y MARISCOS"/>
    <x v="1"/>
    <x v="186"/>
    <s v="UNIDADES"/>
    <n v="1500"/>
    <n v="130"/>
    <n v="99"/>
    <n v="-31"/>
    <n v="148500"/>
    <n v="-46500"/>
    <x v="2"/>
  </r>
  <r>
    <x v="0"/>
    <x v="4"/>
    <x v="2"/>
    <s v="PESCADOS Y MARISCOS"/>
    <x v="1"/>
    <x v="190"/>
    <s v="UNIDADES"/>
    <n v="415.976"/>
    <n v="294"/>
    <n v="452"/>
    <n v="158"/>
    <n v="188021.152"/>
    <n v="65724.207999999999"/>
    <x v="0"/>
  </r>
  <r>
    <x v="0"/>
    <x v="4"/>
    <x v="2"/>
    <s v="PESCADOS Y MARISCOS"/>
    <x v="1"/>
    <x v="192"/>
    <s v="UNIDADES"/>
    <n v="0"/>
    <n v="30"/>
    <n v="15"/>
    <n v="-15"/>
    <n v="0"/>
    <n v="0"/>
    <x v="2"/>
  </r>
  <r>
    <x v="0"/>
    <x v="4"/>
    <x v="2"/>
    <s v="PESCADOS Y MARISCOS"/>
    <x v="1"/>
    <x v="246"/>
    <s v="GRAMOS"/>
    <n v="58.31"/>
    <n v="0"/>
    <n v="0"/>
    <n v="0"/>
    <n v="0"/>
    <n v="0"/>
    <x v="1"/>
  </r>
  <r>
    <x v="0"/>
    <x v="4"/>
    <x v="2"/>
    <s v="PROTEINAS"/>
    <x v="1"/>
    <x v="208"/>
    <s v="GRAMOS"/>
    <n v="22"/>
    <n v="3166.6667000000002"/>
    <n v="0"/>
    <n v="-3166.6666700000001"/>
    <n v="0"/>
    <n v="-69666.666740000001"/>
    <x v="2"/>
  </r>
  <r>
    <x v="1"/>
    <x v="5"/>
    <x v="2"/>
    <s v="PROTEINAS"/>
    <x v="1"/>
    <x v="208"/>
    <s v="GRAMOS"/>
    <n v="22"/>
    <n v="-12020"/>
    <n v="9300"/>
    <n v="21320"/>
    <n v="204600"/>
    <n v="469040"/>
    <x v="0"/>
  </r>
  <r>
    <x v="0"/>
    <x v="4"/>
    <x v="2"/>
    <s v="PESCADOS Y MARISCOS"/>
    <x v="1"/>
    <x v="247"/>
    <s v="GRAMOS"/>
    <n v="60"/>
    <n v="4181.8888999999999"/>
    <n v="2534"/>
    <n v="-1647.8888690000001"/>
    <n v="152040"/>
    <n v="-98873.332140000013"/>
    <x v="2"/>
  </r>
  <r>
    <x v="0"/>
    <x v="4"/>
    <x v="2"/>
    <s v="PROTEINAS"/>
    <x v="1"/>
    <x v="207"/>
    <s v="UNIDADES"/>
    <n v="12802.912621359999"/>
    <n v="130.5"/>
    <n v="116.5"/>
    <n v="-14"/>
    <n v="1491539.3203884398"/>
    <n v="-179240.77669904"/>
    <x v="2"/>
  </r>
  <r>
    <x v="1"/>
    <x v="5"/>
    <x v="2"/>
    <s v="PROTEINAS"/>
    <x v="1"/>
    <x v="207"/>
    <s v="UNIDADES"/>
    <n v="12764.705882349999"/>
    <n v="95.5"/>
    <n v="87.5"/>
    <n v="-8"/>
    <n v="1116911.7647056249"/>
    <n v="-102117.64705879999"/>
    <x v="2"/>
  </r>
  <r>
    <x v="0"/>
    <x v="4"/>
    <x v="2"/>
    <s v="SUB RECETAS"/>
    <x v="1"/>
    <x v="248"/>
    <s v="UNIDADES"/>
    <n v="2168.6496757"/>
    <n v="9"/>
    <n v="9"/>
    <n v="0"/>
    <n v="19517.847081299999"/>
    <n v="0"/>
    <x v="1"/>
  </r>
  <r>
    <x v="0"/>
    <x v="4"/>
    <x v="2"/>
    <s v="SUB RECETAS"/>
    <x v="1"/>
    <x v="249"/>
    <s v="GRAMOS"/>
    <n v="66.842553050000006"/>
    <n v="1178"/>
    <n v="1294"/>
    <n v="116"/>
    <n v="86494.263646700012"/>
    <n v="7753.7361538000005"/>
    <x v="0"/>
  </r>
  <r>
    <x v="1"/>
    <x v="5"/>
    <x v="2"/>
    <s v="SUB RECETAS"/>
    <x v="1"/>
    <x v="249"/>
    <s v="GRAMOS"/>
    <n v="78.540000000000006"/>
    <n v="-252"/>
    <n v="2000"/>
    <n v="2252"/>
    <n v="157080"/>
    <n v="176872.08000000002"/>
    <x v="0"/>
  </r>
  <r>
    <x v="0"/>
    <x v="4"/>
    <x v="2"/>
    <s v="SUB RECETAS"/>
    <x v="1"/>
    <x v="250"/>
    <s v="UNIDADES"/>
    <n v="4372.9455555000004"/>
    <n v="16"/>
    <n v="16"/>
    <n v="0"/>
    <n v="69967.128888000007"/>
    <n v="0"/>
    <x v="1"/>
  </r>
  <r>
    <x v="0"/>
    <x v="4"/>
    <x v="2"/>
    <s v="SUB RECETAS"/>
    <x v="1"/>
    <x v="251"/>
    <s v="UNIDADES"/>
    <n v="2106.3735325100001"/>
    <n v="12"/>
    <n v="12"/>
    <n v="0"/>
    <n v="25276.48239012"/>
    <n v="0"/>
    <x v="1"/>
  </r>
  <r>
    <x v="0"/>
    <x v="4"/>
    <x v="2"/>
    <s v="SUB RECETAS"/>
    <x v="1"/>
    <x v="252"/>
    <s v="GRAMOS"/>
    <n v="32.376289980000003"/>
    <n v="172"/>
    <n v="730"/>
    <n v="558"/>
    <n v="23634.691685400001"/>
    <n v="18065.96980884"/>
    <x v="0"/>
  </r>
  <r>
    <x v="1"/>
    <x v="5"/>
    <x v="2"/>
    <s v="SUB RECETAS"/>
    <x v="1"/>
    <x v="252"/>
    <s v="GRAMOS"/>
    <n v="38.537011829999997"/>
    <n v="230"/>
    <n v="2"/>
    <n v="-228"/>
    <n v="77.074023659999995"/>
    <n v="-8786.4386972399989"/>
    <x v="2"/>
  </r>
  <r>
    <x v="0"/>
    <x v="4"/>
    <x v="2"/>
    <s v="SUB RECETAS"/>
    <x v="1"/>
    <x v="253"/>
    <s v="UNIDADES"/>
    <n v="16272.235458220001"/>
    <n v="16"/>
    <n v="15"/>
    <n v="-1"/>
    <n v="244083.5318733"/>
    <n v="-16272.235458220001"/>
    <x v="2"/>
  </r>
  <r>
    <x v="0"/>
    <x v="4"/>
    <x v="2"/>
    <s v="SUB RECETAS"/>
    <x v="1"/>
    <x v="254"/>
    <s v="UNIDADES"/>
    <n v="776.49056369000004"/>
    <n v="-24"/>
    <n v="54"/>
    <n v="78"/>
    <n v="41930.49043926"/>
    <n v="60566.263967820007"/>
    <x v="0"/>
  </r>
  <r>
    <x v="0"/>
    <x v="4"/>
    <x v="2"/>
    <s v="SUB-RECETAS CP"/>
    <x v="1"/>
    <x v="255"/>
    <s v="UNIDADES"/>
    <n v="9211.16803282"/>
    <n v="7"/>
    <n v="7"/>
    <n v="0"/>
    <n v="64478.176229739998"/>
    <n v="0"/>
    <x v="1"/>
  </r>
  <r>
    <x v="1"/>
    <x v="5"/>
    <x v="2"/>
    <s v="SUB RECETAS"/>
    <x v="1"/>
    <x v="254"/>
    <s v="UNIDADES"/>
    <n v="656.61771185999999"/>
    <n v="38"/>
    <n v="34"/>
    <n v="-4"/>
    <n v="22325.002203240001"/>
    <n v="-2626.4708474399999"/>
    <x v="2"/>
  </r>
  <r>
    <x v="0"/>
    <x v="4"/>
    <x v="2"/>
    <s v="SUB-RECETAS CP"/>
    <x v="1"/>
    <x v="256"/>
    <s v="UNIDADES"/>
    <n v="2050.0821666000002"/>
    <n v="-27"/>
    <n v="43"/>
    <n v="70"/>
    <n v="88153.533163800006"/>
    <n v="143505.75166200002"/>
    <x v="0"/>
  </r>
  <r>
    <x v="1"/>
    <x v="5"/>
    <x v="2"/>
    <s v="SUB-RECETAS CP"/>
    <x v="1"/>
    <x v="256"/>
    <s v="UNIDADES"/>
    <n v="2015.4481796"/>
    <n v="55"/>
    <n v="57"/>
    <n v="2"/>
    <n v="114880.5462372"/>
    <n v="4030.8963592"/>
    <x v="0"/>
  </r>
  <r>
    <x v="1"/>
    <x v="5"/>
    <x v="2"/>
    <s v="SUB RECETAS"/>
    <x v="1"/>
    <x v="248"/>
    <s v="UNIDADES"/>
    <n v="2224.8677035000001"/>
    <n v="13"/>
    <n v="11"/>
    <n v="-2"/>
    <n v="24473.544738500001"/>
    <n v="-4449.7354070000001"/>
    <x v="2"/>
  </r>
  <r>
    <x v="0"/>
    <x v="4"/>
    <x v="2"/>
    <s v="SUB RECETAS"/>
    <x v="1"/>
    <x v="257"/>
    <s v="UNIDADES"/>
    <n v="1521.0488106"/>
    <n v="-9"/>
    <n v="66"/>
    <n v="75"/>
    <n v="100389.2214996"/>
    <n v="114078.660795"/>
    <x v="0"/>
  </r>
  <r>
    <x v="0"/>
    <x v="4"/>
    <x v="2"/>
    <s v="SUB-RECETAS CP"/>
    <x v="1"/>
    <x v="258"/>
    <s v="UNIDADES"/>
    <n v="7663.94653397"/>
    <n v="69"/>
    <n v="69"/>
    <n v="0"/>
    <n v="528812.31084393"/>
    <n v="0"/>
    <x v="1"/>
  </r>
  <r>
    <x v="1"/>
    <x v="5"/>
    <x v="2"/>
    <s v="LICORES"/>
    <x v="0"/>
    <x v="24"/>
    <s v="ONZA"/>
    <n v="1993.59090909"/>
    <n v="34.68"/>
    <n v="44"/>
    <n v="9.32"/>
    <n v="87717.999999959997"/>
    <n v="18580.2672727188"/>
    <x v="0"/>
  </r>
  <r>
    <x v="1"/>
    <x v="5"/>
    <x v="2"/>
    <s v="PESCADOS Y MARISCOS"/>
    <x v="1"/>
    <x v="186"/>
    <s v="UNIDADES"/>
    <n v="1300"/>
    <n v="96"/>
    <n v="155"/>
    <n v="59"/>
    <n v="201500"/>
    <n v="76700"/>
    <x v="0"/>
  </r>
  <r>
    <x v="0"/>
    <x v="4"/>
    <x v="2"/>
    <s v="SUB-RECETAS BAR"/>
    <x v="0"/>
    <x v="259"/>
    <s v="ONZA"/>
    <n v="3055.80310022"/>
    <n v="41"/>
    <n v="41"/>
    <n v="0"/>
    <n v="125287.92710902001"/>
    <n v="0"/>
    <x v="1"/>
  </r>
  <r>
    <x v="0"/>
    <x v="4"/>
    <x v="2"/>
    <s v="SUB-RECETAS BAR"/>
    <x v="0"/>
    <x v="260"/>
    <s v="ONZA"/>
    <n v="8239.9012388899991"/>
    <n v="68"/>
    <n v="68"/>
    <n v="0"/>
    <n v="560313.28424451989"/>
    <n v="0"/>
    <x v="1"/>
  </r>
  <r>
    <x v="0"/>
    <x v="4"/>
    <x v="2"/>
    <s v="SUB-RECETAS BAR"/>
    <x v="0"/>
    <x v="261"/>
    <s v="ONZA"/>
    <n v="4187.4239350999997"/>
    <n v="42"/>
    <n v="42"/>
    <n v="0"/>
    <n v="175871.80527419999"/>
    <n v="0"/>
    <x v="1"/>
  </r>
  <r>
    <x v="0"/>
    <x v="4"/>
    <x v="2"/>
    <s v="LICORES"/>
    <x v="0"/>
    <x v="16"/>
    <s v="ONZA"/>
    <n v="6003.25"/>
    <n v="27.34"/>
    <n v="26"/>
    <n v="-1.34"/>
    <n v="156084.5"/>
    <n v="-8044.3550000000005"/>
    <x v="2"/>
  </r>
  <r>
    <x v="1"/>
    <x v="5"/>
    <x v="2"/>
    <s v="LICORES"/>
    <x v="0"/>
    <x v="16"/>
    <s v="ONZA"/>
    <n v="6003.25"/>
    <n v="24.68"/>
    <n v="26"/>
    <n v="1.32"/>
    <n v="156084.5"/>
    <n v="7924.29"/>
    <x v="0"/>
  </r>
  <r>
    <x v="0"/>
    <x v="4"/>
    <x v="2"/>
    <s v="AGUA Y TE"/>
    <x v="0"/>
    <x v="144"/>
    <s v="UNIDADES"/>
    <n v="7330"/>
    <n v="68"/>
    <n v="68"/>
    <n v="0"/>
    <n v="498440"/>
    <n v="0"/>
    <x v="1"/>
  </r>
  <r>
    <x v="0"/>
    <x v="4"/>
    <x v="2"/>
    <s v="AGUA Y TE"/>
    <x v="0"/>
    <x v="145"/>
    <s v="UNIDADES"/>
    <n v="7857"/>
    <n v="58"/>
    <n v="58"/>
    <n v="0"/>
    <n v="455706"/>
    <n v="0"/>
    <x v="1"/>
  </r>
  <r>
    <x v="0"/>
    <x v="4"/>
    <x v="2"/>
    <s v="AGUA Y TE"/>
    <x v="0"/>
    <x v="29"/>
    <s v="UNIDADES"/>
    <n v="1234.3916666699999"/>
    <n v="99"/>
    <n v="98"/>
    <n v="-1"/>
    <n v="120970.38333365999"/>
    <n v="-1234.3916666699999"/>
    <x v="2"/>
  </r>
  <r>
    <x v="0"/>
    <x v="4"/>
    <x v="2"/>
    <s v="AGUA Y TE"/>
    <x v="0"/>
    <x v="158"/>
    <s v="UNIDADES"/>
    <n v="1654.21666667"/>
    <n v="136"/>
    <n v="132"/>
    <n v="-4"/>
    <n v="218356.60000044"/>
    <n v="-6616.86666668"/>
    <x v="2"/>
  </r>
  <r>
    <x v="0"/>
    <x v="4"/>
    <x v="2"/>
    <s v="AGUA Y TE"/>
    <x v="0"/>
    <x v="148"/>
    <s v="UNIDADES"/>
    <n v="3458.3283333300001"/>
    <n v="10"/>
    <n v="10"/>
    <n v="0"/>
    <n v="34583.283333300002"/>
    <n v="0"/>
    <x v="1"/>
  </r>
  <r>
    <x v="0"/>
    <x v="4"/>
    <x v="2"/>
    <s v="AGUA Y TE"/>
    <x v="0"/>
    <x v="149"/>
    <s v="UNIDADES"/>
    <n v="3458.25"/>
    <n v="8"/>
    <n v="8"/>
    <n v="0"/>
    <n v="27666"/>
    <n v="0"/>
    <x v="1"/>
  </r>
  <r>
    <x v="0"/>
    <x v="4"/>
    <x v="2"/>
    <s v="AGUA Y TE"/>
    <x v="0"/>
    <x v="150"/>
    <s v="UNIDADES"/>
    <n v="3458.25"/>
    <n v="8"/>
    <n v="8"/>
    <n v="0"/>
    <n v="27666"/>
    <n v="0"/>
    <x v="1"/>
  </r>
  <r>
    <x v="1"/>
    <x v="5"/>
    <x v="2"/>
    <s v="VINOS"/>
    <x v="0"/>
    <x v="262"/>
    <s v="ONZA"/>
    <n v="1842.78125"/>
    <n v="33"/>
    <n v="32"/>
    <n v="-1"/>
    <n v="58969"/>
    <n v="-1842.78125"/>
    <x v="2"/>
  </r>
  <r>
    <x v="0"/>
    <x v="4"/>
    <x v="2"/>
    <s v="AGUA Y TE"/>
    <x v="0"/>
    <x v="151"/>
    <s v="UNIDADES"/>
    <n v="3458.3291316700002"/>
    <n v="8"/>
    <n v="8"/>
    <n v="0"/>
    <n v="27666.633053360001"/>
    <n v="0"/>
    <x v="1"/>
  </r>
  <r>
    <x v="0"/>
    <x v="4"/>
    <x v="2"/>
    <s v="AGUA Y TE"/>
    <x v="0"/>
    <x v="130"/>
    <s v="UNIDADES"/>
    <n v="2766.665"/>
    <n v="0"/>
    <n v="0"/>
    <n v="0"/>
    <n v="0"/>
    <n v="0"/>
    <x v="1"/>
  </r>
  <r>
    <x v="0"/>
    <x v="4"/>
    <x v="2"/>
    <s v="AGUA Y TE"/>
    <x v="0"/>
    <x v="152"/>
    <s v="UNIDADES"/>
    <n v="3458.3333333300002"/>
    <n v="10"/>
    <n v="10"/>
    <n v="0"/>
    <n v="34583.333333300005"/>
    <n v="0"/>
    <x v="1"/>
  </r>
  <r>
    <x v="0"/>
    <x v="6"/>
    <x v="3"/>
    <s v="LICORES"/>
    <x v="0"/>
    <x v="224"/>
    <s v="UNIDADES"/>
    <n v="0"/>
    <n v="2"/>
    <n v="2"/>
    <n v="0"/>
    <n v="0"/>
    <n v="0"/>
    <x v="1"/>
  </r>
  <r>
    <x v="0"/>
    <x v="6"/>
    <x v="3"/>
    <s v="LICORES"/>
    <x v="0"/>
    <x v="225"/>
    <s v="ONZA"/>
    <n v="0"/>
    <n v="0"/>
    <n v="0"/>
    <n v="0"/>
    <n v="0"/>
    <n v="0"/>
    <x v="1"/>
  </r>
  <r>
    <x v="0"/>
    <x v="6"/>
    <x v="3"/>
    <s v="LICORES"/>
    <x v="0"/>
    <x v="12"/>
    <s v="ONZA"/>
    <n v="0"/>
    <n v="0"/>
    <n v="0"/>
    <n v="0"/>
    <n v="0"/>
    <n v="0"/>
    <x v="1"/>
  </r>
  <r>
    <x v="1"/>
    <x v="7"/>
    <x v="3"/>
    <s v="LICORES"/>
    <x v="0"/>
    <x v="159"/>
    <s v="ONZA"/>
    <n v="3500"/>
    <n v="22"/>
    <n v="24"/>
    <n v="2"/>
    <n v="84000"/>
    <n v="7000"/>
    <x v="0"/>
  </r>
  <r>
    <x v="0"/>
    <x v="6"/>
    <x v="3"/>
    <s v="LICORES"/>
    <x v="0"/>
    <x v="2"/>
    <s v="ONZA"/>
    <n v="14896.95833333"/>
    <n v="9"/>
    <n v="9"/>
    <n v="0"/>
    <n v="134072.62499996999"/>
    <n v="0"/>
    <x v="1"/>
  </r>
  <r>
    <x v="0"/>
    <x v="6"/>
    <x v="3"/>
    <s v="LICORES"/>
    <x v="0"/>
    <x v="3"/>
    <s v="UNIDADES"/>
    <n v="86744"/>
    <n v="2"/>
    <n v="2"/>
    <n v="0"/>
    <n v="173488"/>
    <n v="0"/>
    <x v="1"/>
  </r>
  <r>
    <x v="0"/>
    <x v="6"/>
    <x v="3"/>
    <s v="LICORES"/>
    <x v="0"/>
    <x v="172"/>
    <s v="ONZA"/>
    <n v="6746.25"/>
    <n v="66"/>
    <n v="66"/>
    <n v="0"/>
    <n v="445252.5"/>
    <n v="0"/>
    <x v="1"/>
  </r>
  <r>
    <x v="0"/>
    <x v="6"/>
    <x v="3"/>
    <s v="AGUA Y TE"/>
    <x v="0"/>
    <x v="146"/>
    <s v="UNIDADES"/>
    <n v="1408.33333333"/>
    <n v="0"/>
    <n v="29"/>
    <n v="29"/>
    <n v="40841.666666569996"/>
    <n v="40841.666666569996"/>
    <x v="0"/>
  </r>
  <r>
    <x v="0"/>
    <x v="6"/>
    <x v="3"/>
    <s v="LICORES"/>
    <x v="0"/>
    <x v="7"/>
    <s v="ONZA"/>
    <n v="11819.5"/>
    <n v="0"/>
    <n v="0"/>
    <n v="0"/>
    <n v="0"/>
    <n v="0"/>
    <x v="1"/>
  </r>
  <r>
    <x v="1"/>
    <x v="7"/>
    <x v="3"/>
    <s v="AGUA Y TE"/>
    <x v="0"/>
    <x v="146"/>
    <s v="UNIDADES"/>
    <n v="1408.33333333"/>
    <n v="29"/>
    <n v="27"/>
    <n v="-2"/>
    <n v="38024.999999909996"/>
    <n v="-2816.6666666599999"/>
    <x v="2"/>
  </r>
  <r>
    <x v="0"/>
    <x v="6"/>
    <x v="3"/>
    <s v="LICORES"/>
    <x v="0"/>
    <x v="132"/>
    <s v="ONZA"/>
    <n v="13020.86363636"/>
    <n v="43"/>
    <n v="43"/>
    <n v="0"/>
    <n v="559897.13636348001"/>
    <n v="0"/>
    <x v="1"/>
  </r>
  <r>
    <x v="0"/>
    <x v="6"/>
    <x v="3"/>
    <s v="GASEOSAS Y SODAS"/>
    <x v="0"/>
    <x v="22"/>
    <s v="UNIDADES"/>
    <n v="4986.0833333299997"/>
    <n v="14"/>
    <n v="16"/>
    <n v="2"/>
    <n v="79777.333333279996"/>
    <n v="9972.1666666599995"/>
    <x v="0"/>
  </r>
  <r>
    <x v="1"/>
    <x v="7"/>
    <x v="3"/>
    <s v="GASEOSAS Y SODAS"/>
    <x v="0"/>
    <x v="22"/>
    <s v="UNIDADES"/>
    <n v="4986.0833333299997"/>
    <n v="13"/>
    <n v="15.5"/>
    <n v="2.5"/>
    <n v="77284.291666614998"/>
    <n v="12465.208333324999"/>
    <x v="0"/>
  </r>
  <r>
    <x v="1"/>
    <x v="7"/>
    <x v="3"/>
    <s v="LICORES"/>
    <x v="0"/>
    <x v="39"/>
    <s v="ONZA"/>
    <n v="4075.1666666699998"/>
    <n v="49"/>
    <n v="50"/>
    <n v="1"/>
    <n v="203758.33333349999"/>
    <n v="4075.1666666699998"/>
    <x v="0"/>
  </r>
  <r>
    <x v="0"/>
    <x v="6"/>
    <x v="3"/>
    <s v="LICORES"/>
    <x v="0"/>
    <x v="16"/>
    <s v="ONZA"/>
    <n v="6003.25"/>
    <n v="6"/>
    <n v="6"/>
    <n v="0"/>
    <n v="36019.5"/>
    <n v="0"/>
    <x v="1"/>
  </r>
  <r>
    <x v="0"/>
    <x v="6"/>
    <x v="3"/>
    <s v="LICORES"/>
    <x v="0"/>
    <x v="134"/>
    <s v="ONZA"/>
    <n v="8389.75"/>
    <n v="6"/>
    <n v="6"/>
    <n v="0"/>
    <n v="50338.5"/>
    <n v="0"/>
    <x v="1"/>
  </r>
  <r>
    <x v="0"/>
    <x v="6"/>
    <x v="3"/>
    <s v="LICORES"/>
    <x v="0"/>
    <x v="83"/>
    <s v="ONZA"/>
    <n v="7122.4772727299996"/>
    <n v="44"/>
    <n v="44"/>
    <n v="0"/>
    <n v="313389.00000011997"/>
    <n v="0"/>
    <x v="1"/>
  </r>
  <r>
    <x v="1"/>
    <x v="7"/>
    <x v="3"/>
    <s v="LICORES"/>
    <x v="0"/>
    <x v="56"/>
    <s v="ONZA"/>
    <n v="2309.40625"/>
    <n v="3"/>
    <n v="4"/>
    <n v="1"/>
    <n v="9237.625"/>
    <n v="2309.40625"/>
    <x v="0"/>
  </r>
  <r>
    <x v="0"/>
    <x v="6"/>
    <x v="3"/>
    <s v="LICORES"/>
    <x v="0"/>
    <x v="20"/>
    <s v="ONZA"/>
    <n v="10178.90909091"/>
    <n v="43"/>
    <n v="43"/>
    <n v="0"/>
    <n v="437693.09090913"/>
    <n v="0"/>
    <x v="1"/>
  </r>
  <r>
    <x v="0"/>
    <x v="6"/>
    <x v="3"/>
    <s v="LICORES"/>
    <x v="0"/>
    <x v="226"/>
    <s v="ONZA"/>
    <n v="2309.40625"/>
    <n v="6"/>
    <n v="5"/>
    <n v="-1"/>
    <n v="11547.03125"/>
    <n v="-2309.40625"/>
    <x v="2"/>
  </r>
  <r>
    <x v="0"/>
    <x v="6"/>
    <x v="3"/>
    <s v="LICORES"/>
    <x v="0"/>
    <x v="70"/>
    <s v="ONZA"/>
    <n v="3673.5"/>
    <n v="0"/>
    <n v="0"/>
    <n v="0"/>
    <n v="0"/>
    <n v="0"/>
    <x v="1"/>
  </r>
  <r>
    <x v="1"/>
    <x v="7"/>
    <x v="3"/>
    <s v="LICORES"/>
    <x v="0"/>
    <x v="172"/>
    <s v="ONZA"/>
    <n v="6746.25"/>
    <n v="60"/>
    <n v="61"/>
    <n v="1"/>
    <n v="411521.25"/>
    <n v="6746.25"/>
    <x v="0"/>
  </r>
  <r>
    <x v="0"/>
    <x v="6"/>
    <x v="3"/>
    <s v="LICORES"/>
    <x v="0"/>
    <x v="46"/>
    <s v="ONZA"/>
    <n v="6839.875"/>
    <n v="10.34"/>
    <n v="12"/>
    <n v="1.66"/>
    <n v="82078.5"/>
    <n v="11354.192499999999"/>
    <x v="0"/>
  </r>
  <r>
    <x v="0"/>
    <x v="6"/>
    <x v="3"/>
    <s v="LICORES"/>
    <x v="0"/>
    <x v="28"/>
    <s v="ONZA"/>
    <n v="3481.25"/>
    <n v="87"/>
    <n v="87"/>
    <n v="0"/>
    <n v="302868.75"/>
    <n v="0"/>
    <x v="1"/>
  </r>
  <r>
    <x v="1"/>
    <x v="7"/>
    <x v="3"/>
    <s v="LICORES"/>
    <x v="0"/>
    <x v="46"/>
    <s v="ONZA"/>
    <n v="6839.9166666700003"/>
    <n v="-2"/>
    <n v="0"/>
    <n v="2"/>
    <n v="0"/>
    <n v="13679.833333340001"/>
    <x v="0"/>
  </r>
  <r>
    <x v="0"/>
    <x v="6"/>
    <x v="3"/>
    <s v="LICORES"/>
    <x v="0"/>
    <x v="135"/>
    <s v="ONZA"/>
    <n v="5896.9583333299997"/>
    <n v="67"/>
    <n v="67"/>
    <n v="0"/>
    <n v="395096.20833310997"/>
    <n v="0"/>
    <x v="1"/>
  </r>
  <r>
    <x v="0"/>
    <x v="6"/>
    <x v="3"/>
    <s v="LICORES"/>
    <x v="0"/>
    <x v="141"/>
    <s v="ONZA"/>
    <n v="6045.125"/>
    <n v="23"/>
    <n v="23"/>
    <n v="0"/>
    <n v="139037.875"/>
    <n v="0"/>
    <x v="1"/>
  </r>
  <r>
    <x v="0"/>
    <x v="6"/>
    <x v="3"/>
    <s v="LICORES"/>
    <x v="0"/>
    <x v="39"/>
    <s v="ONZA"/>
    <n v="4075.1666666699998"/>
    <n v="55"/>
    <n v="55"/>
    <n v="0"/>
    <n v="224134.16666684998"/>
    <n v="0"/>
    <x v="1"/>
  </r>
  <r>
    <x v="0"/>
    <x v="6"/>
    <x v="3"/>
    <s v="LICORES"/>
    <x v="0"/>
    <x v="32"/>
    <s v="ONZA"/>
    <n v="4504.1666666700003"/>
    <n v="0"/>
    <n v="0"/>
    <n v="0"/>
    <n v="0"/>
    <n v="0"/>
    <x v="1"/>
  </r>
  <r>
    <x v="0"/>
    <x v="6"/>
    <x v="3"/>
    <s v="LICORES"/>
    <x v="0"/>
    <x v="31"/>
    <s v="ONZA"/>
    <n v="2244.5833333300002"/>
    <n v="76"/>
    <n v="76"/>
    <n v="0"/>
    <n v="170588.33333308002"/>
    <n v="0"/>
    <x v="1"/>
  </r>
  <r>
    <x v="1"/>
    <x v="7"/>
    <x v="3"/>
    <s v="PESCADOS Y MARISCOS"/>
    <x v="1"/>
    <x v="57"/>
    <s v="UNIDADES"/>
    <n v="485.71428571000001"/>
    <n v="96"/>
    <n v="752"/>
    <n v="656"/>
    <n v="365257.14285392"/>
    <n v="318628.57142575999"/>
    <x v="0"/>
  </r>
  <r>
    <x v="0"/>
    <x v="6"/>
    <x v="3"/>
    <s v="LICORES"/>
    <x v="0"/>
    <x v="44"/>
    <s v="ONZA"/>
    <n v="4279.4583333299997"/>
    <n v="21"/>
    <n v="20"/>
    <n v="-1"/>
    <n v="85589.166666599995"/>
    <n v="-4279.4583333299997"/>
    <x v="2"/>
  </r>
  <r>
    <x v="0"/>
    <x v="6"/>
    <x v="3"/>
    <s v="LICORES"/>
    <x v="0"/>
    <x v="36"/>
    <s v="ONZA"/>
    <n v="1917.6875"/>
    <n v="15.02"/>
    <n v="15"/>
    <n v="-0.02"/>
    <n v="28765.3125"/>
    <n v="-38.353749999999998"/>
    <x v="2"/>
  </r>
  <r>
    <x v="0"/>
    <x v="6"/>
    <x v="3"/>
    <s v="CERVEZAS"/>
    <x v="0"/>
    <x v="75"/>
    <s v="UNIDADES"/>
    <n v="2418.998"/>
    <n v="42"/>
    <n v="27"/>
    <n v="-15"/>
    <n v="65312.946000000004"/>
    <n v="-36284.97"/>
    <x v="2"/>
  </r>
  <r>
    <x v="0"/>
    <x v="6"/>
    <x v="3"/>
    <s v="LICORES"/>
    <x v="0"/>
    <x v="159"/>
    <s v="ONZA"/>
    <n v="3500"/>
    <n v="24"/>
    <n v="24"/>
    <n v="0"/>
    <n v="84000"/>
    <n v="0"/>
    <x v="1"/>
  </r>
  <r>
    <x v="0"/>
    <x v="6"/>
    <x v="3"/>
    <s v="LICORES"/>
    <x v="0"/>
    <x v="38"/>
    <s v="UNIDADES"/>
    <n v="26517.26"/>
    <n v="1"/>
    <n v="1"/>
    <n v="0"/>
    <n v="26517.26"/>
    <n v="0"/>
    <x v="1"/>
  </r>
  <r>
    <x v="0"/>
    <x v="6"/>
    <x v="3"/>
    <s v="LICORES"/>
    <x v="0"/>
    <x v="35"/>
    <s v="ONZA"/>
    <n v="2056.3333333300002"/>
    <n v="38"/>
    <n v="38"/>
    <n v="0"/>
    <n v="78140.666666540012"/>
    <n v="0"/>
    <x v="1"/>
  </r>
  <r>
    <x v="0"/>
    <x v="6"/>
    <x v="3"/>
    <s v="LICORES"/>
    <x v="0"/>
    <x v="40"/>
    <s v="UNIDADES"/>
    <n v="22770"/>
    <n v="2"/>
    <n v="2"/>
    <n v="0"/>
    <n v="45540"/>
    <n v="0"/>
    <x v="1"/>
  </r>
  <r>
    <x v="0"/>
    <x v="6"/>
    <x v="3"/>
    <s v="LICORES"/>
    <x v="0"/>
    <x v="13"/>
    <s v="ONZA"/>
    <n v="1729.16666667"/>
    <n v="39"/>
    <n v="39"/>
    <n v="0"/>
    <n v="67437.500000130007"/>
    <n v="0"/>
    <x v="1"/>
  </r>
  <r>
    <x v="0"/>
    <x v="6"/>
    <x v="3"/>
    <s v="LICORES"/>
    <x v="0"/>
    <x v="42"/>
    <s v="UNIDADES"/>
    <n v="23367.5"/>
    <n v="2"/>
    <n v="2"/>
    <n v="0"/>
    <n v="46735"/>
    <n v="0"/>
    <x v="1"/>
  </r>
  <r>
    <x v="0"/>
    <x v="6"/>
    <x v="3"/>
    <s v="LICORES"/>
    <x v="0"/>
    <x v="41"/>
    <s v="ONZA"/>
    <n v="1658.625"/>
    <n v="24"/>
    <n v="24"/>
    <n v="0"/>
    <n v="39807"/>
    <n v="0"/>
    <x v="1"/>
  </r>
  <r>
    <x v="0"/>
    <x v="6"/>
    <x v="3"/>
    <s v="CERVEZAS"/>
    <x v="0"/>
    <x v="76"/>
    <s v="UNIDADES"/>
    <n v="2183.46666667"/>
    <n v="5"/>
    <n v="20"/>
    <n v="15"/>
    <n v="43669.333333399998"/>
    <n v="32752.00000005"/>
    <x v="0"/>
  </r>
  <r>
    <x v="0"/>
    <x v="6"/>
    <x v="3"/>
    <s v="LICORES"/>
    <x v="0"/>
    <x v="45"/>
    <s v="ONZA"/>
    <n v="5670.8333333299997"/>
    <n v="0"/>
    <n v="0"/>
    <n v="0"/>
    <n v="0"/>
    <n v="0"/>
    <x v="1"/>
  </r>
  <r>
    <x v="0"/>
    <x v="6"/>
    <x v="3"/>
    <s v="CERVEZAS"/>
    <x v="0"/>
    <x v="227"/>
    <s v="UNIDADES"/>
    <n v="4102.875"/>
    <n v="19"/>
    <n v="18"/>
    <n v="-1"/>
    <n v="73851.75"/>
    <n v="-4102.875"/>
    <x v="2"/>
  </r>
  <r>
    <x v="0"/>
    <x v="6"/>
    <x v="3"/>
    <s v="LICORES"/>
    <x v="0"/>
    <x v="48"/>
    <s v="UNIDADES"/>
    <n v="45099.74"/>
    <n v="2"/>
    <n v="2"/>
    <n v="0"/>
    <n v="90199.48"/>
    <n v="0"/>
    <x v="1"/>
  </r>
  <r>
    <x v="0"/>
    <x v="6"/>
    <x v="3"/>
    <s v="LICORES"/>
    <x v="0"/>
    <x v="203"/>
    <s v="ONZA"/>
    <n v="0"/>
    <n v="0"/>
    <n v="0"/>
    <n v="0"/>
    <n v="0"/>
    <n v="0"/>
    <x v="1"/>
  </r>
  <r>
    <x v="0"/>
    <x v="6"/>
    <x v="3"/>
    <s v="LICORES"/>
    <x v="0"/>
    <x v="110"/>
    <s v="ONZA"/>
    <n v="3171.7162499999999"/>
    <n v="37"/>
    <n v="37"/>
    <n v="0"/>
    <n v="117353.50125"/>
    <n v="0"/>
    <x v="1"/>
  </r>
  <r>
    <x v="0"/>
    <x v="6"/>
    <x v="3"/>
    <s v="LICORES"/>
    <x v="0"/>
    <x v="52"/>
    <s v="ONZA"/>
    <n v="5291.6666666700003"/>
    <n v="0"/>
    <n v="0"/>
    <n v="0"/>
    <n v="0"/>
    <n v="0"/>
    <x v="1"/>
  </r>
  <r>
    <x v="0"/>
    <x v="6"/>
    <x v="3"/>
    <s v="CERVEZAS"/>
    <x v="0"/>
    <x v="181"/>
    <s v="UNIDADES"/>
    <n v="2298.1333333299999"/>
    <n v="-613.04"/>
    <n v="0"/>
    <n v="613.04"/>
    <n v="0"/>
    <n v="1408847.658664623"/>
    <x v="0"/>
  </r>
  <r>
    <x v="0"/>
    <x v="6"/>
    <x v="3"/>
    <s v="LICORES"/>
    <x v="0"/>
    <x v="5"/>
    <s v="ONZA"/>
    <n v="6800.3640183199996"/>
    <n v="25.68"/>
    <n v="26"/>
    <n v="0.32"/>
    <n v="176809.46447631999"/>
    <n v="2176.1164858623997"/>
    <x v="0"/>
  </r>
  <r>
    <x v="1"/>
    <x v="7"/>
    <x v="3"/>
    <s v="CERVEZAS"/>
    <x v="0"/>
    <x v="228"/>
    <s v="UNIDADES"/>
    <n v="18598"/>
    <n v="-4.25"/>
    <n v="14"/>
    <n v="18.25"/>
    <n v="260372"/>
    <n v="339413.5"/>
    <x v="0"/>
  </r>
  <r>
    <x v="0"/>
    <x v="6"/>
    <x v="3"/>
    <s v="LICORES"/>
    <x v="0"/>
    <x v="263"/>
    <s v="ONZA"/>
    <n v="4721.625"/>
    <n v="41.34"/>
    <n v="41"/>
    <n v="-0.34"/>
    <n v="193586.625"/>
    <n v="-1605.3525000000002"/>
    <x v="2"/>
  </r>
  <r>
    <x v="1"/>
    <x v="7"/>
    <x v="3"/>
    <s v="CERVEZAS"/>
    <x v="0"/>
    <x v="184"/>
    <s v="UNIDADES"/>
    <n v="3179.6666666699998"/>
    <n v="29"/>
    <n v="30"/>
    <n v="1"/>
    <n v="95390.000000100001"/>
    <n v="3179.6666666699998"/>
    <x v="0"/>
  </r>
  <r>
    <x v="0"/>
    <x v="6"/>
    <x v="3"/>
    <s v="GASEOSAS Y SODAS"/>
    <x v="0"/>
    <x v="63"/>
    <s v="UNIDADES"/>
    <n v="4986.1041666700003"/>
    <n v="33.5"/>
    <n v="33"/>
    <n v="-0.5"/>
    <n v="164541.43750011001"/>
    <n v="-2493.0520833350001"/>
    <x v="2"/>
  </r>
  <r>
    <x v="0"/>
    <x v="6"/>
    <x v="3"/>
    <s v="GASEOSAS Y SODAS"/>
    <x v="0"/>
    <x v="79"/>
    <s v="UNIDADES"/>
    <n v="0"/>
    <n v="0"/>
    <n v="0"/>
    <n v="0"/>
    <n v="0"/>
    <n v="0"/>
    <x v="1"/>
  </r>
  <r>
    <x v="0"/>
    <x v="6"/>
    <x v="3"/>
    <s v="GASEOSAS Y SODAS"/>
    <x v="0"/>
    <x v="58"/>
    <s v="UNIDADES"/>
    <n v="3333.3333333300002"/>
    <n v="0"/>
    <n v="0"/>
    <n v="0"/>
    <n v="0"/>
    <n v="0"/>
    <x v="1"/>
  </r>
  <r>
    <x v="0"/>
    <x v="6"/>
    <x v="3"/>
    <s v="GASEOSAS Y SODAS"/>
    <x v="0"/>
    <x v="50"/>
    <s v="UNIDADES"/>
    <n v="0"/>
    <n v="0"/>
    <n v="0"/>
    <n v="0"/>
    <n v="0"/>
    <n v="0"/>
    <x v="1"/>
  </r>
  <r>
    <x v="0"/>
    <x v="6"/>
    <x v="3"/>
    <s v="GASEOSAS Y SODAS"/>
    <x v="0"/>
    <x v="59"/>
    <s v="UNIDADES"/>
    <n v="2323.7453703800002"/>
    <n v="99"/>
    <n v="99"/>
    <n v="0"/>
    <n v="230050.79166762001"/>
    <n v="0"/>
    <x v="1"/>
  </r>
  <r>
    <x v="0"/>
    <x v="6"/>
    <x v="3"/>
    <s v="GASEOSAS Y SODAS"/>
    <x v="0"/>
    <x v="60"/>
    <s v="UNIDADES"/>
    <n v="2119.75"/>
    <n v="94"/>
    <n v="94"/>
    <n v="0"/>
    <n v="199256.5"/>
    <n v="0"/>
    <x v="1"/>
  </r>
  <r>
    <x v="0"/>
    <x v="6"/>
    <x v="3"/>
    <s v="GASEOSAS Y SODAS"/>
    <x v="0"/>
    <x v="160"/>
    <s v="UNIDADES"/>
    <n v="4986.0833333299997"/>
    <n v="23.62"/>
    <n v="20"/>
    <n v="-3.62"/>
    <n v="99721.666666599995"/>
    <n v="-18049.621666654599"/>
    <x v="2"/>
  </r>
  <r>
    <x v="1"/>
    <x v="7"/>
    <x v="3"/>
    <s v="GASEOSAS Y SODAS"/>
    <x v="0"/>
    <x v="160"/>
    <s v="UNIDADES"/>
    <n v="4986.0833333299997"/>
    <n v="26.41"/>
    <n v="24"/>
    <n v="-2.41"/>
    <n v="119665.99999991999"/>
    <n v="-12016.4608333253"/>
    <x v="2"/>
  </r>
  <r>
    <x v="0"/>
    <x v="6"/>
    <x v="3"/>
    <s v="GASEOSAS Y SODAS"/>
    <x v="0"/>
    <x v="62"/>
    <s v="UNIDADES"/>
    <n v="1395.83333333"/>
    <n v="36"/>
    <n v="36"/>
    <n v="0"/>
    <n v="50249.999999879998"/>
    <n v="0"/>
    <x v="1"/>
  </r>
  <r>
    <x v="0"/>
    <x v="6"/>
    <x v="3"/>
    <s v="LICORES"/>
    <x v="0"/>
    <x v="8"/>
    <s v="ONZA"/>
    <n v="15769.5"/>
    <n v="47"/>
    <n v="46"/>
    <n v="-1"/>
    <n v="725397"/>
    <n v="-15769.5"/>
    <x v="2"/>
  </r>
  <r>
    <x v="1"/>
    <x v="7"/>
    <x v="3"/>
    <s v="LICORES"/>
    <x v="0"/>
    <x v="8"/>
    <s v="ONZA"/>
    <n v="17377"/>
    <n v="46"/>
    <n v="47"/>
    <n v="1"/>
    <n v="816719"/>
    <n v="17377"/>
    <x v="0"/>
  </r>
  <r>
    <x v="0"/>
    <x v="6"/>
    <x v="3"/>
    <s v="LICORES"/>
    <x v="0"/>
    <x v="10"/>
    <s v="ONZA"/>
    <n v="12698.95454545"/>
    <n v="30"/>
    <n v="29"/>
    <n v="-1"/>
    <n v="368269.68181804998"/>
    <n v="-12698.95454545"/>
    <x v="2"/>
  </r>
  <r>
    <x v="0"/>
    <x v="6"/>
    <x v="3"/>
    <s v="GASEOSAS Y SODAS"/>
    <x v="0"/>
    <x v="65"/>
    <s v="UNIDADES"/>
    <n v="4986.0833333299997"/>
    <n v="13"/>
    <n v="13"/>
    <n v="0"/>
    <n v="64819.083333289993"/>
    <n v="0"/>
    <x v="1"/>
  </r>
  <r>
    <x v="1"/>
    <x v="7"/>
    <x v="3"/>
    <s v="GASEOSAS Y SODAS"/>
    <x v="0"/>
    <x v="65"/>
    <s v="UNIDADES"/>
    <n v="4986.0833333299997"/>
    <n v="9"/>
    <n v="9.5"/>
    <n v="0.5"/>
    <n v="47367.791666634999"/>
    <n v="2493.0416666649999"/>
    <x v="0"/>
  </r>
  <r>
    <x v="0"/>
    <x v="6"/>
    <x v="3"/>
    <s v="GASEOSAS Y SODAS"/>
    <x v="0"/>
    <x v="67"/>
    <s v="UNIDADES"/>
    <n v="0"/>
    <n v="0"/>
    <n v="0"/>
    <n v="0"/>
    <n v="0"/>
    <n v="0"/>
    <x v="1"/>
  </r>
  <r>
    <x v="0"/>
    <x v="6"/>
    <x v="3"/>
    <s v="PESCADOS Y MARISCOS"/>
    <x v="1"/>
    <x v="57"/>
    <s v="UNIDADES"/>
    <n v="485.71428571000001"/>
    <n v="933"/>
    <n v="713"/>
    <n v="-220"/>
    <n v="346314.28571123001"/>
    <n v="-106857.14285620001"/>
    <x v="2"/>
  </r>
  <r>
    <x v="0"/>
    <x v="6"/>
    <x v="3"/>
    <s v="GASEOSAS Y SODAS"/>
    <x v="0"/>
    <x v="45"/>
    <s v="UNIDADES"/>
    <n v="2120.83"/>
    <n v="0"/>
    <n v="0"/>
    <n v="0"/>
    <n v="0"/>
    <n v="0"/>
    <x v="1"/>
  </r>
  <r>
    <x v="0"/>
    <x v="6"/>
    <x v="3"/>
    <s v="GASEOSAS Y SODAS"/>
    <x v="0"/>
    <x v="229"/>
    <s v="UNIDADES"/>
    <n v="6387.35"/>
    <n v="4"/>
    <n v="4"/>
    <n v="0"/>
    <n v="25549.4"/>
    <n v="0"/>
    <x v="1"/>
  </r>
  <r>
    <x v="0"/>
    <x v="6"/>
    <x v="3"/>
    <s v="GASEOSAS Y SODAS"/>
    <x v="0"/>
    <x v="71"/>
    <s v="UNIDADES"/>
    <n v="1835.41666667"/>
    <n v="0"/>
    <n v="0"/>
    <n v="0"/>
    <n v="0"/>
    <n v="0"/>
    <x v="1"/>
  </r>
  <r>
    <x v="0"/>
    <x v="6"/>
    <x v="3"/>
    <s v="CERVEZAS"/>
    <x v="0"/>
    <x v="230"/>
    <s v="UNIDADES"/>
    <n v="11200"/>
    <n v="22"/>
    <n v="22"/>
    <n v="0"/>
    <n v="246400"/>
    <n v="0"/>
    <x v="1"/>
  </r>
  <r>
    <x v="0"/>
    <x v="6"/>
    <x v="3"/>
    <s v="PROTEINAS"/>
    <x v="1"/>
    <x v="78"/>
    <s v="UNIDADES"/>
    <n v="8800"/>
    <n v="22.5"/>
    <n v="26.75"/>
    <n v="4.25"/>
    <n v="235400"/>
    <n v="37400"/>
    <x v="0"/>
  </r>
  <r>
    <x v="0"/>
    <x v="6"/>
    <x v="3"/>
    <s v="CERVEZAS"/>
    <x v="0"/>
    <x v="178"/>
    <s v="UNIDADES"/>
    <n v="3736.1666666699998"/>
    <n v="18"/>
    <n v="18"/>
    <n v="0"/>
    <n v="67251.000000059998"/>
    <n v="0"/>
    <x v="1"/>
  </r>
  <r>
    <x v="0"/>
    <x v="6"/>
    <x v="3"/>
    <s v="LICORES"/>
    <x v="0"/>
    <x v="4"/>
    <s v="ONZA"/>
    <n v="9648.9583333299997"/>
    <n v="43.02"/>
    <n v="42"/>
    <n v="-1.02"/>
    <n v="405256.24999986001"/>
    <n v="-9841.9374999966003"/>
    <x v="2"/>
  </r>
  <r>
    <x v="0"/>
    <x v="6"/>
    <x v="3"/>
    <s v="LICORES"/>
    <x v="0"/>
    <x v="161"/>
    <s v="ONZA"/>
    <n v="4320.2272727299996"/>
    <n v="18.5"/>
    <n v="23"/>
    <n v="4.5"/>
    <n v="99365.227272789998"/>
    <n v="19441.022727284999"/>
    <x v="0"/>
  </r>
  <r>
    <x v="0"/>
    <x v="6"/>
    <x v="3"/>
    <s v="CERVEZAS"/>
    <x v="0"/>
    <x v="184"/>
    <s v="UNIDADES"/>
    <n v="3567.4583333300002"/>
    <n v="49"/>
    <n v="49"/>
    <n v="0"/>
    <n v="174805.45833317001"/>
    <n v="0"/>
    <x v="1"/>
  </r>
  <r>
    <x v="0"/>
    <x v="6"/>
    <x v="3"/>
    <s v="CERVEZAS"/>
    <x v="0"/>
    <x v="97"/>
    <s v="UNIDADES"/>
    <n v="3099.6666666699998"/>
    <n v="0"/>
    <n v="0"/>
    <n v="0"/>
    <n v="0"/>
    <n v="0"/>
    <x v="1"/>
  </r>
  <r>
    <x v="1"/>
    <x v="7"/>
    <x v="3"/>
    <s v="LICORES"/>
    <x v="0"/>
    <x v="161"/>
    <s v="ONZA"/>
    <n v="4724.9090909099996"/>
    <n v="21.34"/>
    <n v="22"/>
    <n v="0.66"/>
    <n v="103948.00000001999"/>
    <n v="3118.4400000005999"/>
    <x v="0"/>
  </r>
  <r>
    <x v="0"/>
    <x v="6"/>
    <x v="3"/>
    <s v="CERVEZAS"/>
    <x v="0"/>
    <x v="77"/>
    <s v="UNIDADES"/>
    <n v="3299.9974999999999"/>
    <n v="29"/>
    <n v="29"/>
    <n v="0"/>
    <n v="95699.927500000005"/>
    <n v="0"/>
    <x v="1"/>
  </r>
  <r>
    <x v="0"/>
    <x v="6"/>
    <x v="3"/>
    <s v="CERVEZAS"/>
    <x v="0"/>
    <x v="96"/>
    <s v="UNIDADES"/>
    <n v="3200"/>
    <n v="0"/>
    <n v="0"/>
    <n v="0"/>
    <n v="0"/>
    <n v="0"/>
    <x v="1"/>
  </r>
  <r>
    <x v="0"/>
    <x v="6"/>
    <x v="3"/>
    <s v="CERVEZAS"/>
    <x v="0"/>
    <x v="143"/>
    <s v="UNIDADES"/>
    <n v="3299.9991666699998"/>
    <n v="17"/>
    <n v="17"/>
    <n v="0"/>
    <n v="56099.985833389997"/>
    <n v="0"/>
    <x v="1"/>
  </r>
  <r>
    <x v="0"/>
    <x v="6"/>
    <x v="3"/>
    <s v="CERVEZAS"/>
    <x v="0"/>
    <x v="199"/>
    <s v="UNIDADES"/>
    <n v="3261.8333333300002"/>
    <n v="0"/>
    <n v="0"/>
    <n v="0"/>
    <n v="0"/>
    <n v="0"/>
    <x v="1"/>
  </r>
  <r>
    <x v="1"/>
    <x v="7"/>
    <x v="3"/>
    <s v="PROTEINAS"/>
    <x v="1"/>
    <x v="78"/>
    <s v="UNIDADES"/>
    <n v="8800"/>
    <n v="16.75"/>
    <n v="16"/>
    <n v="-0.75"/>
    <n v="140800"/>
    <n v="-6600"/>
    <x v="2"/>
  </r>
  <r>
    <x v="1"/>
    <x v="7"/>
    <x v="3"/>
    <s v="PESCADOS Y MARISCOS"/>
    <x v="1"/>
    <x v="121"/>
    <s v="GRAMOS"/>
    <n v="51.00376412"/>
    <n v="4589.9597999999996"/>
    <n v="5482"/>
    <n v="892.04022399999997"/>
    <n v="279602.63490583998"/>
    <n v="45497.409170447958"/>
    <x v="0"/>
  </r>
  <r>
    <x v="0"/>
    <x v="6"/>
    <x v="3"/>
    <s v="PESCADOS Y MARISCOS"/>
    <x v="1"/>
    <x v="121"/>
    <s v="GRAMOS"/>
    <n v="50.691016779999998"/>
    <n v="1610.0263"/>
    <n v="5266"/>
    <n v="3655.9737009999999"/>
    <n v="266938.89436347998"/>
    <n v="185325.02422462968"/>
    <x v="0"/>
  </r>
  <r>
    <x v="0"/>
    <x v="6"/>
    <x v="3"/>
    <s v="PROTEINAS"/>
    <x v="1"/>
    <x v="125"/>
    <s v="UNIDADES"/>
    <n v="3120"/>
    <n v="33"/>
    <n v="10"/>
    <n v="-23"/>
    <n v="31200"/>
    <n v="-71760"/>
    <x v="2"/>
  </r>
  <r>
    <x v="0"/>
    <x v="6"/>
    <x v="3"/>
    <s v="PROTEINAS"/>
    <x v="1"/>
    <x v="207"/>
    <s v="UNIDADES"/>
    <n v="12802.912621359999"/>
    <n v="45.5"/>
    <n v="45.5"/>
    <n v="0"/>
    <n v="582532.52427187993"/>
    <n v="0"/>
    <x v="1"/>
  </r>
  <r>
    <x v="0"/>
    <x v="6"/>
    <x v="3"/>
    <s v="VINOS"/>
    <x v="0"/>
    <x v="97"/>
    <s v="UNIDADES"/>
    <n v="0"/>
    <n v="0"/>
    <n v="0"/>
    <n v="0"/>
    <n v="0"/>
    <n v="0"/>
    <x v="1"/>
  </r>
  <r>
    <x v="0"/>
    <x v="6"/>
    <x v="3"/>
    <s v="VINOS"/>
    <x v="0"/>
    <x v="232"/>
    <s v="COPA"/>
    <n v="0"/>
    <n v="0"/>
    <n v="0"/>
    <n v="0"/>
    <n v="0"/>
    <n v="0"/>
    <x v="1"/>
  </r>
  <r>
    <x v="0"/>
    <x v="6"/>
    <x v="3"/>
    <s v="VINOS"/>
    <x v="0"/>
    <x v="233"/>
    <s v="UNIDADES"/>
    <n v="125043"/>
    <n v="2"/>
    <n v="2"/>
    <n v="0"/>
    <n v="250086"/>
    <n v="0"/>
    <x v="1"/>
  </r>
  <r>
    <x v="0"/>
    <x v="6"/>
    <x v="3"/>
    <s v="VINOS"/>
    <x v="0"/>
    <x v="234"/>
    <s v="UNIDADES"/>
    <n v="22425"/>
    <n v="0"/>
    <n v="0"/>
    <n v="0"/>
    <n v="0"/>
    <n v="0"/>
    <x v="1"/>
  </r>
  <r>
    <x v="0"/>
    <x v="6"/>
    <x v="3"/>
    <s v="VINOS"/>
    <x v="0"/>
    <x v="235"/>
    <s v="UNIDADES"/>
    <n v="71318"/>
    <n v="5"/>
    <n v="5"/>
    <n v="0"/>
    <n v="356590"/>
    <n v="0"/>
    <x v="1"/>
  </r>
  <r>
    <x v="0"/>
    <x v="6"/>
    <x v="3"/>
    <s v="VINOS"/>
    <x v="0"/>
    <x v="6"/>
    <s v="ONZA"/>
    <n v="2903.3333333300002"/>
    <n v="0"/>
    <n v="0"/>
    <n v="0"/>
    <n v="0"/>
    <n v="0"/>
    <x v="1"/>
  </r>
  <r>
    <x v="0"/>
    <x v="6"/>
    <x v="3"/>
    <s v="VINOS"/>
    <x v="0"/>
    <x v="98"/>
    <s v="UNIDADES"/>
    <n v="108834"/>
    <n v="4"/>
    <n v="4"/>
    <n v="0"/>
    <n v="435336"/>
    <n v="0"/>
    <x v="1"/>
  </r>
  <r>
    <x v="0"/>
    <x v="6"/>
    <x v="3"/>
    <s v="VINOS"/>
    <x v="0"/>
    <x v="236"/>
    <s v="UNIDADES"/>
    <n v="27250"/>
    <n v="2"/>
    <n v="2"/>
    <n v="0"/>
    <n v="54500"/>
    <n v="0"/>
    <x v="1"/>
  </r>
  <r>
    <x v="0"/>
    <x v="6"/>
    <x v="3"/>
    <s v="VINOS"/>
    <x v="0"/>
    <x v="237"/>
    <s v="UNIDADES"/>
    <n v="87241.5"/>
    <n v="1"/>
    <n v="1"/>
    <n v="0"/>
    <n v="87241.5"/>
    <n v="0"/>
    <x v="1"/>
  </r>
  <r>
    <x v="0"/>
    <x v="6"/>
    <x v="3"/>
    <s v="VINOS"/>
    <x v="0"/>
    <x v="238"/>
    <s v="UNIDADES"/>
    <n v="63897.666666669997"/>
    <n v="6"/>
    <n v="6"/>
    <n v="0"/>
    <n v="383386.00000001997"/>
    <n v="0"/>
    <x v="1"/>
  </r>
  <r>
    <x v="0"/>
    <x v="6"/>
    <x v="3"/>
    <s v="VINOS"/>
    <x v="0"/>
    <x v="239"/>
    <s v="UNIDADES"/>
    <n v="72880"/>
    <n v="3"/>
    <n v="3"/>
    <n v="0"/>
    <n v="218640"/>
    <n v="0"/>
    <x v="1"/>
  </r>
  <r>
    <x v="0"/>
    <x v="6"/>
    <x v="3"/>
    <s v="VINOS"/>
    <x v="0"/>
    <x v="240"/>
    <s v="UNIDADES"/>
    <n v="25109.5"/>
    <n v="0"/>
    <n v="0"/>
    <n v="0"/>
    <n v="0"/>
    <n v="0"/>
    <x v="1"/>
  </r>
  <r>
    <x v="0"/>
    <x v="6"/>
    <x v="3"/>
    <s v="VINOS"/>
    <x v="0"/>
    <x v="264"/>
    <s v="COPA"/>
    <n v="15151.2"/>
    <n v="12"/>
    <n v="12"/>
    <n v="0"/>
    <n v="181814.40000000002"/>
    <n v="0"/>
    <x v="1"/>
  </r>
  <r>
    <x v="0"/>
    <x v="6"/>
    <x v="3"/>
    <s v="VINOS"/>
    <x v="0"/>
    <x v="265"/>
    <s v="UNIDADES"/>
    <n v="444869"/>
    <n v="0"/>
    <n v="0"/>
    <n v="0"/>
    <n v="0"/>
    <n v="0"/>
    <x v="1"/>
  </r>
  <r>
    <x v="0"/>
    <x v="6"/>
    <x v="3"/>
    <s v="GASEOSAS Y SODAS"/>
    <x v="0"/>
    <x v="137"/>
    <s v="UNIDADES"/>
    <n v="1654.1729616299999"/>
    <n v="61.62"/>
    <n v="52"/>
    <n v="-9.6199999999999992"/>
    <n v="86016.994004759996"/>
    <n v="-15913.143890880598"/>
    <x v="2"/>
  </r>
  <r>
    <x v="0"/>
    <x v="6"/>
    <x v="3"/>
    <s v="VINOS"/>
    <x v="0"/>
    <x v="105"/>
    <s v="UNIDADES"/>
    <n v="63373"/>
    <n v="3"/>
    <n v="3"/>
    <n v="0"/>
    <n v="190119"/>
    <n v="0"/>
    <x v="1"/>
  </r>
  <r>
    <x v="0"/>
    <x v="6"/>
    <x v="3"/>
    <s v="VINOS"/>
    <x v="0"/>
    <x v="241"/>
    <s v="UNIDADES"/>
    <n v="37617"/>
    <n v="8"/>
    <n v="8"/>
    <n v="0"/>
    <n v="300936"/>
    <n v="0"/>
    <x v="1"/>
  </r>
  <r>
    <x v="0"/>
    <x v="6"/>
    <x v="3"/>
    <s v="VINOS"/>
    <x v="0"/>
    <x v="107"/>
    <s v="UNIDADES"/>
    <n v="37608"/>
    <n v="9"/>
    <n v="9"/>
    <n v="0"/>
    <n v="338472"/>
    <n v="0"/>
    <x v="1"/>
  </r>
  <r>
    <x v="0"/>
    <x v="6"/>
    <x v="3"/>
    <s v="VINOS"/>
    <x v="0"/>
    <x v="128"/>
    <s v="COPA"/>
    <n v="9853.7999999999993"/>
    <n v="0"/>
    <n v="0"/>
    <n v="0"/>
    <n v="0"/>
    <n v="0"/>
    <x v="1"/>
  </r>
  <r>
    <x v="1"/>
    <x v="7"/>
    <x v="3"/>
    <s v="GASEOSAS Y SODAS"/>
    <x v="0"/>
    <x v="137"/>
    <s v="UNIDADES"/>
    <n v="1654.1429856300001"/>
    <n v="41.31"/>
    <n v="45"/>
    <n v="3.69"/>
    <n v="74436.434353350007"/>
    <n v="6103.7876169747005"/>
    <x v="0"/>
  </r>
  <r>
    <x v="0"/>
    <x v="6"/>
    <x v="3"/>
    <s v="VINOS"/>
    <x v="0"/>
    <x v="109"/>
    <s v="COPA"/>
    <n v="10889.4"/>
    <n v="10"/>
    <n v="10"/>
    <n v="0"/>
    <n v="108894"/>
    <n v="0"/>
    <x v="1"/>
  </r>
  <r>
    <x v="0"/>
    <x v="6"/>
    <x v="3"/>
    <s v="VINOS"/>
    <x v="0"/>
    <x v="111"/>
    <s v="UNIDADES"/>
    <n v="37612"/>
    <n v="7"/>
    <n v="7"/>
    <n v="0"/>
    <n v="263284"/>
    <n v="0"/>
    <x v="1"/>
  </r>
  <r>
    <x v="0"/>
    <x v="6"/>
    <x v="3"/>
    <s v="VINOS"/>
    <x v="0"/>
    <x v="86"/>
    <s v="COPA"/>
    <n v="4385.6000000000004"/>
    <n v="10"/>
    <n v="10"/>
    <n v="0"/>
    <n v="43856"/>
    <n v="0"/>
    <x v="1"/>
  </r>
  <r>
    <x v="0"/>
    <x v="6"/>
    <x v="3"/>
    <s v="VINOS"/>
    <x v="0"/>
    <x v="112"/>
    <s v="COPA"/>
    <n v="4363.6000000000004"/>
    <n v="17"/>
    <n v="17"/>
    <n v="0"/>
    <n v="74181.200000000012"/>
    <n v="0"/>
    <x v="1"/>
  </r>
  <r>
    <x v="0"/>
    <x v="6"/>
    <x v="3"/>
    <s v="VINOS"/>
    <x v="0"/>
    <x v="142"/>
    <s v="COPA"/>
    <n v="4005.2"/>
    <n v="12"/>
    <n v="12"/>
    <n v="0"/>
    <n v="48062.399999999994"/>
    <n v="0"/>
    <x v="1"/>
  </r>
  <r>
    <x v="0"/>
    <x v="6"/>
    <x v="3"/>
    <s v="VINOS"/>
    <x v="0"/>
    <x v="266"/>
    <s v="COPA"/>
    <n v="10705"/>
    <n v="0"/>
    <n v="0"/>
    <n v="0"/>
    <n v="0"/>
    <n v="0"/>
    <x v="1"/>
  </r>
  <r>
    <x v="0"/>
    <x v="6"/>
    <x v="3"/>
    <s v="VINOS"/>
    <x v="0"/>
    <x v="242"/>
    <s v="COPA"/>
    <n v="10715.3"/>
    <n v="10"/>
    <n v="10"/>
    <n v="0"/>
    <n v="107153"/>
    <n v="0"/>
    <x v="1"/>
  </r>
  <r>
    <x v="0"/>
    <x v="6"/>
    <x v="3"/>
    <s v="VINOS"/>
    <x v="0"/>
    <x v="267"/>
    <s v="COPA"/>
    <n v="10710.6"/>
    <n v="28"/>
    <n v="28"/>
    <n v="0"/>
    <n v="299896.8"/>
    <n v="0"/>
    <x v="1"/>
  </r>
  <r>
    <x v="0"/>
    <x v="6"/>
    <x v="3"/>
    <s v="VINOS"/>
    <x v="0"/>
    <x v="113"/>
    <s v="UNIDADES"/>
    <n v="70600.5"/>
    <n v="4"/>
    <n v="4"/>
    <n v="0"/>
    <n v="282402"/>
    <n v="0"/>
    <x v="1"/>
  </r>
  <r>
    <x v="0"/>
    <x v="6"/>
    <x v="3"/>
    <s v="VINOS"/>
    <x v="0"/>
    <x v="268"/>
    <s v="COPA"/>
    <n v="15144"/>
    <n v="12"/>
    <n v="12"/>
    <n v="0"/>
    <n v="181728"/>
    <n v="0"/>
    <x v="1"/>
  </r>
  <r>
    <x v="0"/>
    <x v="6"/>
    <x v="3"/>
    <s v="VINOS"/>
    <x v="0"/>
    <x v="114"/>
    <s v="COPA"/>
    <n v="9700"/>
    <n v="15"/>
    <n v="15"/>
    <n v="0"/>
    <n v="145500"/>
    <n v="0"/>
    <x v="1"/>
  </r>
  <r>
    <x v="0"/>
    <x v="6"/>
    <x v="3"/>
    <s v="VINOS"/>
    <x v="0"/>
    <x v="116"/>
    <s v="UNIDADES"/>
    <n v="48500"/>
    <n v="0"/>
    <n v="0"/>
    <n v="0"/>
    <n v="0"/>
    <n v="0"/>
    <x v="1"/>
  </r>
  <r>
    <x v="0"/>
    <x v="6"/>
    <x v="3"/>
    <s v="VINOS"/>
    <x v="0"/>
    <x v="243"/>
    <s v="UNIDADES"/>
    <n v="83261"/>
    <n v="1"/>
    <n v="1"/>
    <n v="0"/>
    <n v="83261"/>
    <n v="0"/>
    <x v="1"/>
  </r>
  <r>
    <x v="0"/>
    <x v="6"/>
    <x v="3"/>
    <s v="VINOS"/>
    <x v="0"/>
    <x v="244"/>
    <s v="UNIDADES"/>
    <n v="79309.523809499995"/>
    <n v="1"/>
    <n v="1"/>
    <n v="0"/>
    <n v="79309.523809499995"/>
    <n v="0"/>
    <x v="1"/>
  </r>
  <r>
    <x v="0"/>
    <x v="6"/>
    <x v="3"/>
    <s v="VINOS"/>
    <x v="0"/>
    <x v="245"/>
    <s v="UNIDADES"/>
    <n v="79652"/>
    <n v="1"/>
    <n v="1"/>
    <n v="0"/>
    <n v="79652"/>
    <n v="0"/>
    <x v="1"/>
  </r>
  <r>
    <x v="0"/>
    <x v="6"/>
    <x v="3"/>
    <s v="VINOS"/>
    <x v="0"/>
    <x v="193"/>
    <s v="ONZA"/>
    <n v="1842.78125"/>
    <n v="32"/>
    <n v="32"/>
    <n v="0"/>
    <n v="58969"/>
    <n v="0"/>
    <x v="1"/>
  </r>
  <r>
    <x v="1"/>
    <x v="7"/>
    <x v="3"/>
    <s v="PROTEINAS"/>
    <x v="1"/>
    <x v="125"/>
    <s v="UNIDADES"/>
    <n v="3250"/>
    <n v="18.5"/>
    <n v="21.5"/>
    <n v="3"/>
    <n v="69875"/>
    <n v="9750"/>
    <x v="0"/>
  </r>
  <r>
    <x v="0"/>
    <x v="6"/>
    <x v="3"/>
    <s v="PROTEINAS"/>
    <x v="1"/>
    <x v="131"/>
    <s v="UNIDADES"/>
    <n v="4680"/>
    <n v="20.5"/>
    <n v="34"/>
    <n v="13.5"/>
    <n v="159120"/>
    <n v="63180"/>
    <x v="0"/>
  </r>
  <r>
    <x v="0"/>
    <x v="6"/>
    <x v="3"/>
    <s v="PESCADOS Y MARISCOS"/>
    <x v="1"/>
    <x v="84"/>
    <s v="UNIDADES"/>
    <n v="17250"/>
    <n v="6"/>
    <n v="6"/>
    <n v="0"/>
    <n v="103500"/>
    <n v="0"/>
    <x v="1"/>
  </r>
  <r>
    <x v="1"/>
    <x v="7"/>
    <x v="3"/>
    <s v="PROTEINAS"/>
    <x v="1"/>
    <x v="131"/>
    <s v="UNIDADES"/>
    <n v="4850"/>
    <n v="38.5"/>
    <n v="35"/>
    <n v="-3.5"/>
    <n v="169750"/>
    <n v="-16975"/>
    <x v="2"/>
  </r>
  <r>
    <x v="1"/>
    <x v="7"/>
    <x v="3"/>
    <s v="PESCADOS Y MARISCOS"/>
    <x v="1"/>
    <x v="139"/>
    <s v="GRAMOS"/>
    <n v="39"/>
    <n v="13594.444299999999"/>
    <n v="9548"/>
    <n v="-4046.4443019999999"/>
    <n v="372372"/>
    <n v="-157811.32777800001"/>
    <x v="2"/>
  </r>
  <r>
    <x v="0"/>
    <x v="6"/>
    <x v="3"/>
    <s v="PESCADOS Y MARISCOS"/>
    <x v="1"/>
    <x v="139"/>
    <s v="GRAMOS"/>
    <n v="39"/>
    <n v="24035.110700000001"/>
    <n v="17150"/>
    <n v="-6885.1107089999996"/>
    <n v="668850"/>
    <n v="-268519.31765099999"/>
    <x v="2"/>
  </r>
  <r>
    <x v="0"/>
    <x v="6"/>
    <x v="3"/>
    <s v="PESCADOS Y MARISCOS"/>
    <x v="1"/>
    <x v="186"/>
    <s v="UNIDADES"/>
    <n v="1500"/>
    <n v="144"/>
    <n v="46"/>
    <n v="-98"/>
    <n v="69000"/>
    <n v="-147000"/>
    <x v="2"/>
  </r>
  <r>
    <x v="1"/>
    <x v="7"/>
    <x v="3"/>
    <s v="PESCADOS Y MARISCOS"/>
    <x v="1"/>
    <x v="186"/>
    <s v="UNIDADES"/>
    <n v="1300"/>
    <n v="80"/>
    <n v="134"/>
    <n v="54"/>
    <n v="174200"/>
    <n v="70200"/>
    <x v="0"/>
  </r>
  <r>
    <x v="0"/>
    <x v="6"/>
    <x v="3"/>
    <s v="PESCADOS Y MARISCOS"/>
    <x v="1"/>
    <x v="246"/>
    <s v="GRAMOS"/>
    <n v="58.31"/>
    <n v="0"/>
    <n v="0"/>
    <n v="0"/>
    <n v="0"/>
    <n v="0"/>
    <x v="1"/>
  </r>
  <r>
    <x v="0"/>
    <x v="6"/>
    <x v="3"/>
    <s v="PESCADOS Y MARISCOS"/>
    <x v="1"/>
    <x v="190"/>
    <s v="UNIDADES"/>
    <n v="415.976"/>
    <n v="17"/>
    <n v="123"/>
    <n v="106"/>
    <n v="51165.048000000003"/>
    <n v="44093.455999999998"/>
    <x v="0"/>
  </r>
  <r>
    <x v="1"/>
    <x v="7"/>
    <x v="3"/>
    <s v="PESCADOS Y MARISCOS"/>
    <x v="1"/>
    <x v="190"/>
    <s v="UNIDADES"/>
    <n v="415.97500000000002"/>
    <n v="-13"/>
    <n v="172"/>
    <n v="185"/>
    <n v="71547.7"/>
    <n v="76955.375"/>
    <x v="0"/>
  </r>
  <r>
    <x v="0"/>
    <x v="6"/>
    <x v="3"/>
    <s v="PESCADOS Y MARISCOS"/>
    <x v="1"/>
    <x v="192"/>
    <s v="UNIDADES"/>
    <n v="0"/>
    <n v="32"/>
    <n v="33"/>
    <n v="1"/>
    <n v="0"/>
    <n v="0"/>
    <x v="0"/>
  </r>
  <r>
    <x v="1"/>
    <x v="7"/>
    <x v="3"/>
    <s v="PESCADOS Y MARISCOS"/>
    <x v="1"/>
    <x v="192"/>
    <s v="UNIDADES"/>
    <n v="0"/>
    <n v="33"/>
    <n v="30"/>
    <n v="-3"/>
    <n v="0"/>
    <n v="0"/>
    <x v="2"/>
  </r>
  <r>
    <x v="0"/>
    <x v="6"/>
    <x v="3"/>
    <s v="PROTEINAS"/>
    <x v="1"/>
    <x v="208"/>
    <s v="GRAMOS"/>
    <n v="22"/>
    <n v="7233.3333000000002"/>
    <n v="3000"/>
    <n v="-4233.3333400000001"/>
    <n v="66000"/>
    <n v="-93133.333480000001"/>
    <x v="2"/>
  </r>
  <r>
    <x v="0"/>
    <x v="6"/>
    <x v="3"/>
    <s v="SUB RECETAS"/>
    <x v="1"/>
    <x v="248"/>
    <s v="UNIDADES"/>
    <n v="2168.6496757"/>
    <n v="12"/>
    <n v="12"/>
    <n v="0"/>
    <n v="26023.796108399998"/>
    <n v="0"/>
    <x v="1"/>
  </r>
  <r>
    <x v="1"/>
    <x v="7"/>
    <x v="3"/>
    <s v="PROTEINAS"/>
    <x v="1"/>
    <x v="208"/>
    <s v="GRAMOS"/>
    <n v="22"/>
    <n v="-3200"/>
    <n v="0"/>
    <n v="3200"/>
    <n v="0"/>
    <n v="70400"/>
    <x v="0"/>
  </r>
  <r>
    <x v="0"/>
    <x v="6"/>
    <x v="3"/>
    <s v="PESCADOS Y MARISCOS"/>
    <x v="1"/>
    <x v="247"/>
    <s v="GRAMOS"/>
    <n v="60"/>
    <n v="6321.3333000000002"/>
    <n v="5791"/>
    <n v="-530.33332600000006"/>
    <n v="347460"/>
    <n v="-31819.999560000004"/>
    <x v="2"/>
  </r>
  <r>
    <x v="1"/>
    <x v="7"/>
    <x v="3"/>
    <s v="PESCADOS Y MARISCOS"/>
    <x v="1"/>
    <x v="247"/>
    <s v="GRAMOS"/>
    <n v="54.545000000000002"/>
    <n v="5524.3333000000002"/>
    <n v="5467"/>
    <n v="-57.333316000000003"/>
    <n v="298197.51500000001"/>
    <n v="-3127.2457212200002"/>
    <x v="2"/>
  </r>
  <r>
    <x v="1"/>
    <x v="7"/>
    <x v="3"/>
    <s v="PROTEINAS"/>
    <x v="1"/>
    <x v="207"/>
    <s v="UNIDADES"/>
    <n v="12764.705882349999"/>
    <n v="19.64"/>
    <n v="38"/>
    <n v="18.36"/>
    <n v="485058.82352929999"/>
    <n v="234359.99999994598"/>
    <x v="0"/>
  </r>
  <r>
    <x v="0"/>
    <x v="6"/>
    <x v="3"/>
    <s v="SUB RECETAS"/>
    <x v="1"/>
    <x v="249"/>
    <s v="GRAMOS"/>
    <n v="66.842553050000006"/>
    <n v="-2680"/>
    <n v="0"/>
    <n v="2680"/>
    <n v="0"/>
    <n v="179138.04217400003"/>
    <x v="0"/>
  </r>
  <r>
    <x v="1"/>
    <x v="7"/>
    <x v="3"/>
    <s v="SUB RECETAS"/>
    <x v="1"/>
    <x v="249"/>
    <s v="GRAMOS"/>
    <n v="78.540000000000006"/>
    <n v="1614"/>
    <n v="742"/>
    <n v="-872"/>
    <n v="58276.680000000008"/>
    <n v="-68486.880000000005"/>
    <x v="2"/>
  </r>
  <r>
    <x v="0"/>
    <x v="6"/>
    <x v="3"/>
    <s v="SUB RECETAS"/>
    <x v="1"/>
    <x v="252"/>
    <s v="GRAMOS"/>
    <n v="32.376289980000003"/>
    <n v="8758"/>
    <n v="212"/>
    <n v="-8546"/>
    <n v="6863.773475760001"/>
    <n v="-276687.77416908002"/>
    <x v="2"/>
  </r>
  <r>
    <x v="1"/>
    <x v="7"/>
    <x v="3"/>
    <s v="SUB RECETAS"/>
    <x v="1"/>
    <x v="252"/>
    <s v="GRAMOS"/>
    <n v="38.537011829999997"/>
    <n v="2802"/>
    <n v="994"/>
    <n v="-1808"/>
    <n v="38305.789759020001"/>
    <n v="-69674.917388639995"/>
    <x v="2"/>
  </r>
  <r>
    <x v="0"/>
    <x v="6"/>
    <x v="3"/>
    <s v="SUB-RECETAS CP"/>
    <x v="1"/>
    <x v="255"/>
    <s v="UNIDADES"/>
    <n v="9211.16803282"/>
    <n v="14"/>
    <n v="19"/>
    <n v="5"/>
    <n v="175012.19262357999"/>
    <n v="46055.840164100002"/>
    <x v="0"/>
  </r>
  <r>
    <x v="1"/>
    <x v="7"/>
    <x v="3"/>
    <s v="SUB-RECETAS CP"/>
    <x v="1"/>
    <x v="255"/>
    <s v="UNIDADES"/>
    <n v="4832.9288793100004"/>
    <n v="17"/>
    <n v="12"/>
    <n v="-5"/>
    <n v="57995.146551720005"/>
    <n v="-24164.64439655"/>
    <x v="2"/>
  </r>
  <r>
    <x v="0"/>
    <x v="6"/>
    <x v="3"/>
    <s v="SUB RECETAS"/>
    <x v="1"/>
    <x v="253"/>
    <s v="UNIDADES"/>
    <n v="16272.235458220001"/>
    <n v="9"/>
    <n v="14"/>
    <n v="5"/>
    <n v="227811.29641508"/>
    <n v="81361.177291100001"/>
    <x v="0"/>
  </r>
  <r>
    <x v="1"/>
    <x v="7"/>
    <x v="3"/>
    <s v="SUB RECETAS"/>
    <x v="1"/>
    <x v="253"/>
    <s v="UNIDADES"/>
    <n v="16080.436960970001"/>
    <n v="16"/>
    <n v="11"/>
    <n v="-5"/>
    <n v="176884.80657067001"/>
    <n v="-80402.184804849996"/>
    <x v="2"/>
  </r>
  <r>
    <x v="0"/>
    <x v="6"/>
    <x v="3"/>
    <s v="SUB RECETAS"/>
    <x v="1"/>
    <x v="254"/>
    <s v="UNIDADES"/>
    <n v="776.49056369000004"/>
    <n v="-16"/>
    <n v="80"/>
    <n v="96"/>
    <n v="62119.245095200007"/>
    <n v="74543.094114239997"/>
    <x v="0"/>
  </r>
  <r>
    <x v="1"/>
    <x v="7"/>
    <x v="3"/>
    <s v="SUB RECETAS"/>
    <x v="1"/>
    <x v="254"/>
    <s v="UNIDADES"/>
    <n v="656.61771185999999"/>
    <n v="64"/>
    <n v="62"/>
    <n v="-2"/>
    <n v="40710.298135320001"/>
    <n v="-1313.23542372"/>
    <x v="2"/>
  </r>
  <r>
    <x v="0"/>
    <x v="6"/>
    <x v="3"/>
    <s v="SUB-RECETAS CP"/>
    <x v="1"/>
    <x v="256"/>
    <s v="UNIDADES"/>
    <n v="2050.0821666000002"/>
    <n v="14"/>
    <n v="50"/>
    <n v="36"/>
    <n v="102504.10833"/>
    <n v="73802.95799760001"/>
    <x v="0"/>
  </r>
  <r>
    <x v="0"/>
    <x v="6"/>
    <x v="3"/>
    <s v="SUB-RECETAS BAR"/>
    <x v="0"/>
    <x v="269"/>
    <s v="ONZA"/>
    <n v="95"/>
    <n v="29"/>
    <n v="29"/>
    <n v="0"/>
    <n v="2755"/>
    <n v="0"/>
    <x v="1"/>
  </r>
  <r>
    <x v="0"/>
    <x v="6"/>
    <x v="3"/>
    <s v="GASEOSAS Y SODAS"/>
    <x v="0"/>
    <x v="18"/>
    <s v="UNIDADES"/>
    <n v="5133.7083333299997"/>
    <n v="29.12"/>
    <n v="24"/>
    <n v="-5.12"/>
    <n v="123208.99999991999"/>
    <n v="-26284.5866666496"/>
    <x v="2"/>
  </r>
  <r>
    <x v="1"/>
    <x v="7"/>
    <x v="3"/>
    <s v="GASEOSAS Y SODAS"/>
    <x v="0"/>
    <x v="18"/>
    <s v="UNIDADES"/>
    <n v="5133.6666666700003"/>
    <n v="28.41"/>
    <n v="26"/>
    <n v="-2.41"/>
    <n v="133475.33333342001"/>
    <n v="-12372.136666674702"/>
    <x v="2"/>
  </r>
  <r>
    <x v="0"/>
    <x v="6"/>
    <x v="3"/>
    <s v="LICORES"/>
    <x v="0"/>
    <x v="17"/>
    <s v="ONZA"/>
    <n v="3359.40909091"/>
    <n v="24.02"/>
    <n v="26"/>
    <n v="1.98"/>
    <n v="87344.63636366"/>
    <n v="6651.6300000018"/>
    <x v="0"/>
  </r>
  <r>
    <x v="0"/>
    <x v="6"/>
    <x v="3"/>
    <s v="LICORES"/>
    <x v="0"/>
    <x v="166"/>
    <s v="ONZA"/>
    <n v="9924"/>
    <n v="12"/>
    <n v="14"/>
    <n v="2"/>
    <n v="138936"/>
    <n v="19848"/>
    <x v="0"/>
  </r>
  <r>
    <x v="0"/>
    <x v="6"/>
    <x v="3"/>
    <s v="AGUA Y TE"/>
    <x v="0"/>
    <x v="29"/>
    <s v="UNIDADES"/>
    <n v="1234.3916666699999"/>
    <n v="100"/>
    <n v="100"/>
    <n v="0"/>
    <n v="123439.166667"/>
    <n v="0"/>
    <x v="1"/>
  </r>
  <r>
    <x v="0"/>
    <x v="6"/>
    <x v="3"/>
    <s v="AGUA Y TE"/>
    <x v="0"/>
    <x v="158"/>
    <s v="UNIDADES"/>
    <n v="1654.21666667"/>
    <n v="134"/>
    <n v="134"/>
    <n v="0"/>
    <n v="221665.03333378001"/>
    <n v="0"/>
    <x v="1"/>
  </r>
  <r>
    <x v="0"/>
    <x v="6"/>
    <x v="3"/>
    <s v="AGUA Y TE"/>
    <x v="0"/>
    <x v="145"/>
    <s v="UNIDADES"/>
    <n v="7857"/>
    <n v="12"/>
    <n v="12"/>
    <n v="0"/>
    <n v="94284"/>
    <n v="0"/>
    <x v="1"/>
  </r>
  <r>
    <x v="1"/>
    <x v="7"/>
    <x v="3"/>
    <s v="LICORES"/>
    <x v="0"/>
    <x v="166"/>
    <s v="ONZA"/>
    <n v="9924"/>
    <n v="10"/>
    <n v="9"/>
    <n v="-1"/>
    <n v="89316"/>
    <n v="-9924"/>
    <x v="2"/>
  </r>
  <r>
    <x v="0"/>
    <x v="6"/>
    <x v="3"/>
    <s v="AGUA Y TE"/>
    <x v="0"/>
    <x v="147"/>
    <s v="UNIDADES"/>
    <n v="3458.3333333300002"/>
    <n v="7"/>
    <n v="7"/>
    <n v="0"/>
    <n v="24208.333333310002"/>
    <n v="0"/>
    <x v="1"/>
  </r>
  <r>
    <x v="0"/>
    <x v="6"/>
    <x v="3"/>
    <s v="AGUA Y TE"/>
    <x v="0"/>
    <x v="148"/>
    <s v="UNIDADES"/>
    <n v="3458.3283333300001"/>
    <n v="5"/>
    <n v="5"/>
    <n v="0"/>
    <n v="17291.641666650001"/>
    <n v="0"/>
    <x v="1"/>
  </r>
  <r>
    <x v="0"/>
    <x v="6"/>
    <x v="3"/>
    <s v="AGUA Y TE"/>
    <x v="0"/>
    <x v="149"/>
    <s v="UNIDADES"/>
    <n v="3458.25"/>
    <n v="5"/>
    <n v="5"/>
    <n v="0"/>
    <n v="17291.25"/>
    <n v="0"/>
    <x v="1"/>
  </r>
  <r>
    <x v="0"/>
    <x v="6"/>
    <x v="3"/>
    <s v="GASEOSAS Y SODAS"/>
    <x v="0"/>
    <x v="47"/>
    <s v="UNIDADES"/>
    <n v="5132.5"/>
    <n v="9.5"/>
    <n v="9"/>
    <n v="-0.5"/>
    <n v="46192.5"/>
    <n v="-2566.25"/>
    <x v="2"/>
  </r>
  <r>
    <x v="0"/>
    <x v="6"/>
    <x v="3"/>
    <s v="AGUA Y TE"/>
    <x v="0"/>
    <x v="162"/>
    <s v="UNIDADES"/>
    <n v="3458.25"/>
    <n v="8"/>
    <n v="8"/>
    <n v="0"/>
    <n v="27666"/>
    <n v="0"/>
    <x v="1"/>
  </r>
  <r>
    <x v="0"/>
    <x v="6"/>
    <x v="3"/>
    <s v="AGUA Y TE"/>
    <x v="0"/>
    <x v="151"/>
    <s v="UNIDADES"/>
    <n v="3458.3291316700002"/>
    <n v="0"/>
    <n v="0"/>
    <n v="0"/>
    <n v="0"/>
    <n v="0"/>
    <x v="1"/>
  </r>
  <r>
    <x v="1"/>
    <x v="7"/>
    <x v="3"/>
    <s v="GASEOSAS Y SODAS"/>
    <x v="0"/>
    <x v="47"/>
    <s v="UNIDADES"/>
    <n v="5132.5"/>
    <n v="7.5"/>
    <n v="8.5"/>
    <n v="1"/>
    <n v="43626.25"/>
    <n v="5132.5"/>
    <x v="0"/>
  </r>
  <r>
    <x v="0"/>
    <x v="6"/>
    <x v="3"/>
    <s v="LICORES"/>
    <x v="0"/>
    <x v="24"/>
    <s v="ONZA"/>
    <n v="1993.59090909"/>
    <n v="26"/>
    <n v="28"/>
    <n v="2"/>
    <n v="55820.545454519997"/>
    <n v="3987.1818181799999"/>
    <x v="0"/>
  </r>
  <r>
    <x v="0"/>
    <x v="8"/>
    <x v="4"/>
    <s v="LICORES"/>
    <x v="0"/>
    <x v="224"/>
    <s v="UNIDADES"/>
    <n v="0"/>
    <n v="0"/>
    <n v="0"/>
    <n v="0"/>
    <n v="0"/>
    <n v="0"/>
    <x v="1"/>
  </r>
  <r>
    <x v="0"/>
    <x v="8"/>
    <x v="4"/>
    <s v="LICORES"/>
    <x v="0"/>
    <x v="225"/>
    <s v="ONZA"/>
    <n v="0"/>
    <n v="0"/>
    <n v="0"/>
    <n v="0"/>
    <n v="0"/>
    <n v="0"/>
    <x v="1"/>
  </r>
  <r>
    <x v="0"/>
    <x v="8"/>
    <x v="4"/>
    <s v="LICORES"/>
    <x v="0"/>
    <x v="12"/>
    <s v="ONZA"/>
    <n v="0"/>
    <n v="0"/>
    <n v="0"/>
    <n v="0"/>
    <n v="0"/>
    <n v="0"/>
    <x v="1"/>
  </r>
  <r>
    <x v="0"/>
    <x v="8"/>
    <x v="4"/>
    <s v="LICORES"/>
    <x v="0"/>
    <x v="226"/>
    <s v="ONZA"/>
    <n v="2309.40625"/>
    <n v="16"/>
    <n v="19.39"/>
    <n v="3.39"/>
    <n v="44779.387187500004"/>
    <n v="7828.8871875000004"/>
    <x v="0"/>
  </r>
  <r>
    <x v="0"/>
    <x v="8"/>
    <x v="4"/>
    <s v="LICORES"/>
    <x v="0"/>
    <x v="2"/>
    <s v="ONZA"/>
    <n v="14896.95833333"/>
    <n v="37"/>
    <n v="37.700000000000003"/>
    <n v="0.7"/>
    <n v="561615.32916654099"/>
    <n v="10427.870833330999"/>
    <x v="0"/>
  </r>
  <r>
    <x v="0"/>
    <x v="8"/>
    <x v="4"/>
    <s v="LICORES"/>
    <x v="0"/>
    <x v="3"/>
    <s v="UNIDADES"/>
    <n v="86744"/>
    <n v="0"/>
    <n v="0"/>
    <n v="0"/>
    <n v="0"/>
    <n v="0"/>
    <x v="1"/>
  </r>
  <r>
    <x v="0"/>
    <x v="8"/>
    <x v="4"/>
    <s v="LICORES"/>
    <x v="0"/>
    <x v="172"/>
    <s v="ONZA"/>
    <n v="6746.25"/>
    <n v="-21"/>
    <n v="6.4"/>
    <n v="27.4"/>
    <n v="43176"/>
    <n v="184847.25"/>
    <x v="0"/>
  </r>
  <r>
    <x v="0"/>
    <x v="8"/>
    <x v="4"/>
    <s v="LICORES"/>
    <x v="0"/>
    <x v="46"/>
    <s v="ONZA"/>
    <n v="6839.875"/>
    <n v="26.42"/>
    <n v="30.27"/>
    <n v="3.85"/>
    <n v="207043.01624999999"/>
    <n v="26333.518749999999"/>
    <x v="0"/>
  </r>
  <r>
    <x v="0"/>
    <x v="8"/>
    <x v="4"/>
    <s v="LICORES"/>
    <x v="0"/>
    <x v="7"/>
    <s v="ONZA"/>
    <n v="11819.5"/>
    <n v="0"/>
    <n v="0"/>
    <n v="0"/>
    <n v="0"/>
    <n v="0"/>
    <x v="1"/>
  </r>
  <r>
    <x v="0"/>
    <x v="8"/>
    <x v="4"/>
    <s v="LICORES"/>
    <x v="0"/>
    <x v="8"/>
    <s v="ONZA"/>
    <n v="15769.5"/>
    <n v="25"/>
    <n v="26"/>
    <n v="1"/>
    <n v="410007"/>
    <n v="15769.5"/>
    <x v="0"/>
  </r>
  <r>
    <x v="0"/>
    <x v="8"/>
    <x v="4"/>
    <s v="LICORES"/>
    <x v="0"/>
    <x v="132"/>
    <s v="ONZA"/>
    <n v="13020.86363636"/>
    <n v="42"/>
    <n v="43"/>
    <n v="1"/>
    <n v="559897.13636348001"/>
    <n v="13020.86363636"/>
    <x v="0"/>
  </r>
  <r>
    <x v="0"/>
    <x v="8"/>
    <x v="4"/>
    <s v="LICORES"/>
    <x v="0"/>
    <x v="10"/>
    <s v="ONZA"/>
    <n v="12698.95454545"/>
    <n v="18"/>
    <n v="24"/>
    <n v="6"/>
    <n v="304774.90909079998"/>
    <n v="76193.727272699995"/>
    <x v="0"/>
  </r>
  <r>
    <x v="0"/>
    <x v="8"/>
    <x v="4"/>
    <s v="LICORES"/>
    <x v="0"/>
    <x v="161"/>
    <s v="ONZA"/>
    <n v="4320.2272727299996"/>
    <n v="17.36"/>
    <n v="22"/>
    <n v="4.6399999999999997"/>
    <n v="95045.000000059998"/>
    <n v="20045.854545467198"/>
    <x v="0"/>
  </r>
  <r>
    <x v="0"/>
    <x v="8"/>
    <x v="4"/>
    <s v="LICORES"/>
    <x v="0"/>
    <x v="17"/>
    <s v="ONZA"/>
    <n v="3359.40909091"/>
    <n v="19.739999999999998"/>
    <n v="22"/>
    <n v="2.2599999999999998"/>
    <n v="73907.000000019994"/>
    <n v="7592.2645454565991"/>
    <x v="0"/>
  </r>
  <r>
    <x v="0"/>
    <x v="8"/>
    <x v="4"/>
    <s v="LICORES"/>
    <x v="0"/>
    <x v="16"/>
    <s v="ONZA"/>
    <n v="6003.25"/>
    <n v="27.7"/>
    <n v="28"/>
    <n v="0.3"/>
    <n v="168091"/>
    <n v="1800.9749999999999"/>
    <x v="0"/>
  </r>
  <r>
    <x v="0"/>
    <x v="8"/>
    <x v="4"/>
    <s v="LICORES"/>
    <x v="0"/>
    <x v="134"/>
    <s v="ONZA"/>
    <n v="8389.75"/>
    <n v="31"/>
    <n v="33"/>
    <n v="2"/>
    <n v="276861.75"/>
    <n v="16779.5"/>
    <x v="0"/>
  </r>
  <r>
    <x v="0"/>
    <x v="8"/>
    <x v="4"/>
    <s v="LICORES"/>
    <x v="0"/>
    <x v="83"/>
    <s v="ONZA"/>
    <n v="7122.4772727299996"/>
    <n v="93"/>
    <n v="94"/>
    <n v="1"/>
    <n v="669512.86363661999"/>
    <n v="7122.4772727299996"/>
    <x v="0"/>
  </r>
  <r>
    <x v="0"/>
    <x v="8"/>
    <x v="4"/>
    <s v="LICORES"/>
    <x v="0"/>
    <x v="19"/>
    <s v="UNIDADES"/>
    <n v="93956"/>
    <n v="2"/>
    <n v="2"/>
    <n v="0"/>
    <n v="187912"/>
    <n v="0"/>
    <x v="1"/>
  </r>
  <r>
    <x v="0"/>
    <x v="8"/>
    <x v="4"/>
    <s v="LICORES"/>
    <x v="0"/>
    <x v="20"/>
    <s v="ONZA"/>
    <n v="10178.90909091"/>
    <n v="36"/>
    <n v="37"/>
    <n v="1"/>
    <n v="376619.63636367"/>
    <n v="10178.90909091"/>
    <x v="0"/>
  </r>
  <r>
    <x v="0"/>
    <x v="8"/>
    <x v="4"/>
    <s v="LICORES"/>
    <x v="0"/>
    <x v="21"/>
    <s v="ONZA"/>
    <n v="12951.25"/>
    <n v="42"/>
    <n v="44"/>
    <n v="2"/>
    <n v="569855"/>
    <n v="25902.5"/>
    <x v="0"/>
  </r>
  <r>
    <x v="0"/>
    <x v="8"/>
    <x v="4"/>
    <s v="LICORES"/>
    <x v="0"/>
    <x v="70"/>
    <s v="ONZA"/>
    <n v="3673.5"/>
    <n v="0"/>
    <n v="0"/>
    <n v="0"/>
    <n v="0"/>
    <n v="0"/>
    <x v="1"/>
  </r>
  <r>
    <x v="0"/>
    <x v="8"/>
    <x v="4"/>
    <s v="LICORES"/>
    <x v="0"/>
    <x v="30"/>
    <s v="ONZA"/>
    <n v="6774.5454545499997"/>
    <n v="6.34"/>
    <n v="10"/>
    <n v="3.66"/>
    <n v="67745.45454549999"/>
    <n v="24794.836363653001"/>
    <x v="0"/>
  </r>
  <r>
    <x v="0"/>
    <x v="8"/>
    <x v="4"/>
    <s v="LICORES"/>
    <x v="0"/>
    <x v="23"/>
    <s v="ONZA"/>
    <n v="8628.9583333299997"/>
    <n v="26"/>
    <n v="0"/>
    <n v="-26"/>
    <n v="0"/>
    <n v="-224352.91666657999"/>
    <x v="2"/>
  </r>
  <r>
    <x v="0"/>
    <x v="8"/>
    <x v="4"/>
    <s v="LICORES"/>
    <x v="0"/>
    <x v="28"/>
    <s v="ONZA"/>
    <n v="3481.25"/>
    <n v="38"/>
    <n v="16"/>
    <n v="-22"/>
    <n v="55700"/>
    <n v="-76587.5"/>
    <x v="2"/>
  </r>
  <r>
    <x v="0"/>
    <x v="8"/>
    <x v="4"/>
    <s v="LICORES"/>
    <x v="0"/>
    <x v="26"/>
    <s v="ONZA"/>
    <n v="2628.875"/>
    <n v="8.02"/>
    <n v="5"/>
    <n v="-3.02"/>
    <n v="13144.375"/>
    <n v="-7939.2025000000003"/>
    <x v="2"/>
  </r>
  <r>
    <x v="0"/>
    <x v="8"/>
    <x v="4"/>
    <s v="LICORES"/>
    <x v="0"/>
    <x v="135"/>
    <s v="ONZA"/>
    <n v="5896.9583333299997"/>
    <n v="36"/>
    <n v="39"/>
    <n v="3"/>
    <n v="229981.37499986999"/>
    <n v="17690.874999989999"/>
    <x v="0"/>
  </r>
  <r>
    <x v="0"/>
    <x v="8"/>
    <x v="4"/>
    <s v="LICORES"/>
    <x v="0"/>
    <x v="141"/>
    <s v="ONZA"/>
    <n v="6045.125"/>
    <n v="18"/>
    <n v="19.72"/>
    <n v="1.72"/>
    <n v="119209.86499999999"/>
    <n v="10397.615"/>
    <x v="0"/>
  </r>
  <r>
    <x v="0"/>
    <x v="8"/>
    <x v="4"/>
    <s v="LICORES"/>
    <x v="0"/>
    <x v="39"/>
    <s v="ONZA"/>
    <n v="4075.1666666699998"/>
    <n v="68"/>
    <n v="72"/>
    <n v="4"/>
    <n v="293412.00000023999"/>
    <n v="16300.666666679999"/>
    <x v="0"/>
  </r>
  <r>
    <x v="0"/>
    <x v="8"/>
    <x v="4"/>
    <s v="LICORES"/>
    <x v="0"/>
    <x v="32"/>
    <s v="ONZA"/>
    <n v="4504.1666666700003"/>
    <n v="0"/>
    <n v="0"/>
    <n v="0"/>
    <n v="0"/>
    <n v="0"/>
    <x v="1"/>
  </r>
  <r>
    <x v="0"/>
    <x v="8"/>
    <x v="4"/>
    <s v="LICORES"/>
    <x v="0"/>
    <x v="31"/>
    <s v="ONZA"/>
    <n v="2244.5833333300002"/>
    <n v="43"/>
    <n v="48"/>
    <n v="5"/>
    <n v="107739.99999984002"/>
    <n v="11222.91666665"/>
    <x v="0"/>
  </r>
  <r>
    <x v="0"/>
    <x v="8"/>
    <x v="4"/>
    <s v="LICORES"/>
    <x v="0"/>
    <x v="4"/>
    <s v="ONZA"/>
    <n v="9648.9583333299997"/>
    <n v="30.68"/>
    <n v="32"/>
    <n v="1.32"/>
    <n v="308766.66666655999"/>
    <n v="12736.6249999956"/>
    <x v="0"/>
  </r>
  <r>
    <x v="0"/>
    <x v="8"/>
    <x v="4"/>
    <s v="LICORES"/>
    <x v="0"/>
    <x v="166"/>
    <s v="ONZA"/>
    <n v="9924"/>
    <n v="24"/>
    <n v="25"/>
    <n v="1"/>
    <n v="248100"/>
    <n v="9924"/>
    <x v="0"/>
  </r>
  <r>
    <x v="0"/>
    <x v="8"/>
    <x v="4"/>
    <s v="LICORES"/>
    <x v="0"/>
    <x v="36"/>
    <s v="ONZA"/>
    <n v="1917.6875"/>
    <n v="5.36"/>
    <n v="28.16"/>
    <n v="22.8"/>
    <n v="54002.080000000002"/>
    <n v="43723.275000000001"/>
    <x v="0"/>
  </r>
  <r>
    <x v="0"/>
    <x v="8"/>
    <x v="4"/>
    <s v="LICORES"/>
    <x v="0"/>
    <x v="33"/>
    <s v="ONZA"/>
    <n v="3022.8541666699998"/>
    <n v="71.680000000000007"/>
    <n v="77"/>
    <n v="5.32"/>
    <n v="232759.77083358998"/>
    <n v="16081.584166684401"/>
    <x v="0"/>
  </r>
  <r>
    <x v="0"/>
    <x v="8"/>
    <x v="4"/>
    <s v="LICORES"/>
    <x v="0"/>
    <x v="159"/>
    <s v="ONZA"/>
    <n v="3500"/>
    <n v="12"/>
    <n v="14.42"/>
    <n v="2.42"/>
    <n v="50470"/>
    <n v="8470"/>
    <x v="0"/>
  </r>
  <r>
    <x v="0"/>
    <x v="8"/>
    <x v="4"/>
    <s v="LICORES"/>
    <x v="0"/>
    <x v="38"/>
    <s v="UNIDADES"/>
    <n v="26517.26"/>
    <n v="3"/>
    <n v="3"/>
    <n v="0"/>
    <n v="79551.78"/>
    <n v="0"/>
    <x v="1"/>
  </r>
  <r>
    <x v="0"/>
    <x v="8"/>
    <x v="4"/>
    <s v="LICORES"/>
    <x v="0"/>
    <x v="40"/>
    <s v="UNIDADES"/>
    <n v="22770"/>
    <n v="3"/>
    <n v="3"/>
    <n v="0"/>
    <n v="68310"/>
    <n v="0"/>
    <x v="1"/>
  </r>
  <r>
    <x v="0"/>
    <x v="8"/>
    <x v="4"/>
    <s v="LICORES"/>
    <x v="0"/>
    <x v="13"/>
    <s v="ONZA"/>
    <n v="1729.16666667"/>
    <n v="41"/>
    <n v="41.77"/>
    <n v="0.77"/>
    <n v="72227.291666805904"/>
    <n v="1331.4583333359001"/>
    <x v="0"/>
  </r>
  <r>
    <x v="0"/>
    <x v="8"/>
    <x v="4"/>
    <s v="LICORES"/>
    <x v="0"/>
    <x v="42"/>
    <s v="UNIDADES"/>
    <n v="23367.5"/>
    <n v="2"/>
    <n v="2"/>
    <n v="0"/>
    <n v="46735"/>
    <n v="0"/>
    <x v="1"/>
  </r>
  <r>
    <x v="0"/>
    <x v="8"/>
    <x v="4"/>
    <s v="LICORES"/>
    <x v="0"/>
    <x v="41"/>
    <s v="ONZA"/>
    <n v="1658.625"/>
    <n v="34"/>
    <n v="38.799999999999997"/>
    <n v="4.8"/>
    <n v="64354.649999999994"/>
    <n v="7961.4"/>
    <x v="0"/>
  </r>
  <r>
    <x v="0"/>
    <x v="8"/>
    <x v="4"/>
    <s v="LICORES"/>
    <x v="0"/>
    <x v="44"/>
    <s v="ONZA"/>
    <n v="4279.4583333299997"/>
    <n v="14"/>
    <n v="14.72"/>
    <n v="0.72"/>
    <n v="62993.626666617602"/>
    <n v="3081.2099999975999"/>
    <x v="0"/>
  </r>
  <r>
    <x v="0"/>
    <x v="8"/>
    <x v="4"/>
    <s v="LICORES"/>
    <x v="0"/>
    <x v="45"/>
    <s v="ONZA"/>
    <n v="5670.8333333299997"/>
    <n v="0"/>
    <n v="0"/>
    <n v="0"/>
    <n v="0"/>
    <n v="0"/>
    <x v="1"/>
  </r>
  <r>
    <x v="0"/>
    <x v="8"/>
    <x v="4"/>
    <s v="LICORES"/>
    <x v="0"/>
    <x v="270"/>
    <s v="ONZA"/>
    <n v="2077.8620689700001"/>
    <n v="60"/>
    <n v="56"/>
    <n v="-4"/>
    <n v="116360.27586232001"/>
    <n v="-8311.4482758800004"/>
    <x v="2"/>
  </r>
  <r>
    <x v="0"/>
    <x v="8"/>
    <x v="4"/>
    <s v="LICORES"/>
    <x v="0"/>
    <x v="48"/>
    <s v="UNIDADES"/>
    <n v="45099.74"/>
    <n v="2"/>
    <n v="2"/>
    <n v="0"/>
    <n v="90199.48"/>
    <n v="0"/>
    <x v="1"/>
  </r>
  <r>
    <x v="0"/>
    <x v="8"/>
    <x v="4"/>
    <s v="LICORES"/>
    <x v="0"/>
    <x v="203"/>
    <s v="ONZA"/>
    <n v="0"/>
    <n v="0"/>
    <n v="0"/>
    <n v="0"/>
    <n v="0"/>
    <n v="0"/>
    <x v="1"/>
  </r>
  <r>
    <x v="0"/>
    <x v="8"/>
    <x v="4"/>
    <s v="LICORES"/>
    <x v="0"/>
    <x v="110"/>
    <s v="ONZA"/>
    <n v="3171.7162499999999"/>
    <n v="40"/>
    <n v="43"/>
    <n v="3"/>
    <n v="136383.79874999999"/>
    <n v="9515.1487500000003"/>
    <x v="0"/>
  </r>
  <r>
    <x v="0"/>
    <x v="8"/>
    <x v="4"/>
    <s v="LICORES"/>
    <x v="0"/>
    <x v="52"/>
    <s v="ONZA"/>
    <n v="5291.6666666700003"/>
    <n v="0"/>
    <n v="0"/>
    <n v="0"/>
    <n v="0"/>
    <n v="0"/>
    <x v="1"/>
  </r>
  <r>
    <x v="0"/>
    <x v="8"/>
    <x v="4"/>
    <s v="LICORES"/>
    <x v="0"/>
    <x v="180"/>
    <s v="ONZA"/>
    <n v="15318.181818180001"/>
    <n v="28"/>
    <n v="28.14"/>
    <n v="0.14000000000000001"/>
    <n v="431053.63636358525"/>
    <n v="2144.5454545452003"/>
    <x v="0"/>
  </r>
  <r>
    <x v="0"/>
    <x v="8"/>
    <x v="4"/>
    <s v="LICORES"/>
    <x v="0"/>
    <x v="5"/>
    <s v="ONZA"/>
    <n v="6800.3640183199996"/>
    <n v="39.340000000000003"/>
    <n v="41"/>
    <n v="1.66"/>
    <n v="278814.92475111998"/>
    <n v="11288.604270411199"/>
    <x v="0"/>
  </r>
  <r>
    <x v="0"/>
    <x v="8"/>
    <x v="4"/>
    <s v="LICORES"/>
    <x v="0"/>
    <x v="24"/>
    <s v="ONZA"/>
    <n v="1993.59090909"/>
    <n v="66.02"/>
    <n v="33"/>
    <n v="-33.020000000000003"/>
    <n v="65788.499999969994"/>
    <n v="-65828.371818151805"/>
    <x v="2"/>
  </r>
  <r>
    <x v="0"/>
    <x v="8"/>
    <x v="4"/>
    <s v="LICORES"/>
    <x v="0"/>
    <x v="263"/>
    <s v="ONZA"/>
    <n v="4721.625"/>
    <n v="26.68"/>
    <n v="0"/>
    <n v="-26.68"/>
    <n v="0"/>
    <n v="-125972.955"/>
    <x v="2"/>
  </r>
  <r>
    <x v="0"/>
    <x v="8"/>
    <x v="4"/>
    <s v="LICORES"/>
    <x v="0"/>
    <x v="55"/>
    <s v="ONZA"/>
    <n v="6303.0416666700003"/>
    <n v="40"/>
    <n v="48"/>
    <n v="8"/>
    <n v="302546.00000016001"/>
    <n v="50424.333333360002"/>
    <x v="0"/>
  </r>
  <r>
    <x v="0"/>
    <x v="8"/>
    <x v="4"/>
    <s v="LICORES"/>
    <x v="0"/>
    <x v="43"/>
    <s v="ONZA"/>
    <n v="2047.54310345"/>
    <n v="92.5"/>
    <n v="48"/>
    <n v="-44.5"/>
    <n v="98282.068965600003"/>
    <n v="-91115.668103524993"/>
    <x v="2"/>
  </r>
  <r>
    <x v="0"/>
    <x v="8"/>
    <x v="4"/>
    <s v="GASEOSAS Y SODAS"/>
    <x v="0"/>
    <x v="79"/>
    <s v="UNIDADES"/>
    <n v="0"/>
    <n v="0"/>
    <n v="0"/>
    <n v="0"/>
    <n v="0"/>
    <n v="0"/>
    <x v="1"/>
  </r>
  <r>
    <x v="0"/>
    <x v="8"/>
    <x v="4"/>
    <s v="GASEOSAS Y SODAS"/>
    <x v="0"/>
    <x v="58"/>
    <s v="UNIDADES"/>
    <n v="3333.3333333300002"/>
    <n v="0"/>
    <n v="0"/>
    <n v="0"/>
    <n v="0"/>
    <n v="0"/>
    <x v="1"/>
  </r>
  <r>
    <x v="0"/>
    <x v="8"/>
    <x v="4"/>
    <s v="GASEOSAS Y SODAS"/>
    <x v="0"/>
    <x v="50"/>
    <s v="UNIDADES"/>
    <n v="0"/>
    <n v="0"/>
    <n v="0"/>
    <n v="0"/>
    <n v="0"/>
    <n v="0"/>
    <x v="1"/>
  </r>
  <r>
    <x v="0"/>
    <x v="8"/>
    <x v="4"/>
    <s v="GASEOSAS Y SODAS"/>
    <x v="0"/>
    <x v="59"/>
    <s v="UNIDADES"/>
    <n v="2323.7453703800002"/>
    <n v="31"/>
    <n v="56"/>
    <n v="25"/>
    <n v="130129.74074128001"/>
    <n v="58093.634259500002"/>
    <x v="0"/>
  </r>
  <r>
    <x v="0"/>
    <x v="8"/>
    <x v="4"/>
    <s v="GASEOSAS Y SODAS"/>
    <x v="0"/>
    <x v="60"/>
    <s v="UNIDADES"/>
    <n v="2119.75"/>
    <n v="-1"/>
    <n v="46"/>
    <n v="47"/>
    <n v="97508.5"/>
    <n v="99628.25"/>
    <x v="0"/>
  </r>
  <r>
    <x v="0"/>
    <x v="8"/>
    <x v="4"/>
    <s v="GASEOSAS Y SODAS"/>
    <x v="0"/>
    <x v="137"/>
    <s v="UNIDADES"/>
    <n v="1654.1729616299999"/>
    <n v="4.16"/>
    <n v="23"/>
    <n v="18.84"/>
    <n v="38045.978117489998"/>
    <n v="31164.618597109198"/>
    <x v="0"/>
  </r>
  <r>
    <x v="0"/>
    <x v="8"/>
    <x v="4"/>
    <s v="GASEOSAS Y SODAS"/>
    <x v="0"/>
    <x v="1"/>
    <s v="UNIDADES"/>
    <n v="1497.59166667"/>
    <n v="22.1"/>
    <n v="157"/>
    <n v="134.9"/>
    <n v="235121.89166719001"/>
    <n v="202025.115833783"/>
    <x v="0"/>
  </r>
  <r>
    <x v="0"/>
    <x v="8"/>
    <x v="4"/>
    <s v="GASEOSAS Y SODAS"/>
    <x v="0"/>
    <x v="62"/>
    <s v="UNIDADES"/>
    <n v="1395.83333333"/>
    <n v="-2"/>
    <n v="0"/>
    <n v="2"/>
    <n v="0"/>
    <n v="2791.6666666599999"/>
    <x v="0"/>
  </r>
  <r>
    <x v="0"/>
    <x v="8"/>
    <x v="4"/>
    <s v="GASEOSAS Y SODAS"/>
    <x v="0"/>
    <x v="22"/>
    <s v="UNIDADES"/>
    <n v="4986.0833333299997"/>
    <n v="39"/>
    <n v="27"/>
    <n v="-12"/>
    <n v="134624.24999990998"/>
    <n v="-59832.999999959997"/>
    <x v="2"/>
  </r>
  <r>
    <x v="0"/>
    <x v="8"/>
    <x v="4"/>
    <s v="GASEOSAS Y SODAS"/>
    <x v="0"/>
    <x v="63"/>
    <s v="UNIDADES"/>
    <n v="4986.1041666700003"/>
    <n v="47"/>
    <n v="46"/>
    <n v="-1"/>
    <n v="229360.79166682001"/>
    <n v="-4986.1041666700003"/>
    <x v="2"/>
  </r>
  <r>
    <x v="0"/>
    <x v="8"/>
    <x v="4"/>
    <s v="GASEOSAS Y SODAS"/>
    <x v="0"/>
    <x v="160"/>
    <s v="UNIDADES"/>
    <n v="4986.0833333299997"/>
    <n v="85.65"/>
    <n v="79"/>
    <n v="-6.65"/>
    <n v="393900.58333306998"/>
    <n v="-33157.4541666445"/>
    <x v="2"/>
  </r>
  <r>
    <x v="0"/>
    <x v="8"/>
    <x v="4"/>
    <s v="GASEOSAS Y SODAS"/>
    <x v="0"/>
    <x v="65"/>
    <s v="UNIDADES"/>
    <n v="4986.0833333299997"/>
    <n v="13"/>
    <n v="24"/>
    <n v="11"/>
    <n v="119665.99999991999"/>
    <n v="54846.916666630001"/>
    <x v="0"/>
  </r>
  <r>
    <x v="0"/>
    <x v="8"/>
    <x v="4"/>
    <s v="GASEOSAS Y SODAS"/>
    <x v="0"/>
    <x v="18"/>
    <s v="UNIDADES"/>
    <n v="5133.7083333299997"/>
    <n v="62.65"/>
    <n v="64"/>
    <n v="1.35"/>
    <n v="328557.33333311998"/>
    <n v="6930.5062499955002"/>
    <x v="0"/>
  </r>
  <r>
    <x v="0"/>
    <x v="8"/>
    <x v="4"/>
    <s v="GASEOSAS Y SODAS"/>
    <x v="0"/>
    <x v="67"/>
    <s v="UNIDADES"/>
    <n v="0"/>
    <n v="-1.1399999999999999"/>
    <n v="0"/>
    <n v="1.1399999999999999"/>
    <n v="0"/>
    <n v="0"/>
    <x v="0"/>
  </r>
  <r>
    <x v="0"/>
    <x v="8"/>
    <x v="4"/>
    <s v="GASEOSAS Y SODAS"/>
    <x v="0"/>
    <x v="47"/>
    <s v="UNIDADES"/>
    <n v="5132.5"/>
    <n v="26.5"/>
    <n v="27"/>
    <n v="0.5"/>
    <n v="138577.5"/>
    <n v="2566.25"/>
    <x v="0"/>
  </r>
  <r>
    <x v="0"/>
    <x v="8"/>
    <x v="4"/>
    <s v="GASEOSAS Y SODAS"/>
    <x v="0"/>
    <x v="45"/>
    <s v="UNIDADES"/>
    <n v="2120.83"/>
    <n v="0"/>
    <n v="0"/>
    <n v="0"/>
    <n v="0"/>
    <n v="0"/>
    <x v="1"/>
  </r>
  <r>
    <x v="0"/>
    <x v="8"/>
    <x v="4"/>
    <s v="GASEOSAS Y SODAS"/>
    <x v="0"/>
    <x v="229"/>
    <s v="UNIDADES"/>
    <n v="6387.35"/>
    <n v="5"/>
    <n v="5"/>
    <n v="0"/>
    <n v="31936.75"/>
    <n v="0"/>
    <x v="1"/>
  </r>
  <r>
    <x v="0"/>
    <x v="8"/>
    <x v="4"/>
    <s v="GASEOSAS Y SODAS"/>
    <x v="0"/>
    <x v="71"/>
    <s v="UNIDADES"/>
    <n v="1835.41666667"/>
    <n v="0"/>
    <n v="0"/>
    <n v="0"/>
    <n v="0"/>
    <n v="0"/>
    <x v="1"/>
  </r>
  <r>
    <x v="0"/>
    <x v="8"/>
    <x v="4"/>
    <s v="CERVEZAS"/>
    <x v="0"/>
    <x v="230"/>
    <s v="UNIDADES"/>
    <n v="11200"/>
    <n v="5"/>
    <n v="4"/>
    <n v="-1"/>
    <n v="44800"/>
    <n v="-11200"/>
    <x v="2"/>
  </r>
  <r>
    <x v="0"/>
    <x v="8"/>
    <x v="4"/>
    <s v="CERVEZAS"/>
    <x v="0"/>
    <x v="76"/>
    <s v="UNIDADES"/>
    <n v="2183.46666667"/>
    <n v="29"/>
    <n v="28"/>
    <n v="-1"/>
    <n v="61137.066666760002"/>
    <n v="-2183.46666667"/>
    <x v="2"/>
  </r>
  <r>
    <x v="0"/>
    <x v="8"/>
    <x v="4"/>
    <s v="CERVEZAS"/>
    <x v="0"/>
    <x v="178"/>
    <s v="UNIDADES"/>
    <n v="3736.1666666699998"/>
    <n v="52"/>
    <n v="51"/>
    <n v="-1"/>
    <n v="190544.50000017"/>
    <n v="-3736.1666666699998"/>
    <x v="2"/>
  </r>
  <r>
    <x v="0"/>
    <x v="8"/>
    <x v="4"/>
    <s v="CERVEZAS"/>
    <x v="0"/>
    <x v="227"/>
    <s v="UNIDADES"/>
    <n v="4102.875"/>
    <n v="45"/>
    <n v="44"/>
    <n v="-1"/>
    <n v="180526.5"/>
    <n v="-4102.875"/>
    <x v="2"/>
  </r>
  <r>
    <x v="0"/>
    <x v="8"/>
    <x v="4"/>
    <s v="CERVEZAS"/>
    <x v="0"/>
    <x v="181"/>
    <s v="UNIDADES"/>
    <n v="2298.1333333299999"/>
    <n v="18.72"/>
    <n v="28"/>
    <n v="9.2799999999999994"/>
    <n v="64347.733333240001"/>
    <n v="21326.677333302399"/>
    <x v="0"/>
  </r>
  <r>
    <x v="0"/>
    <x v="8"/>
    <x v="4"/>
    <s v="CERVEZAS"/>
    <x v="0"/>
    <x v="184"/>
    <s v="UNIDADES"/>
    <n v="3567.4583333300002"/>
    <n v="76"/>
    <n v="76"/>
    <n v="0"/>
    <n v="271126.83333307999"/>
    <n v="0"/>
    <x v="1"/>
  </r>
  <r>
    <x v="0"/>
    <x v="8"/>
    <x v="4"/>
    <s v="CERVEZAS"/>
    <x v="0"/>
    <x v="97"/>
    <s v="UNIDADES"/>
    <n v="3099.6666666699998"/>
    <n v="0"/>
    <n v="0"/>
    <n v="0"/>
    <n v="0"/>
    <n v="0"/>
    <x v="1"/>
  </r>
  <r>
    <x v="0"/>
    <x v="8"/>
    <x v="4"/>
    <s v="CERVEZAS"/>
    <x v="0"/>
    <x v="75"/>
    <s v="UNIDADES"/>
    <n v="2418.998"/>
    <n v="21"/>
    <n v="21"/>
    <n v="0"/>
    <n v="50798.957999999999"/>
    <n v="0"/>
    <x v="1"/>
  </r>
  <r>
    <x v="0"/>
    <x v="8"/>
    <x v="4"/>
    <s v="CERVEZAS"/>
    <x v="0"/>
    <x v="77"/>
    <s v="UNIDADES"/>
    <n v="3299.9974999999999"/>
    <n v="31"/>
    <n v="29"/>
    <n v="-2"/>
    <n v="95699.927500000005"/>
    <n v="-6599.9949999999999"/>
    <x v="2"/>
  </r>
  <r>
    <x v="0"/>
    <x v="8"/>
    <x v="4"/>
    <s v="CERVEZAS"/>
    <x v="0"/>
    <x v="96"/>
    <s v="UNIDADES"/>
    <n v="3200"/>
    <n v="0"/>
    <n v="0"/>
    <n v="0"/>
    <n v="0"/>
    <n v="0"/>
    <x v="1"/>
  </r>
  <r>
    <x v="0"/>
    <x v="8"/>
    <x v="4"/>
    <s v="CERVEZAS"/>
    <x v="0"/>
    <x v="143"/>
    <s v="UNIDADES"/>
    <n v="3299.9991666699998"/>
    <n v="23"/>
    <n v="23"/>
    <n v="0"/>
    <n v="75899.980833409994"/>
    <n v="0"/>
    <x v="1"/>
  </r>
  <r>
    <x v="0"/>
    <x v="8"/>
    <x v="4"/>
    <s v="CERVEZAS"/>
    <x v="0"/>
    <x v="199"/>
    <s v="UNIDADES"/>
    <n v="3261.8333333300002"/>
    <n v="15"/>
    <n v="15"/>
    <n v="0"/>
    <n v="48927.49999995"/>
    <n v="0"/>
    <x v="1"/>
  </r>
  <r>
    <x v="0"/>
    <x v="8"/>
    <x v="4"/>
    <s v="PESCADOS Y MARISCOS"/>
    <x v="1"/>
    <x v="57"/>
    <s v="UNIDADES"/>
    <n v="485.71428571000001"/>
    <n v="1032"/>
    <n v="766"/>
    <n v="-266"/>
    <n v="372057.14285385999"/>
    <n v="-129199.99999886"/>
    <x v="2"/>
  </r>
  <r>
    <x v="0"/>
    <x v="8"/>
    <x v="4"/>
    <s v="PESCADOS Y MARISCOS"/>
    <x v="1"/>
    <x v="121"/>
    <s v="GRAMOS"/>
    <n v="50.691016779999998"/>
    <n v="-20667.165400000002"/>
    <n v="8630"/>
    <n v="29297.165419000001"/>
    <n v="437463.4748114"/>
    <n v="1485103.1038609648"/>
    <x v="0"/>
  </r>
  <r>
    <x v="0"/>
    <x v="8"/>
    <x v="4"/>
    <s v="PROTEINAS"/>
    <x v="1"/>
    <x v="125"/>
    <s v="UNIDADES"/>
    <n v="3120"/>
    <n v="-135"/>
    <n v="41"/>
    <n v="176"/>
    <n v="127920"/>
    <n v="549120"/>
    <x v="0"/>
  </r>
  <r>
    <x v="0"/>
    <x v="8"/>
    <x v="4"/>
    <s v="PROTEINAS"/>
    <x v="1"/>
    <x v="78"/>
    <s v="UNIDADES"/>
    <n v="8800"/>
    <n v="32.5"/>
    <n v="32.5"/>
    <n v="0"/>
    <n v="286000"/>
    <n v="0"/>
    <x v="1"/>
  </r>
  <r>
    <x v="1"/>
    <x v="9"/>
    <x v="4"/>
    <s v="PROTEINAS"/>
    <x v="1"/>
    <x v="125"/>
    <s v="UNIDADES"/>
    <n v="3250"/>
    <n v="31"/>
    <n v="40"/>
    <n v="9"/>
    <n v="130000"/>
    <n v="29250"/>
    <x v="0"/>
  </r>
  <r>
    <x v="0"/>
    <x v="8"/>
    <x v="4"/>
    <s v="VINOS"/>
    <x v="0"/>
    <x v="97"/>
    <s v="UNIDADES"/>
    <n v="0"/>
    <n v="0"/>
    <n v="0"/>
    <n v="0"/>
    <n v="0"/>
    <n v="0"/>
    <x v="1"/>
  </r>
  <r>
    <x v="0"/>
    <x v="8"/>
    <x v="4"/>
    <s v="VINOS"/>
    <x v="0"/>
    <x v="232"/>
    <s v="COPA"/>
    <n v="0"/>
    <n v="0"/>
    <n v="0"/>
    <n v="0"/>
    <n v="0"/>
    <n v="0"/>
    <x v="1"/>
  </r>
  <r>
    <x v="0"/>
    <x v="8"/>
    <x v="4"/>
    <s v="VINOS"/>
    <x v="0"/>
    <x v="233"/>
    <s v="UNIDADES"/>
    <n v="125043"/>
    <n v="3"/>
    <n v="3"/>
    <n v="0"/>
    <n v="375129"/>
    <n v="0"/>
    <x v="1"/>
  </r>
  <r>
    <x v="0"/>
    <x v="8"/>
    <x v="4"/>
    <s v="VINOS"/>
    <x v="0"/>
    <x v="234"/>
    <s v="UNIDADES"/>
    <n v="22425"/>
    <n v="0"/>
    <n v="0"/>
    <n v="0"/>
    <n v="0"/>
    <n v="0"/>
    <x v="1"/>
  </r>
  <r>
    <x v="0"/>
    <x v="8"/>
    <x v="4"/>
    <s v="VINOS"/>
    <x v="0"/>
    <x v="235"/>
    <s v="UNIDADES"/>
    <n v="71318"/>
    <n v="4"/>
    <n v="4"/>
    <n v="0"/>
    <n v="285272"/>
    <n v="0"/>
    <x v="1"/>
  </r>
  <r>
    <x v="0"/>
    <x v="8"/>
    <x v="4"/>
    <s v="VINOS"/>
    <x v="0"/>
    <x v="6"/>
    <s v="ONZA"/>
    <n v="2903.3333333300002"/>
    <n v="0"/>
    <n v="0"/>
    <n v="0"/>
    <n v="0"/>
    <n v="0"/>
    <x v="1"/>
  </r>
  <r>
    <x v="0"/>
    <x v="8"/>
    <x v="4"/>
    <s v="VINOS"/>
    <x v="0"/>
    <x v="98"/>
    <s v="UNIDADES"/>
    <n v="108834"/>
    <n v="3"/>
    <n v="3"/>
    <n v="0"/>
    <n v="326502"/>
    <n v="0"/>
    <x v="1"/>
  </r>
  <r>
    <x v="0"/>
    <x v="8"/>
    <x v="4"/>
    <s v="VINOS"/>
    <x v="0"/>
    <x v="236"/>
    <s v="UNIDADES"/>
    <n v="27250"/>
    <n v="4"/>
    <n v="4"/>
    <n v="0"/>
    <n v="109000"/>
    <n v="0"/>
    <x v="1"/>
  </r>
  <r>
    <x v="0"/>
    <x v="8"/>
    <x v="4"/>
    <s v="VINOS"/>
    <x v="0"/>
    <x v="237"/>
    <s v="UNIDADES"/>
    <n v="87241.5"/>
    <n v="2"/>
    <n v="2"/>
    <n v="0"/>
    <n v="174483"/>
    <n v="0"/>
    <x v="1"/>
  </r>
  <r>
    <x v="0"/>
    <x v="8"/>
    <x v="4"/>
    <s v="VINOS"/>
    <x v="0"/>
    <x v="238"/>
    <s v="UNIDADES"/>
    <n v="63897.666666669997"/>
    <n v="0"/>
    <n v="0"/>
    <n v="0"/>
    <n v="0"/>
    <n v="0"/>
    <x v="1"/>
  </r>
  <r>
    <x v="0"/>
    <x v="8"/>
    <x v="4"/>
    <s v="VINOS"/>
    <x v="0"/>
    <x v="239"/>
    <s v="UNIDADES"/>
    <n v="72880"/>
    <n v="3"/>
    <n v="3"/>
    <n v="0"/>
    <n v="218640"/>
    <n v="0"/>
    <x v="1"/>
  </r>
  <r>
    <x v="0"/>
    <x v="8"/>
    <x v="4"/>
    <s v="VINOS"/>
    <x v="0"/>
    <x v="240"/>
    <s v="UNIDADES"/>
    <n v="25109.5"/>
    <n v="0"/>
    <n v="0"/>
    <n v="0"/>
    <n v="0"/>
    <n v="0"/>
    <x v="1"/>
  </r>
  <r>
    <x v="0"/>
    <x v="8"/>
    <x v="4"/>
    <s v="VINOS"/>
    <x v="0"/>
    <x v="264"/>
    <s v="COPA"/>
    <n v="15151.2"/>
    <n v="23"/>
    <n v="23"/>
    <n v="0"/>
    <n v="348477.60000000003"/>
    <n v="0"/>
    <x v="1"/>
  </r>
  <r>
    <x v="0"/>
    <x v="8"/>
    <x v="4"/>
    <s v="VINOS"/>
    <x v="0"/>
    <x v="265"/>
    <s v="UNIDADES"/>
    <n v="444869"/>
    <n v="1"/>
    <n v="1"/>
    <n v="0"/>
    <n v="444869"/>
    <n v="0"/>
    <x v="1"/>
  </r>
  <r>
    <x v="0"/>
    <x v="8"/>
    <x v="4"/>
    <s v="VINOS"/>
    <x v="0"/>
    <x v="271"/>
    <s v="COPA"/>
    <n v="15144.3"/>
    <n v="34"/>
    <n v="34"/>
    <n v="0"/>
    <n v="514906.19999999995"/>
    <n v="0"/>
    <x v="1"/>
  </r>
  <r>
    <x v="0"/>
    <x v="8"/>
    <x v="4"/>
    <s v="VINOS"/>
    <x v="0"/>
    <x v="105"/>
    <s v="UNIDADES"/>
    <n v="63373"/>
    <n v="2"/>
    <n v="2"/>
    <n v="0"/>
    <n v="126746"/>
    <n v="0"/>
    <x v="1"/>
  </r>
  <r>
    <x v="0"/>
    <x v="8"/>
    <x v="4"/>
    <s v="VINOS"/>
    <x v="0"/>
    <x v="241"/>
    <s v="UNIDADES"/>
    <n v="37617"/>
    <n v="6"/>
    <n v="6"/>
    <n v="0"/>
    <n v="225702"/>
    <n v="0"/>
    <x v="1"/>
  </r>
  <r>
    <x v="0"/>
    <x v="8"/>
    <x v="4"/>
    <s v="VINOS"/>
    <x v="0"/>
    <x v="107"/>
    <s v="UNIDADES"/>
    <n v="37608"/>
    <n v="7"/>
    <n v="7"/>
    <n v="0"/>
    <n v="263256"/>
    <n v="0"/>
    <x v="1"/>
  </r>
  <r>
    <x v="0"/>
    <x v="8"/>
    <x v="4"/>
    <s v="VINOS"/>
    <x v="0"/>
    <x v="128"/>
    <s v="COPA"/>
    <n v="9853.7999999999993"/>
    <n v="0"/>
    <n v="0"/>
    <n v="0"/>
    <n v="0"/>
    <n v="0"/>
    <x v="1"/>
  </r>
  <r>
    <x v="0"/>
    <x v="8"/>
    <x v="4"/>
    <s v="VINOS"/>
    <x v="0"/>
    <x v="185"/>
    <s v="COPA"/>
    <n v="9853.2000000000007"/>
    <n v="0"/>
    <n v="0"/>
    <n v="0"/>
    <n v="0"/>
    <n v="0"/>
    <x v="1"/>
  </r>
  <r>
    <x v="0"/>
    <x v="8"/>
    <x v="4"/>
    <s v="VINOS"/>
    <x v="0"/>
    <x v="109"/>
    <s v="COPA"/>
    <n v="10889.4"/>
    <n v="10"/>
    <n v="10"/>
    <n v="0"/>
    <n v="108894"/>
    <n v="0"/>
    <x v="1"/>
  </r>
  <r>
    <x v="0"/>
    <x v="8"/>
    <x v="4"/>
    <s v="VINOS"/>
    <x v="0"/>
    <x v="114"/>
    <s v="COPA"/>
    <n v="9700"/>
    <n v="5"/>
    <n v="15"/>
    <n v="10"/>
    <n v="145500"/>
    <n v="97000"/>
    <x v="0"/>
  </r>
  <r>
    <x v="1"/>
    <x v="9"/>
    <x v="4"/>
    <s v="VINOS"/>
    <x v="0"/>
    <x v="111"/>
    <s v="UNIDADES"/>
    <n v="37612"/>
    <n v="11"/>
    <n v="14"/>
    <n v="3"/>
    <n v="526568"/>
    <n v="112836"/>
    <x v="0"/>
  </r>
  <r>
    <x v="0"/>
    <x v="8"/>
    <x v="4"/>
    <s v="VINOS"/>
    <x v="0"/>
    <x v="112"/>
    <s v="COPA"/>
    <n v="4363.6000000000004"/>
    <n v="20"/>
    <n v="20"/>
    <n v="0"/>
    <n v="87272"/>
    <n v="0"/>
    <x v="1"/>
  </r>
  <r>
    <x v="1"/>
    <x v="9"/>
    <x v="4"/>
    <s v="VINOS"/>
    <x v="0"/>
    <x v="112"/>
    <s v="COPA"/>
    <n v="4363.6000000000004"/>
    <n v="16"/>
    <n v="19"/>
    <n v="3"/>
    <n v="82908.400000000009"/>
    <n v="13090.800000000001"/>
    <x v="0"/>
  </r>
  <r>
    <x v="1"/>
    <x v="9"/>
    <x v="4"/>
    <s v="VINOS"/>
    <x v="0"/>
    <x v="142"/>
    <s v="COPA"/>
    <n v="4385.2"/>
    <n v="11"/>
    <n v="14"/>
    <n v="3"/>
    <n v="61392.799999999996"/>
    <n v="13155.599999999999"/>
    <x v="0"/>
  </r>
  <r>
    <x v="0"/>
    <x v="8"/>
    <x v="4"/>
    <s v="VINOS"/>
    <x v="0"/>
    <x v="242"/>
    <s v="COPA"/>
    <n v="10715.3"/>
    <n v="25"/>
    <n v="25"/>
    <n v="0"/>
    <n v="267882.5"/>
    <n v="0"/>
    <x v="1"/>
  </r>
  <r>
    <x v="0"/>
    <x v="8"/>
    <x v="4"/>
    <s v="VINOS"/>
    <x v="0"/>
    <x v="267"/>
    <s v="COPA"/>
    <n v="10710.6"/>
    <n v="27"/>
    <n v="27"/>
    <n v="0"/>
    <n v="289186.2"/>
    <n v="0"/>
    <x v="1"/>
  </r>
  <r>
    <x v="0"/>
    <x v="8"/>
    <x v="4"/>
    <s v="VINOS"/>
    <x v="0"/>
    <x v="113"/>
    <s v="UNIDADES"/>
    <n v="70600.5"/>
    <n v="3"/>
    <n v="3"/>
    <n v="0"/>
    <n v="211801.5"/>
    <n v="0"/>
    <x v="1"/>
  </r>
  <r>
    <x v="0"/>
    <x v="8"/>
    <x v="4"/>
    <s v="VINOS"/>
    <x v="0"/>
    <x v="268"/>
    <s v="COPA"/>
    <n v="15144"/>
    <n v="38"/>
    <n v="38"/>
    <n v="0"/>
    <n v="575472"/>
    <n v="0"/>
    <x v="1"/>
  </r>
  <r>
    <x v="2"/>
    <x v="10"/>
    <x v="4"/>
    <s v="VINOS"/>
    <x v="0"/>
    <x v="111"/>
    <s v="UNIDADES"/>
    <n v="37612"/>
    <n v="8"/>
    <n v="11"/>
    <n v="3"/>
    <n v="413732"/>
    <n v="112836"/>
    <x v="0"/>
  </r>
  <r>
    <x v="0"/>
    <x v="8"/>
    <x v="4"/>
    <s v="VINOS"/>
    <x v="0"/>
    <x v="116"/>
    <s v="UNIDADES"/>
    <n v="48500"/>
    <n v="0"/>
    <n v="0"/>
    <n v="0"/>
    <n v="0"/>
    <n v="0"/>
    <x v="1"/>
  </r>
  <r>
    <x v="0"/>
    <x v="8"/>
    <x v="4"/>
    <s v="VINOS"/>
    <x v="0"/>
    <x v="243"/>
    <s v="UNIDADES"/>
    <n v="83261"/>
    <n v="1"/>
    <n v="1"/>
    <n v="0"/>
    <n v="83261"/>
    <n v="0"/>
    <x v="1"/>
  </r>
  <r>
    <x v="0"/>
    <x v="8"/>
    <x v="4"/>
    <s v="VINOS"/>
    <x v="0"/>
    <x v="244"/>
    <s v="UNIDADES"/>
    <n v="79309.523809499995"/>
    <n v="1"/>
    <n v="1"/>
    <n v="0"/>
    <n v="79309.523809499995"/>
    <n v="0"/>
    <x v="1"/>
  </r>
  <r>
    <x v="0"/>
    <x v="8"/>
    <x v="4"/>
    <s v="VINOS"/>
    <x v="0"/>
    <x v="245"/>
    <s v="UNIDADES"/>
    <n v="79652"/>
    <n v="1"/>
    <n v="1"/>
    <n v="0"/>
    <n v="79652"/>
    <n v="0"/>
    <x v="1"/>
  </r>
  <r>
    <x v="0"/>
    <x v="8"/>
    <x v="4"/>
    <s v="VINOS"/>
    <x v="0"/>
    <x v="193"/>
    <s v="ONZA"/>
    <n v="1842.78125"/>
    <n v="25"/>
    <n v="24.26"/>
    <n v="-0.74"/>
    <n v="44705.873125000006"/>
    <n v="-1363.6581249999999"/>
    <x v="2"/>
  </r>
  <r>
    <x v="0"/>
    <x v="8"/>
    <x v="4"/>
    <s v="PROTEINAS"/>
    <x v="1"/>
    <x v="131"/>
    <s v="UNIDADES"/>
    <n v="4680"/>
    <n v="-171.5"/>
    <n v="20.11"/>
    <n v="191.61"/>
    <n v="94114.8"/>
    <n v="896734.8"/>
    <x v="0"/>
  </r>
  <r>
    <x v="1"/>
    <x v="9"/>
    <x v="4"/>
    <s v="PROTEINAS"/>
    <x v="1"/>
    <x v="131"/>
    <s v="UNIDADES"/>
    <n v="4850"/>
    <n v="14.61"/>
    <n v="13"/>
    <n v="-1.61"/>
    <n v="63050"/>
    <n v="-7808.5000000000009"/>
    <x v="2"/>
  </r>
  <r>
    <x v="0"/>
    <x v="8"/>
    <x v="4"/>
    <s v="PESCADOS Y MARISCOS"/>
    <x v="1"/>
    <x v="84"/>
    <s v="UNIDADES"/>
    <n v="17250"/>
    <n v="6"/>
    <n v="6"/>
    <n v="0"/>
    <n v="103500"/>
    <n v="0"/>
    <x v="1"/>
  </r>
  <r>
    <x v="0"/>
    <x v="8"/>
    <x v="4"/>
    <s v="PESCADOS Y MARISCOS"/>
    <x v="1"/>
    <x v="139"/>
    <s v="GRAMOS"/>
    <n v="39"/>
    <n v="25070.444100000001"/>
    <n v="19110"/>
    <n v="-5960.4441340000003"/>
    <n v="745290"/>
    <n v="-232457.321226"/>
    <x v="2"/>
  </r>
  <r>
    <x v="0"/>
    <x v="8"/>
    <x v="4"/>
    <s v="PESCADOS Y MARISCOS"/>
    <x v="1"/>
    <x v="186"/>
    <s v="UNIDADES"/>
    <n v="1500"/>
    <n v="94"/>
    <n v="65"/>
    <n v="-29"/>
    <n v="97500"/>
    <n v="-43500"/>
    <x v="2"/>
  </r>
  <r>
    <x v="0"/>
    <x v="8"/>
    <x v="4"/>
    <s v="PESCADOS Y MARISCOS"/>
    <x v="1"/>
    <x v="192"/>
    <s v="UNIDADES"/>
    <n v="0"/>
    <n v="60"/>
    <n v="60"/>
    <n v="0"/>
    <n v="0"/>
    <n v="0"/>
    <x v="1"/>
  </r>
  <r>
    <x v="0"/>
    <x v="8"/>
    <x v="4"/>
    <s v="PESCADOS Y MARISCOS"/>
    <x v="1"/>
    <x v="272"/>
    <s v="UNIDADES"/>
    <n v="8166.6666666700003"/>
    <n v="7"/>
    <n v="7"/>
    <n v="0"/>
    <n v="57166.666666689998"/>
    <n v="0"/>
    <x v="1"/>
  </r>
  <r>
    <x v="0"/>
    <x v="8"/>
    <x v="4"/>
    <s v="PESCADOS Y MARISCOS"/>
    <x v="1"/>
    <x v="190"/>
    <s v="UNIDADES"/>
    <n v="415.976"/>
    <n v="200"/>
    <n v="292"/>
    <n v="92"/>
    <n v="121464.992"/>
    <n v="38269.792000000001"/>
    <x v="0"/>
  </r>
  <r>
    <x v="0"/>
    <x v="8"/>
    <x v="4"/>
    <s v="PESCADOS Y MARISCOS"/>
    <x v="1"/>
    <x v="246"/>
    <s v="GRAMOS"/>
    <n v="58.31"/>
    <n v="0"/>
    <n v="0"/>
    <n v="0"/>
    <n v="0"/>
    <n v="0"/>
    <x v="1"/>
  </r>
  <r>
    <x v="0"/>
    <x v="8"/>
    <x v="4"/>
    <s v="PROTEINAS"/>
    <x v="1"/>
    <x v="208"/>
    <s v="GRAMOS"/>
    <n v="22"/>
    <n v="679.33330000000001"/>
    <n v="2000"/>
    <n v="1320.6666600000001"/>
    <n v="44000"/>
    <n v="29054.666520000002"/>
    <x v="0"/>
  </r>
  <r>
    <x v="1"/>
    <x v="9"/>
    <x v="4"/>
    <s v="PROTEINAS"/>
    <x v="1"/>
    <x v="208"/>
    <s v="GRAMOS"/>
    <n v="22"/>
    <n v="2000"/>
    <n v="1742"/>
    <n v="-258"/>
    <n v="38324"/>
    <n v="-5676"/>
    <x v="2"/>
  </r>
  <r>
    <x v="0"/>
    <x v="8"/>
    <x v="4"/>
    <s v="PESCADOS Y MARISCOS"/>
    <x v="1"/>
    <x v="247"/>
    <s v="GRAMOS"/>
    <n v="60"/>
    <n v="16075.5555"/>
    <n v="16468"/>
    <n v="392.44448599999998"/>
    <n v="988080"/>
    <n v="23546.669159999998"/>
    <x v="0"/>
  </r>
  <r>
    <x v="0"/>
    <x v="8"/>
    <x v="4"/>
    <s v="PROTEINAS"/>
    <x v="1"/>
    <x v="207"/>
    <s v="UNIDADES"/>
    <n v="12802.912621359999"/>
    <n v="57.5"/>
    <n v="66"/>
    <n v="8.5"/>
    <n v="844992.23300975992"/>
    <n v="108824.75728156"/>
    <x v="0"/>
  </r>
  <r>
    <x v="1"/>
    <x v="9"/>
    <x v="4"/>
    <s v="PROTEINAS"/>
    <x v="1"/>
    <x v="207"/>
    <s v="UNIDADES"/>
    <n v="12764.705882349999"/>
    <n v="79.5"/>
    <n v="78.5"/>
    <n v="-1"/>
    <n v="1002029.4117644749"/>
    <n v="-12764.705882349999"/>
    <x v="2"/>
  </r>
  <r>
    <x v="0"/>
    <x v="8"/>
    <x v="4"/>
    <s v="SUB RECETAS"/>
    <x v="1"/>
    <x v="249"/>
    <s v="GRAMOS"/>
    <n v="66.842553050000006"/>
    <n v="2356"/>
    <n v="1266"/>
    <n v="-1090"/>
    <n v="84622.672161300012"/>
    <n v="-72858.382824500004"/>
    <x v="2"/>
  </r>
  <r>
    <x v="1"/>
    <x v="9"/>
    <x v="4"/>
    <s v="SUB RECETAS"/>
    <x v="1"/>
    <x v="249"/>
    <s v="GRAMOS"/>
    <n v="78.540000000000006"/>
    <n v="2449"/>
    <n v="862"/>
    <n v="-1587"/>
    <n v="67701.48000000001"/>
    <n v="-124642.98000000001"/>
    <x v="2"/>
  </r>
  <r>
    <x v="0"/>
    <x v="8"/>
    <x v="4"/>
    <s v="SUB RECETAS"/>
    <x v="1"/>
    <x v="252"/>
    <s v="GRAMOS"/>
    <n v="32.376289980000003"/>
    <n v="5870"/>
    <n v="504"/>
    <n v="-5366"/>
    <n v="16317.650149920002"/>
    <n v="-173731.17203268001"/>
    <x v="2"/>
  </r>
  <r>
    <x v="1"/>
    <x v="9"/>
    <x v="4"/>
    <s v="SUB RECETAS"/>
    <x v="1"/>
    <x v="252"/>
    <s v="GRAMOS"/>
    <n v="38.537011829999997"/>
    <n v="1048"/>
    <n v="2"/>
    <n v="-1046"/>
    <n v="77.074023659999995"/>
    <n v="-40309.714374179996"/>
    <x v="2"/>
  </r>
  <r>
    <x v="0"/>
    <x v="8"/>
    <x v="4"/>
    <s v="SUB-RECETAS CP"/>
    <x v="1"/>
    <x v="255"/>
    <s v="UNIDADES"/>
    <n v="9211.16803282"/>
    <n v="11"/>
    <n v="17"/>
    <n v="6"/>
    <n v="156589.85655793999"/>
    <n v="55267.008196919996"/>
    <x v="0"/>
  </r>
  <r>
    <x v="1"/>
    <x v="9"/>
    <x v="4"/>
    <s v="SUB-RECETAS CP"/>
    <x v="1"/>
    <x v="255"/>
    <s v="UNIDADES"/>
    <n v="4832.9288793100004"/>
    <n v="20"/>
    <n v="14"/>
    <n v="-6"/>
    <n v="67661.004310340009"/>
    <n v="-28997.573275860002"/>
    <x v="2"/>
  </r>
  <r>
    <x v="0"/>
    <x v="8"/>
    <x v="4"/>
    <s v="SUB RECETAS"/>
    <x v="1"/>
    <x v="253"/>
    <s v="UNIDADES"/>
    <n v="16272.235458220001"/>
    <n v="-2"/>
    <n v="13"/>
    <n v="15"/>
    <n v="211539.06095686002"/>
    <n v="244083.5318733"/>
    <x v="0"/>
  </r>
  <r>
    <x v="1"/>
    <x v="9"/>
    <x v="4"/>
    <s v="SUB RECETAS"/>
    <x v="1"/>
    <x v="253"/>
    <s v="UNIDADES"/>
    <n v="16080.436960970001"/>
    <n v="27"/>
    <n v="12"/>
    <n v="-15"/>
    <n v="192965.24353164001"/>
    <n v="-241206.55441455002"/>
    <x v="2"/>
  </r>
  <r>
    <x v="0"/>
    <x v="8"/>
    <x v="4"/>
    <s v="SUB RECETAS"/>
    <x v="1"/>
    <x v="254"/>
    <s v="UNIDADES"/>
    <n v="776.49056369000004"/>
    <n v="28"/>
    <n v="32"/>
    <n v="4"/>
    <n v="24847.698038080001"/>
    <n v="3105.9622547600002"/>
    <x v="0"/>
  </r>
  <r>
    <x v="1"/>
    <x v="9"/>
    <x v="4"/>
    <s v="SUB RECETAS"/>
    <x v="1"/>
    <x v="254"/>
    <s v="UNIDADES"/>
    <n v="656.61771185999999"/>
    <n v="24"/>
    <n v="26"/>
    <n v="2"/>
    <n v="17072.060508359998"/>
    <n v="1313.23542372"/>
    <x v="0"/>
  </r>
  <r>
    <x v="0"/>
    <x v="8"/>
    <x v="4"/>
    <s v="SUB-RECETAS CP"/>
    <x v="1"/>
    <x v="256"/>
    <s v="UNIDADES"/>
    <n v="2050.0821666000002"/>
    <n v="74"/>
    <n v="104"/>
    <n v="30"/>
    <n v="213208.54532640002"/>
    <n v="61502.464998000003"/>
    <x v="0"/>
  </r>
  <r>
    <x v="1"/>
    <x v="9"/>
    <x v="4"/>
    <s v="SUB-RECETAS CP"/>
    <x v="1"/>
    <x v="256"/>
    <s v="UNIDADES"/>
    <n v="2015.4481796"/>
    <n v="110"/>
    <n v="80"/>
    <n v="-30"/>
    <n v="161235.854368"/>
    <n v="-60463.445388"/>
    <x v="2"/>
  </r>
  <r>
    <x v="0"/>
    <x v="8"/>
    <x v="4"/>
    <s v="SUB RECETAS"/>
    <x v="1"/>
    <x v="248"/>
    <s v="UNIDADES"/>
    <n v="2168.6496757"/>
    <n v="0"/>
    <n v="14"/>
    <n v="14"/>
    <n v="30361.095459799999"/>
    <n v="30361.095459799999"/>
    <x v="0"/>
  </r>
  <r>
    <x v="0"/>
    <x v="8"/>
    <x v="4"/>
    <s v="SUB RECETAS"/>
    <x v="1"/>
    <x v="257"/>
    <s v="UNIDADES"/>
    <n v="1521.0488106"/>
    <n v="49"/>
    <n v="51"/>
    <n v="2"/>
    <n v="77573.489340600005"/>
    <n v="3042.0976212"/>
    <x v="0"/>
  </r>
  <r>
    <x v="1"/>
    <x v="9"/>
    <x v="4"/>
    <s v="SUB RECETAS"/>
    <x v="1"/>
    <x v="257"/>
    <s v="UNIDADES"/>
    <n v="1517.3646666699999"/>
    <n v="63"/>
    <n v="54"/>
    <n v="-9"/>
    <n v="81937.692000179988"/>
    <n v="-13656.28200003"/>
    <x v="2"/>
  </r>
  <r>
    <x v="0"/>
    <x v="8"/>
    <x v="4"/>
    <s v="SUB-RECETAS CP"/>
    <x v="1"/>
    <x v="258"/>
    <s v="UNIDADES"/>
    <n v="7663.94653397"/>
    <n v="88"/>
    <n v="88"/>
    <n v="0"/>
    <n v="674427.29498936003"/>
    <n v="0"/>
    <x v="1"/>
  </r>
  <r>
    <x v="0"/>
    <x v="8"/>
    <x v="4"/>
    <s v="SUB-RECETAS BAR"/>
    <x v="0"/>
    <x v="269"/>
    <s v="ONZA"/>
    <n v="95"/>
    <n v="73"/>
    <n v="63"/>
    <n v="-10"/>
    <n v="5985"/>
    <n v="-950"/>
    <x v="2"/>
  </r>
  <r>
    <x v="0"/>
    <x v="8"/>
    <x v="4"/>
    <s v="SUB-RECETAS BAR"/>
    <x v="0"/>
    <x v="273"/>
    <s v="ONZA"/>
    <n v="2979.9057392099999"/>
    <n v="49"/>
    <n v="51"/>
    <n v="2"/>
    <n v="151975.19269970999"/>
    <n v="5959.8114784199997"/>
    <x v="0"/>
  </r>
  <r>
    <x v="0"/>
    <x v="8"/>
    <x v="4"/>
    <s v="SUB-RECETAS BAR"/>
    <x v="0"/>
    <x v="259"/>
    <s v="ONZA"/>
    <n v="3055.80310022"/>
    <n v="108"/>
    <n v="109"/>
    <n v="1"/>
    <n v="333082.53792397998"/>
    <n v="3055.80310022"/>
    <x v="0"/>
  </r>
  <r>
    <x v="0"/>
    <x v="8"/>
    <x v="4"/>
    <s v="SUB-RECETAS BAR"/>
    <x v="0"/>
    <x v="260"/>
    <s v="ONZA"/>
    <n v="8239.9012388899991"/>
    <n v="22"/>
    <n v="23"/>
    <n v="1"/>
    <n v="189517.72849446998"/>
    <n v="8239.9012388899991"/>
    <x v="0"/>
  </r>
  <r>
    <x v="0"/>
    <x v="8"/>
    <x v="4"/>
    <s v="SUB-RECETAS BAR"/>
    <x v="0"/>
    <x v="261"/>
    <s v="ONZA"/>
    <n v="4187.4239350999997"/>
    <n v="0"/>
    <n v="0"/>
    <n v="0"/>
    <n v="0"/>
    <n v="0"/>
    <x v="1"/>
  </r>
  <r>
    <x v="0"/>
    <x v="8"/>
    <x v="4"/>
    <s v="AGUA Y TE"/>
    <x v="0"/>
    <x v="29"/>
    <s v="UNIDADES"/>
    <n v="1234.3916666699999"/>
    <n v="21"/>
    <n v="45"/>
    <n v="24"/>
    <n v="55547.625000150001"/>
    <n v="29625.400000080001"/>
    <x v="0"/>
  </r>
  <r>
    <x v="0"/>
    <x v="8"/>
    <x v="4"/>
    <s v="AGUA Y TE"/>
    <x v="0"/>
    <x v="158"/>
    <s v="UNIDADES"/>
    <n v="1654.21666667"/>
    <n v="11"/>
    <n v="95"/>
    <n v="84"/>
    <n v="157150.58333364999"/>
    <n v="138954.20000027999"/>
    <x v="0"/>
  </r>
  <r>
    <x v="0"/>
    <x v="8"/>
    <x v="4"/>
    <s v="AGUA Y TE"/>
    <x v="0"/>
    <x v="145"/>
    <s v="UNIDADES"/>
    <n v="7857"/>
    <n v="25"/>
    <n v="25"/>
    <n v="0"/>
    <n v="196425"/>
    <n v="0"/>
    <x v="1"/>
  </r>
  <r>
    <x v="0"/>
    <x v="8"/>
    <x v="4"/>
    <s v="AGUA Y TE"/>
    <x v="0"/>
    <x v="146"/>
    <s v="UNIDADES"/>
    <n v="1408.33333333"/>
    <n v="0"/>
    <n v="25"/>
    <n v="25"/>
    <n v="35208.333333249997"/>
    <n v="35208.333333249997"/>
    <x v="0"/>
  </r>
  <r>
    <x v="0"/>
    <x v="8"/>
    <x v="4"/>
    <s v="AGUA Y TE"/>
    <x v="0"/>
    <x v="147"/>
    <s v="UNIDADES"/>
    <n v="3458.3333333300002"/>
    <n v="0"/>
    <n v="0"/>
    <n v="0"/>
    <n v="0"/>
    <n v="0"/>
    <x v="1"/>
  </r>
  <r>
    <x v="0"/>
    <x v="8"/>
    <x v="4"/>
    <s v="AGUA Y TE"/>
    <x v="0"/>
    <x v="148"/>
    <s v="UNIDADES"/>
    <n v="3458.3283333300001"/>
    <n v="0"/>
    <n v="0"/>
    <n v="0"/>
    <n v="0"/>
    <n v="0"/>
    <x v="1"/>
  </r>
  <r>
    <x v="0"/>
    <x v="8"/>
    <x v="4"/>
    <s v="AGUA Y TE"/>
    <x v="0"/>
    <x v="149"/>
    <s v="UNIDADES"/>
    <n v="3458.25"/>
    <n v="0"/>
    <n v="0"/>
    <n v="0"/>
    <n v="0"/>
    <n v="0"/>
    <x v="1"/>
  </r>
  <r>
    <x v="0"/>
    <x v="8"/>
    <x v="4"/>
    <s v="AGUA Y TE"/>
    <x v="0"/>
    <x v="150"/>
    <s v="UNIDADES"/>
    <n v="3458.25"/>
    <n v="8"/>
    <n v="8"/>
    <n v="0"/>
    <n v="27666"/>
    <n v="0"/>
    <x v="1"/>
  </r>
  <r>
    <x v="0"/>
    <x v="8"/>
    <x v="4"/>
    <s v="AGUA Y TE"/>
    <x v="0"/>
    <x v="162"/>
    <s v="UNIDADES"/>
    <n v="3458.25"/>
    <n v="5"/>
    <n v="5"/>
    <n v="0"/>
    <n v="17291.25"/>
    <n v="0"/>
    <x v="1"/>
  </r>
  <r>
    <x v="0"/>
    <x v="8"/>
    <x v="4"/>
    <s v="AGUA Y TE"/>
    <x v="0"/>
    <x v="151"/>
    <s v="UNIDADES"/>
    <n v="3458.3291316700002"/>
    <n v="0"/>
    <n v="0"/>
    <n v="0"/>
    <n v="0"/>
    <n v="0"/>
    <x v="1"/>
  </r>
  <r>
    <x v="0"/>
    <x v="8"/>
    <x v="4"/>
    <s v="AGUA Y TE"/>
    <x v="0"/>
    <x v="130"/>
    <s v="UNIDADES"/>
    <n v="2766.665"/>
    <n v="0"/>
    <n v="0"/>
    <n v="0"/>
    <n v="0"/>
    <n v="0"/>
    <x v="1"/>
  </r>
  <r>
    <x v="0"/>
    <x v="8"/>
    <x v="4"/>
    <s v="AGUA Y TE"/>
    <x v="0"/>
    <x v="152"/>
    <s v="UNIDADES"/>
    <n v="3458.3333333300002"/>
    <n v="4"/>
    <n v="4"/>
    <n v="0"/>
    <n v="13833.333333320001"/>
    <n v="0"/>
    <x v="1"/>
  </r>
  <r>
    <x v="3"/>
    <x v="11"/>
    <x v="5"/>
    <s v="SUB-RECETAS CP"/>
    <x v="1"/>
    <x v="274"/>
    <s v="UNIDADES"/>
    <n v="7157.6045853699998"/>
    <n v="1474"/>
    <n v="1406"/>
    <n v="-68"/>
    <n v="10063592.04703022"/>
    <n v="-486717.11180516001"/>
    <x v="2"/>
  </r>
  <r>
    <x v="3"/>
    <x v="11"/>
    <x v="5"/>
    <s v="SUB-RECETAS CP"/>
    <x v="1"/>
    <x v="275"/>
    <s v="UNIDADES"/>
    <n v="20272.394615379999"/>
    <n v="193"/>
    <n v="193"/>
    <n v="0"/>
    <n v="3912572.1607683399"/>
    <n v="0"/>
    <x v="1"/>
  </r>
  <r>
    <x v="0"/>
    <x v="1"/>
    <x v="1"/>
    <s v="SUB RECETAS"/>
    <x v="1"/>
    <x v="276"/>
    <s v="GRAMOS"/>
    <n v="48.270320429999998"/>
    <n v="3410"/>
    <n v="3685"/>
    <n v="275"/>
    <n v="177876.13078454998"/>
    <n v="13274.33811825"/>
    <x v="0"/>
  </r>
  <r>
    <x v="1"/>
    <x v="2"/>
    <x v="0"/>
    <s v="PROTEINAS"/>
    <x v="1"/>
    <x v="208"/>
    <s v="GRAMOS"/>
    <n v="22"/>
    <n v="0"/>
    <n v="0"/>
    <n v="0"/>
    <n v="0"/>
    <n v="0"/>
    <x v="1"/>
  </r>
  <r>
    <x v="3"/>
    <x v="11"/>
    <x v="5"/>
    <s v="SUB RECETAS"/>
    <x v="1"/>
    <x v="253"/>
    <s v="UNIDADES"/>
    <n v="16080.436557630001"/>
    <n v="94"/>
    <n v="94"/>
    <n v="0"/>
    <n v="1511561.03641722"/>
    <n v="0"/>
    <x v="1"/>
  </r>
  <r>
    <x v="1"/>
    <x v="5"/>
    <x v="2"/>
    <s v="SUB RECETAS"/>
    <x v="1"/>
    <x v="257"/>
    <s v="UNIDADES"/>
    <n v="1517.3646666699999"/>
    <n v="41"/>
    <n v="40"/>
    <n v="-1"/>
    <n v="60694.586666799994"/>
    <n v="-1517.3646666699999"/>
    <x v="2"/>
  </r>
  <r>
    <x v="1"/>
    <x v="3"/>
    <x v="1"/>
    <s v="SUB RECETAS"/>
    <x v="1"/>
    <x v="212"/>
    <s v="UNIDADES"/>
    <n v="121606.25564468"/>
    <n v="10"/>
    <n v="10"/>
    <n v="0"/>
    <n v="1216062.5564468"/>
    <n v="0"/>
    <x v="1"/>
  </r>
  <r>
    <x v="1"/>
    <x v="5"/>
    <x v="2"/>
    <s v="SUB RECETAS"/>
    <x v="1"/>
    <x v="277"/>
    <s v="UNIDADES"/>
    <n v="2700.3227931299998"/>
    <n v="55"/>
    <n v="9"/>
    <n v="-46"/>
    <n v="24302.905138169997"/>
    <n v="-124214.84848397999"/>
    <x v="2"/>
  </r>
  <r>
    <x v="1"/>
    <x v="3"/>
    <x v="1"/>
    <s v="CERVEZAS"/>
    <x v="0"/>
    <x v="215"/>
    <s v="GRAMOS"/>
    <n v="26.666666670000001"/>
    <n v="20320"/>
    <n v="40775"/>
    <n v="20455"/>
    <n v="1087333.33346925"/>
    <n v="545466.66673485003"/>
    <x v="0"/>
  </r>
  <r>
    <x v="1"/>
    <x v="2"/>
    <x v="0"/>
    <s v="GASEOSAS Y SODAS"/>
    <x v="0"/>
    <x v="22"/>
    <s v="UNIDADES"/>
    <n v="5132.5"/>
    <n v="19"/>
    <n v="23"/>
    <n v="4"/>
    <n v="118047.5"/>
    <n v="20530"/>
    <x v="0"/>
  </r>
  <r>
    <x v="1"/>
    <x v="9"/>
    <x v="4"/>
    <s v="SUB RECETAS"/>
    <x v="1"/>
    <x v="277"/>
    <s v="UNIDADES"/>
    <n v="2700.3227931299998"/>
    <n v="57"/>
    <n v="27"/>
    <n v="-30"/>
    <n v="72908.715414509992"/>
    <n v="-81009.683793899996"/>
    <x v="2"/>
  </r>
  <r>
    <x v="3"/>
    <x v="11"/>
    <x v="5"/>
    <s v="SUB-RECETAS CP"/>
    <x v="1"/>
    <x v="278"/>
    <s v="GRAMOS"/>
    <n v="31.847889479999999"/>
    <n v="30208"/>
    <n v="26630"/>
    <n v="-3578"/>
    <n v="848109.29685239994"/>
    <n v="-113951.74855943999"/>
    <x v="2"/>
  </r>
  <r>
    <x v="1"/>
    <x v="5"/>
    <x v="2"/>
    <s v="PESCADOS Y MARISCOS"/>
    <x v="1"/>
    <x v="190"/>
    <s v="UNIDADES"/>
    <n v="415.97500000000002"/>
    <n v="248"/>
    <n v="259"/>
    <n v="11"/>
    <n v="107737.52500000001"/>
    <n v="4575.7250000000004"/>
    <x v="0"/>
  </r>
  <r>
    <x v="1"/>
    <x v="2"/>
    <x v="0"/>
    <s v="PROTEINAS"/>
    <x v="1"/>
    <x v="279"/>
    <s v="UNIDADES"/>
    <n v="2552.9411764699998"/>
    <n v="0"/>
    <n v="0"/>
    <n v="0"/>
    <n v="0"/>
    <n v="0"/>
    <x v="1"/>
  </r>
  <r>
    <x v="1"/>
    <x v="9"/>
    <x v="4"/>
    <s v="LICORES"/>
    <x v="0"/>
    <x v="8"/>
    <s v="ONZA"/>
    <n v="17377"/>
    <n v="48"/>
    <n v="48"/>
    <n v="0"/>
    <n v="834096"/>
    <n v="0"/>
    <x v="1"/>
  </r>
  <r>
    <x v="1"/>
    <x v="9"/>
    <x v="4"/>
    <s v="LICORES"/>
    <x v="0"/>
    <x v="43"/>
    <s v="ONZA"/>
    <n v="3072.2083333300002"/>
    <n v="196"/>
    <n v="268.26"/>
    <n v="-47.74"/>
    <n v="824150.60749910586"/>
    <n v="-146667.22583317422"/>
    <x v="2"/>
  </r>
  <r>
    <x v="1"/>
    <x v="7"/>
    <x v="3"/>
    <s v="LICORES"/>
    <x v="0"/>
    <x v="24"/>
    <s v="ONZA"/>
    <n v="1993.59090909"/>
    <n v="24"/>
    <n v="25"/>
    <n v="1"/>
    <n v="49839.772727249998"/>
    <n v="1993.59090909"/>
    <x v="0"/>
  </r>
  <r>
    <x v="0"/>
    <x v="0"/>
    <x v="0"/>
    <s v="PROTEINAS"/>
    <x v="1"/>
    <x v="204"/>
    <s v="UNIDADES"/>
    <n v="2552.9411764699998"/>
    <n v="0"/>
    <n v="0"/>
    <n v="0"/>
    <n v="0"/>
    <n v="0"/>
    <x v="1"/>
  </r>
  <r>
    <x v="3"/>
    <x v="11"/>
    <x v="5"/>
    <s v="SUB-RECETAS CP"/>
    <x v="1"/>
    <x v="280"/>
    <s v="GRAMOS"/>
    <n v="41.579090909999998"/>
    <n v="-5000"/>
    <n v="19392"/>
    <n v="24392"/>
    <n v="806301.73092671996"/>
    <n v="1014197.18547672"/>
    <x v="0"/>
  </r>
  <r>
    <x v="1"/>
    <x v="3"/>
    <x v="1"/>
    <s v="CERVEZAS"/>
    <x v="0"/>
    <x v="223"/>
    <s v="GRAMOS"/>
    <n v="24.444444440000002"/>
    <n v="6500"/>
    <n v="32895"/>
    <n v="26395"/>
    <n v="804099.99985380005"/>
    <n v="645211.11099379999"/>
    <x v="0"/>
  </r>
  <r>
    <x v="0"/>
    <x v="0"/>
    <x v="0"/>
    <s v="PROTEINAS"/>
    <x v="1"/>
    <x v="206"/>
    <s v="UNIDADES"/>
    <n v="10430"/>
    <n v="0"/>
    <n v="0"/>
    <n v="0"/>
    <n v="0"/>
    <n v="0"/>
    <x v="1"/>
  </r>
  <r>
    <x v="1"/>
    <x v="3"/>
    <x v="1"/>
    <s v="SUB RECETAS"/>
    <x v="1"/>
    <x v="276"/>
    <s v="GRAMOS"/>
    <n v="49.744959129999998"/>
    <n v="2485"/>
    <n v="2330"/>
    <n v="-155"/>
    <n v="115905.75477289999"/>
    <n v="-7710.4686651499997"/>
    <x v="2"/>
  </r>
  <r>
    <x v="0"/>
    <x v="1"/>
    <x v="1"/>
    <s v="LICORES"/>
    <x v="0"/>
    <x v="132"/>
    <s v="ONZA"/>
    <n v="11532.86363636"/>
    <n v="33"/>
    <n v="30"/>
    <n v="-3"/>
    <n v="345985.90909079998"/>
    <n v="-34598.590909079998"/>
    <x v="2"/>
  </r>
  <r>
    <x v="1"/>
    <x v="9"/>
    <x v="4"/>
    <s v="PESCADOS Y MARISCOS"/>
    <x v="1"/>
    <x v="139"/>
    <s v="GRAMOS"/>
    <n v="39"/>
    <n v="14115.555399999999"/>
    <n v="18476"/>
    <n v="4360.4445830000004"/>
    <n v="720564"/>
    <n v="170057.33873700001"/>
    <x v="0"/>
  </r>
  <r>
    <x v="1"/>
    <x v="2"/>
    <x v="0"/>
    <s v="PROTEINAS"/>
    <x v="1"/>
    <x v="206"/>
    <s v="UNIDADES"/>
    <n v="11025"/>
    <n v="20"/>
    <n v="20"/>
    <n v="0"/>
    <n v="220500"/>
    <n v="0"/>
    <x v="1"/>
  </r>
  <r>
    <x v="1"/>
    <x v="2"/>
    <x v="0"/>
    <s v="LICORES"/>
    <x v="0"/>
    <x v="24"/>
    <s v="ONZA"/>
    <n v="2012.98701299"/>
    <n v="10.5"/>
    <n v="11"/>
    <n v="0.5"/>
    <n v="22142.85714289"/>
    <n v="1006.493506495"/>
    <x v="0"/>
  </r>
  <r>
    <x v="0"/>
    <x v="0"/>
    <x v="0"/>
    <s v="PESCADOS Y MARISCOS"/>
    <x v="1"/>
    <x v="246"/>
    <s v="GRAMOS"/>
    <n v="64.855090910000001"/>
    <n v="6400"/>
    <n v="5000"/>
    <n v="-1400"/>
    <n v="324275.45455000002"/>
    <n v="-90797.127273999999"/>
    <x v="2"/>
  </r>
  <r>
    <x v="0"/>
    <x v="8"/>
    <x v="4"/>
    <s v="SUB RECETAS"/>
    <x v="1"/>
    <x v="281"/>
    <s v="UNIDADES"/>
    <n v="3260.4930431299999"/>
    <n v="26"/>
    <n v="56"/>
    <n v="30"/>
    <n v="182587.61041527998"/>
    <n v="97814.791293899994"/>
    <x v="0"/>
  </r>
  <r>
    <x v="1"/>
    <x v="3"/>
    <x v="1"/>
    <s v="LICORES"/>
    <x v="0"/>
    <x v="173"/>
    <s v="ONZA"/>
    <n v="11532.86363636"/>
    <n v="27"/>
    <n v="22"/>
    <n v="-5"/>
    <n v="253722.99999991999"/>
    <n v="-57664.318181800001"/>
    <x v="2"/>
  </r>
  <r>
    <x v="3"/>
    <x v="11"/>
    <x v="5"/>
    <s v="PROTEINAS"/>
    <x v="1"/>
    <x v="282"/>
    <s v="GRAMOS"/>
    <n v="15.5"/>
    <n v="40000"/>
    <n v="40000"/>
    <n v="0"/>
    <n v="620000"/>
    <n v="0"/>
    <x v="1"/>
  </r>
  <r>
    <x v="3"/>
    <x v="11"/>
    <x v="5"/>
    <s v="SUB-RECETAS CP"/>
    <x v="1"/>
    <x v="258"/>
    <s v="UNIDADES"/>
    <n v="1590.8727593000001"/>
    <n v="389"/>
    <n v="389"/>
    <n v="0"/>
    <n v="618849.50336770003"/>
    <n v="0"/>
    <x v="1"/>
  </r>
  <r>
    <x v="3"/>
    <x v="11"/>
    <x v="5"/>
    <s v="SUB-RECETAS CP"/>
    <x v="1"/>
    <x v="256"/>
    <s v="UNIDADES"/>
    <n v="2028.6938623999999"/>
    <n v="344"/>
    <n v="300"/>
    <n v="-44"/>
    <n v="608608.15871999995"/>
    <n v="-89262.529945599992"/>
    <x v="2"/>
  </r>
  <r>
    <x v="0"/>
    <x v="8"/>
    <x v="4"/>
    <s v="SUB-RECETAS CP"/>
    <x v="1"/>
    <x v="278"/>
    <s v="GRAMOS"/>
    <n v="31.318912749999999"/>
    <n v="-6847"/>
    <n v="16392"/>
    <n v="23239"/>
    <n v="513379.61779799999"/>
    <n v="727820.21339724993"/>
    <x v="0"/>
  </r>
  <r>
    <x v="2"/>
    <x v="10"/>
    <x v="4"/>
    <s v="VINOS"/>
    <x v="0"/>
    <x v="86"/>
    <s v="COPA"/>
    <n v="4385.6000000000004"/>
    <n v="16"/>
    <n v="19"/>
    <n v="3"/>
    <n v="83326.400000000009"/>
    <n v="13156.800000000001"/>
    <x v="0"/>
  </r>
  <r>
    <x v="0"/>
    <x v="4"/>
    <x v="2"/>
    <s v="LICORES"/>
    <x v="0"/>
    <x v="134"/>
    <s v="ONZA"/>
    <n v="8389.75"/>
    <n v="9"/>
    <n v="11"/>
    <n v="2"/>
    <n v="92287.25"/>
    <n v="16779.5"/>
    <x v="0"/>
  </r>
  <r>
    <x v="1"/>
    <x v="3"/>
    <x v="1"/>
    <s v="CERVEZAS"/>
    <x v="0"/>
    <x v="77"/>
    <s v="UNIDADES"/>
    <n v="2773.5"/>
    <n v="180"/>
    <n v="210"/>
    <n v="30"/>
    <n v="582435"/>
    <n v="83205"/>
    <x v="0"/>
  </r>
  <r>
    <x v="1"/>
    <x v="9"/>
    <x v="4"/>
    <s v="LICORES"/>
    <x v="0"/>
    <x v="83"/>
    <s v="ONZA"/>
    <n v="7122.4772727299996"/>
    <n v="82"/>
    <n v="81"/>
    <n v="-1"/>
    <n v="576920.65909113002"/>
    <n v="-7122.4772727299996"/>
    <x v="2"/>
  </r>
  <r>
    <x v="1"/>
    <x v="9"/>
    <x v="4"/>
    <s v="VINOS"/>
    <x v="0"/>
    <x v="271"/>
    <s v="COPA"/>
    <n v="15145.266666670001"/>
    <n v="38"/>
    <n v="38"/>
    <n v="0"/>
    <n v="575520.13333346008"/>
    <n v="0"/>
    <x v="1"/>
  </r>
  <r>
    <x v="1"/>
    <x v="9"/>
    <x v="4"/>
    <s v="LICORES"/>
    <x v="0"/>
    <x v="21"/>
    <s v="ONZA"/>
    <n v="12951.25"/>
    <n v="44"/>
    <n v="44"/>
    <n v="0"/>
    <n v="569855"/>
    <n v="0"/>
    <x v="1"/>
  </r>
  <r>
    <x v="1"/>
    <x v="2"/>
    <x v="0"/>
    <s v="PESCADOS Y MARISCOS"/>
    <x v="1"/>
    <x v="246"/>
    <s v="GRAMOS"/>
    <n v="64.855090910000001"/>
    <n v="0"/>
    <n v="0"/>
    <n v="0"/>
    <n v="0"/>
    <n v="0"/>
    <x v="1"/>
  </r>
  <r>
    <x v="1"/>
    <x v="7"/>
    <x v="3"/>
    <s v="LICORES"/>
    <x v="0"/>
    <x v="132"/>
    <s v="ONZA"/>
    <n v="13020.86363636"/>
    <n v="43"/>
    <n v="43"/>
    <n v="0"/>
    <n v="559897.13636348001"/>
    <n v="0"/>
    <x v="1"/>
  </r>
  <r>
    <x v="1"/>
    <x v="9"/>
    <x v="4"/>
    <s v="LICORES"/>
    <x v="0"/>
    <x v="132"/>
    <s v="ONZA"/>
    <n v="13020.86363636"/>
    <n v="43"/>
    <n v="43"/>
    <n v="0"/>
    <n v="559897.13636348001"/>
    <n v="0"/>
    <x v="1"/>
  </r>
  <r>
    <x v="1"/>
    <x v="3"/>
    <x v="1"/>
    <s v="CERVEZAS"/>
    <x v="0"/>
    <x v="221"/>
    <s v="GRAMOS"/>
    <n v="24.444444440000002"/>
    <n v="22975"/>
    <n v="22645"/>
    <n v="-330"/>
    <n v="553544.44434380007"/>
    <n v="-8066.6666652000004"/>
    <x v="2"/>
  </r>
  <r>
    <x v="1"/>
    <x v="9"/>
    <x v="4"/>
    <s v="LICORES"/>
    <x v="0"/>
    <x v="2"/>
    <s v="ONZA"/>
    <n v="14896.95833333"/>
    <n v="37.700000000000003"/>
    <n v="37"/>
    <n v="-0.7"/>
    <n v="551187.45833320997"/>
    <n v="-10427.870833330999"/>
    <x v="2"/>
  </r>
  <r>
    <x v="1"/>
    <x v="2"/>
    <x v="0"/>
    <s v="VINOS"/>
    <x v="0"/>
    <x v="129"/>
    <s v="COPA"/>
    <n v="10880.4"/>
    <n v="49"/>
    <n v="49"/>
    <n v="0"/>
    <n v="533139.6"/>
    <n v="0"/>
    <x v="1"/>
  </r>
  <r>
    <x v="0"/>
    <x v="8"/>
    <x v="4"/>
    <s v="VINOS"/>
    <x v="0"/>
    <x v="86"/>
    <s v="COPA"/>
    <n v="4385.6000000000004"/>
    <n v="-2"/>
    <n v="0"/>
    <n v="2"/>
    <n v="0"/>
    <n v="8771.2000000000007"/>
    <x v="0"/>
  </r>
  <r>
    <x v="1"/>
    <x v="2"/>
    <x v="0"/>
    <s v="LICORES"/>
    <x v="0"/>
    <x v="2"/>
    <s v="ONZA"/>
    <n v="14896.95833333"/>
    <n v="34"/>
    <n v="34"/>
    <n v="0"/>
    <n v="506496.58333321998"/>
    <n v="0"/>
    <x v="1"/>
  </r>
  <r>
    <x v="0"/>
    <x v="4"/>
    <x v="2"/>
    <s v="LICORES"/>
    <x v="0"/>
    <x v="83"/>
    <s v="ONZA"/>
    <n v="7122.4772727299996"/>
    <n v="14"/>
    <n v="15"/>
    <n v="1"/>
    <n v="106837.15909094999"/>
    <n v="7122.4772727299996"/>
    <x v="0"/>
  </r>
  <r>
    <x v="0"/>
    <x v="4"/>
    <x v="2"/>
    <s v="SUB RECETAS"/>
    <x v="1"/>
    <x v="281"/>
    <s v="UNIDADES"/>
    <n v="3260.4930431299999"/>
    <n v="47"/>
    <n v="60"/>
    <n v="13"/>
    <n v="195629.58258779999"/>
    <n v="42386.409560690001"/>
    <x v="0"/>
  </r>
  <r>
    <x v="1"/>
    <x v="7"/>
    <x v="3"/>
    <s v="SUB-RECETAS CP"/>
    <x v="1"/>
    <x v="256"/>
    <s v="UNIDADES"/>
    <n v="2015.4481796"/>
    <n v="71"/>
    <n v="40"/>
    <n v="-31"/>
    <n v="80617.927184"/>
    <n v="-62478.893567599996"/>
    <x v="2"/>
  </r>
  <r>
    <x v="0"/>
    <x v="0"/>
    <x v="0"/>
    <s v="VINOS"/>
    <x v="0"/>
    <x v="193"/>
    <s v="ONZA"/>
    <n v="2137.5"/>
    <n v="23"/>
    <n v="22"/>
    <n v="-1"/>
    <n v="47025"/>
    <n v="-2137.5"/>
    <x v="2"/>
  </r>
  <r>
    <x v="1"/>
    <x v="2"/>
    <x v="0"/>
    <s v="VINOS"/>
    <x v="0"/>
    <x v="111"/>
    <s v="UNIDADES"/>
    <n v="37611.916666669997"/>
    <n v="13"/>
    <n v="13"/>
    <n v="0"/>
    <n v="488954.91666670993"/>
    <n v="0"/>
    <x v="1"/>
  </r>
  <r>
    <x v="1"/>
    <x v="3"/>
    <x v="1"/>
    <s v="CERVEZAS"/>
    <x v="0"/>
    <x v="213"/>
    <s v="GRAMOS"/>
    <n v="24.444444440000002"/>
    <n v="20560"/>
    <n v="19985"/>
    <n v="-575"/>
    <n v="488522.22213340004"/>
    <n v="-14055.555553"/>
    <x v="2"/>
  </r>
  <r>
    <x v="1"/>
    <x v="9"/>
    <x v="4"/>
    <s v="LICORES"/>
    <x v="0"/>
    <x v="28"/>
    <s v="ONZA"/>
    <n v="3754.15625"/>
    <n v="122"/>
    <n v="130"/>
    <n v="8"/>
    <n v="488040.3125"/>
    <n v="30033.25"/>
    <x v="0"/>
  </r>
  <r>
    <x v="0"/>
    <x v="6"/>
    <x v="3"/>
    <s v="SUB RECETAS"/>
    <x v="1"/>
    <x v="257"/>
    <s v="UNIDADES"/>
    <n v="1521.0488106"/>
    <n v="-50"/>
    <n v="108"/>
    <n v="158"/>
    <n v="164273.27154479999"/>
    <n v="240325.71207480002"/>
    <x v="0"/>
  </r>
  <r>
    <x v="0"/>
    <x v="4"/>
    <x v="2"/>
    <s v="SUB-RECETAS CP"/>
    <x v="1"/>
    <x v="278"/>
    <s v="GRAMOS"/>
    <n v="31.318912749999999"/>
    <n v="26200"/>
    <n v="12800"/>
    <n v="-13399.999997000001"/>
    <n v="400882.08319999999"/>
    <n v="-419673.43075604329"/>
    <x v="2"/>
  </r>
  <r>
    <x v="1"/>
    <x v="3"/>
    <x v="1"/>
    <s v="CERVEZAS"/>
    <x v="0"/>
    <x v="199"/>
    <s v="UNIDADES"/>
    <n v="3416.64355742"/>
    <n v="133"/>
    <n v="139"/>
    <n v="6"/>
    <n v="474913.45448138"/>
    <n v="20499.861344519999"/>
    <x v="0"/>
  </r>
  <r>
    <x v="1"/>
    <x v="3"/>
    <x v="1"/>
    <s v="CERVEZAS"/>
    <x v="0"/>
    <x v="216"/>
    <s v="GRAMOS"/>
    <n v="24.444444440000002"/>
    <n v="18140"/>
    <n v="19230"/>
    <n v="1090"/>
    <n v="470066.66658120003"/>
    <n v="26644.444439600004"/>
    <x v="0"/>
  </r>
  <r>
    <x v="1"/>
    <x v="5"/>
    <x v="2"/>
    <s v="LICORES"/>
    <x v="0"/>
    <x v="173"/>
    <s v="ONZA"/>
    <n v="12698.95454545"/>
    <n v="37"/>
    <n v="37"/>
    <n v="0"/>
    <n v="469861.31818165001"/>
    <n v="0"/>
    <x v="1"/>
  </r>
  <r>
    <x v="1"/>
    <x v="5"/>
    <x v="2"/>
    <s v="LICORES"/>
    <x v="0"/>
    <x v="132"/>
    <s v="ONZA"/>
    <n v="13020.86363636"/>
    <n v="36"/>
    <n v="36"/>
    <n v="0"/>
    <n v="468751.09090895997"/>
    <n v="0"/>
    <x v="1"/>
  </r>
  <r>
    <x v="0"/>
    <x v="0"/>
    <x v="0"/>
    <s v="PROTEINAS"/>
    <x v="1"/>
    <x v="211"/>
    <s v="UNIDADES"/>
    <n v="17053.33333333"/>
    <n v="0"/>
    <n v="0"/>
    <n v="0"/>
    <n v="0"/>
    <n v="0"/>
    <x v="1"/>
  </r>
  <r>
    <x v="1"/>
    <x v="3"/>
    <x v="1"/>
    <s v="LICORES"/>
    <x v="0"/>
    <x v="132"/>
    <s v="ONZA"/>
    <n v="11532.86363636"/>
    <n v="30"/>
    <n v="40.4"/>
    <n v="10.4"/>
    <n v="465927.690908944"/>
    <n v="119941.78181814401"/>
    <x v="0"/>
  </r>
  <r>
    <x v="1"/>
    <x v="2"/>
    <x v="0"/>
    <s v="LICORES"/>
    <x v="0"/>
    <x v="8"/>
    <s v="ONZA"/>
    <n v="15769.5"/>
    <n v="29"/>
    <n v="29"/>
    <n v="0"/>
    <n v="457315.5"/>
    <n v="0"/>
    <x v="1"/>
  </r>
  <r>
    <x v="1"/>
    <x v="9"/>
    <x v="4"/>
    <s v="VINOS"/>
    <x v="0"/>
    <x v="265"/>
    <s v="UNIDADES"/>
    <n v="444869"/>
    <n v="1"/>
    <n v="1"/>
    <n v="0"/>
    <n v="444869"/>
    <n v="0"/>
    <x v="1"/>
  </r>
  <r>
    <x v="1"/>
    <x v="5"/>
    <x v="2"/>
    <s v="VINOS"/>
    <x v="0"/>
    <x v="265"/>
    <s v="UNIDADES"/>
    <n v="444869"/>
    <n v="1"/>
    <n v="1"/>
    <n v="0"/>
    <n v="444869"/>
    <n v="0"/>
    <x v="1"/>
  </r>
  <r>
    <x v="1"/>
    <x v="9"/>
    <x v="4"/>
    <s v="LICORES"/>
    <x v="0"/>
    <x v="173"/>
    <s v="ONZA"/>
    <n v="12698.95454545"/>
    <n v="34"/>
    <n v="35"/>
    <n v="1"/>
    <n v="444463.40909075004"/>
    <n v="12698.95454545"/>
    <x v="0"/>
  </r>
  <r>
    <x v="1"/>
    <x v="3"/>
    <x v="1"/>
    <s v="LICORES"/>
    <x v="0"/>
    <x v="134"/>
    <s v="ONZA"/>
    <n v="9217.1666666700003"/>
    <n v="70"/>
    <n v="48"/>
    <n v="-22"/>
    <n v="442424.00000016001"/>
    <n v="-202777.66666674"/>
    <x v="2"/>
  </r>
  <r>
    <x v="1"/>
    <x v="9"/>
    <x v="4"/>
    <s v="VINOS"/>
    <x v="0"/>
    <x v="268"/>
    <s v="COPA"/>
    <n v="15144"/>
    <n v="29"/>
    <n v="29"/>
    <n v="0"/>
    <n v="439176"/>
    <n v="0"/>
    <x v="1"/>
  </r>
  <r>
    <x v="1"/>
    <x v="9"/>
    <x v="4"/>
    <s v="VINOS"/>
    <x v="0"/>
    <x v="267"/>
    <s v="COPA"/>
    <n v="10710.6"/>
    <n v="41"/>
    <n v="41"/>
    <n v="0"/>
    <n v="439134.60000000003"/>
    <n v="0"/>
    <x v="1"/>
  </r>
  <r>
    <x v="1"/>
    <x v="3"/>
    <x v="1"/>
    <s v="CERVEZAS"/>
    <x v="0"/>
    <x v="222"/>
    <s v="GRAMOS"/>
    <n v="24.444444440000002"/>
    <n v="19140"/>
    <n v="17950"/>
    <n v="-1190"/>
    <n v="438777.77769800002"/>
    <n v="-29088.888883600001"/>
    <x v="2"/>
  </r>
  <r>
    <x v="1"/>
    <x v="7"/>
    <x v="3"/>
    <s v="LICORES"/>
    <x v="0"/>
    <x v="231"/>
    <s v="ONZA"/>
    <n v="10178.90909091"/>
    <n v="43"/>
    <n v="43"/>
    <n v="0"/>
    <n v="437693.09090913"/>
    <n v="0"/>
    <x v="1"/>
  </r>
  <r>
    <x v="1"/>
    <x v="7"/>
    <x v="3"/>
    <s v="VINOS"/>
    <x v="0"/>
    <x v="98"/>
    <s v="UNIDADES"/>
    <n v="108834"/>
    <n v="4"/>
    <n v="4"/>
    <n v="0"/>
    <n v="435336"/>
    <n v="0"/>
    <x v="1"/>
  </r>
  <r>
    <x v="1"/>
    <x v="9"/>
    <x v="4"/>
    <s v="LICORES"/>
    <x v="0"/>
    <x v="180"/>
    <s v="ONZA"/>
    <n v="15318.181818180001"/>
    <n v="28.14"/>
    <n v="28.14"/>
    <n v="0"/>
    <n v="431053.63636358525"/>
    <n v="0"/>
    <x v="1"/>
  </r>
  <r>
    <x v="1"/>
    <x v="3"/>
    <x v="1"/>
    <s v="LICORES"/>
    <x v="0"/>
    <x v="17"/>
    <s v="ONZA"/>
    <n v="3359.40909091"/>
    <n v="21.34"/>
    <n v="20"/>
    <n v="-1.34"/>
    <n v="67188.181818199999"/>
    <n v="-4501.6081818194007"/>
    <x v="2"/>
  </r>
  <r>
    <x v="1"/>
    <x v="2"/>
    <x v="0"/>
    <s v="LICORES"/>
    <x v="0"/>
    <x v="231"/>
    <s v="ONZA"/>
    <n v="10178.95454545"/>
    <n v="42"/>
    <n v="42"/>
    <n v="0"/>
    <n v="427516.09090890002"/>
    <n v="0"/>
    <x v="1"/>
  </r>
  <r>
    <x v="1"/>
    <x v="3"/>
    <x v="1"/>
    <s v="CERVEZAS"/>
    <x v="0"/>
    <x v="76"/>
    <s v="UNIDADES"/>
    <n v="2319"/>
    <n v="186"/>
    <n v="184"/>
    <n v="-2"/>
    <n v="426696"/>
    <n v="-4638"/>
    <x v="2"/>
  </r>
  <r>
    <x v="1"/>
    <x v="7"/>
    <x v="3"/>
    <s v="SUB RECETAS"/>
    <x v="1"/>
    <x v="257"/>
    <s v="UNIDADES"/>
    <n v="1517.3646666699999"/>
    <n v="37"/>
    <n v="25"/>
    <n v="-12"/>
    <n v="37934.11666675"/>
    <n v="-18208.37600004"/>
    <x v="2"/>
  </r>
  <r>
    <x v="1"/>
    <x v="7"/>
    <x v="3"/>
    <s v="VINOS"/>
    <x v="0"/>
    <x v="262"/>
    <s v="ONZA"/>
    <n v="1842.78125"/>
    <n v="32"/>
    <n v="35"/>
    <n v="3"/>
    <n v="64497.34375"/>
    <n v="5528.34375"/>
    <x v="0"/>
  </r>
  <r>
    <x v="1"/>
    <x v="2"/>
    <x v="0"/>
    <s v="VINOS"/>
    <x v="0"/>
    <x v="107"/>
    <s v="UNIDADES"/>
    <n v="37608"/>
    <n v="11"/>
    <n v="11"/>
    <n v="0"/>
    <n v="413688"/>
    <n v="0"/>
    <x v="1"/>
  </r>
  <r>
    <x v="1"/>
    <x v="2"/>
    <x v="0"/>
    <s v="LICORES"/>
    <x v="0"/>
    <x v="172"/>
    <s v="ONZA"/>
    <n v="6154.6666666700003"/>
    <n v="67"/>
    <n v="67"/>
    <n v="0"/>
    <n v="412362.66666689003"/>
    <n v="0"/>
    <x v="1"/>
  </r>
  <r>
    <x v="1"/>
    <x v="7"/>
    <x v="3"/>
    <s v="SUB RECETAS"/>
    <x v="1"/>
    <x v="277"/>
    <s v="UNIDADES"/>
    <n v="2700.3227931299998"/>
    <n v="2"/>
    <n v="8"/>
    <n v="6"/>
    <n v="21602.582345039998"/>
    <n v="16201.936758779999"/>
    <x v="0"/>
  </r>
  <r>
    <x v="1"/>
    <x v="9"/>
    <x v="4"/>
    <s v="CERVEZAS"/>
    <x v="0"/>
    <x v="228"/>
    <s v="UNIDADES"/>
    <n v="18598"/>
    <n v="21.5014"/>
    <n v="22"/>
    <n v="0.49859199999999998"/>
    <n v="409156"/>
    <n v="9272.8140160000003"/>
    <x v="0"/>
  </r>
  <r>
    <x v="1"/>
    <x v="3"/>
    <x v="1"/>
    <s v="LICORES"/>
    <x v="0"/>
    <x v="167"/>
    <s v="ONZA"/>
    <n v="3104.5454545500002"/>
    <n v="98"/>
    <n v="88"/>
    <n v="-10"/>
    <n v="273200.0000004"/>
    <n v="-31045.454545500001"/>
    <x v="2"/>
  </r>
  <r>
    <x v="1"/>
    <x v="9"/>
    <x v="4"/>
    <s v="GASEOSAS Y SODAS"/>
    <x v="0"/>
    <x v="18"/>
    <s v="UNIDADES"/>
    <n v="5133.6666666700003"/>
    <n v="80.52"/>
    <n v="79"/>
    <n v="-1.52"/>
    <n v="405559.66666693002"/>
    <n v="-7803.1733333384009"/>
    <x v="2"/>
  </r>
  <r>
    <x v="1"/>
    <x v="3"/>
    <x v="1"/>
    <s v="LICORES"/>
    <x v="0"/>
    <x v="3"/>
    <s v="UNIDADES"/>
    <n v="100385"/>
    <n v="4"/>
    <n v="4"/>
    <n v="0"/>
    <n v="401540"/>
    <n v="0"/>
    <x v="1"/>
  </r>
  <r>
    <x v="1"/>
    <x v="3"/>
    <x v="1"/>
    <s v="LICORES"/>
    <x v="0"/>
    <x v="135"/>
    <s v="ONZA"/>
    <n v="5562.5"/>
    <n v="51"/>
    <n v="72"/>
    <n v="21"/>
    <n v="400500"/>
    <n v="116812.5"/>
    <x v="0"/>
  </r>
  <r>
    <x v="1"/>
    <x v="5"/>
    <x v="2"/>
    <s v="LICORES"/>
    <x v="0"/>
    <x v="83"/>
    <s v="ONZA"/>
    <n v="7122.4772727299996"/>
    <n v="-3"/>
    <n v="0"/>
    <n v="3"/>
    <n v="0"/>
    <n v="21367.431818189998"/>
    <x v="0"/>
  </r>
  <r>
    <x v="1"/>
    <x v="9"/>
    <x v="4"/>
    <s v="LICORES"/>
    <x v="0"/>
    <x v="55"/>
    <s v="ONZA"/>
    <n v="6303.25"/>
    <n v="33"/>
    <n v="62.72"/>
    <n v="5.72"/>
    <n v="395339.83999999997"/>
    <n v="36054.589999999997"/>
    <x v="0"/>
  </r>
  <r>
    <x v="3"/>
    <x v="11"/>
    <x v="5"/>
    <s v="SUB-RECETAS CP"/>
    <x v="1"/>
    <x v="283"/>
    <s v="GRAMOS"/>
    <n v="13.461459380000001"/>
    <n v="29336"/>
    <n v="29336"/>
    <n v="0"/>
    <n v="394905.37237168005"/>
    <n v="0"/>
    <x v="1"/>
  </r>
  <r>
    <x v="1"/>
    <x v="9"/>
    <x v="4"/>
    <s v="GASEOSAS Y SODAS"/>
    <x v="0"/>
    <x v="63"/>
    <s v="UNIDADES"/>
    <n v="4986.0833333299997"/>
    <n v="79.5"/>
    <n v="79"/>
    <n v="-0.5"/>
    <n v="393900.58333306998"/>
    <n v="-2493.0416666649999"/>
    <x v="2"/>
  </r>
  <r>
    <x v="1"/>
    <x v="2"/>
    <x v="0"/>
    <s v="PROTEINAS"/>
    <x v="1"/>
    <x v="211"/>
    <s v="UNIDADES"/>
    <n v="16550"/>
    <n v="0"/>
    <n v="0"/>
    <n v="0"/>
    <n v="0"/>
    <n v="0"/>
    <x v="1"/>
  </r>
  <r>
    <x v="1"/>
    <x v="3"/>
    <x v="1"/>
    <s v="LICORES"/>
    <x v="0"/>
    <x v="179"/>
    <s v="ONZA"/>
    <n v="7004.1666666700003"/>
    <n v="55"/>
    <n v="55"/>
    <n v="0"/>
    <n v="385229.16666685004"/>
    <n v="0"/>
    <x v="1"/>
  </r>
  <r>
    <x v="1"/>
    <x v="7"/>
    <x v="3"/>
    <s v="VINOS"/>
    <x v="0"/>
    <x v="238"/>
    <s v="UNIDADES"/>
    <n v="63897.666666669997"/>
    <n v="6"/>
    <n v="6"/>
    <n v="0"/>
    <n v="383386.00000001997"/>
    <n v="0"/>
    <x v="1"/>
  </r>
  <r>
    <x v="0"/>
    <x v="1"/>
    <x v="1"/>
    <s v="SUB RECETAS"/>
    <x v="1"/>
    <x v="284"/>
    <s v="UNIDADES"/>
    <n v="11062.590169360001"/>
    <n v="8"/>
    <n v="7"/>
    <n v="-1"/>
    <n v="77438.131185520004"/>
    <n v="-11062.590169360001"/>
    <x v="2"/>
  </r>
  <r>
    <x v="1"/>
    <x v="9"/>
    <x v="4"/>
    <s v="PESCADOS Y MARISCOS"/>
    <x v="1"/>
    <x v="121"/>
    <s v="GRAMOS"/>
    <n v="51.00376412"/>
    <n v="5438.4390000000003"/>
    <n v="7408"/>
    <n v="1969.561042"/>
    <n v="377835.88460096001"/>
    <n v="100455.02680610941"/>
    <x v="0"/>
  </r>
  <r>
    <x v="1"/>
    <x v="7"/>
    <x v="3"/>
    <s v="LICORES"/>
    <x v="0"/>
    <x v="4"/>
    <s v="ONZA"/>
    <n v="9648.9583333299997"/>
    <n v="38.68"/>
    <n v="39"/>
    <n v="0.32"/>
    <n v="376309.37499986996"/>
    <n v="3087.6666666656001"/>
    <x v="0"/>
  </r>
  <r>
    <x v="1"/>
    <x v="9"/>
    <x v="4"/>
    <s v="VINOS"/>
    <x v="0"/>
    <x v="241"/>
    <s v="UNIDADES"/>
    <n v="37616.833333330003"/>
    <n v="10"/>
    <n v="10"/>
    <n v="0"/>
    <n v="376168.33333330002"/>
    <n v="0"/>
    <x v="1"/>
  </r>
  <r>
    <x v="1"/>
    <x v="9"/>
    <x v="4"/>
    <s v="VINOS"/>
    <x v="0"/>
    <x v="233"/>
    <s v="UNIDADES"/>
    <n v="125043"/>
    <n v="3"/>
    <n v="3"/>
    <n v="0"/>
    <n v="375129"/>
    <n v="0"/>
    <x v="1"/>
  </r>
  <r>
    <x v="0"/>
    <x v="6"/>
    <x v="3"/>
    <s v="LICORES"/>
    <x v="0"/>
    <x v="19"/>
    <s v="UNIDADES"/>
    <n v="93956"/>
    <n v="0"/>
    <n v="2"/>
    <n v="2"/>
    <n v="187912"/>
    <n v="187912"/>
    <x v="0"/>
  </r>
  <r>
    <x v="1"/>
    <x v="3"/>
    <x v="1"/>
    <s v="LICORES"/>
    <x v="0"/>
    <x v="174"/>
    <s v="ONZA"/>
    <n v="4454.5454545499997"/>
    <n v="47"/>
    <n v="42"/>
    <n v="-5"/>
    <n v="187090.90909109998"/>
    <n v="-22272.727272749999"/>
    <x v="2"/>
  </r>
  <r>
    <x v="1"/>
    <x v="7"/>
    <x v="3"/>
    <s v="LICORES"/>
    <x v="0"/>
    <x v="173"/>
    <s v="ONZA"/>
    <n v="12698.95454545"/>
    <n v="29"/>
    <n v="29"/>
    <n v="0"/>
    <n v="368269.68181804998"/>
    <n v="0"/>
    <x v="1"/>
  </r>
  <r>
    <x v="0"/>
    <x v="4"/>
    <x v="2"/>
    <s v="LICORES"/>
    <x v="0"/>
    <x v="263"/>
    <s v="ONZA"/>
    <n v="4721.625"/>
    <n v="36"/>
    <n v="25"/>
    <n v="-11"/>
    <n v="118040.625"/>
    <n v="-51937.875"/>
    <x v="2"/>
  </r>
  <r>
    <x v="0"/>
    <x v="6"/>
    <x v="3"/>
    <s v="SUB RECETAS"/>
    <x v="1"/>
    <x v="281"/>
    <s v="UNIDADES"/>
    <n v="3260.4930431299999"/>
    <n v="116"/>
    <n v="67"/>
    <n v="-49"/>
    <n v="218453.03388971"/>
    <n v="-159764.15911337"/>
    <x v="2"/>
  </r>
  <r>
    <x v="0"/>
    <x v="0"/>
    <x v="0"/>
    <s v="LICORES"/>
    <x v="0"/>
    <x v="172"/>
    <s v="ONZA"/>
    <n v="6154.6666666700003"/>
    <n v="68"/>
    <n v="67"/>
    <n v="-1"/>
    <n v="412362.66666689003"/>
    <n v="-6154.6666666700003"/>
    <x v="2"/>
  </r>
  <r>
    <x v="1"/>
    <x v="7"/>
    <x v="3"/>
    <s v="VINOS"/>
    <x v="0"/>
    <x v="235"/>
    <s v="UNIDADES"/>
    <n v="71318"/>
    <n v="5"/>
    <n v="5"/>
    <n v="0"/>
    <n v="356590"/>
    <n v="0"/>
    <x v="1"/>
  </r>
  <r>
    <x v="1"/>
    <x v="9"/>
    <x v="4"/>
    <s v="SUB-RECETAS BAR"/>
    <x v="0"/>
    <x v="259"/>
    <s v="ONZA"/>
    <n v="3292.65804514"/>
    <n v="109"/>
    <n v="108"/>
    <n v="-1"/>
    <n v="355607.06887512002"/>
    <n v="-3292.65804514"/>
    <x v="2"/>
  </r>
  <r>
    <x v="0"/>
    <x v="0"/>
    <x v="0"/>
    <s v="PESCADOS Y MARISCOS"/>
    <x v="1"/>
    <x v="247"/>
    <s v="GRAMOS"/>
    <n v="49.53"/>
    <n v="0"/>
    <n v="0"/>
    <n v="0"/>
    <n v="0"/>
    <n v="0"/>
    <x v="1"/>
  </r>
  <r>
    <x v="1"/>
    <x v="9"/>
    <x v="4"/>
    <s v="PESCADOS Y MARISCOS"/>
    <x v="1"/>
    <x v="247"/>
    <s v="GRAMOS"/>
    <n v="54.545000000000002"/>
    <n v="5734.6665999999996"/>
    <n v="6492"/>
    <n v="757.33336799999995"/>
    <n v="354106.14"/>
    <n v="41308.74855756"/>
    <x v="0"/>
  </r>
  <r>
    <x v="1"/>
    <x v="2"/>
    <x v="0"/>
    <s v="VINOS"/>
    <x v="0"/>
    <x v="118"/>
    <s v="UNIDADES"/>
    <n v="176006.72268899999"/>
    <n v="2"/>
    <n v="2"/>
    <n v="0"/>
    <n v="352013.44537799997"/>
    <n v="0"/>
    <x v="1"/>
  </r>
  <r>
    <x v="1"/>
    <x v="3"/>
    <x v="1"/>
    <s v="LICORES"/>
    <x v="0"/>
    <x v="5"/>
    <s v="ONZA"/>
    <n v="6800.3640183199996"/>
    <n v="52"/>
    <n v="51.6"/>
    <n v="-0.4"/>
    <n v="350898.783345312"/>
    <n v="-2720.1456073280001"/>
    <x v="2"/>
  </r>
  <r>
    <x v="1"/>
    <x v="9"/>
    <x v="4"/>
    <s v="VINOS"/>
    <x v="0"/>
    <x v="264"/>
    <s v="COPA"/>
    <n v="15151.2"/>
    <n v="23"/>
    <n v="23"/>
    <n v="0"/>
    <n v="348477.60000000003"/>
    <n v="0"/>
    <x v="1"/>
  </r>
  <r>
    <x v="1"/>
    <x v="7"/>
    <x v="3"/>
    <s v="SUB RECETAS"/>
    <x v="1"/>
    <x v="285"/>
    <s v="UNIDADES"/>
    <n v="3902.6086956499998"/>
    <n v="89"/>
    <n v="89"/>
    <n v="0"/>
    <n v="347332.17391284998"/>
    <n v="0"/>
    <x v="1"/>
  </r>
  <r>
    <x v="1"/>
    <x v="9"/>
    <x v="4"/>
    <s v="LICORES"/>
    <x v="0"/>
    <x v="231"/>
    <s v="ONZA"/>
    <n v="10178.90909091"/>
    <n v="33"/>
    <n v="34"/>
    <n v="1"/>
    <n v="346082.90909093997"/>
    <n v="10178.90909091"/>
    <x v="0"/>
  </r>
  <r>
    <x v="1"/>
    <x v="3"/>
    <x v="1"/>
    <s v="CERVEZAS"/>
    <x v="0"/>
    <x v="184"/>
    <s v="UNIDADES"/>
    <n v="3244.25"/>
    <n v="106"/>
    <n v="106"/>
    <n v="0"/>
    <n v="343890.5"/>
    <n v="0"/>
    <x v="1"/>
  </r>
  <r>
    <x v="1"/>
    <x v="5"/>
    <x v="2"/>
    <s v="LICORES"/>
    <x v="0"/>
    <x v="263"/>
    <s v="ONZA"/>
    <n v="4721.625"/>
    <n v="13.34"/>
    <n v="20"/>
    <n v="6.66"/>
    <n v="94432.5"/>
    <n v="31446.022499999999"/>
    <x v="0"/>
  </r>
  <r>
    <x v="1"/>
    <x v="7"/>
    <x v="3"/>
    <s v="LICORES"/>
    <x v="0"/>
    <x v="263"/>
    <s v="ONZA"/>
    <n v="4721.625"/>
    <n v="44.34"/>
    <n v="45"/>
    <n v="0.66"/>
    <n v="212473.125"/>
    <n v="3116.2725"/>
    <x v="0"/>
  </r>
  <r>
    <x v="1"/>
    <x v="2"/>
    <x v="0"/>
    <s v="PESCADOS Y MARISCOS"/>
    <x v="1"/>
    <x v="247"/>
    <s v="GRAMOS"/>
    <n v="49.53"/>
    <n v="8250"/>
    <n v="0"/>
    <n v="0"/>
    <n v="0"/>
    <n v="0"/>
    <x v="1"/>
  </r>
  <r>
    <x v="1"/>
    <x v="2"/>
    <x v="0"/>
    <s v="LICORES"/>
    <x v="0"/>
    <x v="4"/>
    <s v="ONZA"/>
    <n v="9738.2016806699994"/>
    <n v="35"/>
    <n v="35"/>
    <n v="0"/>
    <n v="340837.05882345"/>
    <n v="0"/>
    <x v="1"/>
  </r>
  <r>
    <x v="1"/>
    <x v="3"/>
    <x v="1"/>
    <s v="PROTEINAS"/>
    <x v="1"/>
    <x v="205"/>
    <s v="UNIDADES"/>
    <n v="14780"/>
    <n v="23"/>
    <n v="23"/>
    <n v="0"/>
    <n v="339940"/>
    <n v="0"/>
    <x v="1"/>
  </r>
  <r>
    <x v="1"/>
    <x v="5"/>
    <x v="2"/>
    <s v="SUB RECETAS"/>
    <x v="1"/>
    <x v="253"/>
    <s v="UNIDADES"/>
    <n v="16080.436960970001"/>
    <n v="21"/>
    <n v="21"/>
    <n v="0"/>
    <n v="337689.17618037004"/>
    <n v="0"/>
    <x v="1"/>
  </r>
  <r>
    <x v="1"/>
    <x v="2"/>
    <x v="0"/>
    <s v="LICORES"/>
    <x v="0"/>
    <x v="132"/>
    <s v="ONZA"/>
    <n v="11532.86363636"/>
    <n v="29"/>
    <n v="29"/>
    <n v="0"/>
    <n v="334453.04545444"/>
    <n v="0"/>
    <x v="1"/>
  </r>
  <r>
    <x v="0"/>
    <x v="0"/>
    <x v="0"/>
    <s v="PROTEINAS"/>
    <x v="1"/>
    <x v="286"/>
    <s v="GRAMOS"/>
    <n v="32"/>
    <n v="4295"/>
    <n v="4285"/>
    <n v="-10"/>
    <n v="137120"/>
    <n v="-320"/>
    <x v="2"/>
  </r>
  <r>
    <x v="1"/>
    <x v="2"/>
    <x v="0"/>
    <s v="PROTEINAS"/>
    <x v="1"/>
    <x v="286"/>
    <s v="GRAMOS"/>
    <n v="32"/>
    <n v="4330"/>
    <n v="4338"/>
    <n v="8"/>
    <n v="138816"/>
    <n v="256"/>
    <x v="0"/>
  </r>
  <r>
    <x v="0"/>
    <x v="0"/>
    <x v="0"/>
    <s v="VINOS"/>
    <x v="0"/>
    <x v="287"/>
    <s v="UNIDADES"/>
    <n v="75606"/>
    <n v="3"/>
    <n v="2"/>
    <n v="-1"/>
    <n v="151212"/>
    <n v="-75606"/>
    <x v="2"/>
  </r>
  <r>
    <x v="0"/>
    <x v="6"/>
    <x v="3"/>
    <s v="LICORES"/>
    <x v="0"/>
    <x v="55"/>
    <s v="ONZA"/>
    <n v="6303.0416666700003"/>
    <n v="39"/>
    <n v="43"/>
    <n v="4"/>
    <n v="271030.79166680999"/>
    <n v="25212.166666680001"/>
    <x v="0"/>
  </r>
  <r>
    <x v="1"/>
    <x v="7"/>
    <x v="3"/>
    <s v="LICORES"/>
    <x v="0"/>
    <x v="23"/>
    <s v="ONZA"/>
    <n v="8628.9583333299997"/>
    <n v="38"/>
    <n v="38"/>
    <n v="0"/>
    <n v="327900.41666653997"/>
    <n v="0"/>
    <x v="1"/>
  </r>
  <r>
    <x v="1"/>
    <x v="3"/>
    <x v="1"/>
    <s v="SUB RECETAS"/>
    <x v="1"/>
    <x v="284"/>
    <s v="UNIDADES"/>
    <n v="4169.92511079"/>
    <n v="8"/>
    <n v="7"/>
    <n v="-1"/>
    <n v="29189.475775530002"/>
    <n v="-4169.92511079"/>
    <x v="2"/>
  </r>
  <r>
    <x v="1"/>
    <x v="9"/>
    <x v="4"/>
    <s v="VINOS"/>
    <x v="0"/>
    <x v="98"/>
    <s v="UNIDADES"/>
    <n v="108834"/>
    <n v="3"/>
    <n v="3"/>
    <n v="0"/>
    <n v="326502"/>
    <n v="0"/>
    <x v="1"/>
  </r>
  <r>
    <x v="0"/>
    <x v="0"/>
    <x v="0"/>
    <s v="PROTEINAS"/>
    <x v="1"/>
    <x v="217"/>
    <s v="UNIDADES"/>
    <n v="11459.77011494"/>
    <n v="62.5"/>
    <n v="120.5"/>
    <n v="58"/>
    <n v="1380902.29885027"/>
    <n v="664666.66666651994"/>
    <x v="0"/>
  </r>
  <r>
    <x v="1"/>
    <x v="5"/>
    <x v="2"/>
    <s v="AGUA Y TE"/>
    <x v="0"/>
    <x v="144"/>
    <s v="UNIDADES"/>
    <n v="7330"/>
    <n v="44"/>
    <n v="44"/>
    <n v="0"/>
    <n v="322520"/>
    <n v="0"/>
    <x v="1"/>
  </r>
  <r>
    <x v="1"/>
    <x v="7"/>
    <x v="3"/>
    <s v="LICORES"/>
    <x v="0"/>
    <x v="55"/>
    <s v="ONZA"/>
    <n v="6303.25"/>
    <n v="64"/>
    <n v="66"/>
    <n v="2"/>
    <n v="416014.5"/>
    <n v="12606.5"/>
    <x v="0"/>
  </r>
  <r>
    <x v="1"/>
    <x v="7"/>
    <x v="3"/>
    <s v="VINOS"/>
    <x v="0"/>
    <x v="268"/>
    <s v="COPA"/>
    <n v="15144"/>
    <n v="21"/>
    <n v="21"/>
    <n v="0"/>
    <n v="318024"/>
    <n v="0"/>
    <x v="1"/>
  </r>
  <r>
    <x v="0"/>
    <x v="8"/>
    <x v="4"/>
    <s v="VINOS"/>
    <x v="0"/>
    <x v="142"/>
    <s v="COPA"/>
    <n v="4005.2"/>
    <n v="6"/>
    <n v="7"/>
    <n v="1"/>
    <n v="28036.399999999998"/>
    <n v="4005.2"/>
    <x v="0"/>
  </r>
  <r>
    <x v="1"/>
    <x v="9"/>
    <x v="4"/>
    <s v="LICORES"/>
    <x v="0"/>
    <x v="288"/>
    <s v="ONZA"/>
    <n v="14293.772727269999"/>
    <n v="22"/>
    <n v="22"/>
    <n v="0"/>
    <n v="314462.99999993999"/>
    <n v="0"/>
    <x v="1"/>
  </r>
  <r>
    <x v="0"/>
    <x v="0"/>
    <x v="0"/>
    <s v="LICORES"/>
    <x v="0"/>
    <x v="138"/>
    <s v="ONZA"/>
    <n v="7147.1666666700003"/>
    <n v="38"/>
    <n v="37"/>
    <n v="-1"/>
    <n v="264445.16666679003"/>
    <n v="-7147.1666666700003"/>
    <x v="2"/>
  </r>
  <r>
    <x v="1"/>
    <x v="3"/>
    <x v="1"/>
    <s v="LICORES"/>
    <x v="0"/>
    <x v="35"/>
    <s v="ONZA"/>
    <n v="2056.3333333300002"/>
    <n v="136"/>
    <n v="150.80000000000001"/>
    <n v="14.8"/>
    <n v="310095.06666616403"/>
    <n v="30433.733333284003"/>
    <x v="0"/>
  </r>
  <r>
    <x v="1"/>
    <x v="9"/>
    <x v="4"/>
    <s v="SUB-RECETAS CP"/>
    <x v="1"/>
    <x v="278"/>
    <s v="GRAMOS"/>
    <n v="28.99074663"/>
    <n v="26257"/>
    <n v="10668"/>
    <n v="-15589"/>
    <n v="309273.28504883999"/>
    <n v="-451936.74921506998"/>
    <x v="2"/>
  </r>
  <r>
    <x v="1"/>
    <x v="9"/>
    <x v="4"/>
    <s v="LICORES"/>
    <x v="0"/>
    <x v="33"/>
    <s v="ONZA"/>
    <n v="2545.0104166699998"/>
    <n v="126"/>
    <n v="121"/>
    <n v="-5"/>
    <n v="307946.26041706995"/>
    <n v="-12725.05208335"/>
    <x v="2"/>
  </r>
  <r>
    <x v="0"/>
    <x v="0"/>
    <x v="0"/>
    <s v="LICORES"/>
    <x v="0"/>
    <x v="159"/>
    <s v="ONZA"/>
    <n v="3804.2272727300001"/>
    <n v="23"/>
    <n v="22"/>
    <n v="-1"/>
    <n v="83693.000000059998"/>
    <n v="-3804.2272727300001"/>
    <x v="2"/>
  </r>
  <r>
    <x v="1"/>
    <x v="9"/>
    <x v="4"/>
    <s v="LICORES"/>
    <x v="0"/>
    <x v="46"/>
    <s v="ONZA"/>
    <n v="6839.9166666700003"/>
    <n v="44.27"/>
    <n v="44"/>
    <n v="-0.27"/>
    <n v="300956.33333348"/>
    <n v="-1846.7775000009001"/>
    <x v="2"/>
  </r>
  <r>
    <x v="1"/>
    <x v="7"/>
    <x v="3"/>
    <s v="VINOS"/>
    <x v="0"/>
    <x v="241"/>
    <s v="UNIDADES"/>
    <n v="37616.833333330003"/>
    <n v="8"/>
    <n v="8"/>
    <n v="0"/>
    <n v="300934.66666664003"/>
    <n v="0"/>
    <x v="1"/>
  </r>
  <r>
    <x v="1"/>
    <x v="7"/>
    <x v="3"/>
    <s v="LICORES"/>
    <x v="0"/>
    <x v="43"/>
    <s v="ONZA"/>
    <n v="3072.2083333300002"/>
    <n v="78.5"/>
    <n v="107"/>
    <n v="28.5"/>
    <n v="328726.29166631005"/>
    <n v="87557.937499905005"/>
    <x v="0"/>
  </r>
  <r>
    <x v="1"/>
    <x v="9"/>
    <x v="4"/>
    <s v="GASEOSAS Y SODAS"/>
    <x v="0"/>
    <x v="1"/>
    <s v="UNIDADES"/>
    <n v="1497.59166667"/>
    <n v="205"/>
    <n v="199"/>
    <n v="-6"/>
    <n v="298020.74166732997"/>
    <n v="-8985.5500000200009"/>
    <x v="2"/>
  </r>
  <r>
    <x v="1"/>
    <x v="9"/>
    <x v="4"/>
    <s v="LICORES"/>
    <x v="0"/>
    <x v="134"/>
    <s v="ONZA"/>
    <n v="8389.75"/>
    <n v="33"/>
    <n v="35.46"/>
    <n v="2.46"/>
    <n v="297500.53500000003"/>
    <n v="20638.785"/>
    <x v="0"/>
  </r>
  <r>
    <x v="1"/>
    <x v="9"/>
    <x v="4"/>
    <s v="VINOS"/>
    <x v="0"/>
    <x v="244"/>
    <s v="UNIDADES"/>
    <n v="73956.022408999997"/>
    <n v="4"/>
    <n v="4"/>
    <n v="0"/>
    <n v="295824.08963599999"/>
    <n v="0"/>
    <x v="1"/>
  </r>
  <r>
    <x v="1"/>
    <x v="7"/>
    <x v="3"/>
    <s v="SUB-RECETAS BAR"/>
    <x v="0"/>
    <x v="259"/>
    <s v="ONZA"/>
    <n v="3292.65804514"/>
    <n v="88"/>
    <n v="88"/>
    <n v="0"/>
    <n v="289753.90797231998"/>
    <n v="0"/>
    <x v="1"/>
  </r>
  <r>
    <x v="1"/>
    <x v="9"/>
    <x v="4"/>
    <s v="GASEOSAS Y SODAS"/>
    <x v="0"/>
    <x v="160"/>
    <s v="UNIDADES"/>
    <n v="4986.0833333299997"/>
    <n v="63.52"/>
    <n v="58"/>
    <n v="-5.52"/>
    <n v="289192.83333314001"/>
    <n v="-27523.179999981596"/>
    <x v="2"/>
  </r>
  <r>
    <x v="1"/>
    <x v="9"/>
    <x v="4"/>
    <s v="PESCADOS Y MARISCOS"/>
    <x v="1"/>
    <x v="186"/>
    <s v="UNIDADES"/>
    <n v="1300"/>
    <n v="174"/>
    <n v="222"/>
    <n v="48"/>
    <n v="288600"/>
    <n v="62400"/>
    <x v="0"/>
  </r>
  <r>
    <x v="1"/>
    <x v="3"/>
    <x v="1"/>
    <s v="CERVEZAS"/>
    <x v="0"/>
    <x v="75"/>
    <s v="UNIDADES"/>
    <n v="2379.9986666700001"/>
    <n v="121"/>
    <n v="121"/>
    <n v="0"/>
    <n v="287979.83866707003"/>
    <n v="0"/>
    <x v="1"/>
  </r>
  <r>
    <x v="0"/>
    <x v="4"/>
    <x v="2"/>
    <s v="LICORES"/>
    <x v="0"/>
    <x v="55"/>
    <s v="ONZA"/>
    <n v="6303.0416666700003"/>
    <n v="16.5"/>
    <n v="42"/>
    <n v="25.5"/>
    <n v="264727.75000013999"/>
    <n v="160727.56250008501"/>
    <x v="0"/>
  </r>
  <r>
    <x v="1"/>
    <x v="2"/>
    <x v="0"/>
    <s v="VINOS"/>
    <x v="0"/>
    <x v="94"/>
    <s v="UNIDADES"/>
    <n v="95880"/>
    <n v="3"/>
    <n v="3"/>
    <n v="0"/>
    <n v="287640"/>
    <n v="0"/>
    <x v="1"/>
  </r>
  <r>
    <x v="1"/>
    <x v="2"/>
    <x v="0"/>
    <s v="PROTEINAS"/>
    <x v="1"/>
    <x v="217"/>
    <s v="UNIDADES"/>
    <n v="11532.5"/>
    <n v="121.5"/>
    <n v="142.69999999999999"/>
    <n v="21.2"/>
    <n v="1645687.7499999998"/>
    <n v="244489"/>
    <x v="0"/>
  </r>
  <r>
    <x v="1"/>
    <x v="9"/>
    <x v="4"/>
    <s v="VINOS"/>
    <x v="0"/>
    <x v="235"/>
    <s v="UNIDADES"/>
    <n v="71318"/>
    <n v="4"/>
    <n v="4"/>
    <n v="0"/>
    <n v="285272"/>
    <n v="0"/>
    <x v="1"/>
  </r>
  <r>
    <x v="1"/>
    <x v="9"/>
    <x v="4"/>
    <s v="PESCADOS Y MARISCOS"/>
    <x v="1"/>
    <x v="57"/>
    <s v="UNIDADES"/>
    <n v="485.71428571000001"/>
    <n v="661"/>
    <n v="586"/>
    <n v="-75"/>
    <n v="284628.57142605999"/>
    <n v="-36428.571428249998"/>
    <x v="2"/>
  </r>
  <r>
    <x v="1"/>
    <x v="7"/>
    <x v="3"/>
    <s v="LICORES"/>
    <x v="0"/>
    <x v="30"/>
    <s v="ONZA"/>
    <n v="6774.5454545499997"/>
    <n v="42"/>
    <n v="42"/>
    <n v="0"/>
    <n v="284530.90909109998"/>
    <n v="0"/>
    <x v="1"/>
  </r>
  <r>
    <x v="1"/>
    <x v="9"/>
    <x v="4"/>
    <s v="LICORES"/>
    <x v="0"/>
    <x v="270"/>
    <s v="ONZA"/>
    <n v="2172.3017241399998"/>
    <n v="140"/>
    <n v="130.32"/>
    <n v="-9.68"/>
    <n v="283094.36068992474"/>
    <n v="-21027.880689675196"/>
    <x v="2"/>
  </r>
  <r>
    <x v="1"/>
    <x v="2"/>
    <x v="0"/>
    <s v="LICORES"/>
    <x v="0"/>
    <x v="43"/>
    <s v="ONZA"/>
    <n v="3103.4482758600002"/>
    <n v="117"/>
    <n v="116"/>
    <n v="-1"/>
    <n v="359999.99999976001"/>
    <n v="-3103.4482758600002"/>
    <x v="2"/>
  </r>
  <r>
    <x v="0"/>
    <x v="1"/>
    <x v="1"/>
    <s v="SUB RECETAS"/>
    <x v="1"/>
    <x v="289"/>
    <s v="UNIDADES"/>
    <n v="4449.64160257"/>
    <n v="-34"/>
    <n v="0"/>
    <n v="34"/>
    <n v="0"/>
    <n v="151287.81448738"/>
    <x v="0"/>
  </r>
  <r>
    <x v="1"/>
    <x v="7"/>
    <x v="3"/>
    <s v="VINOS"/>
    <x v="0"/>
    <x v="113"/>
    <s v="UNIDADES"/>
    <n v="70600.5"/>
    <n v="4"/>
    <n v="4"/>
    <n v="0"/>
    <n v="282402"/>
    <n v="0"/>
    <x v="1"/>
  </r>
  <r>
    <x v="1"/>
    <x v="2"/>
    <x v="0"/>
    <s v="LICORES"/>
    <x v="0"/>
    <x v="110"/>
    <s v="ONZA"/>
    <n v="3171.7083333300002"/>
    <n v="89"/>
    <n v="89"/>
    <n v="0"/>
    <n v="282282.04166637"/>
    <n v="0"/>
    <x v="1"/>
  </r>
  <r>
    <x v="1"/>
    <x v="3"/>
    <x v="1"/>
    <s v="LICORES"/>
    <x v="0"/>
    <x v="19"/>
    <s v="UNIDADES"/>
    <n v="93956"/>
    <n v="3"/>
    <n v="3"/>
    <n v="0"/>
    <n v="281868"/>
    <n v="0"/>
    <x v="1"/>
  </r>
  <r>
    <x v="1"/>
    <x v="3"/>
    <x v="1"/>
    <s v="GASEOSAS Y SODAS"/>
    <x v="0"/>
    <x v="60"/>
    <s v="UNIDADES"/>
    <n v="2307.25"/>
    <n v="135"/>
    <n v="122"/>
    <n v="-13"/>
    <n v="281484.5"/>
    <n v="-29994.25"/>
    <x v="2"/>
  </r>
  <r>
    <x v="1"/>
    <x v="2"/>
    <x v="0"/>
    <s v="CERVEZAS"/>
    <x v="0"/>
    <x v="157"/>
    <s v="UNIDADES"/>
    <n v="3601.6666666699998"/>
    <n v="79"/>
    <n v="78"/>
    <n v="-1"/>
    <n v="280930.00000026001"/>
    <n v="-3601.6666666699998"/>
    <x v="2"/>
  </r>
  <r>
    <x v="1"/>
    <x v="9"/>
    <x v="4"/>
    <s v="CERVEZAS"/>
    <x v="0"/>
    <x v="178"/>
    <s v="UNIDADES"/>
    <n v="3465.1666666699998"/>
    <n v="81"/>
    <n v="81"/>
    <n v="0"/>
    <n v="280678.50000026997"/>
    <n v="0"/>
    <x v="1"/>
  </r>
  <r>
    <x v="0"/>
    <x v="6"/>
    <x v="3"/>
    <s v="LICORES"/>
    <x v="0"/>
    <x v="43"/>
    <s v="ONZA"/>
    <n v="2047.54310345"/>
    <n v="279.5"/>
    <n v="270"/>
    <n v="-9.5"/>
    <n v="552836.63793149998"/>
    <n v="-19451.659482775001"/>
    <x v="2"/>
  </r>
  <r>
    <x v="1"/>
    <x v="2"/>
    <x v="0"/>
    <s v="LICORES"/>
    <x v="0"/>
    <x v="72"/>
    <s v="ONZA"/>
    <n v="3884.5"/>
    <n v="68"/>
    <n v="67"/>
    <n v="-1"/>
    <n v="260261.5"/>
    <n v="-3884.5"/>
    <x v="2"/>
  </r>
  <r>
    <x v="0"/>
    <x v="0"/>
    <x v="0"/>
    <s v="SUB RECETAS"/>
    <x v="1"/>
    <x v="290"/>
    <s v="UNIDADES"/>
    <n v="6718.4716519100002"/>
    <n v="18"/>
    <n v="41"/>
    <n v="23"/>
    <n v="275457.33772831003"/>
    <n v="154524.84799393002"/>
    <x v="0"/>
  </r>
  <r>
    <x v="1"/>
    <x v="5"/>
    <x v="2"/>
    <s v="LICORES"/>
    <x v="0"/>
    <x v="55"/>
    <s v="ONZA"/>
    <n v="6303.25"/>
    <n v="23"/>
    <n v="36"/>
    <n v="13"/>
    <n v="226917"/>
    <n v="81942.25"/>
    <x v="0"/>
  </r>
  <r>
    <x v="1"/>
    <x v="2"/>
    <x v="0"/>
    <s v="CERVEZAS"/>
    <x v="0"/>
    <x v="143"/>
    <s v="UNIDADES"/>
    <n v="3200"/>
    <n v="22"/>
    <n v="22"/>
    <n v="0"/>
    <n v="70400"/>
    <n v="0"/>
    <x v="1"/>
  </r>
  <r>
    <x v="1"/>
    <x v="2"/>
    <x v="0"/>
    <s v="SUB RECETAS"/>
    <x v="1"/>
    <x v="290"/>
    <s v="UNIDADES"/>
    <n v="2123.3616128600002"/>
    <n v="34"/>
    <n v="33"/>
    <n v="-1"/>
    <n v="70070.933224380002"/>
    <n v="-2123.3616128600002"/>
    <x v="2"/>
  </r>
  <r>
    <x v="0"/>
    <x v="4"/>
    <x v="2"/>
    <s v="LICORES"/>
    <x v="0"/>
    <x v="43"/>
    <s v="ONZA"/>
    <n v="2047.54310345"/>
    <n v="143"/>
    <n v="123"/>
    <n v="-20"/>
    <n v="251847.80172434999"/>
    <n v="-40950.862069000003"/>
    <x v="2"/>
  </r>
  <r>
    <x v="0"/>
    <x v="1"/>
    <x v="1"/>
    <s v="GASEOSAS Y SODAS"/>
    <x v="0"/>
    <x v="67"/>
    <s v="UNIDADES"/>
    <n v="4986.1810224199999"/>
    <n v="19.86"/>
    <n v="21"/>
    <n v="1.1399999999999999"/>
    <n v="104709.80147081999"/>
    <n v="5684.246365558799"/>
    <x v="0"/>
  </r>
  <r>
    <x v="1"/>
    <x v="9"/>
    <x v="4"/>
    <s v="PROTEINAS"/>
    <x v="1"/>
    <x v="78"/>
    <s v="UNIDADES"/>
    <n v="8800"/>
    <n v="31"/>
    <n v="31"/>
    <n v="0"/>
    <n v="272800"/>
    <n v="0"/>
    <x v="1"/>
  </r>
  <r>
    <x v="1"/>
    <x v="3"/>
    <x v="1"/>
    <s v="LICORES"/>
    <x v="0"/>
    <x v="231"/>
    <s v="ONZA"/>
    <n v="10178.95454545"/>
    <n v="29"/>
    <n v="26.8"/>
    <n v="-2.2000000000000002"/>
    <n v="272795.98181806004"/>
    <n v="-22393.699999990004"/>
    <x v="2"/>
  </r>
  <r>
    <x v="1"/>
    <x v="5"/>
    <x v="2"/>
    <s v="SUB-RECETAS CP"/>
    <x v="1"/>
    <x v="278"/>
    <s v="GRAMOS"/>
    <n v="28.99074663"/>
    <n v="23985"/>
    <n v="17000"/>
    <n v="-6985"/>
    <n v="492842.69271000003"/>
    <n v="-202500.36521054999"/>
    <x v="2"/>
  </r>
  <r>
    <x v="1"/>
    <x v="9"/>
    <x v="4"/>
    <s v="CERVEZAS"/>
    <x v="0"/>
    <x v="227"/>
    <s v="UNIDADES"/>
    <n v="4102.8333333299997"/>
    <n v="66"/>
    <n v="66"/>
    <n v="0"/>
    <n v="270786.99999977998"/>
    <n v="0"/>
    <x v="1"/>
  </r>
  <r>
    <x v="1"/>
    <x v="3"/>
    <x v="1"/>
    <s v="GASEOSAS Y SODAS"/>
    <x v="0"/>
    <x v="47"/>
    <s v="UNIDADES"/>
    <n v="5132.5"/>
    <n v="15"/>
    <n v="16"/>
    <n v="1"/>
    <n v="82120"/>
    <n v="5132.5"/>
    <x v="0"/>
  </r>
  <r>
    <x v="1"/>
    <x v="5"/>
    <x v="2"/>
    <s v="LICORES"/>
    <x v="0"/>
    <x v="166"/>
    <s v="ONZA"/>
    <n v="9924"/>
    <n v="27"/>
    <n v="27"/>
    <n v="0"/>
    <n v="267948"/>
    <n v="0"/>
    <x v="1"/>
  </r>
  <r>
    <x v="0"/>
    <x v="0"/>
    <x v="0"/>
    <s v="CERVEZAS"/>
    <x v="0"/>
    <x v="178"/>
    <s v="UNIDADES"/>
    <n v="3465.2083333300002"/>
    <n v="64"/>
    <n v="64"/>
    <n v="0"/>
    <n v="221773.33333312001"/>
    <n v="0"/>
    <x v="1"/>
  </r>
  <r>
    <x v="1"/>
    <x v="5"/>
    <x v="2"/>
    <s v="AGUA Y TE"/>
    <x v="0"/>
    <x v="145"/>
    <s v="UNIDADES"/>
    <n v="7857"/>
    <n v="34"/>
    <n v="34"/>
    <n v="0"/>
    <n v="267138"/>
    <n v="0"/>
    <x v="1"/>
  </r>
  <r>
    <x v="1"/>
    <x v="2"/>
    <x v="0"/>
    <s v="LICORES"/>
    <x v="0"/>
    <x v="138"/>
    <s v="ONZA"/>
    <n v="7147.1666666700003"/>
    <n v="37"/>
    <n v="37"/>
    <n v="0"/>
    <n v="264445.16666679003"/>
    <n v="0"/>
    <x v="1"/>
  </r>
  <r>
    <x v="1"/>
    <x v="3"/>
    <x v="1"/>
    <s v="GASEOSAS Y SODAS"/>
    <x v="0"/>
    <x v="59"/>
    <s v="UNIDADES"/>
    <n v="2136.7111111099998"/>
    <n v="111"/>
    <n v="122"/>
    <n v="11"/>
    <n v="260678.75555541998"/>
    <n v="23503.822222209998"/>
    <x v="0"/>
  </r>
  <r>
    <x v="1"/>
    <x v="9"/>
    <x v="4"/>
    <s v="LICORES"/>
    <x v="0"/>
    <x v="263"/>
    <s v="ONZA"/>
    <n v="4721.625"/>
    <n v="14"/>
    <n v="55.17"/>
    <n v="17.170000000000002"/>
    <n v="260492.05125000002"/>
    <n v="81070.301250000004"/>
    <x v="0"/>
  </r>
  <r>
    <x v="1"/>
    <x v="5"/>
    <x v="2"/>
    <s v="LICORES"/>
    <x v="0"/>
    <x v="180"/>
    <s v="ONZA"/>
    <n v="15318.181818180001"/>
    <n v="17"/>
    <n v="17"/>
    <n v="0"/>
    <n v="260409.09090906"/>
    <n v="0"/>
    <x v="1"/>
  </r>
  <r>
    <x v="0"/>
    <x v="6"/>
    <x v="3"/>
    <s v="LICORES"/>
    <x v="0"/>
    <x v="270"/>
    <s v="ONZA"/>
    <n v="2077.8620689700001"/>
    <n v="48"/>
    <n v="64"/>
    <n v="16"/>
    <n v="132983.17241408001"/>
    <n v="33245.793103520002"/>
    <x v="0"/>
  </r>
  <r>
    <x v="1"/>
    <x v="2"/>
    <x v="0"/>
    <s v="LICORES"/>
    <x v="0"/>
    <x v="203"/>
    <s v="ONZA"/>
    <n v="2134.5416666699998"/>
    <n v="45"/>
    <n v="44"/>
    <n v="-1"/>
    <n v="93919.833333479997"/>
    <n v="-2134.5416666699998"/>
    <x v="2"/>
  </r>
  <r>
    <x v="1"/>
    <x v="2"/>
    <x v="0"/>
    <s v="GASEOSAS Y SODAS"/>
    <x v="0"/>
    <x v="11"/>
    <s v="UNIDADES"/>
    <n v="3750"/>
    <n v="7.96"/>
    <n v="8.5"/>
    <n v="0.54"/>
    <n v="31875"/>
    <n v="2025.0000000000002"/>
    <x v="0"/>
  </r>
  <r>
    <x v="1"/>
    <x v="5"/>
    <x v="2"/>
    <s v="PESCADOS Y MARISCOS"/>
    <x v="1"/>
    <x v="84"/>
    <s v="UNIDADES"/>
    <n v="17250.131652659999"/>
    <n v="15"/>
    <n v="15"/>
    <n v="0"/>
    <n v="258751.97478989998"/>
    <n v="0"/>
    <x v="1"/>
  </r>
  <r>
    <x v="1"/>
    <x v="5"/>
    <x v="2"/>
    <s v="VINOS"/>
    <x v="0"/>
    <x v="271"/>
    <s v="COPA"/>
    <n v="15145.266666670001"/>
    <n v="17"/>
    <n v="17"/>
    <n v="0"/>
    <n v="257469.53333339002"/>
    <n v="0"/>
    <x v="1"/>
  </r>
  <r>
    <x v="1"/>
    <x v="5"/>
    <x v="2"/>
    <s v="VINOS"/>
    <x v="0"/>
    <x v="242"/>
    <s v="COPA"/>
    <n v="10715.3"/>
    <n v="24"/>
    <n v="24"/>
    <n v="0"/>
    <n v="257167.19999999998"/>
    <n v="0"/>
    <x v="1"/>
  </r>
  <r>
    <x v="1"/>
    <x v="7"/>
    <x v="3"/>
    <s v="VINOS"/>
    <x v="0"/>
    <x v="267"/>
    <s v="COPA"/>
    <n v="10710.6"/>
    <n v="24"/>
    <n v="24"/>
    <n v="0"/>
    <n v="257054.40000000002"/>
    <n v="0"/>
    <x v="1"/>
  </r>
  <r>
    <x v="1"/>
    <x v="3"/>
    <x v="1"/>
    <s v="LICORES"/>
    <x v="0"/>
    <x v="39"/>
    <s v="ONZA"/>
    <n v="4075.1666666699998"/>
    <n v="63"/>
    <n v="63"/>
    <n v="0"/>
    <n v="256735.50000020998"/>
    <n v="0"/>
    <x v="1"/>
  </r>
  <r>
    <x v="1"/>
    <x v="7"/>
    <x v="3"/>
    <s v="LICORES"/>
    <x v="0"/>
    <x v="83"/>
    <s v="ONZA"/>
    <n v="7122.4772727299996"/>
    <n v="36"/>
    <n v="36"/>
    <n v="0"/>
    <n v="256409.18181827999"/>
    <n v="0"/>
    <x v="1"/>
  </r>
  <r>
    <x v="1"/>
    <x v="9"/>
    <x v="4"/>
    <s v="LICORES"/>
    <x v="0"/>
    <x v="5"/>
    <s v="ONZA"/>
    <n v="6800.3640183199996"/>
    <n v="37.68"/>
    <n v="37.549999999999997"/>
    <n v="-0.13"/>
    <n v="255353.66888791596"/>
    <n v="-884.0473223816"/>
    <x v="2"/>
  </r>
  <r>
    <x v="0"/>
    <x v="1"/>
    <x v="1"/>
    <s v="AGUA Y TE"/>
    <x v="0"/>
    <x v="29"/>
    <s v="UNIDADES"/>
    <n v="1234.3916666699999"/>
    <n v="31"/>
    <n v="55"/>
    <n v="24"/>
    <n v="67891.541666849997"/>
    <n v="29625.400000080001"/>
    <x v="0"/>
  </r>
  <r>
    <x v="1"/>
    <x v="5"/>
    <x v="2"/>
    <s v="GASEOSAS Y SODAS"/>
    <x v="0"/>
    <x v="59"/>
    <s v="UNIDADES"/>
    <n v="2323.7849794200001"/>
    <n v="108"/>
    <n v="108"/>
    <n v="0"/>
    <n v="250968.77777736002"/>
    <n v="0"/>
    <x v="1"/>
  </r>
  <r>
    <x v="1"/>
    <x v="7"/>
    <x v="3"/>
    <s v="VINOS"/>
    <x v="0"/>
    <x v="233"/>
    <s v="UNIDADES"/>
    <n v="125043"/>
    <n v="2"/>
    <n v="2"/>
    <n v="0"/>
    <n v="250086"/>
    <n v="0"/>
    <x v="1"/>
  </r>
  <r>
    <x v="1"/>
    <x v="5"/>
    <x v="2"/>
    <s v="VINOS"/>
    <x v="0"/>
    <x v="233"/>
    <s v="UNIDADES"/>
    <n v="125043"/>
    <n v="2"/>
    <n v="2"/>
    <n v="0"/>
    <n v="250086"/>
    <n v="0"/>
    <x v="1"/>
  </r>
  <r>
    <x v="1"/>
    <x v="2"/>
    <x v="0"/>
    <s v="LICORES"/>
    <x v="0"/>
    <x v="23"/>
    <s v="ONZA"/>
    <n v="8308.1111111099999"/>
    <n v="30"/>
    <n v="30"/>
    <n v="0"/>
    <n v="249243.33333329999"/>
    <n v="0"/>
    <x v="1"/>
  </r>
  <r>
    <x v="1"/>
    <x v="2"/>
    <x v="0"/>
    <s v="VINOS"/>
    <x v="0"/>
    <x v="95"/>
    <s v="UNIDADES"/>
    <n v="82575"/>
    <n v="3"/>
    <n v="3"/>
    <n v="0"/>
    <n v="247725"/>
    <n v="0"/>
    <x v="1"/>
  </r>
  <r>
    <x v="1"/>
    <x v="2"/>
    <x v="0"/>
    <s v="CERVEZAS"/>
    <x v="0"/>
    <x v="178"/>
    <s v="UNIDADES"/>
    <n v="3465.1666666699998"/>
    <n v="71"/>
    <n v="71"/>
    <n v="0"/>
    <n v="246026.83333356999"/>
    <n v="0"/>
    <x v="1"/>
  </r>
  <r>
    <x v="1"/>
    <x v="9"/>
    <x v="4"/>
    <s v="VINOS"/>
    <x v="0"/>
    <x v="242"/>
    <s v="COPA"/>
    <n v="10715.3"/>
    <n v="23"/>
    <n v="23"/>
    <n v="0"/>
    <n v="246451.9"/>
    <n v="0"/>
    <x v="1"/>
  </r>
  <r>
    <x v="0"/>
    <x v="0"/>
    <x v="0"/>
    <s v="CERVEZAS"/>
    <x v="0"/>
    <x v="199"/>
    <s v="UNIDADES"/>
    <n v="3416.64355742"/>
    <n v="-1"/>
    <n v="0"/>
    <n v="1"/>
    <n v="0"/>
    <n v="3416.64355742"/>
    <x v="0"/>
  </r>
  <r>
    <x v="1"/>
    <x v="9"/>
    <x v="4"/>
    <s v="LICORES"/>
    <x v="0"/>
    <x v="23"/>
    <s v="ONZA"/>
    <n v="8628.9583333299997"/>
    <n v="0"/>
    <n v="28"/>
    <n v="28"/>
    <n v="241610.83333324001"/>
    <n v="241610.83333324001"/>
    <x v="0"/>
  </r>
  <r>
    <x v="3"/>
    <x v="11"/>
    <x v="5"/>
    <s v="SUB-RECETAS CP"/>
    <x v="1"/>
    <x v="291"/>
    <s v="UNIDADES"/>
    <n v="1106.87022901"/>
    <n v="218"/>
    <n v="218"/>
    <n v="0"/>
    <n v="241297.70992418"/>
    <n v="0"/>
    <x v="1"/>
  </r>
  <r>
    <x v="1"/>
    <x v="9"/>
    <x v="4"/>
    <s v="LICORES"/>
    <x v="0"/>
    <x v="4"/>
    <s v="ONZA"/>
    <n v="9648.9583333299997"/>
    <n v="23.7"/>
    <n v="25"/>
    <n v="1.3"/>
    <n v="241223.95833324999"/>
    <n v="12543.645833328999"/>
    <x v="0"/>
  </r>
  <r>
    <x v="1"/>
    <x v="7"/>
    <x v="3"/>
    <s v="LICORES"/>
    <x v="0"/>
    <x v="270"/>
    <s v="ONZA"/>
    <n v="2172.3017241399998"/>
    <n v="48"/>
    <n v="35"/>
    <n v="-13"/>
    <n v="76030.56034489999"/>
    <n v="-28239.922413819997"/>
    <x v="2"/>
  </r>
  <r>
    <x v="1"/>
    <x v="2"/>
    <x v="0"/>
    <s v="LICORES"/>
    <x v="0"/>
    <x v="38"/>
    <s v="UNIDADES"/>
    <n v="26517"/>
    <n v="9"/>
    <n v="9"/>
    <n v="0"/>
    <n v="238653"/>
    <n v="0"/>
    <x v="1"/>
  </r>
  <r>
    <x v="1"/>
    <x v="5"/>
    <x v="2"/>
    <s v="LICORES"/>
    <x v="0"/>
    <x v="2"/>
    <s v="ONZA"/>
    <n v="14896.95833333"/>
    <n v="16"/>
    <n v="16"/>
    <n v="0"/>
    <n v="238351.33333328"/>
    <n v="0"/>
    <x v="1"/>
  </r>
  <r>
    <x v="1"/>
    <x v="7"/>
    <x v="3"/>
    <s v="AGUA Y TE"/>
    <x v="0"/>
    <x v="158"/>
    <s v="UNIDADES"/>
    <n v="1654.2666666699999"/>
    <n v="143"/>
    <n v="143"/>
    <n v="0"/>
    <n v="236560.13333380999"/>
    <n v="0"/>
    <x v="1"/>
  </r>
  <r>
    <x v="1"/>
    <x v="9"/>
    <x v="4"/>
    <s v="LICORES"/>
    <x v="0"/>
    <x v="292"/>
    <s v="ONZA"/>
    <n v="10667.40909091"/>
    <n v="22"/>
    <n v="22"/>
    <n v="0"/>
    <n v="234683.00000001999"/>
    <n v="0"/>
    <x v="1"/>
  </r>
  <r>
    <x v="1"/>
    <x v="3"/>
    <x v="1"/>
    <s v="VINOS"/>
    <x v="0"/>
    <x v="262"/>
    <s v="ONZA"/>
    <n v="2137.5"/>
    <n v="10"/>
    <n v="8.6"/>
    <n v="-1.4"/>
    <n v="18382.5"/>
    <n v="-2992.5"/>
    <x v="2"/>
  </r>
  <r>
    <x v="3"/>
    <x v="11"/>
    <x v="5"/>
    <s v="SUB-RECETAS CP"/>
    <x v="1"/>
    <x v="293"/>
    <s v="GRAMOS"/>
    <n v="11.682482569999999"/>
    <n v="20000"/>
    <n v="20000"/>
    <n v="0"/>
    <n v="233649.6514"/>
    <n v="0"/>
    <x v="1"/>
  </r>
  <r>
    <x v="1"/>
    <x v="2"/>
    <x v="0"/>
    <s v="GASEOSAS Y SODAS"/>
    <x v="0"/>
    <x v="60"/>
    <s v="UNIDADES"/>
    <n v="2307.25"/>
    <n v="101"/>
    <n v="101"/>
    <n v="0"/>
    <n v="233032.25"/>
    <n v="0"/>
    <x v="1"/>
  </r>
  <r>
    <x v="1"/>
    <x v="9"/>
    <x v="4"/>
    <s v="LICORES"/>
    <x v="0"/>
    <x v="31"/>
    <s v="ONZA"/>
    <n v="2972.2291666699998"/>
    <n v="66"/>
    <n v="77"/>
    <n v="11"/>
    <n v="228861.64583358998"/>
    <n v="32694.520833369999"/>
    <x v="0"/>
  </r>
  <r>
    <x v="1"/>
    <x v="2"/>
    <x v="0"/>
    <s v="VINOS"/>
    <x v="0"/>
    <x v="93"/>
    <s v="UNIDADES"/>
    <n v="113953"/>
    <n v="2"/>
    <n v="2"/>
    <n v="0"/>
    <n v="227906"/>
    <n v="0"/>
    <x v="1"/>
  </r>
  <r>
    <x v="1"/>
    <x v="5"/>
    <x v="2"/>
    <s v="LICORES"/>
    <x v="0"/>
    <x v="43"/>
    <s v="ONZA"/>
    <n v="3072.2083333300002"/>
    <n v="-135.5"/>
    <n v="19"/>
    <n v="154.5"/>
    <n v="58371.958333270006"/>
    <n v="474656.18749948504"/>
    <x v="0"/>
  </r>
  <r>
    <x v="1"/>
    <x v="7"/>
    <x v="3"/>
    <s v="VINOS"/>
    <x v="0"/>
    <x v="107"/>
    <s v="UNIDADES"/>
    <n v="37608"/>
    <n v="6"/>
    <n v="6"/>
    <n v="0"/>
    <n v="225648"/>
    <n v="0"/>
    <x v="1"/>
  </r>
  <r>
    <x v="1"/>
    <x v="2"/>
    <x v="0"/>
    <s v="LICORES"/>
    <x v="0"/>
    <x v="15"/>
    <s v="ONZA"/>
    <n v="2902.5454545500002"/>
    <n v="26"/>
    <n v="25"/>
    <n v="-1"/>
    <n v="72563.636363750004"/>
    <n v="-2902.5454545500002"/>
    <x v="2"/>
  </r>
  <r>
    <x v="1"/>
    <x v="2"/>
    <x v="0"/>
    <s v="VINOS"/>
    <x v="0"/>
    <x v="142"/>
    <s v="COPA"/>
    <n v="4385.1400000000003"/>
    <n v="77"/>
    <n v="75"/>
    <n v="-2"/>
    <n v="328885.5"/>
    <n v="-8770.2800000000007"/>
    <x v="2"/>
  </r>
  <r>
    <x v="1"/>
    <x v="9"/>
    <x v="4"/>
    <s v="VINOS"/>
    <x v="0"/>
    <x v="243"/>
    <s v="UNIDADES"/>
    <n v="74130.252101000005"/>
    <n v="3"/>
    <n v="3"/>
    <n v="0"/>
    <n v="222390.75630300003"/>
    <n v="0"/>
    <x v="1"/>
  </r>
  <r>
    <x v="0"/>
    <x v="6"/>
    <x v="3"/>
    <s v="SUB-RECETAS CP"/>
    <x v="1"/>
    <x v="278"/>
    <s v="GRAMOS"/>
    <n v="31.318912749999999"/>
    <n v="4890"/>
    <n v="9000"/>
    <n v="4110"/>
    <n v="281870.21474999998"/>
    <n v="128720.73140249999"/>
    <x v="0"/>
  </r>
  <r>
    <x v="0"/>
    <x v="0"/>
    <x v="0"/>
    <s v="SUB RECETAS"/>
    <x v="1"/>
    <x v="294"/>
    <s v="UNIDADES"/>
    <n v="1208.23675927"/>
    <n v="39"/>
    <n v="36"/>
    <n v="-3"/>
    <n v="43496.523333719997"/>
    <n v="-3624.7102778099998"/>
    <x v="2"/>
  </r>
  <r>
    <x v="1"/>
    <x v="3"/>
    <x v="1"/>
    <s v="CERVEZAS"/>
    <x v="0"/>
    <x v="143"/>
    <s v="UNIDADES"/>
    <n v="3050"/>
    <n v="72"/>
    <n v="72"/>
    <n v="0"/>
    <n v="219600"/>
    <n v="0"/>
    <x v="1"/>
  </r>
  <r>
    <x v="1"/>
    <x v="9"/>
    <x v="4"/>
    <s v="LICORES"/>
    <x v="0"/>
    <x v="24"/>
    <s v="ONZA"/>
    <n v="1993.59090909"/>
    <n v="80.34"/>
    <n v="110"/>
    <n v="29.66"/>
    <n v="219294.9999999"/>
    <n v="59129.9063636094"/>
    <x v="0"/>
  </r>
  <r>
    <x v="1"/>
    <x v="7"/>
    <x v="3"/>
    <s v="VINOS"/>
    <x v="0"/>
    <x v="239"/>
    <s v="UNIDADES"/>
    <n v="72880"/>
    <n v="3"/>
    <n v="3"/>
    <n v="0"/>
    <n v="218640"/>
    <n v="0"/>
    <x v="1"/>
  </r>
  <r>
    <x v="1"/>
    <x v="9"/>
    <x v="4"/>
    <s v="VINOS"/>
    <x v="0"/>
    <x v="239"/>
    <s v="UNIDADES"/>
    <n v="72880"/>
    <n v="3"/>
    <n v="3"/>
    <n v="0"/>
    <n v="218640"/>
    <n v="0"/>
    <x v="1"/>
  </r>
  <r>
    <x v="1"/>
    <x v="5"/>
    <x v="2"/>
    <s v="VINOS"/>
    <x v="0"/>
    <x v="239"/>
    <s v="UNIDADES"/>
    <n v="72880"/>
    <n v="3"/>
    <n v="3"/>
    <n v="0"/>
    <n v="218640"/>
    <n v="0"/>
    <x v="1"/>
  </r>
  <r>
    <x v="1"/>
    <x v="5"/>
    <x v="2"/>
    <s v="VINOS"/>
    <x v="0"/>
    <x v="98"/>
    <s v="UNIDADES"/>
    <n v="108834"/>
    <n v="2"/>
    <n v="2"/>
    <n v="0"/>
    <n v="217668"/>
    <n v="0"/>
    <x v="1"/>
  </r>
  <r>
    <x v="1"/>
    <x v="9"/>
    <x v="4"/>
    <s v="VINOS"/>
    <x v="0"/>
    <x v="114"/>
    <s v="COPA"/>
    <n v="10705.05"/>
    <n v="20"/>
    <n v="20"/>
    <n v="0"/>
    <n v="214101"/>
    <n v="0"/>
    <x v="1"/>
  </r>
  <r>
    <x v="0"/>
    <x v="1"/>
    <x v="1"/>
    <s v="LICORES"/>
    <x v="0"/>
    <x v="134"/>
    <s v="ONZA"/>
    <n v="9217.1666666700003"/>
    <n v="69"/>
    <n v="70"/>
    <n v="1"/>
    <n v="645201.66666690004"/>
    <n v="9217.1666666700003"/>
    <x v="0"/>
  </r>
  <r>
    <x v="1"/>
    <x v="7"/>
    <x v="3"/>
    <s v="LICORES"/>
    <x v="0"/>
    <x v="110"/>
    <s v="ONZA"/>
    <n v="3171.7162499999999"/>
    <n v="35"/>
    <n v="36"/>
    <n v="1"/>
    <n v="114181.785"/>
    <n v="3171.7162499999999"/>
    <x v="0"/>
  </r>
  <r>
    <x v="1"/>
    <x v="9"/>
    <x v="4"/>
    <s v="VINOS"/>
    <x v="0"/>
    <x v="113"/>
    <s v="UNIDADES"/>
    <n v="70600.5"/>
    <n v="3"/>
    <n v="3"/>
    <n v="0"/>
    <n v="211801.5"/>
    <n v="0"/>
    <x v="1"/>
  </r>
  <r>
    <x v="0"/>
    <x v="4"/>
    <x v="2"/>
    <s v="VINOS"/>
    <x v="0"/>
    <x v="264"/>
    <s v="COPA"/>
    <n v="15151.2"/>
    <n v="19"/>
    <n v="14"/>
    <n v="-5"/>
    <n v="212116.80000000002"/>
    <n v="-75756"/>
    <x v="2"/>
  </r>
  <r>
    <x v="1"/>
    <x v="2"/>
    <x v="0"/>
    <s v="SUB RECETAS"/>
    <x v="1"/>
    <x v="294"/>
    <s v="UNIDADES"/>
    <n v="2521.1089014300001"/>
    <n v="29"/>
    <n v="27"/>
    <n v="-2"/>
    <n v="68069.940338610002"/>
    <n v="-5042.2178028600001"/>
    <x v="2"/>
  </r>
  <r>
    <x v="1"/>
    <x v="9"/>
    <x v="4"/>
    <s v="LICORES"/>
    <x v="0"/>
    <x v="39"/>
    <s v="ONZA"/>
    <n v="4075.1666666699998"/>
    <n v="52"/>
    <n v="51"/>
    <n v="-1"/>
    <n v="207833.50000017"/>
    <n v="-4075.1666666699998"/>
    <x v="2"/>
  </r>
  <r>
    <x v="1"/>
    <x v="5"/>
    <x v="2"/>
    <s v="VINOS"/>
    <x v="0"/>
    <x v="264"/>
    <s v="COPA"/>
    <n v="15151.2"/>
    <n v="14"/>
    <n v="19"/>
    <n v="5"/>
    <n v="287872.8"/>
    <n v="75756"/>
    <x v="0"/>
  </r>
  <r>
    <x v="1"/>
    <x v="3"/>
    <x v="1"/>
    <s v="GASEOSAS Y SODAS"/>
    <x v="0"/>
    <x v="1"/>
    <s v="UNIDADES"/>
    <n v="1497.59166667"/>
    <n v="168.86"/>
    <n v="138"/>
    <n v="-30.86"/>
    <n v="206667.65000046001"/>
    <n v="-46215.678833436199"/>
    <x v="2"/>
  </r>
  <r>
    <x v="1"/>
    <x v="2"/>
    <x v="0"/>
    <s v="LICORES"/>
    <x v="0"/>
    <x v="35"/>
    <s v="ONZA"/>
    <n v="2056.3333333300002"/>
    <n v="31"/>
    <n v="30"/>
    <n v="-1"/>
    <n v="61689.999999900007"/>
    <n v="-2056.3333333300002"/>
    <x v="2"/>
  </r>
  <r>
    <x v="1"/>
    <x v="3"/>
    <x v="1"/>
    <s v="LICORES"/>
    <x v="0"/>
    <x v="159"/>
    <s v="ONZA"/>
    <n v="3804.2272727300001"/>
    <n v="54"/>
    <n v="54"/>
    <n v="0"/>
    <n v="205428.27272742"/>
    <n v="0"/>
    <x v="1"/>
  </r>
  <r>
    <x v="1"/>
    <x v="3"/>
    <x v="1"/>
    <s v="LICORES"/>
    <x v="0"/>
    <x v="169"/>
    <s v="ONZA"/>
    <n v="2566.2447257499998"/>
    <n v="74"/>
    <n v="79.8"/>
    <n v="5.8"/>
    <n v="204786.32911484997"/>
    <n v="14884.219409349998"/>
    <x v="0"/>
  </r>
  <r>
    <x v="1"/>
    <x v="2"/>
    <x v="0"/>
    <s v="GASEOSAS Y SODAS"/>
    <x v="0"/>
    <x v="51"/>
    <s v="UNIDADES"/>
    <n v="40936"/>
    <n v="6"/>
    <n v="5"/>
    <n v="-1"/>
    <n v="204680"/>
    <n v="-40936"/>
    <x v="2"/>
  </r>
  <r>
    <x v="0"/>
    <x v="4"/>
    <x v="2"/>
    <s v="SUB-RECETAS CP"/>
    <x v="1"/>
    <x v="280"/>
    <s v="GRAMOS"/>
    <n v="45.287459560000002"/>
    <n v="4300"/>
    <n v="3754"/>
    <n v="-546"/>
    <n v="170009.12318824002"/>
    <n v="-24726.952919760002"/>
    <x v="2"/>
  </r>
  <r>
    <x v="0"/>
    <x v="6"/>
    <x v="3"/>
    <s v="LICORES"/>
    <x v="0"/>
    <x v="21"/>
    <s v="ONZA"/>
    <n v="12951.25"/>
    <n v="-8"/>
    <n v="17"/>
    <n v="25"/>
    <n v="220171.25"/>
    <n v="323781.25"/>
    <x v="0"/>
  </r>
  <r>
    <x v="1"/>
    <x v="7"/>
    <x v="3"/>
    <s v="SUB-RECETAS CP"/>
    <x v="1"/>
    <x v="278"/>
    <s v="GRAMOS"/>
    <n v="28.99074663"/>
    <n v="20732.678"/>
    <n v="7000"/>
    <n v="-13732.678"/>
    <n v="202935.22641"/>
    <n v="-398120.58844937512"/>
    <x v="2"/>
  </r>
  <r>
    <x v="1"/>
    <x v="9"/>
    <x v="4"/>
    <s v="CERVEZAS"/>
    <x v="0"/>
    <x v="77"/>
    <s v="UNIDADES"/>
    <n v="3121.3333333300002"/>
    <n v="67"/>
    <n v="65"/>
    <n v="-2"/>
    <n v="202886.66666645001"/>
    <n v="-6242.6666666600004"/>
    <x v="2"/>
  </r>
  <r>
    <x v="1"/>
    <x v="7"/>
    <x v="3"/>
    <s v="GASEOSAS Y SODAS"/>
    <x v="0"/>
    <x v="59"/>
    <s v="UNIDADES"/>
    <n v="2323.7849794200001"/>
    <n v="87"/>
    <n v="87"/>
    <n v="0"/>
    <n v="202169.29320954002"/>
    <n v="0"/>
    <x v="1"/>
  </r>
  <r>
    <x v="0"/>
    <x v="4"/>
    <x v="2"/>
    <s v="LICORES"/>
    <x v="0"/>
    <x v="270"/>
    <s v="ONZA"/>
    <n v="2077.8620689700001"/>
    <n v="83"/>
    <n v="78"/>
    <n v="-5"/>
    <n v="162073.24137966"/>
    <n v="-10389.310344850001"/>
    <x v="2"/>
  </r>
  <r>
    <x v="1"/>
    <x v="7"/>
    <x v="3"/>
    <s v="LICORES"/>
    <x v="0"/>
    <x v="3"/>
    <s v="UNIDADES"/>
    <n v="100385"/>
    <n v="2"/>
    <n v="2"/>
    <n v="0"/>
    <n v="200770"/>
    <n v="0"/>
    <x v="1"/>
  </r>
  <r>
    <x v="1"/>
    <x v="3"/>
    <x v="1"/>
    <s v="CERVEZAS"/>
    <x v="0"/>
    <x v="64"/>
    <s v="GRAMOS"/>
    <n v="26.666666670000001"/>
    <n v="31260"/>
    <n v="7520"/>
    <n v="-23740"/>
    <n v="200533.33335840001"/>
    <n v="-633066.66674580006"/>
    <x v="2"/>
  </r>
  <r>
    <x v="1"/>
    <x v="5"/>
    <x v="2"/>
    <s v="LICORES"/>
    <x v="0"/>
    <x v="270"/>
    <s v="ONZA"/>
    <n v="2172.3017241399998"/>
    <n v="76"/>
    <n v="73"/>
    <n v="-3"/>
    <n v="158578.02586221998"/>
    <n v="-6516.9051724199999"/>
    <x v="2"/>
  </r>
  <r>
    <x v="1"/>
    <x v="7"/>
    <x v="3"/>
    <s v="LICORES"/>
    <x v="0"/>
    <x v="31"/>
    <s v="ONZA"/>
    <n v="2972.2291666699998"/>
    <n v="67"/>
    <n v="67"/>
    <n v="0"/>
    <n v="199139.35416689"/>
    <n v="0"/>
    <x v="1"/>
  </r>
  <r>
    <x v="1"/>
    <x v="3"/>
    <x v="1"/>
    <s v="SUB RECETAS"/>
    <x v="1"/>
    <x v="289"/>
    <s v="UNIDADES"/>
    <n v="1547.4668410700001"/>
    <n v="-7"/>
    <n v="0"/>
    <n v="7"/>
    <n v="0"/>
    <n v="10832.267887490001"/>
    <x v="0"/>
  </r>
  <r>
    <x v="1"/>
    <x v="5"/>
    <x v="2"/>
    <s v="VINOS"/>
    <x v="0"/>
    <x v="185"/>
    <s v="COPA"/>
    <n v="9853.2000000000007"/>
    <n v="20"/>
    <n v="20"/>
    <n v="0"/>
    <n v="197064"/>
    <n v="0"/>
    <x v="1"/>
  </r>
  <r>
    <x v="1"/>
    <x v="9"/>
    <x v="4"/>
    <s v="LICORES"/>
    <x v="0"/>
    <x v="166"/>
    <s v="ONZA"/>
    <n v="9924"/>
    <n v="19"/>
    <n v="19.84"/>
    <n v="0.84"/>
    <n v="196892.16"/>
    <n v="8336.16"/>
    <x v="0"/>
  </r>
  <r>
    <x v="1"/>
    <x v="2"/>
    <x v="0"/>
    <s v="VINOS"/>
    <x v="0"/>
    <x v="119"/>
    <s v="UNIDADES"/>
    <n v="97685.185184999995"/>
    <n v="2"/>
    <n v="2"/>
    <n v="0"/>
    <n v="195370.37036999999"/>
    <n v="0"/>
    <x v="1"/>
  </r>
  <r>
    <x v="1"/>
    <x v="9"/>
    <x v="4"/>
    <s v="LICORES"/>
    <x v="0"/>
    <x v="30"/>
    <s v="ONZA"/>
    <n v="6774.5454545499997"/>
    <n v="28.34"/>
    <n v="28.64"/>
    <n v="0.3"/>
    <n v="194022.98181831199"/>
    <n v="2032.3636363649998"/>
    <x v="0"/>
  </r>
  <r>
    <x v="0"/>
    <x v="8"/>
    <x v="4"/>
    <s v="SUB-RECETAS CP"/>
    <x v="1"/>
    <x v="280"/>
    <s v="GRAMOS"/>
    <n v="45.287459560000002"/>
    <n v="-535.6"/>
    <n v="4000"/>
    <n v="4535.6000000000004"/>
    <n v="181149.83824000001"/>
    <n v="205405.80158033603"/>
    <x v="0"/>
  </r>
  <r>
    <x v="1"/>
    <x v="2"/>
    <x v="0"/>
    <s v="VINOS"/>
    <x v="0"/>
    <x v="98"/>
    <s v="UNIDADES"/>
    <n v="95860"/>
    <n v="2"/>
    <n v="2"/>
    <n v="0"/>
    <n v="191720"/>
    <n v="0"/>
    <x v="1"/>
  </r>
  <r>
    <x v="1"/>
    <x v="9"/>
    <x v="4"/>
    <s v="CERVEZAS"/>
    <x v="0"/>
    <x v="184"/>
    <s v="UNIDADES"/>
    <n v="3179.6666666699998"/>
    <n v="60"/>
    <n v="60"/>
    <n v="0"/>
    <n v="190780.0000002"/>
    <n v="0"/>
    <x v="1"/>
  </r>
  <r>
    <x v="1"/>
    <x v="3"/>
    <x v="1"/>
    <s v="LICORES"/>
    <x v="0"/>
    <x v="110"/>
    <s v="ONZA"/>
    <n v="3171.7083333300002"/>
    <n v="60"/>
    <n v="60"/>
    <n v="0"/>
    <n v="190302.4999998"/>
    <n v="0"/>
    <x v="1"/>
  </r>
  <r>
    <x v="1"/>
    <x v="2"/>
    <x v="0"/>
    <s v="GASEOSAS Y SODAS"/>
    <x v="0"/>
    <x v="18"/>
    <s v="UNIDADES"/>
    <n v="5133.6666666700003"/>
    <n v="4.7"/>
    <n v="18"/>
    <n v="1.3"/>
    <n v="92406.000000060012"/>
    <n v="6673.7666666710002"/>
    <x v="0"/>
  </r>
  <r>
    <x v="1"/>
    <x v="2"/>
    <x v="0"/>
    <s v="VINOS"/>
    <x v="0"/>
    <x v="105"/>
    <s v="UNIDADES"/>
    <n v="63372.666666669997"/>
    <n v="3"/>
    <n v="3"/>
    <n v="0"/>
    <n v="190118.00000000998"/>
    <n v="0"/>
    <x v="1"/>
  </r>
  <r>
    <x v="1"/>
    <x v="7"/>
    <x v="3"/>
    <s v="VINOS"/>
    <x v="0"/>
    <x v="105"/>
    <s v="UNIDADES"/>
    <n v="63372.666666669997"/>
    <n v="3"/>
    <n v="3"/>
    <n v="0"/>
    <n v="190118.00000000998"/>
    <n v="0"/>
    <x v="1"/>
  </r>
  <r>
    <x v="1"/>
    <x v="5"/>
    <x v="2"/>
    <s v="VINOS"/>
    <x v="0"/>
    <x v="105"/>
    <s v="UNIDADES"/>
    <n v="63372.666666669997"/>
    <n v="3"/>
    <n v="3"/>
    <n v="0"/>
    <n v="190118.00000000998"/>
    <n v="0"/>
    <x v="1"/>
  </r>
  <r>
    <x v="1"/>
    <x v="9"/>
    <x v="4"/>
    <s v="SUB-RECETAS BAR"/>
    <x v="0"/>
    <x v="269"/>
    <s v="ONZA"/>
    <n v="3350.3922764200001"/>
    <n v="58"/>
    <n v="56.57"/>
    <n v="-1.43"/>
    <n v="189531.69107707942"/>
    <n v="-4791.0609552806"/>
    <x v="2"/>
  </r>
  <r>
    <x v="1"/>
    <x v="3"/>
    <x v="1"/>
    <s v="LICORES"/>
    <x v="0"/>
    <x v="170"/>
    <s v="ONZA"/>
    <n v="3195.4545454499998"/>
    <n v="61"/>
    <n v="59"/>
    <n v="-2"/>
    <n v="188531.81818154998"/>
    <n v="-6390.9090908999997"/>
    <x v="2"/>
  </r>
  <r>
    <x v="1"/>
    <x v="2"/>
    <x v="0"/>
    <s v="LICORES"/>
    <x v="0"/>
    <x v="19"/>
    <s v="UNIDADES"/>
    <n v="93956"/>
    <n v="2"/>
    <n v="2"/>
    <n v="0"/>
    <n v="187912"/>
    <n v="0"/>
    <x v="1"/>
  </r>
  <r>
    <x v="1"/>
    <x v="7"/>
    <x v="3"/>
    <s v="LICORES"/>
    <x v="0"/>
    <x v="19"/>
    <s v="UNIDADES"/>
    <n v="93956"/>
    <n v="2"/>
    <n v="2"/>
    <n v="0"/>
    <n v="187912"/>
    <n v="0"/>
    <x v="1"/>
  </r>
  <r>
    <x v="1"/>
    <x v="9"/>
    <x v="4"/>
    <s v="LICORES"/>
    <x v="0"/>
    <x v="19"/>
    <s v="UNIDADES"/>
    <n v="93956"/>
    <n v="2"/>
    <n v="2"/>
    <n v="0"/>
    <n v="187912"/>
    <n v="0"/>
    <x v="1"/>
  </r>
  <r>
    <x v="1"/>
    <x v="3"/>
    <x v="1"/>
    <s v="LICORES"/>
    <x v="0"/>
    <x v="83"/>
    <s v="ONZA"/>
    <n v="6500"/>
    <n v="61"/>
    <n v="57"/>
    <n v="-4"/>
    <n v="370500"/>
    <n v="-26000"/>
    <x v="2"/>
  </r>
  <r>
    <x v="1"/>
    <x v="9"/>
    <x v="4"/>
    <s v="LICORES"/>
    <x v="0"/>
    <x v="172"/>
    <s v="ONZA"/>
    <n v="6746.25"/>
    <n v="50.4"/>
    <n v="27.71"/>
    <n v="-22.69"/>
    <n v="186938.58749999999"/>
    <n v="-153072.41250000001"/>
    <x v="2"/>
  </r>
  <r>
    <x v="1"/>
    <x v="7"/>
    <x v="3"/>
    <s v="LICORES"/>
    <x v="0"/>
    <x v="21"/>
    <s v="ONZA"/>
    <n v="12951.25"/>
    <n v="17"/>
    <n v="14"/>
    <n v="-3"/>
    <n v="181317.5"/>
    <n v="-38853.75"/>
    <x v="2"/>
  </r>
  <r>
    <x v="1"/>
    <x v="3"/>
    <x v="1"/>
    <s v="LICORES"/>
    <x v="0"/>
    <x v="138"/>
    <s v="ONZA"/>
    <n v="7147.1666666700003"/>
    <n v="46"/>
    <n v="25.7"/>
    <n v="-20.3"/>
    <n v="183682.183333419"/>
    <n v="-145087.483333401"/>
    <x v="2"/>
  </r>
  <r>
    <x v="1"/>
    <x v="7"/>
    <x v="3"/>
    <s v="GASEOSAS Y SODAS"/>
    <x v="0"/>
    <x v="63"/>
    <s v="UNIDADES"/>
    <n v="4986.0833333299997"/>
    <n v="36.5"/>
    <n v="36.5"/>
    <n v="0"/>
    <n v="181992.041666545"/>
    <n v="0"/>
    <x v="1"/>
  </r>
  <r>
    <x v="1"/>
    <x v="7"/>
    <x v="3"/>
    <s v="VINOS"/>
    <x v="0"/>
    <x v="264"/>
    <s v="COPA"/>
    <n v="15151.2"/>
    <n v="12"/>
    <n v="12"/>
    <n v="0"/>
    <n v="181814.40000000002"/>
    <n v="0"/>
    <x v="1"/>
  </r>
  <r>
    <x v="0"/>
    <x v="6"/>
    <x v="3"/>
    <s v="SUB-RECETAS CP"/>
    <x v="1"/>
    <x v="280"/>
    <s v="GRAMOS"/>
    <n v="45.287459560000002"/>
    <n v="3925"/>
    <n v="4000"/>
    <n v="75"/>
    <n v="181149.83824000001"/>
    <n v="3396.559467"/>
    <x v="0"/>
  </r>
  <r>
    <x v="1"/>
    <x v="9"/>
    <x v="4"/>
    <s v="LICORES"/>
    <x v="0"/>
    <x v="161"/>
    <s v="ONZA"/>
    <n v="4724.9090909099996"/>
    <n v="29.7"/>
    <n v="38.18"/>
    <n v="8.48"/>
    <n v="180397.02909094378"/>
    <n v="40067.2290909168"/>
    <x v="0"/>
  </r>
  <r>
    <x v="1"/>
    <x v="7"/>
    <x v="3"/>
    <s v="SUB-RECETAS CP"/>
    <x v="1"/>
    <x v="280"/>
    <s v="GRAMOS"/>
    <n v="41.579090909999998"/>
    <n v="3500"/>
    <n v="2000"/>
    <n v="-1500"/>
    <n v="83158.181819999998"/>
    <n v="-62368.636364999998"/>
    <x v="2"/>
  </r>
  <r>
    <x v="1"/>
    <x v="7"/>
    <x v="3"/>
    <s v="LICORES"/>
    <x v="0"/>
    <x v="5"/>
    <s v="ONZA"/>
    <n v="6800.3640183199996"/>
    <n v="26"/>
    <n v="26"/>
    <n v="0"/>
    <n v="176809.46447631999"/>
    <n v="0"/>
    <x v="1"/>
  </r>
  <r>
    <x v="1"/>
    <x v="7"/>
    <x v="3"/>
    <s v="GASEOSAS Y SODAS"/>
    <x v="0"/>
    <x v="60"/>
    <s v="UNIDADES"/>
    <n v="2119.75"/>
    <n v="83"/>
    <n v="83"/>
    <n v="0"/>
    <n v="175939.25"/>
    <n v="0"/>
    <x v="1"/>
  </r>
  <r>
    <x v="1"/>
    <x v="2"/>
    <x v="0"/>
    <s v="AGUA Y TE"/>
    <x v="0"/>
    <x v="144"/>
    <s v="UNIDADES"/>
    <n v="7330"/>
    <n v="24"/>
    <n v="24"/>
    <n v="0"/>
    <n v="175920"/>
    <n v="0"/>
    <x v="1"/>
  </r>
  <r>
    <x v="1"/>
    <x v="2"/>
    <x v="0"/>
    <s v="GASEOSAS Y SODAS"/>
    <x v="0"/>
    <x v="59"/>
    <s v="UNIDADES"/>
    <n v="2136.7111111099998"/>
    <n v="106"/>
    <n v="101"/>
    <n v="-5"/>
    <n v="215807.82222210997"/>
    <n v="-10683.55555555"/>
    <x v="2"/>
  </r>
  <r>
    <x v="1"/>
    <x v="5"/>
    <x v="2"/>
    <s v="LICORES"/>
    <x v="0"/>
    <x v="21"/>
    <s v="ONZA"/>
    <n v="12951.25"/>
    <n v="6"/>
    <n v="7"/>
    <n v="1"/>
    <n v="90658.75"/>
    <n v="12951.25"/>
    <x v="0"/>
  </r>
  <r>
    <x v="1"/>
    <x v="9"/>
    <x v="4"/>
    <s v="VINOS"/>
    <x v="0"/>
    <x v="237"/>
    <s v="UNIDADES"/>
    <n v="87241.5"/>
    <n v="2"/>
    <n v="2"/>
    <n v="0"/>
    <n v="174483"/>
    <n v="0"/>
    <x v="1"/>
  </r>
  <r>
    <x v="1"/>
    <x v="5"/>
    <x v="2"/>
    <s v="VINOS"/>
    <x v="0"/>
    <x v="237"/>
    <s v="UNIDADES"/>
    <n v="87241.5"/>
    <n v="2"/>
    <n v="2"/>
    <n v="0"/>
    <n v="174483"/>
    <n v="0"/>
    <x v="1"/>
  </r>
  <r>
    <x v="0"/>
    <x v="1"/>
    <x v="1"/>
    <s v="LICORES"/>
    <x v="0"/>
    <x v="270"/>
    <s v="ONZA"/>
    <n v="1278.5862069"/>
    <n v="69"/>
    <n v="66"/>
    <n v="-3"/>
    <n v="84386.689655399998"/>
    <n v="-3835.7586206999999"/>
    <x v="2"/>
  </r>
  <r>
    <x v="1"/>
    <x v="2"/>
    <x v="0"/>
    <s v="VINOS"/>
    <x v="0"/>
    <x v="87"/>
    <s v="UNIDADES"/>
    <n v="87226.89"/>
    <n v="2"/>
    <n v="2"/>
    <n v="0"/>
    <n v="174453.78"/>
    <n v="0"/>
    <x v="1"/>
  </r>
  <r>
    <x v="0"/>
    <x v="6"/>
    <x v="3"/>
    <s v="GASEOSAS Y SODAS"/>
    <x v="0"/>
    <x v="1"/>
    <s v="UNIDADES"/>
    <n v="1497.59166667"/>
    <n v="188.1"/>
    <n v="186"/>
    <n v="-2.1"/>
    <n v="278552.05000062002"/>
    <n v="-3144.942500007"/>
    <x v="2"/>
  </r>
  <r>
    <x v="1"/>
    <x v="5"/>
    <x v="2"/>
    <s v="PESCADOS Y MARISCOS"/>
    <x v="1"/>
    <x v="247"/>
    <s v="GRAMOS"/>
    <n v="54.545000000000002"/>
    <n v="-3995.3334"/>
    <n v="1880"/>
    <n v="5875.3333549999998"/>
    <n v="102544.6"/>
    <n v="320470.057848475"/>
    <x v="0"/>
  </r>
  <r>
    <x v="0"/>
    <x v="4"/>
    <x v="2"/>
    <s v="GASEOSAS Y SODAS"/>
    <x v="0"/>
    <x v="1"/>
    <s v="UNIDADES"/>
    <n v="1497.59166667"/>
    <n v="135.69999999999999"/>
    <n v="135"/>
    <n v="-0.7"/>
    <n v="202174.87500045"/>
    <n v="-1048.3141666689999"/>
    <x v="2"/>
  </r>
  <r>
    <x v="1"/>
    <x v="9"/>
    <x v="4"/>
    <s v="SUB-RECETAS CP"/>
    <x v="1"/>
    <x v="280"/>
    <s v="GRAMOS"/>
    <n v="41.579090909999998"/>
    <n v="7577"/>
    <n v="2814"/>
    <n v="-4763"/>
    <n v="117003.56182074"/>
    <n v="-198041.21000433"/>
    <x v="2"/>
  </r>
  <r>
    <x v="1"/>
    <x v="2"/>
    <x v="0"/>
    <s v="LICORES"/>
    <x v="0"/>
    <x v="31"/>
    <s v="ONZA"/>
    <n v="2244.5833333300002"/>
    <n v="5"/>
    <n v="4"/>
    <n v="-1"/>
    <n v="8978.3333333200007"/>
    <n v="-2244.5833333300002"/>
    <x v="2"/>
  </r>
  <r>
    <x v="0"/>
    <x v="6"/>
    <x v="3"/>
    <s v="SUB RECETAS"/>
    <x v="1"/>
    <x v="250"/>
    <s v="UNIDADES"/>
    <n v="4372.9455555000004"/>
    <n v="-9"/>
    <n v="6"/>
    <n v="15"/>
    <n v="26237.673333000002"/>
    <n v="65594.183332500004"/>
    <x v="0"/>
  </r>
  <r>
    <x v="1"/>
    <x v="2"/>
    <x v="0"/>
    <s v="LICORES"/>
    <x v="0"/>
    <x v="83"/>
    <s v="ONZA"/>
    <n v="6500"/>
    <n v="26.34"/>
    <n v="26"/>
    <n v="-0.34"/>
    <n v="169000"/>
    <n v="-2210"/>
    <x v="2"/>
  </r>
  <r>
    <x v="0"/>
    <x v="0"/>
    <x v="0"/>
    <s v="AGUA Y TE"/>
    <x v="0"/>
    <x v="162"/>
    <s v="UNIDADES"/>
    <n v="3458.25"/>
    <n v="12"/>
    <n v="11"/>
    <n v="-1"/>
    <n v="38040.75"/>
    <n v="-3458.25"/>
    <x v="2"/>
  </r>
  <r>
    <x v="0"/>
    <x v="8"/>
    <x v="4"/>
    <s v="SUB RECETAS"/>
    <x v="1"/>
    <x v="250"/>
    <s v="UNIDADES"/>
    <n v="4372.9455555000004"/>
    <n v="20"/>
    <n v="22"/>
    <n v="2"/>
    <n v="96204.802221000005"/>
    <n v="8745.8911110000008"/>
    <x v="0"/>
  </r>
  <r>
    <x v="1"/>
    <x v="2"/>
    <x v="0"/>
    <s v="SUB RECETAS"/>
    <x v="1"/>
    <x v="295"/>
    <s v="UNIDADES"/>
    <n v="1617.07339121"/>
    <n v="30"/>
    <n v="31"/>
    <n v="1"/>
    <n v="50129.275127510002"/>
    <n v="1617.07339121"/>
    <x v="0"/>
  </r>
  <r>
    <x v="1"/>
    <x v="5"/>
    <x v="2"/>
    <s v="GASEOSAS Y SODAS"/>
    <x v="0"/>
    <x v="1"/>
    <s v="UNIDADES"/>
    <n v="1497.59166667"/>
    <n v="144.19999999999999"/>
    <n v="141"/>
    <n v="-3.2"/>
    <n v="211160.42500046999"/>
    <n v="-4792.2933333440005"/>
    <x v="2"/>
  </r>
  <r>
    <x v="1"/>
    <x v="2"/>
    <x v="0"/>
    <s v="VINOS"/>
    <x v="0"/>
    <x v="112"/>
    <s v="COPA"/>
    <n v="4002.6"/>
    <n v="41"/>
    <n v="41"/>
    <n v="0"/>
    <n v="164106.6"/>
    <n v="0"/>
    <x v="1"/>
  </r>
  <r>
    <x v="0"/>
    <x v="1"/>
    <x v="1"/>
    <s v="SUB RECETAS"/>
    <x v="1"/>
    <x v="296"/>
    <s v="UNIDADES"/>
    <n v="5122.3678486600002"/>
    <n v="1"/>
    <n v="9"/>
    <n v="8"/>
    <n v="46101.310637939998"/>
    <n v="40978.942789280001"/>
    <x v="0"/>
  </r>
  <r>
    <x v="1"/>
    <x v="2"/>
    <x v="0"/>
    <s v="VINOS"/>
    <x v="0"/>
    <x v="100"/>
    <s v="UNIDADES"/>
    <n v="80870"/>
    <n v="2"/>
    <n v="2"/>
    <n v="0"/>
    <n v="161740"/>
    <n v="0"/>
    <x v="1"/>
  </r>
  <r>
    <x v="1"/>
    <x v="2"/>
    <x v="0"/>
    <s v="VINOS"/>
    <x v="0"/>
    <x v="102"/>
    <s v="UNIDADES"/>
    <n v="80870"/>
    <n v="2"/>
    <n v="2"/>
    <n v="0"/>
    <n v="161740"/>
    <n v="0"/>
    <x v="1"/>
  </r>
  <r>
    <x v="1"/>
    <x v="5"/>
    <x v="2"/>
    <s v="LICORES"/>
    <x v="0"/>
    <x v="70"/>
    <s v="ONZA"/>
    <n v="3673.5"/>
    <n v="23"/>
    <n v="22"/>
    <n v="-1"/>
    <n v="80817"/>
    <n v="-3673.5"/>
    <x v="2"/>
  </r>
  <r>
    <x v="0"/>
    <x v="8"/>
    <x v="4"/>
    <s v="SUB RECETAS"/>
    <x v="1"/>
    <x v="251"/>
    <s v="UNIDADES"/>
    <n v="2106.3735325100001"/>
    <n v="76"/>
    <n v="62"/>
    <n v="-14"/>
    <n v="130595.15901562001"/>
    <n v="-29489.229455140001"/>
    <x v="2"/>
  </r>
  <r>
    <x v="1"/>
    <x v="3"/>
    <x v="1"/>
    <s v="LICORES"/>
    <x v="0"/>
    <x v="38"/>
    <s v="UNIDADES"/>
    <n v="26517"/>
    <n v="6"/>
    <n v="6"/>
    <n v="0"/>
    <n v="159102"/>
    <n v="0"/>
    <x v="1"/>
  </r>
  <r>
    <x v="0"/>
    <x v="4"/>
    <x v="2"/>
    <s v="GASEOSAS Y SODAS"/>
    <x v="0"/>
    <x v="71"/>
    <s v="UNIDADES"/>
    <n v="1835.41666667"/>
    <n v="32"/>
    <n v="30"/>
    <n v="-2"/>
    <n v="55062.500000100001"/>
    <n v="-3670.8333333400001"/>
    <x v="2"/>
  </r>
  <r>
    <x v="0"/>
    <x v="0"/>
    <x v="0"/>
    <s v="LICORES"/>
    <x v="0"/>
    <x v="83"/>
    <s v="ONZA"/>
    <n v="6500"/>
    <n v="42.35"/>
    <n v="41"/>
    <n v="-1.35"/>
    <n v="266500"/>
    <n v="-8775"/>
    <x v="2"/>
  </r>
  <r>
    <x v="1"/>
    <x v="5"/>
    <x v="2"/>
    <s v="SUB-RECETAS CP"/>
    <x v="1"/>
    <x v="280"/>
    <s v="GRAMOS"/>
    <n v="41.579090909999998"/>
    <n v="4050.6"/>
    <n v="3000"/>
    <n v="-1050.5999999999999"/>
    <n v="124737.27273"/>
    <n v="-43682.992910045992"/>
    <x v="2"/>
  </r>
  <r>
    <x v="1"/>
    <x v="5"/>
    <x v="2"/>
    <s v="GASEOSAS Y SODAS"/>
    <x v="0"/>
    <x v="71"/>
    <s v="UNIDADES"/>
    <n v="1835.41666667"/>
    <n v="30"/>
    <n v="32"/>
    <n v="2"/>
    <n v="58733.333333440001"/>
    <n v="3670.8333333400001"/>
    <x v="0"/>
  </r>
  <r>
    <x v="1"/>
    <x v="5"/>
    <x v="2"/>
    <s v="CERVEZAS"/>
    <x v="0"/>
    <x v="178"/>
    <s v="UNIDADES"/>
    <n v="3465.1666666699998"/>
    <n v="45"/>
    <n v="45"/>
    <n v="0"/>
    <n v="155932.50000015"/>
    <n v="0"/>
    <x v="1"/>
  </r>
  <r>
    <x v="1"/>
    <x v="2"/>
    <x v="0"/>
    <s v="CERVEZAS"/>
    <x v="0"/>
    <x v="199"/>
    <s v="UNIDADES"/>
    <n v="3416.64355742"/>
    <n v="0"/>
    <n v="0"/>
    <n v="0"/>
    <n v="0"/>
    <n v="0"/>
    <x v="1"/>
  </r>
  <r>
    <x v="1"/>
    <x v="9"/>
    <x v="4"/>
    <s v="PESCADOS Y MARISCOS"/>
    <x v="1"/>
    <x v="190"/>
    <s v="UNIDADES"/>
    <n v="415.97500000000002"/>
    <n v="315"/>
    <n v="372"/>
    <n v="57"/>
    <n v="154742.70000000001"/>
    <n v="23710.575000000001"/>
    <x v="0"/>
  </r>
  <r>
    <x v="0"/>
    <x v="0"/>
    <x v="0"/>
    <s v="LICORES"/>
    <x v="0"/>
    <x v="30"/>
    <s v="ONZA"/>
    <n v="6774.5454545499997"/>
    <n v="37.36"/>
    <n v="36"/>
    <n v="-1.36"/>
    <n v="243883.63636379997"/>
    <n v="-9213.3818181879997"/>
    <x v="2"/>
  </r>
  <r>
    <x v="1"/>
    <x v="2"/>
    <x v="0"/>
    <s v="VINOS"/>
    <x v="0"/>
    <x v="287"/>
    <s v="UNIDADES"/>
    <n v="75606"/>
    <n v="2"/>
    <n v="2"/>
    <n v="0"/>
    <n v="151212"/>
    <n v="0"/>
    <x v="1"/>
  </r>
  <r>
    <x v="1"/>
    <x v="2"/>
    <x v="0"/>
    <s v="AGUA Y TE"/>
    <x v="0"/>
    <x v="29"/>
    <s v="UNIDADES"/>
    <n v="1234.3916666699999"/>
    <n v="122"/>
    <n v="122"/>
    <n v="0"/>
    <n v="150595.78333373999"/>
    <n v="0"/>
    <x v="1"/>
  </r>
  <r>
    <x v="1"/>
    <x v="9"/>
    <x v="4"/>
    <s v="AGUA Y TE"/>
    <x v="0"/>
    <x v="158"/>
    <s v="UNIDADES"/>
    <n v="1654.2666666699999"/>
    <n v="89"/>
    <n v="91"/>
    <n v="2"/>
    <n v="150538.26666696998"/>
    <n v="3308.5333333399999"/>
    <x v="0"/>
  </r>
  <r>
    <x v="1"/>
    <x v="3"/>
    <x v="1"/>
    <s v="VINOS"/>
    <x v="0"/>
    <x v="111"/>
    <s v="UNIDADES"/>
    <n v="37611.916666669997"/>
    <n v="4"/>
    <n v="4"/>
    <n v="0"/>
    <n v="150447.66666667999"/>
    <n v="0"/>
    <x v="1"/>
  </r>
  <r>
    <x v="1"/>
    <x v="3"/>
    <x v="1"/>
    <s v="VINOS"/>
    <x v="0"/>
    <x v="107"/>
    <s v="UNIDADES"/>
    <n v="37608"/>
    <n v="4"/>
    <n v="4"/>
    <n v="0"/>
    <n v="150432"/>
    <n v="0"/>
    <x v="1"/>
  </r>
  <r>
    <x v="3"/>
    <x v="11"/>
    <x v="5"/>
    <s v="SUB-RECETAS CP"/>
    <x v="1"/>
    <x v="297"/>
    <s v="GRAMOS"/>
    <n v="12.51463777"/>
    <n v="11763"/>
    <n v="12000"/>
    <n v="237"/>
    <n v="150175.65324000001"/>
    <n v="2965.9691514900001"/>
    <x v="0"/>
  </r>
  <r>
    <x v="1"/>
    <x v="5"/>
    <x v="2"/>
    <s v="VINOS"/>
    <x v="0"/>
    <x v="267"/>
    <s v="COPA"/>
    <n v="10710.6"/>
    <n v="14"/>
    <n v="14"/>
    <n v="0"/>
    <n v="149948.4"/>
    <n v="0"/>
    <x v="1"/>
  </r>
  <r>
    <x v="1"/>
    <x v="3"/>
    <x v="1"/>
    <s v="LICORES"/>
    <x v="0"/>
    <x v="43"/>
    <s v="ONZA"/>
    <n v="3103.4482758600002"/>
    <n v="0"/>
    <n v="48"/>
    <n v="48"/>
    <n v="148965.51724128"/>
    <n v="148965.51724128"/>
    <x v="0"/>
  </r>
  <r>
    <x v="1"/>
    <x v="9"/>
    <x v="4"/>
    <s v="GASEOSAS Y SODAS"/>
    <x v="0"/>
    <x v="59"/>
    <s v="UNIDADES"/>
    <n v="2323.7849794200001"/>
    <n v="64"/>
    <n v="64"/>
    <n v="0"/>
    <n v="148722.23868288001"/>
    <n v="0"/>
    <x v="1"/>
  </r>
  <r>
    <x v="1"/>
    <x v="5"/>
    <x v="2"/>
    <s v="GASEOSAS Y SODAS"/>
    <x v="0"/>
    <x v="62"/>
    <s v="UNIDADES"/>
    <n v="1395.83333333"/>
    <n v="19"/>
    <n v="18"/>
    <n v="-1"/>
    <n v="25124.999999939999"/>
    <n v="-1395.83333333"/>
    <x v="2"/>
  </r>
  <r>
    <x v="1"/>
    <x v="3"/>
    <x v="1"/>
    <s v="PESCADOS Y MARISCOS"/>
    <x v="1"/>
    <x v="298"/>
    <s v="GRAMOS"/>
    <n v="326.20299999999997"/>
    <n v="1100"/>
    <n v="450"/>
    <n v="-650"/>
    <n v="146791.34999999998"/>
    <n v="-212031.94999999998"/>
    <x v="2"/>
  </r>
  <r>
    <x v="1"/>
    <x v="5"/>
    <x v="2"/>
    <s v="GASEOSAS Y SODAS"/>
    <x v="0"/>
    <x v="60"/>
    <s v="UNIDADES"/>
    <n v="2119.75"/>
    <n v="69"/>
    <n v="69"/>
    <n v="0"/>
    <n v="146262.75"/>
    <n v="0"/>
    <x v="1"/>
  </r>
  <r>
    <x v="1"/>
    <x v="9"/>
    <x v="4"/>
    <s v="CERVEZAS"/>
    <x v="0"/>
    <x v="230"/>
    <s v="UNIDADES"/>
    <n v="11200"/>
    <n v="12"/>
    <n v="13"/>
    <n v="1"/>
    <n v="145600"/>
    <n v="11200"/>
    <x v="0"/>
  </r>
  <r>
    <x v="1"/>
    <x v="3"/>
    <x v="1"/>
    <s v="LICORES"/>
    <x v="0"/>
    <x v="270"/>
    <s v="ONZA"/>
    <n v="1278.5862069"/>
    <n v="58"/>
    <n v="60"/>
    <n v="2"/>
    <n v="76715.172414000001"/>
    <n v="2557.1724138"/>
    <x v="0"/>
  </r>
  <r>
    <x v="1"/>
    <x v="3"/>
    <x v="1"/>
    <s v="AGUA Y TE"/>
    <x v="0"/>
    <x v="158"/>
    <s v="UNIDADES"/>
    <n v="1654.27777778"/>
    <n v="93"/>
    <n v="87"/>
    <n v="-6"/>
    <n v="143922.16666685999"/>
    <n v="-9925.6666666799993"/>
    <x v="2"/>
  </r>
  <r>
    <x v="1"/>
    <x v="5"/>
    <x v="2"/>
    <s v="VINOS"/>
    <x v="0"/>
    <x v="235"/>
    <s v="UNIDADES"/>
    <n v="71318"/>
    <n v="2"/>
    <n v="2"/>
    <n v="0"/>
    <n v="142636"/>
    <n v="0"/>
    <x v="1"/>
  </r>
  <r>
    <x v="1"/>
    <x v="9"/>
    <x v="4"/>
    <s v="SUB-RECETAS BAR"/>
    <x v="0"/>
    <x v="273"/>
    <s v="ONZA"/>
    <n v="2901.3961267599998"/>
    <n v="51"/>
    <n v="49"/>
    <n v="-2"/>
    <n v="142168.41021124"/>
    <n v="-5802.7922535199996"/>
    <x v="2"/>
  </r>
  <r>
    <x v="1"/>
    <x v="7"/>
    <x v="3"/>
    <s v="SUB RECETAS"/>
    <x v="1"/>
    <x v="250"/>
    <s v="UNIDADES"/>
    <n v="5396.4738635900003"/>
    <n v="25"/>
    <n v="7"/>
    <n v="-18"/>
    <n v="37775.317045130003"/>
    <n v="-97136.529544620003"/>
    <x v="2"/>
  </r>
  <r>
    <x v="1"/>
    <x v="2"/>
    <x v="0"/>
    <s v="LICORES"/>
    <x v="0"/>
    <x v="42"/>
    <s v="UNIDADES"/>
    <n v="23367"/>
    <n v="6"/>
    <n v="6"/>
    <n v="0"/>
    <n v="140202"/>
    <n v="0"/>
    <x v="1"/>
  </r>
  <r>
    <x v="1"/>
    <x v="3"/>
    <x v="1"/>
    <s v="LICORES"/>
    <x v="0"/>
    <x v="48"/>
    <s v="UNIDADES"/>
    <n v="70078"/>
    <n v="2"/>
    <n v="2"/>
    <n v="0"/>
    <n v="140156"/>
    <n v="0"/>
    <x v="1"/>
  </r>
  <r>
    <x v="0"/>
    <x v="0"/>
    <x v="0"/>
    <s v="SUB RECETAS"/>
    <x v="1"/>
    <x v="299"/>
    <s v="UNIDADES"/>
    <n v="9012.5149443999999"/>
    <n v="65.05"/>
    <n v="95"/>
    <n v="29.95"/>
    <n v="856188.91971799999"/>
    <n v="269924.82258477999"/>
    <x v="0"/>
  </r>
  <r>
    <x v="1"/>
    <x v="2"/>
    <x v="0"/>
    <s v="SUB RECETAS"/>
    <x v="1"/>
    <x v="299"/>
    <s v="UNIDADES"/>
    <n v="8916.9214673299994"/>
    <n v="63.9"/>
    <n v="63"/>
    <n v="-0.9"/>
    <n v="561766.05244179"/>
    <n v="-8025.229320597"/>
    <x v="2"/>
  </r>
  <r>
    <x v="1"/>
    <x v="2"/>
    <x v="0"/>
    <s v="LICORES"/>
    <x v="0"/>
    <x v="56"/>
    <s v="ONZA"/>
    <n v="3362.90625"/>
    <n v="41"/>
    <n v="41"/>
    <n v="0"/>
    <n v="137879.15625"/>
    <n v="0"/>
    <x v="1"/>
  </r>
  <r>
    <x v="0"/>
    <x v="1"/>
    <x v="1"/>
    <s v="SUB RECETAS"/>
    <x v="1"/>
    <x v="300"/>
    <s v="GRAMOS"/>
    <n v="32.663171830000003"/>
    <n v="3510"/>
    <n v="3515"/>
    <n v="5"/>
    <n v="114811.04898245001"/>
    <n v="163.31585915000002"/>
    <x v="0"/>
  </r>
  <r>
    <x v="1"/>
    <x v="5"/>
    <x v="2"/>
    <s v="SUB RECETAS"/>
    <x v="1"/>
    <x v="251"/>
    <s v="UNIDADES"/>
    <n v="3371.9832877099998"/>
    <n v="26"/>
    <n v="10"/>
    <n v="-16"/>
    <n v="33719.832877099994"/>
    <n v="-53951.732603359997"/>
    <x v="2"/>
  </r>
  <r>
    <x v="1"/>
    <x v="2"/>
    <x v="0"/>
    <s v="LICORES"/>
    <x v="0"/>
    <x v="32"/>
    <s v="ONZA"/>
    <n v="4504.1666666700003"/>
    <n v="30"/>
    <n v="30"/>
    <n v="0"/>
    <n v="135125.0000001"/>
    <n v="0"/>
    <x v="1"/>
  </r>
  <r>
    <x v="1"/>
    <x v="7"/>
    <x v="3"/>
    <s v="LICORES"/>
    <x v="0"/>
    <x v="2"/>
    <s v="ONZA"/>
    <n v="14896.95833333"/>
    <n v="9"/>
    <n v="9"/>
    <n v="0"/>
    <n v="134072.62499996999"/>
    <n v="0"/>
    <x v="1"/>
  </r>
  <r>
    <x v="1"/>
    <x v="2"/>
    <x v="0"/>
    <s v="AGUA Y TE"/>
    <x v="0"/>
    <x v="145"/>
    <s v="UNIDADES"/>
    <n v="7857"/>
    <n v="17"/>
    <n v="17"/>
    <n v="0"/>
    <n v="133569"/>
    <n v="0"/>
    <x v="1"/>
  </r>
  <r>
    <x v="1"/>
    <x v="7"/>
    <x v="3"/>
    <s v="GASEOSAS Y SODAS"/>
    <x v="0"/>
    <x v="1"/>
    <s v="UNIDADES"/>
    <n v="1497.59166667"/>
    <n v="114.7"/>
    <n v="124.5"/>
    <n v="9.8000000000000007"/>
    <n v="186450.162500415"/>
    <n v="14676.398333366002"/>
    <x v="0"/>
  </r>
  <r>
    <x v="0"/>
    <x v="4"/>
    <x v="2"/>
    <s v="SUB-RECETAS CP"/>
    <x v="1"/>
    <x v="275"/>
    <s v="UNIDADES"/>
    <n v="31393.863636329999"/>
    <n v="45.8"/>
    <n v="49.5"/>
    <n v="3.7"/>
    <n v="1553996.249998335"/>
    <n v="116157.29545442101"/>
    <x v="0"/>
  </r>
  <r>
    <x v="1"/>
    <x v="2"/>
    <x v="0"/>
    <s v="VINOS"/>
    <x v="0"/>
    <x v="104"/>
    <s v="UNIDADES"/>
    <n v="66111.5"/>
    <n v="2"/>
    <n v="2"/>
    <n v="0"/>
    <n v="132223"/>
    <n v="0"/>
    <x v="1"/>
  </r>
  <r>
    <x v="0"/>
    <x v="4"/>
    <x v="2"/>
    <s v="SUB-RECETAS BAR"/>
    <x v="0"/>
    <x v="269"/>
    <s v="ONZA"/>
    <n v="95"/>
    <n v="2.5"/>
    <n v="0"/>
    <n v="-2.5"/>
    <n v="0"/>
    <n v="-237.5"/>
    <x v="2"/>
  </r>
  <r>
    <x v="1"/>
    <x v="3"/>
    <x v="1"/>
    <s v="LICORES"/>
    <x v="0"/>
    <x v="9"/>
    <s v="ONZA"/>
    <n v="2120.6896551700002"/>
    <n v="62"/>
    <n v="62"/>
    <n v="0"/>
    <n v="131482.75862054"/>
    <n v="0"/>
    <x v="1"/>
  </r>
  <r>
    <x v="1"/>
    <x v="5"/>
    <x v="2"/>
    <s v="SUB-RECETAS BAR"/>
    <x v="0"/>
    <x v="260"/>
    <s v="ONZA"/>
    <n v="1929.2098808600001"/>
    <n v="68"/>
    <n v="68"/>
    <n v="0"/>
    <n v="131186.27189848002"/>
    <n v="0"/>
    <x v="1"/>
  </r>
  <r>
    <x v="1"/>
    <x v="3"/>
    <x v="1"/>
    <s v="SUB RECETAS"/>
    <x v="1"/>
    <x v="300"/>
    <s v="GRAMOS"/>
    <n v="32.684100829999998"/>
    <n v="2375"/>
    <n v="2510"/>
    <n v="135"/>
    <n v="82037.093083300002"/>
    <n v="4412.3536120499994"/>
    <x v="0"/>
  </r>
  <r>
    <x v="1"/>
    <x v="9"/>
    <x v="4"/>
    <s v="SUB RECETAS"/>
    <x v="1"/>
    <x v="251"/>
    <s v="UNIDADES"/>
    <n v="3371.9832877099998"/>
    <n v="48"/>
    <n v="22"/>
    <n v="-26"/>
    <n v="74183.632329619999"/>
    <n v="-87671.565480459991"/>
    <x v="2"/>
  </r>
  <r>
    <x v="1"/>
    <x v="3"/>
    <x v="1"/>
    <s v="LICORES"/>
    <x v="0"/>
    <x v="24"/>
    <s v="ONZA"/>
    <n v="2012.98701299"/>
    <n v="70.680000000000007"/>
    <n v="64"/>
    <n v="-6.68"/>
    <n v="128831.16883136"/>
    <n v="-13446.7532467732"/>
    <x v="2"/>
  </r>
  <r>
    <x v="1"/>
    <x v="3"/>
    <x v="1"/>
    <s v="LICORES"/>
    <x v="0"/>
    <x v="203"/>
    <s v="ONZA"/>
    <n v="2134.5416666699998"/>
    <n v="60"/>
    <n v="60"/>
    <n v="0"/>
    <n v="128072.50000019999"/>
    <n v="0"/>
    <x v="1"/>
  </r>
  <r>
    <x v="1"/>
    <x v="5"/>
    <x v="2"/>
    <s v="VINOS"/>
    <x v="0"/>
    <x v="238"/>
    <s v="UNIDADES"/>
    <n v="63897.666666669997"/>
    <n v="2"/>
    <n v="2"/>
    <n v="0"/>
    <n v="127795.33333333999"/>
    <n v="0"/>
    <x v="1"/>
  </r>
  <r>
    <x v="0"/>
    <x v="0"/>
    <x v="0"/>
    <s v="SUB RECETAS"/>
    <x v="1"/>
    <x v="301"/>
    <s v="UNIDADES"/>
    <n v="14163.03254846"/>
    <n v="13.34"/>
    <n v="38"/>
    <n v="24.66"/>
    <n v="538195.23684148001"/>
    <n v="349260.38264502358"/>
    <x v="0"/>
  </r>
  <r>
    <x v="1"/>
    <x v="7"/>
    <x v="3"/>
    <s v="LICORES"/>
    <x v="0"/>
    <x v="141"/>
    <s v="ONZA"/>
    <n v="6045.125"/>
    <n v="21"/>
    <n v="21"/>
    <n v="0"/>
    <n v="126947.625"/>
    <n v="0"/>
    <x v="1"/>
  </r>
  <r>
    <x v="1"/>
    <x v="9"/>
    <x v="4"/>
    <s v="AGUA Y TE"/>
    <x v="0"/>
    <x v="145"/>
    <s v="UNIDADES"/>
    <n v="7857"/>
    <n v="16"/>
    <n v="16"/>
    <n v="0"/>
    <n v="125712"/>
    <n v="0"/>
    <x v="1"/>
  </r>
  <r>
    <x v="1"/>
    <x v="2"/>
    <x v="0"/>
    <s v="VINOS"/>
    <x v="0"/>
    <x v="103"/>
    <s v="UNIDADES"/>
    <n v="62806"/>
    <n v="2"/>
    <n v="2"/>
    <n v="0"/>
    <n v="125612"/>
    <n v="0"/>
    <x v="1"/>
  </r>
  <r>
    <x v="1"/>
    <x v="5"/>
    <x v="2"/>
    <s v="LICORES"/>
    <x v="0"/>
    <x v="35"/>
    <s v="ONZA"/>
    <n v="2056.3333333300002"/>
    <n v="61"/>
    <n v="61"/>
    <n v="0"/>
    <n v="125436.33333313001"/>
    <n v="0"/>
    <x v="1"/>
  </r>
  <r>
    <x v="1"/>
    <x v="3"/>
    <x v="1"/>
    <s v="LICORES"/>
    <x v="0"/>
    <x v="44"/>
    <s v="ONZA"/>
    <n v="4469.0833333299997"/>
    <n v="28"/>
    <n v="28"/>
    <n v="0"/>
    <n v="125134.33333323999"/>
    <n v="0"/>
    <x v="1"/>
  </r>
  <r>
    <x v="1"/>
    <x v="9"/>
    <x v="4"/>
    <s v="GASEOSAS Y SODAS"/>
    <x v="0"/>
    <x v="60"/>
    <s v="UNIDADES"/>
    <n v="2119.75"/>
    <n v="58"/>
    <n v="59"/>
    <n v="1"/>
    <n v="125065.25"/>
    <n v="2119.75"/>
    <x v="0"/>
  </r>
  <r>
    <x v="0"/>
    <x v="4"/>
    <x v="2"/>
    <s v="SUB-RECETAS BAR"/>
    <x v="0"/>
    <x v="273"/>
    <s v="ONZA"/>
    <n v="2979.9057392099999"/>
    <n v="49"/>
    <n v="50"/>
    <n v="1"/>
    <n v="148995.2869605"/>
    <n v="2979.9057392099999"/>
    <x v="0"/>
  </r>
  <r>
    <x v="1"/>
    <x v="5"/>
    <x v="2"/>
    <s v="SUB-RECETAS CP"/>
    <x v="1"/>
    <x v="275"/>
    <s v="UNIDADES"/>
    <n v="20272.394615379999"/>
    <n v="61.88"/>
    <n v="63"/>
    <n v="1.1200000000000001"/>
    <n v="1277160.8607689398"/>
    <n v="22705.081969225601"/>
    <x v="0"/>
  </r>
  <r>
    <x v="1"/>
    <x v="5"/>
    <x v="2"/>
    <s v="SUB-RECETAS BAR"/>
    <x v="0"/>
    <x v="273"/>
    <s v="ONZA"/>
    <n v="2901.3961267599998"/>
    <n v="42"/>
    <n v="43"/>
    <n v="1"/>
    <n v="124760.03345067998"/>
    <n v="2901.3961267599998"/>
    <x v="0"/>
  </r>
  <r>
    <x v="1"/>
    <x v="9"/>
    <x v="4"/>
    <s v="LICORES"/>
    <x v="0"/>
    <x v="16"/>
    <s v="ONZA"/>
    <n v="6003.25"/>
    <n v="20.059999999999999"/>
    <n v="20.67"/>
    <n v="0.61"/>
    <n v="124087.17750000001"/>
    <n v="3661.9825000000001"/>
    <x v="0"/>
  </r>
  <r>
    <x v="1"/>
    <x v="7"/>
    <x v="3"/>
    <s v="CERVEZAS"/>
    <x v="0"/>
    <x v="230"/>
    <s v="UNIDADES"/>
    <n v="11200"/>
    <n v="11"/>
    <n v="11"/>
    <n v="0"/>
    <n v="123200"/>
    <n v="0"/>
    <x v="1"/>
  </r>
  <r>
    <x v="1"/>
    <x v="9"/>
    <x v="4"/>
    <s v="CERVEZAS"/>
    <x v="0"/>
    <x v="143"/>
    <s v="UNIDADES"/>
    <n v="2773.5"/>
    <n v="44"/>
    <n v="44"/>
    <n v="0"/>
    <n v="122034"/>
    <n v="0"/>
    <x v="1"/>
  </r>
  <r>
    <x v="1"/>
    <x v="5"/>
    <x v="2"/>
    <s v="SUB-RECETAS BAR"/>
    <x v="0"/>
    <x v="259"/>
    <s v="ONZA"/>
    <n v="3292.65804514"/>
    <n v="41"/>
    <n v="40"/>
    <n v="-1"/>
    <n v="131706.32180559999"/>
    <n v="-3292.65804514"/>
    <x v="2"/>
  </r>
  <r>
    <x v="1"/>
    <x v="5"/>
    <x v="2"/>
    <s v="LICORES"/>
    <x v="0"/>
    <x v="30"/>
    <s v="ONZA"/>
    <n v="6774.5454545499997"/>
    <n v="18.34"/>
    <n v="18"/>
    <n v="-0.34"/>
    <n v="121941.81818189999"/>
    <n v="-2303.3454545469999"/>
    <x v="2"/>
  </r>
  <r>
    <x v="1"/>
    <x v="2"/>
    <x v="0"/>
    <s v="LICORES"/>
    <x v="0"/>
    <x v="16"/>
    <s v="ONZA"/>
    <n v="5465.125"/>
    <n v="22"/>
    <n v="22"/>
    <n v="0"/>
    <n v="120232.75"/>
    <n v="0"/>
    <x v="1"/>
  </r>
  <r>
    <x v="1"/>
    <x v="2"/>
    <x v="0"/>
    <s v="GASEOSAS Y SODAS"/>
    <x v="0"/>
    <x v="160"/>
    <s v="UNIDADES"/>
    <n v="4986.0833333299997"/>
    <n v="19.170000000000002"/>
    <n v="24"/>
    <n v="-7.17"/>
    <n v="119665.99999991999"/>
    <n v="-35750.217499976097"/>
    <x v="2"/>
  </r>
  <r>
    <x v="0"/>
    <x v="6"/>
    <x v="3"/>
    <s v="SUB-RECETAS BAR"/>
    <x v="0"/>
    <x v="273"/>
    <s v="ONZA"/>
    <n v="2979.9057392099999"/>
    <n v="29"/>
    <n v="31"/>
    <n v="2"/>
    <n v="92377.077915510003"/>
    <n v="5959.8114784199997"/>
    <x v="0"/>
  </r>
  <r>
    <x v="1"/>
    <x v="9"/>
    <x v="4"/>
    <s v="GASEOSAS Y SODAS"/>
    <x v="0"/>
    <x v="65"/>
    <s v="UNIDADES"/>
    <n v="4986.0833333299997"/>
    <n v="23"/>
    <n v="24"/>
    <n v="1"/>
    <n v="119665.99999991999"/>
    <n v="4986.0833333299997"/>
    <x v="0"/>
  </r>
  <r>
    <x v="1"/>
    <x v="9"/>
    <x v="4"/>
    <s v="LICORES"/>
    <x v="0"/>
    <x v="141"/>
    <s v="ONZA"/>
    <n v="6045.125"/>
    <n v="19.72"/>
    <n v="19.78"/>
    <n v="0.06"/>
    <n v="119572.57250000001"/>
    <n v="362.70749999999998"/>
    <x v="0"/>
  </r>
  <r>
    <x v="1"/>
    <x v="2"/>
    <x v="0"/>
    <s v="GASEOSAS Y SODAS"/>
    <x v="0"/>
    <x v="47"/>
    <s v="UNIDADES"/>
    <n v="5132.5"/>
    <n v="20"/>
    <n v="23"/>
    <n v="3"/>
    <n v="118047.5"/>
    <n v="15397.5"/>
    <x v="0"/>
  </r>
  <r>
    <x v="0"/>
    <x v="0"/>
    <x v="0"/>
    <s v="LICORES"/>
    <x v="0"/>
    <x v="203"/>
    <s v="ONZA"/>
    <n v="2134.5416666699998"/>
    <n v="54"/>
    <n v="52"/>
    <n v="-2"/>
    <n v="110996.16666683998"/>
    <n v="-4269.0833333399996"/>
    <x v="2"/>
  </r>
  <r>
    <x v="1"/>
    <x v="9"/>
    <x v="4"/>
    <s v="VINOS"/>
    <x v="0"/>
    <x v="105"/>
    <s v="UNIDADES"/>
    <n v="63372.666666669997"/>
    <n v="4"/>
    <n v="5"/>
    <n v="1"/>
    <n v="316863.33333334996"/>
    <n v="63372.666666669997"/>
    <x v="0"/>
  </r>
  <r>
    <x v="1"/>
    <x v="3"/>
    <x v="1"/>
    <s v="LICORES"/>
    <x v="0"/>
    <x v="33"/>
    <s v="ONZA"/>
    <n v="2796.5"/>
    <n v="38"/>
    <n v="42"/>
    <n v="4"/>
    <n v="117453"/>
    <n v="11186"/>
    <x v="0"/>
  </r>
  <r>
    <x v="1"/>
    <x v="5"/>
    <x v="2"/>
    <s v="SUB-RECETAS BAR"/>
    <x v="0"/>
    <x v="302"/>
    <s v="ONZA"/>
    <n v="4481.6813725399998"/>
    <n v="38"/>
    <n v="39"/>
    <n v="1"/>
    <n v="174785.57352906"/>
    <n v="4481.6813725399998"/>
    <x v="0"/>
  </r>
  <r>
    <x v="1"/>
    <x v="9"/>
    <x v="4"/>
    <s v="LICORES"/>
    <x v="0"/>
    <x v="110"/>
    <s v="ONZA"/>
    <n v="3171.7162499999999"/>
    <n v="35"/>
    <n v="37"/>
    <n v="2"/>
    <n v="117353.50125"/>
    <n v="6343.4324999999999"/>
    <x v="0"/>
  </r>
  <r>
    <x v="0"/>
    <x v="8"/>
    <x v="4"/>
    <s v="SUB-RECETAS CP"/>
    <x v="1"/>
    <x v="275"/>
    <s v="UNIDADES"/>
    <n v="31393.863636329999"/>
    <n v="17.64"/>
    <n v="57"/>
    <n v="39.36"/>
    <n v="1789450.2272708099"/>
    <n v="1235662.4727259488"/>
    <x v="0"/>
  </r>
  <r>
    <x v="1"/>
    <x v="3"/>
    <x v="1"/>
    <s v="LICORES"/>
    <x v="0"/>
    <x v="42"/>
    <s v="UNIDADES"/>
    <n v="23367"/>
    <n v="5"/>
    <n v="5"/>
    <n v="0"/>
    <n v="116835"/>
    <n v="0"/>
    <x v="1"/>
  </r>
  <r>
    <x v="0"/>
    <x v="1"/>
    <x v="1"/>
    <s v="SUB RECETAS"/>
    <x v="1"/>
    <x v="303"/>
    <s v="UNIDADES"/>
    <n v="8078.16898692"/>
    <n v="22"/>
    <n v="6"/>
    <n v="-16"/>
    <n v="48469.013921520003"/>
    <n v="-129250.70379072"/>
    <x v="2"/>
  </r>
  <r>
    <x v="0"/>
    <x v="4"/>
    <x v="2"/>
    <s v="SUB-RECETAS CP"/>
    <x v="1"/>
    <x v="274"/>
    <s v="UNIDADES"/>
    <n v="9204.3375632700008"/>
    <n v="30"/>
    <n v="29"/>
    <n v="-1"/>
    <n v="266925.78933483001"/>
    <n v="-9204.3375632700008"/>
    <x v="2"/>
  </r>
  <r>
    <x v="1"/>
    <x v="7"/>
    <x v="3"/>
    <s v="CERVEZAS"/>
    <x v="0"/>
    <x v="178"/>
    <s v="UNIDADES"/>
    <n v="3465.1666666699998"/>
    <n v="33"/>
    <n v="33"/>
    <n v="0"/>
    <n v="114350.50000011"/>
    <n v="0"/>
    <x v="1"/>
  </r>
  <r>
    <x v="0"/>
    <x v="6"/>
    <x v="3"/>
    <s v="SUB-RECETAS BAR"/>
    <x v="0"/>
    <x v="259"/>
    <s v="ONZA"/>
    <n v="3055.80310022"/>
    <n v="89"/>
    <n v="88"/>
    <n v="-1"/>
    <n v="268910.67281935998"/>
    <n v="-3055.80310022"/>
    <x v="2"/>
  </r>
  <r>
    <x v="1"/>
    <x v="3"/>
    <x v="1"/>
    <s v="LICORES"/>
    <x v="0"/>
    <x v="40"/>
    <s v="UNIDADES"/>
    <n v="22770"/>
    <n v="5"/>
    <n v="5"/>
    <n v="0"/>
    <n v="113850"/>
    <n v="0"/>
    <x v="1"/>
  </r>
  <r>
    <x v="1"/>
    <x v="2"/>
    <x v="0"/>
    <s v="SUB RECETAS"/>
    <x v="1"/>
    <x v="301"/>
    <s v="UNIDADES"/>
    <n v="14758.96001665"/>
    <n v="30"/>
    <n v="24"/>
    <n v="-6"/>
    <n v="354215.04039959999"/>
    <n v="-88553.760099899999"/>
    <x v="2"/>
  </r>
  <r>
    <x v="0"/>
    <x v="0"/>
    <x v="0"/>
    <s v="CERVEZAS"/>
    <x v="0"/>
    <x v="181"/>
    <s v="UNIDADES"/>
    <n v="2298"/>
    <n v="5"/>
    <n v="0"/>
    <n v="-5"/>
    <n v="0"/>
    <n v="-11490"/>
    <x v="2"/>
  </r>
  <r>
    <x v="0"/>
    <x v="4"/>
    <x v="2"/>
    <s v="LICORES"/>
    <x v="0"/>
    <x v="30"/>
    <s v="ONZA"/>
    <n v="6774.5454545499997"/>
    <n v="22"/>
    <n v="23"/>
    <n v="1"/>
    <n v="155814.54545464998"/>
    <n v="6774.5454545499997"/>
    <x v="0"/>
  </r>
  <r>
    <x v="1"/>
    <x v="9"/>
    <x v="4"/>
    <s v="GASEOSAS Y SODAS"/>
    <x v="0"/>
    <x v="47"/>
    <s v="UNIDADES"/>
    <n v="5132.5"/>
    <n v="21"/>
    <n v="22"/>
    <n v="1"/>
    <n v="112915"/>
    <n v="5132.5"/>
    <x v="0"/>
  </r>
  <r>
    <x v="1"/>
    <x v="5"/>
    <x v="2"/>
    <s v="VINOS"/>
    <x v="0"/>
    <x v="241"/>
    <s v="UNIDADES"/>
    <n v="37616.833333330003"/>
    <n v="3"/>
    <n v="3"/>
    <n v="0"/>
    <n v="112850.49999999002"/>
    <n v="0"/>
    <x v="1"/>
  </r>
  <r>
    <x v="1"/>
    <x v="7"/>
    <x v="3"/>
    <s v="VINOS"/>
    <x v="0"/>
    <x v="111"/>
    <s v="UNIDADES"/>
    <n v="37612"/>
    <n v="3"/>
    <n v="3"/>
    <n v="0"/>
    <n v="112836"/>
    <n v="0"/>
    <x v="1"/>
  </r>
  <r>
    <x v="1"/>
    <x v="3"/>
    <x v="1"/>
    <s v="SUB RECETAS"/>
    <x v="1"/>
    <x v="303"/>
    <s v="UNIDADES"/>
    <n v="8007.5353664300001"/>
    <n v="17"/>
    <n v="14"/>
    <n v="-3"/>
    <n v="112105.49513002"/>
    <n v="-24022.606099290002"/>
    <x v="2"/>
  </r>
  <r>
    <x v="1"/>
    <x v="7"/>
    <x v="3"/>
    <s v="CERVEZAS"/>
    <x v="0"/>
    <x v="227"/>
    <s v="UNIDADES"/>
    <n v="4102.8333333299997"/>
    <n v="27"/>
    <n v="27"/>
    <n v="0"/>
    <n v="110776.49999991"/>
    <n v="0"/>
    <x v="1"/>
  </r>
  <r>
    <x v="1"/>
    <x v="9"/>
    <x v="4"/>
    <s v="LICORES"/>
    <x v="0"/>
    <x v="17"/>
    <s v="ONZA"/>
    <n v="3359.40909091"/>
    <n v="28.08"/>
    <n v="32.83"/>
    <n v="4.75"/>
    <n v="110289.4004545753"/>
    <n v="15957.1931818225"/>
    <x v="0"/>
  </r>
  <r>
    <x v="0"/>
    <x v="4"/>
    <x v="2"/>
    <s v="AGUA Y TE"/>
    <x v="0"/>
    <x v="147"/>
    <s v="UNIDADES"/>
    <n v="3458.3333333300002"/>
    <n v="16"/>
    <n v="17"/>
    <n v="1"/>
    <n v="58791.666666610006"/>
    <n v="3458.3333333300002"/>
    <x v="0"/>
  </r>
  <r>
    <x v="1"/>
    <x v="7"/>
    <x v="3"/>
    <s v="VINOS"/>
    <x v="0"/>
    <x v="109"/>
    <s v="COPA"/>
    <n v="10889.4"/>
    <n v="10"/>
    <n v="10"/>
    <n v="0"/>
    <n v="108894"/>
    <n v="0"/>
    <x v="1"/>
  </r>
  <r>
    <x v="1"/>
    <x v="9"/>
    <x v="4"/>
    <s v="VINOS"/>
    <x v="0"/>
    <x v="109"/>
    <s v="COPA"/>
    <n v="10889.4"/>
    <n v="10"/>
    <n v="10"/>
    <n v="0"/>
    <n v="108894"/>
    <n v="0"/>
    <x v="1"/>
  </r>
  <r>
    <x v="1"/>
    <x v="5"/>
    <x v="2"/>
    <s v="VINOS"/>
    <x v="0"/>
    <x v="109"/>
    <s v="COPA"/>
    <n v="10889.4"/>
    <n v="10"/>
    <n v="10"/>
    <n v="0"/>
    <n v="108894"/>
    <n v="0"/>
    <x v="1"/>
  </r>
  <r>
    <x v="1"/>
    <x v="7"/>
    <x v="3"/>
    <s v="VINOS"/>
    <x v="0"/>
    <x v="185"/>
    <s v="COPA"/>
    <n v="9853.2000000000007"/>
    <n v="11"/>
    <n v="11"/>
    <n v="0"/>
    <n v="108385.20000000001"/>
    <n v="0"/>
    <x v="1"/>
  </r>
  <r>
    <x v="1"/>
    <x v="5"/>
    <x v="2"/>
    <s v="CERVEZAS"/>
    <x v="0"/>
    <x v="184"/>
    <s v="UNIDADES"/>
    <n v="3179.6666666699998"/>
    <n v="34"/>
    <n v="34"/>
    <n v="0"/>
    <n v="108108.66666677999"/>
    <n v="0"/>
    <x v="1"/>
  </r>
  <r>
    <x v="0"/>
    <x v="0"/>
    <x v="0"/>
    <s v="SUB RECETAS"/>
    <x v="1"/>
    <x v="304"/>
    <s v="UNIDADES"/>
    <n v="268044.56898272998"/>
    <n v="37"/>
    <n v="58"/>
    <n v="21"/>
    <n v="15546585.000998339"/>
    <n v="5628935.94863733"/>
    <x v="0"/>
  </r>
  <r>
    <x v="0"/>
    <x v="4"/>
    <x v="2"/>
    <s v="AGUA Y TE"/>
    <x v="0"/>
    <x v="162"/>
    <s v="UNIDADES"/>
    <n v="3458.25"/>
    <n v="12"/>
    <n v="8"/>
    <n v="-4"/>
    <n v="27666"/>
    <n v="-13833"/>
    <x v="2"/>
  </r>
  <r>
    <x v="1"/>
    <x v="7"/>
    <x v="3"/>
    <s v="AGUA Y TE"/>
    <x v="0"/>
    <x v="29"/>
    <s v="UNIDADES"/>
    <n v="1234.3916666699999"/>
    <n v="87"/>
    <n v="87"/>
    <n v="0"/>
    <n v="107392.07500029"/>
    <n v="0"/>
    <x v="1"/>
  </r>
  <r>
    <x v="1"/>
    <x v="7"/>
    <x v="3"/>
    <s v="VINOS"/>
    <x v="0"/>
    <x v="242"/>
    <s v="COPA"/>
    <n v="10715.3"/>
    <n v="10"/>
    <n v="10"/>
    <n v="0"/>
    <n v="107153"/>
    <n v="0"/>
    <x v="1"/>
  </r>
  <r>
    <x v="1"/>
    <x v="5"/>
    <x v="2"/>
    <s v="AGUA Y TE"/>
    <x v="0"/>
    <x v="162"/>
    <s v="UNIDADES"/>
    <n v="3458.25"/>
    <n v="6"/>
    <n v="10"/>
    <n v="4"/>
    <n v="34582.5"/>
    <n v="13833"/>
    <x v="0"/>
  </r>
  <r>
    <x v="1"/>
    <x v="2"/>
    <x v="0"/>
    <s v="LICORES"/>
    <x v="0"/>
    <x v="135"/>
    <s v="ONZA"/>
    <n v="5658.3333333299997"/>
    <n v="52"/>
    <n v="50"/>
    <n v="-2"/>
    <n v="282916.66666649998"/>
    <n v="-11316.666666659999"/>
    <x v="2"/>
  </r>
  <r>
    <x v="1"/>
    <x v="2"/>
    <x v="0"/>
    <s v="VINOS"/>
    <x v="0"/>
    <x v="116"/>
    <s v="UNIDADES"/>
    <n v="53140"/>
    <n v="2"/>
    <n v="2"/>
    <n v="0"/>
    <n v="106280"/>
    <n v="0"/>
    <x v="1"/>
  </r>
  <r>
    <x v="1"/>
    <x v="2"/>
    <x v="0"/>
    <s v="SUB RECETAS"/>
    <x v="1"/>
    <x v="304"/>
    <s v="UNIDADES"/>
    <n v="521.75395301000003"/>
    <n v="51"/>
    <n v="1500"/>
    <n v="1449"/>
    <n v="782630.92951500008"/>
    <n v="756021.47791149002"/>
    <x v="0"/>
  </r>
  <r>
    <x v="1"/>
    <x v="3"/>
    <x v="1"/>
    <s v="GASEOSAS Y SODAS"/>
    <x v="0"/>
    <x v="67"/>
    <s v="UNIDADES"/>
    <n v="4986.1810224199999"/>
    <n v="21"/>
    <n v="21"/>
    <n v="0"/>
    <n v="104709.80147081999"/>
    <n v="0"/>
    <x v="1"/>
  </r>
  <r>
    <x v="1"/>
    <x v="5"/>
    <x v="2"/>
    <s v="AGUA Y TE"/>
    <x v="0"/>
    <x v="130"/>
    <s v="UNIDADES"/>
    <n v="2766.665"/>
    <n v="0"/>
    <n v="10"/>
    <n v="10"/>
    <n v="27666.65"/>
    <n v="27666.65"/>
    <x v="0"/>
  </r>
  <r>
    <x v="0"/>
    <x v="6"/>
    <x v="3"/>
    <s v="SUB-RECETAS BAR"/>
    <x v="0"/>
    <x v="260"/>
    <s v="ONZA"/>
    <n v="8239.9012388899991"/>
    <n v="27"/>
    <n v="28"/>
    <n v="1"/>
    <n v="230717.23468891997"/>
    <n v="8239.9012388899991"/>
    <x v="0"/>
  </r>
  <r>
    <x v="1"/>
    <x v="7"/>
    <x v="3"/>
    <s v="PESCADOS Y MARISCOS"/>
    <x v="1"/>
    <x v="84"/>
    <s v="UNIDADES"/>
    <n v="17250.131652659999"/>
    <n v="6"/>
    <n v="6"/>
    <n v="0"/>
    <n v="103500.78991595999"/>
    <n v="0"/>
    <x v="1"/>
  </r>
  <r>
    <x v="1"/>
    <x v="9"/>
    <x v="4"/>
    <s v="PESCADOS Y MARISCOS"/>
    <x v="1"/>
    <x v="84"/>
    <s v="UNIDADES"/>
    <n v="17250.131652659999"/>
    <n v="0"/>
    <n v="6"/>
    <n v="6"/>
    <n v="103500.78991595999"/>
    <n v="103500.78991595999"/>
    <x v="0"/>
  </r>
  <r>
    <x v="1"/>
    <x v="3"/>
    <x v="1"/>
    <s v="GASEOSAS Y SODAS"/>
    <x v="0"/>
    <x v="137"/>
    <s v="UNIDADES"/>
    <n v="1654.1729616299999"/>
    <n v="64.099999999999994"/>
    <n v="62"/>
    <n v="-2.1"/>
    <n v="102558.72362105999"/>
    <n v="-3473.763219423"/>
    <x v="2"/>
  </r>
  <r>
    <x v="1"/>
    <x v="5"/>
    <x v="2"/>
    <s v="AGUA Y TE"/>
    <x v="0"/>
    <x v="152"/>
    <s v="UNIDADES"/>
    <n v="3458.3333333300002"/>
    <n v="10"/>
    <n v="0"/>
    <n v="-10"/>
    <n v="0"/>
    <n v="-34583.333333300005"/>
    <x v="2"/>
  </r>
  <r>
    <x v="1"/>
    <x v="5"/>
    <x v="2"/>
    <s v="AGUA Y TE"/>
    <x v="0"/>
    <x v="158"/>
    <s v="UNIDADES"/>
    <n v="1654.2666666699999"/>
    <n v="61"/>
    <n v="61"/>
    <n v="0"/>
    <n v="100910.26666687"/>
    <n v="0"/>
    <x v="1"/>
  </r>
  <r>
    <x v="1"/>
    <x v="5"/>
    <x v="2"/>
    <s v="LICORES"/>
    <x v="0"/>
    <x v="23"/>
    <s v="ONZA"/>
    <n v="8628.9583333299997"/>
    <n v="22"/>
    <n v="24"/>
    <n v="2"/>
    <n v="207094.99999991999"/>
    <n v="17257.916666659999"/>
    <x v="0"/>
  </r>
  <r>
    <x v="1"/>
    <x v="3"/>
    <x v="1"/>
    <s v="GASEOSAS Y SODAS"/>
    <x v="0"/>
    <x v="194"/>
    <s v="UNIDADES"/>
    <n v="5023"/>
    <n v="20"/>
    <n v="20"/>
    <n v="0"/>
    <n v="100460"/>
    <n v="0"/>
    <x v="1"/>
  </r>
  <r>
    <x v="1"/>
    <x v="2"/>
    <x v="0"/>
    <s v="LICORES"/>
    <x v="0"/>
    <x v="3"/>
    <s v="UNIDADES"/>
    <n v="100385"/>
    <n v="1"/>
    <n v="1"/>
    <n v="0"/>
    <n v="100385"/>
    <n v="0"/>
    <x v="1"/>
  </r>
  <r>
    <x v="1"/>
    <x v="9"/>
    <x v="4"/>
    <s v="LICORES"/>
    <x v="0"/>
    <x v="3"/>
    <s v="UNIDADES"/>
    <n v="100385"/>
    <n v="1"/>
    <n v="1"/>
    <n v="0"/>
    <n v="100385"/>
    <n v="0"/>
    <x v="1"/>
  </r>
  <r>
    <x v="1"/>
    <x v="5"/>
    <x v="2"/>
    <s v="LICORES"/>
    <x v="0"/>
    <x v="3"/>
    <s v="UNIDADES"/>
    <n v="100385"/>
    <n v="1"/>
    <n v="1"/>
    <n v="0"/>
    <n v="100385"/>
    <n v="0"/>
    <x v="1"/>
  </r>
  <r>
    <x v="1"/>
    <x v="5"/>
    <x v="2"/>
    <s v="GASEOSAS Y SODAS"/>
    <x v="0"/>
    <x v="65"/>
    <s v="UNIDADES"/>
    <n v="4986.0833333299997"/>
    <n v="20"/>
    <n v="20"/>
    <n v="0"/>
    <n v="99721.666666599995"/>
    <n v="0"/>
    <x v="1"/>
  </r>
  <r>
    <x v="1"/>
    <x v="3"/>
    <x v="1"/>
    <s v="GASEOSAS Y SODAS"/>
    <x v="0"/>
    <x v="63"/>
    <s v="UNIDADES"/>
    <n v="4986.0833333299997"/>
    <n v="20"/>
    <n v="20"/>
    <n v="0"/>
    <n v="99721.666666599995"/>
    <n v="0"/>
    <x v="1"/>
  </r>
  <r>
    <x v="0"/>
    <x v="1"/>
    <x v="1"/>
    <s v="LICORES"/>
    <x v="0"/>
    <x v="9"/>
    <s v="ONZA"/>
    <n v="2120.6896551700002"/>
    <n v="60"/>
    <n v="62"/>
    <n v="2"/>
    <n v="131482.75862054"/>
    <n v="4241.3793103400003"/>
    <x v="0"/>
  </r>
  <r>
    <x v="1"/>
    <x v="2"/>
    <x v="0"/>
    <s v="VINOS"/>
    <x v="0"/>
    <x v="120"/>
    <s v="UNIDADES"/>
    <n v="98892"/>
    <n v="1"/>
    <n v="1"/>
    <n v="0"/>
    <n v="98892"/>
    <n v="0"/>
    <x v="1"/>
  </r>
  <r>
    <x v="1"/>
    <x v="5"/>
    <x v="2"/>
    <s v="AGUA Y TE"/>
    <x v="0"/>
    <x v="29"/>
    <s v="UNIDADES"/>
    <n v="1234.3916666699999"/>
    <n v="80"/>
    <n v="80"/>
    <n v="0"/>
    <n v="98751.333333599992"/>
    <n v="0"/>
    <x v="1"/>
  </r>
  <r>
    <x v="1"/>
    <x v="2"/>
    <x v="0"/>
    <s v="VINOS"/>
    <x v="0"/>
    <x v="122"/>
    <s v="UNIDADES"/>
    <n v="49268.9"/>
    <n v="2"/>
    <n v="2"/>
    <n v="0"/>
    <n v="98537.8"/>
    <n v="0"/>
    <x v="1"/>
  </r>
  <r>
    <x v="0"/>
    <x v="4"/>
    <x v="2"/>
    <s v="LICORES"/>
    <x v="0"/>
    <x v="28"/>
    <s v="ONZA"/>
    <n v="3481.25"/>
    <n v="63"/>
    <n v="72"/>
    <n v="9"/>
    <n v="250650"/>
    <n v="31331.25"/>
    <x v="0"/>
  </r>
  <r>
    <x v="1"/>
    <x v="3"/>
    <x v="1"/>
    <s v="GASEOSAS Y SODAS"/>
    <x v="0"/>
    <x v="22"/>
    <s v="UNIDADES"/>
    <n v="5132.5"/>
    <n v="19"/>
    <n v="19"/>
    <n v="0"/>
    <n v="97517.5"/>
    <n v="0"/>
    <x v="1"/>
  </r>
  <r>
    <x v="1"/>
    <x v="7"/>
    <x v="3"/>
    <s v="SUB-RECETAS BAR"/>
    <x v="0"/>
    <x v="269"/>
    <s v="ONZA"/>
    <n v="3350.3922764200001"/>
    <n v="29"/>
    <n v="29"/>
    <n v="0"/>
    <n v="97161.376016180002"/>
    <n v="0"/>
    <x v="1"/>
  </r>
  <r>
    <x v="1"/>
    <x v="2"/>
    <x v="0"/>
    <s v="VINOS"/>
    <x v="0"/>
    <x v="115"/>
    <s v="UNIDADES"/>
    <n v="48142"/>
    <n v="2"/>
    <n v="2"/>
    <n v="0"/>
    <n v="96284"/>
    <n v="0"/>
    <x v="1"/>
  </r>
  <r>
    <x v="1"/>
    <x v="3"/>
    <x v="1"/>
    <s v="LICORES"/>
    <x v="0"/>
    <x v="12"/>
    <s v="ONZA"/>
    <n v="1997.7272727300001"/>
    <n v="54"/>
    <n v="48"/>
    <n v="-6"/>
    <n v="95890.909091039997"/>
    <n v="-11986.36363638"/>
    <x v="2"/>
  </r>
  <r>
    <x v="1"/>
    <x v="9"/>
    <x v="4"/>
    <s v="CERVEZAS"/>
    <x v="0"/>
    <x v="75"/>
    <s v="UNIDADES"/>
    <n v="2335.0666666699999"/>
    <n v="41"/>
    <n v="41"/>
    <n v="0"/>
    <n v="95737.733333469994"/>
    <n v="0"/>
    <x v="1"/>
  </r>
  <r>
    <x v="0"/>
    <x v="6"/>
    <x v="3"/>
    <s v="SUB-RECETAS BAR"/>
    <x v="0"/>
    <x v="261"/>
    <s v="ONZA"/>
    <n v="4187.4239350999997"/>
    <n v="14"/>
    <n v="17"/>
    <n v="3"/>
    <n v="71186.206896699994"/>
    <n v="12562.271805299999"/>
    <x v="0"/>
  </r>
  <r>
    <x v="1"/>
    <x v="2"/>
    <x v="0"/>
    <s v="GASEOSAS Y SODAS"/>
    <x v="0"/>
    <x v="63"/>
    <s v="UNIDADES"/>
    <n v="4986.0833333299997"/>
    <n v="21"/>
    <n v="19"/>
    <n v="-2"/>
    <n v="94735.583333269999"/>
    <n v="-9972.1666666599995"/>
    <x v="2"/>
  </r>
  <r>
    <x v="1"/>
    <x v="3"/>
    <x v="1"/>
    <s v="SUB-RECETAS BAR"/>
    <x v="0"/>
    <x v="214"/>
    <s v="UNIDADES"/>
    <n v="2053.98384794"/>
    <n v="16"/>
    <n v="0"/>
    <n v="-16"/>
    <n v="0"/>
    <n v="-32863.741567040001"/>
    <x v="2"/>
  </r>
  <r>
    <x v="1"/>
    <x v="5"/>
    <x v="2"/>
    <s v="LICORES"/>
    <x v="0"/>
    <x v="28"/>
    <s v="ONZA"/>
    <n v="3754.15625"/>
    <n v="42"/>
    <n v="43"/>
    <n v="1"/>
    <n v="161428.71875"/>
    <n v="3754.15625"/>
    <x v="0"/>
  </r>
  <r>
    <x v="3"/>
    <x v="11"/>
    <x v="5"/>
    <s v="SUB-RECETAS CP"/>
    <x v="1"/>
    <x v="305"/>
    <s v="GRAMOS"/>
    <n v="34.175380009999998"/>
    <n v="2762"/>
    <n v="2762"/>
    <n v="0"/>
    <n v="94392.399587619992"/>
    <n v="0"/>
    <x v="1"/>
  </r>
  <r>
    <x v="1"/>
    <x v="5"/>
    <x v="2"/>
    <s v="CERVEZAS"/>
    <x v="0"/>
    <x v="227"/>
    <s v="UNIDADES"/>
    <n v="4102.8333333299997"/>
    <n v="23"/>
    <n v="23"/>
    <n v="0"/>
    <n v="94365.166666589997"/>
    <n v="0"/>
    <x v="1"/>
  </r>
  <r>
    <x v="1"/>
    <x v="5"/>
    <x v="2"/>
    <s v="LICORES"/>
    <x v="0"/>
    <x v="19"/>
    <s v="UNIDADES"/>
    <n v="93956"/>
    <n v="1"/>
    <n v="1"/>
    <n v="0"/>
    <n v="93956"/>
    <n v="0"/>
    <x v="1"/>
  </r>
  <r>
    <x v="1"/>
    <x v="2"/>
    <x v="0"/>
    <s v="LICORES"/>
    <x v="0"/>
    <x v="54"/>
    <s v="ONZA"/>
    <n v="0"/>
    <n v="24"/>
    <n v="22"/>
    <n v="-2"/>
    <n v="0"/>
    <n v="0"/>
    <x v="2"/>
  </r>
  <r>
    <x v="1"/>
    <x v="9"/>
    <x v="4"/>
    <s v="CERVEZAS"/>
    <x v="0"/>
    <x v="76"/>
    <s v="UNIDADES"/>
    <n v="2183.46666667"/>
    <n v="43"/>
    <n v="43"/>
    <n v="0"/>
    <n v="93889.066666810002"/>
    <n v="0"/>
    <x v="1"/>
  </r>
  <r>
    <x v="1"/>
    <x v="3"/>
    <x v="1"/>
    <s v="LICORES"/>
    <x v="0"/>
    <x v="30"/>
    <s v="ONZA"/>
    <n v="6774.5454545499997"/>
    <n v="14"/>
    <n v="13.7"/>
    <n v="-0.3"/>
    <n v="92811.272727334988"/>
    <n v="-2032.3636363649998"/>
    <x v="2"/>
  </r>
  <r>
    <x v="0"/>
    <x v="0"/>
    <x v="0"/>
    <s v="LICORES"/>
    <x v="0"/>
    <x v="5"/>
    <s v="ONZA"/>
    <n v="6800.3640183199996"/>
    <n v="45.34"/>
    <n v="43"/>
    <n v="-2.34"/>
    <n v="292415.65278775996"/>
    <n v="-15912.851802868798"/>
    <x v="2"/>
  </r>
  <r>
    <x v="1"/>
    <x v="5"/>
    <x v="2"/>
    <s v="LICORES"/>
    <x v="0"/>
    <x v="134"/>
    <s v="ONZA"/>
    <n v="8389.75"/>
    <n v="11"/>
    <n v="11"/>
    <n v="0"/>
    <n v="92287.25"/>
    <n v="0"/>
    <x v="1"/>
  </r>
  <r>
    <x v="1"/>
    <x v="2"/>
    <x v="0"/>
    <s v="LICORES"/>
    <x v="0"/>
    <x v="40"/>
    <s v="UNIDADES"/>
    <n v="22770"/>
    <n v="4"/>
    <n v="4"/>
    <n v="0"/>
    <n v="91080"/>
    <n v="0"/>
    <x v="1"/>
  </r>
  <r>
    <x v="1"/>
    <x v="5"/>
    <x v="2"/>
    <s v="SUB-RECETAS CP"/>
    <x v="1"/>
    <x v="274"/>
    <s v="UNIDADES"/>
    <n v="7157.6045853699998"/>
    <n v="17"/>
    <n v="19"/>
    <n v="2"/>
    <n v="135994.48712203"/>
    <n v="14315.20917074"/>
    <x v="0"/>
  </r>
  <r>
    <x v="1"/>
    <x v="5"/>
    <x v="2"/>
    <s v="VINOS"/>
    <x v="0"/>
    <x v="268"/>
    <s v="COPA"/>
    <n v="15144"/>
    <n v="6"/>
    <n v="6"/>
    <n v="0"/>
    <n v="90864"/>
    <n v="0"/>
    <x v="1"/>
  </r>
  <r>
    <x v="1"/>
    <x v="5"/>
    <x v="2"/>
    <s v="PESCADOS Y MARISCOS"/>
    <x v="1"/>
    <x v="306"/>
    <s v="GRAMOS"/>
    <n v="31.416"/>
    <n v="17000"/>
    <n v="15722"/>
    <n v="-1278"/>
    <n v="493922.35200000001"/>
    <n v="-40149.648000000001"/>
    <x v="2"/>
  </r>
  <r>
    <x v="1"/>
    <x v="7"/>
    <x v="3"/>
    <s v="LICORES"/>
    <x v="0"/>
    <x v="48"/>
    <s v="UNIDADES"/>
    <n v="45099.74"/>
    <n v="2"/>
    <n v="2"/>
    <n v="0"/>
    <n v="90199.48"/>
    <n v="0"/>
    <x v="1"/>
  </r>
  <r>
    <x v="1"/>
    <x v="9"/>
    <x v="4"/>
    <s v="LICORES"/>
    <x v="0"/>
    <x v="48"/>
    <s v="UNIDADES"/>
    <n v="45099.74"/>
    <n v="2"/>
    <n v="2"/>
    <n v="0"/>
    <n v="90199.48"/>
    <n v="0"/>
    <x v="1"/>
  </r>
  <r>
    <x v="0"/>
    <x v="4"/>
    <x v="2"/>
    <s v="LICORES"/>
    <x v="0"/>
    <x v="36"/>
    <s v="ONZA"/>
    <n v="1917.6875"/>
    <n v="43.02"/>
    <n v="44"/>
    <n v="0.98"/>
    <n v="84378.25"/>
    <n v="1879.33375"/>
    <x v="0"/>
  </r>
  <r>
    <x v="0"/>
    <x v="6"/>
    <x v="3"/>
    <s v="LICORES"/>
    <x v="0"/>
    <x v="30"/>
    <s v="ONZA"/>
    <n v="6774.5454545499997"/>
    <n v="43"/>
    <n v="42"/>
    <n v="-1"/>
    <n v="284530.90909109998"/>
    <n v="-6774.5454545499997"/>
    <x v="2"/>
  </r>
  <r>
    <x v="1"/>
    <x v="7"/>
    <x v="3"/>
    <s v="AGUA Y TE"/>
    <x v="0"/>
    <x v="147"/>
    <s v="UNIDADES"/>
    <n v="3458.3270308299998"/>
    <n v="-10"/>
    <n v="2"/>
    <n v="12"/>
    <n v="6916.6540616599996"/>
    <n v="41499.924369959997"/>
    <x v="0"/>
  </r>
  <r>
    <x v="0"/>
    <x v="1"/>
    <x v="1"/>
    <s v="SUB RECETAS"/>
    <x v="1"/>
    <x v="307"/>
    <s v="UNIDADES"/>
    <n v="461.08409621999999"/>
    <n v="10.8"/>
    <n v="6"/>
    <n v="-4.8"/>
    <n v="2766.50457732"/>
    <n v="-2213.2036618560001"/>
    <x v="2"/>
  </r>
  <r>
    <x v="1"/>
    <x v="5"/>
    <x v="2"/>
    <s v="LICORES"/>
    <x v="0"/>
    <x v="36"/>
    <s v="ONZA"/>
    <n v="2904.0416666699998"/>
    <n v="43.34"/>
    <n v="42"/>
    <n v="-1.34"/>
    <n v="121969.75000013999"/>
    <n v="-3891.4158333378"/>
    <x v="2"/>
  </r>
  <r>
    <x v="1"/>
    <x v="9"/>
    <x v="4"/>
    <s v="VINOS"/>
    <x v="0"/>
    <x v="86"/>
    <s v="COPA"/>
    <n v="4385.6000000000004"/>
    <n v="19"/>
    <n v="20"/>
    <n v="1"/>
    <n v="87712"/>
    <n v="4385.6000000000004"/>
    <x v="0"/>
  </r>
  <r>
    <x v="1"/>
    <x v="5"/>
    <x v="2"/>
    <s v="VINOS"/>
    <x v="0"/>
    <x v="142"/>
    <s v="COPA"/>
    <n v="4385.2"/>
    <n v="20"/>
    <n v="20"/>
    <n v="0"/>
    <n v="87704"/>
    <n v="0"/>
    <x v="1"/>
  </r>
  <r>
    <x v="1"/>
    <x v="7"/>
    <x v="3"/>
    <s v="VINOS"/>
    <x v="0"/>
    <x v="237"/>
    <s v="UNIDADES"/>
    <n v="87241.5"/>
    <n v="1"/>
    <n v="1"/>
    <n v="0"/>
    <n v="87241.5"/>
    <n v="0"/>
    <x v="1"/>
  </r>
  <r>
    <x v="1"/>
    <x v="9"/>
    <x v="4"/>
    <s v="LICORES"/>
    <x v="0"/>
    <x v="26"/>
    <s v="ONZA"/>
    <n v="2906.3333333300002"/>
    <n v="28.34"/>
    <n v="30"/>
    <n v="1.66"/>
    <n v="87189.999999899999"/>
    <n v="4824.5133333278"/>
    <x v="0"/>
  </r>
  <r>
    <x v="1"/>
    <x v="9"/>
    <x v="4"/>
    <s v="SUB-RECETAS CP"/>
    <x v="1"/>
    <x v="258"/>
    <s v="UNIDADES"/>
    <n v="1575.4194626999999"/>
    <n v="55"/>
    <n v="55"/>
    <n v="0"/>
    <n v="86648.070448500002"/>
    <n v="0"/>
    <x v="1"/>
  </r>
  <r>
    <x v="1"/>
    <x v="7"/>
    <x v="3"/>
    <s v="AGUA Y TE"/>
    <x v="0"/>
    <x v="145"/>
    <s v="UNIDADES"/>
    <n v="7857"/>
    <n v="11"/>
    <n v="11"/>
    <n v="0"/>
    <n v="86427"/>
    <n v="0"/>
    <x v="1"/>
  </r>
  <r>
    <x v="1"/>
    <x v="7"/>
    <x v="3"/>
    <s v="LICORES"/>
    <x v="0"/>
    <x v="44"/>
    <s v="ONZA"/>
    <n v="4279.4583333299997"/>
    <n v="20"/>
    <n v="20"/>
    <n v="0"/>
    <n v="85589.166666599995"/>
    <n v="0"/>
    <x v="1"/>
  </r>
  <r>
    <x v="1"/>
    <x v="5"/>
    <x v="2"/>
    <s v="CERVEZAS"/>
    <x v="0"/>
    <x v="199"/>
    <s v="UNIDADES"/>
    <n v="3261.8333333300002"/>
    <n v="26"/>
    <n v="26"/>
    <n v="0"/>
    <n v="84807.66666658"/>
    <n v="0"/>
    <x v="1"/>
  </r>
  <r>
    <x v="1"/>
    <x v="7"/>
    <x v="3"/>
    <s v="SUB-RECETAS BAR"/>
    <x v="0"/>
    <x v="273"/>
    <s v="ONZA"/>
    <n v="2901.3961267599998"/>
    <n v="29"/>
    <n v="29"/>
    <n v="0"/>
    <n v="84140.487676039993"/>
    <n v="0"/>
    <x v="1"/>
  </r>
  <r>
    <x v="0"/>
    <x v="6"/>
    <x v="3"/>
    <s v="AGUA Y TE"/>
    <x v="0"/>
    <x v="150"/>
    <s v="UNIDADES"/>
    <n v="3458.25"/>
    <n v="12"/>
    <n v="6"/>
    <n v="-6"/>
    <n v="20749.5"/>
    <n v="-20749.5"/>
    <x v="2"/>
  </r>
  <r>
    <x v="1"/>
    <x v="3"/>
    <x v="1"/>
    <s v="VINOS"/>
    <x v="0"/>
    <x v="142"/>
    <s v="COPA"/>
    <n v="4385.1400000000003"/>
    <n v="19"/>
    <n v="19"/>
    <n v="0"/>
    <n v="83317.66"/>
    <n v="0"/>
    <x v="1"/>
  </r>
  <r>
    <x v="0"/>
    <x v="6"/>
    <x v="3"/>
    <s v="SUB RECETAS"/>
    <x v="1"/>
    <x v="251"/>
    <s v="UNIDADES"/>
    <n v="2106.3735325100001"/>
    <n v="32"/>
    <n v="16"/>
    <n v="-16"/>
    <n v="33701.976520160002"/>
    <n v="-33701.976520160002"/>
    <x v="2"/>
  </r>
  <r>
    <x v="2"/>
    <x v="10"/>
    <x v="4"/>
    <s v="VINOS"/>
    <x v="0"/>
    <x v="142"/>
    <s v="COPA"/>
    <n v="4385.1000000000004"/>
    <n v="17"/>
    <n v="18"/>
    <n v="1"/>
    <n v="78931.8"/>
    <n v="4385.1000000000004"/>
    <x v="0"/>
  </r>
  <r>
    <x v="1"/>
    <x v="2"/>
    <x v="0"/>
    <s v="LICORES"/>
    <x v="0"/>
    <x v="48"/>
    <s v="UNIDADES"/>
    <n v="41250"/>
    <n v="2"/>
    <n v="2"/>
    <n v="0"/>
    <n v="82500"/>
    <n v="0"/>
    <x v="1"/>
  </r>
  <r>
    <x v="1"/>
    <x v="3"/>
    <x v="1"/>
    <s v="AGUA Y TE"/>
    <x v="0"/>
    <x v="150"/>
    <s v="UNIDADES"/>
    <n v="3458.25"/>
    <n v="15"/>
    <n v="14"/>
    <n v="-1"/>
    <n v="48415.5"/>
    <n v="-3458.25"/>
    <x v="2"/>
  </r>
  <r>
    <x v="1"/>
    <x v="3"/>
    <x v="1"/>
    <s v="SUB RECETAS"/>
    <x v="1"/>
    <x v="307"/>
    <s v="UNIDADES"/>
    <n v="14738.045573179999"/>
    <n v="4.5999999999999996"/>
    <n v="13.5"/>
    <n v="8.9"/>
    <n v="198963.61523793"/>
    <n v="131168.605601302"/>
    <x v="0"/>
  </r>
  <r>
    <x v="1"/>
    <x v="9"/>
    <x v="4"/>
    <s v="SUB-RECETAS CP"/>
    <x v="1"/>
    <x v="275"/>
    <s v="UNIDADES"/>
    <n v="20272.394615379999"/>
    <n v="54.7"/>
    <n v="29.7"/>
    <n v="-25"/>
    <n v="602090.12007678591"/>
    <n v="-506809.86538449995"/>
    <x v="2"/>
  </r>
  <r>
    <x v="0"/>
    <x v="4"/>
    <x v="2"/>
    <s v="LICORES"/>
    <x v="0"/>
    <x v="26"/>
    <s v="ONZA"/>
    <n v="2628.875"/>
    <n v="2.34"/>
    <n v="28"/>
    <n v="25.66"/>
    <n v="73608.5"/>
    <n v="67456.932499999995"/>
    <x v="0"/>
  </r>
  <r>
    <x v="1"/>
    <x v="7"/>
    <x v="3"/>
    <s v="LICORES"/>
    <x v="0"/>
    <x v="17"/>
    <s v="ONZA"/>
    <n v="3359.40909091"/>
    <n v="24.34"/>
    <n v="24"/>
    <n v="-0.34"/>
    <n v="80625.818181840004"/>
    <n v="-1142.1990909094002"/>
    <x v="2"/>
  </r>
  <r>
    <x v="1"/>
    <x v="7"/>
    <x v="3"/>
    <s v="SUB RECETAS"/>
    <x v="1"/>
    <x v="251"/>
    <s v="UNIDADES"/>
    <n v="3371.9832877099998"/>
    <n v="24"/>
    <n v="15"/>
    <n v="-9"/>
    <n v="50579.749315649999"/>
    <n v="-30347.849589389996"/>
    <x v="2"/>
  </r>
  <r>
    <x v="1"/>
    <x v="7"/>
    <x v="3"/>
    <s v="VINOS"/>
    <x v="0"/>
    <x v="245"/>
    <s v="UNIDADES"/>
    <n v="79652"/>
    <n v="1"/>
    <n v="1"/>
    <n v="0"/>
    <n v="79652"/>
    <n v="0"/>
    <x v="1"/>
  </r>
  <r>
    <x v="1"/>
    <x v="9"/>
    <x v="4"/>
    <s v="VINOS"/>
    <x v="0"/>
    <x v="245"/>
    <s v="UNIDADES"/>
    <n v="79652"/>
    <n v="1"/>
    <n v="1"/>
    <n v="0"/>
    <n v="79652"/>
    <n v="0"/>
    <x v="1"/>
  </r>
  <r>
    <x v="1"/>
    <x v="5"/>
    <x v="2"/>
    <s v="VINOS"/>
    <x v="0"/>
    <x v="245"/>
    <s v="UNIDADES"/>
    <n v="79652"/>
    <n v="1"/>
    <n v="1"/>
    <n v="0"/>
    <n v="79652"/>
    <n v="0"/>
    <x v="1"/>
  </r>
  <r>
    <x v="1"/>
    <x v="9"/>
    <x v="4"/>
    <s v="LICORES"/>
    <x v="0"/>
    <x v="308"/>
    <s v="ONZA"/>
    <n v="1794"/>
    <n v="0"/>
    <n v="44"/>
    <n v="0"/>
    <n v="78936"/>
    <n v="0"/>
    <x v="1"/>
  </r>
  <r>
    <x v="1"/>
    <x v="5"/>
    <x v="2"/>
    <s v="LICORES"/>
    <x v="0"/>
    <x v="26"/>
    <s v="ONZA"/>
    <n v="2906.3333333300002"/>
    <n v="25.36"/>
    <n v="24"/>
    <n v="-1.36"/>
    <n v="69751.999999920008"/>
    <n v="-3952.6133333288008"/>
    <x v="2"/>
  </r>
  <r>
    <x v="1"/>
    <x v="5"/>
    <x v="2"/>
    <s v="CERVEZAS"/>
    <x v="0"/>
    <x v="76"/>
    <s v="UNIDADES"/>
    <n v="2183.46666667"/>
    <n v="36"/>
    <n v="36"/>
    <n v="0"/>
    <n v="78604.800000119998"/>
    <n v="0"/>
    <x v="1"/>
  </r>
  <r>
    <x v="1"/>
    <x v="5"/>
    <x v="2"/>
    <s v="LICORES"/>
    <x v="0"/>
    <x v="141"/>
    <s v="ONZA"/>
    <n v="6045.125"/>
    <n v="13"/>
    <n v="13"/>
    <n v="0"/>
    <n v="78586.625"/>
    <n v="0"/>
    <x v="1"/>
  </r>
  <r>
    <x v="1"/>
    <x v="3"/>
    <x v="1"/>
    <s v="LICORES"/>
    <x v="0"/>
    <x v="31"/>
    <s v="ONZA"/>
    <n v="2244.5833333300002"/>
    <n v="37"/>
    <n v="35"/>
    <n v="-2"/>
    <n v="78560.416666550009"/>
    <n v="-4489.1666666600004"/>
    <x v="2"/>
  </r>
  <r>
    <x v="1"/>
    <x v="9"/>
    <x v="4"/>
    <s v="LICORES"/>
    <x v="0"/>
    <x v="36"/>
    <s v="ONZA"/>
    <n v="2904.0416666699998"/>
    <n v="49.52"/>
    <n v="27"/>
    <n v="-22.52"/>
    <n v="78409.125000089989"/>
    <n v="-65399.018333408392"/>
    <x v="2"/>
  </r>
  <r>
    <x v="1"/>
    <x v="7"/>
    <x v="3"/>
    <s v="LICORES"/>
    <x v="0"/>
    <x v="35"/>
    <s v="ONZA"/>
    <n v="2056.3333333300002"/>
    <n v="38"/>
    <n v="38"/>
    <n v="0"/>
    <n v="78140.666666540012"/>
    <n v="0"/>
    <x v="1"/>
  </r>
  <r>
    <x v="1"/>
    <x v="7"/>
    <x v="3"/>
    <s v="AGUA Y TE"/>
    <x v="0"/>
    <x v="150"/>
    <s v="UNIDADES"/>
    <n v="3458.25"/>
    <n v="4"/>
    <n v="10"/>
    <n v="6"/>
    <n v="34582.5"/>
    <n v="20749.5"/>
    <x v="0"/>
  </r>
  <r>
    <x v="1"/>
    <x v="9"/>
    <x v="4"/>
    <s v="LICORES"/>
    <x v="0"/>
    <x v="35"/>
    <s v="ONZA"/>
    <n v="2056.3333333300002"/>
    <n v="37"/>
    <n v="37.5"/>
    <n v="0.5"/>
    <n v="77112.499999875014"/>
    <n v="1028.1666666650001"/>
    <x v="0"/>
  </r>
  <r>
    <x v="0"/>
    <x v="0"/>
    <x v="0"/>
    <s v="LICORES"/>
    <x v="0"/>
    <x v="177"/>
    <s v="ONZA"/>
    <n v="1500"/>
    <n v="22"/>
    <n v="19"/>
    <n v="-3"/>
    <n v="28500"/>
    <n v="-4500"/>
    <x v="2"/>
  </r>
  <r>
    <x v="0"/>
    <x v="4"/>
    <x v="2"/>
    <s v="VINOS"/>
    <x v="0"/>
    <x v="265"/>
    <s v="UNIDADES"/>
    <n v="444869"/>
    <n v="0"/>
    <n v="1"/>
    <n v="1"/>
    <n v="444869"/>
    <n v="444869"/>
    <x v="0"/>
  </r>
  <r>
    <x v="1"/>
    <x v="3"/>
    <x v="1"/>
    <s v="AGUA Y TE"/>
    <x v="0"/>
    <x v="162"/>
    <s v="UNIDADES"/>
    <n v="3458.25"/>
    <n v="17"/>
    <n v="12"/>
    <n v="-5"/>
    <n v="41499"/>
    <n v="-17291.25"/>
    <x v="2"/>
  </r>
  <r>
    <x v="0"/>
    <x v="4"/>
    <x v="2"/>
    <s v="VINOS"/>
    <x v="0"/>
    <x v="271"/>
    <s v="COPA"/>
    <n v="15144.3"/>
    <n v="26"/>
    <n v="25"/>
    <n v="-1"/>
    <n v="378607.5"/>
    <n v="-15144.3"/>
    <x v="2"/>
  </r>
  <r>
    <x v="1"/>
    <x v="3"/>
    <x v="1"/>
    <s v="AGUA Y TE"/>
    <x v="0"/>
    <x v="148"/>
    <s v="UNIDADES"/>
    <n v="3458.3283333300001"/>
    <n v="22"/>
    <n v="22"/>
    <n v="0"/>
    <n v="76083.223333260001"/>
    <n v="0"/>
    <x v="1"/>
  </r>
  <r>
    <x v="0"/>
    <x v="6"/>
    <x v="3"/>
    <s v="AGUA Y TE"/>
    <x v="0"/>
    <x v="130"/>
    <s v="UNIDADES"/>
    <n v="2766.665"/>
    <n v="5"/>
    <n v="9"/>
    <n v="4"/>
    <n v="24899.985000000001"/>
    <n v="11066.66"/>
    <x v="0"/>
  </r>
  <r>
    <x v="1"/>
    <x v="5"/>
    <x v="2"/>
    <s v="VINOS"/>
    <x v="0"/>
    <x v="111"/>
    <s v="UNIDADES"/>
    <n v="37612"/>
    <n v="2"/>
    <n v="2"/>
    <n v="0"/>
    <n v="75224"/>
    <n v="0"/>
    <x v="1"/>
  </r>
  <r>
    <x v="0"/>
    <x v="4"/>
    <x v="2"/>
    <s v="VINOS"/>
    <x v="0"/>
    <x v="128"/>
    <s v="COPA"/>
    <n v="9853.7999999999993"/>
    <n v="15"/>
    <n v="3"/>
    <n v="-12"/>
    <n v="29561.399999999998"/>
    <n v="-118245.59999999999"/>
    <x v="2"/>
  </r>
  <r>
    <x v="1"/>
    <x v="7"/>
    <x v="3"/>
    <s v="AGUA Y TE"/>
    <x v="0"/>
    <x v="130"/>
    <s v="UNIDADES"/>
    <n v="2766.665"/>
    <n v="9"/>
    <n v="0"/>
    <n v="-9"/>
    <n v="0"/>
    <n v="-24899.985000000001"/>
    <x v="2"/>
  </r>
  <r>
    <x v="0"/>
    <x v="8"/>
    <x v="4"/>
    <s v="SUB-RECETAS CP"/>
    <x v="1"/>
    <x v="274"/>
    <s v="UNIDADES"/>
    <n v="9204.3375632700008"/>
    <n v="23"/>
    <n v="14"/>
    <n v="-9"/>
    <n v="128860.72588578"/>
    <n v="-82839.038069430011"/>
    <x v="2"/>
  </r>
  <r>
    <x v="1"/>
    <x v="7"/>
    <x v="3"/>
    <s v="VINOS"/>
    <x v="0"/>
    <x v="243"/>
    <s v="UNIDADES"/>
    <n v="74130.252101000005"/>
    <n v="1"/>
    <n v="1"/>
    <n v="0"/>
    <n v="74130.252101000005"/>
    <n v="0"/>
    <x v="1"/>
  </r>
  <r>
    <x v="1"/>
    <x v="7"/>
    <x v="3"/>
    <s v="VINOS"/>
    <x v="0"/>
    <x v="244"/>
    <s v="UNIDADES"/>
    <n v="73956.022408999997"/>
    <n v="1"/>
    <n v="1"/>
    <n v="0"/>
    <n v="73956.022408999997"/>
    <n v="0"/>
    <x v="1"/>
  </r>
  <r>
    <x v="1"/>
    <x v="5"/>
    <x v="2"/>
    <s v="VINOS"/>
    <x v="0"/>
    <x v="244"/>
    <s v="UNIDADES"/>
    <n v="73956.022408999997"/>
    <n v="1"/>
    <n v="1"/>
    <n v="0"/>
    <n v="73956.022408999997"/>
    <n v="0"/>
    <x v="1"/>
  </r>
  <r>
    <x v="1"/>
    <x v="9"/>
    <x v="4"/>
    <s v="SUB-RECETAS CP"/>
    <x v="1"/>
    <x v="274"/>
    <s v="UNIDADES"/>
    <n v="7157.6045853699998"/>
    <n v="14"/>
    <n v="24"/>
    <n v="10"/>
    <n v="171782.51004888001"/>
    <n v="71576.045853699994"/>
    <x v="0"/>
  </r>
  <r>
    <x v="1"/>
    <x v="2"/>
    <x v="0"/>
    <s v="LICORES"/>
    <x v="0"/>
    <x v="33"/>
    <s v="ONZA"/>
    <n v="2796.5"/>
    <n v="58"/>
    <n v="55"/>
    <n v="-3"/>
    <n v="153807.5"/>
    <n v="-8389.5"/>
    <x v="2"/>
  </r>
  <r>
    <x v="1"/>
    <x v="2"/>
    <x v="0"/>
    <s v="AGUA Y TE"/>
    <x v="0"/>
    <x v="147"/>
    <s v="UNIDADES"/>
    <n v="3458.25"/>
    <n v="22"/>
    <n v="21"/>
    <n v="-1"/>
    <n v="72623.25"/>
    <n v="-3458.25"/>
    <x v="2"/>
  </r>
  <r>
    <x v="1"/>
    <x v="2"/>
    <x v="0"/>
    <s v="LICORES"/>
    <x v="0"/>
    <x v="270"/>
    <s v="ONZA"/>
    <n v="1278.5862069"/>
    <n v="61"/>
    <n v="57"/>
    <n v="-4"/>
    <n v="72879.413793300002"/>
    <n v="-5114.3448275999999"/>
    <x v="2"/>
  </r>
  <r>
    <x v="0"/>
    <x v="6"/>
    <x v="3"/>
    <s v="AGUA Y TE"/>
    <x v="0"/>
    <x v="152"/>
    <s v="UNIDADES"/>
    <n v="3458.3333333300002"/>
    <n v="4"/>
    <n v="0"/>
    <n v="-4"/>
    <n v="0"/>
    <n v="-13833.333333320001"/>
    <x v="2"/>
  </r>
  <r>
    <x v="1"/>
    <x v="5"/>
    <x v="2"/>
    <s v="VINOS"/>
    <x v="0"/>
    <x v="128"/>
    <s v="COPA"/>
    <n v="9853.7999999999993"/>
    <n v="3"/>
    <n v="15"/>
    <n v="12"/>
    <n v="147807"/>
    <n v="118245.59999999999"/>
    <x v="0"/>
  </r>
  <r>
    <x v="1"/>
    <x v="2"/>
    <x v="0"/>
    <s v="CERVEZAS"/>
    <x v="0"/>
    <x v="228"/>
    <s v="UNIDADES"/>
    <n v="2298.1333333299999"/>
    <n v="29"/>
    <n v="0"/>
    <n v="-29"/>
    <n v="0"/>
    <n v="-66645.86666657"/>
    <x v="2"/>
  </r>
  <r>
    <x v="1"/>
    <x v="5"/>
    <x v="2"/>
    <s v="SUB RECETAS"/>
    <x v="1"/>
    <x v="250"/>
    <s v="UNIDADES"/>
    <n v="5396.4738635900003"/>
    <n v="13"/>
    <n v="13"/>
    <n v="0"/>
    <n v="70154.160226670007"/>
    <n v="0"/>
    <x v="1"/>
  </r>
  <r>
    <x v="0"/>
    <x v="0"/>
    <x v="0"/>
    <s v="SUB RECETAS"/>
    <x v="1"/>
    <x v="309"/>
    <s v="UNIDADES"/>
    <n v="653.55833338000002"/>
    <n v="144"/>
    <n v="185"/>
    <n v="41"/>
    <n v="120908.2916753"/>
    <n v="26795.89166858"/>
    <x v="0"/>
  </r>
  <r>
    <x v="0"/>
    <x v="6"/>
    <x v="3"/>
    <s v="SUB-RECETAS CP"/>
    <x v="1"/>
    <x v="275"/>
    <s v="UNIDADES"/>
    <n v="31393.863636329999"/>
    <n v="7.1"/>
    <n v="23"/>
    <n v="15.9"/>
    <n v="722058.86363558995"/>
    <n v="499162.43181764701"/>
    <x v="0"/>
  </r>
  <r>
    <x v="1"/>
    <x v="3"/>
    <x v="1"/>
    <s v="PESCADOS Y MARISCOS"/>
    <x v="1"/>
    <x v="139"/>
    <s v="GRAMOS"/>
    <n v="39"/>
    <n v="1778.3333"/>
    <n v="1790"/>
    <n v="11.66667"/>
    <n v="69810"/>
    <n v="455.00013000000001"/>
    <x v="0"/>
  </r>
  <r>
    <x v="0"/>
    <x v="4"/>
    <x v="2"/>
    <s v="VINOS"/>
    <x v="0"/>
    <x v="111"/>
    <s v="UNIDADES"/>
    <n v="37612"/>
    <n v="4"/>
    <n v="5"/>
    <n v="1"/>
    <n v="188060"/>
    <n v="37612"/>
    <x v="0"/>
  </r>
  <r>
    <x v="0"/>
    <x v="4"/>
    <x v="2"/>
    <s v="VINOS"/>
    <x v="0"/>
    <x v="86"/>
    <s v="COPA"/>
    <n v="4385.6000000000004"/>
    <n v="23"/>
    <n v="21"/>
    <n v="-2"/>
    <n v="92097.600000000006"/>
    <n v="-8771.2000000000007"/>
    <x v="2"/>
  </r>
  <r>
    <x v="1"/>
    <x v="9"/>
    <x v="4"/>
    <s v="LICORES"/>
    <x v="0"/>
    <x v="13"/>
    <s v="ONZA"/>
    <n v="1729.16666667"/>
    <n v="39.770000000000003"/>
    <n v="40.32"/>
    <n v="0.55000000000000004"/>
    <n v="69720.000000134401"/>
    <n v="951.04166666850006"/>
    <x v="0"/>
  </r>
  <r>
    <x v="1"/>
    <x v="7"/>
    <x v="3"/>
    <s v="SUB-RECETAS CP"/>
    <x v="1"/>
    <x v="275"/>
    <s v="UNIDADES"/>
    <n v="20272.394615379999"/>
    <n v="29.42"/>
    <n v="21"/>
    <n v="-8.42"/>
    <n v="425720.28692297998"/>
    <n v="-170693.5626614996"/>
    <x v="2"/>
  </r>
  <r>
    <x v="0"/>
    <x v="1"/>
    <x v="1"/>
    <s v="AGUA Y TE"/>
    <x v="0"/>
    <x v="151"/>
    <s v="UNIDADES"/>
    <n v="2766.5"/>
    <n v="18"/>
    <n v="19"/>
    <n v="1"/>
    <n v="52563.5"/>
    <n v="2766.5"/>
    <x v="0"/>
  </r>
  <r>
    <x v="0"/>
    <x v="6"/>
    <x v="3"/>
    <s v="SUB-RECETAS CP"/>
    <x v="1"/>
    <x v="274"/>
    <s v="UNIDADES"/>
    <n v="9204.3375632700008"/>
    <n v="26"/>
    <n v="46"/>
    <n v="20"/>
    <n v="423399.52791042003"/>
    <n v="184086.75126540003"/>
    <x v="0"/>
  </r>
  <r>
    <x v="1"/>
    <x v="2"/>
    <x v="0"/>
    <s v="SUB RECETAS"/>
    <x v="1"/>
    <x v="309"/>
    <s v="UNIDADES"/>
    <n v="534.92572500000006"/>
    <n v="155"/>
    <n v="90"/>
    <n v="-65"/>
    <n v="48143.315250000007"/>
    <n v="-34770.172125000005"/>
    <x v="2"/>
  </r>
  <r>
    <x v="0"/>
    <x v="8"/>
    <x v="4"/>
    <s v="SUB RECETAS"/>
    <x v="1"/>
    <x v="310"/>
    <s v="UNIDADES"/>
    <n v="1889.6690877799999"/>
    <n v="13"/>
    <n v="19"/>
    <n v="6"/>
    <n v="35903.71266782"/>
    <n v="11338.014526679999"/>
    <x v="0"/>
  </r>
  <r>
    <x v="1"/>
    <x v="9"/>
    <x v="4"/>
    <s v="SUB RECETAS"/>
    <x v="1"/>
    <x v="310"/>
    <s v="UNIDADES"/>
    <n v="2218.6638458100001"/>
    <n v="76"/>
    <n v="75"/>
    <n v="-1"/>
    <n v="166399.78843575"/>
    <n v="-2218.6638458100001"/>
    <x v="2"/>
  </r>
  <r>
    <x v="1"/>
    <x v="7"/>
    <x v="3"/>
    <s v="LICORES"/>
    <x v="0"/>
    <x v="13"/>
    <s v="ONZA"/>
    <n v="1729.16666667"/>
    <n v="39"/>
    <n v="39"/>
    <n v="0"/>
    <n v="67437.500000130007"/>
    <n v="0"/>
    <x v="1"/>
  </r>
  <r>
    <x v="0"/>
    <x v="0"/>
    <x v="0"/>
    <s v="SUB RECETAS"/>
    <x v="1"/>
    <x v="311"/>
    <s v="UNIDADES"/>
    <n v="12374.74886879"/>
    <n v="66.599999999999994"/>
    <n v="64.5"/>
    <n v="-2.1"/>
    <n v="798171.30203695502"/>
    <n v="-25986.972624459002"/>
    <x v="2"/>
  </r>
  <r>
    <x v="1"/>
    <x v="7"/>
    <x v="3"/>
    <s v="SUB-RECETAS BAR"/>
    <x v="0"/>
    <x v="302"/>
    <s v="ONZA"/>
    <n v="4481.6813725399998"/>
    <n v="15"/>
    <n v="15"/>
    <n v="0"/>
    <n v="67225.220588099997"/>
    <n v="0"/>
    <x v="1"/>
  </r>
  <r>
    <x v="1"/>
    <x v="5"/>
    <x v="2"/>
    <s v="CERVEZAS"/>
    <x v="0"/>
    <x v="230"/>
    <s v="UNIDADES"/>
    <n v="11200"/>
    <n v="6"/>
    <n v="6"/>
    <n v="0"/>
    <n v="67200"/>
    <n v="0"/>
    <x v="1"/>
  </r>
  <r>
    <x v="0"/>
    <x v="1"/>
    <x v="1"/>
    <s v="AGUA Y TE"/>
    <x v="0"/>
    <x v="152"/>
    <s v="UNIDADES"/>
    <n v="2766.6799719999999"/>
    <n v="8"/>
    <n v="15"/>
    <n v="7"/>
    <n v="41500.19958"/>
    <n v="19366.759804000001"/>
    <x v="0"/>
  </r>
  <r>
    <x v="1"/>
    <x v="2"/>
    <x v="0"/>
    <s v="LICORES"/>
    <x v="0"/>
    <x v="7"/>
    <s v="ONZA"/>
    <n v="12833.33333333"/>
    <n v="15"/>
    <n v="6"/>
    <n v="-9"/>
    <n v="76999.999999980006"/>
    <n v="-115499.99999996999"/>
    <x v="2"/>
  </r>
  <r>
    <x v="1"/>
    <x v="3"/>
    <x v="1"/>
    <s v="PROTEINAS"/>
    <x v="1"/>
    <x v="202"/>
    <s v="UNIDADES"/>
    <n v="3890"/>
    <n v="17"/>
    <n v="17"/>
    <n v="0"/>
    <n v="66130"/>
    <n v="0"/>
    <x v="1"/>
  </r>
  <r>
    <x v="1"/>
    <x v="3"/>
    <x v="1"/>
    <s v="AGUA Y TE"/>
    <x v="0"/>
    <x v="147"/>
    <s v="UNIDADES"/>
    <n v="3458.25"/>
    <n v="19"/>
    <n v="19"/>
    <n v="0"/>
    <n v="65706.75"/>
    <n v="0"/>
    <x v="1"/>
  </r>
  <r>
    <x v="1"/>
    <x v="7"/>
    <x v="3"/>
    <s v="VINOS"/>
    <x v="0"/>
    <x v="112"/>
    <s v="COPA"/>
    <n v="4363.6000000000004"/>
    <n v="15"/>
    <n v="15"/>
    <n v="0"/>
    <n v="65454.000000000007"/>
    <n v="0"/>
    <x v="1"/>
  </r>
  <r>
    <x v="1"/>
    <x v="2"/>
    <x v="0"/>
    <s v="LICORES"/>
    <x v="0"/>
    <x v="41"/>
    <s v="ONZA"/>
    <n v="1798.66666667"/>
    <n v="36"/>
    <n v="36"/>
    <n v="0"/>
    <n v="64752.000000120002"/>
    <n v="0"/>
    <x v="1"/>
  </r>
  <r>
    <x v="1"/>
    <x v="7"/>
    <x v="3"/>
    <s v="AGUA Y TE"/>
    <x v="0"/>
    <x v="152"/>
    <s v="UNIDADES"/>
    <n v="3458.3333333300002"/>
    <n v="-1"/>
    <n v="8"/>
    <n v="9"/>
    <n v="27666.666666640001"/>
    <n v="31124.999999970001"/>
    <x v="0"/>
  </r>
  <r>
    <x v="0"/>
    <x v="1"/>
    <x v="1"/>
    <s v="LICORES"/>
    <x v="0"/>
    <x v="28"/>
    <s v="ONZA"/>
    <n v="3754.15625"/>
    <n v="57"/>
    <n v="52"/>
    <n v="-5"/>
    <n v="195216.125"/>
    <n v="-18770.78125"/>
    <x v="2"/>
  </r>
  <r>
    <x v="0"/>
    <x v="8"/>
    <x v="4"/>
    <s v="SUB RECETAS"/>
    <x v="1"/>
    <x v="312"/>
    <s v="UNIDADES"/>
    <n v="6620.7003902899996"/>
    <n v="-9"/>
    <n v="5"/>
    <n v="14"/>
    <n v="33103.501951450002"/>
    <n v="92689.805464059988"/>
    <x v="0"/>
  </r>
  <r>
    <x v="1"/>
    <x v="9"/>
    <x v="4"/>
    <s v="PESCADOS Y MARISCOS"/>
    <x v="1"/>
    <x v="306"/>
    <s v="GRAMOS"/>
    <n v="31.416"/>
    <n v="18000"/>
    <n v="2000"/>
    <n v="-16000"/>
    <n v="62832"/>
    <n v="-502656"/>
    <x v="2"/>
  </r>
  <r>
    <x v="1"/>
    <x v="9"/>
    <x v="4"/>
    <s v="LICORES"/>
    <x v="0"/>
    <x v="135"/>
    <s v="ONZA"/>
    <n v="5896.9583333299997"/>
    <n v="17"/>
    <n v="10.62"/>
    <n v="-6.38"/>
    <n v="62625.69749996459"/>
    <n v="-37622.594166645395"/>
    <x v="2"/>
  </r>
  <r>
    <x v="1"/>
    <x v="3"/>
    <x v="1"/>
    <s v="AGUA Y TE"/>
    <x v="0"/>
    <x v="149"/>
    <s v="UNIDADES"/>
    <n v="3458.25"/>
    <n v="18"/>
    <n v="18"/>
    <n v="0"/>
    <n v="62248.5"/>
    <n v="0"/>
    <x v="1"/>
  </r>
  <r>
    <x v="1"/>
    <x v="5"/>
    <x v="2"/>
    <s v="SUB RECETAS"/>
    <x v="1"/>
    <x v="310"/>
    <s v="UNIDADES"/>
    <n v="2218.6638458100001"/>
    <n v="28"/>
    <n v="28"/>
    <n v="0"/>
    <n v="62122.587682680001"/>
    <n v="0"/>
    <x v="1"/>
  </r>
  <r>
    <x v="1"/>
    <x v="9"/>
    <x v="4"/>
    <s v="AGUA Y TE"/>
    <x v="0"/>
    <x v="29"/>
    <s v="UNIDADES"/>
    <n v="1234.3916666699999"/>
    <n v="50"/>
    <n v="50"/>
    <n v="0"/>
    <n v="61719.583333499999"/>
    <n v="0"/>
    <x v="1"/>
  </r>
  <r>
    <x v="1"/>
    <x v="2"/>
    <x v="0"/>
    <s v="LICORES"/>
    <x v="0"/>
    <x v="165"/>
    <s v="ONZA"/>
    <n v="1425.6293103400001"/>
    <n v="85"/>
    <n v="75"/>
    <n v="-10"/>
    <n v="106922.19827550001"/>
    <n v="-14256.293103400001"/>
    <x v="2"/>
  </r>
  <r>
    <x v="1"/>
    <x v="3"/>
    <x v="1"/>
    <s v="GASEOSAS Y SODAS"/>
    <x v="0"/>
    <x v="18"/>
    <s v="UNIDADES"/>
    <n v="5133.6666666700003"/>
    <n v="-7.07"/>
    <n v="12"/>
    <n v="19.07"/>
    <n v="61604.000000040003"/>
    <n v="97899.023333396908"/>
    <x v="0"/>
  </r>
  <r>
    <x v="0"/>
    <x v="0"/>
    <x v="0"/>
    <s v="LICORES"/>
    <x v="0"/>
    <x v="161"/>
    <s v="ONZA"/>
    <n v="4320.1818181799999"/>
    <n v="46"/>
    <n v="35"/>
    <n v="-11"/>
    <n v="151206.3636363"/>
    <n v="-47521.999999979998"/>
    <x v="2"/>
  </r>
  <r>
    <x v="0"/>
    <x v="8"/>
    <x v="4"/>
    <s v="VINOS"/>
    <x v="0"/>
    <x v="111"/>
    <s v="UNIDADES"/>
    <n v="37612"/>
    <n v="1"/>
    <n v="0"/>
    <n v="-1"/>
    <n v="0"/>
    <n v="-37612"/>
    <x v="2"/>
  </r>
  <r>
    <x v="1"/>
    <x v="9"/>
    <x v="4"/>
    <s v="LICORES"/>
    <x v="0"/>
    <x v="41"/>
    <s v="ONZA"/>
    <n v="1658.625"/>
    <n v="38.799999999999997"/>
    <n v="36.799999999999997"/>
    <n v="-2"/>
    <n v="61037.399999999994"/>
    <n v="-3317.25"/>
    <x v="2"/>
  </r>
  <r>
    <x v="1"/>
    <x v="2"/>
    <x v="0"/>
    <s v="LICORES"/>
    <x v="0"/>
    <x v="159"/>
    <s v="ONZA"/>
    <n v="3804.2272727300001"/>
    <n v="16"/>
    <n v="16"/>
    <n v="0"/>
    <n v="60867.636363680002"/>
    <n v="0"/>
    <x v="1"/>
  </r>
  <r>
    <x v="1"/>
    <x v="7"/>
    <x v="3"/>
    <s v="CERVEZAS"/>
    <x v="0"/>
    <x v="75"/>
    <s v="UNIDADES"/>
    <n v="2335.0666666699999"/>
    <n v="26"/>
    <n v="26"/>
    <n v="0"/>
    <n v="60711.733333419994"/>
    <n v="0"/>
    <x v="1"/>
  </r>
  <r>
    <x v="1"/>
    <x v="5"/>
    <x v="2"/>
    <s v="SUB-RECETAS CP"/>
    <x v="1"/>
    <x v="258"/>
    <s v="UNIDADES"/>
    <n v="1575.4194626999999"/>
    <n v="87"/>
    <n v="84"/>
    <n v="-3"/>
    <n v="132335.23486679999"/>
    <n v="-4726.2583881"/>
    <x v="2"/>
  </r>
  <r>
    <x v="1"/>
    <x v="5"/>
    <x v="2"/>
    <s v="VINOS"/>
    <x v="0"/>
    <x v="86"/>
    <s v="COPA"/>
    <n v="4385.6000000000004"/>
    <n v="19"/>
    <n v="25"/>
    <n v="6"/>
    <n v="109640.00000000001"/>
    <n v="26313.600000000002"/>
    <x v="0"/>
  </r>
  <r>
    <x v="0"/>
    <x v="4"/>
    <x v="2"/>
    <s v="VINOS"/>
    <x v="0"/>
    <x v="112"/>
    <s v="COPA"/>
    <n v="4363.6000000000004"/>
    <n v="29"/>
    <n v="19"/>
    <n v="-10"/>
    <n v="82908.400000000009"/>
    <n v="-43636"/>
    <x v="2"/>
  </r>
  <r>
    <x v="1"/>
    <x v="5"/>
    <x v="2"/>
    <s v="VINOS"/>
    <x v="0"/>
    <x v="112"/>
    <s v="COPA"/>
    <n v="4363.6000000000004"/>
    <n v="16"/>
    <n v="26"/>
    <n v="10"/>
    <n v="113453.6"/>
    <n v="43636"/>
    <x v="0"/>
  </r>
  <r>
    <x v="1"/>
    <x v="7"/>
    <x v="3"/>
    <s v="SUB-RECETAS CP"/>
    <x v="1"/>
    <x v="274"/>
    <s v="UNIDADES"/>
    <n v="7157.6045853699998"/>
    <n v="51"/>
    <n v="31"/>
    <n v="-20"/>
    <n v="221885.74214647"/>
    <n v="-143152.09170739999"/>
    <x v="2"/>
  </r>
  <r>
    <x v="0"/>
    <x v="6"/>
    <x v="3"/>
    <s v="SUB-RECETAS CP"/>
    <x v="1"/>
    <x v="258"/>
    <s v="UNIDADES"/>
    <n v="7663.94653397"/>
    <n v="11"/>
    <n v="47"/>
    <n v="36"/>
    <n v="360205.48709658999"/>
    <n v="275902.07522291999"/>
    <x v="0"/>
  </r>
  <r>
    <x v="3"/>
    <x v="11"/>
    <x v="5"/>
    <s v="SUB-RECETAS CP"/>
    <x v="1"/>
    <x v="313"/>
    <s v="GRAMOS"/>
    <n v="16.016946780000001"/>
    <n v="-620"/>
    <n v="3600"/>
    <n v="4220"/>
    <n v="57661.008408000002"/>
    <n v="67591.515411600005"/>
    <x v="0"/>
  </r>
  <r>
    <x v="1"/>
    <x v="3"/>
    <x v="1"/>
    <s v="LICORES"/>
    <x v="0"/>
    <x v="187"/>
    <s v="UNIDADES"/>
    <n v="28750"/>
    <n v="2"/>
    <n v="2"/>
    <n v="0"/>
    <n v="57500"/>
    <n v="0"/>
    <x v="1"/>
  </r>
  <r>
    <x v="1"/>
    <x v="9"/>
    <x v="4"/>
    <s v="PESCADOS Y MARISCOS"/>
    <x v="1"/>
    <x v="272"/>
    <s v="UNIDADES"/>
    <n v="8166.6666666700003"/>
    <n v="7"/>
    <n v="7"/>
    <n v="0"/>
    <n v="57166.666666689998"/>
    <n v="0"/>
    <x v="1"/>
  </r>
  <r>
    <x v="1"/>
    <x v="9"/>
    <x v="4"/>
    <s v="LICORES"/>
    <x v="0"/>
    <x v="44"/>
    <s v="ONZA"/>
    <n v="4279.4583333299997"/>
    <n v="12.72"/>
    <n v="13"/>
    <n v="0.28000000000000003"/>
    <n v="55632.958333289993"/>
    <n v="1198.2483333324001"/>
    <x v="0"/>
  </r>
  <r>
    <x v="0"/>
    <x v="6"/>
    <x v="3"/>
    <s v="LICORES"/>
    <x v="0"/>
    <x v="23"/>
    <s v="ONZA"/>
    <n v="8628.9583333299997"/>
    <n v="40"/>
    <n v="38"/>
    <n v="-2"/>
    <n v="327900.41666653997"/>
    <n v="-17257.916666659999"/>
    <x v="2"/>
  </r>
  <r>
    <x v="0"/>
    <x v="4"/>
    <x v="2"/>
    <s v="VINOS"/>
    <x v="0"/>
    <x v="142"/>
    <s v="COPA"/>
    <n v="4005.2"/>
    <n v="22"/>
    <n v="23"/>
    <n v="1"/>
    <n v="92119.599999999991"/>
    <n v="4005.2"/>
    <x v="0"/>
  </r>
  <r>
    <x v="1"/>
    <x v="7"/>
    <x v="3"/>
    <s v="VINOS"/>
    <x v="0"/>
    <x v="236"/>
    <s v="UNIDADES"/>
    <n v="27250"/>
    <n v="2"/>
    <n v="2"/>
    <n v="0"/>
    <n v="54500"/>
    <n v="0"/>
    <x v="1"/>
  </r>
  <r>
    <x v="1"/>
    <x v="9"/>
    <x v="4"/>
    <s v="VINOS"/>
    <x v="0"/>
    <x v="236"/>
    <s v="UNIDADES"/>
    <n v="27250"/>
    <n v="2"/>
    <n v="2"/>
    <n v="0"/>
    <n v="54500"/>
    <n v="0"/>
    <x v="1"/>
  </r>
  <r>
    <x v="1"/>
    <x v="2"/>
    <x v="0"/>
    <s v="VINOS"/>
    <x v="0"/>
    <x v="109"/>
    <s v="COPA"/>
    <n v="10889.4"/>
    <n v="5"/>
    <n v="5"/>
    <n v="0"/>
    <n v="54447"/>
    <n v="0"/>
    <x v="1"/>
  </r>
  <r>
    <x v="1"/>
    <x v="3"/>
    <x v="1"/>
    <s v="AGUA Y TE"/>
    <x v="0"/>
    <x v="29"/>
    <s v="UNIDADES"/>
    <n v="1234.3916666699999"/>
    <n v="44"/>
    <n v="44"/>
    <n v="0"/>
    <n v="54313.233333479999"/>
    <n v="0"/>
    <x v="1"/>
  </r>
  <r>
    <x v="1"/>
    <x v="7"/>
    <x v="3"/>
    <s v="SUB-RECETAS BAR"/>
    <x v="0"/>
    <x v="260"/>
    <s v="ONZA"/>
    <n v="1929.2098808600001"/>
    <n v="28"/>
    <n v="28"/>
    <n v="0"/>
    <n v="54017.876664080002"/>
    <n v="0"/>
    <x v="1"/>
  </r>
  <r>
    <x v="1"/>
    <x v="5"/>
    <x v="2"/>
    <s v="VINOS"/>
    <x v="0"/>
    <x v="314"/>
    <s v="COPA"/>
    <n v="10705"/>
    <n v="11"/>
    <n v="10"/>
    <n v="-1"/>
    <n v="107050"/>
    <n v="-10705"/>
    <x v="2"/>
  </r>
  <r>
    <x v="1"/>
    <x v="9"/>
    <x v="4"/>
    <s v="LICORES"/>
    <x v="0"/>
    <x v="38"/>
    <s v="UNIDADES"/>
    <n v="26517.26"/>
    <n v="2"/>
    <n v="2"/>
    <n v="0"/>
    <n v="53034.52"/>
    <n v="0"/>
    <x v="1"/>
  </r>
  <r>
    <x v="1"/>
    <x v="7"/>
    <x v="3"/>
    <s v="LICORES"/>
    <x v="0"/>
    <x v="28"/>
    <s v="ONZA"/>
    <n v="3754.15625"/>
    <n v="61"/>
    <n v="64"/>
    <n v="3"/>
    <n v="240266"/>
    <n v="11262.46875"/>
    <x v="0"/>
  </r>
  <r>
    <x v="1"/>
    <x v="5"/>
    <x v="2"/>
    <s v="SUB RECETAS"/>
    <x v="1"/>
    <x v="312"/>
    <s v="UNIDADES"/>
    <n v="6495.1191714500001"/>
    <n v="8"/>
    <n v="8"/>
    <n v="0"/>
    <n v="51960.953371600001"/>
    <n v="0"/>
    <x v="1"/>
  </r>
  <r>
    <x v="1"/>
    <x v="5"/>
    <x v="2"/>
    <s v="LICORES"/>
    <x v="0"/>
    <x v="44"/>
    <s v="ONZA"/>
    <n v="4279.4583333299997"/>
    <n v="12"/>
    <n v="12"/>
    <n v="0"/>
    <n v="51353.499999959997"/>
    <n v="0"/>
    <x v="1"/>
  </r>
  <r>
    <x v="1"/>
    <x v="7"/>
    <x v="3"/>
    <s v="SUB-RECETAS CP"/>
    <x v="1"/>
    <x v="258"/>
    <s v="UNIDADES"/>
    <n v="1575.4194626999999"/>
    <n v="77"/>
    <n v="44"/>
    <n v="-33"/>
    <n v="69318.456358800002"/>
    <n v="-51988.842269100001"/>
    <x v="2"/>
  </r>
  <r>
    <x v="1"/>
    <x v="7"/>
    <x v="3"/>
    <s v="LICORES"/>
    <x v="0"/>
    <x v="134"/>
    <s v="ONZA"/>
    <n v="8389.75"/>
    <n v="6"/>
    <n v="6"/>
    <n v="0"/>
    <n v="50338.5"/>
    <n v="0"/>
    <x v="1"/>
  </r>
  <r>
    <x v="1"/>
    <x v="2"/>
    <x v="0"/>
    <s v="SUB RECETAS"/>
    <x v="1"/>
    <x v="311"/>
    <s v="UNIDADES"/>
    <n v="14657.172340589999"/>
    <n v="23.31"/>
    <n v="22.5"/>
    <n v="-0.81"/>
    <n v="329786.37766327499"/>
    <n v="-11872.309595877899"/>
    <x v="2"/>
  </r>
  <r>
    <x v="0"/>
    <x v="6"/>
    <x v="3"/>
    <s v="SUB RECETAS"/>
    <x v="1"/>
    <x v="310"/>
    <s v="UNIDADES"/>
    <n v="1889.6690877799999"/>
    <n v="24"/>
    <n v="26"/>
    <n v="2"/>
    <n v="49131.396282279995"/>
    <n v="3779.3381755599999"/>
    <x v="0"/>
  </r>
  <r>
    <x v="1"/>
    <x v="3"/>
    <x v="1"/>
    <s v="AGUA Y TE"/>
    <x v="0"/>
    <x v="151"/>
    <s v="UNIDADES"/>
    <n v="2766.5"/>
    <n v="18"/>
    <n v="18"/>
    <n v="0"/>
    <n v="49797"/>
    <n v="0"/>
    <x v="1"/>
  </r>
  <r>
    <x v="1"/>
    <x v="2"/>
    <x v="0"/>
    <s v="LICORES"/>
    <x v="0"/>
    <x v="49"/>
    <s v="UNIDADES"/>
    <n v="24583"/>
    <n v="2"/>
    <n v="2"/>
    <n v="0"/>
    <n v="49166"/>
    <n v="0"/>
    <x v="1"/>
  </r>
  <r>
    <x v="1"/>
    <x v="3"/>
    <x v="1"/>
    <s v="LICORES"/>
    <x v="0"/>
    <x v="49"/>
    <s v="UNIDADES"/>
    <n v="24583"/>
    <n v="2"/>
    <n v="2"/>
    <n v="0"/>
    <n v="49166"/>
    <n v="0"/>
    <x v="1"/>
  </r>
  <r>
    <x v="1"/>
    <x v="2"/>
    <x v="0"/>
    <s v="GASEOSAS Y SODAS"/>
    <x v="0"/>
    <x v="1"/>
    <s v="UNIDADES"/>
    <n v="1497.59166667"/>
    <n v="98.2"/>
    <n v="149"/>
    <n v="-50.8"/>
    <n v="223141.15833383001"/>
    <n v="-76077.656666835988"/>
    <x v="2"/>
  </r>
  <r>
    <x v="1"/>
    <x v="7"/>
    <x v="3"/>
    <s v="GASEOSAS Y SODAS"/>
    <x v="0"/>
    <x v="62"/>
    <s v="UNIDADES"/>
    <n v="1395.83333333"/>
    <n v="35"/>
    <n v="35"/>
    <n v="0"/>
    <n v="48854.166666550002"/>
    <n v="0"/>
    <x v="1"/>
  </r>
  <r>
    <x v="1"/>
    <x v="9"/>
    <x v="4"/>
    <s v="SUB RECETAS"/>
    <x v="1"/>
    <x v="250"/>
    <s v="UNIDADES"/>
    <n v="5396.4738635900003"/>
    <n v="9"/>
    <n v="9"/>
    <n v="0"/>
    <n v="48568.264772310002"/>
    <n v="0"/>
    <x v="1"/>
  </r>
  <r>
    <x v="1"/>
    <x v="3"/>
    <x v="1"/>
    <s v="LICORES"/>
    <x v="0"/>
    <x v="28"/>
    <s v="ONZA"/>
    <n v="3708.2361111099999"/>
    <n v="34"/>
    <n v="39"/>
    <n v="5"/>
    <n v="144621.20833329001"/>
    <n v="18541.18055555"/>
    <x v="0"/>
  </r>
  <r>
    <x v="0"/>
    <x v="0"/>
    <x v="0"/>
    <s v="SUB RECETAS"/>
    <x v="1"/>
    <x v="315"/>
    <s v="UNIDADES"/>
    <n v="12176.468749719999"/>
    <n v="24"/>
    <n v="23"/>
    <n v="-1"/>
    <n v="280058.78124355996"/>
    <n v="-12176.468749719999"/>
    <x v="2"/>
  </r>
  <r>
    <x v="1"/>
    <x v="9"/>
    <x v="4"/>
    <s v="LICORES"/>
    <x v="0"/>
    <x v="56"/>
    <s v="ONZA"/>
    <n v="2309.40625"/>
    <n v="19.39"/>
    <n v="20.61"/>
    <n v="1.22"/>
    <n v="47596.862812499996"/>
    <n v="2817.475625"/>
    <x v="0"/>
  </r>
  <r>
    <x v="1"/>
    <x v="7"/>
    <x v="3"/>
    <s v="SUB RECETAS"/>
    <x v="1"/>
    <x v="310"/>
    <s v="UNIDADES"/>
    <n v="2218.6638458100001"/>
    <n v="-6"/>
    <n v="31"/>
    <n v="37"/>
    <n v="68778.579220109998"/>
    <n v="82090.562294970005"/>
    <x v="0"/>
  </r>
  <r>
    <x v="1"/>
    <x v="7"/>
    <x v="3"/>
    <s v="LICORES"/>
    <x v="0"/>
    <x v="42"/>
    <s v="UNIDADES"/>
    <n v="23367.5"/>
    <n v="2"/>
    <n v="2"/>
    <n v="0"/>
    <n v="46735"/>
    <n v="0"/>
    <x v="1"/>
  </r>
  <r>
    <x v="1"/>
    <x v="9"/>
    <x v="4"/>
    <s v="CERVEZAS"/>
    <x v="0"/>
    <x v="199"/>
    <s v="UNIDADES"/>
    <n v="3261.8333333300002"/>
    <n v="14"/>
    <n v="14"/>
    <n v="0"/>
    <n v="45665.666666620004"/>
    <n v="0"/>
    <x v="1"/>
  </r>
  <r>
    <x v="1"/>
    <x v="7"/>
    <x v="3"/>
    <s v="LICORES"/>
    <x v="0"/>
    <x v="40"/>
    <s v="UNIDADES"/>
    <n v="22770"/>
    <n v="2"/>
    <n v="2"/>
    <n v="0"/>
    <n v="45540"/>
    <n v="0"/>
    <x v="1"/>
  </r>
  <r>
    <x v="1"/>
    <x v="9"/>
    <x v="4"/>
    <s v="LICORES"/>
    <x v="0"/>
    <x v="40"/>
    <s v="UNIDADES"/>
    <n v="22770"/>
    <n v="2"/>
    <n v="2"/>
    <n v="0"/>
    <n v="45540"/>
    <n v="0"/>
    <x v="1"/>
  </r>
  <r>
    <x v="1"/>
    <x v="5"/>
    <x v="2"/>
    <s v="LICORES"/>
    <x v="0"/>
    <x v="159"/>
    <s v="ONZA"/>
    <n v="3500"/>
    <n v="13"/>
    <n v="13"/>
    <n v="0"/>
    <n v="45500"/>
    <n v="0"/>
    <x v="1"/>
  </r>
  <r>
    <x v="1"/>
    <x v="2"/>
    <x v="0"/>
    <s v="LICORES"/>
    <x v="0"/>
    <x v="25"/>
    <s v="ONZA"/>
    <n v="4505.9166666700003"/>
    <n v="10"/>
    <n v="10"/>
    <n v="0"/>
    <n v="45059.166666700003"/>
    <n v="0"/>
    <x v="1"/>
  </r>
  <r>
    <x v="1"/>
    <x v="9"/>
    <x v="4"/>
    <s v="SUB-RECETAS BAR"/>
    <x v="0"/>
    <x v="260"/>
    <s v="ONZA"/>
    <n v="1929.2098808600001"/>
    <n v="23"/>
    <n v="23"/>
    <n v="0"/>
    <n v="44371.827259780002"/>
    <n v="0"/>
    <x v="1"/>
  </r>
  <r>
    <x v="1"/>
    <x v="7"/>
    <x v="3"/>
    <s v="LICORES"/>
    <x v="0"/>
    <x v="36"/>
    <s v="ONZA"/>
    <n v="2904.0416666699998"/>
    <n v="15"/>
    <n v="18"/>
    <n v="3"/>
    <n v="52272.750000059998"/>
    <n v="8712.125000009999"/>
    <x v="0"/>
  </r>
  <r>
    <x v="1"/>
    <x v="2"/>
    <x v="0"/>
    <s v="LICORES"/>
    <x v="0"/>
    <x v="161"/>
    <s v="ONZA"/>
    <n v="4724.9090909099996"/>
    <n v="77.34"/>
    <n v="66"/>
    <n v="-11.34"/>
    <n v="311844.00000005995"/>
    <n v="-53580.469090919396"/>
    <x v="2"/>
  </r>
  <r>
    <x v="1"/>
    <x v="9"/>
    <x v="4"/>
    <s v="LICORES"/>
    <x v="0"/>
    <x v="159"/>
    <s v="ONZA"/>
    <n v="3500"/>
    <n v="14.42"/>
    <n v="12.35"/>
    <n v="-2.0699999999999998"/>
    <n v="43225"/>
    <n v="-7244.9999999999991"/>
    <x v="2"/>
  </r>
  <r>
    <x v="0"/>
    <x v="4"/>
    <x v="2"/>
    <s v="VINOS"/>
    <x v="0"/>
    <x v="266"/>
    <s v="COPA"/>
    <n v="10705"/>
    <n v="16"/>
    <n v="18"/>
    <n v="2"/>
    <n v="192690"/>
    <n v="21410"/>
    <x v="0"/>
  </r>
  <r>
    <x v="1"/>
    <x v="2"/>
    <x v="0"/>
    <s v="VINOS"/>
    <x v="0"/>
    <x v="262"/>
    <s v="ONZA"/>
    <n v="2137.5"/>
    <n v="20"/>
    <n v="20"/>
    <n v="0"/>
    <n v="42750"/>
    <n v="0"/>
    <x v="1"/>
  </r>
  <r>
    <x v="1"/>
    <x v="3"/>
    <x v="1"/>
    <s v="VINOS"/>
    <x v="0"/>
    <x v="185"/>
    <s v="COPA"/>
    <n v="10875.1"/>
    <n v="10"/>
    <n v="0"/>
    <n v="-10"/>
    <n v="0"/>
    <n v="-108751"/>
    <x v="2"/>
  </r>
  <r>
    <x v="1"/>
    <x v="7"/>
    <x v="3"/>
    <s v="CERVEZAS"/>
    <x v="0"/>
    <x v="143"/>
    <s v="UNIDADES"/>
    <n v="2773.5"/>
    <n v="15"/>
    <n v="15"/>
    <n v="0"/>
    <n v="41602.5"/>
    <n v="0"/>
    <x v="1"/>
  </r>
  <r>
    <x v="1"/>
    <x v="5"/>
    <x v="2"/>
    <s v="AGUA Y TE"/>
    <x v="0"/>
    <x v="147"/>
    <s v="UNIDADES"/>
    <n v="3458.3270308299998"/>
    <n v="12"/>
    <n v="12"/>
    <n v="0"/>
    <n v="41499.924369959997"/>
    <n v="0"/>
    <x v="1"/>
  </r>
  <r>
    <x v="0"/>
    <x v="1"/>
    <x v="1"/>
    <s v="VINOS"/>
    <x v="0"/>
    <x v="109"/>
    <s v="COPA"/>
    <n v="10889.4"/>
    <n v="-2"/>
    <n v="0"/>
    <n v="2"/>
    <n v="0"/>
    <n v="21778.799999999999"/>
    <x v="0"/>
  </r>
  <r>
    <x v="0"/>
    <x v="6"/>
    <x v="3"/>
    <s v="SUB RECETAS"/>
    <x v="1"/>
    <x v="312"/>
    <s v="UNIDADES"/>
    <n v="6620.7003902899996"/>
    <n v="0"/>
    <n v="8"/>
    <n v="8"/>
    <n v="52965.603122319997"/>
    <n v="52965.603122319997"/>
    <x v="0"/>
  </r>
  <r>
    <x v="1"/>
    <x v="9"/>
    <x v="4"/>
    <s v="VINOS"/>
    <x v="0"/>
    <x v="262"/>
    <s v="ONZA"/>
    <n v="1842.78125"/>
    <n v="22.26"/>
    <n v="21.63"/>
    <n v="-0.63"/>
    <n v="39859.358437499999"/>
    <n v="-1160.9521875"/>
    <x v="2"/>
  </r>
  <r>
    <x v="1"/>
    <x v="7"/>
    <x v="3"/>
    <s v="LICORES"/>
    <x v="0"/>
    <x v="41"/>
    <s v="ONZA"/>
    <n v="1658.625"/>
    <n v="24"/>
    <n v="24"/>
    <n v="0"/>
    <n v="39807"/>
    <n v="0"/>
    <x v="1"/>
  </r>
  <r>
    <x v="0"/>
    <x v="1"/>
    <x v="1"/>
    <s v="SUB RECETAS"/>
    <x v="1"/>
    <x v="316"/>
    <s v="GRAMOS"/>
    <n v="19.521056219999998"/>
    <n v="10390"/>
    <n v="4845"/>
    <n v="-5545"/>
    <n v="94579.517385899991"/>
    <n v="-108244.2567399"/>
    <x v="2"/>
  </r>
  <r>
    <x v="1"/>
    <x v="7"/>
    <x v="3"/>
    <s v="VINOS"/>
    <x v="0"/>
    <x v="86"/>
    <s v="COPA"/>
    <n v="4385.6000000000004"/>
    <n v="9"/>
    <n v="9"/>
    <n v="0"/>
    <n v="39470.400000000001"/>
    <n v="0"/>
    <x v="1"/>
  </r>
  <r>
    <x v="1"/>
    <x v="7"/>
    <x v="3"/>
    <s v="VINOS"/>
    <x v="0"/>
    <x v="142"/>
    <s v="COPA"/>
    <n v="4385.2"/>
    <n v="9"/>
    <n v="9"/>
    <n v="0"/>
    <n v="39466.799999999996"/>
    <n v="0"/>
    <x v="1"/>
  </r>
  <r>
    <x v="0"/>
    <x v="4"/>
    <x v="2"/>
    <s v="SUB RECETAS"/>
    <x v="1"/>
    <x v="310"/>
    <s v="UNIDADES"/>
    <n v="1889.6690877799999"/>
    <n v="52"/>
    <n v="62"/>
    <n v="10"/>
    <n v="117159.48344236"/>
    <n v="18896.6908778"/>
    <x v="0"/>
  </r>
  <r>
    <x v="1"/>
    <x v="3"/>
    <x v="1"/>
    <s v="AGUA Y TE"/>
    <x v="0"/>
    <x v="152"/>
    <s v="UNIDADES"/>
    <n v="2766.6799719999999"/>
    <n v="14"/>
    <n v="14"/>
    <n v="0"/>
    <n v="38733.519608000002"/>
    <n v="0"/>
    <x v="1"/>
  </r>
  <r>
    <x v="1"/>
    <x v="3"/>
    <x v="1"/>
    <s v="CERVEZAS"/>
    <x v="0"/>
    <x v="219"/>
    <s v="GRAMOS"/>
    <n v="1.12044944"/>
    <n v="10170"/>
    <n v="34210"/>
    <n v="24040"/>
    <n v="38330.575342399999"/>
    <n v="26935.6045376"/>
    <x v="0"/>
  </r>
  <r>
    <x v="1"/>
    <x v="9"/>
    <x v="4"/>
    <s v="SUB RECETAS"/>
    <x v="1"/>
    <x v="312"/>
    <s v="UNIDADES"/>
    <n v="6495.1191714500001"/>
    <n v="7"/>
    <n v="3"/>
    <n v="-4"/>
    <n v="19485.357514349998"/>
    <n v="-25980.4766858"/>
    <x v="2"/>
  </r>
  <r>
    <x v="1"/>
    <x v="7"/>
    <x v="3"/>
    <s v="SUB RECETAS"/>
    <x v="1"/>
    <x v="312"/>
    <s v="UNIDADES"/>
    <n v="6495.1191714500001"/>
    <n v="13"/>
    <n v="5"/>
    <n v="-8"/>
    <n v="32475.595857250002"/>
    <n v="-51960.953371600001"/>
    <x v="2"/>
  </r>
  <r>
    <x v="1"/>
    <x v="9"/>
    <x v="4"/>
    <s v="AGUA Y TE"/>
    <x v="0"/>
    <x v="149"/>
    <s v="UNIDADES"/>
    <n v="3458.25"/>
    <n v="11"/>
    <n v="11"/>
    <n v="0"/>
    <n v="38040.75"/>
    <n v="0"/>
    <x v="1"/>
  </r>
  <r>
    <x v="1"/>
    <x v="7"/>
    <x v="3"/>
    <s v="LICORES"/>
    <x v="0"/>
    <x v="26"/>
    <s v="ONZA"/>
    <n v="2906.3333333300002"/>
    <n v="15"/>
    <n v="19"/>
    <n v="4"/>
    <n v="55220.333333270006"/>
    <n v="11625.333333320001"/>
    <x v="0"/>
  </r>
  <r>
    <x v="0"/>
    <x v="6"/>
    <x v="3"/>
    <s v="SUB RECETAS"/>
    <x v="1"/>
    <x v="285"/>
    <s v="UNIDADES"/>
    <n v="4080"/>
    <n v="-7"/>
    <n v="83"/>
    <n v="90"/>
    <n v="338640"/>
    <n v="367200"/>
    <x v="0"/>
  </r>
  <r>
    <x v="0"/>
    <x v="6"/>
    <x v="3"/>
    <s v="PESCADOS Y MARISCOS"/>
    <x v="1"/>
    <x v="272"/>
    <s v="UNIDADES"/>
    <n v="8166.6666666700003"/>
    <n v="-3000"/>
    <n v="0"/>
    <n v="3000"/>
    <n v="0"/>
    <n v="24500000.000010002"/>
    <x v="0"/>
  </r>
  <r>
    <x v="3"/>
    <x v="11"/>
    <x v="5"/>
    <s v="SUB-RECETAS BAR"/>
    <x v="0"/>
    <x v="317"/>
    <s v="GRAMOS"/>
    <n v="55.555555560000002"/>
    <n v="500"/>
    <n v="678"/>
    <n v="178"/>
    <n v="37666.666669680002"/>
    <n v="9888.8888896799999"/>
    <x v="0"/>
  </r>
  <r>
    <x v="1"/>
    <x v="5"/>
    <x v="2"/>
    <s v="CERVEZAS"/>
    <x v="0"/>
    <x v="77"/>
    <s v="UNIDADES"/>
    <n v="3121.3333333300002"/>
    <n v="12"/>
    <n v="12"/>
    <n v="0"/>
    <n v="37455.999999960004"/>
    <n v="0"/>
    <x v="1"/>
  </r>
  <r>
    <x v="1"/>
    <x v="7"/>
    <x v="3"/>
    <s v="CERVEZAS"/>
    <x v="0"/>
    <x v="76"/>
    <s v="UNIDADES"/>
    <n v="2183.46666667"/>
    <n v="17"/>
    <n v="17"/>
    <n v="0"/>
    <n v="37118.933333389999"/>
    <n v="0"/>
    <x v="1"/>
  </r>
  <r>
    <x v="0"/>
    <x v="0"/>
    <x v="0"/>
    <s v="LICORES"/>
    <x v="0"/>
    <x v="270"/>
    <s v="ONZA"/>
    <n v="2077.8620689700001"/>
    <n v="93"/>
    <n v="79"/>
    <n v="-14"/>
    <n v="164151.10344863002"/>
    <n v="-29090.068965580002"/>
    <x v="2"/>
  </r>
  <r>
    <x v="1"/>
    <x v="2"/>
    <x v="0"/>
    <s v="GASEOSAS Y SODAS"/>
    <x v="0"/>
    <x v="62"/>
    <s v="UNIDADES"/>
    <n v="1395.83333333"/>
    <n v="26"/>
    <n v="26"/>
    <n v="0"/>
    <n v="36291.66666658"/>
    <n v="0"/>
    <x v="1"/>
  </r>
  <r>
    <x v="1"/>
    <x v="9"/>
    <x v="4"/>
    <s v="GASEOSAS Y SODAS"/>
    <x v="0"/>
    <x v="22"/>
    <s v="UNIDADES"/>
    <n v="4986.0833333299997"/>
    <n v="0"/>
    <n v="7"/>
    <n v="7"/>
    <n v="34902.583333310002"/>
    <n v="34902.583333310002"/>
    <x v="0"/>
  </r>
  <r>
    <x v="0"/>
    <x v="4"/>
    <x v="2"/>
    <s v="VINOS"/>
    <x v="0"/>
    <x v="267"/>
    <s v="COPA"/>
    <n v="10710.6"/>
    <n v="6"/>
    <n v="4"/>
    <n v="-2"/>
    <n v="42842.400000000001"/>
    <n v="-21421.200000000001"/>
    <x v="2"/>
  </r>
  <r>
    <x v="1"/>
    <x v="5"/>
    <x v="2"/>
    <s v="AGUA Y TE"/>
    <x v="0"/>
    <x v="148"/>
    <s v="UNIDADES"/>
    <n v="3458.3283333300001"/>
    <n v="10"/>
    <n v="10"/>
    <n v="0"/>
    <n v="34583.283333300002"/>
    <n v="0"/>
    <x v="1"/>
  </r>
  <r>
    <x v="1"/>
    <x v="2"/>
    <x v="0"/>
    <s v="LICORES"/>
    <x v="0"/>
    <x v="0"/>
    <s v="ONZA"/>
    <n v="1919.45833333"/>
    <n v="14"/>
    <n v="0"/>
    <n v="-14"/>
    <n v="0"/>
    <n v="-26872.41666662"/>
    <x v="2"/>
  </r>
  <r>
    <x v="1"/>
    <x v="2"/>
    <x v="0"/>
    <s v="AGUA Y TE"/>
    <x v="0"/>
    <x v="162"/>
    <s v="UNIDADES"/>
    <n v="3458.25"/>
    <n v="10"/>
    <n v="10"/>
    <n v="0"/>
    <n v="34582.5"/>
    <n v="0"/>
    <x v="1"/>
  </r>
  <r>
    <x v="0"/>
    <x v="6"/>
    <x v="3"/>
    <s v="LICORES"/>
    <x v="0"/>
    <x v="26"/>
    <s v="ONZA"/>
    <n v="2628.875"/>
    <n v="16"/>
    <n v="15"/>
    <n v="-1"/>
    <n v="39433.125"/>
    <n v="-2628.875"/>
    <x v="2"/>
  </r>
  <r>
    <x v="0"/>
    <x v="4"/>
    <x v="2"/>
    <s v="VINOS"/>
    <x v="0"/>
    <x v="113"/>
    <s v="UNIDADES"/>
    <n v="70600.5"/>
    <n v="1"/>
    <n v="2"/>
    <n v="1"/>
    <n v="141201"/>
    <n v="70600.5"/>
    <x v="0"/>
  </r>
  <r>
    <x v="1"/>
    <x v="3"/>
    <x v="1"/>
    <s v="PROTEINAS"/>
    <x v="1"/>
    <x v="66"/>
    <s v="GRAMOS"/>
    <n v="34"/>
    <n v="1010"/>
    <n v="1010"/>
    <n v="0"/>
    <n v="34340"/>
    <n v="0"/>
    <x v="1"/>
  </r>
  <r>
    <x v="0"/>
    <x v="4"/>
    <x v="2"/>
    <s v="SUB RECETAS"/>
    <x v="1"/>
    <x v="312"/>
    <s v="UNIDADES"/>
    <n v="6620.7003902899996"/>
    <n v="28"/>
    <n v="14"/>
    <n v="-14"/>
    <n v="92689.805464059988"/>
    <n v="-92689.805464059988"/>
    <x v="2"/>
  </r>
  <r>
    <x v="1"/>
    <x v="7"/>
    <x v="3"/>
    <s v="PESCADOS Y MARISCOS"/>
    <x v="1"/>
    <x v="272"/>
    <s v="UNIDADES"/>
    <n v="8166.6666666700003"/>
    <n v="-1"/>
    <n v="0"/>
    <n v="1"/>
    <n v="0"/>
    <n v="8166.6666666700003"/>
    <x v="0"/>
  </r>
  <r>
    <x v="1"/>
    <x v="9"/>
    <x v="4"/>
    <s v="GASEOSAS Y SODAS"/>
    <x v="0"/>
    <x v="229"/>
    <s v="UNIDADES"/>
    <n v="6387.35"/>
    <n v="5"/>
    <n v="5"/>
    <n v="0"/>
    <n v="31936.75"/>
    <n v="0"/>
    <x v="1"/>
  </r>
  <r>
    <x v="1"/>
    <x v="2"/>
    <x v="0"/>
    <s v="AGUA Y TE"/>
    <x v="0"/>
    <x v="152"/>
    <s v="UNIDADES"/>
    <n v="2766.6799719999999"/>
    <n v="2"/>
    <n v="0"/>
    <n v="-2"/>
    <n v="0"/>
    <n v="-5533.3599439999998"/>
    <x v="2"/>
  </r>
  <r>
    <x v="1"/>
    <x v="2"/>
    <x v="0"/>
    <s v="LICORES"/>
    <x v="0"/>
    <x v="141"/>
    <s v="ONZA"/>
    <n v="1665.04166667"/>
    <n v="19"/>
    <n v="19"/>
    <n v="0"/>
    <n v="31635.791666730001"/>
    <n v="0"/>
    <x v="1"/>
  </r>
  <r>
    <x v="1"/>
    <x v="7"/>
    <x v="3"/>
    <s v="CERVEZAS"/>
    <x v="0"/>
    <x v="77"/>
    <s v="UNIDADES"/>
    <n v="3121.3333333300002"/>
    <n v="10"/>
    <n v="10"/>
    <n v="0"/>
    <n v="31213.333333300001"/>
    <n v="0"/>
    <x v="1"/>
  </r>
  <r>
    <x v="1"/>
    <x v="7"/>
    <x v="3"/>
    <s v="AGUA Y TE"/>
    <x v="0"/>
    <x v="148"/>
    <s v="UNIDADES"/>
    <n v="3458.3283333300001"/>
    <n v="9"/>
    <n v="9"/>
    <n v="0"/>
    <n v="31124.954999969999"/>
    <n v="0"/>
    <x v="1"/>
  </r>
  <r>
    <x v="1"/>
    <x v="7"/>
    <x v="3"/>
    <s v="AGUA Y TE"/>
    <x v="0"/>
    <x v="149"/>
    <s v="UNIDADES"/>
    <n v="3458.25"/>
    <n v="9"/>
    <n v="9"/>
    <n v="0"/>
    <n v="31124.25"/>
    <n v="0"/>
    <x v="1"/>
  </r>
  <r>
    <x v="1"/>
    <x v="7"/>
    <x v="3"/>
    <s v="LICORES"/>
    <x v="0"/>
    <x v="16"/>
    <s v="ONZA"/>
    <n v="6003.25"/>
    <n v="5.34"/>
    <n v="5"/>
    <n v="-0.34"/>
    <n v="30016.25"/>
    <n v="-2041.1050000000002"/>
    <x v="2"/>
  </r>
  <r>
    <x v="1"/>
    <x v="3"/>
    <x v="1"/>
    <s v="LICORES"/>
    <x v="0"/>
    <x v="127"/>
    <s v="ONZA"/>
    <n v="5000"/>
    <n v="1049"/>
    <n v="6"/>
    <n v="-1043"/>
    <n v="30000"/>
    <n v="-5215000"/>
    <x v="2"/>
  </r>
  <r>
    <x v="1"/>
    <x v="9"/>
    <x v="4"/>
    <s v="GASEOSAS Y SODAS"/>
    <x v="0"/>
    <x v="137"/>
    <s v="UNIDADES"/>
    <n v="1654.1429856300001"/>
    <n v="21.68"/>
    <n v="18"/>
    <n v="-3.68"/>
    <n v="29774.573741340002"/>
    <n v="-6087.2461871184005"/>
    <x v="2"/>
  </r>
  <r>
    <x v="1"/>
    <x v="3"/>
    <x v="1"/>
    <s v="SUB RECETAS"/>
    <x v="1"/>
    <x v="316"/>
    <s v="GRAMOS"/>
    <n v="30.21290226"/>
    <n v="2505"/>
    <n v="4320"/>
    <n v="1815"/>
    <n v="130519.7377632"/>
    <n v="54836.417601900001"/>
    <x v="0"/>
  </r>
  <r>
    <x v="1"/>
    <x v="5"/>
    <x v="2"/>
    <s v="SUB-RECETAS CP"/>
    <x v="1"/>
    <x v="255"/>
    <s v="UNIDADES"/>
    <n v="4832.9288793100004"/>
    <n v="6"/>
    <n v="6"/>
    <n v="0"/>
    <n v="28997.573275860002"/>
    <n v="0"/>
    <x v="1"/>
  </r>
  <r>
    <x v="0"/>
    <x v="6"/>
    <x v="3"/>
    <s v="VINOS"/>
    <x v="0"/>
    <x v="271"/>
    <s v="COPA"/>
    <n v="15144.3"/>
    <n v="37"/>
    <n v="38"/>
    <n v="1"/>
    <n v="575483.4"/>
    <n v="15144.3"/>
    <x v="0"/>
  </r>
  <r>
    <x v="0"/>
    <x v="4"/>
    <x v="2"/>
    <s v="VINOS"/>
    <x v="0"/>
    <x v="268"/>
    <s v="COPA"/>
    <n v="15144"/>
    <n v="17"/>
    <n v="16"/>
    <n v="-1"/>
    <n v="242304"/>
    <n v="-15144"/>
    <x v="2"/>
  </r>
  <r>
    <x v="1"/>
    <x v="5"/>
    <x v="2"/>
    <s v="AGUA Y TE"/>
    <x v="0"/>
    <x v="151"/>
    <s v="UNIDADES"/>
    <n v="3458.3291316700002"/>
    <n v="8"/>
    <n v="8"/>
    <n v="0"/>
    <n v="27666.633053360001"/>
    <n v="0"/>
    <x v="1"/>
  </r>
  <r>
    <x v="1"/>
    <x v="9"/>
    <x v="4"/>
    <s v="AGUA Y TE"/>
    <x v="0"/>
    <x v="147"/>
    <s v="UNIDADES"/>
    <n v="3458.3270308299998"/>
    <n v="8"/>
    <n v="8"/>
    <n v="0"/>
    <n v="27666.616246639998"/>
    <n v="0"/>
    <x v="1"/>
  </r>
  <r>
    <x v="1"/>
    <x v="2"/>
    <x v="0"/>
    <s v="AGUA Y TE"/>
    <x v="0"/>
    <x v="150"/>
    <s v="UNIDADES"/>
    <n v="3458.25"/>
    <n v="8"/>
    <n v="8"/>
    <n v="0"/>
    <n v="27666"/>
    <n v="0"/>
    <x v="1"/>
  </r>
  <r>
    <x v="1"/>
    <x v="9"/>
    <x v="4"/>
    <s v="AGUA Y TE"/>
    <x v="0"/>
    <x v="150"/>
    <s v="UNIDADES"/>
    <n v="3458.25"/>
    <n v="8"/>
    <n v="8"/>
    <n v="0"/>
    <n v="27666"/>
    <n v="0"/>
    <x v="1"/>
  </r>
  <r>
    <x v="1"/>
    <x v="5"/>
    <x v="2"/>
    <s v="AGUA Y TE"/>
    <x v="0"/>
    <x v="150"/>
    <s v="UNIDADES"/>
    <n v="3458.25"/>
    <n v="8"/>
    <n v="8"/>
    <n v="0"/>
    <n v="27666"/>
    <n v="0"/>
    <x v="1"/>
  </r>
  <r>
    <x v="1"/>
    <x v="5"/>
    <x v="2"/>
    <s v="VINOS"/>
    <x v="0"/>
    <x v="236"/>
    <s v="UNIDADES"/>
    <n v="27250"/>
    <n v="1"/>
    <n v="1"/>
    <n v="0"/>
    <n v="27250"/>
    <n v="0"/>
    <x v="1"/>
  </r>
  <r>
    <x v="1"/>
    <x v="7"/>
    <x v="3"/>
    <s v="LICORES"/>
    <x v="0"/>
    <x v="38"/>
    <s v="UNIDADES"/>
    <n v="26517.26"/>
    <n v="1"/>
    <n v="1"/>
    <n v="0"/>
    <n v="26517.26"/>
    <n v="0"/>
    <x v="1"/>
  </r>
  <r>
    <x v="1"/>
    <x v="5"/>
    <x v="2"/>
    <s v="LICORES"/>
    <x v="0"/>
    <x v="38"/>
    <s v="UNIDADES"/>
    <n v="26517.26"/>
    <n v="1"/>
    <n v="1"/>
    <n v="0"/>
    <n v="26517.26"/>
    <n v="0"/>
    <x v="1"/>
  </r>
  <r>
    <x v="1"/>
    <x v="7"/>
    <x v="3"/>
    <s v="GASEOSAS Y SODAS"/>
    <x v="0"/>
    <x v="229"/>
    <s v="UNIDADES"/>
    <n v="6387.35"/>
    <n v="4"/>
    <n v="4"/>
    <n v="0"/>
    <n v="25549.4"/>
    <n v="0"/>
    <x v="1"/>
  </r>
  <r>
    <x v="0"/>
    <x v="4"/>
    <x v="2"/>
    <s v="VINOS"/>
    <x v="0"/>
    <x v="114"/>
    <s v="COPA"/>
    <n v="9700"/>
    <n v="6"/>
    <n v="11"/>
    <n v="5"/>
    <n v="106700"/>
    <n v="48500"/>
    <x v="0"/>
  </r>
  <r>
    <x v="1"/>
    <x v="5"/>
    <x v="2"/>
    <s v="VINOS"/>
    <x v="0"/>
    <x v="240"/>
    <s v="UNIDADES"/>
    <n v="25109.5"/>
    <n v="1"/>
    <n v="1"/>
    <n v="0"/>
    <n v="25109.5"/>
    <n v="0"/>
    <x v="1"/>
  </r>
  <r>
    <x v="3"/>
    <x v="11"/>
    <x v="5"/>
    <s v="SUB-RECETAS CP"/>
    <x v="1"/>
    <x v="318"/>
    <s v="GRAMOS"/>
    <n v="20.981033289999999"/>
    <n v="1100"/>
    <n v="1184"/>
    <n v="84"/>
    <n v="24841.54341536"/>
    <n v="1762.40679636"/>
    <x v="0"/>
  </r>
  <r>
    <x v="1"/>
    <x v="3"/>
    <x v="1"/>
    <s v="SUB RECETAS"/>
    <x v="1"/>
    <x v="296"/>
    <s v="UNIDADES"/>
    <n v="3537.0347861300002"/>
    <n v="7"/>
    <n v="7"/>
    <n v="0"/>
    <n v="24759.243502910002"/>
    <n v="0"/>
    <x v="1"/>
  </r>
  <r>
    <x v="0"/>
    <x v="4"/>
    <x v="2"/>
    <s v="SUB RECETAS"/>
    <x v="1"/>
    <x v="285"/>
    <s v="UNIDADES"/>
    <n v="4080"/>
    <n v="-45"/>
    <n v="42"/>
    <n v="87"/>
    <n v="171360"/>
    <n v="354960"/>
    <x v="0"/>
  </r>
  <r>
    <x v="1"/>
    <x v="5"/>
    <x v="2"/>
    <s v="SUB RECETAS"/>
    <x v="1"/>
    <x v="285"/>
    <s v="UNIDADES"/>
    <n v="3902.6086956499998"/>
    <n v="-59"/>
    <n v="10"/>
    <n v="69"/>
    <n v="39026.086956499996"/>
    <n v="269279.99999985"/>
    <x v="0"/>
  </r>
  <r>
    <x v="1"/>
    <x v="5"/>
    <x v="2"/>
    <s v="VINOS"/>
    <x v="0"/>
    <x v="114"/>
    <s v="COPA"/>
    <n v="10705.05"/>
    <n v="3"/>
    <n v="4"/>
    <n v="1"/>
    <n v="42820.2"/>
    <n v="10705.05"/>
    <x v="0"/>
  </r>
  <r>
    <x v="1"/>
    <x v="9"/>
    <x v="4"/>
    <s v="LICORES"/>
    <x v="0"/>
    <x v="42"/>
    <s v="UNIDADES"/>
    <n v="23367.5"/>
    <n v="1"/>
    <n v="1"/>
    <n v="0"/>
    <n v="23367.5"/>
    <n v="0"/>
    <x v="1"/>
  </r>
  <r>
    <x v="1"/>
    <x v="5"/>
    <x v="2"/>
    <s v="LICORES"/>
    <x v="0"/>
    <x v="40"/>
    <s v="UNIDADES"/>
    <n v="22770"/>
    <n v="1"/>
    <n v="1"/>
    <n v="0"/>
    <n v="22770"/>
    <n v="0"/>
    <x v="1"/>
  </r>
  <r>
    <x v="1"/>
    <x v="5"/>
    <x v="2"/>
    <s v="VINOS"/>
    <x v="0"/>
    <x v="234"/>
    <s v="UNIDADES"/>
    <n v="22425"/>
    <n v="1"/>
    <n v="1"/>
    <n v="0"/>
    <n v="22425"/>
    <n v="0"/>
    <x v="1"/>
  </r>
  <r>
    <x v="0"/>
    <x v="1"/>
    <x v="1"/>
    <s v="SUB RECETAS"/>
    <x v="1"/>
    <x v="319"/>
    <s v="UNIDADES"/>
    <n v="1062.9044772499999"/>
    <n v="2"/>
    <n v="145"/>
    <n v="143"/>
    <n v="154121.14920124999"/>
    <n v="151995.34024674998"/>
    <x v="0"/>
  </r>
  <r>
    <x v="0"/>
    <x v="4"/>
    <x v="2"/>
    <s v="PESCADOS Y MARISCOS"/>
    <x v="1"/>
    <x v="272"/>
    <s v="UNIDADES"/>
    <n v="8166.6666666700003"/>
    <n v="1"/>
    <n v="0"/>
    <n v="-1"/>
    <n v="0"/>
    <n v="-8166.6666666700003"/>
    <x v="2"/>
  </r>
  <r>
    <x v="0"/>
    <x v="0"/>
    <x v="0"/>
    <s v="AGUA Y TE"/>
    <x v="0"/>
    <x v="158"/>
    <s v="UNIDADES"/>
    <n v="1654.27083333"/>
    <n v="119"/>
    <n v="108"/>
    <n v="-11"/>
    <n v="178661.24999963999"/>
    <n v="-18196.979166630001"/>
    <x v="2"/>
  </r>
  <r>
    <x v="1"/>
    <x v="2"/>
    <x v="0"/>
    <s v="SUB RECETAS"/>
    <x v="1"/>
    <x v="315"/>
    <s v="UNIDADES"/>
    <n v="12037.43350241"/>
    <n v="35.5"/>
    <n v="27"/>
    <n v="-8.5"/>
    <n v="325010.70456506999"/>
    <n v="-102318.18477048501"/>
    <x v="2"/>
  </r>
  <r>
    <x v="1"/>
    <x v="5"/>
    <x v="2"/>
    <s v="LICORES"/>
    <x v="0"/>
    <x v="308"/>
    <s v="ONZA"/>
    <n v="1794"/>
    <n v="64"/>
    <n v="44"/>
    <n v="-20"/>
    <n v="78936"/>
    <n v="-35880"/>
    <x v="2"/>
  </r>
  <r>
    <x v="0"/>
    <x v="6"/>
    <x v="3"/>
    <s v="PESCADOS Y MARISCOS"/>
    <x v="1"/>
    <x v="306"/>
    <s v="GRAMOS"/>
    <n v="31.416"/>
    <n v="24600"/>
    <n v="4000"/>
    <n v="-20600"/>
    <n v="125664"/>
    <n v="-647169.6"/>
    <x v="2"/>
  </r>
  <r>
    <x v="1"/>
    <x v="2"/>
    <x v="0"/>
    <s v="AGUA Y TE"/>
    <x v="0"/>
    <x v="148"/>
    <s v="UNIDADES"/>
    <n v="3458.3283333300001"/>
    <n v="6"/>
    <n v="6"/>
    <n v="0"/>
    <n v="20749.96999998"/>
    <n v="0"/>
    <x v="1"/>
  </r>
  <r>
    <x v="1"/>
    <x v="7"/>
    <x v="3"/>
    <s v="AGUA Y TE"/>
    <x v="0"/>
    <x v="162"/>
    <s v="UNIDADES"/>
    <n v="3458.25"/>
    <n v="6"/>
    <n v="6"/>
    <n v="0"/>
    <n v="20749.5"/>
    <n v="0"/>
    <x v="1"/>
  </r>
  <r>
    <x v="1"/>
    <x v="5"/>
    <x v="2"/>
    <s v="AGUA Y TE"/>
    <x v="0"/>
    <x v="149"/>
    <s v="UNIDADES"/>
    <n v="3458.25"/>
    <n v="6"/>
    <n v="6"/>
    <n v="0"/>
    <n v="20749.5"/>
    <n v="0"/>
    <x v="1"/>
  </r>
  <r>
    <x v="1"/>
    <x v="2"/>
    <x v="0"/>
    <s v="GASEOSAS Y SODAS"/>
    <x v="0"/>
    <x v="50"/>
    <s v="UNIDADES"/>
    <n v="4126.8333333299997"/>
    <n v="6"/>
    <n v="5"/>
    <n v="-1"/>
    <n v="20634.166666649999"/>
    <n v="-4126.8333333299997"/>
    <x v="2"/>
  </r>
  <r>
    <x v="0"/>
    <x v="8"/>
    <x v="4"/>
    <s v="SUB RECETAS"/>
    <x v="1"/>
    <x v="285"/>
    <s v="UNIDADES"/>
    <n v="4080"/>
    <n v="94"/>
    <n v="115"/>
    <n v="21"/>
    <n v="469200"/>
    <n v="85680"/>
    <x v="0"/>
  </r>
  <r>
    <x v="1"/>
    <x v="5"/>
    <x v="2"/>
    <s v="GASEOSAS Y SODAS"/>
    <x v="0"/>
    <x v="229"/>
    <s v="UNIDADES"/>
    <n v="6387.35"/>
    <n v="3"/>
    <n v="3"/>
    <n v="0"/>
    <n v="19162.050000000003"/>
    <n v="0"/>
    <x v="1"/>
  </r>
  <r>
    <x v="1"/>
    <x v="5"/>
    <x v="2"/>
    <s v="LICORES"/>
    <x v="0"/>
    <x v="110"/>
    <s v="ONZA"/>
    <n v="3171.7162499999999"/>
    <n v="6"/>
    <n v="6"/>
    <n v="0"/>
    <n v="19030.297500000001"/>
    <n v="0"/>
    <x v="1"/>
  </r>
  <r>
    <x v="1"/>
    <x v="3"/>
    <x v="1"/>
    <s v="VINOS"/>
    <x v="0"/>
    <x v="109"/>
    <s v="COPA"/>
    <n v="10889.4"/>
    <n v="-1"/>
    <n v="0"/>
    <n v="1"/>
    <n v="0"/>
    <n v="10889.4"/>
    <x v="0"/>
  </r>
  <r>
    <x v="1"/>
    <x v="9"/>
    <x v="4"/>
    <s v="SUB RECETAS"/>
    <x v="1"/>
    <x v="248"/>
    <s v="UNIDADES"/>
    <n v="2224.8677035000001"/>
    <n v="8"/>
    <n v="8"/>
    <n v="0"/>
    <n v="17798.941628"/>
    <n v="0"/>
    <x v="1"/>
  </r>
  <r>
    <x v="1"/>
    <x v="9"/>
    <x v="4"/>
    <s v="SUB RECETAS"/>
    <x v="1"/>
    <x v="285"/>
    <s v="UNIDADES"/>
    <n v="3902.6086956499998"/>
    <n v="39"/>
    <n v="163"/>
    <n v="124"/>
    <n v="636125.21739094995"/>
    <n v="483923.47826060001"/>
    <x v="0"/>
  </r>
  <r>
    <x v="0"/>
    <x v="0"/>
    <x v="0"/>
    <s v="SUB RECETAS"/>
    <x v="1"/>
    <x v="320"/>
    <s v="UNIDADES"/>
    <n v="3626.8235500000001"/>
    <n v="36"/>
    <n v="36"/>
    <n v="0"/>
    <n v="130565.64780000001"/>
    <n v="0"/>
    <x v="1"/>
  </r>
  <r>
    <x v="1"/>
    <x v="2"/>
    <x v="0"/>
    <s v="GASEOSAS Y SODAS"/>
    <x v="0"/>
    <x v="65"/>
    <s v="UNIDADES"/>
    <n v="4986.1393557499996"/>
    <n v="5"/>
    <n v="3"/>
    <n v="-2"/>
    <n v="14958.418067249999"/>
    <n v="-9972.2787114999992"/>
    <x v="2"/>
  </r>
  <r>
    <x v="1"/>
    <x v="9"/>
    <x v="4"/>
    <s v="AGUA Y TE"/>
    <x v="0"/>
    <x v="152"/>
    <s v="UNIDADES"/>
    <n v="3458.3333333300002"/>
    <n v="4"/>
    <n v="4"/>
    <n v="0"/>
    <n v="13833.333333320001"/>
    <n v="0"/>
    <x v="1"/>
  </r>
  <r>
    <x v="1"/>
    <x v="2"/>
    <x v="0"/>
    <s v="LICORES"/>
    <x v="0"/>
    <x v="177"/>
    <s v="ONZA"/>
    <n v="1500"/>
    <n v="9"/>
    <n v="9"/>
    <n v="0"/>
    <n v="13500"/>
    <n v="0"/>
    <x v="1"/>
  </r>
  <r>
    <x v="1"/>
    <x v="9"/>
    <x v="4"/>
    <s v="GASEOSAS Y SODAS"/>
    <x v="0"/>
    <x v="62"/>
    <s v="UNIDADES"/>
    <n v="1395.83333333"/>
    <n v="-1"/>
    <n v="9"/>
    <n v="10"/>
    <n v="12562.499999969999"/>
    <n v="13958.333333299999"/>
    <x v="0"/>
  </r>
  <r>
    <x v="1"/>
    <x v="9"/>
    <x v="4"/>
    <s v="AGUA Y TE"/>
    <x v="0"/>
    <x v="162"/>
    <s v="UNIDADES"/>
    <n v="3458.25"/>
    <n v="3"/>
    <n v="3"/>
    <n v="0"/>
    <n v="10374.75"/>
    <n v="0"/>
    <x v="1"/>
  </r>
  <r>
    <x v="1"/>
    <x v="5"/>
    <x v="2"/>
    <s v="AGUA Y TE"/>
    <x v="0"/>
    <x v="146"/>
    <s v="UNIDADES"/>
    <n v="1408.33333333"/>
    <n v="7"/>
    <n v="7"/>
    <n v="0"/>
    <n v="9858.3333333099999"/>
    <n v="0"/>
    <x v="1"/>
  </r>
  <r>
    <x v="1"/>
    <x v="7"/>
    <x v="3"/>
    <s v="VINOS"/>
    <x v="0"/>
    <x v="271"/>
    <s v="COPA"/>
    <n v="15145.266666670001"/>
    <n v="22"/>
    <n v="21"/>
    <n v="-1"/>
    <n v="318050.60000007"/>
    <n v="-15145.266666670001"/>
    <x v="2"/>
  </r>
  <r>
    <x v="1"/>
    <x v="2"/>
    <x v="0"/>
    <s v="LICORES"/>
    <x v="0"/>
    <x v="13"/>
    <s v="ONZA"/>
    <n v="1729.16666667"/>
    <n v="40"/>
    <n v="25"/>
    <n v="-15"/>
    <n v="43229.166666750003"/>
    <n v="-25937.50000005"/>
    <x v="2"/>
  </r>
  <r>
    <x v="1"/>
    <x v="2"/>
    <x v="0"/>
    <s v="SUB RECETAS"/>
    <x v="1"/>
    <x v="320"/>
    <s v="UNIDADES"/>
    <n v="3637.5542850000002"/>
    <n v="58"/>
    <n v="58"/>
    <n v="0"/>
    <n v="210978.14853000001"/>
    <n v="0"/>
    <x v="1"/>
  </r>
  <r>
    <x v="1"/>
    <x v="9"/>
    <x v="4"/>
    <s v="AGUA Y TE"/>
    <x v="0"/>
    <x v="146"/>
    <s v="UNIDADES"/>
    <n v="1408.33333333"/>
    <n v="25"/>
    <n v="5"/>
    <n v="-20"/>
    <n v="7041.6666666499996"/>
    <n v="-28166.666666599998"/>
    <x v="2"/>
  </r>
  <r>
    <x v="0"/>
    <x v="0"/>
    <x v="0"/>
    <s v="LICORES"/>
    <x v="0"/>
    <x v="165"/>
    <s v="ONZA"/>
    <n v="1425.6293103400001"/>
    <n v="114"/>
    <n v="94"/>
    <n v="-20"/>
    <n v="134009.15517196001"/>
    <n v="-28512.586206800002"/>
    <x v="2"/>
  </r>
  <r>
    <x v="0"/>
    <x v="6"/>
    <x v="3"/>
    <s v="VINOS"/>
    <x v="0"/>
    <x v="185"/>
    <s v="COPA"/>
    <n v="9853.2000000000007"/>
    <n v="10"/>
    <n v="11"/>
    <n v="1"/>
    <n v="108385.20000000001"/>
    <n v="9853.2000000000007"/>
    <x v="0"/>
  </r>
  <r>
    <x v="3"/>
    <x v="11"/>
    <x v="5"/>
    <s v="SUB-RECETAS CP"/>
    <x v="1"/>
    <x v="321"/>
    <s v="GRAMOS"/>
    <n v="36.819607400000002"/>
    <n v="108"/>
    <n v="168"/>
    <n v="60"/>
    <n v="6185.6940432000001"/>
    <n v="2209.1764440000002"/>
    <x v="0"/>
  </r>
  <r>
    <x v="1"/>
    <x v="3"/>
    <x v="1"/>
    <s v="GASEOSAS Y SODAS"/>
    <x v="0"/>
    <x v="71"/>
    <s v="UNIDADES"/>
    <n v="983.33333332999996"/>
    <n v="6"/>
    <n v="6"/>
    <n v="0"/>
    <n v="5899.9999999800002"/>
    <n v="0"/>
    <x v="1"/>
  </r>
  <r>
    <x v="1"/>
    <x v="3"/>
    <x v="1"/>
    <s v="AGUA Y TE"/>
    <x v="0"/>
    <x v="146"/>
    <s v="UNIDADES"/>
    <n v="1408.33333333"/>
    <n v="51"/>
    <n v="4"/>
    <n v="-47"/>
    <n v="5633.3333333199998"/>
    <n v="-66191.666666509991"/>
    <x v="2"/>
  </r>
  <r>
    <x v="1"/>
    <x v="2"/>
    <x v="0"/>
    <s v="AGUA Y TE"/>
    <x v="0"/>
    <x v="151"/>
    <s v="UNIDADES"/>
    <n v="2766.5"/>
    <n v="2"/>
    <n v="2"/>
    <n v="0"/>
    <n v="5533"/>
    <n v="0"/>
    <x v="1"/>
  </r>
  <r>
    <x v="1"/>
    <x v="5"/>
    <x v="2"/>
    <s v="LICORES"/>
    <x v="0"/>
    <x v="52"/>
    <s v="ONZA"/>
    <n v="5291.6666666700003"/>
    <n v="1"/>
    <n v="1"/>
    <n v="0"/>
    <n v="5291.6666666700003"/>
    <n v="0"/>
    <x v="1"/>
  </r>
  <r>
    <x v="0"/>
    <x v="0"/>
    <x v="0"/>
    <s v="SUB RECETAS"/>
    <x v="1"/>
    <x v="322"/>
    <s v="UNIDADES"/>
    <n v="4459.9375"/>
    <n v="10"/>
    <n v="10"/>
    <n v="0"/>
    <n v="44599.375"/>
    <n v="0"/>
    <x v="1"/>
  </r>
  <r>
    <x v="0"/>
    <x v="8"/>
    <x v="4"/>
    <s v="PESCADOS Y MARISCOS"/>
    <x v="1"/>
    <x v="306"/>
    <s v="GRAMOS"/>
    <n v="31.416"/>
    <n v="8000"/>
    <n v="9000"/>
    <n v="1000"/>
    <n v="282744"/>
    <n v="31416"/>
    <x v="0"/>
  </r>
  <r>
    <x v="0"/>
    <x v="4"/>
    <x v="2"/>
    <s v="PESCADOS Y MARISCOS"/>
    <x v="1"/>
    <x v="306"/>
    <s v="GRAMOS"/>
    <n v="31.416"/>
    <n v="12094"/>
    <n v="4000"/>
    <n v="-8094"/>
    <n v="125664"/>
    <n v="-254281.10399999999"/>
    <x v="2"/>
  </r>
  <r>
    <x v="1"/>
    <x v="9"/>
    <x v="4"/>
    <s v="LICORES"/>
    <x v="0"/>
    <x v="323"/>
    <s v="ONZA"/>
    <n v="4.5454550000000003E-2"/>
    <n v="99"/>
    <n v="80.91"/>
    <n v="-18.09"/>
    <n v="3.6777276405000001"/>
    <n v="-0.82227280950000003"/>
    <x v="2"/>
  </r>
  <r>
    <x v="3"/>
    <x v="11"/>
    <x v="5"/>
    <s v="PESCADOS Y MARISCOS"/>
    <x v="1"/>
    <x v="246"/>
    <s v="GRAMOS"/>
    <n v="58.31"/>
    <n v="0"/>
    <n v="0"/>
    <n v="0"/>
    <n v="0"/>
    <n v="0"/>
    <x v="1"/>
  </r>
  <r>
    <x v="3"/>
    <x v="11"/>
    <x v="5"/>
    <s v="SUB RECETAS"/>
    <x v="1"/>
    <x v="324"/>
    <s v="GRAMOS"/>
    <n v="240"/>
    <n v="0"/>
    <n v="0"/>
    <n v="0"/>
    <n v="0"/>
    <n v="0"/>
    <x v="1"/>
  </r>
  <r>
    <x v="3"/>
    <x v="11"/>
    <x v="5"/>
    <s v="SUB RECETAS"/>
    <x v="1"/>
    <x v="312"/>
    <s v="UNIDADES"/>
    <n v="6490.1613531900002"/>
    <n v="2"/>
    <n v="0"/>
    <n v="-2"/>
    <n v="0"/>
    <n v="-12980.32270638"/>
    <x v="2"/>
  </r>
  <r>
    <x v="3"/>
    <x v="11"/>
    <x v="5"/>
    <s v="SUB-RECETAS BAR"/>
    <x v="0"/>
    <x v="325"/>
    <s v="UNIDADES"/>
    <n v="2170.7119282200001"/>
    <n v="0"/>
    <n v="0"/>
    <n v="0"/>
    <n v="0"/>
    <n v="0"/>
    <x v="1"/>
  </r>
  <r>
    <x v="3"/>
    <x v="11"/>
    <x v="5"/>
    <s v="SUB-RECETAS BAR"/>
    <x v="0"/>
    <x v="326"/>
    <s v="GRAMOS"/>
    <n v="58.412030450000003"/>
    <n v="1998"/>
    <n v="0"/>
    <n v="-1998"/>
    <n v="0"/>
    <n v="-116707.23683910001"/>
    <x v="2"/>
  </r>
  <r>
    <x v="3"/>
    <x v="11"/>
    <x v="5"/>
    <s v="SUB-RECETAS BAR"/>
    <x v="0"/>
    <x v="327"/>
    <s v="GRAMOS"/>
    <n v="47.773913039999996"/>
    <n v="0"/>
    <n v="0"/>
    <n v="0"/>
    <n v="0"/>
    <n v="0"/>
    <x v="1"/>
  </r>
  <r>
    <x v="3"/>
    <x v="11"/>
    <x v="5"/>
    <s v="SUB-RECETAS BAR"/>
    <x v="0"/>
    <x v="328"/>
    <s v="GRAMOS"/>
    <n v="10.8"/>
    <n v="0"/>
    <n v="0"/>
    <n v="0"/>
    <n v="0"/>
    <n v="0"/>
    <x v="1"/>
  </r>
  <r>
    <x v="3"/>
    <x v="11"/>
    <x v="5"/>
    <s v="SUB-RECETAS BAR"/>
    <x v="0"/>
    <x v="329"/>
    <s v="GRAMOS"/>
    <n v="66.511627919999995"/>
    <n v="0"/>
    <n v="0"/>
    <n v="0"/>
    <n v="0"/>
    <n v="0"/>
    <x v="1"/>
  </r>
  <r>
    <x v="1"/>
    <x v="2"/>
    <x v="0"/>
    <s v="LICORES"/>
    <x v="0"/>
    <x v="330"/>
    <s v="ONZA"/>
    <n v="0"/>
    <n v="44"/>
    <n v="44"/>
    <n v="0"/>
    <n v="0"/>
    <n v="0"/>
    <x v="1"/>
  </r>
  <r>
    <x v="1"/>
    <x v="2"/>
    <x v="0"/>
    <s v="LICORES"/>
    <x v="0"/>
    <x v="331"/>
    <s v="ONZA"/>
    <n v="0"/>
    <n v="44"/>
    <n v="44"/>
    <n v="0"/>
    <n v="0"/>
    <n v="0"/>
    <x v="1"/>
  </r>
  <r>
    <x v="1"/>
    <x v="2"/>
    <x v="0"/>
    <s v="LICORES"/>
    <x v="0"/>
    <x v="332"/>
    <s v="ONZA"/>
    <n v="0"/>
    <n v="0"/>
    <n v="0"/>
    <n v="0"/>
    <n v="0"/>
    <n v="0"/>
    <x v="1"/>
  </r>
  <r>
    <x v="1"/>
    <x v="2"/>
    <x v="0"/>
    <s v="LICORES"/>
    <x v="0"/>
    <x v="333"/>
    <s v="ONZA"/>
    <n v="0"/>
    <n v="0"/>
    <n v="0"/>
    <n v="0"/>
    <n v="0"/>
    <n v="0"/>
    <x v="1"/>
  </r>
  <r>
    <x v="1"/>
    <x v="2"/>
    <x v="0"/>
    <s v="LICORES"/>
    <x v="0"/>
    <x v="334"/>
    <s v="ONZA"/>
    <n v="0"/>
    <n v="15"/>
    <n v="15"/>
    <n v="0"/>
    <n v="0"/>
    <n v="0"/>
    <x v="1"/>
  </r>
  <r>
    <x v="1"/>
    <x v="2"/>
    <x v="0"/>
    <s v="LICORES"/>
    <x v="0"/>
    <x v="225"/>
    <s v="ONZA"/>
    <n v="0"/>
    <n v="36"/>
    <n v="36"/>
    <n v="0"/>
    <n v="0"/>
    <n v="0"/>
    <x v="1"/>
  </r>
  <r>
    <x v="0"/>
    <x v="0"/>
    <x v="0"/>
    <s v="LICORES"/>
    <x v="0"/>
    <x v="27"/>
    <s v="ONZA"/>
    <n v="2457.3333333300002"/>
    <n v="85"/>
    <n v="59"/>
    <n v="-26"/>
    <n v="144982.66666647"/>
    <n v="-63890.666666580008"/>
    <x v="2"/>
  </r>
  <r>
    <x v="1"/>
    <x v="2"/>
    <x v="0"/>
    <s v="LICORES"/>
    <x v="0"/>
    <x v="12"/>
    <s v="ONZA"/>
    <n v="1997.7272727300001"/>
    <n v="0"/>
    <n v="0"/>
    <n v="0"/>
    <n v="0"/>
    <n v="0"/>
    <x v="1"/>
  </r>
  <r>
    <x v="1"/>
    <x v="2"/>
    <x v="0"/>
    <s v="LICORES"/>
    <x v="0"/>
    <x v="37"/>
    <s v="ONZA"/>
    <n v="0"/>
    <n v="64"/>
    <n v="64"/>
    <n v="0"/>
    <n v="0"/>
    <n v="0"/>
    <x v="1"/>
  </r>
  <r>
    <x v="1"/>
    <x v="2"/>
    <x v="0"/>
    <s v="LICORES"/>
    <x v="0"/>
    <x v="21"/>
    <s v="ONZA"/>
    <n v="0"/>
    <n v="52"/>
    <n v="52"/>
    <n v="0"/>
    <n v="0"/>
    <n v="0"/>
    <x v="1"/>
  </r>
  <r>
    <x v="0"/>
    <x v="0"/>
    <x v="0"/>
    <s v="VINOS"/>
    <x v="0"/>
    <x v="185"/>
    <s v="COPA"/>
    <n v="10875.1"/>
    <n v="43"/>
    <n v="38"/>
    <n v="-5"/>
    <n v="413253.8"/>
    <n v="-54375.5"/>
    <x v="2"/>
  </r>
  <r>
    <x v="1"/>
    <x v="2"/>
    <x v="0"/>
    <s v="LICORES"/>
    <x v="0"/>
    <x v="36"/>
    <s v="ONZA"/>
    <n v="0"/>
    <n v="0"/>
    <n v="0"/>
    <n v="0"/>
    <n v="0"/>
    <n v="0"/>
    <x v="1"/>
  </r>
  <r>
    <x v="1"/>
    <x v="2"/>
    <x v="0"/>
    <s v="LICORES"/>
    <x v="0"/>
    <x v="26"/>
    <s v="ONZA"/>
    <n v="4587.75"/>
    <n v="0"/>
    <n v="0"/>
    <n v="0"/>
    <n v="0"/>
    <n v="0"/>
    <x v="1"/>
  </r>
  <r>
    <x v="0"/>
    <x v="0"/>
    <x v="0"/>
    <s v="LICORES"/>
    <x v="0"/>
    <x v="9"/>
    <s v="ONZA"/>
    <n v="2120.6896551700002"/>
    <n v="113"/>
    <n v="52"/>
    <n v="-61"/>
    <n v="110275.86206884001"/>
    <n v="-129362.06896537001"/>
    <x v="2"/>
  </r>
  <r>
    <x v="1"/>
    <x v="2"/>
    <x v="0"/>
    <s v="LICORES"/>
    <x v="0"/>
    <x v="108"/>
    <s v="ONZA"/>
    <n v="0"/>
    <n v="17"/>
    <n v="17"/>
    <n v="0"/>
    <n v="0"/>
    <n v="0"/>
    <x v="1"/>
  </r>
  <r>
    <x v="1"/>
    <x v="2"/>
    <x v="0"/>
    <s v="LICORES"/>
    <x v="0"/>
    <x v="52"/>
    <s v="ONZA"/>
    <n v="0"/>
    <n v="44"/>
    <n v="44"/>
    <n v="0"/>
    <n v="0"/>
    <n v="0"/>
    <x v="1"/>
  </r>
  <r>
    <x v="1"/>
    <x v="2"/>
    <x v="0"/>
    <s v="LICORES"/>
    <x v="0"/>
    <x v="55"/>
    <s v="ONZA"/>
    <n v="6303.0416666700003"/>
    <n v="0"/>
    <n v="0"/>
    <n v="0"/>
    <n v="0"/>
    <n v="0"/>
    <x v="1"/>
  </r>
  <r>
    <x v="1"/>
    <x v="2"/>
    <x v="0"/>
    <s v="LICORES"/>
    <x v="0"/>
    <x v="308"/>
    <s v="ONZA"/>
    <n v="1661.1111110899999"/>
    <n v="0"/>
    <n v="0"/>
    <n v="0"/>
    <n v="0"/>
    <n v="0"/>
    <x v="1"/>
  </r>
  <r>
    <x v="1"/>
    <x v="2"/>
    <x v="0"/>
    <s v="GASEOSAS Y SODAS"/>
    <x v="0"/>
    <x v="79"/>
    <s v="UNIDADES"/>
    <n v="4900"/>
    <n v="0"/>
    <n v="0"/>
    <n v="0"/>
    <n v="0"/>
    <n v="0"/>
    <x v="1"/>
  </r>
  <r>
    <x v="1"/>
    <x v="2"/>
    <x v="0"/>
    <s v="GASEOSAS Y SODAS"/>
    <x v="0"/>
    <x v="58"/>
    <s v="UNIDADES"/>
    <n v="1944.4444444000001"/>
    <n v="0"/>
    <n v="0"/>
    <n v="0"/>
    <n v="0"/>
    <n v="0"/>
    <x v="1"/>
  </r>
  <r>
    <x v="1"/>
    <x v="2"/>
    <x v="0"/>
    <s v="GASEOSAS Y SODAS"/>
    <x v="0"/>
    <x v="67"/>
    <s v="UNIDADES"/>
    <n v="4986.1810224199999"/>
    <n v="0"/>
    <n v="0"/>
    <n v="0"/>
    <n v="0"/>
    <n v="0"/>
    <x v="1"/>
  </r>
  <r>
    <x v="1"/>
    <x v="2"/>
    <x v="0"/>
    <s v="GASEOSAS Y SODAS"/>
    <x v="0"/>
    <x v="68"/>
    <s v="UNIDADES"/>
    <n v="4986.0833333299997"/>
    <n v="0"/>
    <n v="0"/>
    <n v="0"/>
    <n v="0"/>
    <n v="0"/>
    <x v="1"/>
  </r>
  <r>
    <x v="1"/>
    <x v="2"/>
    <x v="0"/>
    <s v="GASEOSAS Y SODAS"/>
    <x v="0"/>
    <x v="71"/>
    <s v="UNIDADES"/>
    <n v="983.33333332999996"/>
    <n v="0"/>
    <n v="0"/>
    <n v="0"/>
    <n v="0"/>
    <n v="0"/>
    <x v="1"/>
  </r>
  <r>
    <x v="1"/>
    <x v="2"/>
    <x v="0"/>
    <s v="CERVEZAS"/>
    <x v="0"/>
    <x v="183"/>
    <s v="UNIDADES"/>
    <n v="2298.1166666700001"/>
    <n v="1"/>
    <n v="29"/>
    <n v="28"/>
    <n v="66645.38333343"/>
    <n v="64347.266666759999"/>
    <x v="0"/>
  </r>
  <r>
    <x v="0"/>
    <x v="0"/>
    <x v="0"/>
    <s v="CERVEZAS"/>
    <x v="0"/>
    <x v="184"/>
    <s v="UNIDADES"/>
    <n v="3179.6666666699998"/>
    <n v="51"/>
    <n v="52"/>
    <n v="1"/>
    <n v="165342.66666684"/>
    <n v="3179.6666666699998"/>
    <x v="0"/>
  </r>
  <r>
    <x v="1"/>
    <x v="2"/>
    <x v="0"/>
    <s v="CERVEZAS"/>
    <x v="0"/>
    <x v="184"/>
    <s v="UNIDADES"/>
    <n v="3244.25"/>
    <n v="59"/>
    <n v="35"/>
    <n v="-24"/>
    <n v="113548.75"/>
    <n v="-77862"/>
    <x v="2"/>
  </r>
  <r>
    <x v="1"/>
    <x v="2"/>
    <x v="0"/>
    <s v="SUB RECETAS"/>
    <x v="1"/>
    <x v="322"/>
    <s v="UNIDADES"/>
    <n v="4733.1649655000001"/>
    <n v="23"/>
    <n v="24"/>
    <n v="1"/>
    <n v="113595.959172"/>
    <n v="4733.1649655000001"/>
    <x v="0"/>
  </r>
  <r>
    <x v="0"/>
    <x v="0"/>
    <x v="0"/>
    <s v="SUB RECETAS"/>
    <x v="1"/>
    <x v="285"/>
    <s v="UNIDADES"/>
    <n v="3543.1578948199999"/>
    <n v="112.5"/>
    <n v="190"/>
    <n v="77.5"/>
    <n v="673200.0000158"/>
    <n v="274594.73684854998"/>
    <x v="0"/>
  </r>
  <r>
    <x v="1"/>
    <x v="2"/>
    <x v="0"/>
    <s v="SUB RECETAS"/>
    <x v="1"/>
    <x v="285"/>
    <s v="UNIDADES"/>
    <n v="3976.7088607300002"/>
    <n v="159.5"/>
    <n v="162"/>
    <n v="2.5"/>
    <n v="644226.83543825999"/>
    <n v="9941.772151825"/>
    <x v="0"/>
  </r>
  <r>
    <x v="1"/>
    <x v="2"/>
    <x v="0"/>
    <s v="PESCADOS Y MARISCOS"/>
    <x v="1"/>
    <x v="272"/>
    <s v="UNIDADES"/>
    <n v="9800"/>
    <n v="11"/>
    <n v="11"/>
    <n v="0"/>
    <n v="107800"/>
    <n v="0"/>
    <x v="1"/>
  </r>
  <r>
    <x v="0"/>
    <x v="0"/>
    <x v="0"/>
    <s v="PESCADOS Y MARISCOS"/>
    <x v="1"/>
    <x v="272"/>
    <s v="UNIDADES"/>
    <n v="19600"/>
    <n v="12"/>
    <n v="17"/>
    <n v="5"/>
    <n v="333200"/>
    <n v="98000"/>
    <x v="0"/>
  </r>
  <r>
    <x v="0"/>
    <x v="0"/>
    <x v="0"/>
    <s v="PESCADOS Y MARISCOS"/>
    <x v="1"/>
    <x v="335"/>
    <s v="GRAMOS"/>
    <n v="355.6"/>
    <n v="1728.9474"/>
    <n v="1406"/>
    <n v="-322.9473605"/>
    <n v="499973.60000000003"/>
    <n v="-114840.08139380001"/>
    <x v="2"/>
  </r>
  <r>
    <x v="1"/>
    <x v="2"/>
    <x v="0"/>
    <s v="VINOS"/>
    <x v="0"/>
    <x v="88"/>
    <s v="UNIDADES"/>
    <n v="0"/>
    <n v="1"/>
    <n v="1"/>
    <n v="0"/>
    <n v="0"/>
    <n v="0"/>
    <x v="1"/>
  </r>
  <r>
    <x v="1"/>
    <x v="2"/>
    <x v="0"/>
    <s v="VINOS"/>
    <x v="0"/>
    <x v="89"/>
    <s v="UNIDADES"/>
    <n v="0"/>
    <n v="0"/>
    <n v="0"/>
    <n v="0"/>
    <n v="0"/>
    <n v="0"/>
    <x v="1"/>
  </r>
  <r>
    <x v="1"/>
    <x v="2"/>
    <x v="0"/>
    <s v="VINOS"/>
    <x v="0"/>
    <x v="90"/>
    <s v="UNIDADES"/>
    <n v="0"/>
    <n v="2"/>
    <n v="2"/>
    <n v="0"/>
    <n v="0"/>
    <n v="0"/>
    <x v="1"/>
  </r>
  <r>
    <x v="1"/>
    <x v="2"/>
    <x v="0"/>
    <s v="VINOS"/>
    <x v="0"/>
    <x v="91"/>
    <s v="UNIDADES"/>
    <n v="0"/>
    <n v="0"/>
    <n v="0"/>
    <n v="0"/>
    <n v="0"/>
    <n v="0"/>
    <x v="1"/>
  </r>
  <r>
    <x v="1"/>
    <x v="2"/>
    <x v="0"/>
    <s v="VINOS"/>
    <x v="0"/>
    <x v="92"/>
    <s v="UNIDADES"/>
    <n v="0"/>
    <n v="0"/>
    <n v="0"/>
    <n v="0"/>
    <n v="0"/>
    <n v="0"/>
    <x v="1"/>
  </r>
  <r>
    <x v="1"/>
    <x v="2"/>
    <x v="0"/>
    <s v="VINOS"/>
    <x v="0"/>
    <x v="99"/>
    <s v="UNIDADES"/>
    <n v="66850"/>
    <n v="0"/>
    <n v="0"/>
    <n v="0"/>
    <n v="0"/>
    <n v="0"/>
    <x v="1"/>
  </r>
  <r>
    <x v="1"/>
    <x v="2"/>
    <x v="0"/>
    <s v="VINOS"/>
    <x v="0"/>
    <x v="101"/>
    <s v="UNIDADES"/>
    <n v="91785"/>
    <n v="0"/>
    <n v="0"/>
    <n v="0"/>
    <n v="0"/>
    <n v="0"/>
    <x v="1"/>
  </r>
  <r>
    <x v="1"/>
    <x v="2"/>
    <x v="0"/>
    <s v="VINOS"/>
    <x v="0"/>
    <x v="106"/>
    <s v="UNIDADES"/>
    <n v="93809"/>
    <n v="0"/>
    <n v="0"/>
    <n v="0"/>
    <n v="0"/>
    <n v="0"/>
    <x v="1"/>
  </r>
  <r>
    <x v="1"/>
    <x v="2"/>
    <x v="0"/>
    <s v="VINOS"/>
    <x v="0"/>
    <x v="113"/>
    <s v="UNIDADES"/>
    <n v="56095"/>
    <n v="0"/>
    <n v="0"/>
    <n v="0"/>
    <n v="0"/>
    <n v="0"/>
    <x v="1"/>
  </r>
  <r>
    <x v="1"/>
    <x v="2"/>
    <x v="0"/>
    <s v="VINOS"/>
    <x v="0"/>
    <x v="114"/>
    <s v="COPA"/>
    <n v="9481.9714285699993"/>
    <n v="0"/>
    <n v="0"/>
    <n v="0"/>
    <n v="0"/>
    <n v="0"/>
    <x v="1"/>
  </r>
  <r>
    <x v="1"/>
    <x v="2"/>
    <x v="0"/>
    <s v="VINOS"/>
    <x v="0"/>
    <x v="117"/>
    <s v="UNIDADES"/>
    <n v="0"/>
    <n v="1"/>
    <n v="1"/>
    <n v="0"/>
    <n v="0"/>
    <n v="0"/>
    <x v="1"/>
  </r>
  <r>
    <x v="1"/>
    <x v="2"/>
    <x v="0"/>
    <s v="PESCADOS Y MARISCOS"/>
    <x v="1"/>
    <x v="335"/>
    <s v="GRAMOS"/>
    <n v="355.6"/>
    <n v="1317.5789"/>
    <n v="1100"/>
    <n v="-217.5789442"/>
    <n v="391160"/>
    <n v="-77371.072557520005"/>
    <x v="2"/>
  </r>
  <r>
    <x v="0"/>
    <x v="0"/>
    <x v="0"/>
    <s v="PROTEINAS"/>
    <x v="1"/>
    <x v="336"/>
    <s v="GRAMOS"/>
    <n v="32.5"/>
    <n v="11130.9298"/>
    <n v="9845"/>
    <n v="-1285.929819"/>
    <n v="319962.5"/>
    <n v="-41792.719117499997"/>
    <x v="2"/>
  </r>
  <r>
    <x v="1"/>
    <x v="2"/>
    <x v="0"/>
    <s v="VINOS"/>
    <x v="0"/>
    <x v="185"/>
    <s v="COPA"/>
    <n v="10875.1"/>
    <n v="50"/>
    <n v="45"/>
    <n v="-5"/>
    <n v="489379.5"/>
    <n v="-54375.5"/>
    <x v="2"/>
  </r>
  <r>
    <x v="1"/>
    <x v="2"/>
    <x v="0"/>
    <s v="PROTEINAS"/>
    <x v="1"/>
    <x v="336"/>
    <s v="GRAMOS"/>
    <n v="32.5"/>
    <n v="5889.7367999999997"/>
    <n v="3920"/>
    <n v="-1969.7368349999999"/>
    <n v="127400"/>
    <n v="-64016.447137499999"/>
    <x v="2"/>
  </r>
  <r>
    <x v="0"/>
    <x v="0"/>
    <x v="0"/>
    <s v="PESCADOS Y MARISCOS"/>
    <x v="1"/>
    <x v="306"/>
    <s v="GRAMOS"/>
    <n v="31.416"/>
    <n v="20000"/>
    <n v="10000"/>
    <n v="-10000"/>
    <n v="314160"/>
    <n v="-314160"/>
    <x v="2"/>
  </r>
  <r>
    <x v="1"/>
    <x v="2"/>
    <x v="0"/>
    <s v="PESCADOS Y MARISCOS"/>
    <x v="1"/>
    <x v="306"/>
    <s v="GRAMOS"/>
    <n v="31.416"/>
    <n v="0"/>
    <n v="0"/>
    <n v="0"/>
    <n v="0"/>
    <n v="0"/>
    <x v="1"/>
  </r>
  <r>
    <x v="1"/>
    <x v="2"/>
    <x v="0"/>
    <s v="AGUA Y TE"/>
    <x v="0"/>
    <x v="146"/>
    <s v="UNIDADES"/>
    <n v="1408.33333333"/>
    <n v="0"/>
    <n v="0"/>
    <n v="0"/>
    <n v="0"/>
    <n v="0"/>
    <x v="1"/>
  </r>
  <r>
    <x v="1"/>
    <x v="2"/>
    <x v="0"/>
    <s v="AGUA Y TE"/>
    <x v="0"/>
    <x v="158"/>
    <s v="UNIDADES"/>
    <n v="1654.27777778"/>
    <n v="129"/>
    <n v="102"/>
    <n v="-27"/>
    <n v="168736.33333356"/>
    <n v="-44665.500000059998"/>
    <x v="2"/>
  </r>
  <r>
    <x v="1"/>
    <x v="7"/>
    <x v="3"/>
    <s v="LICORES"/>
    <x v="0"/>
    <x v="224"/>
    <s v="UNIDADES"/>
    <n v="0"/>
    <n v="2"/>
    <n v="2"/>
    <n v="0"/>
    <n v="0"/>
    <n v="0"/>
    <x v="1"/>
  </r>
  <r>
    <x v="1"/>
    <x v="7"/>
    <x v="3"/>
    <s v="LICORES"/>
    <x v="0"/>
    <x v="225"/>
    <s v="ONZA"/>
    <n v="0"/>
    <n v="0"/>
    <n v="0"/>
    <n v="0"/>
    <n v="0"/>
    <n v="0"/>
    <x v="1"/>
  </r>
  <r>
    <x v="1"/>
    <x v="7"/>
    <x v="3"/>
    <s v="LICORES"/>
    <x v="0"/>
    <x v="12"/>
    <s v="ONZA"/>
    <n v="0"/>
    <n v="0"/>
    <n v="0"/>
    <n v="0"/>
    <n v="0"/>
    <n v="0"/>
    <x v="1"/>
  </r>
  <r>
    <x v="1"/>
    <x v="7"/>
    <x v="3"/>
    <s v="LICORES"/>
    <x v="0"/>
    <x v="308"/>
    <s v="ONZA"/>
    <n v="1794"/>
    <n v="64"/>
    <n v="0"/>
    <n v="-64"/>
    <n v="0"/>
    <n v="-114816"/>
    <x v="2"/>
  </r>
  <r>
    <x v="1"/>
    <x v="7"/>
    <x v="3"/>
    <s v="LICORES"/>
    <x v="0"/>
    <x v="7"/>
    <s v="ONZA"/>
    <n v="11819.5"/>
    <n v="0"/>
    <n v="0"/>
    <n v="0"/>
    <n v="0"/>
    <n v="0"/>
    <x v="1"/>
  </r>
  <r>
    <x v="1"/>
    <x v="7"/>
    <x v="3"/>
    <s v="LICORES"/>
    <x v="0"/>
    <x v="70"/>
    <s v="ONZA"/>
    <n v="3673.5"/>
    <n v="0"/>
    <n v="0"/>
    <n v="0"/>
    <n v="0"/>
    <n v="0"/>
    <x v="1"/>
  </r>
  <r>
    <x v="1"/>
    <x v="7"/>
    <x v="3"/>
    <s v="LICORES"/>
    <x v="0"/>
    <x v="32"/>
    <s v="ONZA"/>
    <n v="4504.1666666700003"/>
    <n v="0"/>
    <n v="0"/>
    <n v="0"/>
    <n v="0"/>
    <n v="0"/>
    <x v="1"/>
  </r>
  <r>
    <x v="1"/>
    <x v="7"/>
    <x v="3"/>
    <s v="LICORES"/>
    <x v="0"/>
    <x v="203"/>
    <s v="ONZA"/>
    <n v="0"/>
    <n v="0"/>
    <n v="0"/>
    <n v="0"/>
    <n v="0"/>
    <n v="0"/>
    <x v="1"/>
  </r>
  <r>
    <x v="1"/>
    <x v="7"/>
    <x v="3"/>
    <s v="LICORES"/>
    <x v="0"/>
    <x v="52"/>
    <s v="ONZA"/>
    <n v="5291.6666666700003"/>
    <n v="0"/>
    <n v="0"/>
    <n v="0"/>
    <n v="0"/>
    <n v="0"/>
    <x v="1"/>
  </r>
  <r>
    <x v="0"/>
    <x v="6"/>
    <x v="3"/>
    <s v="LICORES"/>
    <x v="0"/>
    <x v="33"/>
    <s v="ONZA"/>
    <n v="3022.8541666699998"/>
    <n v="44"/>
    <n v="40"/>
    <n v="-4"/>
    <n v="120914.1666668"/>
    <n v="-12091.416666679999"/>
    <x v="2"/>
  </r>
  <r>
    <x v="1"/>
    <x v="7"/>
    <x v="3"/>
    <s v="GASEOSAS Y SODAS"/>
    <x v="0"/>
    <x v="79"/>
    <s v="UNIDADES"/>
    <n v="0"/>
    <n v="0"/>
    <n v="0"/>
    <n v="0"/>
    <n v="0"/>
    <n v="0"/>
    <x v="1"/>
  </r>
  <r>
    <x v="1"/>
    <x v="7"/>
    <x v="3"/>
    <s v="GASEOSAS Y SODAS"/>
    <x v="0"/>
    <x v="58"/>
    <s v="UNIDADES"/>
    <n v="3333.3333333300002"/>
    <n v="0"/>
    <n v="0"/>
    <n v="0"/>
    <n v="0"/>
    <n v="0"/>
    <x v="1"/>
  </r>
  <r>
    <x v="1"/>
    <x v="7"/>
    <x v="3"/>
    <s v="GASEOSAS Y SODAS"/>
    <x v="0"/>
    <x v="50"/>
    <s v="UNIDADES"/>
    <n v="0"/>
    <n v="0"/>
    <n v="0"/>
    <n v="0"/>
    <n v="0"/>
    <n v="0"/>
    <x v="1"/>
  </r>
  <r>
    <x v="1"/>
    <x v="7"/>
    <x v="3"/>
    <s v="GASEOSAS Y SODAS"/>
    <x v="0"/>
    <x v="67"/>
    <s v="UNIDADES"/>
    <n v="0"/>
    <n v="0"/>
    <n v="0"/>
    <n v="0"/>
    <n v="0"/>
    <n v="0"/>
    <x v="1"/>
  </r>
  <r>
    <x v="1"/>
    <x v="7"/>
    <x v="3"/>
    <s v="GASEOSAS Y SODAS"/>
    <x v="0"/>
    <x v="337"/>
    <s v="UNIDADES"/>
    <n v="2120.83"/>
    <n v="0"/>
    <n v="0"/>
    <n v="0"/>
    <n v="0"/>
    <n v="0"/>
    <x v="1"/>
  </r>
  <r>
    <x v="1"/>
    <x v="7"/>
    <x v="3"/>
    <s v="GASEOSAS Y SODAS"/>
    <x v="0"/>
    <x v="71"/>
    <s v="UNIDADES"/>
    <n v="1835.41666667"/>
    <n v="0"/>
    <n v="0"/>
    <n v="0"/>
    <n v="0"/>
    <n v="0"/>
    <x v="1"/>
  </r>
  <r>
    <x v="1"/>
    <x v="7"/>
    <x v="3"/>
    <s v="CERVEZAS"/>
    <x v="0"/>
    <x v="183"/>
    <s v="UNIDADES"/>
    <n v="3099.6666666699998"/>
    <n v="0"/>
    <n v="0"/>
    <n v="0"/>
    <n v="0"/>
    <n v="0"/>
    <x v="1"/>
  </r>
  <r>
    <x v="1"/>
    <x v="7"/>
    <x v="3"/>
    <s v="CERVEZAS"/>
    <x v="0"/>
    <x v="96"/>
    <s v="UNIDADES"/>
    <n v="3200"/>
    <n v="0"/>
    <n v="0"/>
    <n v="0"/>
    <n v="0"/>
    <n v="0"/>
    <x v="1"/>
  </r>
  <r>
    <x v="1"/>
    <x v="7"/>
    <x v="3"/>
    <s v="CERVEZAS"/>
    <x v="0"/>
    <x v="199"/>
    <s v="UNIDADES"/>
    <n v="3261.8333333300002"/>
    <n v="0"/>
    <n v="0"/>
    <n v="0"/>
    <n v="0"/>
    <n v="0"/>
    <x v="1"/>
  </r>
  <r>
    <x v="1"/>
    <x v="7"/>
    <x v="3"/>
    <s v="PESCADOS Y MARISCOS"/>
    <x v="1"/>
    <x v="306"/>
    <s v="GRAMOS"/>
    <n v="31.416"/>
    <n v="3000"/>
    <n v="0"/>
    <n v="-3000"/>
    <n v="0"/>
    <n v="-94248"/>
    <x v="2"/>
  </r>
  <r>
    <x v="1"/>
    <x v="7"/>
    <x v="3"/>
    <s v="VINOS"/>
    <x v="0"/>
    <x v="338"/>
    <s v="UNIDADES"/>
    <n v="0"/>
    <n v="0"/>
    <n v="0"/>
    <n v="0"/>
    <n v="0"/>
    <n v="0"/>
    <x v="1"/>
  </r>
  <r>
    <x v="1"/>
    <x v="7"/>
    <x v="3"/>
    <s v="VINOS"/>
    <x v="0"/>
    <x v="232"/>
    <s v="COPA"/>
    <n v="0"/>
    <n v="0"/>
    <n v="0"/>
    <n v="0"/>
    <n v="0"/>
    <n v="0"/>
    <x v="1"/>
  </r>
  <r>
    <x v="1"/>
    <x v="7"/>
    <x v="3"/>
    <s v="VINOS"/>
    <x v="0"/>
    <x v="234"/>
    <s v="UNIDADES"/>
    <n v="22425"/>
    <n v="0"/>
    <n v="0"/>
    <n v="0"/>
    <n v="0"/>
    <n v="0"/>
    <x v="1"/>
  </r>
  <r>
    <x v="1"/>
    <x v="7"/>
    <x v="3"/>
    <s v="VINOS"/>
    <x v="0"/>
    <x v="6"/>
    <s v="ONZA"/>
    <n v="2903.3333333300002"/>
    <n v="0"/>
    <n v="0"/>
    <n v="0"/>
    <n v="0"/>
    <n v="0"/>
    <x v="1"/>
  </r>
  <r>
    <x v="1"/>
    <x v="7"/>
    <x v="3"/>
    <s v="VINOS"/>
    <x v="0"/>
    <x v="240"/>
    <s v="UNIDADES"/>
    <n v="25109.5"/>
    <n v="0"/>
    <n v="0"/>
    <n v="0"/>
    <n v="0"/>
    <n v="0"/>
    <x v="1"/>
  </r>
  <r>
    <x v="1"/>
    <x v="7"/>
    <x v="3"/>
    <s v="VINOS"/>
    <x v="0"/>
    <x v="265"/>
    <s v="UNIDADES"/>
    <n v="444869"/>
    <n v="0"/>
    <n v="0"/>
    <n v="0"/>
    <n v="0"/>
    <n v="0"/>
    <x v="1"/>
  </r>
  <r>
    <x v="1"/>
    <x v="7"/>
    <x v="3"/>
    <s v="VINOS"/>
    <x v="0"/>
    <x v="128"/>
    <s v="COPA"/>
    <n v="9853.7999999999993"/>
    <n v="0"/>
    <n v="0"/>
    <n v="0"/>
    <n v="0"/>
    <n v="0"/>
    <x v="1"/>
  </r>
  <r>
    <x v="1"/>
    <x v="7"/>
    <x v="3"/>
    <s v="VINOS"/>
    <x v="0"/>
    <x v="314"/>
    <s v="COPA"/>
    <n v="10705"/>
    <n v="0"/>
    <n v="0"/>
    <n v="0"/>
    <n v="0"/>
    <n v="0"/>
    <x v="1"/>
  </r>
  <r>
    <x v="1"/>
    <x v="7"/>
    <x v="3"/>
    <s v="VINOS"/>
    <x v="0"/>
    <x v="114"/>
    <s v="COPA"/>
    <n v="10705.05"/>
    <n v="0"/>
    <n v="0"/>
    <n v="0"/>
    <n v="0"/>
    <n v="0"/>
    <x v="1"/>
  </r>
  <r>
    <x v="1"/>
    <x v="7"/>
    <x v="3"/>
    <s v="VINOS"/>
    <x v="0"/>
    <x v="116"/>
    <s v="UNIDADES"/>
    <n v="48500"/>
    <n v="0"/>
    <n v="0"/>
    <n v="0"/>
    <n v="0"/>
    <n v="0"/>
    <x v="1"/>
  </r>
  <r>
    <x v="1"/>
    <x v="7"/>
    <x v="3"/>
    <s v="LICORES"/>
    <x v="0"/>
    <x v="33"/>
    <s v="ONZA"/>
    <n v="2545.0104166699998"/>
    <n v="33"/>
    <n v="35"/>
    <n v="2"/>
    <n v="89075.364583449991"/>
    <n v="5090.0208333399996"/>
    <x v="0"/>
  </r>
  <r>
    <x v="1"/>
    <x v="7"/>
    <x v="3"/>
    <s v="LICORES"/>
    <x v="0"/>
    <x v="180"/>
    <s v="ONZA"/>
    <n v="15318.181818180001"/>
    <n v="34"/>
    <n v="32"/>
    <n v="-2"/>
    <n v="490181.81818176003"/>
    <n v="-30636.363636360002"/>
    <x v="2"/>
  </r>
  <r>
    <x v="0"/>
    <x v="6"/>
    <x v="3"/>
    <s v="LICORES"/>
    <x v="0"/>
    <x v="180"/>
    <s v="ONZA"/>
    <n v="15318.181818180001"/>
    <n v="32"/>
    <n v="34"/>
    <n v="2"/>
    <n v="520818.18181812001"/>
    <n v="30636.363636360002"/>
    <x v="0"/>
  </r>
  <r>
    <x v="1"/>
    <x v="7"/>
    <x v="3"/>
    <s v="PESCADOS Y MARISCOS"/>
    <x v="1"/>
    <x v="246"/>
    <s v="GRAMOS"/>
    <n v="58.31"/>
    <n v="0"/>
    <n v="0"/>
    <n v="0"/>
    <n v="0"/>
    <n v="0"/>
    <x v="1"/>
  </r>
  <r>
    <x v="1"/>
    <x v="7"/>
    <x v="3"/>
    <s v="SUB RECETAS"/>
    <x v="1"/>
    <x v="248"/>
    <s v="UNIDADES"/>
    <n v="2224.8677035000001"/>
    <n v="0"/>
    <n v="0"/>
    <n v="0"/>
    <n v="0"/>
    <n v="0"/>
    <x v="1"/>
  </r>
  <r>
    <x v="1"/>
    <x v="7"/>
    <x v="3"/>
    <s v="SUB-RECETAS CP"/>
    <x v="1"/>
    <x v="313"/>
    <s v="GRAMOS"/>
    <n v="15.035785089999999"/>
    <n v="0"/>
    <n v="0"/>
    <n v="0"/>
    <n v="0"/>
    <n v="0"/>
    <x v="1"/>
  </r>
  <r>
    <x v="1"/>
    <x v="7"/>
    <x v="3"/>
    <s v="AGUA Y TE"/>
    <x v="0"/>
    <x v="151"/>
    <s v="UNIDADES"/>
    <n v="3458.3291316700002"/>
    <n v="0"/>
    <n v="0"/>
    <n v="0"/>
    <n v="0"/>
    <n v="0"/>
    <x v="1"/>
  </r>
  <r>
    <x v="1"/>
    <x v="7"/>
    <x v="3"/>
    <s v="LICORES"/>
    <x v="0"/>
    <x v="135"/>
    <s v="ONZA"/>
    <n v="5896.9583333299997"/>
    <n v="63"/>
    <n v="58"/>
    <n v="-5"/>
    <n v="342023.58333314001"/>
    <n v="-29484.791666649999"/>
    <x v="2"/>
  </r>
  <r>
    <x v="1"/>
    <x v="9"/>
    <x v="4"/>
    <s v="LICORES"/>
    <x v="0"/>
    <x v="224"/>
    <s v="UNIDADES"/>
    <n v="0"/>
    <n v="0"/>
    <n v="0"/>
    <n v="0"/>
    <n v="0"/>
    <n v="0"/>
    <x v="1"/>
  </r>
  <r>
    <x v="1"/>
    <x v="9"/>
    <x v="4"/>
    <s v="LICORES"/>
    <x v="0"/>
    <x v="225"/>
    <s v="ONZA"/>
    <n v="0"/>
    <n v="-2"/>
    <n v="0"/>
    <n v="2"/>
    <n v="0"/>
    <n v="0"/>
    <x v="0"/>
  </r>
  <r>
    <x v="1"/>
    <x v="9"/>
    <x v="4"/>
    <s v="LICORES"/>
    <x v="0"/>
    <x v="12"/>
    <s v="ONZA"/>
    <n v="0"/>
    <n v="0"/>
    <n v="0"/>
    <n v="0"/>
    <n v="0"/>
    <n v="0"/>
    <x v="1"/>
  </r>
  <r>
    <x v="1"/>
    <x v="9"/>
    <x v="4"/>
    <s v="LICORES"/>
    <x v="0"/>
    <x v="7"/>
    <s v="ONZA"/>
    <n v="11819.5"/>
    <n v="0"/>
    <n v="0"/>
    <n v="0"/>
    <n v="0"/>
    <n v="0"/>
    <x v="1"/>
  </r>
  <r>
    <x v="1"/>
    <x v="9"/>
    <x v="4"/>
    <s v="LICORES"/>
    <x v="0"/>
    <x v="70"/>
    <s v="ONZA"/>
    <n v="3673.5"/>
    <n v="0"/>
    <n v="0"/>
    <n v="0"/>
    <n v="0"/>
    <n v="0"/>
    <x v="1"/>
  </r>
  <r>
    <x v="1"/>
    <x v="9"/>
    <x v="4"/>
    <s v="LICORES"/>
    <x v="0"/>
    <x v="32"/>
    <s v="ONZA"/>
    <n v="4504.1666666700003"/>
    <n v="0"/>
    <n v="0"/>
    <n v="0"/>
    <n v="0"/>
    <n v="0"/>
    <x v="1"/>
  </r>
  <r>
    <x v="1"/>
    <x v="9"/>
    <x v="4"/>
    <s v="LICORES"/>
    <x v="0"/>
    <x v="203"/>
    <s v="ONZA"/>
    <n v="0"/>
    <n v="0"/>
    <n v="0"/>
    <n v="0"/>
    <n v="0"/>
    <n v="0"/>
    <x v="1"/>
  </r>
  <r>
    <x v="1"/>
    <x v="9"/>
    <x v="4"/>
    <s v="LICORES"/>
    <x v="0"/>
    <x v="52"/>
    <s v="ONZA"/>
    <n v="5291.6666666700003"/>
    <n v="0"/>
    <n v="0"/>
    <n v="0"/>
    <n v="0"/>
    <n v="0"/>
    <x v="1"/>
  </r>
  <r>
    <x v="1"/>
    <x v="9"/>
    <x v="4"/>
    <s v="GASEOSAS Y SODAS"/>
    <x v="0"/>
    <x v="79"/>
    <s v="UNIDADES"/>
    <n v="0"/>
    <n v="0"/>
    <n v="0"/>
    <n v="0"/>
    <n v="0"/>
    <n v="0"/>
    <x v="1"/>
  </r>
  <r>
    <x v="1"/>
    <x v="9"/>
    <x v="4"/>
    <s v="GASEOSAS Y SODAS"/>
    <x v="0"/>
    <x v="58"/>
    <s v="UNIDADES"/>
    <n v="3333.3333333300002"/>
    <n v="0"/>
    <n v="0"/>
    <n v="0"/>
    <n v="0"/>
    <n v="0"/>
    <x v="1"/>
  </r>
  <r>
    <x v="1"/>
    <x v="9"/>
    <x v="4"/>
    <s v="GASEOSAS Y SODAS"/>
    <x v="0"/>
    <x v="50"/>
    <s v="UNIDADES"/>
    <n v="0"/>
    <n v="0"/>
    <n v="0"/>
    <n v="0"/>
    <n v="0"/>
    <n v="0"/>
    <x v="1"/>
  </r>
  <r>
    <x v="1"/>
    <x v="9"/>
    <x v="4"/>
    <s v="GASEOSAS Y SODAS"/>
    <x v="0"/>
    <x v="67"/>
    <s v="UNIDADES"/>
    <n v="0"/>
    <n v="-0.56999999999999995"/>
    <n v="0"/>
    <n v="0.56999999999999995"/>
    <n v="0"/>
    <n v="0"/>
    <x v="0"/>
  </r>
  <r>
    <x v="1"/>
    <x v="9"/>
    <x v="4"/>
    <s v="GASEOSAS Y SODAS"/>
    <x v="0"/>
    <x v="337"/>
    <s v="UNIDADES"/>
    <n v="2120.83"/>
    <n v="0"/>
    <n v="0"/>
    <n v="0"/>
    <n v="0"/>
    <n v="0"/>
    <x v="1"/>
  </r>
  <r>
    <x v="1"/>
    <x v="9"/>
    <x v="4"/>
    <s v="GASEOSAS Y SODAS"/>
    <x v="0"/>
    <x v="71"/>
    <s v="UNIDADES"/>
    <n v="1835.41666667"/>
    <n v="0"/>
    <n v="0"/>
    <n v="0"/>
    <n v="0"/>
    <n v="0"/>
    <x v="1"/>
  </r>
  <r>
    <x v="1"/>
    <x v="9"/>
    <x v="4"/>
    <s v="CERVEZAS"/>
    <x v="0"/>
    <x v="183"/>
    <s v="UNIDADES"/>
    <n v="3099.6666666699998"/>
    <n v="0"/>
    <n v="0"/>
    <n v="0"/>
    <n v="0"/>
    <n v="0"/>
    <x v="1"/>
  </r>
  <r>
    <x v="1"/>
    <x v="9"/>
    <x v="4"/>
    <s v="CERVEZAS"/>
    <x v="0"/>
    <x v="96"/>
    <s v="UNIDADES"/>
    <n v="3200"/>
    <n v="0"/>
    <n v="0"/>
    <n v="0"/>
    <n v="0"/>
    <n v="0"/>
    <x v="1"/>
  </r>
  <r>
    <x v="1"/>
    <x v="9"/>
    <x v="4"/>
    <s v="VINOS"/>
    <x v="0"/>
    <x v="338"/>
    <s v="UNIDADES"/>
    <n v="0"/>
    <n v="0"/>
    <n v="0"/>
    <n v="0"/>
    <n v="0"/>
    <n v="0"/>
    <x v="1"/>
  </r>
  <r>
    <x v="1"/>
    <x v="9"/>
    <x v="4"/>
    <s v="VINOS"/>
    <x v="0"/>
    <x v="232"/>
    <s v="COPA"/>
    <n v="0"/>
    <n v="0"/>
    <n v="0"/>
    <n v="0"/>
    <n v="0"/>
    <n v="0"/>
    <x v="1"/>
  </r>
  <r>
    <x v="1"/>
    <x v="9"/>
    <x v="4"/>
    <s v="VINOS"/>
    <x v="0"/>
    <x v="234"/>
    <s v="UNIDADES"/>
    <n v="22425"/>
    <n v="0"/>
    <n v="0"/>
    <n v="0"/>
    <n v="0"/>
    <n v="0"/>
    <x v="1"/>
  </r>
  <r>
    <x v="1"/>
    <x v="9"/>
    <x v="4"/>
    <s v="VINOS"/>
    <x v="0"/>
    <x v="6"/>
    <s v="ONZA"/>
    <n v="2903.3333333300002"/>
    <n v="0"/>
    <n v="0"/>
    <n v="0"/>
    <n v="0"/>
    <n v="0"/>
    <x v="1"/>
  </r>
  <r>
    <x v="1"/>
    <x v="9"/>
    <x v="4"/>
    <s v="VINOS"/>
    <x v="0"/>
    <x v="238"/>
    <s v="UNIDADES"/>
    <n v="63897.666666669997"/>
    <n v="0"/>
    <n v="0"/>
    <n v="0"/>
    <n v="0"/>
    <n v="0"/>
    <x v="1"/>
  </r>
  <r>
    <x v="1"/>
    <x v="9"/>
    <x v="4"/>
    <s v="VINOS"/>
    <x v="0"/>
    <x v="240"/>
    <s v="UNIDADES"/>
    <n v="25109.5"/>
    <n v="0"/>
    <n v="0"/>
    <n v="0"/>
    <n v="0"/>
    <n v="0"/>
    <x v="1"/>
  </r>
  <r>
    <x v="1"/>
    <x v="9"/>
    <x v="4"/>
    <s v="VINOS"/>
    <x v="0"/>
    <x v="128"/>
    <s v="COPA"/>
    <n v="9853.7999999999993"/>
    <n v="0"/>
    <n v="0"/>
    <n v="0"/>
    <n v="0"/>
    <n v="0"/>
    <x v="1"/>
  </r>
  <r>
    <x v="1"/>
    <x v="9"/>
    <x v="4"/>
    <s v="VINOS"/>
    <x v="0"/>
    <x v="185"/>
    <s v="COPA"/>
    <n v="9853.2000000000007"/>
    <n v="0"/>
    <n v="0"/>
    <n v="0"/>
    <n v="0"/>
    <n v="0"/>
    <x v="1"/>
  </r>
  <r>
    <x v="1"/>
    <x v="9"/>
    <x v="4"/>
    <s v="VINOS"/>
    <x v="0"/>
    <x v="116"/>
    <s v="UNIDADES"/>
    <n v="48500"/>
    <n v="0"/>
    <n v="0"/>
    <n v="0"/>
    <n v="0"/>
    <n v="0"/>
    <x v="1"/>
  </r>
  <r>
    <x v="1"/>
    <x v="9"/>
    <x v="4"/>
    <s v="PESCADOS Y MARISCOS"/>
    <x v="1"/>
    <x v="192"/>
    <s v="UNIDADES"/>
    <n v="0"/>
    <n v="60"/>
    <n v="60"/>
    <n v="0"/>
    <n v="0"/>
    <n v="0"/>
    <x v="1"/>
  </r>
  <r>
    <x v="1"/>
    <x v="9"/>
    <x v="4"/>
    <s v="PESCADOS Y MARISCOS"/>
    <x v="1"/>
    <x v="246"/>
    <s v="GRAMOS"/>
    <n v="58.31"/>
    <n v="0"/>
    <n v="0"/>
    <n v="0"/>
    <n v="0"/>
    <n v="0"/>
    <x v="1"/>
  </r>
  <r>
    <x v="1"/>
    <x v="9"/>
    <x v="4"/>
    <s v="SUB-RECETAS BAR"/>
    <x v="0"/>
    <x v="302"/>
    <s v="ONZA"/>
    <n v="4481.6813725399998"/>
    <n v="0"/>
    <n v="0"/>
    <n v="0"/>
    <n v="0"/>
    <n v="0"/>
    <x v="1"/>
  </r>
  <r>
    <x v="1"/>
    <x v="9"/>
    <x v="4"/>
    <s v="AGUA Y TE"/>
    <x v="0"/>
    <x v="148"/>
    <s v="UNIDADES"/>
    <n v="3458.3283333300001"/>
    <n v="0"/>
    <n v="0"/>
    <n v="0"/>
    <n v="0"/>
    <n v="0"/>
    <x v="1"/>
  </r>
  <r>
    <x v="1"/>
    <x v="9"/>
    <x v="4"/>
    <s v="AGUA Y TE"/>
    <x v="0"/>
    <x v="151"/>
    <s v="UNIDADES"/>
    <n v="3458.3291316700002"/>
    <n v="0"/>
    <n v="0"/>
    <n v="0"/>
    <n v="0"/>
    <n v="0"/>
    <x v="1"/>
  </r>
  <r>
    <x v="1"/>
    <x v="9"/>
    <x v="4"/>
    <s v="AGUA Y TE"/>
    <x v="0"/>
    <x v="130"/>
    <s v="UNIDADES"/>
    <n v="2766.665"/>
    <n v="0"/>
    <n v="0"/>
    <n v="0"/>
    <n v="0"/>
    <n v="0"/>
    <x v="1"/>
  </r>
  <r>
    <x v="1"/>
    <x v="5"/>
    <x v="2"/>
    <s v="LICORES"/>
    <x v="0"/>
    <x v="224"/>
    <s v="UNIDADES"/>
    <n v="0"/>
    <n v="1"/>
    <n v="1"/>
    <n v="0"/>
    <n v="0"/>
    <n v="0"/>
    <x v="1"/>
  </r>
  <r>
    <x v="1"/>
    <x v="5"/>
    <x v="2"/>
    <s v="LICORES"/>
    <x v="0"/>
    <x v="225"/>
    <s v="ONZA"/>
    <n v="0"/>
    <n v="0"/>
    <n v="0"/>
    <n v="0"/>
    <n v="0"/>
    <n v="0"/>
    <x v="1"/>
  </r>
  <r>
    <x v="1"/>
    <x v="5"/>
    <x v="2"/>
    <s v="LICORES"/>
    <x v="0"/>
    <x v="12"/>
    <s v="ONZA"/>
    <n v="0"/>
    <n v="0"/>
    <n v="0"/>
    <n v="0"/>
    <n v="0"/>
    <n v="0"/>
    <x v="1"/>
  </r>
  <r>
    <x v="0"/>
    <x v="4"/>
    <x v="2"/>
    <s v="LICORES"/>
    <x v="0"/>
    <x v="33"/>
    <s v="ONZA"/>
    <n v="3022.8541666699998"/>
    <n v="88.34"/>
    <n v="72"/>
    <n v="-16.34"/>
    <n v="217645.50000023999"/>
    <n v="-49393.437083387798"/>
    <x v="2"/>
  </r>
  <r>
    <x v="1"/>
    <x v="5"/>
    <x v="2"/>
    <s v="LICORES"/>
    <x v="0"/>
    <x v="32"/>
    <s v="ONZA"/>
    <n v="4504.1666666700003"/>
    <n v="0"/>
    <n v="0"/>
    <n v="0"/>
    <n v="0"/>
    <n v="0"/>
    <x v="1"/>
  </r>
  <r>
    <x v="1"/>
    <x v="5"/>
    <x v="2"/>
    <s v="LICORES"/>
    <x v="0"/>
    <x v="42"/>
    <s v="UNIDADES"/>
    <n v="23367.5"/>
    <n v="0"/>
    <n v="0"/>
    <n v="0"/>
    <n v="0"/>
    <n v="0"/>
    <x v="1"/>
  </r>
  <r>
    <x v="1"/>
    <x v="5"/>
    <x v="2"/>
    <s v="LICORES"/>
    <x v="0"/>
    <x v="48"/>
    <s v="UNIDADES"/>
    <n v="45099.74"/>
    <n v="0"/>
    <n v="0"/>
    <n v="0"/>
    <n v="0"/>
    <n v="0"/>
    <x v="1"/>
  </r>
  <r>
    <x v="1"/>
    <x v="5"/>
    <x v="2"/>
    <s v="LICORES"/>
    <x v="0"/>
    <x v="203"/>
    <s v="ONZA"/>
    <n v="0"/>
    <n v="6"/>
    <n v="6"/>
    <n v="0"/>
    <n v="0"/>
    <n v="0"/>
    <x v="1"/>
  </r>
  <r>
    <x v="1"/>
    <x v="5"/>
    <x v="2"/>
    <s v="GASEOSAS Y SODAS"/>
    <x v="0"/>
    <x v="79"/>
    <s v="UNIDADES"/>
    <n v="0"/>
    <n v="0"/>
    <n v="0"/>
    <n v="0"/>
    <n v="0"/>
    <n v="0"/>
    <x v="1"/>
  </r>
  <r>
    <x v="1"/>
    <x v="5"/>
    <x v="2"/>
    <s v="GASEOSAS Y SODAS"/>
    <x v="0"/>
    <x v="58"/>
    <s v="UNIDADES"/>
    <n v="3333.3333333300002"/>
    <n v="0"/>
    <n v="0"/>
    <n v="0"/>
    <n v="0"/>
    <n v="0"/>
    <x v="1"/>
  </r>
  <r>
    <x v="1"/>
    <x v="5"/>
    <x v="2"/>
    <s v="LICORES"/>
    <x v="0"/>
    <x v="33"/>
    <s v="ONZA"/>
    <n v="2545.0104166699998"/>
    <n v="37.020000000000003"/>
    <n v="41"/>
    <n v="3.98"/>
    <n v="104345.42708346999"/>
    <n v="10129.141458346599"/>
    <x v="0"/>
  </r>
  <r>
    <x v="1"/>
    <x v="5"/>
    <x v="2"/>
    <s v="GASEOSAS Y SODAS"/>
    <x v="0"/>
    <x v="67"/>
    <s v="UNIDADES"/>
    <n v="0"/>
    <n v="0"/>
    <n v="0"/>
    <n v="0"/>
    <n v="0"/>
    <n v="0"/>
    <x v="1"/>
  </r>
  <r>
    <x v="1"/>
    <x v="5"/>
    <x v="2"/>
    <s v="GASEOSAS Y SODAS"/>
    <x v="0"/>
    <x v="337"/>
    <s v="UNIDADES"/>
    <n v="2120.83"/>
    <n v="0"/>
    <n v="0"/>
    <n v="0"/>
    <n v="0"/>
    <n v="0"/>
    <x v="1"/>
  </r>
  <r>
    <x v="1"/>
    <x v="5"/>
    <x v="2"/>
    <s v="CERVEZAS"/>
    <x v="0"/>
    <x v="143"/>
    <s v="UNIDADES"/>
    <n v="2773.5"/>
    <n v="0"/>
    <n v="0"/>
    <n v="0"/>
    <n v="0"/>
    <n v="0"/>
    <x v="1"/>
  </r>
  <r>
    <x v="0"/>
    <x v="4"/>
    <x v="2"/>
    <s v="LICORES"/>
    <x v="0"/>
    <x v="135"/>
    <s v="ONZA"/>
    <n v="5896.9583333299997"/>
    <n v="34"/>
    <n v="35"/>
    <n v="1"/>
    <n v="206393.54166654998"/>
    <n v="5896.9583333299997"/>
    <x v="0"/>
  </r>
  <r>
    <x v="1"/>
    <x v="5"/>
    <x v="2"/>
    <s v="CERVEZAS"/>
    <x v="0"/>
    <x v="96"/>
    <s v="UNIDADES"/>
    <n v="3200"/>
    <n v="0"/>
    <n v="0"/>
    <n v="0"/>
    <n v="0"/>
    <n v="0"/>
    <x v="1"/>
  </r>
  <r>
    <x v="1"/>
    <x v="5"/>
    <x v="2"/>
    <s v="VINOS"/>
    <x v="0"/>
    <x v="232"/>
    <s v="COPA"/>
    <n v="0"/>
    <n v="0"/>
    <n v="0"/>
    <n v="0"/>
    <n v="0"/>
    <n v="0"/>
    <x v="1"/>
  </r>
  <r>
    <x v="1"/>
    <x v="5"/>
    <x v="2"/>
    <s v="VINOS"/>
    <x v="0"/>
    <x v="6"/>
    <s v="ONZA"/>
    <n v="2903.3333333300002"/>
    <n v="0"/>
    <n v="0"/>
    <n v="0"/>
    <n v="0"/>
    <n v="0"/>
    <x v="1"/>
  </r>
  <r>
    <x v="1"/>
    <x v="5"/>
    <x v="2"/>
    <s v="VINOS"/>
    <x v="0"/>
    <x v="107"/>
    <s v="UNIDADES"/>
    <n v="37608"/>
    <n v="0"/>
    <n v="0"/>
    <n v="0"/>
    <n v="0"/>
    <n v="0"/>
    <x v="1"/>
  </r>
  <r>
    <x v="1"/>
    <x v="5"/>
    <x v="2"/>
    <s v="VINOS"/>
    <x v="0"/>
    <x v="113"/>
    <s v="UNIDADES"/>
    <n v="70600.5"/>
    <n v="0"/>
    <n v="0"/>
    <n v="0"/>
    <n v="0"/>
    <n v="0"/>
    <x v="1"/>
  </r>
  <r>
    <x v="1"/>
    <x v="5"/>
    <x v="2"/>
    <s v="VINOS"/>
    <x v="0"/>
    <x v="116"/>
    <s v="UNIDADES"/>
    <n v="48500"/>
    <n v="0"/>
    <n v="0"/>
    <n v="0"/>
    <n v="0"/>
    <n v="0"/>
    <x v="1"/>
  </r>
  <r>
    <x v="1"/>
    <x v="5"/>
    <x v="2"/>
    <s v="VINOS"/>
    <x v="0"/>
    <x v="243"/>
    <s v="UNIDADES"/>
    <n v="74130.252101000005"/>
    <n v="0"/>
    <n v="0"/>
    <n v="0"/>
    <n v="0"/>
    <n v="0"/>
    <x v="1"/>
  </r>
  <r>
    <x v="1"/>
    <x v="5"/>
    <x v="2"/>
    <s v="PESCADOS Y MARISCOS"/>
    <x v="1"/>
    <x v="192"/>
    <s v="UNIDADES"/>
    <n v="0"/>
    <n v="15"/>
    <n v="15"/>
    <n v="0"/>
    <n v="0"/>
    <n v="0"/>
    <x v="1"/>
  </r>
  <r>
    <x v="1"/>
    <x v="5"/>
    <x v="2"/>
    <s v="PESCADOS Y MARISCOS"/>
    <x v="1"/>
    <x v="272"/>
    <s v="UNIDADES"/>
    <n v="8166.6666666700003"/>
    <n v="0"/>
    <n v="0"/>
    <n v="0"/>
    <n v="0"/>
    <n v="0"/>
    <x v="1"/>
  </r>
  <r>
    <x v="1"/>
    <x v="5"/>
    <x v="2"/>
    <s v="PESCADOS Y MARISCOS"/>
    <x v="1"/>
    <x v="246"/>
    <s v="GRAMOS"/>
    <n v="58.31"/>
    <n v="0"/>
    <n v="0"/>
    <n v="0"/>
    <n v="0"/>
    <n v="0"/>
    <x v="1"/>
  </r>
  <r>
    <x v="1"/>
    <x v="5"/>
    <x v="2"/>
    <s v="SUB-RECETAS BAR"/>
    <x v="0"/>
    <x v="269"/>
    <s v="ONZA"/>
    <n v="3350.3922764200001"/>
    <n v="0"/>
    <n v="0"/>
    <n v="0"/>
    <n v="0"/>
    <n v="0"/>
    <x v="1"/>
  </r>
  <r>
    <x v="1"/>
    <x v="5"/>
    <x v="2"/>
    <s v="LICORES"/>
    <x v="0"/>
    <x v="135"/>
    <s v="ONZA"/>
    <n v="5896.9583333299997"/>
    <n v="35"/>
    <n v="28"/>
    <n v="-7"/>
    <n v="165114.83333324001"/>
    <n v="-41278.708333310002"/>
    <x v="2"/>
  </r>
  <r>
    <x v="1"/>
    <x v="3"/>
    <x v="1"/>
    <s v="LICORES"/>
    <x v="0"/>
    <x v="339"/>
    <s v="ONZA"/>
    <n v="0"/>
    <n v="0"/>
    <n v="0"/>
    <n v="0"/>
    <n v="0"/>
    <n v="0"/>
    <x v="1"/>
  </r>
  <r>
    <x v="1"/>
    <x v="3"/>
    <x v="1"/>
    <s v="LICORES"/>
    <x v="0"/>
    <x v="340"/>
    <s v="ONZA"/>
    <n v="0"/>
    <n v="0"/>
    <n v="0"/>
    <n v="0"/>
    <n v="0"/>
    <n v="0"/>
    <x v="1"/>
  </r>
  <r>
    <x v="1"/>
    <x v="3"/>
    <x v="1"/>
    <s v="LICORES"/>
    <x v="0"/>
    <x v="171"/>
    <s v="ONZA"/>
    <n v="0"/>
    <n v="0"/>
    <n v="0"/>
    <n v="0"/>
    <n v="0"/>
    <n v="0"/>
    <x v="1"/>
  </r>
  <r>
    <x v="1"/>
    <x v="3"/>
    <x v="1"/>
    <s v="LICORES"/>
    <x v="0"/>
    <x v="153"/>
    <s v="ONZA"/>
    <n v="5900"/>
    <n v="0"/>
    <n v="0"/>
    <n v="0"/>
    <n v="0"/>
    <n v="0"/>
    <x v="1"/>
  </r>
  <r>
    <x v="1"/>
    <x v="3"/>
    <x v="1"/>
    <s v="LICORES"/>
    <x v="0"/>
    <x v="154"/>
    <s v="ONZA"/>
    <n v="0"/>
    <n v="0"/>
    <n v="0"/>
    <n v="0"/>
    <n v="0"/>
    <n v="0"/>
    <x v="1"/>
  </r>
  <r>
    <x v="1"/>
    <x v="3"/>
    <x v="1"/>
    <s v="LICORES"/>
    <x v="0"/>
    <x v="155"/>
    <s v="ONZA"/>
    <n v="0"/>
    <n v="0"/>
    <n v="0"/>
    <n v="0"/>
    <n v="0"/>
    <n v="0"/>
    <x v="1"/>
  </r>
  <r>
    <x v="1"/>
    <x v="3"/>
    <x v="1"/>
    <s v="LICORES"/>
    <x v="0"/>
    <x v="156"/>
    <s v="ONZA"/>
    <n v="3365.9583333300002"/>
    <n v="0"/>
    <n v="0"/>
    <n v="0"/>
    <n v="0"/>
    <n v="0"/>
    <x v="1"/>
  </r>
  <r>
    <x v="1"/>
    <x v="3"/>
    <x v="1"/>
    <s v="LICORES"/>
    <x v="0"/>
    <x v="161"/>
    <s v="ONZA"/>
    <n v="4724.9090909099996"/>
    <n v="0"/>
    <n v="0"/>
    <n v="0"/>
    <n v="0"/>
    <n v="0"/>
    <x v="1"/>
  </r>
  <r>
    <x v="1"/>
    <x v="3"/>
    <x v="1"/>
    <s v="LICORES"/>
    <x v="0"/>
    <x v="16"/>
    <s v="ONZA"/>
    <n v="5465.125"/>
    <n v="23"/>
    <n v="0"/>
    <n v="-23"/>
    <n v="0"/>
    <n v="-125697.875"/>
    <x v="2"/>
  </r>
  <r>
    <x v="1"/>
    <x v="3"/>
    <x v="1"/>
    <s v="LICORES"/>
    <x v="0"/>
    <x v="21"/>
    <s v="ONZA"/>
    <n v="0"/>
    <n v="0"/>
    <n v="0"/>
    <n v="0"/>
    <n v="0"/>
    <n v="0"/>
    <x v="1"/>
  </r>
  <r>
    <x v="1"/>
    <x v="3"/>
    <x v="1"/>
    <s v="LICORES"/>
    <x v="0"/>
    <x v="70"/>
    <s v="ONZA"/>
    <n v="4008.2727272699999"/>
    <n v="0"/>
    <n v="0"/>
    <n v="0"/>
    <n v="0"/>
    <n v="0"/>
    <x v="1"/>
  </r>
  <r>
    <x v="1"/>
    <x v="3"/>
    <x v="1"/>
    <s v="LICORES"/>
    <x v="0"/>
    <x v="26"/>
    <s v="ONZA"/>
    <n v="4587.75"/>
    <n v="24"/>
    <n v="0"/>
    <n v="-24"/>
    <n v="0"/>
    <n v="-110106"/>
    <x v="2"/>
  </r>
  <r>
    <x v="1"/>
    <x v="3"/>
    <x v="1"/>
    <s v="LICORES"/>
    <x v="0"/>
    <x v="165"/>
    <s v="ONZA"/>
    <n v="1425.6293103400001"/>
    <n v="0"/>
    <n v="0"/>
    <n v="0"/>
    <n v="0"/>
    <n v="0"/>
    <x v="1"/>
  </r>
  <r>
    <x v="1"/>
    <x v="3"/>
    <x v="1"/>
    <s v="LICORES"/>
    <x v="0"/>
    <x v="27"/>
    <s v="ONZA"/>
    <n v="2961.2083333300002"/>
    <n v="0"/>
    <n v="0"/>
    <n v="0"/>
    <n v="0"/>
    <n v="0"/>
    <x v="1"/>
  </r>
  <r>
    <x v="1"/>
    <x v="3"/>
    <x v="1"/>
    <s v="LICORES"/>
    <x v="0"/>
    <x v="72"/>
    <s v="ONZA"/>
    <n v="3884.5"/>
    <n v="0"/>
    <n v="0"/>
    <n v="0"/>
    <n v="0"/>
    <n v="0"/>
    <x v="1"/>
  </r>
  <r>
    <x v="1"/>
    <x v="3"/>
    <x v="1"/>
    <s v="LICORES"/>
    <x v="0"/>
    <x v="0"/>
    <s v="ONZA"/>
    <n v="1919.45833333"/>
    <n v="0"/>
    <n v="0"/>
    <n v="0"/>
    <n v="0"/>
    <n v="0"/>
    <x v="1"/>
  </r>
  <r>
    <x v="1"/>
    <x v="3"/>
    <x v="1"/>
    <s v="LICORES"/>
    <x v="0"/>
    <x v="4"/>
    <s v="ONZA"/>
    <n v="9738.2016806699994"/>
    <n v="0"/>
    <n v="0"/>
    <n v="0"/>
    <n v="0"/>
    <n v="0"/>
    <x v="1"/>
  </r>
  <r>
    <x v="1"/>
    <x v="3"/>
    <x v="1"/>
    <s v="LICORES"/>
    <x v="0"/>
    <x v="166"/>
    <s v="ONZA"/>
    <n v="0"/>
    <n v="0"/>
    <n v="0"/>
    <n v="0"/>
    <n v="0"/>
    <n v="0"/>
    <x v="1"/>
  </r>
  <r>
    <x v="1"/>
    <x v="3"/>
    <x v="1"/>
    <s v="LICORES"/>
    <x v="0"/>
    <x v="292"/>
    <s v="ONZA"/>
    <n v="10667.40909091"/>
    <n v="0"/>
    <n v="0"/>
    <n v="0"/>
    <n v="0"/>
    <n v="0"/>
    <x v="1"/>
  </r>
  <r>
    <x v="1"/>
    <x v="3"/>
    <x v="1"/>
    <s v="LICORES"/>
    <x v="0"/>
    <x v="175"/>
    <s v="ONZA"/>
    <n v="1825"/>
    <n v="0"/>
    <n v="0"/>
    <n v="0"/>
    <n v="0"/>
    <n v="0"/>
    <x v="1"/>
  </r>
  <r>
    <x v="1"/>
    <x v="3"/>
    <x v="1"/>
    <s v="LICORES"/>
    <x v="0"/>
    <x v="197"/>
    <s v="ONZA"/>
    <n v="3610.375"/>
    <n v="12"/>
    <n v="0"/>
    <n v="-12"/>
    <n v="0"/>
    <n v="-43324.5"/>
    <x v="2"/>
  </r>
  <r>
    <x v="1"/>
    <x v="3"/>
    <x v="1"/>
    <s v="LICORES"/>
    <x v="0"/>
    <x v="180"/>
    <s v="ONZA"/>
    <n v="13494.60416667"/>
    <n v="49"/>
    <n v="0"/>
    <n v="-49"/>
    <n v="0"/>
    <n v="-661235.60416682996"/>
    <x v="2"/>
  </r>
  <r>
    <x v="1"/>
    <x v="3"/>
    <x v="1"/>
    <s v="LICORES"/>
    <x v="0"/>
    <x v="182"/>
    <s v="ONZA"/>
    <n v="4791.0833333299997"/>
    <n v="0"/>
    <n v="0"/>
    <n v="0"/>
    <n v="0"/>
    <n v="0"/>
    <x v="1"/>
  </r>
  <r>
    <x v="1"/>
    <x v="3"/>
    <x v="1"/>
    <s v="GASEOSAS Y SODAS"/>
    <x v="0"/>
    <x v="79"/>
    <s v="UNIDADES"/>
    <n v="4900"/>
    <n v="0"/>
    <n v="0"/>
    <n v="0"/>
    <n v="0"/>
    <n v="0"/>
    <x v="1"/>
  </r>
  <r>
    <x v="1"/>
    <x v="3"/>
    <x v="1"/>
    <s v="GASEOSAS Y SODAS"/>
    <x v="0"/>
    <x v="58"/>
    <s v="UNIDADES"/>
    <n v="1944.4444444000001"/>
    <n v="0"/>
    <n v="0"/>
    <n v="0"/>
    <n v="0"/>
    <n v="0"/>
    <x v="1"/>
  </r>
  <r>
    <x v="1"/>
    <x v="3"/>
    <x v="1"/>
    <s v="GASEOSAS Y SODAS"/>
    <x v="0"/>
    <x v="50"/>
    <s v="UNIDADES"/>
    <n v="4126.8333333299997"/>
    <n v="0"/>
    <n v="0"/>
    <n v="0"/>
    <n v="0"/>
    <n v="0"/>
    <x v="1"/>
  </r>
  <r>
    <x v="1"/>
    <x v="3"/>
    <x v="1"/>
    <s v="GASEOSAS Y SODAS"/>
    <x v="0"/>
    <x v="62"/>
    <s v="UNIDADES"/>
    <n v="1395.83333333"/>
    <n v="0"/>
    <n v="0"/>
    <n v="0"/>
    <n v="0"/>
    <n v="0"/>
    <x v="1"/>
  </r>
  <r>
    <x v="1"/>
    <x v="3"/>
    <x v="1"/>
    <s v="GASEOSAS Y SODAS"/>
    <x v="0"/>
    <x v="189"/>
    <s v="UNIDADES"/>
    <n v="1860"/>
    <n v="0"/>
    <n v="0"/>
    <n v="0"/>
    <n v="0"/>
    <n v="0"/>
    <x v="1"/>
  </r>
  <r>
    <x v="1"/>
    <x v="3"/>
    <x v="1"/>
    <s v="GASEOSAS Y SODAS"/>
    <x v="0"/>
    <x v="65"/>
    <s v="UNIDADES"/>
    <n v="4986.1393557499996"/>
    <n v="0"/>
    <n v="0"/>
    <n v="0"/>
    <n v="0"/>
    <n v="0"/>
    <x v="1"/>
  </r>
  <r>
    <x v="1"/>
    <x v="3"/>
    <x v="1"/>
    <s v="GASEOSAS Y SODAS"/>
    <x v="0"/>
    <x v="51"/>
    <s v="UNIDADES"/>
    <n v="40936"/>
    <n v="0"/>
    <n v="0"/>
    <n v="0"/>
    <n v="0"/>
    <n v="0"/>
    <x v="1"/>
  </r>
  <r>
    <x v="1"/>
    <x v="3"/>
    <x v="1"/>
    <s v="CERVEZAS"/>
    <x v="0"/>
    <x v="188"/>
    <s v="GRAMOS"/>
    <n v="0"/>
    <n v="0"/>
    <n v="0"/>
    <n v="0"/>
    <n v="0"/>
    <n v="0"/>
    <x v="1"/>
  </r>
  <r>
    <x v="1"/>
    <x v="3"/>
    <x v="1"/>
    <s v="CERVEZAS"/>
    <x v="0"/>
    <x v="196"/>
    <s v="UNIDADES"/>
    <n v="0"/>
    <n v="0"/>
    <n v="0"/>
    <n v="0"/>
    <n v="0"/>
    <n v="0"/>
    <x v="1"/>
  </r>
  <r>
    <x v="1"/>
    <x v="3"/>
    <x v="1"/>
    <s v="CERVEZAS"/>
    <x v="0"/>
    <x v="228"/>
    <s v="UNIDADES"/>
    <n v="2298.1333333299999"/>
    <n v="20"/>
    <n v="0"/>
    <n v="-20"/>
    <n v="0"/>
    <n v="-45962.666666599995"/>
    <x v="2"/>
  </r>
  <r>
    <x v="1"/>
    <x v="3"/>
    <x v="1"/>
    <s v="CERVEZAS"/>
    <x v="0"/>
    <x v="96"/>
    <s v="UNIDADES"/>
    <n v="2699.6666666699998"/>
    <n v="0"/>
    <n v="0"/>
    <n v="0"/>
    <n v="0"/>
    <n v="0"/>
    <x v="1"/>
  </r>
  <r>
    <x v="1"/>
    <x v="3"/>
    <x v="1"/>
    <s v="SUB RECETAS"/>
    <x v="1"/>
    <x v="319"/>
    <s v="UNIDADES"/>
    <n v="183.6549258"/>
    <n v="214"/>
    <n v="216"/>
    <n v="2"/>
    <n v="39669.463972800004"/>
    <n v="367.3098516"/>
    <x v="0"/>
  </r>
  <r>
    <x v="1"/>
    <x v="3"/>
    <x v="1"/>
    <s v="PROTEINAS"/>
    <x v="1"/>
    <x v="200"/>
    <s v="UNIDADES"/>
    <n v="2520"/>
    <n v="0"/>
    <n v="0"/>
    <n v="0"/>
    <n v="0"/>
    <n v="0"/>
    <x v="1"/>
  </r>
  <r>
    <x v="1"/>
    <x v="3"/>
    <x v="1"/>
    <s v="SUB RECETAS"/>
    <x v="1"/>
    <x v="341"/>
    <s v="UNIDADES"/>
    <n v="3666.6666666699998"/>
    <n v="7"/>
    <n v="24"/>
    <n v="17"/>
    <n v="88000.000000079992"/>
    <n v="62333.333333389994"/>
    <x v="0"/>
  </r>
  <r>
    <x v="1"/>
    <x v="3"/>
    <x v="1"/>
    <s v="PROTEINAS"/>
    <x v="1"/>
    <x v="195"/>
    <s v="GRAMOS"/>
    <n v="27"/>
    <n v="0"/>
    <n v="0"/>
    <n v="0"/>
    <n v="0"/>
    <n v="0"/>
    <x v="1"/>
  </r>
  <r>
    <x v="1"/>
    <x v="3"/>
    <x v="1"/>
    <s v="PROTEINAS"/>
    <x v="1"/>
    <x v="342"/>
    <s v="UNIDADES"/>
    <n v="10"/>
    <n v="0"/>
    <n v="0"/>
    <n v="0"/>
    <n v="0"/>
    <n v="0"/>
    <x v="1"/>
  </r>
  <r>
    <x v="0"/>
    <x v="1"/>
    <x v="1"/>
    <s v="SUB RECETAS"/>
    <x v="1"/>
    <x v="343"/>
    <s v="GRAMOS"/>
    <n v="12.485299660000001"/>
    <n v="19340"/>
    <n v="0"/>
    <n v="-19340"/>
    <n v="0"/>
    <n v="-241465.69542440001"/>
    <x v="2"/>
  </r>
  <r>
    <x v="1"/>
    <x v="3"/>
    <x v="1"/>
    <s v="PROTEINAS"/>
    <x v="1"/>
    <x v="80"/>
    <s v="UNIDADES"/>
    <n v="2000"/>
    <n v="0"/>
    <n v="0"/>
    <n v="0"/>
    <n v="0"/>
    <n v="0"/>
    <x v="1"/>
  </r>
  <r>
    <x v="1"/>
    <x v="3"/>
    <x v="1"/>
    <s v="SUB RECETAS"/>
    <x v="1"/>
    <x v="343"/>
    <s v="GRAMOS"/>
    <n v="12.48537505"/>
    <n v="3000"/>
    <n v="11020"/>
    <n v="8020"/>
    <n v="137588.83305099999"/>
    <n v="100132.707901"/>
    <x v="0"/>
  </r>
  <r>
    <x v="1"/>
    <x v="3"/>
    <x v="1"/>
    <s v="PROTEINAS"/>
    <x v="1"/>
    <x v="279"/>
    <s v="UNIDADES"/>
    <n v="2552.9411764699998"/>
    <n v="0"/>
    <n v="0"/>
    <n v="0"/>
    <n v="0"/>
    <n v="0"/>
    <x v="1"/>
  </r>
  <r>
    <x v="1"/>
    <x v="3"/>
    <x v="1"/>
    <s v="PROTEINAS"/>
    <x v="1"/>
    <x v="206"/>
    <s v="UNIDADES"/>
    <n v="11025"/>
    <n v="0"/>
    <n v="0"/>
    <n v="0"/>
    <n v="0"/>
    <n v="0"/>
    <x v="1"/>
  </r>
  <r>
    <x v="1"/>
    <x v="3"/>
    <x v="1"/>
    <s v="PROTEINAS"/>
    <x v="1"/>
    <x v="344"/>
    <s v="GRAMOS"/>
    <n v="9.5"/>
    <n v="0"/>
    <n v="0"/>
    <n v="0"/>
    <n v="0"/>
    <n v="0"/>
    <x v="1"/>
  </r>
  <r>
    <x v="0"/>
    <x v="1"/>
    <x v="1"/>
    <s v="PROTEINAS"/>
    <x v="1"/>
    <x v="336"/>
    <s v="GRAMOS"/>
    <n v="32.5"/>
    <n v="17672.222300000001"/>
    <n v="9155"/>
    <n v="-8517.2223209999993"/>
    <n v="297537.5"/>
    <n v="-276809.72543249995"/>
    <x v="2"/>
  </r>
  <r>
    <x v="0"/>
    <x v="1"/>
    <x v="1"/>
    <s v="VINOS"/>
    <x v="0"/>
    <x v="142"/>
    <s v="COPA"/>
    <n v="4385.1400000000003"/>
    <n v="20"/>
    <n v="19"/>
    <n v="-1"/>
    <n v="83317.66"/>
    <n v="-4385.1400000000003"/>
    <x v="2"/>
  </r>
  <r>
    <x v="0"/>
    <x v="1"/>
    <x v="1"/>
    <s v="LICORES"/>
    <x v="0"/>
    <x v="12"/>
    <s v="ONZA"/>
    <n v="1997.7272727300001"/>
    <n v="7.1235999999999997"/>
    <n v="14"/>
    <n v="6.8764399999999997"/>
    <n v="27968.18181822"/>
    <n v="13737.251727291481"/>
    <x v="0"/>
  </r>
  <r>
    <x v="1"/>
    <x v="3"/>
    <x v="1"/>
    <s v="VINOS"/>
    <x v="0"/>
    <x v="129"/>
    <s v="COPA"/>
    <n v="10880.4"/>
    <n v="0"/>
    <n v="0"/>
    <n v="0"/>
    <n v="0"/>
    <n v="0"/>
    <x v="1"/>
  </r>
  <r>
    <x v="1"/>
    <x v="3"/>
    <x v="1"/>
    <s v="VINOS"/>
    <x v="0"/>
    <x v="86"/>
    <s v="COPA"/>
    <n v="4385.6000000000004"/>
    <n v="0"/>
    <n v="0"/>
    <n v="0"/>
    <n v="0"/>
    <n v="0"/>
    <x v="1"/>
  </r>
  <r>
    <x v="1"/>
    <x v="3"/>
    <x v="1"/>
    <s v="PESCADOS Y MARISCOS"/>
    <x v="1"/>
    <x v="186"/>
    <s v="UNIDADES"/>
    <n v="1600"/>
    <n v="0"/>
    <n v="0"/>
    <n v="0"/>
    <n v="0"/>
    <n v="0"/>
    <x v="1"/>
  </r>
  <r>
    <x v="1"/>
    <x v="3"/>
    <x v="1"/>
    <s v="PROTEINAS"/>
    <x v="1"/>
    <x v="336"/>
    <s v="GRAMOS"/>
    <n v="32.5"/>
    <n v="13242.7778"/>
    <n v="10050"/>
    <n v="-3192.7778389999999"/>
    <n v="326625"/>
    <n v="-103765.27976749999"/>
    <x v="2"/>
  </r>
  <r>
    <x v="1"/>
    <x v="3"/>
    <x v="1"/>
    <s v="LICORES"/>
    <x v="0"/>
    <x v="345"/>
    <s v="ONZA"/>
    <n v="5316.6818181799999"/>
    <n v="50"/>
    <n v="50.7"/>
    <n v="0.7"/>
    <n v="269555.76818172599"/>
    <n v="3721.6772727259995"/>
    <x v="0"/>
  </r>
  <r>
    <x v="2"/>
    <x v="12"/>
    <x v="3"/>
    <s v="LICORES"/>
    <x v="0"/>
    <x v="224"/>
    <s v="UNIDADES"/>
    <n v="42000"/>
    <n v="2"/>
    <n v="2"/>
    <n v="0"/>
    <n v="84000"/>
    <n v="0"/>
    <x v="1"/>
  </r>
  <r>
    <x v="2"/>
    <x v="13"/>
    <x v="2"/>
    <s v="LICORES"/>
    <x v="0"/>
    <x v="224"/>
    <s v="UNIDADES"/>
    <n v="42000"/>
    <n v="1"/>
    <n v="1"/>
    <n v="0"/>
    <n v="42000"/>
    <n v="0"/>
    <x v="1"/>
  </r>
  <r>
    <x v="2"/>
    <x v="10"/>
    <x v="4"/>
    <s v="LICORES"/>
    <x v="0"/>
    <x v="224"/>
    <s v="UNIDADES"/>
    <n v="42000"/>
    <n v="0"/>
    <n v="0"/>
    <n v="0"/>
    <n v="0"/>
    <n v="0"/>
    <x v="1"/>
  </r>
  <r>
    <x v="2"/>
    <x v="12"/>
    <x v="3"/>
    <s v="LICORES"/>
    <x v="0"/>
    <x v="159"/>
    <s v="ONZA"/>
    <n v="3500"/>
    <n v="24"/>
    <n v="24"/>
    <n v="0"/>
    <n v="84000"/>
    <n v="0"/>
    <x v="1"/>
  </r>
  <r>
    <x v="2"/>
    <x v="14"/>
    <x v="0"/>
    <s v="LICORES"/>
    <x v="0"/>
    <x v="159"/>
    <s v="ONZA"/>
    <n v="3804.2272727300001"/>
    <n v="2"/>
    <n v="3"/>
    <n v="1"/>
    <n v="11412.68181819"/>
    <n v="3804.2272727300001"/>
    <x v="0"/>
  </r>
  <r>
    <x v="2"/>
    <x v="13"/>
    <x v="2"/>
    <s v="LICORES"/>
    <x v="0"/>
    <x v="159"/>
    <s v="ONZA"/>
    <n v="3500"/>
    <n v="13"/>
    <n v="13"/>
    <n v="0"/>
    <n v="45500"/>
    <n v="0"/>
    <x v="1"/>
  </r>
  <r>
    <x v="2"/>
    <x v="15"/>
    <x v="1"/>
    <s v="LICORES"/>
    <x v="0"/>
    <x v="159"/>
    <s v="ONZA"/>
    <n v="3804.2272727300001"/>
    <n v="48"/>
    <n v="53"/>
    <n v="5"/>
    <n v="201624.04545469"/>
    <n v="19021.136363649999"/>
    <x v="0"/>
  </r>
  <r>
    <x v="2"/>
    <x v="10"/>
    <x v="4"/>
    <s v="LICORES"/>
    <x v="0"/>
    <x v="159"/>
    <s v="ONZA"/>
    <n v="3500"/>
    <n v="12.35"/>
    <n v="12.35"/>
    <n v="0"/>
    <n v="43225"/>
    <n v="0"/>
    <x v="1"/>
  </r>
  <r>
    <x v="2"/>
    <x v="15"/>
    <x v="1"/>
    <s v="LICORES"/>
    <x v="0"/>
    <x v="339"/>
    <s v="ONZA"/>
    <n v="3500"/>
    <n v="0"/>
    <n v="0"/>
    <n v="0"/>
    <n v="0"/>
    <n v="0"/>
    <x v="1"/>
  </r>
  <r>
    <x v="2"/>
    <x v="15"/>
    <x v="1"/>
    <s v="LICORES"/>
    <x v="0"/>
    <x v="340"/>
    <s v="ONZA"/>
    <n v="3500"/>
    <n v="0"/>
    <n v="0"/>
    <n v="0"/>
    <n v="0"/>
    <n v="0"/>
    <x v="1"/>
  </r>
  <r>
    <x v="2"/>
    <x v="12"/>
    <x v="3"/>
    <s v="ACEITES Y VINAGRES"/>
    <x v="1"/>
    <x v="346"/>
    <s v="GRAMOS"/>
    <n v="86.679012349999994"/>
    <n v="-4760"/>
    <n v="1830"/>
    <n v="6590"/>
    <n v="158622.59260049998"/>
    <n v="571214.69138649991"/>
    <x v="0"/>
  </r>
  <r>
    <x v="2"/>
    <x v="14"/>
    <x v="0"/>
    <s v="ACEITES Y VINAGRES"/>
    <x v="1"/>
    <x v="346"/>
    <s v="GRAMOS"/>
    <n v="86.679012349999994"/>
    <n v="3830"/>
    <n v="1500"/>
    <n v="-2330"/>
    <n v="130018.51852499999"/>
    <n v="-201962.0987755"/>
    <x v="2"/>
  </r>
  <r>
    <x v="2"/>
    <x v="13"/>
    <x v="2"/>
    <s v="ACEITES Y VINAGRES"/>
    <x v="1"/>
    <x v="346"/>
    <s v="GRAMOS"/>
    <n v="86.679012349999994"/>
    <n v="-1984"/>
    <n v="3300"/>
    <n v="5283.9999980000002"/>
    <n v="286040.74075499998"/>
    <n v="458011.90108404198"/>
    <x v="0"/>
  </r>
  <r>
    <x v="2"/>
    <x v="10"/>
    <x v="4"/>
    <s v="ACEITES Y VINAGRES"/>
    <x v="1"/>
    <x v="346"/>
    <s v="GRAMOS"/>
    <n v="86.679012349999994"/>
    <n v="-1682"/>
    <n v="4948"/>
    <n v="6630"/>
    <n v="428887.75310779997"/>
    <n v="574681.85188049998"/>
    <x v="0"/>
  </r>
  <r>
    <x v="2"/>
    <x v="12"/>
    <x v="3"/>
    <s v="ACEITES Y VINAGRES"/>
    <x v="1"/>
    <x v="347"/>
    <s v="GRAMOS"/>
    <n v="43.443333330000002"/>
    <n v="2990"/>
    <n v="1000"/>
    <n v="-1990"/>
    <n v="43443.333330000001"/>
    <n v="-86452.233326700007"/>
    <x v="2"/>
  </r>
  <r>
    <x v="2"/>
    <x v="13"/>
    <x v="2"/>
    <s v="ACEITES Y VINAGRES"/>
    <x v="1"/>
    <x v="347"/>
    <s v="GRAMOS"/>
    <n v="43.443333330000002"/>
    <n v="850"/>
    <n v="300"/>
    <n v="-550"/>
    <n v="13032.999999"/>
    <n v="-23893.833331500002"/>
    <x v="2"/>
  </r>
  <r>
    <x v="2"/>
    <x v="10"/>
    <x v="4"/>
    <s v="ACEITES Y VINAGRES"/>
    <x v="1"/>
    <x v="347"/>
    <s v="GRAMOS"/>
    <n v="43.443333330000002"/>
    <n v="1620"/>
    <n v="1900"/>
    <n v="280"/>
    <n v="82542.333327"/>
    <n v="12164.133332400001"/>
    <x v="0"/>
  </r>
  <r>
    <x v="2"/>
    <x v="12"/>
    <x v="3"/>
    <s v="ACEITES Y VINAGRES"/>
    <x v="1"/>
    <x v="348"/>
    <s v="GRAMOS"/>
    <n v="18.85916667"/>
    <n v="4625.4781000000003"/>
    <n v="14550"/>
    <n v="924.52187600000002"/>
    <n v="274400.87504850002"/>
    <n v="17435.712149545074"/>
    <x v="0"/>
  </r>
  <r>
    <x v="2"/>
    <x v="14"/>
    <x v="0"/>
    <s v="ACEITES Y VINAGRES"/>
    <x v="1"/>
    <x v="348"/>
    <s v="GRAMOS"/>
    <n v="18.85916667"/>
    <n v="21042.857199999999"/>
    <n v="2000"/>
    <n v="-19042.857156999999"/>
    <n v="37718.333339999997"/>
    <n v="-359132.41699686536"/>
    <x v="2"/>
  </r>
  <r>
    <x v="2"/>
    <x v="13"/>
    <x v="2"/>
    <s v="ACEITES Y VINAGRES"/>
    <x v="1"/>
    <x v="348"/>
    <s v="GRAMOS"/>
    <n v="18.85916667"/>
    <n v="38178.728600000002"/>
    <n v="8000"/>
    <n v="-36178.728565999998"/>
    <n v="150873.33335999999"/>
    <n v="-682300.67193488404"/>
    <x v="2"/>
  </r>
  <r>
    <x v="2"/>
    <x v="15"/>
    <x v="1"/>
    <s v="ACEITES Y VINAGRES"/>
    <x v="1"/>
    <x v="348"/>
    <s v="GRAMOS"/>
    <n v="18.85916667"/>
    <n v="4055.7444"/>
    <n v="2000"/>
    <n v="-2055.7443600000001"/>
    <n v="37718.333339999997"/>
    <n v="-38769.625516152482"/>
    <x v="2"/>
  </r>
  <r>
    <x v="2"/>
    <x v="16"/>
    <x v="5"/>
    <s v="ACEITES Y VINAGRES"/>
    <x v="1"/>
    <x v="348"/>
    <s v="GRAMOS"/>
    <n v="18.85916667"/>
    <n v="40643"/>
    <n v="37000"/>
    <n v="-3643"/>
    <n v="697789.16679000005"/>
    <n v="-68703.944178810008"/>
    <x v="2"/>
  </r>
  <r>
    <x v="2"/>
    <x v="10"/>
    <x v="4"/>
    <s v="ACEITES Y VINAGRES"/>
    <x v="1"/>
    <x v="348"/>
    <s v="GRAMOS"/>
    <n v="18.85916667"/>
    <n v="32611.999100000001"/>
    <n v="9000"/>
    <n v="-23611.999118"/>
    <n v="169732.50003"/>
    <n v="-445302.62677825498"/>
    <x v="2"/>
  </r>
  <r>
    <x v="2"/>
    <x v="14"/>
    <x v="0"/>
    <s v="ACEITES Y VINAGRES"/>
    <x v="1"/>
    <x v="349"/>
    <s v="GRAMOS"/>
    <n v="135.6"/>
    <n v="354"/>
    <n v="320"/>
    <n v="-34"/>
    <n v="43392"/>
    <n v="-4610.3999999999996"/>
    <x v="2"/>
  </r>
  <r>
    <x v="2"/>
    <x v="15"/>
    <x v="1"/>
    <s v="ACEITES Y VINAGRES"/>
    <x v="1"/>
    <x v="349"/>
    <s v="GRAMOS"/>
    <n v="135.6"/>
    <n v="255"/>
    <n v="0"/>
    <n v="-255"/>
    <n v="0"/>
    <n v="-34578"/>
    <x v="2"/>
  </r>
  <r>
    <x v="2"/>
    <x v="12"/>
    <x v="3"/>
    <s v="ACEITES Y VINAGRES"/>
    <x v="1"/>
    <x v="350"/>
    <s v="GRAMOS"/>
    <n v="8.2499666699999992"/>
    <n v="225550"/>
    <n v="22000"/>
    <n v="-203550"/>
    <n v="181499.26673999999"/>
    <n v="-1679280.7156784998"/>
    <x v="2"/>
  </r>
  <r>
    <x v="2"/>
    <x v="14"/>
    <x v="0"/>
    <s v="ACEITES Y VINAGRES"/>
    <x v="1"/>
    <x v="350"/>
    <s v="GRAMOS"/>
    <n v="8.2499666699999992"/>
    <n v="331311"/>
    <n v="80000"/>
    <n v="-251311"/>
    <n v="659997.3335999999"/>
    <n v="-2073307.3738043697"/>
    <x v="2"/>
  </r>
  <r>
    <x v="2"/>
    <x v="13"/>
    <x v="2"/>
    <s v="ACEITES Y VINAGRES"/>
    <x v="1"/>
    <x v="350"/>
    <s v="GRAMOS"/>
    <n v="8.2499666699999992"/>
    <n v="235088"/>
    <n v="42000"/>
    <n v="-253088"/>
    <n v="346498.60013999994"/>
    <n v="-2087967.5645769597"/>
    <x v="2"/>
  </r>
  <r>
    <x v="2"/>
    <x v="15"/>
    <x v="1"/>
    <s v="ACEITES Y VINAGRES"/>
    <x v="1"/>
    <x v="350"/>
    <s v="GRAMOS"/>
    <n v="8.2499666699999992"/>
    <n v="359721.71029999998"/>
    <n v="95000"/>
    <n v="-264721.71026999998"/>
    <n v="783746.83364999993"/>
    <n v="-2183945.2865528963"/>
    <x v="2"/>
  </r>
  <r>
    <x v="2"/>
    <x v="10"/>
    <x v="4"/>
    <s v="ACEITES Y VINAGRES"/>
    <x v="1"/>
    <x v="350"/>
    <s v="GRAMOS"/>
    <n v="8.2499666699999992"/>
    <n v="333519"/>
    <n v="80000"/>
    <n v="-253519"/>
    <n v="659997.3335999999"/>
    <n v="-2091523.3002117297"/>
    <x v="2"/>
  </r>
  <r>
    <x v="2"/>
    <x v="12"/>
    <x v="3"/>
    <s v="ENLATADOS Y CONSERVAS"/>
    <x v="1"/>
    <x v="351"/>
    <s v="GRAMOS"/>
    <n v="50.792000000000002"/>
    <n v="-15"/>
    <n v="0"/>
    <n v="15"/>
    <n v="0"/>
    <n v="761.88"/>
    <x v="0"/>
  </r>
  <r>
    <x v="2"/>
    <x v="13"/>
    <x v="2"/>
    <s v="ENLATADOS Y CONSERVAS"/>
    <x v="1"/>
    <x v="351"/>
    <s v="GRAMOS"/>
    <n v="50.792000000000002"/>
    <n v="-120"/>
    <n v="370"/>
    <n v="490"/>
    <n v="18793.04"/>
    <n v="24888.080000000002"/>
    <x v="0"/>
  </r>
  <r>
    <x v="2"/>
    <x v="15"/>
    <x v="1"/>
    <s v="ENLATADOS Y CONSERVAS"/>
    <x v="1"/>
    <x v="351"/>
    <s v="GRAMOS"/>
    <n v="56.031999999999996"/>
    <n v="500"/>
    <n v="1000"/>
    <n v="500"/>
    <n v="56032"/>
    <n v="28016"/>
    <x v="0"/>
  </r>
  <r>
    <x v="2"/>
    <x v="10"/>
    <x v="4"/>
    <s v="ENLATADOS Y CONSERVAS"/>
    <x v="1"/>
    <x v="351"/>
    <s v="GRAMOS"/>
    <n v="50.792000000000002"/>
    <n v="-165"/>
    <n v="0"/>
    <n v="165"/>
    <n v="0"/>
    <n v="8380.68"/>
    <x v="0"/>
  </r>
  <r>
    <x v="2"/>
    <x v="12"/>
    <x v="3"/>
    <s v="ENLATADOS Y CONSERVAS"/>
    <x v="1"/>
    <x v="352"/>
    <s v="GRAMOS"/>
    <n v="68.056896550000005"/>
    <n v="1063"/>
    <n v="1180"/>
    <n v="-463"/>
    <n v="80307.137929000004"/>
    <n v="-31510.343102650004"/>
    <x v="2"/>
  </r>
  <r>
    <x v="2"/>
    <x v="13"/>
    <x v="2"/>
    <s v="ENLATADOS Y CONSERVAS"/>
    <x v="1"/>
    <x v="352"/>
    <s v="GRAMOS"/>
    <n v="68.056896550000005"/>
    <n v="3478"/>
    <n v="2500"/>
    <n v="-978"/>
    <n v="170142.24137500001"/>
    <n v="-66559.644825900003"/>
    <x v="2"/>
  </r>
  <r>
    <x v="2"/>
    <x v="10"/>
    <x v="4"/>
    <s v="ENLATADOS Y CONSERVAS"/>
    <x v="1"/>
    <x v="352"/>
    <s v="GRAMOS"/>
    <n v="68.056896550000005"/>
    <n v="2598"/>
    <n v="2300"/>
    <n v="-298"/>
    <n v="156530.86206500002"/>
    <n v="-20280.955171900001"/>
    <x v="2"/>
  </r>
  <r>
    <x v="2"/>
    <x v="12"/>
    <x v="3"/>
    <s v="SALSAS ESPECIAS Y CONDIMENTOS"/>
    <x v="1"/>
    <x v="353"/>
    <s v="GRAMOS"/>
    <n v="18.52965"/>
    <n v="0"/>
    <n v="0"/>
    <n v="0"/>
    <n v="0"/>
    <n v="0"/>
    <x v="1"/>
  </r>
  <r>
    <x v="2"/>
    <x v="14"/>
    <x v="0"/>
    <s v="SALSAS ESPECIAS Y CONDIMENTOS"/>
    <x v="1"/>
    <x v="353"/>
    <s v="GRAMOS"/>
    <n v="18.52965"/>
    <n v="4207"/>
    <n v="2000"/>
    <n v="-2207"/>
    <n v="37059.300000000003"/>
    <n v="-40894.937550000002"/>
    <x v="2"/>
  </r>
  <r>
    <x v="2"/>
    <x v="13"/>
    <x v="2"/>
    <s v="SALSAS ESPECIAS Y CONDIMENTOS"/>
    <x v="1"/>
    <x v="353"/>
    <s v="GRAMOS"/>
    <n v="18.52965"/>
    <n v="0"/>
    <n v="0"/>
    <n v="0"/>
    <n v="0"/>
    <n v="0"/>
    <x v="1"/>
  </r>
  <r>
    <x v="2"/>
    <x v="10"/>
    <x v="4"/>
    <s v="SALSAS ESPECIAS Y CONDIMENTOS"/>
    <x v="1"/>
    <x v="353"/>
    <s v="GRAMOS"/>
    <n v="18.52965"/>
    <n v="0"/>
    <n v="0"/>
    <n v="0"/>
    <n v="0"/>
    <n v="0"/>
    <x v="1"/>
  </r>
  <r>
    <x v="2"/>
    <x v="12"/>
    <x v="3"/>
    <s v="INSUMOS BAR"/>
    <x v="0"/>
    <x v="354"/>
    <s v="GRAMOS"/>
    <n v="129.33199999999999"/>
    <n v="0"/>
    <n v="0"/>
    <n v="0"/>
    <n v="0"/>
    <n v="0"/>
    <x v="1"/>
  </r>
  <r>
    <x v="2"/>
    <x v="13"/>
    <x v="2"/>
    <s v="INSUMOS BAR"/>
    <x v="0"/>
    <x v="354"/>
    <s v="GRAMOS"/>
    <n v="129.33199999999999"/>
    <n v="-4"/>
    <n v="0"/>
    <n v="4"/>
    <n v="0"/>
    <n v="517.32799999999997"/>
    <x v="0"/>
  </r>
  <r>
    <x v="2"/>
    <x v="10"/>
    <x v="4"/>
    <s v="INSUMOS BAR"/>
    <x v="0"/>
    <x v="354"/>
    <s v="GRAMOS"/>
    <n v="129.33199999999999"/>
    <n v="0"/>
    <n v="0"/>
    <n v="0"/>
    <n v="0"/>
    <n v="0"/>
    <x v="1"/>
  </r>
  <r>
    <x v="2"/>
    <x v="12"/>
    <x v="3"/>
    <s v="AGUA Y TE"/>
    <x v="0"/>
    <x v="144"/>
    <s v="UNIDADES"/>
    <n v="7330"/>
    <n v="24"/>
    <n v="24"/>
    <n v="0"/>
    <n v="175920"/>
    <n v="0"/>
    <x v="1"/>
  </r>
  <r>
    <x v="2"/>
    <x v="14"/>
    <x v="0"/>
    <s v="AGUA Y TE"/>
    <x v="0"/>
    <x v="144"/>
    <s v="UNIDADES"/>
    <n v="7330"/>
    <n v="12"/>
    <n v="12"/>
    <n v="0"/>
    <n v="87960"/>
    <n v="0"/>
    <x v="1"/>
  </r>
  <r>
    <x v="2"/>
    <x v="13"/>
    <x v="2"/>
    <s v="AGUA Y TE"/>
    <x v="0"/>
    <x v="144"/>
    <s v="UNIDADES"/>
    <n v="7330"/>
    <n v="29"/>
    <n v="29"/>
    <n v="0"/>
    <n v="212570"/>
    <n v="0"/>
    <x v="1"/>
  </r>
  <r>
    <x v="2"/>
    <x v="15"/>
    <x v="1"/>
    <s v="AGUA Y TE"/>
    <x v="0"/>
    <x v="144"/>
    <s v="UNIDADES"/>
    <n v="7330"/>
    <n v="0"/>
    <n v="0"/>
    <n v="0"/>
    <n v="0"/>
    <n v="0"/>
    <x v="1"/>
  </r>
  <r>
    <x v="2"/>
    <x v="10"/>
    <x v="4"/>
    <s v="AGUA Y TE"/>
    <x v="0"/>
    <x v="144"/>
    <s v="UNIDADES"/>
    <n v="7330"/>
    <n v="21"/>
    <n v="21"/>
    <n v="0"/>
    <n v="153930"/>
    <n v="0"/>
    <x v="1"/>
  </r>
  <r>
    <x v="2"/>
    <x v="15"/>
    <x v="1"/>
    <s v="SALSAS ESPECIAS Y CONDIMENTOS"/>
    <x v="1"/>
    <x v="355"/>
    <s v="GRAMOS"/>
    <n v="28.646775909999999"/>
    <n v="0"/>
    <n v="0"/>
    <n v="0"/>
    <n v="0"/>
    <n v="0"/>
    <x v="1"/>
  </r>
  <r>
    <x v="2"/>
    <x v="15"/>
    <x v="1"/>
    <s v="LACTEOS"/>
    <x v="1"/>
    <x v="356"/>
    <s v="GRAMOS"/>
    <n v="28.64683333"/>
    <n v="7984.9573"/>
    <n v="4000"/>
    <n v="-3984.9572750000002"/>
    <n v="114587.33332000001"/>
    <n v="-114156.40688409598"/>
    <x v="2"/>
  </r>
  <r>
    <x v="2"/>
    <x v="12"/>
    <x v="3"/>
    <s v="INSUMOS BAR"/>
    <x v="0"/>
    <x v="357"/>
    <s v="GRAMOS"/>
    <n v="38"/>
    <n v="-2148.4209999999998"/>
    <n v="200"/>
    <n v="2348.4209820000001"/>
    <n v="7600"/>
    <n v="89239.997316000008"/>
    <x v="0"/>
  </r>
  <r>
    <x v="2"/>
    <x v="13"/>
    <x v="2"/>
    <s v="INSUMOS BAR"/>
    <x v="0"/>
    <x v="357"/>
    <s v="GRAMOS"/>
    <n v="38"/>
    <n v="-1883.1578"/>
    <n v="50"/>
    <n v="1933.1578380000001"/>
    <n v="1900"/>
    <n v="73459.997843999998"/>
    <x v="0"/>
  </r>
  <r>
    <x v="2"/>
    <x v="10"/>
    <x v="4"/>
    <s v="INSUMOS BAR"/>
    <x v="0"/>
    <x v="357"/>
    <s v="GRAMOS"/>
    <n v="38"/>
    <n v="-3287.8946000000001"/>
    <n v="840"/>
    <n v="4127.8946059999998"/>
    <n v="31920"/>
    <n v="156859.995028"/>
    <x v="0"/>
  </r>
  <r>
    <x v="2"/>
    <x v="12"/>
    <x v="3"/>
    <s v="AGUA Y TE"/>
    <x v="0"/>
    <x v="146"/>
    <s v="UNIDADES"/>
    <n v="1408.33333333"/>
    <n v="27"/>
    <n v="0"/>
    <n v="-27"/>
    <n v="0"/>
    <n v="-38024.999999909996"/>
    <x v="2"/>
  </r>
  <r>
    <x v="2"/>
    <x v="13"/>
    <x v="2"/>
    <s v="AGUA Y TE"/>
    <x v="0"/>
    <x v="146"/>
    <s v="UNIDADES"/>
    <n v="1408.33333333"/>
    <n v="3"/>
    <n v="0"/>
    <n v="-3"/>
    <n v="0"/>
    <n v="-4224.9999999900001"/>
    <x v="2"/>
  </r>
  <r>
    <x v="2"/>
    <x v="15"/>
    <x v="1"/>
    <s v="AGUA Y TE"/>
    <x v="0"/>
    <x v="146"/>
    <s v="UNIDADES"/>
    <n v="1408.33333333"/>
    <n v="4"/>
    <n v="51"/>
    <n v="47"/>
    <n v="71824.999999830005"/>
    <n v="66191.666666509991"/>
    <x v="0"/>
  </r>
  <r>
    <x v="2"/>
    <x v="10"/>
    <x v="4"/>
    <s v="AGUA Y TE"/>
    <x v="0"/>
    <x v="146"/>
    <s v="UNIDADES"/>
    <n v="1408.33333333"/>
    <n v="5"/>
    <n v="0"/>
    <n v="-5"/>
    <n v="0"/>
    <n v="-7041.6666666499996"/>
    <x v="2"/>
  </r>
  <r>
    <x v="2"/>
    <x v="12"/>
    <x v="3"/>
    <s v="AGUA Y TE"/>
    <x v="0"/>
    <x v="145"/>
    <s v="UNIDADES"/>
    <n v="7857"/>
    <n v="4"/>
    <n v="4"/>
    <n v="0"/>
    <n v="31428"/>
    <n v="0"/>
    <x v="1"/>
  </r>
  <r>
    <x v="2"/>
    <x v="14"/>
    <x v="0"/>
    <s v="AGUA Y TE"/>
    <x v="0"/>
    <x v="145"/>
    <s v="UNIDADES"/>
    <n v="7857"/>
    <n v="9"/>
    <n v="9"/>
    <n v="0"/>
    <n v="70713"/>
    <n v="0"/>
    <x v="1"/>
  </r>
  <r>
    <x v="2"/>
    <x v="13"/>
    <x v="2"/>
    <s v="AGUA Y TE"/>
    <x v="0"/>
    <x v="145"/>
    <s v="UNIDADES"/>
    <n v="7857"/>
    <n v="20"/>
    <n v="20"/>
    <n v="0"/>
    <n v="157140"/>
    <n v="0"/>
    <x v="1"/>
  </r>
  <r>
    <x v="2"/>
    <x v="15"/>
    <x v="1"/>
    <s v="AGUA Y TE"/>
    <x v="0"/>
    <x v="145"/>
    <s v="UNIDADES"/>
    <n v="7857"/>
    <n v="0"/>
    <n v="0"/>
    <n v="0"/>
    <n v="0"/>
    <n v="0"/>
    <x v="1"/>
  </r>
  <r>
    <x v="2"/>
    <x v="10"/>
    <x v="4"/>
    <s v="AGUA Y TE"/>
    <x v="0"/>
    <x v="145"/>
    <s v="UNIDADES"/>
    <n v="7857"/>
    <n v="30"/>
    <n v="30"/>
    <n v="0"/>
    <n v="235710"/>
    <n v="0"/>
    <x v="1"/>
  </r>
  <r>
    <x v="2"/>
    <x v="12"/>
    <x v="3"/>
    <s v="GASEOSAS Y SODAS"/>
    <x v="0"/>
    <x v="22"/>
    <s v="UNIDADES"/>
    <n v="5132.4583333299997"/>
    <n v="21.5"/>
    <n v="18"/>
    <n v="-3.5"/>
    <n v="92384.249999939988"/>
    <n v="-17963.604166655001"/>
    <x v="2"/>
  </r>
  <r>
    <x v="2"/>
    <x v="14"/>
    <x v="0"/>
    <s v="GASEOSAS Y SODAS"/>
    <x v="0"/>
    <x v="22"/>
    <s v="UNIDADES"/>
    <n v="5132.5"/>
    <n v="4"/>
    <n v="9"/>
    <n v="5"/>
    <n v="46192.5"/>
    <n v="25662.5"/>
    <x v="0"/>
  </r>
  <r>
    <x v="2"/>
    <x v="13"/>
    <x v="2"/>
    <s v="GASEOSAS Y SODAS"/>
    <x v="0"/>
    <x v="22"/>
    <s v="UNIDADES"/>
    <n v="5132.4583333299997"/>
    <n v="19"/>
    <n v="41"/>
    <n v="22"/>
    <n v="210430.79166652999"/>
    <n v="112914.08333326"/>
    <x v="0"/>
  </r>
  <r>
    <x v="2"/>
    <x v="15"/>
    <x v="1"/>
    <s v="GASEOSAS Y SODAS"/>
    <x v="0"/>
    <x v="22"/>
    <s v="UNIDADES"/>
    <n v="5132.5"/>
    <n v="14"/>
    <n v="16"/>
    <n v="2"/>
    <n v="82120"/>
    <n v="10265"/>
    <x v="0"/>
  </r>
  <r>
    <x v="2"/>
    <x v="10"/>
    <x v="4"/>
    <s v="GASEOSAS Y SODAS"/>
    <x v="0"/>
    <x v="22"/>
    <s v="UNIDADES"/>
    <n v="5132.4583333299997"/>
    <n v="-2"/>
    <n v="23"/>
    <n v="25"/>
    <n v="118046.54166659"/>
    <n v="128311.45833324999"/>
    <x v="0"/>
  </r>
  <r>
    <x v="2"/>
    <x v="12"/>
    <x v="3"/>
    <s v="FRUVER"/>
    <x v="1"/>
    <x v="358"/>
    <s v="GRAMOS"/>
    <n v="14"/>
    <n v="32202.740399999999"/>
    <n v="5460"/>
    <n v="-26742.740358999999"/>
    <n v="76440"/>
    <n v="-374398.36502600001"/>
    <x v="2"/>
  </r>
  <r>
    <x v="2"/>
    <x v="14"/>
    <x v="0"/>
    <s v="FRUVER"/>
    <x v="1"/>
    <x v="358"/>
    <s v="GRAMOS"/>
    <n v="8.5"/>
    <n v="108709.7643"/>
    <n v="12786"/>
    <n v="-95923.764316999994"/>
    <n v="108681"/>
    <n v="-815351.99669449998"/>
    <x v="2"/>
  </r>
  <r>
    <x v="2"/>
    <x v="13"/>
    <x v="2"/>
    <s v="FRUVER"/>
    <x v="1"/>
    <x v="358"/>
    <s v="GRAMOS"/>
    <n v="14"/>
    <n v="47049.496899999998"/>
    <n v="6000"/>
    <n v="-41049.496915000003"/>
    <n v="84000"/>
    <n v="-574692.95681"/>
    <x v="2"/>
  </r>
  <r>
    <x v="2"/>
    <x v="15"/>
    <x v="1"/>
    <s v="FRUVER"/>
    <x v="1"/>
    <x v="358"/>
    <s v="GRAMOS"/>
    <n v="8.5"/>
    <n v="12345"/>
    <n v="0"/>
    <n v="-12345"/>
    <n v="0"/>
    <n v="-104932.5"/>
    <x v="2"/>
  </r>
  <r>
    <x v="2"/>
    <x v="10"/>
    <x v="4"/>
    <s v="FRUVER"/>
    <x v="1"/>
    <x v="358"/>
    <s v="GRAMOS"/>
    <n v="14"/>
    <n v="94735.809699999998"/>
    <n v="18586"/>
    <n v="-76149.809724999999"/>
    <n v="260204"/>
    <n v="-1066097.3361499999"/>
    <x v="2"/>
  </r>
  <r>
    <x v="2"/>
    <x v="12"/>
    <x v="3"/>
    <s v="LICORES"/>
    <x v="0"/>
    <x v="38"/>
    <s v="UNIDADES"/>
    <n v="26517.26"/>
    <n v="0"/>
    <n v="0"/>
    <n v="0"/>
    <n v="0"/>
    <n v="0"/>
    <x v="1"/>
  </r>
  <r>
    <x v="2"/>
    <x v="14"/>
    <x v="0"/>
    <s v="LICORES"/>
    <x v="0"/>
    <x v="38"/>
    <s v="UNIDADES"/>
    <n v="26517"/>
    <n v="9"/>
    <n v="8"/>
    <n v="-1"/>
    <n v="212136"/>
    <n v="-26517"/>
    <x v="2"/>
  </r>
  <r>
    <x v="2"/>
    <x v="13"/>
    <x v="2"/>
    <s v="LICORES"/>
    <x v="0"/>
    <x v="38"/>
    <s v="UNIDADES"/>
    <n v="26517.26"/>
    <n v="0"/>
    <n v="0"/>
    <n v="0"/>
    <n v="0"/>
    <n v="0"/>
    <x v="1"/>
  </r>
  <r>
    <x v="2"/>
    <x v="15"/>
    <x v="1"/>
    <s v="LICORES"/>
    <x v="0"/>
    <x v="38"/>
    <s v="UNIDADES"/>
    <n v="26517"/>
    <n v="6"/>
    <n v="6"/>
    <n v="0"/>
    <n v="159102"/>
    <n v="0"/>
    <x v="1"/>
  </r>
  <r>
    <x v="2"/>
    <x v="10"/>
    <x v="4"/>
    <s v="LICORES"/>
    <x v="0"/>
    <x v="38"/>
    <s v="UNIDADES"/>
    <n v="26517.26"/>
    <n v="2"/>
    <n v="2"/>
    <n v="0"/>
    <n v="53034.52"/>
    <n v="0"/>
    <x v="1"/>
  </r>
  <r>
    <x v="2"/>
    <x v="12"/>
    <x v="3"/>
    <s v="LICORES"/>
    <x v="0"/>
    <x v="35"/>
    <s v="ONZA"/>
    <n v="2056.3333333300002"/>
    <n v="38"/>
    <n v="38"/>
    <n v="0"/>
    <n v="78140.666666540012"/>
    <n v="0"/>
    <x v="1"/>
  </r>
  <r>
    <x v="2"/>
    <x v="14"/>
    <x v="0"/>
    <s v="LICORES"/>
    <x v="0"/>
    <x v="35"/>
    <s v="ONZA"/>
    <n v="2056.3333333300002"/>
    <n v="30"/>
    <n v="30"/>
    <n v="0"/>
    <n v="61689.999999900007"/>
    <n v="0"/>
    <x v="1"/>
  </r>
  <r>
    <x v="2"/>
    <x v="13"/>
    <x v="2"/>
    <s v="LICORES"/>
    <x v="0"/>
    <x v="35"/>
    <s v="ONZA"/>
    <n v="2056.3333333300002"/>
    <n v="61"/>
    <n v="61"/>
    <n v="0"/>
    <n v="125436.33333313001"/>
    <n v="0"/>
    <x v="1"/>
  </r>
  <r>
    <x v="2"/>
    <x v="15"/>
    <x v="1"/>
    <s v="LICORES"/>
    <x v="0"/>
    <x v="35"/>
    <s v="ONZA"/>
    <n v="2056.3333333300002"/>
    <n v="150.80000000000001"/>
    <n v="139"/>
    <n v="-11.8"/>
    <n v="285830.33333287004"/>
    <n v="-24264.733333294003"/>
    <x v="2"/>
  </r>
  <r>
    <x v="2"/>
    <x v="10"/>
    <x v="4"/>
    <s v="LICORES"/>
    <x v="0"/>
    <x v="35"/>
    <s v="ONZA"/>
    <n v="2056.3333333300002"/>
    <n v="37.5"/>
    <n v="37.5"/>
    <n v="0"/>
    <n v="77112.499999875014"/>
    <n v="0"/>
    <x v="1"/>
  </r>
  <r>
    <x v="2"/>
    <x v="15"/>
    <x v="1"/>
    <s v="LICORES"/>
    <x v="0"/>
    <x v="359"/>
    <s v="ONZA"/>
    <n v="3091.38425925"/>
    <n v="24"/>
    <n v="24"/>
    <n v="0"/>
    <n v="74193.222221999997"/>
    <n v="0"/>
    <x v="1"/>
  </r>
  <r>
    <x v="2"/>
    <x v="12"/>
    <x v="3"/>
    <s v="LICORES"/>
    <x v="0"/>
    <x v="40"/>
    <s v="UNIDADES"/>
    <n v="24693.34"/>
    <n v="2"/>
    <n v="2"/>
    <n v="0"/>
    <n v="49386.68"/>
    <n v="0"/>
    <x v="1"/>
  </r>
  <r>
    <x v="2"/>
    <x v="14"/>
    <x v="0"/>
    <s v="LICORES"/>
    <x v="0"/>
    <x v="40"/>
    <s v="UNIDADES"/>
    <n v="22770"/>
    <n v="4"/>
    <n v="4"/>
    <n v="0"/>
    <n v="91080"/>
    <n v="0"/>
    <x v="1"/>
  </r>
  <r>
    <x v="2"/>
    <x v="13"/>
    <x v="2"/>
    <s v="LICORES"/>
    <x v="0"/>
    <x v="40"/>
    <s v="UNIDADES"/>
    <n v="24693.34"/>
    <n v="0"/>
    <n v="0"/>
    <n v="0"/>
    <n v="0"/>
    <n v="0"/>
    <x v="1"/>
  </r>
  <r>
    <x v="2"/>
    <x v="15"/>
    <x v="1"/>
    <s v="LICORES"/>
    <x v="0"/>
    <x v="40"/>
    <s v="UNIDADES"/>
    <n v="22770"/>
    <n v="5"/>
    <n v="3"/>
    <n v="-2"/>
    <n v="68310"/>
    <n v="-45540"/>
    <x v="2"/>
  </r>
  <r>
    <x v="2"/>
    <x v="10"/>
    <x v="4"/>
    <s v="LICORES"/>
    <x v="0"/>
    <x v="40"/>
    <s v="UNIDADES"/>
    <n v="24693.34"/>
    <n v="3"/>
    <n v="3"/>
    <n v="0"/>
    <n v="74080.02"/>
    <n v="0"/>
    <x v="1"/>
  </r>
  <r>
    <x v="2"/>
    <x v="12"/>
    <x v="3"/>
    <s v="LICORES"/>
    <x v="0"/>
    <x v="13"/>
    <s v="ONZA"/>
    <n v="1729.16666667"/>
    <n v="39"/>
    <n v="39"/>
    <n v="0"/>
    <n v="67437.500000130007"/>
    <n v="0"/>
    <x v="1"/>
  </r>
  <r>
    <x v="2"/>
    <x v="14"/>
    <x v="0"/>
    <s v="LICORES"/>
    <x v="0"/>
    <x v="13"/>
    <s v="ONZA"/>
    <n v="1729.16666667"/>
    <n v="23"/>
    <n v="25"/>
    <n v="2"/>
    <n v="43229.166666750003"/>
    <n v="3458.3333333400001"/>
    <x v="0"/>
  </r>
  <r>
    <x v="2"/>
    <x v="13"/>
    <x v="2"/>
    <s v="LICORES"/>
    <x v="0"/>
    <x v="13"/>
    <s v="ONZA"/>
    <n v="1729.16666667"/>
    <n v="20"/>
    <n v="20"/>
    <n v="0"/>
    <n v="34583.333333399998"/>
    <n v="0"/>
    <x v="1"/>
  </r>
  <r>
    <x v="2"/>
    <x v="15"/>
    <x v="1"/>
    <s v="LICORES"/>
    <x v="0"/>
    <x v="13"/>
    <s v="ONZA"/>
    <n v="1729.16666667"/>
    <n v="123"/>
    <n v="99"/>
    <n v="-24"/>
    <n v="171187.50000033001"/>
    <n v="-41500.000000079999"/>
    <x v="2"/>
  </r>
  <r>
    <x v="2"/>
    <x v="10"/>
    <x v="4"/>
    <s v="LICORES"/>
    <x v="0"/>
    <x v="13"/>
    <s v="ONZA"/>
    <n v="1729.16666667"/>
    <n v="40.32"/>
    <n v="40.32"/>
    <n v="0"/>
    <n v="69720.000000134401"/>
    <n v="0"/>
    <x v="1"/>
  </r>
  <r>
    <x v="2"/>
    <x v="12"/>
    <x v="3"/>
    <s v="LICORES"/>
    <x v="0"/>
    <x v="42"/>
    <s v="UNIDADES"/>
    <n v="23367.465"/>
    <n v="2"/>
    <n v="2"/>
    <n v="0"/>
    <n v="46734.93"/>
    <n v="0"/>
    <x v="1"/>
  </r>
  <r>
    <x v="2"/>
    <x v="14"/>
    <x v="0"/>
    <s v="LICORES"/>
    <x v="0"/>
    <x v="42"/>
    <s v="UNIDADES"/>
    <n v="23367"/>
    <n v="6"/>
    <n v="6"/>
    <n v="0"/>
    <n v="140202"/>
    <n v="0"/>
    <x v="1"/>
  </r>
  <r>
    <x v="2"/>
    <x v="13"/>
    <x v="2"/>
    <s v="LICORES"/>
    <x v="0"/>
    <x v="42"/>
    <s v="UNIDADES"/>
    <n v="23367.465"/>
    <n v="0"/>
    <n v="0"/>
    <n v="0"/>
    <n v="0"/>
    <n v="0"/>
    <x v="1"/>
  </r>
  <r>
    <x v="2"/>
    <x v="15"/>
    <x v="1"/>
    <s v="LICORES"/>
    <x v="0"/>
    <x v="42"/>
    <s v="UNIDADES"/>
    <n v="23367"/>
    <n v="5"/>
    <n v="4"/>
    <n v="-1"/>
    <n v="93468"/>
    <n v="-23367"/>
    <x v="2"/>
  </r>
  <r>
    <x v="2"/>
    <x v="10"/>
    <x v="4"/>
    <s v="LICORES"/>
    <x v="0"/>
    <x v="42"/>
    <s v="UNIDADES"/>
    <n v="23367.465"/>
    <n v="2"/>
    <n v="2"/>
    <n v="0"/>
    <n v="46734.93"/>
    <n v="0"/>
    <x v="1"/>
  </r>
  <r>
    <x v="2"/>
    <x v="12"/>
    <x v="3"/>
    <s v="LICORES"/>
    <x v="0"/>
    <x v="41"/>
    <s v="ONZA"/>
    <n v="1658.625"/>
    <n v="18"/>
    <n v="19"/>
    <n v="1"/>
    <n v="31513.875"/>
    <n v="1658.625"/>
    <x v="0"/>
  </r>
  <r>
    <x v="2"/>
    <x v="14"/>
    <x v="0"/>
    <s v="LICORES"/>
    <x v="0"/>
    <x v="41"/>
    <s v="ONZA"/>
    <n v="1798.66666667"/>
    <n v="34"/>
    <n v="35"/>
    <n v="1"/>
    <n v="62953.333333449998"/>
    <n v="1798.66666667"/>
    <x v="0"/>
  </r>
  <r>
    <x v="2"/>
    <x v="13"/>
    <x v="2"/>
    <s v="LICORES"/>
    <x v="0"/>
    <x v="41"/>
    <s v="ONZA"/>
    <n v="1658.625"/>
    <n v="8"/>
    <n v="8"/>
    <n v="0"/>
    <n v="13269"/>
    <n v="0"/>
    <x v="1"/>
  </r>
  <r>
    <x v="2"/>
    <x v="15"/>
    <x v="1"/>
    <s v="LICORES"/>
    <x v="0"/>
    <x v="41"/>
    <s v="ONZA"/>
    <n v="1798.66666667"/>
    <n v="97"/>
    <n v="98"/>
    <n v="1"/>
    <n v="176269.33333366"/>
    <n v="1798.66666667"/>
    <x v="0"/>
  </r>
  <r>
    <x v="2"/>
    <x v="10"/>
    <x v="4"/>
    <s v="LICORES"/>
    <x v="0"/>
    <x v="41"/>
    <s v="ONZA"/>
    <n v="1658.625"/>
    <n v="36.799999999999997"/>
    <n v="36.799999999999997"/>
    <n v="0"/>
    <n v="61037.399999999994"/>
    <n v="0"/>
    <x v="1"/>
  </r>
  <r>
    <x v="2"/>
    <x v="14"/>
    <x v="0"/>
    <s v="SALSAS ESPECIAS Y CONDIMENTOS"/>
    <x v="1"/>
    <x v="360"/>
    <s v="GRAMOS"/>
    <n v="10.5"/>
    <n v="-2170"/>
    <n v="0"/>
    <n v="2170"/>
    <n v="0"/>
    <n v="22785"/>
    <x v="0"/>
  </r>
  <r>
    <x v="2"/>
    <x v="15"/>
    <x v="1"/>
    <s v="SALSAS ESPECIAS Y CONDIMENTOS"/>
    <x v="1"/>
    <x v="360"/>
    <s v="GRAMOS"/>
    <n v="10.5"/>
    <n v="1000"/>
    <n v="0"/>
    <n v="-1000"/>
    <n v="0"/>
    <n v="-10500"/>
    <x v="2"/>
  </r>
  <r>
    <x v="2"/>
    <x v="12"/>
    <x v="3"/>
    <s v="FRUVER"/>
    <x v="1"/>
    <x v="361"/>
    <s v="GRAMOS"/>
    <n v="14"/>
    <n v="1007"/>
    <n v="2134"/>
    <n v="127"/>
    <n v="29876"/>
    <n v="1778"/>
    <x v="0"/>
  </r>
  <r>
    <x v="2"/>
    <x v="14"/>
    <x v="0"/>
    <s v="FRUVER"/>
    <x v="1"/>
    <x v="361"/>
    <s v="GRAMOS"/>
    <n v="14"/>
    <n v="22799.999199999998"/>
    <n v="8000"/>
    <n v="-14799.9992"/>
    <n v="112000"/>
    <n v="-207199.98879999999"/>
    <x v="2"/>
  </r>
  <r>
    <x v="2"/>
    <x v="13"/>
    <x v="2"/>
    <s v="FRUVER"/>
    <x v="1"/>
    <x v="361"/>
    <s v="GRAMOS"/>
    <n v="14"/>
    <n v="6370"/>
    <n v="3130"/>
    <n v="-4940"/>
    <n v="43820"/>
    <n v="-69160"/>
    <x v="2"/>
  </r>
  <r>
    <x v="2"/>
    <x v="15"/>
    <x v="1"/>
    <s v="FRUVER"/>
    <x v="1"/>
    <x v="361"/>
    <s v="GRAMOS"/>
    <n v="14"/>
    <n v="1450"/>
    <n v="0"/>
    <n v="-1450"/>
    <n v="0"/>
    <n v="-20300"/>
    <x v="2"/>
  </r>
  <r>
    <x v="2"/>
    <x v="16"/>
    <x v="5"/>
    <s v="FRUVER"/>
    <x v="1"/>
    <x v="361"/>
    <s v="GRAMOS"/>
    <n v="14"/>
    <n v="58000"/>
    <n v="120000"/>
    <n v="62000"/>
    <n v="1680000"/>
    <n v="868000"/>
    <x v="0"/>
  </r>
  <r>
    <x v="2"/>
    <x v="10"/>
    <x v="4"/>
    <s v="FRUVER"/>
    <x v="1"/>
    <x v="361"/>
    <s v="GRAMOS"/>
    <n v="14"/>
    <n v="6182"/>
    <n v="1696"/>
    <n v="-4486"/>
    <n v="23744"/>
    <n v="-62804"/>
    <x v="2"/>
  </r>
  <r>
    <x v="2"/>
    <x v="15"/>
    <x v="1"/>
    <s v="FRUVER"/>
    <x v="1"/>
    <x v="362"/>
    <s v="GRAMOS"/>
    <n v="84.545454550000002"/>
    <n v="220"/>
    <n v="0"/>
    <n v="-220"/>
    <n v="0"/>
    <n v="-18600.000001"/>
    <x v="2"/>
  </r>
  <r>
    <x v="2"/>
    <x v="12"/>
    <x v="3"/>
    <s v="FRUVER"/>
    <x v="1"/>
    <x v="363"/>
    <s v="GRAMOS"/>
    <n v="7.5"/>
    <n v="0"/>
    <n v="0"/>
    <n v="0"/>
    <n v="0"/>
    <n v="0"/>
    <x v="1"/>
  </r>
  <r>
    <x v="2"/>
    <x v="13"/>
    <x v="2"/>
    <s v="FRUVER"/>
    <x v="1"/>
    <x v="363"/>
    <s v="GRAMOS"/>
    <n v="7.5"/>
    <n v="0"/>
    <n v="0"/>
    <n v="0"/>
    <n v="0"/>
    <n v="0"/>
    <x v="1"/>
  </r>
  <r>
    <x v="2"/>
    <x v="15"/>
    <x v="1"/>
    <s v="FRUVER"/>
    <x v="1"/>
    <x v="363"/>
    <s v="GRAMOS"/>
    <n v="14"/>
    <n v="0"/>
    <n v="0"/>
    <n v="0"/>
    <n v="0"/>
    <n v="0"/>
    <x v="1"/>
  </r>
  <r>
    <x v="2"/>
    <x v="10"/>
    <x v="4"/>
    <s v="FRUVER"/>
    <x v="1"/>
    <x v="363"/>
    <s v="GRAMOS"/>
    <n v="7.5"/>
    <n v="0"/>
    <n v="0"/>
    <n v="0"/>
    <n v="0"/>
    <n v="0"/>
    <x v="1"/>
  </r>
  <r>
    <x v="2"/>
    <x v="12"/>
    <x v="3"/>
    <s v="FRUVER"/>
    <x v="1"/>
    <x v="364"/>
    <s v="GRAMOS"/>
    <n v="10"/>
    <n v="4266.0604999999996"/>
    <n v="3362"/>
    <n v="-4904.0604776"/>
    <n v="33620"/>
    <n v="-49040.604776"/>
    <x v="2"/>
  </r>
  <r>
    <x v="2"/>
    <x v="14"/>
    <x v="0"/>
    <s v="FRUVER"/>
    <x v="1"/>
    <x v="364"/>
    <s v="GRAMOS"/>
    <n v="10"/>
    <n v="-5552.1370999999999"/>
    <n v="2404"/>
    <n v="7956.1370784999999"/>
    <n v="24040"/>
    <n v="79561.370785000006"/>
    <x v="0"/>
  </r>
  <r>
    <x v="2"/>
    <x v="13"/>
    <x v="2"/>
    <s v="FRUVER"/>
    <x v="1"/>
    <x v="364"/>
    <s v="GRAMOS"/>
    <n v="10"/>
    <n v="11716.9421"/>
    <n v="2997"/>
    <n v="-12219.942053700001"/>
    <n v="29970"/>
    <n v="-122199.420537"/>
    <x v="2"/>
  </r>
  <r>
    <x v="2"/>
    <x v="15"/>
    <x v="1"/>
    <s v="FRUVER"/>
    <x v="1"/>
    <x v="364"/>
    <s v="GRAMOS"/>
    <n v="10"/>
    <n v="175.78120000000001"/>
    <n v="0"/>
    <n v="-175.78116399999999"/>
    <n v="0"/>
    <n v="-1757.8116399999999"/>
    <x v="2"/>
  </r>
  <r>
    <x v="2"/>
    <x v="10"/>
    <x v="4"/>
    <s v="FRUVER"/>
    <x v="1"/>
    <x v="364"/>
    <s v="GRAMOS"/>
    <n v="10"/>
    <n v="4586.4966999999997"/>
    <n v="1578"/>
    <n v="-3008.4966539000002"/>
    <n v="15780"/>
    <n v="-30084.966539000001"/>
    <x v="2"/>
  </r>
  <r>
    <x v="2"/>
    <x v="14"/>
    <x v="0"/>
    <s v="FRUVER"/>
    <x v="1"/>
    <x v="365"/>
    <s v="GRAMOS"/>
    <n v="11.8"/>
    <n v="0"/>
    <n v="0"/>
    <n v="0"/>
    <n v="0"/>
    <n v="0"/>
    <x v="1"/>
  </r>
  <r>
    <x v="2"/>
    <x v="15"/>
    <x v="1"/>
    <s v="FRUVER"/>
    <x v="1"/>
    <x v="365"/>
    <s v="GRAMOS"/>
    <n v="11.8"/>
    <n v="1230"/>
    <n v="0"/>
    <n v="-1230"/>
    <n v="0"/>
    <n v="-14514"/>
    <x v="2"/>
  </r>
  <r>
    <x v="2"/>
    <x v="12"/>
    <x v="3"/>
    <s v="FRUVER"/>
    <x v="1"/>
    <x v="366"/>
    <s v="GRAMOS"/>
    <n v="19"/>
    <n v="3320"/>
    <n v="1434"/>
    <n v="-1886"/>
    <n v="27246"/>
    <n v="-35834"/>
    <x v="2"/>
  </r>
  <r>
    <x v="2"/>
    <x v="13"/>
    <x v="2"/>
    <s v="FRUVER"/>
    <x v="1"/>
    <x v="366"/>
    <s v="GRAMOS"/>
    <n v="19"/>
    <n v="4062"/>
    <n v="2610"/>
    <n v="-1452"/>
    <n v="49590"/>
    <n v="-27588"/>
    <x v="2"/>
  </r>
  <r>
    <x v="2"/>
    <x v="15"/>
    <x v="1"/>
    <s v="FRUVER"/>
    <x v="1"/>
    <x v="366"/>
    <s v="GRAMOS"/>
    <n v="25"/>
    <n v="160"/>
    <n v="0"/>
    <n v="-160"/>
    <n v="0"/>
    <n v="-4000"/>
    <x v="2"/>
  </r>
  <r>
    <x v="2"/>
    <x v="10"/>
    <x v="4"/>
    <s v="FRUVER"/>
    <x v="1"/>
    <x v="366"/>
    <s v="GRAMOS"/>
    <n v="19"/>
    <n v="2988"/>
    <n v="170"/>
    <n v="-2818"/>
    <n v="3230"/>
    <n v="-53542"/>
    <x v="2"/>
  </r>
  <r>
    <x v="2"/>
    <x v="15"/>
    <x v="1"/>
    <s v="FRUVER"/>
    <x v="1"/>
    <x v="367"/>
    <s v="GRAMOS"/>
    <n v="40"/>
    <n v="0"/>
    <n v="0"/>
    <n v="0"/>
    <n v="0"/>
    <n v="0"/>
    <x v="1"/>
  </r>
  <r>
    <x v="2"/>
    <x v="16"/>
    <x v="5"/>
    <s v="FRUVER"/>
    <x v="1"/>
    <x v="367"/>
    <s v="GRAMOS"/>
    <n v="40"/>
    <n v="25000"/>
    <n v="20000"/>
    <n v="-5000"/>
    <n v="800000"/>
    <n v="-200000"/>
    <x v="2"/>
  </r>
  <r>
    <x v="2"/>
    <x v="12"/>
    <x v="3"/>
    <s v="FRUVER"/>
    <x v="1"/>
    <x v="368"/>
    <s v="GRAMOS"/>
    <n v="28"/>
    <n v="12646.1587"/>
    <n v="1538"/>
    <n v="-12108.1587346"/>
    <n v="43064"/>
    <n v="-339028.44456879998"/>
    <x v="2"/>
  </r>
  <r>
    <x v="2"/>
    <x v="14"/>
    <x v="0"/>
    <s v="FRUVER"/>
    <x v="1"/>
    <x v="368"/>
    <s v="GRAMOS"/>
    <n v="28"/>
    <n v="37359"/>
    <n v="10000"/>
    <n v="-27359"/>
    <n v="280000"/>
    <n v="-766052"/>
    <x v="2"/>
  </r>
  <r>
    <x v="2"/>
    <x v="13"/>
    <x v="2"/>
    <s v="FRUVER"/>
    <x v="1"/>
    <x v="368"/>
    <s v="GRAMOS"/>
    <n v="28"/>
    <n v="9764.4652000000006"/>
    <n v="2003"/>
    <n v="-10161.465220300001"/>
    <n v="56084"/>
    <n v="-284521.02616840001"/>
    <x v="2"/>
  </r>
  <r>
    <x v="2"/>
    <x v="15"/>
    <x v="1"/>
    <s v="FRUVER"/>
    <x v="1"/>
    <x v="368"/>
    <s v="GRAMOS"/>
    <n v="28"/>
    <n v="100"/>
    <n v="0"/>
    <n v="-100"/>
    <n v="0"/>
    <n v="-2800"/>
    <x v="2"/>
  </r>
  <r>
    <x v="2"/>
    <x v="16"/>
    <x v="5"/>
    <s v="FRUVER"/>
    <x v="1"/>
    <x v="368"/>
    <s v="GRAMOS"/>
    <n v="28"/>
    <n v="0"/>
    <n v="0"/>
    <n v="0"/>
    <n v="0"/>
    <n v="0"/>
    <x v="1"/>
  </r>
  <r>
    <x v="2"/>
    <x v="10"/>
    <x v="4"/>
    <s v="FRUVER"/>
    <x v="1"/>
    <x v="368"/>
    <s v="GRAMOS"/>
    <n v="28"/>
    <n v="2416.5556000000001"/>
    <n v="2196"/>
    <n v="-220.55556559999999"/>
    <n v="61488"/>
    <n v="-6175.5558368000002"/>
    <x v="2"/>
  </r>
  <r>
    <x v="2"/>
    <x v="12"/>
    <x v="3"/>
    <s v="SALSAS ESPECIAS Y CONDIMENTOS"/>
    <x v="1"/>
    <x v="369"/>
    <s v="GRAMOS"/>
    <n v="20.111000000000001"/>
    <n v="6367.7671"/>
    <n v="1360"/>
    <n v="-5007.7670500000004"/>
    <n v="27350.959999999999"/>
    <n v="-100711.20314255002"/>
    <x v="2"/>
  </r>
  <r>
    <x v="2"/>
    <x v="14"/>
    <x v="0"/>
    <s v="SALSAS ESPECIAS Y CONDIMENTOS"/>
    <x v="1"/>
    <x v="369"/>
    <s v="GRAMOS"/>
    <n v="13.68465"/>
    <n v="3332"/>
    <n v="3000"/>
    <n v="-332"/>
    <n v="41053.949999999997"/>
    <n v="-4543.3037999999997"/>
    <x v="2"/>
  </r>
  <r>
    <x v="2"/>
    <x v="13"/>
    <x v="2"/>
    <s v="SALSAS ESPECIAS Y CONDIMENTOS"/>
    <x v="1"/>
    <x v="369"/>
    <s v="GRAMOS"/>
    <n v="20.111000000000001"/>
    <n v="11061.047200000001"/>
    <n v="3000"/>
    <n v="-10061.047211999999"/>
    <n v="60333"/>
    <n v="-202337.72048053201"/>
    <x v="2"/>
  </r>
  <r>
    <x v="2"/>
    <x v="15"/>
    <x v="1"/>
    <s v="SALSAS ESPECIAS Y CONDIMENTOS"/>
    <x v="1"/>
    <x v="369"/>
    <s v="GRAMOS"/>
    <n v="13.68465"/>
    <n v="246.9222"/>
    <n v="0"/>
    <n v="-246.92214999999999"/>
    <n v="0"/>
    <n v="-3379.0431999974999"/>
    <x v="2"/>
  </r>
  <r>
    <x v="2"/>
    <x v="16"/>
    <x v="5"/>
    <s v="SALSAS ESPECIAS Y CONDIMENTOS"/>
    <x v="1"/>
    <x v="369"/>
    <s v="GRAMOS"/>
    <n v="20.111000000000001"/>
    <n v="3605"/>
    <n v="3082"/>
    <n v="-523"/>
    <n v="61982.101999999999"/>
    <n v="-10518.053"/>
    <x v="2"/>
  </r>
  <r>
    <x v="2"/>
    <x v="10"/>
    <x v="4"/>
    <s v="SALSAS ESPECIAS Y CONDIMENTOS"/>
    <x v="1"/>
    <x v="369"/>
    <s v="GRAMOS"/>
    <n v="20.111000000000001"/>
    <n v="7532.8231999999998"/>
    <n v="3806"/>
    <n v="-3726.8232480000001"/>
    <n v="76542.466"/>
    <n v="-74950.142340528007"/>
    <x v="2"/>
  </r>
  <r>
    <x v="2"/>
    <x v="15"/>
    <x v="1"/>
    <s v="ABARROTES"/>
    <x v="1"/>
    <x v="370"/>
    <s v="GRAMOS"/>
    <n v="24.7"/>
    <n v="9836.1059999999998"/>
    <n v="4500"/>
    <n v="-5336.1059999999998"/>
    <n v="111150"/>
    <n v="-131801.81819999998"/>
    <x v="2"/>
  </r>
  <r>
    <x v="2"/>
    <x v="12"/>
    <x v="3"/>
    <s v="FRUVER"/>
    <x v="1"/>
    <x v="371"/>
    <s v="GRAMOS"/>
    <n v="19.8"/>
    <n v="5619.8128999999999"/>
    <n v="1045"/>
    <n v="-5574.8128999999999"/>
    <n v="20691"/>
    <n v="-110381.29541999999"/>
    <x v="2"/>
  </r>
  <r>
    <x v="2"/>
    <x v="14"/>
    <x v="0"/>
    <s v="FRUVER"/>
    <x v="1"/>
    <x v="371"/>
    <s v="GRAMOS"/>
    <n v="19.5"/>
    <n v="1019.5901"/>
    <n v="2488"/>
    <n v="1468.409946"/>
    <n v="48516"/>
    <n v="28633.993946999999"/>
    <x v="0"/>
  </r>
  <r>
    <x v="2"/>
    <x v="13"/>
    <x v="2"/>
    <s v="FRUVER"/>
    <x v="1"/>
    <x v="371"/>
    <s v="GRAMOS"/>
    <n v="19.8"/>
    <n v="8414.7041000000008"/>
    <n v="1058"/>
    <n v="-9006.7040720000005"/>
    <n v="20948.400000000001"/>
    <n v="-178332.74062560001"/>
    <x v="2"/>
  </r>
  <r>
    <x v="2"/>
    <x v="15"/>
    <x v="1"/>
    <s v="FRUVER"/>
    <x v="1"/>
    <x v="371"/>
    <s v="GRAMOS"/>
    <n v="19.5"/>
    <n v="-948.14469999999994"/>
    <n v="2300"/>
    <n v="3248.1446799999999"/>
    <n v="44850"/>
    <n v="63338.821259999997"/>
    <x v="0"/>
  </r>
  <r>
    <x v="2"/>
    <x v="16"/>
    <x v="5"/>
    <s v="FRUVER"/>
    <x v="1"/>
    <x v="371"/>
    <s v="GRAMOS"/>
    <n v="19.8"/>
    <n v="-250"/>
    <n v="2000"/>
    <n v="2250"/>
    <n v="39600"/>
    <n v="44550"/>
    <x v="0"/>
  </r>
  <r>
    <x v="2"/>
    <x v="10"/>
    <x v="4"/>
    <s v="FRUVER"/>
    <x v="1"/>
    <x v="371"/>
    <s v="GRAMOS"/>
    <n v="19.8"/>
    <n v="26.000900000000001"/>
    <n v="492"/>
    <n v="465.9991"/>
    <n v="9741.6"/>
    <n v="9226.7821800000002"/>
    <x v="0"/>
  </r>
  <r>
    <x v="2"/>
    <x v="12"/>
    <x v="3"/>
    <s v="ABARROTES"/>
    <x v="1"/>
    <x v="372"/>
    <s v="GRAMOS"/>
    <n v="20.059999999999999"/>
    <n v="2180"/>
    <n v="1000"/>
    <n v="-1180"/>
    <n v="20060"/>
    <n v="-23670.799999999999"/>
    <x v="2"/>
  </r>
  <r>
    <x v="2"/>
    <x v="14"/>
    <x v="0"/>
    <s v="ABARROTES"/>
    <x v="1"/>
    <x v="372"/>
    <s v="GRAMOS"/>
    <n v="20.9"/>
    <n v="-10"/>
    <n v="1000"/>
    <n v="1010"/>
    <n v="20900"/>
    <n v="21109"/>
    <x v="0"/>
  </r>
  <r>
    <x v="2"/>
    <x v="13"/>
    <x v="2"/>
    <s v="ABARROTES"/>
    <x v="1"/>
    <x v="372"/>
    <s v="GRAMOS"/>
    <n v="20.059999999999999"/>
    <n v="2275"/>
    <n v="2000"/>
    <n v="-275"/>
    <n v="40120"/>
    <n v="-5516.5"/>
    <x v="2"/>
  </r>
  <r>
    <x v="2"/>
    <x v="15"/>
    <x v="1"/>
    <s v="ABARROTES"/>
    <x v="1"/>
    <x v="372"/>
    <s v="GRAMOS"/>
    <n v="20.9"/>
    <n v="-1"/>
    <n v="0"/>
    <n v="1"/>
    <n v="0"/>
    <n v="20.9"/>
    <x v="0"/>
  </r>
  <r>
    <x v="2"/>
    <x v="10"/>
    <x v="4"/>
    <s v="ABARROTES"/>
    <x v="1"/>
    <x v="372"/>
    <s v="GRAMOS"/>
    <n v="20.059999999999999"/>
    <n v="825"/>
    <n v="0"/>
    <n v="-825"/>
    <n v="0"/>
    <n v="-16549.5"/>
    <x v="2"/>
  </r>
  <r>
    <x v="2"/>
    <x v="12"/>
    <x v="3"/>
    <s v="SALSAS ESPECIAS Y CONDIMENTOS"/>
    <x v="1"/>
    <x v="373"/>
    <s v="GRAMOS"/>
    <n v="40.9694"/>
    <n v="-204"/>
    <n v="1000"/>
    <n v="1204"/>
    <n v="40969.4"/>
    <n v="49327.157599999999"/>
    <x v="0"/>
  </r>
  <r>
    <x v="2"/>
    <x v="14"/>
    <x v="0"/>
    <s v="SALSAS ESPECIAS Y CONDIMENTOS"/>
    <x v="1"/>
    <x v="373"/>
    <s v="GRAMOS"/>
    <n v="73.78"/>
    <n v="1090"/>
    <n v="2000"/>
    <n v="910"/>
    <n v="147560"/>
    <n v="67139.8"/>
    <x v="0"/>
  </r>
  <r>
    <x v="2"/>
    <x v="13"/>
    <x v="2"/>
    <s v="SALSAS ESPECIAS Y CONDIMENTOS"/>
    <x v="1"/>
    <x v="373"/>
    <s v="GRAMOS"/>
    <n v="40.9694"/>
    <n v="392"/>
    <n v="1000"/>
    <n v="608.00000199999999"/>
    <n v="40969.4"/>
    <n v="24909.3952819388"/>
    <x v="0"/>
  </r>
  <r>
    <x v="2"/>
    <x v="10"/>
    <x v="4"/>
    <s v="SALSAS ESPECIAS Y CONDIMENTOS"/>
    <x v="1"/>
    <x v="373"/>
    <s v="GRAMOS"/>
    <n v="40.9694"/>
    <n v="-737"/>
    <n v="0"/>
    <n v="737"/>
    <n v="0"/>
    <n v="30194.447800000002"/>
    <x v="0"/>
  </r>
  <r>
    <x v="2"/>
    <x v="12"/>
    <x v="3"/>
    <s v="MATERIAL DE EMPAQUE"/>
    <x v="2"/>
    <x v="374"/>
    <s v="UNIDADES"/>
    <n v="271.26"/>
    <n v="400"/>
    <n v="100"/>
    <n v="-300"/>
    <n v="27126"/>
    <n v="-81378"/>
    <x v="2"/>
  </r>
  <r>
    <x v="2"/>
    <x v="13"/>
    <x v="2"/>
    <s v="MATERIAL DE EMPAQUE"/>
    <x v="2"/>
    <x v="374"/>
    <s v="UNIDADES"/>
    <n v="271.26"/>
    <n v="301"/>
    <n v="200"/>
    <n v="-301"/>
    <n v="54252"/>
    <n v="-81649.259999999995"/>
    <x v="2"/>
  </r>
  <r>
    <x v="2"/>
    <x v="16"/>
    <x v="5"/>
    <s v="MATERIAL DE EMPAQUE"/>
    <x v="2"/>
    <x v="374"/>
    <s v="UNIDADES"/>
    <n v="271.26"/>
    <n v="172"/>
    <n v="172"/>
    <n v="0"/>
    <n v="46656.72"/>
    <n v="0"/>
    <x v="1"/>
  </r>
  <r>
    <x v="2"/>
    <x v="10"/>
    <x v="4"/>
    <s v="MATERIAL DE EMPAQUE"/>
    <x v="2"/>
    <x v="374"/>
    <s v="UNIDADES"/>
    <n v="271.26"/>
    <n v="278"/>
    <n v="25"/>
    <n v="-253"/>
    <n v="6781.5"/>
    <n v="-68628.78"/>
    <x v="2"/>
  </r>
  <r>
    <x v="2"/>
    <x v="12"/>
    <x v="3"/>
    <s v="MATERIAL DE EMPAQUE"/>
    <x v="2"/>
    <x v="375"/>
    <s v="UNIDADES"/>
    <n v="470.00240000000002"/>
    <n v="-2"/>
    <n v="0"/>
    <n v="2"/>
    <n v="0"/>
    <n v="940.00480000000005"/>
    <x v="0"/>
  </r>
  <r>
    <x v="2"/>
    <x v="13"/>
    <x v="2"/>
    <s v="MATERIAL DE EMPAQUE"/>
    <x v="2"/>
    <x v="375"/>
    <s v="UNIDADES"/>
    <n v="470.00240000000002"/>
    <n v="0"/>
    <n v="0"/>
    <n v="0"/>
    <n v="0"/>
    <n v="0"/>
    <x v="1"/>
  </r>
  <r>
    <x v="2"/>
    <x v="10"/>
    <x v="4"/>
    <s v="MATERIAL DE EMPAQUE"/>
    <x v="2"/>
    <x v="375"/>
    <s v="UNIDADES"/>
    <n v="470.00240000000002"/>
    <n v="0"/>
    <n v="0"/>
    <n v="0"/>
    <n v="0"/>
    <n v="0"/>
    <x v="1"/>
  </r>
  <r>
    <x v="2"/>
    <x v="12"/>
    <x v="3"/>
    <s v="MATERIAL DE EMPAQUE"/>
    <x v="2"/>
    <x v="376"/>
    <s v="UNIDADES"/>
    <n v="470.00240000000002"/>
    <n v="-2"/>
    <n v="0"/>
    <n v="2"/>
    <n v="0"/>
    <n v="940.00480000000005"/>
    <x v="0"/>
  </r>
  <r>
    <x v="2"/>
    <x v="13"/>
    <x v="2"/>
    <s v="MATERIAL DE EMPAQUE"/>
    <x v="2"/>
    <x v="376"/>
    <s v="UNIDADES"/>
    <n v="470.00240000000002"/>
    <n v="0"/>
    <n v="0"/>
    <n v="0"/>
    <n v="0"/>
    <n v="0"/>
    <x v="1"/>
  </r>
  <r>
    <x v="2"/>
    <x v="10"/>
    <x v="4"/>
    <s v="MATERIAL DE EMPAQUE"/>
    <x v="2"/>
    <x v="376"/>
    <s v="UNIDADES"/>
    <n v="470.00240000000002"/>
    <n v="0"/>
    <n v="0"/>
    <n v="0"/>
    <n v="0"/>
    <n v="0"/>
    <x v="1"/>
  </r>
  <r>
    <x v="2"/>
    <x v="12"/>
    <x v="3"/>
    <s v="MATERIAL DE EMPAQUE"/>
    <x v="2"/>
    <x v="377"/>
    <s v="UNIDADES"/>
    <n v="521.92999999999995"/>
    <n v="200"/>
    <n v="17"/>
    <n v="-183"/>
    <n v="8872.81"/>
    <n v="-95513.189999999988"/>
    <x v="2"/>
  </r>
  <r>
    <x v="2"/>
    <x v="13"/>
    <x v="2"/>
    <s v="MATERIAL DE EMPAQUE"/>
    <x v="2"/>
    <x v="377"/>
    <s v="UNIDADES"/>
    <n v="521.92999999999995"/>
    <n v="200"/>
    <n v="200"/>
    <n v="-100"/>
    <n v="104385.99999999999"/>
    <n v="-52192.999999999993"/>
    <x v="2"/>
  </r>
  <r>
    <x v="2"/>
    <x v="10"/>
    <x v="4"/>
    <s v="MATERIAL DE EMPAQUE"/>
    <x v="2"/>
    <x v="377"/>
    <s v="UNIDADES"/>
    <n v="521.92999999999995"/>
    <n v="159"/>
    <n v="35"/>
    <n v="-124"/>
    <n v="18267.55"/>
    <n v="-64719.319999999992"/>
    <x v="2"/>
  </r>
  <r>
    <x v="2"/>
    <x v="12"/>
    <x v="3"/>
    <s v="MATERIAL DE EMPAQUE"/>
    <x v="2"/>
    <x v="378"/>
    <s v="UNIDADES"/>
    <n v="681.28"/>
    <n v="200"/>
    <n v="142"/>
    <n v="-58"/>
    <n v="96741.759999999995"/>
    <n v="-39514.239999999998"/>
    <x v="2"/>
  </r>
  <r>
    <x v="2"/>
    <x v="13"/>
    <x v="2"/>
    <s v="MATERIAL DE EMPAQUE"/>
    <x v="2"/>
    <x v="378"/>
    <s v="UNIDADES"/>
    <n v="681.28"/>
    <n v="500"/>
    <n v="200"/>
    <n v="-400"/>
    <n v="136256"/>
    <n v="-272512"/>
    <x v="2"/>
  </r>
  <r>
    <x v="2"/>
    <x v="10"/>
    <x v="4"/>
    <s v="MATERIAL DE EMPAQUE"/>
    <x v="2"/>
    <x v="378"/>
    <s v="UNIDADES"/>
    <n v="681.28"/>
    <n v="156"/>
    <n v="0"/>
    <n v="-156"/>
    <n v="0"/>
    <n v="-106279.67999999999"/>
    <x v="2"/>
  </r>
  <r>
    <x v="2"/>
    <x v="15"/>
    <x v="1"/>
    <s v="PROTEINAS"/>
    <x v="1"/>
    <x v="69"/>
    <s v="GRAMOS"/>
    <n v="10.11231527"/>
    <n v="-181200"/>
    <n v="35950"/>
    <n v="217150"/>
    <n v="363537.73395650001"/>
    <n v="2195889.2608805001"/>
    <x v="0"/>
  </r>
  <r>
    <x v="2"/>
    <x v="12"/>
    <x v="3"/>
    <s v="FRUVER"/>
    <x v="1"/>
    <x v="379"/>
    <s v="GRAMOS"/>
    <n v="13"/>
    <n v="494"/>
    <n v="500"/>
    <n v="-644"/>
    <n v="6500"/>
    <n v="-8372"/>
    <x v="2"/>
  </r>
  <r>
    <x v="2"/>
    <x v="14"/>
    <x v="0"/>
    <s v="FRUVER"/>
    <x v="1"/>
    <x v="379"/>
    <s v="GRAMOS"/>
    <n v="13"/>
    <n v="6230"/>
    <n v="160"/>
    <n v="-6070"/>
    <n v="2080"/>
    <n v="-78910"/>
    <x v="2"/>
  </r>
  <r>
    <x v="2"/>
    <x v="13"/>
    <x v="2"/>
    <s v="FRUVER"/>
    <x v="1"/>
    <x v="379"/>
    <s v="GRAMOS"/>
    <n v="13"/>
    <n v="713"/>
    <n v="472"/>
    <n v="-741"/>
    <n v="6136"/>
    <n v="-9633"/>
    <x v="2"/>
  </r>
  <r>
    <x v="2"/>
    <x v="15"/>
    <x v="1"/>
    <s v="FRUVER"/>
    <x v="1"/>
    <x v="379"/>
    <s v="GRAMOS"/>
    <n v="13"/>
    <n v="-60"/>
    <n v="500"/>
    <n v="559.99999590000004"/>
    <n v="6500"/>
    <n v="7279.9999467000007"/>
    <x v="0"/>
  </r>
  <r>
    <x v="2"/>
    <x v="16"/>
    <x v="5"/>
    <s v="FRUVER"/>
    <x v="1"/>
    <x v="379"/>
    <s v="GRAMOS"/>
    <n v="13"/>
    <n v="0"/>
    <n v="0"/>
    <n v="0"/>
    <n v="0"/>
    <n v="0"/>
    <x v="1"/>
  </r>
  <r>
    <x v="2"/>
    <x v="10"/>
    <x v="4"/>
    <s v="FRUVER"/>
    <x v="1"/>
    <x v="379"/>
    <s v="GRAMOS"/>
    <n v="13"/>
    <n v="1341"/>
    <n v="186"/>
    <n v="-1155"/>
    <n v="2418"/>
    <n v="-15015"/>
    <x v="2"/>
  </r>
  <r>
    <x v="2"/>
    <x v="12"/>
    <x v="3"/>
    <s v="VINOS"/>
    <x v="0"/>
    <x v="233"/>
    <s v="UNIDADES"/>
    <n v="125043"/>
    <n v="2"/>
    <n v="2"/>
    <n v="0"/>
    <n v="250086"/>
    <n v="0"/>
    <x v="1"/>
  </r>
  <r>
    <x v="2"/>
    <x v="13"/>
    <x v="2"/>
    <s v="VINOS"/>
    <x v="0"/>
    <x v="233"/>
    <s v="UNIDADES"/>
    <n v="125043"/>
    <n v="1"/>
    <n v="1"/>
    <n v="0"/>
    <n v="125043"/>
    <n v="0"/>
    <x v="1"/>
  </r>
  <r>
    <x v="2"/>
    <x v="10"/>
    <x v="4"/>
    <s v="VINOS"/>
    <x v="0"/>
    <x v="233"/>
    <s v="UNIDADES"/>
    <n v="125043"/>
    <n v="2"/>
    <n v="2"/>
    <n v="0"/>
    <n v="250086"/>
    <n v="0"/>
    <x v="1"/>
  </r>
  <r>
    <x v="2"/>
    <x v="14"/>
    <x v="0"/>
    <s v="SALSAS ESPECIAS Y CONDIMENTOS"/>
    <x v="1"/>
    <x v="380"/>
    <s v="GRAMOS"/>
    <n v="27.146000000000001"/>
    <n v="1613"/>
    <n v="1060"/>
    <n v="-553"/>
    <n v="28774.760000000002"/>
    <n v="-15011.738000000001"/>
    <x v="2"/>
  </r>
  <r>
    <x v="2"/>
    <x v="15"/>
    <x v="1"/>
    <s v="SALSAS ESPECIAS Y CONDIMENTOS"/>
    <x v="1"/>
    <x v="380"/>
    <s v="GRAMOS"/>
    <n v="27.146000000000001"/>
    <n v="1783.6934000000001"/>
    <n v="2000"/>
    <n v="216.30658"/>
    <n v="54292"/>
    <n v="5871.8584206799997"/>
    <x v="0"/>
  </r>
  <r>
    <x v="2"/>
    <x v="12"/>
    <x v="3"/>
    <s v="MATERIAL DE ASEO"/>
    <x v="3"/>
    <x v="381"/>
    <s v="GRAMOS"/>
    <n v="13.83777778"/>
    <n v="3600"/>
    <n v="0"/>
    <n v="-3600"/>
    <n v="0"/>
    <n v="-49816.000007999995"/>
    <x v="2"/>
  </r>
  <r>
    <x v="2"/>
    <x v="14"/>
    <x v="0"/>
    <s v="MATERIAL DE ASEO"/>
    <x v="3"/>
    <x v="381"/>
    <s v="GRAMOS"/>
    <n v="6.5141"/>
    <n v="32000"/>
    <n v="15"/>
    <n v="-31985"/>
    <n v="97.711500000000001"/>
    <n v="-208353.48850000001"/>
    <x v="2"/>
  </r>
  <r>
    <x v="2"/>
    <x v="13"/>
    <x v="2"/>
    <s v="MATERIAL DE ASEO"/>
    <x v="3"/>
    <x v="381"/>
    <s v="GRAMOS"/>
    <n v="13.83777778"/>
    <n v="3001.5"/>
    <n v="1500"/>
    <n v="-1501.5"/>
    <n v="20756.666669999999"/>
    <n v="-20777.423336669999"/>
    <x v="2"/>
  </r>
  <r>
    <x v="2"/>
    <x v="15"/>
    <x v="1"/>
    <s v="MATERIAL DE ASEO"/>
    <x v="3"/>
    <x v="381"/>
    <s v="GRAMOS"/>
    <n v="6.5141"/>
    <n v="54000"/>
    <n v="20000"/>
    <n v="-34000"/>
    <n v="130282"/>
    <n v="-221479.4"/>
    <x v="2"/>
  </r>
  <r>
    <x v="2"/>
    <x v="16"/>
    <x v="5"/>
    <s v="MATERIAL DE ASEO"/>
    <x v="3"/>
    <x v="381"/>
    <s v="GRAMOS"/>
    <n v="13.83777778"/>
    <n v="0"/>
    <n v="0"/>
    <n v="0"/>
    <n v="0"/>
    <n v="0"/>
    <x v="1"/>
  </r>
  <r>
    <x v="2"/>
    <x v="10"/>
    <x v="4"/>
    <s v="MATERIAL DE ASEO"/>
    <x v="3"/>
    <x v="381"/>
    <s v="GRAMOS"/>
    <n v="13.83777778"/>
    <n v="20000"/>
    <n v="4350"/>
    <n v="-15650"/>
    <n v="60194.333342999998"/>
    <n v="-216561.22225699999"/>
    <x v="2"/>
  </r>
  <r>
    <x v="2"/>
    <x v="12"/>
    <x v="3"/>
    <s v="NUECES ESPECIAS Y FRUTOS"/>
    <x v="1"/>
    <x v="382"/>
    <s v="GRAMOS"/>
    <n v="173.386"/>
    <n v="0"/>
    <n v="0"/>
    <n v="0"/>
    <n v="0"/>
    <n v="0"/>
    <x v="1"/>
  </r>
  <r>
    <x v="2"/>
    <x v="14"/>
    <x v="0"/>
    <s v="NUECES ESPECIAS Y FRUTOS"/>
    <x v="1"/>
    <x v="382"/>
    <s v="GRAMOS"/>
    <n v="173.386"/>
    <n v="730"/>
    <n v="860"/>
    <n v="130"/>
    <n v="149111.96"/>
    <n v="22540.18"/>
    <x v="0"/>
  </r>
  <r>
    <x v="2"/>
    <x v="13"/>
    <x v="2"/>
    <s v="NUECES ESPECIAS Y FRUTOS"/>
    <x v="1"/>
    <x v="382"/>
    <s v="GRAMOS"/>
    <n v="173.386"/>
    <n v="0"/>
    <n v="0"/>
    <n v="0"/>
    <n v="0"/>
    <n v="0"/>
    <x v="1"/>
  </r>
  <r>
    <x v="2"/>
    <x v="15"/>
    <x v="1"/>
    <s v="NUECES ESPECIAS Y FRUTOS"/>
    <x v="1"/>
    <x v="382"/>
    <s v="GRAMOS"/>
    <n v="173.386"/>
    <n v="520"/>
    <n v="500"/>
    <n v="-20"/>
    <n v="86693"/>
    <n v="-3467.72"/>
    <x v="2"/>
  </r>
  <r>
    <x v="2"/>
    <x v="10"/>
    <x v="4"/>
    <s v="NUECES ESPECIAS Y FRUTOS"/>
    <x v="1"/>
    <x v="382"/>
    <s v="GRAMOS"/>
    <n v="173.386"/>
    <n v="0"/>
    <n v="0"/>
    <n v="0"/>
    <n v="0"/>
    <n v="0"/>
    <x v="1"/>
  </r>
  <r>
    <x v="2"/>
    <x v="14"/>
    <x v="0"/>
    <s v="ABARROTES"/>
    <x v="1"/>
    <x v="383"/>
    <s v="GRAMOS"/>
    <n v="12.150080000000001"/>
    <n v="1305.1033"/>
    <n v="4192"/>
    <n v="2886.8966999999998"/>
    <n v="50933.13536"/>
    <n v="35076.025856736"/>
    <x v="0"/>
  </r>
  <r>
    <x v="2"/>
    <x v="12"/>
    <x v="3"/>
    <s v="ABARROTES"/>
    <x v="1"/>
    <x v="384"/>
    <s v="GRAMOS"/>
    <n v="12.150080000000001"/>
    <n v="0"/>
    <n v="0"/>
    <n v="0"/>
    <n v="0"/>
    <n v="0"/>
    <x v="1"/>
  </r>
  <r>
    <x v="2"/>
    <x v="14"/>
    <x v="0"/>
    <s v="ABARROTES"/>
    <x v="1"/>
    <x v="384"/>
    <s v="GRAMOS"/>
    <n v="12.150080000000001"/>
    <n v="28348.2016"/>
    <n v="24000"/>
    <n v="-4348.2016299999996"/>
    <n v="291601.92000000004"/>
    <n v="-52830.997660630397"/>
    <x v="2"/>
  </r>
  <r>
    <x v="2"/>
    <x v="13"/>
    <x v="2"/>
    <s v="ABARROTES"/>
    <x v="1"/>
    <x v="384"/>
    <s v="GRAMOS"/>
    <n v="12.150080000000001"/>
    <n v="0"/>
    <n v="0"/>
    <n v="0"/>
    <n v="0"/>
    <n v="0"/>
    <x v="1"/>
  </r>
  <r>
    <x v="2"/>
    <x v="15"/>
    <x v="1"/>
    <s v="ABARROTES"/>
    <x v="1"/>
    <x v="384"/>
    <s v="GRAMOS"/>
    <n v="12.150080000000001"/>
    <n v="270"/>
    <n v="0"/>
    <n v="-270"/>
    <n v="0"/>
    <n v="-3280.5216"/>
    <x v="2"/>
  </r>
  <r>
    <x v="2"/>
    <x v="10"/>
    <x v="4"/>
    <s v="ABARROTES"/>
    <x v="1"/>
    <x v="384"/>
    <s v="GRAMOS"/>
    <n v="12.150080000000001"/>
    <n v="-20"/>
    <n v="0"/>
    <n v="20"/>
    <n v="0"/>
    <n v="243.00160000000002"/>
    <x v="0"/>
  </r>
  <r>
    <x v="2"/>
    <x v="12"/>
    <x v="3"/>
    <s v="LICORES"/>
    <x v="0"/>
    <x v="141"/>
    <s v="ONZA"/>
    <n v="6045.125"/>
    <n v="21"/>
    <n v="21"/>
    <n v="0"/>
    <n v="126947.625"/>
    <n v="0"/>
    <x v="1"/>
  </r>
  <r>
    <x v="2"/>
    <x v="14"/>
    <x v="0"/>
    <s v="LICORES"/>
    <x v="0"/>
    <x v="141"/>
    <s v="ONZA"/>
    <n v="1665.04166667"/>
    <n v="19"/>
    <n v="19"/>
    <n v="0"/>
    <n v="31635.791666730001"/>
    <n v="0"/>
    <x v="1"/>
  </r>
  <r>
    <x v="2"/>
    <x v="13"/>
    <x v="2"/>
    <s v="LICORES"/>
    <x v="0"/>
    <x v="141"/>
    <s v="ONZA"/>
    <n v="6045.125"/>
    <n v="13"/>
    <n v="13"/>
    <n v="0"/>
    <n v="78586.625"/>
    <n v="0"/>
    <x v="1"/>
  </r>
  <r>
    <x v="2"/>
    <x v="15"/>
    <x v="1"/>
    <s v="LICORES"/>
    <x v="0"/>
    <x v="141"/>
    <s v="ONZA"/>
    <n v="1665.04166667"/>
    <n v="24"/>
    <n v="0"/>
    <n v="-24"/>
    <n v="0"/>
    <n v="-39961.000000079999"/>
    <x v="2"/>
  </r>
  <r>
    <x v="2"/>
    <x v="10"/>
    <x v="4"/>
    <s v="LICORES"/>
    <x v="0"/>
    <x v="141"/>
    <s v="ONZA"/>
    <n v="6045.125"/>
    <n v="5.78"/>
    <n v="9"/>
    <n v="3.22"/>
    <n v="54406.125"/>
    <n v="19465.302500000002"/>
    <x v="0"/>
  </r>
  <r>
    <x v="2"/>
    <x v="15"/>
    <x v="1"/>
    <s v="LICORES"/>
    <x v="0"/>
    <x v="123"/>
    <s v="ONZA"/>
    <n v="2665.4166666699998"/>
    <n v="23"/>
    <n v="24"/>
    <n v="1"/>
    <n v="63970.000000079992"/>
    <n v="2665.4166666699998"/>
    <x v="0"/>
  </r>
  <r>
    <x v="2"/>
    <x v="12"/>
    <x v="3"/>
    <s v="SALSAS ESPECIAS Y CONDIMENTOS"/>
    <x v="1"/>
    <x v="385"/>
    <s v="GRAMOS"/>
    <n v="120"/>
    <n v="0"/>
    <n v="0"/>
    <n v="0"/>
    <n v="0"/>
    <n v="0"/>
    <x v="1"/>
  </r>
  <r>
    <x v="2"/>
    <x v="14"/>
    <x v="0"/>
    <s v="SALSAS ESPECIAS Y CONDIMENTOS"/>
    <x v="1"/>
    <x v="385"/>
    <s v="GRAMOS"/>
    <n v="120"/>
    <n v="91"/>
    <n v="340"/>
    <n v="249"/>
    <n v="40800"/>
    <n v="29880"/>
    <x v="0"/>
  </r>
  <r>
    <x v="2"/>
    <x v="13"/>
    <x v="2"/>
    <s v="SALSAS ESPECIAS Y CONDIMENTOS"/>
    <x v="1"/>
    <x v="385"/>
    <s v="GRAMOS"/>
    <n v="120"/>
    <n v="0"/>
    <n v="0"/>
    <n v="0"/>
    <n v="0"/>
    <n v="0"/>
    <x v="1"/>
  </r>
  <r>
    <x v="2"/>
    <x v="10"/>
    <x v="4"/>
    <s v="SALSAS ESPECIAS Y CONDIMENTOS"/>
    <x v="1"/>
    <x v="385"/>
    <s v="GRAMOS"/>
    <n v="120"/>
    <n v="0"/>
    <n v="0"/>
    <n v="0"/>
    <n v="0"/>
    <n v="0"/>
    <x v="1"/>
  </r>
  <r>
    <x v="2"/>
    <x v="15"/>
    <x v="1"/>
    <s v="PESCADOS Y MARISCOS"/>
    <x v="1"/>
    <x v="298"/>
    <s v="GRAMOS"/>
    <n v="326.20299999999997"/>
    <n v="-270"/>
    <n v="504"/>
    <n v="774"/>
    <n v="164406.31199999998"/>
    <n v="252481.12199999997"/>
    <x v="0"/>
  </r>
  <r>
    <x v="2"/>
    <x v="12"/>
    <x v="3"/>
    <s v="LICORES"/>
    <x v="0"/>
    <x v="39"/>
    <s v="ONZA"/>
    <n v="3951.875"/>
    <n v="80"/>
    <n v="82"/>
    <n v="2"/>
    <n v="324053.75"/>
    <n v="7903.75"/>
    <x v="0"/>
  </r>
  <r>
    <x v="2"/>
    <x v="14"/>
    <x v="0"/>
    <s v="LICORES"/>
    <x v="0"/>
    <x v="39"/>
    <s v="ONZA"/>
    <n v="3313.8958333300002"/>
    <n v="38"/>
    <n v="42"/>
    <n v="4"/>
    <n v="139183.62499986001"/>
    <n v="13255.583333320001"/>
    <x v="0"/>
  </r>
  <r>
    <x v="2"/>
    <x v="13"/>
    <x v="2"/>
    <s v="LICORES"/>
    <x v="0"/>
    <x v="39"/>
    <s v="ONZA"/>
    <n v="3951.875"/>
    <n v="12"/>
    <n v="19"/>
    <n v="7"/>
    <n v="75085.625"/>
    <n v="27663.125"/>
    <x v="0"/>
  </r>
  <r>
    <x v="2"/>
    <x v="15"/>
    <x v="1"/>
    <s v="LICORES"/>
    <x v="0"/>
    <x v="39"/>
    <s v="ONZA"/>
    <n v="3313.8958333300002"/>
    <n v="57"/>
    <n v="60"/>
    <n v="3"/>
    <n v="198833.7499998"/>
    <n v="9941.687499990001"/>
    <x v="0"/>
  </r>
  <r>
    <x v="2"/>
    <x v="10"/>
    <x v="4"/>
    <s v="LICORES"/>
    <x v="0"/>
    <x v="39"/>
    <s v="ONZA"/>
    <n v="3951.875"/>
    <n v="105"/>
    <n v="109.89"/>
    <n v="4.8899999999999997"/>
    <n v="434271.54375000001"/>
    <n v="19324.668749999997"/>
    <x v="0"/>
  </r>
  <r>
    <x v="2"/>
    <x v="12"/>
    <x v="3"/>
    <s v="FRUVER"/>
    <x v="1"/>
    <x v="386"/>
    <s v="GRAMOS"/>
    <n v="2200"/>
    <n v="4095"/>
    <n v="1072000"/>
    <n v="1067905"/>
    <n v="2358400000"/>
    <n v="2349391000"/>
    <x v="0"/>
  </r>
  <r>
    <x v="2"/>
    <x v="14"/>
    <x v="0"/>
    <s v="FRUVER"/>
    <x v="1"/>
    <x v="386"/>
    <s v="GRAMOS"/>
    <n v="2200"/>
    <n v="1750"/>
    <n v="0"/>
    <n v="-1750"/>
    <n v="0"/>
    <n v="-3850000"/>
    <x v="2"/>
  </r>
  <r>
    <x v="2"/>
    <x v="13"/>
    <x v="2"/>
    <s v="FRUVER"/>
    <x v="1"/>
    <x v="386"/>
    <s v="GRAMOS"/>
    <n v="2200"/>
    <n v="4059.1318999999999"/>
    <n v="1374000"/>
    <n v="1369190.86812"/>
    <n v="3022800000"/>
    <n v="3012219909.8639998"/>
    <x v="0"/>
  </r>
  <r>
    <x v="2"/>
    <x v="15"/>
    <x v="1"/>
    <s v="FRUVER"/>
    <x v="1"/>
    <x v="386"/>
    <s v="GRAMOS"/>
    <n v="2.2000000000000002"/>
    <n v="7703.0001000000002"/>
    <n v="7200"/>
    <n v="-503.00009999999997"/>
    <n v="15840.000000000002"/>
    <n v="-1106.60022"/>
    <x v="2"/>
  </r>
  <r>
    <x v="2"/>
    <x v="10"/>
    <x v="4"/>
    <s v="FRUVER"/>
    <x v="1"/>
    <x v="386"/>
    <s v="GRAMOS"/>
    <n v="2200"/>
    <n v="5078"/>
    <n v="2298000"/>
    <n v="2292922"/>
    <n v="5055600000"/>
    <n v="5044428400"/>
    <x v="0"/>
  </r>
  <r>
    <x v="2"/>
    <x v="12"/>
    <x v="3"/>
    <s v="FRUVER"/>
    <x v="1"/>
    <x v="387"/>
    <s v="GRAMOS"/>
    <n v="60"/>
    <n v="0"/>
    <n v="0"/>
    <n v="0"/>
    <n v="0"/>
    <n v="0"/>
    <x v="1"/>
  </r>
  <r>
    <x v="2"/>
    <x v="14"/>
    <x v="0"/>
    <s v="FRUVER"/>
    <x v="1"/>
    <x v="387"/>
    <s v="GRAMOS"/>
    <n v="60"/>
    <n v="1377"/>
    <n v="300"/>
    <n v="-1077"/>
    <n v="18000"/>
    <n v="-64620"/>
    <x v="2"/>
  </r>
  <r>
    <x v="2"/>
    <x v="13"/>
    <x v="2"/>
    <s v="FRUVER"/>
    <x v="1"/>
    <x v="387"/>
    <s v="GRAMOS"/>
    <n v="60"/>
    <n v="0"/>
    <n v="0"/>
    <n v="0"/>
    <n v="0"/>
    <n v="0"/>
    <x v="1"/>
  </r>
  <r>
    <x v="2"/>
    <x v="15"/>
    <x v="1"/>
    <s v="FRUVER"/>
    <x v="1"/>
    <x v="387"/>
    <s v="GRAMOS"/>
    <n v="60"/>
    <n v="0"/>
    <n v="0"/>
    <n v="0"/>
    <n v="0"/>
    <n v="0"/>
    <x v="1"/>
  </r>
  <r>
    <x v="2"/>
    <x v="10"/>
    <x v="4"/>
    <s v="FRUVER"/>
    <x v="1"/>
    <x v="387"/>
    <s v="GRAMOS"/>
    <n v="60"/>
    <n v="0"/>
    <n v="0"/>
    <n v="0"/>
    <n v="0"/>
    <n v="0"/>
    <x v="1"/>
  </r>
  <r>
    <x v="2"/>
    <x v="12"/>
    <x v="3"/>
    <s v="LACTEOS"/>
    <x v="1"/>
    <x v="388"/>
    <s v="GRAMOS"/>
    <n v="18.725999999999999"/>
    <n v="5380"/>
    <n v="1914"/>
    <n v="-3466"/>
    <n v="35841.563999999998"/>
    <n v="-64904.315999999999"/>
    <x v="2"/>
  </r>
  <r>
    <x v="2"/>
    <x v="14"/>
    <x v="0"/>
    <s v="LACTEOS"/>
    <x v="1"/>
    <x v="388"/>
    <s v="GRAMOS"/>
    <n v="16.915926049999999"/>
    <n v="12700"/>
    <n v="9000"/>
    <n v="-3700"/>
    <n v="152243.33444999999"/>
    <n v="-62588.926384999999"/>
    <x v="2"/>
  </r>
  <r>
    <x v="2"/>
    <x v="13"/>
    <x v="2"/>
    <s v="LACTEOS"/>
    <x v="1"/>
    <x v="388"/>
    <s v="GRAMOS"/>
    <n v="18.725999999999999"/>
    <n v="6950"/>
    <n v="6750"/>
    <n v="-5200"/>
    <n v="126400.5"/>
    <n v="-97375.2"/>
    <x v="2"/>
  </r>
  <r>
    <x v="2"/>
    <x v="15"/>
    <x v="1"/>
    <s v="LACTEOS"/>
    <x v="1"/>
    <x v="388"/>
    <s v="GRAMOS"/>
    <n v="16.915926049999999"/>
    <n v="1200"/>
    <n v="0"/>
    <n v="-1200"/>
    <n v="0"/>
    <n v="-20299.111259999998"/>
    <x v="2"/>
  </r>
  <r>
    <x v="2"/>
    <x v="16"/>
    <x v="5"/>
    <s v="LACTEOS"/>
    <x v="1"/>
    <x v="388"/>
    <s v="GRAMOS"/>
    <n v="18.725999999999999"/>
    <n v="3301"/>
    <n v="3400"/>
    <n v="99"/>
    <n v="63668.399999999994"/>
    <n v="1853.8739999999998"/>
    <x v="0"/>
  </r>
  <r>
    <x v="2"/>
    <x v="10"/>
    <x v="4"/>
    <s v="LACTEOS"/>
    <x v="1"/>
    <x v="388"/>
    <s v="GRAMOS"/>
    <n v="18.725999999999999"/>
    <n v="14050"/>
    <n v="5000"/>
    <n v="-9050"/>
    <n v="93630"/>
    <n v="-169470.3"/>
    <x v="2"/>
  </r>
  <r>
    <x v="2"/>
    <x v="12"/>
    <x v="3"/>
    <s v="ABARROTES"/>
    <x v="1"/>
    <x v="389"/>
    <s v="GRAMOS"/>
    <n v="202.15"/>
    <n v="380"/>
    <n v="340"/>
    <n v="-40"/>
    <n v="68731"/>
    <n v="-8086"/>
    <x v="2"/>
  </r>
  <r>
    <x v="2"/>
    <x v="14"/>
    <x v="0"/>
    <s v="ABARROTES"/>
    <x v="1"/>
    <x v="389"/>
    <s v="GRAMOS"/>
    <n v="202.15"/>
    <n v="3400"/>
    <n v="1850"/>
    <n v="-1550"/>
    <n v="373977.5"/>
    <n v="-313332.5"/>
    <x v="2"/>
  </r>
  <r>
    <x v="2"/>
    <x v="13"/>
    <x v="2"/>
    <s v="ABARROTES"/>
    <x v="1"/>
    <x v="389"/>
    <s v="GRAMOS"/>
    <n v="202.15"/>
    <n v="600"/>
    <n v="500"/>
    <n v="-100"/>
    <n v="101075"/>
    <n v="-20215"/>
    <x v="2"/>
  </r>
  <r>
    <x v="2"/>
    <x v="15"/>
    <x v="1"/>
    <s v="ABARROTES"/>
    <x v="1"/>
    <x v="389"/>
    <s v="GRAMOS"/>
    <n v="202.15"/>
    <n v="1500"/>
    <n v="350"/>
    <n v="-1150"/>
    <n v="70752.5"/>
    <n v="-232472.5"/>
    <x v="2"/>
  </r>
  <r>
    <x v="2"/>
    <x v="10"/>
    <x v="4"/>
    <s v="ABARROTES"/>
    <x v="1"/>
    <x v="389"/>
    <s v="GRAMOS"/>
    <n v="202.15"/>
    <n v="650"/>
    <n v="370"/>
    <n v="-280"/>
    <n v="74795.5"/>
    <n v="-56602"/>
    <x v="2"/>
  </r>
  <r>
    <x v="2"/>
    <x v="12"/>
    <x v="3"/>
    <s v="INSUMOS BAR"/>
    <x v="0"/>
    <x v="390"/>
    <s v="UNIDADES"/>
    <n v="1600"/>
    <n v="0"/>
    <n v="0"/>
    <n v="0"/>
    <n v="0"/>
    <n v="0"/>
    <x v="1"/>
  </r>
  <r>
    <x v="2"/>
    <x v="13"/>
    <x v="2"/>
    <s v="INSUMOS BAR"/>
    <x v="0"/>
    <x v="390"/>
    <s v="UNIDADES"/>
    <n v="1600"/>
    <n v="0"/>
    <n v="0"/>
    <n v="0"/>
    <n v="0"/>
    <n v="0"/>
    <x v="1"/>
  </r>
  <r>
    <x v="2"/>
    <x v="10"/>
    <x v="4"/>
    <s v="INSUMOS BAR"/>
    <x v="0"/>
    <x v="390"/>
    <s v="UNIDADES"/>
    <n v="1600"/>
    <n v="0"/>
    <n v="0"/>
    <n v="0"/>
    <n v="0"/>
    <n v="0"/>
    <x v="1"/>
  </r>
  <r>
    <x v="2"/>
    <x v="12"/>
    <x v="3"/>
    <s v="ABARROTES"/>
    <x v="1"/>
    <x v="391"/>
    <s v="GRAMOS"/>
    <n v="10.616"/>
    <n v="71000"/>
    <n v="42000"/>
    <n v="-29000"/>
    <n v="445872"/>
    <n v="-307864"/>
    <x v="2"/>
  </r>
  <r>
    <x v="2"/>
    <x v="14"/>
    <x v="0"/>
    <s v="ABARROTES"/>
    <x v="1"/>
    <x v="391"/>
    <s v="GRAMOS"/>
    <n v="10.616"/>
    <n v="45900"/>
    <n v="39000"/>
    <n v="-6900"/>
    <n v="414024"/>
    <n v="-73250.399999999994"/>
    <x v="2"/>
  </r>
  <r>
    <x v="2"/>
    <x v="13"/>
    <x v="2"/>
    <s v="ABARROTES"/>
    <x v="1"/>
    <x v="391"/>
    <s v="GRAMOS"/>
    <n v="10.616"/>
    <n v="108668"/>
    <n v="23000"/>
    <n v="-105668"/>
    <n v="244168"/>
    <n v="-1121771.4879999999"/>
    <x v="2"/>
  </r>
  <r>
    <x v="2"/>
    <x v="15"/>
    <x v="1"/>
    <s v="ABARROTES"/>
    <x v="1"/>
    <x v="391"/>
    <s v="GRAMOS"/>
    <n v="10.616"/>
    <n v="0"/>
    <n v="0"/>
    <n v="0"/>
    <n v="0"/>
    <n v="0"/>
    <x v="1"/>
  </r>
  <r>
    <x v="2"/>
    <x v="10"/>
    <x v="4"/>
    <s v="ABARROTES"/>
    <x v="1"/>
    <x v="391"/>
    <s v="GRAMOS"/>
    <n v="10.616"/>
    <n v="118000"/>
    <n v="17000"/>
    <n v="-101000"/>
    <n v="180472"/>
    <n v="-1072216"/>
    <x v="2"/>
  </r>
  <r>
    <x v="2"/>
    <x v="14"/>
    <x v="0"/>
    <s v="ABARROTES"/>
    <x v="1"/>
    <x v="392"/>
    <s v="GRAMOS"/>
    <n v="29"/>
    <n v="5000"/>
    <n v="3000"/>
    <n v="-2000"/>
    <n v="87000"/>
    <n v="-58000"/>
    <x v="2"/>
  </r>
  <r>
    <x v="2"/>
    <x v="12"/>
    <x v="3"/>
    <s v="FRUVER"/>
    <x v="1"/>
    <x v="393"/>
    <s v="GRAMOS"/>
    <n v="11.98"/>
    <n v="0"/>
    <n v="0"/>
    <n v="0"/>
    <n v="0"/>
    <n v="0"/>
    <x v="1"/>
  </r>
  <r>
    <x v="2"/>
    <x v="14"/>
    <x v="0"/>
    <s v="FRUVER"/>
    <x v="1"/>
    <x v="393"/>
    <s v="GRAMOS"/>
    <n v="22"/>
    <n v="2000"/>
    <n v="0"/>
    <n v="-2000"/>
    <n v="0"/>
    <n v="-44000"/>
    <x v="2"/>
  </r>
  <r>
    <x v="2"/>
    <x v="13"/>
    <x v="2"/>
    <s v="FRUVER"/>
    <x v="1"/>
    <x v="393"/>
    <s v="GRAMOS"/>
    <n v="11.98"/>
    <n v="0"/>
    <n v="0"/>
    <n v="0"/>
    <n v="0"/>
    <n v="0"/>
    <x v="1"/>
  </r>
  <r>
    <x v="2"/>
    <x v="15"/>
    <x v="1"/>
    <s v="FRUVER"/>
    <x v="1"/>
    <x v="393"/>
    <s v="GRAMOS"/>
    <n v="22"/>
    <n v="1450"/>
    <n v="0"/>
    <n v="-1450"/>
    <n v="0"/>
    <n v="-31900"/>
    <x v="2"/>
  </r>
  <r>
    <x v="2"/>
    <x v="10"/>
    <x v="4"/>
    <s v="FRUVER"/>
    <x v="1"/>
    <x v="393"/>
    <s v="GRAMOS"/>
    <n v="11.98"/>
    <n v="0"/>
    <n v="2000"/>
    <n v="2000"/>
    <n v="23960"/>
    <n v="23960"/>
    <x v="0"/>
  </r>
  <r>
    <x v="2"/>
    <x v="12"/>
    <x v="3"/>
    <s v="ABARROTES"/>
    <x v="1"/>
    <x v="394"/>
    <s v="GRAMOS"/>
    <n v="18.245000000000001"/>
    <n v="2500"/>
    <n v="2000"/>
    <n v="-500"/>
    <n v="36490"/>
    <n v="-9122.5"/>
    <x v="2"/>
  </r>
  <r>
    <x v="2"/>
    <x v="13"/>
    <x v="2"/>
    <s v="ABARROTES"/>
    <x v="1"/>
    <x v="394"/>
    <s v="GRAMOS"/>
    <n v="18.245000000000001"/>
    <n v="2566"/>
    <n v="2000"/>
    <n v="-566"/>
    <n v="36490"/>
    <n v="-10326.67"/>
    <x v="2"/>
  </r>
  <r>
    <x v="2"/>
    <x v="10"/>
    <x v="4"/>
    <s v="ABARROTES"/>
    <x v="1"/>
    <x v="394"/>
    <s v="GRAMOS"/>
    <n v="18.245000000000001"/>
    <n v="2000"/>
    <n v="0"/>
    <n v="-2000"/>
    <n v="0"/>
    <n v="-36490"/>
    <x v="2"/>
  </r>
  <r>
    <x v="2"/>
    <x v="12"/>
    <x v="3"/>
    <s v="PESCADOS Y MARISCOS"/>
    <x v="1"/>
    <x v="34"/>
    <s v="UNIDADES"/>
    <n v="8233.3333333299997"/>
    <n v="0"/>
    <n v="0"/>
    <n v="0"/>
    <n v="0"/>
    <n v="0"/>
    <x v="1"/>
  </r>
  <r>
    <x v="2"/>
    <x v="14"/>
    <x v="0"/>
    <s v="PESCADOS Y MARISCOS"/>
    <x v="1"/>
    <x v="34"/>
    <s v="UNIDADES"/>
    <n v="8233.3333333299997"/>
    <n v="9"/>
    <n v="19"/>
    <n v="10"/>
    <n v="156433.33333326998"/>
    <n v="82333.33333329999"/>
    <x v="0"/>
  </r>
  <r>
    <x v="2"/>
    <x v="13"/>
    <x v="2"/>
    <s v="PESCADOS Y MARISCOS"/>
    <x v="1"/>
    <x v="34"/>
    <s v="UNIDADES"/>
    <n v="8233.3333333299997"/>
    <n v="0"/>
    <n v="0"/>
    <n v="0"/>
    <n v="0"/>
    <n v="0"/>
    <x v="1"/>
  </r>
  <r>
    <x v="2"/>
    <x v="10"/>
    <x v="4"/>
    <s v="PESCADOS Y MARISCOS"/>
    <x v="1"/>
    <x v="34"/>
    <s v="UNIDADES"/>
    <n v="8233.3333333299997"/>
    <n v="0"/>
    <n v="0"/>
    <n v="0"/>
    <n v="0"/>
    <n v="0"/>
    <x v="1"/>
  </r>
  <r>
    <x v="2"/>
    <x v="12"/>
    <x v="3"/>
    <s v="ABARROTES"/>
    <x v="1"/>
    <x v="395"/>
    <s v="GRAMOS"/>
    <n v="4.8816800000000002"/>
    <n v="24549.679599999999"/>
    <n v="14070"/>
    <n v="-22979.679599999999"/>
    <n v="68685.237600000008"/>
    <n v="-112179.44230972801"/>
    <x v="2"/>
  </r>
  <r>
    <x v="2"/>
    <x v="14"/>
    <x v="0"/>
    <s v="ABARROTES"/>
    <x v="1"/>
    <x v="395"/>
    <s v="GRAMOS"/>
    <n v="4.8816600000000001"/>
    <n v="135885.052"/>
    <n v="44414"/>
    <n v="-91471.052041999996"/>
    <n v="216814.04724000001"/>
    <n v="-446530.57591134973"/>
    <x v="2"/>
  </r>
  <r>
    <x v="2"/>
    <x v="13"/>
    <x v="2"/>
    <s v="ABARROTES"/>
    <x v="1"/>
    <x v="395"/>
    <s v="GRAMOS"/>
    <n v="4.8816800000000002"/>
    <n v="78266"/>
    <n v="17500"/>
    <n v="-60766"/>
    <n v="85429.400000000009"/>
    <n v="-296640.16688000003"/>
    <x v="2"/>
  </r>
  <r>
    <x v="2"/>
    <x v="15"/>
    <x v="1"/>
    <s v="ABARROTES"/>
    <x v="1"/>
    <x v="395"/>
    <s v="GRAMOS"/>
    <n v="4.8816600000000001"/>
    <n v="85892.135500000004"/>
    <n v="30000"/>
    <n v="-55892.135499999997"/>
    <n v="146449.80000000002"/>
    <n v="-272846.40218492999"/>
    <x v="2"/>
  </r>
  <r>
    <x v="2"/>
    <x v="16"/>
    <x v="5"/>
    <s v="ABARROTES"/>
    <x v="1"/>
    <x v="395"/>
    <s v="GRAMOS"/>
    <n v="4.8816800000000002"/>
    <n v="-16560"/>
    <n v="0"/>
    <n v="16560"/>
    <n v="0"/>
    <n v="80840.620800000004"/>
    <x v="0"/>
  </r>
  <r>
    <x v="2"/>
    <x v="10"/>
    <x v="4"/>
    <s v="ABARROTES"/>
    <x v="1"/>
    <x v="395"/>
    <s v="GRAMOS"/>
    <n v="4.8816800000000002"/>
    <n v="88160"/>
    <n v="27500"/>
    <n v="-60660"/>
    <n v="134246.20000000001"/>
    <n v="-296122.70880000002"/>
    <x v="2"/>
  </r>
  <r>
    <x v="2"/>
    <x v="15"/>
    <x v="1"/>
    <s v="AZUCAR PANELA Y ENDULZANTE"/>
    <x v="1"/>
    <x v="396"/>
    <s v="GRAMOS"/>
    <n v="5.38984547"/>
    <n v="1698.69"/>
    <n v="0"/>
    <n v="-1698.69002"/>
    <n v="0"/>
    <n v="-9155.6767092312093"/>
    <x v="2"/>
  </r>
  <r>
    <x v="2"/>
    <x v="14"/>
    <x v="0"/>
    <s v="ABARROTES"/>
    <x v="1"/>
    <x v="397"/>
    <s v="GRAMOS"/>
    <n v="7.7007000000000003"/>
    <n v="1405"/>
    <n v="2800"/>
    <n v="1395"/>
    <n v="21561.96"/>
    <n v="10742.476500000001"/>
    <x v="0"/>
  </r>
  <r>
    <x v="2"/>
    <x v="15"/>
    <x v="1"/>
    <s v="ABARROTES"/>
    <x v="1"/>
    <x v="397"/>
    <s v="GRAMOS"/>
    <n v="7.7007000000000003"/>
    <n v="-198"/>
    <n v="0"/>
    <n v="198"/>
    <n v="0"/>
    <n v="1524.7386000000001"/>
    <x v="0"/>
  </r>
  <r>
    <x v="2"/>
    <x v="12"/>
    <x v="3"/>
    <s v="ABARROTES"/>
    <x v="1"/>
    <x v="398"/>
    <s v="UNIDADES"/>
    <n v="32.939"/>
    <n v="256"/>
    <n v="80"/>
    <n v="-176"/>
    <n v="2635.12"/>
    <n v="-5797.2640000000001"/>
    <x v="2"/>
  </r>
  <r>
    <x v="2"/>
    <x v="14"/>
    <x v="0"/>
    <s v="ABARROTES"/>
    <x v="1"/>
    <x v="398"/>
    <s v="UNIDADES"/>
    <n v="32.9375"/>
    <n v="800"/>
    <n v="800"/>
    <n v="0"/>
    <n v="26350"/>
    <n v="0"/>
    <x v="1"/>
  </r>
  <r>
    <x v="2"/>
    <x v="13"/>
    <x v="2"/>
    <s v="ABARROTES"/>
    <x v="1"/>
    <x v="398"/>
    <s v="UNIDADES"/>
    <n v="32.939"/>
    <n v="0"/>
    <n v="180"/>
    <n v="180"/>
    <n v="5929.02"/>
    <n v="5929.02"/>
    <x v="0"/>
  </r>
  <r>
    <x v="2"/>
    <x v="15"/>
    <x v="1"/>
    <s v="ABARROTES"/>
    <x v="1"/>
    <x v="398"/>
    <s v="UNIDADES"/>
    <n v="32.9375"/>
    <n v="1000"/>
    <n v="100"/>
    <n v="-900"/>
    <n v="3293.75"/>
    <n v="-29643.75"/>
    <x v="2"/>
  </r>
  <r>
    <x v="2"/>
    <x v="10"/>
    <x v="4"/>
    <s v="ABARROTES"/>
    <x v="1"/>
    <x v="398"/>
    <s v="UNIDADES"/>
    <n v="32.939"/>
    <n v="0"/>
    <n v="480"/>
    <n v="480"/>
    <n v="15810.72"/>
    <n v="15810.72"/>
    <x v="0"/>
  </r>
  <r>
    <x v="2"/>
    <x v="14"/>
    <x v="0"/>
    <s v="PANADERIA Y PASTELERIA "/>
    <x v="1"/>
    <x v="399"/>
    <s v="UNIDADES"/>
    <n v="2840"/>
    <n v="-6"/>
    <n v="0"/>
    <n v="6"/>
    <n v="0"/>
    <n v="17040"/>
    <x v="0"/>
  </r>
  <r>
    <x v="2"/>
    <x v="15"/>
    <x v="1"/>
    <s v="PANADERIA Y PASTELERIA "/>
    <x v="1"/>
    <x v="399"/>
    <s v="UNIDADES"/>
    <n v="2840"/>
    <n v="15"/>
    <n v="12"/>
    <n v="-3"/>
    <n v="34080"/>
    <n v="-8520"/>
    <x v="2"/>
  </r>
  <r>
    <x v="2"/>
    <x v="12"/>
    <x v="3"/>
    <s v="LICORES"/>
    <x v="0"/>
    <x v="56"/>
    <s v="ONZA"/>
    <n v="2309.40625"/>
    <n v="4"/>
    <n v="4"/>
    <n v="0"/>
    <n v="9237.625"/>
    <n v="0"/>
    <x v="1"/>
  </r>
  <r>
    <x v="2"/>
    <x v="14"/>
    <x v="0"/>
    <s v="LICORES"/>
    <x v="0"/>
    <x v="56"/>
    <s v="ONZA"/>
    <n v="3362.90625"/>
    <n v="38"/>
    <n v="36"/>
    <n v="-2"/>
    <n v="121064.625"/>
    <n v="-6725.8125"/>
    <x v="2"/>
  </r>
  <r>
    <x v="2"/>
    <x v="13"/>
    <x v="2"/>
    <s v="LICORES"/>
    <x v="0"/>
    <x v="56"/>
    <s v="ONZA"/>
    <n v="2309.40625"/>
    <n v="33"/>
    <n v="32"/>
    <n v="-1"/>
    <n v="73901"/>
    <n v="-2309.40625"/>
    <x v="2"/>
  </r>
  <r>
    <x v="2"/>
    <x v="10"/>
    <x v="4"/>
    <s v="LICORES"/>
    <x v="0"/>
    <x v="56"/>
    <s v="ONZA"/>
    <n v="2309.40625"/>
    <n v="16.61"/>
    <n v="15.5"/>
    <n v="-1.1100000000000001"/>
    <n v="35795.796875"/>
    <n v="-2563.4409375"/>
    <x v="2"/>
  </r>
  <r>
    <x v="2"/>
    <x v="14"/>
    <x v="0"/>
    <s v="FRUVER"/>
    <x v="1"/>
    <x v="400"/>
    <s v="GRAMOS"/>
    <n v="2.5"/>
    <n v="6072.8572000000004"/>
    <n v="790"/>
    <n v="-5282.8571899999997"/>
    <n v="1975"/>
    <n v="-13207.142974999999"/>
    <x v="2"/>
  </r>
  <r>
    <x v="2"/>
    <x v="16"/>
    <x v="5"/>
    <s v="MATERIAL DE EMPAQUE"/>
    <x v="2"/>
    <x v="401"/>
    <s v="UNIDADES"/>
    <n v="411.7731"/>
    <n v="169"/>
    <n v="0"/>
    <n v="-169"/>
    <n v="0"/>
    <n v="-69589.653900000005"/>
    <x v="2"/>
  </r>
  <r>
    <x v="2"/>
    <x v="16"/>
    <x v="5"/>
    <s v="MATERIAL DE EMPAQUE"/>
    <x v="2"/>
    <x v="402"/>
    <s v="UNIDADES"/>
    <n v="3445.5882352499998"/>
    <n v="0"/>
    <n v="0"/>
    <n v="0"/>
    <n v="0"/>
    <n v="0"/>
    <x v="1"/>
  </r>
  <r>
    <x v="2"/>
    <x v="12"/>
    <x v="3"/>
    <s v="FRUVER"/>
    <x v="1"/>
    <x v="403"/>
    <s v="GRAMOS"/>
    <n v="6.5"/>
    <n v="480"/>
    <n v="0"/>
    <n v="-480"/>
    <n v="0"/>
    <n v="-3120"/>
    <x v="2"/>
  </r>
  <r>
    <x v="2"/>
    <x v="13"/>
    <x v="2"/>
    <s v="FRUVER"/>
    <x v="1"/>
    <x v="403"/>
    <s v="GRAMOS"/>
    <n v="6.5"/>
    <n v="0"/>
    <n v="0"/>
    <n v="0"/>
    <n v="0"/>
    <n v="0"/>
    <x v="1"/>
  </r>
  <r>
    <x v="2"/>
    <x v="10"/>
    <x v="4"/>
    <s v="FRUVER"/>
    <x v="1"/>
    <x v="403"/>
    <s v="GRAMOS"/>
    <n v="6.5"/>
    <n v="0"/>
    <n v="0"/>
    <n v="0"/>
    <n v="0"/>
    <n v="0"/>
    <x v="1"/>
  </r>
  <r>
    <x v="2"/>
    <x v="12"/>
    <x v="3"/>
    <s v="FRUVER"/>
    <x v="1"/>
    <x v="404"/>
    <s v="GRAMOS"/>
    <n v="7"/>
    <n v="2791"/>
    <n v="0"/>
    <n v="-3191"/>
    <n v="0"/>
    <n v="-22337"/>
    <x v="2"/>
  </r>
  <r>
    <x v="2"/>
    <x v="14"/>
    <x v="0"/>
    <s v="FRUVER"/>
    <x v="1"/>
    <x v="404"/>
    <s v="GRAMOS"/>
    <n v="7"/>
    <n v="8749"/>
    <n v="0"/>
    <n v="-8749"/>
    <n v="0"/>
    <n v="-61243"/>
    <x v="2"/>
  </r>
  <r>
    <x v="2"/>
    <x v="13"/>
    <x v="2"/>
    <s v="FRUVER"/>
    <x v="1"/>
    <x v="404"/>
    <s v="GRAMOS"/>
    <n v="7"/>
    <n v="4700"/>
    <n v="300"/>
    <n v="-4400"/>
    <n v="2100"/>
    <n v="-30800"/>
    <x v="2"/>
  </r>
  <r>
    <x v="2"/>
    <x v="15"/>
    <x v="1"/>
    <s v="FRUVER"/>
    <x v="1"/>
    <x v="404"/>
    <s v="GRAMOS"/>
    <n v="7"/>
    <n v="-0.1163"/>
    <n v="0"/>
    <n v="0.11627899999999999"/>
    <n v="0"/>
    <n v="0.81395299999999993"/>
    <x v="0"/>
  </r>
  <r>
    <x v="2"/>
    <x v="10"/>
    <x v="4"/>
    <s v="FRUVER"/>
    <x v="1"/>
    <x v="404"/>
    <s v="GRAMOS"/>
    <n v="7"/>
    <n v="6985"/>
    <n v="0"/>
    <n v="-6985"/>
    <n v="0"/>
    <n v="-48895"/>
    <x v="2"/>
  </r>
  <r>
    <x v="2"/>
    <x v="15"/>
    <x v="1"/>
    <s v="ABARROTES"/>
    <x v="1"/>
    <x v="405"/>
    <s v="UNIDADES"/>
    <n v="414.77083333000002"/>
    <n v="75"/>
    <n v="56"/>
    <n v="-19"/>
    <n v="23227.16666648"/>
    <n v="-7880.6458332700004"/>
    <x v="2"/>
  </r>
  <r>
    <x v="2"/>
    <x v="15"/>
    <x v="1"/>
    <s v="CERVEZAS"/>
    <x v="0"/>
    <x v="216"/>
    <s v="GRAMOS"/>
    <n v="23.722222219999999"/>
    <n v="19230"/>
    <n v="15000"/>
    <n v="-4230"/>
    <n v="355833.3333"/>
    <n v="-100344.9999906"/>
    <x v="2"/>
  </r>
  <r>
    <x v="2"/>
    <x v="15"/>
    <x v="1"/>
    <s v="CERVEZAS"/>
    <x v="0"/>
    <x v="213"/>
    <s v="GRAMOS"/>
    <n v="23.722222219999999"/>
    <n v="28075"/>
    <n v="25285"/>
    <n v="-2790"/>
    <n v="599816.38883269997"/>
    <n v="-66184.999993799996"/>
    <x v="2"/>
  </r>
  <r>
    <x v="2"/>
    <x v="15"/>
    <x v="1"/>
    <s v="CERVEZAS"/>
    <x v="0"/>
    <x v="219"/>
    <s v="GRAMOS"/>
    <n v="23.666666670000001"/>
    <n v="48160"/>
    <n v="20575"/>
    <n v="-27585"/>
    <n v="486941.66673525004"/>
    <n v="-652845.00009195006"/>
    <x v="2"/>
  </r>
  <r>
    <x v="2"/>
    <x v="15"/>
    <x v="1"/>
    <s v="CERVEZAS"/>
    <x v="0"/>
    <x v="215"/>
    <s v="GRAMOS"/>
    <n v="26.666666670000001"/>
    <n v="31015"/>
    <n v="36815"/>
    <n v="5800"/>
    <n v="981733.33345605002"/>
    <n v="154666.66668600001"/>
    <x v="0"/>
  </r>
  <r>
    <x v="2"/>
    <x v="15"/>
    <x v="1"/>
    <s v="CERVEZAS"/>
    <x v="0"/>
    <x v="222"/>
    <s v="GRAMOS"/>
    <n v="24.444444440000002"/>
    <n v="11650"/>
    <n v="9325"/>
    <n v="-2325"/>
    <n v="227944.444403"/>
    <n v="-56833.333323000006"/>
    <x v="2"/>
  </r>
  <r>
    <x v="2"/>
    <x v="15"/>
    <x v="1"/>
    <s v="CERVEZAS"/>
    <x v="0"/>
    <x v="64"/>
    <s v="GRAMOS"/>
    <n v="26.666666670000001"/>
    <n v="-11540"/>
    <n v="16585"/>
    <n v="28125"/>
    <n v="442266.66672195005"/>
    <n v="750000.00009375007"/>
    <x v="0"/>
  </r>
  <r>
    <x v="2"/>
    <x v="15"/>
    <x v="1"/>
    <s v="CERVEZAS"/>
    <x v="0"/>
    <x v="221"/>
    <s v="GRAMOS"/>
    <n v="24.444444440000002"/>
    <n v="8185"/>
    <n v="6800"/>
    <n v="-1385"/>
    <n v="166222.22219200002"/>
    <n v="-33855.5555494"/>
    <x v="2"/>
  </r>
  <r>
    <x v="2"/>
    <x v="15"/>
    <x v="1"/>
    <s v="CERVEZAS"/>
    <x v="0"/>
    <x v="223"/>
    <s v="GRAMOS"/>
    <n v="26.666666670000001"/>
    <n v="43995"/>
    <n v="18590"/>
    <n v="-25405"/>
    <n v="495733.33339530003"/>
    <n v="-677466.66675135004"/>
    <x v="2"/>
  </r>
  <r>
    <x v="2"/>
    <x v="15"/>
    <x v="1"/>
    <s v="CERVEZAS"/>
    <x v="0"/>
    <x v="188"/>
    <s v="GRAMOS"/>
    <n v="26.666666670000001"/>
    <n v="0"/>
    <n v="0"/>
    <n v="0"/>
    <n v="0"/>
    <n v="0"/>
    <x v="1"/>
  </r>
  <r>
    <x v="2"/>
    <x v="15"/>
    <x v="1"/>
    <s v="INSUMOS BAR"/>
    <x v="0"/>
    <x v="406"/>
    <s v="GRAMOS"/>
    <n v="30.355499999999999"/>
    <n v="39000"/>
    <n v="3415"/>
    <n v="-35585"/>
    <n v="103664.0325"/>
    <n v="-1080200.4675"/>
    <x v="2"/>
  </r>
  <r>
    <x v="2"/>
    <x v="14"/>
    <x v="0"/>
    <s v="SALSAS ESPECIAS Y CONDIMENTOS"/>
    <x v="1"/>
    <x v="407"/>
    <s v="GRAMOS"/>
    <n v="12.057600000000001"/>
    <n v="-2750"/>
    <n v="3500"/>
    <n v="6250"/>
    <n v="42201.600000000006"/>
    <n v="75360"/>
    <x v="0"/>
  </r>
  <r>
    <x v="2"/>
    <x v="15"/>
    <x v="1"/>
    <s v="SALSAS ESPECIAS Y CONDIMENTOS"/>
    <x v="1"/>
    <x v="407"/>
    <s v="GRAMOS"/>
    <n v="12.057600000000001"/>
    <n v="0"/>
    <n v="0"/>
    <n v="0"/>
    <n v="0"/>
    <n v="0"/>
    <x v="1"/>
  </r>
  <r>
    <x v="2"/>
    <x v="14"/>
    <x v="0"/>
    <s v="DESPENSA"/>
    <x v="1"/>
    <x v="408"/>
    <s v="GRAMOS"/>
    <n v="6.3"/>
    <n v="-3"/>
    <n v="0"/>
    <n v="3.0000040000000001"/>
    <n v="0"/>
    <n v="18.900025200000002"/>
    <x v="0"/>
  </r>
  <r>
    <x v="2"/>
    <x v="16"/>
    <x v="5"/>
    <s v="DESPENSA"/>
    <x v="1"/>
    <x v="408"/>
    <s v="GRAMOS"/>
    <n v="12.976000000000001"/>
    <n v="204"/>
    <n v="668"/>
    <n v="464"/>
    <n v="8667.9680000000008"/>
    <n v="6020.8640000000005"/>
    <x v="0"/>
  </r>
  <r>
    <x v="2"/>
    <x v="15"/>
    <x v="1"/>
    <s v="PROTEINAS"/>
    <x v="1"/>
    <x v="202"/>
    <s v="UNIDADES"/>
    <n v="4190"/>
    <n v="17"/>
    <n v="0"/>
    <n v="-17"/>
    <n v="0"/>
    <n v="-71230"/>
    <x v="2"/>
  </r>
  <r>
    <x v="2"/>
    <x v="15"/>
    <x v="1"/>
    <s v="LICORES"/>
    <x v="0"/>
    <x v="171"/>
    <s v="ONZA"/>
    <n v="1700"/>
    <n v="0"/>
    <n v="0"/>
    <n v="0"/>
    <n v="0"/>
    <n v="0"/>
    <x v="1"/>
  </r>
  <r>
    <x v="2"/>
    <x v="14"/>
    <x v="0"/>
    <s v="ABARROTES"/>
    <x v="1"/>
    <x v="409"/>
    <s v="GRAMOS"/>
    <n v="14.656000000000001"/>
    <n v="1210"/>
    <n v="1500"/>
    <n v="290"/>
    <n v="21984"/>
    <n v="4250.24"/>
    <x v="0"/>
  </r>
  <r>
    <x v="2"/>
    <x v="12"/>
    <x v="3"/>
    <s v="MATERIAL DE EMPAQUE"/>
    <x v="2"/>
    <x v="410"/>
    <s v="UNIDADES"/>
    <n v="1700"/>
    <n v="0"/>
    <n v="0"/>
    <n v="0"/>
    <n v="0"/>
    <n v="0"/>
    <x v="1"/>
  </r>
  <r>
    <x v="2"/>
    <x v="13"/>
    <x v="2"/>
    <s v="MATERIAL DE EMPAQUE"/>
    <x v="2"/>
    <x v="410"/>
    <s v="UNIDADES"/>
    <n v="1700"/>
    <n v="0"/>
    <n v="0"/>
    <n v="0"/>
    <n v="0"/>
    <n v="0"/>
    <x v="1"/>
  </r>
  <r>
    <x v="2"/>
    <x v="15"/>
    <x v="1"/>
    <s v="MATERIAL DE EMPAQUE"/>
    <x v="2"/>
    <x v="410"/>
    <s v="UNIDADES"/>
    <n v="1700"/>
    <n v="1"/>
    <n v="0"/>
    <n v="-1"/>
    <n v="0"/>
    <n v="-1700"/>
    <x v="2"/>
  </r>
  <r>
    <x v="2"/>
    <x v="10"/>
    <x v="4"/>
    <s v="MATERIAL DE EMPAQUE"/>
    <x v="2"/>
    <x v="410"/>
    <s v="UNIDADES"/>
    <n v="1700"/>
    <n v="0"/>
    <n v="0"/>
    <n v="0"/>
    <n v="0"/>
    <n v="0"/>
    <x v="1"/>
  </r>
  <r>
    <x v="2"/>
    <x v="12"/>
    <x v="3"/>
    <s v="MATERIAL DE ASEO"/>
    <x v="3"/>
    <x v="411"/>
    <s v="UNIDADES"/>
    <n v="320"/>
    <n v="0"/>
    <n v="0"/>
    <n v="0"/>
    <n v="0"/>
    <n v="0"/>
    <x v="1"/>
  </r>
  <r>
    <x v="2"/>
    <x v="13"/>
    <x v="2"/>
    <s v="MATERIAL DE ASEO"/>
    <x v="3"/>
    <x v="411"/>
    <s v="UNIDADES"/>
    <n v="320"/>
    <n v="0"/>
    <n v="0"/>
    <n v="0"/>
    <n v="0"/>
    <n v="0"/>
    <x v="1"/>
  </r>
  <r>
    <x v="2"/>
    <x v="10"/>
    <x v="4"/>
    <s v="MATERIAL DE ASEO"/>
    <x v="3"/>
    <x v="411"/>
    <s v="UNIDADES"/>
    <n v="320"/>
    <n v="0"/>
    <n v="0"/>
    <n v="0"/>
    <n v="0"/>
    <n v="0"/>
    <x v="1"/>
  </r>
  <r>
    <x v="2"/>
    <x v="12"/>
    <x v="3"/>
    <s v="MATERIAL DE EMPAQUE"/>
    <x v="2"/>
    <x v="412"/>
    <s v="UNIDADES"/>
    <n v="320"/>
    <n v="0"/>
    <n v="0"/>
    <n v="0"/>
    <n v="0"/>
    <n v="0"/>
    <x v="1"/>
  </r>
  <r>
    <x v="2"/>
    <x v="14"/>
    <x v="0"/>
    <s v="MATERIAL DE EMPAQUE"/>
    <x v="2"/>
    <x v="412"/>
    <s v="UNIDADES"/>
    <n v="320"/>
    <n v="652"/>
    <n v="1000"/>
    <n v="348"/>
    <n v="320000"/>
    <n v="111360"/>
    <x v="0"/>
  </r>
  <r>
    <x v="2"/>
    <x v="13"/>
    <x v="2"/>
    <s v="MATERIAL DE EMPAQUE"/>
    <x v="2"/>
    <x v="412"/>
    <s v="UNIDADES"/>
    <n v="320"/>
    <n v="0"/>
    <n v="0"/>
    <n v="0"/>
    <n v="0"/>
    <n v="0"/>
    <x v="1"/>
  </r>
  <r>
    <x v="2"/>
    <x v="15"/>
    <x v="1"/>
    <s v="MATERIAL DE EMPAQUE"/>
    <x v="2"/>
    <x v="412"/>
    <s v="UNIDADES"/>
    <n v="320"/>
    <n v="1"/>
    <n v="0"/>
    <n v="-1"/>
    <n v="0"/>
    <n v="-320"/>
    <x v="2"/>
  </r>
  <r>
    <x v="2"/>
    <x v="16"/>
    <x v="5"/>
    <s v="MATERIAL DE EMPAQUE"/>
    <x v="2"/>
    <x v="412"/>
    <s v="UNIDADES"/>
    <n v="320"/>
    <n v="800"/>
    <n v="800"/>
    <n v="0"/>
    <n v="256000"/>
    <n v="0"/>
    <x v="1"/>
  </r>
  <r>
    <x v="2"/>
    <x v="10"/>
    <x v="4"/>
    <s v="MATERIAL DE EMPAQUE"/>
    <x v="2"/>
    <x v="412"/>
    <s v="UNIDADES"/>
    <n v="320"/>
    <n v="0"/>
    <n v="0"/>
    <n v="0"/>
    <n v="0"/>
    <n v="0"/>
    <x v="1"/>
  </r>
  <r>
    <x v="2"/>
    <x v="12"/>
    <x v="3"/>
    <s v="MATERIAL DE ASEO"/>
    <x v="3"/>
    <x v="413"/>
    <s v="UNIDADES"/>
    <n v="55.92"/>
    <n v="400"/>
    <n v="0"/>
    <n v="-400"/>
    <n v="0"/>
    <n v="-22368"/>
    <x v="2"/>
  </r>
  <r>
    <x v="2"/>
    <x v="14"/>
    <x v="0"/>
    <s v="MATERIAL DE ASEO"/>
    <x v="3"/>
    <x v="413"/>
    <s v="UNIDADES"/>
    <n v="68.3"/>
    <n v="400"/>
    <n v="0"/>
    <n v="-400"/>
    <n v="0"/>
    <n v="-27320"/>
    <x v="2"/>
  </r>
  <r>
    <x v="2"/>
    <x v="13"/>
    <x v="2"/>
    <s v="MATERIAL DE ASEO"/>
    <x v="3"/>
    <x v="413"/>
    <s v="UNIDADES"/>
    <n v="55.92"/>
    <n v="500"/>
    <n v="500"/>
    <n v="0"/>
    <n v="27960"/>
    <n v="0"/>
    <x v="1"/>
  </r>
  <r>
    <x v="2"/>
    <x v="15"/>
    <x v="1"/>
    <s v="MATERIAL DE ASEO"/>
    <x v="3"/>
    <x v="413"/>
    <s v="UNIDADES"/>
    <n v="68.3"/>
    <n v="7625"/>
    <n v="32"/>
    <n v="-7593"/>
    <n v="2185.6"/>
    <n v="-518601.89999999997"/>
    <x v="2"/>
  </r>
  <r>
    <x v="2"/>
    <x v="10"/>
    <x v="4"/>
    <s v="MATERIAL DE ASEO"/>
    <x v="3"/>
    <x v="413"/>
    <s v="UNIDADES"/>
    <n v="55.92"/>
    <n v="520"/>
    <n v="2"/>
    <n v="-518"/>
    <n v="111.84"/>
    <n v="-28966.560000000001"/>
    <x v="2"/>
  </r>
  <r>
    <x v="2"/>
    <x v="15"/>
    <x v="1"/>
    <s v="MATERIAL DE ASEO"/>
    <x v="3"/>
    <x v="414"/>
    <s v="UNIDADES"/>
    <n v="148.75"/>
    <n v="500"/>
    <n v="0"/>
    <n v="-500"/>
    <n v="0"/>
    <n v="-74375"/>
    <x v="2"/>
  </r>
  <r>
    <x v="2"/>
    <x v="16"/>
    <x v="5"/>
    <s v="MATERIAL DE ASEO"/>
    <x v="3"/>
    <x v="414"/>
    <s v="UNIDADES"/>
    <n v="208.75"/>
    <n v="0"/>
    <n v="0"/>
    <n v="0"/>
    <n v="0"/>
    <n v="0"/>
    <x v="1"/>
  </r>
  <r>
    <x v="2"/>
    <x v="12"/>
    <x v="3"/>
    <s v="MATERIAL DE EMPAQUE"/>
    <x v="2"/>
    <x v="415"/>
    <s v="UNIDADES"/>
    <n v="1550"/>
    <n v="0"/>
    <n v="14"/>
    <n v="14"/>
    <n v="21700"/>
    <n v="21700"/>
    <x v="0"/>
  </r>
  <r>
    <x v="2"/>
    <x v="13"/>
    <x v="2"/>
    <s v="MATERIAL DE EMPAQUE"/>
    <x v="2"/>
    <x v="415"/>
    <s v="UNIDADES"/>
    <n v="1550"/>
    <n v="0"/>
    <n v="0"/>
    <n v="0"/>
    <n v="0"/>
    <n v="0"/>
    <x v="1"/>
  </r>
  <r>
    <x v="2"/>
    <x v="15"/>
    <x v="1"/>
    <s v="MATERIAL DE EMPAQUE"/>
    <x v="2"/>
    <x v="415"/>
    <s v="UNIDADES"/>
    <n v="1550"/>
    <n v="10151"/>
    <n v="0"/>
    <n v="-10151"/>
    <n v="0"/>
    <n v="-15734050"/>
    <x v="2"/>
  </r>
  <r>
    <x v="2"/>
    <x v="10"/>
    <x v="4"/>
    <s v="MATERIAL DE EMPAQUE"/>
    <x v="2"/>
    <x v="415"/>
    <s v="UNIDADES"/>
    <n v="1550"/>
    <n v="120"/>
    <n v="42"/>
    <n v="-78"/>
    <n v="65100"/>
    <n v="-120900"/>
    <x v="2"/>
  </r>
  <r>
    <x v="2"/>
    <x v="12"/>
    <x v="3"/>
    <s v="MATERIAL DE ASEO"/>
    <x v="3"/>
    <x v="416"/>
    <s v="UNIDADES"/>
    <n v="672.27"/>
    <n v="100"/>
    <n v="70"/>
    <n v="-30"/>
    <n v="47058.9"/>
    <n v="-20168.099999999999"/>
    <x v="2"/>
  </r>
  <r>
    <x v="2"/>
    <x v="14"/>
    <x v="0"/>
    <s v="MATERIAL DE ASEO"/>
    <x v="3"/>
    <x v="416"/>
    <s v="UNIDADES"/>
    <n v="672.26666666999995"/>
    <n v="350"/>
    <n v="50"/>
    <n v="-300"/>
    <n v="33613.333333499999"/>
    <n v="-201680.00000099998"/>
    <x v="2"/>
  </r>
  <r>
    <x v="2"/>
    <x v="13"/>
    <x v="2"/>
    <s v="MATERIAL DE ASEO"/>
    <x v="3"/>
    <x v="416"/>
    <s v="UNIDADES"/>
    <n v="672.27"/>
    <n v="200"/>
    <n v="150"/>
    <n v="-50"/>
    <n v="100840.5"/>
    <n v="-33613.5"/>
    <x v="2"/>
  </r>
  <r>
    <x v="2"/>
    <x v="15"/>
    <x v="1"/>
    <s v="MATERIAL DE ASEO"/>
    <x v="3"/>
    <x v="416"/>
    <s v="UNIDADES"/>
    <n v="672.26666666999995"/>
    <n v="165"/>
    <n v="32"/>
    <n v="-133"/>
    <n v="21512.533333439998"/>
    <n v="-89411.466667109999"/>
    <x v="2"/>
  </r>
  <r>
    <x v="2"/>
    <x v="16"/>
    <x v="5"/>
    <s v="MATERIAL DE ASEO"/>
    <x v="3"/>
    <x v="416"/>
    <s v="UNIDADES"/>
    <n v="672.27"/>
    <n v="0"/>
    <n v="0"/>
    <n v="0"/>
    <n v="0"/>
    <n v="0"/>
    <x v="1"/>
  </r>
  <r>
    <x v="2"/>
    <x v="10"/>
    <x v="4"/>
    <s v="MATERIAL DE ASEO"/>
    <x v="3"/>
    <x v="416"/>
    <s v="UNIDADES"/>
    <n v="672.27"/>
    <n v="150"/>
    <n v="0"/>
    <n v="-150"/>
    <n v="0"/>
    <n v="-100840.5"/>
    <x v="2"/>
  </r>
  <r>
    <x v="2"/>
    <x v="15"/>
    <x v="1"/>
    <s v="MATERIAL DE EMPAQUE"/>
    <x v="2"/>
    <x v="417"/>
    <s v="UNIDADES"/>
    <n v="107.1"/>
    <n v="10150"/>
    <n v="12700"/>
    <n v="2550"/>
    <n v="1360170"/>
    <n v="273105"/>
    <x v="0"/>
  </r>
  <r>
    <x v="2"/>
    <x v="12"/>
    <x v="3"/>
    <s v="MATERIAL DE EMPAQUE"/>
    <x v="2"/>
    <x v="418"/>
    <s v="UNIDADES"/>
    <n v="39.03"/>
    <n v="244"/>
    <n v="200"/>
    <n v="-44"/>
    <n v="7806"/>
    <n v="-1717.3200000000002"/>
    <x v="2"/>
  </r>
  <r>
    <x v="2"/>
    <x v="13"/>
    <x v="2"/>
    <s v="MATERIAL DE EMPAQUE"/>
    <x v="2"/>
    <x v="418"/>
    <s v="UNIDADES"/>
    <n v="39.03"/>
    <n v="147"/>
    <n v="23"/>
    <n v="-124"/>
    <n v="897.69"/>
    <n v="-4839.72"/>
    <x v="2"/>
  </r>
  <r>
    <x v="2"/>
    <x v="15"/>
    <x v="1"/>
    <s v="MATERIAL DE EMPAQUE"/>
    <x v="2"/>
    <x v="418"/>
    <s v="UNIDADES"/>
    <n v="39.03"/>
    <n v="550"/>
    <n v="880"/>
    <n v="330"/>
    <n v="34346.400000000001"/>
    <n v="12879.9"/>
    <x v="0"/>
  </r>
  <r>
    <x v="2"/>
    <x v="10"/>
    <x v="4"/>
    <s v="MATERIAL DE EMPAQUE"/>
    <x v="2"/>
    <x v="418"/>
    <s v="UNIDADES"/>
    <n v="39.03"/>
    <n v="0"/>
    <n v="0"/>
    <n v="0"/>
    <n v="0"/>
    <n v="0"/>
    <x v="1"/>
  </r>
  <r>
    <x v="2"/>
    <x v="12"/>
    <x v="3"/>
    <s v="MATERIAL DE EMPAQUE"/>
    <x v="2"/>
    <x v="419"/>
    <s v="UNIDADES"/>
    <n v="976.55"/>
    <n v="75"/>
    <n v="100"/>
    <n v="25"/>
    <n v="97655"/>
    <n v="24413.75"/>
    <x v="0"/>
  </r>
  <r>
    <x v="2"/>
    <x v="13"/>
    <x v="2"/>
    <s v="MATERIAL DE EMPAQUE"/>
    <x v="2"/>
    <x v="419"/>
    <s v="UNIDADES"/>
    <n v="976.55"/>
    <n v="30"/>
    <n v="100"/>
    <n v="70"/>
    <n v="97655"/>
    <n v="68358.5"/>
    <x v="0"/>
  </r>
  <r>
    <x v="2"/>
    <x v="15"/>
    <x v="1"/>
    <s v="MATERIAL DE EMPAQUE"/>
    <x v="2"/>
    <x v="419"/>
    <s v="UNIDADES"/>
    <n v="976.55"/>
    <n v="0"/>
    <n v="880"/>
    <n v="880"/>
    <n v="859364"/>
    <n v="859364"/>
    <x v="0"/>
  </r>
  <r>
    <x v="2"/>
    <x v="10"/>
    <x v="4"/>
    <s v="MATERIAL DE EMPAQUE"/>
    <x v="2"/>
    <x v="419"/>
    <s v="UNIDADES"/>
    <n v="976.55"/>
    <n v="1"/>
    <n v="0"/>
    <n v="-1"/>
    <n v="0"/>
    <n v="-976.55"/>
    <x v="2"/>
  </r>
  <r>
    <x v="2"/>
    <x v="12"/>
    <x v="3"/>
    <s v="MATERIAL DE EMPAQUE"/>
    <x v="2"/>
    <x v="420"/>
    <s v="UNIDADES"/>
    <n v="385.44"/>
    <n v="125"/>
    <n v="100"/>
    <n v="-25"/>
    <n v="38544"/>
    <n v="-9636"/>
    <x v="2"/>
  </r>
  <r>
    <x v="2"/>
    <x v="13"/>
    <x v="2"/>
    <s v="MATERIAL DE EMPAQUE"/>
    <x v="2"/>
    <x v="420"/>
    <s v="UNIDADES"/>
    <n v="385.44"/>
    <n v="200"/>
    <n v="100"/>
    <n v="-100"/>
    <n v="38544"/>
    <n v="-38544"/>
    <x v="2"/>
  </r>
  <r>
    <x v="2"/>
    <x v="10"/>
    <x v="4"/>
    <s v="MATERIAL DE EMPAQUE"/>
    <x v="2"/>
    <x v="420"/>
    <s v="UNIDADES"/>
    <n v="385.44"/>
    <n v="25"/>
    <n v="12"/>
    <n v="-13"/>
    <n v="4625.28"/>
    <n v="-5010.72"/>
    <x v="2"/>
  </r>
  <r>
    <x v="2"/>
    <x v="12"/>
    <x v="3"/>
    <s v="MATERIAL DE EMPAQUE"/>
    <x v="2"/>
    <x v="421"/>
    <s v="UNIDADES"/>
    <n v="129.59"/>
    <n v="0"/>
    <n v="0"/>
    <n v="0"/>
    <n v="0"/>
    <n v="0"/>
    <x v="1"/>
  </r>
  <r>
    <x v="2"/>
    <x v="13"/>
    <x v="2"/>
    <s v="MATERIAL DE EMPAQUE"/>
    <x v="2"/>
    <x v="421"/>
    <s v="UNIDADES"/>
    <n v="129.59"/>
    <n v="0"/>
    <n v="0"/>
    <n v="0"/>
    <n v="0"/>
    <n v="0"/>
    <x v="1"/>
  </r>
  <r>
    <x v="2"/>
    <x v="15"/>
    <x v="1"/>
    <s v="MATERIAL DE EMPAQUE"/>
    <x v="2"/>
    <x v="421"/>
    <s v="UNIDADES"/>
    <n v="48.670999999999999"/>
    <n v="4500"/>
    <n v="0"/>
    <n v="-4500"/>
    <n v="0"/>
    <n v="-219019.5"/>
    <x v="2"/>
  </r>
  <r>
    <x v="2"/>
    <x v="10"/>
    <x v="4"/>
    <s v="MATERIAL DE EMPAQUE"/>
    <x v="2"/>
    <x v="421"/>
    <s v="UNIDADES"/>
    <n v="129.59"/>
    <n v="0"/>
    <n v="0"/>
    <n v="0"/>
    <n v="0"/>
    <n v="0"/>
    <x v="1"/>
  </r>
  <r>
    <x v="2"/>
    <x v="12"/>
    <x v="3"/>
    <s v="MATERIAL DE EMPAQUE"/>
    <x v="2"/>
    <x v="422"/>
    <s v="UNIDADES"/>
    <n v="724.71"/>
    <n v="89"/>
    <n v="100"/>
    <n v="11"/>
    <n v="72471"/>
    <n v="7971.81"/>
    <x v="0"/>
  </r>
  <r>
    <x v="2"/>
    <x v="13"/>
    <x v="2"/>
    <s v="MATERIAL DE EMPAQUE"/>
    <x v="2"/>
    <x v="422"/>
    <s v="UNIDADES"/>
    <n v="724.71"/>
    <n v="60"/>
    <n v="150"/>
    <n v="90"/>
    <n v="108706.5"/>
    <n v="65223.9"/>
    <x v="0"/>
  </r>
  <r>
    <x v="2"/>
    <x v="10"/>
    <x v="4"/>
    <s v="MATERIAL DE EMPAQUE"/>
    <x v="2"/>
    <x v="422"/>
    <s v="UNIDADES"/>
    <n v="724.71"/>
    <n v="30"/>
    <n v="10"/>
    <n v="-20"/>
    <n v="7247.1"/>
    <n v="-14494.2"/>
    <x v="2"/>
  </r>
  <r>
    <x v="2"/>
    <x v="12"/>
    <x v="3"/>
    <s v="MATERIAL DE ASEO"/>
    <x v="3"/>
    <x v="423"/>
    <s v="UNIDADES"/>
    <n v="877"/>
    <n v="0"/>
    <n v="0"/>
    <n v="0"/>
    <n v="0"/>
    <n v="0"/>
    <x v="1"/>
  </r>
  <r>
    <x v="2"/>
    <x v="14"/>
    <x v="0"/>
    <s v="MATERIAL DE ASEO"/>
    <x v="3"/>
    <x v="423"/>
    <s v="UNIDADES"/>
    <n v="877"/>
    <n v="210"/>
    <n v="6"/>
    <n v="-204"/>
    <n v="5262"/>
    <n v="-178908"/>
    <x v="2"/>
  </r>
  <r>
    <x v="2"/>
    <x v="13"/>
    <x v="2"/>
    <s v="MATERIAL DE ASEO"/>
    <x v="3"/>
    <x v="423"/>
    <s v="UNIDADES"/>
    <n v="877"/>
    <n v="110"/>
    <n v="1"/>
    <n v="-119"/>
    <n v="877"/>
    <n v="-104363"/>
    <x v="2"/>
  </r>
  <r>
    <x v="2"/>
    <x v="15"/>
    <x v="1"/>
    <s v="MATERIAL DE ASEO"/>
    <x v="3"/>
    <x v="423"/>
    <s v="UNIDADES"/>
    <n v="877"/>
    <n v="320"/>
    <n v="50"/>
    <n v="-270"/>
    <n v="43850"/>
    <n v="-236790"/>
    <x v="2"/>
  </r>
  <r>
    <x v="2"/>
    <x v="16"/>
    <x v="5"/>
    <s v="MATERIAL DE ASEO"/>
    <x v="3"/>
    <x v="423"/>
    <s v="UNIDADES"/>
    <n v="877"/>
    <n v="0"/>
    <n v="0"/>
    <n v="0"/>
    <n v="0"/>
    <n v="0"/>
    <x v="1"/>
  </r>
  <r>
    <x v="2"/>
    <x v="10"/>
    <x v="4"/>
    <s v="MATERIAL DE ASEO"/>
    <x v="3"/>
    <x v="423"/>
    <s v="UNIDADES"/>
    <n v="877"/>
    <n v="20"/>
    <n v="0"/>
    <n v="-20"/>
    <n v="0"/>
    <n v="-17540"/>
    <x v="2"/>
  </r>
  <r>
    <x v="2"/>
    <x v="12"/>
    <x v="3"/>
    <s v="MATERIAL DE EMPAQUE"/>
    <x v="2"/>
    <x v="424"/>
    <s v="UNIDADES"/>
    <n v="22"/>
    <n v="0"/>
    <n v="0"/>
    <n v="0"/>
    <n v="0"/>
    <n v="0"/>
    <x v="1"/>
  </r>
  <r>
    <x v="2"/>
    <x v="13"/>
    <x v="2"/>
    <s v="MATERIAL DE EMPAQUE"/>
    <x v="2"/>
    <x v="424"/>
    <s v="UNIDADES"/>
    <n v="22"/>
    <n v="0"/>
    <n v="14"/>
    <n v="14"/>
    <n v="308"/>
    <n v="308"/>
    <x v="0"/>
  </r>
  <r>
    <x v="2"/>
    <x v="15"/>
    <x v="1"/>
    <s v="MATERIAL DE EMPAQUE"/>
    <x v="2"/>
    <x v="424"/>
    <s v="UNIDADES"/>
    <n v="48.8"/>
    <n v="120"/>
    <n v="0"/>
    <n v="-120"/>
    <n v="0"/>
    <n v="-5856"/>
    <x v="2"/>
  </r>
  <r>
    <x v="2"/>
    <x v="16"/>
    <x v="5"/>
    <s v="MATERIAL DE EMPAQUE"/>
    <x v="2"/>
    <x v="424"/>
    <s v="UNIDADES"/>
    <n v="22"/>
    <n v="1000"/>
    <n v="1100"/>
    <n v="100"/>
    <n v="24200"/>
    <n v="2200"/>
    <x v="0"/>
  </r>
  <r>
    <x v="2"/>
    <x v="10"/>
    <x v="4"/>
    <s v="MATERIAL DE EMPAQUE"/>
    <x v="2"/>
    <x v="424"/>
    <s v="UNIDADES"/>
    <n v="22"/>
    <n v="21"/>
    <n v="0"/>
    <n v="-21"/>
    <n v="0"/>
    <n v="-462"/>
    <x v="2"/>
  </r>
  <r>
    <x v="2"/>
    <x v="15"/>
    <x v="1"/>
    <s v="MATERIAL DE EMPAQUE"/>
    <x v="2"/>
    <x v="425"/>
    <s v="UNIDADES"/>
    <n v="35.043999999999997"/>
    <n v="0"/>
    <n v="0"/>
    <n v="0"/>
    <n v="0"/>
    <n v="0"/>
    <x v="1"/>
  </r>
  <r>
    <x v="2"/>
    <x v="12"/>
    <x v="3"/>
    <s v="MATERIAL DE ASEO"/>
    <x v="3"/>
    <x v="426"/>
    <s v="UNIDADES"/>
    <n v="17"/>
    <n v="10"/>
    <n v="0"/>
    <n v="-10"/>
    <n v="0"/>
    <n v="-170"/>
    <x v="2"/>
  </r>
  <r>
    <x v="2"/>
    <x v="13"/>
    <x v="2"/>
    <s v="MATERIAL DE ASEO"/>
    <x v="3"/>
    <x v="426"/>
    <s v="UNIDADES"/>
    <n v="17"/>
    <n v="1900"/>
    <n v="0"/>
    <n v="-1900"/>
    <n v="0"/>
    <n v="-32300"/>
    <x v="2"/>
  </r>
  <r>
    <x v="2"/>
    <x v="15"/>
    <x v="1"/>
    <s v="MATERIAL DE ASEO"/>
    <x v="3"/>
    <x v="426"/>
    <s v="UNIDADES"/>
    <n v="17.090833329999999"/>
    <n v="100"/>
    <n v="300"/>
    <n v="200"/>
    <n v="5127.2499989999997"/>
    <n v="3418.1666659999996"/>
    <x v="0"/>
  </r>
  <r>
    <x v="2"/>
    <x v="16"/>
    <x v="5"/>
    <s v="MATERIAL DE ASEO"/>
    <x v="3"/>
    <x v="426"/>
    <s v="UNIDADES"/>
    <n v="17"/>
    <n v="-117"/>
    <n v="0"/>
    <n v="117"/>
    <n v="0"/>
    <n v="1989"/>
    <x v="0"/>
  </r>
  <r>
    <x v="2"/>
    <x v="10"/>
    <x v="4"/>
    <s v="MATERIAL DE ASEO"/>
    <x v="3"/>
    <x v="426"/>
    <s v="UNIDADES"/>
    <n v="17"/>
    <n v="1020"/>
    <n v="5"/>
    <n v="-1015"/>
    <n v="85"/>
    <n v="-17255"/>
    <x v="2"/>
  </r>
  <r>
    <x v="2"/>
    <x v="12"/>
    <x v="3"/>
    <s v="MATERIAL DE EMPAQUE"/>
    <x v="2"/>
    <x v="427"/>
    <s v="UNIDADES"/>
    <n v="22"/>
    <n v="0"/>
    <n v="0"/>
    <n v="0"/>
    <n v="0"/>
    <n v="0"/>
    <x v="1"/>
  </r>
  <r>
    <x v="2"/>
    <x v="13"/>
    <x v="2"/>
    <s v="MATERIAL DE EMPAQUE"/>
    <x v="2"/>
    <x v="427"/>
    <s v="UNIDADES"/>
    <n v="22"/>
    <n v="400"/>
    <n v="8"/>
    <n v="-392"/>
    <n v="176"/>
    <n v="-8624"/>
    <x v="2"/>
  </r>
  <r>
    <x v="2"/>
    <x v="16"/>
    <x v="5"/>
    <s v="MATERIAL DE EMPAQUE"/>
    <x v="2"/>
    <x v="427"/>
    <s v="UNIDADES"/>
    <n v="22"/>
    <n v="508"/>
    <n v="500"/>
    <n v="-8"/>
    <n v="11000"/>
    <n v="-176"/>
    <x v="2"/>
  </r>
  <r>
    <x v="2"/>
    <x v="10"/>
    <x v="4"/>
    <s v="MATERIAL DE EMPAQUE"/>
    <x v="2"/>
    <x v="427"/>
    <s v="UNIDADES"/>
    <n v="22"/>
    <n v="0"/>
    <n v="0"/>
    <n v="0"/>
    <n v="0"/>
    <n v="0"/>
    <x v="1"/>
  </r>
  <r>
    <x v="2"/>
    <x v="12"/>
    <x v="3"/>
    <s v="MATERIAL DE EMPAQUE"/>
    <x v="2"/>
    <x v="428"/>
    <s v="UNIDADES"/>
    <n v="302"/>
    <n v="0"/>
    <n v="0"/>
    <n v="0"/>
    <n v="0"/>
    <n v="0"/>
    <x v="1"/>
  </r>
  <r>
    <x v="2"/>
    <x v="14"/>
    <x v="0"/>
    <s v="MATERIAL DE EMPAQUE"/>
    <x v="2"/>
    <x v="428"/>
    <s v="UNIDADES"/>
    <n v="302"/>
    <n v="-101"/>
    <n v="253"/>
    <n v="354"/>
    <n v="76406"/>
    <n v="106908"/>
    <x v="0"/>
  </r>
  <r>
    <x v="2"/>
    <x v="13"/>
    <x v="2"/>
    <s v="MATERIAL DE EMPAQUE"/>
    <x v="2"/>
    <x v="428"/>
    <s v="UNIDADES"/>
    <n v="302"/>
    <n v="0"/>
    <n v="0"/>
    <n v="0"/>
    <n v="0"/>
    <n v="0"/>
    <x v="1"/>
  </r>
  <r>
    <x v="2"/>
    <x v="15"/>
    <x v="1"/>
    <s v="MATERIAL DE EMPAQUE"/>
    <x v="2"/>
    <x v="428"/>
    <s v="UNIDADES"/>
    <n v="302"/>
    <n v="-20"/>
    <n v="0"/>
    <n v="20"/>
    <n v="0"/>
    <n v="6040"/>
    <x v="0"/>
  </r>
  <r>
    <x v="2"/>
    <x v="16"/>
    <x v="5"/>
    <s v="MATERIAL DE EMPAQUE"/>
    <x v="2"/>
    <x v="428"/>
    <s v="UNIDADES"/>
    <n v="302"/>
    <n v="162.61000000000001"/>
    <n v="17"/>
    <n v="-145.61000000000001"/>
    <n v="5134"/>
    <n v="-43974.22"/>
    <x v="2"/>
  </r>
  <r>
    <x v="2"/>
    <x v="10"/>
    <x v="4"/>
    <s v="MATERIAL DE EMPAQUE"/>
    <x v="2"/>
    <x v="428"/>
    <s v="UNIDADES"/>
    <n v="302"/>
    <n v="0"/>
    <n v="0"/>
    <n v="0"/>
    <n v="0"/>
    <n v="0"/>
    <x v="1"/>
  </r>
  <r>
    <x v="2"/>
    <x v="12"/>
    <x v="3"/>
    <s v="MATERIAL DE EMPAQUE"/>
    <x v="2"/>
    <x v="429"/>
    <s v="UNIDADES"/>
    <n v="302"/>
    <n v="0"/>
    <n v="0"/>
    <n v="0"/>
    <n v="0"/>
    <n v="0"/>
    <x v="1"/>
  </r>
  <r>
    <x v="2"/>
    <x v="13"/>
    <x v="2"/>
    <s v="MATERIAL DE EMPAQUE"/>
    <x v="2"/>
    <x v="429"/>
    <s v="UNIDADES"/>
    <n v="302"/>
    <n v="0"/>
    <n v="0"/>
    <n v="0"/>
    <n v="0"/>
    <n v="0"/>
    <x v="1"/>
  </r>
  <r>
    <x v="2"/>
    <x v="16"/>
    <x v="5"/>
    <s v="MATERIAL DE EMPAQUE"/>
    <x v="2"/>
    <x v="429"/>
    <s v="UNIDADES"/>
    <n v="302"/>
    <n v="283"/>
    <n v="400"/>
    <n v="117"/>
    <n v="120800"/>
    <n v="35334"/>
    <x v="0"/>
  </r>
  <r>
    <x v="2"/>
    <x v="10"/>
    <x v="4"/>
    <s v="MATERIAL DE EMPAQUE"/>
    <x v="2"/>
    <x v="429"/>
    <s v="UNIDADES"/>
    <n v="302"/>
    <n v="0"/>
    <n v="0"/>
    <n v="0"/>
    <n v="0"/>
    <n v="0"/>
    <x v="1"/>
  </r>
  <r>
    <x v="2"/>
    <x v="12"/>
    <x v="3"/>
    <s v="MATERIAL DE ASEO"/>
    <x v="3"/>
    <x v="430"/>
    <s v="UNIDADES"/>
    <n v="1300"/>
    <n v="0"/>
    <n v="0"/>
    <n v="0"/>
    <n v="0"/>
    <n v="0"/>
    <x v="1"/>
  </r>
  <r>
    <x v="2"/>
    <x v="13"/>
    <x v="2"/>
    <s v="MATERIAL DE ASEO"/>
    <x v="3"/>
    <x v="430"/>
    <s v="UNIDADES"/>
    <n v="1300"/>
    <n v="50"/>
    <n v="50"/>
    <n v="0"/>
    <n v="65000"/>
    <n v="0"/>
    <x v="1"/>
  </r>
  <r>
    <x v="2"/>
    <x v="10"/>
    <x v="4"/>
    <s v="MATERIAL DE ASEO"/>
    <x v="3"/>
    <x v="430"/>
    <s v="UNIDADES"/>
    <n v="1300"/>
    <n v="0"/>
    <n v="0"/>
    <n v="0"/>
    <n v="0"/>
    <n v="0"/>
    <x v="1"/>
  </r>
  <r>
    <x v="2"/>
    <x v="12"/>
    <x v="3"/>
    <s v="MATERIAL DE EMPAQUE"/>
    <x v="2"/>
    <x v="431"/>
    <s v="UNIDADES"/>
    <n v="11"/>
    <n v="1310"/>
    <n v="2"/>
    <n v="-1308"/>
    <n v="22"/>
    <n v="-14388"/>
    <x v="2"/>
  </r>
  <r>
    <x v="2"/>
    <x v="14"/>
    <x v="0"/>
    <s v="MATERIAL DE EMPAQUE"/>
    <x v="2"/>
    <x v="431"/>
    <s v="UNIDADES"/>
    <n v="11"/>
    <n v="100"/>
    <n v="7"/>
    <n v="-93"/>
    <n v="77"/>
    <n v="-1023"/>
    <x v="2"/>
  </r>
  <r>
    <x v="2"/>
    <x v="13"/>
    <x v="2"/>
    <s v="MATERIAL DE EMPAQUE"/>
    <x v="2"/>
    <x v="431"/>
    <s v="UNIDADES"/>
    <n v="11"/>
    <n v="400"/>
    <n v="0"/>
    <n v="-400"/>
    <n v="0"/>
    <n v="-4400"/>
    <x v="2"/>
  </r>
  <r>
    <x v="2"/>
    <x v="15"/>
    <x v="1"/>
    <s v="MATERIAL DE EMPAQUE"/>
    <x v="2"/>
    <x v="431"/>
    <s v="UNIDADES"/>
    <n v="11"/>
    <n v="0"/>
    <n v="0"/>
    <n v="0"/>
    <n v="0"/>
    <n v="0"/>
    <x v="1"/>
  </r>
  <r>
    <x v="2"/>
    <x v="16"/>
    <x v="5"/>
    <s v="MATERIAL DE EMPAQUE"/>
    <x v="2"/>
    <x v="431"/>
    <s v="UNIDADES"/>
    <n v="11"/>
    <n v="1000"/>
    <n v="0"/>
    <n v="-1000"/>
    <n v="0"/>
    <n v="-11000"/>
    <x v="2"/>
  </r>
  <r>
    <x v="2"/>
    <x v="10"/>
    <x v="4"/>
    <s v="MATERIAL DE EMPAQUE"/>
    <x v="2"/>
    <x v="431"/>
    <s v="UNIDADES"/>
    <n v="11"/>
    <n v="0"/>
    <n v="2"/>
    <n v="2"/>
    <n v="22"/>
    <n v="22"/>
    <x v="0"/>
  </r>
  <r>
    <x v="2"/>
    <x v="12"/>
    <x v="3"/>
    <s v="MATERIAL DE EMPAQUE"/>
    <x v="2"/>
    <x v="432"/>
    <s v="UNIDADES"/>
    <n v="25"/>
    <n v="808"/>
    <n v="3"/>
    <n v="-805"/>
    <n v="75"/>
    <n v="-20125"/>
    <x v="2"/>
  </r>
  <r>
    <x v="2"/>
    <x v="13"/>
    <x v="2"/>
    <s v="MATERIAL DE EMPAQUE"/>
    <x v="2"/>
    <x v="432"/>
    <s v="UNIDADES"/>
    <n v="25"/>
    <n v="0"/>
    <n v="0"/>
    <n v="-2000"/>
    <n v="0"/>
    <n v="-50000"/>
    <x v="2"/>
  </r>
  <r>
    <x v="2"/>
    <x v="10"/>
    <x v="4"/>
    <s v="MATERIAL DE EMPAQUE"/>
    <x v="2"/>
    <x v="432"/>
    <s v="UNIDADES"/>
    <n v="25"/>
    <n v="1000"/>
    <n v="5"/>
    <n v="-995"/>
    <n v="125"/>
    <n v="-24875"/>
    <x v="2"/>
  </r>
  <r>
    <x v="2"/>
    <x v="12"/>
    <x v="3"/>
    <s v="MATERIAL DE ASEO"/>
    <x v="3"/>
    <x v="433"/>
    <s v="UNIDADES"/>
    <n v="714.29"/>
    <n v="150"/>
    <n v="80"/>
    <n v="-70"/>
    <n v="57143.199999999997"/>
    <n v="-50000.299999999996"/>
    <x v="2"/>
  </r>
  <r>
    <x v="2"/>
    <x v="14"/>
    <x v="0"/>
    <s v="MATERIAL DE ASEO"/>
    <x v="3"/>
    <x v="433"/>
    <s v="UNIDADES"/>
    <n v="714.28666667000005"/>
    <n v="300"/>
    <n v="50"/>
    <n v="-250"/>
    <n v="35714.333333499999"/>
    <n v="-178571.66666750002"/>
    <x v="2"/>
  </r>
  <r>
    <x v="2"/>
    <x v="13"/>
    <x v="2"/>
    <s v="MATERIAL DE ASEO"/>
    <x v="3"/>
    <x v="433"/>
    <s v="UNIDADES"/>
    <n v="714.29"/>
    <n v="250"/>
    <n v="120"/>
    <n v="-230"/>
    <n v="85714.799999999988"/>
    <n v="-164286.69999999998"/>
    <x v="2"/>
  </r>
  <r>
    <x v="2"/>
    <x v="15"/>
    <x v="1"/>
    <s v="MATERIAL DE ASEO"/>
    <x v="3"/>
    <x v="433"/>
    <s v="UNIDADES"/>
    <n v="714.28666667000005"/>
    <n v="210"/>
    <n v="3"/>
    <n v="-207"/>
    <n v="2142.86000001"/>
    <n v="-147857.34000069002"/>
    <x v="2"/>
  </r>
  <r>
    <x v="2"/>
    <x v="16"/>
    <x v="5"/>
    <s v="MATERIAL DE ASEO"/>
    <x v="3"/>
    <x v="433"/>
    <s v="UNIDADES"/>
    <n v="714.29"/>
    <n v="0"/>
    <n v="0"/>
    <n v="0"/>
    <n v="0"/>
    <n v="0"/>
    <x v="1"/>
  </r>
  <r>
    <x v="2"/>
    <x v="10"/>
    <x v="4"/>
    <s v="MATERIAL DE ASEO"/>
    <x v="3"/>
    <x v="433"/>
    <s v="UNIDADES"/>
    <n v="714.29"/>
    <n v="150"/>
    <n v="20"/>
    <n v="-130"/>
    <n v="14285.8"/>
    <n v="-92857.7"/>
    <x v="2"/>
  </r>
  <r>
    <x v="2"/>
    <x v="12"/>
    <x v="3"/>
    <s v="MATERIAL DE EMPAQUE"/>
    <x v="2"/>
    <x v="434"/>
    <s v="UNIDADES"/>
    <n v="348.29199999999997"/>
    <n v="0"/>
    <n v="0"/>
    <n v="0"/>
    <n v="0"/>
    <n v="0"/>
    <x v="1"/>
  </r>
  <r>
    <x v="2"/>
    <x v="14"/>
    <x v="0"/>
    <s v="MATERIAL DE EMPAQUE"/>
    <x v="2"/>
    <x v="434"/>
    <s v="UNIDADES"/>
    <n v="348.29199999999997"/>
    <n v="0"/>
    <n v="0"/>
    <n v="0"/>
    <n v="0"/>
    <n v="0"/>
    <x v="1"/>
  </r>
  <r>
    <x v="2"/>
    <x v="13"/>
    <x v="2"/>
    <s v="MATERIAL DE EMPAQUE"/>
    <x v="2"/>
    <x v="434"/>
    <s v="UNIDADES"/>
    <n v="348.29199999999997"/>
    <n v="0"/>
    <n v="0"/>
    <n v="0"/>
    <n v="0"/>
    <n v="0"/>
    <x v="1"/>
  </r>
  <r>
    <x v="2"/>
    <x v="10"/>
    <x v="4"/>
    <s v="MATERIAL DE EMPAQUE"/>
    <x v="2"/>
    <x v="434"/>
    <s v="UNIDADES"/>
    <n v="348.29199999999997"/>
    <n v="25"/>
    <n v="0"/>
    <n v="-25"/>
    <n v="0"/>
    <n v="-8707.2999999999993"/>
    <x v="2"/>
  </r>
  <r>
    <x v="2"/>
    <x v="12"/>
    <x v="3"/>
    <s v="LICORES"/>
    <x v="0"/>
    <x v="108"/>
    <s v="ONZA"/>
    <n v="5958.3333333299997"/>
    <n v="0"/>
    <n v="0"/>
    <n v="0"/>
    <n v="0"/>
    <n v="0"/>
    <x v="1"/>
  </r>
  <r>
    <x v="2"/>
    <x v="14"/>
    <x v="0"/>
    <s v="LICORES"/>
    <x v="0"/>
    <x v="108"/>
    <s v="ONZA"/>
    <n v="5958.3333333299997"/>
    <n v="17"/>
    <n v="17"/>
    <n v="0"/>
    <n v="101291.66666660999"/>
    <n v="0"/>
    <x v="1"/>
  </r>
  <r>
    <x v="2"/>
    <x v="13"/>
    <x v="2"/>
    <s v="LICORES"/>
    <x v="0"/>
    <x v="108"/>
    <s v="ONZA"/>
    <n v="5958.3333333299997"/>
    <n v="0"/>
    <n v="0"/>
    <n v="0"/>
    <n v="0"/>
    <n v="0"/>
    <x v="1"/>
  </r>
  <r>
    <x v="2"/>
    <x v="10"/>
    <x v="4"/>
    <s v="LICORES"/>
    <x v="0"/>
    <x v="108"/>
    <s v="ONZA"/>
    <n v="5958.3333333299997"/>
    <n v="0"/>
    <n v="0"/>
    <n v="0"/>
    <n v="0"/>
    <n v="0"/>
    <x v="1"/>
  </r>
  <r>
    <x v="2"/>
    <x v="12"/>
    <x v="3"/>
    <s v="FRUVER"/>
    <x v="1"/>
    <x v="435"/>
    <s v="GRAMOS"/>
    <n v="350"/>
    <n v="-12"/>
    <n v="0"/>
    <n v="12"/>
    <n v="0"/>
    <n v="4200"/>
    <x v="0"/>
  </r>
  <r>
    <x v="2"/>
    <x v="14"/>
    <x v="0"/>
    <s v="FRUVER"/>
    <x v="1"/>
    <x v="435"/>
    <s v="GRAMOS"/>
    <n v="350"/>
    <n v="-13"/>
    <n v="0"/>
    <n v="13"/>
    <n v="0"/>
    <n v="4550"/>
    <x v="0"/>
  </r>
  <r>
    <x v="2"/>
    <x v="13"/>
    <x v="2"/>
    <s v="FRUVER"/>
    <x v="1"/>
    <x v="435"/>
    <s v="GRAMOS"/>
    <n v="350"/>
    <n v="-24"/>
    <n v="0"/>
    <n v="24"/>
    <n v="0"/>
    <n v="8400"/>
    <x v="0"/>
  </r>
  <r>
    <x v="2"/>
    <x v="15"/>
    <x v="1"/>
    <s v="FRUVER"/>
    <x v="1"/>
    <x v="435"/>
    <s v="GRAMOS"/>
    <n v="350"/>
    <n v="-1"/>
    <n v="0"/>
    <n v="1"/>
    <n v="0"/>
    <n v="350"/>
    <x v="0"/>
  </r>
  <r>
    <x v="2"/>
    <x v="10"/>
    <x v="4"/>
    <s v="FRUVER"/>
    <x v="1"/>
    <x v="435"/>
    <s v="GRAMOS"/>
    <n v="350"/>
    <n v="-17"/>
    <n v="0"/>
    <n v="17"/>
    <n v="0"/>
    <n v="5950"/>
    <x v="0"/>
  </r>
  <r>
    <x v="2"/>
    <x v="12"/>
    <x v="3"/>
    <s v="MATERIAL DE ASEO"/>
    <x v="3"/>
    <x v="436"/>
    <s v="GRAMOS"/>
    <n v="25.0914"/>
    <n v="5000"/>
    <n v="5000"/>
    <n v="0"/>
    <n v="125457"/>
    <n v="0"/>
    <x v="1"/>
  </r>
  <r>
    <x v="2"/>
    <x v="13"/>
    <x v="2"/>
    <s v="MATERIAL DE ASEO"/>
    <x v="3"/>
    <x v="436"/>
    <s v="GRAMOS"/>
    <n v="25.0914"/>
    <n v="15001"/>
    <n v="5000"/>
    <n v="-15001"/>
    <n v="125457"/>
    <n v="-376396.09139999998"/>
    <x v="2"/>
  </r>
  <r>
    <x v="2"/>
    <x v="10"/>
    <x v="4"/>
    <s v="MATERIAL DE ASEO"/>
    <x v="3"/>
    <x v="436"/>
    <s v="GRAMOS"/>
    <n v="25.0914"/>
    <n v="4000"/>
    <n v="3500"/>
    <n v="-500"/>
    <n v="87819.9"/>
    <n v="-12545.7"/>
    <x v="2"/>
  </r>
  <r>
    <x v="2"/>
    <x v="12"/>
    <x v="3"/>
    <s v="GASEOSAS Y SODAS"/>
    <x v="0"/>
    <x v="337"/>
    <s v="UNIDADES"/>
    <n v="2120.83"/>
    <n v="0"/>
    <n v="0"/>
    <n v="0"/>
    <n v="0"/>
    <n v="0"/>
    <x v="1"/>
  </r>
  <r>
    <x v="2"/>
    <x v="13"/>
    <x v="2"/>
    <s v="GASEOSAS Y SODAS"/>
    <x v="0"/>
    <x v="337"/>
    <s v="UNIDADES"/>
    <n v="2120.83"/>
    <n v="0"/>
    <n v="0"/>
    <n v="0"/>
    <n v="0"/>
    <n v="0"/>
    <x v="1"/>
  </r>
  <r>
    <x v="2"/>
    <x v="10"/>
    <x v="4"/>
    <s v="GASEOSAS Y SODAS"/>
    <x v="0"/>
    <x v="337"/>
    <s v="UNIDADES"/>
    <n v="2120.83"/>
    <n v="0"/>
    <n v="0"/>
    <n v="0"/>
    <n v="0"/>
    <n v="0"/>
    <x v="1"/>
  </r>
  <r>
    <x v="2"/>
    <x v="12"/>
    <x v="3"/>
    <s v="FRUVER"/>
    <x v="1"/>
    <x v="437"/>
    <s v="GRAMOS"/>
    <n v="5"/>
    <n v="-11112.6829"/>
    <n v="868"/>
    <n v="10380.682919999999"/>
    <n v="4340"/>
    <n v="51903.414599999996"/>
    <x v="0"/>
  </r>
  <r>
    <x v="2"/>
    <x v="14"/>
    <x v="0"/>
    <s v="FRUVER"/>
    <x v="1"/>
    <x v="437"/>
    <s v="GRAMOS"/>
    <n v="6.5"/>
    <n v="7330.9151000000002"/>
    <n v="1780"/>
    <n v="-5550.9151250000004"/>
    <n v="11570"/>
    <n v="-36080.948312500004"/>
    <x v="2"/>
  </r>
  <r>
    <x v="2"/>
    <x v="13"/>
    <x v="2"/>
    <s v="FRUVER"/>
    <x v="1"/>
    <x v="437"/>
    <s v="GRAMOS"/>
    <n v="5"/>
    <n v="-2709.5122000000001"/>
    <n v="0"/>
    <n v="2709.5121899999999"/>
    <n v="0"/>
    <n v="13547.560949999999"/>
    <x v="0"/>
  </r>
  <r>
    <x v="2"/>
    <x v="10"/>
    <x v="4"/>
    <s v="FRUVER"/>
    <x v="1"/>
    <x v="437"/>
    <s v="GRAMOS"/>
    <n v="5"/>
    <n v="-3845.5122000000001"/>
    <n v="1000"/>
    <n v="4845.5121900000004"/>
    <n v="5000"/>
    <n v="24227.560950000003"/>
    <x v="0"/>
  </r>
  <r>
    <x v="2"/>
    <x v="12"/>
    <x v="3"/>
    <s v="FRUVER"/>
    <x v="1"/>
    <x v="438"/>
    <s v="GRAMOS"/>
    <n v="310"/>
    <n v="564.55550000000005"/>
    <n v="150"/>
    <n v="-714.55554719999998"/>
    <n v="46500"/>
    <n v="-221512.21963199999"/>
    <x v="2"/>
  </r>
  <r>
    <x v="2"/>
    <x v="14"/>
    <x v="0"/>
    <s v="FRUVER"/>
    <x v="1"/>
    <x v="438"/>
    <s v="GRAMOS"/>
    <n v="310"/>
    <n v="-381"/>
    <n v="200"/>
    <n v="581"/>
    <n v="62000"/>
    <n v="180110"/>
    <x v="0"/>
  </r>
  <r>
    <x v="2"/>
    <x v="13"/>
    <x v="2"/>
    <s v="FRUVER"/>
    <x v="1"/>
    <x v="438"/>
    <s v="GRAMOS"/>
    <n v="310"/>
    <n v="-274.88889999999998"/>
    <n v="328"/>
    <n v="52.888896799999998"/>
    <n v="101680"/>
    <n v="16395.558008"/>
    <x v="0"/>
  </r>
  <r>
    <x v="2"/>
    <x v="15"/>
    <x v="1"/>
    <s v="FRUVER"/>
    <x v="1"/>
    <x v="438"/>
    <s v="GRAMOS"/>
    <n v="310"/>
    <n v="50"/>
    <n v="0"/>
    <n v="-50"/>
    <n v="0"/>
    <n v="-15500"/>
    <x v="2"/>
  </r>
  <r>
    <x v="2"/>
    <x v="10"/>
    <x v="4"/>
    <s v="FRUVER"/>
    <x v="1"/>
    <x v="438"/>
    <s v="GRAMOS"/>
    <n v="310"/>
    <n v="189.77780000000001"/>
    <n v="0"/>
    <n v="-189.7777672"/>
    <n v="0"/>
    <n v="-58831.107832000002"/>
    <x v="2"/>
  </r>
  <r>
    <x v="2"/>
    <x v="12"/>
    <x v="3"/>
    <s v="LICORES"/>
    <x v="0"/>
    <x v="2"/>
    <s v="ONZA"/>
    <n v="14896.95833333"/>
    <n v="9"/>
    <n v="9"/>
    <n v="0"/>
    <n v="134072.62499996999"/>
    <n v="0"/>
    <x v="1"/>
  </r>
  <r>
    <x v="2"/>
    <x v="14"/>
    <x v="0"/>
    <s v="LICORES"/>
    <x v="0"/>
    <x v="2"/>
    <s v="ONZA"/>
    <n v="14896.95833333"/>
    <n v="34"/>
    <n v="34"/>
    <n v="0"/>
    <n v="506496.58333321998"/>
    <n v="0"/>
    <x v="1"/>
  </r>
  <r>
    <x v="2"/>
    <x v="13"/>
    <x v="2"/>
    <s v="LICORES"/>
    <x v="0"/>
    <x v="2"/>
    <s v="ONZA"/>
    <n v="14896.95833333"/>
    <n v="16"/>
    <n v="16"/>
    <n v="0"/>
    <n v="238351.33333328"/>
    <n v="0"/>
    <x v="1"/>
  </r>
  <r>
    <x v="2"/>
    <x v="15"/>
    <x v="1"/>
    <s v="LICORES"/>
    <x v="0"/>
    <x v="2"/>
    <s v="ONZA"/>
    <n v="14896.95833333"/>
    <n v="49.7"/>
    <n v="48"/>
    <n v="-1.7"/>
    <n v="715053.99999984005"/>
    <n v="-25324.829166660998"/>
    <x v="2"/>
  </r>
  <r>
    <x v="2"/>
    <x v="10"/>
    <x v="4"/>
    <s v="LICORES"/>
    <x v="0"/>
    <x v="2"/>
    <s v="ONZA"/>
    <n v="14896.95833333"/>
    <n v="23"/>
    <n v="26"/>
    <n v="3"/>
    <n v="387320.91666658001"/>
    <n v="44690.874999990003"/>
    <x v="0"/>
  </r>
  <r>
    <x v="2"/>
    <x v="12"/>
    <x v="3"/>
    <s v="LICORES"/>
    <x v="0"/>
    <x v="3"/>
    <s v="UNIDADES"/>
    <n v="95560"/>
    <n v="1"/>
    <n v="1"/>
    <n v="0"/>
    <n v="95560"/>
    <n v="0"/>
    <x v="1"/>
  </r>
  <r>
    <x v="2"/>
    <x v="14"/>
    <x v="0"/>
    <s v="LICORES"/>
    <x v="0"/>
    <x v="3"/>
    <s v="UNIDADES"/>
    <n v="100385"/>
    <n v="0"/>
    <n v="0"/>
    <n v="0"/>
    <n v="0"/>
    <n v="0"/>
    <x v="1"/>
  </r>
  <r>
    <x v="2"/>
    <x v="13"/>
    <x v="2"/>
    <s v="LICORES"/>
    <x v="0"/>
    <x v="3"/>
    <s v="UNIDADES"/>
    <n v="95560"/>
    <n v="1"/>
    <n v="1"/>
    <n v="0"/>
    <n v="95560"/>
    <n v="0"/>
    <x v="1"/>
  </r>
  <r>
    <x v="2"/>
    <x v="15"/>
    <x v="1"/>
    <s v="LICORES"/>
    <x v="0"/>
    <x v="3"/>
    <s v="UNIDADES"/>
    <n v="100385"/>
    <n v="2"/>
    <n v="2"/>
    <n v="0"/>
    <n v="200770"/>
    <n v="0"/>
    <x v="1"/>
  </r>
  <r>
    <x v="2"/>
    <x v="10"/>
    <x v="4"/>
    <s v="LICORES"/>
    <x v="0"/>
    <x v="3"/>
    <s v="UNIDADES"/>
    <n v="95560"/>
    <n v="1"/>
    <n v="1"/>
    <n v="0"/>
    <n v="95560"/>
    <n v="0"/>
    <x v="1"/>
  </r>
  <r>
    <x v="2"/>
    <x v="12"/>
    <x v="3"/>
    <s v="LICORES"/>
    <x v="0"/>
    <x v="172"/>
    <s v="ONZA"/>
    <n v="6746.25"/>
    <n v="61"/>
    <n v="61"/>
    <n v="0"/>
    <n v="411521.25"/>
    <n v="0"/>
    <x v="1"/>
  </r>
  <r>
    <x v="2"/>
    <x v="14"/>
    <x v="0"/>
    <s v="LICORES"/>
    <x v="0"/>
    <x v="172"/>
    <s v="ONZA"/>
    <n v="6154.6666666700003"/>
    <n v="19"/>
    <n v="18"/>
    <n v="-1"/>
    <n v="110784.00000006001"/>
    <n v="-6154.6666666700003"/>
    <x v="2"/>
  </r>
  <r>
    <x v="2"/>
    <x v="13"/>
    <x v="2"/>
    <s v="LICORES"/>
    <x v="0"/>
    <x v="172"/>
    <s v="ONZA"/>
    <n v="6746.25"/>
    <n v="39"/>
    <n v="39"/>
    <n v="0"/>
    <n v="263103.75"/>
    <n v="0"/>
    <x v="1"/>
  </r>
  <r>
    <x v="2"/>
    <x v="15"/>
    <x v="1"/>
    <s v="LICORES"/>
    <x v="0"/>
    <x v="172"/>
    <s v="ONZA"/>
    <n v="6154.6666666700003"/>
    <n v="33"/>
    <n v="33"/>
    <n v="0"/>
    <n v="203104.00000011001"/>
    <n v="0"/>
    <x v="1"/>
  </r>
  <r>
    <x v="2"/>
    <x v="10"/>
    <x v="4"/>
    <s v="LICORES"/>
    <x v="0"/>
    <x v="172"/>
    <s v="ONZA"/>
    <n v="6746.25"/>
    <n v="1.71"/>
    <n v="3.71"/>
    <n v="2"/>
    <n v="25028.587500000001"/>
    <n v="13492.5"/>
    <x v="0"/>
  </r>
  <r>
    <x v="2"/>
    <x v="12"/>
    <x v="3"/>
    <s v="LICORES"/>
    <x v="0"/>
    <x v="138"/>
    <s v="ONZA"/>
    <n v="7147.1666666700003"/>
    <n v="0"/>
    <n v="0"/>
    <n v="0"/>
    <n v="0"/>
    <n v="0"/>
    <x v="1"/>
  </r>
  <r>
    <x v="2"/>
    <x v="14"/>
    <x v="0"/>
    <s v="LICORES"/>
    <x v="0"/>
    <x v="138"/>
    <s v="ONZA"/>
    <n v="7147.1666666700003"/>
    <n v="37"/>
    <n v="38"/>
    <n v="1"/>
    <n v="271592.33333346003"/>
    <n v="7147.1666666700003"/>
    <x v="0"/>
  </r>
  <r>
    <x v="2"/>
    <x v="13"/>
    <x v="2"/>
    <s v="LICORES"/>
    <x v="0"/>
    <x v="138"/>
    <s v="ONZA"/>
    <n v="7147.1666666700003"/>
    <n v="0"/>
    <n v="0"/>
    <n v="0"/>
    <n v="0"/>
    <n v="0"/>
    <x v="1"/>
  </r>
  <r>
    <x v="2"/>
    <x v="15"/>
    <x v="1"/>
    <s v="LICORES"/>
    <x v="0"/>
    <x v="138"/>
    <s v="ONZA"/>
    <n v="7147.1666666700003"/>
    <n v="23.7"/>
    <n v="30"/>
    <n v="6.3"/>
    <n v="214415.0000001"/>
    <n v="45027.150000021"/>
    <x v="0"/>
  </r>
  <r>
    <x v="2"/>
    <x v="10"/>
    <x v="4"/>
    <s v="LICORES"/>
    <x v="0"/>
    <x v="138"/>
    <s v="ONZA"/>
    <n v="7147.1666666700003"/>
    <n v="0"/>
    <n v="0"/>
    <n v="0"/>
    <n v="0"/>
    <n v="0"/>
    <x v="1"/>
  </r>
  <r>
    <x v="2"/>
    <x v="12"/>
    <x v="3"/>
    <s v="LICORES"/>
    <x v="0"/>
    <x v="32"/>
    <s v="ONZA"/>
    <n v="4504.1666666700003"/>
    <n v="0"/>
    <n v="0"/>
    <n v="0"/>
    <n v="0"/>
    <n v="0"/>
    <x v="1"/>
  </r>
  <r>
    <x v="2"/>
    <x v="14"/>
    <x v="0"/>
    <s v="LICORES"/>
    <x v="0"/>
    <x v="32"/>
    <s v="ONZA"/>
    <n v="4504.1666666700003"/>
    <n v="30"/>
    <n v="30"/>
    <n v="0"/>
    <n v="135125.0000001"/>
    <n v="0"/>
    <x v="1"/>
  </r>
  <r>
    <x v="2"/>
    <x v="13"/>
    <x v="2"/>
    <s v="LICORES"/>
    <x v="0"/>
    <x v="32"/>
    <s v="ONZA"/>
    <n v="4504.1666666700003"/>
    <n v="0"/>
    <n v="0"/>
    <n v="0"/>
    <n v="0"/>
    <n v="0"/>
    <x v="1"/>
  </r>
  <r>
    <x v="2"/>
    <x v="10"/>
    <x v="4"/>
    <s v="LICORES"/>
    <x v="0"/>
    <x v="32"/>
    <s v="ONZA"/>
    <n v="4504.1666666700003"/>
    <n v="0"/>
    <n v="0"/>
    <n v="0"/>
    <n v="0"/>
    <n v="0"/>
    <x v="1"/>
  </r>
  <r>
    <x v="2"/>
    <x v="12"/>
    <x v="3"/>
    <s v="LICORES"/>
    <x v="0"/>
    <x v="46"/>
    <s v="ONZA"/>
    <n v="7461.7272727299996"/>
    <n v="17.670000000000002"/>
    <n v="17"/>
    <n v="-0.67"/>
    <n v="126849.36363640999"/>
    <n v="-4999.3572727291003"/>
    <x v="2"/>
  </r>
  <r>
    <x v="2"/>
    <x v="14"/>
    <x v="0"/>
    <s v="LICORES"/>
    <x v="0"/>
    <x v="46"/>
    <s v="ONZA"/>
    <n v="6839.9166666700003"/>
    <n v="21.68"/>
    <n v="22"/>
    <n v="0.32"/>
    <n v="150478.16666674"/>
    <n v="2188.7733333343999"/>
    <x v="0"/>
  </r>
  <r>
    <x v="2"/>
    <x v="13"/>
    <x v="2"/>
    <s v="LICORES"/>
    <x v="0"/>
    <x v="46"/>
    <s v="ONZA"/>
    <n v="7461.7272727299996"/>
    <n v="19.34"/>
    <n v="20"/>
    <n v="0.66"/>
    <n v="149234.54545459998"/>
    <n v="4924.7400000017997"/>
    <x v="0"/>
  </r>
  <r>
    <x v="2"/>
    <x v="15"/>
    <x v="1"/>
    <s v="LICORES"/>
    <x v="0"/>
    <x v="46"/>
    <s v="ONZA"/>
    <n v="6839.9166666700003"/>
    <n v="53.34"/>
    <n v="55"/>
    <n v="1.66"/>
    <n v="376195.41666685004"/>
    <n v="11354.261666672201"/>
    <x v="0"/>
  </r>
  <r>
    <x v="2"/>
    <x v="10"/>
    <x v="4"/>
    <s v="LICORES"/>
    <x v="0"/>
    <x v="46"/>
    <s v="ONZA"/>
    <n v="7461.7272727299996"/>
    <n v="22"/>
    <n v="30.66"/>
    <n v="8.66"/>
    <n v="228776.55818190178"/>
    <n v="64618.5581818418"/>
    <x v="0"/>
  </r>
  <r>
    <x v="2"/>
    <x v="14"/>
    <x v="0"/>
    <s v="LACTEOS"/>
    <x v="1"/>
    <x v="439"/>
    <s v="UNIDADES"/>
    <n v="8666.6666666700003"/>
    <n v="3"/>
    <n v="4"/>
    <n v="1"/>
    <n v="34666.666666680001"/>
    <n v="8666.6666666700003"/>
    <x v="0"/>
  </r>
  <r>
    <x v="2"/>
    <x v="12"/>
    <x v="3"/>
    <s v="ABARROTES"/>
    <x v="1"/>
    <x v="440"/>
    <s v="GRAMOS"/>
    <n v="150"/>
    <n v="0"/>
    <n v="0"/>
    <n v="0"/>
    <n v="0"/>
    <n v="0"/>
    <x v="1"/>
  </r>
  <r>
    <x v="2"/>
    <x v="13"/>
    <x v="2"/>
    <s v="ABARROTES"/>
    <x v="1"/>
    <x v="440"/>
    <s v="GRAMOS"/>
    <n v="150"/>
    <n v="0"/>
    <n v="0"/>
    <n v="0"/>
    <n v="0"/>
    <n v="0"/>
    <x v="1"/>
  </r>
  <r>
    <x v="2"/>
    <x v="15"/>
    <x v="1"/>
    <s v="ABARROTES"/>
    <x v="1"/>
    <x v="440"/>
    <s v="GRAMOS"/>
    <n v="150"/>
    <n v="-1.3299999999999999E-2"/>
    <n v="0"/>
    <n v="1.3332999999999999E-2"/>
    <n v="0"/>
    <n v="1.9999499999999999"/>
    <x v="0"/>
  </r>
  <r>
    <x v="2"/>
    <x v="10"/>
    <x v="4"/>
    <s v="ABARROTES"/>
    <x v="1"/>
    <x v="440"/>
    <s v="GRAMOS"/>
    <n v="150"/>
    <n v="0"/>
    <n v="0"/>
    <n v="0"/>
    <n v="0"/>
    <n v="0"/>
    <x v="1"/>
  </r>
  <r>
    <x v="2"/>
    <x v="14"/>
    <x v="0"/>
    <s v="LICORES"/>
    <x v="0"/>
    <x v="177"/>
    <s v="ONZA"/>
    <n v="1590.84375"/>
    <n v="29"/>
    <n v="31"/>
    <n v="2"/>
    <n v="49316.15625"/>
    <n v="3181.6875"/>
    <x v="0"/>
  </r>
  <r>
    <x v="2"/>
    <x v="15"/>
    <x v="1"/>
    <s v="LICORES"/>
    <x v="0"/>
    <x v="177"/>
    <s v="ONZA"/>
    <n v="1590.84375"/>
    <n v="28"/>
    <n v="29"/>
    <n v="1"/>
    <n v="46134.46875"/>
    <n v="1590.84375"/>
    <x v="0"/>
  </r>
  <r>
    <x v="2"/>
    <x v="12"/>
    <x v="3"/>
    <s v="INSUMOS BAR"/>
    <x v="0"/>
    <x v="441"/>
    <s v="GRAMOS"/>
    <n v="49.252538629999997"/>
    <n v="2308"/>
    <n v="4500"/>
    <n v="2192"/>
    <n v="221636.42383499999"/>
    <n v="107961.56467696"/>
    <x v="0"/>
  </r>
  <r>
    <x v="2"/>
    <x v="14"/>
    <x v="0"/>
    <s v="INSUMOS BAR"/>
    <x v="0"/>
    <x v="441"/>
    <s v="GRAMOS"/>
    <n v="68.432671080000006"/>
    <n v="-426"/>
    <n v="1500"/>
    <n v="1926"/>
    <n v="102649.00662000001"/>
    <n v="131801.32450008002"/>
    <x v="0"/>
  </r>
  <r>
    <x v="2"/>
    <x v="13"/>
    <x v="2"/>
    <s v="INSUMOS BAR"/>
    <x v="0"/>
    <x v="441"/>
    <s v="GRAMOS"/>
    <n v="49.252538629999997"/>
    <n v="2908"/>
    <n v="3130"/>
    <n v="222"/>
    <n v="154160.44591189999"/>
    <n v="10934.06357586"/>
    <x v="0"/>
  </r>
  <r>
    <x v="2"/>
    <x v="15"/>
    <x v="1"/>
    <s v="INSUMOS BAR"/>
    <x v="0"/>
    <x v="441"/>
    <s v="GRAMOS"/>
    <n v="68.432671080000006"/>
    <n v="4026.3332999999998"/>
    <n v="4000"/>
    <n v="-26.333333289999999"/>
    <n v="273730.68432"/>
    <n v="-1802.0603354745842"/>
    <x v="2"/>
  </r>
  <r>
    <x v="2"/>
    <x v="10"/>
    <x v="4"/>
    <s v="INSUMOS BAR"/>
    <x v="0"/>
    <x v="441"/>
    <s v="GRAMOS"/>
    <n v="49.252538629999997"/>
    <n v="4663"/>
    <n v="870"/>
    <n v="-3793"/>
    <n v="42849.708608099994"/>
    <n v="-186814.87902358998"/>
    <x v="2"/>
  </r>
  <r>
    <x v="2"/>
    <x v="12"/>
    <x v="3"/>
    <s v="LACTEOS"/>
    <x v="1"/>
    <x v="442"/>
    <s v="GRAMOS"/>
    <n v="8"/>
    <n v="3590"/>
    <n v="3200"/>
    <n v="-390"/>
    <n v="25600"/>
    <n v="-3120"/>
    <x v="2"/>
  </r>
  <r>
    <x v="2"/>
    <x v="14"/>
    <x v="0"/>
    <s v="LACTEOS"/>
    <x v="1"/>
    <x v="442"/>
    <s v="GRAMOS"/>
    <n v="8.2562499999999996"/>
    <n v="8830"/>
    <n v="3000"/>
    <n v="-5830"/>
    <n v="24768.75"/>
    <n v="-48133.9375"/>
    <x v="2"/>
  </r>
  <r>
    <x v="2"/>
    <x v="13"/>
    <x v="2"/>
    <s v="LACTEOS"/>
    <x v="1"/>
    <x v="442"/>
    <s v="GRAMOS"/>
    <n v="8.2562499999999996"/>
    <n v="5936"/>
    <n v="4876"/>
    <n v="-1060"/>
    <n v="40257.474999999999"/>
    <n v="-8751.625"/>
    <x v="2"/>
  </r>
  <r>
    <x v="2"/>
    <x v="15"/>
    <x v="1"/>
    <s v="LACTEOS"/>
    <x v="1"/>
    <x v="442"/>
    <s v="GRAMOS"/>
    <n v="8.2562499999999996"/>
    <n v="25780"/>
    <n v="15000"/>
    <n v="-10780"/>
    <n v="123843.75"/>
    <n v="-89002.375"/>
    <x v="2"/>
  </r>
  <r>
    <x v="2"/>
    <x v="16"/>
    <x v="5"/>
    <s v="LACTEOS"/>
    <x v="1"/>
    <x v="442"/>
    <s v="GRAMOS"/>
    <n v="8.2562499999999996"/>
    <n v="-2300"/>
    <n v="0"/>
    <n v="2300"/>
    <n v="0"/>
    <n v="18989.375"/>
    <x v="0"/>
  </r>
  <r>
    <x v="2"/>
    <x v="10"/>
    <x v="4"/>
    <s v="LACTEOS"/>
    <x v="1"/>
    <x v="442"/>
    <s v="GRAMOS"/>
    <n v="8.2562499999999996"/>
    <n v="-280"/>
    <n v="2000"/>
    <n v="2280"/>
    <n v="16512.5"/>
    <n v="18824.25"/>
    <x v="0"/>
  </r>
  <r>
    <x v="2"/>
    <x v="12"/>
    <x v="3"/>
    <s v="INSUMOS BAR"/>
    <x v="0"/>
    <x v="443"/>
    <s v="UNIDADES"/>
    <n v="1222.2222222222222"/>
    <n v="26"/>
    <n v="1"/>
    <n v="-26"/>
    <n v="1222.2222222222222"/>
    <n v="-31777.777777777777"/>
    <x v="2"/>
  </r>
  <r>
    <x v="2"/>
    <x v="14"/>
    <x v="0"/>
    <s v="INSUMOS BAR"/>
    <x v="0"/>
    <x v="443"/>
    <s v="UNIDADES"/>
    <n v="1222.2222222222222"/>
    <n v="17"/>
    <n v="36"/>
    <n v="19"/>
    <n v="44000"/>
    <n v="23222.222222222223"/>
    <x v="0"/>
  </r>
  <r>
    <x v="2"/>
    <x v="13"/>
    <x v="2"/>
    <s v="INSUMOS BAR"/>
    <x v="0"/>
    <x v="443"/>
    <s v="UNIDADES"/>
    <n v="1222.2222222222222"/>
    <n v="-32"/>
    <n v="0"/>
    <n v="32"/>
    <n v="0"/>
    <n v="39111.111111111109"/>
    <x v="0"/>
  </r>
  <r>
    <x v="2"/>
    <x v="15"/>
    <x v="1"/>
    <s v="INSUMOS BAR"/>
    <x v="0"/>
    <x v="443"/>
    <s v="UNIDADES"/>
    <n v="1222.2222222222222"/>
    <n v="47"/>
    <n v="23"/>
    <n v="-24"/>
    <n v="28111.111111111109"/>
    <n v="-29333.333333333332"/>
    <x v="2"/>
  </r>
  <r>
    <x v="2"/>
    <x v="10"/>
    <x v="4"/>
    <s v="INSUMOS BAR"/>
    <x v="0"/>
    <x v="443"/>
    <s v="UNIDADES"/>
    <n v="1222.2222222222222"/>
    <n v="-26"/>
    <n v="1"/>
    <n v="27"/>
    <n v="1222.2222222222222"/>
    <n v="33000"/>
    <x v="0"/>
  </r>
  <r>
    <x v="2"/>
    <x v="12"/>
    <x v="3"/>
    <s v="PESCADOS Y MARISCOS"/>
    <x v="1"/>
    <x v="57"/>
    <s v="UNIDADES"/>
    <n v="514.28571428999999"/>
    <n v="1372"/>
    <n v="1264"/>
    <n v="-108"/>
    <n v="650057.14286255999"/>
    <n v="-55542.857143319998"/>
    <x v="2"/>
  </r>
  <r>
    <x v="2"/>
    <x v="14"/>
    <x v="0"/>
    <s v="PESCADOS Y MARISCOS"/>
    <x v="1"/>
    <x v="57"/>
    <s v="UNIDADES"/>
    <n v="514.28571428999999"/>
    <n v="2447"/>
    <n v="2494"/>
    <n v="47"/>
    <n v="1282628.5714392599"/>
    <n v="24171.42857163"/>
    <x v="0"/>
  </r>
  <r>
    <x v="2"/>
    <x v="13"/>
    <x v="2"/>
    <s v="PESCADOS Y MARISCOS"/>
    <x v="1"/>
    <x v="57"/>
    <s v="UNIDADES"/>
    <n v="514.28571428999999"/>
    <n v="1665"/>
    <n v="1485"/>
    <n v="-180"/>
    <n v="763714.28572064999"/>
    <n v="-92571.428572199991"/>
    <x v="2"/>
  </r>
  <r>
    <x v="2"/>
    <x v="15"/>
    <x v="1"/>
    <s v="PESCADOS Y MARISCOS"/>
    <x v="1"/>
    <x v="57"/>
    <s v="UNIDADES"/>
    <n v="514.28571428999999"/>
    <n v="69"/>
    <n v="57"/>
    <n v="-12"/>
    <n v="29314.28571453"/>
    <n v="-6171.4285714799998"/>
    <x v="2"/>
  </r>
  <r>
    <x v="2"/>
    <x v="16"/>
    <x v="5"/>
    <s v="PESCADOS Y MARISCOS"/>
    <x v="1"/>
    <x v="57"/>
    <s v="UNIDADES"/>
    <n v="514.28571428999999"/>
    <n v="7000"/>
    <n v="7000"/>
    <n v="0"/>
    <n v="3600000.0000299998"/>
    <n v="0"/>
    <x v="1"/>
  </r>
  <r>
    <x v="2"/>
    <x v="10"/>
    <x v="4"/>
    <s v="PESCADOS Y MARISCOS"/>
    <x v="1"/>
    <x v="57"/>
    <s v="UNIDADES"/>
    <n v="514.28571428999999"/>
    <n v="1088"/>
    <n v="979"/>
    <n v="-109"/>
    <n v="503485.71428990999"/>
    <n v="-56057.142857610001"/>
    <x v="2"/>
  </r>
  <r>
    <x v="2"/>
    <x v="12"/>
    <x v="3"/>
    <s v="FRUVER"/>
    <x v="1"/>
    <x v="444"/>
    <s v="GRAMOS"/>
    <n v="6.5"/>
    <n v="-9711.1108000000004"/>
    <n v="0"/>
    <n v="9711.1107539999994"/>
    <n v="0"/>
    <n v="63122.219900999997"/>
    <x v="0"/>
  </r>
  <r>
    <x v="2"/>
    <x v="14"/>
    <x v="0"/>
    <s v="FRUVER"/>
    <x v="1"/>
    <x v="444"/>
    <s v="GRAMOS"/>
    <n v="6.5"/>
    <n v="4580"/>
    <n v="1722"/>
    <n v="-2858"/>
    <n v="11193"/>
    <n v="-18577"/>
    <x v="2"/>
  </r>
  <r>
    <x v="2"/>
    <x v="13"/>
    <x v="2"/>
    <s v="FRUVER"/>
    <x v="1"/>
    <x v="444"/>
    <s v="GRAMOS"/>
    <n v="6.5"/>
    <n v="3305.556"/>
    <n v="1582"/>
    <n v="-3123.5560180000002"/>
    <n v="10283"/>
    <n v="-20303.114117000001"/>
    <x v="2"/>
  </r>
  <r>
    <x v="2"/>
    <x v="15"/>
    <x v="1"/>
    <s v="FRUVER"/>
    <x v="1"/>
    <x v="444"/>
    <s v="GRAMOS"/>
    <n v="6.5"/>
    <n v="1340"/>
    <n v="0"/>
    <n v="-1340"/>
    <n v="0"/>
    <n v="-8710"/>
    <x v="2"/>
  </r>
  <r>
    <x v="2"/>
    <x v="10"/>
    <x v="4"/>
    <s v="FRUVER"/>
    <x v="1"/>
    <x v="444"/>
    <s v="GRAMOS"/>
    <n v="6.5"/>
    <n v="-5649.2217000000001"/>
    <n v="3206"/>
    <n v="8855.2217469999996"/>
    <n v="20839"/>
    <n v="57558.941355499999"/>
    <x v="0"/>
  </r>
  <r>
    <x v="2"/>
    <x v="12"/>
    <x v="3"/>
    <s v="LICORES"/>
    <x v="0"/>
    <x v="44"/>
    <s v="ONZA"/>
    <n v="4318.125"/>
    <n v="50"/>
    <n v="51"/>
    <n v="1"/>
    <n v="220224.375"/>
    <n v="4318.125"/>
    <x v="0"/>
  </r>
  <r>
    <x v="2"/>
    <x v="14"/>
    <x v="0"/>
    <s v="LICORES"/>
    <x v="0"/>
    <x v="44"/>
    <s v="ONZA"/>
    <n v="4469.0833333299997"/>
    <n v="8"/>
    <n v="7"/>
    <n v="-1"/>
    <n v="31283.583333309998"/>
    <n v="-4469.0833333299997"/>
    <x v="2"/>
  </r>
  <r>
    <x v="2"/>
    <x v="13"/>
    <x v="2"/>
    <s v="LICORES"/>
    <x v="0"/>
    <x v="44"/>
    <s v="ONZA"/>
    <n v="4318.125"/>
    <n v="7"/>
    <n v="7"/>
    <n v="0"/>
    <n v="30226.875"/>
    <n v="0"/>
    <x v="1"/>
  </r>
  <r>
    <x v="2"/>
    <x v="15"/>
    <x v="1"/>
    <s v="LICORES"/>
    <x v="0"/>
    <x v="44"/>
    <s v="ONZA"/>
    <n v="4469.0833333299997"/>
    <n v="27"/>
    <n v="27"/>
    <n v="0"/>
    <n v="120665.24999991"/>
    <n v="0"/>
    <x v="1"/>
  </r>
  <r>
    <x v="2"/>
    <x v="10"/>
    <x v="4"/>
    <s v="LICORES"/>
    <x v="0"/>
    <x v="44"/>
    <s v="ONZA"/>
    <n v="4318.125"/>
    <n v="7"/>
    <n v="7"/>
    <n v="0"/>
    <n v="30226.875"/>
    <n v="0"/>
    <x v="1"/>
  </r>
  <r>
    <x v="2"/>
    <x v="12"/>
    <x v="3"/>
    <s v="GASEOSAS Y SODAS"/>
    <x v="0"/>
    <x v="189"/>
    <s v="UNIDADES"/>
    <n v="1860.01"/>
    <n v="0"/>
    <n v="0"/>
    <n v="0"/>
    <n v="0"/>
    <n v="0"/>
    <x v="1"/>
  </r>
  <r>
    <x v="2"/>
    <x v="13"/>
    <x v="2"/>
    <s v="GASEOSAS Y SODAS"/>
    <x v="0"/>
    <x v="189"/>
    <s v="UNIDADES"/>
    <n v="1860.01"/>
    <n v="0"/>
    <n v="0"/>
    <n v="0"/>
    <n v="0"/>
    <n v="0"/>
    <x v="1"/>
  </r>
  <r>
    <x v="2"/>
    <x v="15"/>
    <x v="1"/>
    <s v="GASEOSAS Y SODAS"/>
    <x v="0"/>
    <x v="189"/>
    <s v="UNIDADES"/>
    <n v="1860"/>
    <n v="0"/>
    <n v="0"/>
    <n v="0"/>
    <n v="0"/>
    <n v="0"/>
    <x v="1"/>
  </r>
  <r>
    <x v="2"/>
    <x v="10"/>
    <x v="4"/>
    <s v="GASEOSAS Y SODAS"/>
    <x v="0"/>
    <x v="189"/>
    <s v="UNIDADES"/>
    <n v="1860.01"/>
    <n v="0"/>
    <n v="0"/>
    <n v="0"/>
    <n v="0"/>
    <n v="0"/>
    <x v="1"/>
  </r>
  <r>
    <x v="2"/>
    <x v="12"/>
    <x v="3"/>
    <s v="SALSAS ESPECIAS Y CONDIMENTOS"/>
    <x v="1"/>
    <x v="445"/>
    <s v="GRAMOS"/>
    <n v="247.38325990999999"/>
    <n v="68"/>
    <n v="0"/>
    <n v="-68"/>
    <n v="0"/>
    <n v="-16822.061673879998"/>
    <x v="2"/>
  </r>
  <r>
    <x v="2"/>
    <x v="14"/>
    <x v="0"/>
    <s v="SALSAS ESPECIAS Y CONDIMENTOS"/>
    <x v="1"/>
    <x v="445"/>
    <s v="GRAMOS"/>
    <n v="233.07427392"/>
    <n v="-210"/>
    <n v="0"/>
    <n v="210"/>
    <n v="0"/>
    <n v="48945.597523199998"/>
    <x v="0"/>
  </r>
  <r>
    <x v="2"/>
    <x v="13"/>
    <x v="2"/>
    <s v="SALSAS ESPECIAS Y CONDIMENTOS"/>
    <x v="1"/>
    <x v="445"/>
    <s v="GRAMOS"/>
    <n v="247.38325990999999"/>
    <n v="11"/>
    <n v="0"/>
    <n v="-11"/>
    <n v="0"/>
    <n v="-2721.2158590099998"/>
    <x v="2"/>
  </r>
  <r>
    <x v="2"/>
    <x v="15"/>
    <x v="1"/>
    <s v="SALSAS ESPECIAS Y CONDIMENTOS"/>
    <x v="1"/>
    <x v="445"/>
    <s v="GRAMOS"/>
    <n v="233.07427392"/>
    <n v="-3"/>
    <n v="0"/>
    <n v="3"/>
    <n v="0"/>
    <n v="699.22282175999999"/>
    <x v="0"/>
  </r>
  <r>
    <x v="2"/>
    <x v="16"/>
    <x v="5"/>
    <s v="SALSAS ESPECIAS Y CONDIMENTOS"/>
    <x v="1"/>
    <x v="445"/>
    <s v="GRAMOS"/>
    <n v="247.38325990999999"/>
    <n v="400"/>
    <n v="428"/>
    <n v="28"/>
    <n v="105880.03524148"/>
    <n v="6926.7312774799993"/>
    <x v="0"/>
  </r>
  <r>
    <x v="2"/>
    <x v="10"/>
    <x v="4"/>
    <s v="SALSAS ESPECIAS Y CONDIMENTOS"/>
    <x v="1"/>
    <x v="445"/>
    <s v="GRAMOS"/>
    <n v="247.38325990999999"/>
    <n v="671"/>
    <n v="681"/>
    <n v="10"/>
    <n v="168467.99999871"/>
    <n v="2473.8325991000002"/>
    <x v="0"/>
  </r>
  <r>
    <x v="2"/>
    <x v="12"/>
    <x v="3"/>
    <s v="ABARROTES"/>
    <x v="1"/>
    <x v="446"/>
    <s v="GRAMOS"/>
    <n v="58"/>
    <n v="-42"/>
    <n v="0"/>
    <n v="42"/>
    <n v="0"/>
    <n v="2436"/>
    <x v="0"/>
  </r>
  <r>
    <x v="2"/>
    <x v="14"/>
    <x v="0"/>
    <s v="ABARROTES"/>
    <x v="1"/>
    <x v="446"/>
    <s v="GRAMOS"/>
    <n v="57.990152889999997"/>
    <n v="35"/>
    <n v="15"/>
    <n v="-20"/>
    <n v="869.85229334999997"/>
    <n v="-1159.8030578"/>
    <x v="2"/>
  </r>
  <r>
    <x v="2"/>
    <x v="13"/>
    <x v="2"/>
    <s v="ABARROTES"/>
    <x v="1"/>
    <x v="446"/>
    <s v="GRAMOS"/>
    <n v="57.990152889999997"/>
    <n v="-52"/>
    <n v="0"/>
    <n v="52"/>
    <n v="0"/>
    <n v="3015.4879502799999"/>
    <x v="0"/>
  </r>
  <r>
    <x v="2"/>
    <x v="10"/>
    <x v="4"/>
    <s v="ABARROTES"/>
    <x v="1"/>
    <x v="446"/>
    <s v="GRAMOS"/>
    <n v="57.990152889999997"/>
    <n v="-70"/>
    <n v="0"/>
    <n v="70"/>
    <n v="0"/>
    <n v="4059.3107022999998"/>
    <x v="0"/>
  </r>
  <r>
    <x v="2"/>
    <x v="14"/>
    <x v="0"/>
    <s v="INSUMOS REPOSTERIA"/>
    <x v="1"/>
    <x v="447"/>
    <s v="UNIDADES"/>
    <n v="3493.7"/>
    <n v="25"/>
    <n v="7"/>
    <n v="-18"/>
    <n v="24455.899999999998"/>
    <n v="-62886.6"/>
    <x v="2"/>
  </r>
  <r>
    <x v="2"/>
    <x v="14"/>
    <x v="0"/>
    <s v="FRUVER"/>
    <x v="1"/>
    <x v="448"/>
    <s v="GRAMOS"/>
    <n v="12"/>
    <n v="12720"/>
    <n v="0"/>
    <n v="-12720"/>
    <n v="0"/>
    <n v="-152640"/>
    <x v="2"/>
  </r>
  <r>
    <x v="2"/>
    <x v="12"/>
    <x v="3"/>
    <s v="SALSAS ESPECIAS Y CONDIMENTOS"/>
    <x v="1"/>
    <x v="449"/>
    <s v="GRAMOS"/>
    <n v="35.85341176"/>
    <n v="0"/>
    <n v="0"/>
    <n v="0"/>
    <n v="0"/>
    <n v="0"/>
    <x v="1"/>
  </r>
  <r>
    <x v="2"/>
    <x v="13"/>
    <x v="2"/>
    <s v="SALSAS ESPECIAS Y CONDIMENTOS"/>
    <x v="1"/>
    <x v="449"/>
    <s v="GRAMOS"/>
    <n v="35.85341176"/>
    <n v="488"/>
    <n v="0"/>
    <n v="-488"/>
    <n v="0"/>
    <n v="-17496.464938879999"/>
    <x v="2"/>
  </r>
  <r>
    <x v="2"/>
    <x v="10"/>
    <x v="4"/>
    <s v="SALSAS ESPECIAS Y CONDIMENTOS"/>
    <x v="1"/>
    <x v="449"/>
    <s v="GRAMOS"/>
    <n v="35.85341176"/>
    <n v="0"/>
    <n v="0"/>
    <n v="0"/>
    <n v="0"/>
    <n v="0"/>
    <x v="1"/>
  </r>
  <r>
    <x v="2"/>
    <x v="12"/>
    <x v="3"/>
    <s v="PESCADOS Y MARISCOS"/>
    <x v="1"/>
    <x v="61"/>
    <s v="GRAMOS"/>
    <n v="63"/>
    <n v="0"/>
    <n v="0"/>
    <n v="0"/>
    <n v="0"/>
    <n v="0"/>
    <x v="1"/>
  </r>
  <r>
    <x v="2"/>
    <x v="14"/>
    <x v="0"/>
    <s v="PESCADOS Y MARISCOS"/>
    <x v="1"/>
    <x v="61"/>
    <s v="GRAMOS"/>
    <n v="62.6"/>
    <n v="2031.3"/>
    <n v="1250"/>
    <n v="-781.3"/>
    <n v="78250"/>
    <n v="-48909.38"/>
    <x v="2"/>
  </r>
  <r>
    <x v="2"/>
    <x v="13"/>
    <x v="2"/>
    <s v="PESCADOS Y MARISCOS"/>
    <x v="1"/>
    <x v="61"/>
    <s v="GRAMOS"/>
    <n v="62.6"/>
    <n v="0"/>
    <n v="0"/>
    <n v="0"/>
    <n v="0"/>
    <n v="0"/>
    <x v="1"/>
  </r>
  <r>
    <x v="2"/>
    <x v="10"/>
    <x v="4"/>
    <s v="PESCADOS Y MARISCOS"/>
    <x v="1"/>
    <x v="61"/>
    <s v="GRAMOS"/>
    <n v="62.6"/>
    <n v="0"/>
    <n v="0"/>
    <n v="0"/>
    <n v="0"/>
    <n v="0"/>
    <x v="1"/>
  </r>
  <r>
    <x v="2"/>
    <x v="15"/>
    <x v="1"/>
    <s v="PROTEINAS"/>
    <x v="1"/>
    <x v="195"/>
    <s v="GRAMOS"/>
    <n v="27"/>
    <n v="0"/>
    <n v="0"/>
    <n v="0"/>
    <n v="0"/>
    <n v="0"/>
    <x v="1"/>
  </r>
  <r>
    <x v="2"/>
    <x v="12"/>
    <x v="3"/>
    <s v="PROTEINAS"/>
    <x v="1"/>
    <x v="66"/>
    <s v="GRAMOS"/>
    <n v="30.99415205"/>
    <n v="0"/>
    <n v="0"/>
    <n v="0"/>
    <n v="0"/>
    <n v="0"/>
    <x v="1"/>
  </r>
  <r>
    <x v="2"/>
    <x v="13"/>
    <x v="2"/>
    <s v="PROTEINAS"/>
    <x v="1"/>
    <x v="66"/>
    <s v="GRAMOS"/>
    <n v="30.99415205"/>
    <n v="0"/>
    <n v="0"/>
    <n v="0"/>
    <n v="0"/>
    <n v="0"/>
    <x v="1"/>
  </r>
  <r>
    <x v="2"/>
    <x v="15"/>
    <x v="1"/>
    <s v="PROTEINAS"/>
    <x v="1"/>
    <x v="66"/>
    <s v="GRAMOS"/>
    <n v="34"/>
    <n v="-40"/>
    <n v="200"/>
    <n v="240"/>
    <n v="6800"/>
    <n v="8160"/>
    <x v="0"/>
  </r>
  <r>
    <x v="2"/>
    <x v="10"/>
    <x v="4"/>
    <s v="PROTEINAS"/>
    <x v="1"/>
    <x v="66"/>
    <s v="GRAMOS"/>
    <n v="30.99415205"/>
    <n v="0"/>
    <n v="0"/>
    <n v="0"/>
    <n v="0"/>
    <n v="0"/>
    <x v="1"/>
  </r>
  <r>
    <x v="2"/>
    <x v="15"/>
    <x v="1"/>
    <s v="PROTEINAS"/>
    <x v="1"/>
    <x v="450"/>
    <s v="UNIDADES"/>
    <n v="4850"/>
    <n v="-43"/>
    <n v="0"/>
    <n v="43"/>
    <n v="0"/>
    <n v="208550"/>
    <x v="0"/>
  </r>
  <r>
    <x v="2"/>
    <x v="12"/>
    <x v="3"/>
    <s v="FRUVER"/>
    <x v="1"/>
    <x v="451"/>
    <s v="GRAMOS"/>
    <n v="5"/>
    <n v="-800"/>
    <n v="0"/>
    <n v="800"/>
    <n v="0"/>
    <n v="4000"/>
    <x v="0"/>
  </r>
  <r>
    <x v="2"/>
    <x v="14"/>
    <x v="0"/>
    <s v="FRUVER"/>
    <x v="1"/>
    <x v="451"/>
    <s v="GRAMOS"/>
    <n v="2.8"/>
    <n v="-2898.8454999999999"/>
    <n v="4310"/>
    <n v="7208.845542"/>
    <n v="12068"/>
    <n v="20184.767517599998"/>
    <x v="0"/>
  </r>
  <r>
    <x v="2"/>
    <x v="13"/>
    <x v="2"/>
    <s v="FRUVER"/>
    <x v="1"/>
    <x v="451"/>
    <s v="GRAMOS"/>
    <n v="5"/>
    <n v="-775"/>
    <n v="0"/>
    <n v="775"/>
    <n v="0"/>
    <n v="3875"/>
    <x v="0"/>
  </r>
  <r>
    <x v="2"/>
    <x v="15"/>
    <x v="1"/>
    <s v="FRUVER"/>
    <x v="1"/>
    <x v="451"/>
    <s v="GRAMOS"/>
    <n v="2.8"/>
    <n v="10278.799199999999"/>
    <n v="0"/>
    <n v="-10278.799172000001"/>
    <n v="0"/>
    <n v="-28780.637681600001"/>
    <x v="2"/>
  </r>
  <r>
    <x v="2"/>
    <x v="10"/>
    <x v="4"/>
    <s v="FRUVER"/>
    <x v="1"/>
    <x v="451"/>
    <s v="GRAMOS"/>
    <n v="5"/>
    <n v="-125"/>
    <n v="0"/>
    <n v="125"/>
    <n v="0"/>
    <n v="625"/>
    <x v="0"/>
  </r>
  <r>
    <x v="2"/>
    <x v="12"/>
    <x v="3"/>
    <s v="ABARROTES"/>
    <x v="1"/>
    <x v="452"/>
    <s v="GRAMOS"/>
    <n v="21"/>
    <n v="0"/>
    <n v="0"/>
    <n v="0"/>
    <n v="0"/>
    <n v="0"/>
    <x v="1"/>
  </r>
  <r>
    <x v="2"/>
    <x v="13"/>
    <x v="2"/>
    <s v="ABARROTES"/>
    <x v="1"/>
    <x v="452"/>
    <s v="GRAMOS"/>
    <n v="21"/>
    <n v="0"/>
    <n v="0"/>
    <n v="0"/>
    <n v="0"/>
    <n v="0"/>
    <x v="1"/>
  </r>
  <r>
    <x v="2"/>
    <x v="15"/>
    <x v="1"/>
    <s v="ABARROTES"/>
    <x v="1"/>
    <x v="452"/>
    <s v="GRAMOS"/>
    <n v="21.375"/>
    <n v="10982.0234"/>
    <n v="6300"/>
    <n v="-4682.0233500000004"/>
    <n v="134662.5"/>
    <n v="-100078.24910625"/>
    <x v="2"/>
  </r>
  <r>
    <x v="2"/>
    <x v="10"/>
    <x v="4"/>
    <s v="ABARROTES"/>
    <x v="1"/>
    <x v="452"/>
    <s v="GRAMOS"/>
    <n v="21.375"/>
    <n v="0"/>
    <n v="0"/>
    <n v="0"/>
    <n v="0"/>
    <n v="0"/>
    <x v="1"/>
  </r>
  <r>
    <x v="2"/>
    <x v="12"/>
    <x v="3"/>
    <s v="FRUVER"/>
    <x v="1"/>
    <x v="453"/>
    <s v="GRAMOS"/>
    <n v="4"/>
    <n v="28770.74"/>
    <n v="21950"/>
    <n v="-25620.740046999999"/>
    <n v="87800"/>
    <n v="-102482.960188"/>
    <x v="2"/>
  </r>
  <r>
    <x v="2"/>
    <x v="14"/>
    <x v="0"/>
    <s v="FRUVER"/>
    <x v="1"/>
    <x v="453"/>
    <s v="GRAMOS"/>
    <n v="4.8"/>
    <n v="35726.242400000003"/>
    <n v="8310"/>
    <n v="-27416.2423633"/>
    <n v="39888"/>
    <n v="-131597.96334384001"/>
    <x v="2"/>
  </r>
  <r>
    <x v="2"/>
    <x v="13"/>
    <x v="2"/>
    <s v="FRUVER"/>
    <x v="1"/>
    <x v="453"/>
    <s v="GRAMOS"/>
    <n v="4"/>
    <n v="76549.672600000005"/>
    <n v="850"/>
    <n v="-96699.672584999993"/>
    <n v="3400"/>
    <n v="-386798.69033999997"/>
    <x v="2"/>
  </r>
  <r>
    <x v="2"/>
    <x v="15"/>
    <x v="1"/>
    <s v="FRUVER"/>
    <x v="1"/>
    <x v="453"/>
    <s v="GRAMOS"/>
    <n v="4.8"/>
    <n v="9045.7183999999997"/>
    <n v="3500"/>
    <n v="-5545.7183839999998"/>
    <n v="16800"/>
    <n v="-26619.448243199997"/>
    <x v="2"/>
  </r>
  <r>
    <x v="2"/>
    <x v="16"/>
    <x v="5"/>
    <s v="FRUVER"/>
    <x v="1"/>
    <x v="453"/>
    <s v="GRAMOS"/>
    <n v="4"/>
    <n v="390"/>
    <n v="390"/>
    <n v="0"/>
    <n v="1560"/>
    <n v="0"/>
    <x v="1"/>
  </r>
  <r>
    <x v="2"/>
    <x v="10"/>
    <x v="4"/>
    <s v="FRUVER"/>
    <x v="1"/>
    <x v="453"/>
    <s v="GRAMOS"/>
    <n v="4"/>
    <n v="37710.1325"/>
    <n v="17480"/>
    <n v="-20230.132487999999"/>
    <n v="69920"/>
    <n v="-80920.529951999997"/>
    <x v="2"/>
  </r>
  <r>
    <x v="2"/>
    <x v="12"/>
    <x v="3"/>
    <s v="FRUVER"/>
    <x v="1"/>
    <x v="454"/>
    <s v="GRAMOS"/>
    <n v="6.5"/>
    <n v="14800"/>
    <n v="0"/>
    <n v="-14800"/>
    <n v="0"/>
    <n v="-96200"/>
    <x v="2"/>
  </r>
  <r>
    <x v="2"/>
    <x v="14"/>
    <x v="0"/>
    <s v="FRUVER"/>
    <x v="1"/>
    <x v="454"/>
    <s v="GRAMOS"/>
    <n v="7.15"/>
    <n v="18488.888999999999"/>
    <n v="5790"/>
    <n v="-12698.888951999999"/>
    <n v="41398.5"/>
    <n v="-90797.056006800005"/>
    <x v="2"/>
  </r>
  <r>
    <x v="2"/>
    <x v="13"/>
    <x v="2"/>
    <s v="FRUVER"/>
    <x v="1"/>
    <x v="454"/>
    <s v="GRAMOS"/>
    <n v="6.5"/>
    <n v="9940"/>
    <n v="0"/>
    <n v="-9940"/>
    <n v="0"/>
    <n v="-64610"/>
    <x v="2"/>
  </r>
  <r>
    <x v="2"/>
    <x v="15"/>
    <x v="1"/>
    <s v="FRUVER"/>
    <x v="1"/>
    <x v="454"/>
    <s v="GRAMOS"/>
    <n v="7.15"/>
    <n v="1230"/>
    <n v="0"/>
    <n v="-1230"/>
    <n v="0"/>
    <n v="-8794.5"/>
    <x v="2"/>
  </r>
  <r>
    <x v="2"/>
    <x v="10"/>
    <x v="4"/>
    <s v="FRUVER"/>
    <x v="1"/>
    <x v="454"/>
    <s v="GRAMOS"/>
    <n v="6.5"/>
    <n v="4800"/>
    <n v="0"/>
    <n v="-4800"/>
    <n v="0"/>
    <n v="-31200"/>
    <x v="2"/>
  </r>
  <r>
    <x v="2"/>
    <x v="12"/>
    <x v="3"/>
    <s v="FRUVER"/>
    <x v="1"/>
    <x v="455"/>
    <s v="GRAMOS"/>
    <n v="5.2"/>
    <n v="7130.9521999999997"/>
    <n v="2182"/>
    <n v="-6848.9522280000001"/>
    <n v="11346.4"/>
    <n v="-35614.551585599998"/>
    <x v="2"/>
  </r>
  <r>
    <x v="2"/>
    <x v="14"/>
    <x v="0"/>
    <s v="FRUVER"/>
    <x v="1"/>
    <x v="455"/>
    <s v="GRAMOS"/>
    <n v="5.2"/>
    <n v="9749.4285"/>
    <n v="1934"/>
    <n v="-7815.4285399999999"/>
    <n v="10056.800000000001"/>
    <n v="-40640.228408000003"/>
    <x v="2"/>
  </r>
  <r>
    <x v="2"/>
    <x v="13"/>
    <x v="2"/>
    <s v="FRUVER"/>
    <x v="1"/>
    <x v="455"/>
    <s v="GRAMOS"/>
    <n v="5.2"/>
    <n v="7757.1414000000004"/>
    <n v="2334"/>
    <n v="-7423.1414100000002"/>
    <n v="12136.800000000001"/>
    <n v="-38600.335332000002"/>
    <x v="2"/>
  </r>
  <r>
    <x v="2"/>
    <x v="15"/>
    <x v="1"/>
    <s v="FRUVER"/>
    <x v="1"/>
    <x v="455"/>
    <s v="GRAMOS"/>
    <n v="5.2"/>
    <n v="201.6934"/>
    <n v="0"/>
    <n v="-201.69342"/>
    <n v="0"/>
    <n v="-1048.8057840000001"/>
    <x v="2"/>
  </r>
  <r>
    <x v="2"/>
    <x v="10"/>
    <x v="4"/>
    <s v="FRUVER"/>
    <x v="1"/>
    <x v="455"/>
    <s v="GRAMOS"/>
    <n v="5.2"/>
    <n v="15753.809300000001"/>
    <n v="3266"/>
    <n v="-12487.809297"/>
    <n v="16983.2"/>
    <n v="-64936.608344400003"/>
    <x v="2"/>
  </r>
  <r>
    <x v="2"/>
    <x v="12"/>
    <x v="3"/>
    <s v="FRUVER"/>
    <x v="1"/>
    <x v="456"/>
    <s v="GRAMOS"/>
    <n v="16"/>
    <n v="870"/>
    <n v="98"/>
    <n v="-932"/>
    <n v="1568"/>
    <n v="-14912"/>
    <x v="2"/>
  </r>
  <r>
    <x v="2"/>
    <x v="14"/>
    <x v="0"/>
    <s v="FRUVER"/>
    <x v="1"/>
    <x v="456"/>
    <s v="GRAMOS"/>
    <n v="16"/>
    <n v="50"/>
    <n v="0"/>
    <n v="-50"/>
    <n v="0"/>
    <n v="-800"/>
    <x v="2"/>
  </r>
  <r>
    <x v="2"/>
    <x v="13"/>
    <x v="2"/>
    <s v="FRUVER"/>
    <x v="1"/>
    <x v="456"/>
    <s v="GRAMOS"/>
    <n v="16"/>
    <n v="1260"/>
    <n v="534"/>
    <n v="-1086.000002"/>
    <n v="8544"/>
    <n v="-17376.000032"/>
    <x v="2"/>
  </r>
  <r>
    <x v="2"/>
    <x v="15"/>
    <x v="1"/>
    <s v="FRUVER"/>
    <x v="1"/>
    <x v="456"/>
    <s v="GRAMOS"/>
    <n v="16"/>
    <n v="2107.5376999999999"/>
    <n v="0"/>
    <n v="-2107.5377199999998"/>
    <n v="0"/>
    <n v="-33720.603519999997"/>
    <x v="2"/>
  </r>
  <r>
    <x v="2"/>
    <x v="10"/>
    <x v="4"/>
    <s v="FRUVER"/>
    <x v="1"/>
    <x v="456"/>
    <s v="GRAMOS"/>
    <n v="16"/>
    <n v="1730"/>
    <n v="90"/>
    <n v="-1640"/>
    <n v="1440"/>
    <n v="-26240"/>
    <x v="2"/>
  </r>
  <r>
    <x v="2"/>
    <x v="12"/>
    <x v="3"/>
    <s v="ENLATADOS Y CONSERVAS"/>
    <x v="1"/>
    <x v="457"/>
    <s v="GRAMOS"/>
    <n v="31.81697479"/>
    <n v="0"/>
    <n v="0"/>
    <n v="0"/>
    <n v="0"/>
    <n v="0"/>
    <x v="1"/>
  </r>
  <r>
    <x v="2"/>
    <x v="14"/>
    <x v="0"/>
    <s v="ENLATADOS Y CONSERVAS"/>
    <x v="1"/>
    <x v="457"/>
    <s v="GRAMOS"/>
    <n v="30.4755"/>
    <n v="1672"/>
    <n v="0"/>
    <n v="-1672"/>
    <n v="0"/>
    <n v="-50955.036"/>
    <x v="2"/>
  </r>
  <r>
    <x v="2"/>
    <x v="13"/>
    <x v="2"/>
    <s v="ENLATADOS Y CONSERVAS"/>
    <x v="1"/>
    <x v="457"/>
    <s v="GRAMOS"/>
    <n v="31.81697479"/>
    <n v="-40"/>
    <n v="1000"/>
    <n v="1040"/>
    <n v="31816.97479"/>
    <n v="33089.653781599998"/>
    <x v="0"/>
  </r>
  <r>
    <x v="2"/>
    <x v="15"/>
    <x v="1"/>
    <s v="ENLATADOS Y CONSERVAS"/>
    <x v="1"/>
    <x v="457"/>
    <s v="GRAMOS"/>
    <n v="30.4755"/>
    <n v="8390"/>
    <n v="4000"/>
    <n v="-4390"/>
    <n v="121902"/>
    <n v="-133787.44500000001"/>
    <x v="2"/>
  </r>
  <r>
    <x v="2"/>
    <x v="10"/>
    <x v="4"/>
    <s v="ENLATADOS Y CONSERVAS"/>
    <x v="1"/>
    <x v="457"/>
    <s v="GRAMOS"/>
    <n v="31.81697479"/>
    <n v="885"/>
    <n v="0"/>
    <n v="-885"/>
    <n v="0"/>
    <n v="-28158.022689149999"/>
    <x v="2"/>
  </r>
  <r>
    <x v="2"/>
    <x v="12"/>
    <x v="3"/>
    <s v="CERVEZAS"/>
    <x v="0"/>
    <x v="75"/>
    <s v="UNIDADES"/>
    <n v="2335.0666666699999"/>
    <n v="18"/>
    <n v="18"/>
    <n v="0"/>
    <n v="42031.200000059995"/>
    <n v="0"/>
    <x v="1"/>
  </r>
  <r>
    <x v="2"/>
    <x v="14"/>
    <x v="0"/>
    <s v="CERVEZAS"/>
    <x v="0"/>
    <x v="75"/>
    <s v="UNIDADES"/>
    <n v="2335.0666666699999"/>
    <n v="78"/>
    <n v="48"/>
    <n v="-30"/>
    <n v="112083.20000016"/>
    <n v="-70052.000000100001"/>
    <x v="2"/>
  </r>
  <r>
    <x v="2"/>
    <x v="13"/>
    <x v="2"/>
    <s v="CERVEZAS"/>
    <x v="0"/>
    <x v="75"/>
    <s v="UNIDADES"/>
    <n v="2335.0666666699999"/>
    <n v="23"/>
    <n v="23"/>
    <n v="0"/>
    <n v="53706.53333341"/>
    <n v="0"/>
    <x v="1"/>
  </r>
  <r>
    <x v="2"/>
    <x v="15"/>
    <x v="1"/>
    <s v="CERVEZAS"/>
    <x v="0"/>
    <x v="75"/>
    <s v="UNIDADES"/>
    <n v="2335.0666666699999"/>
    <n v="99"/>
    <n v="99"/>
    <n v="0"/>
    <n v="231171.60000032999"/>
    <n v="0"/>
    <x v="1"/>
  </r>
  <r>
    <x v="2"/>
    <x v="10"/>
    <x v="4"/>
    <s v="CERVEZAS"/>
    <x v="0"/>
    <x v="75"/>
    <s v="UNIDADES"/>
    <n v="2335.0666666699999"/>
    <n v="14"/>
    <n v="14"/>
    <n v="0"/>
    <n v="32690.933333379999"/>
    <n v="0"/>
    <x v="1"/>
  </r>
  <r>
    <x v="2"/>
    <x v="12"/>
    <x v="3"/>
    <s v="CERVEZAS"/>
    <x v="0"/>
    <x v="76"/>
    <s v="UNIDADES"/>
    <n v="2183.46666667"/>
    <n v="7"/>
    <n v="7"/>
    <n v="0"/>
    <n v="15284.26666669"/>
    <n v="0"/>
    <x v="1"/>
  </r>
  <r>
    <x v="2"/>
    <x v="14"/>
    <x v="0"/>
    <s v="CERVEZAS"/>
    <x v="0"/>
    <x v="76"/>
    <s v="UNIDADES"/>
    <n v="2359.5666666699999"/>
    <n v="61"/>
    <n v="61"/>
    <n v="0"/>
    <n v="143933.56666687"/>
    <n v="0"/>
    <x v="1"/>
  </r>
  <r>
    <x v="2"/>
    <x v="13"/>
    <x v="2"/>
    <s v="CERVEZAS"/>
    <x v="0"/>
    <x v="76"/>
    <s v="UNIDADES"/>
    <n v="2183.46666667"/>
    <n v="15"/>
    <n v="13"/>
    <n v="-2"/>
    <n v="28385.066666710001"/>
    <n v="-4366.93333334"/>
    <x v="2"/>
  </r>
  <r>
    <x v="2"/>
    <x v="15"/>
    <x v="1"/>
    <s v="CERVEZAS"/>
    <x v="0"/>
    <x v="76"/>
    <s v="UNIDADES"/>
    <n v="2359.5666666699999"/>
    <n v="146"/>
    <n v="145"/>
    <n v="-1"/>
    <n v="342137.16666714998"/>
    <n v="-2359.5666666699999"/>
    <x v="2"/>
  </r>
  <r>
    <x v="2"/>
    <x v="10"/>
    <x v="4"/>
    <s v="CERVEZAS"/>
    <x v="0"/>
    <x v="76"/>
    <s v="UNIDADES"/>
    <n v="2183.46666667"/>
    <n v="24"/>
    <n v="24"/>
    <n v="0"/>
    <n v="52403.200000080004"/>
    <n v="0"/>
    <x v="1"/>
  </r>
  <r>
    <x v="2"/>
    <x v="12"/>
    <x v="3"/>
    <s v="CERVEZAS"/>
    <x v="0"/>
    <x v="77"/>
    <s v="UNIDADES"/>
    <n v="3348.5729166699998"/>
    <n v="14"/>
    <n v="14"/>
    <n v="0"/>
    <n v="46880.020833379996"/>
    <n v="0"/>
    <x v="1"/>
  </r>
  <r>
    <x v="2"/>
    <x v="14"/>
    <x v="0"/>
    <s v="CERVEZAS"/>
    <x v="0"/>
    <x v="77"/>
    <s v="UNIDADES"/>
    <n v="3080.03333333"/>
    <n v="67"/>
    <n v="67"/>
    <n v="0"/>
    <n v="206362.23333310999"/>
    <n v="0"/>
    <x v="1"/>
  </r>
  <r>
    <x v="2"/>
    <x v="13"/>
    <x v="2"/>
    <s v="CERVEZAS"/>
    <x v="0"/>
    <x v="77"/>
    <s v="UNIDADES"/>
    <n v="3348.5729166699998"/>
    <n v="23"/>
    <n v="23"/>
    <n v="0"/>
    <n v="77017.177083410003"/>
    <n v="0"/>
    <x v="1"/>
  </r>
  <r>
    <x v="2"/>
    <x v="15"/>
    <x v="1"/>
    <s v="CERVEZAS"/>
    <x v="0"/>
    <x v="77"/>
    <s v="UNIDADES"/>
    <n v="3080.03333333"/>
    <n v="216"/>
    <n v="185"/>
    <n v="-31"/>
    <n v="569806.16666604998"/>
    <n v="-95481.033333230007"/>
    <x v="2"/>
  </r>
  <r>
    <x v="2"/>
    <x v="10"/>
    <x v="4"/>
    <s v="CERVEZAS"/>
    <x v="0"/>
    <x v="77"/>
    <s v="UNIDADES"/>
    <n v="3348.5729166699998"/>
    <n v="53"/>
    <n v="53"/>
    <n v="0"/>
    <n v="177474.36458351"/>
    <n v="0"/>
    <x v="1"/>
  </r>
  <r>
    <x v="2"/>
    <x v="12"/>
    <x v="3"/>
    <s v="CERVEZAS"/>
    <x v="0"/>
    <x v="96"/>
    <s v="UNIDADES"/>
    <n v="3200"/>
    <n v="0"/>
    <n v="0"/>
    <n v="0"/>
    <n v="0"/>
    <n v="0"/>
    <x v="1"/>
  </r>
  <r>
    <x v="2"/>
    <x v="13"/>
    <x v="2"/>
    <s v="CERVEZAS"/>
    <x v="0"/>
    <x v="96"/>
    <s v="UNIDADES"/>
    <n v="3200"/>
    <n v="0"/>
    <n v="0"/>
    <n v="0"/>
    <n v="0"/>
    <n v="0"/>
    <x v="1"/>
  </r>
  <r>
    <x v="2"/>
    <x v="15"/>
    <x v="1"/>
    <s v="CERVEZAS"/>
    <x v="0"/>
    <x v="96"/>
    <s v="UNIDADES"/>
    <n v="2699.6666666699998"/>
    <n v="0"/>
    <n v="0"/>
    <n v="0"/>
    <n v="0"/>
    <n v="0"/>
    <x v="1"/>
  </r>
  <r>
    <x v="2"/>
    <x v="10"/>
    <x v="4"/>
    <s v="CERVEZAS"/>
    <x v="0"/>
    <x v="96"/>
    <s v="UNIDADES"/>
    <n v="3200"/>
    <n v="0"/>
    <n v="0"/>
    <n v="0"/>
    <n v="0"/>
    <n v="0"/>
    <x v="1"/>
  </r>
  <r>
    <x v="2"/>
    <x v="12"/>
    <x v="3"/>
    <s v="CERVEZAS"/>
    <x v="0"/>
    <x v="143"/>
    <s v="UNIDADES"/>
    <n v="2773.5"/>
    <n v="10"/>
    <n v="10"/>
    <n v="0"/>
    <n v="27735"/>
    <n v="0"/>
    <x v="1"/>
  </r>
  <r>
    <x v="2"/>
    <x v="14"/>
    <x v="0"/>
    <s v="CERVEZAS"/>
    <x v="0"/>
    <x v="143"/>
    <s v="UNIDADES"/>
    <n v="3080.03333333"/>
    <n v="30"/>
    <n v="29"/>
    <n v="-1"/>
    <n v="89320.966666570006"/>
    <n v="-3080.03333333"/>
    <x v="2"/>
  </r>
  <r>
    <x v="2"/>
    <x v="13"/>
    <x v="2"/>
    <s v="CERVEZAS"/>
    <x v="0"/>
    <x v="143"/>
    <s v="UNIDADES"/>
    <n v="2773.5"/>
    <n v="28"/>
    <n v="28"/>
    <n v="0"/>
    <n v="77658"/>
    <n v="0"/>
    <x v="1"/>
  </r>
  <r>
    <x v="2"/>
    <x v="15"/>
    <x v="1"/>
    <s v="CERVEZAS"/>
    <x v="0"/>
    <x v="143"/>
    <s v="UNIDADES"/>
    <n v="3080.03333333"/>
    <n v="48"/>
    <n v="46"/>
    <n v="-2"/>
    <n v="141681.53333318001"/>
    <n v="-6160.06666666"/>
    <x v="2"/>
  </r>
  <r>
    <x v="2"/>
    <x v="10"/>
    <x v="4"/>
    <s v="CERVEZAS"/>
    <x v="0"/>
    <x v="143"/>
    <s v="UNIDADES"/>
    <n v="2773.5"/>
    <n v="23"/>
    <n v="25"/>
    <n v="2"/>
    <n v="69337.5"/>
    <n v="5547"/>
    <x v="0"/>
  </r>
  <r>
    <x v="2"/>
    <x v="12"/>
    <x v="3"/>
    <s v="CERVEZAS"/>
    <x v="0"/>
    <x v="178"/>
    <s v="UNIDADES"/>
    <n v="3736.0833333300002"/>
    <n v="20"/>
    <n v="20"/>
    <n v="0"/>
    <n v="74721.666666600009"/>
    <n v="0"/>
    <x v="1"/>
  </r>
  <r>
    <x v="2"/>
    <x v="14"/>
    <x v="0"/>
    <s v="CERVEZAS"/>
    <x v="0"/>
    <x v="178"/>
    <s v="UNIDADES"/>
    <n v="3465.2291666699998"/>
    <n v="24"/>
    <n v="24"/>
    <n v="0"/>
    <n v="83165.500000079992"/>
    <n v="0"/>
    <x v="1"/>
  </r>
  <r>
    <x v="2"/>
    <x v="13"/>
    <x v="2"/>
    <s v="CERVEZAS"/>
    <x v="0"/>
    <x v="178"/>
    <s v="UNIDADES"/>
    <n v="3736.0833333300002"/>
    <n v="5"/>
    <n v="5"/>
    <n v="0"/>
    <n v="18680.416666650002"/>
    <n v="0"/>
    <x v="1"/>
  </r>
  <r>
    <x v="2"/>
    <x v="15"/>
    <x v="1"/>
    <s v="CERVEZAS"/>
    <x v="0"/>
    <x v="178"/>
    <s v="UNIDADES"/>
    <n v="3465.2291666699998"/>
    <n v="110"/>
    <n v="108"/>
    <n v="-2"/>
    <n v="374244.75000035996"/>
    <n v="-6930.4583333399996"/>
    <x v="2"/>
  </r>
  <r>
    <x v="2"/>
    <x v="10"/>
    <x v="4"/>
    <s v="CERVEZAS"/>
    <x v="0"/>
    <x v="178"/>
    <s v="UNIDADES"/>
    <n v="3736.0833333300002"/>
    <n v="36"/>
    <n v="36"/>
    <n v="0"/>
    <n v="134498.99999988"/>
    <n v="0"/>
    <x v="1"/>
  </r>
  <r>
    <x v="2"/>
    <x v="12"/>
    <x v="3"/>
    <s v="CERVEZAS"/>
    <x v="0"/>
    <x v="227"/>
    <s v="UNIDADES"/>
    <n v="4102.8541666700003"/>
    <n v="8"/>
    <n v="7"/>
    <n v="-1"/>
    <n v="28719.979166690002"/>
    <n v="-4102.8541666700003"/>
    <x v="2"/>
  </r>
  <r>
    <x v="2"/>
    <x v="13"/>
    <x v="2"/>
    <s v="CERVEZAS"/>
    <x v="0"/>
    <x v="227"/>
    <s v="UNIDADES"/>
    <n v="4102.8541666700003"/>
    <n v="12"/>
    <n v="12"/>
    <n v="0"/>
    <n v="49234.250000040003"/>
    <n v="0"/>
    <x v="1"/>
  </r>
  <r>
    <x v="2"/>
    <x v="10"/>
    <x v="4"/>
    <s v="CERVEZAS"/>
    <x v="0"/>
    <x v="227"/>
    <s v="UNIDADES"/>
    <n v="4102.8541666700003"/>
    <n v="26"/>
    <n v="25"/>
    <n v="-1"/>
    <n v="102571.35416675001"/>
    <n v="-4102.8541666700003"/>
    <x v="2"/>
  </r>
  <r>
    <x v="2"/>
    <x v="12"/>
    <x v="3"/>
    <s v="CERVEZAS"/>
    <x v="0"/>
    <x v="199"/>
    <s v="UNIDADES"/>
    <n v="3261.8333333300002"/>
    <n v="0"/>
    <n v="0"/>
    <n v="0"/>
    <n v="0"/>
    <n v="0"/>
    <x v="1"/>
  </r>
  <r>
    <x v="2"/>
    <x v="14"/>
    <x v="0"/>
    <s v="CERVEZAS"/>
    <x v="0"/>
    <x v="199"/>
    <s v="UNIDADES"/>
    <n v="2683.3333333300002"/>
    <n v="0"/>
    <n v="0"/>
    <n v="0"/>
    <n v="0"/>
    <n v="0"/>
    <x v="1"/>
  </r>
  <r>
    <x v="2"/>
    <x v="13"/>
    <x v="2"/>
    <s v="CERVEZAS"/>
    <x v="0"/>
    <x v="199"/>
    <s v="UNIDADES"/>
    <n v="3261.8333333300002"/>
    <n v="21"/>
    <n v="21"/>
    <n v="0"/>
    <n v="68498.499999930005"/>
    <n v="0"/>
    <x v="1"/>
  </r>
  <r>
    <x v="2"/>
    <x v="15"/>
    <x v="1"/>
    <s v="CERVEZAS"/>
    <x v="0"/>
    <x v="199"/>
    <s v="UNIDADES"/>
    <n v="2683.3333333300002"/>
    <n v="359"/>
    <n v="359"/>
    <n v="0"/>
    <n v="963316.66666547011"/>
    <n v="0"/>
    <x v="1"/>
  </r>
  <r>
    <x v="2"/>
    <x v="10"/>
    <x v="4"/>
    <s v="CERVEZAS"/>
    <x v="0"/>
    <x v="199"/>
    <s v="UNIDADES"/>
    <n v="3261.8333333300002"/>
    <n v="5"/>
    <n v="5"/>
    <n v="0"/>
    <n v="16309.16666665"/>
    <n v="0"/>
    <x v="1"/>
  </r>
  <r>
    <x v="2"/>
    <x v="15"/>
    <x v="1"/>
    <s v="CERVEZAS"/>
    <x v="0"/>
    <x v="196"/>
    <s v="UNIDADES"/>
    <n v="3261.8333333300002"/>
    <n v="0"/>
    <n v="0"/>
    <n v="0"/>
    <n v="0"/>
    <n v="0"/>
    <x v="1"/>
  </r>
  <r>
    <x v="2"/>
    <x v="12"/>
    <x v="3"/>
    <s v="CERVEZAS"/>
    <x v="0"/>
    <x v="228"/>
    <s v="UNIDADES"/>
    <n v="2298.1333333299999"/>
    <n v="6.47"/>
    <n v="5"/>
    <n v="-1.47"/>
    <n v="11490.666666649999"/>
    <n v="-3378.2559999951"/>
    <x v="2"/>
  </r>
  <r>
    <x v="2"/>
    <x v="14"/>
    <x v="0"/>
    <s v="CERVEZAS"/>
    <x v="0"/>
    <x v="228"/>
    <s v="UNIDADES"/>
    <n v="2298.1333333299999"/>
    <n v="-1"/>
    <n v="22"/>
    <n v="23"/>
    <n v="50558.93333326"/>
    <n v="52857.066666589999"/>
    <x v="0"/>
  </r>
  <r>
    <x v="2"/>
    <x v="13"/>
    <x v="2"/>
    <s v="CERVEZAS"/>
    <x v="0"/>
    <x v="228"/>
    <s v="UNIDADES"/>
    <n v="2298.1333333299999"/>
    <n v="-7.72"/>
    <n v="18"/>
    <n v="25.72"/>
    <n v="41366.399999939997"/>
    <n v="59107.989333247599"/>
    <x v="0"/>
  </r>
  <r>
    <x v="2"/>
    <x v="15"/>
    <x v="1"/>
    <s v="CERVEZAS"/>
    <x v="0"/>
    <x v="228"/>
    <s v="UNIDADES"/>
    <n v="2298.1333333299999"/>
    <n v="-26"/>
    <n v="10"/>
    <n v="36"/>
    <n v="22981.333333299997"/>
    <n v="82732.799999879993"/>
    <x v="0"/>
  </r>
  <r>
    <x v="2"/>
    <x v="10"/>
    <x v="4"/>
    <s v="CERVEZAS"/>
    <x v="0"/>
    <x v="228"/>
    <s v="UNIDADES"/>
    <n v="2298.1333333299999"/>
    <n v="11.01"/>
    <n v="15"/>
    <n v="3.99"/>
    <n v="34471.99999995"/>
    <n v="9169.551999986701"/>
    <x v="0"/>
  </r>
  <r>
    <x v="2"/>
    <x v="12"/>
    <x v="3"/>
    <s v="CERVEZAS"/>
    <x v="0"/>
    <x v="183"/>
    <s v="UNIDADES"/>
    <n v="3099.6666666699998"/>
    <n v="0"/>
    <n v="0"/>
    <n v="0"/>
    <n v="0"/>
    <n v="0"/>
    <x v="1"/>
  </r>
  <r>
    <x v="2"/>
    <x v="13"/>
    <x v="2"/>
    <s v="CERVEZAS"/>
    <x v="0"/>
    <x v="183"/>
    <s v="UNIDADES"/>
    <n v="3099.6666666699998"/>
    <n v="7"/>
    <n v="0"/>
    <n v="-7"/>
    <n v="0"/>
    <n v="-21697.666666689998"/>
    <x v="2"/>
  </r>
  <r>
    <x v="2"/>
    <x v="15"/>
    <x v="1"/>
    <s v="CERVEZAS"/>
    <x v="0"/>
    <x v="183"/>
    <s v="UNIDADES"/>
    <n v="3099.6666666699998"/>
    <n v="30"/>
    <n v="10"/>
    <n v="-20"/>
    <n v="30996.666666699999"/>
    <n v="-61993.333333399998"/>
    <x v="2"/>
  </r>
  <r>
    <x v="2"/>
    <x v="10"/>
    <x v="4"/>
    <s v="CERVEZAS"/>
    <x v="0"/>
    <x v="183"/>
    <s v="UNIDADES"/>
    <n v="3099.6666666699998"/>
    <n v="0"/>
    <n v="0"/>
    <n v="0"/>
    <n v="0"/>
    <n v="0"/>
    <x v="1"/>
  </r>
  <r>
    <x v="2"/>
    <x v="12"/>
    <x v="3"/>
    <s v="CERVEZAS"/>
    <x v="0"/>
    <x v="184"/>
    <s v="UNIDADES"/>
    <n v="3567.44444445"/>
    <n v="35"/>
    <n v="35"/>
    <n v="0"/>
    <n v="124860.55555575"/>
    <n v="0"/>
    <x v="1"/>
  </r>
  <r>
    <x v="2"/>
    <x v="14"/>
    <x v="0"/>
    <s v="CERVEZAS"/>
    <x v="0"/>
    <x v="184"/>
    <s v="UNIDADES"/>
    <n v="3747.9166666699998"/>
    <n v="-18"/>
    <n v="7"/>
    <n v="25"/>
    <n v="26235.416666689998"/>
    <n v="93697.916666749996"/>
    <x v="0"/>
  </r>
  <r>
    <x v="2"/>
    <x v="13"/>
    <x v="2"/>
    <s v="CERVEZAS"/>
    <x v="0"/>
    <x v="184"/>
    <s v="UNIDADES"/>
    <n v="3567.44444445"/>
    <n v="7"/>
    <n v="7"/>
    <n v="0"/>
    <n v="24972.111111149999"/>
    <n v="0"/>
    <x v="1"/>
  </r>
  <r>
    <x v="2"/>
    <x v="15"/>
    <x v="1"/>
    <s v="CERVEZAS"/>
    <x v="0"/>
    <x v="184"/>
    <s v="UNIDADES"/>
    <n v="3747.9166666699998"/>
    <n v="73"/>
    <n v="72"/>
    <n v="-1"/>
    <n v="269850.00000023999"/>
    <n v="-3747.9166666699998"/>
    <x v="2"/>
  </r>
  <r>
    <x v="2"/>
    <x v="10"/>
    <x v="4"/>
    <s v="CERVEZAS"/>
    <x v="0"/>
    <x v="184"/>
    <s v="UNIDADES"/>
    <n v="3567.44444445"/>
    <n v="76"/>
    <n v="76"/>
    <n v="0"/>
    <n v="271125.77777819999"/>
    <n v="0"/>
    <x v="1"/>
  </r>
  <r>
    <x v="2"/>
    <x v="12"/>
    <x v="3"/>
    <s v="CERVEZAS"/>
    <x v="0"/>
    <x v="230"/>
    <s v="UNIDADES"/>
    <n v="11200"/>
    <n v="30"/>
    <n v="30"/>
    <n v="0"/>
    <n v="336000"/>
    <n v="0"/>
    <x v="1"/>
  </r>
  <r>
    <x v="2"/>
    <x v="13"/>
    <x v="2"/>
    <s v="CERVEZAS"/>
    <x v="0"/>
    <x v="230"/>
    <s v="UNIDADES"/>
    <n v="11200"/>
    <n v="2"/>
    <n v="2"/>
    <n v="0"/>
    <n v="22400"/>
    <n v="0"/>
    <x v="1"/>
  </r>
  <r>
    <x v="2"/>
    <x v="10"/>
    <x v="4"/>
    <s v="CERVEZAS"/>
    <x v="0"/>
    <x v="230"/>
    <s v="UNIDADES"/>
    <n v="11200"/>
    <n v="13"/>
    <n v="14"/>
    <n v="1"/>
    <n v="156800"/>
    <n v="11200"/>
    <x v="0"/>
  </r>
  <r>
    <x v="2"/>
    <x v="14"/>
    <x v="0"/>
    <s v="FRUVER"/>
    <x v="1"/>
    <x v="458"/>
    <s v="GRAMOS"/>
    <n v="14"/>
    <n v="8802.4210000000003"/>
    <n v="448"/>
    <n v="-8354.4210199999998"/>
    <n v="6272"/>
    <n v="-116961.89427999999"/>
    <x v="2"/>
  </r>
  <r>
    <x v="2"/>
    <x v="15"/>
    <x v="1"/>
    <s v="FRUVER"/>
    <x v="1"/>
    <x v="458"/>
    <s v="GRAMOS"/>
    <n v="14"/>
    <n v="590"/>
    <n v="0"/>
    <n v="-590"/>
    <n v="0"/>
    <n v="-8260"/>
    <x v="2"/>
  </r>
  <r>
    <x v="2"/>
    <x v="12"/>
    <x v="3"/>
    <s v="FRUVER"/>
    <x v="1"/>
    <x v="459"/>
    <s v="GRAMOS"/>
    <n v="26"/>
    <n v="-900"/>
    <n v="0"/>
    <n v="900"/>
    <n v="0"/>
    <n v="23400"/>
    <x v="0"/>
  </r>
  <r>
    <x v="2"/>
    <x v="14"/>
    <x v="0"/>
    <s v="FRUVER"/>
    <x v="1"/>
    <x v="459"/>
    <s v="GRAMOS"/>
    <n v="30"/>
    <n v="521.89469999999994"/>
    <n v="756"/>
    <n v="234.105298"/>
    <n v="22680"/>
    <n v="7023.1589400000003"/>
    <x v="0"/>
  </r>
  <r>
    <x v="2"/>
    <x v="13"/>
    <x v="2"/>
    <s v="FRUVER"/>
    <x v="1"/>
    <x v="459"/>
    <s v="GRAMOS"/>
    <n v="26"/>
    <n v="-1800"/>
    <n v="0"/>
    <n v="1800"/>
    <n v="0"/>
    <n v="46800"/>
    <x v="0"/>
  </r>
  <r>
    <x v="2"/>
    <x v="15"/>
    <x v="1"/>
    <s v="FRUVER"/>
    <x v="1"/>
    <x v="459"/>
    <s v="GRAMOS"/>
    <n v="30"/>
    <n v="3795"/>
    <n v="0"/>
    <n v="-3795"/>
    <n v="0"/>
    <n v="-113850"/>
    <x v="2"/>
  </r>
  <r>
    <x v="2"/>
    <x v="10"/>
    <x v="4"/>
    <s v="FRUVER"/>
    <x v="1"/>
    <x v="459"/>
    <s v="GRAMOS"/>
    <n v="26"/>
    <n v="-600"/>
    <n v="0"/>
    <n v="600"/>
    <n v="0"/>
    <n v="15600"/>
    <x v="0"/>
  </r>
  <r>
    <x v="2"/>
    <x v="12"/>
    <x v="3"/>
    <s v="FRUVER"/>
    <x v="1"/>
    <x v="460"/>
    <s v="GRAMOS"/>
    <n v="29"/>
    <n v="14140.5558"/>
    <n v="3740"/>
    <n v="-12400.555832"/>
    <n v="108460"/>
    <n v="-359616.11912799999"/>
    <x v="2"/>
  </r>
  <r>
    <x v="2"/>
    <x v="14"/>
    <x v="0"/>
    <s v="FRUVER"/>
    <x v="1"/>
    <x v="460"/>
    <s v="GRAMOS"/>
    <n v="29"/>
    <n v="24557.0527"/>
    <n v="7458"/>
    <n v="-17099.052685999999"/>
    <n v="216282"/>
    <n v="-495872.527894"/>
    <x v="2"/>
  </r>
  <r>
    <x v="2"/>
    <x v="13"/>
    <x v="2"/>
    <s v="FRUVER"/>
    <x v="1"/>
    <x v="460"/>
    <s v="GRAMOS"/>
    <n v="29"/>
    <n v="19818.333600000002"/>
    <n v="6050"/>
    <n v="-19768.333622999999"/>
    <n v="175450"/>
    <n v="-573281.67506699997"/>
    <x v="2"/>
  </r>
  <r>
    <x v="2"/>
    <x v="15"/>
    <x v="1"/>
    <s v="FRUVER"/>
    <x v="1"/>
    <x v="460"/>
    <s v="GRAMOS"/>
    <n v="29"/>
    <n v="-15"/>
    <n v="0"/>
    <n v="15"/>
    <n v="0"/>
    <n v="435"/>
    <x v="0"/>
  </r>
  <r>
    <x v="2"/>
    <x v="10"/>
    <x v="4"/>
    <s v="FRUVER"/>
    <x v="1"/>
    <x v="460"/>
    <s v="GRAMOS"/>
    <n v="29"/>
    <n v="12916.667100000001"/>
    <n v="4700"/>
    <n v="-8216.6671310000002"/>
    <n v="136300"/>
    <n v="-238283.34679899999"/>
    <x v="2"/>
  </r>
  <r>
    <x v="2"/>
    <x v="15"/>
    <x v="1"/>
    <s v="PROTEINAS"/>
    <x v="1"/>
    <x v="461"/>
    <s v="UNIDADES"/>
    <n v="0"/>
    <n v="-59"/>
    <n v="11"/>
    <n v="70"/>
    <n v="0"/>
    <n v="0"/>
    <x v="0"/>
  </r>
  <r>
    <x v="2"/>
    <x v="15"/>
    <x v="1"/>
    <s v="LACTEOS"/>
    <x v="1"/>
    <x v="462"/>
    <s v="GRAMOS"/>
    <n v="60"/>
    <n v="-1965"/>
    <n v="1800"/>
    <n v="3765"/>
    <n v="108000"/>
    <n v="225900"/>
    <x v="0"/>
  </r>
  <r>
    <x v="2"/>
    <x v="12"/>
    <x v="3"/>
    <s v="ABARROTES"/>
    <x v="1"/>
    <x v="463"/>
    <s v="GRAMOS"/>
    <n v="35.5"/>
    <n v="1160"/>
    <n v="1430"/>
    <n v="270"/>
    <n v="50765"/>
    <n v="9585"/>
    <x v="0"/>
  </r>
  <r>
    <x v="2"/>
    <x v="13"/>
    <x v="2"/>
    <s v="ABARROTES"/>
    <x v="1"/>
    <x v="463"/>
    <s v="GRAMOS"/>
    <n v="35.5"/>
    <n v="3010"/>
    <n v="4000"/>
    <n v="990"/>
    <n v="142000"/>
    <n v="35145"/>
    <x v="0"/>
  </r>
  <r>
    <x v="2"/>
    <x v="10"/>
    <x v="4"/>
    <s v="ABARROTES"/>
    <x v="1"/>
    <x v="463"/>
    <s v="GRAMOS"/>
    <n v="35.5"/>
    <n v="1220"/>
    <n v="3900"/>
    <n v="2680"/>
    <n v="138450"/>
    <n v="95140"/>
    <x v="0"/>
  </r>
  <r>
    <x v="2"/>
    <x v="12"/>
    <x v="3"/>
    <s v="PROTEINAS"/>
    <x v="1"/>
    <x v="78"/>
    <s v="UNIDADES"/>
    <n v="9663.3333333299997"/>
    <n v="39"/>
    <n v="39"/>
    <n v="0"/>
    <n v="376869.99999986996"/>
    <n v="0"/>
    <x v="1"/>
  </r>
  <r>
    <x v="2"/>
    <x v="14"/>
    <x v="0"/>
    <s v="PROTEINAS"/>
    <x v="1"/>
    <x v="78"/>
    <s v="UNIDADES"/>
    <n v="8627.5"/>
    <n v="40"/>
    <n v="0"/>
    <n v="-40"/>
    <n v="0"/>
    <n v="-345100"/>
    <x v="2"/>
  </r>
  <r>
    <x v="2"/>
    <x v="13"/>
    <x v="2"/>
    <s v="PROTEINAS"/>
    <x v="1"/>
    <x v="78"/>
    <s v="UNIDADES"/>
    <n v="9663.3333333299997"/>
    <n v="15.5"/>
    <n v="51.5"/>
    <n v="36"/>
    <n v="497661.66666649497"/>
    <n v="347879.99999987998"/>
    <x v="0"/>
  </r>
  <r>
    <x v="2"/>
    <x v="16"/>
    <x v="5"/>
    <s v="PROTEINAS"/>
    <x v="1"/>
    <x v="78"/>
    <s v="UNIDADES"/>
    <n v="9663.3333333299997"/>
    <n v="0"/>
    <n v="0"/>
    <n v="0"/>
    <n v="0"/>
    <n v="0"/>
    <x v="1"/>
  </r>
  <r>
    <x v="2"/>
    <x v="10"/>
    <x v="4"/>
    <s v="PROTEINAS"/>
    <x v="1"/>
    <x v="78"/>
    <s v="UNIDADES"/>
    <n v="9663.3333333299997"/>
    <n v="45"/>
    <n v="0"/>
    <n v="-45"/>
    <n v="0"/>
    <n v="-434849.99999985"/>
    <x v="2"/>
  </r>
  <r>
    <x v="2"/>
    <x v="12"/>
    <x v="3"/>
    <s v="PROTEINAS"/>
    <x v="1"/>
    <x v="464"/>
    <s v="GRAMOS"/>
    <n v="28"/>
    <n v="0"/>
    <n v="0"/>
    <n v="0"/>
    <n v="0"/>
    <n v="0"/>
    <x v="1"/>
  </r>
  <r>
    <x v="2"/>
    <x v="13"/>
    <x v="2"/>
    <s v="PROTEINAS"/>
    <x v="1"/>
    <x v="464"/>
    <s v="GRAMOS"/>
    <n v="28"/>
    <n v="0"/>
    <n v="0"/>
    <n v="0"/>
    <n v="0"/>
    <n v="0"/>
    <x v="1"/>
  </r>
  <r>
    <x v="2"/>
    <x v="10"/>
    <x v="4"/>
    <s v="PROTEINAS"/>
    <x v="1"/>
    <x v="464"/>
    <s v="GRAMOS"/>
    <n v="28"/>
    <n v="0"/>
    <n v="45"/>
    <n v="45"/>
    <n v="1260"/>
    <n v="1260"/>
    <x v="0"/>
  </r>
  <r>
    <x v="2"/>
    <x v="14"/>
    <x v="0"/>
    <s v="DESPENSA"/>
    <x v="1"/>
    <x v="465"/>
    <s v="GRAMOS"/>
    <n v="33.200159659999997"/>
    <n v="448"/>
    <n v="780"/>
    <n v="332"/>
    <n v="25896.124534799997"/>
    <n v="11022.453007119999"/>
    <x v="0"/>
  </r>
  <r>
    <x v="2"/>
    <x v="14"/>
    <x v="0"/>
    <s v="PROTEINAS"/>
    <x v="1"/>
    <x v="80"/>
    <s v="UNIDADES"/>
    <n v="2000"/>
    <n v="10"/>
    <n v="10"/>
    <n v="0"/>
    <n v="20000"/>
    <n v="0"/>
    <x v="1"/>
  </r>
  <r>
    <x v="2"/>
    <x v="15"/>
    <x v="1"/>
    <s v="PROTEINAS"/>
    <x v="1"/>
    <x v="80"/>
    <s v="UNIDADES"/>
    <n v="2000"/>
    <n v="0"/>
    <n v="0"/>
    <n v="0"/>
    <n v="0"/>
    <n v="0"/>
    <x v="1"/>
  </r>
  <r>
    <x v="2"/>
    <x v="12"/>
    <x v="3"/>
    <s v="GASEOSAS Y SODAS"/>
    <x v="0"/>
    <x v="63"/>
    <s v="UNIDADES"/>
    <n v="4986.125"/>
    <n v="29"/>
    <n v="29"/>
    <n v="0"/>
    <n v="144597.625"/>
    <n v="0"/>
    <x v="1"/>
  </r>
  <r>
    <x v="2"/>
    <x v="14"/>
    <x v="0"/>
    <s v="GASEOSAS Y SODAS"/>
    <x v="0"/>
    <x v="63"/>
    <s v="UNIDADES"/>
    <n v="4986.0833333299997"/>
    <n v="12"/>
    <n v="13"/>
    <n v="1"/>
    <n v="64819.083333289993"/>
    <n v="4986.0833333299997"/>
    <x v="0"/>
  </r>
  <r>
    <x v="2"/>
    <x v="13"/>
    <x v="2"/>
    <s v="GASEOSAS Y SODAS"/>
    <x v="0"/>
    <x v="63"/>
    <s v="UNIDADES"/>
    <n v="4986.125"/>
    <n v="56"/>
    <n v="56"/>
    <n v="0"/>
    <n v="279223"/>
    <n v="0"/>
    <x v="1"/>
  </r>
  <r>
    <x v="2"/>
    <x v="15"/>
    <x v="1"/>
    <s v="GASEOSAS Y SODAS"/>
    <x v="0"/>
    <x v="63"/>
    <s v="UNIDADES"/>
    <n v="4986.0833333299997"/>
    <n v="20"/>
    <n v="19"/>
    <n v="-1"/>
    <n v="94735.583333269999"/>
    <n v="-4986.0833333299997"/>
    <x v="2"/>
  </r>
  <r>
    <x v="2"/>
    <x v="10"/>
    <x v="4"/>
    <s v="GASEOSAS Y SODAS"/>
    <x v="0"/>
    <x v="63"/>
    <s v="UNIDADES"/>
    <n v="4986.125"/>
    <n v="61"/>
    <n v="59"/>
    <n v="-2"/>
    <n v="294181.375"/>
    <n v="-9972.25"/>
    <x v="2"/>
  </r>
  <r>
    <x v="2"/>
    <x v="12"/>
    <x v="3"/>
    <s v="FRUVER"/>
    <x v="1"/>
    <x v="466"/>
    <s v="GRAMOS"/>
    <n v="9"/>
    <n v="10087.5949"/>
    <n v="2230"/>
    <n v="-10857.594869299999"/>
    <n v="20070"/>
    <n v="-97718.353823699988"/>
    <x v="2"/>
  </r>
  <r>
    <x v="2"/>
    <x v="14"/>
    <x v="0"/>
    <s v="FRUVER"/>
    <x v="1"/>
    <x v="466"/>
    <s v="GRAMOS"/>
    <n v="6"/>
    <n v="9760.0002000000004"/>
    <n v="1662"/>
    <n v="-8098.0002098000004"/>
    <n v="9972"/>
    <n v="-48588.001258800003"/>
    <x v="2"/>
  </r>
  <r>
    <x v="2"/>
    <x v="13"/>
    <x v="2"/>
    <s v="FRUVER"/>
    <x v="1"/>
    <x v="466"/>
    <s v="GRAMOS"/>
    <n v="9"/>
    <n v="11493.48"/>
    <n v="1250"/>
    <n v="-13243.480037400001"/>
    <n v="11250"/>
    <n v="-119191.32033660001"/>
    <x v="2"/>
  </r>
  <r>
    <x v="2"/>
    <x v="15"/>
    <x v="1"/>
    <s v="FRUVER"/>
    <x v="1"/>
    <x v="466"/>
    <s v="GRAMOS"/>
    <n v="6"/>
    <n v="1827.7687000000001"/>
    <n v="200"/>
    <n v="-1627.7687000000001"/>
    <n v="1200"/>
    <n v="-9766.6121999999996"/>
    <x v="2"/>
  </r>
  <r>
    <x v="2"/>
    <x v="10"/>
    <x v="4"/>
    <s v="FRUVER"/>
    <x v="1"/>
    <x v="466"/>
    <s v="GRAMOS"/>
    <n v="9"/>
    <n v="16422.000100000001"/>
    <n v="2274"/>
    <n v="-14148.000133400001"/>
    <n v="20466"/>
    <n v="-127332.0012006"/>
    <x v="2"/>
  </r>
  <r>
    <x v="2"/>
    <x v="12"/>
    <x v="3"/>
    <s v="LICORES"/>
    <x v="0"/>
    <x v="31"/>
    <s v="ONZA"/>
    <n v="2789.3636363599999"/>
    <n v="110"/>
    <n v="87"/>
    <n v="-23"/>
    <n v="242674.63636331999"/>
    <n v="-64155.363636279995"/>
    <x v="2"/>
  </r>
  <r>
    <x v="2"/>
    <x v="14"/>
    <x v="0"/>
    <s v="LICORES"/>
    <x v="0"/>
    <x v="31"/>
    <s v="ONZA"/>
    <n v="3005.8333333300002"/>
    <n v="4"/>
    <n v="24"/>
    <n v="20"/>
    <n v="72139.999999920008"/>
    <n v="60116.666666600002"/>
    <x v="0"/>
  </r>
  <r>
    <x v="2"/>
    <x v="13"/>
    <x v="2"/>
    <s v="LICORES"/>
    <x v="0"/>
    <x v="31"/>
    <s v="ONZA"/>
    <n v="2789.3636363599999"/>
    <n v="5"/>
    <n v="6"/>
    <n v="1"/>
    <n v="16736.181818159999"/>
    <n v="2789.3636363599999"/>
    <x v="0"/>
  </r>
  <r>
    <x v="2"/>
    <x v="15"/>
    <x v="1"/>
    <s v="LICORES"/>
    <x v="0"/>
    <x v="31"/>
    <s v="ONZA"/>
    <n v="3005.8333333300002"/>
    <n v="26"/>
    <n v="47"/>
    <n v="21"/>
    <n v="141274.16666651002"/>
    <n v="63122.499999930005"/>
    <x v="0"/>
  </r>
  <r>
    <x v="2"/>
    <x v="10"/>
    <x v="4"/>
    <s v="LICORES"/>
    <x v="0"/>
    <x v="31"/>
    <s v="ONZA"/>
    <n v="2789.3636363599999"/>
    <n v="74"/>
    <n v="81.75"/>
    <n v="7.75"/>
    <n v="228030.47727243"/>
    <n v="21617.56818179"/>
    <x v="0"/>
  </r>
  <r>
    <x v="2"/>
    <x v="15"/>
    <x v="1"/>
    <s v="MATERIAL DE ASEO"/>
    <x v="3"/>
    <x v="467"/>
    <s v="GRAMOS"/>
    <n v="30.5"/>
    <n v="0"/>
    <n v="0"/>
    <n v="0"/>
    <n v="0"/>
    <n v="0"/>
    <x v="1"/>
  </r>
  <r>
    <x v="2"/>
    <x v="14"/>
    <x v="0"/>
    <s v="ABARROTES"/>
    <x v="1"/>
    <x v="468"/>
    <s v="GRAMOS"/>
    <n v="24.513999999999999"/>
    <n v="1480"/>
    <n v="0"/>
    <n v="-1480"/>
    <n v="0"/>
    <n v="-36280.720000000001"/>
    <x v="2"/>
  </r>
  <r>
    <x v="2"/>
    <x v="15"/>
    <x v="1"/>
    <s v="ABARROTES"/>
    <x v="1"/>
    <x v="468"/>
    <s v="GRAMOS"/>
    <n v="24.513999999999999"/>
    <n v="1319.5025000000001"/>
    <n v="946"/>
    <n v="-373.50248800000003"/>
    <n v="23190.243999999999"/>
    <n v="-9156.0399908319996"/>
    <x v="2"/>
  </r>
  <r>
    <x v="2"/>
    <x v="12"/>
    <x v="3"/>
    <s v="SALSAS ESPECIAS Y CONDIMENTOS"/>
    <x v="1"/>
    <x v="469"/>
    <s v="GRAMOS"/>
    <n v="46.806453779999998"/>
    <n v="-26"/>
    <n v="0"/>
    <n v="26"/>
    <n v="0"/>
    <n v="1216.9677982799999"/>
    <x v="0"/>
  </r>
  <r>
    <x v="2"/>
    <x v="14"/>
    <x v="0"/>
    <s v="SALSAS ESPECIAS Y CONDIMENTOS"/>
    <x v="1"/>
    <x v="469"/>
    <s v="GRAMOS"/>
    <n v="178.06399999999999"/>
    <n v="346"/>
    <n v="300"/>
    <n v="-46"/>
    <n v="53419.199999999997"/>
    <n v="-8190.9439999999995"/>
    <x v="2"/>
  </r>
  <r>
    <x v="2"/>
    <x v="13"/>
    <x v="2"/>
    <s v="SALSAS ESPECIAS Y CONDIMENTOS"/>
    <x v="1"/>
    <x v="469"/>
    <s v="GRAMOS"/>
    <n v="46.806453779999998"/>
    <n v="125"/>
    <n v="0"/>
    <n v="-125"/>
    <n v="0"/>
    <n v="-5850.8067224999995"/>
    <x v="2"/>
  </r>
  <r>
    <x v="2"/>
    <x v="15"/>
    <x v="1"/>
    <s v="SALSAS ESPECIAS Y CONDIMENTOS"/>
    <x v="1"/>
    <x v="469"/>
    <s v="GRAMOS"/>
    <n v="178.06399999999999"/>
    <n v="-7.7000000000000002E-3"/>
    <n v="0"/>
    <n v="7.6920000000000001E-3"/>
    <n v="0"/>
    <n v="1.369668288"/>
    <x v="0"/>
  </r>
  <r>
    <x v="2"/>
    <x v="10"/>
    <x v="4"/>
    <s v="SALSAS ESPECIAS Y CONDIMENTOS"/>
    <x v="1"/>
    <x v="469"/>
    <s v="GRAMOS"/>
    <n v="46.806453779999998"/>
    <n v="250"/>
    <n v="0"/>
    <n v="-250"/>
    <n v="0"/>
    <n v="-11701.613444999999"/>
    <x v="2"/>
  </r>
  <r>
    <x v="2"/>
    <x v="14"/>
    <x v="0"/>
    <s v="ABARROTES"/>
    <x v="1"/>
    <x v="470"/>
    <s v="GRAMOS"/>
    <n v="49.977947020000002"/>
    <n v="9650"/>
    <n v="6210"/>
    <n v="-3440.000016"/>
    <n v="310363.05099419999"/>
    <n v="-171924.13854844717"/>
    <x v="2"/>
  </r>
  <r>
    <x v="2"/>
    <x v="15"/>
    <x v="1"/>
    <s v="ABARROTES"/>
    <x v="1"/>
    <x v="470"/>
    <s v="GRAMOS"/>
    <n v="49.977947020000002"/>
    <n v="5060"/>
    <n v="3500"/>
    <n v="-1560"/>
    <n v="174922.81457000002"/>
    <n v="-77965.597351200006"/>
    <x v="2"/>
  </r>
  <r>
    <x v="2"/>
    <x v="12"/>
    <x v="3"/>
    <s v="ABARROTES"/>
    <x v="1"/>
    <x v="471"/>
    <s v="GRAMOS"/>
    <n v="82.471081679999998"/>
    <n v="-190"/>
    <n v="200"/>
    <n v="390"/>
    <n v="16494.216335999998"/>
    <n v="32163.721855199998"/>
    <x v="0"/>
  </r>
  <r>
    <x v="2"/>
    <x v="14"/>
    <x v="0"/>
    <s v="ABARROTES"/>
    <x v="1"/>
    <x v="471"/>
    <s v="GRAMOS"/>
    <n v="39.22731126"/>
    <n v="6930"/>
    <n v="7884"/>
    <n v="954.00000799999998"/>
    <n v="309268.12197384"/>
    <n v="37422.855255858492"/>
    <x v="0"/>
  </r>
  <r>
    <x v="2"/>
    <x v="13"/>
    <x v="2"/>
    <s v="ABARROTES"/>
    <x v="1"/>
    <x v="471"/>
    <s v="GRAMOS"/>
    <n v="82.471081679999998"/>
    <n v="666"/>
    <n v="0"/>
    <n v="-666"/>
    <n v="0"/>
    <n v="-54925.74039888"/>
    <x v="2"/>
  </r>
  <r>
    <x v="2"/>
    <x v="15"/>
    <x v="1"/>
    <s v="ABARROTES"/>
    <x v="1"/>
    <x v="471"/>
    <s v="GRAMOS"/>
    <n v="39.22731126"/>
    <n v="5450"/>
    <n v="3600"/>
    <n v="-1850.0000050000001"/>
    <n v="141218.32053600001"/>
    <n v="-72570.526027136555"/>
    <x v="2"/>
  </r>
  <r>
    <x v="2"/>
    <x v="16"/>
    <x v="5"/>
    <s v="ABARROTES"/>
    <x v="1"/>
    <x v="471"/>
    <s v="GRAMOS"/>
    <n v="82.471081679999998"/>
    <n v="11893"/>
    <n v="11664"/>
    <n v="-229"/>
    <n v="961942.69671552"/>
    <n v="-18885.877704719998"/>
    <x v="2"/>
  </r>
  <r>
    <x v="2"/>
    <x v="10"/>
    <x v="4"/>
    <s v="ABARROTES"/>
    <x v="1"/>
    <x v="471"/>
    <s v="GRAMOS"/>
    <n v="82.471081679999998"/>
    <n v="-390"/>
    <n v="0"/>
    <n v="390"/>
    <n v="0"/>
    <n v="32163.721855199998"/>
    <x v="0"/>
  </r>
  <r>
    <x v="2"/>
    <x v="12"/>
    <x v="3"/>
    <s v="GASEOSAS Y SODAS"/>
    <x v="0"/>
    <x v="50"/>
    <s v="UNIDADES"/>
    <n v="4126.8333333299997"/>
    <n v="0"/>
    <n v="0"/>
    <n v="0"/>
    <n v="0"/>
    <n v="0"/>
    <x v="1"/>
  </r>
  <r>
    <x v="2"/>
    <x v="14"/>
    <x v="0"/>
    <s v="GASEOSAS Y SODAS"/>
    <x v="0"/>
    <x v="50"/>
    <s v="UNIDADES"/>
    <n v="4126.8333333299997"/>
    <n v="1"/>
    <n v="3"/>
    <n v="2"/>
    <n v="12380.499999989999"/>
    <n v="8253.6666666599995"/>
    <x v="0"/>
  </r>
  <r>
    <x v="2"/>
    <x v="13"/>
    <x v="2"/>
    <s v="GASEOSAS Y SODAS"/>
    <x v="0"/>
    <x v="50"/>
    <s v="UNIDADES"/>
    <n v="4126.8333333299997"/>
    <n v="0"/>
    <n v="11"/>
    <n v="11"/>
    <n v="45395.166666630001"/>
    <n v="45395.166666630001"/>
    <x v="0"/>
  </r>
  <r>
    <x v="2"/>
    <x v="15"/>
    <x v="1"/>
    <s v="GASEOSAS Y SODAS"/>
    <x v="0"/>
    <x v="50"/>
    <s v="UNIDADES"/>
    <n v="4126.8333333299997"/>
    <n v="0"/>
    <n v="0"/>
    <n v="0"/>
    <n v="0"/>
    <n v="0"/>
    <x v="1"/>
  </r>
  <r>
    <x v="2"/>
    <x v="10"/>
    <x v="4"/>
    <s v="GASEOSAS Y SODAS"/>
    <x v="0"/>
    <x v="50"/>
    <s v="UNIDADES"/>
    <n v="4126.8333333299997"/>
    <n v="0"/>
    <n v="0"/>
    <n v="0"/>
    <n v="0"/>
    <n v="0"/>
    <x v="1"/>
  </r>
  <r>
    <x v="2"/>
    <x v="12"/>
    <x v="3"/>
    <s v="GASEOSAS Y SODAS"/>
    <x v="0"/>
    <x v="59"/>
    <s v="UNIDADES"/>
    <n v="1769.5210905399999"/>
    <n v="98"/>
    <n v="62"/>
    <n v="-36"/>
    <n v="109710.30761347999"/>
    <n v="-63702.759259439998"/>
    <x v="2"/>
  </r>
  <r>
    <x v="2"/>
    <x v="14"/>
    <x v="0"/>
    <s v="GASEOSAS Y SODAS"/>
    <x v="0"/>
    <x v="59"/>
    <s v="UNIDADES"/>
    <n v="2318.6893004200001"/>
    <n v="79"/>
    <n v="79"/>
    <n v="0"/>
    <n v="183176.45473318"/>
    <n v="0"/>
    <x v="1"/>
  </r>
  <r>
    <x v="2"/>
    <x v="13"/>
    <x v="2"/>
    <s v="GASEOSAS Y SODAS"/>
    <x v="0"/>
    <x v="59"/>
    <s v="UNIDADES"/>
    <n v="1769.5210905399999"/>
    <n v="117"/>
    <n v="118"/>
    <n v="1"/>
    <n v="208803.48868372"/>
    <n v="1769.5210905399999"/>
    <x v="0"/>
  </r>
  <r>
    <x v="2"/>
    <x v="15"/>
    <x v="1"/>
    <s v="GASEOSAS Y SODAS"/>
    <x v="0"/>
    <x v="59"/>
    <s v="UNIDADES"/>
    <n v="2318.6893004200001"/>
    <n v="128.5"/>
    <n v="115"/>
    <n v="-13.5"/>
    <n v="266649.26954830001"/>
    <n v="-31302.305555670002"/>
    <x v="2"/>
  </r>
  <r>
    <x v="2"/>
    <x v="10"/>
    <x v="4"/>
    <s v="GASEOSAS Y SODAS"/>
    <x v="0"/>
    <x v="59"/>
    <s v="UNIDADES"/>
    <n v="1769.5210905399999"/>
    <n v="43"/>
    <n v="42"/>
    <n v="-1"/>
    <n v="74319.885802680001"/>
    <n v="-1769.5210905399999"/>
    <x v="2"/>
  </r>
  <r>
    <x v="2"/>
    <x v="12"/>
    <x v="3"/>
    <s v="GASEOSAS Y SODAS"/>
    <x v="0"/>
    <x v="60"/>
    <s v="UNIDADES"/>
    <n v="2119.6875"/>
    <n v="23"/>
    <n v="59"/>
    <n v="36"/>
    <n v="125061.5625"/>
    <n v="76308.75"/>
    <x v="0"/>
  </r>
  <r>
    <x v="2"/>
    <x v="14"/>
    <x v="0"/>
    <s v="GASEOSAS Y SODAS"/>
    <x v="0"/>
    <x v="60"/>
    <s v="UNIDADES"/>
    <n v="2119.75"/>
    <n v="78"/>
    <n v="78"/>
    <n v="0"/>
    <n v="165340.5"/>
    <n v="0"/>
    <x v="1"/>
  </r>
  <r>
    <x v="2"/>
    <x v="13"/>
    <x v="2"/>
    <s v="GASEOSAS Y SODAS"/>
    <x v="0"/>
    <x v="60"/>
    <s v="UNIDADES"/>
    <n v="2119.6875"/>
    <n v="80"/>
    <n v="81"/>
    <n v="1"/>
    <n v="171694.6875"/>
    <n v="2119.6875"/>
    <x v="0"/>
  </r>
  <r>
    <x v="2"/>
    <x v="15"/>
    <x v="1"/>
    <s v="GASEOSAS Y SODAS"/>
    <x v="0"/>
    <x v="60"/>
    <s v="UNIDADES"/>
    <n v="2119.75"/>
    <n v="80"/>
    <n v="88"/>
    <n v="8"/>
    <n v="186538"/>
    <n v="16958"/>
    <x v="0"/>
  </r>
  <r>
    <x v="2"/>
    <x v="10"/>
    <x v="4"/>
    <s v="GASEOSAS Y SODAS"/>
    <x v="0"/>
    <x v="60"/>
    <s v="UNIDADES"/>
    <n v="2119.6875"/>
    <n v="27"/>
    <n v="27"/>
    <n v="0"/>
    <n v="57231.5625"/>
    <n v="0"/>
    <x v="1"/>
  </r>
  <r>
    <x v="2"/>
    <x v="12"/>
    <x v="3"/>
    <s v="NUECES ESPECIAS Y FRUTOS"/>
    <x v="1"/>
    <x v="472"/>
    <s v="GRAMOS"/>
    <n v="41.195"/>
    <n v="1500"/>
    <n v="3316"/>
    <n v="1816"/>
    <n v="136602.62"/>
    <n v="74810.12"/>
    <x v="0"/>
  </r>
  <r>
    <x v="2"/>
    <x v="14"/>
    <x v="0"/>
    <s v="NUECES ESPECIAS Y FRUTOS"/>
    <x v="1"/>
    <x v="472"/>
    <s v="GRAMOS"/>
    <n v="37.630249999999997"/>
    <n v="19032"/>
    <n v="7000"/>
    <n v="-12032"/>
    <n v="263411.75"/>
    <n v="-452767.16799999995"/>
    <x v="2"/>
  </r>
  <r>
    <x v="2"/>
    <x v="13"/>
    <x v="2"/>
    <s v="NUECES ESPECIAS Y FRUTOS"/>
    <x v="1"/>
    <x v="472"/>
    <s v="GRAMOS"/>
    <n v="41.195"/>
    <n v="1425"/>
    <n v="2300"/>
    <n v="875"/>
    <n v="94748.5"/>
    <n v="36045.625"/>
    <x v="0"/>
  </r>
  <r>
    <x v="2"/>
    <x v="15"/>
    <x v="1"/>
    <s v="NUECES ESPECIAS Y FRUTOS"/>
    <x v="1"/>
    <x v="472"/>
    <s v="GRAMOS"/>
    <n v="37.630249999999997"/>
    <n v="0"/>
    <n v="0"/>
    <n v="0"/>
    <n v="0"/>
    <n v="0"/>
    <x v="1"/>
  </r>
  <r>
    <x v="2"/>
    <x v="10"/>
    <x v="4"/>
    <s v="NUECES ESPECIAS Y FRUTOS"/>
    <x v="1"/>
    <x v="472"/>
    <s v="GRAMOS"/>
    <n v="41.195"/>
    <n v="-1790"/>
    <n v="3000"/>
    <n v="4790"/>
    <n v="123585"/>
    <n v="197324.05"/>
    <x v="0"/>
  </r>
  <r>
    <x v="2"/>
    <x v="12"/>
    <x v="3"/>
    <s v="FRUVER"/>
    <x v="1"/>
    <x v="473"/>
    <s v="GRAMOS"/>
    <n v="8.1999999999999993"/>
    <n v="11905.661599999999"/>
    <n v="4440"/>
    <n v="-7465.6616000000004"/>
    <n v="36408"/>
    <n v="-61218.42512"/>
    <x v="2"/>
  </r>
  <r>
    <x v="2"/>
    <x v="14"/>
    <x v="0"/>
    <s v="FRUVER"/>
    <x v="1"/>
    <x v="473"/>
    <s v="GRAMOS"/>
    <n v="8.1999999999999993"/>
    <n v="23410"/>
    <n v="4000"/>
    <n v="-19410"/>
    <n v="32800"/>
    <n v="-159162"/>
    <x v="2"/>
  </r>
  <r>
    <x v="2"/>
    <x v="13"/>
    <x v="2"/>
    <s v="FRUVER"/>
    <x v="1"/>
    <x v="473"/>
    <s v="GRAMOS"/>
    <n v="8.1999999999999993"/>
    <n v="6400"/>
    <n v="0"/>
    <n v="-6400"/>
    <n v="0"/>
    <n v="-52479.999999999993"/>
    <x v="2"/>
  </r>
  <r>
    <x v="2"/>
    <x v="15"/>
    <x v="1"/>
    <s v="FRUVER"/>
    <x v="1"/>
    <x v="473"/>
    <s v="GRAMOS"/>
    <n v="8.1999999999999993"/>
    <n v="4400"/>
    <n v="1500"/>
    <n v="-2900"/>
    <n v="12299.999999999998"/>
    <n v="-23779.999999999996"/>
    <x v="2"/>
  </r>
  <r>
    <x v="2"/>
    <x v="10"/>
    <x v="4"/>
    <s v="FRUVER"/>
    <x v="1"/>
    <x v="473"/>
    <s v="GRAMOS"/>
    <n v="8.1999999999999993"/>
    <n v="-1290"/>
    <n v="2396"/>
    <n v="3686"/>
    <n v="19647.199999999997"/>
    <n v="30225.199999999997"/>
    <x v="0"/>
  </r>
  <r>
    <x v="2"/>
    <x v="14"/>
    <x v="0"/>
    <s v="ABARROTES"/>
    <x v="1"/>
    <x v="474"/>
    <s v="GRAMOS"/>
    <n v="74.750129999999999"/>
    <n v="1762"/>
    <n v="1632"/>
    <n v="-130"/>
    <n v="121992.21216"/>
    <n v="-9717.5169000000005"/>
    <x v="2"/>
  </r>
  <r>
    <x v="2"/>
    <x v="15"/>
    <x v="1"/>
    <s v="ABARROTES"/>
    <x v="1"/>
    <x v="474"/>
    <s v="GRAMOS"/>
    <n v="74.750129999999999"/>
    <n v="2210"/>
    <n v="750"/>
    <n v="-1460"/>
    <n v="56062.597499999996"/>
    <n v="-109135.18979999999"/>
    <x v="2"/>
  </r>
  <r>
    <x v="2"/>
    <x v="16"/>
    <x v="5"/>
    <s v="ABARROTES"/>
    <x v="1"/>
    <x v="474"/>
    <s v="GRAMOS"/>
    <n v="71.12028986"/>
    <n v="1700"/>
    <n v="1664"/>
    <n v="-36"/>
    <n v="118344.16232704"/>
    <n v="-2560.3304349599998"/>
    <x v="2"/>
  </r>
  <r>
    <x v="2"/>
    <x v="12"/>
    <x v="3"/>
    <s v="GASEOSAS Y SODAS"/>
    <x v="0"/>
    <x v="160"/>
    <s v="UNIDADES"/>
    <n v="4986.0833333299997"/>
    <n v="26.54"/>
    <n v="24"/>
    <n v="-2.54"/>
    <n v="119665.99999991999"/>
    <n v="-12664.651666658199"/>
    <x v="2"/>
  </r>
  <r>
    <x v="2"/>
    <x v="14"/>
    <x v="0"/>
    <s v="GASEOSAS Y SODAS"/>
    <x v="0"/>
    <x v="160"/>
    <s v="UNIDADES"/>
    <n v="5291.7303921700004"/>
    <n v="28.42"/>
    <n v="25"/>
    <n v="-3.42"/>
    <n v="132293.25980425"/>
    <n v="-18097.717941221403"/>
    <x v="2"/>
  </r>
  <r>
    <x v="2"/>
    <x v="13"/>
    <x v="2"/>
    <s v="GASEOSAS Y SODAS"/>
    <x v="0"/>
    <x v="160"/>
    <s v="UNIDADES"/>
    <n v="4986.0833333299997"/>
    <n v="43.94"/>
    <n v="39"/>
    <n v="-4.9400000000000004"/>
    <n v="194457.24999986999"/>
    <n v="-24631.251666650202"/>
    <x v="2"/>
  </r>
  <r>
    <x v="2"/>
    <x v="15"/>
    <x v="1"/>
    <s v="GASEOSAS Y SODAS"/>
    <x v="0"/>
    <x v="160"/>
    <s v="UNIDADES"/>
    <n v="5291.7303921700004"/>
    <n v="16"/>
    <n v="14"/>
    <n v="-2"/>
    <n v="74084.225490380006"/>
    <n v="-10583.460784340001"/>
    <x v="2"/>
  </r>
  <r>
    <x v="2"/>
    <x v="10"/>
    <x v="4"/>
    <s v="GASEOSAS Y SODAS"/>
    <x v="0"/>
    <x v="160"/>
    <s v="UNIDADES"/>
    <n v="4986.0833333299997"/>
    <n v="64.37"/>
    <n v="59"/>
    <n v="-5.37"/>
    <n v="294178.91666647"/>
    <n v="-26775.267499982099"/>
    <x v="2"/>
  </r>
  <r>
    <x v="2"/>
    <x v="12"/>
    <x v="3"/>
    <s v="FRUVER"/>
    <x v="1"/>
    <x v="475"/>
    <s v="GRAMOS"/>
    <n v="24"/>
    <n v="6689.8829999999998"/>
    <n v="820"/>
    <n v="-6619.8830183999999"/>
    <n v="19680"/>
    <n v="-158877.1924416"/>
    <x v="2"/>
  </r>
  <r>
    <x v="2"/>
    <x v="14"/>
    <x v="0"/>
    <s v="FRUVER"/>
    <x v="1"/>
    <x v="475"/>
    <s v="GRAMOS"/>
    <n v="24"/>
    <n v="12250"/>
    <n v="0"/>
    <n v="-12250"/>
    <n v="0"/>
    <n v="-294000"/>
    <x v="2"/>
  </r>
  <r>
    <x v="2"/>
    <x v="13"/>
    <x v="2"/>
    <s v="FRUVER"/>
    <x v="1"/>
    <x v="475"/>
    <s v="GRAMOS"/>
    <n v="24"/>
    <n v="7458.5964999999997"/>
    <n v="962"/>
    <n v="-7496.5964641"/>
    <n v="23088"/>
    <n v="-179918.31513840001"/>
    <x v="2"/>
  </r>
  <r>
    <x v="2"/>
    <x v="15"/>
    <x v="1"/>
    <s v="FRUVER"/>
    <x v="1"/>
    <x v="475"/>
    <s v="GRAMOS"/>
    <n v="24"/>
    <n v="3243.3334"/>
    <n v="0"/>
    <n v="-3243.3334220000002"/>
    <n v="0"/>
    <n v="-77840.002128000007"/>
    <x v="2"/>
  </r>
  <r>
    <x v="2"/>
    <x v="10"/>
    <x v="4"/>
    <s v="FRUVER"/>
    <x v="1"/>
    <x v="475"/>
    <s v="GRAMOS"/>
    <n v="24"/>
    <n v="8987.6607999999997"/>
    <n v="1000"/>
    <n v="-7987.6607952000004"/>
    <n v="24000"/>
    <n v="-191703.8590848"/>
    <x v="2"/>
  </r>
  <r>
    <x v="2"/>
    <x v="12"/>
    <x v="3"/>
    <s v="PESCADOS Y MARISCOS"/>
    <x v="1"/>
    <x v="84"/>
    <s v="UNIDADES"/>
    <n v="25875"/>
    <n v="4"/>
    <n v="4"/>
    <n v="0"/>
    <n v="103500"/>
    <n v="0"/>
    <x v="1"/>
  </r>
  <r>
    <x v="2"/>
    <x v="14"/>
    <x v="0"/>
    <s v="PESCADOS Y MARISCOS"/>
    <x v="1"/>
    <x v="84"/>
    <s v="UNIDADES"/>
    <n v="18999.886554500001"/>
    <n v="4"/>
    <n v="8"/>
    <n v="4"/>
    <n v="151999.09243600001"/>
    <n v="75999.546218000003"/>
    <x v="0"/>
  </r>
  <r>
    <x v="2"/>
    <x v="13"/>
    <x v="2"/>
    <s v="PESCADOS Y MARISCOS"/>
    <x v="1"/>
    <x v="84"/>
    <s v="UNIDADES"/>
    <n v="25875"/>
    <n v="-3"/>
    <n v="6"/>
    <n v="9"/>
    <n v="155250"/>
    <n v="232875"/>
    <x v="0"/>
  </r>
  <r>
    <x v="2"/>
    <x v="16"/>
    <x v="5"/>
    <s v="PESCADOS Y MARISCOS"/>
    <x v="1"/>
    <x v="84"/>
    <s v="UNIDADES"/>
    <n v="25875"/>
    <n v="0"/>
    <n v="0"/>
    <n v="0"/>
    <n v="0"/>
    <n v="0"/>
    <x v="1"/>
  </r>
  <r>
    <x v="2"/>
    <x v="10"/>
    <x v="4"/>
    <s v="PESCADOS Y MARISCOS"/>
    <x v="1"/>
    <x v="84"/>
    <s v="UNIDADES"/>
    <n v="25875"/>
    <n v="7"/>
    <n v="7"/>
    <n v="0"/>
    <n v="181125"/>
    <n v="0"/>
    <x v="1"/>
  </r>
  <r>
    <x v="2"/>
    <x v="12"/>
    <x v="3"/>
    <s v="ABARROTES"/>
    <x v="1"/>
    <x v="476"/>
    <s v="GRAMOS"/>
    <n v="159.88999999999999"/>
    <n v="2000"/>
    <n v="0"/>
    <n v="-2500"/>
    <n v="0"/>
    <n v="-399724.99999999994"/>
    <x v="2"/>
  </r>
  <r>
    <x v="2"/>
    <x v="13"/>
    <x v="2"/>
    <s v="ABARROTES"/>
    <x v="1"/>
    <x v="476"/>
    <s v="GRAMOS"/>
    <n v="159.88999999999999"/>
    <n v="1000"/>
    <n v="500"/>
    <n v="-500"/>
    <n v="79945"/>
    <n v="-79945"/>
    <x v="2"/>
  </r>
  <r>
    <x v="2"/>
    <x v="15"/>
    <x v="1"/>
    <s v="ABARROTES"/>
    <x v="1"/>
    <x v="476"/>
    <s v="GRAMOS"/>
    <n v="159.88999999999999"/>
    <n v="666"/>
    <n v="0"/>
    <n v="-665.99999500000001"/>
    <n v="0"/>
    <n v="-106486.73920054999"/>
    <x v="2"/>
  </r>
  <r>
    <x v="2"/>
    <x v="16"/>
    <x v="5"/>
    <s v="ABARROTES"/>
    <x v="1"/>
    <x v="476"/>
    <s v="GRAMOS"/>
    <n v="159.88999999999999"/>
    <n v="310"/>
    <n v="206"/>
    <n v="-104"/>
    <n v="32937.339999999997"/>
    <n v="-16628.559999999998"/>
    <x v="2"/>
  </r>
  <r>
    <x v="2"/>
    <x v="10"/>
    <x v="4"/>
    <s v="ABARROTES"/>
    <x v="1"/>
    <x v="476"/>
    <s v="GRAMOS"/>
    <n v="159.88999999999999"/>
    <n v="500"/>
    <n v="0"/>
    <n v="-500"/>
    <n v="0"/>
    <n v="-79945"/>
    <x v="2"/>
  </r>
  <r>
    <x v="2"/>
    <x v="14"/>
    <x v="0"/>
    <s v="GASEOSAS Y SODAS"/>
    <x v="0"/>
    <x v="11"/>
    <s v="UNIDADES"/>
    <n v="3750"/>
    <n v="5.9"/>
    <n v="5"/>
    <n v="-0.9"/>
    <n v="18750"/>
    <n v="-3375"/>
    <x v="2"/>
  </r>
  <r>
    <x v="2"/>
    <x v="12"/>
    <x v="3"/>
    <s v="ABARROTES"/>
    <x v="1"/>
    <x v="477"/>
    <s v="GRAMOS"/>
    <n v="10.735200000000001"/>
    <n v="0"/>
    <n v="0"/>
    <n v="0"/>
    <n v="0"/>
    <n v="0"/>
    <x v="1"/>
  </r>
  <r>
    <x v="2"/>
    <x v="13"/>
    <x v="2"/>
    <s v="ABARROTES"/>
    <x v="1"/>
    <x v="477"/>
    <s v="GRAMOS"/>
    <n v="10.735200000000001"/>
    <n v="0"/>
    <n v="0"/>
    <n v="0"/>
    <n v="0"/>
    <n v="0"/>
    <x v="1"/>
  </r>
  <r>
    <x v="2"/>
    <x v="15"/>
    <x v="1"/>
    <s v="ABARROTES"/>
    <x v="1"/>
    <x v="477"/>
    <s v="GRAMOS"/>
    <n v="10.735200000000001"/>
    <n v="18500"/>
    <n v="10000"/>
    <n v="-8500"/>
    <n v="107352.00000000001"/>
    <n v="-91249.200000000012"/>
    <x v="2"/>
  </r>
  <r>
    <x v="2"/>
    <x v="10"/>
    <x v="4"/>
    <s v="ABARROTES"/>
    <x v="1"/>
    <x v="477"/>
    <s v="GRAMOS"/>
    <n v="10.735200000000001"/>
    <n v="0"/>
    <n v="0"/>
    <n v="0"/>
    <n v="0"/>
    <n v="0"/>
    <x v="1"/>
  </r>
  <r>
    <x v="2"/>
    <x v="14"/>
    <x v="0"/>
    <s v="ABARROTES"/>
    <x v="1"/>
    <x v="478"/>
    <s v="GRAMOS"/>
    <n v="350.00099999999998"/>
    <n v="39"/>
    <n v="95"/>
    <n v="56"/>
    <n v="33250.095000000001"/>
    <n v="19600.055999999997"/>
    <x v="0"/>
  </r>
  <r>
    <x v="2"/>
    <x v="15"/>
    <x v="1"/>
    <s v="ABARROTES"/>
    <x v="1"/>
    <x v="478"/>
    <s v="GRAMOS"/>
    <n v="350.00099999999998"/>
    <n v="120"/>
    <n v="0"/>
    <n v="-120"/>
    <n v="0"/>
    <n v="-42000.119999999995"/>
    <x v="2"/>
  </r>
  <r>
    <x v="2"/>
    <x v="14"/>
    <x v="0"/>
    <s v="SALSAS ESPECIAS Y CONDIMENTOS"/>
    <x v="1"/>
    <x v="479"/>
    <s v="GRAMOS"/>
    <n v="350.0009804"/>
    <n v="58"/>
    <n v="60"/>
    <n v="2"/>
    <n v="21000.058824"/>
    <n v="700.00196080000001"/>
    <x v="0"/>
  </r>
  <r>
    <x v="2"/>
    <x v="12"/>
    <x v="3"/>
    <s v="PANADERIA Y PASTELERIA "/>
    <x v="1"/>
    <x v="480"/>
    <s v="UNIDADES"/>
    <n v="2500"/>
    <n v="0"/>
    <n v="0"/>
    <n v="0"/>
    <n v="0"/>
    <n v="0"/>
    <x v="1"/>
  </r>
  <r>
    <x v="2"/>
    <x v="14"/>
    <x v="0"/>
    <s v="PANADERIA Y PASTELERIA "/>
    <x v="1"/>
    <x v="480"/>
    <s v="UNIDADES"/>
    <n v="2730"/>
    <n v="13.22"/>
    <n v="40"/>
    <n v="26.78"/>
    <n v="109200"/>
    <n v="73109.400000000009"/>
    <x v="0"/>
  </r>
  <r>
    <x v="2"/>
    <x v="13"/>
    <x v="2"/>
    <s v="PANADERIA Y PASTELERIA "/>
    <x v="1"/>
    <x v="480"/>
    <s v="UNIDADES"/>
    <n v="2500"/>
    <n v="0"/>
    <n v="0"/>
    <n v="0"/>
    <n v="0"/>
    <n v="0"/>
    <x v="1"/>
  </r>
  <r>
    <x v="2"/>
    <x v="15"/>
    <x v="1"/>
    <s v="PANADERIA Y PASTELERIA "/>
    <x v="1"/>
    <x v="480"/>
    <s v="UNIDADES"/>
    <n v="2730"/>
    <n v="-44"/>
    <n v="0"/>
    <n v="44"/>
    <n v="0"/>
    <n v="120120"/>
    <x v="0"/>
  </r>
  <r>
    <x v="2"/>
    <x v="10"/>
    <x v="4"/>
    <s v="PANADERIA Y PASTELERIA "/>
    <x v="1"/>
    <x v="480"/>
    <s v="UNIDADES"/>
    <n v="2500"/>
    <n v="0"/>
    <n v="0"/>
    <n v="0"/>
    <n v="0"/>
    <n v="0"/>
    <x v="1"/>
  </r>
  <r>
    <x v="2"/>
    <x v="12"/>
    <x v="3"/>
    <s v="SALSAS ESPECIAS Y CONDIMENTOS"/>
    <x v="1"/>
    <x v="481"/>
    <s v="GRAMOS"/>
    <n v="68.37"/>
    <n v="826"/>
    <n v="790"/>
    <n v="-536"/>
    <n v="54012.3"/>
    <n v="-36646.32"/>
    <x v="2"/>
  </r>
  <r>
    <x v="2"/>
    <x v="14"/>
    <x v="0"/>
    <s v="SALSAS ESPECIAS Y CONDIMENTOS"/>
    <x v="1"/>
    <x v="481"/>
    <s v="GRAMOS"/>
    <n v="60.010800000000003"/>
    <n v="973.60850000000005"/>
    <n v="130"/>
    <n v="-843.60853799999995"/>
    <n v="7801.4040000000005"/>
    <n v="-50625.623252210396"/>
    <x v="2"/>
  </r>
  <r>
    <x v="2"/>
    <x v="13"/>
    <x v="2"/>
    <s v="SALSAS ESPECIAS Y CONDIMENTOS"/>
    <x v="1"/>
    <x v="481"/>
    <s v="GRAMOS"/>
    <n v="68.37"/>
    <n v="2597"/>
    <n v="0"/>
    <n v="-2597"/>
    <n v="0"/>
    <n v="-177556.89"/>
    <x v="2"/>
  </r>
  <r>
    <x v="2"/>
    <x v="15"/>
    <x v="1"/>
    <s v="SALSAS ESPECIAS Y CONDIMENTOS"/>
    <x v="1"/>
    <x v="481"/>
    <s v="GRAMOS"/>
    <n v="60.010800000000003"/>
    <n v="77.012100000000004"/>
    <n v="300"/>
    <n v="222.98791"/>
    <n v="18003.240000000002"/>
    <n v="13381.682869428001"/>
    <x v="0"/>
  </r>
  <r>
    <x v="2"/>
    <x v="16"/>
    <x v="5"/>
    <s v="SALSAS ESPECIAS Y CONDIMENTOS"/>
    <x v="1"/>
    <x v="481"/>
    <s v="GRAMOS"/>
    <n v="68.37"/>
    <n v="440"/>
    <n v="396"/>
    <n v="-44"/>
    <n v="27074.52"/>
    <n v="-3008.28"/>
    <x v="2"/>
  </r>
  <r>
    <x v="2"/>
    <x v="10"/>
    <x v="4"/>
    <s v="SALSAS ESPECIAS Y CONDIMENTOS"/>
    <x v="1"/>
    <x v="481"/>
    <s v="GRAMOS"/>
    <n v="68.37"/>
    <n v="2.1831999999999998"/>
    <n v="1070"/>
    <n v="1067.816752"/>
    <n v="73155.900000000009"/>
    <n v="73006.631334239995"/>
    <x v="0"/>
  </r>
  <r>
    <x v="2"/>
    <x v="12"/>
    <x v="3"/>
    <s v="MATERIAL DE EMPAQUE"/>
    <x v="2"/>
    <x v="482"/>
    <s v="UNIDADES"/>
    <n v="1388.73"/>
    <n v="0"/>
    <n v="0"/>
    <n v="0"/>
    <n v="0"/>
    <n v="0"/>
    <x v="1"/>
  </r>
  <r>
    <x v="2"/>
    <x v="13"/>
    <x v="2"/>
    <s v="MATERIAL DE EMPAQUE"/>
    <x v="2"/>
    <x v="482"/>
    <s v="UNIDADES"/>
    <n v="1388.73"/>
    <n v="1"/>
    <n v="3"/>
    <n v="2"/>
    <n v="4166.1900000000005"/>
    <n v="2777.46"/>
    <x v="0"/>
  </r>
  <r>
    <x v="2"/>
    <x v="15"/>
    <x v="1"/>
    <s v="MATERIAL DE EMPAQUE"/>
    <x v="2"/>
    <x v="482"/>
    <s v="UNIDADES"/>
    <n v="1388.73"/>
    <n v="1195"/>
    <n v="0"/>
    <n v="-1195"/>
    <n v="0"/>
    <n v="-1659532.35"/>
    <x v="2"/>
  </r>
  <r>
    <x v="2"/>
    <x v="10"/>
    <x v="4"/>
    <s v="MATERIAL DE EMPAQUE"/>
    <x v="2"/>
    <x v="482"/>
    <s v="UNIDADES"/>
    <n v="1388.73"/>
    <n v="0"/>
    <n v="0"/>
    <n v="0"/>
    <n v="0"/>
    <n v="0"/>
    <x v="1"/>
  </r>
  <r>
    <x v="2"/>
    <x v="15"/>
    <x v="1"/>
    <s v="MATERIAL DE EMPAQUE"/>
    <x v="2"/>
    <x v="483"/>
    <s v="UNIDADES"/>
    <n v="1388.73"/>
    <n v="450"/>
    <n v="0"/>
    <n v="-450"/>
    <n v="0"/>
    <n v="-624928.5"/>
    <x v="2"/>
  </r>
  <r>
    <x v="2"/>
    <x v="15"/>
    <x v="1"/>
    <s v="PROTEINAS"/>
    <x v="1"/>
    <x v="484"/>
    <s v="GRAMOS"/>
    <n v="21"/>
    <n v="2160"/>
    <n v="4420"/>
    <n v="2260"/>
    <n v="92820"/>
    <n v="47460"/>
    <x v="0"/>
  </r>
  <r>
    <x v="2"/>
    <x v="15"/>
    <x v="1"/>
    <s v="PROTEINAS"/>
    <x v="1"/>
    <x v="200"/>
    <s v="UNIDADES"/>
    <n v="21"/>
    <n v="0"/>
    <n v="0"/>
    <n v="0"/>
    <n v="0"/>
    <n v="0"/>
    <x v="1"/>
  </r>
  <r>
    <x v="2"/>
    <x v="14"/>
    <x v="0"/>
    <s v="FRUVER"/>
    <x v="1"/>
    <x v="485"/>
    <s v="GRAMOS"/>
    <n v="10"/>
    <n v="2675"/>
    <n v="0"/>
    <n v="-2675"/>
    <n v="0"/>
    <n v="-26750"/>
    <x v="2"/>
  </r>
  <r>
    <x v="2"/>
    <x v="15"/>
    <x v="1"/>
    <s v="FRUVER"/>
    <x v="1"/>
    <x v="485"/>
    <s v="GRAMOS"/>
    <n v="10"/>
    <n v="0"/>
    <n v="0"/>
    <n v="0"/>
    <n v="0"/>
    <n v="0"/>
    <x v="1"/>
  </r>
  <r>
    <x v="2"/>
    <x v="14"/>
    <x v="0"/>
    <s v="PROTEINAS"/>
    <x v="1"/>
    <x v="85"/>
    <s v="UNIDADES"/>
    <n v="12850"/>
    <n v="-3"/>
    <n v="0"/>
    <n v="3"/>
    <n v="0"/>
    <n v="38550"/>
    <x v="0"/>
  </r>
  <r>
    <x v="2"/>
    <x v="15"/>
    <x v="1"/>
    <s v="PROTEINAS"/>
    <x v="1"/>
    <x v="85"/>
    <s v="UNIDADES"/>
    <n v="12850"/>
    <n v="0"/>
    <n v="0"/>
    <n v="0"/>
    <n v="0"/>
    <n v="0"/>
    <x v="1"/>
  </r>
  <r>
    <x v="2"/>
    <x v="12"/>
    <x v="3"/>
    <s v="PROTEINAS"/>
    <x v="1"/>
    <x v="176"/>
    <s v="GRAMOS"/>
    <n v="26.941605840000001"/>
    <n v="0"/>
    <n v="0"/>
    <n v="0"/>
    <n v="0"/>
    <n v="0"/>
    <x v="1"/>
  </r>
  <r>
    <x v="2"/>
    <x v="13"/>
    <x v="2"/>
    <s v="PROTEINAS"/>
    <x v="1"/>
    <x v="176"/>
    <s v="GRAMOS"/>
    <n v="26.941605840000001"/>
    <n v="0"/>
    <n v="0"/>
    <n v="0"/>
    <n v="0"/>
    <n v="0"/>
    <x v="1"/>
  </r>
  <r>
    <x v="2"/>
    <x v="15"/>
    <x v="1"/>
    <s v="PROTEINAS"/>
    <x v="1"/>
    <x v="176"/>
    <s v="GRAMOS"/>
    <n v="28"/>
    <n v="8280"/>
    <n v="8230"/>
    <n v="-50"/>
    <n v="230440"/>
    <n v="-1400"/>
    <x v="2"/>
  </r>
  <r>
    <x v="2"/>
    <x v="10"/>
    <x v="4"/>
    <s v="PROTEINAS"/>
    <x v="1"/>
    <x v="176"/>
    <s v="GRAMOS"/>
    <n v="26.941605840000001"/>
    <n v="0"/>
    <n v="0"/>
    <n v="0"/>
    <n v="0"/>
    <n v="0"/>
    <x v="1"/>
  </r>
  <r>
    <x v="2"/>
    <x v="12"/>
    <x v="3"/>
    <s v="ABARROTES"/>
    <x v="1"/>
    <x v="486"/>
    <s v="GRAMOS"/>
    <n v="83.553333330000001"/>
    <n v="750"/>
    <n v="0"/>
    <n v="-750"/>
    <n v="0"/>
    <n v="-62664.999997500003"/>
    <x v="2"/>
  </r>
  <r>
    <x v="2"/>
    <x v="14"/>
    <x v="0"/>
    <s v="ABARROTES"/>
    <x v="1"/>
    <x v="486"/>
    <s v="GRAMOS"/>
    <n v="64.0505"/>
    <n v="1000"/>
    <n v="1000"/>
    <n v="0"/>
    <n v="64050.5"/>
    <n v="0"/>
    <x v="1"/>
  </r>
  <r>
    <x v="2"/>
    <x v="13"/>
    <x v="2"/>
    <s v="ABARROTES"/>
    <x v="1"/>
    <x v="486"/>
    <s v="GRAMOS"/>
    <n v="83.553333330000001"/>
    <n v="830"/>
    <n v="0"/>
    <n v="-830"/>
    <n v="0"/>
    <n v="-69349.266663899994"/>
    <x v="2"/>
  </r>
  <r>
    <x v="2"/>
    <x v="16"/>
    <x v="5"/>
    <s v="ABARROTES"/>
    <x v="1"/>
    <x v="486"/>
    <s v="GRAMOS"/>
    <n v="83.553333330000001"/>
    <n v="2250"/>
    <n v="2624"/>
    <n v="374"/>
    <n v="219243.94665791999"/>
    <n v="31248.94666542"/>
    <x v="0"/>
  </r>
  <r>
    <x v="2"/>
    <x v="10"/>
    <x v="4"/>
    <s v="ABARROTES"/>
    <x v="1"/>
    <x v="486"/>
    <s v="GRAMOS"/>
    <n v="83.553333330000001"/>
    <n v="2595"/>
    <n v="720"/>
    <n v="-1875"/>
    <n v="60158.399997599998"/>
    <n v="-156662.49999375001"/>
    <x v="2"/>
  </r>
  <r>
    <x v="2"/>
    <x v="12"/>
    <x v="3"/>
    <s v="LACTEOS"/>
    <x v="1"/>
    <x v="487"/>
    <s v="GRAMOS"/>
    <n v="21.274999999999999"/>
    <n v="0"/>
    <n v="0"/>
    <n v="0"/>
    <n v="0"/>
    <n v="0"/>
    <x v="1"/>
  </r>
  <r>
    <x v="2"/>
    <x v="13"/>
    <x v="2"/>
    <s v="LACTEOS"/>
    <x v="1"/>
    <x v="487"/>
    <s v="GRAMOS"/>
    <n v="21.274999999999999"/>
    <n v="0"/>
    <n v="0"/>
    <n v="0"/>
    <n v="0"/>
    <n v="0"/>
    <x v="1"/>
  </r>
  <r>
    <x v="2"/>
    <x v="15"/>
    <x v="1"/>
    <s v="LACTEOS"/>
    <x v="1"/>
    <x v="487"/>
    <s v="GRAMOS"/>
    <n v="16"/>
    <n v="-4520"/>
    <n v="1400"/>
    <n v="5920"/>
    <n v="22400"/>
    <n v="94720"/>
    <x v="0"/>
  </r>
  <r>
    <x v="2"/>
    <x v="10"/>
    <x v="4"/>
    <s v="LACTEOS"/>
    <x v="1"/>
    <x v="487"/>
    <s v="GRAMOS"/>
    <n v="21.274999999999999"/>
    <n v="0"/>
    <n v="0"/>
    <n v="0"/>
    <n v="0"/>
    <n v="0"/>
    <x v="1"/>
  </r>
  <r>
    <x v="2"/>
    <x v="12"/>
    <x v="3"/>
    <s v="ABARROTES"/>
    <x v="1"/>
    <x v="488"/>
    <s v="GRAMOS"/>
    <n v="42.05"/>
    <n v="0"/>
    <n v="0"/>
    <n v="0"/>
    <n v="0"/>
    <n v="0"/>
    <x v="1"/>
  </r>
  <r>
    <x v="2"/>
    <x v="14"/>
    <x v="0"/>
    <s v="ABARROTES"/>
    <x v="1"/>
    <x v="488"/>
    <s v="GRAMOS"/>
    <n v="39.071874999999999"/>
    <n v="16100"/>
    <n v="6940"/>
    <n v="-9160"/>
    <n v="271158.8125"/>
    <n v="-357898.375"/>
    <x v="2"/>
  </r>
  <r>
    <x v="2"/>
    <x v="13"/>
    <x v="2"/>
    <s v="ABARROTES"/>
    <x v="1"/>
    <x v="488"/>
    <s v="GRAMOS"/>
    <n v="42.05"/>
    <n v="0"/>
    <n v="0"/>
    <n v="0"/>
    <n v="0"/>
    <n v="0"/>
    <x v="1"/>
  </r>
  <r>
    <x v="2"/>
    <x v="15"/>
    <x v="1"/>
    <s v="ABARROTES"/>
    <x v="1"/>
    <x v="488"/>
    <s v="GRAMOS"/>
    <n v="39.071874999999999"/>
    <n v="-330"/>
    <n v="0"/>
    <n v="330"/>
    <n v="0"/>
    <n v="12893.71875"/>
    <x v="0"/>
  </r>
  <r>
    <x v="2"/>
    <x v="10"/>
    <x v="4"/>
    <s v="ABARROTES"/>
    <x v="1"/>
    <x v="488"/>
    <s v="GRAMOS"/>
    <n v="42.05"/>
    <n v="0"/>
    <n v="0"/>
    <n v="0"/>
    <n v="0"/>
    <n v="0"/>
    <x v="1"/>
  </r>
  <r>
    <x v="2"/>
    <x v="12"/>
    <x v="3"/>
    <s v="LACTEOS"/>
    <x v="1"/>
    <x v="489"/>
    <s v="GRAMOS"/>
    <n v="17.858762890000001"/>
    <n v="-11670"/>
    <n v="11600"/>
    <n v="13570"/>
    <n v="207161.64952400001"/>
    <n v="242343.41241730002"/>
    <x v="0"/>
  </r>
  <r>
    <x v="2"/>
    <x v="14"/>
    <x v="0"/>
    <s v="LACTEOS"/>
    <x v="1"/>
    <x v="489"/>
    <s v="GRAMOS"/>
    <n v="17.858762890000001"/>
    <n v="169902"/>
    <n v="33000"/>
    <n v="-136902"/>
    <n v="589339.17537000007"/>
    <n v="-2444900.3571667802"/>
    <x v="2"/>
  </r>
  <r>
    <x v="2"/>
    <x v="13"/>
    <x v="2"/>
    <s v="LACTEOS"/>
    <x v="1"/>
    <x v="489"/>
    <s v="GRAMOS"/>
    <n v="17.858762890000001"/>
    <n v="2500"/>
    <n v="13800"/>
    <n v="-8100"/>
    <n v="246450.92788200002"/>
    <n v="-144655.97940900002"/>
    <x v="2"/>
  </r>
  <r>
    <x v="2"/>
    <x v="15"/>
    <x v="1"/>
    <s v="LACTEOS"/>
    <x v="1"/>
    <x v="489"/>
    <s v="GRAMOS"/>
    <n v="17.858762890000001"/>
    <n v="9026.7052999999996"/>
    <n v="4700"/>
    <n v="-4326.7052750000003"/>
    <n v="83936.185583000013"/>
    <n v="-77269.603601137249"/>
    <x v="2"/>
  </r>
  <r>
    <x v="2"/>
    <x v="16"/>
    <x v="5"/>
    <s v="LACTEOS"/>
    <x v="1"/>
    <x v="489"/>
    <s v="GRAMOS"/>
    <n v="17.858762890000001"/>
    <n v="2218"/>
    <n v="2200"/>
    <n v="-18"/>
    <n v="39289.278358000003"/>
    <n v="-321.45773202000004"/>
    <x v="2"/>
  </r>
  <r>
    <x v="2"/>
    <x v="10"/>
    <x v="4"/>
    <s v="LACTEOS"/>
    <x v="1"/>
    <x v="489"/>
    <s v="GRAMOS"/>
    <n v="17.858762890000001"/>
    <n v="16230"/>
    <n v="19500"/>
    <n v="3270"/>
    <n v="348245.87635500001"/>
    <n v="58398.154650300006"/>
    <x v="0"/>
  </r>
  <r>
    <x v="2"/>
    <x v="14"/>
    <x v="0"/>
    <s v="LICORES"/>
    <x v="0"/>
    <x v="165"/>
    <s v="ONZA"/>
    <n v="384.58620689999998"/>
    <n v="167"/>
    <n v="72"/>
    <n v="-95"/>
    <n v="27690.206896799999"/>
    <n v="-36535.689655499998"/>
    <x v="2"/>
  </r>
  <r>
    <x v="2"/>
    <x v="15"/>
    <x v="1"/>
    <s v="LICORES"/>
    <x v="0"/>
    <x v="165"/>
    <s v="ONZA"/>
    <n v="384.58620689999998"/>
    <n v="0"/>
    <n v="0"/>
    <n v="0"/>
    <n v="0"/>
    <n v="0"/>
    <x v="1"/>
  </r>
  <r>
    <x v="2"/>
    <x v="14"/>
    <x v="0"/>
    <s v="VINOS"/>
    <x v="0"/>
    <x v="88"/>
    <s v="UNIDADES"/>
    <n v="155000"/>
    <n v="1"/>
    <n v="1"/>
    <n v="0"/>
    <n v="155000"/>
    <n v="0"/>
    <x v="1"/>
  </r>
  <r>
    <x v="2"/>
    <x v="14"/>
    <x v="0"/>
    <s v="PANADERIA Y PASTELERIA "/>
    <x v="1"/>
    <x v="490"/>
    <s v="GRAMOS"/>
    <n v="33.159999999999997"/>
    <n v="1000"/>
    <n v="1000"/>
    <n v="0"/>
    <n v="33160"/>
    <n v="0"/>
    <x v="1"/>
  </r>
  <r>
    <x v="2"/>
    <x v="15"/>
    <x v="1"/>
    <s v="PANADERIA Y PASTELERIA "/>
    <x v="1"/>
    <x v="490"/>
    <s v="GRAMOS"/>
    <n v="33.159999999999997"/>
    <n v="2089"/>
    <n v="590"/>
    <n v="-1499"/>
    <n v="19564.399999999998"/>
    <n v="-49706.84"/>
    <x v="2"/>
  </r>
  <r>
    <x v="2"/>
    <x v="12"/>
    <x v="3"/>
    <s v="LACTEOS"/>
    <x v="1"/>
    <x v="491"/>
    <s v="GRAMOS"/>
    <n v="28.84"/>
    <n v="-1000"/>
    <n v="448"/>
    <n v="1448"/>
    <n v="12920.32"/>
    <n v="41760.32"/>
    <x v="0"/>
  </r>
  <r>
    <x v="2"/>
    <x v="14"/>
    <x v="0"/>
    <s v="LACTEOS"/>
    <x v="1"/>
    <x v="491"/>
    <s v="GRAMOS"/>
    <n v="22.08"/>
    <n v="1000"/>
    <n v="500"/>
    <n v="-500"/>
    <n v="11040"/>
    <n v="-11040"/>
    <x v="2"/>
  </r>
  <r>
    <x v="2"/>
    <x v="13"/>
    <x v="2"/>
    <s v="LACTEOS"/>
    <x v="1"/>
    <x v="491"/>
    <s v="GRAMOS"/>
    <n v="28.84"/>
    <n v="-500"/>
    <n v="0"/>
    <n v="500"/>
    <n v="0"/>
    <n v="14420"/>
    <x v="0"/>
  </r>
  <r>
    <x v="2"/>
    <x v="15"/>
    <x v="1"/>
    <s v="LACTEOS"/>
    <x v="1"/>
    <x v="491"/>
    <s v="GRAMOS"/>
    <n v="22.08"/>
    <n v="0"/>
    <n v="0"/>
    <n v="0"/>
    <n v="0"/>
    <n v="0"/>
    <x v="1"/>
  </r>
  <r>
    <x v="2"/>
    <x v="10"/>
    <x v="4"/>
    <s v="LACTEOS"/>
    <x v="1"/>
    <x v="491"/>
    <s v="GRAMOS"/>
    <n v="28.84"/>
    <n v="400"/>
    <n v="0"/>
    <n v="-400"/>
    <n v="0"/>
    <n v="-11536"/>
    <x v="2"/>
  </r>
  <r>
    <x v="2"/>
    <x v="12"/>
    <x v="3"/>
    <s v="MATERIAL DE EMPAQUE"/>
    <x v="2"/>
    <x v="492"/>
    <s v="UNIDADES"/>
    <n v="179.65"/>
    <n v="0"/>
    <n v="100"/>
    <n v="100"/>
    <n v="17965"/>
    <n v="17965"/>
    <x v="0"/>
  </r>
  <r>
    <x v="2"/>
    <x v="13"/>
    <x v="2"/>
    <s v="MATERIAL DE EMPAQUE"/>
    <x v="2"/>
    <x v="492"/>
    <s v="UNIDADES"/>
    <n v="179.65"/>
    <n v="400"/>
    <n v="200"/>
    <n v="-200"/>
    <n v="35930"/>
    <n v="-35930"/>
    <x v="2"/>
  </r>
  <r>
    <x v="2"/>
    <x v="10"/>
    <x v="4"/>
    <s v="MATERIAL DE EMPAQUE"/>
    <x v="2"/>
    <x v="492"/>
    <s v="UNIDADES"/>
    <n v="179.65"/>
    <n v="0"/>
    <n v="100"/>
    <n v="100"/>
    <n v="17965"/>
    <n v="17965"/>
    <x v="0"/>
  </r>
  <r>
    <x v="2"/>
    <x v="12"/>
    <x v="3"/>
    <s v="MATERIAL DE EMPAQUE"/>
    <x v="2"/>
    <x v="493"/>
    <s v="UNIDADES"/>
    <n v="179.65"/>
    <n v="100"/>
    <n v="50"/>
    <n v="-50"/>
    <n v="8982.5"/>
    <n v="-8982.5"/>
    <x v="2"/>
  </r>
  <r>
    <x v="2"/>
    <x v="14"/>
    <x v="0"/>
    <s v="MATERIAL DE EMPAQUE"/>
    <x v="2"/>
    <x v="493"/>
    <s v="UNIDADES"/>
    <n v="179.65"/>
    <n v="30"/>
    <n v="100"/>
    <n v="70"/>
    <n v="17965"/>
    <n v="12575.5"/>
    <x v="0"/>
  </r>
  <r>
    <x v="2"/>
    <x v="13"/>
    <x v="2"/>
    <s v="MATERIAL DE EMPAQUE"/>
    <x v="2"/>
    <x v="493"/>
    <s v="UNIDADES"/>
    <n v="179.65"/>
    <n v="500"/>
    <n v="200"/>
    <n v="-300"/>
    <n v="35930"/>
    <n v="-53895"/>
    <x v="2"/>
  </r>
  <r>
    <x v="2"/>
    <x v="15"/>
    <x v="1"/>
    <s v="MATERIAL DE EMPAQUE"/>
    <x v="2"/>
    <x v="493"/>
    <s v="UNIDADES"/>
    <n v="179.65"/>
    <n v="300"/>
    <n v="0"/>
    <n v="-300"/>
    <n v="0"/>
    <n v="-53895"/>
    <x v="2"/>
  </r>
  <r>
    <x v="2"/>
    <x v="10"/>
    <x v="4"/>
    <s v="MATERIAL DE EMPAQUE"/>
    <x v="2"/>
    <x v="493"/>
    <s v="UNIDADES"/>
    <n v="179.65"/>
    <n v="0"/>
    <n v="0"/>
    <n v="0"/>
    <n v="0"/>
    <n v="0"/>
    <x v="1"/>
  </r>
  <r>
    <x v="2"/>
    <x v="15"/>
    <x v="1"/>
    <s v="ABARROTES"/>
    <x v="1"/>
    <x v="494"/>
    <s v="GRAMOS"/>
    <n v="18"/>
    <n v="0"/>
    <n v="0"/>
    <n v="0"/>
    <n v="0"/>
    <n v="0"/>
    <x v="1"/>
  </r>
  <r>
    <x v="2"/>
    <x v="12"/>
    <x v="3"/>
    <s v="ABARROTES"/>
    <x v="1"/>
    <x v="495"/>
    <s v="UNIDADES"/>
    <n v="4.7356828193832596"/>
    <n v="0"/>
    <n v="0"/>
    <n v="0"/>
    <n v="0"/>
    <n v="0"/>
    <x v="1"/>
  </r>
  <r>
    <x v="2"/>
    <x v="14"/>
    <x v="0"/>
    <s v="ABARROTES"/>
    <x v="1"/>
    <x v="495"/>
    <s v="UNIDADES"/>
    <n v="4.7356828193832596"/>
    <n v="25"/>
    <n v="0"/>
    <n v="-25"/>
    <n v="0"/>
    <n v="-118.3920704845815"/>
    <x v="2"/>
  </r>
  <r>
    <x v="2"/>
    <x v="13"/>
    <x v="2"/>
    <s v="ABARROTES"/>
    <x v="1"/>
    <x v="495"/>
    <s v="UNIDADES"/>
    <n v="4.7356828193832596"/>
    <n v="0"/>
    <n v="0"/>
    <n v="0"/>
    <n v="0"/>
    <n v="0"/>
    <x v="1"/>
  </r>
  <r>
    <x v="2"/>
    <x v="15"/>
    <x v="1"/>
    <s v="ABARROTES"/>
    <x v="1"/>
    <x v="495"/>
    <s v="UNIDADES"/>
    <n v="4.7356828193832596"/>
    <n v="146"/>
    <n v="0"/>
    <n v="-146"/>
    <n v="0"/>
    <n v="-691.40969162995589"/>
    <x v="2"/>
  </r>
  <r>
    <x v="2"/>
    <x v="10"/>
    <x v="4"/>
    <s v="ABARROTES"/>
    <x v="1"/>
    <x v="495"/>
    <s v="UNIDADES"/>
    <n v="4.7356828193832596"/>
    <n v="0"/>
    <n v="0"/>
    <n v="0"/>
    <n v="0"/>
    <n v="0"/>
    <x v="1"/>
  </r>
  <r>
    <x v="2"/>
    <x v="12"/>
    <x v="3"/>
    <s v="FRUVER"/>
    <x v="1"/>
    <x v="496"/>
    <s v="GRAMOS"/>
    <n v="5.8"/>
    <n v="0"/>
    <n v="0"/>
    <n v="0"/>
    <n v="0"/>
    <n v="0"/>
    <x v="1"/>
  </r>
  <r>
    <x v="2"/>
    <x v="14"/>
    <x v="0"/>
    <s v="FRUVER"/>
    <x v="1"/>
    <x v="496"/>
    <s v="GRAMOS"/>
    <n v="5.8"/>
    <n v="26400"/>
    <n v="0"/>
    <n v="-26400"/>
    <n v="0"/>
    <n v="-153120"/>
    <x v="2"/>
  </r>
  <r>
    <x v="2"/>
    <x v="13"/>
    <x v="2"/>
    <s v="FRUVER"/>
    <x v="1"/>
    <x v="496"/>
    <s v="GRAMOS"/>
    <n v="5.8"/>
    <n v="16400"/>
    <n v="0"/>
    <n v="-16400"/>
    <n v="0"/>
    <n v="-95120"/>
    <x v="2"/>
  </r>
  <r>
    <x v="2"/>
    <x v="15"/>
    <x v="1"/>
    <s v="FRUVER"/>
    <x v="1"/>
    <x v="496"/>
    <s v="GRAMOS"/>
    <n v="5.8"/>
    <n v="10600"/>
    <n v="0"/>
    <n v="-10600"/>
    <n v="0"/>
    <n v="-61480"/>
    <x v="2"/>
  </r>
  <r>
    <x v="2"/>
    <x v="10"/>
    <x v="4"/>
    <s v="FRUVER"/>
    <x v="1"/>
    <x v="496"/>
    <s v="GRAMOS"/>
    <n v="5.8"/>
    <n v="450"/>
    <n v="0"/>
    <n v="-450"/>
    <n v="0"/>
    <n v="-2610"/>
    <x v="2"/>
  </r>
  <r>
    <x v="2"/>
    <x v="12"/>
    <x v="3"/>
    <s v="MATERIAL DE ASEO"/>
    <x v="3"/>
    <x v="497"/>
    <s v="UNIDADES"/>
    <n v="648.20000000000005"/>
    <n v="0"/>
    <n v="0"/>
    <n v="0"/>
    <n v="0"/>
    <n v="0"/>
    <x v="1"/>
  </r>
  <r>
    <x v="2"/>
    <x v="13"/>
    <x v="2"/>
    <s v="MATERIAL DE ASEO"/>
    <x v="3"/>
    <x v="497"/>
    <s v="UNIDADES"/>
    <n v="648.20000000000005"/>
    <n v="0"/>
    <n v="1"/>
    <n v="1"/>
    <n v="648.20000000000005"/>
    <n v="648.20000000000005"/>
    <x v="0"/>
  </r>
  <r>
    <x v="2"/>
    <x v="15"/>
    <x v="1"/>
    <s v="MATERIAL DE ASEO"/>
    <x v="3"/>
    <x v="497"/>
    <s v="UNIDADES"/>
    <n v="648.20000000000005"/>
    <n v="0"/>
    <n v="30"/>
    <n v="30"/>
    <n v="19446"/>
    <n v="19446"/>
    <x v="0"/>
  </r>
  <r>
    <x v="2"/>
    <x v="10"/>
    <x v="4"/>
    <s v="MATERIAL DE ASEO"/>
    <x v="3"/>
    <x v="497"/>
    <s v="UNIDADES"/>
    <n v="648.20000000000005"/>
    <n v="0"/>
    <n v="0"/>
    <n v="0"/>
    <n v="0"/>
    <n v="0"/>
    <x v="1"/>
  </r>
  <r>
    <x v="2"/>
    <x v="12"/>
    <x v="3"/>
    <s v="MATERIAL DE ASEO"/>
    <x v="3"/>
    <x v="498"/>
    <s v="UNIDADES"/>
    <n v="895.4"/>
    <n v="80"/>
    <n v="0"/>
    <n v="-80"/>
    <n v="0"/>
    <n v="-71632"/>
    <x v="2"/>
  </r>
  <r>
    <x v="2"/>
    <x v="14"/>
    <x v="0"/>
    <s v="MATERIAL DE ASEO"/>
    <x v="3"/>
    <x v="498"/>
    <s v="UNIDADES"/>
    <n v="895.4"/>
    <n v="50"/>
    <n v="15"/>
    <n v="-35"/>
    <n v="13431"/>
    <n v="-31339"/>
    <x v="2"/>
  </r>
  <r>
    <x v="2"/>
    <x v="13"/>
    <x v="2"/>
    <s v="MATERIAL DE ASEO"/>
    <x v="3"/>
    <x v="498"/>
    <s v="UNIDADES"/>
    <n v="895.4"/>
    <n v="140"/>
    <n v="100"/>
    <n v="-40"/>
    <n v="89540"/>
    <n v="-35816"/>
    <x v="2"/>
  </r>
  <r>
    <x v="2"/>
    <x v="15"/>
    <x v="1"/>
    <s v="MATERIAL DE ASEO"/>
    <x v="3"/>
    <x v="498"/>
    <s v="UNIDADES"/>
    <n v="895.4"/>
    <n v="20"/>
    <n v="6"/>
    <n v="-14"/>
    <n v="5372.4"/>
    <n v="-12535.6"/>
    <x v="2"/>
  </r>
  <r>
    <x v="2"/>
    <x v="10"/>
    <x v="4"/>
    <s v="MATERIAL DE ASEO"/>
    <x v="3"/>
    <x v="498"/>
    <s v="UNIDADES"/>
    <n v="895.4"/>
    <n v="110"/>
    <n v="1"/>
    <n v="-109"/>
    <n v="895.4"/>
    <n v="-97598.599999999991"/>
    <x v="2"/>
  </r>
  <r>
    <x v="2"/>
    <x v="12"/>
    <x v="3"/>
    <s v="MATERIAL DE ASEO"/>
    <x v="3"/>
    <x v="499"/>
    <s v="GRAMOS"/>
    <n v="31.364249999999998"/>
    <n v="0"/>
    <n v="0"/>
    <n v="0"/>
    <n v="0"/>
    <n v="0"/>
    <x v="1"/>
  </r>
  <r>
    <x v="2"/>
    <x v="13"/>
    <x v="2"/>
    <s v="MATERIAL DE ASEO"/>
    <x v="3"/>
    <x v="499"/>
    <s v="GRAMOS"/>
    <n v="31.364249999999998"/>
    <n v="8000"/>
    <n v="0"/>
    <n v="-8000"/>
    <n v="0"/>
    <n v="-250914"/>
    <x v="2"/>
  </r>
  <r>
    <x v="2"/>
    <x v="15"/>
    <x v="1"/>
    <s v="MATERIAL DE ASEO"/>
    <x v="3"/>
    <x v="499"/>
    <s v="GRAMOS"/>
    <n v="10.115"/>
    <n v="84000"/>
    <n v="0"/>
    <n v="-84000"/>
    <n v="0"/>
    <n v="-849660"/>
    <x v="2"/>
  </r>
  <r>
    <x v="2"/>
    <x v="16"/>
    <x v="5"/>
    <s v="MATERIAL DE ASEO"/>
    <x v="3"/>
    <x v="499"/>
    <s v="GRAMOS"/>
    <n v="31.364249999999998"/>
    <n v="0"/>
    <n v="0"/>
    <n v="0"/>
    <n v="0"/>
    <n v="0"/>
    <x v="1"/>
  </r>
  <r>
    <x v="2"/>
    <x v="10"/>
    <x v="4"/>
    <s v="MATERIAL DE ASEO"/>
    <x v="3"/>
    <x v="499"/>
    <s v="GRAMOS"/>
    <n v="31.364249999999998"/>
    <n v="0"/>
    <n v="0"/>
    <n v="0"/>
    <n v="0"/>
    <n v="0"/>
    <x v="1"/>
  </r>
  <r>
    <x v="2"/>
    <x v="12"/>
    <x v="3"/>
    <s v="MATERIAL DE ASEO"/>
    <x v="3"/>
    <x v="500"/>
    <s v="GRAMOS"/>
    <n v="83.811999999999998"/>
    <n v="0"/>
    <n v="0"/>
    <n v="0"/>
    <n v="0"/>
    <n v="0"/>
    <x v="1"/>
  </r>
  <r>
    <x v="2"/>
    <x v="13"/>
    <x v="2"/>
    <s v="MATERIAL DE ASEO"/>
    <x v="3"/>
    <x v="500"/>
    <s v="GRAMOS"/>
    <n v="83.811999999999998"/>
    <n v="0"/>
    <n v="0"/>
    <n v="0"/>
    <n v="0"/>
    <n v="0"/>
    <x v="1"/>
  </r>
  <r>
    <x v="2"/>
    <x v="10"/>
    <x v="4"/>
    <s v="MATERIAL DE ASEO"/>
    <x v="3"/>
    <x v="500"/>
    <s v="GRAMOS"/>
    <n v="83.811999999999998"/>
    <n v="0"/>
    <n v="0"/>
    <n v="0"/>
    <n v="0"/>
    <n v="0"/>
    <x v="1"/>
  </r>
  <r>
    <x v="2"/>
    <x v="14"/>
    <x v="0"/>
    <s v="MATERIAL DE ASEO"/>
    <x v="3"/>
    <x v="501"/>
    <s v="GRAMOS"/>
    <n v="10.9412"/>
    <n v="5001"/>
    <n v="4000"/>
    <n v="-1001"/>
    <n v="43764.800000000003"/>
    <n v="-10952.1412"/>
    <x v="2"/>
  </r>
  <r>
    <x v="2"/>
    <x v="15"/>
    <x v="1"/>
    <s v="MATERIAL DE ASEO"/>
    <x v="3"/>
    <x v="501"/>
    <s v="GRAMOS"/>
    <n v="10.9412"/>
    <n v="20000"/>
    <n v="1000"/>
    <n v="-19000"/>
    <n v="10941.2"/>
    <n v="-207882.80000000002"/>
    <x v="2"/>
  </r>
  <r>
    <x v="2"/>
    <x v="12"/>
    <x v="3"/>
    <s v="MATERIAL DE ASEO"/>
    <x v="3"/>
    <x v="502"/>
    <s v="UNIDADES"/>
    <n v="5350"/>
    <n v="0"/>
    <n v="0"/>
    <n v="0"/>
    <n v="0"/>
    <n v="0"/>
    <x v="1"/>
  </r>
  <r>
    <x v="2"/>
    <x v="13"/>
    <x v="2"/>
    <s v="MATERIAL DE ASEO"/>
    <x v="3"/>
    <x v="502"/>
    <s v="UNIDADES"/>
    <n v="5350"/>
    <n v="0"/>
    <n v="0"/>
    <n v="0"/>
    <n v="0"/>
    <n v="0"/>
    <x v="1"/>
  </r>
  <r>
    <x v="2"/>
    <x v="10"/>
    <x v="4"/>
    <s v="MATERIAL DE ASEO"/>
    <x v="3"/>
    <x v="502"/>
    <s v="UNIDADES"/>
    <n v="5350"/>
    <n v="0"/>
    <n v="0"/>
    <n v="0"/>
    <n v="0"/>
    <n v="0"/>
    <x v="1"/>
  </r>
  <r>
    <x v="2"/>
    <x v="12"/>
    <x v="3"/>
    <s v="MATERIAL DE ASEO"/>
    <x v="3"/>
    <x v="503"/>
    <s v="UNIDADES"/>
    <n v="5089.6666666700003"/>
    <n v="0"/>
    <n v="0"/>
    <n v="0"/>
    <n v="0"/>
    <n v="0"/>
    <x v="1"/>
  </r>
  <r>
    <x v="2"/>
    <x v="14"/>
    <x v="0"/>
    <s v="MATERIAL DE ASEO"/>
    <x v="3"/>
    <x v="503"/>
    <s v="UNIDADES"/>
    <n v="5090"/>
    <n v="7"/>
    <n v="0"/>
    <n v="-7"/>
    <n v="0"/>
    <n v="-35630"/>
    <x v="2"/>
  </r>
  <r>
    <x v="2"/>
    <x v="13"/>
    <x v="2"/>
    <s v="MATERIAL DE ASEO"/>
    <x v="3"/>
    <x v="503"/>
    <s v="UNIDADES"/>
    <n v="5089.6666666700003"/>
    <n v="1"/>
    <n v="0"/>
    <n v="-1"/>
    <n v="0"/>
    <n v="-5089.6666666700003"/>
    <x v="2"/>
  </r>
  <r>
    <x v="2"/>
    <x v="15"/>
    <x v="1"/>
    <s v="MATERIAL DE ASEO"/>
    <x v="3"/>
    <x v="503"/>
    <s v="UNIDADES"/>
    <n v="5090"/>
    <n v="2"/>
    <n v="1"/>
    <n v="-1"/>
    <n v="5090"/>
    <n v="-5090"/>
    <x v="2"/>
  </r>
  <r>
    <x v="2"/>
    <x v="10"/>
    <x v="4"/>
    <s v="MATERIAL DE ASEO"/>
    <x v="3"/>
    <x v="503"/>
    <s v="UNIDADES"/>
    <n v="5089.6666666700003"/>
    <n v="2"/>
    <n v="2"/>
    <n v="0"/>
    <n v="10179.333333340001"/>
    <n v="0"/>
    <x v="1"/>
  </r>
  <r>
    <x v="2"/>
    <x v="12"/>
    <x v="3"/>
    <s v="LICORES"/>
    <x v="0"/>
    <x v="7"/>
    <s v="ONZA"/>
    <n v="11819.5"/>
    <n v="0"/>
    <n v="0"/>
    <n v="0"/>
    <n v="0"/>
    <n v="0"/>
    <x v="1"/>
  </r>
  <r>
    <x v="2"/>
    <x v="14"/>
    <x v="0"/>
    <s v="LICORES"/>
    <x v="0"/>
    <x v="7"/>
    <s v="ONZA"/>
    <n v="12833.33333333"/>
    <n v="6"/>
    <n v="7"/>
    <n v="1"/>
    <n v="89833.333333310002"/>
    <n v="12833.33333333"/>
    <x v="0"/>
  </r>
  <r>
    <x v="2"/>
    <x v="13"/>
    <x v="2"/>
    <s v="LICORES"/>
    <x v="0"/>
    <x v="7"/>
    <s v="ONZA"/>
    <n v="11819.5"/>
    <n v="29"/>
    <n v="26"/>
    <n v="-3"/>
    <n v="307307"/>
    <n v="-35458.5"/>
    <x v="2"/>
  </r>
  <r>
    <x v="2"/>
    <x v="10"/>
    <x v="4"/>
    <s v="LICORES"/>
    <x v="0"/>
    <x v="7"/>
    <s v="ONZA"/>
    <n v="11819.5"/>
    <n v="0"/>
    <n v="0"/>
    <n v="0"/>
    <n v="0"/>
    <n v="0"/>
    <x v="1"/>
  </r>
  <r>
    <x v="2"/>
    <x v="12"/>
    <x v="3"/>
    <s v="LICORES"/>
    <x v="0"/>
    <x v="8"/>
    <s v="ONZA"/>
    <n v="17377"/>
    <n v="25"/>
    <n v="25"/>
    <n v="0"/>
    <n v="434425"/>
    <n v="0"/>
    <x v="1"/>
  </r>
  <r>
    <x v="2"/>
    <x v="14"/>
    <x v="0"/>
    <s v="LICORES"/>
    <x v="0"/>
    <x v="8"/>
    <s v="ONZA"/>
    <n v="15769.5"/>
    <n v="29"/>
    <n v="31"/>
    <n v="2"/>
    <n v="488854.5"/>
    <n v="31539"/>
    <x v="0"/>
  </r>
  <r>
    <x v="2"/>
    <x v="13"/>
    <x v="2"/>
    <s v="LICORES"/>
    <x v="0"/>
    <x v="8"/>
    <s v="ONZA"/>
    <n v="17377"/>
    <n v="9"/>
    <n v="10"/>
    <n v="1"/>
    <n v="173770"/>
    <n v="17377"/>
    <x v="0"/>
  </r>
  <r>
    <x v="2"/>
    <x v="15"/>
    <x v="1"/>
    <s v="LICORES"/>
    <x v="0"/>
    <x v="8"/>
    <s v="ONZA"/>
    <n v="15769.5"/>
    <n v="26"/>
    <n v="26"/>
    <n v="0"/>
    <n v="410007"/>
    <n v="0"/>
    <x v="1"/>
  </r>
  <r>
    <x v="2"/>
    <x v="10"/>
    <x v="4"/>
    <s v="LICORES"/>
    <x v="0"/>
    <x v="8"/>
    <s v="ONZA"/>
    <n v="17377"/>
    <n v="26"/>
    <n v="26"/>
    <n v="0"/>
    <n v="451802"/>
    <n v="0"/>
    <x v="1"/>
  </r>
  <r>
    <x v="2"/>
    <x v="12"/>
    <x v="3"/>
    <s v="LICORES"/>
    <x v="0"/>
    <x v="132"/>
    <s v="ONZA"/>
    <n v="13020.86363636"/>
    <n v="43"/>
    <n v="43"/>
    <n v="0"/>
    <n v="559897.13636348001"/>
    <n v="0"/>
    <x v="1"/>
  </r>
  <r>
    <x v="2"/>
    <x v="14"/>
    <x v="0"/>
    <s v="LICORES"/>
    <x v="0"/>
    <x v="132"/>
    <s v="ONZA"/>
    <n v="11532.86363636"/>
    <n v="29"/>
    <n v="31"/>
    <n v="2"/>
    <n v="357518.77272716002"/>
    <n v="23065.72727272"/>
    <x v="0"/>
  </r>
  <r>
    <x v="2"/>
    <x v="13"/>
    <x v="2"/>
    <s v="LICORES"/>
    <x v="0"/>
    <x v="132"/>
    <s v="ONZA"/>
    <n v="13020.86363636"/>
    <n v="36"/>
    <n v="36"/>
    <n v="0"/>
    <n v="468751.09090895997"/>
    <n v="0"/>
    <x v="1"/>
  </r>
  <r>
    <x v="2"/>
    <x v="15"/>
    <x v="1"/>
    <s v="LICORES"/>
    <x v="0"/>
    <x v="132"/>
    <s v="ONZA"/>
    <n v="11532.86363636"/>
    <n v="40.4"/>
    <n v="33"/>
    <n v="-7.4"/>
    <n v="380584.49999987998"/>
    <n v="-85343.190909063997"/>
    <x v="2"/>
  </r>
  <r>
    <x v="2"/>
    <x v="10"/>
    <x v="4"/>
    <s v="LICORES"/>
    <x v="0"/>
    <x v="132"/>
    <s v="ONZA"/>
    <n v="13020.86363636"/>
    <n v="43"/>
    <n v="42.5"/>
    <n v="-0.5"/>
    <n v="553386.70454529999"/>
    <n v="-6510.4318181799999"/>
    <x v="2"/>
  </r>
  <r>
    <x v="2"/>
    <x v="12"/>
    <x v="3"/>
    <s v="LICORES"/>
    <x v="0"/>
    <x v="231"/>
    <s v="ONZA"/>
    <n v="10178.90909091"/>
    <n v="43"/>
    <n v="43"/>
    <n v="0"/>
    <n v="437693.09090913"/>
    <n v="0"/>
    <x v="1"/>
  </r>
  <r>
    <x v="2"/>
    <x v="14"/>
    <x v="0"/>
    <s v="LICORES"/>
    <x v="0"/>
    <x v="231"/>
    <s v="ONZA"/>
    <n v="10178.95454545"/>
    <n v="42"/>
    <n v="42"/>
    <n v="0"/>
    <n v="427516.09090890002"/>
    <n v="0"/>
    <x v="1"/>
  </r>
  <r>
    <x v="2"/>
    <x v="13"/>
    <x v="2"/>
    <s v="LICORES"/>
    <x v="0"/>
    <x v="231"/>
    <s v="ONZA"/>
    <n v="10178.90909091"/>
    <n v="28"/>
    <n v="29"/>
    <n v="1"/>
    <n v="295188.36363639002"/>
    <n v="10178.90909091"/>
    <x v="0"/>
  </r>
  <r>
    <x v="2"/>
    <x v="15"/>
    <x v="1"/>
    <s v="LICORES"/>
    <x v="0"/>
    <x v="231"/>
    <s v="ONZA"/>
    <n v="10178.95454545"/>
    <n v="24.8"/>
    <n v="19"/>
    <n v="-5.8"/>
    <n v="193400.13636355"/>
    <n v="-59037.936363610002"/>
    <x v="2"/>
  </r>
  <r>
    <x v="2"/>
    <x v="10"/>
    <x v="4"/>
    <s v="LICORES"/>
    <x v="0"/>
    <x v="231"/>
    <s v="ONZA"/>
    <n v="10178.90909091"/>
    <n v="28"/>
    <n v="28.75"/>
    <n v="0.75"/>
    <n v="292643.63636366249"/>
    <n v="7634.1818181825001"/>
    <x v="0"/>
  </r>
  <r>
    <x v="2"/>
    <x v="12"/>
    <x v="3"/>
    <s v="LICORES"/>
    <x v="0"/>
    <x v="173"/>
    <s v="ONZA"/>
    <n v="12698.95454545"/>
    <n v="27"/>
    <n v="28"/>
    <n v="1"/>
    <n v="355570.72727259999"/>
    <n v="12698.95454545"/>
    <x v="0"/>
  </r>
  <r>
    <x v="2"/>
    <x v="14"/>
    <x v="0"/>
    <s v="LICORES"/>
    <x v="0"/>
    <x v="173"/>
    <s v="ONZA"/>
    <n v="12698.95454545"/>
    <n v="44"/>
    <n v="44"/>
    <n v="0"/>
    <n v="558753.9999998"/>
    <n v="0"/>
    <x v="1"/>
  </r>
  <r>
    <x v="2"/>
    <x v="13"/>
    <x v="2"/>
    <s v="LICORES"/>
    <x v="0"/>
    <x v="173"/>
    <s v="ONZA"/>
    <n v="12698.95454545"/>
    <n v="31"/>
    <n v="32"/>
    <n v="1"/>
    <n v="406366.54545440001"/>
    <n v="12698.95454545"/>
    <x v="0"/>
  </r>
  <r>
    <x v="2"/>
    <x v="15"/>
    <x v="1"/>
    <s v="LICORES"/>
    <x v="0"/>
    <x v="173"/>
    <s v="ONZA"/>
    <n v="12698.95454545"/>
    <n v="16"/>
    <n v="22"/>
    <n v="6"/>
    <n v="279376.9999999"/>
    <n v="76193.727272699995"/>
    <x v="0"/>
  </r>
  <r>
    <x v="2"/>
    <x v="10"/>
    <x v="4"/>
    <s v="LICORES"/>
    <x v="0"/>
    <x v="173"/>
    <s v="ONZA"/>
    <n v="12698.95454545"/>
    <n v="29"/>
    <n v="30"/>
    <n v="1"/>
    <n v="380968.63636350003"/>
    <n v="12698.95454545"/>
    <x v="0"/>
  </r>
  <r>
    <x v="2"/>
    <x v="12"/>
    <x v="3"/>
    <s v="ENLATADOS Y CONSERVAS"/>
    <x v="1"/>
    <x v="504"/>
    <s v="GRAMOS"/>
    <n v="19.744680850000002"/>
    <n v="0"/>
    <n v="0"/>
    <n v="0"/>
    <n v="0"/>
    <n v="0"/>
    <x v="1"/>
  </r>
  <r>
    <x v="2"/>
    <x v="14"/>
    <x v="0"/>
    <s v="ENLATADOS Y CONSERVAS"/>
    <x v="1"/>
    <x v="504"/>
    <s v="GRAMOS"/>
    <n v="21.002127659999999"/>
    <n v="2250"/>
    <n v="2820"/>
    <n v="570"/>
    <n v="59226.000001199995"/>
    <n v="11971.2127662"/>
    <x v="0"/>
  </r>
  <r>
    <x v="2"/>
    <x v="13"/>
    <x v="2"/>
    <s v="ENLATADOS Y CONSERVAS"/>
    <x v="1"/>
    <x v="504"/>
    <s v="GRAMOS"/>
    <n v="19.744680850000002"/>
    <n v="0"/>
    <n v="0"/>
    <n v="0"/>
    <n v="0"/>
    <n v="0"/>
    <x v="1"/>
  </r>
  <r>
    <x v="2"/>
    <x v="10"/>
    <x v="4"/>
    <s v="ENLATADOS Y CONSERVAS"/>
    <x v="1"/>
    <x v="504"/>
    <s v="GRAMOS"/>
    <n v="19.744680850000002"/>
    <n v="0"/>
    <n v="0"/>
    <n v="0"/>
    <n v="0"/>
    <n v="0"/>
    <x v="1"/>
  </r>
  <r>
    <x v="2"/>
    <x v="12"/>
    <x v="3"/>
    <s v="GASEOSAS Y SODAS"/>
    <x v="0"/>
    <x v="65"/>
    <s v="UNIDADES"/>
    <n v="4986.0833333299997"/>
    <n v="2.5"/>
    <n v="15.5"/>
    <n v="13"/>
    <n v="77284.291666614998"/>
    <n v="64819.083333289993"/>
    <x v="0"/>
  </r>
  <r>
    <x v="2"/>
    <x v="14"/>
    <x v="0"/>
    <s v="GASEOSAS Y SODAS"/>
    <x v="0"/>
    <x v="65"/>
    <s v="UNIDADES"/>
    <n v="4986.1393557499996"/>
    <n v="2"/>
    <n v="2"/>
    <n v="0"/>
    <n v="9972.2787114999992"/>
    <n v="0"/>
    <x v="1"/>
  </r>
  <r>
    <x v="2"/>
    <x v="13"/>
    <x v="2"/>
    <s v="GASEOSAS Y SODAS"/>
    <x v="0"/>
    <x v="65"/>
    <s v="UNIDADES"/>
    <n v="4986.0833333299997"/>
    <n v="19"/>
    <n v="19"/>
    <n v="0"/>
    <n v="94735.583333269999"/>
    <n v="0"/>
    <x v="1"/>
  </r>
  <r>
    <x v="2"/>
    <x v="15"/>
    <x v="1"/>
    <s v="GASEOSAS Y SODAS"/>
    <x v="0"/>
    <x v="65"/>
    <s v="UNIDADES"/>
    <n v="4986.1393557499996"/>
    <n v="0"/>
    <n v="0"/>
    <n v="0"/>
    <n v="0"/>
    <n v="0"/>
    <x v="1"/>
  </r>
  <r>
    <x v="2"/>
    <x v="10"/>
    <x v="4"/>
    <s v="GASEOSAS Y SODAS"/>
    <x v="0"/>
    <x v="65"/>
    <s v="UNIDADES"/>
    <n v="4986.0833333299997"/>
    <n v="21"/>
    <n v="14"/>
    <n v="-7"/>
    <n v="69805.166666620004"/>
    <n v="-34902.583333310002"/>
    <x v="2"/>
  </r>
  <r>
    <x v="2"/>
    <x v="15"/>
    <x v="1"/>
    <s v="FRUVER"/>
    <x v="1"/>
    <x v="505"/>
    <s v="GRAMOS"/>
    <n v="12"/>
    <n v="230"/>
    <n v="50"/>
    <n v="-180"/>
    <n v="600"/>
    <n v="-2160"/>
    <x v="2"/>
  </r>
  <r>
    <x v="2"/>
    <x v="15"/>
    <x v="1"/>
    <s v="PROTEINAS"/>
    <x v="1"/>
    <x v="205"/>
    <s v="UNIDADES"/>
    <n v="14780"/>
    <n v="13"/>
    <n v="0"/>
    <n v="-13"/>
    <n v="0"/>
    <n v="-192140"/>
    <x v="2"/>
  </r>
  <r>
    <x v="2"/>
    <x v="12"/>
    <x v="3"/>
    <s v="MATERIAL DE ASEO"/>
    <x v="3"/>
    <x v="506"/>
    <s v="UNIDADES"/>
    <n v="6295"/>
    <n v="0"/>
    <n v="0"/>
    <n v="0"/>
    <n v="0"/>
    <n v="0"/>
    <x v="1"/>
  </r>
  <r>
    <x v="2"/>
    <x v="14"/>
    <x v="0"/>
    <s v="MATERIAL DE ASEO"/>
    <x v="3"/>
    <x v="506"/>
    <s v="UNIDADES"/>
    <n v="3109"/>
    <n v="1"/>
    <n v="0"/>
    <n v="-1"/>
    <n v="0"/>
    <n v="-3109"/>
    <x v="2"/>
  </r>
  <r>
    <x v="2"/>
    <x v="13"/>
    <x v="2"/>
    <s v="MATERIAL DE ASEO"/>
    <x v="3"/>
    <x v="506"/>
    <s v="UNIDADES"/>
    <n v="6295"/>
    <n v="2"/>
    <n v="2"/>
    <n v="0"/>
    <n v="12590"/>
    <n v="0"/>
    <x v="1"/>
  </r>
  <r>
    <x v="2"/>
    <x v="10"/>
    <x v="4"/>
    <s v="MATERIAL DE ASEO"/>
    <x v="3"/>
    <x v="506"/>
    <s v="UNIDADES"/>
    <n v="6295"/>
    <n v="2"/>
    <n v="2"/>
    <n v="0"/>
    <n v="12590"/>
    <n v="0"/>
    <x v="1"/>
  </r>
  <r>
    <x v="2"/>
    <x v="14"/>
    <x v="0"/>
    <s v="SALSAS ESPECIAS Y CONDIMENTOS"/>
    <x v="1"/>
    <x v="507"/>
    <s v="GRAMOS"/>
    <n v="19.00038"/>
    <n v="648.99990000000003"/>
    <n v="450"/>
    <n v="-198.99987999999999"/>
    <n v="8550.1710000000003"/>
    <n v="-3781.0733399543997"/>
    <x v="2"/>
  </r>
  <r>
    <x v="2"/>
    <x v="12"/>
    <x v="3"/>
    <s v="SALSAS ESPECIAS Y CONDIMENTOS"/>
    <x v="1"/>
    <x v="508"/>
    <s v="GRAMOS"/>
    <n v="16.600000000000001"/>
    <n v="0"/>
    <n v="0"/>
    <n v="0"/>
    <n v="0"/>
    <n v="0"/>
    <x v="1"/>
  </r>
  <r>
    <x v="2"/>
    <x v="14"/>
    <x v="0"/>
    <s v="SALSAS ESPECIAS Y CONDIMENTOS"/>
    <x v="1"/>
    <x v="508"/>
    <s v="GRAMOS"/>
    <n v="16.79964"/>
    <n v="-808.99940000000004"/>
    <n v="400"/>
    <n v="1208.999384"/>
    <n v="6719.8559999999998"/>
    <n v="20310.75441142176"/>
    <x v="0"/>
  </r>
  <r>
    <x v="2"/>
    <x v="13"/>
    <x v="2"/>
    <s v="SALSAS ESPECIAS Y CONDIMENTOS"/>
    <x v="1"/>
    <x v="508"/>
    <s v="GRAMOS"/>
    <n v="16.600000000000001"/>
    <n v="500"/>
    <n v="0"/>
    <n v="-500"/>
    <n v="0"/>
    <n v="-8300"/>
    <x v="2"/>
  </r>
  <r>
    <x v="2"/>
    <x v="15"/>
    <x v="1"/>
    <s v="SALSAS ESPECIAS Y CONDIMENTOS"/>
    <x v="1"/>
    <x v="508"/>
    <s v="GRAMOS"/>
    <n v="16.79964"/>
    <n v="810.8"/>
    <n v="550"/>
    <n v="-260.80002200000001"/>
    <n v="9239.8019999999997"/>
    <n v="-4381.3464815920806"/>
    <x v="2"/>
  </r>
  <r>
    <x v="2"/>
    <x v="16"/>
    <x v="5"/>
    <s v="SALSAS ESPECIAS Y CONDIMENTOS"/>
    <x v="1"/>
    <x v="508"/>
    <s v="GRAMOS"/>
    <n v="16.600000000000001"/>
    <n v="500"/>
    <n v="648"/>
    <n v="148"/>
    <n v="10756.800000000001"/>
    <n v="2456.8000000000002"/>
    <x v="0"/>
  </r>
  <r>
    <x v="2"/>
    <x v="10"/>
    <x v="4"/>
    <s v="SALSAS ESPECIAS Y CONDIMENTOS"/>
    <x v="1"/>
    <x v="508"/>
    <s v="GRAMOS"/>
    <n v="16.600000000000001"/>
    <n v="0"/>
    <n v="0"/>
    <n v="0"/>
    <n v="0"/>
    <n v="0"/>
    <x v="1"/>
  </r>
  <r>
    <x v="2"/>
    <x v="15"/>
    <x v="1"/>
    <s v="FRUVER"/>
    <x v="1"/>
    <x v="509"/>
    <s v="GRAMOS"/>
    <n v="38"/>
    <n v="2000"/>
    <n v="0"/>
    <n v="-2000"/>
    <n v="0"/>
    <n v="-76000"/>
    <x v="2"/>
  </r>
  <r>
    <x v="2"/>
    <x v="12"/>
    <x v="3"/>
    <s v="FRUVER"/>
    <x v="1"/>
    <x v="510"/>
    <s v="GRAMOS"/>
    <n v="4.5"/>
    <n v="550"/>
    <n v="500"/>
    <n v="-600"/>
    <n v="2250"/>
    <n v="-2700"/>
    <x v="2"/>
  </r>
  <r>
    <x v="2"/>
    <x v="13"/>
    <x v="2"/>
    <s v="FRUVER"/>
    <x v="1"/>
    <x v="510"/>
    <s v="GRAMOS"/>
    <n v="4.5"/>
    <n v="1500"/>
    <n v="0"/>
    <n v="-1500"/>
    <n v="0"/>
    <n v="-6750"/>
    <x v="2"/>
  </r>
  <r>
    <x v="2"/>
    <x v="10"/>
    <x v="4"/>
    <s v="FRUVER"/>
    <x v="1"/>
    <x v="510"/>
    <s v="GRAMOS"/>
    <n v="4.5"/>
    <n v="2100"/>
    <n v="0"/>
    <n v="-2100"/>
    <n v="0"/>
    <n v="-9450"/>
    <x v="2"/>
  </r>
  <r>
    <x v="2"/>
    <x v="12"/>
    <x v="3"/>
    <s v="MATERIAL DE ASEO"/>
    <x v="3"/>
    <x v="511"/>
    <s v="UNIDADES"/>
    <n v="5182.3333333299997"/>
    <n v="0"/>
    <n v="0"/>
    <n v="0"/>
    <n v="0"/>
    <n v="0"/>
    <x v="1"/>
  </r>
  <r>
    <x v="2"/>
    <x v="14"/>
    <x v="0"/>
    <s v="MATERIAL DE ASEO"/>
    <x v="3"/>
    <x v="511"/>
    <s v="UNIDADES"/>
    <n v="1886.2"/>
    <n v="89"/>
    <n v="60"/>
    <n v="-29"/>
    <n v="113172"/>
    <n v="-54699.8"/>
    <x v="2"/>
  </r>
  <r>
    <x v="2"/>
    <x v="13"/>
    <x v="2"/>
    <s v="MATERIAL DE ASEO"/>
    <x v="3"/>
    <x v="511"/>
    <s v="UNIDADES"/>
    <n v="5182.3333333299997"/>
    <n v="9"/>
    <n v="0"/>
    <n v="-9"/>
    <n v="0"/>
    <n v="-46640.999999969994"/>
    <x v="2"/>
  </r>
  <r>
    <x v="2"/>
    <x v="15"/>
    <x v="1"/>
    <s v="MATERIAL DE ASEO"/>
    <x v="3"/>
    <x v="511"/>
    <s v="UNIDADES"/>
    <n v="1886.2"/>
    <n v="15"/>
    <n v="21"/>
    <n v="6"/>
    <n v="39610.200000000004"/>
    <n v="11317.2"/>
    <x v="0"/>
  </r>
  <r>
    <x v="2"/>
    <x v="10"/>
    <x v="4"/>
    <s v="MATERIAL DE ASEO"/>
    <x v="3"/>
    <x v="511"/>
    <s v="UNIDADES"/>
    <n v="5182.3333333299997"/>
    <n v="0"/>
    <n v="0"/>
    <n v="0"/>
    <n v="0"/>
    <n v="0"/>
    <x v="1"/>
  </r>
  <r>
    <x v="2"/>
    <x v="12"/>
    <x v="3"/>
    <s v="MATERIAL DE ASEO"/>
    <x v="3"/>
    <x v="512"/>
    <s v="UNIDADES"/>
    <n v="5182.3333333299997"/>
    <n v="14"/>
    <n v="0"/>
    <n v="-14"/>
    <n v="0"/>
    <n v="-72552.666666620004"/>
    <x v="2"/>
  </r>
  <r>
    <x v="2"/>
    <x v="13"/>
    <x v="2"/>
    <s v="MATERIAL DE ASEO"/>
    <x v="3"/>
    <x v="512"/>
    <s v="UNIDADES"/>
    <n v="5182.3333333299997"/>
    <n v="12"/>
    <n v="0"/>
    <n v="-12"/>
    <n v="0"/>
    <n v="-62187.999999959997"/>
    <x v="2"/>
  </r>
  <r>
    <x v="2"/>
    <x v="15"/>
    <x v="1"/>
    <s v="MATERIAL DE ASEO"/>
    <x v="3"/>
    <x v="512"/>
    <s v="UNIDADES"/>
    <n v="5182.3333333299997"/>
    <n v="0"/>
    <n v="0"/>
    <n v="0"/>
    <n v="0"/>
    <n v="0"/>
    <x v="1"/>
  </r>
  <r>
    <x v="2"/>
    <x v="10"/>
    <x v="4"/>
    <s v="MATERIAL DE ASEO"/>
    <x v="3"/>
    <x v="512"/>
    <s v="UNIDADES"/>
    <n v="5182.3333333299997"/>
    <n v="0"/>
    <n v="0"/>
    <n v="0"/>
    <n v="0"/>
    <n v="0"/>
    <x v="1"/>
  </r>
  <r>
    <x v="2"/>
    <x v="12"/>
    <x v="3"/>
    <s v="MATERIAL DE ASEO"/>
    <x v="3"/>
    <x v="513"/>
    <s v="UNIDADES"/>
    <n v="2371.6999999999998"/>
    <n v="24"/>
    <n v="7"/>
    <n v="-17"/>
    <n v="16601.899999999998"/>
    <n v="-40318.899999999994"/>
    <x v="2"/>
  </r>
  <r>
    <x v="2"/>
    <x v="13"/>
    <x v="2"/>
    <s v="MATERIAL DE ASEO"/>
    <x v="3"/>
    <x v="513"/>
    <s v="UNIDADES"/>
    <n v="2371.6999999999998"/>
    <n v="26"/>
    <n v="12"/>
    <n v="-14"/>
    <n v="28460.399999999998"/>
    <n v="-33203.799999999996"/>
    <x v="2"/>
  </r>
  <r>
    <x v="2"/>
    <x v="10"/>
    <x v="4"/>
    <s v="MATERIAL DE ASEO"/>
    <x v="3"/>
    <x v="513"/>
    <s v="UNIDADES"/>
    <n v="2371.6999999999998"/>
    <n v="14"/>
    <n v="3"/>
    <n v="-11"/>
    <n v="7115.0999999999995"/>
    <n v="-26088.699999999997"/>
    <x v="2"/>
  </r>
  <r>
    <x v="2"/>
    <x v="12"/>
    <x v="3"/>
    <s v="MATERIAL DE ASEO"/>
    <x v="3"/>
    <x v="514"/>
    <s v="UNIDADES"/>
    <n v="5136"/>
    <n v="0"/>
    <n v="0"/>
    <n v="0"/>
    <n v="0"/>
    <n v="0"/>
    <x v="1"/>
  </r>
  <r>
    <x v="2"/>
    <x v="13"/>
    <x v="2"/>
    <s v="MATERIAL DE ASEO"/>
    <x v="3"/>
    <x v="514"/>
    <s v="UNIDADES"/>
    <n v="5136"/>
    <n v="0"/>
    <n v="0"/>
    <n v="0"/>
    <n v="0"/>
    <n v="0"/>
    <x v="1"/>
  </r>
  <r>
    <x v="2"/>
    <x v="15"/>
    <x v="1"/>
    <s v="MATERIAL DE ASEO"/>
    <x v="3"/>
    <x v="514"/>
    <s v="UNIDADES"/>
    <n v="5136"/>
    <n v="17"/>
    <n v="6"/>
    <n v="-11"/>
    <n v="30816"/>
    <n v="-56496"/>
    <x v="2"/>
  </r>
  <r>
    <x v="2"/>
    <x v="10"/>
    <x v="4"/>
    <s v="MATERIAL DE ASEO"/>
    <x v="3"/>
    <x v="514"/>
    <s v="UNIDADES"/>
    <n v="5136"/>
    <n v="4"/>
    <n v="0"/>
    <n v="-4"/>
    <n v="0"/>
    <n v="-20544"/>
    <x v="2"/>
  </r>
  <r>
    <x v="2"/>
    <x v="12"/>
    <x v="3"/>
    <s v="MATERIAL DE ASEO"/>
    <x v="3"/>
    <x v="515"/>
    <s v="UNIDADES"/>
    <n v="3026.25"/>
    <n v="0"/>
    <n v="0"/>
    <n v="0"/>
    <n v="0"/>
    <n v="0"/>
    <x v="1"/>
  </r>
  <r>
    <x v="2"/>
    <x v="13"/>
    <x v="2"/>
    <s v="MATERIAL DE ASEO"/>
    <x v="3"/>
    <x v="515"/>
    <s v="UNIDADES"/>
    <n v="3026.25"/>
    <n v="3"/>
    <n v="8"/>
    <n v="5"/>
    <n v="24210"/>
    <n v="15131.25"/>
    <x v="0"/>
  </r>
  <r>
    <x v="2"/>
    <x v="15"/>
    <x v="1"/>
    <s v="MATERIAL DE ASEO"/>
    <x v="3"/>
    <x v="515"/>
    <s v="UNIDADES"/>
    <n v="3026.2"/>
    <n v="10"/>
    <n v="0"/>
    <n v="-10"/>
    <n v="0"/>
    <n v="-30262"/>
    <x v="2"/>
  </r>
  <r>
    <x v="2"/>
    <x v="10"/>
    <x v="4"/>
    <s v="MATERIAL DE ASEO"/>
    <x v="3"/>
    <x v="515"/>
    <s v="UNIDADES"/>
    <n v="3026.25"/>
    <n v="10"/>
    <n v="2"/>
    <n v="-8"/>
    <n v="6052.5"/>
    <n v="-24210"/>
    <x v="2"/>
  </r>
  <r>
    <x v="2"/>
    <x v="12"/>
    <x v="3"/>
    <s v="MATERIAL DE ASEO"/>
    <x v="3"/>
    <x v="516"/>
    <s v="UNIDADES"/>
    <n v="1477.16666667"/>
    <n v="0"/>
    <n v="0"/>
    <n v="0"/>
    <n v="0"/>
    <n v="0"/>
    <x v="1"/>
  </r>
  <r>
    <x v="2"/>
    <x v="13"/>
    <x v="2"/>
    <s v="MATERIAL DE ASEO"/>
    <x v="3"/>
    <x v="516"/>
    <s v="UNIDADES"/>
    <n v="1477.16666667"/>
    <n v="0"/>
    <n v="0"/>
    <n v="0"/>
    <n v="0"/>
    <n v="0"/>
    <x v="1"/>
  </r>
  <r>
    <x v="2"/>
    <x v="15"/>
    <x v="1"/>
    <s v="MATERIAL DE ASEO"/>
    <x v="3"/>
    <x v="516"/>
    <s v="UNIDADES"/>
    <n v="2742.8333333300002"/>
    <n v="12"/>
    <n v="0"/>
    <n v="-12"/>
    <n v="0"/>
    <n v="-32913.999999960004"/>
    <x v="2"/>
  </r>
  <r>
    <x v="2"/>
    <x v="10"/>
    <x v="4"/>
    <s v="MATERIAL DE ASEO"/>
    <x v="3"/>
    <x v="516"/>
    <s v="UNIDADES"/>
    <n v="1477.16666667"/>
    <n v="12"/>
    <n v="0"/>
    <n v="-12"/>
    <n v="0"/>
    <n v="-17726.00000004"/>
    <x v="2"/>
  </r>
  <r>
    <x v="2"/>
    <x v="12"/>
    <x v="3"/>
    <s v="VINOS"/>
    <x v="0"/>
    <x v="234"/>
    <s v="UNIDADES"/>
    <n v="22425"/>
    <n v="0"/>
    <n v="0"/>
    <n v="0"/>
    <n v="0"/>
    <n v="0"/>
    <x v="1"/>
  </r>
  <r>
    <x v="2"/>
    <x v="13"/>
    <x v="2"/>
    <s v="VINOS"/>
    <x v="0"/>
    <x v="234"/>
    <s v="UNIDADES"/>
    <n v="22425"/>
    <n v="0"/>
    <n v="0"/>
    <n v="0"/>
    <n v="0"/>
    <n v="0"/>
    <x v="1"/>
  </r>
  <r>
    <x v="2"/>
    <x v="10"/>
    <x v="4"/>
    <s v="VINOS"/>
    <x v="0"/>
    <x v="234"/>
    <s v="UNIDADES"/>
    <n v="22425"/>
    <n v="0"/>
    <n v="0"/>
    <n v="0"/>
    <n v="0"/>
    <n v="0"/>
    <x v="1"/>
  </r>
  <r>
    <x v="2"/>
    <x v="12"/>
    <x v="3"/>
    <s v="VINOS"/>
    <x v="0"/>
    <x v="235"/>
    <s v="UNIDADES"/>
    <n v="71318"/>
    <n v="5"/>
    <n v="5"/>
    <n v="0"/>
    <n v="356590"/>
    <n v="0"/>
    <x v="1"/>
  </r>
  <r>
    <x v="2"/>
    <x v="13"/>
    <x v="2"/>
    <s v="VINOS"/>
    <x v="0"/>
    <x v="235"/>
    <s v="UNIDADES"/>
    <n v="71318"/>
    <n v="0"/>
    <n v="0"/>
    <n v="0"/>
    <n v="0"/>
    <n v="0"/>
    <x v="1"/>
  </r>
  <r>
    <x v="2"/>
    <x v="10"/>
    <x v="4"/>
    <s v="VINOS"/>
    <x v="0"/>
    <x v="235"/>
    <s v="UNIDADES"/>
    <n v="71318"/>
    <n v="4"/>
    <n v="4"/>
    <n v="0"/>
    <n v="285272"/>
    <n v="0"/>
    <x v="1"/>
  </r>
  <r>
    <x v="2"/>
    <x v="12"/>
    <x v="3"/>
    <s v="VINOS"/>
    <x v="0"/>
    <x v="6"/>
    <s v="ONZA"/>
    <n v="2903.3333333300002"/>
    <n v="0"/>
    <n v="0"/>
    <n v="0"/>
    <n v="0"/>
    <n v="0"/>
    <x v="1"/>
  </r>
  <r>
    <x v="2"/>
    <x v="14"/>
    <x v="0"/>
    <s v="VINOS"/>
    <x v="0"/>
    <x v="6"/>
    <s v="ONZA"/>
    <n v="2903.3333333300002"/>
    <n v="171"/>
    <n v="146"/>
    <n v="-25"/>
    <n v="423886.66666618001"/>
    <n v="-72583.333333250004"/>
    <x v="2"/>
  </r>
  <r>
    <x v="2"/>
    <x v="13"/>
    <x v="2"/>
    <s v="VINOS"/>
    <x v="0"/>
    <x v="6"/>
    <s v="ONZA"/>
    <n v="2903.3333333300002"/>
    <n v="0"/>
    <n v="0"/>
    <n v="0"/>
    <n v="0"/>
    <n v="0"/>
    <x v="1"/>
  </r>
  <r>
    <x v="2"/>
    <x v="10"/>
    <x v="4"/>
    <s v="VINOS"/>
    <x v="0"/>
    <x v="6"/>
    <s v="ONZA"/>
    <n v="2903.3333333300002"/>
    <n v="0"/>
    <n v="0"/>
    <n v="0"/>
    <n v="0"/>
    <n v="0"/>
    <x v="1"/>
  </r>
  <r>
    <x v="2"/>
    <x v="12"/>
    <x v="3"/>
    <s v="MATERIAL DE ASEO"/>
    <x v="3"/>
    <x v="517"/>
    <s v="UNIDADES"/>
    <n v="10.9412"/>
    <n v="0"/>
    <n v="0"/>
    <n v="0"/>
    <n v="0"/>
    <n v="0"/>
    <x v="1"/>
  </r>
  <r>
    <x v="2"/>
    <x v="13"/>
    <x v="2"/>
    <s v="MATERIAL DE ASEO"/>
    <x v="3"/>
    <x v="517"/>
    <s v="UNIDADES"/>
    <n v="10.9412"/>
    <n v="0"/>
    <n v="0"/>
    <n v="0"/>
    <n v="0"/>
    <n v="0"/>
    <x v="1"/>
  </r>
  <r>
    <x v="2"/>
    <x v="15"/>
    <x v="1"/>
    <s v="MATERIAL DE ASEO"/>
    <x v="3"/>
    <x v="517"/>
    <s v="UNIDADES"/>
    <n v="10.9412"/>
    <n v="7600"/>
    <n v="1"/>
    <n v="-7599"/>
    <n v="10.9412"/>
    <n v="-83142.178800000009"/>
    <x v="2"/>
  </r>
  <r>
    <x v="2"/>
    <x v="10"/>
    <x v="4"/>
    <s v="MATERIAL DE ASEO"/>
    <x v="3"/>
    <x v="517"/>
    <s v="UNIDADES"/>
    <n v="10.9412"/>
    <n v="0"/>
    <n v="0"/>
    <n v="0"/>
    <n v="0"/>
    <n v="0"/>
    <x v="1"/>
  </r>
  <r>
    <x v="2"/>
    <x v="14"/>
    <x v="0"/>
    <s v="MATERIAL DE ASEO"/>
    <x v="3"/>
    <x v="518"/>
    <s v="UNIDADES"/>
    <n v="1590.9"/>
    <n v="21"/>
    <n v="20"/>
    <n v="-1"/>
    <n v="31818"/>
    <n v="-1590.9"/>
    <x v="2"/>
  </r>
  <r>
    <x v="2"/>
    <x v="12"/>
    <x v="3"/>
    <s v="DESPENSA"/>
    <x v="1"/>
    <x v="519"/>
    <s v="GRAMOS"/>
    <n v="15.153499999999999"/>
    <n v="500"/>
    <n v="1500"/>
    <n v="-1000.000018"/>
    <n v="22730.25"/>
    <n v="-15153.500272762998"/>
    <x v="2"/>
  </r>
  <r>
    <x v="2"/>
    <x v="14"/>
    <x v="0"/>
    <s v="DESPENSA"/>
    <x v="1"/>
    <x v="519"/>
    <s v="GRAMOS"/>
    <n v="15.153499999999999"/>
    <n v="2000"/>
    <n v="3500"/>
    <n v="1500"/>
    <n v="53037.25"/>
    <n v="22730.25"/>
    <x v="0"/>
  </r>
  <r>
    <x v="2"/>
    <x v="13"/>
    <x v="2"/>
    <s v="DESPENSA"/>
    <x v="1"/>
    <x v="519"/>
    <s v="GRAMOS"/>
    <n v="15.153499999999999"/>
    <n v="4500"/>
    <n v="4000"/>
    <n v="-500.00000599999998"/>
    <n v="60614"/>
    <n v="-7576.7500909209994"/>
    <x v="2"/>
  </r>
  <r>
    <x v="2"/>
    <x v="15"/>
    <x v="1"/>
    <s v="DESPENSA"/>
    <x v="1"/>
    <x v="519"/>
    <s v="GRAMOS"/>
    <n v="15.153499999999999"/>
    <n v="0"/>
    <n v="0"/>
    <n v="0"/>
    <n v="0"/>
    <n v="0"/>
    <x v="1"/>
  </r>
  <r>
    <x v="2"/>
    <x v="10"/>
    <x v="4"/>
    <s v="DESPENSA"/>
    <x v="1"/>
    <x v="519"/>
    <s v="GRAMOS"/>
    <n v="15.153499999999999"/>
    <n v="3000"/>
    <n v="2500"/>
    <n v="-500.00001200000003"/>
    <n v="37883.75"/>
    <n v="-7576.7501818419996"/>
    <x v="2"/>
  </r>
  <r>
    <x v="2"/>
    <x v="12"/>
    <x v="3"/>
    <s v="PESCADOS Y MARISCOS"/>
    <x v="1"/>
    <x v="121"/>
    <s v="GRAMOS"/>
    <n v="51.135831379999999"/>
    <n v="8978.1447000000007"/>
    <n v="21400"/>
    <n v="12421.855294999999"/>
    <n v="1094306.7915320001"/>
    <n v="635201.89779188007"/>
    <x v="0"/>
  </r>
  <r>
    <x v="2"/>
    <x v="13"/>
    <x v="2"/>
    <s v="PESCADOS Y MARISCOS"/>
    <x v="1"/>
    <x v="121"/>
    <s v="GRAMOS"/>
    <n v="51.135831379999999"/>
    <n v="4122.7794999999996"/>
    <n v="9622"/>
    <n v="5499.220491"/>
    <n v="492028.96953836002"/>
    <n v="281207.21174921683"/>
    <x v="0"/>
  </r>
  <r>
    <x v="2"/>
    <x v="10"/>
    <x v="4"/>
    <s v="PESCADOS Y MARISCOS"/>
    <x v="1"/>
    <x v="121"/>
    <s v="GRAMOS"/>
    <n v="51.135831379999999"/>
    <n v="11865.4362"/>
    <n v="14899"/>
    <n v="3033.5638060000001"/>
    <n v="761872.75173061993"/>
    <n v="155123.80726408702"/>
    <x v="0"/>
  </r>
  <r>
    <x v="2"/>
    <x v="12"/>
    <x v="3"/>
    <s v="PROTEINAS"/>
    <x v="1"/>
    <x v="125"/>
    <s v="UNIDADES"/>
    <n v="3250"/>
    <n v="38.5"/>
    <n v="22"/>
    <n v="-16.5"/>
    <n v="71500"/>
    <n v="-53625"/>
    <x v="2"/>
  </r>
  <r>
    <x v="2"/>
    <x v="14"/>
    <x v="0"/>
    <s v="PROTEINAS"/>
    <x v="1"/>
    <x v="125"/>
    <s v="UNIDADES"/>
    <n v="2700"/>
    <n v="42"/>
    <n v="33"/>
    <n v="-9"/>
    <n v="89100"/>
    <n v="-24300"/>
    <x v="2"/>
  </r>
  <r>
    <x v="2"/>
    <x v="13"/>
    <x v="2"/>
    <s v="PROTEINAS"/>
    <x v="1"/>
    <x v="125"/>
    <s v="UNIDADES"/>
    <n v="3250"/>
    <n v="25"/>
    <n v="26"/>
    <n v="1"/>
    <n v="84500"/>
    <n v="3250"/>
    <x v="0"/>
  </r>
  <r>
    <x v="2"/>
    <x v="15"/>
    <x v="1"/>
    <s v="PROTEINAS"/>
    <x v="1"/>
    <x v="125"/>
    <s v="UNIDADES"/>
    <n v="2700"/>
    <n v="19"/>
    <n v="0"/>
    <n v="-19"/>
    <n v="0"/>
    <n v="-51300"/>
    <x v="2"/>
  </r>
  <r>
    <x v="2"/>
    <x v="16"/>
    <x v="5"/>
    <s v="PROTEINAS"/>
    <x v="1"/>
    <x v="125"/>
    <s v="UNIDADES"/>
    <n v="3250"/>
    <n v="0"/>
    <n v="0"/>
    <n v="0"/>
    <n v="0"/>
    <n v="0"/>
    <x v="1"/>
  </r>
  <r>
    <x v="2"/>
    <x v="10"/>
    <x v="4"/>
    <s v="PROTEINAS"/>
    <x v="1"/>
    <x v="125"/>
    <s v="UNIDADES"/>
    <n v="3250"/>
    <n v="-5"/>
    <n v="36"/>
    <n v="41"/>
    <n v="117000"/>
    <n v="133250"/>
    <x v="0"/>
  </r>
  <r>
    <x v="2"/>
    <x v="12"/>
    <x v="3"/>
    <s v="PROTEINAS"/>
    <x v="1"/>
    <x v="131"/>
    <s v="UNIDADES"/>
    <n v="4850"/>
    <n v="24.5"/>
    <n v="31"/>
    <n v="6.5"/>
    <n v="150350"/>
    <n v="31525"/>
    <x v="0"/>
  </r>
  <r>
    <x v="2"/>
    <x v="13"/>
    <x v="2"/>
    <s v="PROTEINAS"/>
    <x v="1"/>
    <x v="131"/>
    <s v="UNIDADES"/>
    <n v="4850"/>
    <n v="51"/>
    <n v="51"/>
    <n v="0"/>
    <n v="247350"/>
    <n v="0"/>
    <x v="1"/>
  </r>
  <r>
    <x v="2"/>
    <x v="16"/>
    <x v="5"/>
    <s v="PROTEINAS"/>
    <x v="1"/>
    <x v="131"/>
    <s v="UNIDADES"/>
    <n v="4850"/>
    <n v="0"/>
    <n v="0"/>
    <n v="0"/>
    <n v="0"/>
    <n v="0"/>
    <x v="1"/>
  </r>
  <r>
    <x v="2"/>
    <x v="10"/>
    <x v="4"/>
    <s v="PROTEINAS"/>
    <x v="1"/>
    <x v="131"/>
    <s v="UNIDADES"/>
    <n v="4850"/>
    <n v="13"/>
    <n v="11"/>
    <n v="-2"/>
    <n v="53350"/>
    <n v="-9700"/>
    <x v="2"/>
  </r>
  <r>
    <x v="2"/>
    <x v="14"/>
    <x v="0"/>
    <s v="PESCADOS Y MARISCOS"/>
    <x v="1"/>
    <x v="133"/>
    <s v="UNIDADES"/>
    <n v="12500"/>
    <n v="61"/>
    <n v="60"/>
    <n v="-1"/>
    <n v="750000"/>
    <n v="-12500"/>
    <x v="2"/>
  </r>
  <r>
    <x v="2"/>
    <x v="14"/>
    <x v="0"/>
    <s v="PESCADOS Y MARISCOS"/>
    <x v="1"/>
    <x v="136"/>
    <s v="UNIDADES"/>
    <n v="10877.77777778"/>
    <n v="110"/>
    <n v="110"/>
    <n v="0"/>
    <n v="1196555.5555558"/>
    <n v="0"/>
    <x v="1"/>
  </r>
  <r>
    <x v="2"/>
    <x v="15"/>
    <x v="1"/>
    <s v="PESCADOS Y MARISCOS"/>
    <x v="1"/>
    <x v="136"/>
    <s v="UNIDADES"/>
    <n v="10877.77777778"/>
    <n v="9"/>
    <n v="0"/>
    <n v="-9"/>
    <n v="0"/>
    <n v="-97900.000000019994"/>
    <x v="2"/>
  </r>
  <r>
    <x v="2"/>
    <x v="12"/>
    <x v="3"/>
    <s v="PESCADOS Y MARISCOS"/>
    <x v="1"/>
    <x v="139"/>
    <s v="GRAMOS"/>
    <n v="39"/>
    <n v="26653.5553"/>
    <n v="21210"/>
    <n v="-5443.5553019999998"/>
    <n v="827190"/>
    <n v="-212298.656778"/>
    <x v="2"/>
  </r>
  <r>
    <x v="2"/>
    <x v="14"/>
    <x v="0"/>
    <s v="PESCADOS Y MARISCOS"/>
    <x v="1"/>
    <x v="139"/>
    <s v="GRAMOS"/>
    <n v="39"/>
    <n v="22996.666300000001"/>
    <n v="20958"/>
    <n v="-2038.666305"/>
    <n v="817362"/>
    <n v="-79507.985895000005"/>
    <x v="2"/>
  </r>
  <r>
    <x v="2"/>
    <x v="13"/>
    <x v="2"/>
    <s v="PESCADOS Y MARISCOS"/>
    <x v="1"/>
    <x v="139"/>
    <s v="GRAMOS"/>
    <n v="39"/>
    <n v="26483.333299999998"/>
    <n v="27260"/>
    <n v="776.66667299999995"/>
    <n v="1063140"/>
    <n v="30290.000246999996"/>
    <x v="0"/>
  </r>
  <r>
    <x v="2"/>
    <x v="15"/>
    <x v="1"/>
    <s v="PESCADOS Y MARISCOS"/>
    <x v="1"/>
    <x v="139"/>
    <s v="GRAMOS"/>
    <n v="39"/>
    <n v="1123.3333"/>
    <n v="1300"/>
    <n v="176.66668000000001"/>
    <n v="50700"/>
    <n v="6890.0005200000005"/>
    <x v="0"/>
  </r>
  <r>
    <x v="2"/>
    <x v="10"/>
    <x v="4"/>
    <s v="PESCADOS Y MARISCOS"/>
    <x v="1"/>
    <x v="139"/>
    <s v="GRAMOS"/>
    <n v="39"/>
    <n v="21503.777699999999"/>
    <n v="25842"/>
    <n v="4338.2223450000001"/>
    <n v="1007838"/>
    <n v="169190.671455"/>
    <x v="0"/>
  </r>
  <r>
    <x v="2"/>
    <x v="14"/>
    <x v="0"/>
    <s v="VINOS"/>
    <x v="0"/>
    <x v="287"/>
    <s v="UNIDADES"/>
    <n v="75606"/>
    <n v="2"/>
    <n v="2"/>
    <n v="0"/>
    <n v="151212"/>
    <n v="0"/>
    <x v="1"/>
  </r>
  <r>
    <x v="2"/>
    <x v="12"/>
    <x v="3"/>
    <s v="VINOS"/>
    <x v="0"/>
    <x v="98"/>
    <s v="UNIDADES"/>
    <n v="108834"/>
    <n v="4"/>
    <n v="4"/>
    <n v="0"/>
    <n v="435336"/>
    <n v="0"/>
    <x v="1"/>
  </r>
  <r>
    <x v="2"/>
    <x v="14"/>
    <x v="0"/>
    <s v="VINOS"/>
    <x v="0"/>
    <x v="98"/>
    <s v="UNIDADES"/>
    <n v="95860"/>
    <n v="2"/>
    <n v="2"/>
    <n v="0"/>
    <n v="191720"/>
    <n v="0"/>
    <x v="1"/>
  </r>
  <r>
    <x v="2"/>
    <x v="13"/>
    <x v="2"/>
    <s v="VINOS"/>
    <x v="0"/>
    <x v="98"/>
    <s v="UNIDADES"/>
    <n v="108834"/>
    <n v="2"/>
    <n v="2"/>
    <n v="0"/>
    <n v="217668"/>
    <n v="0"/>
    <x v="1"/>
  </r>
  <r>
    <x v="2"/>
    <x v="10"/>
    <x v="4"/>
    <s v="VINOS"/>
    <x v="0"/>
    <x v="98"/>
    <s v="UNIDADES"/>
    <n v="108834"/>
    <n v="2"/>
    <n v="2"/>
    <n v="0"/>
    <n v="217668"/>
    <n v="0"/>
    <x v="1"/>
  </r>
  <r>
    <x v="2"/>
    <x v="12"/>
    <x v="3"/>
    <s v="FRUVER"/>
    <x v="1"/>
    <x v="520"/>
    <s v="GRAMOS"/>
    <n v="70"/>
    <n v="-9"/>
    <n v="0"/>
    <n v="9"/>
    <n v="0"/>
    <n v="630"/>
    <x v="0"/>
  </r>
  <r>
    <x v="2"/>
    <x v="14"/>
    <x v="0"/>
    <s v="FRUVER"/>
    <x v="1"/>
    <x v="520"/>
    <s v="GRAMOS"/>
    <n v="70"/>
    <n v="-170"/>
    <n v="0"/>
    <n v="170"/>
    <n v="0"/>
    <n v="11900"/>
    <x v="0"/>
  </r>
  <r>
    <x v="2"/>
    <x v="13"/>
    <x v="2"/>
    <s v="FRUVER"/>
    <x v="1"/>
    <x v="520"/>
    <s v="GRAMOS"/>
    <n v="70"/>
    <n v="-21"/>
    <n v="0"/>
    <n v="21"/>
    <n v="0"/>
    <n v="1470"/>
    <x v="0"/>
  </r>
  <r>
    <x v="2"/>
    <x v="15"/>
    <x v="1"/>
    <s v="FRUVER"/>
    <x v="1"/>
    <x v="520"/>
    <s v="GRAMOS"/>
    <n v="70"/>
    <n v="-29"/>
    <n v="0"/>
    <n v="29"/>
    <n v="0"/>
    <n v="2030"/>
    <x v="0"/>
  </r>
  <r>
    <x v="2"/>
    <x v="10"/>
    <x v="4"/>
    <s v="FRUVER"/>
    <x v="1"/>
    <x v="520"/>
    <s v="GRAMOS"/>
    <n v="70"/>
    <n v="576"/>
    <n v="806"/>
    <n v="230"/>
    <n v="56420"/>
    <n v="16100"/>
    <x v="0"/>
  </r>
  <r>
    <x v="2"/>
    <x v="12"/>
    <x v="3"/>
    <s v="FRUVER"/>
    <x v="1"/>
    <x v="521"/>
    <s v="GRAMOS"/>
    <n v="180"/>
    <n v="279"/>
    <n v="75"/>
    <n v="-404"/>
    <n v="13500"/>
    <n v="-72720"/>
    <x v="2"/>
  </r>
  <r>
    <x v="2"/>
    <x v="14"/>
    <x v="0"/>
    <s v="FRUVER"/>
    <x v="1"/>
    <x v="521"/>
    <s v="GRAMOS"/>
    <n v="511"/>
    <n v="-520"/>
    <n v="870"/>
    <n v="1390"/>
    <n v="444570"/>
    <n v="710290"/>
    <x v="0"/>
  </r>
  <r>
    <x v="2"/>
    <x v="13"/>
    <x v="2"/>
    <s v="FRUVER"/>
    <x v="1"/>
    <x v="521"/>
    <s v="GRAMOS"/>
    <n v="180"/>
    <n v="136"/>
    <n v="0"/>
    <n v="-136"/>
    <n v="0"/>
    <n v="-24480"/>
    <x v="2"/>
  </r>
  <r>
    <x v="2"/>
    <x v="15"/>
    <x v="1"/>
    <s v="FRUVER"/>
    <x v="1"/>
    <x v="521"/>
    <s v="GRAMOS"/>
    <n v="511"/>
    <n v="-4"/>
    <n v="0"/>
    <n v="4"/>
    <n v="0"/>
    <n v="2044"/>
    <x v="0"/>
  </r>
  <r>
    <x v="2"/>
    <x v="10"/>
    <x v="4"/>
    <s v="FRUVER"/>
    <x v="1"/>
    <x v="521"/>
    <s v="GRAMOS"/>
    <n v="180"/>
    <n v="441"/>
    <n v="72"/>
    <n v="-369"/>
    <n v="12960"/>
    <n v="-66420"/>
    <x v="2"/>
  </r>
  <r>
    <x v="2"/>
    <x v="15"/>
    <x v="1"/>
    <s v="LICORES"/>
    <x v="0"/>
    <x v="522"/>
    <s v="ONZA"/>
    <n v="5000"/>
    <n v="6"/>
    <n v="34.666666666666664"/>
    <n v="28.666666666666664"/>
    <n v="173333.33333333331"/>
    <n v="143333.33333333331"/>
    <x v="0"/>
  </r>
  <r>
    <x v="2"/>
    <x v="12"/>
    <x v="3"/>
    <s v="VINOS"/>
    <x v="0"/>
    <x v="236"/>
    <s v="UNIDADES"/>
    <n v="27250"/>
    <n v="1"/>
    <n v="1"/>
    <n v="0"/>
    <n v="27250"/>
    <n v="0"/>
    <x v="1"/>
  </r>
  <r>
    <x v="2"/>
    <x v="13"/>
    <x v="2"/>
    <s v="VINOS"/>
    <x v="0"/>
    <x v="236"/>
    <s v="UNIDADES"/>
    <n v="27250"/>
    <n v="0"/>
    <n v="0"/>
    <n v="0"/>
    <n v="0"/>
    <n v="0"/>
    <x v="1"/>
  </r>
  <r>
    <x v="2"/>
    <x v="10"/>
    <x v="4"/>
    <s v="VINOS"/>
    <x v="0"/>
    <x v="236"/>
    <s v="UNIDADES"/>
    <n v="27250"/>
    <n v="2"/>
    <n v="2"/>
    <n v="0"/>
    <n v="54500"/>
    <n v="0"/>
    <x v="1"/>
  </r>
  <r>
    <x v="2"/>
    <x v="12"/>
    <x v="3"/>
    <s v="VINOS"/>
    <x v="0"/>
    <x v="237"/>
    <s v="UNIDADES"/>
    <n v="87241.5"/>
    <n v="1"/>
    <n v="1"/>
    <n v="0"/>
    <n v="87241.5"/>
    <n v="0"/>
    <x v="1"/>
  </r>
  <r>
    <x v="2"/>
    <x v="13"/>
    <x v="2"/>
    <s v="VINOS"/>
    <x v="0"/>
    <x v="237"/>
    <s v="UNIDADES"/>
    <n v="87241.5"/>
    <n v="2"/>
    <n v="2"/>
    <n v="0"/>
    <n v="174483"/>
    <n v="0"/>
    <x v="1"/>
  </r>
  <r>
    <x v="2"/>
    <x v="10"/>
    <x v="4"/>
    <s v="VINOS"/>
    <x v="0"/>
    <x v="237"/>
    <s v="UNIDADES"/>
    <n v="87241.5"/>
    <n v="2"/>
    <n v="2"/>
    <n v="0"/>
    <n v="174483"/>
    <n v="0"/>
    <x v="1"/>
  </r>
  <r>
    <x v="2"/>
    <x v="12"/>
    <x v="3"/>
    <s v="INSUMOS BAR"/>
    <x v="0"/>
    <x v="523"/>
    <s v="GRAMOS"/>
    <n v="17"/>
    <n v="1075.2104999999999"/>
    <n v="1500"/>
    <n v="-575.21047799999997"/>
    <n v="25500"/>
    <n v="-9778.5781260000003"/>
    <x v="2"/>
  </r>
  <r>
    <x v="2"/>
    <x v="14"/>
    <x v="0"/>
    <s v="INSUMOS BAR"/>
    <x v="0"/>
    <x v="523"/>
    <s v="GRAMOS"/>
    <n v="13"/>
    <n v="3621.1259"/>
    <n v="758"/>
    <n v="-2863.1258699999998"/>
    <n v="9854"/>
    <n v="-37220.636310000002"/>
    <x v="2"/>
  </r>
  <r>
    <x v="2"/>
    <x v="13"/>
    <x v="2"/>
    <s v="INSUMOS BAR"/>
    <x v="0"/>
    <x v="523"/>
    <s v="GRAMOS"/>
    <n v="17"/>
    <n v="2288.4209999999998"/>
    <n v="1796"/>
    <n v="-492.42100599999998"/>
    <n v="30532"/>
    <n v="-8371.1571019999992"/>
    <x v="2"/>
  </r>
  <r>
    <x v="2"/>
    <x v="15"/>
    <x v="1"/>
    <s v="INSUMOS BAR"/>
    <x v="0"/>
    <x v="523"/>
    <s v="GRAMOS"/>
    <n v="13"/>
    <n v="-703.68420000000003"/>
    <n v="0"/>
    <n v="703.68423800000005"/>
    <n v="0"/>
    <n v="9147.8950940000013"/>
    <x v="0"/>
  </r>
  <r>
    <x v="2"/>
    <x v="10"/>
    <x v="4"/>
    <s v="INSUMOS BAR"/>
    <x v="0"/>
    <x v="523"/>
    <s v="GRAMOS"/>
    <n v="17"/>
    <n v="1371.8420000000001"/>
    <n v="1507"/>
    <n v="135.157994"/>
    <n v="25619"/>
    <n v="2297.6858980000002"/>
    <x v="0"/>
  </r>
  <r>
    <x v="2"/>
    <x v="12"/>
    <x v="3"/>
    <s v="FRUVER"/>
    <x v="1"/>
    <x v="524"/>
    <s v="GRAMOS"/>
    <n v="16"/>
    <n v="7982.7370000000001"/>
    <n v="700"/>
    <n v="-8282.7369990000007"/>
    <n v="11200"/>
    <n v="-132523.79198400001"/>
    <x v="2"/>
  </r>
  <r>
    <x v="2"/>
    <x v="14"/>
    <x v="0"/>
    <s v="FRUVER"/>
    <x v="1"/>
    <x v="524"/>
    <s v="GRAMOS"/>
    <n v="13"/>
    <n v="15021.1114"/>
    <n v="450"/>
    <n v="-14571.111386"/>
    <n v="5850"/>
    <n v="-189424.448018"/>
    <x v="2"/>
  </r>
  <r>
    <x v="2"/>
    <x v="13"/>
    <x v="2"/>
    <s v="FRUVER"/>
    <x v="1"/>
    <x v="524"/>
    <s v="GRAMOS"/>
    <n v="16"/>
    <n v="12184.2107"/>
    <n v="0"/>
    <n v="-14184.210677999999"/>
    <n v="0"/>
    <n v="-226947.37084799999"/>
    <x v="2"/>
  </r>
  <r>
    <x v="2"/>
    <x v="15"/>
    <x v="1"/>
    <s v="FRUVER"/>
    <x v="1"/>
    <x v="524"/>
    <s v="GRAMOS"/>
    <n v="13"/>
    <n v="1500"/>
    <n v="0"/>
    <n v="-1500"/>
    <n v="0"/>
    <n v="-19500"/>
    <x v="2"/>
  </r>
  <r>
    <x v="2"/>
    <x v="10"/>
    <x v="4"/>
    <s v="FRUVER"/>
    <x v="1"/>
    <x v="524"/>
    <s v="GRAMOS"/>
    <n v="16"/>
    <n v="12532.1055"/>
    <n v="1020"/>
    <n v="-11512.105548"/>
    <n v="16320"/>
    <n v="-184193.68876799999"/>
    <x v="2"/>
  </r>
  <r>
    <x v="2"/>
    <x v="12"/>
    <x v="3"/>
    <s v="INSUMOS BAR"/>
    <x v="0"/>
    <x v="525"/>
    <s v="GRAMOS"/>
    <n v="22.174666670000001"/>
    <n v="-20080.485799999999"/>
    <n v="19500"/>
    <n v="39580.485800000002"/>
    <n v="432406.00006500003"/>
    <n v="877684.0792516683"/>
    <x v="0"/>
  </r>
  <r>
    <x v="2"/>
    <x v="14"/>
    <x v="0"/>
    <s v="INSUMOS BAR"/>
    <x v="0"/>
    <x v="525"/>
    <s v="GRAMOS"/>
    <n v="3.96"/>
    <n v="-4100"/>
    <n v="0"/>
    <n v="4100"/>
    <n v="0"/>
    <n v="16236"/>
    <x v="0"/>
  </r>
  <r>
    <x v="2"/>
    <x v="13"/>
    <x v="2"/>
    <s v="INSUMOS BAR"/>
    <x v="0"/>
    <x v="525"/>
    <s v="GRAMOS"/>
    <n v="22.174666670000001"/>
    <n v="4500"/>
    <n v="1500"/>
    <n v="-3000"/>
    <n v="33262.000005000002"/>
    <n v="-66524.000010000003"/>
    <x v="2"/>
  </r>
  <r>
    <x v="2"/>
    <x v="15"/>
    <x v="1"/>
    <s v="INSUMOS BAR"/>
    <x v="0"/>
    <x v="525"/>
    <s v="GRAMOS"/>
    <n v="3.96"/>
    <n v="-500"/>
    <n v="0"/>
    <n v="500"/>
    <n v="0"/>
    <n v="1980"/>
    <x v="0"/>
  </r>
  <r>
    <x v="2"/>
    <x v="10"/>
    <x v="4"/>
    <s v="INSUMOS BAR"/>
    <x v="0"/>
    <x v="525"/>
    <s v="GRAMOS"/>
    <n v="22.174666670000001"/>
    <n v="2180"/>
    <n v="2"/>
    <n v="-2178"/>
    <n v="44.349333340000001"/>
    <n v="-48296.424007260001"/>
    <x v="2"/>
  </r>
  <r>
    <x v="2"/>
    <x v="12"/>
    <x v="3"/>
    <s v="ABARROTES"/>
    <x v="1"/>
    <x v="526"/>
    <s v="GRAMOS"/>
    <n v="20"/>
    <n v="0"/>
    <n v="2000"/>
    <n v="2000"/>
    <n v="40000"/>
    <n v="40000"/>
    <x v="0"/>
  </r>
  <r>
    <x v="2"/>
    <x v="13"/>
    <x v="2"/>
    <s v="ABARROTES"/>
    <x v="1"/>
    <x v="526"/>
    <s v="GRAMOS"/>
    <n v="20"/>
    <n v="0"/>
    <n v="3000"/>
    <n v="3000"/>
    <n v="60000"/>
    <n v="60000"/>
    <x v="0"/>
  </r>
  <r>
    <x v="2"/>
    <x v="16"/>
    <x v="5"/>
    <s v="ABARROTES"/>
    <x v="1"/>
    <x v="526"/>
    <s v="GRAMOS"/>
    <n v="20"/>
    <n v="14980"/>
    <n v="14980"/>
    <n v="0"/>
    <n v="299600"/>
    <n v="0"/>
    <x v="1"/>
  </r>
  <r>
    <x v="2"/>
    <x v="10"/>
    <x v="4"/>
    <s v="ABARROTES"/>
    <x v="1"/>
    <x v="526"/>
    <s v="GRAMOS"/>
    <n v="20"/>
    <n v="0"/>
    <n v="0"/>
    <n v="0"/>
    <n v="0"/>
    <n v="0"/>
    <x v="1"/>
  </r>
  <r>
    <x v="2"/>
    <x v="15"/>
    <x v="1"/>
    <s v="ABARROTES"/>
    <x v="1"/>
    <x v="527"/>
    <s v="GRAMOS"/>
    <n v="22.61"/>
    <n v="7856"/>
    <n v="9000"/>
    <n v="1144"/>
    <n v="203490"/>
    <n v="25865.84"/>
    <x v="0"/>
  </r>
  <r>
    <x v="2"/>
    <x v="15"/>
    <x v="1"/>
    <s v="ABARROTES"/>
    <x v="1"/>
    <x v="528"/>
    <s v="GRAMOS"/>
    <n v="35.155999999999999"/>
    <n v="550"/>
    <n v="450"/>
    <n v="-100"/>
    <n v="15820.199999999999"/>
    <n v="-3515.6"/>
    <x v="2"/>
  </r>
  <r>
    <x v="2"/>
    <x v="12"/>
    <x v="3"/>
    <s v="MATERIAL DE ASEO"/>
    <x v="3"/>
    <x v="529"/>
    <s v="GRAMOS"/>
    <n v="76.721052630000003"/>
    <n v="0"/>
    <n v="0"/>
    <n v="0"/>
    <n v="0"/>
    <n v="0"/>
    <x v="1"/>
  </r>
  <r>
    <x v="2"/>
    <x v="13"/>
    <x v="2"/>
    <s v="MATERIAL DE ASEO"/>
    <x v="3"/>
    <x v="529"/>
    <s v="GRAMOS"/>
    <n v="76.721052630000003"/>
    <n v="0"/>
    <n v="0"/>
    <n v="0"/>
    <n v="0"/>
    <n v="0"/>
    <x v="1"/>
  </r>
  <r>
    <x v="2"/>
    <x v="16"/>
    <x v="5"/>
    <s v="MATERIAL DE ASEO"/>
    <x v="3"/>
    <x v="529"/>
    <s v="GRAMOS"/>
    <n v="76.721052630000003"/>
    <n v="0"/>
    <n v="0"/>
    <n v="0"/>
    <n v="0"/>
    <n v="0"/>
    <x v="1"/>
  </r>
  <r>
    <x v="2"/>
    <x v="10"/>
    <x v="4"/>
    <s v="MATERIAL DE ASEO"/>
    <x v="3"/>
    <x v="529"/>
    <s v="GRAMOS"/>
    <n v="76.721052630000003"/>
    <n v="0"/>
    <n v="0"/>
    <n v="0"/>
    <n v="0"/>
    <n v="0"/>
    <x v="1"/>
  </r>
  <r>
    <x v="2"/>
    <x v="14"/>
    <x v="0"/>
    <s v="ABARROTES"/>
    <x v="1"/>
    <x v="530"/>
    <s v="GRAMOS"/>
    <n v="47.6"/>
    <n v="672.99850000000004"/>
    <n v="358"/>
    <n v="-314.99853999999999"/>
    <n v="17040.8"/>
    <n v="-14993.930504"/>
    <x v="2"/>
  </r>
  <r>
    <x v="2"/>
    <x v="15"/>
    <x v="1"/>
    <s v="ABARROTES"/>
    <x v="1"/>
    <x v="530"/>
    <s v="GRAMOS"/>
    <n v="47.6"/>
    <n v="0"/>
    <n v="0"/>
    <n v="0"/>
    <n v="0"/>
    <n v="0"/>
    <x v="1"/>
  </r>
  <r>
    <x v="2"/>
    <x v="15"/>
    <x v="1"/>
    <s v="LACTEOS"/>
    <x v="1"/>
    <x v="531"/>
    <s v="GRAMOS"/>
    <n v="23.916499999999999"/>
    <n v="2000"/>
    <n v="0"/>
    <n v="-2000"/>
    <n v="0"/>
    <n v="-47833"/>
    <x v="2"/>
  </r>
  <r>
    <x v="2"/>
    <x v="12"/>
    <x v="3"/>
    <s v="LICORES"/>
    <x v="0"/>
    <x v="4"/>
    <s v="ONZA"/>
    <n v="9648.9583333299997"/>
    <n v="27.38"/>
    <n v="27"/>
    <n v="-0.38"/>
    <n v="260521.87499990998"/>
    <n v="-3666.6041666654"/>
    <x v="2"/>
  </r>
  <r>
    <x v="2"/>
    <x v="14"/>
    <x v="0"/>
    <s v="LICORES"/>
    <x v="0"/>
    <x v="4"/>
    <s v="ONZA"/>
    <n v="9738.2016806699994"/>
    <n v="35"/>
    <n v="35"/>
    <n v="0"/>
    <n v="340837.05882345"/>
    <n v="0"/>
    <x v="1"/>
  </r>
  <r>
    <x v="2"/>
    <x v="13"/>
    <x v="2"/>
    <s v="LICORES"/>
    <x v="0"/>
    <x v="4"/>
    <s v="ONZA"/>
    <n v="9648.9583333299997"/>
    <n v="-3.2"/>
    <n v="0"/>
    <n v="3.2"/>
    <n v="0"/>
    <n v="30876.666666656001"/>
    <x v="0"/>
  </r>
  <r>
    <x v="2"/>
    <x v="15"/>
    <x v="1"/>
    <s v="LICORES"/>
    <x v="0"/>
    <x v="4"/>
    <s v="ONZA"/>
    <n v="9738.2016806699994"/>
    <n v="0"/>
    <n v="0"/>
    <n v="0"/>
    <n v="0"/>
    <n v="0"/>
    <x v="1"/>
  </r>
  <r>
    <x v="2"/>
    <x v="10"/>
    <x v="4"/>
    <s v="LICORES"/>
    <x v="0"/>
    <x v="4"/>
    <s v="ONZA"/>
    <n v="9648.9583333299997"/>
    <n v="6.4"/>
    <n v="7.87"/>
    <n v="1.47"/>
    <n v="75937.302083307106"/>
    <n v="14183.9687499951"/>
    <x v="0"/>
  </r>
  <r>
    <x v="2"/>
    <x v="12"/>
    <x v="3"/>
    <s v="LICORES"/>
    <x v="0"/>
    <x v="161"/>
    <s v="ONZA"/>
    <n v="4724.9090909099996"/>
    <n v="6.68"/>
    <n v="18"/>
    <n v="11.32"/>
    <n v="85048.363636379989"/>
    <n v="53485.970909101197"/>
    <x v="0"/>
  </r>
  <r>
    <x v="2"/>
    <x v="14"/>
    <x v="0"/>
    <s v="LICORES"/>
    <x v="0"/>
    <x v="161"/>
    <s v="ONZA"/>
    <n v="4724.9090909099996"/>
    <n v="60.18"/>
    <n v="54"/>
    <n v="-6.18"/>
    <n v="255145.09090913998"/>
    <n v="-29199.938181823796"/>
    <x v="2"/>
  </r>
  <r>
    <x v="2"/>
    <x v="13"/>
    <x v="2"/>
    <s v="LICORES"/>
    <x v="0"/>
    <x v="161"/>
    <s v="ONZA"/>
    <n v="4724.9090909099996"/>
    <n v="-3.48"/>
    <n v="10"/>
    <n v="13.48"/>
    <n v="47249.090909099992"/>
    <n v="63691.774545466797"/>
    <x v="0"/>
  </r>
  <r>
    <x v="2"/>
    <x v="15"/>
    <x v="1"/>
    <s v="LICORES"/>
    <x v="0"/>
    <x v="161"/>
    <s v="ONZA"/>
    <n v="4724.9090909099996"/>
    <n v="0"/>
    <n v="0"/>
    <n v="0"/>
    <n v="0"/>
    <n v="0"/>
    <x v="1"/>
  </r>
  <r>
    <x v="2"/>
    <x v="10"/>
    <x v="4"/>
    <s v="LICORES"/>
    <x v="0"/>
    <x v="161"/>
    <s v="ONZA"/>
    <n v="4724.9090909099996"/>
    <n v="24.52"/>
    <n v="34.6"/>
    <n v="10.08"/>
    <n v="163481.85454548598"/>
    <n v="47627.083636372794"/>
    <x v="0"/>
  </r>
  <r>
    <x v="2"/>
    <x v="12"/>
    <x v="3"/>
    <s v="LICORES"/>
    <x v="0"/>
    <x v="5"/>
    <s v="ONZA"/>
    <n v="6800.3640183199996"/>
    <n v="22.68"/>
    <n v="22"/>
    <n v="-0.68"/>
    <n v="149608.00840304"/>
    <n v="-4624.2475324575998"/>
    <x v="2"/>
  </r>
  <r>
    <x v="2"/>
    <x v="14"/>
    <x v="0"/>
    <s v="LICORES"/>
    <x v="0"/>
    <x v="5"/>
    <s v="ONZA"/>
    <n v="6800.3640183199996"/>
    <n v="37.020000000000003"/>
    <n v="38"/>
    <n v="0.98"/>
    <n v="258413.83269615998"/>
    <n v="6664.3567379535998"/>
    <x v="0"/>
  </r>
  <r>
    <x v="2"/>
    <x v="13"/>
    <x v="2"/>
    <s v="LICORES"/>
    <x v="0"/>
    <x v="5"/>
    <s v="ONZA"/>
    <n v="6800.3640183199996"/>
    <n v="7.68"/>
    <n v="8"/>
    <n v="0.32"/>
    <n v="54402.912146559996"/>
    <n v="2176.1164858623997"/>
    <x v="0"/>
  </r>
  <r>
    <x v="2"/>
    <x v="15"/>
    <x v="1"/>
    <s v="LICORES"/>
    <x v="0"/>
    <x v="5"/>
    <s v="ONZA"/>
    <n v="6800.3640183199996"/>
    <n v="49.94"/>
    <n v="54"/>
    <n v="4.0599999999999996"/>
    <n v="367219.65698927996"/>
    <n v="27609.477914379197"/>
    <x v="0"/>
  </r>
  <r>
    <x v="2"/>
    <x v="10"/>
    <x v="4"/>
    <s v="LICORES"/>
    <x v="0"/>
    <x v="5"/>
    <s v="ONZA"/>
    <n v="6800.3640183199996"/>
    <n v="24.27"/>
    <n v="25.65"/>
    <n v="1.38"/>
    <n v="174429.33706990798"/>
    <n v="9384.5023452815985"/>
    <x v="0"/>
  </r>
  <r>
    <x v="2"/>
    <x v="12"/>
    <x v="3"/>
    <s v="GASEOSAS Y SODAS"/>
    <x v="0"/>
    <x v="137"/>
    <s v="UNIDADES"/>
    <n v="1646.59232617"/>
    <n v="32.18"/>
    <n v="36.5"/>
    <n v="4.32"/>
    <n v="60100.619905205"/>
    <n v="7113.2788490544008"/>
    <x v="0"/>
  </r>
  <r>
    <x v="2"/>
    <x v="13"/>
    <x v="2"/>
    <s v="GASEOSAS Y SODAS"/>
    <x v="0"/>
    <x v="137"/>
    <s v="UNIDADES"/>
    <n v="1646.59232617"/>
    <n v="36.159999999999997"/>
    <n v="29"/>
    <n v="-7.16"/>
    <n v="47751.177458929997"/>
    <n v="-11789.601055377199"/>
    <x v="2"/>
  </r>
  <r>
    <x v="2"/>
    <x v="15"/>
    <x v="1"/>
    <s v="GASEOSAS Y SODAS"/>
    <x v="0"/>
    <x v="137"/>
    <s v="UNIDADES"/>
    <n v="1654.1729616299999"/>
    <n v="57.2"/>
    <n v="59"/>
    <n v="1.8"/>
    <n v="97596.204736169995"/>
    <n v="2977.5113309339999"/>
    <x v="0"/>
  </r>
  <r>
    <x v="2"/>
    <x v="10"/>
    <x v="4"/>
    <s v="GASEOSAS Y SODAS"/>
    <x v="0"/>
    <x v="137"/>
    <s v="UNIDADES"/>
    <n v="1646.59232617"/>
    <n v="20.21"/>
    <n v="15"/>
    <n v="-5.21"/>
    <n v="24698.884892549999"/>
    <n v="-8578.7460193456991"/>
    <x v="2"/>
  </r>
  <r>
    <x v="2"/>
    <x v="12"/>
    <x v="3"/>
    <s v="GASEOSAS Y SODAS"/>
    <x v="0"/>
    <x v="18"/>
    <s v="UNIDADES"/>
    <n v="5133.6666666700003"/>
    <n v="22.54"/>
    <n v="23"/>
    <n v="0.46"/>
    <n v="118074.33333341"/>
    <n v="2361.4866666682001"/>
    <x v="0"/>
  </r>
  <r>
    <x v="2"/>
    <x v="14"/>
    <x v="0"/>
    <s v="GASEOSAS Y SODAS"/>
    <x v="0"/>
    <x v="18"/>
    <s v="UNIDADES"/>
    <n v="5133.6666666700003"/>
    <n v="28.84"/>
    <n v="42"/>
    <n v="13.16"/>
    <n v="215614.00000014002"/>
    <n v="67559.053333377204"/>
    <x v="0"/>
  </r>
  <r>
    <x v="2"/>
    <x v="13"/>
    <x v="2"/>
    <s v="GASEOSAS Y SODAS"/>
    <x v="0"/>
    <x v="18"/>
    <s v="UNIDADES"/>
    <n v="5133.6666666700003"/>
    <n v="27.94"/>
    <n v="32"/>
    <n v="4.0599999999999996"/>
    <n v="164277.33333344001"/>
    <n v="20842.686666680198"/>
    <x v="0"/>
  </r>
  <r>
    <x v="2"/>
    <x v="15"/>
    <x v="1"/>
    <s v="GASEOSAS Y SODAS"/>
    <x v="0"/>
    <x v="18"/>
    <s v="UNIDADES"/>
    <n v="5133.6666666700003"/>
    <n v="16.29"/>
    <n v="22"/>
    <n v="5.71"/>
    <n v="112940.66666674"/>
    <n v="29313.236666685701"/>
    <x v="0"/>
  </r>
  <r>
    <x v="2"/>
    <x v="10"/>
    <x v="4"/>
    <s v="GASEOSAS Y SODAS"/>
    <x v="0"/>
    <x v="18"/>
    <s v="UNIDADES"/>
    <n v="5133.6666666700003"/>
    <n v="56.37"/>
    <n v="71"/>
    <n v="14.63"/>
    <n v="364490.33333357004"/>
    <n v="75105.543333382113"/>
    <x v="0"/>
  </r>
  <r>
    <x v="2"/>
    <x v="14"/>
    <x v="0"/>
    <s v="LICORES"/>
    <x v="0"/>
    <x v="37"/>
    <s v="ONZA"/>
    <n v="9166.6666666666661"/>
    <n v="64"/>
    <n v="64"/>
    <n v="0"/>
    <n v="586666.66666666663"/>
    <n v="0"/>
    <x v="1"/>
  </r>
  <r>
    <x v="2"/>
    <x v="14"/>
    <x v="0"/>
    <s v="LICORES"/>
    <x v="0"/>
    <x v="532"/>
    <s v="ONZA"/>
    <n v="9166.6666666666661"/>
    <n v="44"/>
    <n v="44"/>
    <n v="0"/>
    <n v="403333.33333333331"/>
    <n v="0"/>
    <x v="1"/>
  </r>
  <r>
    <x v="2"/>
    <x v="14"/>
    <x v="0"/>
    <s v="LICORES"/>
    <x v="0"/>
    <x v="331"/>
    <s v="ONZA"/>
    <n v="9166.6666666666661"/>
    <n v="44"/>
    <n v="44"/>
    <n v="0"/>
    <n v="403333.33333333331"/>
    <n v="0"/>
    <x v="1"/>
  </r>
  <r>
    <x v="2"/>
    <x v="15"/>
    <x v="1"/>
    <s v="ABARROTES"/>
    <x v="1"/>
    <x v="533"/>
    <s v="GRAMOS"/>
    <n v="24.14021164"/>
    <n v="256.33330000000001"/>
    <n v="700"/>
    <n v="443.666676"/>
    <n v="16898.148148"/>
    <n v="10710.207456255308"/>
    <x v="0"/>
  </r>
  <r>
    <x v="2"/>
    <x v="16"/>
    <x v="5"/>
    <s v="ABARROTES"/>
    <x v="1"/>
    <x v="533"/>
    <s v="GRAMOS"/>
    <n v="13.485147059999999"/>
    <n v="-1800"/>
    <n v="0"/>
    <n v="1800"/>
    <n v="0"/>
    <n v="24273.264707999999"/>
    <x v="0"/>
  </r>
  <r>
    <x v="2"/>
    <x v="12"/>
    <x v="3"/>
    <s v="LICORES"/>
    <x v="0"/>
    <x v="17"/>
    <s v="ONZA"/>
    <n v="3359.40909091"/>
    <n v="15.4"/>
    <n v="20"/>
    <n v="4.5999999999999996"/>
    <n v="67188.181818199999"/>
    <n v="15453.281818185998"/>
    <x v="0"/>
  </r>
  <r>
    <x v="2"/>
    <x v="14"/>
    <x v="0"/>
    <s v="LICORES"/>
    <x v="0"/>
    <x v="17"/>
    <s v="ONZA"/>
    <n v="3359.40909091"/>
    <n v="-0.5"/>
    <n v="17"/>
    <n v="17.5"/>
    <n v="57109.954545469998"/>
    <n v="58789.659090925001"/>
    <x v="0"/>
  </r>
  <r>
    <x v="2"/>
    <x v="13"/>
    <x v="2"/>
    <s v="LICORES"/>
    <x v="0"/>
    <x v="17"/>
    <s v="ONZA"/>
    <n v="3359.40909091"/>
    <n v="24.06"/>
    <n v="30"/>
    <n v="5.94"/>
    <n v="100782.27272730001"/>
    <n v="19954.890000005402"/>
    <x v="0"/>
  </r>
  <r>
    <x v="2"/>
    <x v="15"/>
    <x v="1"/>
    <s v="LICORES"/>
    <x v="0"/>
    <x v="17"/>
    <s v="ONZA"/>
    <n v="3359.40909091"/>
    <n v="35.36"/>
    <n v="29"/>
    <n v="-6.36"/>
    <n v="97422.86363639"/>
    <n v="-21365.8418181876"/>
    <x v="2"/>
  </r>
  <r>
    <x v="2"/>
    <x v="10"/>
    <x v="4"/>
    <s v="LICORES"/>
    <x v="0"/>
    <x v="17"/>
    <s v="ONZA"/>
    <n v="3359.40909091"/>
    <n v="27.55"/>
    <n v="31"/>
    <n v="3.45"/>
    <n v="104141.68181821"/>
    <n v="11589.961363639501"/>
    <x v="0"/>
  </r>
  <r>
    <x v="2"/>
    <x v="12"/>
    <x v="3"/>
    <s v="MATERIAL DE ASEO"/>
    <x v="3"/>
    <x v="534"/>
    <s v="UNIDADES"/>
    <n v="424.55"/>
    <n v="20"/>
    <n v="12"/>
    <n v="-8"/>
    <n v="5094.6000000000004"/>
    <n v="-3396.4"/>
    <x v="2"/>
  </r>
  <r>
    <x v="2"/>
    <x v="13"/>
    <x v="2"/>
    <s v="MATERIAL DE ASEO"/>
    <x v="3"/>
    <x v="534"/>
    <s v="UNIDADES"/>
    <n v="424.55"/>
    <n v="420"/>
    <n v="30"/>
    <n v="-390"/>
    <n v="12736.5"/>
    <n v="-165574.5"/>
    <x v="2"/>
  </r>
  <r>
    <x v="2"/>
    <x v="15"/>
    <x v="1"/>
    <s v="MATERIAL DE ASEO"/>
    <x v="3"/>
    <x v="534"/>
    <s v="UNIDADES"/>
    <n v="424.55"/>
    <n v="0"/>
    <n v="5"/>
    <n v="5"/>
    <n v="2122.75"/>
    <n v="2122.75"/>
    <x v="0"/>
  </r>
  <r>
    <x v="2"/>
    <x v="10"/>
    <x v="4"/>
    <s v="MATERIAL DE ASEO"/>
    <x v="3"/>
    <x v="534"/>
    <s v="UNIDADES"/>
    <n v="424.55"/>
    <n v="24"/>
    <n v="1"/>
    <n v="-23"/>
    <n v="424.55"/>
    <n v="-9764.65"/>
    <x v="2"/>
  </r>
  <r>
    <x v="2"/>
    <x v="12"/>
    <x v="3"/>
    <s v="MATERIAL DE ASEO"/>
    <x v="3"/>
    <x v="535"/>
    <s v="UNIDADES"/>
    <n v="4703.0555555600004"/>
    <n v="18"/>
    <n v="12"/>
    <n v="-6"/>
    <n v="56436.666666720004"/>
    <n v="-28218.333333360002"/>
    <x v="2"/>
  </r>
  <r>
    <x v="2"/>
    <x v="14"/>
    <x v="0"/>
    <s v="MATERIAL DE ASEO"/>
    <x v="3"/>
    <x v="535"/>
    <s v="UNIDADES"/>
    <n v="4703"/>
    <n v="18"/>
    <n v="1"/>
    <n v="-17"/>
    <n v="4703"/>
    <n v="-79951"/>
    <x v="2"/>
  </r>
  <r>
    <x v="2"/>
    <x v="13"/>
    <x v="2"/>
    <s v="MATERIAL DE ASEO"/>
    <x v="3"/>
    <x v="535"/>
    <s v="UNIDADES"/>
    <n v="4703.0555555600004"/>
    <n v="36"/>
    <n v="36"/>
    <n v="0"/>
    <n v="169310.00000016001"/>
    <n v="0"/>
    <x v="1"/>
  </r>
  <r>
    <x v="2"/>
    <x v="15"/>
    <x v="1"/>
    <s v="MATERIAL DE ASEO"/>
    <x v="3"/>
    <x v="535"/>
    <s v="UNIDADES"/>
    <n v="4703"/>
    <n v="42"/>
    <n v="6"/>
    <n v="-36"/>
    <n v="28218"/>
    <n v="-169308"/>
    <x v="2"/>
  </r>
  <r>
    <x v="2"/>
    <x v="16"/>
    <x v="5"/>
    <s v="MATERIAL DE ASEO"/>
    <x v="3"/>
    <x v="535"/>
    <s v="UNIDADES"/>
    <n v="4703.0555555600004"/>
    <n v="0"/>
    <n v="0"/>
    <n v="0"/>
    <n v="0"/>
    <n v="0"/>
    <x v="1"/>
  </r>
  <r>
    <x v="2"/>
    <x v="10"/>
    <x v="4"/>
    <s v="MATERIAL DE ASEO"/>
    <x v="3"/>
    <x v="535"/>
    <s v="UNIDADES"/>
    <n v="4703.0555555600004"/>
    <n v="15"/>
    <n v="2"/>
    <n v="-13"/>
    <n v="9406.1111111200007"/>
    <n v="-61139.722222280005"/>
    <x v="2"/>
  </r>
  <r>
    <x v="2"/>
    <x v="12"/>
    <x v="3"/>
    <s v="INSUMOS BAR"/>
    <x v="0"/>
    <x v="536"/>
    <s v="GRAMOS"/>
    <n v="482.66444444000001"/>
    <n v="167"/>
    <n v="0"/>
    <n v="-167"/>
    <n v="0"/>
    <n v="-80604.962221480004"/>
    <x v="2"/>
  </r>
  <r>
    <x v="2"/>
    <x v="14"/>
    <x v="0"/>
    <s v="INSUMOS BAR"/>
    <x v="0"/>
    <x v="536"/>
    <s v="GRAMOS"/>
    <n v="358.54340000000002"/>
    <n v="231"/>
    <n v="10"/>
    <n v="-221"/>
    <n v="3585.4340000000002"/>
    <n v="-79238.091400000005"/>
    <x v="2"/>
  </r>
  <r>
    <x v="2"/>
    <x v="13"/>
    <x v="2"/>
    <s v="INSUMOS BAR"/>
    <x v="0"/>
    <x v="536"/>
    <s v="GRAMOS"/>
    <n v="482.66444444000001"/>
    <n v="1577"/>
    <n v="2500"/>
    <n v="923"/>
    <n v="1206661.1111000001"/>
    <n v="445499.28221812"/>
    <x v="0"/>
  </r>
  <r>
    <x v="2"/>
    <x v="15"/>
    <x v="1"/>
    <s v="INSUMOS BAR"/>
    <x v="0"/>
    <x v="536"/>
    <s v="GRAMOS"/>
    <n v="358.54340000000002"/>
    <n v="444"/>
    <n v="400"/>
    <n v="-44"/>
    <n v="143417.36000000002"/>
    <n v="-15775.909600000001"/>
    <x v="2"/>
  </r>
  <r>
    <x v="2"/>
    <x v="10"/>
    <x v="4"/>
    <s v="INSUMOS BAR"/>
    <x v="0"/>
    <x v="536"/>
    <s v="GRAMOS"/>
    <n v="482.66444444000001"/>
    <n v="351"/>
    <n v="600"/>
    <n v="249"/>
    <n v="289598.66666400002"/>
    <n v="120183.44666556"/>
    <x v="0"/>
  </r>
  <r>
    <x v="2"/>
    <x v="12"/>
    <x v="3"/>
    <s v="LICORES"/>
    <x v="0"/>
    <x v="166"/>
    <s v="ONZA"/>
    <n v="10145.63636364"/>
    <n v="13"/>
    <n v="16"/>
    <n v="3"/>
    <n v="162330.18181824"/>
    <n v="30436.909090920002"/>
    <x v="0"/>
  </r>
  <r>
    <x v="2"/>
    <x v="13"/>
    <x v="2"/>
    <s v="LICORES"/>
    <x v="0"/>
    <x v="166"/>
    <s v="ONZA"/>
    <n v="10145.63636364"/>
    <n v="27"/>
    <n v="27"/>
    <n v="0"/>
    <n v="273932.18181828002"/>
    <n v="0"/>
    <x v="1"/>
  </r>
  <r>
    <x v="2"/>
    <x v="15"/>
    <x v="1"/>
    <s v="LICORES"/>
    <x v="0"/>
    <x v="166"/>
    <s v="ONZA"/>
    <n v="10145.63636364"/>
    <n v="0"/>
    <n v="0"/>
    <n v="0"/>
    <n v="0"/>
    <n v="0"/>
    <x v="1"/>
  </r>
  <r>
    <x v="2"/>
    <x v="10"/>
    <x v="4"/>
    <s v="LICORES"/>
    <x v="0"/>
    <x v="166"/>
    <s v="ONZA"/>
    <n v="10145.63636364"/>
    <n v="15.84"/>
    <n v="14.14"/>
    <n v="-1.7"/>
    <n v="143459.29818186961"/>
    <n v="-17247.581818187999"/>
    <x v="2"/>
  </r>
  <r>
    <x v="2"/>
    <x v="12"/>
    <x v="3"/>
    <s v="MATERIAL DE EMPAQUE"/>
    <x v="2"/>
    <x v="537"/>
    <s v="UNIDADES"/>
    <n v="119.25"/>
    <n v="258"/>
    <n v="200"/>
    <n v="-58"/>
    <n v="23850"/>
    <n v="-6916.5"/>
    <x v="2"/>
  </r>
  <r>
    <x v="2"/>
    <x v="13"/>
    <x v="2"/>
    <s v="MATERIAL DE EMPAQUE"/>
    <x v="2"/>
    <x v="537"/>
    <s v="UNIDADES"/>
    <n v="119.25"/>
    <n v="0"/>
    <n v="20"/>
    <n v="20"/>
    <n v="2385"/>
    <n v="2385"/>
    <x v="0"/>
  </r>
  <r>
    <x v="2"/>
    <x v="15"/>
    <x v="1"/>
    <s v="MATERIAL DE EMPAQUE"/>
    <x v="2"/>
    <x v="537"/>
    <s v="UNIDADES"/>
    <n v="119.25"/>
    <n v="1600"/>
    <n v="0"/>
    <n v="-1600"/>
    <n v="0"/>
    <n v="-190800"/>
    <x v="2"/>
  </r>
  <r>
    <x v="2"/>
    <x v="10"/>
    <x v="4"/>
    <s v="MATERIAL DE EMPAQUE"/>
    <x v="2"/>
    <x v="537"/>
    <s v="UNIDADES"/>
    <n v="119.25"/>
    <n v="101"/>
    <n v="1"/>
    <n v="-100"/>
    <n v="119.25"/>
    <n v="-11925"/>
    <x v="2"/>
  </r>
  <r>
    <x v="2"/>
    <x v="12"/>
    <x v="3"/>
    <s v="MATERIAL DE ASEO"/>
    <x v="3"/>
    <x v="538"/>
    <s v="UNIDADES"/>
    <n v="217.31714285999999"/>
    <n v="7"/>
    <n v="200"/>
    <n v="193"/>
    <n v="43463.428571999997"/>
    <n v="41942.208571980002"/>
    <x v="0"/>
  </r>
  <r>
    <x v="2"/>
    <x v="14"/>
    <x v="0"/>
    <s v="MATERIAL DE ASEO"/>
    <x v="3"/>
    <x v="538"/>
    <s v="UNIDADES"/>
    <n v="217.31714285999999"/>
    <n v="108"/>
    <n v="500"/>
    <n v="-103"/>
    <n v="108658.57143"/>
    <n v="-22383.665714579998"/>
    <x v="2"/>
  </r>
  <r>
    <x v="2"/>
    <x v="13"/>
    <x v="2"/>
    <s v="MATERIAL DE ASEO"/>
    <x v="3"/>
    <x v="538"/>
    <s v="UNIDADES"/>
    <n v="217.31714285999999"/>
    <n v="709"/>
    <n v="700"/>
    <n v="-702"/>
    <n v="152122.00000199999"/>
    <n v="-152556.63428771999"/>
    <x v="2"/>
  </r>
  <r>
    <x v="2"/>
    <x v="15"/>
    <x v="1"/>
    <s v="MATERIAL DE ASEO"/>
    <x v="3"/>
    <x v="538"/>
    <s v="UNIDADES"/>
    <n v="217.31714285999999"/>
    <n v="383"/>
    <n v="200"/>
    <n v="-381"/>
    <n v="43463.428571999997"/>
    <n v="-82797.83142966"/>
    <x v="2"/>
  </r>
  <r>
    <x v="2"/>
    <x v="16"/>
    <x v="5"/>
    <s v="MATERIAL DE ASEO"/>
    <x v="3"/>
    <x v="538"/>
    <s v="UNIDADES"/>
    <n v="217.31714285999999"/>
    <n v="0"/>
    <n v="0"/>
    <n v="0"/>
    <n v="0"/>
    <n v="0"/>
    <x v="1"/>
  </r>
  <r>
    <x v="2"/>
    <x v="10"/>
    <x v="4"/>
    <s v="MATERIAL DE ASEO"/>
    <x v="3"/>
    <x v="538"/>
    <s v="UNIDADES"/>
    <n v="217.31714285999999"/>
    <n v="9"/>
    <n v="200"/>
    <n v="-7"/>
    <n v="43463.428571999997"/>
    <n v="-1521.22000002"/>
    <x v="2"/>
  </r>
  <r>
    <x v="2"/>
    <x v="12"/>
    <x v="3"/>
    <s v="MATERIAL DE ASEO"/>
    <x v="3"/>
    <x v="539"/>
    <s v="UNIDADES"/>
    <n v="217.32"/>
    <n v="900"/>
    <n v="200"/>
    <n v="-700"/>
    <n v="43464"/>
    <n v="-152124"/>
    <x v="2"/>
  </r>
  <r>
    <x v="2"/>
    <x v="13"/>
    <x v="2"/>
    <s v="MATERIAL DE ASEO"/>
    <x v="3"/>
    <x v="539"/>
    <s v="UNIDADES"/>
    <n v="217.32"/>
    <n v="500"/>
    <n v="200"/>
    <n v="-498"/>
    <n v="43464"/>
    <n v="-108225.36"/>
    <x v="2"/>
  </r>
  <r>
    <x v="2"/>
    <x v="15"/>
    <x v="1"/>
    <s v="MATERIAL DE ASEO"/>
    <x v="3"/>
    <x v="539"/>
    <s v="UNIDADES"/>
    <n v="348.04"/>
    <n v="0"/>
    <n v="0"/>
    <n v="0"/>
    <n v="0"/>
    <n v="0"/>
    <x v="1"/>
  </r>
  <r>
    <x v="2"/>
    <x v="16"/>
    <x v="5"/>
    <s v="MATERIAL DE ASEO"/>
    <x v="3"/>
    <x v="539"/>
    <s v="UNIDADES"/>
    <n v="217.32"/>
    <n v="0"/>
    <n v="0"/>
    <n v="0"/>
    <n v="0"/>
    <n v="0"/>
    <x v="1"/>
  </r>
  <r>
    <x v="2"/>
    <x v="10"/>
    <x v="4"/>
    <s v="MATERIAL DE ASEO"/>
    <x v="3"/>
    <x v="539"/>
    <s v="UNIDADES"/>
    <n v="217.32"/>
    <n v="0"/>
    <n v="100"/>
    <n v="1"/>
    <n v="21732"/>
    <n v="217.32"/>
    <x v="0"/>
  </r>
  <r>
    <x v="2"/>
    <x v="12"/>
    <x v="3"/>
    <s v="MATERIAL DE ASEO"/>
    <x v="3"/>
    <x v="540"/>
    <s v="UNIDADES"/>
    <n v="217.32"/>
    <n v="4"/>
    <n v="100"/>
    <n v="96"/>
    <n v="21732"/>
    <n v="20862.72"/>
    <x v="0"/>
  </r>
  <r>
    <x v="2"/>
    <x v="14"/>
    <x v="0"/>
    <s v="MATERIAL DE ASEO"/>
    <x v="3"/>
    <x v="540"/>
    <s v="UNIDADES"/>
    <n v="217.32"/>
    <n v="5"/>
    <n v="100"/>
    <n v="-4"/>
    <n v="21732"/>
    <n v="-869.28"/>
    <x v="2"/>
  </r>
  <r>
    <x v="2"/>
    <x v="13"/>
    <x v="2"/>
    <s v="MATERIAL DE ASEO"/>
    <x v="3"/>
    <x v="540"/>
    <s v="UNIDADES"/>
    <n v="217.32"/>
    <n v="0"/>
    <n v="0"/>
    <n v="0"/>
    <n v="0"/>
    <n v="0"/>
    <x v="1"/>
  </r>
  <r>
    <x v="2"/>
    <x v="15"/>
    <x v="1"/>
    <s v="MATERIAL DE ASEO"/>
    <x v="3"/>
    <x v="540"/>
    <s v="UNIDADES"/>
    <n v="217.32"/>
    <n v="503"/>
    <n v="100"/>
    <n v="-502"/>
    <n v="21732"/>
    <n v="-109094.64"/>
    <x v="2"/>
  </r>
  <r>
    <x v="2"/>
    <x v="16"/>
    <x v="5"/>
    <s v="MATERIAL DE ASEO"/>
    <x v="3"/>
    <x v="540"/>
    <s v="UNIDADES"/>
    <n v="217.32"/>
    <n v="0"/>
    <n v="0"/>
    <n v="0"/>
    <n v="0"/>
    <n v="0"/>
    <x v="1"/>
  </r>
  <r>
    <x v="2"/>
    <x v="10"/>
    <x v="4"/>
    <s v="MATERIAL DE ASEO"/>
    <x v="3"/>
    <x v="540"/>
    <s v="UNIDADES"/>
    <n v="217.32"/>
    <n v="4"/>
    <n v="0"/>
    <n v="-4"/>
    <n v="0"/>
    <n v="-869.28"/>
    <x v="2"/>
  </r>
  <r>
    <x v="2"/>
    <x v="12"/>
    <x v="3"/>
    <s v="FRUVER"/>
    <x v="1"/>
    <x v="541"/>
    <s v="GRAMOS"/>
    <n v="2.8"/>
    <n v="2900"/>
    <n v="0"/>
    <n v="-2900"/>
    <n v="0"/>
    <n v="-8119.9999999999991"/>
    <x v="2"/>
  </r>
  <r>
    <x v="2"/>
    <x v="14"/>
    <x v="0"/>
    <s v="FRUVER"/>
    <x v="1"/>
    <x v="541"/>
    <s v="GRAMOS"/>
    <n v="2.5"/>
    <n v="3720"/>
    <n v="0"/>
    <n v="-3720"/>
    <n v="0"/>
    <n v="-9300"/>
    <x v="2"/>
  </r>
  <r>
    <x v="2"/>
    <x v="13"/>
    <x v="2"/>
    <s v="FRUVER"/>
    <x v="1"/>
    <x v="541"/>
    <s v="GRAMOS"/>
    <n v="2.8"/>
    <n v="9300"/>
    <n v="0"/>
    <n v="-9300"/>
    <n v="0"/>
    <n v="-26040"/>
    <x v="2"/>
  </r>
  <r>
    <x v="2"/>
    <x v="10"/>
    <x v="4"/>
    <s v="FRUVER"/>
    <x v="1"/>
    <x v="541"/>
    <s v="GRAMOS"/>
    <n v="2.8"/>
    <n v="2800"/>
    <n v="0"/>
    <n v="-2800"/>
    <n v="0"/>
    <n v="-7839.9999999999991"/>
    <x v="2"/>
  </r>
  <r>
    <x v="2"/>
    <x v="12"/>
    <x v="3"/>
    <s v="FRUVER"/>
    <x v="1"/>
    <x v="542"/>
    <s v="GRAMOS"/>
    <n v="9"/>
    <n v="-4860"/>
    <n v="0"/>
    <n v="4860"/>
    <n v="0"/>
    <n v="43740"/>
    <x v="0"/>
  </r>
  <r>
    <x v="2"/>
    <x v="14"/>
    <x v="0"/>
    <s v="FRUVER"/>
    <x v="1"/>
    <x v="542"/>
    <s v="GRAMOS"/>
    <n v="9"/>
    <n v="-9018"/>
    <n v="0"/>
    <n v="9018"/>
    <n v="0"/>
    <n v="81162"/>
    <x v="0"/>
  </r>
  <r>
    <x v="2"/>
    <x v="13"/>
    <x v="2"/>
    <s v="FRUVER"/>
    <x v="1"/>
    <x v="542"/>
    <s v="GRAMOS"/>
    <n v="9"/>
    <n v="-6400"/>
    <n v="0"/>
    <n v="6400"/>
    <n v="0"/>
    <n v="57600"/>
    <x v="0"/>
  </r>
  <r>
    <x v="2"/>
    <x v="15"/>
    <x v="1"/>
    <s v="FRUVER"/>
    <x v="1"/>
    <x v="542"/>
    <s v="GRAMOS"/>
    <n v="9"/>
    <n v="0"/>
    <n v="0"/>
    <n v="0"/>
    <n v="0"/>
    <n v="0"/>
    <x v="1"/>
  </r>
  <r>
    <x v="2"/>
    <x v="10"/>
    <x v="4"/>
    <s v="FRUVER"/>
    <x v="1"/>
    <x v="542"/>
    <s v="GRAMOS"/>
    <n v="9"/>
    <n v="-8046"/>
    <n v="0"/>
    <n v="8046"/>
    <n v="0"/>
    <n v="72414"/>
    <x v="0"/>
  </r>
  <r>
    <x v="2"/>
    <x v="12"/>
    <x v="3"/>
    <s v="FRUVER"/>
    <x v="1"/>
    <x v="543"/>
    <s v="GRAMOS"/>
    <n v="6.8"/>
    <n v="-1675.5554999999999"/>
    <n v="690"/>
    <n v="1865.5554770000001"/>
    <n v="4692"/>
    <n v="12685.7772436"/>
    <x v="0"/>
  </r>
  <r>
    <x v="2"/>
    <x v="13"/>
    <x v="2"/>
    <s v="FRUVER"/>
    <x v="1"/>
    <x v="543"/>
    <s v="GRAMOS"/>
    <n v="6.8"/>
    <n v="-197.77770000000001"/>
    <n v="0"/>
    <n v="197.77771200000001"/>
    <n v="0"/>
    <n v="1344.8884416000001"/>
    <x v="0"/>
  </r>
  <r>
    <x v="2"/>
    <x v="10"/>
    <x v="4"/>
    <s v="FRUVER"/>
    <x v="1"/>
    <x v="543"/>
    <s v="GRAMOS"/>
    <n v="6.8"/>
    <n v="-1857.2221"/>
    <n v="390"/>
    <n v="2247.2221159999999"/>
    <n v="2652"/>
    <n v="15281.1103888"/>
    <x v="0"/>
  </r>
  <r>
    <x v="2"/>
    <x v="15"/>
    <x v="1"/>
    <s v="ABARROTES"/>
    <x v="1"/>
    <x v="544"/>
    <s v="GRAMOS"/>
    <n v="10.33112583"/>
    <n v="2265"/>
    <n v="0"/>
    <n v="-2265"/>
    <n v="0"/>
    <n v="-23400.000004949998"/>
    <x v="2"/>
  </r>
  <r>
    <x v="2"/>
    <x v="12"/>
    <x v="3"/>
    <s v="ABARROTES"/>
    <x v="1"/>
    <x v="545"/>
    <s v="GRAMOS"/>
    <n v="4.2671999999999999"/>
    <n v="15295"/>
    <n v="2100"/>
    <n v="-15694.999980000001"/>
    <n v="8961.119999999999"/>
    <n v="-66973.703914655998"/>
    <x v="2"/>
  </r>
  <r>
    <x v="2"/>
    <x v="14"/>
    <x v="0"/>
    <s v="ABARROTES"/>
    <x v="1"/>
    <x v="545"/>
    <s v="GRAMOS"/>
    <n v="4.2671999999999999"/>
    <n v="37871"/>
    <n v="21000"/>
    <n v="-16871.000016000002"/>
    <n v="89611.199999999997"/>
    <n v="-71991.931268275206"/>
    <x v="2"/>
  </r>
  <r>
    <x v="2"/>
    <x v="13"/>
    <x v="2"/>
    <s v="ABARROTES"/>
    <x v="1"/>
    <x v="545"/>
    <s v="GRAMOS"/>
    <n v="4.2671999999999999"/>
    <n v="39931"/>
    <n v="11500"/>
    <n v="-33431"/>
    <n v="49072.799999999996"/>
    <n v="-142656.76319999999"/>
    <x v="2"/>
  </r>
  <r>
    <x v="2"/>
    <x v="15"/>
    <x v="1"/>
    <s v="ABARROTES"/>
    <x v="1"/>
    <x v="545"/>
    <s v="GRAMOS"/>
    <n v="4.2671999999999999"/>
    <n v="8854.75"/>
    <n v="3850"/>
    <n v="-5004.7500049999999"/>
    <n v="16428.72"/>
    <n v="-21356.269221335999"/>
    <x v="2"/>
  </r>
  <r>
    <x v="2"/>
    <x v="16"/>
    <x v="5"/>
    <s v="ABARROTES"/>
    <x v="1"/>
    <x v="545"/>
    <s v="GRAMOS"/>
    <n v="4.2671999999999999"/>
    <n v="14340"/>
    <n v="13500"/>
    <n v="-840"/>
    <n v="57607.199999999997"/>
    <n v="-3584.4479999999999"/>
    <x v="2"/>
  </r>
  <r>
    <x v="2"/>
    <x v="10"/>
    <x v="4"/>
    <s v="ABARROTES"/>
    <x v="1"/>
    <x v="545"/>
    <s v="GRAMOS"/>
    <n v="4.2671999999999999"/>
    <n v="39905"/>
    <n v="8000"/>
    <n v="-31905"/>
    <n v="34137.599999999999"/>
    <n v="-136145.016"/>
    <x v="2"/>
  </r>
  <r>
    <x v="2"/>
    <x v="12"/>
    <x v="3"/>
    <s v="ABARROTES"/>
    <x v="1"/>
    <x v="546"/>
    <s v="GRAMOS"/>
    <n v="3.7180833299999998"/>
    <n v="0"/>
    <n v="0"/>
    <n v="0"/>
    <n v="0"/>
    <n v="0"/>
    <x v="1"/>
  </r>
  <r>
    <x v="2"/>
    <x v="14"/>
    <x v="0"/>
    <s v="ABARROTES"/>
    <x v="1"/>
    <x v="546"/>
    <s v="GRAMOS"/>
    <n v="3.718"/>
    <n v="6210"/>
    <n v="4300"/>
    <n v="-1910"/>
    <n v="15987.4"/>
    <n v="-7101.38"/>
    <x v="2"/>
  </r>
  <r>
    <x v="2"/>
    <x v="13"/>
    <x v="2"/>
    <s v="ABARROTES"/>
    <x v="1"/>
    <x v="546"/>
    <s v="GRAMOS"/>
    <n v="3.7180833299999998"/>
    <n v="0"/>
    <n v="0"/>
    <n v="0"/>
    <n v="0"/>
    <n v="0"/>
    <x v="1"/>
  </r>
  <r>
    <x v="2"/>
    <x v="15"/>
    <x v="1"/>
    <s v="ABARROTES"/>
    <x v="1"/>
    <x v="546"/>
    <s v="GRAMOS"/>
    <n v="3.718"/>
    <n v="0"/>
    <n v="0"/>
    <n v="0"/>
    <n v="0"/>
    <n v="0"/>
    <x v="1"/>
  </r>
  <r>
    <x v="2"/>
    <x v="16"/>
    <x v="5"/>
    <s v="ABARROTES"/>
    <x v="1"/>
    <x v="546"/>
    <s v="GRAMOS"/>
    <n v="3.7180833299999998"/>
    <n v="9500"/>
    <n v="6000"/>
    <n v="-3500"/>
    <n v="22308.499980000001"/>
    <n v="-13013.291654999999"/>
    <x v="2"/>
  </r>
  <r>
    <x v="2"/>
    <x v="10"/>
    <x v="4"/>
    <s v="ABARROTES"/>
    <x v="1"/>
    <x v="546"/>
    <s v="GRAMOS"/>
    <n v="3.7180833299999998"/>
    <n v="518"/>
    <n v="0"/>
    <n v="-518"/>
    <n v="0"/>
    <n v="-1925.96716494"/>
    <x v="2"/>
  </r>
  <r>
    <x v="2"/>
    <x v="12"/>
    <x v="3"/>
    <s v="MATERIAL DE EMPAQUE"/>
    <x v="2"/>
    <x v="547"/>
    <s v="UNIDADES"/>
    <n v="136.85"/>
    <n v="0"/>
    <n v="1"/>
    <n v="1"/>
    <n v="136.85"/>
    <n v="136.85"/>
    <x v="0"/>
  </r>
  <r>
    <x v="2"/>
    <x v="13"/>
    <x v="2"/>
    <s v="MATERIAL DE EMPAQUE"/>
    <x v="2"/>
    <x v="547"/>
    <s v="UNIDADES"/>
    <n v="136.85"/>
    <n v="100"/>
    <n v="58"/>
    <n v="-42"/>
    <n v="7937.2999999999993"/>
    <n v="-5747.7"/>
    <x v="2"/>
  </r>
  <r>
    <x v="2"/>
    <x v="10"/>
    <x v="4"/>
    <s v="MATERIAL DE EMPAQUE"/>
    <x v="2"/>
    <x v="547"/>
    <s v="UNIDADES"/>
    <n v="136.85"/>
    <n v="202"/>
    <n v="0"/>
    <n v="-202"/>
    <n v="0"/>
    <n v="-27643.699999999997"/>
    <x v="2"/>
  </r>
  <r>
    <x v="2"/>
    <x v="14"/>
    <x v="0"/>
    <s v="CERVEZAS"/>
    <x v="0"/>
    <x v="157"/>
    <s v="UNIDADES"/>
    <n v="3601.6666666699998"/>
    <n v="57"/>
    <n v="48"/>
    <n v="-9"/>
    <n v="172880.00000015998"/>
    <n v="-32415.000000029999"/>
    <x v="2"/>
  </r>
  <r>
    <x v="2"/>
    <x v="12"/>
    <x v="3"/>
    <s v="FRUVER"/>
    <x v="1"/>
    <x v="548"/>
    <s v="GRAMOS"/>
    <n v="33"/>
    <n v="3122"/>
    <n v="1074"/>
    <n v="-2047.9999969"/>
    <n v="35442"/>
    <n v="-67583.999897700007"/>
    <x v="2"/>
  </r>
  <r>
    <x v="2"/>
    <x v="14"/>
    <x v="0"/>
    <s v="FRUVER"/>
    <x v="1"/>
    <x v="548"/>
    <s v="GRAMOS"/>
    <n v="31.5"/>
    <n v="-839.2835"/>
    <n v="121"/>
    <n v="960.28352610000002"/>
    <n v="3811.5"/>
    <n v="30248.931072150001"/>
    <x v="0"/>
  </r>
  <r>
    <x v="2"/>
    <x v="13"/>
    <x v="2"/>
    <s v="FRUVER"/>
    <x v="1"/>
    <x v="548"/>
    <s v="GRAMOS"/>
    <n v="33"/>
    <n v="1221.3333"/>
    <n v="0"/>
    <n v="-1221.3333313999999"/>
    <n v="0"/>
    <n v="-40303.999936199994"/>
    <x v="2"/>
  </r>
  <r>
    <x v="2"/>
    <x v="15"/>
    <x v="1"/>
    <s v="FRUVER"/>
    <x v="1"/>
    <x v="548"/>
    <s v="GRAMOS"/>
    <n v="31.5"/>
    <n v="-96"/>
    <n v="200"/>
    <n v="296"/>
    <n v="6300"/>
    <n v="9324"/>
    <x v="0"/>
  </r>
  <r>
    <x v="2"/>
    <x v="10"/>
    <x v="4"/>
    <s v="FRUVER"/>
    <x v="1"/>
    <x v="548"/>
    <s v="GRAMOS"/>
    <n v="33"/>
    <n v="854.22220000000004"/>
    <n v="0"/>
    <n v="-854.22222250000004"/>
    <n v="0"/>
    <n v="-28189.333342500002"/>
    <x v="2"/>
  </r>
  <r>
    <x v="2"/>
    <x v="12"/>
    <x v="3"/>
    <s v="INSUMOS BAR"/>
    <x v="0"/>
    <x v="549"/>
    <s v="GRAMOS"/>
    <n v="16"/>
    <n v="-2928.8245999999999"/>
    <n v="1012"/>
    <n v="3940.8246316999998"/>
    <n v="16192"/>
    <n v="63053.194107199997"/>
    <x v="0"/>
  </r>
  <r>
    <x v="2"/>
    <x v="14"/>
    <x v="0"/>
    <s v="INSUMOS BAR"/>
    <x v="0"/>
    <x v="549"/>
    <s v="GRAMOS"/>
    <n v="16"/>
    <n v="-5841.6666999999998"/>
    <n v="108"/>
    <n v="5949.6666691"/>
    <n v="1728"/>
    <n v="95194.666705600001"/>
    <x v="0"/>
  </r>
  <r>
    <x v="2"/>
    <x v="13"/>
    <x v="2"/>
    <s v="INSUMOS BAR"/>
    <x v="0"/>
    <x v="549"/>
    <s v="GRAMOS"/>
    <n v="16"/>
    <n v="-2707.7808"/>
    <n v="500"/>
    <n v="3207.7807637999999"/>
    <n v="8000"/>
    <n v="51324.492220799999"/>
    <x v="0"/>
  </r>
  <r>
    <x v="2"/>
    <x v="15"/>
    <x v="1"/>
    <s v="INSUMOS BAR"/>
    <x v="0"/>
    <x v="549"/>
    <s v="GRAMOS"/>
    <n v="16"/>
    <n v="-101.5"/>
    <n v="200"/>
    <n v="301.50001250000003"/>
    <n v="3200"/>
    <n v="4824.0002000000004"/>
    <x v="0"/>
  </r>
  <r>
    <x v="2"/>
    <x v="10"/>
    <x v="4"/>
    <s v="INSUMOS BAR"/>
    <x v="0"/>
    <x v="549"/>
    <s v="GRAMOS"/>
    <n v="16"/>
    <n v="-6038.7019"/>
    <n v="1305"/>
    <n v="7343.7018791999999"/>
    <n v="20880"/>
    <n v="117499.2300672"/>
    <x v="0"/>
  </r>
  <r>
    <x v="2"/>
    <x v="12"/>
    <x v="3"/>
    <s v="MATERIAL DE ASEO"/>
    <x v="3"/>
    <x v="550"/>
    <s v="GRAMOS"/>
    <n v="2.6021000000000001"/>
    <n v="60000"/>
    <n v="0"/>
    <n v="-60000"/>
    <n v="0"/>
    <n v="-156126"/>
    <x v="2"/>
  </r>
  <r>
    <x v="2"/>
    <x v="14"/>
    <x v="0"/>
    <s v="MATERIAL DE ASEO"/>
    <x v="3"/>
    <x v="550"/>
    <s v="GRAMOS"/>
    <n v="5.4529500000000004"/>
    <n v="52600"/>
    <n v="10"/>
    <n v="-52590"/>
    <n v="54.529500000000006"/>
    <n v="-286770.64050000004"/>
    <x v="2"/>
  </r>
  <r>
    <x v="2"/>
    <x v="13"/>
    <x v="2"/>
    <s v="MATERIAL DE ASEO"/>
    <x v="3"/>
    <x v="550"/>
    <s v="GRAMOS"/>
    <n v="2.6021000000000001"/>
    <n v="20000"/>
    <n v="5000"/>
    <n v="-15000"/>
    <n v="13010.5"/>
    <n v="-39031.5"/>
    <x v="2"/>
  </r>
  <r>
    <x v="2"/>
    <x v="15"/>
    <x v="1"/>
    <s v="MATERIAL DE ASEO"/>
    <x v="3"/>
    <x v="550"/>
    <s v="GRAMOS"/>
    <n v="5.4529500000000004"/>
    <n v="63500"/>
    <n v="10000"/>
    <n v="-53500"/>
    <n v="54529.500000000007"/>
    <n v="-291732.82500000001"/>
    <x v="2"/>
  </r>
  <r>
    <x v="2"/>
    <x v="10"/>
    <x v="4"/>
    <s v="MATERIAL DE ASEO"/>
    <x v="3"/>
    <x v="550"/>
    <s v="GRAMOS"/>
    <n v="2.6021000000000001"/>
    <n v="65456"/>
    <n v="16000"/>
    <n v="-49456"/>
    <n v="41633.599999999999"/>
    <n v="-128689.45760000001"/>
    <x v="2"/>
  </r>
  <r>
    <x v="2"/>
    <x v="12"/>
    <x v="3"/>
    <s v="FRUVER"/>
    <x v="1"/>
    <x v="551"/>
    <s v="UNIDADES"/>
    <n v="4000"/>
    <n v="497.5"/>
    <n v="1"/>
    <n v="-496.5"/>
    <n v="4000"/>
    <n v="-1986000"/>
    <x v="2"/>
  </r>
  <r>
    <x v="2"/>
    <x v="13"/>
    <x v="2"/>
    <s v="FRUVER"/>
    <x v="1"/>
    <x v="551"/>
    <s v="UNIDADES"/>
    <n v="4000"/>
    <n v="497.5"/>
    <n v="524"/>
    <n v="26.5"/>
    <n v="2096000"/>
    <n v="106000"/>
    <x v="0"/>
  </r>
  <r>
    <x v="2"/>
    <x v="10"/>
    <x v="4"/>
    <s v="FRUVER"/>
    <x v="1"/>
    <x v="551"/>
    <s v="UNIDADES"/>
    <n v="4000"/>
    <n v="-104"/>
    <n v="158"/>
    <n v="262"/>
    <n v="632000"/>
    <n v="1048000"/>
    <x v="0"/>
  </r>
  <r>
    <x v="2"/>
    <x v="12"/>
    <x v="3"/>
    <s v="INSUMOS BAR"/>
    <x v="0"/>
    <x v="552"/>
    <s v="GRAMOS"/>
    <n v="100"/>
    <n v="252"/>
    <n v="252"/>
    <n v="0"/>
    <n v="25200"/>
    <n v="0"/>
    <x v="1"/>
  </r>
  <r>
    <x v="2"/>
    <x v="13"/>
    <x v="2"/>
    <s v="INSUMOS BAR"/>
    <x v="0"/>
    <x v="552"/>
    <s v="GRAMOS"/>
    <n v="100"/>
    <n v="0"/>
    <n v="0"/>
    <n v="0"/>
    <n v="0"/>
    <n v="0"/>
    <x v="1"/>
  </r>
  <r>
    <x v="2"/>
    <x v="10"/>
    <x v="4"/>
    <s v="INSUMOS BAR"/>
    <x v="0"/>
    <x v="552"/>
    <s v="GRAMOS"/>
    <n v="100"/>
    <n v="364"/>
    <n v="364"/>
    <n v="0"/>
    <n v="36400"/>
    <n v="0"/>
    <x v="1"/>
  </r>
  <r>
    <x v="2"/>
    <x v="12"/>
    <x v="3"/>
    <s v="ABARROTES"/>
    <x v="1"/>
    <x v="553"/>
    <s v="GRAMOS"/>
    <n v="69.02"/>
    <n v="492"/>
    <n v="0"/>
    <n v="-492"/>
    <n v="0"/>
    <n v="-33957.839999999997"/>
    <x v="2"/>
  </r>
  <r>
    <x v="2"/>
    <x v="14"/>
    <x v="0"/>
    <s v="ABARROTES"/>
    <x v="1"/>
    <x v="553"/>
    <s v="GRAMOS"/>
    <n v="69.02"/>
    <n v="1340"/>
    <n v="830"/>
    <n v="-510"/>
    <n v="57286.6"/>
    <n v="-35200.199999999997"/>
    <x v="2"/>
  </r>
  <r>
    <x v="2"/>
    <x v="13"/>
    <x v="2"/>
    <s v="ABARROTES"/>
    <x v="1"/>
    <x v="553"/>
    <s v="GRAMOS"/>
    <n v="69.02"/>
    <n v="4037.3332999999998"/>
    <n v="1500"/>
    <n v="-2537.3333360000001"/>
    <n v="103530"/>
    <n v="-175126.74685072"/>
    <x v="2"/>
  </r>
  <r>
    <x v="2"/>
    <x v="10"/>
    <x v="4"/>
    <s v="ABARROTES"/>
    <x v="1"/>
    <x v="553"/>
    <s v="GRAMOS"/>
    <n v="69.02"/>
    <n v="894"/>
    <n v="0"/>
    <n v="-894"/>
    <n v="0"/>
    <n v="-61703.88"/>
    <x v="2"/>
  </r>
  <r>
    <x v="2"/>
    <x v="14"/>
    <x v="0"/>
    <s v="PESCADOS Y MARISCOS"/>
    <x v="1"/>
    <x v="140"/>
    <s v="GRAMOS"/>
    <n v="9.5"/>
    <n v="1008"/>
    <n v="986"/>
    <n v="-22"/>
    <n v="9367"/>
    <n v="-209"/>
    <x v="2"/>
  </r>
  <r>
    <x v="2"/>
    <x v="12"/>
    <x v="3"/>
    <s v="ABARROTES"/>
    <x v="1"/>
    <x v="554"/>
    <s v="UNIDADES"/>
    <n v="354.16666666999998"/>
    <n v="346"/>
    <n v="136"/>
    <n v="-210"/>
    <n v="48166.66666712"/>
    <n v="-74375.000000699991"/>
    <x v="2"/>
  </r>
  <r>
    <x v="2"/>
    <x v="13"/>
    <x v="2"/>
    <s v="ABARROTES"/>
    <x v="1"/>
    <x v="554"/>
    <s v="UNIDADES"/>
    <n v="354.16666666999998"/>
    <n v="437.5"/>
    <n v="206"/>
    <n v="-231.5"/>
    <n v="72958.33333401999"/>
    <n v="-81989.583334105002"/>
    <x v="2"/>
  </r>
  <r>
    <x v="2"/>
    <x v="10"/>
    <x v="4"/>
    <s v="ABARROTES"/>
    <x v="1"/>
    <x v="554"/>
    <s v="UNIDADES"/>
    <n v="354.16666666999998"/>
    <n v="310"/>
    <n v="0"/>
    <n v="-310"/>
    <n v="0"/>
    <n v="-109791.66666769999"/>
    <x v="2"/>
  </r>
  <r>
    <x v="2"/>
    <x v="12"/>
    <x v="3"/>
    <s v="ABARROTES"/>
    <x v="1"/>
    <x v="555"/>
    <s v="UNIDADES"/>
    <n v="726.66666667000004"/>
    <n v="171"/>
    <n v="26"/>
    <n v="-145"/>
    <n v="18893.33333342"/>
    <n v="-105366.66666715"/>
    <x v="2"/>
  </r>
  <r>
    <x v="2"/>
    <x v="14"/>
    <x v="0"/>
    <s v="ABARROTES"/>
    <x v="1"/>
    <x v="555"/>
    <s v="UNIDADES"/>
    <n v="726.66666667000004"/>
    <n v="716.96259999999995"/>
    <n v="132"/>
    <n v="-584.96256200000005"/>
    <n v="95920.000000440006"/>
    <n v="-425072.79505528329"/>
    <x v="2"/>
  </r>
  <r>
    <x v="2"/>
    <x v="13"/>
    <x v="2"/>
    <s v="ABARROTES"/>
    <x v="1"/>
    <x v="555"/>
    <s v="UNIDADES"/>
    <n v="726.66666667000004"/>
    <n v="555.5"/>
    <n v="196"/>
    <n v="-359.5"/>
    <n v="142426.66666732001"/>
    <n v="-261236.66666786501"/>
    <x v="2"/>
  </r>
  <r>
    <x v="2"/>
    <x v="15"/>
    <x v="1"/>
    <s v="ABARROTES"/>
    <x v="1"/>
    <x v="555"/>
    <s v="UNIDADES"/>
    <n v="726.66666667000004"/>
    <n v="589.21730000000002"/>
    <n v="0"/>
    <n v="-589.21732499999996"/>
    <n v="0"/>
    <n v="-428164.58950196404"/>
    <x v="2"/>
  </r>
  <r>
    <x v="2"/>
    <x v="16"/>
    <x v="5"/>
    <s v="ABARROTES"/>
    <x v="1"/>
    <x v="555"/>
    <s v="UNIDADES"/>
    <n v="726.66666667000004"/>
    <n v="119"/>
    <n v="96"/>
    <n v="-23"/>
    <n v="69760.000000319997"/>
    <n v="-16713.333333410003"/>
    <x v="2"/>
  </r>
  <r>
    <x v="2"/>
    <x v="10"/>
    <x v="4"/>
    <s v="ABARROTES"/>
    <x v="1"/>
    <x v="555"/>
    <s v="UNIDADES"/>
    <n v="726.66666667000004"/>
    <n v="617.5"/>
    <n v="36"/>
    <n v="-581.5"/>
    <n v="26160.000000120002"/>
    <n v="-422556.666668605"/>
    <x v="2"/>
  </r>
  <r>
    <x v="2"/>
    <x v="12"/>
    <x v="3"/>
    <s v="MATERIAL DE ASEO"/>
    <x v="3"/>
    <x v="556"/>
    <s v="UNIDADES"/>
    <n v="68049"/>
    <n v="0"/>
    <n v="2"/>
    <n v="2"/>
    <n v="136098"/>
    <n v="136098"/>
    <x v="0"/>
  </r>
  <r>
    <x v="2"/>
    <x v="14"/>
    <x v="0"/>
    <s v="MATERIAL DE ASEO"/>
    <x v="3"/>
    <x v="556"/>
    <s v="UNIDADES"/>
    <n v="68049"/>
    <n v="6"/>
    <n v="3"/>
    <n v="-3"/>
    <n v="204147"/>
    <n v="-204147"/>
    <x v="2"/>
  </r>
  <r>
    <x v="2"/>
    <x v="13"/>
    <x v="2"/>
    <s v="MATERIAL DE ASEO"/>
    <x v="3"/>
    <x v="556"/>
    <s v="UNIDADES"/>
    <n v="68049"/>
    <n v="1"/>
    <n v="0"/>
    <n v="-1"/>
    <n v="0"/>
    <n v="-68049"/>
    <x v="2"/>
  </r>
  <r>
    <x v="2"/>
    <x v="15"/>
    <x v="1"/>
    <s v="MATERIAL DE ASEO"/>
    <x v="3"/>
    <x v="556"/>
    <s v="UNIDADES"/>
    <n v="68049"/>
    <n v="6"/>
    <n v="3"/>
    <n v="-3"/>
    <n v="204147"/>
    <n v="-204147"/>
    <x v="2"/>
  </r>
  <r>
    <x v="2"/>
    <x v="10"/>
    <x v="4"/>
    <s v="MATERIAL DE ASEO"/>
    <x v="3"/>
    <x v="556"/>
    <s v="UNIDADES"/>
    <n v="68049"/>
    <n v="4"/>
    <n v="2"/>
    <n v="-2"/>
    <n v="136098"/>
    <n v="-136098"/>
    <x v="2"/>
  </r>
  <r>
    <x v="2"/>
    <x v="14"/>
    <x v="0"/>
    <s v="MATERIAL DE ASEO"/>
    <x v="3"/>
    <x v="557"/>
    <s v="UNIDADES"/>
    <n v="20657"/>
    <n v="0"/>
    <n v="1"/>
    <n v="1"/>
    <n v="20657"/>
    <n v="20657"/>
    <x v="0"/>
  </r>
  <r>
    <x v="2"/>
    <x v="15"/>
    <x v="1"/>
    <s v="MATERIAL DE ASEO"/>
    <x v="3"/>
    <x v="557"/>
    <s v="UNIDADES"/>
    <n v="20657"/>
    <n v="2"/>
    <n v="1"/>
    <n v="-1"/>
    <n v="20657"/>
    <n v="-20657"/>
    <x v="2"/>
  </r>
  <r>
    <x v="2"/>
    <x v="12"/>
    <x v="3"/>
    <s v="MATERIAL DE ASEO"/>
    <x v="3"/>
    <x v="558"/>
    <s v="UNIDADES"/>
    <n v="4516"/>
    <n v="1"/>
    <n v="0"/>
    <n v="-1"/>
    <n v="0"/>
    <n v="-4516"/>
    <x v="2"/>
  </r>
  <r>
    <x v="2"/>
    <x v="13"/>
    <x v="2"/>
    <s v="MATERIAL DE ASEO"/>
    <x v="3"/>
    <x v="558"/>
    <s v="UNIDADES"/>
    <n v="4516"/>
    <n v="1"/>
    <n v="2"/>
    <n v="-1"/>
    <n v="9032"/>
    <n v="-4516"/>
    <x v="2"/>
  </r>
  <r>
    <x v="2"/>
    <x v="15"/>
    <x v="1"/>
    <s v="MATERIAL DE ASEO"/>
    <x v="3"/>
    <x v="558"/>
    <s v="UNIDADES"/>
    <n v="4516"/>
    <n v="2"/>
    <n v="0"/>
    <n v="-2"/>
    <n v="0"/>
    <n v="-9032"/>
    <x v="2"/>
  </r>
  <r>
    <x v="2"/>
    <x v="10"/>
    <x v="4"/>
    <s v="MATERIAL DE ASEO"/>
    <x v="3"/>
    <x v="558"/>
    <s v="UNIDADES"/>
    <n v="4516"/>
    <n v="5"/>
    <n v="1"/>
    <n v="-4"/>
    <n v="4516"/>
    <n v="-18064"/>
    <x v="2"/>
  </r>
  <r>
    <x v="2"/>
    <x v="15"/>
    <x v="1"/>
    <s v="LICORES"/>
    <x v="0"/>
    <x v="167"/>
    <s v="ONZA"/>
    <n v="3104.5454545500002"/>
    <n v="86"/>
    <n v="104"/>
    <n v="18"/>
    <n v="322872.7272732"/>
    <n v="55881.818181900002"/>
    <x v="0"/>
  </r>
  <r>
    <x v="2"/>
    <x v="15"/>
    <x v="1"/>
    <s v="LICORES"/>
    <x v="0"/>
    <x v="174"/>
    <s v="ONZA"/>
    <n v="4454.5454545499997"/>
    <n v="42"/>
    <n v="47"/>
    <n v="5"/>
    <n v="209363.63636384998"/>
    <n v="22272.727272749999"/>
    <x v="0"/>
  </r>
  <r>
    <x v="2"/>
    <x v="15"/>
    <x v="1"/>
    <s v="FRUVER"/>
    <x v="1"/>
    <x v="559"/>
    <s v="GRAMOS"/>
    <n v="12"/>
    <n v="170"/>
    <n v="0"/>
    <n v="-170"/>
    <n v="0"/>
    <n v="-2040"/>
    <x v="2"/>
  </r>
  <r>
    <x v="2"/>
    <x v="15"/>
    <x v="1"/>
    <s v="ABARROTES"/>
    <x v="1"/>
    <x v="560"/>
    <s v="GRAMOS"/>
    <n v="52.464799999999997"/>
    <n v="9448"/>
    <n v="4500"/>
    <n v="-4948"/>
    <n v="236091.59999999998"/>
    <n v="-259595.83039999998"/>
    <x v="2"/>
  </r>
  <r>
    <x v="2"/>
    <x v="12"/>
    <x v="3"/>
    <s v="FRUVER"/>
    <x v="1"/>
    <x v="561"/>
    <s v="GRAMOS"/>
    <n v="10.5"/>
    <n v="1805.7778000000001"/>
    <n v="506"/>
    <n v="-1299.7777845000001"/>
    <n v="5313"/>
    <n v="-13647.666737250001"/>
    <x v="2"/>
  </r>
  <r>
    <x v="2"/>
    <x v="14"/>
    <x v="0"/>
    <s v="FRUVER"/>
    <x v="1"/>
    <x v="561"/>
    <s v="GRAMOS"/>
    <n v="10.5"/>
    <n v="3050"/>
    <n v="130"/>
    <n v="-2920"/>
    <n v="1365"/>
    <n v="-30660"/>
    <x v="2"/>
  </r>
  <r>
    <x v="2"/>
    <x v="13"/>
    <x v="2"/>
    <s v="FRUVER"/>
    <x v="1"/>
    <x v="561"/>
    <s v="GRAMOS"/>
    <n v="10.5"/>
    <n v="1069.4127000000001"/>
    <n v="772"/>
    <n v="-997.41269820000002"/>
    <n v="8106"/>
    <n v="-10472.833331100001"/>
    <x v="2"/>
  </r>
  <r>
    <x v="2"/>
    <x v="15"/>
    <x v="1"/>
    <s v="FRUVER"/>
    <x v="1"/>
    <x v="561"/>
    <s v="GRAMOS"/>
    <n v="10.5"/>
    <n v="170"/>
    <n v="0"/>
    <n v="-170"/>
    <n v="0"/>
    <n v="-1785"/>
    <x v="2"/>
  </r>
  <r>
    <x v="2"/>
    <x v="16"/>
    <x v="5"/>
    <s v="FRUVER"/>
    <x v="1"/>
    <x v="561"/>
    <s v="GRAMOS"/>
    <n v="10.5"/>
    <n v="0"/>
    <n v="0"/>
    <n v="0"/>
    <n v="0"/>
    <n v="0"/>
    <x v="1"/>
  </r>
  <r>
    <x v="2"/>
    <x v="10"/>
    <x v="4"/>
    <s v="FRUVER"/>
    <x v="1"/>
    <x v="561"/>
    <s v="GRAMOS"/>
    <n v="10.5"/>
    <n v="1144.1746000000001"/>
    <n v="380"/>
    <n v="-764.17460319999998"/>
    <n v="3990"/>
    <n v="-8023.8333335999996"/>
    <x v="2"/>
  </r>
  <r>
    <x v="2"/>
    <x v="14"/>
    <x v="0"/>
    <s v="LICORES"/>
    <x v="0"/>
    <x v="14"/>
    <s v="ONZA"/>
    <n v="6134.2727272700004"/>
    <n v="29"/>
    <n v="29"/>
    <n v="0"/>
    <n v="177893.90909083001"/>
    <n v="0"/>
    <x v="1"/>
  </r>
  <r>
    <x v="2"/>
    <x v="14"/>
    <x v="0"/>
    <s v="LICORES"/>
    <x v="0"/>
    <x v="15"/>
    <s v="ONZA"/>
    <n v="2902.5454545500002"/>
    <n v="25"/>
    <n v="26"/>
    <n v="1"/>
    <n v="75466.1818183"/>
    <n v="2902.5454545500002"/>
    <x v="0"/>
  </r>
  <r>
    <x v="2"/>
    <x v="12"/>
    <x v="3"/>
    <s v="INSUMOS BAR"/>
    <x v="0"/>
    <x v="562"/>
    <s v="ONZA"/>
    <n v="638.27160492999997"/>
    <n v="15"/>
    <n v="496"/>
    <n v="481"/>
    <n v="316582.71604527999"/>
    <n v="307008.64197132998"/>
    <x v="0"/>
  </r>
  <r>
    <x v="2"/>
    <x v="13"/>
    <x v="2"/>
    <s v="INSUMOS BAR"/>
    <x v="0"/>
    <x v="562"/>
    <s v="ONZA"/>
    <n v="638.27160492999997"/>
    <n v="0"/>
    <n v="0"/>
    <n v="0"/>
    <n v="0"/>
    <n v="0"/>
    <x v="1"/>
  </r>
  <r>
    <x v="2"/>
    <x v="15"/>
    <x v="1"/>
    <s v="INSUMOS BAR"/>
    <x v="0"/>
    <x v="562"/>
    <s v="ONZA"/>
    <n v="638.27160492999997"/>
    <n v="59"/>
    <n v="0"/>
    <n v="-59"/>
    <n v="0"/>
    <n v="-37658.024690869999"/>
    <x v="2"/>
  </r>
  <r>
    <x v="2"/>
    <x v="10"/>
    <x v="4"/>
    <s v="INSUMOS BAR"/>
    <x v="0"/>
    <x v="562"/>
    <s v="ONZA"/>
    <n v="638.27160492999997"/>
    <n v="-14"/>
    <n v="22"/>
    <n v="36"/>
    <n v="14041.97530846"/>
    <n v="22977.777777479998"/>
    <x v="0"/>
  </r>
  <r>
    <x v="2"/>
    <x v="12"/>
    <x v="3"/>
    <s v="GASEOSAS Y SODAS"/>
    <x v="0"/>
    <x v="67"/>
    <s v="UNIDADES"/>
    <n v="4986.1810224199999"/>
    <n v="-0.56999999999999995"/>
    <n v="0"/>
    <n v="0.56999999999999995"/>
    <n v="0"/>
    <n v="2842.1231827793995"/>
    <x v="0"/>
  </r>
  <r>
    <x v="2"/>
    <x v="13"/>
    <x v="2"/>
    <s v="GASEOSAS Y SODAS"/>
    <x v="0"/>
    <x v="67"/>
    <s v="UNIDADES"/>
    <n v="4986.1810224199999"/>
    <n v="0"/>
    <n v="0"/>
    <n v="0"/>
    <n v="0"/>
    <n v="0"/>
    <x v="1"/>
  </r>
  <r>
    <x v="2"/>
    <x v="15"/>
    <x v="1"/>
    <s v="GASEOSAS Y SODAS"/>
    <x v="0"/>
    <x v="67"/>
    <s v="UNIDADES"/>
    <n v="4986.1810224199999"/>
    <n v="21"/>
    <n v="21"/>
    <n v="0"/>
    <n v="104709.80147081999"/>
    <n v="0"/>
    <x v="1"/>
  </r>
  <r>
    <x v="2"/>
    <x v="10"/>
    <x v="4"/>
    <s v="GASEOSAS Y SODAS"/>
    <x v="0"/>
    <x v="67"/>
    <s v="UNIDADES"/>
    <n v="4986.1810224199999"/>
    <n v="-4.5599999999999996"/>
    <n v="0"/>
    <n v="4.5599999999999996"/>
    <n v="0"/>
    <n v="22736.985462235196"/>
    <x v="0"/>
  </r>
  <r>
    <x v="2"/>
    <x v="15"/>
    <x v="1"/>
    <s v="GASEOSAS Y SODAS"/>
    <x v="0"/>
    <x v="194"/>
    <s v="UNIDADES"/>
    <n v="5023"/>
    <n v="19"/>
    <n v="19"/>
    <n v="0"/>
    <n v="95437"/>
    <n v="0"/>
    <x v="1"/>
  </r>
  <r>
    <x v="2"/>
    <x v="12"/>
    <x v="3"/>
    <s v="GASEOSAS Y SODAS"/>
    <x v="0"/>
    <x v="47"/>
    <s v="UNIDADES"/>
    <n v="5132.5"/>
    <n v="7.5"/>
    <n v="7.5"/>
    <n v="0"/>
    <n v="38493.75"/>
    <n v="0"/>
    <x v="1"/>
  </r>
  <r>
    <x v="2"/>
    <x v="14"/>
    <x v="0"/>
    <s v="GASEOSAS Y SODAS"/>
    <x v="0"/>
    <x v="47"/>
    <s v="UNIDADES"/>
    <n v="5132.5"/>
    <n v="22"/>
    <n v="17"/>
    <n v="-5"/>
    <n v="87252.5"/>
    <n v="-25662.5"/>
    <x v="2"/>
  </r>
  <r>
    <x v="2"/>
    <x v="13"/>
    <x v="2"/>
    <s v="GASEOSAS Y SODAS"/>
    <x v="0"/>
    <x v="47"/>
    <s v="UNIDADES"/>
    <n v="5132.5"/>
    <n v="13.5"/>
    <n v="14"/>
    <n v="0.5"/>
    <n v="71855"/>
    <n v="2566.25"/>
    <x v="0"/>
  </r>
  <r>
    <x v="2"/>
    <x v="15"/>
    <x v="1"/>
    <s v="GASEOSAS Y SODAS"/>
    <x v="0"/>
    <x v="47"/>
    <s v="UNIDADES"/>
    <n v="5132.5"/>
    <n v="20"/>
    <n v="19"/>
    <n v="-1"/>
    <n v="97517.5"/>
    <n v="-5132.5"/>
    <x v="2"/>
  </r>
  <r>
    <x v="2"/>
    <x v="10"/>
    <x v="4"/>
    <s v="GASEOSAS Y SODAS"/>
    <x v="0"/>
    <x v="47"/>
    <s v="UNIDADES"/>
    <n v="5132.5"/>
    <n v="15.5"/>
    <n v="16"/>
    <n v="0.5"/>
    <n v="82120"/>
    <n v="2566.25"/>
    <x v="0"/>
  </r>
  <r>
    <x v="2"/>
    <x v="12"/>
    <x v="3"/>
    <s v="ABARROTES"/>
    <x v="1"/>
    <x v="563"/>
    <s v="GRAMOS"/>
    <n v="65"/>
    <n v="0"/>
    <n v="0"/>
    <n v="0"/>
    <n v="0"/>
    <n v="0"/>
    <x v="1"/>
  </r>
  <r>
    <x v="2"/>
    <x v="14"/>
    <x v="0"/>
    <s v="ABARROTES"/>
    <x v="1"/>
    <x v="563"/>
    <s v="GRAMOS"/>
    <n v="65.333333330000002"/>
    <n v="-3"/>
    <n v="0"/>
    <n v="3"/>
    <n v="0"/>
    <n v="195.99999998999999"/>
    <x v="0"/>
  </r>
  <r>
    <x v="2"/>
    <x v="13"/>
    <x v="2"/>
    <s v="ABARROTES"/>
    <x v="1"/>
    <x v="563"/>
    <s v="GRAMOS"/>
    <n v="65.333333330000002"/>
    <n v="-2"/>
    <n v="0"/>
    <n v="2"/>
    <n v="0"/>
    <n v="130.66666666"/>
    <x v="0"/>
  </r>
  <r>
    <x v="2"/>
    <x v="15"/>
    <x v="1"/>
    <s v="ABARROTES"/>
    <x v="1"/>
    <x v="563"/>
    <s v="GRAMOS"/>
    <n v="65.333333330000002"/>
    <n v="675"/>
    <n v="0"/>
    <n v="-675"/>
    <n v="0"/>
    <n v="-44099.999997750005"/>
    <x v="2"/>
  </r>
  <r>
    <x v="2"/>
    <x v="10"/>
    <x v="4"/>
    <s v="ABARROTES"/>
    <x v="1"/>
    <x v="563"/>
    <s v="GRAMOS"/>
    <n v="65.333333330000002"/>
    <n v="-6"/>
    <n v="0"/>
    <n v="6"/>
    <n v="0"/>
    <n v="391.99999997999998"/>
    <x v="0"/>
  </r>
  <r>
    <x v="2"/>
    <x v="16"/>
    <x v="5"/>
    <s v="LACTEOS"/>
    <x v="1"/>
    <x v="564"/>
    <s v="GRAMOS"/>
    <n v="6.5504201699999998"/>
    <n v="24"/>
    <n v="0"/>
    <n v="-24"/>
    <n v="0"/>
    <n v="-157.21008408"/>
    <x v="2"/>
  </r>
  <r>
    <x v="2"/>
    <x v="12"/>
    <x v="3"/>
    <s v="LICORES"/>
    <x v="0"/>
    <x v="24"/>
    <s v="ONZA"/>
    <n v="1993.59090909"/>
    <n v="5"/>
    <n v="15"/>
    <n v="10"/>
    <n v="29903.863636350001"/>
    <n v="19935.909090900001"/>
    <x v="0"/>
  </r>
  <r>
    <x v="2"/>
    <x v="14"/>
    <x v="0"/>
    <s v="LICORES"/>
    <x v="0"/>
    <x v="24"/>
    <s v="ONZA"/>
    <n v="1993.59090909"/>
    <n v="32.5"/>
    <n v="42"/>
    <n v="9.5"/>
    <n v="83730.818181779992"/>
    <n v="18939.113636354999"/>
    <x v="0"/>
  </r>
  <r>
    <x v="2"/>
    <x v="13"/>
    <x v="2"/>
    <s v="LICORES"/>
    <x v="0"/>
    <x v="24"/>
    <s v="ONZA"/>
    <n v="1993.59090909"/>
    <n v="10"/>
    <n v="30"/>
    <n v="20"/>
    <n v="59807.727272700002"/>
    <n v="39871.818181800001"/>
    <x v="0"/>
  </r>
  <r>
    <x v="2"/>
    <x v="15"/>
    <x v="1"/>
    <s v="LICORES"/>
    <x v="0"/>
    <x v="24"/>
    <s v="ONZA"/>
    <n v="1993.59090909"/>
    <n v="53"/>
    <n v="44"/>
    <n v="-9"/>
    <n v="87717.999999959997"/>
    <n v="-17942.318181809998"/>
    <x v="2"/>
  </r>
  <r>
    <x v="2"/>
    <x v="10"/>
    <x v="4"/>
    <s v="LICORES"/>
    <x v="0"/>
    <x v="24"/>
    <s v="ONZA"/>
    <n v="1993.59090909"/>
    <n v="61.76"/>
    <n v="74"/>
    <n v="12.24"/>
    <n v="147525.72727266001"/>
    <n v="24401.552727261602"/>
    <x v="0"/>
  </r>
  <r>
    <x v="2"/>
    <x v="12"/>
    <x v="3"/>
    <s v="VINOS"/>
    <x v="0"/>
    <x v="238"/>
    <s v="UNIDADES"/>
    <n v="63897.666666669997"/>
    <n v="6"/>
    <n v="6"/>
    <n v="0"/>
    <n v="383386.00000001997"/>
    <n v="0"/>
    <x v="1"/>
  </r>
  <r>
    <x v="2"/>
    <x v="13"/>
    <x v="2"/>
    <s v="VINOS"/>
    <x v="0"/>
    <x v="238"/>
    <s v="UNIDADES"/>
    <n v="63897.666666669997"/>
    <n v="1"/>
    <n v="1"/>
    <n v="0"/>
    <n v="63897.666666669997"/>
    <n v="0"/>
    <x v="1"/>
  </r>
  <r>
    <x v="2"/>
    <x v="10"/>
    <x v="4"/>
    <s v="VINOS"/>
    <x v="0"/>
    <x v="238"/>
    <s v="UNIDADES"/>
    <n v="63897.666666669997"/>
    <n v="0"/>
    <n v="0"/>
    <n v="0"/>
    <n v="0"/>
    <n v="0"/>
    <x v="1"/>
  </r>
  <r>
    <x v="2"/>
    <x v="12"/>
    <x v="3"/>
    <s v="PESCADOS Y MARISCOS"/>
    <x v="1"/>
    <x v="186"/>
    <s v="UNIDADES"/>
    <n v="1500"/>
    <n v="393"/>
    <n v="125"/>
    <n v="-268"/>
    <n v="187500"/>
    <n v="-402000"/>
    <x v="2"/>
  </r>
  <r>
    <x v="2"/>
    <x v="14"/>
    <x v="0"/>
    <s v="PESCADOS Y MARISCOS"/>
    <x v="1"/>
    <x v="186"/>
    <s v="UNIDADES"/>
    <n v="1600"/>
    <n v="217"/>
    <n v="214"/>
    <n v="-3"/>
    <n v="342400"/>
    <n v="-4800"/>
    <x v="2"/>
  </r>
  <r>
    <x v="2"/>
    <x v="13"/>
    <x v="2"/>
    <s v="PESCADOS Y MARISCOS"/>
    <x v="1"/>
    <x v="186"/>
    <s v="UNIDADES"/>
    <n v="1500"/>
    <n v="272"/>
    <n v="162"/>
    <n v="-110"/>
    <n v="243000"/>
    <n v="-165000"/>
    <x v="2"/>
  </r>
  <r>
    <x v="2"/>
    <x v="15"/>
    <x v="1"/>
    <s v="PESCADOS Y MARISCOS"/>
    <x v="1"/>
    <x v="186"/>
    <s v="UNIDADES"/>
    <n v="1600"/>
    <n v="0"/>
    <n v="0"/>
    <n v="0"/>
    <n v="0"/>
    <n v="0"/>
    <x v="1"/>
  </r>
  <r>
    <x v="2"/>
    <x v="16"/>
    <x v="5"/>
    <s v="PESCADOS Y MARISCOS"/>
    <x v="1"/>
    <x v="186"/>
    <s v="UNIDADES"/>
    <n v="1500"/>
    <n v="1200"/>
    <n v="1200"/>
    <n v="0"/>
    <n v="1800000"/>
    <n v="0"/>
    <x v="1"/>
  </r>
  <r>
    <x v="2"/>
    <x v="10"/>
    <x v="4"/>
    <s v="PESCADOS Y MARISCOS"/>
    <x v="1"/>
    <x v="186"/>
    <s v="UNIDADES"/>
    <n v="1500"/>
    <n v="217"/>
    <n v="164"/>
    <n v="-53"/>
    <n v="246000"/>
    <n v="-79500"/>
    <x v="2"/>
  </r>
  <r>
    <x v="2"/>
    <x v="14"/>
    <x v="0"/>
    <s v="VINOS"/>
    <x v="0"/>
    <x v="122"/>
    <s v="UNIDADES"/>
    <n v="49268.9"/>
    <n v="2"/>
    <n v="2"/>
    <n v="0"/>
    <n v="98537.8"/>
    <n v="0"/>
    <x v="1"/>
  </r>
  <r>
    <x v="2"/>
    <x v="15"/>
    <x v="1"/>
    <s v="ABARROTES"/>
    <x v="1"/>
    <x v="565"/>
    <s v="GRAMOS"/>
    <n v="31.59444444"/>
    <n v="-411.72890000000001"/>
    <n v="2100"/>
    <n v="2511.7288800000001"/>
    <n v="66348.333324000007"/>
    <n v="79356.678547503427"/>
    <x v="0"/>
  </r>
  <r>
    <x v="2"/>
    <x v="12"/>
    <x v="3"/>
    <s v="FRUVER"/>
    <x v="1"/>
    <x v="566"/>
    <s v="GRAMOS"/>
    <n v="35"/>
    <n v="162"/>
    <n v="250"/>
    <n v="88"/>
    <n v="8750"/>
    <n v="3080"/>
    <x v="0"/>
  </r>
  <r>
    <x v="2"/>
    <x v="14"/>
    <x v="0"/>
    <s v="FRUVER"/>
    <x v="1"/>
    <x v="566"/>
    <s v="GRAMOS"/>
    <n v="35"/>
    <n v="162"/>
    <n v="118"/>
    <n v="-44"/>
    <n v="4130"/>
    <n v="-1540"/>
    <x v="2"/>
  </r>
  <r>
    <x v="2"/>
    <x v="13"/>
    <x v="2"/>
    <s v="FRUVER"/>
    <x v="1"/>
    <x v="566"/>
    <s v="GRAMOS"/>
    <n v="35"/>
    <n v="891"/>
    <n v="96"/>
    <n v="-795"/>
    <n v="3360"/>
    <n v="-27825"/>
    <x v="2"/>
  </r>
  <r>
    <x v="2"/>
    <x v="15"/>
    <x v="1"/>
    <s v="FRUVER"/>
    <x v="1"/>
    <x v="566"/>
    <s v="GRAMOS"/>
    <n v="35"/>
    <n v="50"/>
    <n v="0"/>
    <n v="-50"/>
    <n v="0"/>
    <n v="-1750"/>
    <x v="2"/>
  </r>
  <r>
    <x v="2"/>
    <x v="16"/>
    <x v="5"/>
    <s v="FRUVER"/>
    <x v="1"/>
    <x v="566"/>
    <s v="GRAMOS"/>
    <n v="35"/>
    <n v="362"/>
    <n v="350"/>
    <n v="-12"/>
    <n v="12250"/>
    <n v="-420"/>
    <x v="2"/>
  </r>
  <r>
    <x v="2"/>
    <x v="10"/>
    <x v="4"/>
    <s v="FRUVER"/>
    <x v="1"/>
    <x v="566"/>
    <s v="GRAMOS"/>
    <n v="35"/>
    <n v="186"/>
    <n v="180"/>
    <n v="-6"/>
    <n v="6300"/>
    <n v="-210"/>
    <x v="2"/>
  </r>
  <r>
    <x v="2"/>
    <x v="15"/>
    <x v="1"/>
    <s v="MATERIAL DE ASEO"/>
    <x v="3"/>
    <x v="567"/>
    <s v="UNIDADES"/>
    <n v="100000.33333333"/>
    <n v="0"/>
    <n v="0"/>
    <n v="0"/>
    <n v="0"/>
    <n v="0"/>
    <x v="1"/>
  </r>
  <r>
    <x v="2"/>
    <x v="14"/>
    <x v="0"/>
    <s v="LACTEOS"/>
    <x v="1"/>
    <x v="568"/>
    <s v="GRAMOS"/>
    <n v="12.17853483"/>
    <n v="5914.9992000000002"/>
    <n v="9000"/>
    <n v="3085.0008400000002"/>
    <n v="109606.81347000001"/>
    <n v="37570.79018051926"/>
    <x v="0"/>
  </r>
  <r>
    <x v="2"/>
    <x v="15"/>
    <x v="1"/>
    <s v="LACTEOS"/>
    <x v="1"/>
    <x v="568"/>
    <s v="GRAMOS"/>
    <n v="12.17853483"/>
    <n v="360"/>
    <n v="0"/>
    <n v="-360"/>
    <n v="0"/>
    <n v="-4384.2725387999999"/>
    <x v="2"/>
  </r>
  <r>
    <x v="2"/>
    <x v="16"/>
    <x v="5"/>
    <s v="LACTEOS"/>
    <x v="1"/>
    <x v="568"/>
    <s v="GRAMOS"/>
    <n v="16.101555560000001"/>
    <n v="6300"/>
    <n v="4500"/>
    <n v="-1800"/>
    <n v="72457.000020000007"/>
    <n v="-28982.800008000002"/>
    <x v="2"/>
  </r>
  <r>
    <x v="2"/>
    <x v="14"/>
    <x v="0"/>
    <s v="LACTEOS"/>
    <x v="1"/>
    <x v="569"/>
    <s v="GRAMOS"/>
    <n v="9.9206088000000001"/>
    <n v="1576"/>
    <n v="1230"/>
    <n v="-346"/>
    <n v="12202.348824000001"/>
    <n v="-3432.5306448000001"/>
    <x v="2"/>
  </r>
  <r>
    <x v="2"/>
    <x v="15"/>
    <x v="1"/>
    <s v="LACTEOS"/>
    <x v="1"/>
    <x v="569"/>
    <s v="GRAMOS"/>
    <n v="9.9206088000000001"/>
    <n v="100"/>
    <n v="0"/>
    <n v="-100"/>
    <n v="0"/>
    <n v="-992.06088"/>
    <x v="2"/>
  </r>
  <r>
    <x v="2"/>
    <x v="15"/>
    <x v="1"/>
    <s v="LACTEOS"/>
    <x v="1"/>
    <x v="570"/>
    <s v="GRAMOS"/>
    <n v="4.609"/>
    <n v="-2750"/>
    <n v="1000"/>
    <n v="3750"/>
    <n v="4609"/>
    <n v="17283.75"/>
    <x v="0"/>
  </r>
  <r>
    <x v="2"/>
    <x v="15"/>
    <x v="1"/>
    <s v="LACTEOS"/>
    <x v="1"/>
    <x v="570"/>
    <m/>
    <n v="4.609"/>
    <n v="6"/>
    <n v="1000"/>
    <n v="994"/>
    <n v="4609"/>
    <n v="4581.3459999999995"/>
    <x v="0"/>
  </r>
  <r>
    <x v="2"/>
    <x v="12"/>
    <x v="3"/>
    <s v="LACTEOS"/>
    <x v="1"/>
    <x v="571"/>
    <s v="GRAMOS"/>
    <n v="4.609"/>
    <n v="20534.53"/>
    <n v="3388"/>
    <n v="-17146.53"/>
    <n v="15615.291999999999"/>
    <n v="-79028.356769999999"/>
    <x v="2"/>
  </r>
  <r>
    <x v="2"/>
    <x v="14"/>
    <x v="0"/>
    <s v="LACTEOS"/>
    <x v="1"/>
    <x v="571"/>
    <s v="GRAMOS"/>
    <n v="4.609"/>
    <n v="33751.543400000002"/>
    <n v="19000"/>
    <n v="-14751.543406000001"/>
    <n v="87571"/>
    <n v="-67989.863558254001"/>
    <x v="2"/>
  </r>
  <r>
    <x v="2"/>
    <x v="13"/>
    <x v="2"/>
    <s v="LACTEOS"/>
    <x v="1"/>
    <x v="571"/>
    <s v="GRAMOS"/>
    <n v="4.609"/>
    <n v="37070"/>
    <n v="10500"/>
    <n v="-32570"/>
    <n v="48394.5"/>
    <n v="-150115.13"/>
    <x v="2"/>
  </r>
  <r>
    <x v="2"/>
    <x v="15"/>
    <x v="1"/>
    <s v="LACTEOS"/>
    <x v="1"/>
    <x v="571"/>
    <s v="GRAMOS"/>
    <n v="4.609"/>
    <n v="11996.6667"/>
    <n v="4200"/>
    <n v="-7796.6666699999996"/>
    <n v="19357.8"/>
    <n v="-35934.83668203"/>
    <x v="2"/>
  </r>
  <r>
    <x v="2"/>
    <x v="16"/>
    <x v="5"/>
    <s v="LACTEOS"/>
    <x v="1"/>
    <x v="571"/>
    <s v="GRAMOS"/>
    <n v="4.609"/>
    <n v="400"/>
    <n v="0"/>
    <n v="-400"/>
    <n v="0"/>
    <n v="-1843.6"/>
    <x v="2"/>
  </r>
  <r>
    <x v="2"/>
    <x v="10"/>
    <x v="4"/>
    <s v="LACTEOS"/>
    <x v="1"/>
    <x v="571"/>
    <s v="GRAMOS"/>
    <n v="4.609"/>
    <n v="30050"/>
    <n v="8000"/>
    <n v="-22050"/>
    <n v="36872"/>
    <n v="-101628.45"/>
    <x v="2"/>
  </r>
  <r>
    <x v="2"/>
    <x v="14"/>
    <x v="0"/>
    <s v="FRUVER"/>
    <x v="1"/>
    <x v="572"/>
    <s v="GRAMOS"/>
    <n v="5.5"/>
    <n v="21410"/>
    <n v="6344"/>
    <n v="-15066"/>
    <n v="34892"/>
    <n v="-82863"/>
    <x v="2"/>
  </r>
  <r>
    <x v="2"/>
    <x v="15"/>
    <x v="1"/>
    <s v="FRUVER"/>
    <x v="1"/>
    <x v="572"/>
    <s v="GRAMOS"/>
    <n v="5.5"/>
    <n v="-499.99990000000003"/>
    <n v="0"/>
    <n v="499.99993000000001"/>
    <n v="0"/>
    <n v="2749.9996150000002"/>
    <x v="0"/>
  </r>
  <r>
    <x v="2"/>
    <x v="16"/>
    <x v="5"/>
    <s v="FRUVER"/>
    <x v="1"/>
    <x v="572"/>
    <s v="GRAMOS"/>
    <n v="7.5"/>
    <n v="0"/>
    <n v="0"/>
    <n v="0"/>
    <n v="0"/>
    <n v="0"/>
    <x v="1"/>
  </r>
  <r>
    <x v="2"/>
    <x v="12"/>
    <x v="3"/>
    <s v="FRUVER"/>
    <x v="1"/>
    <x v="573"/>
    <s v="GRAMOS"/>
    <n v="3.6"/>
    <n v="-570"/>
    <n v="0"/>
    <n v="570"/>
    <n v="0"/>
    <n v="2052"/>
    <x v="0"/>
  </r>
  <r>
    <x v="2"/>
    <x v="14"/>
    <x v="0"/>
    <s v="FRUVER"/>
    <x v="1"/>
    <x v="573"/>
    <s v="GRAMOS"/>
    <n v="5.5"/>
    <n v="3013.3332999999998"/>
    <n v="0"/>
    <n v="-3013.3333480000001"/>
    <n v="0"/>
    <n v="-16573.333414000001"/>
    <x v="2"/>
  </r>
  <r>
    <x v="2"/>
    <x v="13"/>
    <x v="2"/>
    <s v="FRUVER"/>
    <x v="1"/>
    <x v="573"/>
    <s v="GRAMOS"/>
    <n v="3.6"/>
    <n v="-1380"/>
    <n v="0"/>
    <n v="1380"/>
    <n v="0"/>
    <n v="4968"/>
    <x v="0"/>
  </r>
  <r>
    <x v="2"/>
    <x v="15"/>
    <x v="1"/>
    <s v="FRUVER"/>
    <x v="1"/>
    <x v="573"/>
    <s v="GRAMOS"/>
    <n v="5.5"/>
    <n v="9212.7484999999997"/>
    <n v="3500"/>
    <n v="-5712.7485115999998"/>
    <n v="19250"/>
    <n v="-31420.116813799999"/>
    <x v="2"/>
  </r>
  <r>
    <x v="2"/>
    <x v="10"/>
    <x v="4"/>
    <s v="FRUVER"/>
    <x v="1"/>
    <x v="573"/>
    <s v="GRAMOS"/>
    <n v="3.6"/>
    <n v="-990"/>
    <n v="0"/>
    <n v="990"/>
    <n v="0"/>
    <n v="3564"/>
    <x v="0"/>
  </r>
  <r>
    <x v="2"/>
    <x v="12"/>
    <x v="3"/>
    <s v="GASEOSAS Y SODAS"/>
    <x v="0"/>
    <x v="79"/>
    <s v="UNIDADES"/>
    <n v="4900"/>
    <n v="0"/>
    <n v="0"/>
    <n v="0"/>
    <n v="0"/>
    <n v="0"/>
    <x v="1"/>
  </r>
  <r>
    <x v="2"/>
    <x v="13"/>
    <x v="2"/>
    <s v="GASEOSAS Y SODAS"/>
    <x v="0"/>
    <x v="79"/>
    <s v="UNIDADES"/>
    <n v="4900"/>
    <n v="0"/>
    <n v="0"/>
    <n v="0"/>
    <n v="0"/>
    <n v="0"/>
    <x v="1"/>
  </r>
  <r>
    <x v="2"/>
    <x v="15"/>
    <x v="1"/>
    <s v="GASEOSAS Y SODAS"/>
    <x v="0"/>
    <x v="79"/>
    <s v="UNIDADES"/>
    <n v="4900"/>
    <n v="0"/>
    <n v="0"/>
    <n v="0"/>
    <n v="0"/>
    <n v="0"/>
    <x v="1"/>
  </r>
  <r>
    <x v="2"/>
    <x v="10"/>
    <x v="4"/>
    <s v="GASEOSAS Y SODAS"/>
    <x v="0"/>
    <x v="79"/>
    <s v="UNIDADES"/>
    <n v="4900"/>
    <n v="0"/>
    <n v="0"/>
    <n v="0"/>
    <n v="0"/>
    <n v="0"/>
    <x v="1"/>
  </r>
  <r>
    <x v="2"/>
    <x v="15"/>
    <x v="1"/>
    <s v="INSUMOS BAR"/>
    <x v="0"/>
    <x v="574"/>
    <s v="ONZA"/>
    <n v="150"/>
    <n v="20"/>
    <n v="20"/>
    <n v="0"/>
    <n v="3000"/>
    <n v="0"/>
    <x v="1"/>
  </r>
  <r>
    <x v="2"/>
    <x v="16"/>
    <x v="5"/>
    <s v="SALSAS ESPECIAS Y CONDIMENTOS"/>
    <x v="1"/>
    <x v="575"/>
    <s v="GRAMOS"/>
    <n v="27.394957980000001"/>
    <n v="480"/>
    <n v="354"/>
    <n v="-126"/>
    <n v="9697.81512492"/>
    <n v="-3451.76470548"/>
    <x v="2"/>
  </r>
  <r>
    <x v="2"/>
    <x v="12"/>
    <x v="3"/>
    <s v="LICORES"/>
    <x v="0"/>
    <x v="16"/>
    <s v="ONZA"/>
    <n v="6549"/>
    <n v="27"/>
    <n v="28"/>
    <n v="1"/>
    <n v="183372"/>
    <n v="6549"/>
    <x v="0"/>
  </r>
  <r>
    <x v="2"/>
    <x v="14"/>
    <x v="0"/>
    <s v="LICORES"/>
    <x v="0"/>
    <x v="16"/>
    <s v="ONZA"/>
    <n v="5465.125"/>
    <n v="14"/>
    <n v="15"/>
    <n v="1"/>
    <n v="81976.875"/>
    <n v="5465.125"/>
    <x v="0"/>
  </r>
  <r>
    <x v="2"/>
    <x v="13"/>
    <x v="2"/>
    <s v="LICORES"/>
    <x v="0"/>
    <x v="16"/>
    <s v="ONZA"/>
    <n v="6549"/>
    <n v="21.38"/>
    <n v="23"/>
    <n v="1.62"/>
    <n v="150627"/>
    <n v="10609.380000000001"/>
    <x v="0"/>
  </r>
  <r>
    <x v="2"/>
    <x v="15"/>
    <x v="1"/>
    <s v="LICORES"/>
    <x v="0"/>
    <x v="16"/>
    <s v="ONZA"/>
    <n v="5465.125"/>
    <n v="0"/>
    <n v="19"/>
    <n v="19"/>
    <n v="103837.375"/>
    <n v="103837.375"/>
    <x v="0"/>
  </r>
  <r>
    <x v="2"/>
    <x v="10"/>
    <x v="4"/>
    <s v="LICORES"/>
    <x v="0"/>
    <x v="16"/>
    <s v="ONZA"/>
    <n v="6549"/>
    <n v="20.05"/>
    <n v="26"/>
    <n v="5.95"/>
    <n v="170274"/>
    <n v="38966.550000000003"/>
    <x v="0"/>
  </r>
  <r>
    <x v="2"/>
    <x v="12"/>
    <x v="3"/>
    <s v="FRUVER"/>
    <x v="1"/>
    <x v="576"/>
    <s v="GRAMOS"/>
    <n v="5.2"/>
    <n v="0"/>
    <n v="0"/>
    <n v="0"/>
    <n v="0"/>
    <n v="0"/>
    <x v="1"/>
  </r>
  <r>
    <x v="2"/>
    <x v="14"/>
    <x v="0"/>
    <s v="FRUVER"/>
    <x v="1"/>
    <x v="576"/>
    <s v="GRAMOS"/>
    <n v="4.3"/>
    <n v="-2490"/>
    <n v="1000"/>
    <n v="3490"/>
    <n v="4300"/>
    <n v="15007"/>
    <x v="0"/>
  </r>
  <r>
    <x v="2"/>
    <x v="13"/>
    <x v="2"/>
    <s v="FRUVER"/>
    <x v="1"/>
    <x v="576"/>
    <s v="GRAMOS"/>
    <n v="5.2"/>
    <n v="0"/>
    <n v="0"/>
    <n v="0"/>
    <n v="0"/>
    <n v="0"/>
    <x v="1"/>
  </r>
  <r>
    <x v="2"/>
    <x v="10"/>
    <x v="4"/>
    <s v="FRUVER"/>
    <x v="1"/>
    <x v="576"/>
    <s v="GRAMOS"/>
    <n v="5.2"/>
    <n v="2000"/>
    <n v="0"/>
    <n v="-2000"/>
    <n v="0"/>
    <n v="-10400"/>
    <x v="2"/>
  </r>
  <r>
    <x v="2"/>
    <x v="12"/>
    <x v="3"/>
    <s v="INSUMOS BAR"/>
    <x v="0"/>
    <x v="577"/>
    <s v="GRAMOS"/>
    <n v="4.5"/>
    <n v="40624.909099999997"/>
    <n v="34000"/>
    <n v="-36624.909140000003"/>
    <n v="153000"/>
    <n v="-164812.09113000002"/>
    <x v="2"/>
  </r>
  <r>
    <x v="2"/>
    <x v="14"/>
    <x v="0"/>
    <s v="INSUMOS BAR"/>
    <x v="0"/>
    <x v="577"/>
    <s v="GRAMOS"/>
    <n v="4.5"/>
    <n v="377008.90970000002"/>
    <n v="20000"/>
    <n v="-357008.90967000002"/>
    <n v="90000"/>
    <n v="-1606540.0935150001"/>
    <x v="2"/>
  </r>
  <r>
    <x v="2"/>
    <x v="13"/>
    <x v="2"/>
    <s v="INSUMOS BAR"/>
    <x v="0"/>
    <x v="577"/>
    <s v="GRAMOS"/>
    <n v="4.5"/>
    <n v="234250.0001"/>
    <n v="20000"/>
    <n v="-234250.00005999999"/>
    <n v="90000"/>
    <n v="-1054125.00027"/>
    <x v="2"/>
  </r>
  <r>
    <x v="2"/>
    <x v="15"/>
    <x v="1"/>
    <s v="INSUMOS BAR"/>
    <x v="0"/>
    <x v="577"/>
    <s v="GRAMOS"/>
    <n v="4.5"/>
    <n v="167699"/>
    <n v="1000"/>
    <n v="-166699.00002400001"/>
    <n v="4500"/>
    <n v="-750145.50010800001"/>
    <x v="2"/>
  </r>
  <r>
    <x v="2"/>
    <x v="10"/>
    <x v="4"/>
    <s v="INSUMOS BAR"/>
    <x v="0"/>
    <x v="577"/>
    <s v="GRAMOS"/>
    <n v="4.5"/>
    <n v="261995.4547"/>
    <n v="30000"/>
    <n v="-231995.4547"/>
    <n v="135000"/>
    <n v="-1043979.5461500001"/>
    <x v="2"/>
  </r>
  <r>
    <x v="2"/>
    <x v="12"/>
    <x v="3"/>
    <s v="FRUVER"/>
    <x v="1"/>
    <x v="578"/>
    <s v="GRAMOS"/>
    <n v="4.5"/>
    <n v="122562.09420000001"/>
    <n v="22514"/>
    <n v="-100048.094174"/>
    <n v="101313"/>
    <n v="-450216.42378299998"/>
    <x v="2"/>
  </r>
  <r>
    <x v="2"/>
    <x v="14"/>
    <x v="0"/>
    <s v="FRUVER"/>
    <x v="1"/>
    <x v="578"/>
    <s v="GRAMOS"/>
    <n v="4.5"/>
    <n v="11263.632"/>
    <n v="15222"/>
    <n v="3958.3680359999998"/>
    <n v="68499"/>
    <n v="17812.656161999999"/>
    <x v="0"/>
  </r>
  <r>
    <x v="2"/>
    <x v="13"/>
    <x v="2"/>
    <s v="FRUVER"/>
    <x v="1"/>
    <x v="578"/>
    <s v="GRAMOS"/>
    <n v="4.5"/>
    <n v="127850.22689999999"/>
    <n v="21162"/>
    <n v="-106688.22686"/>
    <n v="95229"/>
    <n v="-480097.02087000001"/>
    <x v="2"/>
  </r>
  <r>
    <x v="2"/>
    <x v="15"/>
    <x v="1"/>
    <s v="FRUVER"/>
    <x v="1"/>
    <x v="578"/>
    <s v="GRAMOS"/>
    <n v="4.5"/>
    <n v="-16343.067499999999"/>
    <n v="1000"/>
    <n v="17343.067514999999"/>
    <n v="4500"/>
    <n v="78043.803817499997"/>
    <x v="0"/>
  </r>
  <r>
    <x v="2"/>
    <x v="16"/>
    <x v="5"/>
    <s v="FRUVER"/>
    <x v="1"/>
    <x v="578"/>
    <s v="GRAMOS"/>
    <n v="4.5"/>
    <n v="-25"/>
    <n v="0"/>
    <n v="25"/>
    <n v="0"/>
    <n v="112.5"/>
    <x v="0"/>
  </r>
  <r>
    <x v="2"/>
    <x v="10"/>
    <x v="4"/>
    <s v="FRUVER"/>
    <x v="1"/>
    <x v="578"/>
    <s v="GRAMOS"/>
    <n v="4.5"/>
    <n v="-43697.906000000003"/>
    <n v="4500"/>
    <n v="48197.906044000003"/>
    <n v="20250"/>
    <n v="216890.57719800001"/>
    <x v="0"/>
  </r>
  <r>
    <x v="2"/>
    <x v="12"/>
    <x v="3"/>
    <s v="FRUVER"/>
    <x v="1"/>
    <x v="579"/>
    <s v="GRAMOS"/>
    <n v="6"/>
    <n v="-700"/>
    <n v="0"/>
    <n v="700"/>
    <n v="0"/>
    <n v="4200"/>
    <x v="0"/>
  </r>
  <r>
    <x v="2"/>
    <x v="13"/>
    <x v="2"/>
    <s v="FRUVER"/>
    <x v="1"/>
    <x v="579"/>
    <s v="GRAMOS"/>
    <n v="6"/>
    <n v="0"/>
    <n v="0"/>
    <n v="0"/>
    <n v="0"/>
    <n v="0"/>
    <x v="1"/>
  </r>
  <r>
    <x v="2"/>
    <x v="10"/>
    <x v="4"/>
    <s v="FRUVER"/>
    <x v="1"/>
    <x v="579"/>
    <s v="GRAMOS"/>
    <n v="6"/>
    <n v="0"/>
    <n v="0"/>
    <n v="0"/>
    <n v="0"/>
    <n v="0"/>
    <x v="1"/>
  </r>
  <r>
    <x v="2"/>
    <x v="12"/>
    <x v="3"/>
    <s v="MATERIAL DE ASEO"/>
    <x v="3"/>
    <x v="580"/>
    <s v="UNIDADES"/>
    <n v="48438"/>
    <n v="0"/>
    <n v="1"/>
    <n v="1"/>
    <n v="48438"/>
    <n v="48438"/>
    <x v="0"/>
  </r>
  <r>
    <x v="2"/>
    <x v="13"/>
    <x v="2"/>
    <s v="MATERIAL DE ASEO"/>
    <x v="3"/>
    <x v="580"/>
    <s v="UNIDADES"/>
    <n v="48438"/>
    <n v="1"/>
    <n v="1"/>
    <n v="0"/>
    <n v="48438"/>
    <n v="0"/>
    <x v="1"/>
  </r>
  <r>
    <x v="2"/>
    <x v="15"/>
    <x v="1"/>
    <s v="MATERIAL DE ASEO"/>
    <x v="3"/>
    <x v="580"/>
    <s v="UNIDADES"/>
    <n v="20657.5"/>
    <n v="5"/>
    <n v="1"/>
    <n v="-4"/>
    <n v="20657.5"/>
    <n v="-82630"/>
    <x v="2"/>
  </r>
  <r>
    <x v="2"/>
    <x v="16"/>
    <x v="5"/>
    <s v="MATERIAL DE ASEO"/>
    <x v="3"/>
    <x v="580"/>
    <s v="UNIDADES"/>
    <n v="48438"/>
    <n v="0"/>
    <n v="0"/>
    <n v="0"/>
    <n v="0"/>
    <n v="0"/>
    <x v="1"/>
  </r>
  <r>
    <x v="2"/>
    <x v="10"/>
    <x v="4"/>
    <s v="MATERIAL DE ASEO"/>
    <x v="3"/>
    <x v="580"/>
    <s v="UNIDADES"/>
    <n v="48438"/>
    <n v="0"/>
    <n v="0"/>
    <n v="0"/>
    <n v="0"/>
    <n v="0"/>
    <x v="1"/>
  </r>
  <r>
    <x v="2"/>
    <x v="12"/>
    <x v="3"/>
    <s v="MATERIAL DE ASEO"/>
    <x v="3"/>
    <x v="581"/>
    <s v="UNIDADES"/>
    <n v="14013"/>
    <n v="0"/>
    <n v="0"/>
    <n v="0"/>
    <n v="0"/>
    <n v="0"/>
    <x v="1"/>
  </r>
  <r>
    <x v="2"/>
    <x v="14"/>
    <x v="0"/>
    <s v="MATERIAL DE ASEO"/>
    <x v="3"/>
    <x v="581"/>
    <s v="UNIDADES"/>
    <n v="12941.176470599999"/>
    <n v="0.4"/>
    <n v="0"/>
    <n v="-0.4"/>
    <n v="0"/>
    <n v="-5176.4705882400003"/>
    <x v="2"/>
  </r>
  <r>
    <x v="2"/>
    <x v="13"/>
    <x v="2"/>
    <s v="MATERIAL DE ASEO"/>
    <x v="3"/>
    <x v="581"/>
    <s v="UNIDADES"/>
    <n v="14013"/>
    <n v="1500"/>
    <n v="0"/>
    <n v="-1500"/>
    <n v="0"/>
    <n v="-21019500"/>
    <x v="2"/>
  </r>
  <r>
    <x v="2"/>
    <x v="15"/>
    <x v="1"/>
    <s v="MATERIAL DE ASEO"/>
    <x v="3"/>
    <x v="581"/>
    <s v="UNIDADES"/>
    <n v="12941.176470599999"/>
    <n v="5605"/>
    <n v="2"/>
    <n v="-5603"/>
    <n v="25882.352941199999"/>
    <n v="-72509411.764771804"/>
    <x v="2"/>
  </r>
  <r>
    <x v="2"/>
    <x v="10"/>
    <x v="4"/>
    <s v="MATERIAL DE ASEO"/>
    <x v="3"/>
    <x v="581"/>
    <s v="UNIDADES"/>
    <n v="14013"/>
    <n v="2"/>
    <n v="0"/>
    <n v="-2"/>
    <n v="0"/>
    <n v="-28026"/>
    <x v="2"/>
  </r>
  <r>
    <x v="2"/>
    <x v="12"/>
    <x v="3"/>
    <s v="MATERIAL DE ASEO"/>
    <x v="3"/>
    <x v="582"/>
    <s v="UNIDADES"/>
    <n v="49574.75"/>
    <n v="10"/>
    <n v="0"/>
    <n v="-14"/>
    <n v="0"/>
    <n v="-694046.5"/>
    <x v="2"/>
  </r>
  <r>
    <x v="2"/>
    <x v="13"/>
    <x v="2"/>
    <s v="MATERIAL DE ASEO"/>
    <x v="3"/>
    <x v="582"/>
    <s v="UNIDADES"/>
    <n v="49574.75"/>
    <n v="10"/>
    <n v="1"/>
    <n v="-9"/>
    <n v="49574.75"/>
    <n v="-446172.75"/>
    <x v="2"/>
  </r>
  <r>
    <x v="2"/>
    <x v="15"/>
    <x v="1"/>
    <s v="MATERIAL DE ASEO"/>
    <x v="3"/>
    <x v="582"/>
    <s v="UNIDADES"/>
    <n v="36999.5"/>
    <n v="14"/>
    <n v="0"/>
    <n v="-14"/>
    <n v="0"/>
    <n v="-517993"/>
    <x v="2"/>
  </r>
  <r>
    <x v="2"/>
    <x v="16"/>
    <x v="5"/>
    <s v="MATERIAL DE ASEO"/>
    <x v="3"/>
    <x v="582"/>
    <s v="UNIDADES"/>
    <n v="49574.75"/>
    <n v="0"/>
    <n v="0"/>
    <n v="0"/>
    <n v="0"/>
    <n v="0"/>
    <x v="1"/>
  </r>
  <r>
    <x v="2"/>
    <x v="10"/>
    <x v="4"/>
    <s v="MATERIAL DE ASEO"/>
    <x v="3"/>
    <x v="582"/>
    <s v="UNIDADES"/>
    <n v="49574.75"/>
    <n v="25"/>
    <n v="0"/>
    <n v="-25"/>
    <n v="0"/>
    <n v="-1239368.75"/>
    <x v="2"/>
  </r>
  <r>
    <x v="2"/>
    <x v="12"/>
    <x v="3"/>
    <s v="MATERIAL DE ASEO"/>
    <x v="3"/>
    <x v="583"/>
    <s v="UNIDADES"/>
    <n v="83812"/>
    <n v="0"/>
    <n v="0"/>
    <n v="0"/>
    <n v="0"/>
    <n v="0"/>
    <x v="1"/>
  </r>
  <r>
    <x v="2"/>
    <x v="14"/>
    <x v="0"/>
    <s v="MATERIAL DE ASEO"/>
    <x v="3"/>
    <x v="583"/>
    <s v="UNIDADES"/>
    <n v="76559"/>
    <n v="2"/>
    <n v="1"/>
    <n v="-1"/>
    <n v="76559"/>
    <n v="-76559"/>
    <x v="2"/>
  </r>
  <r>
    <x v="2"/>
    <x v="13"/>
    <x v="2"/>
    <s v="MATERIAL DE ASEO"/>
    <x v="3"/>
    <x v="583"/>
    <s v="UNIDADES"/>
    <n v="83812"/>
    <n v="0"/>
    <n v="3"/>
    <n v="3"/>
    <n v="251436"/>
    <n v="251436"/>
    <x v="0"/>
  </r>
  <r>
    <x v="2"/>
    <x v="15"/>
    <x v="1"/>
    <s v="MATERIAL DE ASEO"/>
    <x v="3"/>
    <x v="583"/>
    <s v="UNIDADES"/>
    <n v="76559"/>
    <n v="0"/>
    <n v="1"/>
    <n v="1"/>
    <n v="76559"/>
    <n v="76559"/>
    <x v="0"/>
  </r>
  <r>
    <x v="2"/>
    <x v="10"/>
    <x v="4"/>
    <s v="MATERIAL DE ASEO"/>
    <x v="3"/>
    <x v="583"/>
    <s v="UNIDADES"/>
    <n v="83812"/>
    <n v="1"/>
    <n v="3"/>
    <n v="2"/>
    <n v="251436"/>
    <n v="167624"/>
    <x v="0"/>
  </r>
  <r>
    <x v="2"/>
    <x v="12"/>
    <x v="3"/>
    <s v="FRUVER"/>
    <x v="1"/>
    <x v="584"/>
    <s v="GRAMOS"/>
    <n v="6.5"/>
    <n v="3000"/>
    <n v="0"/>
    <n v="-3000"/>
    <n v="0"/>
    <n v="-19500"/>
    <x v="2"/>
  </r>
  <r>
    <x v="2"/>
    <x v="14"/>
    <x v="0"/>
    <s v="FRUVER"/>
    <x v="1"/>
    <x v="584"/>
    <s v="GRAMOS"/>
    <n v="6.5"/>
    <n v="2050"/>
    <n v="0"/>
    <n v="-2050"/>
    <n v="0"/>
    <n v="-13325"/>
    <x v="2"/>
  </r>
  <r>
    <x v="2"/>
    <x v="13"/>
    <x v="2"/>
    <s v="FRUVER"/>
    <x v="1"/>
    <x v="584"/>
    <s v="GRAMOS"/>
    <n v="6.5"/>
    <n v="0"/>
    <n v="0"/>
    <n v="0"/>
    <n v="0"/>
    <n v="0"/>
    <x v="1"/>
  </r>
  <r>
    <x v="2"/>
    <x v="16"/>
    <x v="5"/>
    <s v="FRUVER"/>
    <x v="1"/>
    <x v="584"/>
    <s v="GRAMOS"/>
    <n v="6.5"/>
    <n v="0"/>
    <n v="0"/>
    <n v="0"/>
    <n v="0"/>
    <n v="0"/>
    <x v="1"/>
  </r>
  <r>
    <x v="2"/>
    <x v="10"/>
    <x v="4"/>
    <s v="FRUVER"/>
    <x v="1"/>
    <x v="584"/>
    <s v="GRAMOS"/>
    <n v="6.5"/>
    <n v="1000"/>
    <n v="0"/>
    <n v="-1000"/>
    <n v="0"/>
    <n v="-6500"/>
    <x v="2"/>
  </r>
  <r>
    <x v="2"/>
    <x v="12"/>
    <x v="3"/>
    <s v="ENLATADOS Y CONSERVAS"/>
    <x v="1"/>
    <x v="585"/>
    <s v="GRAMOS"/>
    <n v="47.895873020000003"/>
    <n v="-1125"/>
    <n v="1800"/>
    <n v="2925"/>
    <n v="86212.571436000013"/>
    <n v="140095.4285835"/>
    <x v="0"/>
  </r>
  <r>
    <x v="2"/>
    <x v="14"/>
    <x v="0"/>
    <s v="ENLATADOS Y CONSERVAS"/>
    <x v="1"/>
    <x v="585"/>
    <s v="GRAMOS"/>
    <n v="46.669166670000003"/>
    <n v="10264"/>
    <n v="10710"/>
    <n v="446"/>
    <n v="499826.7750357"/>
    <n v="20814.448334820001"/>
    <x v="0"/>
  </r>
  <r>
    <x v="2"/>
    <x v="13"/>
    <x v="2"/>
    <s v="ENLATADOS Y CONSERVAS"/>
    <x v="1"/>
    <x v="585"/>
    <s v="GRAMOS"/>
    <n v="47.895873020000003"/>
    <n v="1670"/>
    <n v="0"/>
    <n v="-1670"/>
    <n v="0"/>
    <n v="-79986.107943399998"/>
    <x v="2"/>
  </r>
  <r>
    <x v="2"/>
    <x v="15"/>
    <x v="1"/>
    <s v="ENLATADOS Y CONSERVAS"/>
    <x v="1"/>
    <x v="585"/>
    <s v="GRAMOS"/>
    <n v="46.669166670000003"/>
    <n v="5010"/>
    <n v="3315"/>
    <n v="-1695"/>
    <n v="154708.28751105"/>
    <n v="-79104.237505650002"/>
    <x v="2"/>
  </r>
  <r>
    <x v="2"/>
    <x v="10"/>
    <x v="4"/>
    <s v="ENLATADOS Y CONSERVAS"/>
    <x v="1"/>
    <x v="585"/>
    <s v="GRAMOS"/>
    <n v="47.895873020000003"/>
    <n v="11831"/>
    <n v="3825"/>
    <n v="-8006"/>
    <n v="183201.7143015"/>
    <n v="-383454.35939812002"/>
    <x v="2"/>
  </r>
  <r>
    <x v="2"/>
    <x v="12"/>
    <x v="3"/>
    <s v="ABARROTES"/>
    <x v="1"/>
    <x v="586"/>
    <s v="GRAMOS"/>
    <n v="15"/>
    <n v="11969"/>
    <n v="5538"/>
    <n v="-6431"/>
    <n v="83070"/>
    <n v="-96465"/>
    <x v="2"/>
  </r>
  <r>
    <x v="2"/>
    <x v="13"/>
    <x v="2"/>
    <s v="ABARROTES"/>
    <x v="1"/>
    <x v="586"/>
    <s v="GRAMOS"/>
    <n v="15"/>
    <n v="7353"/>
    <n v="7348"/>
    <n v="-5"/>
    <n v="110220"/>
    <n v="-75"/>
    <x v="2"/>
  </r>
  <r>
    <x v="2"/>
    <x v="16"/>
    <x v="5"/>
    <s v="ABARROTES"/>
    <x v="1"/>
    <x v="586"/>
    <s v="GRAMOS"/>
    <n v="15"/>
    <n v="111926"/>
    <n v="156000"/>
    <n v="44074"/>
    <n v="2340000"/>
    <n v="661110"/>
    <x v="0"/>
  </r>
  <r>
    <x v="2"/>
    <x v="10"/>
    <x v="4"/>
    <s v="ABARROTES"/>
    <x v="1"/>
    <x v="586"/>
    <s v="GRAMOS"/>
    <n v="15"/>
    <n v="5237"/>
    <n v="4000"/>
    <n v="-1237"/>
    <n v="60000"/>
    <n v="-18555"/>
    <x v="2"/>
  </r>
  <r>
    <x v="2"/>
    <x v="14"/>
    <x v="0"/>
    <s v="ABARROTES"/>
    <x v="1"/>
    <x v="587"/>
    <s v="GRAMOS"/>
    <n v="18.698499999999999"/>
    <n v="10440"/>
    <n v="5000"/>
    <n v="-5440"/>
    <n v="93492.5"/>
    <n v="-101719.84"/>
    <x v="2"/>
  </r>
  <r>
    <x v="2"/>
    <x v="16"/>
    <x v="5"/>
    <s v="INSUMOS BAR"/>
    <x v="0"/>
    <x v="588"/>
    <s v="GRAMOS"/>
    <n v="13"/>
    <n v="0"/>
    <n v="0"/>
    <n v="0"/>
    <n v="0"/>
    <n v="0"/>
    <x v="1"/>
  </r>
  <r>
    <x v="2"/>
    <x v="12"/>
    <x v="3"/>
    <s v="ABARROTES"/>
    <x v="1"/>
    <x v="589"/>
    <s v="GRAMOS"/>
    <n v="21.75438596"/>
    <n v="3870"/>
    <n v="2920"/>
    <n v="-2375"/>
    <n v="63522.807003200003"/>
    <n v="-51666.666655000001"/>
    <x v="2"/>
  </r>
  <r>
    <x v="2"/>
    <x v="14"/>
    <x v="0"/>
    <s v="ABARROTES"/>
    <x v="1"/>
    <x v="589"/>
    <s v="GRAMOS"/>
    <n v="18.698499999999999"/>
    <n v="-300"/>
    <n v="0"/>
    <n v="300"/>
    <n v="0"/>
    <n v="5609.55"/>
    <x v="0"/>
  </r>
  <r>
    <x v="2"/>
    <x v="13"/>
    <x v="2"/>
    <s v="ABARROTES"/>
    <x v="1"/>
    <x v="589"/>
    <s v="GRAMOS"/>
    <n v="21.75438596"/>
    <n v="3596"/>
    <n v="1995"/>
    <n v="-3026"/>
    <n v="43399.999990199998"/>
    <n v="-65828.771914960002"/>
    <x v="2"/>
  </r>
  <r>
    <x v="2"/>
    <x v="10"/>
    <x v="4"/>
    <s v="ABARROTES"/>
    <x v="1"/>
    <x v="589"/>
    <s v="GRAMOS"/>
    <n v="21.75438596"/>
    <n v="5179"/>
    <n v="2720"/>
    <n v="-2459"/>
    <n v="59171.929811200003"/>
    <n v="-53494.03507564"/>
    <x v="2"/>
  </r>
  <r>
    <x v="2"/>
    <x v="12"/>
    <x v="3"/>
    <s v="ABARROTES"/>
    <x v="1"/>
    <x v="590"/>
    <s v="GRAMOS"/>
    <n v="20.079999999999998"/>
    <n v="170"/>
    <n v="0"/>
    <n v="-170"/>
    <n v="0"/>
    <n v="-3413.6"/>
    <x v="2"/>
  </r>
  <r>
    <x v="2"/>
    <x v="13"/>
    <x v="2"/>
    <s v="ABARROTES"/>
    <x v="1"/>
    <x v="590"/>
    <s v="GRAMOS"/>
    <n v="20.079999999999998"/>
    <n v="820"/>
    <n v="720"/>
    <n v="-100"/>
    <n v="14457.599999999999"/>
    <n v="-2007.9999999999998"/>
    <x v="2"/>
  </r>
  <r>
    <x v="2"/>
    <x v="10"/>
    <x v="4"/>
    <s v="ABARROTES"/>
    <x v="1"/>
    <x v="590"/>
    <s v="GRAMOS"/>
    <n v="20.079999999999998"/>
    <n v="0"/>
    <n v="720"/>
    <n v="720"/>
    <n v="14457.599999999999"/>
    <n v="14457.599999999999"/>
    <x v="0"/>
  </r>
  <r>
    <x v="2"/>
    <x v="12"/>
    <x v="3"/>
    <s v="AGUA Y TE"/>
    <x v="0"/>
    <x v="29"/>
    <s v="UNIDADES"/>
    <n v="1234.3916666699999"/>
    <n v="72"/>
    <n v="73"/>
    <n v="1"/>
    <n v="90110.591666909997"/>
    <n v="1234.3916666699999"/>
    <x v="0"/>
  </r>
  <r>
    <x v="2"/>
    <x v="14"/>
    <x v="0"/>
    <s v="AGUA Y TE"/>
    <x v="0"/>
    <x v="29"/>
    <s v="UNIDADES"/>
    <n v="1234.3916666699999"/>
    <n v="92"/>
    <n v="92"/>
    <n v="0"/>
    <n v="113564.03333363999"/>
    <n v="0"/>
    <x v="1"/>
  </r>
  <r>
    <x v="2"/>
    <x v="13"/>
    <x v="2"/>
    <s v="AGUA Y TE"/>
    <x v="0"/>
    <x v="29"/>
    <s v="UNIDADES"/>
    <n v="1234.3916666699999"/>
    <n v="48"/>
    <n v="48"/>
    <n v="0"/>
    <n v="59250.800000160001"/>
    <n v="0"/>
    <x v="1"/>
  </r>
  <r>
    <x v="2"/>
    <x v="15"/>
    <x v="1"/>
    <s v="AGUA Y TE"/>
    <x v="0"/>
    <x v="29"/>
    <s v="UNIDADES"/>
    <n v="1234.3916666699999"/>
    <n v="22"/>
    <n v="20"/>
    <n v="-2"/>
    <n v="24687.833333399998"/>
    <n v="-2468.7833333399999"/>
    <x v="2"/>
  </r>
  <r>
    <x v="2"/>
    <x v="10"/>
    <x v="4"/>
    <s v="AGUA Y TE"/>
    <x v="0"/>
    <x v="29"/>
    <s v="UNIDADES"/>
    <n v="1234.3916666699999"/>
    <n v="44"/>
    <n v="8"/>
    <n v="-36"/>
    <n v="9875.1333333599996"/>
    <n v="-44438.100000120001"/>
    <x v="2"/>
  </r>
  <r>
    <x v="2"/>
    <x v="12"/>
    <x v="3"/>
    <s v="AGUA Y TE"/>
    <x v="0"/>
    <x v="158"/>
    <s v="UNIDADES"/>
    <n v="1654.21666667"/>
    <n v="87"/>
    <n v="84"/>
    <n v="-3"/>
    <n v="138954.20000027999"/>
    <n v="-4962.6500000100004"/>
    <x v="2"/>
  </r>
  <r>
    <x v="2"/>
    <x v="14"/>
    <x v="0"/>
    <s v="AGUA Y TE"/>
    <x v="0"/>
    <x v="158"/>
    <s v="UNIDADES"/>
    <n v="1654.2750000000001"/>
    <n v="57"/>
    <n v="76"/>
    <n v="19"/>
    <n v="125724.90000000001"/>
    <n v="31431.225000000002"/>
    <x v="0"/>
  </r>
  <r>
    <x v="2"/>
    <x v="13"/>
    <x v="2"/>
    <s v="AGUA Y TE"/>
    <x v="0"/>
    <x v="158"/>
    <s v="UNIDADES"/>
    <n v="1654.21666667"/>
    <n v="59"/>
    <n v="60"/>
    <n v="1"/>
    <n v="99253.000000200002"/>
    <n v="1654.21666667"/>
    <x v="0"/>
  </r>
  <r>
    <x v="2"/>
    <x v="15"/>
    <x v="1"/>
    <s v="AGUA Y TE"/>
    <x v="0"/>
    <x v="158"/>
    <s v="UNIDADES"/>
    <n v="1654.2750000000001"/>
    <n v="78"/>
    <n v="81"/>
    <n v="3"/>
    <n v="133996.27499999999"/>
    <n v="4962.8250000000007"/>
    <x v="0"/>
  </r>
  <r>
    <x v="2"/>
    <x v="10"/>
    <x v="4"/>
    <s v="AGUA Y TE"/>
    <x v="0"/>
    <x v="158"/>
    <s v="UNIDADES"/>
    <n v="1654.21666667"/>
    <n v="66"/>
    <n v="106"/>
    <n v="40"/>
    <n v="175346.96666701999"/>
    <n v="66168.666666799996"/>
    <x v="0"/>
  </r>
  <r>
    <x v="2"/>
    <x v="12"/>
    <x v="3"/>
    <s v="INSUMOS BAR"/>
    <x v="0"/>
    <x v="591"/>
    <s v="UNIDADES"/>
    <n v="2571.4285714299999"/>
    <n v="23"/>
    <n v="16"/>
    <n v="-7"/>
    <n v="41142.857142879999"/>
    <n v="-18000.000000010001"/>
    <x v="2"/>
  </r>
  <r>
    <x v="2"/>
    <x v="13"/>
    <x v="2"/>
    <s v="INSUMOS BAR"/>
    <x v="0"/>
    <x v="591"/>
    <s v="UNIDADES"/>
    <n v="2571.4285714299999"/>
    <n v="1"/>
    <n v="18"/>
    <n v="-4"/>
    <n v="46285.714285739996"/>
    <n v="-10285.71428572"/>
    <x v="2"/>
  </r>
  <r>
    <x v="2"/>
    <x v="15"/>
    <x v="1"/>
    <s v="INSUMOS BAR"/>
    <x v="0"/>
    <x v="591"/>
    <s v="UNIDADES"/>
    <n v="2714.2857142900002"/>
    <n v="39"/>
    <n v="20"/>
    <n v="-19"/>
    <n v="54285.714285800001"/>
    <n v="-51571.428571510005"/>
    <x v="2"/>
  </r>
  <r>
    <x v="2"/>
    <x v="10"/>
    <x v="4"/>
    <s v="INSUMOS BAR"/>
    <x v="0"/>
    <x v="591"/>
    <s v="UNIDADES"/>
    <n v="2571.4285714299999"/>
    <n v="62"/>
    <n v="43"/>
    <n v="-19"/>
    <n v="110571.42857149"/>
    <n v="-48857.142857170002"/>
    <x v="2"/>
  </r>
  <r>
    <x v="2"/>
    <x v="12"/>
    <x v="3"/>
    <s v="FRUVER"/>
    <x v="1"/>
    <x v="592"/>
    <s v="GRAMOS"/>
    <n v="8.6"/>
    <n v="0"/>
    <n v="0"/>
    <n v="0"/>
    <n v="0"/>
    <n v="0"/>
    <x v="1"/>
  </r>
  <r>
    <x v="2"/>
    <x v="14"/>
    <x v="0"/>
    <s v="FRUVER"/>
    <x v="1"/>
    <x v="592"/>
    <s v="GRAMOS"/>
    <n v="6.8"/>
    <n v="-370"/>
    <n v="1000"/>
    <n v="1370"/>
    <n v="6800"/>
    <n v="9316"/>
    <x v="0"/>
  </r>
  <r>
    <x v="2"/>
    <x v="13"/>
    <x v="2"/>
    <s v="FRUVER"/>
    <x v="1"/>
    <x v="592"/>
    <s v="GRAMOS"/>
    <n v="8.6"/>
    <n v="0"/>
    <n v="0"/>
    <n v="0"/>
    <n v="0"/>
    <n v="0"/>
    <x v="1"/>
  </r>
  <r>
    <x v="2"/>
    <x v="15"/>
    <x v="1"/>
    <s v="FRUVER"/>
    <x v="1"/>
    <x v="592"/>
    <s v="GRAMOS"/>
    <n v="6.8"/>
    <n v="-13989.2202"/>
    <n v="0"/>
    <n v="13989.220224999999"/>
    <n v="0"/>
    <n v="95126.69752999999"/>
    <x v="0"/>
  </r>
  <r>
    <x v="2"/>
    <x v="10"/>
    <x v="4"/>
    <s v="FRUVER"/>
    <x v="1"/>
    <x v="592"/>
    <s v="GRAMOS"/>
    <n v="8.6"/>
    <n v="0"/>
    <n v="0"/>
    <n v="0"/>
    <n v="0"/>
    <n v="0"/>
    <x v="1"/>
  </r>
  <r>
    <x v="2"/>
    <x v="12"/>
    <x v="3"/>
    <s v="MATERIAL DE EMPAQUE"/>
    <x v="2"/>
    <x v="593"/>
    <s v="UNIDADES"/>
    <n v="2203.4"/>
    <n v="0"/>
    <n v="0"/>
    <n v="0"/>
    <n v="0"/>
    <n v="0"/>
    <x v="1"/>
  </r>
  <r>
    <x v="2"/>
    <x v="13"/>
    <x v="2"/>
    <s v="MATERIAL DE EMPAQUE"/>
    <x v="2"/>
    <x v="593"/>
    <s v="UNIDADES"/>
    <n v="2203.4"/>
    <n v="0"/>
    <n v="44"/>
    <n v="44"/>
    <n v="96949.6"/>
    <n v="96949.6"/>
    <x v="0"/>
  </r>
  <r>
    <x v="2"/>
    <x v="10"/>
    <x v="4"/>
    <s v="MATERIAL DE EMPAQUE"/>
    <x v="2"/>
    <x v="593"/>
    <s v="UNIDADES"/>
    <n v="2203.4"/>
    <n v="30"/>
    <n v="0"/>
    <n v="-30"/>
    <n v="0"/>
    <n v="-66102"/>
    <x v="2"/>
  </r>
  <r>
    <x v="2"/>
    <x v="12"/>
    <x v="3"/>
    <s v="FRUVER"/>
    <x v="1"/>
    <x v="594"/>
    <s v="GRAMOS"/>
    <n v="3.8"/>
    <n v="5837.1428999999998"/>
    <n v="1150"/>
    <n v="-4687.1429159999998"/>
    <n v="4370"/>
    <n v="-17811.143080799997"/>
    <x v="2"/>
  </r>
  <r>
    <x v="2"/>
    <x v="14"/>
    <x v="0"/>
    <s v="FRUVER"/>
    <x v="1"/>
    <x v="594"/>
    <s v="GRAMOS"/>
    <n v="3.8"/>
    <n v="16083.999100000001"/>
    <n v="3346"/>
    <n v="-12737.999136"/>
    <n v="12714.8"/>
    <n v="-48404.396716800002"/>
    <x v="2"/>
  </r>
  <r>
    <x v="2"/>
    <x v="13"/>
    <x v="2"/>
    <s v="FRUVER"/>
    <x v="1"/>
    <x v="594"/>
    <s v="GRAMOS"/>
    <n v="3.8"/>
    <n v="17960.000100000001"/>
    <n v="1305"/>
    <n v="-17855.000080000002"/>
    <n v="4959"/>
    <n v="-67849.000304000001"/>
    <x v="2"/>
  </r>
  <r>
    <x v="2"/>
    <x v="15"/>
    <x v="1"/>
    <s v="FRUVER"/>
    <x v="1"/>
    <x v="594"/>
    <s v="GRAMOS"/>
    <n v="3.8"/>
    <n v="3700"/>
    <n v="0"/>
    <n v="-3700"/>
    <n v="0"/>
    <n v="-14060"/>
    <x v="2"/>
  </r>
  <r>
    <x v="2"/>
    <x v="16"/>
    <x v="5"/>
    <s v="FRUVER"/>
    <x v="1"/>
    <x v="594"/>
    <s v="GRAMOS"/>
    <n v="3.8"/>
    <n v="0"/>
    <n v="0"/>
    <n v="0"/>
    <n v="0"/>
    <n v="0"/>
    <x v="1"/>
  </r>
  <r>
    <x v="2"/>
    <x v="10"/>
    <x v="4"/>
    <s v="FRUVER"/>
    <x v="1"/>
    <x v="594"/>
    <s v="GRAMOS"/>
    <n v="3.8"/>
    <n v="30569.285800000001"/>
    <n v="600"/>
    <n v="-29969.285800000001"/>
    <n v="2280"/>
    <n v="-113883.28604000001"/>
    <x v="2"/>
  </r>
  <r>
    <x v="2"/>
    <x v="12"/>
    <x v="3"/>
    <s v="INSUMOS BAR"/>
    <x v="0"/>
    <x v="595"/>
    <s v="GRAMOS"/>
    <n v="3.8"/>
    <n v="677.85720000000003"/>
    <n v="1404"/>
    <n v="-173.85717199999999"/>
    <n v="5335.2"/>
    <n v="-660.65725359999999"/>
    <x v="2"/>
  </r>
  <r>
    <x v="2"/>
    <x v="14"/>
    <x v="0"/>
    <s v="INSUMOS BAR"/>
    <x v="0"/>
    <x v="595"/>
    <s v="GRAMOS"/>
    <n v="3.8"/>
    <n v="1238"/>
    <n v="0"/>
    <n v="-1238"/>
    <n v="0"/>
    <n v="-4704.3999999999996"/>
    <x v="2"/>
  </r>
  <r>
    <x v="2"/>
    <x v="13"/>
    <x v="2"/>
    <s v="INSUMOS BAR"/>
    <x v="0"/>
    <x v="595"/>
    <s v="GRAMOS"/>
    <n v="3.8"/>
    <n v="4580"/>
    <n v="1568"/>
    <n v="-3012.0000239999999"/>
    <n v="5958.4"/>
    <n v="-11445.6000912"/>
    <x v="2"/>
  </r>
  <r>
    <x v="2"/>
    <x v="15"/>
    <x v="1"/>
    <s v="INSUMOS BAR"/>
    <x v="0"/>
    <x v="595"/>
    <s v="GRAMOS"/>
    <n v="3.8"/>
    <n v="0"/>
    <n v="0"/>
    <n v="0"/>
    <n v="0"/>
    <n v="0"/>
    <x v="1"/>
  </r>
  <r>
    <x v="2"/>
    <x v="10"/>
    <x v="4"/>
    <s v="INSUMOS BAR"/>
    <x v="0"/>
    <x v="595"/>
    <s v="GRAMOS"/>
    <n v="3.8"/>
    <n v="1710.7143000000001"/>
    <n v="770"/>
    <n v="-940.71432800000002"/>
    <n v="2926"/>
    <n v="-3574.7144463999998"/>
    <x v="2"/>
  </r>
  <r>
    <x v="2"/>
    <x v="12"/>
    <x v="3"/>
    <s v="ABARROTES"/>
    <x v="1"/>
    <x v="596"/>
    <s v="GRAMOS"/>
    <n v="21.08"/>
    <n v="1610"/>
    <n v="240"/>
    <n v="-1370"/>
    <n v="5059.2"/>
    <n v="-28879.599999999999"/>
    <x v="2"/>
  </r>
  <r>
    <x v="2"/>
    <x v="13"/>
    <x v="2"/>
    <s v="ABARROTES"/>
    <x v="1"/>
    <x v="596"/>
    <s v="GRAMOS"/>
    <n v="21.08"/>
    <n v="2250"/>
    <n v="1000"/>
    <n v="-1250"/>
    <n v="21080"/>
    <n v="-26349.999999999996"/>
    <x v="2"/>
  </r>
  <r>
    <x v="2"/>
    <x v="16"/>
    <x v="5"/>
    <s v="ABARROTES"/>
    <x v="1"/>
    <x v="596"/>
    <s v="GRAMOS"/>
    <n v="21.08"/>
    <n v="2500"/>
    <n v="2350"/>
    <n v="-150"/>
    <n v="49537.999999999993"/>
    <n v="-3161.9999999999995"/>
    <x v="2"/>
  </r>
  <r>
    <x v="2"/>
    <x v="10"/>
    <x v="4"/>
    <s v="ABARROTES"/>
    <x v="1"/>
    <x v="596"/>
    <s v="GRAMOS"/>
    <n v="21.08"/>
    <n v="-625"/>
    <n v="1200"/>
    <n v="1825"/>
    <n v="25295.999999999996"/>
    <n v="38471"/>
    <x v="0"/>
  </r>
  <r>
    <x v="2"/>
    <x v="12"/>
    <x v="3"/>
    <s v="LACTEOS"/>
    <x v="1"/>
    <x v="597"/>
    <s v="GRAMOS"/>
    <n v="54.083333330000002"/>
    <n v="893.07119999999998"/>
    <n v="722"/>
    <n v="-171.0712"/>
    <n v="39048.166664260003"/>
    <n v="-9252.1007327630959"/>
    <x v="2"/>
  </r>
  <r>
    <x v="2"/>
    <x v="14"/>
    <x v="0"/>
    <s v="LACTEOS"/>
    <x v="1"/>
    <x v="597"/>
    <s v="GRAMOS"/>
    <n v="34.200000000000003"/>
    <n v="21055"/>
    <n v="2500"/>
    <n v="-18555.000032"/>
    <n v="85500"/>
    <n v="-634581.00109440007"/>
    <x v="2"/>
  </r>
  <r>
    <x v="2"/>
    <x v="13"/>
    <x v="2"/>
    <s v="LACTEOS"/>
    <x v="1"/>
    <x v="597"/>
    <s v="GRAMOS"/>
    <n v="54.083333330000002"/>
    <n v="2968.9277000000002"/>
    <n v="2600"/>
    <n v="-368.92768000000001"/>
    <n v="140616.666658"/>
    <n v="-19952.838692103574"/>
    <x v="2"/>
  </r>
  <r>
    <x v="2"/>
    <x v="15"/>
    <x v="1"/>
    <s v="LACTEOS"/>
    <x v="1"/>
    <x v="597"/>
    <s v="GRAMOS"/>
    <n v="34.200000000000003"/>
    <n v="4515.5902999999998"/>
    <n v="2000"/>
    <n v="-2515.59031"/>
    <n v="68400"/>
    <n v="-86033.188602000009"/>
    <x v="2"/>
  </r>
  <r>
    <x v="2"/>
    <x v="16"/>
    <x v="5"/>
    <s v="LACTEOS"/>
    <x v="1"/>
    <x v="597"/>
    <s v="GRAMOS"/>
    <n v="54.083333330000002"/>
    <n v="-60"/>
    <n v="860"/>
    <n v="920"/>
    <n v="46511.666663800002"/>
    <n v="49756.666663600001"/>
    <x v="0"/>
  </r>
  <r>
    <x v="2"/>
    <x v="10"/>
    <x v="4"/>
    <s v="LACTEOS"/>
    <x v="1"/>
    <x v="597"/>
    <s v="GRAMOS"/>
    <n v="54.083333330000002"/>
    <n v="570"/>
    <n v="1300"/>
    <n v="730"/>
    <n v="70308.333329000001"/>
    <n v="39480.833330900001"/>
    <x v="0"/>
  </r>
  <r>
    <x v="2"/>
    <x v="12"/>
    <x v="3"/>
    <s v="INSUMOS BAR"/>
    <x v="0"/>
    <x v="598"/>
    <s v="GRAMOS"/>
    <n v="11.8"/>
    <n v="899.48410000000001"/>
    <n v="664"/>
    <n v="-235.484116"/>
    <n v="7835.2000000000007"/>
    <n v="-2778.7125688000001"/>
    <x v="2"/>
  </r>
  <r>
    <x v="2"/>
    <x v="14"/>
    <x v="0"/>
    <s v="INSUMOS BAR"/>
    <x v="0"/>
    <x v="598"/>
    <s v="GRAMOS"/>
    <n v="10.5"/>
    <n v="-3441.1763000000001"/>
    <n v="0"/>
    <n v="3441.1763099999998"/>
    <n v="0"/>
    <n v="36132.351255000001"/>
    <x v="0"/>
  </r>
  <r>
    <x v="2"/>
    <x v="13"/>
    <x v="2"/>
    <s v="INSUMOS BAR"/>
    <x v="0"/>
    <x v="598"/>
    <s v="GRAMOS"/>
    <n v="11.8"/>
    <n v="-264.75119999999998"/>
    <n v="922"/>
    <n v="1186.7512039999999"/>
    <n v="10879.6"/>
    <n v="14003.6642072"/>
    <x v="0"/>
  </r>
  <r>
    <x v="2"/>
    <x v="15"/>
    <x v="1"/>
    <s v="INSUMOS BAR"/>
    <x v="0"/>
    <x v="598"/>
    <s v="GRAMOS"/>
    <n v="10.5"/>
    <n v="-19"/>
    <n v="0"/>
    <n v="19"/>
    <n v="0"/>
    <n v="199.5"/>
    <x v="0"/>
  </r>
  <r>
    <x v="2"/>
    <x v="10"/>
    <x v="4"/>
    <s v="INSUMOS BAR"/>
    <x v="0"/>
    <x v="598"/>
    <s v="GRAMOS"/>
    <n v="11.8"/>
    <n v="483.9837"/>
    <n v="524"/>
    <n v="40.016328000000001"/>
    <n v="6183.2000000000007"/>
    <n v="472.19267040000005"/>
    <x v="0"/>
  </r>
  <r>
    <x v="2"/>
    <x v="12"/>
    <x v="3"/>
    <s v="FRUVER"/>
    <x v="1"/>
    <x v="599"/>
    <s v="GRAMOS"/>
    <n v="11.8"/>
    <n v="-1096"/>
    <n v="0"/>
    <n v="436"/>
    <n v="0"/>
    <n v="5144.8"/>
    <x v="0"/>
  </r>
  <r>
    <x v="2"/>
    <x v="13"/>
    <x v="2"/>
    <s v="FRUVER"/>
    <x v="1"/>
    <x v="599"/>
    <s v="GRAMOS"/>
    <n v="11.8"/>
    <n v="700"/>
    <n v="0"/>
    <n v="-1700"/>
    <n v="0"/>
    <n v="-20060"/>
    <x v="2"/>
  </r>
  <r>
    <x v="2"/>
    <x v="10"/>
    <x v="4"/>
    <s v="FRUVER"/>
    <x v="1"/>
    <x v="599"/>
    <s v="GRAMOS"/>
    <n v="11.8"/>
    <n v="700"/>
    <n v="0"/>
    <n v="-700"/>
    <n v="0"/>
    <n v="-8260"/>
    <x v="2"/>
  </r>
  <r>
    <x v="2"/>
    <x v="12"/>
    <x v="3"/>
    <s v="INSUMOS BAR"/>
    <x v="0"/>
    <x v="600"/>
    <s v="GRAMOS"/>
    <n v="12"/>
    <n v="-1163.579"/>
    <n v="1114"/>
    <n v="1517.578966"/>
    <n v="13368"/>
    <n v="18210.947592"/>
    <x v="0"/>
  </r>
  <r>
    <x v="2"/>
    <x v="13"/>
    <x v="2"/>
    <s v="INSUMOS BAR"/>
    <x v="0"/>
    <x v="600"/>
    <s v="GRAMOS"/>
    <n v="12"/>
    <n v="1185.3684000000001"/>
    <n v="614"/>
    <n v="-571.36840400000006"/>
    <n v="7368"/>
    <n v="-6856.4208480000007"/>
    <x v="2"/>
  </r>
  <r>
    <x v="2"/>
    <x v="15"/>
    <x v="1"/>
    <s v="INSUMOS BAR"/>
    <x v="0"/>
    <x v="600"/>
    <s v="GRAMOS"/>
    <n v="12"/>
    <n v="840"/>
    <n v="0"/>
    <n v="-840"/>
    <n v="0"/>
    <n v="-10080"/>
    <x v="2"/>
  </r>
  <r>
    <x v="2"/>
    <x v="10"/>
    <x v="4"/>
    <s v="INSUMOS BAR"/>
    <x v="0"/>
    <x v="600"/>
    <s v="GRAMOS"/>
    <n v="12"/>
    <n v="925.7894"/>
    <n v="804"/>
    <n v="-121.789444"/>
    <n v="9648"/>
    <n v="-1461.473328"/>
    <x v="2"/>
  </r>
  <r>
    <x v="2"/>
    <x v="14"/>
    <x v="0"/>
    <s v="FRUVER"/>
    <x v="1"/>
    <x v="601"/>
    <s v="GRAMOS"/>
    <n v="10.199999999999999"/>
    <n v="1750"/>
    <n v="276"/>
    <n v="-1474"/>
    <n v="2815.2"/>
    <n v="-15034.8"/>
    <x v="2"/>
  </r>
  <r>
    <x v="2"/>
    <x v="15"/>
    <x v="1"/>
    <s v="FRUVER"/>
    <x v="1"/>
    <x v="601"/>
    <s v="GRAMOS"/>
    <n v="10.199999999999999"/>
    <n v="290"/>
    <n v="0"/>
    <n v="-290"/>
    <n v="0"/>
    <n v="-2958"/>
    <x v="2"/>
  </r>
  <r>
    <x v="2"/>
    <x v="15"/>
    <x v="1"/>
    <s v="ABARROTES"/>
    <x v="1"/>
    <x v="602"/>
    <s v="GRAMOS"/>
    <n v="24.541410259999999"/>
    <n v="20860"/>
    <n v="8400"/>
    <n v="-12460"/>
    <n v="206147.84618399999"/>
    <n v="-305785.97183960001"/>
    <x v="2"/>
  </r>
  <r>
    <x v="2"/>
    <x v="15"/>
    <x v="1"/>
    <s v="SALSAS ESPECIAS Y CONDIMENTOS"/>
    <x v="1"/>
    <x v="603"/>
    <s v="GRAMOS"/>
    <n v="25.652797620000001"/>
    <n v="15000"/>
    <n v="12100"/>
    <n v="-2900"/>
    <n v="310398.85120199999"/>
    <n v="-74393.113098000002"/>
    <x v="2"/>
  </r>
  <r>
    <x v="2"/>
    <x v="12"/>
    <x v="3"/>
    <s v="FRUVER"/>
    <x v="1"/>
    <x v="604"/>
    <s v="GRAMOS"/>
    <n v="6"/>
    <n v="4750"/>
    <n v="0"/>
    <n v="-4750"/>
    <n v="0"/>
    <n v="-28500"/>
    <x v="2"/>
  </r>
  <r>
    <x v="2"/>
    <x v="14"/>
    <x v="0"/>
    <s v="FRUVER"/>
    <x v="1"/>
    <x v="604"/>
    <s v="GRAMOS"/>
    <n v="6"/>
    <n v="20750"/>
    <n v="0"/>
    <n v="-20750"/>
    <n v="0"/>
    <n v="-124500"/>
    <x v="2"/>
  </r>
  <r>
    <x v="2"/>
    <x v="13"/>
    <x v="2"/>
    <s v="FRUVER"/>
    <x v="1"/>
    <x v="604"/>
    <s v="GRAMOS"/>
    <n v="6"/>
    <n v="29700"/>
    <n v="0"/>
    <n v="-29700"/>
    <n v="0"/>
    <n v="-178200"/>
    <x v="2"/>
  </r>
  <r>
    <x v="2"/>
    <x v="15"/>
    <x v="1"/>
    <s v="FRUVER"/>
    <x v="1"/>
    <x v="604"/>
    <s v="GRAMOS"/>
    <n v="6"/>
    <n v="6700"/>
    <n v="3000"/>
    <n v="-3700"/>
    <n v="18000"/>
    <n v="-22200"/>
    <x v="2"/>
  </r>
  <r>
    <x v="2"/>
    <x v="10"/>
    <x v="4"/>
    <s v="FRUVER"/>
    <x v="1"/>
    <x v="604"/>
    <s v="GRAMOS"/>
    <n v="6"/>
    <n v="42200"/>
    <n v="0"/>
    <n v="-42200"/>
    <n v="0"/>
    <n v="-253200"/>
    <x v="2"/>
  </r>
  <r>
    <x v="2"/>
    <x v="15"/>
    <x v="1"/>
    <s v="LACTEOS"/>
    <x v="1"/>
    <x v="605"/>
    <s v="GRAMOS"/>
    <n v="15"/>
    <n v="-15977.7258"/>
    <n v="7200"/>
    <n v="23177.725825000001"/>
    <n v="108000"/>
    <n v="347665.88737500005"/>
    <x v="0"/>
  </r>
  <r>
    <x v="2"/>
    <x v="12"/>
    <x v="3"/>
    <s v="VINOS"/>
    <x v="0"/>
    <x v="262"/>
    <s v="ONZA"/>
    <n v="2902.8333333300002"/>
    <n v="41"/>
    <n v="38"/>
    <n v="-3"/>
    <n v="110307.66666654001"/>
    <n v="-8708.499999990001"/>
    <x v="2"/>
  </r>
  <r>
    <x v="2"/>
    <x v="14"/>
    <x v="0"/>
    <s v="VINOS"/>
    <x v="0"/>
    <x v="262"/>
    <s v="ONZA"/>
    <n v="2137.5"/>
    <n v="17"/>
    <n v="24"/>
    <n v="7"/>
    <n v="51300"/>
    <n v="14962.5"/>
    <x v="0"/>
  </r>
  <r>
    <x v="2"/>
    <x v="13"/>
    <x v="2"/>
    <s v="VINOS"/>
    <x v="0"/>
    <x v="262"/>
    <s v="ONZA"/>
    <n v="2902.8333333300002"/>
    <n v="27"/>
    <n v="28"/>
    <n v="1"/>
    <n v="81279.333333240007"/>
    <n v="2902.8333333300002"/>
    <x v="0"/>
  </r>
  <r>
    <x v="2"/>
    <x v="15"/>
    <x v="1"/>
    <s v="VINOS"/>
    <x v="0"/>
    <x v="262"/>
    <s v="ONZA"/>
    <n v="2137.5"/>
    <n v="7.6"/>
    <n v="24"/>
    <n v="16.399999999999999"/>
    <n v="51300"/>
    <n v="35055"/>
    <x v="0"/>
  </r>
  <r>
    <x v="2"/>
    <x v="10"/>
    <x v="4"/>
    <s v="VINOS"/>
    <x v="0"/>
    <x v="262"/>
    <s v="ONZA"/>
    <n v="2902.8333333300002"/>
    <n v="13.63"/>
    <n v="14.34"/>
    <n v="0.71"/>
    <n v="41626.629999952202"/>
    <n v="2061.0116666642998"/>
    <x v="0"/>
  </r>
  <r>
    <x v="2"/>
    <x v="12"/>
    <x v="3"/>
    <s v="ABARROTES"/>
    <x v="1"/>
    <x v="606"/>
    <s v="GRAMOS"/>
    <n v="130.9"/>
    <n v="690"/>
    <n v="500"/>
    <n v="-190"/>
    <n v="65450"/>
    <n v="-24871"/>
    <x v="2"/>
  </r>
  <r>
    <x v="2"/>
    <x v="13"/>
    <x v="2"/>
    <s v="ABARROTES"/>
    <x v="1"/>
    <x v="606"/>
    <s v="GRAMOS"/>
    <n v="130.9"/>
    <n v="340"/>
    <n v="260"/>
    <n v="-80"/>
    <n v="34034"/>
    <n v="-10472"/>
    <x v="2"/>
  </r>
  <r>
    <x v="2"/>
    <x v="10"/>
    <x v="4"/>
    <s v="ABARROTES"/>
    <x v="1"/>
    <x v="606"/>
    <s v="GRAMOS"/>
    <n v="130.9"/>
    <n v="514"/>
    <n v="500"/>
    <n v="-14"/>
    <n v="65450"/>
    <n v="-1832.6000000000001"/>
    <x v="2"/>
  </r>
  <r>
    <x v="2"/>
    <x v="14"/>
    <x v="0"/>
    <s v="ABARROTES"/>
    <x v="1"/>
    <x v="607"/>
    <s v="GRAMOS"/>
    <n v="2.99"/>
    <n v="-2"/>
    <n v="0"/>
    <n v="2"/>
    <n v="0"/>
    <n v="5.98"/>
    <x v="0"/>
  </r>
  <r>
    <x v="2"/>
    <x v="12"/>
    <x v="3"/>
    <s v="ABARROTES"/>
    <x v="1"/>
    <x v="608"/>
    <s v="GRAMOS"/>
    <n v="32"/>
    <n v="3672"/>
    <n v="1322"/>
    <n v="-2350"/>
    <n v="42304"/>
    <n v="-75200"/>
    <x v="2"/>
  </r>
  <r>
    <x v="2"/>
    <x v="14"/>
    <x v="0"/>
    <s v="ABARROTES"/>
    <x v="1"/>
    <x v="608"/>
    <s v="GRAMOS"/>
    <n v="32"/>
    <n v="15475"/>
    <n v="19625"/>
    <n v="4150"/>
    <n v="628000"/>
    <n v="132800"/>
    <x v="0"/>
  </r>
  <r>
    <x v="2"/>
    <x v="13"/>
    <x v="2"/>
    <s v="ABARROTES"/>
    <x v="1"/>
    <x v="608"/>
    <s v="GRAMOS"/>
    <n v="32"/>
    <n v="8995.0005000000001"/>
    <n v="3328"/>
    <n v="-5667.0005000000001"/>
    <n v="106496"/>
    <n v="-181344.016"/>
    <x v="2"/>
  </r>
  <r>
    <x v="2"/>
    <x v="15"/>
    <x v="1"/>
    <s v="ABARROTES"/>
    <x v="1"/>
    <x v="608"/>
    <s v="GRAMOS"/>
    <n v="32"/>
    <n v="-1930"/>
    <n v="0"/>
    <n v="1930"/>
    <n v="0"/>
    <n v="61760"/>
    <x v="0"/>
  </r>
  <r>
    <x v="2"/>
    <x v="16"/>
    <x v="5"/>
    <s v="ABARROTES"/>
    <x v="1"/>
    <x v="608"/>
    <s v="GRAMOS"/>
    <n v="32"/>
    <n v="29400"/>
    <n v="38650"/>
    <n v="9250"/>
    <n v="1236800"/>
    <n v="296000"/>
    <x v="0"/>
  </r>
  <r>
    <x v="2"/>
    <x v="10"/>
    <x v="4"/>
    <s v="ABARROTES"/>
    <x v="1"/>
    <x v="608"/>
    <s v="GRAMOS"/>
    <n v="32"/>
    <n v="7855"/>
    <n v="4962"/>
    <n v="-2893"/>
    <n v="158784"/>
    <n v="-92576"/>
    <x v="2"/>
  </r>
  <r>
    <x v="2"/>
    <x v="12"/>
    <x v="3"/>
    <s v="ABARROTES"/>
    <x v="1"/>
    <x v="609"/>
    <s v="GRAMOS"/>
    <n v="25.38"/>
    <n v="525"/>
    <n v="3176"/>
    <n v="-949"/>
    <n v="80606.87999999999"/>
    <n v="-24085.62"/>
    <x v="2"/>
  </r>
  <r>
    <x v="2"/>
    <x v="14"/>
    <x v="0"/>
    <s v="ABARROTES"/>
    <x v="1"/>
    <x v="609"/>
    <s v="GRAMOS"/>
    <n v="26.703749999999999"/>
    <n v="0"/>
    <n v="0"/>
    <n v="0"/>
    <n v="0"/>
    <n v="0"/>
    <x v="1"/>
  </r>
  <r>
    <x v="2"/>
    <x v="13"/>
    <x v="2"/>
    <s v="ABARROTES"/>
    <x v="1"/>
    <x v="609"/>
    <s v="GRAMOS"/>
    <n v="25.38"/>
    <n v="5260"/>
    <n v="7200"/>
    <n v="-1660"/>
    <n v="182736"/>
    <n v="-42130.799999999996"/>
    <x v="2"/>
  </r>
  <r>
    <x v="2"/>
    <x v="10"/>
    <x v="4"/>
    <s v="ABARROTES"/>
    <x v="1"/>
    <x v="609"/>
    <s v="GRAMOS"/>
    <n v="25.38"/>
    <n v="6966"/>
    <n v="2028"/>
    <n v="-4938"/>
    <n v="51470.64"/>
    <n v="-125326.44"/>
    <x v="2"/>
  </r>
  <r>
    <x v="2"/>
    <x v="12"/>
    <x v="3"/>
    <s v="ABARROTES"/>
    <x v="1"/>
    <x v="610"/>
    <s v="GRAMOS"/>
    <n v="22.30079576"/>
    <n v="-1120"/>
    <n v="0"/>
    <n v="1120"/>
    <n v="0"/>
    <n v="24976.891251199999"/>
    <x v="0"/>
  </r>
  <r>
    <x v="2"/>
    <x v="14"/>
    <x v="0"/>
    <s v="ABARROTES"/>
    <x v="1"/>
    <x v="610"/>
    <s v="GRAMOS"/>
    <n v="25.4994695"/>
    <n v="5360.0015999999996"/>
    <n v="7540"/>
    <n v="2179.9983999999999"/>
    <n v="192266.00003"/>
    <n v="55588.802710848802"/>
    <x v="0"/>
  </r>
  <r>
    <x v="2"/>
    <x v="13"/>
    <x v="2"/>
    <s v="ABARROTES"/>
    <x v="1"/>
    <x v="610"/>
    <s v="GRAMOS"/>
    <n v="22.30079576"/>
    <n v="-940"/>
    <n v="0"/>
    <n v="940"/>
    <n v="0"/>
    <n v="20962.7480144"/>
    <x v="0"/>
  </r>
  <r>
    <x v="2"/>
    <x v="15"/>
    <x v="1"/>
    <s v="ABARROTES"/>
    <x v="1"/>
    <x v="610"/>
    <s v="GRAMOS"/>
    <n v="25.4994695"/>
    <n v="10931.278700000001"/>
    <n v="8240"/>
    <n v="-2691.2787400000002"/>
    <n v="210115.62867999999"/>
    <n v="-68626.180146628438"/>
    <x v="2"/>
  </r>
  <r>
    <x v="2"/>
    <x v="10"/>
    <x v="4"/>
    <s v="ABARROTES"/>
    <x v="1"/>
    <x v="610"/>
    <s v="GRAMOS"/>
    <n v="22.30079576"/>
    <n v="-1400"/>
    <n v="0"/>
    <n v="1400"/>
    <n v="0"/>
    <n v="31221.114064000001"/>
    <x v="0"/>
  </r>
  <r>
    <x v="2"/>
    <x v="12"/>
    <x v="3"/>
    <s v="FRUVER"/>
    <x v="1"/>
    <x v="611"/>
    <s v="GRAMOS"/>
    <n v="5.8"/>
    <n v="-1400"/>
    <n v="750"/>
    <n v="2150"/>
    <n v="4350"/>
    <n v="12470"/>
    <x v="0"/>
  </r>
  <r>
    <x v="2"/>
    <x v="14"/>
    <x v="0"/>
    <s v="FRUVER"/>
    <x v="1"/>
    <x v="611"/>
    <s v="GRAMOS"/>
    <n v="5.5"/>
    <n v="14385"/>
    <n v="2940"/>
    <n v="-11445"/>
    <n v="16170"/>
    <n v="-62947.5"/>
    <x v="2"/>
  </r>
  <r>
    <x v="2"/>
    <x v="13"/>
    <x v="2"/>
    <s v="FRUVER"/>
    <x v="1"/>
    <x v="611"/>
    <s v="GRAMOS"/>
    <n v="5.8"/>
    <n v="630"/>
    <n v="962"/>
    <n v="-638"/>
    <n v="5579.5999999999995"/>
    <n v="-3700.4"/>
    <x v="2"/>
  </r>
  <r>
    <x v="2"/>
    <x v="15"/>
    <x v="1"/>
    <s v="FRUVER"/>
    <x v="1"/>
    <x v="611"/>
    <s v="GRAMOS"/>
    <n v="5.5"/>
    <n v="-1460.0003999999999"/>
    <n v="600"/>
    <n v="2060.0003999999999"/>
    <n v="3300"/>
    <n v="11330.002199999999"/>
    <x v="0"/>
  </r>
  <r>
    <x v="2"/>
    <x v="10"/>
    <x v="4"/>
    <s v="FRUVER"/>
    <x v="1"/>
    <x v="611"/>
    <s v="GRAMOS"/>
    <n v="5.8"/>
    <n v="-640"/>
    <n v="0"/>
    <n v="640"/>
    <n v="0"/>
    <n v="3712"/>
    <x v="0"/>
  </r>
  <r>
    <x v="2"/>
    <x v="12"/>
    <x v="3"/>
    <s v="PESCADOS Y MARISCOS"/>
    <x v="1"/>
    <x v="190"/>
    <s v="UNIDADES"/>
    <n v="436.01333333000002"/>
    <n v="124"/>
    <n v="181"/>
    <n v="57"/>
    <n v="78918.413332730008"/>
    <n v="24852.759999810001"/>
    <x v="0"/>
  </r>
  <r>
    <x v="2"/>
    <x v="14"/>
    <x v="0"/>
    <s v="PESCADOS Y MARISCOS"/>
    <x v="1"/>
    <x v="190"/>
    <s v="UNIDADES"/>
    <n v="436.01333333000002"/>
    <n v="104"/>
    <n v="160"/>
    <n v="56"/>
    <n v="69762.133332800004"/>
    <n v="24416.746666480001"/>
    <x v="0"/>
  </r>
  <r>
    <x v="2"/>
    <x v="13"/>
    <x v="2"/>
    <s v="PESCADOS Y MARISCOS"/>
    <x v="1"/>
    <x v="190"/>
    <s v="UNIDADES"/>
    <n v="436.01333333000002"/>
    <n v="292"/>
    <n v="376"/>
    <n v="84"/>
    <n v="163941.01333208001"/>
    <n v="36625.119999720002"/>
    <x v="0"/>
  </r>
  <r>
    <x v="2"/>
    <x v="16"/>
    <x v="5"/>
    <s v="PESCADOS Y MARISCOS"/>
    <x v="1"/>
    <x v="190"/>
    <s v="UNIDADES"/>
    <n v="436.01333333000002"/>
    <n v="0"/>
    <n v="0"/>
    <n v="0"/>
    <n v="0"/>
    <n v="0"/>
    <x v="1"/>
  </r>
  <r>
    <x v="2"/>
    <x v="10"/>
    <x v="4"/>
    <s v="PESCADOS Y MARISCOS"/>
    <x v="1"/>
    <x v="190"/>
    <s v="UNIDADES"/>
    <n v="436.01333333000002"/>
    <n v="283"/>
    <n v="390"/>
    <n v="107"/>
    <n v="170045.1999987"/>
    <n v="46653.426666309999"/>
    <x v="0"/>
  </r>
  <r>
    <x v="2"/>
    <x v="12"/>
    <x v="3"/>
    <s v="VINOS"/>
    <x v="0"/>
    <x v="243"/>
    <s v="UNIDADES"/>
    <n v="97200"/>
    <n v="1"/>
    <n v="1"/>
    <n v="0"/>
    <n v="97200"/>
    <n v="0"/>
    <x v="1"/>
  </r>
  <r>
    <x v="2"/>
    <x v="13"/>
    <x v="2"/>
    <s v="VINOS"/>
    <x v="0"/>
    <x v="243"/>
    <s v="UNIDADES"/>
    <n v="97200"/>
    <n v="1"/>
    <n v="1"/>
    <n v="0"/>
    <n v="97200"/>
    <n v="0"/>
    <x v="1"/>
  </r>
  <r>
    <x v="2"/>
    <x v="10"/>
    <x v="4"/>
    <s v="VINOS"/>
    <x v="0"/>
    <x v="243"/>
    <s v="UNIDADES"/>
    <n v="97200"/>
    <n v="3"/>
    <n v="3"/>
    <n v="0"/>
    <n v="291600"/>
    <n v="0"/>
    <x v="1"/>
  </r>
  <r>
    <x v="2"/>
    <x v="12"/>
    <x v="3"/>
    <s v="VINOS"/>
    <x v="0"/>
    <x v="244"/>
    <s v="UNIDADES"/>
    <n v="73956.022408999997"/>
    <n v="1"/>
    <n v="1"/>
    <n v="0"/>
    <n v="73956.022408999997"/>
    <n v="0"/>
    <x v="1"/>
  </r>
  <r>
    <x v="2"/>
    <x v="13"/>
    <x v="2"/>
    <s v="VINOS"/>
    <x v="0"/>
    <x v="244"/>
    <s v="UNIDADES"/>
    <n v="73956.022408999997"/>
    <n v="1"/>
    <n v="1"/>
    <n v="0"/>
    <n v="73956.022408999997"/>
    <n v="0"/>
    <x v="1"/>
  </r>
  <r>
    <x v="2"/>
    <x v="10"/>
    <x v="4"/>
    <s v="VINOS"/>
    <x v="0"/>
    <x v="244"/>
    <s v="UNIDADES"/>
    <n v="73956.022408999997"/>
    <n v="4"/>
    <n v="4"/>
    <n v="0"/>
    <n v="295824.08963599999"/>
    <n v="0"/>
    <x v="1"/>
  </r>
  <r>
    <x v="2"/>
    <x v="12"/>
    <x v="3"/>
    <s v="FRUVER"/>
    <x v="1"/>
    <x v="612"/>
    <s v="GRAMOS"/>
    <n v="4.5"/>
    <n v="0"/>
    <n v="0"/>
    <n v="0"/>
    <n v="0"/>
    <n v="0"/>
    <x v="1"/>
  </r>
  <r>
    <x v="2"/>
    <x v="14"/>
    <x v="0"/>
    <s v="FRUVER"/>
    <x v="1"/>
    <x v="612"/>
    <s v="GRAMOS"/>
    <n v="12.5"/>
    <n v="-44"/>
    <n v="0"/>
    <n v="44"/>
    <n v="0"/>
    <n v="550"/>
    <x v="0"/>
  </r>
  <r>
    <x v="2"/>
    <x v="13"/>
    <x v="2"/>
    <s v="FRUVER"/>
    <x v="1"/>
    <x v="612"/>
    <s v="GRAMOS"/>
    <n v="4.5"/>
    <n v="0"/>
    <n v="0"/>
    <n v="0"/>
    <n v="0"/>
    <n v="0"/>
    <x v="1"/>
  </r>
  <r>
    <x v="2"/>
    <x v="15"/>
    <x v="1"/>
    <s v="FRUVER"/>
    <x v="1"/>
    <x v="612"/>
    <s v="GRAMOS"/>
    <n v="12.5"/>
    <n v="-8.9468999999999994"/>
    <n v="0"/>
    <n v="8.9469209999999997"/>
    <n v="0"/>
    <n v="111.8365125"/>
    <x v="0"/>
  </r>
  <r>
    <x v="2"/>
    <x v="10"/>
    <x v="4"/>
    <s v="FRUVER"/>
    <x v="1"/>
    <x v="612"/>
    <s v="GRAMOS"/>
    <n v="4.5"/>
    <n v="0"/>
    <n v="0"/>
    <n v="0"/>
    <n v="0"/>
    <n v="0"/>
    <x v="1"/>
  </r>
  <r>
    <x v="2"/>
    <x v="12"/>
    <x v="3"/>
    <s v="ABARROTES"/>
    <x v="1"/>
    <x v="613"/>
    <s v="UNIDADES"/>
    <n v="171.97888889000001"/>
    <n v="1800"/>
    <n v="0"/>
    <n v="-2700"/>
    <n v="0"/>
    <n v="-464343.00000300002"/>
    <x v="2"/>
  </r>
  <r>
    <x v="2"/>
    <x v="14"/>
    <x v="0"/>
    <s v="ABARROTES"/>
    <x v="1"/>
    <x v="613"/>
    <s v="UNIDADES"/>
    <n v="171.97888889000001"/>
    <n v="4500"/>
    <n v="1650"/>
    <n v="-2850"/>
    <n v="283765.16666849999"/>
    <n v="-490139.83333650004"/>
    <x v="2"/>
  </r>
  <r>
    <x v="2"/>
    <x v="13"/>
    <x v="2"/>
    <s v="ABARROTES"/>
    <x v="1"/>
    <x v="613"/>
    <s v="UNIDADES"/>
    <n v="171.97888889000001"/>
    <n v="1600"/>
    <n v="0"/>
    <n v="-1600"/>
    <n v="0"/>
    <n v="-275166.22222400003"/>
    <x v="2"/>
  </r>
  <r>
    <x v="2"/>
    <x v="15"/>
    <x v="1"/>
    <s v="ABARROTES"/>
    <x v="1"/>
    <x v="613"/>
    <s v="UNIDADES"/>
    <n v="171.97888889000001"/>
    <n v="2800"/>
    <n v="300"/>
    <n v="-2500"/>
    <n v="51593.666667000005"/>
    <n v="-429947.22222500003"/>
    <x v="2"/>
  </r>
  <r>
    <x v="2"/>
    <x v="10"/>
    <x v="4"/>
    <s v="ABARROTES"/>
    <x v="1"/>
    <x v="613"/>
    <s v="UNIDADES"/>
    <n v="171.97888889000001"/>
    <n v="5400"/>
    <n v="900"/>
    <n v="-4500"/>
    <n v="154781.00000100001"/>
    <n v="-773905.00000500004"/>
    <x v="2"/>
  </r>
  <r>
    <x v="2"/>
    <x v="12"/>
    <x v="3"/>
    <s v="LICORES"/>
    <x v="0"/>
    <x v="134"/>
    <s v="ONZA"/>
    <n v="8389.75"/>
    <n v="6"/>
    <n v="6"/>
    <n v="0"/>
    <n v="50338.5"/>
    <n v="0"/>
    <x v="1"/>
  </r>
  <r>
    <x v="2"/>
    <x v="14"/>
    <x v="0"/>
    <s v="LICORES"/>
    <x v="0"/>
    <x v="134"/>
    <s v="ONZA"/>
    <n v="9217.1666666700003"/>
    <n v="37"/>
    <n v="37"/>
    <n v="0"/>
    <n v="341035.16666679003"/>
    <n v="0"/>
    <x v="1"/>
  </r>
  <r>
    <x v="2"/>
    <x v="13"/>
    <x v="2"/>
    <s v="LICORES"/>
    <x v="0"/>
    <x v="134"/>
    <s v="ONZA"/>
    <n v="8389.75"/>
    <n v="5"/>
    <n v="5"/>
    <n v="0"/>
    <n v="41948.75"/>
    <n v="0"/>
    <x v="1"/>
  </r>
  <r>
    <x v="2"/>
    <x v="15"/>
    <x v="1"/>
    <s v="LICORES"/>
    <x v="0"/>
    <x v="134"/>
    <s v="ONZA"/>
    <n v="9217.1666666700003"/>
    <n v="48"/>
    <n v="69"/>
    <n v="21"/>
    <n v="635984.50000023004"/>
    <n v="193560.50000006999"/>
    <x v="0"/>
  </r>
  <r>
    <x v="2"/>
    <x v="10"/>
    <x v="4"/>
    <s v="LICORES"/>
    <x v="0"/>
    <x v="134"/>
    <s v="ONZA"/>
    <n v="8389.75"/>
    <n v="27.46"/>
    <n v="26"/>
    <n v="-1.46"/>
    <n v="218133.5"/>
    <n v="-12249.035"/>
    <x v="2"/>
  </r>
  <r>
    <x v="2"/>
    <x v="12"/>
    <x v="3"/>
    <s v="LICORES"/>
    <x v="0"/>
    <x v="83"/>
    <s v="ONZA"/>
    <n v="7122.4772727299996"/>
    <n v="14"/>
    <n v="16"/>
    <n v="2"/>
    <n v="113959.63636367999"/>
    <n v="14244.954545459999"/>
    <x v="0"/>
  </r>
  <r>
    <x v="2"/>
    <x v="14"/>
    <x v="0"/>
    <s v="LICORES"/>
    <x v="0"/>
    <x v="83"/>
    <s v="ONZA"/>
    <n v="7122.4772727299996"/>
    <n v="27.01"/>
    <n v="35"/>
    <n v="7.99"/>
    <n v="249286.70454554999"/>
    <n v="56908.593409112698"/>
    <x v="0"/>
  </r>
  <r>
    <x v="2"/>
    <x v="13"/>
    <x v="2"/>
    <s v="LICORES"/>
    <x v="0"/>
    <x v="83"/>
    <s v="ONZA"/>
    <n v="7122.4772727299996"/>
    <n v="74"/>
    <n v="79"/>
    <n v="5"/>
    <n v="562675.70454566996"/>
    <n v="35612.386363649995"/>
    <x v="0"/>
  </r>
  <r>
    <x v="2"/>
    <x v="15"/>
    <x v="1"/>
    <s v="LICORES"/>
    <x v="0"/>
    <x v="83"/>
    <s v="ONZA"/>
    <n v="7122.4772727299996"/>
    <n v="56.67"/>
    <n v="60"/>
    <n v="3.33"/>
    <n v="427348.63636379997"/>
    <n v="23717.8493181909"/>
    <x v="0"/>
  </r>
  <r>
    <x v="2"/>
    <x v="10"/>
    <x v="4"/>
    <s v="LICORES"/>
    <x v="0"/>
    <x v="83"/>
    <s v="ONZA"/>
    <n v="7122.4772727299996"/>
    <n v="49"/>
    <n v="60.38"/>
    <n v="11.38"/>
    <n v="430055.1777274374"/>
    <n v="81053.791363667406"/>
    <x v="0"/>
  </r>
  <r>
    <x v="2"/>
    <x v="12"/>
    <x v="3"/>
    <s v="MATERIAL DE EMPAQUE"/>
    <x v="2"/>
    <x v="614"/>
    <s v="UNIDADES"/>
    <n v="155.53399999999999"/>
    <n v="300"/>
    <n v="4"/>
    <n v="-296"/>
    <n v="622.13599999999997"/>
    <n v="-46038.063999999998"/>
    <x v="2"/>
  </r>
  <r>
    <x v="2"/>
    <x v="14"/>
    <x v="0"/>
    <s v="MATERIAL DE EMPAQUE"/>
    <x v="2"/>
    <x v="614"/>
    <s v="UNIDADES"/>
    <n v="155.53399999999999"/>
    <n v="0"/>
    <n v="4"/>
    <n v="4"/>
    <n v="622.13599999999997"/>
    <n v="622.13599999999997"/>
    <x v="0"/>
  </r>
  <r>
    <x v="2"/>
    <x v="13"/>
    <x v="2"/>
    <s v="MATERIAL DE EMPAQUE"/>
    <x v="2"/>
    <x v="614"/>
    <s v="UNIDADES"/>
    <n v="155.53399999999999"/>
    <n v="1200"/>
    <n v="350"/>
    <n v="-850"/>
    <n v="54436.899999999994"/>
    <n v="-132203.9"/>
    <x v="2"/>
  </r>
  <r>
    <x v="2"/>
    <x v="15"/>
    <x v="1"/>
    <s v="MATERIAL DE EMPAQUE"/>
    <x v="2"/>
    <x v="614"/>
    <s v="UNIDADES"/>
    <n v="155.53399999999999"/>
    <n v="411"/>
    <n v="500"/>
    <n v="89"/>
    <n v="77767"/>
    <n v="13842.526"/>
    <x v="0"/>
  </r>
  <r>
    <x v="2"/>
    <x v="10"/>
    <x v="4"/>
    <s v="MATERIAL DE EMPAQUE"/>
    <x v="2"/>
    <x v="614"/>
    <s v="UNIDADES"/>
    <n v="155.53399999999999"/>
    <n v="2110"/>
    <n v="10"/>
    <n v="-2100"/>
    <n v="1555.34"/>
    <n v="-326621.39999999997"/>
    <x v="2"/>
  </r>
  <r>
    <x v="2"/>
    <x v="14"/>
    <x v="0"/>
    <s v="FRUVER"/>
    <x v="1"/>
    <x v="615"/>
    <s v="GRAMOS"/>
    <n v="12"/>
    <n v="-13202.2222"/>
    <n v="0"/>
    <n v="13202.2222212"/>
    <n v="0"/>
    <n v="158426.6666544"/>
    <x v="0"/>
  </r>
  <r>
    <x v="2"/>
    <x v="15"/>
    <x v="1"/>
    <s v="FRUVER"/>
    <x v="1"/>
    <x v="615"/>
    <s v="GRAMOS"/>
    <n v="12"/>
    <n v="-811.11109999999996"/>
    <n v="0"/>
    <n v="811.11110299999996"/>
    <n v="0"/>
    <n v="9733.3332359999986"/>
    <x v="0"/>
  </r>
  <r>
    <x v="2"/>
    <x v="12"/>
    <x v="3"/>
    <s v="ABARROTES"/>
    <x v="1"/>
    <x v="616"/>
    <s v="GRAMOS"/>
    <n v="40.047916669999999"/>
    <n v="371"/>
    <n v="520"/>
    <n v="-811"/>
    <n v="20824.916668400001"/>
    <n v="-32478.860419370001"/>
    <x v="2"/>
  </r>
  <r>
    <x v="2"/>
    <x v="14"/>
    <x v="0"/>
    <s v="ABARROTES"/>
    <x v="1"/>
    <x v="616"/>
    <s v="GRAMOS"/>
    <n v="40.047916669999999"/>
    <n v="5131"/>
    <n v="1500"/>
    <n v="-3631"/>
    <n v="60071.875005000002"/>
    <n v="-145413.98542876999"/>
    <x v="2"/>
  </r>
  <r>
    <x v="2"/>
    <x v="13"/>
    <x v="2"/>
    <s v="ABARROTES"/>
    <x v="1"/>
    <x v="616"/>
    <s v="GRAMOS"/>
    <n v="40.047916669999999"/>
    <n v="-680"/>
    <n v="750"/>
    <n v="1430"/>
    <n v="30035.937502500001"/>
    <n v="57268.520838099997"/>
    <x v="0"/>
  </r>
  <r>
    <x v="2"/>
    <x v="15"/>
    <x v="1"/>
    <s v="ABARROTES"/>
    <x v="1"/>
    <x v="616"/>
    <s v="GRAMOS"/>
    <n v="40.047916669999999"/>
    <n v="955"/>
    <n v="1000"/>
    <n v="45"/>
    <n v="40047.916669999999"/>
    <n v="1802.15625015"/>
    <x v="0"/>
  </r>
  <r>
    <x v="2"/>
    <x v="10"/>
    <x v="4"/>
    <s v="ABARROTES"/>
    <x v="1"/>
    <x v="616"/>
    <s v="GRAMOS"/>
    <n v="40.047916669999999"/>
    <n v="2955"/>
    <n v="500"/>
    <n v="-2455"/>
    <n v="20023.958334999999"/>
    <n v="-98317.635424849999"/>
    <x v="2"/>
  </r>
  <r>
    <x v="2"/>
    <x v="12"/>
    <x v="3"/>
    <s v="ABARROTES"/>
    <x v="1"/>
    <x v="617"/>
    <s v="GRAMOS"/>
    <n v="18.829166669999999"/>
    <n v="0"/>
    <n v="0"/>
    <n v="0"/>
    <n v="0"/>
    <n v="0"/>
    <x v="1"/>
  </r>
  <r>
    <x v="2"/>
    <x v="14"/>
    <x v="0"/>
    <s v="ABARROTES"/>
    <x v="1"/>
    <x v="617"/>
    <s v="GRAMOS"/>
    <n v="19.687874999999998"/>
    <n v="1730"/>
    <n v="1440"/>
    <n v="-290"/>
    <n v="28350.539999999997"/>
    <n v="-5709.4837499999994"/>
    <x v="2"/>
  </r>
  <r>
    <x v="2"/>
    <x v="13"/>
    <x v="2"/>
    <s v="ABARROTES"/>
    <x v="1"/>
    <x v="617"/>
    <s v="GRAMOS"/>
    <n v="18.829166669999999"/>
    <n v="1600"/>
    <n v="0"/>
    <n v="-1600"/>
    <n v="0"/>
    <n v="-30126.666671999999"/>
    <x v="2"/>
  </r>
  <r>
    <x v="2"/>
    <x v="15"/>
    <x v="1"/>
    <s v="ABARROTES"/>
    <x v="1"/>
    <x v="617"/>
    <s v="GRAMOS"/>
    <n v="19.687874999999998"/>
    <n v="785.12"/>
    <n v="1440"/>
    <n v="654.88"/>
    <n v="28350.539999999997"/>
    <n v="12893.19558"/>
    <x v="0"/>
  </r>
  <r>
    <x v="2"/>
    <x v="10"/>
    <x v="4"/>
    <s v="ABARROTES"/>
    <x v="1"/>
    <x v="617"/>
    <s v="GRAMOS"/>
    <n v="18.829166669999999"/>
    <n v="0"/>
    <n v="0"/>
    <n v="0"/>
    <n v="0"/>
    <n v="0"/>
    <x v="1"/>
  </r>
  <r>
    <x v="2"/>
    <x v="12"/>
    <x v="3"/>
    <s v="ABARROTES"/>
    <x v="1"/>
    <x v="618"/>
    <s v="GRAMOS"/>
    <n v="16.5"/>
    <n v="11275"/>
    <n v="11000"/>
    <n v="-275.00002000000001"/>
    <n v="181500"/>
    <n v="-4537.5003299999998"/>
    <x v="2"/>
  </r>
  <r>
    <x v="2"/>
    <x v="14"/>
    <x v="0"/>
    <s v="ABARROTES"/>
    <x v="1"/>
    <x v="618"/>
    <s v="GRAMOS"/>
    <n v="16.5"/>
    <n v="22590"/>
    <n v="3200"/>
    <n v="-19390"/>
    <n v="52800"/>
    <n v="-319935"/>
    <x v="2"/>
  </r>
  <r>
    <x v="2"/>
    <x v="13"/>
    <x v="2"/>
    <s v="ABARROTES"/>
    <x v="1"/>
    <x v="618"/>
    <s v="GRAMOS"/>
    <n v="16.5"/>
    <n v="6395"/>
    <n v="0"/>
    <n v="-6395"/>
    <n v="0"/>
    <n v="-105517.5"/>
    <x v="2"/>
  </r>
  <r>
    <x v="2"/>
    <x v="15"/>
    <x v="1"/>
    <s v="ABARROTES"/>
    <x v="1"/>
    <x v="618"/>
    <s v="GRAMOS"/>
    <n v="16.5"/>
    <n v="6309.5"/>
    <n v="6000"/>
    <n v="-309.5"/>
    <n v="99000"/>
    <n v="-5106.75"/>
    <x v="2"/>
  </r>
  <r>
    <x v="2"/>
    <x v="10"/>
    <x v="4"/>
    <s v="ABARROTES"/>
    <x v="1"/>
    <x v="618"/>
    <s v="GRAMOS"/>
    <n v="16.5"/>
    <n v="4295"/>
    <n v="3000"/>
    <n v="-1295"/>
    <n v="49500"/>
    <n v="-21367.5"/>
    <x v="2"/>
  </r>
  <r>
    <x v="2"/>
    <x v="14"/>
    <x v="0"/>
    <s v="ABARROTES"/>
    <x v="1"/>
    <x v="619"/>
    <s v="GRAMOS"/>
    <n v="66.665742300000005"/>
    <n v="732"/>
    <n v="0"/>
    <n v="-732"/>
    <n v="0"/>
    <n v="-48799.3233636"/>
    <x v="2"/>
  </r>
  <r>
    <x v="2"/>
    <x v="12"/>
    <x v="3"/>
    <s v="VINOS"/>
    <x v="0"/>
    <x v="239"/>
    <s v="UNIDADES"/>
    <n v="72880"/>
    <n v="3"/>
    <n v="3"/>
    <n v="0"/>
    <n v="218640"/>
    <n v="0"/>
    <x v="1"/>
  </r>
  <r>
    <x v="2"/>
    <x v="13"/>
    <x v="2"/>
    <s v="VINOS"/>
    <x v="0"/>
    <x v="239"/>
    <s v="UNIDADES"/>
    <n v="72880"/>
    <n v="3"/>
    <n v="3"/>
    <n v="0"/>
    <n v="218640"/>
    <n v="0"/>
    <x v="1"/>
  </r>
  <r>
    <x v="2"/>
    <x v="10"/>
    <x v="4"/>
    <s v="VINOS"/>
    <x v="0"/>
    <x v="239"/>
    <s v="UNIDADES"/>
    <n v="72880"/>
    <n v="3"/>
    <n v="3"/>
    <n v="0"/>
    <n v="218640"/>
    <n v="0"/>
    <x v="1"/>
  </r>
  <r>
    <x v="2"/>
    <x v="12"/>
    <x v="3"/>
    <s v="VINOS"/>
    <x v="0"/>
    <x v="240"/>
    <s v="UNIDADES"/>
    <n v="25109.5"/>
    <n v="0"/>
    <n v="0"/>
    <n v="0"/>
    <n v="0"/>
    <n v="0"/>
    <x v="1"/>
  </r>
  <r>
    <x v="2"/>
    <x v="13"/>
    <x v="2"/>
    <s v="VINOS"/>
    <x v="0"/>
    <x v="240"/>
    <s v="UNIDADES"/>
    <n v="25109.5"/>
    <n v="0"/>
    <n v="0"/>
    <n v="0"/>
    <n v="0"/>
    <n v="0"/>
    <x v="1"/>
  </r>
  <r>
    <x v="2"/>
    <x v="10"/>
    <x v="4"/>
    <s v="VINOS"/>
    <x v="0"/>
    <x v="240"/>
    <s v="UNIDADES"/>
    <n v="25109.5"/>
    <n v="0"/>
    <n v="0"/>
    <n v="0"/>
    <n v="0"/>
    <n v="0"/>
    <x v="1"/>
  </r>
  <r>
    <x v="2"/>
    <x v="12"/>
    <x v="3"/>
    <s v="ABARROTES"/>
    <x v="1"/>
    <x v="620"/>
    <s v="GRAMOS"/>
    <n v="37.000436970000003"/>
    <n v="91"/>
    <n v="0"/>
    <n v="-91"/>
    <n v="0"/>
    <n v="-3367.0397642700004"/>
    <x v="2"/>
  </r>
  <r>
    <x v="2"/>
    <x v="13"/>
    <x v="2"/>
    <s v="ABARROTES"/>
    <x v="1"/>
    <x v="620"/>
    <s v="GRAMOS"/>
    <n v="37.000436970000003"/>
    <n v="-591"/>
    <n v="750"/>
    <n v="1341"/>
    <n v="27750.327727500004"/>
    <n v="49617.585976770002"/>
    <x v="0"/>
  </r>
  <r>
    <x v="2"/>
    <x v="10"/>
    <x v="4"/>
    <s v="ABARROTES"/>
    <x v="1"/>
    <x v="620"/>
    <s v="GRAMOS"/>
    <n v="37.000436970000003"/>
    <n v="282"/>
    <n v="786"/>
    <n v="504"/>
    <n v="29082.34345842"/>
    <n v="18648.220232880001"/>
    <x v="0"/>
  </r>
  <r>
    <x v="2"/>
    <x v="12"/>
    <x v="3"/>
    <s v="ABARROTES"/>
    <x v="1"/>
    <x v="621"/>
    <s v="GRAMOS"/>
    <n v="32.000190480000001"/>
    <n v="500"/>
    <n v="500"/>
    <n v="0"/>
    <n v="16000.095240000001"/>
    <n v="0"/>
    <x v="1"/>
  </r>
  <r>
    <x v="2"/>
    <x v="13"/>
    <x v="2"/>
    <s v="ABARROTES"/>
    <x v="1"/>
    <x v="621"/>
    <s v="GRAMOS"/>
    <n v="32.000190480000001"/>
    <n v="500"/>
    <n v="500"/>
    <n v="0"/>
    <n v="16000.095240000001"/>
    <n v="0"/>
    <x v="1"/>
  </r>
  <r>
    <x v="2"/>
    <x v="10"/>
    <x v="4"/>
    <s v="ABARROTES"/>
    <x v="1"/>
    <x v="621"/>
    <s v="GRAMOS"/>
    <n v="32.000190480000001"/>
    <n v="1000"/>
    <n v="500"/>
    <n v="-500"/>
    <n v="16000.095240000001"/>
    <n v="-16000.095240000001"/>
    <x v="2"/>
  </r>
  <r>
    <x v="2"/>
    <x v="14"/>
    <x v="0"/>
    <s v="VINOS"/>
    <x v="0"/>
    <x v="118"/>
    <s v="UNIDADES"/>
    <n v="176006.72268899999"/>
    <n v="2"/>
    <n v="2"/>
    <n v="0"/>
    <n v="352013.44537799997"/>
    <n v="0"/>
    <x v="1"/>
  </r>
  <r>
    <x v="2"/>
    <x v="14"/>
    <x v="0"/>
    <s v="VINOS"/>
    <x v="0"/>
    <x v="119"/>
    <s v="UNIDADES"/>
    <n v="97685.185184999995"/>
    <n v="2"/>
    <n v="2"/>
    <n v="0"/>
    <n v="195370.37036999999"/>
    <n v="0"/>
    <x v="1"/>
  </r>
  <r>
    <x v="2"/>
    <x v="12"/>
    <x v="3"/>
    <s v="FRUVER"/>
    <x v="1"/>
    <x v="622"/>
    <s v="GRAMOS"/>
    <n v="9.5"/>
    <n v="2000"/>
    <n v="0"/>
    <n v="-2000"/>
    <n v="0"/>
    <n v="-19000"/>
    <x v="2"/>
  </r>
  <r>
    <x v="2"/>
    <x v="14"/>
    <x v="0"/>
    <s v="FRUVER"/>
    <x v="1"/>
    <x v="622"/>
    <s v="GRAMOS"/>
    <n v="9.5"/>
    <n v="8893"/>
    <n v="0"/>
    <n v="-8893"/>
    <n v="0"/>
    <n v="-84483.5"/>
    <x v="2"/>
  </r>
  <r>
    <x v="2"/>
    <x v="13"/>
    <x v="2"/>
    <s v="FRUVER"/>
    <x v="1"/>
    <x v="622"/>
    <s v="GRAMOS"/>
    <n v="9.5"/>
    <n v="13000"/>
    <n v="2000"/>
    <n v="-11000"/>
    <n v="19000"/>
    <n v="-104500"/>
    <x v="2"/>
  </r>
  <r>
    <x v="2"/>
    <x v="15"/>
    <x v="1"/>
    <s v="FRUVER"/>
    <x v="1"/>
    <x v="622"/>
    <s v="GRAMOS"/>
    <n v="9.5"/>
    <n v="652"/>
    <n v="0"/>
    <n v="-652"/>
    <n v="0"/>
    <n v="-6194"/>
    <x v="2"/>
  </r>
  <r>
    <x v="2"/>
    <x v="10"/>
    <x v="4"/>
    <s v="FRUVER"/>
    <x v="1"/>
    <x v="622"/>
    <s v="GRAMOS"/>
    <n v="9.5"/>
    <n v="6500"/>
    <n v="0"/>
    <n v="-6500"/>
    <n v="0"/>
    <n v="-61750"/>
    <x v="2"/>
  </r>
  <r>
    <x v="2"/>
    <x v="15"/>
    <x v="1"/>
    <s v="ABARROTES"/>
    <x v="1"/>
    <x v="623"/>
    <s v="GRAMOS"/>
    <n v="45.423684209999998"/>
    <n v="-386.36340000000001"/>
    <n v="200"/>
    <n v="586.36334999999997"/>
    <n v="9084.7368420000003"/>
    <n v="26634.783642717699"/>
    <x v="0"/>
  </r>
  <r>
    <x v="2"/>
    <x v="12"/>
    <x v="3"/>
    <s v="ABARROTES"/>
    <x v="1"/>
    <x v="624"/>
    <s v="GRAMOS"/>
    <n v="22.523250000000001"/>
    <n v="160"/>
    <n v="160"/>
    <n v="0"/>
    <n v="3603.7200000000003"/>
    <n v="0"/>
    <x v="1"/>
  </r>
  <r>
    <x v="2"/>
    <x v="14"/>
    <x v="0"/>
    <s v="ABARROTES"/>
    <x v="1"/>
    <x v="624"/>
    <s v="GRAMOS"/>
    <n v="22.523499999999999"/>
    <n v="6724.9992000000002"/>
    <n v="6025"/>
    <n v="-699.99919999999997"/>
    <n v="135704.08749999999"/>
    <n v="-15766.431981199998"/>
    <x v="2"/>
  </r>
  <r>
    <x v="2"/>
    <x v="13"/>
    <x v="2"/>
    <s v="ABARROTES"/>
    <x v="1"/>
    <x v="624"/>
    <s v="GRAMOS"/>
    <n v="22.523250000000001"/>
    <n v="3920"/>
    <n v="4000"/>
    <n v="80"/>
    <n v="90093"/>
    <n v="1801.8600000000001"/>
    <x v="0"/>
  </r>
  <r>
    <x v="2"/>
    <x v="15"/>
    <x v="1"/>
    <s v="ABARROTES"/>
    <x v="1"/>
    <x v="624"/>
    <s v="GRAMOS"/>
    <n v="22.523499999999999"/>
    <n v="4579.7550000000001"/>
    <n v="0"/>
    <n v="-4579.7549900000004"/>
    <n v="0"/>
    <n v="-103152.111517265"/>
    <x v="2"/>
  </r>
  <r>
    <x v="2"/>
    <x v="16"/>
    <x v="5"/>
    <s v="ABARROTES"/>
    <x v="1"/>
    <x v="624"/>
    <s v="GRAMOS"/>
    <n v="22.523250000000001"/>
    <n v="2000"/>
    <n v="2000"/>
    <n v="0"/>
    <n v="45046.5"/>
    <n v="0"/>
    <x v="1"/>
  </r>
  <r>
    <x v="2"/>
    <x v="10"/>
    <x v="4"/>
    <s v="ABARROTES"/>
    <x v="1"/>
    <x v="624"/>
    <s v="GRAMOS"/>
    <n v="22.523250000000001"/>
    <n v="2286"/>
    <n v="1874"/>
    <n v="-412"/>
    <n v="42208.570500000002"/>
    <n v="-9279.5789999999997"/>
    <x v="2"/>
  </r>
  <r>
    <x v="2"/>
    <x v="14"/>
    <x v="0"/>
    <s v="ABARROTES"/>
    <x v="1"/>
    <x v="625"/>
    <s v="GRAMOS"/>
    <n v="26"/>
    <n v="200"/>
    <n v="412"/>
    <n v="212"/>
    <n v="10712"/>
    <n v="5512"/>
    <x v="0"/>
  </r>
  <r>
    <x v="2"/>
    <x v="14"/>
    <x v="0"/>
    <s v="ABARROTES"/>
    <x v="1"/>
    <x v="626"/>
    <s v="GRAMOS"/>
    <n v="25.5"/>
    <n v="4100"/>
    <n v="1500"/>
    <n v="-2600"/>
    <n v="38250"/>
    <n v="-66300"/>
    <x v="2"/>
  </r>
  <r>
    <x v="2"/>
    <x v="15"/>
    <x v="1"/>
    <s v="ABARROTES"/>
    <x v="1"/>
    <x v="626"/>
    <s v="GRAMOS"/>
    <n v="25.5"/>
    <n v="2109"/>
    <n v="1000"/>
    <n v="-1109"/>
    <n v="25500"/>
    <n v="-28279.5"/>
    <x v="2"/>
  </r>
  <r>
    <x v="2"/>
    <x v="12"/>
    <x v="3"/>
    <s v="INSUMOS BAR"/>
    <x v="0"/>
    <x v="627"/>
    <s v="GRAMOS"/>
    <n v="8.5"/>
    <n v="4720"/>
    <n v="1384"/>
    <n v="-4936"/>
    <n v="11764"/>
    <n v="-41956"/>
    <x v="2"/>
  </r>
  <r>
    <x v="2"/>
    <x v="14"/>
    <x v="0"/>
    <s v="INSUMOS BAR"/>
    <x v="0"/>
    <x v="627"/>
    <s v="GRAMOS"/>
    <n v="8.5"/>
    <n v="15931"/>
    <n v="696"/>
    <n v="-15234.99999"/>
    <n v="5916"/>
    <n v="-129497.49991500001"/>
    <x v="2"/>
  </r>
  <r>
    <x v="2"/>
    <x v="13"/>
    <x v="2"/>
    <s v="INSUMOS BAR"/>
    <x v="0"/>
    <x v="627"/>
    <s v="GRAMOS"/>
    <n v="8.5"/>
    <n v="5922.6666999999998"/>
    <n v="612"/>
    <n v="-5310.6666667999998"/>
    <n v="5202"/>
    <n v="-45140.666667799997"/>
    <x v="2"/>
  </r>
  <r>
    <x v="2"/>
    <x v="15"/>
    <x v="1"/>
    <s v="INSUMOS BAR"/>
    <x v="0"/>
    <x v="627"/>
    <s v="GRAMOS"/>
    <n v="8.5"/>
    <n v="5740.7804999999998"/>
    <n v="250"/>
    <n v="-5490.7804802000001"/>
    <n v="2125"/>
    <n v="-46671.634081700002"/>
    <x v="2"/>
  </r>
  <r>
    <x v="2"/>
    <x v="16"/>
    <x v="5"/>
    <s v="INSUMOS BAR"/>
    <x v="0"/>
    <x v="627"/>
    <s v="GRAMOS"/>
    <n v="8.5"/>
    <n v="0"/>
    <n v="0"/>
    <n v="0"/>
    <n v="0"/>
    <n v="0"/>
    <x v="1"/>
  </r>
  <r>
    <x v="2"/>
    <x v="10"/>
    <x v="4"/>
    <s v="INSUMOS BAR"/>
    <x v="0"/>
    <x v="627"/>
    <s v="GRAMOS"/>
    <n v="8.5"/>
    <n v="10355"/>
    <n v="2152"/>
    <n v="-8203.0000005999991"/>
    <n v="18292"/>
    <n v="-69725.500005099995"/>
    <x v="2"/>
  </r>
  <r>
    <x v="2"/>
    <x v="14"/>
    <x v="0"/>
    <s v="DESPENSA"/>
    <x v="1"/>
    <x v="628"/>
    <s v="GRAMOS"/>
    <n v="39.333333330000002"/>
    <n v="-300"/>
    <n v="0"/>
    <n v="300"/>
    <n v="0"/>
    <n v="11799.999999000001"/>
    <x v="0"/>
  </r>
  <r>
    <x v="2"/>
    <x v="14"/>
    <x v="0"/>
    <s v="GASEOSAS Y SODAS"/>
    <x v="0"/>
    <x v="51"/>
    <s v="UNIDADES"/>
    <n v="6822.666666666667"/>
    <n v="1"/>
    <n v="3"/>
    <n v="2"/>
    <n v="20468"/>
    <n v="13645.333333333334"/>
    <x v="0"/>
  </r>
  <r>
    <x v="2"/>
    <x v="15"/>
    <x v="1"/>
    <s v="GASEOSAS Y SODAS"/>
    <x v="0"/>
    <x v="51"/>
    <s v="UNIDADES"/>
    <n v="6822.666666666667"/>
    <n v="0"/>
    <n v="0"/>
    <n v="0"/>
    <n v="0"/>
    <n v="0"/>
    <x v="1"/>
  </r>
  <r>
    <x v="2"/>
    <x v="14"/>
    <x v="0"/>
    <s v="VINOS"/>
    <x v="0"/>
    <x v="100"/>
    <s v="UNIDADES"/>
    <n v="80870"/>
    <n v="2"/>
    <n v="2"/>
    <n v="0"/>
    <n v="161740"/>
    <n v="0"/>
    <x v="1"/>
  </r>
  <r>
    <x v="2"/>
    <x v="14"/>
    <x v="0"/>
    <s v="VINOS"/>
    <x v="0"/>
    <x v="101"/>
    <s v="UNIDADES"/>
    <n v="91785.5"/>
    <n v="2"/>
    <n v="2"/>
    <n v="0"/>
    <n v="183571"/>
    <n v="0"/>
    <x v="1"/>
  </r>
  <r>
    <x v="2"/>
    <x v="14"/>
    <x v="0"/>
    <s v="VINOS"/>
    <x v="0"/>
    <x v="102"/>
    <s v="UNIDADES"/>
    <n v="80870"/>
    <n v="2"/>
    <n v="2"/>
    <n v="0"/>
    <n v="161740"/>
    <n v="0"/>
    <x v="1"/>
  </r>
  <r>
    <x v="2"/>
    <x v="12"/>
    <x v="3"/>
    <s v="ABARROTES"/>
    <x v="1"/>
    <x v="97"/>
    <s v="GRAMOS"/>
    <n v="345.67500000000001"/>
    <n v="0"/>
    <n v="0"/>
    <n v="0"/>
    <n v="0"/>
    <n v="0"/>
    <x v="1"/>
  </r>
  <r>
    <x v="2"/>
    <x v="12"/>
    <x v="3"/>
    <s v="VINOS"/>
    <x v="0"/>
    <x v="97"/>
    <s v="UNIDADES"/>
    <n v="345.67500000000001"/>
    <n v="0"/>
    <n v="0"/>
    <n v="0"/>
    <n v="0"/>
    <n v="0"/>
    <x v="1"/>
  </r>
  <r>
    <x v="2"/>
    <x v="12"/>
    <x v="3"/>
    <s v="SUB RECETAS"/>
    <x v="1"/>
    <x v="97"/>
    <s v="UNIDADES"/>
    <n v="345.67500000000001"/>
    <n v="0"/>
    <n v="0"/>
    <n v="0"/>
    <n v="0"/>
    <n v="0"/>
    <x v="1"/>
  </r>
  <r>
    <x v="2"/>
    <x v="12"/>
    <x v="3"/>
    <s v="SUB RECETAS"/>
    <x v="1"/>
    <x v="97"/>
    <s v="ONZA"/>
    <n v="2004.6129487200001"/>
    <n v="-2"/>
    <n v="0"/>
    <n v="2"/>
    <n v="0"/>
    <n v="4009.2258974400002"/>
    <x v="0"/>
  </r>
  <r>
    <x v="2"/>
    <x v="12"/>
    <x v="3"/>
    <s v="SUB RECETAS"/>
    <x v="1"/>
    <x v="97"/>
    <s v="GRAMOS"/>
    <n v="126.77026882"/>
    <n v="0"/>
    <n v="0"/>
    <n v="0"/>
    <n v="0"/>
    <n v="0"/>
    <x v="1"/>
  </r>
  <r>
    <x v="2"/>
    <x v="12"/>
    <x v="3"/>
    <s v="SUB RECETAS"/>
    <x v="1"/>
    <x v="97"/>
    <s v="GRAMOS"/>
    <n v="2.0401540699999998"/>
    <n v="0"/>
    <n v="0"/>
    <n v="0"/>
    <n v="0"/>
    <n v="0"/>
    <x v="1"/>
  </r>
  <r>
    <x v="2"/>
    <x v="12"/>
    <x v="3"/>
    <s v="SUB-RECETAS CP"/>
    <x v="1"/>
    <x v="97"/>
    <s v="UNIDADES"/>
    <n v="2.0401540699999998"/>
    <n v="0"/>
    <n v="0"/>
    <n v="0"/>
    <n v="0"/>
    <n v="0"/>
    <x v="1"/>
  </r>
  <r>
    <x v="2"/>
    <x v="12"/>
    <x v="3"/>
    <s v="SUB-RECETAS CP"/>
    <x v="1"/>
    <x v="97"/>
    <s v="GRAMOS"/>
    <n v="2.0401540699999998"/>
    <n v="0"/>
    <n v="0"/>
    <n v="0"/>
    <n v="0"/>
    <n v="0"/>
    <x v="1"/>
  </r>
  <r>
    <x v="2"/>
    <x v="12"/>
    <x v="3"/>
    <s v="SUB-RECETAS BAR"/>
    <x v="0"/>
    <x v="97"/>
    <s v="GRAMOS"/>
    <n v="41.52380952"/>
    <n v="7128"/>
    <n v="0"/>
    <n v="-7128"/>
    <n v="0"/>
    <n v="-295981.71425855998"/>
    <x v="2"/>
  </r>
  <r>
    <x v="2"/>
    <x v="14"/>
    <x v="0"/>
    <s v="SUB RECETAS"/>
    <x v="1"/>
    <x v="97"/>
    <s v="ONZA"/>
    <n v="1728.3820256399999"/>
    <n v="-14"/>
    <n v="0"/>
    <n v="14"/>
    <n v="0"/>
    <n v="24197.34835896"/>
    <x v="0"/>
  </r>
  <r>
    <x v="2"/>
    <x v="13"/>
    <x v="2"/>
    <s v="ABARROTES"/>
    <x v="1"/>
    <x v="97"/>
    <s v="GRAMOS"/>
    <n v="7.4612276700000004"/>
    <n v="0"/>
    <n v="2000"/>
    <n v="2000"/>
    <n v="14922.45534"/>
    <n v="14922.45534"/>
    <x v="0"/>
  </r>
  <r>
    <x v="2"/>
    <x v="13"/>
    <x v="2"/>
    <s v="VINOS"/>
    <x v="0"/>
    <x v="97"/>
    <s v="UNIDADES"/>
    <n v="7"/>
    <n v="0"/>
    <n v="0"/>
    <n v="0"/>
    <n v="0"/>
    <n v="0"/>
    <x v="1"/>
  </r>
  <r>
    <x v="2"/>
    <x v="13"/>
    <x v="2"/>
    <s v="SUB RECETAS"/>
    <x v="1"/>
    <x v="97"/>
    <s v="UNIDADES"/>
    <n v="345.67500000000001"/>
    <n v="0"/>
    <n v="0"/>
    <n v="0"/>
    <n v="0"/>
    <n v="0"/>
    <x v="1"/>
  </r>
  <r>
    <x v="2"/>
    <x v="13"/>
    <x v="2"/>
    <s v="SUB RECETAS"/>
    <x v="1"/>
    <x v="97"/>
    <s v="ONZA"/>
    <n v="2004.6129487200001"/>
    <n v="40"/>
    <n v="0"/>
    <n v="-40"/>
    <n v="0"/>
    <n v="-80184.517948799999"/>
    <x v="2"/>
  </r>
  <r>
    <x v="2"/>
    <x v="13"/>
    <x v="2"/>
    <s v="SUB RECETAS"/>
    <x v="1"/>
    <x v="97"/>
    <s v="GRAMOS"/>
    <n v="126.77026882"/>
    <n v="0"/>
    <n v="0"/>
    <n v="0"/>
    <n v="0"/>
    <n v="0"/>
    <x v="1"/>
  </r>
  <r>
    <x v="2"/>
    <x v="13"/>
    <x v="2"/>
    <s v="SUB RECETAS"/>
    <x v="1"/>
    <x v="97"/>
    <s v="GRAMOS"/>
    <n v="2.0401540699999998"/>
    <n v="0"/>
    <n v="0"/>
    <n v="0"/>
    <n v="0"/>
    <n v="0"/>
    <x v="1"/>
  </r>
  <r>
    <x v="2"/>
    <x v="13"/>
    <x v="2"/>
    <s v="SUB-RECETAS CP"/>
    <x v="1"/>
    <x v="97"/>
    <s v="UNIDADES"/>
    <n v="4"/>
    <n v="0"/>
    <n v="0"/>
    <n v="0"/>
    <n v="0"/>
    <n v="0"/>
    <x v="1"/>
  </r>
  <r>
    <x v="2"/>
    <x v="13"/>
    <x v="2"/>
    <s v="SUB-RECETAS CP"/>
    <x v="1"/>
    <x v="97"/>
    <s v="GRAMOS"/>
    <n v="0.21032166999999999"/>
    <n v="0"/>
    <n v="0"/>
    <n v="0"/>
    <n v="0"/>
    <n v="0"/>
    <x v="1"/>
  </r>
  <r>
    <x v="2"/>
    <x v="13"/>
    <x v="2"/>
    <s v="SUB-RECETAS BAR"/>
    <x v="0"/>
    <x v="97"/>
    <s v="GRAMOS"/>
    <n v="41.52380952"/>
    <n v="1000"/>
    <n v="850"/>
    <n v="-150"/>
    <n v="35295.238092"/>
    <n v="-6228.5714280000002"/>
    <x v="2"/>
  </r>
  <r>
    <x v="2"/>
    <x v="15"/>
    <x v="1"/>
    <s v="LICORES"/>
    <x v="0"/>
    <x v="97"/>
    <s v="ONZA"/>
    <n v="5900"/>
    <n v="0"/>
    <n v="0"/>
    <n v="0"/>
    <n v="0"/>
    <n v="0"/>
    <x v="1"/>
  </r>
  <r>
    <x v="2"/>
    <x v="15"/>
    <x v="1"/>
    <s v="SUB RECETAS"/>
    <x v="1"/>
    <x v="97"/>
    <s v="GRAMOS"/>
    <n v="23.681562029999998"/>
    <n v="0"/>
    <n v="0"/>
    <n v="0"/>
    <n v="0"/>
    <n v="0"/>
    <x v="1"/>
  </r>
  <r>
    <x v="2"/>
    <x v="15"/>
    <x v="1"/>
    <s v="SUB RECETAS"/>
    <x v="1"/>
    <x v="97"/>
    <s v="GRAMOS"/>
    <n v="46.82688503"/>
    <n v="0"/>
    <n v="0"/>
    <n v="0"/>
    <n v="0"/>
    <n v="0"/>
    <x v="1"/>
  </r>
  <r>
    <x v="2"/>
    <x v="15"/>
    <x v="1"/>
    <s v="SUB RECETAS"/>
    <x v="1"/>
    <x v="97"/>
    <s v="UNIDADES"/>
    <n v="3.6938461500000002"/>
    <n v="155"/>
    <n v="0"/>
    <n v="-155"/>
    <n v="0"/>
    <n v="-572.54615324999997"/>
    <x v="2"/>
  </r>
  <r>
    <x v="2"/>
    <x v="15"/>
    <x v="1"/>
    <s v="SUB RECETAS"/>
    <x v="1"/>
    <x v="97"/>
    <s v="UNIDADES"/>
    <n v="646.58044907999999"/>
    <n v="3"/>
    <n v="0"/>
    <n v="-3"/>
    <n v="0"/>
    <n v="-1939.7413472399999"/>
    <x v="2"/>
  </r>
  <r>
    <x v="2"/>
    <x v="15"/>
    <x v="1"/>
    <s v="SUB-RECETAS CP"/>
    <x v="1"/>
    <x v="97"/>
    <s v="GRAMOS"/>
    <n v="13.227421379999999"/>
    <n v="-1710"/>
    <n v="0"/>
    <n v="1710"/>
    <n v="0"/>
    <n v="22618.890559799998"/>
    <x v="0"/>
  </r>
  <r>
    <x v="2"/>
    <x v="10"/>
    <x v="4"/>
    <s v="ABARROTES"/>
    <x v="1"/>
    <x v="97"/>
    <s v="GRAMOS"/>
    <n v="7.4612276700000004"/>
    <n v="0"/>
    <n v="0"/>
    <n v="0"/>
    <n v="0"/>
    <n v="0"/>
    <x v="1"/>
  </r>
  <r>
    <x v="2"/>
    <x v="10"/>
    <x v="4"/>
    <s v="VINOS"/>
    <x v="0"/>
    <x v="97"/>
    <s v="UNIDADES"/>
    <n v="7"/>
    <n v="0"/>
    <n v="0"/>
    <n v="0"/>
    <n v="0"/>
    <n v="0"/>
    <x v="1"/>
  </r>
  <r>
    <x v="2"/>
    <x v="10"/>
    <x v="4"/>
    <s v="SUB RECETAS"/>
    <x v="1"/>
    <x v="97"/>
    <s v="UNIDADES"/>
    <n v="345.67500000000001"/>
    <n v="0"/>
    <n v="0"/>
    <n v="0"/>
    <n v="0"/>
    <n v="0"/>
    <x v="1"/>
  </r>
  <r>
    <x v="2"/>
    <x v="10"/>
    <x v="4"/>
    <s v="SUB RECETAS"/>
    <x v="1"/>
    <x v="97"/>
    <s v="ONZA"/>
    <n v="2004.6129487200001"/>
    <n v="-22"/>
    <n v="0"/>
    <n v="22"/>
    <n v="0"/>
    <n v="44101.484871840003"/>
    <x v="0"/>
  </r>
  <r>
    <x v="2"/>
    <x v="10"/>
    <x v="4"/>
    <s v="SUB RECETAS"/>
    <x v="1"/>
    <x v="97"/>
    <s v="GRAMOS"/>
    <n v="126.77026882"/>
    <n v="0"/>
    <n v="0"/>
    <n v="0"/>
    <n v="0"/>
    <n v="0"/>
    <x v="1"/>
  </r>
  <r>
    <x v="2"/>
    <x v="10"/>
    <x v="4"/>
    <s v="SUB RECETAS"/>
    <x v="1"/>
    <x v="97"/>
    <s v="GRAMOS"/>
    <n v="2.0401540699999998"/>
    <n v="0"/>
    <n v="0"/>
    <n v="0"/>
    <n v="0"/>
    <n v="0"/>
    <x v="1"/>
  </r>
  <r>
    <x v="2"/>
    <x v="10"/>
    <x v="4"/>
    <s v="SUB-RECETAS CP"/>
    <x v="1"/>
    <x v="97"/>
    <s v="UNIDADES"/>
    <n v="2"/>
    <n v="0"/>
    <n v="0"/>
    <n v="0"/>
    <n v="0"/>
    <n v="0"/>
    <x v="1"/>
  </r>
  <r>
    <x v="2"/>
    <x v="10"/>
    <x v="4"/>
    <s v="SUB-RECETAS CP"/>
    <x v="1"/>
    <x v="97"/>
    <s v="GRAMOS"/>
    <n v="2"/>
    <n v="0"/>
    <n v="0"/>
    <n v="0"/>
    <n v="0"/>
    <n v="0"/>
    <x v="1"/>
  </r>
  <r>
    <x v="2"/>
    <x v="10"/>
    <x v="4"/>
    <s v="SUB-RECETAS BAR"/>
    <x v="0"/>
    <x v="97"/>
    <s v="GRAMOS"/>
    <n v="41.52380952"/>
    <n v="1100"/>
    <n v="0"/>
    <n v="-1100"/>
    <n v="0"/>
    <n v="-45676.190472000002"/>
    <x v="2"/>
  </r>
  <r>
    <x v="2"/>
    <x v="15"/>
    <x v="1"/>
    <s v="GASEOSAS Y SODAS"/>
    <x v="0"/>
    <x v="45"/>
    <s v="UNIDADES"/>
    <n v="42"/>
    <n v="0"/>
    <n v="0"/>
    <n v="0"/>
    <n v="0"/>
    <n v="0"/>
    <x v="1"/>
  </r>
  <r>
    <x v="2"/>
    <x v="15"/>
    <x v="1"/>
    <s v="PROTEINAS"/>
    <x v="1"/>
    <x v="45"/>
    <s v="UNIDADES"/>
    <n v="10"/>
    <n v="0"/>
    <n v="0"/>
    <n v="0"/>
    <n v="0"/>
    <n v="0"/>
    <x v="1"/>
  </r>
  <r>
    <x v="2"/>
    <x v="15"/>
    <x v="1"/>
    <s v="LACTEOS"/>
    <x v="1"/>
    <x v="45"/>
    <s v="GRAMOS"/>
    <n v="8.8117999999999999"/>
    <n v="25100"/>
    <n v="0"/>
    <n v="-25100"/>
    <n v="0"/>
    <n v="-221176.18"/>
    <x v="2"/>
  </r>
  <r>
    <x v="2"/>
    <x v="14"/>
    <x v="0"/>
    <s v="INSUMOS BAR"/>
    <x v="0"/>
    <x v="629"/>
    <s v="GRAMOS"/>
    <n v="7.5"/>
    <n v="328"/>
    <n v="0"/>
    <n v="-328"/>
    <n v="0"/>
    <n v="-2460"/>
    <x v="2"/>
  </r>
  <r>
    <x v="2"/>
    <x v="14"/>
    <x v="0"/>
    <s v="ABARROTES"/>
    <x v="1"/>
    <x v="630"/>
    <s v="GRAMOS"/>
    <n v="9.9"/>
    <n v="18510"/>
    <n v="18000"/>
    <n v="-510"/>
    <n v="178200"/>
    <n v="-5049"/>
    <x v="2"/>
  </r>
  <r>
    <x v="2"/>
    <x v="12"/>
    <x v="3"/>
    <s v="ABARROTES"/>
    <x v="1"/>
    <x v="631"/>
    <s v="GRAMOS"/>
    <n v="115"/>
    <n v="-27"/>
    <n v="0"/>
    <n v="27"/>
    <n v="0"/>
    <n v="3105"/>
    <x v="0"/>
  </r>
  <r>
    <x v="2"/>
    <x v="14"/>
    <x v="0"/>
    <s v="ABARROTES"/>
    <x v="1"/>
    <x v="631"/>
    <s v="GRAMOS"/>
    <n v="114.62"/>
    <n v="97"/>
    <n v="0"/>
    <n v="-97"/>
    <n v="0"/>
    <n v="-11118.140000000001"/>
    <x v="2"/>
  </r>
  <r>
    <x v="2"/>
    <x v="13"/>
    <x v="2"/>
    <s v="ABARROTES"/>
    <x v="1"/>
    <x v="631"/>
    <s v="GRAMOS"/>
    <n v="114.62"/>
    <n v="-37"/>
    <n v="0"/>
    <n v="37"/>
    <n v="0"/>
    <n v="4240.9400000000005"/>
    <x v="0"/>
  </r>
  <r>
    <x v="2"/>
    <x v="10"/>
    <x v="4"/>
    <s v="ABARROTES"/>
    <x v="1"/>
    <x v="631"/>
    <s v="GRAMOS"/>
    <n v="114.62"/>
    <n v="-54"/>
    <n v="0"/>
    <n v="54"/>
    <n v="0"/>
    <n v="6189.4800000000005"/>
    <x v="0"/>
  </r>
  <r>
    <x v="2"/>
    <x v="12"/>
    <x v="3"/>
    <s v="ABARROTES"/>
    <x v="1"/>
    <x v="632"/>
    <s v="GRAMOS"/>
    <n v="123.75920000000001"/>
    <n v="853"/>
    <n v="500"/>
    <n v="-353"/>
    <n v="61879.600000000006"/>
    <n v="-43686.997600000002"/>
    <x v="2"/>
  </r>
  <r>
    <x v="2"/>
    <x v="13"/>
    <x v="2"/>
    <s v="ABARROTES"/>
    <x v="1"/>
    <x v="632"/>
    <s v="GRAMOS"/>
    <n v="123.75920000000001"/>
    <n v="1963"/>
    <n v="714"/>
    <n v="-1249"/>
    <n v="88364.068800000008"/>
    <n v="-154575.2408"/>
    <x v="2"/>
  </r>
  <r>
    <x v="2"/>
    <x v="10"/>
    <x v="4"/>
    <s v="ABARROTES"/>
    <x v="1"/>
    <x v="632"/>
    <s v="GRAMOS"/>
    <n v="123.75920000000001"/>
    <n v="1534"/>
    <n v="1500"/>
    <n v="-34"/>
    <n v="185638.80000000002"/>
    <n v="-4207.8128000000006"/>
    <x v="2"/>
  </r>
  <r>
    <x v="2"/>
    <x v="12"/>
    <x v="3"/>
    <s v="FRUVER"/>
    <x v="1"/>
    <x v="633"/>
    <s v="GRAMOS"/>
    <n v="10"/>
    <n v="-150"/>
    <n v="0"/>
    <n v="150"/>
    <n v="0"/>
    <n v="1500"/>
    <x v="0"/>
  </r>
  <r>
    <x v="2"/>
    <x v="14"/>
    <x v="0"/>
    <s v="FRUVER"/>
    <x v="1"/>
    <x v="633"/>
    <s v="GRAMOS"/>
    <n v="10"/>
    <n v="4590"/>
    <n v="0"/>
    <n v="-4590"/>
    <n v="0"/>
    <n v="-45900"/>
    <x v="2"/>
  </r>
  <r>
    <x v="2"/>
    <x v="13"/>
    <x v="2"/>
    <s v="FRUVER"/>
    <x v="1"/>
    <x v="633"/>
    <s v="GRAMOS"/>
    <n v="10"/>
    <n v="0"/>
    <n v="0"/>
    <n v="0"/>
    <n v="0"/>
    <n v="0"/>
    <x v="1"/>
  </r>
  <r>
    <x v="2"/>
    <x v="15"/>
    <x v="1"/>
    <s v="FRUVER"/>
    <x v="1"/>
    <x v="633"/>
    <s v="GRAMOS"/>
    <n v="10"/>
    <n v="-97"/>
    <n v="0"/>
    <n v="97"/>
    <n v="0"/>
    <n v="970"/>
    <x v="0"/>
  </r>
  <r>
    <x v="2"/>
    <x v="10"/>
    <x v="4"/>
    <s v="FRUVER"/>
    <x v="1"/>
    <x v="633"/>
    <s v="GRAMOS"/>
    <n v="10"/>
    <n v="0"/>
    <n v="0"/>
    <n v="0"/>
    <n v="0"/>
    <n v="0"/>
    <x v="1"/>
  </r>
  <r>
    <x v="2"/>
    <x v="12"/>
    <x v="3"/>
    <s v="LICORES"/>
    <x v="0"/>
    <x v="19"/>
    <s v="UNIDADES"/>
    <n v="93956"/>
    <n v="2"/>
    <n v="2"/>
    <n v="0"/>
    <n v="187912"/>
    <n v="0"/>
    <x v="1"/>
  </r>
  <r>
    <x v="2"/>
    <x v="14"/>
    <x v="0"/>
    <s v="LICORES"/>
    <x v="0"/>
    <x v="19"/>
    <s v="UNIDADES"/>
    <n v="93956"/>
    <n v="2"/>
    <n v="2"/>
    <n v="0"/>
    <n v="187912"/>
    <n v="0"/>
    <x v="1"/>
  </r>
  <r>
    <x v="2"/>
    <x v="13"/>
    <x v="2"/>
    <s v="LICORES"/>
    <x v="0"/>
    <x v="19"/>
    <s v="UNIDADES"/>
    <n v="93956"/>
    <n v="1"/>
    <n v="1"/>
    <n v="0"/>
    <n v="93956"/>
    <n v="0"/>
    <x v="1"/>
  </r>
  <r>
    <x v="2"/>
    <x v="15"/>
    <x v="1"/>
    <s v="LICORES"/>
    <x v="0"/>
    <x v="19"/>
    <s v="UNIDADES"/>
    <n v="93956"/>
    <n v="3"/>
    <n v="3"/>
    <n v="0"/>
    <n v="281868"/>
    <n v="0"/>
    <x v="1"/>
  </r>
  <r>
    <x v="2"/>
    <x v="10"/>
    <x v="4"/>
    <s v="LICORES"/>
    <x v="0"/>
    <x v="19"/>
    <s v="UNIDADES"/>
    <n v="93956"/>
    <n v="1"/>
    <n v="1"/>
    <n v="0"/>
    <n v="93956"/>
    <n v="0"/>
    <x v="1"/>
  </r>
  <r>
    <x v="2"/>
    <x v="12"/>
    <x v="3"/>
    <s v="FRUVER"/>
    <x v="1"/>
    <x v="634"/>
    <s v="GRAMOS"/>
    <n v="12"/>
    <n v="714"/>
    <n v="230"/>
    <n v="-484"/>
    <n v="2760"/>
    <n v="-5808"/>
    <x v="2"/>
  </r>
  <r>
    <x v="2"/>
    <x v="14"/>
    <x v="0"/>
    <s v="FRUVER"/>
    <x v="1"/>
    <x v="634"/>
    <s v="GRAMOS"/>
    <n v="28.313500000000001"/>
    <n v="2174.3332999999998"/>
    <n v="1500"/>
    <n v="-674.33333379999999"/>
    <n v="42470.25"/>
    <n v="-19092.736846546301"/>
    <x v="2"/>
  </r>
  <r>
    <x v="2"/>
    <x v="13"/>
    <x v="2"/>
    <s v="FRUVER"/>
    <x v="1"/>
    <x v="634"/>
    <s v="GRAMOS"/>
    <n v="12"/>
    <n v="1277"/>
    <n v="1700"/>
    <n v="423"/>
    <n v="20400"/>
    <n v="5076"/>
    <x v="0"/>
  </r>
  <r>
    <x v="2"/>
    <x v="15"/>
    <x v="1"/>
    <s v="FRUVER"/>
    <x v="1"/>
    <x v="634"/>
    <s v="GRAMOS"/>
    <n v="28.313500000000001"/>
    <n v="3766.1487999999999"/>
    <n v="5000"/>
    <n v="1233.851195"/>
    <n v="141567.5"/>
    <n v="34934.6458096325"/>
    <x v="0"/>
  </r>
  <r>
    <x v="2"/>
    <x v="16"/>
    <x v="5"/>
    <s v="FRUVER"/>
    <x v="1"/>
    <x v="634"/>
    <s v="GRAMOS"/>
    <n v="12"/>
    <n v="170"/>
    <n v="164"/>
    <n v="-6"/>
    <n v="1968"/>
    <n v="-72"/>
    <x v="2"/>
  </r>
  <r>
    <x v="2"/>
    <x v="10"/>
    <x v="4"/>
    <s v="FRUVER"/>
    <x v="1"/>
    <x v="634"/>
    <s v="GRAMOS"/>
    <n v="12"/>
    <n v="-311"/>
    <n v="0"/>
    <n v="311"/>
    <n v="0"/>
    <n v="3732"/>
    <x v="0"/>
  </r>
  <r>
    <x v="2"/>
    <x v="12"/>
    <x v="3"/>
    <s v="MATERIAL DE EMPAQUE"/>
    <x v="2"/>
    <x v="635"/>
    <s v="UNIDADES"/>
    <n v="12.108333330000001"/>
    <n v="0"/>
    <n v="0"/>
    <n v="0"/>
    <n v="0"/>
    <n v="0"/>
    <x v="1"/>
  </r>
  <r>
    <x v="2"/>
    <x v="14"/>
    <x v="0"/>
    <s v="MATERIAL DE EMPAQUE"/>
    <x v="2"/>
    <x v="635"/>
    <s v="UNIDADES"/>
    <n v="8.9444444399999998"/>
    <n v="843"/>
    <n v="7"/>
    <n v="-836"/>
    <n v="62.611111080000001"/>
    <n v="-7477.5555518399997"/>
    <x v="2"/>
  </r>
  <r>
    <x v="2"/>
    <x v="13"/>
    <x v="2"/>
    <s v="MATERIAL DE EMPAQUE"/>
    <x v="2"/>
    <x v="635"/>
    <s v="UNIDADES"/>
    <n v="12.108333330000001"/>
    <n v="120"/>
    <n v="200"/>
    <n v="80"/>
    <n v="2421.6666660000001"/>
    <n v="968.66666640000005"/>
    <x v="0"/>
  </r>
  <r>
    <x v="2"/>
    <x v="10"/>
    <x v="4"/>
    <s v="MATERIAL DE EMPAQUE"/>
    <x v="2"/>
    <x v="635"/>
    <s v="UNIDADES"/>
    <n v="12.108333330000001"/>
    <n v="0"/>
    <n v="0"/>
    <n v="0"/>
    <n v="0"/>
    <n v="0"/>
    <x v="1"/>
  </r>
  <r>
    <x v="2"/>
    <x v="14"/>
    <x v="0"/>
    <s v="MATERIAL DE EMPAQUE"/>
    <x v="2"/>
    <x v="636"/>
    <s v="UNIDADES"/>
    <n v="107.33333333"/>
    <n v="33"/>
    <n v="7"/>
    <n v="-26"/>
    <n v="751.33333331000006"/>
    <n v="-2790.6666665799999"/>
    <x v="2"/>
  </r>
  <r>
    <x v="2"/>
    <x v="15"/>
    <x v="1"/>
    <s v="MATERIAL DE EMPAQUE"/>
    <x v="2"/>
    <x v="636"/>
    <s v="UNIDADES"/>
    <n v="107.33333333"/>
    <n v="560"/>
    <n v="300"/>
    <n v="-260"/>
    <n v="32199.999999"/>
    <n v="-27906.666665799999"/>
    <x v="2"/>
  </r>
  <r>
    <x v="2"/>
    <x v="14"/>
    <x v="0"/>
    <s v="PESCADOS Y MARISCOS"/>
    <x v="1"/>
    <x v="191"/>
    <s v="UNIDADES"/>
    <n v="438.8125"/>
    <n v="48"/>
    <n v="48"/>
    <n v="0"/>
    <n v="21063"/>
    <n v="0"/>
    <x v="1"/>
  </r>
  <r>
    <x v="2"/>
    <x v="12"/>
    <x v="3"/>
    <s v="PESCADOS Y MARISCOS"/>
    <x v="1"/>
    <x v="192"/>
    <s v="UNIDADES"/>
    <n v="773.5"/>
    <n v="0"/>
    <n v="8"/>
    <n v="8"/>
    <n v="6188"/>
    <n v="6188"/>
    <x v="0"/>
  </r>
  <r>
    <x v="2"/>
    <x v="14"/>
    <x v="0"/>
    <s v="PESCADOS Y MARISCOS"/>
    <x v="1"/>
    <x v="192"/>
    <s v="UNIDADES"/>
    <n v="773.5"/>
    <n v="120"/>
    <n v="120"/>
    <n v="0"/>
    <n v="92820"/>
    <n v="0"/>
    <x v="1"/>
  </r>
  <r>
    <x v="2"/>
    <x v="13"/>
    <x v="2"/>
    <s v="PESCADOS Y MARISCOS"/>
    <x v="1"/>
    <x v="192"/>
    <s v="UNIDADES"/>
    <n v="773.5"/>
    <n v="0"/>
    <n v="0"/>
    <n v="0"/>
    <n v="0"/>
    <n v="0"/>
    <x v="1"/>
  </r>
  <r>
    <x v="2"/>
    <x v="16"/>
    <x v="5"/>
    <s v="PESCADOS Y MARISCOS"/>
    <x v="1"/>
    <x v="192"/>
    <s v="UNIDADES"/>
    <n v="773.5"/>
    <n v="0"/>
    <n v="0"/>
    <n v="0"/>
    <n v="0"/>
    <n v="0"/>
    <x v="1"/>
  </r>
  <r>
    <x v="2"/>
    <x v="10"/>
    <x v="4"/>
    <s v="PESCADOS Y MARISCOS"/>
    <x v="1"/>
    <x v="192"/>
    <s v="UNIDADES"/>
    <n v="773.5"/>
    <n v="50"/>
    <n v="50"/>
    <n v="0"/>
    <n v="38675"/>
    <n v="0"/>
    <x v="1"/>
  </r>
  <r>
    <x v="2"/>
    <x v="14"/>
    <x v="0"/>
    <s v="PANADERIA Y PASTELERIA "/>
    <x v="1"/>
    <x v="637"/>
    <s v="UNIDADES"/>
    <n v="1870"/>
    <n v="-2"/>
    <n v="0"/>
    <n v="2"/>
    <n v="0"/>
    <n v="3740"/>
    <x v="0"/>
  </r>
  <r>
    <x v="2"/>
    <x v="15"/>
    <x v="1"/>
    <s v="PANADERIA Y PASTELERIA "/>
    <x v="1"/>
    <x v="637"/>
    <s v="UNIDADES"/>
    <n v="1870"/>
    <n v="30"/>
    <n v="0"/>
    <n v="-30"/>
    <n v="0"/>
    <n v="-56100"/>
    <x v="2"/>
  </r>
  <r>
    <x v="2"/>
    <x v="14"/>
    <x v="0"/>
    <s v="PANADERIA Y PASTELERIA "/>
    <x v="1"/>
    <x v="638"/>
    <s v="UNIDADES"/>
    <n v="1600"/>
    <n v="-5.5"/>
    <n v="3"/>
    <n v="8.5"/>
    <n v="4800"/>
    <n v="13600"/>
    <x v="0"/>
  </r>
  <r>
    <x v="2"/>
    <x v="15"/>
    <x v="1"/>
    <s v="PANADERIA Y PASTELERIA "/>
    <x v="1"/>
    <x v="639"/>
    <s v="UNIDADES"/>
    <n v="1636.66666667"/>
    <n v="-7"/>
    <n v="2"/>
    <n v="9"/>
    <n v="3273.3333333400001"/>
    <n v="14730.000000030001"/>
    <x v="0"/>
  </r>
  <r>
    <x v="2"/>
    <x v="15"/>
    <x v="1"/>
    <s v="PANADERIA Y PASTELERIA "/>
    <x v="1"/>
    <x v="640"/>
    <s v="UNIDADES"/>
    <n v="1600"/>
    <n v="-36"/>
    <n v="0"/>
    <n v="36"/>
    <n v="0"/>
    <n v="57600"/>
    <x v="0"/>
  </r>
  <r>
    <x v="2"/>
    <x v="14"/>
    <x v="0"/>
    <s v="PANADERIA Y PASTELERIA "/>
    <x v="1"/>
    <x v="641"/>
    <s v="UNIDADES"/>
    <n v="2191.6666666699998"/>
    <n v="-108"/>
    <n v="1"/>
    <n v="109"/>
    <n v="2191.6666666699998"/>
    <n v="238891.66666702999"/>
    <x v="0"/>
  </r>
  <r>
    <x v="2"/>
    <x v="15"/>
    <x v="1"/>
    <s v="PANADERIA Y PASTELERIA "/>
    <x v="1"/>
    <x v="641"/>
    <s v="UNIDADES"/>
    <n v="2191.6666666699998"/>
    <n v="689"/>
    <n v="0"/>
    <n v="-689"/>
    <n v="0"/>
    <n v="-1510058.3333356299"/>
    <x v="2"/>
  </r>
  <r>
    <x v="2"/>
    <x v="12"/>
    <x v="3"/>
    <s v="PANADERIA Y PASTELERIA "/>
    <x v="1"/>
    <x v="642"/>
    <s v="GRAMOS"/>
    <n v="5.4166666699999997"/>
    <n v="600"/>
    <n v="0"/>
    <n v="-600"/>
    <n v="0"/>
    <n v="-3250.0000019999998"/>
    <x v="2"/>
  </r>
  <r>
    <x v="2"/>
    <x v="13"/>
    <x v="2"/>
    <s v="PANADERIA Y PASTELERIA "/>
    <x v="1"/>
    <x v="642"/>
    <s v="GRAMOS"/>
    <n v="5.4166666699999997"/>
    <n v="0"/>
    <n v="0"/>
    <n v="0"/>
    <n v="0"/>
    <n v="0"/>
    <x v="1"/>
  </r>
  <r>
    <x v="2"/>
    <x v="16"/>
    <x v="5"/>
    <s v="PANADERIA Y PASTELERIA "/>
    <x v="1"/>
    <x v="642"/>
    <s v="GRAMOS"/>
    <n v="5.4166666699999997"/>
    <n v="-3150"/>
    <n v="0"/>
    <n v="3150"/>
    <n v="0"/>
    <n v="17062.5000105"/>
    <x v="0"/>
  </r>
  <r>
    <x v="2"/>
    <x v="10"/>
    <x v="4"/>
    <s v="PANADERIA Y PASTELERIA "/>
    <x v="1"/>
    <x v="642"/>
    <s v="GRAMOS"/>
    <n v="5.4166666699999997"/>
    <n v="-120"/>
    <n v="0"/>
    <n v="120"/>
    <n v="0"/>
    <n v="650.00000039999998"/>
    <x v="0"/>
  </r>
  <r>
    <x v="2"/>
    <x v="12"/>
    <x v="3"/>
    <s v="INSUMOS BAR"/>
    <x v="0"/>
    <x v="643"/>
    <s v="UNIDADES"/>
    <n v="90.245000000000005"/>
    <n v="200"/>
    <n v="0"/>
    <n v="-200"/>
    <n v="0"/>
    <n v="-18049"/>
    <x v="2"/>
  </r>
  <r>
    <x v="2"/>
    <x v="14"/>
    <x v="0"/>
    <s v="INSUMOS BAR"/>
    <x v="0"/>
    <x v="643"/>
    <s v="UNIDADES"/>
    <n v="90.245000000000005"/>
    <n v="150"/>
    <n v="0"/>
    <n v="-150"/>
    <n v="0"/>
    <n v="-13536.75"/>
    <x v="2"/>
  </r>
  <r>
    <x v="2"/>
    <x v="13"/>
    <x v="2"/>
    <s v="INSUMOS BAR"/>
    <x v="0"/>
    <x v="643"/>
    <s v="UNIDADES"/>
    <n v="90.245000000000005"/>
    <n v="0"/>
    <n v="0"/>
    <n v="0"/>
    <n v="0"/>
    <n v="0"/>
    <x v="1"/>
  </r>
  <r>
    <x v="2"/>
    <x v="15"/>
    <x v="1"/>
    <s v="INSUMOS BAR"/>
    <x v="0"/>
    <x v="643"/>
    <s v="UNIDADES"/>
    <n v="90.245000000000005"/>
    <n v="400"/>
    <n v="0"/>
    <n v="-400"/>
    <n v="0"/>
    <n v="-36098"/>
    <x v="2"/>
  </r>
  <r>
    <x v="2"/>
    <x v="10"/>
    <x v="4"/>
    <s v="INSUMOS BAR"/>
    <x v="0"/>
    <x v="643"/>
    <s v="UNIDADES"/>
    <n v="90.245000000000005"/>
    <n v="45"/>
    <n v="0"/>
    <n v="-45"/>
    <n v="0"/>
    <n v="-4061.0250000000001"/>
    <x v="2"/>
  </r>
  <r>
    <x v="2"/>
    <x v="12"/>
    <x v="3"/>
    <s v="ABARROTES"/>
    <x v="1"/>
    <x v="644"/>
    <s v="GRAMOS"/>
    <n v="18.048999999999999"/>
    <n v="0"/>
    <n v="0"/>
    <n v="0"/>
    <n v="0"/>
    <n v="0"/>
    <x v="1"/>
  </r>
  <r>
    <x v="2"/>
    <x v="14"/>
    <x v="0"/>
    <s v="ABARROTES"/>
    <x v="1"/>
    <x v="644"/>
    <s v="GRAMOS"/>
    <n v="18.048999999999999"/>
    <n v="3425"/>
    <n v="2500"/>
    <n v="-925"/>
    <n v="45122.5"/>
    <n v="-16695.325000000001"/>
    <x v="2"/>
  </r>
  <r>
    <x v="2"/>
    <x v="13"/>
    <x v="2"/>
    <s v="ABARROTES"/>
    <x v="1"/>
    <x v="644"/>
    <s v="GRAMOS"/>
    <n v="18.048999999999999"/>
    <n v="0"/>
    <n v="0"/>
    <n v="0"/>
    <n v="0"/>
    <n v="0"/>
    <x v="1"/>
  </r>
  <r>
    <x v="2"/>
    <x v="10"/>
    <x v="4"/>
    <s v="ABARROTES"/>
    <x v="1"/>
    <x v="644"/>
    <s v="GRAMOS"/>
    <n v="18.048999999999999"/>
    <n v="0"/>
    <n v="0"/>
    <n v="0"/>
    <n v="0"/>
    <n v="0"/>
    <x v="1"/>
  </r>
  <r>
    <x v="2"/>
    <x v="12"/>
    <x v="3"/>
    <s v="FRUVER"/>
    <x v="1"/>
    <x v="645"/>
    <s v="GRAMOS"/>
    <n v="6.6"/>
    <n v="0"/>
    <n v="0"/>
    <n v="0"/>
    <n v="0"/>
    <n v="0"/>
    <x v="1"/>
  </r>
  <r>
    <x v="2"/>
    <x v="14"/>
    <x v="0"/>
    <s v="FRUVER"/>
    <x v="1"/>
    <x v="645"/>
    <s v="GRAMOS"/>
    <n v="6.6"/>
    <n v="29400"/>
    <n v="0"/>
    <n v="-29400"/>
    <n v="0"/>
    <n v="-194040"/>
    <x v="2"/>
  </r>
  <r>
    <x v="2"/>
    <x v="13"/>
    <x v="2"/>
    <s v="FRUVER"/>
    <x v="1"/>
    <x v="645"/>
    <s v="GRAMOS"/>
    <n v="6.6"/>
    <n v="0"/>
    <n v="0"/>
    <n v="0"/>
    <n v="0"/>
    <n v="0"/>
    <x v="1"/>
  </r>
  <r>
    <x v="2"/>
    <x v="15"/>
    <x v="1"/>
    <s v="FRUVER"/>
    <x v="1"/>
    <x v="645"/>
    <s v="GRAMOS"/>
    <n v="6.6"/>
    <n v="222544.7788"/>
    <n v="38700"/>
    <n v="-183844.7788"/>
    <n v="255420"/>
    <n v="-1213375.5400799999"/>
    <x v="2"/>
  </r>
  <r>
    <x v="2"/>
    <x v="10"/>
    <x v="4"/>
    <s v="FRUVER"/>
    <x v="1"/>
    <x v="645"/>
    <s v="GRAMOS"/>
    <n v="6.6"/>
    <n v="0"/>
    <n v="0"/>
    <n v="0"/>
    <n v="0"/>
    <n v="0"/>
    <x v="1"/>
  </r>
  <r>
    <x v="2"/>
    <x v="12"/>
    <x v="3"/>
    <s v="FRUVER"/>
    <x v="1"/>
    <x v="646"/>
    <s v="GRAMOS"/>
    <n v="4.5"/>
    <n v="22953.45"/>
    <n v="9260"/>
    <n v="-26693.449994999999"/>
    <n v="41670"/>
    <n v="-120120.5249775"/>
    <x v="2"/>
  </r>
  <r>
    <x v="2"/>
    <x v="14"/>
    <x v="0"/>
    <s v="FRUVER"/>
    <x v="1"/>
    <x v="646"/>
    <s v="GRAMOS"/>
    <n v="4.5"/>
    <n v="12266.9473"/>
    <n v="5000"/>
    <n v="-7266.9473399999997"/>
    <n v="22500"/>
    <n v="-32701.263029999998"/>
    <x v="2"/>
  </r>
  <r>
    <x v="2"/>
    <x v="13"/>
    <x v="2"/>
    <s v="FRUVER"/>
    <x v="1"/>
    <x v="646"/>
    <s v="GRAMOS"/>
    <n v="4.5"/>
    <n v="47712.1633"/>
    <n v="0"/>
    <n v="-62712.163249999998"/>
    <n v="0"/>
    <n v="-282204.73462499998"/>
    <x v="2"/>
  </r>
  <r>
    <x v="2"/>
    <x v="15"/>
    <x v="1"/>
    <s v="FRUVER"/>
    <x v="1"/>
    <x v="646"/>
    <s v="GRAMOS"/>
    <n v="4.5"/>
    <n v="201200"/>
    <n v="0"/>
    <n v="-201200"/>
    <n v="0"/>
    <n v="-905400"/>
    <x v="2"/>
  </r>
  <r>
    <x v="2"/>
    <x v="10"/>
    <x v="4"/>
    <s v="FRUVER"/>
    <x v="1"/>
    <x v="646"/>
    <s v="GRAMOS"/>
    <n v="4.5"/>
    <n v="47122.859299999996"/>
    <n v="15982"/>
    <n v="-31140.859270000001"/>
    <n v="71919"/>
    <n v="-140133.86671500001"/>
    <x v="2"/>
  </r>
  <r>
    <x v="2"/>
    <x v="12"/>
    <x v="3"/>
    <s v="ABARROTES"/>
    <x v="1"/>
    <x v="647"/>
    <s v="GRAMOS"/>
    <n v="15.50333333"/>
    <n v="-14910"/>
    <n v="14200"/>
    <n v="20110"/>
    <n v="220147.33328600001"/>
    <n v="311772.03326629999"/>
    <x v="0"/>
  </r>
  <r>
    <x v="2"/>
    <x v="14"/>
    <x v="0"/>
    <s v="ABARROTES"/>
    <x v="1"/>
    <x v="647"/>
    <s v="GRAMOS"/>
    <n v="14.678414099999999"/>
    <n v="35320"/>
    <n v="21760"/>
    <n v="-13560"/>
    <n v="319402.29081599996"/>
    <n v="-199039.29519599999"/>
    <x v="2"/>
  </r>
  <r>
    <x v="2"/>
    <x v="13"/>
    <x v="2"/>
    <s v="ABARROTES"/>
    <x v="1"/>
    <x v="647"/>
    <s v="GRAMOS"/>
    <n v="15.50333333"/>
    <n v="13614"/>
    <n v="3122"/>
    <n v="-34492"/>
    <n v="48401.406656259998"/>
    <n v="-534740.97321835998"/>
    <x v="2"/>
  </r>
  <r>
    <x v="2"/>
    <x v="15"/>
    <x v="1"/>
    <s v="ABARROTES"/>
    <x v="1"/>
    <x v="647"/>
    <s v="GRAMOS"/>
    <n v="14.678414099999999"/>
    <n v="11170"/>
    <n v="0"/>
    <n v="-11170"/>
    <n v="0"/>
    <n v="-163957.88549699998"/>
    <x v="2"/>
  </r>
  <r>
    <x v="2"/>
    <x v="10"/>
    <x v="4"/>
    <s v="ABARROTES"/>
    <x v="1"/>
    <x v="647"/>
    <s v="GRAMOS"/>
    <n v="15.50333333"/>
    <n v="13620"/>
    <n v="16000"/>
    <n v="2380"/>
    <n v="248053.33327999999"/>
    <n v="36897.933325400001"/>
    <x v="0"/>
  </r>
  <r>
    <x v="2"/>
    <x v="12"/>
    <x v="3"/>
    <s v="FRUVER"/>
    <x v="1"/>
    <x v="648"/>
    <s v="GRAMOS"/>
    <n v="6.5"/>
    <n v="860"/>
    <n v="4302"/>
    <n v="3442"/>
    <n v="27963"/>
    <n v="22373"/>
    <x v="0"/>
  </r>
  <r>
    <x v="2"/>
    <x v="14"/>
    <x v="0"/>
    <s v="FRUVER"/>
    <x v="1"/>
    <x v="648"/>
    <s v="GRAMOS"/>
    <n v="6.5"/>
    <n v="47514.666599999997"/>
    <n v="25036"/>
    <n v="-22478.666560000001"/>
    <n v="162734"/>
    <n v="-146111.33264000001"/>
    <x v="2"/>
  </r>
  <r>
    <x v="2"/>
    <x v="13"/>
    <x v="2"/>
    <s v="FRUVER"/>
    <x v="1"/>
    <x v="648"/>
    <s v="GRAMOS"/>
    <n v="6.5"/>
    <n v="7832"/>
    <n v="1674"/>
    <n v="-7158.0000399999999"/>
    <n v="10881"/>
    <n v="-46527.000260000001"/>
    <x v="2"/>
  </r>
  <r>
    <x v="2"/>
    <x v="15"/>
    <x v="1"/>
    <s v="FRUVER"/>
    <x v="1"/>
    <x v="648"/>
    <s v="GRAMOS"/>
    <n v="6.5"/>
    <n v="3100"/>
    <n v="0"/>
    <n v="-3100"/>
    <n v="0"/>
    <n v="-20150"/>
    <x v="2"/>
  </r>
  <r>
    <x v="2"/>
    <x v="10"/>
    <x v="4"/>
    <s v="FRUVER"/>
    <x v="1"/>
    <x v="648"/>
    <s v="GRAMOS"/>
    <n v="6.5"/>
    <n v="15800"/>
    <n v="2000"/>
    <n v="-13800"/>
    <n v="13000"/>
    <n v="-89700"/>
    <x v="2"/>
  </r>
  <r>
    <x v="2"/>
    <x v="14"/>
    <x v="0"/>
    <s v="MATERIAL DE EMPAQUE"/>
    <x v="2"/>
    <x v="649"/>
    <s v="UNIDADES"/>
    <n v="35649.980000000003"/>
    <n v="0"/>
    <n v="0"/>
    <n v="0"/>
    <n v="0"/>
    <n v="0"/>
    <x v="1"/>
  </r>
  <r>
    <x v="2"/>
    <x v="15"/>
    <x v="1"/>
    <s v="MATERIAL DE EMPAQUE"/>
    <x v="2"/>
    <x v="649"/>
    <s v="UNIDADES"/>
    <n v="35649.980000000003"/>
    <n v="0"/>
    <n v="0"/>
    <n v="0"/>
    <n v="0"/>
    <n v="0"/>
    <x v="1"/>
  </r>
  <r>
    <x v="2"/>
    <x v="12"/>
    <x v="3"/>
    <s v="SALSAS ESPECIAS Y CONDIMENTOS"/>
    <x v="1"/>
    <x v="650"/>
    <s v="GRAMOS"/>
    <n v="17.410252100000001"/>
    <n v="0"/>
    <n v="0"/>
    <n v="0"/>
    <n v="0"/>
    <n v="0"/>
    <x v="1"/>
  </r>
  <r>
    <x v="2"/>
    <x v="14"/>
    <x v="0"/>
    <s v="SALSAS ESPECIAS Y CONDIMENTOS"/>
    <x v="1"/>
    <x v="650"/>
    <s v="GRAMOS"/>
    <n v="17.410252100000001"/>
    <n v="1000"/>
    <n v="1250"/>
    <n v="250"/>
    <n v="21762.815125000001"/>
    <n v="4352.5630250000004"/>
    <x v="0"/>
  </r>
  <r>
    <x v="2"/>
    <x v="13"/>
    <x v="2"/>
    <s v="SALSAS ESPECIAS Y CONDIMENTOS"/>
    <x v="1"/>
    <x v="650"/>
    <s v="GRAMOS"/>
    <n v="17.410252100000001"/>
    <n v="0"/>
    <n v="0"/>
    <n v="0"/>
    <n v="0"/>
    <n v="0"/>
    <x v="1"/>
  </r>
  <r>
    <x v="2"/>
    <x v="15"/>
    <x v="1"/>
    <s v="SALSAS ESPECIAS Y CONDIMENTOS"/>
    <x v="1"/>
    <x v="650"/>
    <s v="GRAMOS"/>
    <n v="17.410252100000001"/>
    <n v="5526.9335000000001"/>
    <n v="10000"/>
    <n v="4473.0665049999998"/>
    <n v="174102.52100000001"/>
    <n v="77877.215512115916"/>
    <x v="0"/>
  </r>
  <r>
    <x v="2"/>
    <x v="10"/>
    <x v="4"/>
    <s v="SALSAS ESPECIAS Y CONDIMENTOS"/>
    <x v="1"/>
    <x v="650"/>
    <s v="GRAMOS"/>
    <n v="17.410252100000001"/>
    <n v="0"/>
    <n v="0"/>
    <n v="0"/>
    <n v="0"/>
    <n v="0"/>
    <x v="1"/>
  </r>
  <r>
    <x v="2"/>
    <x v="12"/>
    <x v="3"/>
    <s v="ABARROTES"/>
    <x v="1"/>
    <x v="651"/>
    <s v="GRAMOS"/>
    <n v="26.683"/>
    <n v="0"/>
    <n v="0"/>
    <n v="0"/>
    <n v="0"/>
    <n v="0"/>
    <x v="1"/>
  </r>
  <r>
    <x v="2"/>
    <x v="13"/>
    <x v="2"/>
    <s v="ABARROTES"/>
    <x v="1"/>
    <x v="651"/>
    <s v="GRAMOS"/>
    <n v="26.683"/>
    <n v="0"/>
    <n v="0"/>
    <n v="0"/>
    <n v="0"/>
    <n v="0"/>
    <x v="1"/>
  </r>
  <r>
    <x v="2"/>
    <x v="15"/>
    <x v="1"/>
    <s v="ABARROTES"/>
    <x v="1"/>
    <x v="651"/>
    <s v="GRAMOS"/>
    <n v="26.683"/>
    <n v="3000"/>
    <n v="0"/>
    <n v="-3000"/>
    <n v="0"/>
    <n v="-80049"/>
    <x v="2"/>
  </r>
  <r>
    <x v="2"/>
    <x v="10"/>
    <x v="4"/>
    <s v="ABARROTES"/>
    <x v="1"/>
    <x v="651"/>
    <s v="GRAMOS"/>
    <n v="26.683"/>
    <n v="4350"/>
    <n v="0"/>
    <n v="-4350"/>
    <n v="0"/>
    <n v="-116071.05"/>
    <x v="2"/>
  </r>
  <r>
    <x v="2"/>
    <x v="12"/>
    <x v="3"/>
    <s v="ABARROTES"/>
    <x v="1"/>
    <x v="652"/>
    <s v="GRAMOS"/>
    <n v="2150"/>
    <n v="0"/>
    <n v="0"/>
    <n v="0"/>
    <n v="0"/>
    <n v="0"/>
    <x v="1"/>
  </r>
  <r>
    <x v="2"/>
    <x v="13"/>
    <x v="2"/>
    <s v="ABARROTES"/>
    <x v="1"/>
    <x v="652"/>
    <s v="GRAMOS"/>
    <n v="2150"/>
    <n v="0"/>
    <n v="0"/>
    <n v="0"/>
    <n v="0"/>
    <n v="0"/>
    <x v="1"/>
  </r>
  <r>
    <x v="2"/>
    <x v="10"/>
    <x v="4"/>
    <s v="ABARROTES"/>
    <x v="1"/>
    <x v="652"/>
    <s v="GRAMOS"/>
    <n v="2150"/>
    <n v="0"/>
    <n v="0"/>
    <n v="0"/>
    <n v="0"/>
    <n v="0"/>
    <x v="1"/>
  </r>
  <r>
    <x v="2"/>
    <x v="14"/>
    <x v="0"/>
    <s v="ABARROTES"/>
    <x v="1"/>
    <x v="653"/>
    <s v="UNIDADES"/>
    <n v="500"/>
    <n v="590"/>
    <n v="520"/>
    <n v="-70"/>
    <n v="260000"/>
    <n v="-35000"/>
    <x v="2"/>
  </r>
  <r>
    <x v="2"/>
    <x v="15"/>
    <x v="1"/>
    <s v="ABARROTES"/>
    <x v="1"/>
    <x v="653"/>
    <s v="UNIDADES"/>
    <n v="500"/>
    <n v="-2"/>
    <n v="0"/>
    <n v="2"/>
    <n v="0"/>
    <n v="1000"/>
    <x v="0"/>
  </r>
  <r>
    <x v="2"/>
    <x v="12"/>
    <x v="3"/>
    <s v="PROTEINAS"/>
    <x v="1"/>
    <x v="210"/>
    <s v="GRAMOS"/>
    <n v="32"/>
    <n v="0"/>
    <n v="0"/>
    <n v="0"/>
    <n v="0"/>
    <n v="0"/>
    <x v="1"/>
  </r>
  <r>
    <x v="2"/>
    <x v="13"/>
    <x v="2"/>
    <s v="PROTEINAS"/>
    <x v="1"/>
    <x v="210"/>
    <s v="GRAMOS"/>
    <n v="32"/>
    <n v="0"/>
    <n v="0"/>
    <n v="0"/>
    <n v="0"/>
    <n v="0"/>
    <x v="1"/>
  </r>
  <r>
    <x v="2"/>
    <x v="15"/>
    <x v="1"/>
    <s v="PROTEINAS"/>
    <x v="1"/>
    <x v="210"/>
    <s v="GRAMOS"/>
    <n v="32"/>
    <n v="5140"/>
    <n v="0"/>
    <n v="-5140"/>
    <n v="0"/>
    <n v="-164480"/>
    <x v="2"/>
  </r>
  <r>
    <x v="2"/>
    <x v="10"/>
    <x v="4"/>
    <s v="PROTEINAS"/>
    <x v="1"/>
    <x v="210"/>
    <s v="GRAMOS"/>
    <n v="32"/>
    <n v="0"/>
    <n v="0"/>
    <n v="0"/>
    <n v="0"/>
    <n v="0"/>
    <x v="1"/>
  </r>
  <r>
    <x v="2"/>
    <x v="16"/>
    <x v="5"/>
    <s v="PROTEINAS"/>
    <x v="1"/>
    <x v="282"/>
    <s v="GRAMOS"/>
    <n v="23"/>
    <n v="40300"/>
    <n v="40300"/>
    <n v="0"/>
    <n v="926900"/>
    <n v="0"/>
    <x v="1"/>
  </r>
  <r>
    <x v="2"/>
    <x v="12"/>
    <x v="3"/>
    <s v="PROTEINAS"/>
    <x v="1"/>
    <x v="208"/>
    <s v="GRAMOS"/>
    <n v="23"/>
    <n v="-300"/>
    <n v="4000"/>
    <n v="4299.9999900000003"/>
    <n v="92000"/>
    <n v="98899.999770000009"/>
    <x v="0"/>
  </r>
  <r>
    <x v="2"/>
    <x v="13"/>
    <x v="2"/>
    <s v="PROTEINAS"/>
    <x v="1"/>
    <x v="208"/>
    <s v="GRAMOS"/>
    <n v="23"/>
    <n v="8516.6666999999998"/>
    <n v="8000"/>
    <n v="-516.66666999999995"/>
    <n v="184000"/>
    <n v="-11883.333409999999"/>
    <x v="2"/>
  </r>
  <r>
    <x v="2"/>
    <x v="15"/>
    <x v="1"/>
    <s v="PROTEINAS"/>
    <x v="1"/>
    <x v="208"/>
    <s v="GRAMOS"/>
    <n v="23"/>
    <n v="2155"/>
    <n v="0"/>
    <n v="-2155"/>
    <n v="0"/>
    <n v="-49565"/>
    <x v="2"/>
  </r>
  <r>
    <x v="2"/>
    <x v="16"/>
    <x v="5"/>
    <s v="PROTEINAS"/>
    <x v="1"/>
    <x v="208"/>
    <s v="GRAMOS"/>
    <n v="23"/>
    <n v="0"/>
    <n v="0"/>
    <n v="0"/>
    <n v="0"/>
    <n v="0"/>
    <x v="1"/>
  </r>
  <r>
    <x v="2"/>
    <x v="10"/>
    <x v="4"/>
    <s v="PROTEINAS"/>
    <x v="1"/>
    <x v="208"/>
    <s v="GRAMOS"/>
    <n v="23"/>
    <n v="1415.3333"/>
    <n v="2000"/>
    <n v="584.66665999999998"/>
    <n v="46000"/>
    <n v="13447.33318"/>
    <x v="0"/>
  </r>
  <r>
    <x v="2"/>
    <x v="12"/>
    <x v="3"/>
    <s v="MATERIAL DE EMPAQUE"/>
    <x v="2"/>
    <x v="654"/>
    <s v="UNIDADES"/>
    <n v="105046"/>
    <n v="2"/>
    <n v="1"/>
    <n v="-1"/>
    <n v="105046"/>
    <n v="-105046"/>
    <x v="2"/>
  </r>
  <r>
    <x v="2"/>
    <x v="14"/>
    <x v="0"/>
    <s v="MATERIAL DE EMPAQUE"/>
    <x v="2"/>
    <x v="654"/>
    <s v="UNIDADES"/>
    <n v="105046"/>
    <n v="2"/>
    <n v="1"/>
    <n v="-1"/>
    <n v="105046"/>
    <n v="-105046"/>
    <x v="2"/>
  </r>
  <r>
    <x v="2"/>
    <x v="13"/>
    <x v="2"/>
    <s v="MATERIAL DE EMPAQUE"/>
    <x v="2"/>
    <x v="654"/>
    <s v="UNIDADES"/>
    <n v="105046"/>
    <n v="4"/>
    <n v="200"/>
    <n v="196"/>
    <n v="21009200"/>
    <n v="20589016"/>
    <x v="0"/>
  </r>
  <r>
    <x v="2"/>
    <x v="15"/>
    <x v="1"/>
    <s v="MATERIAL DE EMPAQUE"/>
    <x v="2"/>
    <x v="654"/>
    <s v="UNIDADES"/>
    <n v="105046"/>
    <n v="1"/>
    <n v="700"/>
    <n v="699"/>
    <n v="73532200"/>
    <n v="73427154"/>
    <x v="0"/>
  </r>
  <r>
    <x v="2"/>
    <x v="10"/>
    <x v="4"/>
    <s v="MATERIAL DE EMPAQUE"/>
    <x v="2"/>
    <x v="654"/>
    <s v="UNIDADES"/>
    <n v="105046"/>
    <n v="2"/>
    <n v="0"/>
    <n v="-2"/>
    <n v="0"/>
    <n v="-210092"/>
    <x v="2"/>
  </r>
  <r>
    <x v="2"/>
    <x v="15"/>
    <x v="1"/>
    <s v="ABARROTES"/>
    <x v="1"/>
    <x v="655"/>
    <s v="GRAMOS"/>
    <n v="22.314666670000001"/>
    <n v="4930"/>
    <n v="2500"/>
    <n v="-2430"/>
    <n v="55786.666675"/>
    <n v="-54224.640008100003"/>
    <x v="2"/>
  </r>
  <r>
    <x v="2"/>
    <x v="12"/>
    <x v="3"/>
    <s v="FRUVER"/>
    <x v="1"/>
    <x v="656"/>
    <s v="GRAMOS"/>
    <n v="5.5"/>
    <n v="1000"/>
    <n v="0"/>
    <n v="-1000"/>
    <n v="0"/>
    <n v="-5500"/>
    <x v="2"/>
  </r>
  <r>
    <x v="2"/>
    <x v="14"/>
    <x v="0"/>
    <s v="FRUVER"/>
    <x v="1"/>
    <x v="656"/>
    <s v="GRAMOS"/>
    <n v="5.5"/>
    <n v="-1774.2856999999999"/>
    <n v="0"/>
    <n v="1774.285678"/>
    <n v="0"/>
    <n v="9758.5712289999992"/>
    <x v="0"/>
  </r>
  <r>
    <x v="2"/>
    <x v="13"/>
    <x v="2"/>
    <s v="FRUVER"/>
    <x v="1"/>
    <x v="656"/>
    <s v="GRAMOS"/>
    <n v="5.5"/>
    <n v="1960"/>
    <n v="0"/>
    <n v="-1960"/>
    <n v="0"/>
    <n v="-10780"/>
    <x v="2"/>
  </r>
  <r>
    <x v="2"/>
    <x v="15"/>
    <x v="1"/>
    <s v="FRUVER"/>
    <x v="1"/>
    <x v="656"/>
    <s v="GRAMOS"/>
    <n v="5.5"/>
    <n v="0"/>
    <n v="0"/>
    <n v="0"/>
    <n v="0"/>
    <n v="0"/>
    <x v="1"/>
  </r>
  <r>
    <x v="2"/>
    <x v="10"/>
    <x v="4"/>
    <s v="FRUVER"/>
    <x v="1"/>
    <x v="656"/>
    <s v="GRAMOS"/>
    <n v="5.5"/>
    <n v="1210"/>
    <n v="0"/>
    <n v="-1210"/>
    <n v="0"/>
    <n v="-6655"/>
    <x v="2"/>
  </r>
  <r>
    <x v="2"/>
    <x v="12"/>
    <x v="3"/>
    <s v="FRUVER"/>
    <x v="1"/>
    <x v="657"/>
    <s v="GRAMOS"/>
    <n v="8"/>
    <n v="5550"/>
    <n v="0"/>
    <n v="-5550"/>
    <n v="0"/>
    <n v="-44400"/>
    <x v="2"/>
  </r>
  <r>
    <x v="2"/>
    <x v="14"/>
    <x v="0"/>
    <s v="FRUVER"/>
    <x v="1"/>
    <x v="657"/>
    <s v="GRAMOS"/>
    <n v="8"/>
    <n v="2495"/>
    <n v="200"/>
    <n v="-2295"/>
    <n v="1600"/>
    <n v="-18360"/>
    <x v="2"/>
  </r>
  <r>
    <x v="2"/>
    <x v="13"/>
    <x v="2"/>
    <s v="FRUVER"/>
    <x v="1"/>
    <x v="657"/>
    <s v="GRAMOS"/>
    <n v="8"/>
    <n v="-1160"/>
    <n v="0"/>
    <n v="1160"/>
    <n v="0"/>
    <n v="9280"/>
    <x v="0"/>
  </r>
  <r>
    <x v="2"/>
    <x v="15"/>
    <x v="1"/>
    <s v="FRUVER"/>
    <x v="1"/>
    <x v="657"/>
    <s v="GRAMOS"/>
    <n v="8"/>
    <n v="-153.04429999999999"/>
    <n v="200"/>
    <n v="353.04431"/>
    <n v="1600"/>
    <n v="2824.35448"/>
    <x v="0"/>
  </r>
  <r>
    <x v="2"/>
    <x v="10"/>
    <x v="4"/>
    <s v="FRUVER"/>
    <x v="1"/>
    <x v="657"/>
    <s v="GRAMOS"/>
    <n v="8"/>
    <n v="2010"/>
    <n v="600"/>
    <n v="-1410"/>
    <n v="4800"/>
    <n v="-11280"/>
    <x v="2"/>
  </r>
  <r>
    <x v="2"/>
    <x v="12"/>
    <x v="3"/>
    <s v="INSUMOS BAR"/>
    <x v="0"/>
    <x v="658"/>
    <s v="GRAMOS"/>
    <n v="350"/>
    <n v="-111"/>
    <n v="0"/>
    <n v="111"/>
    <n v="0"/>
    <n v="38850"/>
    <x v="0"/>
  </r>
  <r>
    <x v="2"/>
    <x v="14"/>
    <x v="0"/>
    <s v="INSUMOS BAR"/>
    <x v="0"/>
    <x v="658"/>
    <s v="GRAMOS"/>
    <n v="350"/>
    <n v="-36"/>
    <n v="0"/>
    <n v="36"/>
    <n v="0"/>
    <n v="12600"/>
    <x v="0"/>
  </r>
  <r>
    <x v="2"/>
    <x v="13"/>
    <x v="2"/>
    <s v="INSUMOS BAR"/>
    <x v="0"/>
    <x v="658"/>
    <s v="GRAMOS"/>
    <n v="350"/>
    <n v="-98"/>
    <n v="0"/>
    <n v="98"/>
    <n v="0"/>
    <n v="34300"/>
    <x v="0"/>
  </r>
  <r>
    <x v="2"/>
    <x v="10"/>
    <x v="4"/>
    <s v="INSUMOS BAR"/>
    <x v="0"/>
    <x v="658"/>
    <s v="GRAMOS"/>
    <n v="350"/>
    <n v="-53"/>
    <n v="0"/>
    <n v="53"/>
    <n v="0"/>
    <n v="18550"/>
    <x v="0"/>
  </r>
  <r>
    <x v="2"/>
    <x v="12"/>
    <x v="3"/>
    <s v="MATERIAL DE ASEO"/>
    <x v="3"/>
    <x v="659"/>
    <s v="UNIDADES"/>
    <n v="59619"/>
    <n v="0"/>
    <n v="1"/>
    <n v="1"/>
    <n v="59619"/>
    <n v="59619"/>
    <x v="0"/>
  </r>
  <r>
    <x v="2"/>
    <x v="13"/>
    <x v="2"/>
    <s v="MATERIAL DE ASEO"/>
    <x v="3"/>
    <x v="659"/>
    <s v="UNIDADES"/>
    <n v="59619"/>
    <n v="1"/>
    <n v="1"/>
    <n v="0"/>
    <n v="59619"/>
    <n v="0"/>
    <x v="1"/>
  </r>
  <r>
    <x v="2"/>
    <x v="10"/>
    <x v="4"/>
    <s v="MATERIAL DE ASEO"/>
    <x v="3"/>
    <x v="659"/>
    <s v="UNIDADES"/>
    <n v="59619"/>
    <n v="2"/>
    <n v="1"/>
    <n v="-1"/>
    <n v="59619"/>
    <n v="-59619"/>
    <x v="2"/>
  </r>
  <r>
    <x v="2"/>
    <x v="12"/>
    <x v="3"/>
    <s v="MATERIAL DE ASEO"/>
    <x v="3"/>
    <x v="660"/>
    <s v="UNIDADES"/>
    <n v="88060"/>
    <n v="0"/>
    <n v="0"/>
    <n v="0"/>
    <n v="0"/>
    <n v="0"/>
    <x v="1"/>
  </r>
  <r>
    <x v="2"/>
    <x v="14"/>
    <x v="0"/>
    <s v="MATERIAL DE ASEO"/>
    <x v="3"/>
    <x v="660"/>
    <s v="UNIDADES"/>
    <n v="42865"/>
    <n v="15"/>
    <n v="4"/>
    <n v="-11"/>
    <n v="171460"/>
    <n v="-471515"/>
    <x v="2"/>
  </r>
  <r>
    <x v="2"/>
    <x v="13"/>
    <x v="2"/>
    <s v="MATERIAL DE ASEO"/>
    <x v="3"/>
    <x v="660"/>
    <s v="UNIDADES"/>
    <n v="88060"/>
    <n v="10"/>
    <n v="7"/>
    <n v="-3"/>
    <n v="616420"/>
    <n v="-264180"/>
    <x v="2"/>
  </r>
  <r>
    <x v="2"/>
    <x v="15"/>
    <x v="1"/>
    <s v="MATERIAL DE ASEO"/>
    <x v="3"/>
    <x v="660"/>
    <s v="UNIDADES"/>
    <n v="42865"/>
    <n v="6"/>
    <n v="5"/>
    <n v="-1"/>
    <n v="214325"/>
    <n v="-42865"/>
    <x v="2"/>
  </r>
  <r>
    <x v="2"/>
    <x v="16"/>
    <x v="5"/>
    <s v="MATERIAL DE ASEO"/>
    <x v="3"/>
    <x v="660"/>
    <s v="UNIDADES"/>
    <n v="88060"/>
    <n v="12"/>
    <n v="0"/>
    <n v="-12"/>
    <n v="0"/>
    <n v="-1056720"/>
    <x v="2"/>
  </r>
  <r>
    <x v="2"/>
    <x v="10"/>
    <x v="4"/>
    <s v="MATERIAL DE ASEO"/>
    <x v="3"/>
    <x v="660"/>
    <s v="UNIDADES"/>
    <n v="88060"/>
    <n v="10"/>
    <n v="3"/>
    <n v="-7"/>
    <n v="264180"/>
    <n v="-616420"/>
    <x v="2"/>
  </r>
  <r>
    <x v="2"/>
    <x v="15"/>
    <x v="1"/>
    <s v="INSUMOS BAR"/>
    <x v="0"/>
    <x v="661"/>
    <s v="GRAMOS"/>
    <n v="150"/>
    <n v="0"/>
    <n v="1305"/>
    <n v="1305"/>
    <n v="195750"/>
    <n v="195750"/>
    <x v="0"/>
  </r>
  <r>
    <x v="2"/>
    <x v="12"/>
    <x v="3"/>
    <s v="FRUVER"/>
    <x v="1"/>
    <x v="662"/>
    <s v="GRAMOS"/>
    <n v="5.2"/>
    <n v="677.4194"/>
    <n v="0"/>
    <n v="-677.41935000000001"/>
    <n v="0"/>
    <n v="-3522.5806200000002"/>
    <x v="2"/>
  </r>
  <r>
    <x v="2"/>
    <x v="14"/>
    <x v="0"/>
    <s v="FRUVER"/>
    <x v="1"/>
    <x v="662"/>
    <s v="GRAMOS"/>
    <n v="5.2"/>
    <n v="8216.2032999999992"/>
    <n v="1660"/>
    <n v="-6556.2032859999999"/>
    <n v="8632"/>
    <n v="-34092.2570872"/>
    <x v="2"/>
  </r>
  <r>
    <x v="2"/>
    <x v="13"/>
    <x v="2"/>
    <s v="FRUVER"/>
    <x v="1"/>
    <x v="662"/>
    <s v="GRAMOS"/>
    <n v="5.2"/>
    <n v="8257.4194000000007"/>
    <n v="735"/>
    <n v="-7522.4193500000001"/>
    <n v="3822"/>
    <n v="-39116.580620000001"/>
    <x v="2"/>
  </r>
  <r>
    <x v="2"/>
    <x v="15"/>
    <x v="1"/>
    <s v="FRUVER"/>
    <x v="1"/>
    <x v="662"/>
    <s v="GRAMOS"/>
    <n v="5.2"/>
    <n v="25500"/>
    <n v="2000"/>
    <n v="-23500.000004000001"/>
    <n v="10400"/>
    <n v="-122200.00002080001"/>
    <x v="2"/>
  </r>
  <r>
    <x v="2"/>
    <x v="10"/>
    <x v="4"/>
    <s v="FRUVER"/>
    <x v="1"/>
    <x v="662"/>
    <s v="GRAMOS"/>
    <n v="5.2"/>
    <n v="9253.3870999999999"/>
    <n v="0"/>
    <n v="-9253.3870900000002"/>
    <n v="0"/>
    <n v="-48117.612868000004"/>
    <x v="2"/>
  </r>
  <r>
    <x v="2"/>
    <x v="15"/>
    <x v="1"/>
    <s v="PROTEINAS"/>
    <x v="1"/>
    <x v="279"/>
    <s v="UNIDADES"/>
    <n v="2552.9411764699998"/>
    <n v="0"/>
    <n v="0"/>
    <n v="0"/>
    <n v="0"/>
    <n v="0"/>
    <x v="1"/>
  </r>
  <r>
    <x v="2"/>
    <x v="12"/>
    <x v="3"/>
    <s v="FRUVER"/>
    <x v="1"/>
    <x v="663"/>
    <s v="GRAMOS"/>
    <n v="5.8"/>
    <n v="2550"/>
    <n v="330"/>
    <n v="-2220"/>
    <n v="1914"/>
    <n v="-12876"/>
    <x v="2"/>
  </r>
  <r>
    <x v="2"/>
    <x v="14"/>
    <x v="0"/>
    <s v="FRUVER"/>
    <x v="1"/>
    <x v="663"/>
    <s v="GRAMOS"/>
    <n v="5.5"/>
    <n v="18630"/>
    <n v="3420"/>
    <n v="-15210"/>
    <n v="18810"/>
    <n v="-83655"/>
    <x v="2"/>
  </r>
  <r>
    <x v="2"/>
    <x v="13"/>
    <x v="2"/>
    <s v="FRUVER"/>
    <x v="1"/>
    <x v="663"/>
    <s v="GRAMOS"/>
    <n v="5.8"/>
    <n v="320"/>
    <n v="0"/>
    <n v="-320"/>
    <n v="0"/>
    <n v="-1856"/>
    <x v="2"/>
  </r>
  <r>
    <x v="2"/>
    <x v="15"/>
    <x v="1"/>
    <s v="FRUVER"/>
    <x v="1"/>
    <x v="663"/>
    <s v="GRAMOS"/>
    <n v="5.5"/>
    <n v="12248.170599999999"/>
    <n v="7000"/>
    <n v="-5248.1705510000002"/>
    <n v="38500"/>
    <n v="-28864.938030500001"/>
    <x v="2"/>
  </r>
  <r>
    <x v="2"/>
    <x v="10"/>
    <x v="4"/>
    <s v="FRUVER"/>
    <x v="1"/>
    <x v="663"/>
    <s v="GRAMOS"/>
    <n v="5.8"/>
    <n v="550"/>
    <n v="0"/>
    <n v="-550"/>
    <n v="0"/>
    <n v="-3190"/>
    <x v="2"/>
  </r>
  <r>
    <x v="2"/>
    <x v="12"/>
    <x v="3"/>
    <s v="ABARROTES"/>
    <x v="1"/>
    <x v="664"/>
    <s v="GRAMOS"/>
    <n v="101.6566"/>
    <n v="0"/>
    <n v="0"/>
    <n v="0"/>
    <n v="0"/>
    <n v="0"/>
    <x v="1"/>
  </r>
  <r>
    <x v="2"/>
    <x v="13"/>
    <x v="2"/>
    <s v="ABARROTES"/>
    <x v="1"/>
    <x v="664"/>
    <s v="GRAMOS"/>
    <n v="101.6566"/>
    <n v="0"/>
    <n v="0"/>
    <n v="0"/>
    <n v="0"/>
    <n v="0"/>
    <x v="1"/>
  </r>
  <r>
    <x v="2"/>
    <x v="15"/>
    <x v="1"/>
    <s v="ABARROTES"/>
    <x v="1"/>
    <x v="664"/>
    <s v="GRAMOS"/>
    <n v="101.6566"/>
    <n v="-3.5400000000000001E-2"/>
    <n v="250"/>
    <n v="250.03538499999999"/>
    <n v="25414.149999999998"/>
    <n v="25417.747118790998"/>
    <x v="0"/>
  </r>
  <r>
    <x v="2"/>
    <x v="10"/>
    <x v="4"/>
    <s v="ABARROTES"/>
    <x v="1"/>
    <x v="664"/>
    <s v="GRAMOS"/>
    <n v="101.6566"/>
    <n v="0"/>
    <n v="0"/>
    <n v="0"/>
    <n v="0"/>
    <n v="0"/>
    <x v="1"/>
  </r>
  <r>
    <x v="2"/>
    <x v="12"/>
    <x v="3"/>
    <s v="ABARROTES"/>
    <x v="1"/>
    <x v="665"/>
    <s v="GRAMOS"/>
    <n v="94.618942730000001"/>
    <n v="551.37630000000001"/>
    <n v="626"/>
    <n v="74.623671999999999"/>
    <n v="59231.458148980004"/>
    <n v="7060.8129472703049"/>
    <x v="0"/>
  </r>
  <r>
    <x v="2"/>
    <x v="14"/>
    <x v="0"/>
    <s v="ABARROTES"/>
    <x v="1"/>
    <x v="665"/>
    <s v="GRAMOS"/>
    <n v="59.538105729999998"/>
    <n v="2285.9991"/>
    <n v="1738"/>
    <n v="-547.9991"/>
    <n v="103477.22775874"/>
    <n v="-32626.828355744841"/>
    <x v="2"/>
  </r>
  <r>
    <x v="2"/>
    <x v="13"/>
    <x v="2"/>
    <s v="ABARROTES"/>
    <x v="1"/>
    <x v="665"/>
    <s v="GRAMOS"/>
    <n v="94.618942730000001"/>
    <n v="1104.1532999999999"/>
    <n v="1359"/>
    <n v="254.846732"/>
    <n v="128587.14317007"/>
    <n v="24113.328340035659"/>
    <x v="0"/>
  </r>
  <r>
    <x v="2"/>
    <x v="15"/>
    <x v="1"/>
    <s v="ABARROTES"/>
    <x v="1"/>
    <x v="665"/>
    <s v="GRAMOS"/>
    <n v="59.538105729999998"/>
    <n v="152.166"/>
    <n v="1000"/>
    <n v="847.83398499999998"/>
    <n v="59538.105729999996"/>
    <n v="50478.429440417232"/>
    <x v="0"/>
  </r>
  <r>
    <x v="2"/>
    <x v="16"/>
    <x v="5"/>
    <s v="ABARROTES"/>
    <x v="1"/>
    <x v="665"/>
    <s v="GRAMOS"/>
    <n v="94.618942730000001"/>
    <n v="396"/>
    <n v="406"/>
    <n v="10"/>
    <n v="38415.290748380001"/>
    <n v="946.18942730000003"/>
    <x v="0"/>
  </r>
  <r>
    <x v="2"/>
    <x v="10"/>
    <x v="4"/>
    <s v="ABARROTES"/>
    <x v="1"/>
    <x v="665"/>
    <s v="GRAMOS"/>
    <n v="94.618942730000001"/>
    <n v="7353.6832000000004"/>
    <n v="1570"/>
    <n v="-5783.6832480000003"/>
    <n v="148551.74008610001"/>
    <n v="-547245.99401097244"/>
    <x v="2"/>
  </r>
  <r>
    <x v="2"/>
    <x v="12"/>
    <x v="3"/>
    <s v="ABARROTES"/>
    <x v="1"/>
    <x v="666"/>
    <s v="GRAMOS"/>
    <n v="416.51208402999998"/>
    <n v="-32"/>
    <n v="500"/>
    <n v="532"/>
    <n v="208256.04201499998"/>
    <n v="221584.42870396"/>
    <x v="0"/>
  </r>
  <r>
    <x v="2"/>
    <x v="13"/>
    <x v="2"/>
    <s v="ABARROTES"/>
    <x v="1"/>
    <x v="666"/>
    <s v="GRAMOS"/>
    <n v="416.51208402999998"/>
    <n v="-210"/>
    <n v="0"/>
    <n v="210"/>
    <n v="0"/>
    <n v="87467.537646299999"/>
    <x v="0"/>
  </r>
  <r>
    <x v="2"/>
    <x v="15"/>
    <x v="1"/>
    <s v="ABARROTES"/>
    <x v="1"/>
    <x v="666"/>
    <s v="GRAMOS"/>
    <n v="104"/>
    <n v="50"/>
    <n v="0"/>
    <n v="-50"/>
    <n v="0"/>
    <n v="-5200"/>
    <x v="2"/>
  </r>
  <r>
    <x v="2"/>
    <x v="10"/>
    <x v="4"/>
    <s v="ABARROTES"/>
    <x v="1"/>
    <x v="666"/>
    <s v="GRAMOS"/>
    <n v="416.51208402999998"/>
    <n v="-240.4"/>
    <n v="290"/>
    <n v="530.4"/>
    <n v="120788.5043687"/>
    <n v="220918.00936951197"/>
    <x v="0"/>
  </r>
  <r>
    <x v="2"/>
    <x v="12"/>
    <x v="3"/>
    <s v="MATERIAL DE EMPAQUE"/>
    <x v="2"/>
    <x v="667"/>
    <s v="UNIDADES"/>
    <n v="146.71799999999999"/>
    <n v="1"/>
    <n v="0"/>
    <n v="-1"/>
    <n v="0"/>
    <n v="-146.71799999999999"/>
    <x v="2"/>
  </r>
  <r>
    <x v="2"/>
    <x v="13"/>
    <x v="2"/>
    <s v="MATERIAL DE EMPAQUE"/>
    <x v="2"/>
    <x v="667"/>
    <s v="UNIDADES"/>
    <n v="146.71799999999999"/>
    <n v="0"/>
    <n v="0"/>
    <n v="0"/>
    <n v="0"/>
    <n v="0"/>
    <x v="1"/>
  </r>
  <r>
    <x v="2"/>
    <x v="15"/>
    <x v="1"/>
    <s v="MATERIAL DE EMPAQUE"/>
    <x v="2"/>
    <x v="667"/>
    <s v="UNIDADES"/>
    <n v="146.72403"/>
    <n v="2200"/>
    <n v="300"/>
    <n v="-1900"/>
    <n v="44017.209000000003"/>
    <n v="-278775.65700000001"/>
    <x v="2"/>
  </r>
  <r>
    <x v="2"/>
    <x v="10"/>
    <x v="4"/>
    <s v="MATERIAL DE EMPAQUE"/>
    <x v="2"/>
    <x v="667"/>
    <s v="UNIDADES"/>
    <n v="146.71799999999999"/>
    <n v="10"/>
    <n v="6"/>
    <n v="-4"/>
    <n v="880.30799999999999"/>
    <n v="-586.87199999999996"/>
    <x v="2"/>
  </r>
  <r>
    <x v="2"/>
    <x v="12"/>
    <x v="3"/>
    <s v="LICORES"/>
    <x v="0"/>
    <x v="263"/>
    <s v="ONZA"/>
    <n v="4721.625"/>
    <n v="25.34"/>
    <n v="30"/>
    <n v="4.66"/>
    <n v="141648.75"/>
    <n v="22002.772499999999"/>
    <x v="0"/>
  </r>
  <r>
    <x v="2"/>
    <x v="13"/>
    <x v="2"/>
    <s v="LICORES"/>
    <x v="0"/>
    <x v="263"/>
    <s v="ONZA"/>
    <n v="4721.625"/>
    <n v="16.04"/>
    <n v="29"/>
    <n v="12.96"/>
    <n v="136927.125"/>
    <n v="61192.26"/>
    <x v="0"/>
  </r>
  <r>
    <x v="2"/>
    <x v="15"/>
    <x v="1"/>
    <s v="LICORES"/>
    <x v="0"/>
    <x v="263"/>
    <s v="ONZA"/>
    <n v="4721.625"/>
    <n v="24"/>
    <n v="24"/>
    <n v="0"/>
    <n v="113319"/>
    <n v="0"/>
    <x v="1"/>
  </r>
  <r>
    <x v="2"/>
    <x v="10"/>
    <x v="4"/>
    <s v="LICORES"/>
    <x v="0"/>
    <x v="263"/>
    <s v="ONZA"/>
    <n v="4721.625"/>
    <n v="57.21"/>
    <n v="60.25"/>
    <n v="3.04"/>
    <n v="284477.90625"/>
    <n v="14353.74"/>
    <x v="0"/>
  </r>
  <r>
    <x v="2"/>
    <x v="12"/>
    <x v="3"/>
    <s v="LICORES"/>
    <x v="0"/>
    <x v="55"/>
    <s v="ONZA"/>
    <n v="6303.25"/>
    <n v="56"/>
    <n v="62"/>
    <n v="6"/>
    <n v="390801.5"/>
    <n v="37819.5"/>
    <x v="0"/>
  </r>
  <r>
    <x v="2"/>
    <x v="13"/>
    <x v="2"/>
    <s v="LICORES"/>
    <x v="0"/>
    <x v="55"/>
    <s v="ONZA"/>
    <n v="6303.25"/>
    <n v="13"/>
    <n v="29"/>
    <n v="16"/>
    <n v="182794.25"/>
    <n v="100852"/>
    <x v="0"/>
  </r>
  <r>
    <x v="2"/>
    <x v="15"/>
    <x v="1"/>
    <s v="LICORES"/>
    <x v="0"/>
    <x v="55"/>
    <s v="ONZA"/>
    <n v="6303.0416666700003"/>
    <n v="24"/>
    <n v="24"/>
    <n v="0"/>
    <n v="151273.00000008001"/>
    <n v="0"/>
    <x v="1"/>
  </r>
  <r>
    <x v="2"/>
    <x v="10"/>
    <x v="4"/>
    <s v="LICORES"/>
    <x v="0"/>
    <x v="55"/>
    <s v="ONZA"/>
    <n v="6303.25"/>
    <n v="34.72"/>
    <n v="42.75"/>
    <n v="8.0299999999999994"/>
    <n v="269463.9375"/>
    <n v="50615.097499999996"/>
    <x v="0"/>
  </r>
  <r>
    <x v="2"/>
    <x v="12"/>
    <x v="3"/>
    <s v="LICORES"/>
    <x v="0"/>
    <x v="43"/>
    <s v="ONZA"/>
    <n v="3390.1034482800001"/>
    <n v="138"/>
    <n v="146"/>
    <n v="8"/>
    <n v="494955.10344888002"/>
    <n v="27120.827586240001"/>
    <x v="0"/>
  </r>
  <r>
    <x v="2"/>
    <x v="14"/>
    <x v="0"/>
    <s v="LICORES"/>
    <x v="0"/>
    <x v="43"/>
    <s v="ONZA"/>
    <n v="3103.4482758600002"/>
    <n v="82"/>
    <n v="87"/>
    <n v="5"/>
    <n v="269999.99999982002"/>
    <n v="15517.241379300001"/>
    <x v="0"/>
  </r>
  <r>
    <x v="2"/>
    <x v="13"/>
    <x v="2"/>
    <s v="LICORES"/>
    <x v="0"/>
    <x v="43"/>
    <s v="ONZA"/>
    <n v="3390.1034482800001"/>
    <n v="113"/>
    <n v="157"/>
    <n v="44"/>
    <n v="532246.24137995997"/>
    <n v="149164.55172432002"/>
    <x v="0"/>
  </r>
  <r>
    <x v="2"/>
    <x v="15"/>
    <x v="1"/>
    <s v="LICORES"/>
    <x v="0"/>
    <x v="43"/>
    <s v="ONZA"/>
    <n v="3103.4482758600002"/>
    <n v="48"/>
    <n v="0"/>
    <n v="-48"/>
    <n v="0"/>
    <n v="-148965.51724128"/>
    <x v="2"/>
  </r>
  <r>
    <x v="2"/>
    <x v="10"/>
    <x v="4"/>
    <s v="LICORES"/>
    <x v="0"/>
    <x v="43"/>
    <s v="ONZA"/>
    <n v="3390.1034482800001"/>
    <n v="455.26"/>
    <n v="451"/>
    <n v="-4.26"/>
    <n v="1528936.6551742801"/>
    <n v="-14441.840689672799"/>
    <x v="2"/>
  </r>
  <r>
    <x v="2"/>
    <x v="12"/>
    <x v="3"/>
    <s v="ABARROTES"/>
    <x v="1"/>
    <x v="668"/>
    <s v="GRAMOS"/>
    <n v="90"/>
    <n v="0"/>
    <n v="0"/>
    <n v="0"/>
    <n v="0"/>
    <n v="0"/>
    <x v="1"/>
  </r>
  <r>
    <x v="2"/>
    <x v="14"/>
    <x v="0"/>
    <s v="ABARROTES"/>
    <x v="1"/>
    <x v="668"/>
    <s v="GRAMOS"/>
    <n v="90"/>
    <n v="412"/>
    <n v="450"/>
    <n v="38"/>
    <n v="40500"/>
    <n v="3420"/>
    <x v="0"/>
  </r>
  <r>
    <x v="2"/>
    <x v="13"/>
    <x v="2"/>
    <s v="ABARROTES"/>
    <x v="1"/>
    <x v="668"/>
    <s v="GRAMOS"/>
    <n v="90"/>
    <n v="0"/>
    <n v="0"/>
    <n v="0"/>
    <n v="0"/>
    <n v="0"/>
    <x v="1"/>
  </r>
  <r>
    <x v="2"/>
    <x v="10"/>
    <x v="4"/>
    <s v="ABARROTES"/>
    <x v="1"/>
    <x v="668"/>
    <s v="GRAMOS"/>
    <n v="90"/>
    <n v="0"/>
    <n v="0"/>
    <n v="0"/>
    <n v="0"/>
    <n v="0"/>
    <x v="1"/>
  </r>
  <r>
    <x v="2"/>
    <x v="12"/>
    <x v="3"/>
    <s v="MATERIAL DE EMPAQUE"/>
    <x v="2"/>
    <x v="669"/>
    <s v="UNIDADES"/>
    <n v="71.420168070000003"/>
    <n v="1600"/>
    <n v="400"/>
    <n v="-1200"/>
    <n v="28568.067228"/>
    <n v="-85704.201684"/>
    <x v="2"/>
  </r>
  <r>
    <x v="2"/>
    <x v="14"/>
    <x v="0"/>
    <s v="MATERIAL DE EMPAQUE"/>
    <x v="2"/>
    <x v="669"/>
    <s v="UNIDADES"/>
    <n v="71.420168070000003"/>
    <n v="0"/>
    <n v="2"/>
    <n v="2"/>
    <n v="142.84033614000001"/>
    <n v="142.84033614000001"/>
    <x v="0"/>
  </r>
  <r>
    <x v="2"/>
    <x v="13"/>
    <x v="2"/>
    <s v="MATERIAL DE EMPAQUE"/>
    <x v="2"/>
    <x v="669"/>
    <s v="UNIDADES"/>
    <n v="71.420168070000003"/>
    <n v="1603"/>
    <n v="400"/>
    <n v="-1203"/>
    <n v="28568.067228"/>
    <n v="-85918.462188210004"/>
    <x v="2"/>
  </r>
  <r>
    <x v="2"/>
    <x v="15"/>
    <x v="1"/>
    <s v="MATERIAL DE EMPAQUE"/>
    <x v="2"/>
    <x v="669"/>
    <s v="UNIDADES"/>
    <n v="71.420168070000003"/>
    <n v="8200"/>
    <n v="6800"/>
    <n v="-1400"/>
    <n v="485657.14287600003"/>
    <n v="-99988.235298"/>
    <x v="2"/>
  </r>
  <r>
    <x v="2"/>
    <x v="16"/>
    <x v="5"/>
    <s v="MATERIAL DE EMPAQUE"/>
    <x v="2"/>
    <x v="669"/>
    <s v="UNIDADES"/>
    <n v="71.420168070000003"/>
    <n v="6600"/>
    <n v="6600"/>
    <n v="0"/>
    <n v="471373.10926200001"/>
    <n v="0"/>
    <x v="1"/>
  </r>
  <r>
    <x v="2"/>
    <x v="10"/>
    <x v="4"/>
    <s v="MATERIAL DE EMPAQUE"/>
    <x v="2"/>
    <x v="669"/>
    <s v="UNIDADES"/>
    <n v="71.420168070000003"/>
    <n v="2120"/>
    <n v="5"/>
    <n v="-2115"/>
    <n v="357.10084035"/>
    <n v="-151053.65546805001"/>
    <x v="2"/>
  </r>
  <r>
    <x v="2"/>
    <x v="12"/>
    <x v="3"/>
    <s v="FRUVER"/>
    <x v="1"/>
    <x v="670"/>
    <s v="GRAMOS"/>
    <n v="3.5"/>
    <n v="27907.272700000001"/>
    <n v="2168"/>
    <n v="-26739.272688000001"/>
    <n v="7588"/>
    <n v="-93587.454408000005"/>
    <x v="2"/>
  </r>
  <r>
    <x v="2"/>
    <x v="14"/>
    <x v="0"/>
    <s v="FRUVER"/>
    <x v="1"/>
    <x v="670"/>
    <s v="GRAMOS"/>
    <n v="3.5"/>
    <n v="45311.903100000003"/>
    <n v="18670"/>
    <n v="-26641.903119999999"/>
    <n v="65345"/>
    <n v="-93246.660919999995"/>
    <x v="2"/>
  </r>
  <r>
    <x v="2"/>
    <x v="13"/>
    <x v="2"/>
    <s v="FRUVER"/>
    <x v="1"/>
    <x v="670"/>
    <s v="GRAMOS"/>
    <n v="3.5"/>
    <n v="10170"/>
    <n v="3040"/>
    <n v="-10129.999968"/>
    <n v="10640"/>
    <n v="-35454.999887999998"/>
    <x v="2"/>
  </r>
  <r>
    <x v="2"/>
    <x v="15"/>
    <x v="1"/>
    <s v="FRUVER"/>
    <x v="1"/>
    <x v="670"/>
    <s v="GRAMOS"/>
    <n v="3.5"/>
    <n v="0"/>
    <n v="0"/>
    <n v="0"/>
    <n v="0"/>
    <n v="0"/>
    <x v="1"/>
  </r>
  <r>
    <x v="2"/>
    <x v="10"/>
    <x v="4"/>
    <s v="FRUVER"/>
    <x v="1"/>
    <x v="670"/>
    <s v="GRAMOS"/>
    <n v="3.5"/>
    <n v="2757.2727"/>
    <n v="1452"/>
    <n v="-1305.2726720000001"/>
    <n v="5082"/>
    <n v="-4568.4543520000007"/>
    <x v="2"/>
  </r>
  <r>
    <x v="2"/>
    <x v="12"/>
    <x v="3"/>
    <s v="FRUVER"/>
    <x v="1"/>
    <x v="671"/>
    <s v="GRAMOS"/>
    <n v="3.3"/>
    <n v="68300"/>
    <n v="15500"/>
    <n v="-72800"/>
    <n v="51150"/>
    <n v="-240240"/>
    <x v="2"/>
  </r>
  <r>
    <x v="2"/>
    <x v="14"/>
    <x v="0"/>
    <s v="FRUVER"/>
    <x v="1"/>
    <x v="671"/>
    <s v="GRAMOS"/>
    <n v="3.3"/>
    <n v="36900"/>
    <n v="3000"/>
    <n v="-33900"/>
    <n v="9900"/>
    <n v="-111870"/>
    <x v="2"/>
  </r>
  <r>
    <x v="2"/>
    <x v="13"/>
    <x v="2"/>
    <s v="FRUVER"/>
    <x v="1"/>
    <x v="671"/>
    <s v="GRAMOS"/>
    <n v="3.3"/>
    <n v="26730"/>
    <n v="0"/>
    <n v="-46730"/>
    <n v="0"/>
    <n v="-154209"/>
    <x v="2"/>
  </r>
  <r>
    <x v="2"/>
    <x v="15"/>
    <x v="1"/>
    <s v="FRUVER"/>
    <x v="1"/>
    <x v="671"/>
    <s v="GRAMOS"/>
    <n v="3.3"/>
    <n v="1000"/>
    <n v="0"/>
    <n v="-1000"/>
    <n v="0"/>
    <n v="-3300"/>
    <x v="2"/>
  </r>
  <r>
    <x v="2"/>
    <x v="10"/>
    <x v="4"/>
    <s v="FRUVER"/>
    <x v="1"/>
    <x v="671"/>
    <s v="GRAMOS"/>
    <n v="3.3"/>
    <n v="36500"/>
    <n v="0"/>
    <n v="-36500"/>
    <n v="0"/>
    <n v="-120450"/>
    <x v="2"/>
  </r>
  <r>
    <x v="2"/>
    <x v="15"/>
    <x v="1"/>
    <s v="MATERIAL DE EMPAQUE"/>
    <x v="2"/>
    <x v="672"/>
    <s v="UNIDADES"/>
    <n v="123"/>
    <n v="6400"/>
    <n v="0"/>
    <n v="-6400"/>
    <n v="0"/>
    <n v="-787200"/>
    <x v="2"/>
  </r>
  <r>
    <x v="2"/>
    <x v="15"/>
    <x v="1"/>
    <s v="SALSAS ESPECIAS Y CONDIMENTOS"/>
    <x v="1"/>
    <x v="673"/>
    <s v="GRAMOS"/>
    <n v="6.9930000000000003"/>
    <n v="363"/>
    <n v="4800"/>
    <n v="4437"/>
    <n v="33566.400000000001"/>
    <n v="31027.941000000003"/>
    <x v="0"/>
  </r>
  <r>
    <x v="2"/>
    <x v="14"/>
    <x v="0"/>
    <s v="ABARROTES"/>
    <x v="1"/>
    <x v="674"/>
    <s v="GRAMOS"/>
    <n v="8.8172437000000006"/>
    <n v="611.47889999999995"/>
    <n v="750"/>
    <n v="138.521084"/>
    <n v="6612.9327750000002"/>
    <n v="1221.3741552161709"/>
    <x v="0"/>
  </r>
  <r>
    <x v="2"/>
    <x v="15"/>
    <x v="1"/>
    <s v="ABARROTES"/>
    <x v="1"/>
    <x v="674"/>
    <s v="GRAMOS"/>
    <n v="8.8172437000000006"/>
    <n v="401"/>
    <n v="0"/>
    <n v="-401"/>
    <n v="0"/>
    <n v="-3535.7147237000004"/>
    <x v="2"/>
  </r>
  <r>
    <x v="2"/>
    <x v="16"/>
    <x v="5"/>
    <s v="ABARROTES"/>
    <x v="1"/>
    <x v="674"/>
    <s v="GRAMOS"/>
    <n v="7.2994500000000002"/>
    <n v="454"/>
    <n v="650"/>
    <n v="196"/>
    <n v="4744.6424999999999"/>
    <n v="1430.6922"/>
    <x v="0"/>
  </r>
  <r>
    <x v="2"/>
    <x v="15"/>
    <x v="1"/>
    <s v="MATERIAL DE EMPAQUE"/>
    <x v="2"/>
    <x v="675"/>
    <s v="UNIDADES"/>
    <n v="876.05042015000004"/>
    <n v="9"/>
    <n v="0"/>
    <n v="-9"/>
    <n v="0"/>
    <n v="-7884.4537813500001"/>
    <x v="2"/>
  </r>
  <r>
    <x v="2"/>
    <x v="12"/>
    <x v="3"/>
    <s v="MATERIAL DE EMPAQUE"/>
    <x v="2"/>
    <x v="676"/>
    <s v="UNIDADES"/>
    <n v="876.05042015000004"/>
    <n v="0"/>
    <n v="0"/>
    <n v="0"/>
    <n v="0"/>
    <n v="0"/>
    <x v="1"/>
  </r>
  <r>
    <x v="2"/>
    <x v="13"/>
    <x v="2"/>
    <s v="MATERIAL DE EMPAQUE"/>
    <x v="2"/>
    <x v="676"/>
    <s v="UNIDADES"/>
    <n v="876.05042015000004"/>
    <n v="202"/>
    <n v="200"/>
    <n v="-2"/>
    <n v="175210.08403"/>
    <n v="-1752.1008403000001"/>
    <x v="2"/>
  </r>
  <r>
    <x v="2"/>
    <x v="10"/>
    <x v="4"/>
    <s v="MATERIAL DE EMPAQUE"/>
    <x v="2"/>
    <x v="676"/>
    <s v="UNIDADES"/>
    <n v="876.05042015000004"/>
    <n v="0"/>
    <n v="0"/>
    <n v="0"/>
    <n v="0"/>
    <n v="0"/>
    <x v="1"/>
  </r>
  <r>
    <x v="2"/>
    <x v="15"/>
    <x v="1"/>
    <s v="PROTEINAS"/>
    <x v="1"/>
    <x v="206"/>
    <s v="UNIDADES"/>
    <n v="10810"/>
    <n v="0"/>
    <n v="0"/>
    <n v="0"/>
    <n v="0"/>
    <n v="0"/>
    <x v="1"/>
  </r>
  <r>
    <x v="2"/>
    <x v="15"/>
    <x v="1"/>
    <s v="ABARROTES"/>
    <x v="1"/>
    <x v="677"/>
    <s v="GRAMOS"/>
    <n v="16.065000000000001"/>
    <n v="0"/>
    <n v="0"/>
    <n v="0"/>
    <n v="0"/>
    <n v="0"/>
    <x v="1"/>
  </r>
  <r>
    <x v="2"/>
    <x v="12"/>
    <x v="3"/>
    <s v="INSUMOS BAR"/>
    <x v="0"/>
    <x v="678"/>
    <s v="UNIDADES"/>
    <n v="3500"/>
    <n v="17"/>
    <n v="21"/>
    <n v="4"/>
    <n v="73500"/>
    <n v="14000"/>
    <x v="0"/>
  </r>
  <r>
    <x v="2"/>
    <x v="14"/>
    <x v="0"/>
    <s v="INSUMOS BAR"/>
    <x v="0"/>
    <x v="678"/>
    <s v="UNIDADES"/>
    <n v="3500"/>
    <n v="53.5"/>
    <n v="91"/>
    <n v="37.5"/>
    <n v="318500"/>
    <n v="131250"/>
    <x v="0"/>
  </r>
  <r>
    <x v="2"/>
    <x v="13"/>
    <x v="2"/>
    <s v="INSUMOS BAR"/>
    <x v="0"/>
    <x v="678"/>
    <s v="UNIDADES"/>
    <n v="3500"/>
    <n v="14"/>
    <n v="16"/>
    <n v="2"/>
    <n v="56000"/>
    <n v="7000"/>
    <x v="0"/>
  </r>
  <r>
    <x v="2"/>
    <x v="15"/>
    <x v="1"/>
    <s v="INSUMOS BAR"/>
    <x v="0"/>
    <x v="678"/>
    <s v="UNIDADES"/>
    <n v="3500"/>
    <n v="46"/>
    <n v="51"/>
    <n v="5"/>
    <n v="178500"/>
    <n v="17500"/>
    <x v="0"/>
  </r>
  <r>
    <x v="2"/>
    <x v="10"/>
    <x v="4"/>
    <s v="INSUMOS BAR"/>
    <x v="0"/>
    <x v="678"/>
    <s v="UNIDADES"/>
    <n v="3500"/>
    <n v="-1"/>
    <n v="23"/>
    <n v="24"/>
    <n v="80500"/>
    <n v="84000"/>
    <x v="0"/>
  </r>
  <r>
    <x v="2"/>
    <x v="14"/>
    <x v="0"/>
    <s v="INSUMOS BAR"/>
    <x v="0"/>
    <x v="679"/>
    <s v="UNIDADES"/>
    <n v="2000"/>
    <n v="61"/>
    <n v="61"/>
    <n v="0"/>
    <n v="122000"/>
    <n v="0"/>
    <x v="1"/>
  </r>
  <r>
    <x v="2"/>
    <x v="15"/>
    <x v="1"/>
    <s v="INSUMOS BAR"/>
    <x v="0"/>
    <x v="679"/>
    <s v="UNIDADES"/>
    <n v="2000"/>
    <n v="34"/>
    <n v="34"/>
    <n v="0"/>
    <n v="68000"/>
    <n v="0"/>
    <x v="1"/>
  </r>
  <r>
    <x v="2"/>
    <x v="12"/>
    <x v="3"/>
    <s v="ABARROTES"/>
    <x v="1"/>
    <x v="680"/>
    <s v="GRAMOS"/>
    <n v="15"/>
    <n v="1500"/>
    <n v="0"/>
    <n v="-2000"/>
    <n v="0"/>
    <n v="-30000"/>
    <x v="2"/>
  </r>
  <r>
    <x v="2"/>
    <x v="13"/>
    <x v="2"/>
    <s v="ABARROTES"/>
    <x v="1"/>
    <x v="680"/>
    <s v="GRAMOS"/>
    <n v="15"/>
    <n v="500"/>
    <n v="0"/>
    <n v="-500"/>
    <n v="0"/>
    <n v="-7500"/>
    <x v="2"/>
  </r>
  <r>
    <x v="2"/>
    <x v="10"/>
    <x v="4"/>
    <s v="ABARROTES"/>
    <x v="1"/>
    <x v="680"/>
    <s v="GRAMOS"/>
    <n v="15"/>
    <n v="500"/>
    <n v="720"/>
    <n v="220"/>
    <n v="10800"/>
    <n v="3300"/>
    <x v="0"/>
  </r>
  <r>
    <x v="2"/>
    <x v="14"/>
    <x v="0"/>
    <s v="INSUMOS BAR"/>
    <x v="0"/>
    <x v="681"/>
    <s v="UNIDADES"/>
    <n v="1800"/>
    <n v="18"/>
    <n v="45"/>
    <n v="27"/>
    <n v="81000"/>
    <n v="48600"/>
    <x v="0"/>
  </r>
  <r>
    <x v="2"/>
    <x v="15"/>
    <x v="1"/>
    <s v="INSUMOS BAR"/>
    <x v="0"/>
    <x v="681"/>
    <s v="UNIDADES"/>
    <n v="1800"/>
    <n v="7"/>
    <n v="0"/>
    <n v="-7"/>
    <n v="0"/>
    <n v="-12600"/>
    <x v="2"/>
  </r>
  <r>
    <x v="2"/>
    <x v="14"/>
    <x v="0"/>
    <s v="INSUMOS BAR"/>
    <x v="0"/>
    <x v="682"/>
    <s v="UNIDADES"/>
    <n v="2714.2857142900002"/>
    <n v="62"/>
    <n v="43"/>
    <n v="-19"/>
    <n v="116714.28571447001"/>
    <n v="-51571.428571510005"/>
    <x v="2"/>
  </r>
  <r>
    <x v="2"/>
    <x v="15"/>
    <x v="1"/>
    <s v="INSUMOS BAR"/>
    <x v="0"/>
    <x v="682"/>
    <s v="UNIDADES"/>
    <n v="2714.2857142900002"/>
    <n v="19"/>
    <n v="26"/>
    <n v="7"/>
    <n v="70571.428571540004"/>
    <n v="19000.000000030002"/>
    <x v="0"/>
  </r>
  <r>
    <x v="2"/>
    <x v="12"/>
    <x v="3"/>
    <s v="PESCADOS Y MARISCOS"/>
    <x v="1"/>
    <x v="246"/>
    <s v="GRAMOS"/>
    <n v="58.31"/>
    <n v="0"/>
    <n v="0"/>
    <n v="0"/>
    <n v="0"/>
    <n v="0"/>
    <x v="1"/>
  </r>
  <r>
    <x v="2"/>
    <x v="14"/>
    <x v="0"/>
    <s v="PESCADOS Y MARISCOS"/>
    <x v="1"/>
    <x v="246"/>
    <s v="GRAMOS"/>
    <n v="58.31"/>
    <n v="17300"/>
    <n v="10000"/>
    <n v="-7300"/>
    <n v="583100"/>
    <n v="-425663"/>
    <x v="2"/>
  </r>
  <r>
    <x v="2"/>
    <x v="13"/>
    <x v="2"/>
    <s v="PESCADOS Y MARISCOS"/>
    <x v="1"/>
    <x v="246"/>
    <s v="GRAMOS"/>
    <n v="58.31"/>
    <n v="0"/>
    <n v="0"/>
    <n v="0"/>
    <n v="0"/>
    <n v="0"/>
    <x v="1"/>
  </r>
  <r>
    <x v="2"/>
    <x v="16"/>
    <x v="5"/>
    <s v="PESCADOS Y MARISCOS"/>
    <x v="1"/>
    <x v="246"/>
    <s v="GRAMOS"/>
    <n v="58.31"/>
    <n v="0"/>
    <n v="0"/>
    <n v="0"/>
    <n v="0"/>
    <n v="0"/>
    <x v="1"/>
  </r>
  <r>
    <x v="2"/>
    <x v="10"/>
    <x v="4"/>
    <s v="PESCADOS Y MARISCOS"/>
    <x v="1"/>
    <x v="246"/>
    <s v="GRAMOS"/>
    <n v="58.31"/>
    <n v="0"/>
    <n v="0"/>
    <n v="0"/>
    <n v="0"/>
    <n v="0"/>
    <x v="1"/>
  </r>
  <r>
    <x v="2"/>
    <x v="15"/>
    <x v="1"/>
    <s v="PROTEINAS"/>
    <x v="1"/>
    <x v="211"/>
    <s v="UNIDADES"/>
    <n v="15233.33333333"/>
    <n v="19"/>
    <n v="0"/>
    <n v="-19"/>
    <n v="0"/>
    <n v="-289433.33333326998"/>
    <x v="2"/>
  </r>
  <r>
    <x v="2"/>
    <x v="12"/>
    <x v="3"/>
    <s v="ABARROTES"/>
    <x v="1"/>
    <x v="683"/>
    <s v="GRAMOS"/>
    <n v="50.166874999999997"/>
    <n v="4000"/>
    <n v="1560"/>
    <n v="-3240"/>
    <n v="78260.324999999997"/>
    <n v="-162540.67499999999"/>
    <x v="2"/>
  </r>
  <r>
    <x v="2"/>
    <x v="13"/>
    <x v="2"/>
    <s v="ABARROTES"/>
    <x v="1"/>
    <x v="683"/>
    <s v="GRAMOS"/>
    <n v="50.166874999999997"/>
    <n v="2800"/>
    <n v="16000"/>
    <n v="12400"/>
    <n v="802670"/>
    <n v="622069.25"/>
    <x v="0"/>
  </r>
  <r>
    <x v="2"/>
    <x v="10"/>
    <x v="4"/>
    <s v="ABARROTES"/>
    <x v="1"/>
    <x v="683"/>
    <s v="GRAMOS"/>
    <n v="50.166874999999997"/>
    <n v="8100"/>
    <n v="2870"/>
    <n v="-5230"/>
    <n v="143978.93124999999"/>
    <n v="-262372.75624999998"/>
    <x v="2"/>
  </r>
  <r>
    <x v="2"/>
    <x v="12"/>
    <x v="3"/>
    <s v="MATERIAL DE ASEO"/>
    <x v="3"/>
    <x v="684"/>
    <s v="UNIDADES"/>
    <n v="59619"/>
    <n v="0"/>
    <n v="0"/>
    <n v="0"/>
    <n v="0"/>
    <n v="0"/>
    <x v="1"/>
  </r>
  <r>
    <x v="2"/>
    <x v="13"/>
    <x v="2"/>
    <s v="MATERIAL DE ASEO"/>
    <x v="3"/>
    <x v="684"/>
    <s v="UNIDADES"/>
    <n v="59619"/>
    <n v="1"/>
    <n v="1"/>
    <n v="0"/>
    <n v="59619"/>
    <n v="0"/>
    <x v="1"/>
  </r>
  <r>
    <x v="2"/>
    <x v="10"/>
    <x v="4"/>
    <s v="MATERIAL DE ASEO"/>
    <x v="3"/>
    <x v="684"/>
    <s v="UNIDADES"/>
    <n v="59619"/>
    <n v="2"/>
    <n v="3"/>
    <n v="1"/>
    <n v="178857"/>
    <n v="59619"/>
    <x v="0"/>
  </r>
  <r>
    <x v="2"/>
    <x v="14"/>
    <x v="0"/>
    <s v="LACTEOS"/>
    <x v="1"/>
    <x v="685"/>
    <s v="GRAMOS"/>
    <n v="76.952582879999994"/>
    <n v="6246"/>
    <n v="3652"/>
    <n v="-2594"/>
    <n v="281030.83267775999"/>
    <n v="-199614.99999071998"/>
    <x v="2"/>
  </r>
  <r>
    <x v="2"/>
    <x v="15"/>
    <x v="1"/>
    <s v="LACTEOS"/>
    <x v="1"/>
    <x v="685"/>
    <s v="GRAMOS"/>
    <n v="76.952582879999994"/>
    <n v="1248.9016999999999"/>
    <n v="1050"/>
    <n v="-198.90172000000001"/>
    <n v="80800.212023999993"/>
    <n v="-15306.001093274554"/>
    <x v="2"/>
  </r>
  <r>
    <x v="2"/>
    <x v="12"/>
    <x v="3"/>
    <s v="LACTEOS"/>
    <x v="1"/>
    <x v="686"/>
    <s v="GRAMOS"/>
    <n v="67.9405"/>
    <n v="-5715"/>
    <n v="0"/>
    <n v="5715"/>
    <n v="0"/>
    <n v="388279.95750000002"/>
    <x v="0"/>
  </r>
  <r>
    <x v="2"/>
    <x v="14"/>
    <x v="0"/>
    <s v="LACTEOS"/>
    <x v="1"/>
    <x v="686"/>
    <s v="GRAMOS"/>
    <n v="54.495833330000004"/>
    <n v="-31057.96"/>
    <n v="6810"/>
    <n v="37867.96"/>
    <n v="371116.6249773"/>
    <n v="2063646.036707107"/>
    <x v="0"/>
  </r>
  <r>
    <x v="2"/>
    <x v="13"/>
    <x v="2"/>
    <s v="LACTEOS"/>
    <x v="1"/>
    <x v="686"/>
    <s v="GRAMOS"/>
    <n v="67.9405"/>
    <n v="-30483"/>
    <n v="2970"/>
    <n v="33453"/>
    <n v="201783.285"/>
    <n v="2272813.5465000002"/>
    <x v="0"/>
  </r>
  <r>
    <x v="2"/>
    <x v="15"/>
    <x v="1"/>
    <s v="LACTEOS"/>
    <x v="1"/>
    <x v="686"/>
    <s v="GRAMOS"/>
    <n v="54.495833330000004"/>
    <n v="1077"/>
    <n v="5000"/>
    <n v="3923"/>
    <n v="272479.16665000003"/>
    <n v="213787.15415359"/>
    <x v="0"/>
  </r>
  <r>
    <x v="2"/>
    <x v="16"/>
    <x v="5"/>
    <s v="LACTEOS"/>
    <x v="1"/>
    <x v="686"/>
    <s v="GRAMOS"/>
    <n v="67.9405"/>
    <n v="0"/>
    <n v="4000"/>
    <n v="4000"/>
    <n v="271762"/>
    <n v="271762"/>
    <x v="0"/>
  </r>
  <r>
    <x v="2"/>
    <x v="10"/>
    <x v="4"/>
    <s v="LACTEOS"/>
    <x v="1"/>
    <x v="686"/>
    <s v="GRAMOS"/>
    <n v="67.9405"/>
    <n v="-37790"/>
    <n v="2854"/>
    <n v="40644"/>
    <n v="193902.18700000001"/>
    <n v="2761373.682"/>
    <x v="0"/>
  </r>
  <r>
    <x v="2"/>
    <x v="14"/>
    <x v="0"/>
    <s v="LACTEOS"/>
    <x v="1"/>
    <x v="687"/>
    <s v="GRAMOS"/>
    <n v="32.29"/>
    <n v="48812.201800000003"/>
    <n v="14268"/>
    <n v="-34544.20175"/>
    <n v="460713.72"/>
    <n v="-1115432.2745075"/>
    <x v="2"/>
  </r>
  <r>
    <x v="2"/>
    <x v="15"/>
    <x v="1"/>
    <s v="LACTEOS"/>
    <x v="1"/>
    <x v="687"/>
    <s v="GRAMOS"/>
    <n v="32.29"/>
    <n v="0"/>
    <n v="0"/>
    <n v="0"/>
    <n v="0"/>
    <n v="0"/>
    <x v="1"/>
  </r>
  <r>
    <x v="2"/>
    <x v="12"/>
    <x v="3"/>
    <s v="LACTEOS"/>
    <x v="1"/>
    <x v="688"/>
    <s v="GRAMOS"/>
    <n v="22.35"/>
    <n v="1000"/>
    <n v="0"/>
    <n v="-1000"/>
    <n v="0"/>
    <n v="-22350"/>
    <x v="2"/>
  </r>
  <r>
    <x v="2"/>
    <x v="14"/>
    <x v="0"/>
    <s v="LACTEOS"/>
    <x v="1"/>
    <x v="688"/>
    <s v="GRAMOS"/>
    <n v="19.747499999999999"/>
    <n v="5123.0012999999999"/>
    <n v="3778"/>
    <n v="-1345.00134"/>
    <n v="74606.054999999993"/>
    <n v="-26560.41396165"/>
    <x v="2"/>
  </r>
  <r>
    <x v="2"/>
    <x v="13"/>
    <x v="2"/>
    <s v="LACTEOS"/>
    <x v="1"/>
    <x v="688"/>
    <s v="GRAMOS"/>
    <n v="22.35"/>
    <n v="4380"/>
    <n v="2000"/>
    <n v="-2380"/>
    <n v="44700"/>
    <n v="-53193"/>
    <x v="2"/>
  </r>
  <r>
    <x v="2"/>
    <x v="15"/>
    <x v="1"/>
    <s v="LACTEOS"/>
    <x v="1"/>
    <x v="688"/>
    <s v="GRAMOS"/>
    <n v="19.747499999999999"/>
    <n v="10095"/>
    <n v="6840"/>
    <n v="-3255"/>
    <n v="135072.9"/>
    <n v="-64278.112499999996"/>
    <x v="2"/>
  </r>
  <r>
    <x v="2"/>
    <x v="16"/>
    <x v="5"/>
    <s v="LACTEOS"/>
    <x v="1"/>
    <x v="688"/>
    <s v="GRAMOS"/>
    <n v="22.35"/>
    <n v="4000"/>
    <n v="4000"/>
    <n v="0"/>
    <n v="89400"/>
    <n v="0"/>
    <x v="1"/>
  </r>
  <r>
    <x v="2"/>
    <x v="10"/>
    <x v="4"/>
    <s v="LACTEOS"/>
    <x v="1"/>
    <x v="688"/>
    <s v="GRAMOS"/>
    <n v="22.35"/>
    <n v="2250"/>
    <n v="500"/>
    <n v="-1750"/>
    <n v="11175"/>
    <n v="-39112.5"/>
    <x v="2"/>
  </r>
  <r>
    <x v="2"/>
    <x v="14"/>
    <x v="0"/>
    <s v="LACTEOS"/>
    <x v="1"/>
    <x v="689"/>
    <s v="GRAMOS"/>
    <n v="27.499243697999997"/>
    <n v="-50"/>
    <n v="200"/>
    <n v="250"/>
    <n v="5499.8487395999991"/>
    <n v="6874.8109244999996"/>
    <x v="0"/>
  </r>
  <r>
    <x v="2"/>
    <x v="14"/>
    <x v="0"/>
    <s v="LACTEOS"/>
    <x v="1"/>
    <x v="690"/>
    <s v="GRAMOS"/>
    <n v="35.819000000000003"/>
    <n v="19798"/>
    <n v="6366"/>
    <n v="-13432"/>
    <n v="228023.75400000002"/>
    <n v="-481120.80800000002"/>
    <x v="2"/>
  </r>
  <r>
    <x v="2"/>
    <x v="15"/>
    <x v="1"/>
    <s v="LACTEOS"/>
    <x v="1"/>
    <x v="690"/>
    <s v="GRAMOS"/>
    <n v="35.819000000000003"/>
    <n v="43004"/>
    <n v="20200"/>
    <n v="-27804"/>
    <n v="723543.8"/>
    <n v="-995911.47600000002"/>
    <x v="2"/>
  </r>
  <r>
    <x v="2"/>
    <x v="12"/>
    <x v="3"/>
    <s v="LACTEOS"/>
    <x v="1"/>
    <x v="691"/>
    <s v="GRAMOS"/>
    <n v="133.01733333000001"/>
    <n v="0"/>
    <n v="12080"/>
    <n v="12080"/>
    <n v="1606849.3866264001"/>
    <n v="1606849.3866264001"/>
    <x v="0"/>
  </r>
  <r>
    <x v="2"/>
    <x v="14"/>
    <x v="0"/>
    <s v="LACTEOS"/>
    <x v="1"/>
    <x v="691"/>
    <s v="GRAMOS"/>
    <n v="133.01733333000001"/>
    <n v="0"/>
    <n v="0"/>
    <n v="0"/>
    <n v="0"/>
    <n v="0"/>
    <x v="1"/>
  </r>
  <r>
    <x v="2"/>
    <x v="13"/>
    <x v="2"/>
    <s v="LACTEOS"/>
    <x v="1"/>
    <x v="691"/>
    <s v="GRAMOS"/>
    <n v="133.01733333000001"/>
    <n v="14976"/>
    <n v="9450"/>
    <n v="-5526"/>
    <n v="1257013.7999685002"/>
    <n v="-735053.78398158005"/>
    <x v="2"/>
  </r>
  <r>
    <x v="2"/>
    <x v="10"/>
    <x v="4"/>
    <s v="LACTEOS"/>
    <x v="1"/>
    <x v="691"/>
    <s v="GRAMOS"/>
    <n v="133.01733333000001"/>
    <n v="0"/>
    <n v="1978"/>
    <n v="1978"/>
    <n v="263108.28532674001"/>
    <n v="263108.28532674001"/>
    <x v="0"/>
  </r>
  <r>
    <x v="2"/>
    <x v="12"/>
    <x v="3"/>
    <s v="LACTEOS"/>
    <x v="1"/>
    <x v="692"/>
    <s v="GRAMOS"/>
    <n v="38.370370370000003"/>
    <n v="370"/>
    <n v="750"/>
    <n v="380"/>
    <n v="28777.777777500003"/>
    <n v="14580.740740600002"/>
    <x v="0"/>
  </r>
  <r>
    <x v="2"/>
    <x v="13"/>
    <x v="2"/>
    <s v="LACTEOS"/>
    <x v="1"/>
    <x v="692"/>
    <s v="GRAMOS"/>
    <n v="38.370370370000003"/>
    <n v="1510"/>
    <n v="1184"/>
    <n v="-326"/>
    <n v="45430.518518080004"/>
    <n v="-12508.740740620002"/>
    <x v="2"/>
  </r>
  <r>
    <x v="2"/>
    <x v="15"/>
    <x v="1"/>
    <s v="LACTEOS"/>
    <x v="1"/>
    <x v="692"/>
    <s v="GRAMOS"/>
    <n v="42.318518519999998"/>
    <n v="-3400"/>
    <n v="0"/>
    <n v="3400"/>
    <n v="0"/>
    <n v="143882.96296799998"/>
    <x v="0"/>
  </r>
  <r>
    <x v="2"/>
    <x v="10"/>
    <x v="4"/>
    <s v="LACTEOS"/>
    <x v="1"/>
    <x v="692"/>
    <s v="GRAMOS"/>
    <n v="38.370370370000003"/>
    <n v="1902"/>
    <n v="2180"/>
    <n v="278"/>
    <n v="83647.407406600003"/>
    <n v="10666.962962860001"/>
    <x v="0"/>
  </r>
  <r>
    <x v="2"/>
    <x v="12"/>
    <x v="3"/>
    <s v="VINOS"/>
    <x v="0"/>
    <x v="264"/>
    <s v="COPA"/>
    <n v="15151.2"/>
    <n v="12"/>
    <n v="12"/>
    <n v="0"/>
    <n v="181814.40000000002"/>
    <n v="0"/>
    <x v="1"/>
  </r>
  <r>
    <x v="2"/>
    <x v="13"/>
    <x v="2"/>
    <s v="VINOS"/>
    <x v="0"/>
    <x v="264"/>
    <s v="COPA"/>
    <n v="15151.2"/>
    <n v="17"/>
    <n v="16"/>
    <n v="-1"/>
    <n v="242419.20000000001"/>
    <n v="-15151.2"/>
    <x v="2"/>
  </r>
  <r>
    <x v="2"/>
    <x v="10"/>
    <x v="4"/>
    <s v="VINOS"/>
    <x v="0"/>
    <x v="264"/>
    <s v="COPA"/>
    <n v="15151.2"/>
    <n v="11"/>
    <n v="11"/>
    <n v="0"/>
    <n v="166663.20000000001"/>
    <n v="0"/>
    <x v="1"/>
  </r>
  <r>
    <x v="2"/>
    <x v="15"/>
    <x v="1"/>
    <s v="PROTEINAS"/>
    <x v="1"/>
    <x v="344"/>
    <s v="GRAMOS"/>
    <n v="9.5"/>
    <n v="0"/>
    <n v="0"/>
    <n v="0"/>
    <n v="0"/>
    <n v="0"/>
    <x v="1"/>
  </r>
  <r>
    <x v="2"/>
    <x v="12"/>
    <x v="3"/>
    <s v="GASEOSAS Y SODAS"/>
    <x v="0"/>
    <x v="229"/>
    <s v="UNIDADES"/>
    <n v="6387.35"/>
    <n v="4"/>
    <n v="4"/>
    <n v="0"/>
    <n v="25549.4"/>
    <n v="0"/>
    <x v="1"/>
  </r>
  <r>
    <x v="2"/>
    <x v="13"/>
    <x v="2"/>
    <s v="GASEOSAS Y SODAS"/>
    <x v="0"/>
    <x v="229"/>
    <s v="UNIDADES"/>
    <n v="6387.35"/>
    <n v="2"/>
    <n v="2"/>
    <n v="0"/>
    <n v="12774.7"/>
    <n v="0"/>
    <x v="1"/>
  </r>
  <r>
    <x v="2"/>
    <x v="10"/>
    <x v="4"/>
    <s v="GASEOSAS Y SODAS"/>
    <x v="0"/>
    <x v="229"/>
    <s v="UNIDADES"/>
    <n v="6387.35"/>
    <n v="2"/>
    <n v="2"/>
    <n v="0"/>
    <n v="12774.7"/>
    <n v="0"/>
    <x v="1"/>
  </r>
  <r>
    <x v="2"/>
    <x v="12"/>
    <x v="3"/>
    <s v="FRUVER"/>
    <x v="1"/>
    <x v="693"/>
    <s v="GRAMOS"/>
    <n v="2.8"/>
    <n v="0"/>
    <n v="0"/>
    <n v="0"/>
    <n v="0"/>
    <n v="0"/>
    <x v="1"/>
  </r>
  <r>
    <x v="2"/>
    <x v="14"/>
    <x v="0"/>
    <s v="FRUVER"/>
    <x v="1"/>
    <x v="693"/>
    <s v="GRAMOS"/>
    <n v="2.8"/>
    <n v="1850"/>
    <n v="830"/>
    <n v="-1020"/>
    <n v="2324"/>
    <n v="-2856"/>
    <x v="2"/>
  </r>
  <r>
    <x v="2"/>
    <x v="13"/>
    <x v="2"/>
    <s v="FRUVER"/>
    <x v="1"/>
    <x v="693"/>
    <s v="GRAMOS"/>
    <n v="2.8"/>
    <n v="470"/>
    <n v="0"/>
    <n v="-470"/>
    <n v="0"/>
    <n v="-1316"/>
    <x v="2"/>
  </r>
  <r>
    <x v="2"/>
    <x v="15"/>
    <x v="1"/>
    <s v="FRUVER"/>
    <x v="1"/>
    <x v="693"/>
    <s v="GRAMOS"/>
    <n v="2.8"/>
    <n v="950.37440000000004"/>
    <n v="500"/>
    <n v="-450.37439999999998"/>
    <n v="1400"/>
    <n v="-1261.0483199999999"/>
    <x v="2"/>
  </r>
  <r>
    <x v="2"/>
    <x v="10"/>
    <x v="4"/>
    <s v="FRUVER"/>
    <x v="1"/>
    <x v="693"/>
    <s v="GRAMOS"/>
    <n v="2.8"/>
    <n v="1750"/>
    <n v="0"/>
    <n v="-1750"/>
    <n v="0"/>
    <n v="-4900"/>
    <x v="2"/>
  </r>
  <r>
    <x v="2"/>
    <x v="15"/>
    <x v="1"/>
    <s v="FRUVER"/>
    <x v="1"/>
    <x v="694"/>
    <s v="GRAMOS"/>
    <n v="1.4"/>
    <n v="3821.2505000000001"/>
    <n v="1800"/>
    <n v="-2021.25046"/>
    <n v="2520"/>
    <n v="-2829.7506439999997"/>
    <x v="2"/>
  </r>
  <r>
    <x v="2"/>
    <x v="12"/>
    <x v="3"/>
    <s v="FRUVER"/>
    <x v="1"/>
    <x v="695"/>
    <s v="GRAMOS"/>
    <n v="4"/>
    <n v="-65.882400000000004"/>
    <n v="0"/>
    <n v="65.882355000000004"/>
    <n v="0"/>
    <n v="263.52942000000002"/>
    <x v="0"/>
  </r>
  <r>
    <x v="2"/>
    <x v="13"/>
    <x v="2"/>
    <s v="FRUVER"/>
    <x v="1"/>
    <x v="695"/>
    <s v="GRAMOS"/>
    <n v="4"/>
    <n v="-47.058799999999998"/>
    <n v="0"/>
    <n v="47.058824999999999"/>
    <n v="0"/>
    <n v="188.2353"/>
    <x v="0"/>
  </r>
  <r>
    <x v="2"/>
    <x v="15"/>
    <x v="1"/>
    <s v="FRUVER"/>
    <x v="1"/>
    <x v="695"/>
    <s v="GRAMOS"/>
    <n v="2.8"/>
    <n v="3736.2505000000001"/>
    <n v="2100"/>
    <n v="-1636.25046"/>
    <n v="5880"/>
    <n v="-4581.5012879999995"/>
    <x v="2"/>
  </r>
  <r>
    <x v="2"/>
    <x v="10"/>
    <x v="4"/>
    <s v="FRUVER"/>
    <x v="1"/>
    <x v="695"/>
    <s v="GRAMOS"/>
    <n v="4"/>
    <n v="-47.058799999999998"/>
    <n v="0"/>
    <n v="47.058824999999999"/>
    <n v="0"/>
    <n v="188.2353"/>
    <x v="0"/>
  </r>
  <r>
    <x v="2"/>
    <x v="15"/>
    <x v="1"/>
    <s v="MATERIAL DE ASEO"/>
    <x v="3"/>
    <x v="696"/>
    <s v="UNIDADES"/>
    <n v="19224.962185"/>
    <n v="2"/>
    <n v="0"/>
    <n v="-2"/>
    <n v="0"/>
    <n v="-38449.924370000001"/>
    <x v="2"/>
  </r>
  <r>
    <x v="2"/>
    <x v="14"/>
    <x v="0"/>
    <s v="ABARROTES"/>
    <x v="1"/>
    <x v="697"/>
    <s v="GRAMOS"/>
    <n v="44.497999999999998"/>
    <n v="856"/>
    <n v="630"/>
    <n v="-225.99998400000001"/>
    <n v="28033.739999999998"/>
    <n v="-10056.547288031999"/>
    <x v="2"/>
  </r>
  <r>
    <x v="2"/>
    <x v="12"/>
    <x v="3"/>
    <s v="MATERIAL DE ASEO"/>
    <x v="3"/>
    <x v="698"/>
    <s v="GRAMOS"/>
    <n v="169.75"/>
    <n v="1000"/>
    <n v="0"/>
    <n v="-1000"/>
    <n v="0"/>
    <n v="-169750"/>
    <x v="2"/>
  </r>
  <r>
    <x v="2"/>
    <x v="14"/>
    <x v="0"/>
    <s v="MATERIAL DE ASEO"/>
    <x v="3"/>
    <x v="698"/>
    <s v="GRAMOS"/>
    <n v="169.75"/>
    <n v="34400"/>
    <n v="10000"/>
    <n v="-24400"/>
    <n v="1697500"/>
    <n v="-4141900"/>
    <x v="2"/>
  </r>
  <r>
    <x v="2"/>
    <x v="13"/>
    <x v="2"/>
    <s v="MATERIAL DE ASEO"/>
    <x v="3"/>
    <x v="698"/>
    <s v="GRAMOS"/>
    <n v="169.75"/>
    <n v="15500"/>
    <n v="0"/>
    <n v="-15500"/>
    <n v="0"/>
    <n v="-2631125"/>
    <x v="2"/>
  </r>
  <r>
    <x v="2"/>
    <x v="15"/>
    <x v="1"/>
    <s v="MATERIAL DE ASEO"/>
    <x v="3"/>
    <x v="698"/>
    <s v="GRAMOS"/>
    <n v="169.75"/>
    <n v="19930"/>
    <n v="0"/>
    <n v="-19930"/>
    <n v="0"/>
    <n v="-3383117.5"/>
    <x v="2"/>
  </r>
  <r>
    <x v="2"/>
    <x v="10"/>
    <x v="4"/>
    <s v="MATERIAL DE ASEO"/>
    <x v="3"/>
    <x v="698"/>
    <s v="GRAMOS"/>
    <n v="169.75"/>
    <n v="3500"/>
    <n v="8240"/>
    <n v="4740"/>
    <n v="1398740"/>
    <n v="804615"/>
    <x v="0"/>
  </r>
  <r>
    <x v="2"/>
    <x v="12"/>
    <x v="3"/>
    <s v="MATERIAL DE EMPAQUE"/>
    <x v="2"/>
    <x v="699"/>
    <s v="UNIDADES"/>
    <n v="59.5"/>
    <n v="1000"/>
    <n v="1"/>
    <n v="-999"/>
    <n v="59.5"/>
    <n v="-59440.5"/>
    <x v="2"/>
  </r>
  <r>
    <x v="2"/>
    <x v="13"/>
    <x v="2"/>
    <s v="MATERIAL DE EMPAQUE"/>
    <x v="2"/>
    <x v="699"/>
    <s v="UNIDADES"/>
    <n v="59.5"/>
    <n v="3000"/>
    <n v="0"/>
    <n v="-3000"/>
    <n v="0"/>
    <n v="-178500"/>
    <x v="2"/>
  </r>
  <r>
    <x v="2"/>
    <x v="15"/>
    <x v="1"/>
    <s v="MATERIAL DE EMPAQUE"/>
    <x v="2"/>
    <x v="699"/>
    <s v="UNIDADES"/>
    <n v="59.5"/>
    <n v="15000"/>
    <n v="0"/>
    <n v="-15000"/>
    <n v="0"/>
    <n v="-892500"/>
    <x v="2"/>
  </r>
  <r>
    <x v="2"/>
    <x v="16"/>
    <x v="5"/>
    <s v="MATERIAL DE EMPAQUE"/>
    <x v="2"/>
    <x v="699"/>
    <s v="UNIDADES"/>
    <n v="59.5"/>
    <n v="-10000"/>
    <n v="5000"/>
    <n v="15000"/>
    <n v="297500"/>
    <n v="892500"/>
    <x v="0"/>
  </r>
  <r>
    <x v="2"/>
    <x v="10"/>
    <x v="4"/>
    <s v="MATERIAL DE EMPAQUE"/>
    <x v="2"/>
    <x v="699"/>
    <s v="UNIDADES"/>
    <n v="59.5"/>
    <n v="3001"/>
    <n v="2"/>
    <n v="-2999"/>
    <n v="119"/>
    <n v="-178440.5"/>
    <x v="2"/>
  </r>
  <r>
    <x v="2"/>
    <x v="12"/>
    <x v="3"/>
    <s v="MATERIAL DE EMPAQUE"/>
    <x v="2"/>
    <x v="700"/>
    <s v="UNIDADES"/>
    <n v="77631"/>
    <n v="0"/>
    <n v="0"/>
    <n v="0"/>
    <n v="0"/>
    <n v="0"/>
    <x v="1"/>
  </r>
  <r>
    <x v="2"/>
    <x v="13"/>
    <x v="2"/>
    <s v="MATERIAL DE EMPAQUE"/>
    <x v="2"/>
    <x v="700"/>
    <s v="UNIDADES"/>
    <n v="77631"/>
    <n v="1"/>
    <n v="1"/>
    <n v="0"/>
    <n v="77631"/>
    <n v="0"/>
    <x v="1"/>
  </r>
  <r>
    <x v="2"/>
    <x v="15"/>
    <x v="1"/>
    <s v="MATERIAL DE EMPAQUE"/>
    <x v="2"/>
    <x v="700"/>
    <s v="UNIDADES"/>
    <n v="77631.134453999999"/>
    <n v="1"/>
    <n v="0"/>
    <n v="-1"/>
    <n v="0"/>
    <n v="-77631.134453999999"/>
    <x v="2"/>
  </r>
  <r>
    <x v="2"/>
    <x v="16"/>
    <x v="5"/>
    <s v="MATERIAL DE EMPAQUE"/>
    <x v="2"/>
    <x v="700"/>
    <s v="UNIDADES"/>
    <n v="77631"/>
    <n v="0"/>
    <n v="0"/>
    <n v="0"/>
    <n v="0"/>
    <n v="0"/>
    <x v="1"/>
  </r>
  <r>
    <x v="2"/>
    <x v="10"/>
    <x v="4"/>
    <s v="MATERIAL DE EMPAQUE"/>
    <x v="2"/>
    <x v="700"/>
    <s v="UNIDADES"/>
    <n v="77631"/>
    <n v="0"/>
    <n v="0"/>
    <n v="0"/>
    <n v="0"/>
    <n v="0"/>
    <x v="1"/>
  </r>
  <r>
    <x v="2"/>
    <x v="12"/>
    <x v="3"/>
    <s v="MATERIAL DE EMPAQUE"/>
    <x v="2"/>
    <x v="701"/>
    <s v="UNIDADES"/>
    <n v="4498.8055555600004"/>
    <n v="29"/>
    <n v="7"/>
    <n v="-22"/>
    <n v="31491.638888920003"/>
    <n v="-98973.722222320008"/>
    <x v="2"/>
  </r>
  <r>
    <x v="2"/>
    <x v="13"/>
    <x v="2"/>
    <s v="MATERIAL DE EMPAQUE"/>
    <x v="2"/>
    <x v="701"/>
    <s v="UNIDADES"/>
    <n v="4498.8055555600004"/>
    <n v="60"/>
    <n v="44"/>
    <n v="-16"/>
    <n v="197947.44444464002"/>
    <n v="-71980.888888960006"/>
    <x v="2"/>
  </r>
  <r>
    <x v="2"/>
    <x v="15"/>
    <x v="1"/>
    <s v="MATERIAL DE EMPAQUE"/>
    <x v="2"/>
    <x v="701"/>
    <s v="UNIDADES"/>
    <n v="4498.8"/>
    <n v="2"/>
    <n v="0"/>
    <n v="-2"/>
    <n v="0"/>
    <n v="-8997.6"/>
    <x v="2"/>
  </r>
  <r>
    <x v="2"/>
    <x v="16"/>
    <x v="5"/>
    <s v="MATERIAL DE EMPAQUE"/>
    <x v="2"/>
    <x v="701"/>
    <s v="UNIDADES"/>
    <n v="4498.8055555600004"/>
    <n v="0"/>
    <n v="0"/>
    <n v="0"/>
    <n v="0"/>
    <n v="0"/>
    <x v="1"/>
  </r>
  <r>
    <x v="2"/>
    <x v="10"/>
    <x v="4"/>
    <s v="MATERIAL DE EMPAQUE"/>
    <x v="2"/>
    <x v="701"/>
    <s v="UNIDADES"/>
    <n v="4498.8055555600004"/>
    <n v="15"/>
    <n v="0"/>
    <n v="-15"/>
    <n v="0"/>
    <n v="-67482.083333400005"/>
    <x v="2"/>
  </r>
  <r>
    <x v="2"/>
    <x v="12"/>
    <x v="3"/>
    <s v="FRUVER"/>
    <x v="1"/>
    <x v="702"/>
    <s v="GRAMOS"/>
    <n v="9.5"/>
    <n v="-49.578899999999997"/>
    <n v="0"/>
    <n v="49.578947999999997"/>
    <n v="0"/>
    <n v="471.00000599999998"/>
    <x v="0"/>
  </r>
  <r>
    <x v="2"/>
    <x v="14"/>
    <x v="0"/>
    <s v="FRUVER"/>
    <x v="1"/>
    <x v="702"/>
    <s v="GRAMOS"/>
    <n v="9.5"/>
    <n v="619"/>
    <n v="214"/>
    <n v="-405"/>
    <n v="2033"/>
    <n v="-3847.5"/>
    <x v="2"/>
  </r>
  <r>
    <x v="2"/>
    <x v="13"/>
    <x v="2"/>
    <s v="FRUVER"/>
    <x v="1"/>
    <x v="702"/>
    <s v="GRAMOS"/>
    <n v="9.5"/>
    <n v="334.31580000000002"/>
    <n v="0"/>
    <n v="-334.315788"/>
    <n v="0"/>
    <n v="-3175.9999859999998"/>
    <x v="2"/>
  </r>
  <r>
    <x v="2"/>
    <x v="15"/>
    <x v="1"/>
    <s v="FRUVER"/>
    <x v="1"/>
    <x v="702"/>
    <s v="GRAMOS"/>
    <n v="9.5"/>
    <n v="195"/>
    <n v="0"/>
    <n v="-195"/>
    <n v="0"/>
    <n v="-1852.5"/>
    <x v="2"/>
  </r>
  <r>
    <x v="2"/>
    <x v="10"/>
    <x v="4"/>
    <s v="FRUVER"/>
    <x v="1"/>
    <x v="702"/>
    <s v="GRAMOS"/>
    <n v="9.5"/>
    <n v="513.78949999999998"/>
    <n v="290"/>
    <n v="-223.78947199999999"/>
    <n v="2755"/>
    <n v="-2125.999984"/>
    <x v="2"/>
  </r>
  <r>
    <x v="2"/>
    <x v="12"/>
    <x v="3"/>
    <s v="LICORES"/>
    <x v="0"/>
    <x v="270"/>
    <s v="ONZA"/>
    <n v="1988.9655172400001"/>
    <n v="17"/>
    <n v="19"/>
    <n v="2"/>
    <n v="37790.344827560002"/>
    <n v="3977.9310344800001"/>
    <x v="0"/>
  </r>
  <r>
    <x v="2"/>
    <x v="14"/>
    <x v="0"/>
    <s v="LICORES"/>
    <x v="0"/>
    <x v="270"/>
    <s v="ONZA"/>
    <n v="2290"/>
    <n v="68"/>
    <n v="61"/>
    <n v="-7"/>
    <n v="139690"/>
    <n v="-16030"/>
    <x v="2"/>
  </r>
  <r>
    <x v="2"/>
    <x v="13"/>
    <x v="2"/>
    <s v="LICORES"/>
    <x v="0"/>
    <x v="270"/>
    <s v="ONZA"/>
    <n v="1988.9655172400001"/>
    <n v="47"/>
    <n v="65"/>
    <n v="18"/>
    <n v="129282.7586206"/>
    <n v="35801.379310320001"/>
    <x v="0"/>
  </r>
  <r>
    <x v="2"/>
    <x v="15"/>
    <x v="1"/>
    <s v="LICORES"/>
    <x v="0"/>
    <x v="270"/>
    <s v="ONZA"/>
    <n v="2290"/>
    <n v="12"/>
    <n v="47"/>
    <n v="5"/>
    <n v="107630"/>
    <n v="11450"/>
    <x v="0"/>
  </r>
  <r>
    <x v="2"/>
    <x v="10"/>
    <x v="4"/>
    <s v="LICORES"/>
    <x v="0"/>
    <x v="270"/>
    <s v="ONZA"/>
    <n v="1988.9655172400001"/>
    <n v="66.319999999999993"/>
    <n v="72"/>
    <n v="5.68"/>
    <n v="143205.51724128"/>
    <n v="11297.3241379232"/>
    <x v="0"/>
  </r>
  <r>
    <x v="2"/>
    <x v="15"/>
    <x v="1"/>
    <s v="LICORES"/>
    <x v="0"/>
    <x v="175"/>
    <s v="ONZA"/>
    <n v="1825"/>
    <n v="0"/>
    <n v="0"/>
    <n v="0"/>
    <n v="0"/>
    <n v="0"/>
    <x v="1"/>
  </r>
  <r>
    <x v="2"/>
    <x v="15"/>
    <x v="1"/>
    <s v="LICORES"/>
    <x v="0"/>
    <x v="182"/>
    <s v="ONZA"/>
    <n v="4791.0833333299997"/>
    <n v="0"/>
    <n v="0"/>
    <n v="0"/>
    <n v="0"/>
    <n v="0"/>
    <x v="1"/>
  </r>
  <r>
    <x v="2"/>
    <x v="14"/>
    <x v="0"/>
    <s v="LICORES"/>
    <x v="0"/>
    <x v="27"/>
    <s v="ONZA"/>
    <n v="2680.7272727300001"/>
    <n v="28"/>
    <n v="44"/>
    <n v="16"/>
    <n v="117952.00000012001"/>
    <n v="42891.636363680002"/>
    <x v="0"/>
  </r>
  <r>
    <x v="2"/>
    <x v="15"/>
    <x v="1"/>
    <s v="LICORES"/>
    <x v="0"/>
    <x v="27"/>
    <s v="ONZA"/>
    <n v="2680.7272727300001"/>
    <n v="0"/>
    <n v="0"/>
    <n v="0"/>
    <n v="0"/>
    <n v="0"/>
    <x v="1"/>
  </r>
  <r>
    <x v="2"/>
    <x v="12"/>
    <x v="3"/>
    <s v="LICORES"/>
    <x v="0"/>
    <x v="48"/>
    <s v="UNIDADES"/>
    <n v="45099.74"/>
    <n v="2"/>
    <n v="2"/>
    <n v="0"/>
    <n v="90199.48"/>
    <n v="0"/>
    <x v="1"/>
  </r>
  <r>
    <x v="2"/>
    <x v="14"/>
    <x v="0"/>
    <s v="LICORES"/>
    <x v="0"/>
    <x v="48"/>
    <s v="UNIDADES"/>
    <n v="41250"/>
    <n v="0"/>
    <n v="0"/>
    <n v="0"/>
    <n v="0"/>
    <n v="0"/>
    <x v="1"/>
  </r>
  <r>
    <x v="2"/>
    <x v="13"/>
    <x v="2"/>
    <s v="LICORES"/>
    <x v="0"/>
    <x v="48"/>
    <s v="UNIDADES"/>
    <n v="45099.74"/>
    <n v="0"/>
    <n v="0"/>
    <n v="0"/>
    <n v="0"/>
    <n v="0"/>
    <x v="1"/>
  </r>
  <r>
    <x v="2"/>
    <x v="15"/>
    <x v="1"/>
    <s v="LICORES"/>
    <x v="0"/>
    <x v="48"/>
    <s v="UNIDADES"/>
    <n v="41250"/>
    <n v="2"/>
    <n v="2"/>
    <n v="0"/>
    <n v="82500"/>
    <n v="0"/>
    <x v="1"/>
  </r>
  <r>
    <x v="2"/>
    <x v="10"/>
    <x v="4"/>
    <s v="LICORES"/>
    <x v="0"/>
    <x v="48"/>
    <s v="UNIDADES"/>
    <n v="45099.74"/>
    <n v="1"/>
    <n v="1"/>
    <n v="0"/>
    <n v="45099.74"/>
    <n v="0"/>
    <x v="1"/>
  </r>
  <r>
    <x v="2"/>
    <x v="14"/>
    <x v="0"/>
    <s v="LICORES"/>
    <x v="0"/>
    <x v="49"/>
    <s v="UNIDADES"/>
    <n v="24583"/>
    <n v="1"/>
    <n v="1"/>
    <n v="0"/>
    <n v="24583"/>
    <n v="0"/>
    <x v="1"/>
  </r>
  <r>
    <x v="2"/>
    <x v="15"/>
    <x v="1"/>
    <s v="LICORES"/>
    <x v="0"/>
    <x v="49"/>
    <s v="UNIDADES"/>
    <n v="24583"/>
    <n v="2"/>
    <n v="2"/>
    <n v="0"/>
    <n v="49166"/>
    <n v="0"/>
    <x v="1"/>
  </r>
  <r>
    <x v="2"/>
    <x v="12"/>
    <x v="3"/>
    <s v="LICORES"/>
    <x v="0"/>
    <x v="203"/>
    <s v="ONZA"/>
    <n v="2134.5416666699998"/>
    <n v="0"/>
    <n v="0"/>
    <n v="0"/>
    <n v="0"/>
    <n v="0"/>
    <x v="1"/>
  </r>
  <r>
    <x v="2"/>
    <x v="14"/>
    <x v="0"/>
    <s v="LICORES"/>
    <x v="0"/>
    <x v="203"/>
    <s v="ONZA"/>
    <n v="2134.5416666699998"/>
    <n v="44"/>
    <n v="43"/>
    <n v="-1"/>
    <n v="91785.291666809993"/>
    <n v="-2134.5416666699998"/>
    <x v="2"/>
  </r>
  <r>
    <x v="2"/>
    <x v="13"/>
    <x v="2"/>
    <s v="LICORES"/>
    <x v="0"/>
    <x v="203"/>
    <s v="ONZA"/>
    <n v="2134.5416666699998"/>
    <n v="2"/>
    <n v="3"/>
    <n v="1"/>
    <n v="6403.625000009999"/>
    <n v="2134.5416666699998"/>
    <x v="0"/>
  </r>
  <r>
    <x v="2"/>
    <x v="15"/>
    <x v="1"/>
    <s v="LICORES"/>
    <x v="0"/>
    <x v="203"/>
    <s v="ONZA"/>
    <n v="2134.5416666699998"/>
    <n v="60"/>
    <n v="61"/>
    <n v="1"/>
    <n v="130207.04166686999"/>
    <n v="2134.5416666699998"/>
    <x v="0"/>
  </r>
  <r>
    <x v="2"/>
    <x v="10"/>
    <x v="4"/>
    <s v="LICORES"/>
    <x v="0"/>
    <x v="203"/>
    <s v="ONZA"/>
    <n v="2134.5416666699998"/>
    <n v="0"/>
    <n v="0"/>
    <n v="0"/>
    <n v="0"/>
    <n v="0"/>
    <x v="1"/>
  </r>
  <r>
    <x v="2"/>
    <x v="12"/>
    <x v="3"/>
    <s v="LICORES"/>
    <x v="0"/>
    <x v="110"/>
    <s v="ONZA"/>
    <n v="3171.7162499999999"/>
    <n v="32"/>
    <n v="32"/>
    <n v="0"/>
    <n v="101494.92"/>
    <n v="0"/>
    <x v="1"/>
  </r>
  <r>
    <x v="2"/>
    <x v="14"/>
    <x v="0"/>
    <s v="LICORES"/>
    <x v="0"/>
    <x v="110"/>
    <s v="ONZA"/>
    <n v="3171.7083333300002"/>
    <n v="81"/>
    <n v="82"/>
    <n v="1"/>
    <n v="260080.08333306003"/>
    <n v="3171.7083333300002"/>
    <x v="0"/>
  </r>
  <r>
    <x v="2"/>
    <x v="13"/>
    <x v="2"/>
    <s v="LICORES"/>
    <x v="0"/>
    <x v="110"/>
    <s v="ONZA"/>
    <n v="3171.7162499999999"/>
    <n v="0"/>
    <n v="0"/>
    <n v="0"/>
    <n v="0"/>
    <n v="0"/>
    <x v="1"/>
  </r>
  <r>
    <x v="2"/>
    <x v="15"/>
    <x v="1"/>
    <s v="LICORES"/>
    <x v="0"/>
    <x v="110"/>
    <s v="ONZA"/>
    <n v="3171.7083333300002"/>
    <n v="60"/>
    <n v="12"/>
    <n v="-48"/>
    <n v="38060.499999960004"/>
    <n v="-152241.99999984002"/>
    <x v="2"/>
  </r>
  <r>
    <x v="2"/>
    <x v="10"/>
    <x v="4"/>
    <s v="LICORES"/>
    <x v="0"/>
    <x v="110"/>
    <s v="ONZA"/>
    <n v="3171.7162499999999"/>
    <n v="31"/>
    <n v="32.5"/>
    <n v="1.5"/>
    <n v="103080.778125"/>
    <n v="4757.5743750000001"/>
    <x v="0"/>
  </r>
  <r>
    <x v="2"/>
    <x v="12"/>
    <x v="3"/>
    <s v="LICORES"/>
    <x v="0"/>
    <x v="333"/>
    <s v="ONZA"/>
    <n v="8500"/>
    <n v="0"/>
    <n v="0"/>
    <n v="0"/>
    <n v="0"/>
    <n v="0"/>
    <x v="1"/>
  </r>
  <r>
    <x v="2"/>
    <x v="13"/>
    <x v="2"/>
    <s v="LICORES"/>
    <x v="0"/>
    <x v="333"/>
    <s v="ONZA"/>
    <n v="8500"/>
    <n v="0"/>
    <n v="0"/>
    <n v="0"/>
    <n v="0"/>
    <n v="0"/>
    <x v="1"/>
  </r>
  <r>
    <x v="2"/>
    <x v="10"/>
    <x v="4"/>
    <s v="LICORES"/>
    <x v="0"/>
    <x v="333"/>
    <s v="ONZA"/>
    <n v="8500"/>
    <n v="0"/>
    <n v="0"/>
    <n v="0"/>
    <n v="0"/>
    <n v="0"/>
    <x v="1"/>
  </r>
  <r>
    <x v="2"/>
    <x v="14"/>
    <x v="0"/>
    <s v="LICORES"/>
    <x v="0"/>
    <x v="334"/>
    <s v="ONZA"/>
    <n v="8500"/>
    <n v="15"/>
    <n v="15"/>
    <n v="0"/>
    <n v="127500"/>
    <n v="0"/>
    <x v="1"/>
  </r>
  <r>
    <x v="2"/>
    <x v="14"/>
    <x v="0"/>
    <s v="LICORES"/>
    <x v="0"/>
    <x v="72"/>
    <s v="ONZA"/>
    <n v="3884.5"/>
    <n v="17"/>
    <n v="18"/>
    <n v="1"/>
    <n v="69921"/>
    <n v="3884.5"/>
    <x v="0"/>
  </r>
  <r>
    <x v="2"/>
    <x v="15"/>
    <x v="1"/>
    <s v="LICORES"/>
    <x v="0"/>
    <x v="72"/>
    <s v="ONZA"/>
    <n v="3884.5"/>
    <n v="0"/>
    <n v="0"/>
    <n v="0"/>
    <n v="0"/>
    <n v="0"/>
    <x v="1"/>
  </r>
  <r>
    <x v="2"/>
    <x v="14"/>
    <x v="0"/>
    <s v="LICORES"/>
    <x v="0"/>
    <x v="0"/>
    <s v="ONZA"/>
    <n v="2454.5454545500002"/>
    <n v="-12.998900000000001"/>
    <n v="12"/>
    <n v="24.998860000000001"/>
    <n v="29454.545454600004"/>
    <n v="61360.838181931817"/>
    <x v="0"/>
  </r>
  <r>
    <x v="2"/>
    <x v="15"/>
    <x v="1"/>
    <s v="LICORES"/>
    <x v="0"/>
    <x v="0"/>
    <s v="ONZA"/>
    <n v="2454.5454545500002"/>
    <n v="0"/>
    <n v="0"/>
    <n v="0"/>
    <n v="0"/>
    <n v="0"/>
    <x v="1"/>
  </r>
  <r>
    <x v="2"/>
    <x v="15"/>
    <x v="1"/>
    <s v="LICORES"/>
    <x v="0"/>
    <x v="187"/>
    <s v="UNIDADES"/>
    <n v="28750"/>
    <n v="2"/>
    <n v="2"/>
    <n v="0"/>
    <n v="57500"/>
    <n v="0"/>
    <x v="1"/>
  </r>
  <r>
    <x v="2"/>
    <x v="12"/>
    <x v="3"/>
    <s v="LICORES"/>
    <x v="0"/>
    <x v="9"/>
    <s v="ONZA"/>
    <n v="2121"/>
    <n v="0"/>
    <n v="0"/>
    <n v="0"/>
    <n v="0"/>
    <n v="0"/>
    <x v="1"/>
  </r>
  <r>
    <x v="2"/>
    <x v="14"/>
    <x v="0"/>
    <s v="LICORES"/>
    <x v="0"/>
    <x v="9"/>
    <s v="ONZA"/>
    <n v="2120.6896551700002"/>
    <n v="91"/>
    <n v="90"/>
    <n v="-1"/>
    <n v="190862.06896530002"/>
    <n v="-2120.6896551700002"/>
    <x v="2"/>
  </r>
  <r>
    <x v="2"/>
    <x v="13"/>
    <x v="2"/>
    <s v="LICORES"/>
    <x v="0"/>
    <x v="9"/>
    <s v="ONZA"/>
    <n v="2120.6896551700002"/>
    <n v="0"/>
    <n v="0"/>
    <n v="0"/>
    <n v="0"/>
    <n v="0"/>
    <x v="1"/>
  </r>
  <r>
    <x v="2"/>
    <x v="15"/>
    <x v="1"/>
    <s v="LICORES"/>
    <x v="0"/>
    <x v="9"/>
    <s v="ONZA"/>
    <n v="2120.6896551700002"/>
    <n v="62"/>
    <n v="62"/>
    <n v="0"/>
    <n v="131482.75862054"/>
    <n v="0"/>
    <x v="1"/>
  </r>
  <r>
    <x v="2"/>
    <x v="10"/>
    <x v="4"/>
    <s v="LICORES"/>
    <x v="0"/>
    <x v="9"/>
    <s v="ONZA"/>
    <n v="2120.6896551700002"/>
    <n v="0"/>
    <n v="0"/>
    <n v="0"/>
    <n v="0"/>
    <n v="0"/>
    <x v="1"/>
  </r>
  <r>
    <x v="2"/>
    <x v="15"/>
    <x v="1"/>
    <s v="LICORES"/>
    <x v="0"/>
    <x v="197"/>
    <s v="ONZA"/>
    <n v="3610.375"/>
    <n v="0"/>
    <n v="15"/>
    <n v="15"/>
    <n v="54155.625"/>
    <n v="54155.625"/>
    <x v="0"/>
  </r>
  <r>
    <x v="2"/>
    <x v="12"/>
    <x v="3"/>
    <s v="LICORES"/>
    <x v="0"/>
    <x v="21"/>
    <s v="ONZA"/>
    <n v="12951.25"/>
    <n v="10"/>
    <n v="11"/>
    <n v="1"/>
    <n v="142463.75"/>
    <n v="12951.25"/>
    <x v="0"/>
  </r>
  <r>
    <x v="2"/>
    <x v="14"/>
    <x v="0"/>
    <s v="LICORES"/>
    <x v="0"/>
    <x v="21"/>
    <s v="ONZA"/>
    <n v="12951.25"/>
    <n v="48"/>
    <n v="48"/>
    <n v="0"/>
    <n v="621660"/>
    <n v="0"/>
    <x v="1"/>
  </r>
  <r>
    <x v="2"/>
    <x v="13"/>
    <x v="2"/>
    <s v="LICORES"/>
    <x v="0"/>
    <x v="21"/>
    <s v="ONZA"/>
    <n v="12951.25"/>
    <n v="7"/>
    <n v="7"/>
    <n v="0"/>
    <n v="90658.75"/>
    <n v="0"/>
    <x v="1"/>
  </r>
  <r>
    <x v="2"/>
    <x v="15"/>
    <x v="1"/>
    <s v="LICORES"/>
    <x v="0"/>
    <x v="21"/>
    <s v="ONZA"/>
    <n v="12951.25"/>
    <n v="0"/>
    <n v="0"/>
    <n v="0"/>
    <n v="0"/>
    <n v="0"/>
    <x v="1"/>
  </r>
  <r>
    <x v="2"/>
    <x v="10"/>
    <x v="4"/>
    <s v="LICORES"/>
    <x v="0"/>
    <x v="21"/>
    <s v="ONZA"/>
    <n v="12951.25"/>
    <n v="-10"/>
    <n v="0"/>
    <n v="10"/>
    <n v="0"/>
    <n v="129512.5"/>
    <x v="0"/>
  </r>
  <r>
    <x v="2"/>
    <x v="12"/>
    <x v="3"/>
    <s v="LICORES"/>
    <x v="0"/>
    <x v="52"/>
    <s v="ONZA"/>
    <n v="5291.6666666700003"/>
    <n v="0"/>
    <n v="0"/>
    <n v="0"/>
    <n v="0"/>
    <n v="0"/>
    <x v="1"/>
  </r>
  <r>
    <x v="2"/>
    <x v="14"/>
    <x v="0"/>
    <s v="LICORES"/>
    <x v="0"/>
    <x v="52"/>
    <s v="ONZA"/>
    <n v="5291.6666666700003"/>
    <n v="44"/>
    <n v="44"/>
    <n v="0"/>
    <n v="232833.33333348"/>
    <n v="0"/>
    <x v="1"/>
  </r>
  <r>
    <x v="2"/>
    <x v="13"/>
    <x v="2"/>
    <s v="LICORES"/>
    <x v="0"/>
    <x v="52"/>
    <s v="ONZA"/>
    <n v="5291.6666666700003"/>
    <n v="1"/>
    <n v="1"/>
    <n v="0"/>
    <n v="5291.6666666700003"/>
    <n v="0"/>
    <x v="1"/>
  </r>
  <r>
    <x v="2"/>
    <x v="10"/>
    <x v="4"/>
    <s v="LICORES"/>
    <x v="0"/>
    <x v="52"/>
    <s v="ONZA"/>
    <n v="5291.6666666700003"/>
    <n v="0"/>
    <n v="0"/>
    <n v="0"/>
    <n v="0"/>
    <n v="0"/>
    <x v="1"/>
  </r>
  <r>
    <x v="2"/>
    <x v="15"/>
    <x v="1"/>
    <s v="ABARROTES"/>
    <x v="1"/>
    <x v="703"/>
    <s v="GRAMOS"/>
    <n v="1.0229999999999999"/>
    <n v="2940"/>
    <n v="4200"/>
    <n v="1260"/>
    <n v="4296.5999999999995"/>
    <n v="1288.9799999999998"/>
    <x v="0"/>
  </r>
  <r>
    <x v="2"/>
    <x v="14"/>
    <x v="0"/>
    <s v="ABARROTES"/>
    <x v="1"/>
    <x v="704"/>
    <s v="GRAMOS"/>
    <n v="19.178414100000001"/>
    <n v="2362"/>
    <n v="1320"/>
    <n v="-1042"/>
    <n v="25315.506612000001"/>
    <n v="-19983.9074922"/>
    <x v="2"/>
  </r>
  <r>
    <x v="2"/>
    <x v="15"/>
    <x v="1"/>
    <s v="ABARROTES"/>
    <x v="1"/>
    <x v="704"/>
    <s v="GRAMOS"/>
    <n v="19.178414100000001"/>
    <n v="350"/>
    <n v="300"/>
    <n v="-50"/>
    <n v="5753.52423"/>
    <n v="-958.92070500000011"/>
    <x v="2"/>
  </r>
  <r>
    <x v="2"/>
    <x v="12"/>
    <x v="3"/>
    <s v="ABARROTES"/>
    <x v="1"/>
    <x v="705"/>
    <s v="GRAMOS"/>
    <n v="2.4009999999999998"/>
    <n v="6839.5616"/>
    <n v="3480"/>
    <n v="-4359.5615690000004"/>
    <n v="8355.48"/>
    <n v="-10467.307327169001"/>
    <x v="2"/>
  </r>
  <r>
    <x v="2"/>
    <x v="14"/>
    <x v="0"/>
    <s v="ABARROTES"/>
    <x v="1"/>
    <x v="705"/>
    <s v="GRAMOS"/>
    <n v="2.4009999999999998"/>
    <n v="9535.9611000000004"/>
    <n v="12000"/>
    <n v="2464.0389049999999"/>
    <n v="28811.999999999996"/>
    <n v="5916.1574109049989"/>
    <x v="0"/>
  </r>
  <r>
    <x v="2"/>
    <x v="13"/>
    <x v="2"/>
    <s v="ABARROTES"/>
    <x v="1"/>
    <x v="705"/>
    <s v="GRAMOS"/>
    <n v="2.4009999999999998"/>
    <n v="7916.9106000000002"/>
    <n v="5000"/>
    <n v="-5916.9106160000001"/>
    <n v="12004.999999999998"/>
    <n v="-14206.502389015999"/>
    <x v="2"/>
  </r>
  <r>
    <x v="2"/>
    <x v="15"/>
    <x v="1"/>
    <s v="ABARROTES"/>
    <x v="1"/>
    <x v="705"/>
    <s v="GRAMOS"/>
    <n v="2.4009999999999998"/>
    <n v="8270.7677999999996"/>
    <n v="4000"/>
    <n v="-4270.7678150000002"/>
    <n v="9604"/>
    <n v="-10254.113523815"/>
    <x v="2"/>
  </r>
  <r>
    <x v="2"/>
    <x v="16"/>
    <x v="5"/>
    <s v="ABARROTES"/>
    <x v="1"/>
    <x v="705"/>
    <s v="GRAMOS"/>
    <n v="2.4009999999999998"/>
    <n v="8054"/>
    <n v="19188"/>
    <n v="11134"/>
    <n v="46070.387999999999"/>
    <n v="26732.733999999997"/>
    <x v="0"/>
  </r>
  <r>
    <x v="2"/>
    <x v="10"/>
    <x v="4"/>
    <s v="ABARROTES"/>
    <x v="1"/>
    <x v="705"/>
    <s v="GRAMOS"/>
    <n v="2.4009999999999998"/>
    <n v="14440.282300000001"/>
    <n v="2700"/>
    <n v="-11740.282288"/>
    <n v="6482.7"/>
    <n v="-28188.417773488"/>
    <x v="2"/>
  </r>
  <r>
    <x v="2"/>
    <x v="12"/>
    <x v="3"/>
    <s v="ABARROTES"/>
    <x v="1"/>
    <x v="706"/>
    <s v="GRAMOS"/>
    <n v="24.8"/>
    <n v="0"/>
    <n v="0"/>
    <n v="0"/>
    <n v="0"/>
    <n v="0"/>
    <x v="1"/>
  </r>
  <r>
    <x v="2"/>
    <x v="13"/>
    <x v="2"/>
    <s v="ABARROTES"/>
    <x v="1"/>
    <x v="706"/>
    <s v="GRAMOS"/>
    <n v="24.8"/>
    <n v="0"/>
    <n v="0"/>
    <n v="0"/>
    <n v="0"/>
    <n v="0"/>
    <x v="1"/>
  </r>
  <r>
    <x v="2"/>
    <x v="15"/>
    <x v="1"/>
    <s v="ABARROTES"/>
    <x v="1"/>
    <x v="706"/>
    <s v="GRAMOS"/>
    <n v="24.8"/>
    <n v="-0.30769999999999997"/>
    <n v="0"/>
    <n v="0.30769200000000002"/>
    <n v="0"/>
    <n v="7.6307616000000005"/>
    <x v="0"/>
  </r>
  <r>
    <x v="2"/>
    <x v="10"/>
    <x v="4"/>
    <s v="ABARROTES"/>
    <x v="1"/>
    <x v="706"/>
    <s v="GRAMOS"/>
    <n v="24.8"/>
    <n v="0"/>
    <n v="0"/>
    <n v="0"/>
    <n v="0"/>
    <n v="0"/>
    <x v="1"/>
  </r>
  <r>
    <x v="2"/>
    <x v="12"/>
    <x v="3"/>
    <s v="PESCADOS Y MARISCOS"/>
    <x v="1"/>
    <x v="247"/>
    <s v="GRAMOS"/>
    <n v="60"/>
    <n v="21712.555499999999"/>
    <n v="14524"/>
    <n v="-7188.5555039999999"/>
    <n v="871440"/>
    <n v="-431313.33023999998"/>
    <x v="2"/>
  </r>
  <r>
    <x v="2"/>
    <x v="14"/>
    <x v="0"/>
    <s v="PESCADOS Y MARISCOS"/>
    <x v="1"/>
    <x v="247"/>
    <s v="GRAMOS"/>
    <n v="49.53"/>
    <n v="0"/>
    <n v="0"/>
    <n v="0"/>
    <n v="0"/>
    <n v="0"/>
    <x v="1"/>
  </r>
  <r>
    <x v="2"/>
    <x v="13"/>
    <x v="2"/>
    <s v="PESCADOS Y MARISCOS"/>
    <x v="1"/>
    <x v="247"/>
    <s v="GRAMOS"/>
    <n v="60"/>
    <n v="5304.4444000000003"/>
    <n v="3780"/>
    <n v="-1524.444391"/>
    <n v="226800"/>
    <n v="-91466.663459999996"/>
    <x v="2"/>
  </r>
  <r>
    <x v="2"/>
    <x v="10"/>
    <x v="4"/>
    <s v="PESCADOS Y MARISCOS"/>
    <x v="1"/>
    <x v="247"/>
    <s v="GRAMOS"/>
    <n v="60"/>
    <n v="4491.9998999999998"/>
    <n v="5656"/>
    <n v="1164.0000649999999"/>
    <n v="339360"/>
    <n v="69840.003899999996"/>
    <x v="0"/>
  </r>
  <r>
    <x v="2"/>
    <x v="15"/>
    <x v="1"/>
    <s v="ABARROTES"/>
    <x v="1"/>
    <x v="707"/>
    <s v="GRAMOS"/>
    <n v="17"/>
    <n v="-621.4"/>
    <n v="4100"/>
    <n v="4721.3999999999996"/>
    <n v="69700"/>
    <n v="80263.799999999988"/>
    <x v="0"/>
  </r>
  <r>
    <x v="2"/>
    <x v="15"/>
    <x v="1"/>
    <s v="ABARROTES"/>
    <x v="1"/>
    <x v="708"/>
    <s v="GRAMOS"/>
    <n v="14.83825"/>
    <n v="15989.2693"/>
    <n v="12000"/>
    <n v="-3989.2692999999999"/>
    <n v="178059"/>
    <n v="-59193.775190724999"/>
    <x v="2"/>
  </r>
  <r>
    <x v="2"/>
    <x v="15"/>
    <x v="1"/>
    <s v="SALSAS ESPECIAS Y CONDIMENTOS"/>
    <x v="1"/>
    <x v="709"/>
    <s v="GRAMOS"/>
    <n v="16.028142859999999"/>
    <n v="9769.9912000000004"/>
    <n v="8400"/>
    <n v="-1369.9911999999999"/>
    <n v="134636.400024"/>
    <n v="-21958.414670542828"/>
    <x v="2"/>
  </r>
  <r>
    <x v="2"/>
    <x v="12"/>
    <x v="3"/>
    <s v="INSUMOS BAR"/>
    <x v="0"/>
    <x v="710"/>
    <s v="GRAMOS"/>
    <n v="43.459558819999998"/>
    <n v="-1544"/>
    <n v="0"/>
    <n v="1544"/>
    <n v="0"/>
    <n v="67101.558818079997"/>
    <x v="0"/>
  </r>
  <r>
    <x v="2"/>
    <x v="14"/>
    <x v="0"/>
    <s v="INSUMOS BAR"/>
    <x v="0"/>
    <x v="710"/>
    <s v="GRAMOS"/>
    <n v="35.274999999999999"/>
    <n v="-1080"/>
    <n v="338"/>
    <n v="1418"/>
    <n v="11922.949999999999"/>
    <n v="50019.95"/>
    <x v="0"/>
  </r>
  <r>
    <x v="2"/>
    <x v="13"/>
    <x v="2"/>
    <s v="INSUMOS BAR"/>
    <x v="0"/>
    <x v="710"/>
    <s v="GRAMOS"/>
    <n v="43.459558819999998"/>
    <n v="2099"/>
    <n v="0"/>
    <n v="-2099"/>
    <n v="0"/>
    <n v="-91221.613963179989"/>
    <x v="2"/>
  </r>
  <r>
    <x v="2"/>
    <x v="15"/>
    <x v="1"/>
    <s v="INSUMOS BAR"/>
    <x v="0"/>
    <x v="710"/>
    <s v="GRAMOS"/>
    <n v="35.274999999999999"/>
    <n v="-400"/>
    <n v="680"/>
    <n v="1080"/>
    <n v="23987"/>
    <n v="38097"/>
    <x v="0"/>
  </r>
  <r>
    <x v="2"/>
    <x v="10"/>
    <x v="4"/>
    <s v="INSUMOS BAR"/>
    <x v="0"/>
    <x v="710"/>
    <s v="GRAMOS"/>
    <n v="43.459558819999998"/>
    <n v="-880"/>
    <n v="1922"/>
    <n v="2802"/>
    <n v="83529.272052040003"/>
    <n v="121773.68381363999"/>
    <x v="0"/>
  </r>
  <r>
    <x v="2"/>
    <x v="15"/>
    <x v="1"/>
    <s v="ABARROTES"/>
    <x v="1"/>
    <x v="711"/>
    <s v="GRAMOS"/>
    <n v="33.581463409999998"/>
    <n v="11250"/>
    <n v="7000"/>
    <n v="-4250"/>
    <n v="235070.24386999998"/>
    <n v="-142721.21949249998"/>
    <x v="2"/>
  </r>
  <r>
    <x v="2"/>
    <x v="12"/>
    <x v="3"/>
    <s v="ABARROTES"/>
    <x v="1"/>
    <x v="712"/>
    <s v="GRAMOS"/>
    <n v="11"/>
    <n v="0"/>
    <n v="0"/>
    <n v="0"/>
    <n v="0"/>
    <n v="0"/>
    <x v="1"/>
  </r>
  <r>
    <x v="2"/>
    <x v="14"/>
    <x v="0"/>
    <s v="ABARROTES"/>
    <x v="1"/>
    <x v="712"/>
    <s v="GRAMOS"/>
    <n v="10.749943330000001"/>
    <n v="1950"/>
    <n v="500"/>
    <n v="-1450"/>
    <n v="5374.971665"/>
    <n v="-15587.417828500002"/>
    <x v="2"/>
  </r>
  <r>
    <x v="2"/>
    <x v="13"/>
    <x v="2"/>
    <s v="ABARROTES"/>
    <x v="1"/>
    <x v="712"/>
    <s v="GRAMOS"/>
    <n v="10.749943330000001"/>
    <n v="0"/>
    <n v="0"/>
    <n v="0"/>
    <n v="0"/>
    <n v="0"/>
    <x v="1"/>
  </r>
  <r>
    <x v="2"/>
    <x v="15"/>
    <x v="1"/>
    <s v="ABARROTES"/>
    <x v="1"/>
    <x v="712"/>
    <s v="GRAMOS"/>
    <n v="10.749943330000001"/>
    <n v="170"/>
    <n v="0"/>
    <n v="-170"/>
    <n v="0"/>
    <n v="-1827.4903661000001"/>
    <x v="2"/>
  </r>
  <r>
    <x v="2"/>
    <x v="10"/>
    <x v="4"/>
    <s v="ABARROTES"/>
    <x v="1"/>
    <x v="712"/>
    <s v="GRAMOS"/>
    <n v="10.749943330000001"/>
    <n v="0"/>
    <n v="0"/>
    <n v="0"/>
    <n v="0"/>
    <n v="0"/>
    <x v="1"/>
  </r>
  <r>
    <x v="2"/>
    <x v="12"/>
    <x v="3"/>
    <s v="SALSAS ESPECIAS Y CONDIMENTOS"/>
    <x v="1"/>
    <x v="713"/>
    <s v="GRAMOS"/>
    <n v="26.269315670000001"/>
    <n v="13486"/>
    <n v="2922"/>
    <n v="-10564"/>
    <n v="76758.940387740004"/>
    <n v="-277509.05073788"/>
    <x v="2"/>
  </r>
  <r>
    <x v="2"/>
    <x v="13"/>
    <x v="2"/>
    <s v="SALSAS ESPECIAS Y CONDIMENTOS"/>
    <x v="1"/>
    <x v="713"/>
    <s v="GRAMOS"/>
    <n v="26.269315670000001"/>
    <n v="20080"/>
    <n v="374"/>
    <n v="-31031"/>
    <n v="9824.7240605799998"/>
    <n v="-815163.13455577008"/>
    <x v="2"/>
  </r>
  <r>
    <x v="2"/>
    <x v="10"/>
    <x v="4"/>
    <s v="SALSAS ESPECIAS Y CONDIMENTOS"/>
    <x v="1"/>
    <x v="713"/>
    <s v="GRAMOS"/>
    <n v="26.269315670000001"/>
    <n v="25592"/>
    <n v="4540"/>
    <n v="-21052"/>
    <n v="119262.6931418"/>
    <n v="-553021.63348484004"/>
    <x v="2"/>
  </r>
  <r>
    <x v="2"/>
    <x v="12"/>
    <x v="3"/>
    <s v="ABARROTES"/>
    <x v="1"/>
    <x v="714"/>
    <s v="GRAMOS"/>
    <n v="8.9250000000000007"/>
    <n v="-28253"/>
    <n v="2000"/>
    <n v="30253"/>
    <n v="17850"/>
    <n v="270008.02500000002"/>
    <x v="0"/>
  </r>
  <r>
    <x v="2"/>
    <x v="14"/>
    <x v="0"/>
    <s v="ABARROTES"/>
    <x v="1"/>
    <x v="714"/>
    <s v="GRAMOS"/>
    <n v="8.9250000000000007"/>
    <n v="102726.3333"/>
    <n v="40000"/>
    <n v="-62726.333316999997"/>
    <n v="357000"/>
    <n v="-559832.52485422499"/>
    <x v="2"/>
  </r>
  <r>
    <x v="2"/>
    <x v="13"/>
    <x v="2"/>
    <s v="ABARROTES"/>
    <x v="1"/>
    <x v="714"/>
    <s v="GRAMOS"/>
    <n v="8.9250000000000007"/>
    <n v="-40366"/>
    <n v="8000"/>
    <n v="48365.999997999999"/>
    <n v="71400"/>
    <n v="431666.54998215003"/>
    <x v="0"/>
  </r>
  <r>
    <x v="2"/>
    <x v="15"/>
    <x v="1"/>
    <s v="ABARROTES"/>
    <x v="1"/>
    <x v="714"/>
    <s v="GRAMOS"/>
    <n v="8.9250000000000007"/>
    <n v="19600"/>
    <n v="9000"/>
    <n v="-10600"/>
    <n v="80325"/>
    <n v="-94605.000000000015"/>
    <x v="2"/>
  </r>
  <r>
    <x v="2"/>
    <x v="16"/>
    <x v="5"/>
    <s v="ABARROTES"/>
    <x v="1"/>
    <x v="714"/>
    <s v="GRAMOS"/>
    <n v="8.9250000000000007"/>
    <n v="19260"/>
    <n v="19200"/>
    <n v="-60"/>
    <n v="171360"/>
    <n v="-535.5"/>
    <x v="2"/>
  </r>
  <r>
    <x v="2"/>
    <x v="10"/>
    <x v="4"/>
    <s v="ABARROTES"/>
    <x v="1"/>
    <x v="714"/>
    <s v="GRAMOS"/>
    <n v="8.9250000000000007"/>
    <n v="-39236"/>
    <n v="9398"/>
    <n v="48634"/>
    <n v="83877.150000000009"/>
    <n v="434058.45"/>
    <x v="0"/>
  </r>
  <r>
    <x v="2"/>
    <x v="12"/>
    <x v="3"/>
    <s v="ABARROTES"/>
    <x v="1"/>
    <x v="715"/>
    <s v="GRAMOS"/>
    <n v="18.828045979999999"/>
    <n v="5285"/>
    <n v="4890"/>
    <n v="-395"/>
    <n v="92069.144842199996"/>
    <n v="-7437.0781620999996"/>
    <x v="2"/>
  </r>
  <r>
    <x v="2"/>
    <x v="14"/>
    <x v="0"/>
    <s v="ABARROTES"/>
    <x v="1"/>
    <x v="715"/>
    <s v="GRAMOS"/>
    <n v="18.828045979999999"/>
    <n v="21231"/>
    <n v="13050"/>
    <n v="-8181"/>
    <n v="245706.00003899998"/>
    <n v="-154032.24416238"/>
    <x v="2"/>
  </r>
  <r>
    <x v="2"/>
    <x v="13"/>
    <x v="2"/>
    <s v="ABARROTES"/>
    <x v="1"/>
    <x v="715"/>
    <s v="GRAMOS"/>
    <n v="18.828045979999999"/>
    <n v="10910"/>
    <n v="6035"/>
    <n v="-4875"/>
    <n v="113627.2574893"/>
    <n v="-91786.724152499999"/>
    <x v="2"/>
  </r>
  <r>
    <x v="2"/>
    <x v="15"/>
    <x v="1"/>
    <s v="ABARROTES"/>
    <x v="1"/>
    <x v="715"/>
    <s v="GRAMOS"/>
    <n v="18.828045979999999"/>
    <n v="19585"/>
    <n v="4300"/>
    <n v="-15285"/>
    <n v="80960.597713999989"/>
    <n v="-287786.68280429998"/>
    <x v="2"/>
  </r>
  <r>
    <x v="2"/>
    <x v="10"/>
    <x v="4"/>
    <s v="ABARROTES"/>
    <x v="1"/>
    <x v="715"/>
    <s v="GRAMOS"/>
    <n v="18.828045979999999"/>
    <n v="3410"/>
    <n v="2736"/>
    <n v="-674"/>
    <n v="51513.533801279998"/>
    <n v="-12690.102990519999"/>
    <x v="2"/>
  </r>
  <r>
    <x v="2"/>
    <x v="12"/>
    <x v="3"/>
    <s v="ABARROTES"/>
    <x v="1"/>
    <x v="716"/>
    <s v="GRAMOS"/>
    <n v="89.0625"/>
    <n v="-30"/>
    <n v="0"/>
    <n v="30"/>
    <n v="0"/>
    <n v="2671.875"/>
    <x v="0"/>
  </r>
  <r>
    <x v="2"/>
    <x v="14"/>
    <x v="0"/>
    <s v="ABARROTES"/>
    <x v="1"/>
    <x v="716"/>
    <s v="GRAMOS"/>
    <n v="61.682499999999997"/>
    <n v="415"/>
    <n v="0"/>
    <n v="-415"/>
    <n v="0"/>
    <n v="-25598.237499999999"/>
    <x v="2"/>
  </r>
  <r>
    <x v="2"/>
    <x v="13"/>
    <x v="2"/>
    <s v="ABARROTES"/>
    <x v="1"/>
    <x v="716"/>
    <s v="GRAMOS"/>
    <n v="89.0625"/>
    <n v="-64"/>
    <n v="250"/>
    <n v="314"/>
    <n v="22265.625"/>
    <n v="27965.625"/>
    <x v="0"/>
  </r>
  <r>
    <x v="2"/>
    <x v="15"/>
    <x v="1"/>
    <s v="ABARROTES"/>
    <x v="1"/>
    <x v="716"/>
    <s v="GRAMOS"/>
    <n v="61.682499999999997"/>
    <n v="292"/>
    <n v="500"/>
    <n v="208"/>
    <n v="30841.25"/>
    <n v="12829.96"/>
    <x v="0"/>
  </r>
  <r>
    <x v="2"/>
    <x v="10"/>
    <x v="4"/>
    <s v="ABARROTES"/>
    <x v="1"/>
    <x v="716"/>
    <s v="GRAMOS"/>
    <n v="89.0625"/>
    <n v="-54"/>
    <n v="0"/>
    <n v="54"/>
    <n v="0"/>
    <n v="4809.375"/>
    <x v="0"/>
  </r>
  <r>
    <x v="2"/>
    <x v="15"/>
    <x v="1"/>
    <s v="ABARROTES"/>
    <x v="1"/>
    <x v="717"/>
    <s v="UNIDADES"/>
    <n v="1058.8459383700001"/>
    <n v="75"/>
    <n v="0"/>
    <n v="-75"/>
    <n v="0"/>
    <n v="-79413.445377750002"/>
    <x v="2"/>
  </r>
  <r>
    <x v="2"/>
    <x v="15"/>
    <x v="1"/>
    <s v="SALSAS ESPECIAS Y CONDIMENTOS"/>
    <x v="1"/>
    <x v="718"/>
    <s v="GRAMOS"/>
    <n v="13.935"/>
    <n v="3089.9502000000002"/>
    <n v="2870"/>
    <n v="-219.95024900000001"/>
    <n v="39993.450000000004"/>
    <n v="-3065.0067198150005"/>
    <x v="2"/>
  </r>
  <r>
    <x v="2"/>
    <x v="15"/>
    <x v="1"/>
    <s v="ABARROTES"/>
    <x v="1"/>
    <x v="719"/>
    <s v="GRAMOS"/>
    <n v="16.5928"/>
    <n v="47520"/>
    <n v="17100"/>
    <n v="-30420"/>
    <n v="283736.88"/>
    <n v="-504752.97600000002"/>
    <x v="2"/>
  </r>
  <r>
    <x v="2"/>
    <x v="12"/>
    <x v="3"/>
    <s v="MATERIAL DE EMPAQUE"/>
    <x v="2"/>
    <x v="720"/>
    <s v="UNIDADES"/>
    <n v="81.81"/>
    <n v="112"/>
    <n v="30"/>
    <n v="-82"/>
    <n v="2454.3000000000002"/>
    <n v="-6708.42"/>
    <x v="2"/>
  </r>
  <r>
    <x v="2"/>
    <x v="14"/>
    <x v="0"/>
    <s v="MATERIAL DE EMPAQUE"/>
    <x v="2"/>
    <x v="720"/>
    <s v="UNIDADES"/>
    <n v="51.29"/>
    <n v="300"/>
    <n v="0"/>
    <n v="-300"/>
    <n v="0"/>
    <n v="-15387"/>
    <x v="2"/>
  </r>
  <r>
    <x v="2"/>
    <x v="13"/>
    <x v="2"/>
    <s v="MATERIAL DE EMPAQUE"/>
    <x v="2"/>
    <x v="720"/>
    <s v="UNIDADES"/>
    <n v="81.81"/>
    <n v="0"/>
    <n v="150"/>
    <n v="150"/>
    <n v="12271.5"/>
    <n v="12271.5"/>
    <x v="0"/>
  </r>
  <r>
    <x v="2"/>
    <x v="15"/>
    <x v="1"/>
    <s v="MATERIAL DE EMPAQUE"/>
    <x v="2"/>
    <x v="720"/>
    <s v="UNIDADES"/>
    <n v="51.29"/>
    <n v="1920"/>
    <n v="200"/>
    <n v="-1720"/>
    <n v="10258"/>
    <n v="-88218.8"/>
    <x v="2"/>
  </r>
  <r>
    <x v="2"/>
    <x v="10"/>
    <x v="4"/>
    <s v="MATERIAL DE EMPAQUE"/>
    <x v="2"/>
    <x v="720"/>
    <s v="UNIDADES"/>
    <n v="81.81"/>
    <n v="0"/>
    <n v="56"/>
    <n v="56"/>
    <n v="4581.3600000000006"/>
    <n v="4581.3600000000006"/>
    <x v="0"/>
  </r>
  <r>
    <x v="2"/>
    <x v="12"/>
    <x v="3"/>
    <s v="FRUVER"/>
    <x v="1"/>
    <x v="721"/>
    <s v="GRAMOS"/>
    <n v="2"/>
    <n v="8100"/>
    <n v="0"/>
    <n v="-8100"/>
    <n v="0"/>
    <n v="-16200"/>
    <x v="2"/>
  </r>
  <r>
    <x v="2"/>
    <x v="14"/>
    <x v="0"/>
    <s v="FRUVER"/>
    <x v="1"/>
    <x v="721"/>
    <s v="GRAMOS"/>
    <n v="1.9"/>
    <n v="-5580"/>
    <n v="0"/>
    <n v="5580"/>
    <n v="0"/>
    <n v="10602"/>
    <x v="0"/>
  </r>
  <r>
    <x v="2"/>
    <x v="13"/>
    <x v="2"/>
    <s v="FRUVER"/>
    <x v="1"/>
    <x v="721"/>
    <s v="GRAMOS"/>
    <n v="2"/>
    <n v="0"/>
    <n v="0"/>
    <n v="0"/>
    <n v="0"/>
    <n v="0"/>
    <x v="1"/>
  </r>
  <r>
    <x v="2"/>
    <x v="15"/>
    <x v="1"/>
    <s v="FRUVER"/>
    <x v="1"/>
    <x v="721"/>
    <s v="GRAMOS"/>
    <n v="1.9"/>
    <n v="34200.000200000002"/>
    <n v="5050"/>
    <n v="-29150.000164000001"/>
    <n v="9595"/>
    <n v="-55385.000311600001"/>
    <x v="2"/>
  </r>
  <r>
    <x v="2"/>
    <x v="10"/>
    <x v="4"/>
    <s v="FRUVER"/>
    <x v="1"/>
    <x v="721"/>
    <s v="GRAMOS"/>
    <n v="2"/>
    <n v="18500"/>
    <n v="0"/>
    <n v="-18500"/>
    <n v="0"/>
    <n v="-37000"/>
    <x v="2"/>
  </r>
  <r>
    <x v="2"/>
    <x v="14"/>
    <x v="0"/>
    <s v="VINOS"/>
    <x v="0"/>
    <x v="103"/>
    <s v="UNIDADES"/>
    <n v="62806"/>
    <n v="2"/>
    <n v="2"/>
    <n v="0"/>
    <n v="125612"/>
    <n v="0"/>
    <x v="1"/>
  </r>
  <r>
    <x v="2"/>
    <x v="14"/>
    <x v="0"/>
    <s v="VINOS"/>
    <x v="0"/>
    <x v="93"/>
    <s v="UNIDADES"/>
    <n v="113953"/>
    <n v="1"/>
    <n v="1"/>
    <n v="0"/>
    <n v="113953"/>
    <n v="0"/>
    <x v="1"/>
  </r>
  <r>
    <x v="2"/>
    <x v="14"/>
    <x v="0"/>
    <s v="VINOS"/>
    <x v="0"/>
    <x v="94"/>
    <s v="UNIDADES"/>
    <n v="95880"/>
    <n v="1"/>
    <n v="1"/>
    <n v="0"/>
    <n v="95880"/>
    <n v="0"/>
    <x v="1"/>
  </r>
  <r>
    <x v="2"/>
    <x v="14"/>
    <x v="0"/>
    <s v="VINOS"/>
    <x v="0"/>
    <x v="90"/>
    <s v="UNIDADES"/>
    <n v="35900"/>
    <n v="2"/>
    <n v="2"/>
    <n v="0"/>
    <n v="71800"/>
    <n v="0"/>
    <x v="1"/>
  </r>
  <r>
    <x v="2"/>
    <x v="14"/>
    <x v="0"/>
    <s v="VINOS"/>
    <x v="0"/>
    <x v="95"/>
    <s v="UNIDADES"/>
    <n v="82575"/>
    <n v="3"/>
    <n v="3"/>
    <n v="0"/>
    <n v="247725"/>
    <n v="0"/>
    <x v="1"/>
  </r>
  <r>
    <x v="2"/>
    <x v="12"/>
    <x v="3"/>
    <s v="GASEOSAS Y SODAS"/>
    <x v="0"/>
    <x v="1"/>
    <s v="UNIDADES"/>
    <n v="2000"/>
    <n v="126.6"/>
    <n v="111.5"/>
    <n v="-15.1"/>
    <n v="223000"/>
    <n v="-30200"/>
    <x v="2"/>
  </r>
  <r>
    <x v="2"/>
    <x v="14"/>
    <x v="0"/>
    <s v="GASEOSAS Y SODAS"/>
    <x v="0"/>
    <x v="1"/>
    <s v="UNIDADES"/>
    <n v="2000"/>
    <n v="-100"/>
    <n v="166"/>
    <n v="266"/>
    <n v="332000"/>
    <n v="532000"/>
    <x v="0"/>
  </r>
  <r>
    <x v="2"/>
    <x v="13"/>
    <x v="2"/>
    <s v="GASEOSAS Y SODAS"/>
    <x v="0"/>
    <x v="1"/>
    <s v="UNIDADES"/>
    <n v="2000"/>
    <n v="28.3"/>
    <n v="26"/>
    <n v="-2.2999999999999998"/>
    <n v="52000"/>
    <n v="-4600"/>
    <x v="2"/>
  </r>
  <r>
    <x v="2"/>
    <x v="15"/>
    <x v="1"/>
    <s v="GASEOSAS Y SODAS"/>
    <x v="0"/>
    <x v="1"/>
    <s v="UNIDADES"/>
    <n v="2000"/>
    <n v="41.7"/>
    <n v="112"/>
    <n v="-13.7"/>
    <n v="224000"/>
    <n v="-27400"/>
    <x v="2"/>
  </r>
  <r>
    <x v="2"/>
    <x v="10"/>
    <x v="4"/>
    <s v="GASEOSAS Y SODAS"/>
    <x v="0"/>
    <x v="1"/>
    <s v="UNIDADES"/>
    <n v="2000"/>
    <n v="100.1"/>
    <n v="93"/>
    <n v="-7.1"/>
    <n v="186000"/>
    <n v="-14200"/>
    <x v="2"/>
  </r>
  <r>
    <x v="2"/>
    <x v="12"/>
    <x v="3"/>
    <s v="ABARROTES"/>
    <x v="1"/>
    <x v="722"/>
    <s v="GRAMOS"/>
    <n v="44.212727270000002"/>
    <n v="-495"/>
    <n v="0"/>
    <n v="495"/>
    <n v="0"/>
    <n v="21885.29999865"/>
    <x v="0"/>
  </r>
  <r>
    <x v="2"/>
    <x v="13"/>
    <x v="2"/>
    <s v="ABARROTES"/>
    <x v="1"/>
    <x v="722"/>
    <s v="GRAMOS"/>
    <n v="44.212727270000002"/>
    <n v="-390"/>
    <n v="0"/>
    <n v="390"/>
    <n v="0"/>
    <n v="17242.963635300002"/>
    <x v="0"/>
  </r>
  <r>
    <x v="2"/>
    <x v="10"/>
    <x v="4"/>
    <s v="ABARROTES"/>
    <x v="1"/>
    <x v="722"/>
    <s v="GRAMOS"/>
    <n v="44.212727270000002"/>
    <n v="-525"/>
    <n v="0"/>
    <n v="525"/>
    <n v="0"/>
    <n v="23211.681816750002"/>
    <x v="0"/>
  </r>
  <r>
    <x v="2"/>
    <x v="14"/>
    <x v="0"/>
    <s v="MATERIAL DE EMPAQUE"/>
    <x v="2"/>
    <x v="723"/>
    <s v="UNIDADES"/>
    <n v="792"/>
    <n v="300"/>
    <n v="150"/>
    <n v="-150"/>
    <n v="118800"/>
    <n v="-118800"/>
    <x v="2"/>
  </r>
  <r>
    <x v="2"/>
    <x v="15"/>
    <x v="1"/>
    <s v="MATERIAL DE EMPAQUE"/>
    <x v="2"/>
    <x v="723"/>
    <s v="UNIDADES"/>
    <n v="792"/>
    <n v="400"/>
    <n v="150"/>
    <n v="-250"/>
    <n v="118800"/>
    <n v="-198000"/>
    <x v="2"/>
  </r>
  <r>
    <x v="2"/>
    <x v="12"/>
    <x v="3"/>
    <s v="ABARROTES"/>
    <x v="1"/>
    <x v="724"/>
    <s v="GRAMOS"/>
    <n v="77.43726667"/>
    <n v="0"/>
    <n v="190"/>
    <n v="190"/>
    <n v="14713.080667300001"/>
    <n v="14713.080667300001"/>
    <x v="0"/>
  </r>
  <r>
    <x v="2"/>
    <x v="13"/>
    <x v="2"/>
    <s v="ABARROTES"/>
    <x v="1"/>
    <x v="724"/>
    <s v="GRAMOS"/>
    <n v="77.43726667"/>
    <n v="0"/>
    <n v="0"/>
    <n v="0"/>
    <n v="0"/>
    <n v="0"/>
    <x v="1"/>
  </r>
  <r>
    <x v="2"/>
    <x v="10"/>
    <x v="4"/>
    <s v="ABARROTES"/>
    <x v="1"/>
    <x v="724"/>
    <s v="GRAMOS"/>
    <n v="77.43726667"/>
    <n v="0"/>
    <n v="0"/>
    <n v="0"/>
    <n v="0"/>
    <n v="0"/>
    <x v="1"/>
  </r>
  <r>
    <x v="2"/>
    <x v="12"/>
    <x v="3"/>
    <s v="ABARROTES"/>
    <x v="1"/>
    <x v="725"/>
    <s v="GRAMOS"/>
    <n v="152.13461538000001"/>
    <n v="0"/>
    <n v="0"/>
    <n v="0"/>
    <n v="0"/>
    <n v="0"/>
    <x v="1"/>
  </r>
  <r>
    <x v="2"/>
    <x v="13"/>
    <x v="2"/>
    <s v="ABARROTES"/>
    <x v="1"/>
    <x v="725"/>
    <s v="GRAMOS"/>
    <n v="152.13461538000001"/>
    <n v="0"/>
    <n v="0"/>
    <n v="0"/>
    <n v="0"/>
    <n v="0"/>
    <x v="1"/>
  </r>
  <r>
    <x v="2"/>
    <x v="10"/>
    <x v="4"/>
    <s v="ABARROTES"/>
    <x v="1"/>
    <x v="725"/>
    <s v="GRAMOS"/>
    <n v="152.13461538000001"/>
    <n v="0"/>
    <n v="0"/>
    <n v="0"/>
    <n v="0"/>
    <n v="0"/>
    <x v="1"/>
  </r>
  <r>
    <x v="2"/>
    <x v="12"/>
    <x v="3"/>
    <s v="MATERIAL DE EMPAQUE"/>
    <x v="2"/>
    <x v="726"/>
    <s v="UNIDADES"/>
    <n v="52.875555560000002"/>
    <n v="7200"/>
    <n v="8800"/>
    <n v="1600"/>
    <n v="465304.888928"/>
    <n v="84600.888896000004"/>
    <x v="0"/>
  </r>
  <r>
    <x v="2"/>
    <x v="14"/>
    <x v="0"/>
    <s v="MATERIAL DE EMPAQUE"/>
    <x v="2"/>
    <x v="726"/>
    <s v="UNIDADES"/>
    <n v="105.8625"/>
    <n v="8440"/>
    <n v="25"/>
    <n v="-8415"/>
    <n v="2646.5625"/>
    <n v="-890832.9375"/>
    <x v="2"/>
  </r>
  <r>
    <x v="2"/>
    <x v="13"/>
    <x v="2"/>
    <s v="MATERIAL DE EMPAQUE"/>
    <x v="2"/>
    <x v="726"/>
    <s v="UNIDADES"/>
    <n v="52.875555560000002"/>
    <n v="7800"/>
    <n v="1500"/>
    <n v="-6300"/>
    <n v="79313.333339999997"/>
    <n v="-333116.00002800004"/>
    <x v="2"/>
  </r>
  <r>
    <x v="2"/>
    <x v="15"/>
    <x v="1"/>
    <s v="MATERIAL DE EMPAQUE"/>
    <x v="2"/>
    <x v="726"/>
    <s v="UNIDADES"/>
    <n v="105.8625"/>
    <n v="2400"/>
    <n v="0"/>
    <n v="-2400"/>
    <n v="0"/>
    <n v="-254070"/>
    <x v="2"/>
  </r>
  <r>
    <x v="2"/>
    <x v="10"/>
    <x v="4"/>
    <s v="MATERIAL DE EMPAQUE"/>
    <x v="2"/>
    <x v="726"/>
    <s v="UNIDADES"/>
    <n v="52.875555560000002"/>
    <n v="7212"/>
    <n v="11"/>
    <n v="-7201"/>
    <n v="581.63111116000005"/>
    <n v="-380756.87558756"/>
    <x v="2"/>
  </r>
  <r>
    <x v="2"/>
    <x v="12"/>
    <x v="3"/>
    <s v="MATERIAL DE EMPAQUE"/>
    <x v="2"/>
    <x v="727"/>
    <s v="UNIDADES"/>
    <n v="377.23"/>
    <n v="0"/>
    <n v="0"/>
    <n v="0"/>
    <n v="0"/>
    <n v="0"/>
    <x v="1"/>
  </r>
  <r>
    <x v="2"/>
    <x v="14"/>
    <x v="0"/>
    <s v="MATERIAL DE EMPAQUE"/>
    <x v="2"/>
    <x v="727"/>
    <s v="UNIDADES"/>
    <n v="377"/>
    <n v="0"/>
    <n v="0"/>
    <n v="0"/>
    <n v="0"/>
    <n v="0"/>
    <x v="1"/>
  </r>
  <r>
    <x v="2"/>
    <x v="13"/>
    <x v="2"/>
    <s v="MATERIAL DE EMPAQUE"/>
    <x v="2"/>
    <x v="727"/>
    <s v="UNIDADES"/>
    <n v="377.23"/>
    <n v="0"/>
    <n v="0"/>
    <n v="0"/>
    <n v="0"/>
    <n v="0"/>
    <x v="1"/>
  </r>
  <r>
    <x v="2"/>
    <x v="10"/>
    <x v="4"/>
    <s v="MATERIAL DE EMPAQUE"/>
    <x v="2"/>
    <x v="727"/>
    <s v="UNIDADES"/>
    <n v="377.23"/>
    <n v="29"/>
    <n v="55"/>
    <n v="26"/>
    <n v="20747.650000000001"/>
    <n v="9807.98"/>
    <x v="0"/>
  </r>
  <r>
    <x v="2"/>
    <x v="12"/>
    <x v="3"/>
    <s v="ABARROTES"/>
    <x v="1"/>
    <x v="728"/>
    <s v="UNIDADES"/>
    <n v="450"/>
    <n v="-21"/>
    <n v="0"/>
    <n v="21"/>
    <n v="0"/>
    <n v="9450"/>
    <x v="0"/>
  </r>
  <r>
    <x v="2"/>
    <x v="13"/>
    <x v="2"/>
    <s v="ABARROTES"/>
    <x v="1"/>
    <x v="728"/>
    <s v="UNIDADES"/>
    <n v="450"/>
    <n v="-15"/>
    <n v="0"/>
    <n v="15"/>
    <n v="0"/>
    <n v="6750"/>
    <x v="0"/>
  </r>
  <r>
    <x v="2"/>
    <x v="10"/>
    <x v="4"/>
    <s v="ABARROTES"/>
    <x v="1"/>
    <x v="728"/>
    <s v="UNIDADES"/>
    <n v="450"/>
    <n v="-15"/>
    <n v="0"/>
    <n v="15"/>
    <n v="0"/>
    <n v="6750"/>
    <x v="0"/>
  </r>
  <r>
    <x v="2"/>
    <x v="15"/>
    <x v="1"/>
    <s v="ABARROTES"/>
    <x v="1"/>
    <x v="729"/>
    <s v="ONZA"/>
    <n v="150"/>
    <n v="22.5"/>
    <n v="8"/>
    <n v="-14.5"/>
    <n v="1200"/>
    <n v="-2175"/>
    <x v="2"/>
  </r>
  <r>
    <x v="2"/>
    <x v="12"/>
    <x v="3"/>
    <s v="LICORES"/>
    <x v="0"/>
    <x v="70"/>
    <s v="ONZA"/>
    <n v="3673.5"/>
    <n v="0"/>
    <n v="0"/>
    <n v="0"/>
    <n v="0"/>
    <n v="0"/>
    <x v="1"/>
  </r>
  <r>
    <x v="2"/>
    <x v="14"/>
    <x v="0"/>
    <s v="LICORES"/>
    <x v="0"/>
    <x v="70"/>
    <s v="ONZA"/>
    <n v="4008.2727272699999"/>
    <n v="32"/>
    <n v="32"/>
    <n v="0"/>
    <n v="128264.72727264"/>
    <n v="0"/>
    <x v="1"/>
  </r>
  <r>
    <x v="2"/>
    <x v="13"/>
    <x v="2"/>
    <s v="LICORES"/>
    <x v="0"/>
    <x v="70"/>
    <s v="ONZA"/>
    <n v="3673.5"/>
    <n v="22"/>
    <n v="22.5"/>
    <n v="0.5"/>
    <n v="82653.75"/>
    <n v="1836.75"/>
    <x v="0"/>
  </r>
  <r>
    <x v="2"/>
    <x v="15"/>
    <x v="1"/>
    <s v="LICORES"/>
    <x v="0"/>
    <x v="70"/>
    <s v="ONZA"/>
    <n v="4008.2727272699999"/>
    <n v="0"/>
    <n v="0"/>
    <n v="0"/>
    <n v="0"/>
    <n v="0"/>
    <x v="1"/>
  </r>
  <r>
    <x v="2"/>
    <x v="10"/>
    <x v="4"/>
    <s v="LICORES"/>
    <x v="0"/>
    <x v="70"/>
    <s v="ONZA"/>
    <n v="3673.5"/>
    <n v="0"/>
    <n v="0"/>
    <n v="0"/>
    <n v="0"/>
    <n v="0"/>
    <x v="1"/>
  </r>
  <r>
    <x v="2"/>
    <x v="12"/>
    <x v="3"/>
    <s v="GASEOSAS Y SODAS"/>
    <x v="0"/>
    <x v="58"/>
    <s v="UNIDADES"/>
    <n v="1944.4444444000001"/>
    <n v="0"/>
    <n v="0"/>
    <n v="0"/>
    <n v="0"/>
    <n v="0"/>
    <x v="1"/>
  </r>
  <r>
    <x v="2"/>
    <x v="13"/>
    <x v="2"/>
    <s v="GASEOSAS Y SODAS"/>
    <x v="0"/>
    <x v="58"/>
    <s v="UNIDADES"/>
    <n v="1944.4444444000001"/>
    <n v="0"/>
    <n v="0"/>
    <n v="0"/>
    <n v="0"/>
    <n v="0"/>
    <x v="1"/>
  </r>
  <r>
    <x v="2"/>
    <x v="15"/>
    <x v="1"/>
    <s v="GASEOSAS Y SODAS"/>
    <x v="0"/>
    <x v="58"/>
    <s v="UNIDADES"/>
    <n v="1944.4444444000001"/>
    <n v="0"/>
    <n v="0"/>
    <n v="0"/>
    <n v="0"/>
    <n v="0"/>
    <x v="1"/>
  </r>
  <r>
    <x v="2"/>
    <x v="10"/>
    <x v="4"/>
    <s v="GASEOSAS Y SODAS"/>
    <x v="0"/>
    <x v="58"/>
    <s v="UNIDADES"/>
    <n v="1944.4444444000001"/>
    <n v="0"/>
    <n v="0"/>
    <n v="0"/>
    <n v="0"/>
    <n v="0"/>
    <x v="1"/>
  </r>
  <r>
    <x v="2"/>
    <x v="12"/>
    <x v="3"/>
    <s v="GASEOSAS Y SODAS"/>
    <x v="0"/>
    <x v="71"/>
    <s v="UNIDADES"/>
    <n v="1835.41666667"/>
    <n v="0"/>
    <n v="0"/>
    <n v="0"/>
    <n v="0"/>
    <n v="0"/>
    <x v="1"/>
  </r>
  <r>
    <x v="2"/>
    <x v="13"/>
    <x v="2"/>
    <s v="GASEOSAS Y SODAS"/>
    <x v="0"/>
    <x v="71"/>
    <s v="UNIDADES"/>
    <n v="1835.41666667"/>
    <n v="30"/>
    <n v="30"/>
    <n v="0"/>
    <n v="55062.500000100001"/>
    <n v="0"/>
    <x v="1"/>
  </r>
  <r>
    <x v="2"/>
    <x v="15"/>
    <x v="1"/>
    <s v="GASEOSAS Y SODAS"/>
    <x v="0"/>
    <x v="71"/>
    <s v="UNIDADES"/>
    <n v="1835.41666667"/>
    <n v="6"/>
    <n v="6"/>
    <n v="0"/>
    <n v="11012.50000002"/>
    <n v="0"/>
    <x v="1"/>
  </r>
  <r>
    <x v="2"/>
    <x v="10"/>
    <x v="4"/>
    <s v="GASEOSAS Y SODAS"/>
    <x v="0"/>
    <x v="71"/>
    <s v="UNIDADES"/>
    <n v="1835.41666667"/>
    <n v="0"/>
    <n v="0"/>
    <n v="0"/>
    <n v="0"/>
    <n v="0"/>
    <x v="1"/>
  </r>
  <r>
    <x v="2"/>
    <x v="14"/>
    <x v="0"/>
    <s v="PROTEINAS"/>
    <x v="1"/>
    <x v="217"/>
    <s v="UNIDADES"/>
    <n v="11535"/>
    <n v="96.2"/>
    <n v="162.5"/>
    <n v="66.3"/>
    <n v="1874437.5"/>
    <n v="764770.5"/>
    <x v="0"/>
  </r>
  <r>
    <x v="2"/>
    <x v="15"/>
    <x v="1"/>
    <s v="PROTEINAS"/>
    <x v="1"/>
    <x v="217"/>
    <s v="UNIDADES"/>
    <n v="11535"/>
    <n v="-2"/>
    <n v="0"/>
    <n v="2"/>
    <n v="0"/>
    <n v="23070"/>
    <x v="0"/>
  </r>
  <r>
    <x v="2"/>
    <x v="10"/>
    <x v="4"/>
    <s v="PROTEINAS"/>
    <x v="1"/>
    <x v="217"/>
    <s v="UNIDADES"/>
    <n v="10508.6957"/>
    <n v="0"/>
    <n v="0"/>
    <n v="0"/>
    <n v="0"/>
    <n v="0"/>
    <x v="1"/>
  </r>
  <r>
    <x v="2"/>
    <x v="12"/>
    <x v="3"/>
    <s v="PROTEINAS"/>
    <x v="1"/>
    <x v="207"/>
    <s v="UNIDADES"/>
    <n v="13082.95454545"/>
    <n v="79"/>
    <n v="63"/>
    <n v="-16"/>
    <n v="824226.13636334997"/>
    <n v="-209327.2727272"/>
    <x v="2"/>
  </r>
  <r>
    <x v="2"/>
    <x v="13"/>
    <x v="2"/>
    <s v="PROTEINAS"/>
    <x v="1"/>
    <x v="207"/>
    <s v="UNIDADES"/>
    <n v="13082.95454545"/>
    <n v="47.5"/>
    <n v="114"/>
    <n v="66.5"/>
    <n v="1491456.8181813001"/>
    <n v="870016.47727242496"/>
    <x v="0"/>
  </r>
  <r>
    <x v="2"/>
    <x v="10"/>
    <x v="4"/>
    <s v="PROTEINAS"/>
    <x v="1"/>
    <x v="207"/>
    <s v="UNIDADES"/>
    <n v="13082.95454545"/>
    <n v="86"/>
    <n v="94"/>
    <n v="8"/>
    <n v="1229797.7272723"/>
    <n v="104663.6363636"/>
    <x v="0"/>
  </r>
  <r>
    <x v="2"/>
    <x v="12"/>
    <x v="3"/>
    <s v="ABARROTES"/>
    <x v="1"/>
    <x v="730"/>
    <s v="GRAMOS"/>
    <n v="24"/>
    <n v="0"/>
    <n v="0"/>
    <n v="0"/>
    <n v="0"/>
    <n v="0"/>
    <x v="1"/>
  </r>
  <r>
    <x v="2"/>
    <x v="13"/>
    <x v="2"/>
    <s v="ABARROTES"/>
    <x v="1"/>
    <x v="730"/>
    <s v="GRAMOS"/>
    <n v="24"/>
    <n v="0"/>
    <n v="0"/>
    <n v="0"/>
    <n v="0"/>
    <n v="0"/>
    <x v="1"/>
  </r>
  <r>
    <x v="2"/>
    <x v="16"/>
    <x v="5"/>
    <s v="ABARROTES"/>
    <x v="1"/>
    <x v="730"/>
    <s v="GRAMOS"/>
    <n v="24"/>
    <n v="2450"/>
    <n v="2444"/>
    <n v="-6"/>
    <n v="58656"/>
    <n v="-144"/>
    <x v="2"/>
  </r>
  <r>
    <x v="2"/>
    <x v="10"/>
    <x v="4"/>
    <s v="ABARROTES"/>
    <x v="1"/>
    <x v="730"/>
    <s v="GRAMOS"/>
    <n v="24"/>
    <n v="0"/>
    <n v="0"/>
    <n v="0"/>
    <n v="0"/>
    <n v="0"/>
    <x v="1"/>
  </r>
  <r>
    <x v="2"/>
    <x v="12"/>
    <x v="3"/>
    <s v="ABARROTES"/>
    <x v="1"/>
    <x v="731"/>
    <s v="GRAMOS"/>
    <n v="37.777775699999999"/>
    <n v="3503"/>
    <n v="3500"/>
    <n v="-3"/>
    <n v="132222.21494999999"/>
    <n v="-113.33332709999999"/>
    <x v="2"/>
  </r>
  <r>
    <x v="2"/>
    <x v="13"/>
    <x v="2"/>
    <s v="ABARROTES"/>
    <x v="1"/>
    <x v="731"/>
    <s v="GRAMOS"/>
    <n v="37.777775699999999"/>
    <n v="8000"/>
    <n v="6500"/>
    <n v="-1500"/>
    <n v="245555.54204999999"/>
    <n v="-56666.663549999997"/>
    <x v="2"/>
  </r>
  <r>
    <x v="2"/>
    <x v="10"/>
    <x v="4"/>
    <s v="ABARROTES"/>
    <x v="1"/>
    <x v="731"/>
    <s v="GRAMOS"/>
    <n v="37.777775699999999"/>
    <n v="700"/>
    <n v="2000"/>
    <n v="1300"/>
    <n v="75555.551399999997"/>
    <n v="49111.108410000001"/>
    <x v="0"/>
  </r>
  <r>
    <x v="2"/>
    <x v="14"/>
    <x v="0"/>
    <s v="VINOS"/>
    <x v="0"/>
    <x v="117"/>
    <s v="UNIDADES"/>
    <n v="150000"/>
    <n v="1"/>
    <n v="1"/>
    <n v="0"/>
    <n v="150000"/>
    <n v="0"/>
    <x v="1"/>
  </r>
  <r>
    <x v="2"/>
    <x v="12"/>
    <x v="3"/>
    <s v="ABARROTES"/>
    <x v="1"/>
    <x v="732"/>
    <s v="UNIDADES"/>
    <n v="54.34"/>
    <n v="0"/>
    <n v="0"/>
    <n v="0"/>
    <n v="0"/>
    <n v="0"/>
    <x v="1"/>
  </r>
  <r>
    <x v="2"/>
    <x v="13"/>
    <x v="2"/>
    <s v="ABARROTES"/>
    <x v="1"/>
    <x v="732"/>
    <s v="UNIDADES"/>
    <n v="54.34"/>
    <n v="0"/>
    <n v="150"/>
    <n v="150"/>
    <n v="8151.0000000000009"/>
    <n v="8151.0000000000009"/>
    <x v="0"/>
  </r>
  <r>
    <x v="2"/>
    <x v="15"/>
    <x v="1"/>
    <s v="ABARROTES"/>
    <x v="1"/>
    <x v="732"/>
    <s v="UNIDADES"/>
    <n v="54.415714289999997"/>
    <n v="350"/>
    <n v="0"/>
    <n v="-350"/>
    <n v="0"/>
    <n v="-19045.500001500001"/>
    <x v="2"/>
  </r>
  <r>
    <x v="2"/>
    <x v="10"/>
    <x v="4"/>
    <s v="ABARROTES"/>
    <x v="1"/>
    <x v="732"/>
    <s v="UNIDADES"/>
    <n v="54.34"/>
    <n v="0"/>
    <n v="0"/>
    <n v="0"/>
    <n v="0"/>
    <n v="0"/>
    <x v="1"/>
  </r>
  <r>
    <x v="2"/>
    <x v="12"/>
    <x v="3"/>
    <s v="ABARROTES"/>
    <x v="1"/>
    <x v="733"/>
    <s v="UNIDADES"/>
    <n v="709.24"/>
    <n v="105.5"/>
    <n v="50"/>
    <n v="-55.5"/>
    <n v="35462"/>
    <n v="-39362.82"/>
    <x v="2"/>
  </r>
  <r>
    <x v="2"/>
    <x v="14"/>
    <x v="0"/>
    <s v="ABARROTES"/>
    <x v="1"/>
    <x v="733"/>
    <s v="UNIDADES"/>
    <n v="709.24"/>
    <n v="52"/>
    <n v="60"/>
    <n v="8"/>
    <n v="42554.400000000001"/>
    <n v="5673.92"/>
    <x v="0"/>
  </r>
  <r>
    <x v="2"/>
    <x v="13"/>
    <x v="2"/>
    <s v="ABARROTES"/>
    <x v="1"/>
    <x v="733"/>
    <s v="UNIDADES"/>
    <n v="709.24"/>
    <n v="345"/>
    <n v="229"/>
    <n v="-116"/>
    <n v="162415.96"/>
    <n v="-82271.839999999997"/>
    <x v="2"/>
  </r>
  <r>
    <x v="2"/>
    <x v="15"/>
    <x v="1"/>
    <s v="ABARROTES"/>
    <x v="1"/>
    <x v="733"/>
    <s v="UNIDADES"/>
    <n v="709.24"/>
    <n v="50"/>
    <n v="0"/>
    <n v="-50"/>
    <n v="0"/>
    <n v="-35462"/>
    <x v="2"/>
  </r>
  <r>
    <x v="2"/>
    <x v="16"/>
    <x v="5"/>
    <s v="ABARROTES"/>
    <x v="1"/>
    <x v="733"/>
    <s v="UNIDADES"/>
    <n v="709.24"/>
    <n v="1063"/>
    <n v="833"/>
    <n v="-230"/>
    <n v="590796.92000000004"/>
    <n v="-163125.20000000001"/>
    <x v="2"/>
  </r>
  <r>
    <x v="2"/>
    <x v="10"/>
    <x v="4"/>
    <s v="ABARROTES"/>
    <x v="1"/>
    <x v="733"/>
    <s v="UNIDADES"/>
    <n v="709.24"/>
    <n v="-151"/>
    <n v="50"/>
    <n v="201"/>
    <n v="35462"/>
    <n v="142557.24"/>
    <x v="0"/>
  </r>
  <r>
    <x v="2"/>
    <x v="12"/>
    <x v="3"/>
    <s v="GASEOSAS Y SODAS"/>
    <x v="0"/>
    <x v="62"/>
    <s v="UNIDADES"/>
    <n v="1395.79166667"/>
    <n v="57"/>
    <n v="57"/>
    <n v="0"/>
    <n v="79560.125000190004"/>
    <n v="0"/>
    <x v="1"/>
  </r>
  <r>
    <x v="2"/>
    <x v="14"/>
    <x v="0"/>
    <s v="GASEOSAS Y SODAS"/>
    <x v="0"/>
    <x v="62"/>
    <s v="UNIDADES"/>
    <n v="1395.83333333"/>
    <n v="16"/>
    <n v="16"/>
    <n v="0"/>
    <n v="22333.333333279999"/>
    <n v="0"/>
    <x v="1"/>
  </r>
  <r>
    <x v="2"/>
    <x v="13"/>
    <x v="2"/>
    <s v="GASEOSAS Y SODAS"/>
    <x v="0"/>
    <x v="62"/>
    <s v="UNIDADES"/>
    <n v="1395.79166667"/>
    <n v="18"/>
    <n v="19"/>
    <n v="1"/>
    <n v="26520.041666730001"/>
    <n v="1395.79166667"/>
    <x v="0"/>
  </r>
  <r>
    <x v="2"/>
    <x v="15"/>
    <x v="1"/>
    <s v="GASEOSAS Y SODAS"/>
    <x v="0"/>
    <x v="62"/>
    <s v="UNIDADES"/>
    <n v="1395.83333333"/>
    <n v="0"/>
    <n v="0"/>
    <n v="0"/>
    <n v="0"/>
    <n v="0"/>
    <x v="1"/>
  </r>
  <r>
    <x v="2"/>
    <x v="10"/>
    <x v="4"/>
    <s v="GASEOSAS Y SODAS"/>
    <x v="0"/>
    <x v="62"/>
    <s v="UNIDADES"/>
    <n v="1395.79166667"/>
    <n v="4"/>
    <n v="4"/>
    <n v="0"/>
    <n v="5583.1666666800002"/>
    <n v="0"/>
    <x v="1"/>
  </r>
  <r>
    <x v="2"/>
    <x v="12"/>
    <x v="3"/>
    <s v="ABARROTES"/>
    <x v="1"/>
    <x v="734"/>
    <s v="GRAMOS"/>
    <n v="33.08368067"/>
    <n v="462.45460000000003"/>
    <n v="0"/>
    <n v="-462.45455199999998"/>
    <n v="0"/>
    <n v="-15299.698722755909"/>
    <x v="2"/>
  </r>
  <r>
    <x v="2"/>
    <x v="14"/>
    <x v="0"/>
    <s v="ABARROTES"/>
    <x v="1"/>
    <x v="734"/>
    <s v="GRAMOS"/>
    <n v="39.31131019"/>
    <n v="2715.1664999999998"/>
    <n v="2374"/>
    <n v="-341.16649999999998"/>
    <n v="93325.050391059995"/>
    <n v="-13411.702107936635"/>
    <x v="2"/>
  </r>
  <r>
    <x v="2"/>
    <x v="13"/>
    <x v="2"/>
    <s v="ABARROTES"/>
    <x v="1"/>
    <x v="734"/>
    <s v="GRAMOS"/>
    <n v="33.08368067"/>
    <n v="-287"/>
    <n v="470"/>
    <n v="757"/>
    <n v="15549.329914899999"/>
    <n v="25044.346267190002"/>
    <x v="0"/>
  </r>
  <r>
    <x v="2"/>
    <x v="15"/>
    <x v="1"/>
    <s v="ABARROTES"/>
    <x v="1"/>
    <x v="734"/>
    <s v="GRAMOS"/>
    <n v="39.31131019"/>
    <n v="1608"/>
    <n v="500"/>
    <n v="-1108"/>
    <n v="19655.655095000002"/>
    <n v="-43556.931690520003"/>
    <x v="2"/>
  </r>
  <r>
    <x v="2"/>
    <x v="10"/>
    <x v="4"/>
    <s v="ABARROTES"/>
    <x v="1"/>
    <x v="734"/>
    <s v="GRAMOS"/>
    <n v="33.08368067"/>
    <n v="1090"/>
    <n v="2000"/>
    <n v="910"/>
    <n v="66167.361340000003"/>
    <n v="30106.1494097"/>
    <x v="0"/>
  </r>
  <r>
    <x v="2"/>
    <x v="12"/>
    <x v="3"/>
    <s v="ABARROTES"/>
    <x v="1"/>
    <x v="735"/>
    <s v="GRAMOS"/>
    <n v="14.19373109"/>
    <n v="-6.5"/>
    <n v="0"/>
    <n v="6.5"/>
    <n v="0"/>
    <n v="92.259252085"/>
    <x v="0"/>
  </r>
  <r>
    <x v="2"/>
    <x v="13"/>
    <x v="2"/>
    <s v="ABARROTES"/>
    <x v="1"/>
    <x v="735"/>
    <s v="GRAMOS"/>
    <n v="14.19373109"/>
    <n v="500"/>
    <n v="0"/>
    <n v="-500"/>
    <n v="0"/>
    <n v="-7096.8655449999997"/>
    <x v="2"/>
  </r>
  <r>
    <x v="2"/>
    <x v="10"/>
    <x v="4"/>
    <s v="ABARROTES"/>
    <x v="1"/>
    <x v="735"/>
    <s v="GRAMOS"/>
    <n v="14.19373109"/>
    <n v="1000"/>
    <n v="0"/>
    <n v="-1000"/>
    <n v="0"/>
    <n v="-14193.731089999999"/>
    <x v="2"/>
  </r>
  <r>
    <x v="2"/>
    <x v="12"/>
    <x v="3"/>
    <s v="SUB RECETAS"/>
    <x v="1"/>
    <x v="736"/>
    <s v="GRAMOS"/>
    <n v="18.46795453"/>
    <n v="1351"/>
    <n v="0"/>
    <n v="-1351"/>
    <n v="0"/>
    <n v="-24950.206570030001"/>
    <x v="2"/>
  </r>
  <r>
    <x v="2"/>
    <x v="14"/>
    <x v="0"/>
    <s v="SUB RECETAS"/>
    <x v="1"/>
    <x v="736"/>
    <s v="GRAMOS"/>
    <n v="21.75140914"/>
    <n v="5.5"/>
    <n v="476"/>
    <n v="470.5"/>
    <n v="10353.67075064"/>
    <n v="10234.038000369999"/>
    <x v="0"/>
  </r>
  <r>
    <x v="2"/>
    <x v="13"/>
    <x v="2"/>
    <s v="SUB RECETAS"/>
    <x v="1"/>
    <x v="736"/>
    <s v="GRAMOS"/>
    <n v="18.46795453"/>
    <n v="0"/>
    <n v="0"/>
    <n v="0"/>
    <n v="0"/>
    <n v="0"/>
    <x v="1"/>
  </r>
  <r>
    <x v="2"/>
    <x v="15"/>
    <x v="1"/>
    <s v="SUB RECETAS"/>
    <x v="1"/>
    <x v="736"/>
    <s v="GRAMOS"/>
    <n v="21.75140914"/>
    <n v="-1520"/>
    <n v="150"/>
    <n v="1670"/>
    <n v="3262.7113709999999"/>
    <n v="36324.853263799996"/>
    <x v="0"/>
  </r>
  <r>
    <x v="2"/>
    <x v="10"/>
    <x v="4"/>
    <s v="SUB RECETAS"/>
    <x v="1"/>
    <x v="736"/>
    <s v="GRAMOS"/>
    <n v="18.46795453"/>
    <n v="968"/>
    <n v="0"/>
    <n v="-968"/>
    <n v="0"/>
    <n v="-17876.979985040001"/>
    <x v="2"/>
  </r>
  <r>
    <x v="2"/>
    <x v="12"/>
    <x v="3"/>
    <s v="SUB-RECETAS CP"/>
    <x v="1"/>
    <x v="737"/>
    <s v="GRAMOS"/>
    <n v="72.601667000000006"/>
    <n v="-580"/>
    <n v="90"/>
    <n v="670"/>
    <n v="6534.1500300000007"/>
    <n v="48643.116890000005"/>
    <x v="0"/>
  </r>
  <r>
    <x v="2"/>
    <x v="13"/>
    <x v="2"/>
    <s v="SUB-RECETAS CP"/>
    <x v="1"/>
    <x v="737"/>
    <s v="GRAMOS"/>
    <n v="72.601667000000006"/>
    <n v="-850"/>
    <n v="0"/>
    <n v="850"/>
    <n v="0"/>
    <n v="61711.416950000006"/>
    <x v="0"/>
  </r>
  <r>
    <x v="2"/>
    <x v="10"/>
    <x v="4"/>
    <s v="SUB-RECETAS CP"/>
    <x v="1"/>
    <x v="737"/>
    <s v="GRAMOS"/>
    <n v="72.601667000000006"/>
    <n v="-1125"/>
    <n v="80"/>
    <n v="1205"/>
    <n v="5808.1333600000007"/>
    <n v="87485.00873500001"/>
    <x v="0"/>
  </r>
  <r>
    <x v="2"/>
    <x v="14"/>
    <x v="0"/>
    <s v="SUB RECETAS"/>
    <x v="1"/>
    <x v="738"/>
    <s v="GRAMOS"/>
    <n v="12.88237917"/>
    <n v="2557"/>
    <n v="1500"/>
    <n v="-1057"/>
    <n v="19323.568755"/>
    <n v="-13616.674782690001"/>
    <x v="2"/>
  </r>
  <r>
    <x v="2"/>
    <x v="12"/>
    <x v="3"/>
    <s v="SUB RECETAS"/>
    <x v="1"/>
    <x v="739"/>
    <s v="GRAMOS"/>
    <n v="30.109111110000001"/>
    <n v="-491"/>
    <n v="0"/>
    <n v="491"/>
    <n v="0"/>
    <n v="14783.57355501"/>
    <x v="0"/>
  </r>
  <r>
    <x v="2"/>
    <x v="13"/>
    <x v="2"/>
    <s v="SUB RECETAS"/>
    <x v="1"/>
    <x v="739"/>
    <s v="GRAMOS"/>
    <n v="30.109111110000001"/>
    <n v="396"/>
    <n v="158"/>
    <n v="-238"/>
    <n v="4757.2395553799997"/>
    <n v="-7165.96844418"/>
    <x v="2"/>
  </r>
  <r>
    <x v="2"/>
    <x v="10"/>
    <x v="4"/>
    <s v="SUB RECETAS"/>
    <x v="1"/>
    <x v="739"/>
    <s v="GRAMOS"/>
    <n v="30.109111110000001"/>
    <n v="692"/>
    <n v="264"/>
    <n v="-428"/>
    <n v="7948.8053330399998"/>
    <n v="-12886.69955508"/>
    <x v="2"/>
  </r>
  <r>
    <x v="2"/>
    <x v="12"/>
    <x v="3"/>
    <s v="SUB RECETAS"/>
    <x v="1"/>
    <x v="740"/>
    <s v="GRAMOS"/>
    <n v="30.36706689"/>
    <n v="0"/>
    <n v="0"/>
    <n v="0"/>
    <n v="0"/>
    <n v="0"/>
    <x v="1"/>
  </r>
  <r>
    <x v="2"/>
    <x v="14"/>
    <x v="0"/>
    <s v="SUB RECETAS"/>
    <x v="1"/>
    <x v="740"/>
    <s v="GRAMOS"/>
    <n v="27.020740360000001"/>
    <n v="11822"/>
    <n v="5710"/>
    <n v="-6112"/>
    <n v="154288.4274556"/>
    <n v="-165150.76508032001"/>
    <x v="2"/>
  </r>
  <r>
    <x v="2"/>
    <x v="13"/>
    <x v="2"/>
    <s v="SUB RECETAS"/>
    <x v="1"/>
    <x v="740"/>
    <s v="GRAMOS"/>
    <n v="30.36706689"/>
    <n v="0"/>
    <n v="0"/>
    <n v="0"/>
    <n v="0"/>
    <n v="0"/>
    <x v="1"/>
  </r>
  <r>
    <x v="2"/>
    <x v="10"/>
    <x v="4"/>
    <s v="SUB RECETAS"/>
    <x v="1"/>
    <x v="740"/>
    <s v="GRAMOS"/>
    <n v="30.36706689"/>
    <n v="0"/>
    <n v="3922"/>
    <n v="3922"/>
    <n v="119099.63634258001"/>
    <n v="119099.63634258001"/>
    <x v="0"/>
  </r>
  <r>
    <x v="2"/>
    <x v="15"/>
    <x v="1"/>
    <s v="SUB RECETAS"/>
    <x v="1"/>
    <x v="741"/>
    <s v="GRAMOS"/>
    <n v="85.958556479999999"/>
    <n v="3735"/>
    <n v="1925"/>
    <n v="-1810"/>
    <n v="165470.22122400001"/>
    <n v="-155584.98722879999"/>
    <x v="2"/>
  </r>
  <r>
    <x v="2"/>
    <x v="12"/>
    <x v="3"/>
    <s v="SUB RECETAS"/>
    <x v="1"/>
    <x v="742"/>
    <s v="GRAMOS"/>
    <n v="25.010719009999999"/>
    <n v="1772"/>
    <n v="0"/>
    <n v="-1772"/>
    <n v="0"/>
    <n v="-44318.994085719998"/>
    <x v="2"/>
  </r>
  <r>
    <x v="2"/>
    <x v="13"/>
    <x v="2"/>
    <s v="SUB RECETAS"/>
    <x v="1"/>
    <x v="742"/>
    <s v="GRAMOS"/>
    <n v="25.010719009999999"/>
    <n v="3316"/>
    <n v="1184"/>
    <n v="-2132"/>
    <n v="29612.691307839999"/>
    <n v="-53322.852929319997"/>
    <x v="2"/>
  </r>
  <r>
    <x v="2"/>
    <x v="15"/>
    <x v="1"/>
    <s v="SUB RECETAS"/>
    <x v="1"/>
    <x v="742"/>
    <s v="GRAMOS"/>
    <n v="25"/>
    <n v="0"/>
    <n v="0"/>
    <n v="0"/>
    <n v="0"/>
    <n v="0"/>
    <x v="1"/>
  </r>
  <r>
    <x v="2"/>
    <x v="10"/>
    <x v="4"/>
    <s v="SUB RECETAS"/>
    <x v="1"/>
    <x v="742"/>
    <s v="GRAMOS"/>
    <n v="25.010719009999999"/>
    <n v="-5049"/>
    <n v="450"/>
    <n v="5499"/>
    <n v="11254.823554499999"/>
    <n v="137533.94383599001"/>
    <x v="0"/>
  </r>
  <r>
    <x v="2"/>
    <x v="14"/>
    <x v="0"/>
    <s v="SUB RECETAS"/>
    <x v="1"/>
    <x v="743"/>
    <s v="GRAMOS"/>
    <n v="10.8178787"/>
    <n v="-8627"/>
    <n v="1060"/>
    <n v="9687"/>
    <n v="11466.951422"/>
    <n v="104792.79096689999"/>
    <x v="0"/>
  </r>
  <r>
    <x v="2"/>
    <x v="12"/>
    <x v="3"/>
    <s v="SUB RECETAS"/>
    <x v="1"/>
    <x v="744"/>
    <s v="GRAMOS"/>
    <n v="27.358149999999998"/>
    <n v="0"/>
    <n v="0"/>
    <n v="0"/>
    <n v="0"/>
    <n v="0"/>
    <x v="1"/>
  </r>
  <r>
    <x v="2"/>
    <x v="13"/>
    <x v="2"/>
    <s v="SUB RECETAS"/>
    <x v="1"/>
    <x v="744"/>
    <s v="GRAMOS"/>
    <n v="27.358149999999998"/>
    <n v="0"/>
    <n v="0"/>
    <n v="0"/>
    <n v="0"/>
    <n v="0"/>
    <x v="1"/>
  </r>
  <r>
    <x v="2"/>
    <x v="15"/>
    <x v="1"/>
    <s v="SUB RECETAS"/>
    <x v="1"/>
    <x v="744"/>
    <s v="GRAMOS"/>
    <n v="27.358149999999998"/>
    <n v="-31998.682000000001"/>
    <n v="11250"/>
    <n v="43248.681980000001"/>
    <n v="307779.1875"/>
    <n v="1183203.9289111369"/>
    <x v="0"/>
  </r>
  <r>
    <x v="2"/>
    <x v="10"/>
    <x v="4"/>
    <s v="SUB RECETAS"/>
    <x v="1"/>
    <x v="744"/>
    <s v="GRAMOS"/>
    <n v="27.358149999999998"/>
    <n v="0"/>
    <n v="0"/>
    <n v="0"/>
    <n v="0"/>
    <n v="0"/>
    <x v="1"/>
  </r>
  <r>
    <x v="2"/>
    <x v="12"/>
    <x v="3"/>
    <s v="SUB RECETAS"/>
    <x v="1"/>
    <x v="745"/>
    <s v="GRAMOS"/>
    <n v="32.015888930000003"/>
    <n v="-480"/>
    <n v="1464"/>
    <n v="1944"/>
    <n v="46871.261393520006"/>
    <n v="62238.888079920005"/>
    <x v="0"/>
  </r>
  <r>
    <x v="2"/>
    <x v="13"/>
    <x v="2"/>
    <s v="SUB RECETAS"/>
    <x v="1"/>
    <x v="745"/>
    <s v="GRAMOS"/>
    <n v="32.015888930000003"/>
    <n v="394"/>
    <n v="0"/>
    <n v="-394"/>
    <n v="0"/>
    <n v="-12614.260238420002"/>
    <x v="2"/>
  </r>
  <r>
    <x v="2"/>
    <x v="10"/>
    <x v="4"/>
    <s v="SUB RECETAS"/>
    <x v="1"/>
    <x v="745"/>
    <s v="GRAMOS"/>
    <n v="32.015888930000003"/>
    <n v="603"/>
    <n v="230"/>
    <n v="-373"/>
    <n v="7363.6544539000006"/>
    <n v="-11941.92657089"/>
    <x v="2"/>
  </r>
  <r>
    <x v="2"/>
    <x v="12"/>
    <x v="3"/>
    <s v="SUB-RECETAS CP"/>
    <x v="1"/>
    <x v="297"/>
    <s v="GRAMOS"/>
    <n v="12.51466177"/>
    <n v="6330"/>
    <n v="2764"/>
    <n v="-3566"/>
    <n v="34590.525132280003"/>
    <n v="-44627.28387182"/>
    <x v="2"/>
  </r>
  <r>
    <x v="2"/>
    <x v="13"/>
    <x v="2"/>
    <s v="SUB-RECETAS CP"/>
    <x v="1"/>
    <x v="297"/>
    <s v="GRAMOS"/>
    <n v="12.51466177"/>
    <n v="23600"/>
    <n v="5000"/>
    <n v="-18600"/>
    <n v="62573.308850000001"/>
    <n v="-232772.70892199999"/>
    <x v="2"/>
  </r>
  <r>
    <x v="2"/>
    <x v="16"/>
    <x v="5"/>
    <s v="SUB-RECETAS CP"/>
    <x v="1"/>
    <x v="297"/>
    <s v="GRAMOS"/>
    <n v="12.51466177"/>
    <n v="10500"/>
    <n v="10788"/>
    <n v="288"/>
    <n v="135008.17117476001"/>
    <n v="3604.2225897600001"/>
    <x v="0"/>
  </r>
  <r>
    <x v="2"/>
    <x v="10"/>
    <x v="4"/>
    <s v="SUB-RECETAS CP"/>
    <x v="1"/>
    <x v="297"/>
    <s v="GRAMOS"/>
    <n v="12.51466177"/>
    <n v="8105"/>
    <n v="3300"/>
    <n v="-4805"/>
    <n v="41298.383841000003"/>
    <n v="-60132.949804850003"/>
    <x v="2"/>
  </r>
  <r>
    <x v="2"/>
    <x v="15"/>
    <x v="1"/>
    <s v="SUB RECETAS"/>
    <x v="1"/>
    <x v="218"/>
    <s v="GRAMOS"/>
    <n v="11.371278200000001"/>
    <n v="-314045"/>
    <n v="0"/>
    <n v="314045"/>
    <n v="0"/>
    <n v="3571093.0623190003"/>
    <x v="0"/>
  </r>
  <r>
    <x v="2"/>
    <x v="12"/>
    <x v="3"/>
    <s v="SUB-RECETAS BAR"/>
    <x v="0"/>
    <x v="746"/>
    <s v="GRAMOS"/>
    <n v="4.0679999999999996"/>
    <n v="23071"/>
    <n v="4180"/>
    <n v="-18891"/>
    <n v="17004.239999999998"/>
    <n v="-76848.587999999989"/>
    <x v="2"/>
  </r>
  <r>
    <x v="2"/>
    <x v="14"/>
    <x v="0"/>
    <s v="SUB-RECETAS BAR"/>
    <x v="0"/>
    <x v="746"/>
    <s v="GRAMOS"/>
    <n v="4.0680500000000004"/>
    <n v="-18528"/>
    <n v="3204"/>
    <n v="21732"/>
    <n v="13034.032200000001"/>
    <n v="88406.862600000008"/>
    <x v="0"/>
  </r>
  <r>
    <x v="2"/>
    <x v="13"/>
    <x v="2"/>
    <s v="SUB-RECETAS BAR"/>
    <x v="0"/>
    <x v="746"/>
    <s v="GRAMOS"/>
    <n v="4.0679999999999996"/>
    <n v="-22534"/>
    <n v="4750"/>
    <n v="27284"/>
    <n v="19322.999999999996"/>
    <n v="110991.31199999999"/>
    <x v="0"/>
  </r>
  <r>
    <x v="2"/>
    <x v="15"/>
    <x v="1"/>
    <s v="SUB-RECETAS BAR"/>
    <x v="0"/>
    <x v="746"/>
    <s v="GRAMOS"/>
    <n v="4.0680500000000004"/>
    <n v="-14470.3333"/>
    <n v="1345"/>
    <n v="15815.33333329"/>
    <n v="5471.5272500000001"/>
    <n v="64337.566766490389"/>
    <x v="0"/>
  </r>
  <r>
    <x v="2"/>
    <x v="10"/>
    <x v="4"/>
    <s v="SUB-RECETAS BAR"/>
    <x v="0"/>
    <x v="746"/>
    <s v="GRAMOS"/>
    <n v="4.0679999999999996"/>
    <n v="-29400"/>
    <n v="4200"/>
    <n v="33600"/>
    <n v="17085.599999999999"/>
    <n v="136684.79999999999"/>
    <x v="0"/>
  </r>
  <r>
    <x v="2"/>
    <x v="12"/>
    <x v="3"/>
    <s v="SUB-RECETAS BAR"/>
    <x v="0"/>
    <x v="747"/>
    <s v="GRAMOS"/>
    <n v="6.9158522400000004"/>
    <n v="-2472"/>
    <n v="0"/>
    <n v="2472"/>
    <n v="0"/>
    <n v="17095.98673728"/>
    <x v="0"/>
  </r>
  <r>
    <x v="2"/>
    <x v="14"/>
    <x v="0"/>
    <s v="SUB-RECETAS BAR"/>
    <x v="0"/>
    <x v="747"/>
    <s v="GRAMOS"/>
    <n v="4.4289959999999997"/>
    <n v="-14846"/>
    <n v="0"/>
    <n v="14846"/>
    <n v="0"/>
    <n v="65752.874616000001"/>
    <x v="0"/>
  </r>
  <r>
    <x v="2"/>
    <x v="13"/>
    <x v="2"/>
    <s v="SUB-RECETAS BAR"/>
    <x v="0"/>
    <x v="747"/>
    <s v="GRAMOS"/>
    <n v="6.9158522400000004"/>
    <n v="-5000"/>
    <n v="0"/>
    <n v="5000"/>
    <n v="0"/>
    <n v="34579.261200000001"/>
    <x v="0"/>
  </r>
  <r>
    <x v="2"/>
    <x v="10"/>
    <x v="4"/>
    <s v="SUB-RECETAS BAR"/>
    <x v="0"/>
    <x v="747"/>
    <s v="GRAMOS"/>
    <n v="6.9158522400000004"/>
    <n v="-13410"/>
    <n v="0"/>
    <n v="13410"/>
    <n v="0"/>
    <n v="92741.578538400005"/>
    <x v="0"/>
  </r>
  <r>
    <x v="2"/>
    <x v="12"/>
    <x v="3"/>
    <s v="SUB-RECETAS BAR"/>
    <x v="0"/>
    <x v="748"/>
    <s v="GRAMOS"/>
    <n v="5.3544533300000001"/>
    <n v="1463"/>
    <n v="672"/>
    <n v="-791"/>
    <n v="3598.1926377600003"/>
    <n v="-4235.3725840300003"/>
    <x v="2"/>
  </r>
  <r>
    <x v="2"/>
    <x v="14"/>
    <x v="0"/>
    <s v="SUB-RECETAS BAR"/>
    <x v="0"/>
    <x v="748"/>
    <s v="GRAMOS"/>
    <n v="3.4520870600000002"/>
    <n v="457"/>
    <n v="10"/>
    <n v="-447"/>
    <n v="34.520870600000002"/>
    <n v="-1543.0829158200002"/>
    <x v="2"/>
  </r>
  <r>
    <x v="2"/>
    <x v="13"/>
    <x v="2"/>
    <s v="SUB-RECETAS BAR"/>
    <x v="0"/>
    <x v="748"/>
    <s v="GRAMOS"/>
    <n v="5.3544533300000001"/>
    <n v="-231"/>
    <n v="600"/>
    <n v="831"/>
    <n v="3212.6719980000003"/>
    <n v="4449.5507172300004"/>
    <x v="0"/>
  </r>
  <r>
    <x v="2"/>
    <x v="15"/>
    <x v="1"/>
    <s v="SUB-RECETAS BAR"/>
    <x v="0"/>
    <x v="748"/>
    <s v="GRAMOS"/>
    <n v="3.4520870600000002"/>
    <n v="-60"/>
    <n v="0"/>
    <n v="60"/>
    <n v="0"/>
    <n v="207.12522360000003"/>
    <x v="0"/>
  </r>
  <r>
    <x v="2"/>
    <x v="10"/>
    <x v="4"/>
    <s v="SUB-RECETAS BAR"/>
    <x v="0"/>
    <x v="748"/>
    <s v="GRAMOS"/>
    <n v="5.3544533300000001"/>
    <n v="-1155"/>
    <n v="0"/>
    <n v="1155"/>
    <n v="0"/>
    <n v="6184.3935961500001"/>
    <x v="0"/>
  </r>
  <r>
    <x v="2"/>
    <x v="12"/>
    <x v="3"/>
    <s v="SUB-RECETAS BAR"/>
    <x v="0"/>
    <x v="749"/>
    <s v="GRAMOS"/>
    <n v="2.9635938500000001"/>
    <n v="7064"/>
    <n v="2912"/>
    <n v="-4152"/>
    <n v="8629.9852912000006"/>
    <n v="-12304.8416652"/>
    <x v="2"/>
  </r>
  <r>
    <x v="2"/>
    <x v="13"/>
    <x v="2"/>
    <s v="SUB-RECETAS BAR"/>
    <x v="0"/>
    <x v="749"/>
    <s v="GRAMOS"/>
    <n v="2.9635938500000001"/>
    <n v="-1334"/>
    <n v="750"/>
    <n v="2084"/>
    <n v="2222.6953874999999"/>
    <n v="6176.1295834000002"/>
    <x v="0"/>
  </r>
  <r>
    <x v="2"/>
    <x v="10"/>
    <x v="4"/>
    <s v="SUB-RECETAS BAR"/>
    <x v="0"/>
    <x v="749"/>
    <s v="GRAMOS"/>
    <n v="2.9635938500000001"/>
    <n v="3820"/>
    <n v="3304"/>
    <n v="-516"/>
    <n v="9791.714080400001"/>
    <n v="-1529.2144266"/>
    <x v="2"/>
  </r>
  <r>
    <x v="2"/>
    <x v="12"/>
    <x v="3"/>
    <s v="SUB-RECETAS CP"/>
    <x v="1"/>
    <x v="750"/>
    <s v="GRAMOS"/>
    <n v="5.7526719999999996"/>
    <n v="-600"/>
    <n v="0"/>
    <n v="600"/>
    <n v="0"/>
    <n v="3451.6031999999996"/>
    <x v="0"/>
  </r>
  <r>
    <x v="2"/>
    <x v="13"/>
    <x v="2"/>
    <s v="SUB-RECETAS CP"/>
    <x v="1"/>
    <x v="750"/>
    <s v="GRAMOS"/>
    <n v="5.7526719999999996"/>
    <n v="-420"/>
    <n v="0"/>
    <n v="420"/>
    <n v="0"/>
    <n v="2416.1222399999997"/>
    <x v="0"/>
  </r>
  <r>
    <x v="2"/>
    <x v="10"/>
    <x v="4"/>
    <s v="SUB-RECETAS CP"/>
    <x v="1"/>
    <x v="750"/>
    <s v="GRAMOS"/>
    <n v="5.7526719999999996"/>
    <n v="-60"/>
    <n v="0"/>
    <n v="60"/>
    <n v="0"/>
    <n v="345.16031999999996"/>
    <x v="0"/>
  </r>
  <r>
    <x v="2"/>
    <x v="12"/>
    <x v="3"/>
    <s v="SUB-RECETAS BAR"/>
    <x v="0"/>
    <x v="751"/>
    <s v="GRAMOS"/>
    <n v="12.08168"/>
    <n v="10122"/>
    <n v="4134"/>
    <n v="-5988"/>
    <n v="49945.665120000005"/>
    <n v="-72345.099839999995"/>
    <x v="2"/>
  </r>
  <r>
    <x v="2"/>
    <x v="14"/>
    <x v="0"/>
    <s v="SUB-RECETAS BAR"/>
    <x v="0"/>
    <x v="751"/>
    <s v="GRAMOS"/>
    <n v="12.081659999999999"/>
    <n v="692"/>
    <n v="3450"/>
    <n v="2758"/>
    <n v="41681.726999999999"/>
    <n v="33321.218280000001"/>
    <x v="0"/>
  </r>
  <r>
    <x v="2"/>
    <x v="13"/>
    <x v="2"/>
    <s v="SUB-RECETAS BAR"/>
    <x v="0"/>
    <x v="751"/>
    <s v="GRAMOS"/>
    <n v="12.08168"/>
    <n v="-2205"/>
    <n v="3480"/>
    <n v="5685"/>
    <n v="42044.246400000004"/>
    <n v="68684.3508"/>
    <x v="0"/>
  </r>
  <r>
    <x v="2"/>
    <x v="10"/>
    <x v="4"/>
    <s v="SUB-RECETAS BAR"/>
    <x v="0"/>
    <x v="751"/>
    <s v="GRAMOS"/>
    <n v="12.08168"/>
    <n v="-4170"/>
    <n v="2740"/>
    <n v="6910"/>
    <n v="33103.803200000002"/>
    <n v="83484.408800000005"/>
    <x v="0"/>
  </r>
  <r>
    <x v="2"/>
    <x v="12"/>
    <x v="3"/>
    <s v="SUB-RECETAS BAR"/>
    <x v="0"/>
    <x v="752"/>
    <s v="GRAMOS"/>
    <n v="20.683798719999999"/>
    <n v="422"/>
    <n v="396"/>
    <n v="-26"/>
    <n v="8190.7842931199993"/>
    <n v="-537.77876672000002"/>
    <x v="2"/>
  </r>
  <r>
    <x v="2"/>
    <x v="13"/>
    <x v="2"/>
    <s v="SUB-RECETAS BAR"/>
    <x v="0"/>
    <x v="752"/>
    <s v="GRAMOS"/>
    <n v="20.683798719999999"/>
    <n v="80"/>
    <n v="1090"/>
    <n v="1010"/>
    <n v="22545.3406048"/>
    <n v="20890.636707199999"/>
    <x v="0"/>
  </r>
  <r>
    <x v="2"/>
    <x v="10"/>
    <x v="4"/>
    <s v="SUB-RECETAS BAR"/>
    <x v="0"/>
    <x v="752"/>
    <s v="GRAMOS"/>
    <n v="20.683798719999999"/>
    <n v="40"/>
    <n v="250"/>
    <n v="210"/>
    <n v="5170.9496799999997"/>
    <n v="4343.5977311999995"/>
    <x v="0"/>
  </r>
  <r>
    <x v="2"/>
    <x v="12"/>
    <x v="3"/>
    <s v="SUB-RECETAS BAR"/>
    <x v="0"/>
    <x v="753"/>
    <s v="GRAMOS"/>
    <n v="3.8775692300000002"/>
    <n v="768"/>
    <n v="0"/>
    <n v="-768"/>
    <n v="0"/>
    <n v="-2977.97316864"/>
    <x v="2"/>
  </r>
  <r>
    <x v="2"/>
    <x v="13"/>
    <x v="2"/>
    <s v="SUB-RECETAS BAR"/>
    <x v="0"/>
    <x v="753"/>
    <s v="GRAMOS"/>
    <n v="3.8775692300000002"/>
    <n v="-167"/>
    <n v="3720"/>
    <n v="3887"/>
    <n v="14424.557535600001"/>
    <n v="15072.11159701"/>
    <x v="0"/>
  </r>
  <r>
    <x v="2"/>
    <x v="15"/>
    <x v="1"/>
    <s v="SUB-RECETAS BAR"/>
    <x v="0"/>
    <x v="753"/>
    <s v="GRAMOS"/>
    <n v="3.8775615399999999"/>
    <n v="-826"/>
    <n v="955"/>
    <n v="1781"/>
    <n v="3703.0712706999998"/>
    <n v="6905.9371027399993"/>
    <x v="0"/>
  </r>
  <r>
    <x v="2"/>
    <x v="10"/>
    <x v="4"/>
    <s v="SUB-RECETAS BAR"/>
    <x v="0"/>
    <x v="753"/>
    <s v="GRAMOS"/>
    <n v="3.8775692300000002"/>
    <n v="2645"/>
    <n v="1804"/>
    <n v="-841"/>
    <n v="6995.1348909200005"/>
    <n v="-3261.0357224300001"/>
    <x v="2"/>
  </r>
  <r>
    <x v="2"/>
    <x v="12"/>
    <x v="3"/>
    <s v="SUB-RECETAS BAR"/>
    <x v="0"/>
    <x v="754"/>
    <s v="GRAMOS"/>
    <n v="28.178271890000001"/>
    <n v="994"/>
    <n v="716"/>
    <n v="-278"/>
    <n v="20175.64267324"/>
    <n v="-7833.5595854200001"/>
    <x v="2"/>
  </r>
  <r>
    <x v="2"/>
    <x v="13"/>
    <x v="2"/>
    <s v="SUB-RECETAS BAR"/>
    <x v="0"/>
    <x v="754"/>
    <s v="GRAMOS"/>
    <n v="28.178271890000001"/>
    <n v="1178"/>
    <n v="930"/>
    <n v="-248"/>
    <n v="26205.792857700002"/>
    <n v="-6988.2114287200002"/>
    <x v="2"/>
  </r>
  <r>
    <x v="2"/>
    <x v="10"/>
    <x v="4"/>
    <s v="SUB-RECETAS BAR"/>
    <x v="0"/>
    <x v="754"/>
    <s v="GRAMOS"/>
    <n v="28.178271890000001"/>
    <n v="-220"/>
    <n v="1356"/>
    <n v="1576"/>
    <n v="38209.736682840005"/>
    <n v="44408.95649864"/>
    <x v="0"/>
  </r>
  <r>
    <x v="2"/>
    <x v="12"/>
    <x v="3"/>
    <s v="SUB-RECETAS BAR"/>
    <x v="0"/>
    <x v="755"/>
    <s v="GRAMOS"/>
    <n v="5.64667429"/>
    <n v="2026"/>
    <n v="2452"/>
    <n v="426"/>
    <n v="13845.645359079999"/>
    <n v="2405.4832475399999"/>
    <x v="0"/>
  </r>
  <r>
    <x v="2"/>
    <x v="13"/>
    <x v="2"/>
    <s v="SUB-RECETAS BAR"/>
    <x v="0"/>
    <x v="755"/>
    <s v="GRAMOS"/>
    <n v="5.64667429"/>
    <n v="-4900"/>
    <n v="540"/>
    <n v="5440"/>
    <n v="3049.2041165999999"/>
    <n v="30717.908137599999"/>
    <x v="0"/>
  </r>
  <r>
    <x v="2"/>
    <x v="15"/>
    <x v="1"/>
    <s v="SUB-RECETAS BAR"/>
    <x v="0"/>
    <x v="755"/>
    <s v="GRAMOS"/>
    <n v="5.50380571"/>
    <n v="-5265"/>
    <n v="755"/>
    <n v="6020"/>
    <n v="4155.3733110499998"/>
    <n v="33132.910374200001"/>
    <x v="0"/>
  </r>
  <r>
    <x v="2"/>
    <x v="10"/>
    <x v="4"/>
    <s v="SUB-RECETAS BAR"/>
    <x v="0"/>
    <x v="755"/>
    <s v="GRAMOS"/>
    <n v="5.64667429"/>
    <n v="-8100"/>
    <n v="0"/>
    <n v="8100"/>
    <n v="0"/>
    <n v="45738.061749"/>
    <x v="0"/>
  </r>
  <r>
    <x v="2"/>
    <x v="14"/>
    <x v="0"/>
    <s v="SUB RECETAS"/>
    <x v="1"/>
    <x v="756"/>
    <s v="UNIDADES"/>
    <n v="5006.5510375000003"/>
    <n v="21"/>
    <n v="17"/>
    <n v="-4"/>
    <n v="85111.367637500007"/>
    <n v="-20026.204150000001"/>
    <x v="2"/>
  </r>
  <r>
    <x v="2"/>
    <x v="12"/>
    <x v="3"/>
    <s v="SUB RECETAS"/>
    <x v="1"/>
    <x v="757"/>
    <s v="UNIDADES"/>
    <n v="260.61510199000003"/>
    <n v="0"/>
    <n v="0"/>
    <n v="0"/>
    <n v="0"/>
    <n v="0"/>
    <x v="1"/>
  </r>
  <r>
    <x v="2"/>
    <x v="13"/>
    <x v="2"/>
    <s v="SUB RECETAS"/>
    <x v="1"/>
    <x v="757"/>
    <s v="UNIDADES"/>
    <n v="260.61510199000003"/>
    <n v="0"/>
    <n v="0"/>
    <n v="0"/>
    <n v="0"/>
    <n v="0"/>
    <x v="1"/>
  </r>
  <r>
    <x v="2"/>
    <x v="15"/>
    <x v="1"/>
    <s v="SUB RECETAS"/>
    <x v="1"/>
    <x v="757"/>
    <s v="UNIDADES"/>
    <n v="288.93391802999997"/>
    <n v="-153"/>
    <n v="46"/>
    <n v="199"/>
    <n v="13290.960229379998"/>
    <n v="57497.849687969996"/>
    <x v="0"/>
  </r>
  <r>
    <x v="2"/>
    <x v="10"/>
    <x v="4"/>
    <s v="SUB RECETAS"/>
    <x v="1"/>
    <x v="757"/>
    <s v="UNIDADES"/>
    <n v="260.61510199000003"/>
    <n v="0"/>
    <n v="0"/>
    <n v="0"/>
    <n v="0"/>
    <n v="0"/>
    <x v="1"/>
  </r>
  <r>
    <x v="2"/>
    <x v="14"/>
    <x v="0"/>
    <s v="SUB RECETAS"/>
    <x v="1"/>
    <x v="758"/>
    <s v="GRAMOS"/>
    <n v="13.41670669"/>
    <n v="-1300"/>
    <n v="1430"/>
    <n v="2730"/>
    <n v="19185.8905667"/>
    <n v="36627.609263699997"/>
    <x v="0"/>
  </r>
  <r>
    <x v="2"/>
    <x v="12"/>
    <x v="3"/>
    <s v="SUB RECETAS"/>
    <x v="1"/>
    <x v="759"/>
    <s v="GRAMOS"/>
    <n v="4.0698580900000003"/>
    <n v="-67318"/>
    <n v="9160"/>
    <n v="76477.999997000006"/>
    <n v="37279.900104400003"/>
    <n v="311254.60699481046"/>
    <x v="0"/>
  </r>
  <r>
    <x v="2"/>
    <x v="14"/>
    <x v="0"/>
    <s v="SUB RECETAS"/>
    <x v="1"/>
    <x v="759"/>
    <s v="GRAMOS"/>
    <n v="4.8418512600000003"/>
    <n v="-107683"/>
    <n v="6320"/>
    <n v="114003"/>
    <n v="30600.499963200004"/>
    <n v="551985.56919378007"/>
    <x v="0"/>
  </r>
  <r>
    <x v="2"/>
    <x v="13"/>
    <x v="2"/>
    <s v="SUB RECETAS"/>
    <x v="1"/>
    <x v="759"/>
    <s v="GRAMOS"/>
    <n v="4.0698580900000003"/>
    <n v="-196130"/>
    <n v="4068"/>
    <n v="200197.99999700001"/>
    <n v="16556.18271012"/>
    <n v="814777.44988961052"/>
    <x v="0"/>
  </r>
  <r>
    <x v="2"/>
    <x v="15"/>
    <x v="1"/>
    <s v="SUB RECETAS"/>
    <x v="1"/>
    <x v="759"/>
    <s v="GRAMOS"/>
    <n v="4.8418512600000003"/>
    <n v="-150"/>
    <n v="0"/>
    <n v="150"/>
    <n v="0"/>
    <n v="726.27768900000001"/>
    <x v="0"/>
  </r>
  <r>
    <x v="2"/>
    <x v="10"/>
    <x v="4"/>
    <s v="SUB RECETAS"/>
    <x v="1"/>
    <x v="759"/>
    <s v="GRAMOS"/>
    <n v="4.0698580900000003"/>
    <n v="-175105"/>
    <n v="7020"/>
    <n v="182125"/>
    <n v="28570.403791800003"/>
    <n v="741222.90464125003"/>
    <x v="0"/>
  </r>
  <r>
    <x v="2"/>
    <x v="16"/>
    <x v="5"/>
    <s v="SUB-RECETAS CP"/>
    <x v="1"/>
    <x v="313"/>
    <s v="GRAMOS"/>
    <n v="13.053135299999999"/>
    <n v="11000"/>
    <n v="11000"/>
    <n v="0"/>
    <n v="143584.4883"/>
    <n v="0"/>
    <x v="1"/>
  </r>
  <r>
    <x v="2"/>
    <x v="12"/>
    <x v="3"/>
    <s v="SUB RECETAS"/>
    <x v="1"/>
    <x v="760"/>
    <s v="GRAMOS"/>
    <n v="0.80859347000000004"/>
    <n v="823"/>
    <n v="3842"/>
    <n v="3019"/>
    <n v="3106.6161117400002"/>
    <n v="2441.1436859300002"/>
    <x v="0"/>
  </r>
  <r>
    <x v="2"/>
    <x v="13"/>
    <x v="2"/>
    <s v="SUB RECETAS"/>
    <x v="1"/>
    <x v="760"/>
    <s v="GRAMOS"/>
    <n v="0.80859347000000004"/>
    <n v="-690"/>
    <n v="4288"/>
    <n v="4978"/>
    <n v="3467.2487993600002"/>
    <n v="4025.1782936600002"/>
    <x v="0"/>
  </r>
  <r>
    <x v="2"/>
    <x v="10"/>
    <x v="4"/>
    <s v="SUB RECETAS"/>
    <x v="1"/>
    <x v="760"/>
    <s v="GRAMOS"/>
    <n v="0.80859347000000004"/>
    <n v="-495"/>
    <n v="0"/>
    <n v="495"/>
    <n v="0"/>
    <n v="400.25376765000004"/>
    <x v="0"/>
  </r>
  <r>
    <x v="2"/>
    <x v="12"/>
    <x v="3"/>
    <s v="SUB RECETAS"/>
    <x v="1"/>
    <x v="761"/>
    <s v="GRAMOS"/>
    <n v="5.91968519"/>
    <n v="-28836.999599999999"/>
    <n v="12500"/>
    <n v="41336.999600000003"/>
    <n v="73996.064874999996"/>
    <n v="244702.02433115593"/>
    <x v="0"/>
  </r>
  <r>
    <x v="2"/>
    <x v="14"/>
    <x v="0"/>
    <s v="SUB RECETAS"/>
    <x v="1"/>
    <x v="761"/>
    <s v="GRAMOS"/>
    <n v="5.3377320900000003"/>
    <n v="395"/>
    <n v="0"/>
    <n v="-395"/>
    <n v="0"/>
    <n v="-2108.4041755500002"/>
    <x v="2"/>
  </r>
  <r>
    <x v="2"/>
    <x v="13"/>
    <x v="2"/>
    <s v="SUB RECETAS"/>
    <x v="1"/>
    <x v="761"/>
    <s v="GRAMOS"/>
    <n v="5.91968519"/>
    <n v="-3142.9996000000001"/>
    <n v="0"/>
    <n v="3142.9996000000001"/>
    <n v="0"/>
    <n v="18605.568184295924"/>
    <x v="0"/>
  </r>
  <r>
    <x v="2"/>
    <x v="15"/>
    <x v="1"/>
    <s v="SUB RECETAS"/>
    <x v="1"/>
    <x v="761"/>
    <s v="GRAMOS"/>
    <n v="5.3377320900000003"/>
    <n v="0"/>
    <n v="0"/>
    <n v="0"/>
    <n v="0"/>
    <n v="0"/>
    <x v="1"/>
  </r>
  <r>
    <x v="2"/>
    <x v="10"/>
    <x v="4"/>
    <s v="SUB RECETAS"/>
    <x v="1"/>
    <x v="761"/>
    <s v="GRAMOS"/>
    <n v="5.91968519"/>
    <n v="28645"/>
    <n v="0"/>
    <n v="-28645"/>
    <n v="0"/>
    <n v="-169569.38226755001"/>
    <x v="2"/>
  </r>
  <r>
    <x v="2"/>
    <x v="14"/>
    <x v="0"/>
    <s v="SUB RECETAS"/>
    <x v="1"/>
    <x v="762"/>
    <s v="GRAMOS"/>
    <n v="19.393368299999999"/>
    <n v="998"/>
    <n v="1026"/>
    <n v="28"/>
    <n v="19897.595875799998"/>
    <n v="543.01431239999999"/>
    <x v="0"/>
  </r>
  <r>
    <x v="2"/>
    <x v="12"/>
    <x v="3"/>
    <s v="SUB RECETAS"/>
    <x v="1"/>
    <x v="763"/>
    <s v="GRAMOS"/>
    <n v="10.55083286"/>
    <n v="6146"/>
    <n v="0"/>
    <n v="-6146"/>
    <n v="0"/>
    <n v="-64845.418757560001"/>
    <x v="2"/>
  </r>
  <r>
    <x v="2"/>
    <x v="13"/>
    <x v="2"/>
    <s v="SUB RECETAS"/>
    <x v="1"/>
    <x v="763"/>
    <s v="GRAMOS"/>
    <n v="10.55083286"/>
    <n v="-9470"/>
    <n v="616"/>
    <n v="10086"/>
    <n v="6499.3130417599996"/>
    <n v="106415.70022596"/>
    <x v="0"/>
  </r>
  <r>
    <x v="2"/>
    <x v="15"/>
    <x v="1"/>
    <s v="SUB RECETAS"/>
    <x v="1"/>
    <x v="763"/>
    <s v="GRAMOS"/>
    <n v="7.7230266700000003"/>
    <n v="0"/>
    <n v="0"/>
    <n v="0"/>
    <n v="0"/>
    <n v="0"/>
    <x v="1"/>
  </r>
  <r>
    <x v="2"/>
    <x v="10"/>
    <x v="4"/>
    <s v="SUB RECETAS"/>
    <x v="1"/>
    <x v="763"/>
    <s v="GRAMOS"/>
    <n v="10.55083286"/>
    <n v="8804"/>
    <n v="2716"/>
    <n v="-6088"/>
    <n v="28656.062047759999"/>
    <n v="-64233.470451679997"/>
    <x v="2"/>
  </r>
  <r>
    <x v="2"/>
    <x v="12"/>
    <x v="3"/>
    <s v="SUB-RECETAS CP"/>
    <x v="1"/>
    <x v="764"/>
    <s v="GRAMOS"/>
    <n v="14.203966660000001"/>
    <n v="3154"/>
    <n v="90"/>
    <n v="-3064"/>
    <n v="1278.3569994000002"/>
    <n v="-43520.953846240001"/>
    <x v="2"/>
  </r>
  <r>
    <x v="2"/>
    <x v="13"/>
    <x v="2"/>
    <s v="SUB-RECETAS CP"/>
    <x v="1"/>
    <x v="764"/>
    <s v="GRAMOS"/>
    <n v="14.203966660000001"/>
    <n v="3950"/>
    <n v="0"/>
    <n v="-3950"/>
    <n v="0"/>
    <n v="-56105.668307"/>
    <x v="2"/>
  </r>
  <r>
    <x v="2"/>
    <x v="10"/>
    <x v="4"/>
    <s v="SUB-RECETAS CP"/>
    <x v="1"/>
    <x v="764"/>
    <s v="GRAMOS"/>
    <n v="14.203966660000001"/>
    <n v="-368"/>
    <n v="2130"/>
    <n v="2498"/>
    <n v="30254.448985800002"/>
    <n v="35481.50871668"/>
    <x v="0"/>
  </r>
  <r>
    <x v="2"/>
    <x v="14"/>
    <x v="0"/>
    <s v="SUB RECETAS"/>
    <x v="1"/>
    <x v="765"/>
    <s v="GRAMOS"/>
    <n v="20.178303270000001"/>
    <n v="15790"/>
    <n v="5746"/>
    <n v="-10044"/>
    <n v="115944.53058942"/>
    <n v="-202670.87804388002"/>
    <x v="2"/>
  </r>
  <r>
    <x v="2"/>
    <x v="14"/>
    <x v="0"/>
    <s v="SUB RECETAS"/>
    <x v="1"/>
    <x v="766"/>
    <s v="GRAMOS"/>
    <n v="29"/>
    <n v="3718"/>
    <n v="4446"/>
    <n v="728"/>
    <n v="128934"/>
    <n v="21112"/>
    <x v="0"/>
  </r>
  <r>
    <x v="2"/>
    <x v="15"/>
    <x v="1"/>
    <s v="SUB RECETAS"/>
    <x v="1"/>
    <x v="767"/>
    <s v="GRAMOS"/>
    <n v="29.56694946"/>
    <n v="5871"/>
    <n v="0"/>
    <n v="-5871"/>
    <n v="0"/>
    <n v="-173587.56027966001"/>
    <x v="2"/>
  </r>
  <r>
    <x v="2"/>
    <x v="15"/>
    <x v="1"/>
    <s v="SUB RECETAS"/>
    <x v="1"/>
    <x v="768"/>
    <s v="GRAMOS"/>
    <n v="14.5089893"/>
    <n v="-440"/>
    <n v="480"/>
    <n v="920"/>
    <n v="6964.3148639999999"/>
    <n v="13348.270156"/>
    <x v="0"/>
  </r>
  <r>
    <x v="2"/>
    <x v="15"/>
    <x v="1"/>
    <s v="SUB RECETAS"/>
    <x v="1"/>
    <x v="769"/>
    <s v="GRAMOS"/>
    <n v="55"/>
    <n v="-3000"/>
    <n v="0"/>
    <n v="3000"/>
    <n v="0"/>
    <n v="165000"/>
    <x v="0"/>
  </r>
  <r>
    <x v="2"/>
    <x v="16"/>
    <x v="5"/>
    <s v="SUB-RECETAS BAR"/>
    <x v="0"/>
    <x v="325"/>
    <s v="UNIDADES"/>
    <n v="2170.71287394"/>
    <n v="0"/>
    <n v="0"/>
    <n v="0"/>
    <n v="0"/>
    <n v="0"/>
    <x v="1"/>
  </r>
  <r>
    <x v="2"/>
    <x v="14"/>
    <x v="0"/>
    <s v="SUB RECETAS"/>
    <x v="1"/>
    <x v="770"/>
    <s v="GRAMOS"/>
    <n v="8.15559425"/>
    <n v="1056"/>
    <n v="1382"/>
    <n v="326"/>
    <n v="11271.031253499999"/>
    <n v="2658.7237255"/>
    <x v="0"/>
  </r>
  <r>
    <x v="2"/>
    <x v="15"/>
    <x v="1"/>
    <s v="SUB RECETAS"/>
    <x v="1"/>
    <x v="276"/>
    <s v="GRAMOS"/>
    <n v="49.739212930000001"/>
    <n v="5275"/>
    <n v="7355"/>
    <n v="2080"/>
    <n v="365831.91110015003"/>
    <n v="103457.56289440001"/>
    <x v="0"/>
  </r>
  <r>
    <x v="2"/>
    <x v="14"/>
    <x v="0"/>
    <s v="SUB RECETAS"/>
    <x v="1"/>
    <x v="290"/>
    <s v="UNIDADES"/>
    <n v="2123.3610461899998"/>
    <n v="29"/>
    <n v="22"/>
    <n v="-7"/>
    <n v="46713.943016179997"/>
    <n v="-14863.527323329999"/>
    <x v="2"/>
  </r>
  <r>
    <x v="2"/>
    <x v="15"/>
    <x v="1"/>
    <s v="SUB RECETAS"/>
    <x v="1"/>
    <x v="284"/>
    <s v="UNIDADES"/>
    <n v="4169.9242607899996"/>
    <n v="5"/>
    <n v="5"/>
    <n v="0"/>
    <n v="20849.62130395"/>
    <n v="0"/>
    <x v="1"/>
  </r>
  <r>
    <x v="2"/>
    <x v="14"/>
    <x v="0"/>
    <s v="SUB RECETAS"/>
    <x v="1"/>
    <x v="294"/>
    <s v="UNIDADES"/>
    <n v="2521.1083722600001"/>
    <n v="29"/>
    <n v="26"/>
    <n v="-3"/>
    <n v="65548.81767876001"/>
    <n v="-7563.3251167800008"/>
    <x v="2"/>
  </r>
  <r>
    <x v="2"/>
    <x v="15"/>
    <x v="1"/>
    <s v="SUB RECETAS"/>
    <x v="1"/>
    <x v="289"/>
    <s v="UNIDADES"/>
    <n v="1547.4664831699999"/>
    <n v="-5"/>
    <n v="0"/>
    <n v="5"/>
    <n v="0"/>
    <n v="7737.33241585"/>
    <x v="0"/>
  </r>
  <r>
    <x v="2"/>
    <x v="14"/>
    <x v="0"/>
    <s v="SUB RECETAS"/>
    <x v="1"/>
    <x v="295"/>
    <s v="UNIDADES"/>
    <n v="1617.0728245400001"/>
    <n v="33"/>
    <n v="36"/>
    <n v="3"/>
    <n v="58214.621683440004"/>
    <n v="4851.2184736199997"/>
    <x v="0"/>
  </r>
  <r>
    <x v="2"/>
    <x v="14"/>
    <x v="0"/>
    <s v="SUB RECETAS"/>
    <x v="1"/>
    <x v="771"/>
    <s v="GRAMOS"/>
    <n v="19.380238810000002"/>
    <n v="11056"/>
    <n v="3650"/>
    <n v="-7406"/>
    <n v="70737.871656500007"/>
    <n v="-143530.04862686002"/>
    <x v="2"/>
  </r>
  <r>
    <x v="2"/>
    <x v="12"/>
    <x v="3"/>
    <s v="SUB RECETAS"/>
    <x v="1"/>
    <x v="249"/>
    <s v="GRAMOS"/>
    <n v="83.749250000000004"/>
    <n v="-2020"/>
    <n v="130"/>
    <n v="2150"/>
    <n v="10887.4025"/>
    <n v="180060.88750000001"/>
    <x v="0"/>
  </r>
  <r>
    <x v="2"/>
    <x v="13"/>
    <x v="2"/>
    <s v="SUB RECETAS"/>
    <x v="1"/>
    <x v="249"/>
    <s v="GRAMOS"/>
    <n v="83.749250000000004"/>
    <n v="-2851"/>
    <n v="1254"/>
    <n v="4105"/>
    <n v="105021.5595"/>
    <n v="343790.67125000001"/>
    <x v="0"/>
  </r>
  <r>
    <x v="2"/>
    <x v="10"/>
    <x v="4"/>
    <s v="SUB RECETAS"/>
    <x v="1"/>
    <x v="249"/>
    <s v="GRAMOS"/>
    <n v="83.749250000000004"/>
    <n v="232"/>
    <n v="1530"/>
    <n v="1298"/>
    <n v="128136.35250000001"/>
    <n v="108706.52650000001"/>
    <x v="0"/>
  </r>
  <r>
    <x v="2"/>
    <x v="12"/>
    <x v="3"/>
    <s v="SUB-RECETAS CP"/>
    <x v="1"/>
    <x v="772"/>
    <s v="UNIDADES"/>
    <n v="7.9000060000000003"/>
    <n v="0"/>
    <n v="0"/>
    <n v="0"/>
    <n v="0"/>
    <n v="0"/>
    <x v="1"/>
  </r>
  <r>
    <x v="2"/>
    <x v="13"/>
    <x v="2"/>
    <s v="SUB-RECETAS CP"/>
    <x v="1"/>
    <x v="772"/>
    <s v="UNIDADES"/>
    <n v="7.9000060000000003"/>
    <n v="0"/>
    <n v="0"/>
    <n v="0"/>
    <n v="0"/>
    <n v="0"/>
    <x v="1"/>
  </r>
  <r>
    <x v="2"/>
    <x v="10"/>
    <x v="4"/>
    <s v="SUB-RECETAS CP"/>
    <x v="1"/>
    <x v="772"/>
    <s v="UNIDADES"/>
    <n v="7.9000060000000003"/>
    <n v="0"/>
    <n v="0"/>
    <n v="0"/>
    <n v="0"/>
    <n v="0"/>
    <x v="1"/>
  </r>
  <r>
    <x v="2"/>
    <x v="12"/>
    <x v="3"/>
    <s v="SUB RECETAS"/>
    <x v="1"/>
    <x v="773"/>
    <s v="GRAMOS"/>
    <n v="12.4006852"/>
    <n v="26506"/>
    <n v="7030"/>
    <n v="-19476"/>
    <n v="87176.816955999995"/>
    <n v="-241515.7449552"/>
    <x v="2"/>
  </r>
  <r>
    <x v="2"/>
    <x v="13"/>
    <x v="2"/>
    <s v="SUB RECETAS"/>
    <x v="1"/>
    <x v="773"/>
    <s v="GRAMOS"/>
    <n v="12.4006852"/>
    <n v="1858"/>
    <n v="838"/>
    <n v="-1020"/>
    <n v="10391.7741976"/>
    <n v="-12648.698903999999"/>
    <x v="2"/>
  </r>
  <r>
    <x v="2"/>
    <x v="10"/>
    <x v="4"/>
    <s v="SUB RECETAS"/>
    <x v="1"/>
    <x v="773"/>
    <s v="GRAMOS"/>
    <n v="12.4006852"/>
    <n v="25968"/>
    <n v="120"/>
    <n v="-25848"/>
    <n v="1488.082224"/>
    <n v="-320532.91104959999"/>
    <x v="2"/>
  </r>
  <r>
    <x v="2"/>
    <x v="12"/>
    <x v="3"/>
    <s v="SUB-RECETAS CP"/>
    <x v="1"/>
    <x v="774"/>
    <s v="GRAMOS"/>
    <n v="16.683164909999999"/>
    <n v="-1766"/>
    <n v="144"/>
    <n v="1910"/>
    <n v="2402.3757470399996"/>
    <n v="31864.844978099998"/>
    <x v="0"/>
  </r>
  <r>
    <x v="2"/>
    <x v="13"/>
    <x v="2"/>
    <s v="SUB-RECETAS CP"/>
    <x v="1"/>
    <x v="774"/>
    <s v="GRAMOS"/>
    <n v="16.683164909999999"/>
    <n v="815"/>
    <n v="0"/>
    <n v="-815"/>
    <n v="0"/>
    <n v="-13596.779401649999"/>
    <x v="2"/>
  </r>
  <r>
    <x v="2"/>
    <x v="10"/>
    <x v="4"/>
    <s v="SUB-RECETAS CP"/>
    <x v="1"/>
    <x v="774"/>
    <s v="GRAMOS"/>
    <n v="16.683164909999999"/>
    <n v="583"/>
    <n v="928"/>
    <n v="345"/>
    <n v="15481.977036479999"/>
    <n v="5755.6918939499992"/>
    <x v="0"/>
  </r>
  <r>
    <x v="2"/>
    <x v="14"/>
    <x v="0"/>
    <s v="SUB RECETAS"/>
    <x v="1"/>
    <x v="775"/>
    <s v="UNIDADES"/>
    <n v="1115.09464865"/>
    <n v="169"/>
    <n v="56"/>
    <n v="-113"/>
    <n v="62445.300324399999"/>
    <n v="-126005.69529745"/>
    <x v="2"/>
  </r>
  <r>
    <x v="2"/>
    <x v="14"/>
    <x v="0"/>
    <s v="SUB RECETAS"/>
    <x v="1"/>
    <x v="775"/>
    <s v="UNIDADES"/>
    <n v="1673.13071851"/>
    <n v="0"/>
    <n v="0"/>
    <n v="0"/>
    <n v="0"/>
    <n v="0"/>
    <x v="1"/>
  </r>
  <r>
    <x v="2"/>
    <x v="12"/>
    <x v="3"/>
    <s v="SUB RECETAS"/>
    <x v="1"/>
    <x v="776"/>
    <s v="GRAMOS"/>
    <n v="12.96927698"/>
    <n v="-11280"/>
    <n v="5320"/>
    <n v="16600"/>
    <n v="68996.553533600003"/>
    <n v="215289.99786800001"/>
    <x v="0"/>
  </r>
  <r>
    <x v="2"/>
    <x v="13"/>
    <x v="2"/>
    <s v="SUB RECETAS"/>
    <x v="1"/>
    <x v="776"/>
    <s v="GRAMOS"/>
    <n v="12.96927698"/>
    <n v="-19884"/>
    <n v="0"/>
    <n v="19884"/>
    <n v="0"/>
    <n v="257881.10347032"/>
    <x v="0"/>
  </r>
  <r>
    <x v="2"/>
    <x v="10"/>
    <x v="4"/>
    <s v="SUB RECETAS"/>
    <x v="1"/>
    <x v="776"/>
    <s v="GRAMOS"/>
    <n v="12.96927698"/>
    <n v="5337"/>
    <n v="1846"/>
    <n v="-3491"/>
    <n v="23941.28530508"/>
    <n v="-45275.74593718"/>
    <x v="2"/>
  </r>
  <r>
    <x v="2"/>
    <x v="12"/>
    <x v="3"/>
    <s v="SUB RECETAS"/>
    <x v="1"/>
    <x v="777"/>
    <s v="GRAMOS"/>
    <n v="13.132463810000001"/>
    <n v="0"/>
    <n v="0"/>
    <n v="0"/>
    <n v="0"/>
    <n v="0"/>
    <x v="1"/>
  </r>
  <r>
    <x v="2"/>
    <x v="13"/>
    <x v="2"/>
    <s v="SUB RECETAS"/>
    <x v="1"/>
    <x v="777"/>
    <s v="GRAMOS"/>
    <n v="13.132463810000001"/>
    <n v="0"/>
    <n v="0"/>
    <n v="0"/>
    <n v="0"/>
    <n v="0"/>
    <x v="1"/>
  </r>
  <r>
    <x v="2"/>
    <x v="10"/>
    <x v="4"/>
    <s v="SUB RECETAS"/>
    <x v="1"/>
    <x v="777"/>
    <s v="GRAMOS"/>
    <n v="13.132463810000001"/>
    <n v="0"/>
    <n v="0"/>
    <n v="0"/>
    <n v="0"/>
    <n v="0"/>
    <x v="1"/>
  </r>
  <r>
    <x v="2"/>
    <x v="12"/>
    <x v="3"/>
    <s v="SUB RECETAS"/>
    <x v="1"/>
    <x v="252"/>
    <s v="GRAMOS"/>
    <n v="38.54204695"/>
    <n v="2974"/>
    <n v="1200"/>
    <n v="-1774"/>
    <n v="46250.456339999997"/>
    <n v="-68373.591289300006"/>
    <x v="2"/>
  </r>
  <r>
    <x v="2"/>
    <x v="13"/>
    <x v="2"/>
    <s v="SUB RECETAS"/>
    <x v="1"/>
    <x v="252"/>
    <s v="GRAMOS"/>
    <n v="38.54204695"/>
    <n v="2304"/>
    <n v="644"/>
    <n v="-1660"/>
    <n v="24821.0782358"/>
    <n v="-63979.797936999996"/>
    <x v="2"/>
  </r>
  <r>
    <x v="2"/>
    <x v="10"/>
    <x v="4"/>
    <s v="SUB RECETAS"/>
    <x v="1"/>
    <x v="252"/>
    <s v="GRAMOS"/>
    <n v="38.54204695"/>
    <n v="4347"/>
    <n v="606"/>
    <n v="-3741"/>
    <n v="23356.480451700001"/>
    <n v="-144185.79763995"/>
    <x v="2"/>
  </r>
  <r>
    <x v="2"/>
    <x v="15"/>
    <x v="1"/>
    <s v="SUB RECETAS"/>
    <x v="1"/>
    <x v="778"/>
    <s v="GRAMOS"/>
    <n v="11.30527504"/>
    <n v="-2015"/>
    <n v="345"/>
    <n v="2360"/>
    <n v="3900.3198887999997"/>
    <n v="26680.449094399999"/>
    <x v="0"/>
  </r>
  <r>
    <x v="2"/>
    <x v="12"/>
    <x v="3"/>
    <s v="SUB RECETAS"/>
    <x v="1"/>
    <x v="779"/>
    <s v="GRAMOS"/>
    <n v="12.5218083"/>
    <n v="0"/>
    <n v="0"/>
    <n v="0"/>
    <n v="0"/>
    <n v="0"/>
    <x v="1"/>
  </r>
  <r>
    <x v="2"/>
    <x v="14"/>
    <x v="0"/>
    <s v="SUB RECETAS"/>
    <x v="1"/>
    <x v="779"/>
    <s v="GRAMOS"/>
    <n v="13.61953087"/>
    <n v="3425"/>
    <n v="3132"/>
    <n v="-293"/>
    <n v="42656.370684840003"/>
    <n v="-3990.5225449099999"/>
    <x v="2"/>
  </r>
  <r>
    <x v="2"/>
    <x v="13"/>
    <x v="2"/>
    <s v="SUB RECETAS"/>
    <x v="1"/>
    <x v="779"/>
    <s v="GRAMOS"/>
    <n v="12.5218083"/>
    <n v="0"/>
    <n v="0"/>
    <n v="0"/>
    <n v="0"/>
    <n v="0"/>
    <x v="1"/>
  </r>
  <r>
    <x v="2"/>
    <x v="15"/>
    <x v="1"/>
    <s v="SUB RECETAS"/>
    <x v="1"/>
    <x v="779"/>
    <s v="GRAMOS"/>
    <n v="13.61953087"/>
    <n v="-462"/>
    <n v="200"/>
    <n v="662"/>
    <n v="2723.9061740000002"/>
    <n v="9016.1294359399999"/>
    <x v="0"/>
  </r>
  <r>
    <x v="2"/>
    <x v="10"/>
    <x v="4"/>
    <s v="SUB RECETAS"/>
    <x v="1"/>
    <x v="779"/>
    <s v="GRAMOS"/>
    <n v="12.5218083"/>
    <n v="0"/>
    <n v="0"/>
    <n v="0"/>
    <n v="0"/>
    <n v="0"/>
    <x v="1"/>
  </r>
  <r>
    <x v="2"/>
    <x v="12"/>
    <x v="3"/>
    <s v="SUB RECETAS"/>
    <x v="1"/>
    <x v="780"/>
    <s v="GRAMOS"/>
    <n v="9.3004967000000001"/>
    <n v="3266"/>
    <n v="968"/>
    <n v="-2298"/>
    <n v="9002.8808055999998"/>
    <n v="-21372.541416600001"/>
    <x v="2"/>
  </r>
  <r>
    <x v="2"/>
    <x v="13"/>
    <x v="2"/>
    <s v="SUB RECETAS"/>
    <x v="1"/>
    <x v="780"/>
    <s v="GRAMOS"/>
    <n v="9.3004967000000001"/>
    <n v="-3410"/>
    <n v="0"/>
    <n v="3410"/>
    <n v="0"/>
    <n v="31714.693747000001"/>
    <x v="0"/>
  </r>
  <r>
    <x v="2"/>
    <x v="10"/>
    <x v="4"/>
    <s v="SUB RECETAS"/>
    <x v="1"/>
    <x v="780"/>
    <s v="GRAMOS"/>
    <n v="9.3004967000000001"/>
    <n v="19075"/>
    <n v="1928"/>
    <n v="-17147"/>
    <n v="17931.357637600002"/>
    <n v="-159475.61691489999"/>
    <x v="2"/>
  </r>
  <r>
    <x v="2"/>
    <x v="14"/>
    <x v="0"/>
    <s v="SUB RECETAS"/>
    <x v="1"/>
    <x v="781"/>
    <s v="GRAMOS"/>
    <n v="75"/>
    <n v="-67"/>
    <n v="180"/>
    <n v="247"/>
    <n v="13500"/>
    <n v="18525"/>
    <x v="0"/>
  </r>
  <r>
    <x v="2"/>
    <x v="15"/>
    <x v="1"/>
    <s v="SUB RECETAS"/>
    <x v="1"/>
    <x v="781"/>
    <s v="GRAMOS"/>
    <n v="75"/>
    <n v="0"/>
    <n v="0"/>
    <n v="0"/>
    <n v="0"/>
    <n v="0"/>
    <x v="1"/>
  </r>
  <r>
    <x v="2"/>
    <x v="12"/>
    <x v="3"/>
    <s v="SUB-RECETAS CP"/>
    <x v="1"/>
    <x v="255"/>
    <s v="UNIDADES"/>
    <n v="4832.9288793100004"/>
    <n v="13"/>
    <n v="13"/>
    <n v="0"/>
    <n v="62828.075431030004"/>
    <n v="0"/>
    <x v="1"/>
  </r>
  <r>
    <x v="2"/>
    <x v="13"/>
    <x v="2"/>
    <s v="SUB-RECETAS CP"/>
    <x v="1"/>
    <x v="255"/>
    <s v="UNIDADES"/>
    <n v="4832.9288793100004"/>
    <n v="18"/>
    <n v="18"/>
    <n v="0"/>
    <n v="86992.719827580004"/>
    <n v="0"/>
    <x v="1"/>
  </r>
  <r>
    <x v="2"/>
    <x v="16"/>
    <x v="5"/>
    <s v="SUB-RECETAS CP"/>
    <x v="1"/>
    <x v="255"/>
    <s v="UNIDADES"/>
    <n v="4832.9288793100004"/>
    <n v="100"/>
    <n v="116"/>
    <n v="16"/>
    <n v="560619.74999996007"/>
    <n v="77326.862068960007"/>
    <x v="0"/>
  </r>
  <r>
    <x v="2"/>
    <x v="10"/>
    <x v="4"/>
    <s v="SUB-RECETAS CP"/>
    <x v="1"/>
    <x v="255"/>
    <s v="UNIDADES"/>
    <n v="4832.9288793100004"/>
    <n v="16"/>
    <n v="15"/>
    <n v="-1"/>
    <n v="72493.933189650008"/>
    <n v="-4832.9288793100004"/>
    <x v="2"/>
  </r>
  <r>
    <x v="2"/>
    <x v="14"/>
    <x v="0"/>
    <s v="SUB RECETAS"/>
    <x v="1"/>
    <x v="782"/>
    <s v="GRAMOS"/>
    <n v="19.81660471"/>
    <n v="7041"/>
    <n v="1198"/>
    <n v="-5843"/>
    <n v="23740.292442580001"/>
    <n v="-115788.42132053"/>
    <x v="2"/>
  </r>
  <r>
    <x v="2"/>
    <x v="12"/>
    <x v="3"/>
    <s v="SUB RECETAS"/>
    <x v="1"/>
    <x v="296"/>
    <s v="UNIDADES"/>
    <n v="3795.1097861200001"/>
    <n v="0"/>
    <n v="0"/>
    <n v="0"/>
    <n v="0"/>
    <n v="0"/>
    <x v="1"/>
  </r>
  <r>
    <x v="2"/>
    <x v="13"/>
    <x v="2"/>
    <s v="SUB RECETAS"/>
    <x v="1"/>
    <x v="296"/>
    <s v="UNIDADES"/>
    <n v="3795.1097861200001"/>
    <n v="0"/>
    <n v="0"/>
    <n v="0"/>
    <n v="0"/>
    <n v="0"/>
    <x v="1"/>
  </r>
  <r>
    <x v="2"/>
    <x v="15"/>
    <x v="1"/>
    <s v="SUB RECETAS"/>
    <x v="1"/>
    <x v="296"/>
    <s v="UNIDADES"/>
    <n v="3537.0346611300001"/>
    <n v="14"/>
    <n v="6"/>
    <n v="-8"/>
    <n v="21222.207966779999"/>
    <n v="-28296.277289040001"/>
    <x v="2"/>
  </r>
  <r>
    <x v="2"/>
    <x v="10"/>
    <x v="4"/>
    <s v="SUB RECETAS"/>
    <x v="1"/>
    <x v="296"/>
    <s v="UNIDADES"/>
    <n v="3795.1097861200001"/>
    <n v="0"/>
    <n v="0"/>
    <n v="0"/>
    <n v="0"/>
    <n v="0"/>
    <x v="1"/>
  </r>
  <r>
    <x v="2"/>
    <x v="14"/>
    <x v="0"/>
    <s v="SUB RECETAS"/>
    <x v="1"/>
    <x v="783"/>
    <s v="UNIDADES"/>
    <n v="3065.8793588100002"/>
    <n v="23"/>
    <n v="15"/>
    <n v="-8"/>
    <n v="45988.190382150002"/>
    <n v="-24527.034870480002"/>
    <x v="2"/>
  </r>
  <r>
    <x v="2"/>
    <x v="12"/>
    <x v="3"/>
    <s v="SUB-RECETAS CP"/>
    <x v="1"/>
    <x v="283"/>
    <s v="GRAMOS"/>
    <n v="13.779523259999999"/>
    <n v="8626"/>
    <n v="0"/>
    <n v="-8626"/>
    <n v="0"/>
    <n v="-118862.16764076"/>
    <x v="2"/>
  </r>
  <r>
    <x v="2"/>
    <x v="13"/>
    <x v="2"/>
    <s v="SUB-RECETAS CP"/>
    <x v="1"/>
    <x v="283"/>
    <s v="GRAMOS"/>
    <n v="13.779523259999999"/>
    <n v="10190"/>
    <n v="0"/>
    <n v="-10190"/>
    <n v="0"/>
    <n v="-140413.34201940001"/>
    <x v="2"/>
  </r>
  <r>
    <x v="2"/>
    <x v="16"/>
    <x v="5"/>
    <s v="SUB-RECETAS CP"/>
    <x v="1"/>
    <x v="283"/>
    <s v="GRAMOS"/>
    <n v="13.779523259999999"/>
    <n v="117930"/>
    <n v="85930"/>
    <n v="-32000"/>
    <n v="1184074.4337317999"/>
    <n v="-440944.74432"/>
    <x v="2"/>
  </r>
  <r>
    <x v="2"/>
    <x v="10"/>
    <x v="4"/>
    <s v="SUB-RECETAS CP"/>
    <x v="1"/>
    <x v="283"/>
    <s v="GRAMOS"/>
    <n v="13.779523259999999"/>
    <n v="210"/>
    <n v="10000"/>
    <n v="9790"/>
    <n v="137795.23259999999"/>
    <n v="134901.53271539998"/>
    <x v="0"/>
  </r>
  <r>
    <x v="2"/>
    <x v="14"/>
    <x v="0"/>
    <s v="SUB RECETAS"/>
    <x v="1"/>
    <x v="299"/>
    <s v="UNIDADES"/>
    <n v="9105.3328746099996"/>
    <n v="25.65"/>
    <n v="64.5"/>
    <n v="38.85"/>
    <n v="587293.97041234502"/>
    <n v="353742.18217859848"/>
    <x v="0"/>
  </r>
  <r>
    <x v="2"/>
    <x v="15"/>
    <x v="1"/>
    <s v="SUB RECETAS"/>
    <x v="1"/>
    <x v="300"/>
    <s v="GRAMOS"/>
    <n v="32.481371340000003"/>
    <n v="585"/>
    <n v="1000"/>
    <n v="415"/>
    <n v="32481.371340000002"/>
    <n v="13479.7691061"/>
    <x v="0"/>
  </r>
  <r>
    <x v="2"/>
    <x v="12"/>
    <x v="3"/>
    <s v="SUB RECETAS"/>
    <x v="1"/>
    <x v="784"/>
    <s v="GRAMOS"/>
    <n v="10.294228159999999"/>
    <n v="-4310"/>
    <n v="1702"/>
    <n v="6012"/>
    <n v="17520.77632832"/>
    <n v="61888.899697919995"/>
    <x v="0"/>
  </r>
  <r>
    <x v="2"/>
    <x v="13"/>
    <x v="2"/>
    <s v="SUB RECETAS"/>
    <x v="1"/>
    <x v="784"/>
    <s v="GRAMOS"/>
    <n v="10.294228159999999"/>
    <n v="1560"/>
    <n v="1314"/>
    <n v="-246"/>
    <n v="13526.61580224"/>
    <n v="-2532.3801273599997"/>
    <x v="2"/>
  </r>
  <r>
    <x v="2"/>
    <x v="10"/>
    <x v="4"/>
    <s v="SUB RECETAS"/>
    <x v="1"/>
    <x v="784"/>
    <s v="GRAMOS"/>
    <n v="10.294228159999999"/>
    <n v="-5880"/>
    <n v="842"/>
    <n v="6722"/>
    <n v="8667.7401107200003"/>
    <n v="69197.801691519999"/>
    <x v="0"/>
  </r>
  <r>
    <x v="2"/>
    <x v="14"/>
    <x v="0"/>
    <s v="SUB RECETAS"/>
    <x v="1"/>
    <x v="785"/>
    <s v="GRAMOS"/>
    <n v="34.044300479999997"/>
    <n v="2799"/>
    <n v="1284"/>
    <n v="-1515"/>
    <n v="43712.881816319998"/>
    <n v="-51577.115227199996"/>
    <x v="2"/>
  </r>
  <r>
    <x v="2"/>
    <x v="14"/>
    <x v="0"/>
    <s v="SUB RECETAS"/>
    <x v="1"/>
    <x v="786"/>
    <s v="GRAMOS"/>
    <n v="12.964252480000001"/>
    <n v="-256"/>
    <n v="1780"/>
    <n v="2036"/>
    <n v="23076.3694144"/>
    <n v="26395.21804928"/>
    <x v="0"/>
  </r>
  <r>
    <x v="2"/>
    <x v="15"/>
    <x v="1"/>
    <s v="SUB RECETAS"/>
    <x v="1"/>
    <x v="786"/>
    <s v="GRAMOS"/>
    <n v="12.964252480000001"/>
    <n v="20"/>
    <n v="270"/>
    <n v="250"/>
    <n v="3500.3481696000003"/>
    <n v="3241.0631200000003"/>
    <x v="0"/>
  </r>
  <r>
    <x v="2"/>
    <x v="14"/>
    <x v="0"/>
    <s v="SUB RECETAS"/>
    <x v="1"/>
    <x v="787"/>
    <s v="GRAMOS"/>
    <n v="7.28507836"/>
    <n v="-240"/>
    <n v="100"/>
    <n v="340"/>
    <n v="728.507836"/>
    <n v="2476.9266423999998"/>
    <x v="0"/>
  </r>
  <r>
    <x v="2"/>
    <x v="15"/>
    <x v="1"/>
    <s v="SUB RECETAS"/>
    <x v="1"/>
    <x v="787"/>
    <s v="GRAMOS"/>
    <n v="7.28507836"/>
    <n v="-760"/>
    <n v="0"/>
    <n v="760"/>
    <n v="0"/>
    <n v="5536.6595536000004"/>
    <x v="0"/>
  </r>
  <r>
    <x v="2"/>
    <x v="12"/>
    <x v="3"/>
    <s v="SUB RECETAS"/>
    <x v="1"/>
    <x v="788"/>
    <s v="GRAMOS"/>
    <n v="10.878091039999999"/>
    <n v="-14833"/>
    <n v="1364"/>
    <n v="16197"/>
    <n v="14837.716178559998"/>
    <n v="176192.44057487999"/>
    <x v="0"/>
  </r>
  <r>
    <x v="2"/>
    <x v="14"/>
    <x v="0"/>
    <s v="SUB RECETAS"/>
    <x v="1"/>
    <x v="788"/>
    <s v="GRAMOS"/>
    <n v="16.486894509999999"/>
    <n v="-2332"/>
    <n v="230"/>
    <n v="2562"/>
    <n v="3791.9857373"/>
    <n v="42239.423734619995"/>
    <x v="0"/>
  </r>
  <r>
    <x v="2"/>
    <x v="13"/>
    <x v="2"/>
    <s v="SUB RECETAS"/>
    <x v="1"/>
    <x v="788"/>
    <s v="GRAMOS"/>
    <n v="10.878091039999999"/>
    <n v="4193"/>
    <n v="2978"/>
    <n v="-1215"/>
    <n v="32394.955117119996"/>
    <n v="-13216.880613599998"/>
    <x v="2"/>
  </r>
  <r>
    <x v="2"/>
    <x v="10"/>
    <x v="4"/>
    <s v="SUB RECETAS"/>
    <x v="1"/>
    <x v="788"/>
    <s v="GRAMOS"/>
    <n v="10.878091039999999"/>
    <n v="9423"/>
    <n v="3898"/>
    <n v="-5525"/>
    <n v="42402.798873919994"/>
    <n v="-60101.452995999993"/>
    <x v="2"/>
  </r>
  <r>
    <x v="2"/>
    <x v="12"/>
    <x v="3"/>
    <s v="SUB RECETAS"/>
    <x v="1"/>
    <x v="789"/>
    <s v="GRAMOS"/>
    <n v="13.54967794"/>
    <n v="-5089"/>
    <n v="0"/>
    <n v="5089"/>
    <n v="0"/>
    <n v="68954.311036660001"/>
    <x v="0"/>
  </r>
  <r>
    <x v="2"/>
    <x v="14"/>
    <x v="0"/>
    <s v="SUB RECETAS"/>
    <x v="1"/>
    <x v="789"/>
    <s v="GRAMOS"/>
    <n v="21.802858329999999"/>
    <n v="-660"/>
    <n v="15"/>
    <n v="675"/>
    <n v="327.04287495"/>
    <n v="14716.929372749999"/>
    <x v="0"/>
  </r>
  <r>
    <x v="2"/>
    <x v="13"/>
    <x v="2"/>
    <s v="SUB RECETAS"/>
    <x v="1"/>
    <x v="789"/>
    <s v="GRAMOS"/>
    <n v="13.54967794"/>
    <n v="-4160"/>
    <n v="0"/>
    <n v="4160"/>
    <n v="0"/>
    <n v="56366.660230400004"/>
    <x v="0"/>
  </r>
  <r>
    <x v="2"/>
    <x v="10"/>
    <x v="4"/>
    <s v="SUB RECETAS"/>
    <x v="1"/>
    <x v="789"/>
    <s v="GRAMOS"/>
    <n v="13.54967794"/>
    <n v="1216"/>
    <n v="1776"/>
    <n v="560"/>
    <n v="24064.228021440002"/>
    <n v="7587.8196464000002"/>
    <x v="0"/>
  </r>
  <r>
    <x v="2"/>
    <x v="12"/>
    <x v="3"/>
    <s v="SUB RECETAS"/>
    <x v="1"/>
    <x v="790"/>
    <s v="GRAMOS"/>
    <n v="104.14896632999999"/>
    <n v="0"/>
    <n v="0"/>
    <n v="0"/>
    <n v="0"/>
    <n v="0"/>
    <x v="1"/>
  </r>
  <r>
    <x v="2"/>
    <x v="13"/>
    <x v="2"/>
    <s v="SUB RECETAS"/>
    <x v="1"/>
    <x v="790"/>
    <s v="GRAMOS"/>
    <n v="104.14896632999999"/>
    <n v="0"/>
    <n v="0"/>
    <n v="0"/>
    <n v="0"/>
    <n v="0"/>
    <x v="1"/>
  </r>
  <r>
    <x v="2"/>
    <x v="10"/>
    <x v="4"/>
    <s v="SUB RECETAS"/>
    <x v="1"/>
    <x v="790"/>
    <s v="GRAMOS"/>
    <n v="104.14896632999999"/>
    <n v="0"/>
    <n v="0"/>
    <n v="0"/>
    <n v="0"/>
    <n v="0"/>
    <x v="1"/>
  </r>
  <r>
    <x v="2"/>
    <x v="12"/>
    <x v="3"/>
    <s v="SUB-RECETAS BAR"/>
    <x v="0"/>
    <x v="327"/>
    <s v="GRAMOS"/>
    <n v="45.040723980000003"/>
    <n v="-1084"/>
    <n v="584"/>
    <n v="1668"/>
    <n v="26303.782804320002"/>
    <n v="75127.927598640003"/>
    <x v="0"/>
  </r>
  <r>
    <x v="2"/>
    <x v="14"/>
    <x v="0"/>
    <s v="SUB-RECETAS BAR"/>
    <x v="0"/>
    <x v="327"/>
    <s v="GRAMOS"/>
    <n v="45.040723980000003"/>
    <n v="-3371"/>
    <n v="580"/>
    <n v="3951"/>
    <n v="26123.6199084"/>
    <n v="177955.90044498001"/>
    <x v="0"/>
  </r>
  <r>
    <x v="2"/>
    <x v="13"/>
    <x v="2"/>
    <s v="SUB-RECETAS BAR"/>
    <x v="0"/>
    <x v="327"/>
    <s v="GRAMOS"/>
    <n v="45.040723980000003"/>
    <n v="-2029"/>
    <n v="252"/>
    <n v="2281"/>
    <n v="11350.26244296"/>
    <n v="102737.89139838"/>
    <x v="0"/>
  </r>
  <r>
    <x v="2"/>
    <x v="15"/>
    <x v="1"/>
    <s v="SUB-RECETAS BAR"/>
    <x v="0"/>
    <x v="327"/>
    <s v="GRAMOS"/>
    <n v="45.040723980000003"/>
    <n v="390"/>
    <n v="1360"/>
    <n v="970"/>
    <n v="61255.3846128"/>
    <n v="43689.502260600006"/>
    <x v="0"/>
  </r>
  <r>
    <x v="2"/>
    <x v="16"/>
    <x v="5"/>
    <s v="SUB-RECETAS BAR"/>
    <x v="0"/>
    <x v="327"/>
    <s v="GRAMOS"/>
    <n v="45.040723980000003"/>
    <n v="0"/>
    <n v="0"/>
    <n v="0"/>
    <n v="0"/>
    <n v="0"/>
    <x v="1"/>
  </r>
  <r>
    <x v="2"/>
    <x v="10"/>
    <x v="4"/>
    <s v="SUB-RECETAS BAR"/>
    <x v="0"/>
    <x v="327"/>
    <s v="GRAMOS"/>
    <n v="45.040723980000003"/>
    <n v="-3128"/>
    <n v="106"/>
    <n v="3234"/>
    <n v="4774.3167418800003"/>
    <n v="145661.70135132002"/>
    <x v="0"/>
  </r>
  <r>
    <x v="2"/>
    <x v="12"/>
    <x v="3"/>
    <s v="SUB-RECETAS CP"/>
    <x v="1"/>
    <x v="791"/>
    <s v="GRAMOS"/>
    <n v="8.2292859999999995E-2"/>
    <n v="0"/>
    <n v="0"/>
    <n v="0"/>
    <n v="0"/>
    <n v="0"/>
    <x v="1"/>
  </r>
  <r>
    <x v="2"/>
    <x v="13"/>
    <x v="2"/>
    <s v="SUB-RECETAS CP"/>
    <x v="1"/>
    <x v="791"/>
    <s v="GRAMOS"/>
    <n v="8.2292859999999995E-2"/>
    <n v="0"/>
    <n v="0"/>
    <n v="0"/>
    <n v="0"/>
    <n v="0"/>
    <x v="1"/>
  </r>
  <r>
    <x v="2"/>
    <x v="10"/>
    <x v="4"/>
    <s v="SUB-RECETAS CP"/>
    <x v="1"/>
    <x v="791"/>
    <s v="GRAMOS"/>
    <n v="8.2292859999999995E-2"/>
    <n v="0"/>
    <n v="0"/>
    <n v="0"/>
    <n v="0"/>
    <n v="0"/>
    <x v="1"/>
  </r>
  <r>
    <x v="2"/>
    <x v="15"/>
    <x v="1"/>
    <s v="SUB RECETAS"/>
    <x v="1"/>
    <x v="792"/>
    <s v="GRAMOS"/>
    <n v="25.248057660000001"/>
    <n v="3415"/>
    <n v="0"/>
    <n v="-3415"/>
    <n v="0"/>
    <n v="-86222.116908900003"/>
    <x v="2"/>
  </r>
  <r>
    <x v="2"/>
    <x v="15"/>
    <x v="1"/>
    <s v="SUB RECETAS"/>
    <x v="1"/>
    <x v="303"/>
    <s v="UNIDADES"/>
    <n v="8474.0353664300001"/>
    <n v="14"/>
    <n v="6"/>
    <n v="-8"/>
    <n v="50844.212198580004"/>
    <n v="-67792.282931440001"/>
    <x v="2"/>
  </r>
  <r>
    <x v="2"/>
    <x v="12"/>
    <x v="3"/>
    <s v="SUB-RECETAS BAR"/>
    <x v="0"/>
    <x v="793"/>
    <s v="GRAMOS"/>
    <n v="16.416571430000001"/>
    <n v="0"/>
    <n v="0"/>
    <n v="0"/>
    <n v="0"/>
    <n v="0"/>
    <x v="1"/>
  </r>
  <r>
    <x v="2"/>
    <x v="13"/>
    <x v="2"/>
    <s v="SUB-RECETAS BAR"/>
    <x v="0"/>
    <x v="793"/>
    <s v="GRAMOS"/>
    <n v="16.416571430000001"/>
    <n v="0"/>
    <n v="0"/>
    <n v="0"/>
    <n v="0"/>
    <n v="0"/>
    <x v="1"/>
  </r>
  <r>
    <x v="2"/>
    <x v="10"/>
    <x v="4"/>
    <s v="SUB-RECETAS BAR"/>
    <x v="0"/>
    <x v="793"/>
    <s v="GRAMOS"/>
    <n v="16.416571430000001"/>
    <n v="0"/>
    <n v="0"/>
    <n v="0"/>
    <n v="0"/>
    <n v="0"/>
    <x v="1"/>
  </r>
  <r>
    <x v="2"/>
    <x v="14"/>
    <x v="0"/>
    <s v="SUB-RECETAS BAR"/>
    <x v="0"/>
    <x v="794"/>
    <s v="GRAMOS"/>
    <n v="20.017798209999999"/>
    <n v="746"/>
    <n v="738"/>
    <n v="-8"/>
    <n v="14773.13507898"/>
    <n v="-160.14238567999999"/>
    <x v="2"/>
  </r>
  <r>
    <x v="2"/>
    <x v="14"/>
    <x v="0"/>
    <s v="SUB RECETAS"/>
    <x v="1"/>
    <x v="301"/>
    <s v="UNIDADES"/>
    <n v="15837.71808852"/>
    <n v="41"/>
    <n v="41"/>
    <n v="0"/>
    <n v="649346.44162932003"/>
    <n v="0"/>
    <x v="1"/>
  </r>
  <r>
    <x v="2"/>
    <x v="15"/>
    <x v="1"/>
    <s v="SUB RECETAS"/>
    <x v="1"/>
    <x v="307"/>
    <s v="UNIDADES"/>
    <n v="13098.656684289999"/>
    <n v="5.8"/>
    <n v="6"/>
    <n v="0.2"/>
    <n v="78591.940105739995"/>
    <n v="2619.7313368579998"/>
    <x v="0"/>
  </r>
  <r>
    <x v="2"/>
    <x v="12"/>
    <x v="3"/>
    <s v="SUB RECETAS"/>
    <x v="1"/>
    <x v="253"/>
    <s v="UNIDADES"/>
    <n v="17671.085396940001"/>
    <n v="10"/>
    <n v="10"/>
    <n v="0"/>
    <n v="176710.85396940002"/>
    <n v="0"/>
    <x v="1"/>
  </r>
  <r>
    <x v="2"/>
    <x v="13"/>
    <x v="2"/>
    <s v="SUB RECETAS"/>
    <x v="1"/>
    <x v="253"/>
    <s v="UNIDADES"/>
    <n v="17671.085396940001"/>
    <n v="18"/>
    <n v="18"/>
    <n v="0"/>
    <n v="318079.53714492003"/>
    <n v="0"/>
    <x v="1"/>
  </r>
  <r>
    <x v="2"/>
    <x v="16"/>
    <x v="5"/>
    <s v="SUB RECETAS"/>
    <x v="1"/>
    <x v="253"/>
    <s v="UNIDADES"/>
    <n v="17671.085396940001"/>
    <n v="33"/>
    <n v="33"/>
    <n v="0"/>
    <n v="583145.81809902005"/>
    <n v="0"/>
    <x v="1"/>
  </r>
  <r>
    <x v="2"/>
    <x v="10"/>
    <x v="4"/>
    <s v="SUB RECETAS"/>
    <x v="1"/>
    <x v="253"/>
    <s v="UNIDADES"/>
    <n v="17671.085396940001"/>
    <n v="9"/>
    <n v="9"/>
    <n v="0"/>
    <n v="159039.76857246002"/>
    <n v="0"/>
    <x v="1"/>
  </r>
  <r>
    <x v="2"/>
    <x v="15"/>
    <x v="1"/>
    <s v="SUB RECETAS"/>
    <x v="1"/>
    <x v="212"/>
    <s v="UNIDADES"/>
    <n v="13876"/>
    <n v="15"/>
    <n v="0"/>
    <n v="-15"/>
    <n v="0"/>
    <n v="-208140"/>
    <x v="2"/>
  </r>
  <r>
    <x v="2"/>
    <x v="14"/>
    <x v="0"/>
    <s v="SUB RECETAS"/>
    <x v="1"/>
    <x v="795"/>
    <s v="GRAMOS"/>
    <n v="18.926705599999998"/>
    <n v="-2609"/>
    <n v="1620"/>
    <n v="4229"/>
    <n v="30661.263071999998"/>
    <n v="80041.037982399997"/>
    <x v="0"/>
  </r>
  <r>
    <x v="2"/>
    <x v="14"/>
    <x v="0"/>
    <s v="SUB RECETAS"/>
    <x v="1"/>
    <x v="796"/>
    <s v="GRAMOS"/>
    <n v="20.649549329999999"/>
    <n v="-192"/>
    <n v="0"/>
    <n v="192"/>
    <n v="0"/>
    <n v="3964.7134713599999"/>
    <x v="0"/>
  </r>
  <r>
    <x v="2"/>
    <x v="12"/>
    <x v="3"/>
    <s v="SUB RECETAS"/>
    <x v="1"/>
    <x v="797"/>
    <s v="GRAMOS"/>
    <n v="34.6045406"/>
    <n v="-140"/>
    <n v="186"/>
    <n v="326"/>
    <n v="6436.4445515999996"/>
    <n v="11281.0802356"/>
    <x v="0"/>
  </r>
  <r>
    <x v="2"/>
    <x v="13"/>
    <x v="2"/>
    <s v="SUB RECETAS"/>
    <x v="1"/>
    <x v="797"/>
    <s v="GRAMOS"/>
    <n v="34.6045406"/>
    <n v="-790"/>
    <n v="530"/>
    <n v="1320"/>
    <n v="18340.406518"/>
    <n v="45677.993591999999"/>
    <x v="0"/>
  </r>
  <r>
    <x v="2"/>
    <x v="10"/>
    <x v="4"/>
    <s v="SUB RECETAS"/>
    <x v="1"/>
    <x v="797"/>
    <s v="GRAMOS"/>
    <n v="34.6045406"/>
    <n v="831"/>
    <n v="0"/>
    <n v="-831"/>
    <n v="0"/>
    <n v="-28756.373238600001"/>
    <x v="2"/>
  </r>
  <r>
    <x v="2"/>
    <x v="14"/>
    <x v="0"/>
    <s v="SUB RECETAS"/>
    <x v="1"/>
    <x v="798"/>
    <s v="GRAMOS"/>
    <n v="11.405779900000001"/>
    <n v="2274"/>
    <n v="486"/>
    <n v="-1788"/>
    <n v="5543.2090314000006"/>
    <n v="-20393.534461200001"/>
    <x v="2"/>
  </r>
  <r>
    <x v="2"/>
    <x v="15"/>
    <x v="1"/>
    <s v="SUB RECETAS"/>
    <x v="1"/>
    <x v="316"/>
    <s v="GRAMOS"/>
    <n v="28.81340088"/>
    <n v="7455"/>
    <n v="6935"/>
    <n v="-520"/>
    <n v="199820.93510279999"/>
    <n v="-14982.9684576"/>
    <x v="2"/>
  </r>
  <r>
    <x v="2"/>
    <x v="12"/>
    <x v="3"/>
    <s v="SUB RECETAS"/>
    <x v="1"/>
    <x v="254"/>
    <s v="UNIDADES"/>
    <n v="648.57965839999997"/>
    <n v="46"/>
    <n v="46"/>
    <n v="0"/>
    <n v="29834.664286399999"/>
    <n v="0"/>
    <x v="1"/>
  </r>
  <r>
    <x v="2"/>
    <x v="13"/>
    <x v="2"/>
    <s v="SUB RECETAS"/>
    <x v="1"/>
    <x v="254"/>
    <s v="UNIDADES"/>
    <n v="648.57965839999997"/>
    <n v="6"/>
    <n v="6"/>
    <n v="0"/>
    <n v="3891.4779503999998"/>
    <n v="0"/>
    <x v="1"/>
  </r>
  <r>
    <x v="2"/>
    <x v="10"/>
    <x v="4"/>
    <s v="SUB RECETAS"/>
    <x v="1"/>
    <x v="254"/>
    <s v="UNIDADES"/>
    <n v="648.57965839999997"/>
    <n v="10"/>
    <n v="0"/>
    <n v="-10"/>
    <n v="0"/>
    <n v="-6485.7965839999997"/>
    <x v="2"/>
  </r>
  <r>
    <x v="2"/>
    <x v="12"/>
    <x v="3"/>
    <s v="SUB RECETAS"/>
    <x v="1"/>
    <x v="799"/>
    <s v="UNIDADES"/>
    <n v="5928.1262500000003"/>
    <n v="7"/>
    <n v="46"/>
    <n v="39"/>
    <n v="272693.8075"/>
    <n v="231196.92375000002"/>
    <x v="0"/>
  </r>
  <r>
    <x v="2"/>
    <x v="13"/>
    <x v="2"/>
    <s v="SUB RECETAS"/>
    <x v="1"/>
    <x v="799"/>
    <s v="UNIDADES"/>
    <n v="5928.1262500000003"/>
    <n v="0"/>
    <n v="6"/>
    <n v="6"/>
    <n v="35568.7575"/>
    <n v="35568.7575"/>
    <x v="0"/>
  </r>
  <r>
    <x v="2"/>
    <x v="16"/>
    <x v="5"/>
    <s v="SUB RECETAS"/>
    <x v="1"/>
    <x v="799"/>
    <s v="UNIDADES"/>
    <n v="5928.1262500000003"/>
    <n v="0"/>
    <n v="0"/>
    <n v="0"/>
    <n v="0"/>
    <n v="0"/>
    <x v="1"/>
  </r>
  <r>
    <x v="2"/>
    <x v="10"/>
    <x v="4"/>
    <s v="SUB RECETAS"/>
    <x v="1"/>
    <x v="799"/>
    <s v="UNIDADES"/>
    <n v="5928.1262500000003"/>
    <n v="0"/>
    <n v="10"/>
    <n v="10"/>
    <n v="59281.262500000004"/>
    <n v="59281.262500000004"/>
    <x v="0"/>
  </r>
  <r>
    <x v="2"/>
    <x v="12"/>
    <x v="3"/>
    <s v="SUB RECETAS"/>
    <x v="1"/>
    <x v="304"/>
    <s v="UNIDADES"/>
    <n v="287.72525953000002"/>
    <n v="0"/>
    <n v="0"/>
    <n v="0"/>
    <n v="0"/>
    <n v="0"/>
    <x v="1"/>
  </r>
  <r>
    <x v="2"/>
    <x v="14"/>
    <x v="0"/>
    <s v="SUB RECETAS"/>
    <x v="1"/>
    <x v="304"/>
    <s v="UNIDADES"/>
    <n v="503.05471340999998"/>
    <n v="1568"/>
    <n v="110"/>
    <n v="-1458"/>
    <n v="55336.018475099998"/>
    <n v="-733453.77215177997"/>
    <x v="2"/>
  </r>
  <r>
    <x v="2"/>
    <x v="13"/>
    <x v="2"/>
    <s v="SUB RECETAS"/>
    <x v="1"/>
    <x v="304"/>
    <s v="UNIDADES"/>
    <n v="287.72525953000002"/>
    <n v="0"/>
    <n v="0"/>
    <n v="0"/>
    <n v="0"/>
    <n v="0"/>
    <x v="1"/>
  </r>
  <r>
    <x v="2"/>
    <x v="10"/>
    <x v="4"/>
    <s v="SUB RECETAS"/>
    <x v="1"/>
    <x v="304"/>
    <s v="UNIDADES"/>
    <n v="287.72525953000002"/>
    <n v="0"/>
    <n v="0"/>
    <n v="0"/>
    <n v="0"/>
    <n v="0"/>
    <x v="1"/>
  </r>
  <r>
    <x v="2"/>
    <x v="14"/>
    <x v="0"/>
    <s v="SUB RECETAS"/>
    <x v="1"/>
    <x v="800"/>
    <s v="GRAMOS"/>
    <n v="42.265071390000003"/>
    <n v="-322"/>
    <n v="440"/>
    <n v="762"/>
    <n v="18596.631411599999"/>
    <n v="32205.984399180001"/>
    <x v="0"/>
  </r>
  <r>
    <x v="2"/>
    <x v="15"/>
    <x v="1"/>
    <s v="SUB RECETAS"/>
    <x v="1"/>
    <x v="800"/>
    <s v="GRAMOS"/>
    <n v="42.265071390000003"/>
    <n v="60"/>
    <n v="0"/>
    <n v="-60"/>
    <n v="0"/>
    <n v="-2535.9042834000002"/>
    <x v="2"/>
  </r>
  <r>
    <x v="2"/>
    <x v="15"/>
    <x v="1"/>
    <s v="SUB RECETAS"/>
    <x v="1"/>
    <x v="319"/>
    <s v="UNIDADES"/>
    <n v="1129.3206087000001"/>
    <n v="11"/>
    <n v="32"/>
    <n v="21"/>
    <n v="36138.259478400003"/>
    <n v="23715.732782700001"/>
    <x v="0"/>
  </r>
  <r>
    <x v="2"/>
    <x v="12"/>
    <x v="3"/>
    <s v="SUB-RECETAS CP"/>
    <x v="1"/>
    <x v="256"/>
    <s v="UNIDADES"/>
    <n v="1645.2914033699999"/>
    <n v="43"/>
    <n v="41"/>
    <n v="-2"/>
    <n v="67456.947538170003"/>
    <n v="-3290.5828067399998"/>
    <x v="2"/>
  </r>
  <r>
    <x v="2"/>
    <x v="13"/>
    <x v="2"/>
    <s v="SUB-RECETAS CP"/>
    <x v="1"/>
    <x v="256"/>
    <s v="UNIDADES"/>
    <n v="1645.2914033699999"/>
    <n v="80"/>
    <n v="80"/>
    <n v="0"/>
    <n v="131623.31226959999"/>
    <n v="0"/>
    <x v="1"/>
  </r>
  <r>
    <x v="2"/>
    <x v="16"/>
    <x v="5"/>
    <s v="SUB-RECETAS CP"/>
    <x v="1"/>
    <x v="256"/>
    <s v="UNIDADES"/>
    <n v="1645.2914033699999"/>
    <n v="287"/>
    <n v="285"/>
    <n v="-2"/>
    <n v="468908.04996044998"/>
    <n v="-3290.5828067399998"/>
    <x v="2"/>
  </r>
  <r>
    <x v="2"/>
    <x v="10"/>
    <x v="4"/>
    <s v="SUB-RECETAS CP"/>
    <x v="1"/>
    <x v="256"/>
    <s v="UNIDADES"/>
    <n v="1645.2914033699999"/>
    <n v="87"/>
    <n v="87"/>
    <n v="0"/>
    <n v="143140.35209318998"/>
    <n v="0"/>
    <x v="1"/>
  </r>
  <r>
    <x v="2"/>
    <x v="12"/>
    <x v="3"/>
    <s v="SUB RECETAS"/>
    <x v="1"/>
    <x v="248"/>
    <s v="UNIDADES"/>
    <n v="2289.3502371"/>
    <n v="23"/>
    <n v="23"/>
    <n v="0"/>
    <n v="52655.055453299996"/>
    <n v="0"/>
    <x v="1"/>
  </r>
  <r>
    <x v="2"/>
    <x v="13"/>
    <x v="2"/>
    <s v="SUB RECETAS"/>
    <x v="1"/>
    <x v="248"/>
    <s v="UNIDADES"/>
    <n v="2289.3502371"/>
    <n v="6"/>
    <n v="2"/>
    <n v="-4"/>
    <n v="4578.7004741999999"/>
    <n v="-9157.4009483999998"/>
    <x v="2"/>
  </r>
  <r>
    <x v="2"/>
    <x v="10"/>
    <x v="4"/>
    <s v="SUB RECETAS"/>
    <x v="1"/>
    <x v="248"/>
    <s v="UNIDADES"/>
    <n v="2289.3502371"/>
    <n v="34"/>
    <n v="17"/>
    <n v="-17"/>
    <n v="38918.954030699999"/>
    <n v="-38918.954030699999"/>
    <x v="2"/>
  </r>
  <r>
    <x v="2"/>
    <x v="12"/>
    <x v="3"/>
    <s v="SUB RECETAS"/>
    <x v="1"/>
    <x v="801"/>
    <s v="GRAMOS"/>
    <n v="1.2377491899999999"/>
    <n v="0"/>
    <n v="0"/>
    <n v="0"/>
    <n v="0"/>
    <n v="0"/>
    <x v="1"/>
  </r>
  <r>
    <x v="2"/>
    <x v="13"/>
    <x v="2"/>
    <s v="SUB RECETAS"/>
    <x v="1"/>
    <x v="801"/>
    <s v="GRAMOS"/>
    <n v="1.2377491899999999"/>
    <n v="0"/>
    <n v="0"/>
    <n v="0"/>
    <n v="0"/>
    <n v="0"/>
    <x v="1"/>
  </r>
  <r>
    <x v="2"/>
    <x v="10"/>
    <x v="4"/>
    <s v="SUB RECETAS"/>
    <x v="1"/>
    <x v="801"/>
    <s v="GRAMOS"/>
    <n v="1.2377491899999999"/>
    <n v="0"/>
    <n v="0"/>
    <n v="0"/>
    <n v="0"/>
    <n v="0"/>
    <x v="1"/>
  </r>
  <r>
    <x v="2"/>
    <x v="14"/>
    <x v="0"/>
    <s v="SUB-RECETAS BAR"/>
    <x v="0"/>
    <x v="802"/>
    <s v="GRAMOS"/>
    <n v="92.727541669999994"/>
    <n v="0"/>
    <n v="0"/>
    <n v="0"/>
    <n v="0"/>
    <n v="0"/>
    <x v="1"/>
  </r>
  <r>
    <x v="2"/>
    <x v="12"/>
    <x v="3"/>
    <s v="SUB RECETAS"/>
    <x v="1"/>
    <x v="803"/>
    <s v="GRAMOS"/>
    <n v="31.59727268"/>
    <n v="0"/>
    <n v="0"/>
    <n v="0"/>
    <n v="0"/>
    <n v="0"/>
    <x v="1"/>
  </r>
  <r>
    <x v="2"/>
    <x v="14"/>
    <x v="0"/>
    <s v="SUB RECETAS"/>
    <x v="1"/>
    <x v="803"/>
    <s v="GRAMOS"/>
    <n v="29.748318009999998"/>
    <n v="452"/>
    <n v="720"/>
    <n v="268"/>
    <n v="21418.788967199998"/>
    <n v="7972.5492266799993"/>
    <x v="0"/>
  </r>
  <r>
    <x v="2"/>
    <x v="13"/>
    <x v="2"/>
    <s v="SUB RECETAS"/>
    <x v="1"/>
    <x v="803"/>
    <s v="GRAMOS"/>
    <n v="31.59727268"/>
    <n v="0"/>
    <n v="0"/>
    <n v="0"/>
    <n v="0"/>
    <n v="0"/>
    <x v="1"/>
  </r>
  <r>
    <x v="2"/>
    <x v="10"/>
    <x v="4"/>
    <s v="SUB RECETAS"/>
    <x v="1"/>
    <x v="803"/>
    <s v="GRAMOS"/>
    <n v="31.59727268"/>
    <n v="0"/>
    <n v="0"/>
    <n v="0"/>
    <n v="0"/>
    <n v="0"/>
    <x v="1"/>
  </r>
  <r>
    <x v="2"/>
    <x v="12"/>
    <x v="3"/>
    <s v="SUB RECETAS"/>
    <x v="1"/>
    <x v="804"/>
    <s v="UNIDADES"/>
    <n v="1110.3705716899999"/>
    <n v="3"/>
    <n v="8"/>
    <n v="5"/>
    <n v="8882.9645735199992"/>
    <n v="5551.85285845"/>
    <x v="0"/>
  </r>
  <r>
    <x v="2"/>
    <x v="14"/>
    <x v="0"/>
    <s v="SUB RECETAS"/>
    <x v="1"/>
    <x v="804"/>
    <s v="UNIDADES"/>
    <n v="1110.3635238100001"/>
    <n v="10"/>
    <n v="17"/>
    <n v="7"/>
    <n v="18876.179904770001"/>
    <n v="7772.5446666700009"/>
    <x v="0"/>
  </r>
  <r>
    <x v="2"/>
    <x v="13"/>
    <x v="2"/>
    <s v="SUB RECETAS"/>
    <x v="1"/>
    <x v="804"/>
    <s v="UNIDADES"/>
    <n v="1110.3705716899999"/>
    <n v="-22"/>
    <n v="10"/>
    <n v="32"/>
    <n v="11103.7057169"/>
    <n v="35531.858294079997"/>
    <x v="0"/>
  </r>
  <r>
    <x v="2"/>
    <x v="10"/>
    <x v="4"/>
    <s v="SUB RECETAS"/>
    <x v="1"/>
    <x v="804"/>
    <s v="UNIDADES"/>
    <n v="1110.3705716899999"/>
    <n v="-15"/>
    <n v="6"/>
    <n v="21"/>
    <n v="6662.2234301399994"/>
    <n v="23317.782005489997"/>
    <x v="0"/>
  </r>
  <r>
    <x v="2"/>
    <x v="12"/>
    <x v="3"/>
    <s v="SUB RECETAS"/>
    <x v="1"/>
    <x v="341"/>
    <s v="UNIDADES"/>
    <n v="3833.3333333300002"/>
    <n v="0"/>
    <n v="0"/>
    <n v="0"/>
    <n v="0"/>
    <n v="0"/>
    <x v="1"/>
  </r>
  <r>
    <x v="2"/>
    <x v="13"/>
    <x v="2"/>
    <s v="SUB RECETAS"/>
    <x v="1"/>
    <x v="341"/>
    <s v="UNIDADES"/>
    <n v="3833.3333333300002"/>
    <n v="0"/>
    <n v="0"/>
    <n v="0"/>
    <n v="0"/>
    <n v="0"/>
    <x v="1"/>
  </r>
  <r>
    <x v="2"/>
    <x v="15"/>
    <x v="1"/>
    <s v="SUB RECETAS"/>
    <x v="1"/>
    <x v="341"/>
    <s v="UNIDADES"/>
    <n v="3833.3333333300002"/>
    <n v="-48"/>
    <n v="13"/>
    <n v="61"/>
    <n v="49833.33333329"/>
    <n v="233833.33333313002"/>
    <x v="0"/>
  </r>
  <r>
    <x v="2"/>
    <x v="10"/>
    <x v="4"/>
    <s v="SUB RECETAS"/>
    <x v="1"/>
    <x v="341"/>
    <s v="UNIDADES"/>
    <n v="3833.3333333300002"/>
    <n v="0"/>
    <n v="0"/>
    <n v="0"/>
    <n v="0"/>
    <n v="0"/>
    <x v="1"/>
  </r>
  <r>
    <x v="2"/>
    <x v="12"/>
    <x v="3"/>
    <s v="SUB-RECETAS CP"/>
    <x v="1"/>
    <x v="318"/>
    <s v="GRAMOS"/>
    <n v="20.981048869999999"/>
    <n v="0"/>
    <n v="0"/>
    <n v="0"/>
    <n v="0"/>
    <n v="0"/>
    <x v="1"/>
  </r>
  <r>
    <x v="2"/>
    <x v="13"/>
    <x v="2"/>
    <s v="SUB-RECETAS CP"/>
    <x v="1"/>
    <x v="318"/>
    <s v="GRAMOS"/>
    <n v="20.981048869999999"/>
    <n v="0"/>
    <n v="0"/>
    <n v="0"/>
    <n v="0"/>
    <n v="0"/>
    <x v="1"/>
  </r>
  <r>
    <x v="2"/>
    <x v="16"/>
    <x v="5"/>
    <s v="SUB-RECETAS CP"/>
    <x v="1"/>
    <x v="318"/>
    <s v="GRAMOS"/>
    <n v="20.981048869999999"/>
    <n v="-3642"/>
    <n v="3500"/>
    <n v="7142"/>
    <n v="73433.671044999996"/>
    <n v="149846.65102953999"/>
    <x v="0"/>
  </r>
  <r>
    <x v="2"/>
    <x v="10"/>
    <x v="4"/>
    <s v="SUB-RECETAS CP"/>
    <x v="1"/>
    <x v="318"/>
    <s v="GRAMOS"/>
    <n v="20.981048869999999"/>
    <n v="0"/>
    <n v="0"/>
    <n v="0"/>
    <n v="0"/>
    <n v="0"/>
    <x v="1"/>
  </r>
  <r>
    <x v="2"/>
    <x v="12"/>
    <x v="3"/>
    <s v="SUB RECETAS"/>
    <x v="1"/>
    <x v="805"/>
    <s v="GRAMOS"/>
    <n v="2"/>
    <n v="910"/>
    <n v="0"/>
    <n v="-910"/>
    <n v="0"/>
    <n v="-1820"/>
    <x v="2"/>
  </r>
  <r>
    <x v="2"/>
    <x v="14"/>
    <x v="0"/>
    <s v="SUB RECETAS"/>
    <x v="1"/>
    <x v="805"/>
    <s v="GRAMOS"/>
    <n v="1.8969430899999999"/>
    <n v="-2254"/>
    <n v="1444"/>
    <n v="3698"/>
    <n v="2739.1858219599999"/>
    <n v="7014.8955468200002"/>
    <x v="0"/>
  </r>
  <r>
    <x v="2"/>
    <x v="13"/>
    <x v="2"/>
    <s v="SUB RECETAS"/>
    <x v="1"/>
    <x v="805"/>
    <s v="GRAMOS"/>
    <n v="1.8969430899999999"/>
    <n v="0"/>
    <n v="0"/>
    <n v="0"/>
    <n v="0"/>
    <n v="0"/>
    <x v="1"/>
  </r>
  <r>
    <x v="2"/>
    <x v="10"/>
    <x v="4"/>
    <s v="SUB RECETAS"/>
    <x v="1"/>
    <x v="805"/>
    <s v="GRAMOS"/>
    <n v="1.8969430899999999"/>
    <n v="2800"/>
    <n v="0"/>
    <n v="-2800"/>
    <n v="0"/>
    <n v="-5311.4406520000002"/>
    <x v="2"/>
  </r>
  <r>
    <x v="2"/>
    <x v="12"/>
    <x v="3"/>
    <s v="SUB RECETAS"/>
    <x v="1"/>
    <x v="806"/>
    <s v="GRAMOS"/>
    <n v="18.415007580000001"/>
    <n v="743.8"/>
    <n v="6840"/>
    <n v="6096.2000500000004"/>
    <n v="125958.6518472"/>
    <n v="112261.5701299464"/>
    <x v="0"/>
  </r>
  <r>
    <x v="2"/>
    <x v="13"/>
    <x v="2"/>
    <s v="SUB RECETAS"/>
    <x v="1"/>
    <x v="806"/>
    <s v="GRAMOS"/>
    <n v="18.415007580000001"/>
    <n v="10023.2042"/>
    <n v="0"/>
    <n v="-10023.204180000001"/>
    <n v="0"/>
    <n v="-184577.38095058771"/>
    <x v="2"/>
  </r>
  <r>
    <x v="2"/>
    <x v="15"/>
    <x v="1"/>
    <s v="SUB RECETAS"/>
    <x v="1"/>
    <x v="806"/>
    <s v="GRAMOS"/>
    <n v="18.415007580000001"/>
    <n v="0"/>
    <n v="0"/>
    <n v="0"/>
    <n v="0"/>
    <n v="0"/>
    <x v="1"/>
  </r>
  <r>
    <x v="2"/>
    <x v="10"/>
    <x v="4"/>
    <s v="SUB RECETAS"/>
    <x v="1"/>
    <x v="806"/>
    <s v="GRAMOS"/>
    <n v="18.415007580000001"/>
    <n v="-6534"/>
    <n v="0"/>
    <n v="6534"/>
    <n v="0"/>
    <n v="120323.65952772001"/>
    <x v="0"/>
  </r>
  <r>
    <x v="2"/>
    <x v="12"/>
    <x v="3"/>
    <s v="SUB RECETAS"/>
    <x v="1"/>
    <x v="807"/>
    <s v="GRAMOS"/>
    <n v="1.88845906"/>
    <n v="0"/>
    <n v="0"/>
    <n v="0"/>
    <n v="0"/>
    <n v="0"/>
    <x v="1"/>
  </r>
  <r>
    <x v="2"/>
    <x v="14"/>
    <x v="0"/>
    <s v="SUB RECETAS"/>
    <x v="1"/>
    <x v="807"/>
    <s v="GRAMOS"/>
    <n v="1.88845906"/>
    <n v="43036"/>
    <n v="10778"/>
    <n v="-32258"/>
    <n v="20353.81174868"/>
    <n v="-60917.912357479996"/>
    <x v="2"/>
  </r>
  <r>
    <x v="2"/>
    <x v="13"/>
    <x v="2"/>
    <s v="SUB RECETAS"/>
    <x v="1"/>
    <x v="807"/>
    <s v="GRAMOS"/>
    <n v="1.88845906"/>
    <n v="0"/>
    <n v="5626"/>
    <n v="5626"/>
    <n v="10624.47067156"/>
    <n v="10624.47067156"/>
    <x v="0"/>
  </r>
  <r>
    <x v="2"/>
    <x v="10"/>
    <x v="4"/>
    <s v="SUB RECETAS"/>
    <x v="1"/>
    <x v="807"/>
    <s v="GRAMOS"/>
    <n v="1.88845906"/>
    <n v="0"/>
    <n v="0"/>
    <n v="0"/>
    <n v="0"/>
    <n v="0"/>
    <x v="1"/>
  </r>
  <r>
    <x v="2"/>
    <x v="14"/>
    <x v="0"/>
    <s v="SUB-RECETAS BAR"/>
    <x v="0"/>
    <x v="808"/>
    <s v="GRAMOS"/>
    <n v="11.18390569"/>
    <n v="-630"/>
    <n v="0"/>
    <n v="630"/>
    <n v="0"/>
    <n v="7045.8605846999999"/>
    <x v="0"/>
  </r>
  <r>
    <x v="2"/>
    <x v="12"/>
    <x v="3"/>
    <s v="SUB RECETAS"/>
    <x v="1"/>
    <x v="324"/>
    <s v="GRAMOS"/>
    <n v="240"/>
    <n v="-3"/>
    <n v="0"/>
    <n v="3"/>
    <n v="0"/>
    <n v="720"/>
    <x v="0"/>
  </r>
  <r>
    <x v="2"/>
    <x v="14"/>
    <x v="0"/>
    <s v="SUB RECETAS"/>
    <x v="1"/>
    <x v="324"/>
    <s v="GRAMOS"/>
    <n v="195"/>
    <n v="-3"/>
    <n v="0"/>
    <n v="3"/>
    <n v="0"/>
    <n v="585"/>
    <x v="0"/>
  </r>
  <r>
    <x v="2"/>
    <x v="13"/>
    <x v="2"/>
    <s v="SUB RECETAS"/>
    <x v="1"/>
    <x v="324"/>
    <s v="GRAMOS"/>
    <n v="240"/>
    <n v="-5"/>
    <n v="0"/>
    <n v="5"/>
    <n v="0"/>
    <n v="1200"/>
    <x v="0"/>
  </r>
  <r>
    <x v="2"/>
    <x v="16"/>
    <x v="5"/>
    <s v="SUB RECETAS"/>
    <x v="1"/>
    <x v="324"/>
    <s v="GRAMOS"/>
    <n v="240"/>
    <n v="0"/>
    <n v="0"/>
    <n v="0"/>
    <n v="0"/>
    <n v="0"/>
    <x v="1"/>
  </r>
  <r>
    <x v="2"/>
    <x v="10"/>
    <x v="4"/>
    <s v="SUB RECETAS"/>
    <x v="1"/>
    <x v="324"/>
    <s v="GRAMOS"/>
    <n v="240"/>
    <n v="-10"/>
    <n v="0"/>
    <n v="10"/>
    <n v="0"/>
    <n v="2400"/>
    <x v="0"/>
  </r>
  <r>
    <x v="2"/>
    <x v="12"/>
    <x v="3"/>
    <s v="SUB-RECETAS CP"/>
    <x v="1"/>
    <x v="293"/>
    <s v="GRAMOS"/>
    <n v="11.406611420000001"/>
    <n v="4000"/>
    <n v="2000"/>
    <n v="-2000.0000010000001"/>
    <n v="22813.222840000002"/>
    <n v="-22813.222851406616"/>
    <x v="2"/>
  </r>
  <r>
    <x v="2"/>
    <x v="13"/>
    <x v="2"/>
    <s v="SUB-RECETAS CP"/>
    <x v="1"/>
    <x v="293"/>
    <s v="GRAMOS"/>
    <n v="11.406611420000001"/>
    <n v="3030"/>
    <n v="0"/>
    <n v="-3030.0000009999999"/>
    <n v="0"/>
    <n v="-34562.03261400661"/>
    <x v="2"/>
  </r>
  <r>
    <x v="2"/>
    <x v="16"/>
    <x v="5"/>
    <s v="SUB-RECETAS CP"/>
    <x v="1"/>
    <x v="293"/>
    <s v="GRAMOS"/>
    <n v="11.406611420000001"/>
    <n v="14000"/>
    <n v="14000"/>
    <n v="0"/>
    <n v="159692.55988000002"/>
    <n v="0"/>
    <x v="1"/>
  </r>
  <r>
    <x v="2"/>
    <x v="10"/>
    <x v="4"/>
    <s v="SUB-RECETAS CP"/>
    <x v="1"/>
    <x v="293"/>
    <s v="GRAMOS"/>
    <n v="11.406611420000001"/>
    <n v="1052"/>
    <n v="1000"/>
    <n v="-52"/>
    <n v="11406.611420000001"/>
    <n v="-593.14379384000006"/>
    <x v="2"/>
  </r>
  <r>
    <x v="2"/>
    <x v="14"/>
    <x v="0"/>
    <s v="SUB RECETAS"/>
    <x v="1"/>
    <x v="809"/>
    <s v="GRAMOS"/>
    <n v="4.9411069599999999"/>
    <n v="-820"/>
    <n v="0"/>
    <n v="820"/>
    <n v="0"/>
    <n v="4051.7077071999997"/>
    <x v="0"/>
  </r>
  <r>
    <x v="2"/>
    <x v="15"/>
    <x v="1"/>
    <s v="SUB RECETAS"/>
    <x v="1"/>
    <x v="809"/>
    <s v="GRAMOS"/>
    <n v="4.9411069599999999"/>
    <n v="-220"/>
    <n v="700"/>
    <n v="920"/>
    <n v="3458.774872"/>
    <n v="4545.8184031999999"/>
    <x v="0"/>
  </r>
  <r>
    <x v="2"/>
    <x v="14"/>
    <x v="0"/>
    <s v="SUB RECETAS"/>
    <x v="1"/>
    <x v="810"/>
    <s v="GRAMOS"/>
    <n v="8.7234115800000005"/>
    <n v="-3069"/>
    <n v="5004"/>
    <n v="8073"/>
    <n v="43651.95154632"/>
    <n v="70424.101685340007"/>
    <x v="0"/>
  </r>
  <r>
    <x v="2"/>
    <x v="12"/>
    <x v="3"/>
    <s v="SUB RECETAS"/>
    <x v="1"/>
    <x v="811"/>
    <s v="GRAMOS"/>
    <n v="18.58584578"/>
    <n v="-2430"/>
    <n v="0"/>
    <n v="2430"/>
    <n v="0"/>
    <n v="45163.605245400002"/>
    <x v="0"/>
  </r>
  <r>
    <x v="2"/>
    <x v="13"/>
    <x v="2"/>
    <s v="SUB RECETAS"/>
    <x v="1"/>
    <x v="811"/>
    <s v="GRAMOS"/>
    <n v="18.58584578"/>
    <n v="-2240"/>
    <n v="0"/>
    <n v="2240"/>
    <n v="0"/>
    <n v="41632.294547199999"/>
    <x v="0"/>
  </r>
  <r>
    <x v="2"/>
    <x v="10"/>
    <x v="4"/>
    <s v="SUB RECETAS"/>
    <x v="1"/>
    <x v="811"/>
    <s v="GRAMOS"/>
    <n v="18.58584578"/>
    <n v="-4090"/>
    <n v="0"/>
    <n v="4090"/>
    <n v="0"/>
    <n v="76016.109240199992"/>
    <x v="0"/>
  </r>
  <r>
    <x v="2"/>
    <x v="12"/>
    <x v="3"/>
    <s v="SUB-RECETAS BAR"/>
    <x v="0"/>
    <x v="812"/>
    <s v="GRAMOS"/>
    <n v="16.936054859999999"/>
    <n v="-30"/>
    <n v="0"/>
    <n v="30"/>
    <n v="0"/>
    <n v="508.08164579999993"/>
    <x v="0"/>
  </r>
  <r>
    <x v="2"/>
    <x v="13"/>
    <x v="2"/>
    <s v="SUB-RECETAS BAR"/>
    <x v="0"/>
    <x v="812"/>
    <s v="GRAMOS"/>
    <n v="16.936054859999999"/>
    <n v="2940"/>
    <n v="750"/>
    <n v="-2190"/>
    <n v="12702.041144999999"/>
    <n v="-37089.9601434"/>
    <x v="2"/>
  </r>
  <r>
    <x v="2"/>
    <x v="15"/>
    <x v="1"/>
    <s v="SUB-RECETAS BAR"/>
    <x v="0"/>
    <x v="812"/>
    <s v="GRAMOS"/>
    <n v="15.05299142"/>
    <n v="0"/>
    <n v="0"/>
    <n v="0"/>
    <n v="0"/>
    <n v="0"/>
    <x v="1"/>
  </r>
  <r>
    <x v="2"/>
    <x v="10"/>
    <x v="4"/>
    <s v="SUB-RECETAS BAR"/>
    <x v="0"/>
    <x v="812"/>
    <s v="GRAMOS"/>
    <n v="16.936054859999999"/>
    <n v="-50"/>
    <n v="0"/>
    <n v="50"/>
    <n v="0"/>
    <n v="846.80274299999996"/>
    <x v="0"/>
  </r>
  <r>
    <x v="2"/>
    <x v="15"/>
    <x v="1"/>
    <s v="SUB-RECETAS BAR"/>
    <x v="0"/>
    <x v="214"/>
    <s v="UNIDADES"/>
    <n v="2053.9833012700001"/>
    <n v="-7"/>
    <n v="0"/>
    <n v="7"/>
    <n v="0"/>
    <n v="14377.883108890001"/>
    <x v="0"/>
  </r>
  <r>
    <x v="2"/>
    <x v="12"/>
    <x v="3"/>
    <s v="SUB RECETAS"/>
    <x v="1"/>
    <x v="813"/>
    <s v="UNIDADES"/>
    <n v="83.322999999999993"/>
    <n v="1101"/>
    <n v="0"/>
    <n v="-1101"/>
    <n v="0"/>
    <n v="-91738.622999999992"/>
    <x v="2"/>
  </r>
  <r>
    <x v="2"/>
    <x v="14"/>
    <x v="0"/>
    <s v="SUB RECETAS"/>
    <x v="1"/>
    <x v="813"/>
    <s v="UNIDADES"/>
    <n v="58.468808330000002"/>
    <n v="-8"/>
    <n v="0"/>
    <n v="8"/>
    <n v="0"/>
    <n v="467.75046664000001"/>
    <x v="0"/>
  </r>
  <r>
    <x v="2"/>
    <x v="13"/>
    <x v="2"/>
    <s v="SUB RECETAS"/>
    <x v="1"/>
    <x v="813"/>
    <s v="UNIDADES"/>
    <n v="83.322999999999993"/>
    <n v="6"/>
    <n v="0"/>
    <n v="-6"/>
    <n v="0"/>
    <n v="-499.93799999999999"/>
    <x v="2"/>
  </r>
  <r>
    <x v="2"/>
    <x v="15"/>
    <x v="1"/>
    <s v="SUB RECETAS"/>
    <x v="1"/>
    <x v="813"/>
    <s v="UNIDADES"/>
    <n v="58.468808330000002"/>
    <n v="7"/>
    <n v="0"/>
    <n v="-7"/>
    <n v="0"/>
    <n v="-409.28165831000001"/>
    <x v="2"/>
  </r>
  <r>
    <x v="2"/>
    <x v="10"/>
    <x v="4"/>
    <s v="SUB RECETAS"/>
    <x v="1"/>
    <x v="813"/>
    <s v="UNIDADES"/>
    <n v="83.322999999999993"/>
    <n v="9"/>
    <n v="0"/>
    <n v="-9"/>
    <n v="0"/>
    <n v="-749.90699999999993"/>
    <x v="2"/>
  </r>
  <r>
    <x v="2"/>
    <x v="12"/>
    <x v="3"/>
    <s v="SUB-RECETAS BAR"/>
    <x v="0"/>
    <x v="326"/>
    <s v="GRAMOS"/>
    <n v="58.412030450000003"/>
    <n v="-1518"/>
    <n v="400"/>
    <n v="1918"/>
    <n v="23364.812180000001"/>
    <n v="112034.2744031"/>
    <x v="0"/>
  </r>
  <r>
    <x v="2"/>
    <x v="13"/>
    <x v="2"/>
    <s v="SUB-RECETAS BAR"/>
    <x v="0"/>
    <x v="326"/>
    <s v="GRAMOS"/>
    <n v="58.412030450000003"/>
    <n v="-326"/>
    <n v="1020"/>
    <n v="1346"/>
    <n v="59580.271059000006"/>
    <n v="78622.592985700001"/>
    <x v="0"/>
  </r>
  <r>
    <x v="2"/>
    <x v="16"/>
    <x v="5"/>
    <s v="SUB-RECETAS BAR"/>
    <x v="0"/>
    <x v="326"/>
    <s v="GRAMOS"/>
    <n v="58.412030450000003"/>
    <n v="0"/>
    <n v="0"/>
    <n v="0"/>
    <n v="0"/>
    <n v="0"/>
    <x v="1"/>
  </r>
  <r>
    <x v="2"/>
    <x v="10"/>
    <x v="4"/>
    <s v="SUB-RECETAS BAR"/>
    <x v="0"/>
    <x v="326"/>
    <s v="GRAMOS"/>
    <n v="58.412030450000003"/>
    <n v="-3120"/>
    <n v="0"/>
    <n v="3120"/>
    <n v="0"/>
    <n v="182245.535004"/>
    <x v="0"/>
  </r>
  <r>
    <x v="2"/>
    <x v="12"/>
    <x v="3"/>
    <s v="SUB RECETAS"/>
    <x v="1"/>
    <x v="814"/>
    <s v="GRAMOS"/>
    <n v="15.798591500000001"/>
    <n v="-1230"/>
    <n v="414"/>
    <n v="1644"/>
    <n v="6540.6168809999999"/>
    <n v="25972.884426000001"/>
    <x v="0"/>
  </r>
  <r>
    <x v="2"/>
    <x v="14"/>
    <x v="0"/>
    <s v="SUB RECETAS"/>
    <x v="1"/>
    <x v="814"/>
    <s v="GRAMOS"/>
    <n v="12.07174532"/>
    <n v="2858.5"/>
    <n v="332"/>
    <n v="-2526.5"/>
    <n v="4007.8194462399997"/>
    <n v="-30499.264550979999"/>
    <x v="2"/>
  </r>
  <r>
    <x v="2"/>
    <x v="13"/>
    <x v="2"/>
    <s v="SUB RECETAS"/>
    <x v="1"/>
    <x v="814"/>
    <s v="GRAMOS"/>
    <n v="15.798591500000001"/>
    <n v="-1510"/>
    <n v="330"/>
    <n v="1840"/>
    <n v="5213.5351950000004"/>
    <n v="29069.408360000001"/>
    <x v="0"/>
  </r>
  <r>
    <x v="2"/>
    <x v="15"/>
    <x v="1"/>
    <s v="SUB RECETAS"/>
    <x v="1"/>
    <x v="814"/>
    <s v="GRAMOS"/>
    <n v="12.07174532"/>
    <n v="-4778"/>
    <n v="175"/>
    <n v="4953"/>
    <n v="2112.5554309999998"/>
    <n v="59791.35456996"/>
    <x v="0"/>
  </r>
  <r>
    <x v="2"/>
    <x v="10"/>
    <x v="4"/>
    <s v="SUB RECETAS"/>
    <x v="1"/>
    <x v="814"/>
    <s v="GRAMOS"/>
    <n v="15.798591500000001"/>
    <n v="-3050"/>
    <n v="800"/>
    <n v="3850"/>
    <n v="12638.8732"/>
    <n v="60824.577275000003"/>
    <x v="0"/>
  </r>
  <r>
    <x v="2"/>
    <x v="12"/>
    <x v="3"/>
    <s v="SUB RECETAS"/>
    <x v="1"/>
    <x v="815"/>
    <s v="GRAMOS"/>
    <n v="24.960225869999999"/>
    <n v="4984"/>
    <n v="0"/>
    <n v="-4984"/>
    <n v="0"/>
    <n v="-124401.76573607999"/>
    <x v="2"/>
  </r>
  <r>
    <x v="2"/>
    <x v="13"/>
    <x v="2"/>
    <s v="SUB RECETAS"/>
    <x v="1"/>
    <x v="815"/>
    <s v="GRAMOS"/>
    <n v="24.960225869999999"/>
    <n v="1592"/>
    <n v="0"/>
    <n v="-1592"/>
    <n v="0"/>
    <n v="-39736.679585040001"/>
    <x v="2"/>
  </r>
  <r>
    <x v="2"/>
    <x v="10"/>
    <x v="4"/>
    <s v="SUB RECETAS"/>
    <x v="1"/>
    <x v="815"/>
    <s v="GRAMOS"/>
    <n v="24.960225869999999"/>
    <n v="2892"/>
    <n v="0"/>
    <n v="-2892"/>
    <n v="0"/>
    <n v="-72184.973216040002"/>
    <x v="2"/>
  </r>
  <r>
    <x v="2"/>
    <x v="14"/>
    <x v="0"/>
    <s v="SUB RECETAS"/>
    <x v="1"/>
    <x v="816"/>
    <s v="GRAMOS"/>
    <n v="9.5586036700000001"/>
    <n v="15830"/>
    <n v="2374"/>
    <n v="-13456"/>
    <n v="22692.125112580001"/>
    <n v="-128620.57098352"/>
    <x v="2"/>
  </r>
  <r>
    <x v="2"/>
    <x v="12"/>
    <x v="3"/>
    <s v="SUB RECETAS"/>
    <x v="1"/>
    <x v="817"/>
    <s v="UNIDADES"/>
    <n v="53.101138890000001"/>
    <n v="0"/>
    <n v="0"/>
    <n v="0"/>
    <n v="0"/>
    <n v="0"/>
    <x v="1"/>
  </r>
  <r>
    <x v="2"/>
    <x v="14"/>
    <x v="0"/>
    <s v="SUB RECETAS"/>
    <x v="1"/>
    <x v="817"/>
    <s v="UNIDADES"/>
    <n v="53.101138890000001"/>
    <n v="128"/>
    <n v="100"/>
    <n v="-28"/>
    <n v="5310.1138890000002"/>
    <n v="-1486.83188892"/>
    <x v="2"/>
  </r>
  <r>
    <x v="2"/>
    <x v="13"/>
    <x v="2"/>
    <s v="SUB RECETAS"/>
    <x v="1"/>
    <x v="817"/>
    <s v="UNIDADES"/>
    <n v="53.101138890000001"/>
    <n v="0"/>
    <n v="0"/>
    <n v="0"/>
    <n v="0"/>
    <n v="0"/>
    <x v="1"/>
  </r>
  <r>
    <x v="2"/>
    <x v="10"/>
    <x v="4"/>
    <s v="SUB RECETAS"/>
    <x v="1"/>
    <x v="817"/>
    <s v="UNIDADES"/>
    <n v="53.101138890000001"/>
    <n v="0"/>
    <n v="40"/>
    <n v="40"/>
    <n v="2124.0455556000002"/>
    <n v="2124.0455556000002"/>
    <x v="0"/>
  </r>
  <r>
    <x v="2"/>
    <x v="12"/>
    <x v="3"/>
    <s v="SUB RECETAS"/>
    <x v="1"/>
    <x v="818"/>
    <s v="GRAMOS"/>
    <n v="14.77931856"/>
    <n v="-352"/>
    <n v="930"/>
    <n v="1282"/>
    <n v="13744.766260800001"/>
    <n v="18947.086393919999"/>
    <x v="0"/>
  </r>
  <r>
    <x v="2"/>
    <x v="14"/>
    <x v="0"/>
    <s v="SUB RECETAS"/>
    <x v="1"/>
    <x v="818"/>
    <s v="GRAMOS"/>
    <n v="13.324731440000001"/>
    <n v="0"/>
    <n v="0"/>
    <n v="0"/>
    <n v="0"/>
    <n v="0"/>
    <x v="1"/>
  </r>
  <r>
    <x v="2"/>
    <x v="13"/>
    <x v="2"/>
    <s v="SUB RECETAS"/>
    <x v="1"/>
    <x v="818"/>
    <s v="GRAMOS"/>
    <n v="14.77931856"/>
    <n v="-1295"/>
    <n v="600"/>
    <n v="1895"/>
    <n v="8867.5911360000009"/>
    <n v="28006.8086712"/>
    <x v="0"/>
  </r>
  <r>
    <x v="2"/>
    <x v="10"/>
    <x v="4"/>
    <s v="SUB RECETAS"/>
    <x v="1"/>
    <x v="818"/>
    <s v="GRAMOS"/>
    <n v="14.77931856"/>
    <n v="-2609"/>
    <n v="1704"/>
    <n v="4313"/>
    <n v="25183.958826239999"/>
    <n v="63743.200949279999"/>
    <x v="0"/>
  </r>
  <r>
    <x v="2"/>
    <x v="12"/>
    <x v="3"/>
    <s v="SUB RECETAS"/>
    <x v="1"/>
    <x v="819"/>
    <s v="GRAMOS"/>
    <n v="12.823530269999999"/>
    <n v="-10379"/>
    <n v="0"/>
    <n v="10379"/>
    <n v="0"/>
    <n v="133095.42067232999"/>
    <x v="0"/>
  </r>
  <r>
    <x v="2"/>
    <x v="14"/>
    <x v="0"/>
    <s v="SUB RECETAS"/>
    <x v="1"/>
    <x v="819"/>
    <s v="GRAMOS"/>
    <n v="18.956521739999999"/>
    <n v="-7325"/>
    <n v="0"/>
    <n v="7325"/>
    <n v="0"/>
    <n v="138856.52174550001"/>
    <x v="0"/>
  </r>
  <r>
    <x v="2"/>
    <x v="13"/>
    <x v="2"/>
    <s v="SUB RECETAS"/>
    <x v="1"/>
    <x v="819"/>
    <s v="GRAMOS"/>
    <n v="12.823530269999999"/>
    <n v="-5282"/>
    <n v="0"/>
    <n v="5282"/>
    <n v="0"/>
    <n v="67733.886886139997"/>
    <x v="0"/>
  </r>
  <r>
    <x v="2"/>
    <x v="15"/>
    <x v="1"/>
    <s v="SUB RECETAS"/>
    <x v="1"/>
    <x v="819"/>
    <s v="GRAMOS"/>
    <n v="18.956521739999999"/>
    <n v="-13003.625"/>
    <n v="0"/>
    <n v="13003.625"/>
    <n v="0"/>
    <n v="246503.50001130748"/>
    <x v="0"/>
  </r>
  <r>
    <x v="2"/>
    <x v="10"/>
    <x v="4"/>
    <s v="SUB RECETAS"/>
    <x v="1"/>
    <x v="819"/>
    <s v="GRAMOS"/>
    <n v="12.823530269999999"/>
    <n v="-16240"/>
    <n v="0"/>
    <n v="16240"/>
    <n v="0"/>
    <n v="208254.13158479999"/>
    <x v="0"/>
  </r>
  <r>
    <x v="2"/>
    <x v="12"/>
    <x v="3"/>
    <s v="SUB RECETAS"/>
    <x v="1"/>
    <x v="257"/>
    <s v="UNIDADES"/>
    <n v="1756.7813333300001"/>
    <n v="-10"/>
    <n v="73"/>
    <n v="83"/>
    <n v="128245.03733309"/>
    <n v="145812.85066639"/>
    <x v="0"/>
  </r>
  <r>
    <x v="2"/>
    <x v="13"/>
    <x v="2"/>
    <s v="SUB RECETAS"/>
    <x v="1"/>
    <x v="257"/>
    <s v="UNIDADES"/>
    <n v="1756.7813333300001"/>
    <n v="-92"/>
    <n v="17"/>
    <n v="109"/>
    <n v="29865.282666610001"/>
    <n v="191489.16533297001"/>
    <x v="0"/>
  </r>
  <r>
    <x v="2"/>
    <x v="10"/>
    <x v="4"/>
    <s v="SUB RECETAS"/>
    <x v="1"/>
    <x v="257"/>
    <s v="UNIDADES"/>
    <n v="1756.7813333300001"/>
    <n v="57"/>
    <n v="72"/>
    <n v="15"/>
    <n v="126488.25599976"/>
    <n v="26351.719999950001"/>
    <x v="0"/>
  </r>
  <r>
    <x v="2"/>
    <x v="12"/>
    <x v="3"/>
    <s v="SUB RECETAS"/>
    <x v="1"/>
    <x v="277"/>
    <s v="UNIDADES"/>
    <n v="2900.3227931299998"/>
    <n v="-98"/>
    <n v="47"/>
    <n v="145"/>
    <n v="136315.17127711"/>
    <n v="420546.80500384996"/>
    <x v="0"/>
  </r>
  <r>
    <x v="2"/>
    <x v="13"/>
    <x v="2"/>
    <s v="SUB RECETAS"/>
    <x v="1"/>
    <x v="277"/>
    <s v="UNIDADES"/>
    <n v="2900.3227931299998"/>
    <n v="-1"/>
    <n v="2"/>
    <n v="3"/>
    <n v="5800.6455862599996"/>
    <n v="8700.9683793900003"/>
    <x v="0"/>
  </r>
  <r>
    <x v="2"/>
    <x v="10"/>
    <x v="4"/>
    <s v="SUB RECETAS"/>
    <x v="1"/>
    <x v="277"/>
    <s v="UNIDADES"/>
    <n v="2900.3227931299998"/>
    <n v="-16"/>
    <n v="14"/>
    <n v="30"/>
    <n v="40604.519103819999"/>
    <n v="87009.683793899996"/>
    <x v="0"/>
  </r>
  <r>
    <x v="2"/>
    <x v="14"/>
    <x v="0"/>
    <s v="SUB RECETAS"/>
    <x v="1"/>
    <x v="820"/>
    <s v="GRAMOS"/>
    <n v="2.9285714500000002"/>
    <n v="-5797"/>
    <n v="1500"/>
    <n v="7297"/>
    <n v="4392.8571750000001"/>
    <n v="21369.785870650001"/>
    <x v="0"/>
  </r>
  <r>
    <x v="2"/>
    <x v="12"/>
    <x v="3"/>
    <s v="SUB RECETAS"/>
    <x v="1"/>
    <x v="821"/>
    <s v="GRAMOS"/>
    <n v="15.157083310000001"/>
    <n v="-18056"/>
    <n v="1388"/>
    <n v="19444"/>
    <n v="21038.03163428"/>
    <n v="294714.32787964004"/>
    <x v="0"/>
  </r>
  <r>
    <x v="2"/>
    <x v="13"/>
    <x v="2"/>
    <s v="SUB RECETAS"/>
    <x v="1"/>
    <x v="821"/>
    <s v="GRAMOS"/>
    <n v="15.157083310000001"/>
    <n v="-1752"/>
    <n v="3420"/>
    <n v="5172"/>
    <n v="51837.224920200002"/>
    <n v="78392.434879320004"/>
    <x v="0"/>
  </r>
  <r>
    <x v="2"/>
    <x v="10"/>
    <x v="4"/>
    <s v="SUB RECETAS"/>
    <x v="1"/>
    <x v="821"/>
    <s v="GRAMOS"/>
    <n v="15.157083310000001"/>
    <n v="-26824"/>
    <n v="2000"/>
    <n v="28824"/>
    <n v="30314.16662"/>
    <n v="436887.76932744001"/>
    <x v="0"/>
  </r>
  <r>
    <x v="2"/>
    <x v="12"/>
    <x v="3"/>
    <s v="SUB RECETAS"/>
    <x v="1"/>
    <x v="822"/>
    <s v="GRAMOS"/>
    <n v="30.21137307"/>
    <n v="0"/>
    <n v="0"/>
    <n v="0"/>
    <n v="0"/>
    <n v="0"/>
    <x v="1"/>
  </r>
  <r>
    <x v="2"/>
    <x v="13"/>
    <x v="2"/>
    <s v="SUB RECETAS"/>
    <x v="1"/>
    <x v="822"/>
    <s v="GRAMOS"/>
    <n v="30.21137307"/>
    <n v="0"/>
    <n v="5603"/>
    <n v="5603"/>
    <n v="169274.32331121"/>
    <n v="169274.32331121"/>
    <x v="0"/>
  </r>
  <r>
    <x v="2"/>
    <x v="10"/>
    <x v="4"/>
    <s v="SUB RECETAS"/>
    <x v="1"/>
    <x v="822"/>
    <s v="GRAMOS"/>
    <n v="30.21137307"/>
    <n v="0"/>
    <n v="5366"/>
    <n v="5366"/>
    <n v="162114.22789362"/>
    <n v="162114.22789362"/>
    <x v="0"/>
  </r>
  <r>
    <x v="2"/>
    <x v="12"/>
    <x v="3"/>
    <s v="SUB-RECETAS BAR"/>
    <x v="0"/>
    <x v="328"/>
    <s v="GRAMOS"/>
    <n v="10.8"/>
    <n v="-627"/>
    <n v="0"/>
    <n v="627"/>
    <n v="0"/>
    <n v="6771.6"/>
    <x v="0"/>
  </r>
  <r>
    <x v="2"/>
    <x v="14"/>
    <x v="0"/>
    <s v="SUB-RECETAS BAR"/>
    <x v="0"/>
    <x v="328"/>
    <s v="GRAMOS"/>
    <n v="10.8"/>
    <n v="-432"/>
    <n v="350"/>
    <n v="782"/>
    <n v="3780.0000000000005"/>
    <n v="8445.6"/>
    <x v="0"/>
  </r>
  <r>
    <x v="2"/>
    <x v="13"/>
    <x v="2"/>
    <s v="SUB-RECETAS BAR"/>
    <x v="0"/>
    <x v="328"/>
    <s v="GRAMOS"/>
    <n v="10.8"/>
    <n v="-665"/>
    <n v="240"/>
    <n v="905"/>
    <n v="2592"/>
    <n v="9774"/>
    <x v="0"/>
  </r>
  <r>
    <x v="2"/>
    <x v="15"/>
    <x v="1"/>
    <s v="SUB-RECETAS BAR"/>
    <x v="0"/>
    <x v="328"/>
    <s v="GRAMOS"/>
    <n v="10.8"/>
    <n v="491"/>
    <n v="1360"/>
    <n v="869"/>
    <n v="14688.000000000002"/>
    <n v="9385.2000000000007"/>
    <x v="0"/>
  </r>
  <r>
    <x v="2"/>
    <x v="16"/>
    <x v="5"/>
    <s v="SUB-RECETAS BAR"/>
    <x v="0"/>
    <x v="328"/>
    <s v="GRAMOS"/>
    <n v="10.8"/>
    <n v="0"/>
    <n v="0"/>
    <n v="0"/>
    <n v="0"/>
    <n v="0"/>
    <x v="1"/>
  </r>
  <r>
    <x v="2"/>
    <x v="10"/>
    <x v="4"/>
    <s v="SUB-RECETAS BAR"/>
    <x v="0"/>
    <x v="328"/>
    <s v="GRAMOS"/>
    <n v="10.8"/>
    <n v="-1556"/>
    <n v="2270"/>
    <n v="3826"/>
    <n v="24516"/>
    <n v="41320.800000000003"/>
    <x v="0"/>
  </r>
  <r>
    <x v="2"/>
    <x v="14"/>
    <x v="0"/>
    <s v="SUB-RECETAS BAR"/>
    <x v="0"/>
    <x v="823"/>
    <s v="GRAMOS"/>
    <n v="150"/>
    <n v="-111"/>
    <n v="130"/>
    <n v="241"/>
    <n v="19500"/>
    <n v="36150"/>
    <x v="0"/>
  </r>
  <r>
    <x v="2"/>
    <x v="15"/>
    <x v="1"/>
    <s v="SUB RECETAS"/>
    <x v="1"/>
    <x v="824"/>
    <s v="UNIDADES"/>
    <n v="164.05703704000001"/>
    <n v="-6451"/>
    <n v="0"/>
    <n v="6451"/>
    <n v="0"/>
    <n v="1058331.9459450401"/>
    <x v="0"/>
  </r>
  <r>
    <x v="2"/>
    <x v="12"/>
    <x v="3"/>
    <s v="SUB-RECETAS BAR"/>
    <x v="0"/>
    <x v="269"/>
    <s v="ONZA"/>
    <n v="3676.0409307599998"/>
    <n v="21.5"/>
    <n v="21"/>
    <n v="-0.5"/>
    <n v="77196.859545959989"/>
    <n v="-1838.0204653799999"/>
    <x v="2"/>
  </r>
  <r>
    <x v="2"/>
    <x v="13"/>
    <x v="2"/>
    <s v="SUB-RECETAS BAR"/>
    <x v="0"/>
    <x v="269"/>
    <s v="ONZA"/>
    <n v="3676.0409307599998"/>
    <n v="0"/>
    <n v="0"/>
    <n v="0"/>
    <n v="0"/>
    <n v="0"/>
    <x v="1"/>
  </r>
  <r>
    <x v="2"/>
    <x v="10"/>
    <x v="4"/>
    <s v="SUB-RECETAS BAR"/>
    <x v="0"/>
    <x v="269"/>
    <s v="ONZA"/>
    <n v="3676.0409307599998"/>
    <n v="39.07"/>
    <n v="37.950000000000003"/>
    <n v="-1.1200000000000001"/>
    <n v="139505.753322342"/>
    <n v="-4117.1658424511998"/>
    <x v="2"/>
  </r>
  <r>
    <x v="2"/>
    <x v="12"/>
    <x v="3"/>
    <s v="SUB-RECETAS BAR"/>
    <x v="0"/>
    <x v="273"/>
    <s v="ONZA"/>
    <n v="3183.4720738300002"/>
    <n v="1"/>
    <n v="4"/>
    <n v="3"/>
    <n v="12733.888295320001"/>
    <n v="9550.4162214900007"/>
    <x v="0"/>
  </r>
  <r>
    <x v="2"/>
    <x v="13"/>
    <x v="2"/>
    <s v="SUB-RECETAS BAR"/>
    <x v="0"/>
    <x v="273"/>
    <s v="ONZA"/>
    <n v="3183.4720738300002"/>
    <n v="33"/>
    <n v="34"/>
    <n v="1"/>
    <n v="108238.05051022001"/>
    <n v="3183.4720738300002"/>
    <x v="0"/>
  </r>
  <r>
    <x v="2"/>
    <x v="10"/>
    <x v="4"/>
    <s v="SUB-RECETAS BAR"/>
    <x v="0"/>
    <x v="273"/>
    <s v="ONZA"/>
    <n v="3183.4720738300002"/>
    <n v="47"/>
    <n v="9.66"/>
    <n v="-37.340000000000003"/>
    <n v="30752.340233197803"/>
    <n v="-118870.84723681222"/>
    <x v="2"/>
  </r>
  <r>
    <x v="2"/>
    <x v="12"/>
    <x v="3"/>
    <s v="SUB-RECETAS BAR"/>
    <x v="0"/>
    <x v="259"/>
    <s v="ONZA"/>
    <n v="3620.8961526200001"/>
    <n v="84"/>
    <n v="84"/>
    <n v="0"/>
    <n v="304155.27682008001"/>
    <n v="0"/>
    <x v="1"/>
  </r>
  <r>
    <x v="2"/>
    <x v="13"/>
    <x v="2"/>
    <s v="SUB-RECETAS BAR"/>
    <x v="0"/>
    <x v="259"/>
    <s v="ONZA"/>
    <n v="3620.8961526200001"/>
    <n v="38"/>
    <n v="39"/>
    <n v="1"/>
    <n v="141214.94995218"/>
    <n v="3620.8961526200001"/>
    <x v="0"/>
  </r>
  <r>
    <x v="2"/>
    <x v="10"/>
    <x v="4"/>
    <s v="SUB-RECETAS BAR"/>
    <x v="0"/>
    <x v="259"/>
    <s v="ONZA"/>
    <n v="3620.8961526200001"/>
    <n v="106"/>
    <n v="105.47"/>
    <n v="-0.53"/>
    <n v="381895.91721683141"/>
    <n v="-1919.0749608886001"/>
    <x v="2"/>
  </r>
  <r>
    <x v="2"/>
    <x v="12"/>
    <x v="3"/>
    <s v="SUB-RECETAS BAR"/>
    <x v="0"/>
    <x v="302"/>
    <s v="ONZA"/>
    <n v="4963.6632860099999"/>
    <n v="1"/>
    <n v="2"/>
    <n v="1"/>
    <n v="9927.3265720199997"/>
    <n v="4963.6632860099999"/>
    <x v="0"/>
  </r>
  <r>
    <x v="2"/>
    <x v="13"/>
    <x v="2"/>
    <s v="SUB-RECETAS BAR"/>
    <x v="0"/>
    <x v="302"/>
    <s v="ONZA"/>
    <n v="4963.6632860099999"/>
    <n v="35"/>
    <n v="36"/>
    <n v="1"/>
    <n v="178691.87829636"/>
    <n v="4963.6632860099999"/>
    <x v="0"/>
  </r>
  <r>
    <x v="2"/>
    <x v="10"/>
    <x v="4"/>
    <s v="SUB-RECETAS BAR"/>
    <x v="0"/>
    <x v="302"/>
    <s v="ONZA"/>
    <n v="4963.6632860099999"/>
    <n v="0"/>
    <n v="0"/>
    <n v="0"/>
    <n v="0"/>
    <n v="0"/>
    <x v="1"/>
  </r>
  <r>
    <x v="2"/>
    <x v="12"/>
    <x v="3"/>
    <s v="SUB-RECETAS BAR"/>
    <x v="0"/>
    <x v="260"/>
    <s v="ONZA"/>
    <n v="2119.8143934300001"/>
    <n v="26"/>
    <n v="26"/>
    <n v="0"/>
    <n v="55115.174229180004"/>
    <n v="0"/>
    <x v="1"/>
  </r>
  <r>
    <x v="2"/>
    <x v="13"/>
    <x v="2"/>
    <s v="SUB-RECETAS BAR"/>
    <x v="0"/>
    <x v="260"/>
    <s v="ONZA"/>
    <n v="2119.8143934300001"/>
    <n v="66"/>
    <n v="66"/>
    <n v="0"/>
    <n v="139907.74996638001"/>
    <n v="0"/>
    <x v="1"/>
  </r>
  <r>
    <x v="2"/>
    <x v="10"/>
    <x v="4"/>
    <s v="SUB-RECETAS BAR"/>
    <x v="0"/>
    <x v="260"/>
    <s v="ONZA"/>
    <n v="2119.8143934300001"/>
    <n v="21"/>
    <n v="20.22"/>
    <n v="-0.78"/>
    <n v="42862.647035154601"/>
    <n v="-1653.4552268754001"/>
    <x v="2"/>
  </r>
  <r>
    <x v="2"/>
    <x v="14"/>
    <x v="0"/>
    <s v="SUB-RECETAS BAR"/>
    <x v="0"/>
    <x v="825"/>
    <s v="GRAMOS"/>
    <n v="150"/>
    <n v="-348"/>
    <n v="0"/>
    <n v="348"/>
    <n v="0"/>
    <n v="52200"/>
    <x v="0"/>
  </r>
  <r>
    <x v="2"/>
    <x v="15"/>
    <x v="1"/>
    <s v="SUB-RECETAS BAR"/>
    <x v="0"/>
    <x v="825"/>
    <s v="GRAMOS"/>
    <n v="150"/>
    <n v="0"/>
    <n v="0"/>
    <n v="0"/>
    <n v="0"/>
    <n v="0"/>
    <x v="1"/>
  </r>
  <r>
    <x v="2"/>
    <x v="14"/>
    <x v="0"/>
    <s v="SUB RECETAS"/>
    <x v="1"/>
    <x v="826"/>
    <s v="GRAMOS"/>
    <n v="1.6105785699999999"/>
    <n v="-600"/>
    <n v="0"/>
    <n v="600"/>
    <n v="0"/>
    <n v="966.34714199999996"/>
    <x v="0"/>
  </r>
  <r>
    <x v="2"/>
    <x v="15"/>
    <x v="1"/>
    <s v="SUB RECETAS"/>
    <x v="1"/>
    <x v="827"/>
    <s v="UNIDADES"/>
    <n v="878.16711582999994"/>
    <n v="-220"/>
    <n v="0"/>
    <n v="220"/>
    <n v="0"/>
    <n v="193196.76548259999"/>
    <x v="0"/>
  </r>
  <r>
    <x v="2"/>
    <x v="12"/>
    <x v="3"/>
    <s v="SUB-RECETAS CP"/>
    <x v="1"/>
    <x v="828"/>
    <s v="GRAMOS"/>
    <n v="25.837315660000002"/>
    <n v="0"/>
    <n v="0"/>
    <n v="0"/>
    <n v="0"/>
    <n v="0"/>
    <x v="1"/>
  </r>
  <r>
    <x v="2"/>
    <x v="13"/>
    <x v="2"/>
    <s v="SUB-RECETAS CP"/>
    <x v="1"/>
    <x v="828"/>
    <s v="GRAMOS"/>
    <n v="25.837315660000002"/>
    <n v="0"/>
    <n v="0"/>
    <n v="0"/>
    <n v="0"/>
    <n v="0"/>
    <x v="1"/>
  </r>
  <r>
    <x v="2"/>
    <x v="10"/>
    <x v="4"/>
    <s v="SUB-RECETAS CP"/>
    <x v="1"/>
    <x v="828"/>
    <s v="GRAMOS"/>
    <n v="25.837315660000002"/>
    <n v="0"/>
    <n v="0"/>
    <n v="0"/>
    <n v="0"/>
    <n v="0"/>
    <x v="1"/>
  </r>
  <r>
    <x v="2"/>
    <x v="12"/>
    <x v="3"/>
    <s v="SUB RECETAS"/>
    <x v="1"/>
    <x v="829"/>
    <s v="GRAMOS"/>
    <n v="13.386050259999999"/>
    <n v="-1600"/>
    <n v="0"/>
    <n v="1600"/>
    <n v="0"/>
    <n v="21417.680415999999"/>
    <x v="0"/>
  </r>
  <r>
    <x v="2"/>
    <x v="13"/>
    <x v="2"/>
    <s v="SUB RECETAS"/>
    <x v="1"/>
    <x v="829"/>
    <s v="GRAMOS"/>
    <n v="13.386050259999999"/>
    <n v="526"/>
    <n v="80"/>
    <n v="-446"/>
    <n v="1070.8840207999999"/>
    <n v="-5970.1784159599993"/>
    <x v="2"/>
  </r>
  <r>
    <x v="2"/>
    <x v="10"/>
    <x v="4"/>
    <s v="SUB RECETAS"/>
    <x v="1"/>
    <x v="829"/>
    <s v="GRAMOS"/>
    <n v="13.386050259999999"/>
    <n v="0"/>
    <n v="0"/>
    <n v="0"/>
    <n v="0"/>
    <n v="0"/>
    <x v="1"/>
  </r>
  <r>
    <x v="2"/>
    <x v="14"/>
    <x v="0"/>
    <s v="SUB RECETAS"/>
    <x v="1"/>
    <x v="830"/>
    <s v="GRAMOS"/>
    <n v="24.4714007"/>
    <n v="1322"/>
    <n v="1970"/>
    <n v="648"/>
    <n v="48208.659378999997"/>
    <n v="15857.467653600001"/>
    <x v="0"/>
  </r>
  <r>
    <x v="2"/>
    <x v="14"/>
    <x v="0"/>
    <s v="SUB RECETAS"/>
    <x v="1"/>
    <x v="831"/>
    <s v="GRAMOS"/>
    <n v="30.907941050000002"/>
    <n v="865"/>
    <n v="696"/>
    <n v="-169"/>
    <n v="21511.926970800003"/>
    <n v="-5223.4420374500005"/>
    <x v="2"/>
  </r>
  <r>
    <x v="2"/>
    <x v="12"/>
    <x v="3"/>
    <s v="SUB RECETAS"/>
    <x v="1"/>
    <x v="832"/>
    <s v="GRAMOS"/>
    <n v="21.21158569"/>
    <n v="1330"/>
    <n v="0"/>
    <n v="-1330"/>
    <n v="0"/>
    <n v="-28211.408967700001"/>
    <x v="2"/>
  </r>
  <r>
    <x v="2"/>
    <x v="14"/>
    <x v="0"/>
    <s v="SUB RECETAS"/>
    <x v="1"/>
    <x v="832"/>
    <s v="GRAMOS"/>
    <n v="21.94962533"/>
    <n v="-1720"/>
    <n v="0"/>
    <n v="1720"/>
    <n v="0"/>
    <n v="37753.355567600003"/>
    <x v="0"/>
  </r>
  <r>
    <x v="2"/>
    <x v="13"/>
    <x v="2"/>
    <s v="SUB RECETAS"/>
    <x v="1"/>
    <x v="832"/>
    <s v="GRAMOS"/>
    <n v="21.21158569"/>
    <n v="9163"/>
    <n v="0"/>
    <n v="-9163"/>
    <n v="0"/>
    <n v="-194361.75967746999"/>
    <x v="2"/>
  </r>
  <r>
    <x v="2"/>
    <x v="15"/>
    <x v="1"/>
    <s v="SUB RECETAS"/>
    <x v="1"/>
    <x v="832"/>
    <s v="GRAMOS"/>
    <n v="21.94962533"/>
    <n v="-120"/>
    <n v="0"/>
    <n v="120"/>
    <n v="0"/>
    <n v="2633.9550396"/>
    <x v="0"/>
  </r>
  <r>
    <x v="2"/>
    <x v="10"/>
    <x v="4"/>
    <s v="SUB RECETAS"/>
    <x v="1"/>
    <x v="832"/>
    <s v="GRAMOS"/>
    <n v="21.21158569"/>
    <n v="-1036"/>
    <n v="0"/>
    <n v="1036"/>
    <n v="0"/>
    <n v="21975.20277484"/>
    <x v="0"/>
  </r>
  <r>
    <x v="2"/>
    <x v="12"/>
    <x v="3"/>
    <s v="SUB RECETAS"/>
    <x v="1"/>
    <x v="833"/>
    <s v="GRAMOS"/>
    <n v="55.369784940000002"/>
    <n v="-596"/>
    <n v="600"/>
    <n v="1196"/>
    <n v="33221.870964000002"/>
    <n v="66222.262788239997"/>
    <x v="0"/>
  </r>
  <r>
    <x v="2"/>
    <x v="13"/>
    <x v="2"/>
    <s v="SUB RECETAS"/>
    <x v="1"/>
    <x v="833"/>
    <s v="GRAMOS"/>
    <n v="55.369784940000002"/>
    <n v="-1416"/>
    <n v="414"/>
    <n v="1830"/>
    <n v="22923.090965160001"/>
    <n v="101326.70644020001"/>
    <x v="0"/>
  </r>
  <r>
    <x v="2"/>
    <x v="10"/>
    <x v="4"/>
    <s v="SUB RECETAS"/>
    <x v="1"/>
    <x v="833"/>
    <s v="GRAMOS"/>
    <n v="55.369784940000002"/>
    <n v="-2218"/>
    <n v="400"/>
    <n v="2618"/>
    <n v="22147.913976"/>
    <n v="144958.09697292"/>
    <x v="0"/>
  </r>
  <r>
    <x v="2"/>
    <x v="12"/>
    <x v="3"/>
    <s v="SUB-RECETAS CP"/>
    <x v="1"/>
    <x v="834"/>
    <s v="GRAMOS"/>
    <n v="22.263002109999999"/>
    <n v="0"/>
    <n v="0"/>
    <n v="0"/>
    <n v="0"/>
    <n v="0"/>
    <x v="1"/>
  </r>
  <r>
    <x v="2"/>
    <x v="13"/>
    <x v="2"/>
    <s v="SUB-RECETAS CP"/>
    <x v="1"/>
    <x v="834"/>
    <s v="GRAMOS"/>
    <n v="22.263002109999999"/>
    <n v="0"/>
    <n v="0"/>
    <n v="0"/>
    <n v="0"/>
    <n v="0"/>
    <x v="1"/>
  </r>
  <r>
    <x v="2"/>
    <x v="10"/>
    <x v="4"/>
    <s v="SUB-RECETAS CP"/>
    <x v="1"/>
    <x v="834"/>
    <s v="GRAMOS"/>
    <n v="22.263002109999999"/>
    <n v="0"/>
    <n v="0"/>
    <n v="0"/>
    <n v="0"/>
    <n v="0"/>
    <x v="1"/>
  </r>
  <r>
    <x v="2"/>
    <x v="14"/>
    <x v="0"/>
    <s v="SUB RECETAS"/>
    <x v="1"/>
    <x v="835"/>
    <s v="GRAMOS"/>
    <n v="30.530011980000001"/>
    <n v="453"/>
    <n v="1338"/>
    <n v="885"/>
    <n v="40849.156029240003"/>
    <n v="27019.0606023"/>
    <x v="0"/>
  </r>
  <r>
    <x v="2"/>
    <x v="12"/>
    <x v="3"/>
    <s v="SUB RECETAS"/>
    <x v="1"/>
    <x v="836"/>
    <s v="GRAMOS"/>
    <n v="17.69502954"/>
    <n v="518"/>
    <n v="0"/>
    <n v="-518"/>
    <n v="0"/>
    <n v="-9166.0253017199993"/>
    <x v="2"/>
  </r>
  <r>
    <x v="2"/>
    <x v="14"/>
    <x v="0"/>
    <s v="SUB RECETAS"/>
    <x v="1"/>
    <x v="836"/>
    <s v="GRAMOS"/>
    <n v="18.185623840000002"/>
    <n v="-3279"/>
    <n v="730"/>
    <n v="4009"/>
    <n v="13275.505403200001"/>
    <n v="72906.165974560005"/>
    <x v="0"/>
  </r>
  <r>
    <x v="2"/>
    <x v="13"/>
    <x v="2"/>
    <s v="SUB RECETAS"/>
    <x v="1"/>
    <x v="836"/>
    <s v="GRAMOS"/>
    <n v="17.69502954"/>
    <n v="620"/>
    <n v="0"/>
    <n v="-620"/>
    <n v="0"/>
    <n v="-10970.918314799999"/>
    <x v="2"/>
  </r>
  <r>
    <x v="2"/>
    <x v="10"/>
    <x v="4"/>
    <s v="SUB RECETAS"/>
    <x v="1"/>
    <x v="836"/>
    <s v="GRAMOS"/>
    <n v="17.69502954"/>
    <n v="220"/>
    <n v="284"/>
    <n v="64"/>
    <n v="5025.3883893600005"/>
    <n v="1132.48189056"/>
    <x v="0"/>
  </r>
  <r>
    <x v="2"/>
    <x v="12"/>
    <x v="3"/>
    <s v="SUB-RECETAS CP"/>
    <x v="1"/>
    <x v="321"/>
    <s v="GRAMOS"/>
    <n v="36.819758819999997"/>
    <n v="-101"/>
    <n v="60"/>
    <n v="161"/>
    <n v="2209.1855292"/>
    <n v="5927.9811700199998"/>
    <x v="0"/>
  </r>
  <r>
    <x v="2"/>
    <x v="13"/>
    <x v="2"/>
    <s v="SUB-RECETAS CP"/>
    <x v="1"/>
    <x v="321"/>
    <s v="GRAMOS"/>
    <n v="36.819758819999997"/>
    <n v="-280"/>
    <n v="0"/>
    <n v="280"/>
    <n v="0"/>
    <n v="10309.532469599999"/>
    <x v="0"/>
  </r>
  <r>
    <x v="2"/>
    <x v="16"/>
    <x v="5"/>
    <s v="SUB-RECETAS CP"/>
    <x v="1"/>
    <x v="321"/>
    <s v="GRAMOS"/>
    <n v="36.819758819999997"/>
    <n v="4"/>
    <n v="0"/>
    <n v="-4"/>
    <n v="0"/>
    <n v="-147.27903527999999"/>
    <x v="2"/>
  </r>
  <r>
    <x v="2"/>
    <x v="10"/>
    <x v="4"/>
    <s v="SUB-RECETAS CP"/>
    <x v="1"/>
    <x v="321"/>
    <s v="GRAMOS"/>
    <n v="36.819758819999997"/>
    <n v="-554"/>
    <n v="150"/>
    <n v="704"/>
    <n v="5522.9638229999991"/>
    <n v="25921.110209279999"/>
    <x v="0"/>
  </r>
  <r>
    <x v="2"/>
    <x v="14"/>
    <x v="0"/>
    <s v="SUB RECETAS"/>
    <x v="1"/>
    <x v="837"/>
    <s v="GRAMOS"/>
    <n v="26.417124309999998"/>
    <n v="-621"/>
    <n v="220"/>
    <n v="841"/>
    <n v="5811.7673482"/>
    <n v="22216.801544709997"/>
    <x v="0"/>
  </r>
  <r>
    <x v="2"/>
    <x v="12"/>
    <x v="3"/>
    <s v="SUB RECETAS"/>
    <x v="1"/>
    <x v="838"/>
    <s v="GRAMOS"/>
    <n v="29.053270170000001"/>
    <n v="-420"/>
    <n v="0"/>
    <n v="420"/>
    <n v="0"/>
    <n v="12202.3734714"/>
    <x v="0"/>
  </r>
  <r>
    <x v="2"/>
    <x v="13"/>
    <x v="2"/>
    <s v="SUB RECETAS"/>
    <x v="1"/>
    <x v="838"/>
    <s v="GRAMOS"/>
    <n v="29.053270170000001"/>
    <n v="-300"/>
    <n v="0"/>
    <n v="300"/>
    <n v="0"/>
    <n v="8715.9810510000007"/>
    <x v="0"/>
  </r>
  <r>
    <x v="2"/>
    <x v="10"/>
    <x v="4"/>
    <s v="SUB RECETAS"/>
    <x v="1"/>
    <x v="838"/>
    <s v="GRAMOS"/>
    <n v="29.053270170000001"/>
    <n v="-300"/>
    <n v="0"/>
    <n v="300"/>
    <n v="0"/>
    <n v="8715.9810510000007"/>
    <x v="0"/>
  </r>
  <r>
    <x v="2"/>
    <x v="14"/>
    <x v="0"/>
    <s v="SUB RECETAS"/>
    <x v="1"/>
    <x v="839"/>
    <s v="GRAMOS"/>
    <n v="11.1715435"/>
    <n v="-1864"/>
    <n v="2094"/>
    <n v="3958"/>
    <n v="23393.212089000001"/>
    <n v="44216.969172999998"/>
    <x v="0"/>
  </r>
  <r>
    <x v="2"/>
    <x v="12"/>
    <x v="3"/>
    <s v="SUB RECETAS"/>
    <x v="1"/>
    <x v="840"/>
    <s v="GRAMOS"/>
    <n v="10.464042109999999"/>
    <n v="0"/>
    <n v="4992"/>
    <n v="4992"/>
    <n v="52236.498213119994"/>
    <n v="52236.498213119994"/>
    <x v="0"/>
  </r>
  <r>
    <x v="2"/>
    <x v="13"/>
    <x v="2"/>
    <s v="SUB RECETAS"/>
    <x v="1"/>
    <x v="840"/>
    <s v="GRAMOS"/>
    <n v="10.464042109999999"/>
    <n v="4136"/>
    <n v="0"/>
    <n v="-4136"/>
    <n v="0"/>
    <n v="-43279.278166960001"/>
    <x v="2"/>
  </r>
  <r>
    <x v="2"/>
    <x v="10"/>
    <x v="4"/>
    <s v="SUB RECETAS"/>
    <x v="1"/>
    <x v="840"/>
    <s v="GRAMOS"/>
    <n v="10.464042109999999"/>
    <n v="2762"/>
    <n v="210"/>
    <n v="-2552"/>
    <n v="2197.4488431"/>
    <n v="-26704.235464719997"/>
    <x v="2"/>
  </r>
  <r>
    <x v="2"/>
    <x v="12"/>
    <x v="3"/>
    <s v="SUB RECETAS"/>
    <x v="1"/>
    <x v="841"/>
    <s v="GRAMOS"/>
    <n v="50.627536280000001"/>
    <n v="-1200"/>
    <n v="0"/>
    <n v="1200"/>
    <n v="0"/>
    <n v="60753.043536000005"/>
    <x v="0"/>
  </r>
  <r>
    <x v="2"/>
    <x v="13"/>
    <x v="2"/>
    <s v="SUB RECETAS"/>
    <x v="1"/>
    <x v="841"/>
    <s v="GRAMOS"/>
    <n v="50.627536280000001"/>
    <n v="3330"/>
    <n v="1716"/>
    <n v="-1614"/>
    <n v="86876.852256480008"/>
    <n v="-81712.843555920001"/>
    <x v="2"/>
  </r>
  <r>
    <x v="2"/>
    <x v="10"/>
    <x v="4"/>
    <s v="SUB RECETAS"/>
    <x v="1"/>
    <x v="841"/>
    <s v="GRAMOS"/>
    <n v="50.627536280000001"/>
    <n v="1144"/>
    <n v="2558"/>
    <n v="1414"/>
    <n v="129505.23780424001"/>
    <n v="71587.336299920004"/>
    <x v="0"/>
  </r>
  <r>
    <x v="2"/>
    <x v="12"/>
    <x v="3"/>
    <s v="SUB RECETAS"/>
    <x v="1"/>
    <x v="842"/>
    <s v="UNIDADES"/>
    <n v="1965.2784650900001"/>
    <n v="-17"/>
    <n v="4"/>
    <n v="21"/>
    <n v="7861.1138603600002"/>
    <n v="41270.847766890001"/>
    <x v="0"/>
  </r>
  <r>
    <x v="2"/>
    <x v="13"/>
    <x v="2"/>
    <s v="SUB RECETAS"/>
    <x v="1"/>
    <x v="842"/>
    <s v="UNIDADES"/>
    <n v="1965.2784650900001"/>
    <n v="11"/>
    <n v="9"/>
    <n v="-2"/>
    <n v="17687.506185810002"/>
    <n v="-3930.5569301800001"/>
    <x v="2"/>
  </r>
  <r>
    <x v="2"/>
    <x v="10"/>
    <x v="4"/>
    <s v="SUB RECETAS"/>
    <x v="1"/>
    <x v="842"/>
    <s v="UNIDADES"/>
    <n v="1965.2784650900001"/>
    <n v="302"/>
    <n v="1000"/>
    <n v="698"/>
    <n v="1965278.4650900001"/>
    <n v="1371764.36863282"/>
    <x v="0"/>
  </r>
  <r>
    <x v="2"/>
    <x v="14"/>
    <x v="0"/>
    <s v="SUB RECETAS"/>
    <x v="1"/>
    <x v="843"/>
    <s v="GRAMOS"/>
    <n v="30.84610185"/>
    <n v="-5702"/>
    <n v="1200"/>
    <n v="6902"/>
    <n v="37015.322220000002"/>
    <n v="212899.79496870001"/>
    <x v="0"/>
  </r>
  <r>
    <x v="2"/>
    <x v="12"/>
    <x v="3"/>
    <s v="SUB RECETAS"/>
    <x v="1"/>
    <x v="844"/>
    <s v="UNIDADES"/>
    <n v="547.73333338999998"/>
    <n v="3.5"/>
    <n v="10"/>
    <n v="6.5"/>
    <n v="5477.3333339000001"/>
    <n v="3560.266667035"/>
    <x v="0"/>
  </r>
  <r>
    <x v="2"/>
    <x v="13"/>
    <x v="2"/>
    <s v="SUB RECETAS"/>
    <x v="1"/>
    <x v="844"/>
    <s v="UNIDADES"/>
    <n v="547.73333338999998"/>
    <n v="-8"/>
    <n v="0"/>
    <n v="8"/>
    <n v="0"/>
    <n v="4381.8666671199999"/>
    <x v="0"/>
  </r>
  <r>
    <x v="2"/>
    <x v="10"/>
    <x v="4"/>
    <s v="SUB RECETAS"/>
    <x v="1"/>
    <x v="844"/>
    <s v="UNIDADES"/>
    <n v="547.73333338999998"/>
    <n v="109"/>
    <n v="53"/>
    <n v="-56"/>
    <n v="29029.866669669998"/>
    <n v="-30673.066669839998"/>
    <x v="2"/>
  </r>
  <r>
    <x v="2"/>
    <x v="12"/>
    <x v="3"/>
    <s v="SUB RECETAS"/>
    <x v="1"/>
    <x v="845"/>
    <s v="UNIDADES"/>
    <n v="750.85294122000005"/>
    <n v="1148"/>
    <n v="2"/>
    <n v="-1146"/>
    <n v="1501.7058824400001"/>
    <n v="-860477.47063812008"/>
    <x v="2"/>
  </r>
  <r>
    <x v="2"/>
    <x v="13"/>
    <x v="2"/>
    <s v="SUB RECETAS"/>
    <x v="1"/>
    <x v="845"/>
    <s v="UNIDADES"/>
    <n v="750.85294122000005"/>
    <n v="0"/>
    <n v="6"/>
    <n v="6"/>
    <n v="4505.1176473200003"/>
    <n v="4505.1176473200003"/>
    <x v="0"/>
  </r>
  <r>
    <x v="2"/>
    <x v="10"/>
    <x v="4"/>
    <s v="SUB RECETAS"/>
    <x v="1"/>
    <x v="845"/>
    <s v="UNIDADES"/>
    <n v="750.85294122000005"/>
    <n v="40"/>
    <n v="4"/>
    <n v="-36"/>
    <n v="3003.4117648800002"/>
    <n v="-27030.705883920004"/>
    <x v="2"/>
  </r>
  <r>
    <x v="2"/>
    <x v="12"/>
    <x v="3"/>
    <s v="SUB-RECETAS BAR"/>
    <x v="0"/>
    <x v="846"/>
    <s v="GRAMOS"/>
    <n v="21.83529412"/>
    <n v="449"/>
    <n v="0"/>
    <n v="-449"/>
    <n v="0"/>
    <n v="-9804.0470598800002"/>
    <x v="2"/>
  </r>
  <r>
    <x v="2"/>
    <x v="13"/>
    <x v="2"/>
    <s v="SUB-RECETAS BAR"/>
    <x v="0"/>
    <x v="846"/>
    <s v="GRAMOS"/>
    <n v="21.83529412"/>
    <n v="-160"/>
    <n v="0"/>
    <n v="160"/>
    <n v="0"/>
    <n v="3493.6470592000001"/>
    <x v="0"/>
  </r>
  <r>
    <x v="2"/>
    <x v="15"/>
    <x v="1"/>
    <s v="SUB-RECETAS BAR"/>
    <x v="0"/>
    <x v="846"/>
    <s v="GRAMOS"/>
    <n v="21.08235294"/>
    <n v="-5"/>
    <n v="1340"/>
    <n v="1345"/>
    <n v="28250.352939600001"/>
    <n v="28355.7647043"/>
    <x v="0"/>
  </r>
  <r>
    <x v="2"/>
    <x v="16"/>
    <x v="5"/>
    <s v="SUB-RECETAS BAR"/>
    <x v="0"/>
    <x v="846"/>
    <s v="GRAMOS"/>
    <n v="21.83529412"/>
    <n v="0"/>
    <n v="0"/>
    <n v="0"/>
    <n v="0"/>
    <n v="0"/>
    <x v="1"/>
  </r>
  <r>
    <x v="2"/>
    <x v="10"/>
    <x v="4"/>
    <s v="SUB-RECETAS BAR"/>
    <x v="0"/>
    <x v="846"/>
    <s v="GRAMOS"/>
    <n v="21.83529412"/>
    <n v="-133"/>
    <n v="1896"/>
    <n v="2029"/>
    <n v="41399.717651519997"/>
    <n v="44303.811769480002"/>
    <x v="0"/>
  </r>
  <r>
    <x v="2"/>
    <x v="14"/>
    <x v="0"/>
    <s v="SUB-RECETAS BAR"/>
    <x v="0"/>
    <x v="847"/>
    <s v="UNIDADES"/>
    <n v="46.4609174"/>
    <n v="7"/>
    <n v="34"/>
    <n v="27"/>
    <n v="1579.6711915999999"/>
    <n v="1254.4447697999999"/>
    <x v="0"/>
  </r>
  <r>
    <x v="2"/>
    <x v="15"/>
    <x v="1"/>
    <s v="SUB-RECETAS BAR"/>
    <x v="0"/>
    <x v="847"/>
    <s v="UNIDADES"/>
    <n v="46.4609174"/>
    <n v="-10"/>
    <n v="0"/>
    <n v="10"/>
    <n v="0"/>
    <n v="464.609174"/>
    <x v="0"/>
  </r>
  <r>
    <x v="2"/>
    <x v="14"/>
    <x v="0"/>
    <s v="SUB RECETAS"/>
    <x v="1"/>
    <x v="309"/>
    <s v="UNIDADES"/>
    <n v="520.64447500000006"/>
    <n v="65"/>
    <n v="60"/>
    <n v="-5"/>
    <n v="31238.668500000003"/>
    <n v="-2603.2223750000003"/>
    <x v="2"/>
  </r>
  <r>
    <x v="2"/>
    <x v="14"/>
    <x v="0"/>
    <s v="SUB RECETAS"/>
    <x v="1"/>
    <x v="848"/>
    <s v="UNIDADES"/>
    <n v="388.58357143000001"/>
    <n v="5"/>
    <n v="15"/>
    <n v="10"/>
    <n v="5828.75357145"/>
    <n v="3885.8357143000003"/>
    <x v="0"/>
  </r>
  <r>
    <x v="2"/>
    <x v="15"/>
    <x v="1"/>
    <s v="SUB RECETAS"/>
    <x v="1"/>
    <x v="848"/>
    <s v="UNIDADES"/>
    <n v="388.58357143000001"/>
    <n v="-147"/>
    <n v="0"/>
    <n v="147"/>
    <n v="0"/>
    <n v="57121.785000210002"/>
    <x v="0"/>
  </r>
  <r>
    <x v="2"/>
    <x v="12"/>
    <x v="3"/>
    <s v="SUB-RECETAS CP"/>
    <x v="1"/>
    <x v="291"/>
    <s v="UNIDADES"/>
    <n v="1309.5238095499999"/>
    <n v="76"/>
    <n v="0"/>
    <n v="-76"/>
    <n v="0"/>
    <n v="-99523.809525799996"/>
    <x v="2"/>
  </r>
  <r>
    <x v="2"/>
    <x v="14"/>
    <x v="0"/>
    <s v="SUB-RECETAS CP"/>
    <x v="1"/>
    <x v="291"/>
    <s v="UNIDADES"/>
    <n v="1364.50381679"/>
    <n v="0"/>
    <n v="1000"/>
    <n v="1000"/>
    <n v="1364503.8167900001"/>
    <n v="1364503.8167900001"/>
    <x v="0"/>
  </r>
  <r>
    <x v="2"/>
    <x v="13"/>
    <x v="2"/>
    <s v="SUB-RECETAS CP"/>
    <x v="1"/>
    <x v="291"/>
    <s v="UNIDADES"/>
    <n v="1309.5238095499999"/>
    <n v="8331"/>
    <n v="26"/>
    <n v="-8305"/>
    <n v="34047.619048299995"/>
    <n v="-10875595.238312749"/>
    <x v="2"/>
  </r>
  <r>
    <x v="2"/>
    <x v="16"/>
    <x v="5"/>
    <s v="SUB-RECETAS CP"/>
    <x v="1"/>
    <x v="291"/>
    <s v="UNIDADES"/>
    <n v="1309.5238095499999"/>
    <n v="350"/>
    <n v="348"/>
    <n v="-2"/>
    <n v="455714.28572339995"/>
    <n v="-2619.0476190999998"/>
    <x v="2"/>
  </r>
  <r>
    <x v="2"/>
    <x v="10"/>
    <x v="4"/>
    <s v="SUB-RECETAS CP"/>
    <x v="1"/>
    <x v="291"/>
    <s v="UNIDADES"/>
    <n v="1309.5238095499999"/>
    <n v="64"/>
    <n v="0"/>
    <n v="-64"/>
    <n v="0"/>
    <n v="-83809.523811199993"/>
    <x v="2"/>
  </r>
  <r>
    <x v="2"/>
    <x v="12"/>
    <x v="3"/>
    <s v="SUB RECETAS"/>
    <x v="1"/>
    <x v="849"/>
    <s v="GRAMOS"/>
    <n v="6.5112592500000002"/>
    <n v="-18853"/>
    <n v="13"/>
    <n v="18866"/>
    <n v="84.646370250000004"/>
    <n v="122841.41701050001"/>
    <x v="0"/>
  </r>
  <r>
    <x v="2"/>
    <x v="13"/>
    <x v="2"/>
    <s v="SUB RECETAS"/>
    <x v="1"/>
    <x v="849"/>
    <s v="GRAMOS"/>
    <n v="6.5112592500000002"/>
    <n v="-20245"/>
    <n v="0"/>
    <n v="20245"/>
    <n v="0"/>
    <n v="131820.44351625"/>
    <x v="0"/>
  </r>
  <r>
    <x v="2"/>
    <x v="15"/>
    <x v="1"/>
    <s v="SUB RECETAS"/>
    <x v="1"/>
    <x v="849"/>
    <s v="GRAMOS"/>
    <n v="2.47125423"/>
    <n v="-68755"/>
    <n v="7000"/>
    <n v="75755"/>
    <n v="17298.779610000001"/>
    <n v="187209.86419364999"/>
    <x v="0"/>
  </r>
  <r>
    <x v="2"/>
    <x v="10"/>
    <x v="4"/>
    <s v="SUB RECETAS"/>
    <x v="1"/>
    <x v="849"/>
    <s v="GRAMOS"/>
    <n v="6.5112592500000002"/>
    <n v="-16299"/>
    <n v="40"/>
    <n v="16339"/>
    <n v="260.45037000000002"/>
    <n v="106387.46488575"/>
    <x v="0"/>
  </r>
  <r>
    <x v="2"/>
    <x v="15"/>
    <x v="1"/>
    <s v="SUB RECETAS"/>
    <x v="1"/>
    <x v="850"/>
    <s v="GRAMOS"/>
    <n v="8.1436709"/>
    <n v="-2625"/>
    <n v="90"/>
    <n v="2715"/>
    <n v="732.93038100000001"/>
    <n v="22110.066493499999"/>
    <x v="0"/>
  </r>
  <r>
    <x v="2"/>
    <x v="12"/>
    <x v="3"/>
    <s v="SUB RECETAS"/>
    <x v="1"/>
    <x v="851"/>
    <s v="GRAMOS"/>
    <n v="28.93669178"/>
    <n v="3610"/>
    <n v="0"/>
    <n v="-3610"/>
    <n v="0"/>
    <n v="-104461.4573258"/>
    <x v="2"/>
  </r>
  <r>
    <x v="2"/>
    <x v="14"/>
    <x v="0"/>
    <s v="SUB RECETAS"/>
    <x v="1"/>
    <x v="851"/>
    <s v="GRAMOS"/>
    <n v="28.936729620000001"/>
    <n v="-5388"/>
    <n v="1496"/>
    <n v="6884"/>
    <n v="43289.347511520005"/>
    <n v="199200.44670408001"/>
    <x v="0"/>
  </r>
  <r>
    <x v="2"/>
    <x v="13"/>
    <x v="2"/>
    <s v="SUB RECETAS"/>
    <x v="1"/>
    <x v="851"/>
    <s v="GRAMOS"/>
    <n v="28.93669178"/>
    <n v="10370"/>
    <n v="0"/>
    <n v="-10370"/>
    <n v="0"/>
    <n v="-300073.49375860003"/>
    <x v="2"/>
  </r>
  <r>
    <x v="2"/>
    <x v="10"/>
    <x v="4"/>
    <s v="SUB RECETAS"/>
    <x v="1"/>
    <x v="851"/>
    <s v="GRAMOS"/>
    <n v="28.93669178"/>
    <n v="5000"/>
    <n v="0"/>
    <n v="-5000"/>
    <n v="0"/>
    <n v="-144683.4589"/>
    <x v="2"/>
  </r>
  <r>
    <x v="2"/>
    <x v="12"/>
    <x v="3"/>
    <s v="SUB-RECETAS CP"/>
    <x v="1"/>
    <x v="278"/>
    <s v="GRAMOS"/>
    <n v="23.276470440000001"/>
    <n v="9186"/>
    <n v="6270"/>
    <n v="-2915.9999969999999"/>
    <n v="145943.46965879999"/>
    <n v="-67874.187733210594"/>
    <x v="2"/>
  </r>
  <r>
    <x v="2"/>
    <x v="13"/>
    <x v="2"/>
    <s v="SUB-RECETAS CP"/>
    <x v="1"/>
    <x v="278"/>
    <s v="GRAMOS"/>
    <n v="23.276470440000001"/>
    <n v="27648.319200000002"/>
    <n v="7250"/>
    <n v="-20398.319200000002"/>
    <n v="168754.41069000002"/>
    <n v="-474800.87388448452"/>
    <x v="2"/>
  </r>
  <r>
    <x v="2"/>
    <x v="15"/>
    <x v="1"/>
    <s v="SUB-RECETAS CP"/>
    <x v="1"/>
    <x v="278"/>
    <s v="GRAMOS"/>
    <n v="22.97446806"/>
    <n v="0"/>
    <n v="0"/>
    <n v="0"/>
    <n v="0"/>
    <n v="0"/>
    <x v="1"/>
  </r>
  <r>
    <x v="2"/>
    <x v="16"/>
    <x v="5"/>
    <s v="SUB-RECETAS CP"/>
    <x v="1"/>
    <x v="278"/>
    <s v="GRAMOS"/>
    <n v="23.276470440000001"/>
    <n v="25310"/>
    <n v="25310"/>
    <n v="0"/>
    <n v="589127.46683639998"/>
    <n v="0"/>
    <x v="1"/>
  </r>
  <r>
    <x v="2"/>
    <x v="10"/>
    <x v="4"/>
    <s v="SUB-RECETAS CP"/>
    <x v="1"/>
    <x v="278"/>
    <s v="GRAMOS"/>
    <n v="23.276470440000001"/>
    <n v="12551.999400000001"/>
    <n v="11600"/>
    <n v="-951.99943599999995"/>
    <n v="270007.05710400001"/>
    <n v="-22159.186730950671"/>
    <x v="2"/>
  </r>
  <r>
    <x v="2"/>
    <x v="12"/>
    <x v="3"/>
    <s v="SUB-RECETAS CP"/>
    <x v="1"/>
    <x v="280"/>
    <s v="GRAMOS"/>
    <n v="56.626137929999999"/>
    <n v="2050.8000000000002"/>
    <n v="1600"/>
    <n v="-450.8"/>
    <n v="90601.820687999993"/>
    <n v="-25527.062978843998"/>
    <x v="2"/>
  </r>
  <r>
    <x v="2"/>
    <x v="13"/>
    <x v="2"/>
    <s v="SUB-RECETAS CP"/>
    <x v="1"/>
    <x v="280"/>
    <s v="GRAMOS"/>
    <n v="56.626137929999999"/>
    <n v="5535"/>
    <n v="0"/>
    <n v="-5535"/>
    <n v="0"/>
    <n v="-313425.67344255"/>
    <x v="2"/>
  </r>
  <r>
    <x v="2"/>
    <x v="16"/>
    <x v="5"/>
    <s v="SUB-RECETAS CP"/>
    <x v="1"/>
    <x v="280"/>
    <s v="GRAMOS"/>
    <n v="56.626137929999999"/>
    <n v="-1000"/>
    <n v="25336"/>
    <n v="26336"/>
    <n v="1434679.83059448"/>
    <n v="1491305.96852448"/>
    <x v="0"/>
  </r>
  <r>
    <x v="2"/>
    <x v="10"/>
    <x v="4"/>
    <s v="SUB-RECETAS CP"/>
    <x v="1"/>
    <x v="280"/>
    <s v="GRAMOS"/>
    <n v="56.626137929999999"/>
    <n v="6492"/>
    <n v="4000"/>
    <n v="-2492"/>
    <n v="226504.55171999999"/>
    <n v="-141112.33572156"/>
    <x v="2"/>
  </r>
  <r>
    <x v="2"/>
    <x v="12"/>
    <x v="3"/>
    <s v="SUB RECETAS"/>
    <x v="1"/>
    <x v="852"/>
    <s v="GRAMOS"/>
    <n v="19.172740739999998"/>
    <n v="4517"/>
    <n v="1306"/>
    <n v="-3211"/>
    <n v="25039.599406439997"/>
    <n v="-61563.670516139995"/>
    <x v="2"/>
  </r>
  <r>
    <x v="2"/>
    <x v="14"/>
    <x v="0"/>
    <s v="SUB RECETAS"/>
    <x v="1"/>
    <x v="852"/>
    <s v="GRAMOS"/>
    <n v="14.702989970000001"/>
    <n v="14788.688599999999"/>
    <n v="1008"/>
    <n v="-13780.688612"/>
    <n v="14820.613889760001"/>
    <n v="-202617.32644192924"/>
    <x v="2"/>
  </r>
  <r>
    <x v="2"/>
    <x v="13"/>
    <x v="2"/>
    <s v="SUB RECETAS"/>
    <x v="1"/>
    <x v="852"/>
    <s v="GRAMOS"/>
    <n v="19.172740739999998"/>
    <n v="6293"/>
    <n v="1004"/>
    <n v="-5289"/>
    <n v="19249.431702959999"/>
    <n v="-101404.62577386"/>
    <x v="2"/>
  </r>
  <r>
    <x v="2"/>
    <x v="15"/>
    <x v="1"/>
    <s v="SUB RECETAS"/>
    <x v="1"/>
    <x v="852"/>
    <s v="GRAMOS"/>
    <n v="14.702989970000001"/>
    <n v="770"/>
    <n v="250"/>
    <n v="-520"/>
    <n v="3675.7474925000001"/>
    <n v="-7645.5547844000002"/>
    <x v="2"/>
  </r>
  <r>
    <x v="2"/>
    <x v="10"/>
    <x v="4"/>
    <s v="SUB RECETAS"/>
    <x v="1"/>
    <x v="852"/>
    <s v="GRAMOS"/>
    <n v="19.172740739999998"/>
    <n v="3158"/>
    <n v="440"/>
    <n v="-2718"/>
    <n v="8436.0059255999986"/>
    <n v="-52111.509331319998"/>
    <x v="2"/>
  </r>
  <r>
    <x v="2"/>
    <x v="14"/>
    <x v="0"/>
    <s v="SUB RECETAS"/>
    <x v="1"/>
    <x v="853"/>
    <s v="GRAMOS"/>
    <n v="8.4951282599999995"/>
    <n v="3329"/>
    <n v="782"/>
    <n v="-2547"/>
    <n v="6643.1902993199992"/>
    <n v="-21637.09167822"/>
    <x v="2"/>
  </r>
  <r>
    <x v="2"/>
    <x v="12"/>
    <x v="3"/>
    <s v="SUB RECETAS"/>
    <x v="1"/>
    <x v="854"/>
    <s v="GRAMOS"/>
    <n v="9.5113465999999995"/>
    <n v="-2285"/>
    <n v="0"/>
    <n v="2285"/>
    <n v="0"/>
    <n v="21733.426981000001"/>
    <x v="0"/>
  </r>
  <r>
    <x v="2"/>
    <x v="13"/>
    <x v="2"/>
    <s v="SUB RECETAS"/>
    <x v="1"/>
    <x v="854"/>
    <s v="GRAMOS"/>
    <n v="9.5113465999999995"/>
    <n v="-1534"/>
    <n v="230"/>
    <n v="1764"/>
    <n v="2187.6097179999997"/>
    <n v="16778.0154024"/>
    <x v="0"/>
  </r>
  <r>
    <x v="2"/>
    <x v="10"/>
    <x v="4"/>
    <s v="SUB RECETAS"/>
    <x v="1"/>
    <x v="854"/>
    <s v="GRAMOS"/>
    <n v="9.5113465999999995"/>
    <n v="-854"/>
    <n v="902"/>
    <n v="1756"/>
    <n v="8579.2346331999997"/>
    <n v="16701.924629599998"/>
    <x v="0"/>
  </r>
  <r>
    <x v="2"/>
    <x v="12"/>
    <x v="3"/>
    <s v="SUB-RECETAS CP"/>
    <x v="1"/>
    <x v="855"/>
    <s v="GRAMOS"/>
    <n v="4.2"/>
    <n v="1408"/>
    <n v="0"/>
    <n v="-1408"/>
    <n v="0"/>
    <n v="-5913.6"/>
    <x v="2"/>
  </r>
  <r>
    <x v="2"/>
    <x v="13"/>
    <x v="2"/>
    <s v="SUB-RECETAS CP"/>
    <x v="1"/>
    <x v="855"/>
    <s v="GRAMOS"/>
    <n v="4.2"/>
    <n v="3600"/>
    <n v="0"/>
    <n v="-3600"/>
    <n v="0"/>
    <n v="-15120"/>
    <x v="2"/>
  </r>
  <r>
    <x v="2"/>
    <x v="10"/>
    <x v="4"/>
    <s v="SUB-RECETAS CP"/>
    <x v="1"/>
    <x v="855"/>
    <s v="GRAMOS"/>
    <n v="4.2"/>
    <n v="242"/>
    <n v="0"/>
    <n v="-242"/>
    <n v="0"/>
    <n v="-1016.4000000000001"/>
    <x v="2"/>
  </r>
  <r>
    <x v="2"/>
    <x v="12"/>
    <x v="3"/>
    <s v="SUB RECETAS"/>
    <x v="1"/>
    <x v="856"/>
    <s v="GRAMOS"/>
    <n v="15.3146948"/>
    <n v="0"/>
    <n v="0"/>
    <n v="0"/>
    <n v="0"/>
    <n v="0"/>
    <x v="1"/>
  </r>
  <r>
    <x v="2"/>
    <x v="14"/>
    <x v="0"/>
    <s v="SUB RECETAS"/>
    <x v="1"/>
    <x v="856"/>
    <s v="GRAMOS"/>
    <n v="13.345124630000001"/>
    <n v="-2950"/>
    <n v="474"/>
    <n v="3423.999984"/>
    <n v="6325.5890746200002"/>
    <n v="45693.70651959801"/>
    <x v="0"/>
  </r>
  <r>
    <x v="2"/>
    <x v="13"/>
    <x v="2"/>
    <s v="SUB RECETAS"/>
    <x v="1"/>
    <x v="856"/>
    <s v="GRAMOS"/>
    <n v="15.3146948"/>
    <n v="0"/>
    <n v="0"/>
    <n v="0"/>
    <n v="0"/>
    <n v="0"/>
    <x v="1"/>
  </r>
  <r>
    <x v="2"/>
    <x v="10"/>
    <x v="4"/>
    <s v="SUB RECETAS"/>
    <x v="1"/>
    <x v="856"/>
    <s v="GRAMOS"/>
    <n v="15.3146948"/>
    <n v="0"/>
    <n v="0"/>
    <n v="0"/>
    <n v="0"/>
    <n v="0"/>
    <x v="1"/>
  </r>
  <r>
    <x v="2"/>
    <x v="12"/>
    <x v="3"/>
    <s v="SUB RECETAS"/>
    <x v="1"/>
    <x v="857"/>
    <s v="GRAMOS"/>
    <n v="15"/>
    <n v="-840"/>
    <n v="0"/>
    <n v="840"/>
    <n v="0"/>
    <n v="12600"/>
    <x v="0"/>
  </r>
  <r>
    <x v="2"/>
    <x v="13"/>
    <x v="2"/>
    <s v="SUB RECETAS"/>
    <x v="1"/>
    <x v="857"/>
    <s v="GRAMOS"/>
    <n v="15"/>
    <n v="-990"/>
    <n v="1450"/>
    <n v="2440"/>
    <n v="21750"/>
    <n v="36600"/>
    <x v="0"/>
  </r>
  <r>
    <x v="2"/>
    <x v="15"/>
    <x v="1"/>
    <s v="SUB RECETAS"/>
    <x v="1"/>
    <x v="857"/>
    <s v="GRAMOS"/>
    <n v="15"/>
    <n v="880"/>
    <n v="0"/>
    <n v="-880"/>
    <n v="0"/>
    <n v="-13200"/>
    <x v="2"/>
  </r>
  <r>
    <x v="2"/>
    <x v="10"/>
    <x v="4"/>
    <s v="SUB RECETAS"/>
    <x v="1"/>
    <x v="857"/>
    <s v="GRAMOS"/>
    <n v="15"/>
    <n v="-660"/>
    <n v="630"/>
    <n v="1290"/>
    <n v="9450"/>
    <n v="19350"/>
    <x v="0"/>
  </r>
  <r>
    <x v="2"/>
    <x v="12"/>
    <x v="3"/>
    <s v="SUB RECETAS"/>
    <x v="1"/>
    <x v="858"/>
    <s v="GRAMOS"/>
    <n v="60.755781599999999"/>
    <n v="2116"/>
    <n v="0"/>
    <n v="-2116"/>
    <n v="0"/>
    <n v="-128559.23386559999"/>
    <x v="2"/>
  </r>
  <r>
    <x v="2"/>
    <x v="14"/>
    <x v="0"/>
    <s v="SUB RECETAS"/>
    <x v="1"/>
    <x v="858"/>
    <s v="GRAMOS"/>
    <n v="60.755822100000003"/>
    <n v="8255"/>
    <n v="500"/>
    <n v="-7754.9999900000003"/>
    <n v="30377.911050000002"/>
    <n v="-471161.39977794181"/>
    <x v="2"/>
  </r>
  <r>
    <x v="2"/>
    <x v="13"/>
    <x v="2"/>
    <s v="SUB RECETAS"/>
    <x v="1"/>
    <x v="858"/>
    <s v="GRAMOS"/>
    <n v="60.755781599999999"/>
    <n v="3000"/>
    <n v="2300"/>
    <n v="-700"/>
    <n v="139738.29767999999"/>
    <n v="-42529.047119999996"/>
    <x v="2"/>
  </r>
  <r>
    <x v="2"/>
    <x v="10"/>
    <x v="4"/>
    <s v="SUB RECETAS"/>
    <x v="1"/>
    <x v="858"/>
    <s v="GRAMOS"/>
    <n v="60.755781599999999"/>
    <n v="2000"/>
    <n v="0"/>
    <n v="-2000"/>
    <n v="0"/>
    <n v="-121511.5632"/>
    <x v="2"/>
  </r>
  <r>
    <x v="2"/>
    <x v="12"/>
    <x v="3"/>
    <s v="SUB-RECETAS BAR"/>
    <x v="0"/>
    <x v="859"/>
    <s v="GRAMOS"/>
    <n v="54.742867339999997"/>
    <n v="0"/>
    <n v="0"/>
    <n v="0"/>
    <n v="0"/>
    <n v="0"/>
    <x v="1"/>
  </r>
  <r>
    <x v="2"/>
    <x v="13"/>
    <x v="2"/>
    <s v="SUB-RECETAS BAR"/>
    <x v="0"/>
    <x v="859"/>
    <s v="GRAMOS"/>
    <n v="54.742867339999997"/>
    <n v="206"/>
    <n v="0"/>
    <n v="-206"/>
    <n v="0"/>
    <n v="-11277.030672039999"/>
    <x v="2"/>
  </r>
  <r>
    <x v="2"/>
    <x v="15"/>
    <x v="1"/>
    <s v="SUB-RECETAS BAR"/>
    <x v="0"/>
    <x v="859"/>
    <s v="GRAMOS"/>
    <n v="54.742355779999997"/>
    <n v="-4"/>
    <n v="0"/>
    <n v="4"/>
    <n v="0"/>
    <n v="218.96942311999999"/>
    <x v="0"/>
  </r>
  <r>
    <x v="2"/>
    <x v="10"/>
    <x v="4"/>
    <s v="SUB-RECETAS BAR"/>
    <x v="0"/>
    <x v="859"/>
    <s v="GRAMOS"/>
    <n v="54.742867339999997"/>
    <n v="0"/>
    <n v="0"/>
    <n v="0"/>
    <n v="0"/>
    <n v="0"/>
    <x v="1"/>
  </r>
  <r>
    <x v="2"/>
    <x v="12"/>
    <x v="3"/>
    <s v="SUB-RECETAS CP"/>
    <x v="1"/>
    <x v="860"/>
    <s v="UNIDADES"/>
    <n v="6070.3696800199996"/>
    <n v="0"/>
    <n v="0"/>
    <n v="0"/>
    <n v="0"/>
    <n v="0"/>
    <x v="1"/>
  </r>
  <r>
    <x v="2"/>
    <x v="13"/>
    <x v="2"/>
    <s v="SUB-RECETAS CP"/>
    <x v="1"/>
    <x v="860"/>
    <s v="UNIDADES"/>
    <n v="6070.3696800199996"/>
    <n v="0"/>
    <n v="0"/>
    <n v="0"/>
    <n v="0"/>
    <n v="0"/>
    <x v="1"/>
  </r>
  <r>
    <x v="2"/>
    <x v="10"/>
    <x v="4"/>
    <s v="SUB-RECETAS CP"/>
    <x v="1"/>
    <x v="860"/>
    <s v="UNIDADES"/>
    <n v="6070.3696800199996"/>
    <n v="0"/>
    <n v="0"/>
    <n v="0"/>
    <n v="0"/>
    <n v="0"/>
    <x v="1"/>
  </r>
  <r>
    <x v="2"/>
    <x v="12"/>
    <x v="3"/>
    <s v="SUB RECETAS"/>
    <x v="1"/>
    <x v="861"/>
    <s v="GRAMOS"/>
    <n v="21.61672257"/>
    <n v="1980"/>
    <n v="0"/>
    <n v="-1980"/>
    <n v="0"/>
    <n v="-42801.110688599998"/>
    <x v="2"/>
  </r>
  <r>
    <x v="2"/>
    <x v="14"/>
    <x v="0"/>
    <s v="SUB RECETAS"/>
    <x v="1"/>
    <x v="861"/>
    <s v="GRAMOS"/>
    <n v="74.966261029999998"/>
    <n v="372"/>
    <n v="1446"/>
    <n v="1074"/>
    <n v="108401.21344938"/>
    <n v="80513.764346219992"/>
    <x v="0"/>
  </r>
  <r>
    <x v="2"/>
    <x v="13"/>
    <x v="2"/>
    <s v="SUB RECETAS"/>
    <x v="1"/>
    <x v="861"/>
    <s v="GRAMOS"/>
    <n v="21.61672257"/>
    <n v="1158"/>
    <n v="2332"/>
    <n v="1174"/>
    <n v="50410.197033240001"/>
    <n v="25378.032297180001"/>
    <x v="0"/>
  </r>
  <r>
    <x v="2"/>
    <x v="10"/>
    <x v="4"/>
    <s v="SUB RECETAS"/>
    <x v="1"/>
    <x v="861"/>
    <s v="GRAMOS"/>
    <n v="21.61672257"/>
    <n v="740"/>
    <n v="0"/>
    <n v="-740"/>
    <n v="0"/>
    <n v="-15996.374701799999"/>
    <x v="2"/>
  </r>
  <r>
    <x v="2"/>
    <x v="12"/>
    <x v="3"/>
    <s v="SUB-RECETAS BAR"/>
    <x v="0"/>
    <x v="329"/>
    <s v="GRAMOS"/>
    <n v="85.424136300000001"/>
    <n v="337"/>
    <n v="386"/>
    <n v="49"/>
    <n v="32973.716611800002"/>
    <n v="4185.7826787000004"/>
    <x v="0"/>
  </r>
  <r>
    <x v="2"/>
    <x v="14"/>
    <x v="0"/>
    <s v="SUB-RECETAS BAR"/>
    <x v="0"/>
    <x v="329"/>
    <s v="GRAMOS"/>
    <n v="85.424136300000001"/>
    <n v="-260"/>
    <n v="50"/>
    <n v="310"/>
    <n v="4271.2068150000005"/>
    <n v="26481.482253000002"/>
    <x v="0"/>
  </r>
  <r>
    <x v="2"/>
    <x v="13"/>
    <x v="2"/>
    <s v="SUB-RECETAS BAR"/>
    <x v="0"/>
    <x v="329"/>
    <s v="GRAMOS"/>
    <n v="85.424136300000001"/>
    <n v="834"/>
    <n v="238"/>
    <n v="-596"/>
    <n v="20330.944439399998"/>
    <n v="-50912.785234800001"/>
    <x v="2"/>
  </r>
  <r>
    <x v="2"/>
    <x v="15"/>
    <x v="1"/>
    <s v="SUB-RECETAS BAR"/>
    <x v="0"/>
    <x v="329"/>
    <s v="GRAMOS"/>
    <n v="85.424136300000001"/>
    <n v="62"/>
    <n v="1310"/>
    <n v="1248"/>
    <n v="111905.61855300001"/>
    <n v="106609.32210239999"/>
    <x v="0"/>
  </r>
  <r>
    <x v="2"/>
    <x v="16"/>
    <x v="5"/>
    <s v="SUB-RECETAS BAR"/>
    <x v="0"/>
    <x v="329"/>
    <s v="GRAMOS"/>
    <n v="85.424136300000001"/>
    <n v="0"/>
    <n v="0"/>
    <n v="0"/>
    <n v="0"/>
    <n v="0"/>
    <x v="1"/>
  </r>
  <r>
    <x v="2"/>
    <x v="10"/>
    <x v="4"/>
    <s v="SUB-RECETAS BAR"/>
    <x v="0"/>
    <x v="329"/>
    <s v="GRAMOS"/>
    <n v="85.424136300000001"/>
    <n v="176"/>
    <n v="0"/>
    <n v="-176"/>
    <n v="0"/>
    <n v="-15034.647988799999"/>
    <x v="2"/>
  </r>
  <r>
    <x v="2"/>
    <x v="14"/>
    <x v="0"/>
    <s v="SUB RECETAS"/>
    <x v="1"/>
    <x v="862"/>
    <s v="GRAMOS"/>
    <n v="7.2870914000000004"/>
    <n v="-32"/>
    <n v="0"/>
    <n v="32"/>
    <n v="0"/>
    <n v="233.18692480000001"/>
    <x v="0"/>
  </r>
  <r>
    <x v="2"/>
    <x v="15"/>
    <x v="1"/>
    <s v="SUB RECETAS"/>
    <x v="1"/>
    <x v="862"/>
    <s v="GRAMOS"/>
    <n v="7.2870914000000004"/>
    <n v="-60"/>
    <n v="0"/>
    <n v="60"/>
    <n v="0"/>
    <n v="437.22548400000005"/>
    <x v="0"/>
  </r>
  <r>
    <x v="2"/>
    <x v="15"/>
    <x v="1"/>
    <s v="SUB RECETAS"/>
    <x v="1"/>
    <x v="863"/>
    <s v="GRAMOS"/>
    <n v="8.3377369100000003"/>
    <n v="-4060"/>
    <n v="0"/>
    <n v="4060"/>
    <n v="0"/>
    <n v="33851.211854599998"/>
    <x v="0"/>
  </r>
  <r>
    <x v="2"/>
    <x v="12"/>
    <x v="3"/>
    <s v="SUB RECETAS"/>
    <x v="1"/>
    <x v="864"/>
    <s v="GRAMOS"/>
    <n v="50.394806379999999"/>
    <n v="0"/>
    <n v="0"/>
    <n v="0"/>
    <n v="0"/>
    <n v="0"/>
    <x v="1"/>
  </r>
  <r>
    <x v="2"/>
    <x v="13"/>
    <x v="2"/>
    <s v="SUB RECETAS"/>
    <x v="1"/>
    <x v="864"/>
    <s v="GRAMOS"/>
    <n v="50.394806379999999"/>
    <n v="0"/>
    <n v="0"/>
    <n v="0"/>
    <n v="0"/>
    <n v="0"/>
    <x v="1"/>
  </r>
  <r>
    <x v="2"/>
    <x v="10"/>
    <x v="4"/>
    <s v="SUB RECETAS"/>
    <x v="1"/>
    <x v="864"/>
    <s v="GRAMOS"/>
    <n v="50.394806379999999"/>
    <n v="0"/>
    <n v="0"/>
    <n v="0"/>
    <n v="0"/>
    <n v="0"/>
    <x v="1"/>
  </r>
  <r>
    <x v="2"/>
    <x v="12"/>
    <x v="3"/>
    <s v="SUB RECETAS"/>
    <x v="1"/>
    <x v="250"/>
    <s v="UNIDADES"/>
    <n v="5928.1262500000003"/>
    <n v="-1"/>
    <n v="0"/>
    <n v="1"/>
    <n v="0"/>
    <n v="5928.1262500000003"/>
    <x v="0"/>
  </r>
  <r>
    <x v="2"/>
    <x v="13"/>
    <x v="2"/>
    <s v="SUB RECETAS"/>
    <x v="1"/>
    <x v="250"/>
    <s v="UNIDADES"/>
    <n v="5928.1262500000003"/>
    <n v="4"/>
    <n v="7.5"/>
    <n v="3.5"/>
    <n v="44460.946875000001"/>
    <n v="20748.441875"/>
    <x v="0"/>
  </r>
  <r>
    <x v="2"/>
    <x v="10"/>
    <x v="4"/>
    <s v="SUB RECETAS"/>
    <x v="1"/>
    <x v="250"/>
    <s v="UNIDADES"/>
    <n v="5928.1262500000003"/>
    <n v="8"/>
    <n v="8"/>
    <n v="0"/>
    <n v="47425.01"/>
    <n v="0"/>
    <x v="1"/>
  </r>
  <r>
    <x v="2"/>
    <x v="15"/>
    <x v="1"/>
    <s v="SUB RECETAS"/>
    <x v="1"/>
    <x v="865"/>
    <s v="GRAMOS"/>
    <n v="6180.1759560500004"/>
    <n v="-6981"/>
    <n v="0"/>
    <n v="6981"/>
    <n v="0"/>
    <n v="43143808.34918505"/>
    <x v="0"/>
  </r>
  <r>
    <x v="2"/>
    <x v="16"/>
    <x v="5"/>
    <s v="SUB-RECETAS CP"/>
    <x v="1"/>
    <x v="305"/>
    <s v="GRAMOS"/>
    <n v="33.255269220000002"/>
    <n v="13550"/>
    <n v="13514"/>
    <n v="-36"/>
    <n v="449411.70823908004"/>
    <n v="-1197.1896919200001"/>
    <x v="2"/>
  </r>
  <r>
    <x v="2"/>
    <x v="12"/>
    <x v="3"/>
    <s v="SUB RECETAS"/>
    <x v="1"/>
    <x v="251"/>
    <s v="UNIDADES"/>
    <n v="3455.3301711399999"/>
    <n v="30"/>
    <n v="3"/>
    <n v="-27"/>
    <n v="10365.99051342"/>
    <n v="-93293.914620779993"/>
    <x v="2"/>
  </r>
  <r>
    <x v="2"/>
    <x v="13"/>
    <x v="2"/>
    <s v="SUB RECETAS"/>
    <x v="1"/>
    <x v="251"/>
    <s v="UNIDADES"/>
    <n v="3455.3301711399999"/>
    <n v="19"/>
    <n v="10"/>
    <n v="-9"/>
    <n v="34553.301711399996"/>
    <n v="-31097.971540259998"/>
    <x v="2"/>
  </r>
  <r>
    <x v="2"/>
    <x v="15"/>
    <x v="1"/>
    <s v="SUB RECETAS"/>
    <x v="1"/>
    <x v="251"/>
    <s v="UNIDADES"/>
    <n v="3446.7327218800001"/>
    <n v="12"/>
    <n v="0"/>
    <n v="-12"/>
    <n v="0"/>
    <n v="-41360.792662560001"/>
    <x v="2"/>
  </r>
  <r>
    <x v="2"/>
    <x v="10"/>
    <x v="4"/>
    <s v="SUB RECETAS"/>
    <x v="1"/>
    <x v="251"/>
    <s v="UNIDADES"/>
    <n v="3455.3301711399999"/>
    <n v="41"/>
    <n v="37"/>
    <n v="-4"/>
    <n v="127847.21633218"/>
    <n v="-13821.32068456"/>
    <x v="2"/>
  </r>
  <r>
    <x v="2"/>
    <x v="14"/>
    <x v="0"/>
    <s v="SUB RECETAS"/>
    <x v="1"/>
    <x v="311"/>
    <s v="UNIDADES"/>
    <n v="15122.28067392"/>
    <n v="44.11"/>
    <n v="47"/>
    <n v="2.89"/>
    <n v="710747.19167424005"/>
    <n v="43703.391147628805"/>
    <x v="0"/>
  </r>
  <r>
    <x v="2"/>
    <x v="12"/>
    <x v="3"/>
    <s v="SUB RECETAS"/>
    <x v="1"/>
    <x v="866"/>
    <s v="GRAMOS"/>
    <n v="9.5823249399999995"/>
    <n v="1646"/>
    <n v="314"/>
    <n v="-1332"/>
    <n v="3008.8500311599996"/>
    <n v="-12763.656820079999"/>
    <x v="2"/>
  </r>
  <r>
    <x v="2"/>
    <x v="14"/>
    <x v="0"/>
    <s v="SUB RECETAS"/>
    <x v="1"/>
    <x v="866"/>
    <s v="GRAMOS"/>
    <n v="10.242881819999999"/>
    <n v="-6596"/>
    <n v="430"/>
    <n v="7026"/>
    <n v="4404.4391825999992"/>
    <n v="71966.487667319991"/>
    <x v="0"/>
  </r>
  <r>
    <x v="2"/>
    <x v="13"/>
    <x v="2"/>
    <s v="SUB RECETAS"/>
    <x v="1"/>
    <x v="866"/>
    <s v="GRAMOS"/>
    <n v="9.5823249399999995"/>
    <n v="0"/>
    <n v="0"/>
    <n v="0"/>
    <n v="0"/>
    <n v="0"/>
    <x v="1"/>
  </r>
  <r>
    <x v="2"/>
    <x v="10"/>
    <x v="4"/>
    <s v="SUB RECETAS"/>
    <x v="1"/>
    <x v="866"/>
    <s v="GRAMOS"/>
    <n v="9.5823249399999995"/>
    <n v="1182"/>
    <n v="0"/>
    <n v="-1182"/>
    <n v="0"/>
    <n v="-11326.30807908"/>
    <x v="2"/>
  </r>
  <r>
    <x v="2"/>
    <x v="12"/>
    <x v="3"/>
    <s v="SUB RECETAS"/>
    <x v="1"/>
    <x v="867"/>
    <s v="GRAMOS"/>
    <n v="18.616711599999999"/>
    <n v="5636"/>
    <n v="0"/>
    <n v="-5636"/>
    <n v="0"/>
    <n v="-104923.7865776"/>
    <x v="2"/>
  </r>
  <r>
    <x v="2"/>
    <x v="13"/>
    <x v="2"/>
    <s v="SUB RECETAS"/>
    <x v="1"/>
    <x v="867"/>
    <s v="GRAMOS"/>
    <n v="18.616711599999999"/>
    <n v="-1800"/>
    <n v="0"/>
    <n v="1800"/>
    <n v="0"/>
    <n v="33510.080879999994"/>
    <x v="0"/>
  </r>
  <r>
    <x v="2"/>
    <x v="10"/>
    <x v="4"/>
    <s v="SUB RECETAS"/>
    <x v="1"/>
    <x v="867"/>
    <s v="GRAMOS"/>
    <n v="18.616711599999999"/>
    <n v="2090"/>
    <n v="1534"/>
    <n v="-556"/>
    <n v="28558.035594399997"/>
    <n v="-10350.891649599998"/>
    <x v="2"/>
  </r>
  <r>
    <x v="2"/>
    <x v="14"/>
    <x v="0"/>
    <s v="SUB RECETAS"/>
    <x v="1"/>
    <x v="315"/>
    <s v="UNIDADES"/>
    <n v="19485.983333330001"/>
    <n v="15.5"/>
    <n v="15.5"/>
    <n v="0"/>
    <n v="302032.74166661501"/>
    <n v="0"/>
    <x v="1"/>
  </r>
  <r>
    <x v="2"/>
    <x v="12"/>
    <x v="3"/>
    <s v="SUB-RECETAS CP"/>
    <x v="1"/>
    <x v="275"/>
    <s v="UNIDADES"/>
    <n v="20261.49076923"/>
    <n v="27.96"/>
    <n v="36"/>
    <n v="8.0399999999999991"/>
    <n v="729413.66769228003"/>
    <n v="162902.38578460919"/>
    <x v="0"/>
  </r>
  <r>
    <x v="2"/>
    <x v="13"/>
    <x v="2"/>
    <s v="SUB-RECETAS CP"/>
    <x v="1"/>
    <x v="275"/>
    <s v="UNIDADES"/>
    <n v="20261.49076923"/>
    <n v="28.12"/>
    <n v="33"/>
    <n v="4.88"/>
    <n v="668629.19538458996"/>
    <n v="98876.074953842399"/>
    <x v="0"/>
  </r>
  <r>
    <x v="2"/>
    <x v="16"/>
    <x v="5"/>
    <s v="SUB-RECETAS CP"/>
    <x v="1"/>
    <x v="275"/>
    <s v="UNIDADES"/>
    <n v="20261.49076923"/>
    <n v="151"/>
    <n v="151"/>
    <n v="0"/>
    <n v="3059485.1061537298"/>
    <n v="0"/>
    <x v="1"/>
  </r>
  <r>
    <x v="2"/>
    <x v="10"/>
    <x v="4"/>
    <s v="SUB-RECETAS CP"/>
    <x v="1"/>
    <x v="275"/>
    <s v="UNIDADES"/>
    <n v="20261.49076923"/>
    <n v="29.98"/>
    <n v="36.840000000000003"/>
    <n v="6.86"/>
    <n v="746433.31993843324"/>
    <n v="138993.82667691782"/>
    <x v="0"/>
  </r>
  <r>
    <x v="2"/>
    <x v="12"/>
    <x v="3"/>
    <s v="SUB-RECETAS CP"/>
    <x v="1"/>
    <x v="274"/>
    <s v="UNIDADES"/>
    <n v="7153.7631219499999"/>
    <n v="64"/>
    <n v="43"/>
    <n v="-21"/>
    <n v="307611.81424385001"/>
    <n v="-150229.02556094999"/>
    <x v="2"/>
  </r>
  <r>
    <x v="2"/>
    <x v="13"/>
    <x v="2"/>
    <s v="SUB-RECETAS CP"/>
    <x v="1"/>
    <x v="274"/>
    <s v="UNIDADES"/>
    <n v="7153.7631219499999"/>
    <n v="17"/>
    <n v="23"/>
    <n v="6"/>
    <n v="164536.55180484999"/>
    <n v="42922.578731699999"/>
    <x v="0"/>
  </r>
  <r>
    <x v="2"/>
    <x v="16"/>
    <x v="5"/>
    <s v="SUB-RECETAS CP"/>
    <x v="1"/>
    <x v="274"/>
    <s v="UNIDADES"/>
    <n v="7153.7631219499999"/>
    <n v="1428"/>
    <n v="1428"/>
    <n v="0"/>
    <n v="10215573.738144601"/>
    <n v="0"/>
    <x v="1"/>
  </r>
  <r>
    <x v="2"/>
    <x v="10"/>
    <x v="4"/>
    <s v="SUB-RECETAS CP"/>
    <x v="1"/>
    <x v="274"/>
    <s v="UNIDADES"/>
    <n v="7153.7631219499999"/>
    <n v="50"/>
    <n v="51"/>
    <n v="1"/>
    <n v="364841.91921944998"/>
    <n v="7153.7631219499999"/>
    <x v="0"/>
  </r>
  <r>
    <x v="2"/>
    <x v="16"/>
    <x v="5"/>
    <s v="SUB RECETAS"/>
    <x v="1"/>
    <x v="868"/>
    <s v="UNIDADES"/>
    <n v="1.8526315799999999"/>
    <n v="0"/>
    <n v="0"/>
    <n v="0"/>
    <n v="0"/>
    <n v="0"/>
    <x v="1"/>
  </r>
  <r>
    <x v="2"/>
    <x v="12"/>
    <x v="3"/>
    <s v="SUB RECETAS"/>
    <x v="1"/>
    <x v="869"/>
    <s v="GRAMOS"/>
    <n v="43.594779029999998"/>
    <n v="650"/>
    <n v="0"/>
    <n v="-650"/>
    <n v="0"/>
    <n v="-28336.606369499998"/>
    <x v="2"/>
  </r>
  <r>
    <x v="2"/>
    <x v="13"/>
    <x v="2"/>
    <s v="SUB RECETAS"/>
    <x v="1"/>
    <x v="869"/>
    <s v="GRAMOS"/>
    <n v="43.594779029999998"/>
    <n v="-60"/>
    <n v="0"/>
    <n v="60"/>
    <n v="0"/>
    <n v="2615.6867417999997"/>
    <x v="0"/>
  </r>
  <r>
    <x v="2"/>
    <x v="10"/>
    <x v="4"/>
    <s v="SUB RECETAS"/>
    <x v="1"/>
    <x v="869"/>
    <s v="GRAMOS"/>
    <n v="43.594779029999998"/>
    <n v="-28"/>
    <n v="334"/>
    <n v="362"/>
    <n v="14560.65619602"/>
    <n v="15781.310008859999"/>
    <x v="0"/>
  </r>
  <r>
    <x v="2"/>
    <x v="14"/>
    <x v="0"/>
    <s v="SUB RECETAS"/>
    <x v="1"/>
    <x v="870"/>
    <s v="UNIDADES"/>
    <n v="1607.1428249999999"/>
    <n v="8794"/>
    <n v="1980"/>
    <n v="-6814"/>
    <n v="3182142.7934999997"/>
    <n v="-10951071.209549999"/>
    <x v="2"/>
  </r>
  <r>
    <x v="2"/>
    <x v="12"/>
    <x v="3"/>
    <s v="SUB RECETAS"/>
    <x v="1"/>
    <x v="871"/>
    <s v="GRAMOS"/>
    <n v="16.654198109999999"/>
    <n v="0"/>
    <n v="720"/>
    <n v="720"/>
    <n v="11991.0226392"/>
    <n v="11991.0226392"/>
    <x v="0"/>
  </r>
  <r>
    <x v="2"/>
    <x v="14"/>
    <x v="0"/>
    <s v="SUB RECETAS"/>
    <x v="1"/>
    <x v="871"/>
    <s v="GRAMOS"/>
    <n v="20.925407740000001"/>
    <n v="60318"/>
    <n v="5422"/>
    <n v="-54896"/>
    <n v="113457.56076628"/>
    <n v="-1148721.1832950399"/>
    <x v="2"/>
  </r>
  <r>
    <x v="2"/>
    <x v="13"/>
    <x v="2"/>
    <s v="SUB RECETAS"/>
    <x v="1"/>
    <x v="871"/>
    <s v="GRAMOS"/>
    <n v="16.654198109999999"/>
    <n v="0"/>
    <n v="0"/>
    <n v="0"/>
    <n v="0"/>
    <n v="0"/>
    <x v="1"/>
  </r>
  <r>
    <x v="2"/>
    <x v="15"/>
    <x v="1"/>
    <s v="SUB RECETAS"/>
    <x v="1"/>
    <x v="871"/>
    <s v="GRAMOS"/>
    <n v="20.925407740000001"/>
    <n v="999"/>
    <n v="0"/>
    <n v="-999"/>
    <n v="0"/>
    <n v="-20904.482332260002"/>
    <x v="2"/>
  </r>
  <r>
    <x v="2"/>
    <x v="10"/>
    <x v="4"/>
    <s v="SUB RECETAS"/>
    <x v="1"/>
    <x v="871"/>
    <s v="GRAMOS"/>
    <n v="16.654198109999999"/>
    <n v="0"/>
    <n v="0"/>
    <n v="0"/>
    <n v="0"/>
    <n v="0"/>
    <x v="1"/>
  </r>
  <r>
    <x v="2"/>
    <x v="12"/>
    <x v="3"/>
    <s v="SUB RECETAS"/>
    <x v="1"/>
    <x v="872"/>
    <s v="GRAMOS"/>
    <n v="10.29076948"/>
    <n v="1614"/>
    <n v="0"/>
    <n v="-1614"/>
    <n v="0"/>
    <n v="-16609.301940720001"/>
    <x v="2"/>
  </r>
  <r>
    <x v="2"/>
    <x v="13"/>
    <x v="2"/>
    <s v="SUB RECETAS"/>
    <x v="1"/>
    <x v="872"/>
    <s v="GRAMOS"/>
    <n v="10.29076948"/>
    <n v="4750"/>
    <n v="0"/>
    <n v="-4750"/>
    <n v="0"/>
    <n v="-48881.155030000002"/>
    <x v="2"/>
  </r>
  <r>
    <x v="2"/>
    <x v="10"/>
    <x v="4"/>
    <s v="SUB RECETAS"/>
    <x v="1"/>
    <x v="872"/>
    <s v="GRAMOS"/>
    <n v="10.29076948"/>
    <n v="7674"/>
    <n v="2854"/>
    <n v="-4820"/>
    <n v="29369.85609592"/>
    <n v="-49601.508893599996"/>
    <x v="2"/>
  </r>
  <r>
    <x v="2"/>
    <x v="12"/>
    <x v="3"/>
    <s v="SUB RECETAS"/>
    <x v="1"/>
    <x v="873"/>
    <s v="GRAMOS"/>
    <n v="11.667654199999999"/>
    <n v="-114"/>
    <n v="210"/>
    <n v="324"/>
    <n v="2450.2073820000001"/>
    <n v="3780.3199608"/>
    <x v="0"/>
  </r>
  <r>
    <x v="2"/>
    <x v="13"/>
    <x v="2"/>
    <s v="SUB RECETAS"/>
    <x v="1"/>
    <x v="873"/>
    <s v="GRAMOS"/>
    <n v="11.667654199999999"/>
    <n v="99.893500000000003"/>
    <n v="0"/>
    <n v="-99.893544000000006"/>
    <n v="0"/>
    <n v="-1165.5233282044849"/>
    <x v="2"/>
  </r>
  <r>
    <x v="2"/>
    <x v="10"/>
    <x v="4"/>
    <s v="SUB RECETAS"/>
    <x v="1"/>
    <x v="873"/>
    <s v="GRAMOS"/>
    <n v="11.667654199999999"/>
    <n v="475"/>
    <n v="400"/>
    <n v="-75"/>
    <n v="4667.0616799999998"/>
    <n v="-875.07406499999991"/>
    <x v="2"/>
  </r>
  <r>
    <x v="2"/>
    <x v="14"/>
    <x v="0"/>
    <s v="SUB RECETAS"/>
    <x v="1"/>
    <x v="874"/>
    <s v="GRAMOS"/>
    <n v="21.427531779999999"/>
    <n v="-420"/>
    <n v="1630"/>
    <n v="2050"/>
    <n v="34926.876801400002"/>
    <n v="43926.440148999995"/>
    <x v="0"/>
  </r>
  <r>
    <x v="2"/>
    <x v="15"/>
    <x v="1"/>
    <s v="SUB RECETAS"/>
    <x v="1"/>
    <x v="874"/>
    <s v="GRAMOS"/>
    <n v="21.427531779999999"/>
    <n v="-80"/>
    <n v="450"/>
    <n v="530"/>
    <n v="9642.3893009999993"/>
    <n v="11356.5918434"/>
    <x v="0"/>
  </r>
  <r>
    <x v="2"/>
    <x v="14"/>
    <x v="0"/>
    <s v="SUB RECETAS"/>
    <x v="1"/>
    <x v="875"/>
    <s v="GRAMOS"/>
    <n v="12.742341140000001"/>
    <n v="2698"/>
    <n v="7260"/>
    <n v="4562"/>
    <n v="92509.396676400007"/>
    <n v="58130.560280680002"/>
    <x v="0"/>
  </r>
  <r>
    <x v="2"/>
    <x v="15"/>
    <x v="1"/>
    <s v="SUB RECETAS"/>
    <x v="1"/>
    <x v="875"/>
    <s v="GRAMOS"/>
    <n v="12.742341140000001"/>
    <n v="-360"/>
    <n v="0"/>
    <n v="360"/>
    <n v="0"/>
    <n v="4587.2428104000001"/>
    <x v="0"/>
  </r>
  <r>
    <x v="2"/>
    <x v="14"/>
    <x v="0"/>
    <s v="SUB RECETAS"/>
    <x v="1"/>
    <x v="876"/>
    <s v="GRAMOS"/>
    <n v="13.12802727"/>
    <n v="-1060"/>
    <n v="0"/>
    <n v="1060"/>
    <n v="0"/>
    <n v="13915.708906200001"/>
    <x v="0"/>
  </r>
  <r>
    <x v="2"/>
    <x v="15"/>
    <x v="1"/>
    <s v="SUB RECETAS"/>
    <x v="1"/>
    <x v="877"/>
    <s v="UNIDADES"/>
    <n v="1993.4875724000001"/>
    <n v="10"/>
    <n v="0"/>
    <n v="-10"/>
    <n v="0"/>
    <n v="-19934.875724000001"/>
    <x v="2"/>
  </r>
  <r>
    <x v="2"/>
    <x v="12"/>
    <x v="3"/>
    <s v="SUB-RECETAS CP"/>
    <x v="1"/>
    <x v="878"/>
    <s v="GRAMOS"/>
    <n v="23.65629702"/>
    <n v="0"/>
    <n v="0"/>
    <n v="0"/>
    <n v="0"/>
    <n v="0"/>
    <x v="1"/>
  </r>
  <r>
    <x v="2"/>
    <x v="13"/>
    <x v="2"/>
    <s v="SUB-RECETAS CP"/>
    <x v="1"/>
    <x v="878"/>
    <s v="GRAMOS"/>
    <n v="23.65629702"/>
    <n v="0"/>
    <n v="0"/>
    <n v="0"/>
    <n v="0"/>
    <n v="0"/>
    <x v="1"/>
  </r>
  <r>
    <x v="2"/>
    <x v="10"/>
    <x v="4"/>
    <s v="SUB-RECETAS CP"/>
    <x v="1"/>
    <x v="878"/>
    <s v="GRAMOS"/>
    <n v="23.65629702"/>
    <n v="0"/>
    <n v="0"/>
    <n v="0"/>
    <n v="0"/>
    <n v="0"/>
    <x v="1"/>
  </r>
  <r>
    <x v="2"/>
    <x v="12"/>
    <x v="3"/>
    <s v="SUB-RECETAS CP"/>
    <x v="1"/>
    <x v="879"/>
    <s v="GRAMOS"/>
    <n v="40.097522099999999"/>
    <n v="0"/>
    <n v="0"/>
    <n v="0"/>
    <n v="0"/>
    <n v="0"/>
    <x v="1"/>
  </r>
  <r>
    <x v="2"/>
    <x v="13"/>
    <x v="2"/>
    <s v="SUB-RECETAS CP"/>
    <x v="1"/>
    <x v="879"/>
    <s v="GRAMOS"/>
    <n v="40.097522099999999"/>
    <n v="0"/>
    <n v="0"/>
    <n v="0"/>
    <n v="0"/>
    <n v="0"/>
    <x v="1"/>
  </r>
  <r>
    <x v="2"/>
    <x v="10"/>
    <x v="4"/>
    <s v="SUB-RECETAS CP"/>
    <x v="1"/>
    <x v="879"/>
    <s v="GRAMOS"/>
    <n v="40.097522099999999"/>
    <n v="0"/>
    <n v="0"/>
    <n v="0"/>
    <n v="0"/>
    <n v="0"/>
    <x v="1"/>
  </r>
  <r>
    <x v="2"/>
    <x v="12"/>
    <x v="3"/>
    <s v="SUB RECETAS"/>
    <x v="1"/>
    <x v="880"/>
    <s v="GRAMOS"/>
    <n v="28.271326989999999"/>
    <n v="0"/>
    <n v="0"/>
    <n v="0"/>
    <n v="0"/>
    <n v="0"/>
    <x v="1"/>
  </r>
  <r>
    <x v="2"/>
    <x v="13"/>
    <x v="2"/>
    <s v="SUB RECETAS"/>
    <x v="1"/>
    <x v="880"/>
    <s v="GRAMOS"/>
    <n v="28.271326989999999"/>
    <n v="0"/>
    <n v="0"/>
    <n v="0"/>
    <n v="0"/>
    <n v="0"/>
    <x v="1"/>
  </r>
  <r>
    <x v="2"/>
    <x v="10"/>
    <x v="4"/>
    <s v="SUB RECETAS"/>
    <x v="1"/>
    <x v="880"/>
    <s v="GRAMOS"/>
    <n v="28.271326989999999"/>
    <n v="0"/>
    <n v="0"/>
    <n v="0"/>
    <n v="0"/>
    <n v="0"/>
    <x v="1"/>
  </r>
  <r>
    <x v="2"/>
    <x v="12"/>
    <x v="3"/>
    <s v="SUB RECETAS"/>
    <x v="1"/>
    <x v="881"/>
    <s v="GRAMOS"/>
    <n v="39.179842819999998"/>
    <n v="-1280"/>
    <n v="0"/>
    <n v="1280"/>
    <n v="0"/>
    <n v="50150.198809599999"/>
    <x v="0"/>
  </r>
  <r>
    <x v="2"/>
    <x v="13"/>
    <x v="2"/>
    <s v="SUB RECETAS"/>
    <x v="1"/>
    <x v="881"/>
    <s v="GRAMOS"/>
    <n v="39.179842819999998"/>
    <n v="310"/>
    <n v="0"/>
    <n v="-310"/>
    <n v="0"/>
    <n v="-12145.7512742"/>
    <x v="2"/>
  </r>
  <r>
    <x v="2"/>
    <x v="10"/>
    <x v="4"/>
    <s v="SUB RECETAS"/>
    <x v="1"/>
    <x v="881"/>
    <s v="GRAMOS"/>
    <n v="39.179842819999998"/>
    <n v="7"/>
    <n v="0"/>
    <n v="-7"/>
    <n v="0"/>
    <n v="-274.25889974"/>
    <x v="2"/>
  </r>
  <r>
    <x v="2"/>
    <x v="14"/>
    <x v="0"/>
    <s v="SUB RECETAS"/>
    <x v="1"/>
    <x v="882"/>
    <s v="GRAMOS"/>
    <n v="31.014292130000001"/>
    <n v="2874"/>
    <n v="2059"/>
    <n v="-815"/>
    <n v="63858.427495670003"/>
    <n v="-25276.648085950001"/>
    <x v="2"/>
  </r>
  <r>
    <x v="2"/>
    <x v="12"/>
    <x v="3"/>
    <s v="SUB RECETAS"/>
    <x v="1"/>
    <x v="883"/>
    <s v="GRAMOS"/>
    <n v="5.5221637000000001"/>
    <n v="728"/>
    <n v="120"/>
    <n v="-608"/>
    <n v="662.65964400000007"/>
    <n v="-3357.4755296000003"/>
    <x v="2"/>
  </r>
  <r>
    <x v="2"/>
    <x v="13"/>
    <x v="2"/>
    <s v="SUB RECETAS"/>
    <x v="1"/>
    <x v="883"/>
    <s v="GRAMOS"/>
    <n v="5.5221637000000001"/>
    <n v="120"/>
    <n v="188"/>
    <n v="68"/>
    <n v="1038.1667755999999"/>
    <n v="375.50713159999998"/>
    <x v="0"/>
  </r>
  <r>
    <x v="2"/>
    <x v="10"/>
    <x v="4"/>
    <s v="SUB RECETAS"/>
    <x v="1"/>
    <x v="883"/>
    <s v="GRAMOS"/>
    <n v="5.5221637000000001"/>
    <n v="-5"/>
    <n v="0"/>
    <n v="5"/>
    <n v="0"/>
    <n v="27.610818500000001"/>
    <x v="0"/>
  </r>
  <r>
    <x v="2"/>
    <x v="14"/>
    <x v="0"/>
    <s v="SUB RECETAS"/>
    <x v="1"/>
    <x v="320"/>
    <s v="UNIDADES"/>
    <n v="3637.5542850000002"/>
    <n v="40"/>
    <n v="38"/>
    <n v="-2"/>
    <n v="138227.06283000001"/>
    <n v="-7275.1085700000003"/>
    <x v="2"/>
  </r>
  <r>
    <x v="2"/>
    <x v="12"/>
    <x v="3"/>
    <s v="SUB RECETAS"/>
    <x v="1"/>
    <x v="884"/>
    <s v="GRAMOS"/>
    <n v="0.48846031000000001"/>
    <n v="0"/>
    <n v="0"/>
    <n v="0"/>
    <n v="0"/>
    <n v="0"/>
    <x v="1"/>
  </r>
  <r>
    <x v="2"/>
    <x v="13"/>
    <x v="2"/>
    <s v="SUB RECETAS"/>
    <x v="1"/>
    <x v="884"/>
    <s v="GRAMOS"/>
    <n v="0.48846031000000001"/>
    <n v="0"/>
    <n v="0"/>
    <n v="0"/>
    <n v="0"/>
    <n v="0"/>
    <x v="1"/>
  </r>
  <r>
    <x v="2"/>
    <x v="10"/>
    <x v="4"/>
    <s v="SUB RECETAS"/>
    <x v="1"/>
    <x v="884"/>
    <s v="GRAMOS"/>
    <n v="0.48846031000000001"/>
    <n v="0"/>
    <n v="0"/>
    <n v="0"/>
    <n v="0"/>
    <n v="0"/>
    <x v="1"/>
  </r>
  <r>
    <x v="2"/>
    <x v="14"/>
    <x v="0"/>
    <s v="SUB-RECETAS CP"/>
    <x v="1"/>
    <x v="885"/>
    <s v="GRAMOS"/>
    <n v="71.951792209999994"/>
    <n v="-440"/>
    <n v="0"/>
    <n v="440"/>
    <n v="0"/>
    <n v="31658.788572399997"/>
    <x v="0"/>
  </r>
  <r>
    <x v="2"/>
    <x v="15"/>
    <x v="1"/>
    <s v="SUB RECETAS"/>
    <x v="1"/>
    <x v="886"/>
    <s v="GRAMOS"/>
    <n v="285.69737237999999"/>
    <n v="240"/>
    <n v="0"/>
    <n v="-240"/>
    <n v="0"/>
    <n v="-68567.369371199995"/>
    <x v="2"/>
  </r>
  <r>
    <x v="2"/>
    <x v="12"/>
    <x v="3"/>
    <s v="SUB-RECETAS BAR"/>
    <x v="0"/>
    <x v="887"/>
    <s v="GRAMOS"/>
    <n v="103.4045"/>
    <n v="0"/>
    <n v="0"/>
    <n v="0"/>
    <n v="0"/>
    <n v="0"/>
    <x v="1"/>
  </r>
  <r>
    <x v="2"/>
    <x v="14"/>
    <x v="0"/>
    <s v="SUB-RECETAS BAR"/>
    <x v="0"/>
    <x v="887"/>
    <s v="GRAMOS"/>
    <n v="94.277833330000007"/>
    <n v="-5"/>
    <n v="0"/>
    <n v="5"/>
    <n v="0"/>
    <n v="471.38916665000005"/>
    <x v="0"/>
  </r>
  <r>
    <x v="2"/>
    <x v="13"/>
    <x v="2"/>
    <s v="SUB-RECETAS BAR"/>
    <x v="0"/>
    <x v="887"/>
    <s v="GRAMOS"/>
    <n v="103.4045"/>
    <n v="0"/>
    <n v="48"/>
    <n v="48"/>
    <n v="4963.4160000000002"/>
    <n v="4963.4160000000002"/>
    <x v="0"/>
  </r>
  <r>
    <x v="2"/>
    <x v="10"/>
    <x v="4"/>
    <s v="SUB-RECETAS BAR"/>
    <x v="0"/>
    <x v="887"/>
    <s v="GRAMOS"/>
    <n v="103.4045"/>
    <n v="0"/>
    <n v="0"/>
    <n v="0"/>
    <n v="0"/>
    <n v="0"/>
    <x v="1"/>
  </r>
  <r>
    <x v="2"/>
    <x v="12"/>
    <x v="3"/>
    <s v="SUB-RECETAS BAR"/>
    <x v="0"/>
    <x v="888"/>
    <s v="GRAMOS"/>
    <n v="64.225250000000003"/>
    <n v="18"/>
    <n v="300"/>
    <n v="282"/>
    <n v="19267.575000000001"/>
    <n v="18111.520500000002"/>
    <x v="0"/>
  </r>
  <r>
    <x v="2"/>
    <x v="14"/>
    <x v="0"/>
    <s v="SUB-RECETAS BAR"/>
    <x v="0"/>
    <x v="888"/>
    <s v="GRAMOS"/>
    <n v="53.273249999999997"/>
    <n v="-7"/>
    <n v="0"/>
    <n v="7"/>
    <n v="0"/>
    <n v="372.91274999999996"/>
    <x v="0"/>
  </r>
  <r>
    <x v="2"/>
    <x v="13"/>
    <x v="2"/>
    <s v="SUB-RECETAS BAR"/>
    <x v="0"/>
    <x v="888"/>
    <s v="GRAMOS"/>
    <n v="64.225250000000003"/>
    <n v="-172"/>
    <n v="0"/>
    <n v="172"/>
    <n v="0"/>
    <n v="11046.743"/>
    <x v="0"/>
  </r>
  <r>
    <x v="2"/>
    <x v="15"/>
    <x v="1"/>
    <s v="SUB-RECETAS BAR"/>
    <x v="0"/>
    <x v="888"/>
    <s v="GRAMOS"/>
    <n v="53.273249999999997"/>
    <n v="-72"/>
    <n v="0"/>
    <n v="72"/>
    <n v="0"/>
    <n v="3835.674"/>
    <x v="0"/>
  </r>
  <r>
    <x v="2"/>
    <x v="10"/>
    <x v="4"/>
    <s v="SUB-RECETAS BAR"/>
    <x v="0"/>
    <x v="888"/>
    <s v="GRAMOS"/>
    <n v="64.225250000000003"/>
    <n v="-372"/>
    <n v="305"/>
    <n v="677"/>
    <n v="19588.701250000002"/>
    <n v="43480.494250000003"/>
    <x v="0"/>
  </r>
  <r>
    <x v="2"/>
    <x v="12"/>
    <x v="3"/>
    <s v="SUB-RECETAS BAR"/>
    <x v="0"/>
    <x v="889"/>
    <s v="GRAMOS"/>
    <n v="97.15130164"/>
    <n v="175"/>
    <n v="0"/>
    <n v="-175"/>
    <n v="0"/>
    <n v="-17001.477787"/>
    <x v="2"/>
  </r>
  <r>
    <x v="2"/>
    <x v="14"/>
    <x v="0"/>
    <s v="SUB-RECETAS BAR"/>
    <x v="0"/>
    <x v="889"/>
    <s v="GRAMOS"/>
    <n v="82.105034309999994"/>
    <n v="-6"/>
    <n v="0"/>
    <n v="6"/>
    <n v="0"/>
    <n v="492.63020585999993"/>
    <x v="0"/>
  </r>
  <r>
    <x v="2"/>
    <x v="13"/>
    <x v="2"/>
    <s v="SUB-RECETAS BAR"/>
    <x v="0"/>
    <x v="889"/>
    <s v="GRAMOS"/>
    <n v="97.15130164"/>
    <n v="-19"/>
    <n v="0"/>
    <n v="19"/>
    <n v="0"/>
    <n v="1845.87473116"/>
    <x v="0"/>
  </r>
  <r>
    <x v="2"/>
    <x v="15"/>
    <x v="1"/>
    <s v="SUB-RECETAS BAR"/>
    <x v="0"/>
    <x v="889"/>
    <s v="GRAMOS"/>
    <n v="82.105034309999994"/>
    <n v="-8"/>
    <n v="0"/>
    <n v="8"/>
    <n v="0"/>
    <n v="656.84027447999995"/>
    <x v="0"/>
  </r>
  <r>
    <x v="2"/>
    <x v="10"/>
    <x v="4"/>
    <s v="SUB-RECETAS BAR"/>
    <x v="0"/>
    <x v="889"/>
    <s v="GRAMOS"/>
    <n v="97.15130164"/>
    <n v="-15"/>
    <n v="0"/>
    <n v="15"/>
    <n v="0"/>
    <n v="1457.2695246000001"/>
    <x v="0"/>
  </r>
  <r>
    <x v="2"/>
    <x v="15"/>
    <x v="1"/>
    <s v="SUB RECETAS"/>
    <x v="1"/>
    <x v="890"/>
    <s v="GRAMOS"/>
    <n v="41.821801880000002"/>
    <n v="1270"/>
    <n v="1845"/>
    <n v="575"/>
    <n v="77161.224468600005"/>
    <n v="24047.536081000002"/>
    <x v="0"/>
  </r>
  <r>
    <x v="2"/>
    <x v="14"/>
    <x v="0"/>
    <s v="SUB RECETAS"/>
    <x v="1"/>
    <x v="891"/>
    <s v="GRAMOS"/>
    <n v="14.152514480000001"/>
    <n v="8668"/>
    <n v="5831"/>
    <n v="-2837"/>
    <n v="82523.311932880009"/>
    <n v="-40150.68357976"/>
    <x v="2"/>
  </r>
  <r>
    <x v="2"/>
    <x v="12"/>
    <x v="3"/>
    <s v="SUB RECETAS"/>
    <x v="1"/>
    <x v="892"/>
    <s v="GRAMOS"/>
    <n v="17.5872606"/>
    <n v="2888"/>
    <n v="474"/>
    <n v="-2414"/>
    <n v="8336.3615243999993"/>
    <n v="-42455.647088400001"/>
    <x v="2"/>
  </r>
  <r>
    <x v="2"/>
    <x v="13"/>
    <x v="2"/>
    <s v="SUB RECETAS"/>
    <x v="1"/>
    <x v="892"/>
    <s v="GRAMOS"/>
    <n v="17.5872606"/>
    <n v="-3659"/>
    <n v="1373"/>
    <n v="5032"/>
    <n v="24147.308803800002"/>
    <n v="88499.095339200008"/>
    <x v="0"/>
  </r>
  <r>
    <x v="2"/>
    <x v="10"/>
    <x v="4"/>
    <s v="SUB RECETAS"/>
    <x v="1"/>
    <x v="892"/>
    <s v="GRAMOS"/>
    <n v="17.5872606"/>
    <n v="9653"/>
    <n v="3722"/>
    <n v="-5931"/>
    <n v="65459.7839532"/>
    <n v="-104310.0426186"/>
    <x v="2"/>
  </r>
  <r>
    <x v="2"/>
    <x v="12"/>
    <x v="3"/>
    <s v="SUB RECETAS"/>
    <x v="1"/>
    <x v="893"/>
    <s v="GRAMOS"/>
    <n v="9.22912979"/>
    <n v="0"/>
    <n v="0"/>
    <n v="0"/>
    <n v="0"/>
    <n v="0"/>
    <x v="1"/>
  </r>
  <r>
    <x v="2"/>
    <x v="13"/>
    <x v="2"/>
    <s v="SUB RECETAS"/>
    <x v="1"/>
    <x v="893"/>
    <s v="GRAMOS"/>
    <n v="9.22912979"/>
    <n v="0"/>
    <n v="0"/>
    <n v="0"/>
    <n v="0"/>
    <n v="0"/>
    <x v="1"/>
  </r>
  <r>
    <x v="2"/>
    <x v="15"/>
    <x v="1"/>
    <s v="SUB RECETAS"/>
    <x v="1"/>
    <x v="893"/>
    <s v="GRAMOS"/>
    <n v="14.631905789999999"/>
    <n v="41790.758399999999"/>
    <n v="19260"/>
    <n v="-22530.758399999999"/>
    <n v="281810.50551539997"/>
    <n v="-329667.93428605108"/>
    <x v="2"/>
  </r>
  <r>
    <x v="2"/>
    <x v="10"/>
    <x v="4"/>
    <s v="SUB RECETAS"/>
    <x v="1"/>
    <x v="893"/>
    <s v="GRAMOS"/>
    <n v="9.22912979"/>
    <n v="100"/>
    <n v="0"/>
    <n v="-100"/>
    <n v="0"/>
    <n v="-922.91297899999995"/>
    <x v="2"/>
  </r>
  <r>
    <x v="2"/>
    <x v="12"/>
    <x v="3"/>
    <s v="SUB RECETAS"/>
    <x v="1"/>
    <x v="343"/>
    <s v="GRAMOS"/>
    <n v="10.515454200000001"/>
    <n v="0"/>
    <n v="0"/>
    <n v="0"/>
    <n v="0"/>
    <n v="0"/>
    <x v="1"/>
  </r>
  <r>
    <x v="2"/>
    <x v="13"/>
    <x v="2"/>
    <s v="SUB RECETAS"/>
    <x v="1"/>
    <x v="343"/>
    <s v="GRAMOS"/>
    <n v="10.515454200000001"/>
    <n v="0"/>
    <n v="0"/>
    <n v="0"/>
    <n v="0"/>
    <n v="0"/>
    <x v="1"/>
  </r>
  <r>
    <x v="2"/>
    <x v="15"/>
    <x v="1"/>
    <s v="SUB RECETAS"/>
    <x v="1"/>
    <x v="343"/>
    <s v="GRAMOS"/>
    <n v="13.58919964"/>
    <n v="22830"/>
    <n v="4350"/>
    <n v="-18480"/>
    <n v="59113.018434000005"/>
    <n v="-251128.40934720001"/>
    <x v="2"/>
  </r>
  <r>
    <x v="2"/>
    <x v="10"/>
    <x v="4"/>
    <s v="SUB RECETAS"/>
    <x v="1"/>
    <x v="343"/>
    <s v="GRAMOS"/>
    <n v="10.515454200000001"/>
    <n v="0"/>
    <n v="0"/>
    <n v="0"/>
    <n v="0"/>
    <n v="0"/>
    <x v="1"/>
  </r>
  <r>
    <x v="2"/>
    <x v="15"/>
    <x v="1"/>
    <s v="SUB RECETAS"/>
    <x v="1"/>
    <x v="894"/>
    <s v="GRAMOS"/>
    <n v="14.537090389999999"/>
    <n v="7940"/>
    <n v="8685"/>
    <n v="745"/>
    <n v="126254.63003715"/>
    <n v="10830.132340549999"/>
    <x v="0"/>
  </r>
  <r>
    <x v="2"/>
    <x v="15"/>
    <x v="1"/>
    <s v="SUB RECETAS"/>
    <x v="1"/>
    <x v="895"/>
    <s v="GRAMOS"/>
    <n v="13.58859842"/>
    <n v="11600"/>
    <n v="6265"/>
    <n v="-5335"/>
    <n v="85132.569101300003"/>
    <n v="-72495.172570700001"/>
    <x v="2"/>
  </r>
  <r>
    <x v="2"/>
    <x v="15"/>
    <x v="1"/>
    <s v="SUB RECETAS"/>
    <x v="1"/>
    <x v="896"/>
    <s v="GRAMOS"/>
    <n v="10.16830581"/>
    <n v="7025"/>
    <n v="9205"/>
    <n v="2180"/>
    <n v="93599.254981049991"/>
    <n v="22166.906665800001"/>
    <x v="0"/>
  </r>
  <r>
    <x v="2"/>
    <x v="15"/>
    <x v="1"/>
    <s v="SUB RECETAS"/>
    <x v="1"/>
    <x v="897"/>
    <s v="GRAMOS"/>
    <n v="29.524981820000001"/>
    <n v="-2814"/>
    <n v="3200"/>
    <n v="6014"/>
    <n v="94479.941824000009"/>
    <n v="177563.24066548"/>
    <x v="0"/>
  </r>
  <r>
    <x v="2"/>
    <x v="15"/>
    <x v="1"/>
    <s v="SUB RECETAS"/>
    <x v="1"/>
    <x v="898"/>
    <s v="GRAMOS"/>
    <n v="6.5583939200000003"/>
    <n v="4975"/>
    <n v="10255"/>
    <n v="5280"/>
    <n v="67256.329649599997"/>
    <n v="34628.319897599999"/>
    <x v="0"/>
  </r>
  <r>
    <x v="2"/>
    <x v="12"/>
    <x v="3"/>
    <s v="SUB RECETAS"/>
    <x v="1"/>
    <x v="899"/>
    <s v="GRAMOS"/>
    <n v="21.345157799999999"/>
    <n v="-210"/>
    <n v="0"/>
    <n v="210"/>
    <n v="0"/>
    <n v="4482.4831379999996"/>
    <x v="0"/>
  </r>
  <r>
    <x v="2"/>
    <x v="14"/>
    <x v="0"/>
    <s v="SUB RECETAS"/>
    <x v="1"/>
    <x v="899"/>
    <s v="GRAMOS"/>
    <n v="22.414463130000001"/>
    <n v="819"/>
    <n v="2078"/>
    <n v="1259"/>
    <n v="46577.254384140004"/>
    <n v="28219.809080670002"/>
    <x v="0"/>
  </r>
  <r>
    <x v="2"/>
    <x v="13"/>
    <x v="2"/>
    <s v="SUB RECETAS"/>
    <x v="1"/>
    <x v="899"/>
    <s v="GRAMOS"/>
    <n v="21.345157799999999"/>
    <n v="-330"/>
    <n v="0"/>
    <n v="330"/>
    <n v="0"/>
    <n v="7043.9020739999996"/>
    <x v="0"/>
  </r>
  <r>
    <x v="2"/>
    <x v="10"/>
    <x v="4"/>
    <s v="SUB RECETAS"/>
    <x v="1"/>
    <x v="899"/>
    <s v="GRAMOS"/>
    <n v="21.345157799999999"/>
    <n v="0"/>
    <n v="0"/>
    <n v="0"/>
    <n v="0"/>
    <n v="0"/>
    <x v="1"/>
  </r>
  <r>
    <x v="2"/>
    <x v="12"/>
    <x v="3"/>
    <s v="SUB RECETAS"/>
    <x v="1"/>
    <x v="900"/>
    <s v="GRAMOS"/>
    <n v="4.6939230800000002"/>
    <n v="-6666"/>
    <n v="2700"/>
    <n v="9366"/>
    <n v="12673.592316"/>
    <n v="43963.283567279999"/>
    <x v="0"/>
  </r>
  <r>
    <x v="2"/>
    <x v="13"/>
    <x v="2"/>
    <s v="SUB RECETAS"/>
    <x v="1"/>
    <x v="900"/>
    <s v="GRAMOS"/>
    <n v="4.6939230800000002"/>
    <n v="-3389"/>
    <n v="0"/>
    <n v="3389"/>
    <n v="0"/>
    <n v="15907.705318120001"/>
    <x v="0"/>
  </r>
  <r>
    <x v="2"/>
    <x v="10"/>
    <x v="4"/>
    <s v="SUB RECETAS"/>
    <x v="1"/>
    <x v="900"/>
    <s v="GRAMOS"/>
    <n v="4.6939230800000002"/>
    <n v="9126"/>
    <n v="0"/>
    <n v="-9126"/>
    <n v="0"/>
    <n v="-42836.74202808"/>
    <x v="2"/>
  </r>
  <r>
    <x v="2"/>
    <x v="14"/>
    <x v="0"/>
    <s v="SUB RECETAS"/>
    <x v="1"/>
    <x v="901"/>
    <s v="GRAMOS"/>
    <n v="35.883327999999999"/>
    <n v="8"/>
    <n v="2802"/>
    <n v="2794"/>
    <n v="100545.085056"/>
    <n v="100258.018432"/>
    <x v="0"/>
  </r>
  <r>
    <x v="2"/>
    <x v="15"/>
    <x v="1"/>
    <s v="SUB RECETAS"/>
    <x v="1"/>
    <x v="902"/>
    <s v="GRAMOS"/>
    <n v="22.097305479999999"/>
    <n v="-370"/>
    <n v="60"/>
    <n v="430"/>
    <n v="1325.8383288"/>
    <n v="9501.8413564000002"/>
    <x v="0"/>
  </r>
  <r>
    <x v="2"/>
    <x v="12"/>
    <x v="3"/>
    <s v="SUB RECETAS"/>
    <x v="1"/>
    <x v="903"/>
    <s v="GRAMOS"/>
    <n v="18.82540569"/>
    <n v="-1600"/>
    <n v="700"/>
    <n v="2300"/>
    <n v="13177.783982999999"/>
    <n v="43298.433086999998"/>
    <x v="0"/>
  </r>
  <r>
    <x v="2"/>
    <x v="13"/>
    <x v="2"/>
    <s v="SUB RECETAS"/>
    <x v="1"/>
    <x v="903"/>
    <s v="GRAMOS"/>
    <n v="18.82540569"/>
    <n v="-3300"/>
    <n v="1014"/>
    <n v="4314"/>
    <n v="19088.961369659999"/>
    <n v="81212.800146659996"/>
    <x v="0"/>
  </r>
  <r>
    <x v="2"/>
    <x v="10"/>
    <x v="4"/>
    <s v="SUB RECETAS"/>
    <x v="1"/>
    <x v="903"/>
    <s v="GRAMOS"/>
    <n v="18.82540569"/>
    <n v="2580"/>
    <n v="1408"/>
    <n v="-1172"/>
    <n v="26506.171211519999"/>
    <n v="-22063.375468679998"/>
    <x v="2"/>
  </r>
  <r>
    <x v="2"/>
    <x v="12"/>
    <x v="3"/>
    <s v="SUB RECETAS"/>
    <x v="1"/>
    <x v="904"/>
    <s v="GRAMOS"/>
    <n v="18.24759727"/>
    <n v="-2961"/>
    <n v="522"/>
    <n v="3483"/>
    <n v="9525.24577494"/>
    <n v="63556.381291409998"/>
    <x v="0"/>
  </r>
  <r>
    <x v="2"/>
    <x v="13"/>
    <x v="2"/>
    <s v="SUB RECETAS"/>
    <x v="1"/>
    <x v="904"/>
    <s v="GRAMOS"/>
    <n v="18.24759727"/>
    <n v="-10100"/>
    <n v="0"/>
    <n v="10100"/>
    <n v="0"/>
    <n v="184300.73242700001"/>
    <x v="0"/>
  </r>
  <r>
    <x v="2"/>
    <x v="10"/>
    <x v="4"/>
    <s v="SUB RECETAS"/>
    <x v="1"/>
    <x v="904"/>
    <s v="GRAMOS"/>
    <n v="18.24759727"/>
    <n v="-12752"/>
    <n v="2380"/>
    <n v="15132"/>
    <n v="43429.281502600003"/>
    <n v="276122.64188964001"/>
    <x v="0"/>
  </r>
  <r>
    <x v="2"/>
    <x v="14"/>
    <x v="0"/>
    <s v="SUB RECETAS"/>
    <x v="1"/>
    <x v="905"/>
    <s v="GRAMOS"/>
    <n v="13.46558452"/>
    <n v="0"/>
    <n v="0"/>
    <n v="0"/>
    <n v="0"/>
    <n v="0"/>
    <x v="1"/>
  </r>
  <r>
    <x v="2"/>
    <x v="12"/>
    <x v="3"/>
    <s v="SUB RECETAS"/>
    <x v="1"/>
    <x v="906"/>
    <s v="GRAMOS"/>
    <n v="34.307072980000001"/>
    <n v="314"/>
    <n v="0"/>
    <n v="-314"/>
    <n v="0"/>
    <n v="-10772.42091572"/>
    <x v="2"/>
  </r>
  <r>
    <x v="2"/>
    <x v="13"/>
    <x v="2"/>
    <s v="SUB RECETAS"/>
    <x v="1"/>
    <x v="906"/>
    <s v="GRAMOS"/>
    <n v="34.307072980000001"/>
    <n v="-154"/>
    <n v="332"/>
    <n v="486"/>
    <n v="11389.948229359999"/>
    <n v="16673.23746828"/>
    <x v="0"/>
  </r>
  <r>
    <x v="2"/>
    <x v="10"/>
    <x v="4"/>
    <s v="SUB RECETAS"/>
    <x v="1"/>
    <x v="906"/>
    <s v="GRAMOS"/>
    <n v="34.307072980000001"/>
    <n v="986"/>
    <n v="400"/>
    <n v="-586"/>
    <n v="13722.829192000001"/>
    <n v="-20103.944766280001"/>
    <x v="2"/>
  </r>
  <r>
    <x v="2"/>
    <x v="14"/>
    <x v="0"/>
    <s v="SUB RECETAS"/>
    <x v="1"/>
    <x v="907"/>
    <s v="GRAMOS"/>
    <n v="13.213938410000001"/>
    <n v="3036"/>
    <n v="2552"/>
    <n v="-484"/>
    <n v="33721.97082232"/>
    <n v="-6395.5461904400008"/>
    <x v="2"/>
  </r>
  <r>
    <x v="2"/>
    <x v="15"/>
    <x v="1"/>
    <s v="SUB RECETAS"/>
    <x v="1"/>
    <x v="907"/>
    <s v="GRAMOS"/>
    <n v="13.213938410000001"/>
    <n v="120"/>
    <n v="0"/>
    <n v="-120"/>
    <n v="0"/>
    <n v="-1585.6726092000001"/>
    <x v="2"/>
  </r>
  <r>
    <x v="2"/>
    <x v="12"/>
    <x v="3"/>
    <s v="SUB RECETAS"/>
    <x v="1"/>
    <x v="908"/>
    <s v="GRAMOS"/>
    <n v="19.89036192"/>
    <n v="0"/>
    <n v="0"/>
    <n v="0"/>
    <n v="0"/>
    <n v="0"/>
    <x v="1"/>
  </r>
  <r>
    <x v="2"/>
    <x v="14"/>
    <x v="0"/>
    <s v="SUB RECETAS"/>
    <x v="1"/>
    <x v="908"/>
    <s v="GRAMOS"/>
    <n v="18.481254700000001"/>
    <n v="1064"/>
    <n v="1600"/>
    <n v="536"/>
    <n v="29570.007520000003"/>
    <n v="9905.9525192000001"/>
    <x v="0"/>
  </r>
  <r>
    <x v="2"/>
    <x v="13"/>
    <x v="2"/>
    <s v="SUB RECETAS"/>
    <x v="1"/>
    <x v="908"/>
    <s v="GRAMOS"/>
    <n v="19.89036192"/>
    <n v="0"/>
    <n v="0"/>
    <n v="0"/>
    <n v="0"/>
    <n v="0"/>
    <x v="1"/>
  </r>
  <r>
    <x v="2"/>
    <x v="10"/>
    <x v="4"/>
    <s v="SUB RECETAS"/>
    <x v="1"/>
    <x v="908"/>
    <s v="GRAMOS"/>
    <n v="19.89036192"/>
    <n v="0"/>
    <n v="0"/>
    <n v="0"/>
    <n v="0"/>
    <n v="0"/>
    <x v="1"/>
  </r>
  <r>
    <x v="2"/>
    <x v="15"/>
    <x v="1"/>
    <s v="SUB RECETAS"/>
    <x v="1"/>
    <x v="909"/>
    <s v="GRAMOS"/>
    <n v="23.971897139999999"/>
    <n v="-8900"/>
    <n v="500"/>
    <n v="9400"/>
    <n v="11985.94857"/>
    <n v="225335.83311599999"/>
    <x v="0"/>
  </r>
  <r>
    <x v="2"/>
    <x v="15"/>
    <x v="1"/>
    <s v="SUB RECETAS"/>
    <x v="1"/>
    <x v="910"/>
    <s v="GRAMOS"/>
    <n v="25.747974599999999"/>
    <n v="1845"/>
    <n v="1100"/>
    <n v="-745"/>
    <n v="28322.772059999999"/>
    <n v="-19182.241076999999"/>
    <x v="2"/>
  </r>
  <r>
    <x v="2"/>
    <x v="15"/>
    <x v="1"/>
    <s v="SUB RECETAS"/>
    <x v="1"/>
    <x v="911"/>
    <s v="GRAMOS"/>
    <n v="33.522300000000001"/>
    <n v="5710"/>
    <n v="8305"/>
    <n v="2595"/>
    <n v="278402.70150000002"/>
    <n v="86990.368499999997"/>
    <x v="0"/>
  </r>
  <r>
    <x v="2"/>
    <x v="15"/>
    <x v="1"/>
    <s v="SUB RECETAS"/>
    <x v="1"/>
    <x v="912"/>
    <s v="GRAMOS"/>
    <n v="24.665455489999999"/>
    <n v="-19015"/>
    <n v="4100"/>
    <n v="23115"/>
    <n v="101128.367509"/>
    <n v="570142.00365135004"/>
    <x v="0"/>
  </r>
  <r>
    <x v="2"/>
    <x v="14"/>
    <x v="0"/>
    <s v="SUB RECETAS"/>
    <x v="1"/>
    <x v="913"/>
    <s v="GRAMOS"/>
    <n v="57.183064739999999"/>
    <n v="-788"/>
    <n v="130"/>
    <n v="918"/>
    <n v="7433.7984162000002"/>
    <n v="52494.053431319997"/>
    <x v="0"/>
  </r>
  <r>
    <x v="2"/>
    <x v="12"/>
    <x v="3"/>
    <s v="SUB RECETAS"/>
    <x v="1"/>
    <x v="914"/>
    <s v="GRAMOS"/>
    <n v="23.56623544"/>
    <n v="202"/>
    <n v="490"/>
    <n v="288"/>
    <n v="11547.455365600001"/>
    <n v="6787.0758067200004"/>
    <x v="0"/>
  </r>
  <r>
    <x v="2"/>
    <x v="13"/>
    <x v="2"/>
    <s v="SUB RECETAS"/>
    <x v="1"/>
    <x v="914"/>
    <s v="GRAMOS"/>
    <n v="23.56623544"/>
    <n v="232"/>
    <n v="576"/>
    <n v="344"/>
    <n v="13574.151613440001"/>
    <n v="8106.7849913600003"/>
    <x v="0"/>
  </r>
  <r>
    <x v="2"/>
    <x v="10"/>
    <x v="4"/>
    <s v="SUB RECETAS"/>
    <x v="1"/>
    <x v="914"/>
    <s v="GRAMOS"/>
    <n v="23.56623544"/>
    <n v="-574"/>
    <n v="196"/>
    <n v="770"/>
    <n v="4618.9821462399996"/>
    <n v="18146.001288799998"/>
    <x v="0"/>
  </r>
  <r>
    <x v="2"/>
    <x v="12"/>
    <x v="3"/>
    <s v="SUB RECETAS"/>
    <x v="1"/>
    <x v="915"/>
    <s v="GRAMOS"/>
    <n v="28.326653239999999"/>
    <n v="5918"/>
    <n v="618"/>
    <n v="-5300"/>
    <n v="17505.871702320001"/>
    <n v="-150131.26217199999"/>
    <x v="2"/>
  </r>
  <r>
    <x v="2"/>
    <x v="13"/>
    <x v="2"/>
    <s v="SUB RECETAS"/>
    <x v="1"/>
    <x v="915"/>
    <s v="GRAMOS"/>
    <n v="28.326653239999999"/>
    <n v="-1314"/>
    <n v="1042"/>
    <n v="2356"/>
    <n v="29516.372676079998"/>
    <n v="66737.595033439997"/>
    <x v="0"/>
  </r>
  <r>
    <x v="2"/>
    <x v="10"/>
    <x v="4"/>
    <s v="SUB RECETAS"/>
    <x v="1"/>
    <x v="915"/>
    <s v="GRAMOS"/>
    <n v="28.326653239999999"/>
    <n v="2720"/>
    <n v="970"/>
    <n v="-1750"/>
    <n v="27476.853642800001"/>
    <n v="-49571.643169999996"/>
    <x v="2"/>
  </r>
  <r>
    <x v="2"/>
    <x v="12"/>
    <x v="3"/>
    <s v="SUB RECETAS"/>
    <x v="1"/>
    <x v="916"/>
    <s v="GRAMOS"/>
    <n v="25.46326681"/>
    <n v="-88"/>
    <n v="670"/>
    <n v="758"/>
    <n v="17060.3887627"/>
    <n v="19301.156241979999"/>
    <x v="0"/>
  </r>
  <r>
    <x v="2"/>
    <x v="13"/>
    <x v="2"/>
    <s v="SUB RECETAS"/>
    <x v="1"/>
    <x v="916"/>
    <s v="GRAMOS"/>
    <n v="25.46326681"/>
    <n v="237"/>
    <n v="636"/>
    <n v="399"/>
    <n v="16194.63769116"/>
    <n v="10159.84345719"/>
    <x v="0"/>
  </r>
  <r>
    <x v="2"/>
    <x v="10"/>
    <x v="4"/>
    <s v="SUB RECETAS"/>
    <x v="1"/>
    <x v="916"/>
    <s v="GRAMOS"/>
    <n v="25.46326681"/>
    <n v="-1374"/>
    <n v="1010"/>
    <n v="2384"/>
    <n v="25717.8994781"/>
    <n v="60704.428075039999"/>
    <x v="0"/>
  </r>
  <r>
    <x v="2"/>
    <x v="14"/>
    <x v="0"/>
    <s v="SUB RECETAS"/>
    <x v="1"/>
    <x v="917"/>
    <s v="GRAMOS"/>
    <n v="30.706439169999999"/>
    <n v="-120"/>
    <n v="0"/>
    <n v="120"/>
    <n v="0"/>
    <n v="3684.7727003999998"/>
    <x v="0"/>
  </r>
  <r>
    <x v="2"/>
    <x v="15"/>
    <x v="1"/>
    <s v="SUB RECETAS"/>
    <x v="1"/>
    <x v="918"/>
    <s v="GRAMOS"/>
    <n v="49.018521620000001"/>
    <n v="5505"/>
    <n v="5410"/>
    <n v="-95"/>
    <n v="265190.20196420001"/>
    <n v="-4656.7595539000004"/>
    <x v="2"/>
  </r>
  <r>
    <x v="2"/>
    <x v="14"/>
    <x v="0"/>
    <s v="SUB RECETAS"/>
    <x v="1"/>
    <x v="919"/>
    <s v="GRAMOS"/>
    <n v="24.103052129999998"/>
    <n v="-2052"/>
    <n v="1582"/>
    <n v="3634"/>
    <n v="38131.028469659999"/>
    <n v="87590.491440419995"/>
    <x v="0"/>
  </r>
  <r>
    <x v="2"/>
    <x v="15"/>
    <x v="1"/>
    <s v="SUB RECETAS"/>
    <x v="1"/>
    <x v="920"/>
    <s v="GRAMOS"/>
    <n v="32.680133069999997"/>
    <n v="-780"/>
    <n v="200"/>
    <n v="980"/>
    <n v="6536.0266139999994"/>
    <n v="32026.530408599996"/>
    <x v="0"/>
  </r>
  <r>
    <x v="2"/>
    <x v="12"/>
    <x v="3"/>
    <s v="SUB RECETAS"/>
    <x v="1"/>
    <x v="921"/>
    <s v="GRAMOS"/>
    <n v="9.8114576299999996"/>
    <n v="0"/>
    <n v="0"/>
    <n v="0"/>
    <n v="0"/>
    <n v="0"/>
    <x v="1"/>
  </r>
  <r>
    <x v="2"/>
    <x v="13"/>
    <x v="2"/>
    <s v="SUB RECETAS"/>
    <x v="1"/>
    <x v="921"/>
    <s v="GRAMOS"/>
    <n v="9.8114576299999996"/>
    <n v="0"/>
    <n v="0"/>
    <n v="0"/>
    <n v="0"/>
    <n v="0"/>
    <x v="1"/>
  </r>
  <r>
    <x v="2"/>
    <x v="10"/>
    <x v="4"/>
    <s v="SUB RECETAS"/>
    <x v="1"/>
    <x v="921"/>
    <s v="GRAMOS"/>
    <n v="9.8114576299999996"/>
    <n v="0"/>
    <n v="0"/>
    <n v="0"/>
    <n v="0"/>
    <n v="0"/>
    <x v="1"/>
  </r>
  <r>
    <x v="2"/>
    <x v="12"/>
    <x v="3"/>
    <s v="SUB RECETAS"/>
    <x v="1"/>
    <x v="922"/>
    <s v="GRAMOS"/>
    <n v="12.2948936"/>
    <n v="-1540"/>
    <n v="0"/>
    <n v="1540"/>
    <n v="0"/>
    <n v="18934.136144"/>
    <x v="0"/>
  </r>
  <r>
    <x v="2"/>
    <x v="13"/>
    <x v="2"/>
    <s v="SUB RECETAS"/>
    <x v="1"/>
    <x v="922"/>
    <s v="GRAMOS"/>
    <n v="12.2948936"/>
    <n v="-1220"/>
    <n v="1034"/>
    <n v="2254"/>
    <n v="12712.919982400001"/>
    <n v="27712.690174399999"/>
    <x v="0"/>
  </r>
  <r>
    <x v="2"/>
    <x v="10"/>
    <x v="4"/>
    <s v="SUB RECETAS"/>
    <x v="1"/>
    <x v="922"/>
    <s v="GRAMOS"/>
    <n v="12.2948936"/>
    <n v="-2000"/>
    <n v="0"/>
    <n v="2000"/>
    <n v="0"/>
    <n v="24589.787199999999"/>
    <x v="0"/>
  </r>
  <r>
    <x v="2"/>
    <x v="15"/>
    <x v="1"/>
    <s v="SUB RECETAS"/>
    <x v="1"/>
    <x v="923"/>
    <s v="GRAMOS"/>
    <n v="24.53559396"/>
    <n v="0"/>
    <n v="0"/>
    <n v="0"/>
    <n v="0"/>
    <n v="0"/>
    <x v="1"/>
  </r>
  <r>
    <x v="2"/>
    <x v="12"/>
    <x v="3"/>
    <s v="SUB RECETAS"/>
    <x v="1"/>
    <x v="924"/>
    <s v="GRAMOS"/>
    <n v="8.1954436299999998"/>
    <n v="0"/>
    <n v="0"/>
    <n v="0"/>
    <n v="0"/>
    <n v="0"/>
    <x v="1"/>
  </r>
  <r>
    <x v="2"/>
    <x v="13"/>
    <x v="2"/>
    <s v="SUB RECETAS"/>
    <x v="1"/>
    <x v="924"/>
    <s v="GRAMOS"/>
    <n v="8.1954436299999998"/>
    <n v="0"/>
    <n v="0"/>
    <n v="0"/>
    <n v="0"/>
    <n v="0"/>
    <x v="1"/>
  </r>
  <r>
    <x v="2"/>
    <x v="10"/>
    <x v="4"/>
    <s v="SUB RECETAS"/>
    <x v="1"/>
    <x v="924"/>
    <s v="GRAMOS"/>
    <n v="8.1954436299999998"/>
    <n v="0"/>
    <n v="0"/>
    <n v="0"/>
    <n v="0"/>
    <n v="0"/>
    <x v="1"/>
  </r>
  <r>
    <x v="2"/>
    <x v="15"/>
    <x v="1"/>
    <s v="SUB RECETAS"/>
    <x v="1"/>
    <x v="925"/>
    <s v="GRAMOS"/>
    <n v="64.89388434"/>
    <n v="-4675"/>
    <n v="900"/>
    <n v="5575"/>
    <n v="58404.495905999996"/>
    <n v="361783.4051955"/>
    <x v="0"/>
  </r>
  <r>
    <x v="2"/>
    <x v="12"/>
    <x v="3"/>
    <s v="SUB RECETAS"/>
    <x v="1"/>
    <x v="926"/>
    <s v="GRAMOS"/>
    <n v="120.63729954"/>
    <n v="980"/>
    <n v="1274"/>
    <n v="294"/>
    <n v="153691.91961396"/>
    <n v="35467.366064759997"/>
    <x v="0"/>
  </r>
  <r>
    <x v="2"/>
    <x v="13"/>
    <x v="2"/>
    <s v="SUB RECETAS"/>
    <x v="1"/>
    <x v="926"/>
    <s v="GRAMOS"/>
    <n v="120.63729954"/>
    <n v="654"/>
    <n v="552"/>
    <n v="-102"/>
    <n v="66591.789346079997"/>
    <n v="-12305.00455308"/>
    <x v="2"/>
  </r>
  <r>
    <x v="2"/>
    <x v="10"/>
    <x v="4"/>
    <s v="SUB RECETAS"/>
    <x v="1"/>
    <x v="926"/>
    <s v="GRAMOS"/>
    <n v="120.63729954"/>
    <n v="635"/>
    <n v="596"/>
    <n v="-39"/>
    <n v="71899.830525840007"/>
    <n v="-4704.8546820600004"/>
    <x v="2"/>
  </r>
  <r>
    <x v="2"/>
    <x v="15"/>
    <x v="1"/>
    <s v="SUB-RECETAS BAR"/>
    <x v="0"/>
    <x v="927"/>
    <s v="GRAMOS"/>
    <n v="16.73231964"/>
    <n v="0"/>
    <n v="0"/>
    <n v="0"/>
    <n v="0"/>
    <n v="0"/>
    <x v="1"/>
  </r>
  <r>
    <x v="2"/>
    <x v="14"/>
    <x v="0"/>
    <s v="SUB-RECETAS BAR"/>
    <x v="0"/>
    <x v="928"/>
    <s v="GRAMOS"/>
    <n v="7.0442404200000004"/>
    <n v="640"/>
    <n v="734"/>
    <n v="94"/>
    <n v="5170.4724682800006"/>
    <n v="662.15859948000002"/>
    <x v="0"/>
  </r>
  <r>
    <x v="2"/>
    <x v="12"/>
    <x v="3"/>
    <s v="SUB-RECETAS BAR"/>
    <x v="0"/>
    <x v="929"/>
    <s v="GRAMOS"/>
    <n v="10.224150870000001"/>
    <n v="0"/>
    <n v="0"/>
    <n v="0"/>
    <n v="0"/>
    <n v="0"/>
    <x v="1"/>
  </r>
  <r>
    <x v="2"/>
    <x v="14"/>
    <x v="0"/>
    <s v="SUB-RECETAS BAR"/>
    <x v="0"/>
    <x v="929"/>
    <s v="GRAMOS"/>
    <n v="10.599627910000001"/>
    <n v="2235"/>
    <n v="2000"/>
    <n v="-235"/>
    <n v="21199.255820000002"/>
    <n v="-2490.9125588500001"/>
    <x v="2"/>
  </r>
  <r>
    <x v="2"/>
    <x v="13"/>
    <x v="2"/>
    <s v="SUB-RECETAS BAR"/>
    <x v="0"/>
    <x v="929"/>
    <s v="GRAMOS"/>
    <n v="10.224150870000001"/>
    <n v="0"/>
    <n v="0"/>
    <n v="0"/>
    <n v="0"/>
    <n v="0"/>
    <x v="1"/>
  </r>
  <r>
    <x v="2"/>
    <x v="15"/>
    <x v="1"/>
    <s v="SUB-RECETAS BAR"/>
    <x v="0"/>
    <x v="929"/>
    <s v="GRAMOS"/>
    <n v="10.599627910000001"/>
    <n v="-87"/>
    <n v="0"/>
    <n v="87"/>
    <n v="0"/>
    <n v="922.16762817000006"/>
    <x v="0"/>
  </r>
  <r>
    <x v="2"/>
    <x v="10"/>
    <x v="4"/>
    <s v="SUB-RECETAS BAR"/>
    <x v="0"/>
    <x v="929"/>
    <s v="GRAMOS"/>
    <n v="10.224150870000001"/>
    <n v="0"/>
    <n v="3938"/>
    <n v="3938"/>
    <n v="40262.706126060002"/>
    <n v="40262.706126060002"/>
    <x v="0"/>
  </r>
  <r>
    <x v="2"/>
    <x v="14"/>
    <x v="0"/>
    <s v="SUB-RECETAS BAR"/>
    <x v="0"/>
    <x v="930"/>
    <s v="GRAMOS"/>
    <n v="4.3775615400000003"/>
    <n v="468"/>
    <n v="430"/>
    <n v="-38"/>
    <n v="1882.3514622000002"/>
    <n v="-166.34733852000002"/>
    <x v="2"/>
  </r>
  <r>
    <x v="2"/>
    <x v="14"/>
    <x v="0"/>
    <s v="SUB RECETAS"/>
    <x v="1"/>
    <x v="322"/>
    <s v="UNIDADES"/>
    <n v="4733.1649655000001"/>
    <n v="42.5"/>
    <n v="42.5"/>
    <n v="0"/>
    <n v="201159.51103374999"/>
    <n v="0"/>
    <x v="1"/>
  </r>
  <r>
    <x v="2"/>
    <x v="14"/>
    <x v="0"/>
    <s v="SUB RECETAS"/>
    <x v="1"/>
    <x v="931"/>
    <s v="GRAMOS"/>
    <n v="18.2028824"/>
    <n v="4163"/>
    <n v="1428"/>
    <n v="-2735"/>
    <n v="25993.716067199999"/>
    <n v="-49784.883364000001"/>
    <x v="2"/>
  </r>
  <r>
    <x v="2"/>
    <x v="12"/>
    <x v="3"/>
    <s v="SUB RECETAS"/>
    <x v="1"/>
    <x v="932"/>
    <s v="UNIDADES"/>
    <n v="2361.1109812499999"/>
    <n v="-8"/>
    <n v="7"/>
    <n v="15"/>
    <n v="16527.776868749999"/>
    <n v="35416.664718749998"/>
    <x v="0"/>
  </r>
  <r>
    <x v="2"/>
    <x v="13"/>
    <x v="2"/>
    <s v="SUB RECETAS"/>
    <x v="1"/>
    <x v="932"/>
    <s v="UNIDADES"/>
    <n v="2361.1109812499999"/>
    <n v="-2"/>
    <n v="7"/>
    <n v="9"/>
    <n v="16527.776868749999"/>
    <n v="21249.998831249999"/>
    <x v="0"/>
  </r>
  <r>
    <x v="2"/>
    <x v="10"/>
    <x v="4"/>
    <s v="SUB RECETAS"/>
    <x v="1"/>
    <x v="932"/>
    <s v="UNIDADES"/>
    <n v="2361.1109812499999"/>
    <n v="21"/>
    <n v="7"/>
    <n v="-14"/>
    <n v="16527.776868749999"/>
    <n v="-33055.553737499999"/>
    <x v="2"/>
  </r>
  <r>
    <x v="2"/>
    <x v="12"/>
    <x v="3"/>
    <s v="SUB-RECETAS CP"/>
    <x v="1"/>
    <x v="258"/>
    <s v="UNIDADES"/>
    <n v="1794.7556159000001"/>
    <n v="47"/>
    <n v="47"/>
    <n v="0"/>
    <n v="84353.513947300002"/>
    <n v="0"/>
    <x v="1"/>
  </r>
  <r>
    <x v="2"/>
    <x v="13"/>
    <x v="2"/>
    <s v="SUB-RECETAS CP"/>
    <x v="1"/>
    <x v="258"/>
    <s v="UNIDADES"/>
    <n v="1794.7556159000001"/>
    <n v="72"/>
    <n v="75"/>
    <n v="3"/>
    <n v="134606.67119250001"/>
    <n v="5384.2668477000007"/>
    <x v="0"/>
  </r>
  <r>
    <x v="2"/>
    <x v="16"/>
    <x v="5"/>
    <s v="SUB-RECETAS CP"/>
    <x v="1"/>
    <x v="258"/>
    <s v="UNIDADES"/>
    <n v="1794.7556159000001"/>
    <n v="365"/>
    <n v="365"/>
    <n v="0"/>
    <n v="655085.79980350006"/>
    <n v="0"/>
    <x v="1"/>
  </r>
  <r>
    <x v="2"/>
    <x v="10"/>
    <x v="4"/>
    <s v="SUB-RECETAS CP"/>
    <x v="1"/>
    <x v="258"/>
    <s v="UNIDADES"/>
    <n v="1794.7556159000001"/>
    <n v="55"/>
    <n v="55"/>
    <n v="0"/>
    <n v="98711.558874499999"/>
    <n v="0"/>
    <x v="1"/>
  </r>
  <r>
    <x v="2"/>
    <x v="12"/>
    <x v="3"/>
    <s v="SUB RECETAS"/>
    <x v="1"/>
    <x v="310"/>
    <s v="UNIDADES"/>
    <n v="2624.3985064200001"/>
    <n v="41"/>
    <n v="13"/>
    <n v="-28"/>
    <n v="34117.180583460002"/>
    <n v="-73483.158179760008"/>
    <x v="2"/>
  </r>
  <r>
    <x v="2"/>
    <x v="13"/>
    <x v="2"/>
    <s v="SUB RECETAS"/>
    <x v="1"/>
    <x v="310"/>
    <s v="UNIDADES"/>
    <n v="2624.3985064200001"/>
    <n v="-20"/>
    <n v="0"/>
    <n v="20"/>
    <n v="0"/>
    <n v="52487.970128400004"/>
    <x v="0"/>
  </r>
  <r>
    <x v="2"/>
    <x v="10"/>
    <x v="4"/>
    <s v="SUB RECETAS"/>
    <x v="1"/>
    <x v="310"/>
    <s v="UNIDADES"/>
    <n v="2624.3985064200001"/>
    <n v="1"/>
    <n v="12"/>
    <n v="11"/>
    <n v="31492.782077039999"/>
    <n v="28868.383570620001"/>
    <x v="0"/>
  </r>
  <r>
    <x v="2"/>
    <x v="12"/>
    <x v="3"/>
    <s v="SUB RECETAS"/>
    <x v="1"/>
    <x v="933"/>
    <s v="GRAMOS"/>
    <n v="18.653928700000002"/>
    <n v="3080"/>
    <n v="1624"/>
    <n v="-1456"/>
    <n v="30293.980208800003"/>
    <n v="-27160.120187200002"/>
    <x v="2"/>
  </r>
  <r>
    <x v="2"/>
    <x v="13"/>
    <x v="2"/>
    <s v="SUB RECETAS"/>
    <x v="1"/>
    <x v="933"/>
    <s v="GRAMOS"/>
    <n v="18.653928700000002"/>
    <n v="-972"/>
    <n v="0"/>
    <n v="972"/>
    <n v="0"/>
    <n v="18131.618696400001"/>
    <x v="0"/>
  </r>
  <r>
    <x v="2"/>
    <x v="10"/>
    <x v="4"/>
    <s v="SUB RECETAS"/>
    <x v="1"/>
    <x v="933"/>
    <s v="GRAMOS"/>
    <n v="18.653928700000002"/>
    <n v="-3338"/>
    <n v="2500"/>
    <n v="5838"/>
    <n v="46634.821750000003"/>
    <n v="108901.63575060001"/>
    <x v="0"/>
  </r>
  <r>
    <x v="2"/>
    <x v="12"/>
    <x v="3"/>
    <s v="SUB-RECETAS BAR"/>
    <x v="0"/>
    <x v="934"/>
    <s v="GRAMOS"/>
    <n v="29.620005989999999"/>
    <n v="344"/>
    <n v="826"/>
    <n v="482"/>
    <n v="24466.124947739998"/>
    <n v="14276.842887179999"/>
    <x v="0"/>
  </r>
  <r>
    <x v="2"/>
    <x v="13"/>
    <x v="2"/>
    <s v="SUB-RECETAS BAR"/>
    <x v="0"/>
    <x v="934"/>
    <s v="GRAMOS"/>
    <n v="29.620005989999999"/>
    <n v="912"/>
    <n v="570"/>
    <n v="-342"/>
    <n v="16883.403414299999"/>
    <n v="-10130.04204858"/>
    <x v="2"/>
  </r>
  <r>
    <x v="2"/>
    <x v="10"/>
    <x v="4"/>
    <s v="SUB-RECETAS BAR"/>
    <x v="0"/>
    <x v="934"/>
    <s v="GRAMOS"/>
    <n v="29.620005989999999"/>
    <n v="46"/>
    <n v="414"/>
    <n v="368"/>
    <n v="12262.682479859999"/>
    <n v="10900.16220432"/>
    <x v="0"/>
  </r>
  <r>
    <x v="2"/>
    <x v="12"/>
    <x v="3"/>
    <s v="SUB-RECETAS BAR"/>
    <x v="0"/>
    <x v="935"/>
    <s v="GRAMOS"/>
    <n v="46.119862300000001"/>
    <n v="-166"/>
    <n v="0"/>
    <n v="166"/>
    <n v="0"/>
    <n v="7655.8971418000001"/>
    <x v="0"/>
  </r>
  <r>
    <x v="2"/>
    <x v="13"/>
    <x v="2"/>
    <s v="SUB-RECETAS BAR"/>
    <x v="0"/>
    <x v="935"/>
    <s v="GRAMOS"/>
    <n v="46.119862300000001"/>
    <n v="-260"/>
    <n v="0"/>
    <n v="260"/>
    <n v="0"/>
    <n v="11991.164198"/>
    <x v="0"/>
  </r>
  <r>
    <x v="2"/>
    <x v="15"/>
    <x v="1"/>
    <s v="SUB-RECETAS BAR"/>
    <x v="0"/>
    <x v="935"/>
    <s v="GRAMOS"/>
    <n v="44.979917219999997"/>
    <n v="-11479"/>
    <n v="0"/>
    <n v="11479"/>
    <n v="0"/>
    <n v="516324.46976837999"/>
    <x v="0"/>
  </r>
  <r>
    <x v="2"/>
    <x v="10"/>
    <x v="4"/>
    <s v="SUB-RECETAS BAR"/>
    <x v="0"/>
    <x v="935"/>
    <s v="GRAMOS"/>
    <n v="46.119862300000001"/>
    <n v="-286"/>
    <n v="0"/>
    <n v="286"/>
    <n v="0"/>
    <n v="13190.280617800001"/>
    <x v="0"/>
  </r>
  <r>
    <x v="2"/>
    <x v="12"/>
    <x v="3"/>
    <s v="SUB-RECETAS BAR"/>
    <x v="0"/>
    <x v="936"/>
    <s v="GRAMOS"/>
    <n v="46.119862300000001"/>
    <n v="826"/>
    <n v="0"/>
    <n v="-826"/>
    <n v="0"/>
    <n v="-38095.0062598"/>
    <x v="2"/>
  </r>
  <r>
    <x v="2"/>
    <x v="13"/>
    <x v="2"/>
    <s v="SUB-RECETAS BAR"/>
    <x v="0"/>
    <x v="936"/>
    <s v="GRAMOS"/>
    <n v="46.119862300000001"/>
    <n v="0"/>
    <n v="0"/>
    <n v="0"/>
    <n v="0"/>
    <n v="0"/>
    <x v="1"/>
  </r>
  <r>
    <x v="2"/>
    <x v="10"/>
    <x v="4"/>
    <s v="SUB-RECETAS BAR"/>
    <x v="0"/>
    <x v="936"/>
    <s v="GRAMOS"/>
    <n v="46.119862300000001"/>
    <n v="0"/>
    <n v="0"/>
    <n v="0"/>
    <n v="0"/>
    <n v="0"/>
    <x v="1"/>
  </r>
  <r>
    <x v="2"/>
    <x v="12"/>
    <x v="3"/>
    <s v="SUB RECETAS"/>
    <x v="1"/>
    <x v="937"/>
    <s v="UNIDADES"/>
    <n v="9148.2894567000003"/>
    <n v="-8"/>
    <n v="0"/>
    <n v="8"/>
    <n v="0"/>
    <n v="73186.315653600002"/>
    <x v="0"/>
  </r>
  <r>
    <x v="2"/>
    <x v="13"/>
    <x v="2"/>
    <s v="SUB RECETAS"/>
    <x v="1"/>
    <x v="937"/>
    <s v="UNIDADES"/>
    <n v="9148.2894567000003"/>
    <n v="-8.5"/>
    <n v="2"/>
    <n v="10.5"/>
    <n v="18296.578913400001"/>
    <n v="96057.039295349998"/>
    <x v="0"/>
  </r>
  <r>
    <x v="2"/>
    <x v="10"/>
    <x v="4"/>
    <s v="SUB RECETAS"/>
    <x v="1"/>
    <x v="937"/>
    <s v="UNIDADES"/>
    <n v="9148.2894567000003"/>
    <n v="-10"/>
    <n v="0"/>
    <n v="10"/>
    <n v="0"/>
    <n v="91482.89456700001"/>
    <x v="0"/>
  </r>
  <r>
    <x v="2"/>
    <x v="12"/>
    <x v="3"/>
    <s v="SUB RECETAS"/>
    <x v="1"/>
    <x v="938"/>
    <s v="GRAMOS"/>
    <n v="27.49856028"/>
    <n v="-1020"/>
    <n v="388"/>
    <n v="1408"/>
    <n v="10669.44138864"/>
    <n v="38717.972874239997"/>
    <x v="0"/>
  </r>
  <r>
    <x v="2"/>
    <x v="13"/>
    <x v="2"/>
    <s v="SUB RECETAS"/>
    <x v="1"/>
    <x v="938"/>
    <s v="GRAMOS"/>
    <n v="27.49856028"/>
    <n v="-245"/>
    <n v="448"/>
    <n v="693"/>
    <n v="12319.35500544"/>
    <n v="19056.502274039998"/>
    <x v="0"/>
  </r>
  <r>
    <x v="2"/>
    <x v="10"/>
    <x v="4"/>
    <s v="SUB RECETAS"/>
    <x v="1"/>
    <x v="938"/>
    <s v="GRAMOS"/>
    <n v="27.49856028"/>
    <n v="183"/>
    <n v="400"/>
    <n v="217"/>
    <n v="10999.424112000001"/>
    <n v="5967.1875807599999"/>
    <x v="0"/>
  </r>
  <r>
    <x v="2"/>
    <x v="12"/>
    <x v="3"/>
    <s v="SUB RECETAS"/>
    <x v="1"/>
    <x v="939"/>
    <s v="GRAMOS"/>
    <n v="6.6714090099999996"/>
    <n v="-40"/>
    <n v="0"/>
    <n v="40"/>
    <n v="0"/>
    <n v="266.85636039999997"/>
    <x v="0"/>
  </r>
  <r>
    <x v="2"/>
    <x v="13"/>
    <x v="2"/>
    <s v="SUB RECETAS"/>
    <x v="1"/>
    <x v="939"/>
    <s v="GRAMOS"/>
    <n v="6.6714090099999996"/>
    <n v="-36"/>
    <n v="0"/>
    <n v="36"/>
    <n v="0"/>
    <n v="240.17072435999998"/>
    <x v="0"/>
  </r>
  <r>
    <x v="2"/>
    <x v="10"/>
    <x v="4"/>
    <s v="SUB RECETAS"/>
    <x v="1"/>
    <x v="939"/>
    <s v="GRAMOS"/>
    <n v="6.6714090099999996"/>
    <n v="-393"/>
    <n v="0"/>
    <n v="393"/>
    <n v="0"/>
    <n v="2621.8637409299999"/>
    <x v="0"/>
  </r>
  <r>
    <x v="2"/>
    <x v="12"/>
    <x v="3"/>
    <s v="SUB RECETAS"/>
    <x v="1"/>
    <x v="940"/>
    <s v="GRAMOS"/>
    <n v="32.101201889999999"/>
    <n v="2040"/>
    <n v="684"/>
    <n v="-1356"/>
    <n v="21957.222092759999"/>
    <n v="-43529.229762839997"/>
    <x v="2"/>
  </r>
  <r>
    <x v="2"/>
    <x v="13"/>
    <x v="2"/>
    <s v="SUB RECETAS"/>
    <x v="1"/>
    <x v="940"/>
    <s v="GRAMOS"/>
    <n v="32.101201889999999"/>
    <n v="160"/>
    <n v="0"/>
    <n v="-160"/>
    <n v="0"/>
    <n v="-5136.1923023999998"/>
    <x v="2"/>
  </r>
  <r>
    <x v="2"/>
    <x v="10"/>
    <x v="4"/>
    <s v="SUB RECETAS"/>
    <x v="1"/>
    <x v="940"/>
    <s v="GRAMOS"/>
    <n v="32.101201889999999"/>
    <n v="551"/>
    <n v="536"/>
    <n v="-15"/>
    <n v="17206.244213039998"/>
    <n v="-481.51802835000001"/>
    <x v="2"/>
  </r>
  <r>
    <x v="2"/>
    <x v="14"/>
    <x v="0"/>
    <s v="SUB RECETAS"/>
    <x v="1"/>
    <x v="941"/>
    <s v="GRAMOS"/>
    <n v="44.585987320000001"/>
    <n v="28"/>
    <n v="802"/>
    <n v="774"/>
    <n v="35757.961830640001"/>
    <n v="34509.554185679997"/>
    <x v="0"/>
  </r>
  <r>
    <x v="2"/>
    <x v="14"/>
    <x v="0"/>
    <s v="SUB RECETAS"/>
    <x v="1"/>
    <x v="942"/>
    <s v="GRAMOS"/>
    <n v="15.70452989"/>
    <n v="31934"/>
    <n v="5862"/>
    <n v="-26072"/>
    <n v="92059.954215179998"/>
    <n v="-409448.50329208001"/>
    <x v="2"/>
  </r>
  <r>
    <x v="2"/>
    <x v="12"/>
    <x v="3"/>
    <s v="SUB-RECETAS BAR"/>
    <x v="0"/>
    <x v="317"/>
    <s v="GRAMOS"/>
    <n v="66.666666669999998"/>
    <n v="912"/>
    <n v="506"/>
    <n v="-406"/>
    <n v="33733.333335019997"/>
    <n v="-27066.66666802"/>
    <x v="2"/>
  </r>
  <r>
    <x v="2"/>
    <x v="14"/>
    <x v="0"/>
    <s v="SUB-RECETAS BAR"/>
    <x v="0"/>
    <x v="317"/>
    <s v="GRAMOS"/>
    <n v="66.666666669999998"/>
    <n v="-187"/>
    <n v="350"/>
    <n v="537"/>
    <n v="23333.333334499999"/>
    <n v="35800.000001790002"/>
    <x v="0"/>
  </r>
  <r>
    <x v="2"/>
    <x v="13"/>
    <x v="2"/>
    <s v="SUB-RECETAS BAR"/>
    <x v="0"/>
    <x v="317"/>
    <s v="GRAMOS"/>
    <n v="66.666666669999998"/>
    <n v="741"/>
    <n v="362"/>
    <n v="-379"/>
    <n v="24133.333334539999"/>
    <n v="-25266.66666793"/>
    <x v="2"/>
  </r>
  <r>
    <x v="2"/>
    <x v="16"/>
    <x v="5"/>
    <s v="SUB-RECETAS BAR"/>
    <x v="0"/>
    <x v="317"/>
    <s v="GRAMOS"/>
    <n v="66.666666669999998"/>
    <n v="678"/>
    <n v="670"/>
    <n v="-8"/>
    <n v="44666.666668899998"/>
    <n v="-533.33333335999998"/>
    <x v="2"/>
  </r>
  <r>
    <x v="2"/>
    <x v="10"/>
    <x v="4"/>
    <s v="SUB-RECETAS BAR"/>
    <x v="0"/>
    <x v="317"/>
    <s v="GRAMOS"/>
    <n v="66.666666669999998"/>
    <n v="-12"/>
    <n v="705"/>
    <n v="717"/>
    <n v="47000.000002349996"/>
    <n v="47800.000002389999"/>
    <x v="0"/>
  </r>
  <r>
    <x v="2"/>
    <x v="15"/>
    <x v="1"/>
    <s v="SUB RECETAS"/>
    <x v="1"/>
    <x v="943"/>
    <s v="UNIDADES"/>
    <n v="26920.721332100002"/>
    <n v="0"/>
    <n v="0"/>
    <n v="0"/>
    <n v="0"/>
    <n v="0"/>
    <x v="1"/>
  </r>
  <r>
    <x v="2"/>
    <x v="12"/>
    <x v="3"/>
    <s v="SUB RECETAS"/>
    <x v="1"/>
    <x v="312"/>
    <s v="UNIDADES"/>
    <n v="6476.7767878900004"/>
    <n v="7"/>
    <n v="7"/>
    <n v="0"/>
    <n v="45337.437515230005"/>
    <n v="0"/>
    <x v="1"/>
  </r>
  <r>
    <x v="2"/>
    <x v="13"/>
    <x v="2"/>
    <s v="SUB RECETAS"/>
    <x v="1"/>
    <x v="312"/>
    <s v="UNIDADES"/>
    <n v="6476.7767878900004"/>
    <n v="12"/>
    <n v="12"/>
    <n v="0"/>
    <n v="77721.321454680001"/>
    <n v="0"/>
    <x v="1"/>
  </r>
  <r>
    <x v="2"/>
    <x v="16"/>
    <x v="5"/>
    <s v="SUB RECETAS"/>
    <x v="1"/>
    <x v="312"/>
    <s v="UNIDADES"/>
    <n v="6476.7767878900004"/>
    <n v="27"/>
    <n v="27"/>
    <n v="0"/>
    <n v="174872.97327303002"/>
    <n v="0"/>
    <x v="1"/>
  </r>
  <r>
    <x v="2"/>
    <x v="10"/>
    <x v="4"/>
    <s v="SUB RECETAS"/>
    <x v="1"/>
    <x v="312"/>
    <s v="UNIDADES"/>
    <n v="6476.7767878900004"/>
    <n v="5"/>
    <n v="5"/>
    <n v="0"/>
    <n v="32383.883939450003"/>
    <n v="0"/>
    <x v="1"/>
  </r>
  <r>
    <x v="2"/>
    <x v="12"/>
    <x v="3"/>
    <s v="SUB RECETAS"/>
    <x v="1"/>
    <x v="944"/>
    <s v="GRAMOS"/>
    <n v="35.738049760000003"/>
    <n v="-6820"/>
    <n v="320"/>
    <n v="7140"/>
    <n v="11436.1759232"/>
    <n v="255169.67528640002"/>
    <x v="0"/>
  </r>
  <r>
    <x v="2"/>
    <x v="13"/>
    <x v="2"/>
    <s v="SUB RECETAS"/>
    <x v="1"/>
    <x v="944"/>
    <s v="GRAMOS"/>
    <n v="35.738049760000003"/>
    <n v="-2913"/>
    <n v="0"/>
    <n v="2913"/>
    <n v="0"/>
    <n v="104104.93895088001"/>
    <x v="0"/>
  </r>
  <r>
    <x v="2"/>
    <x v="10"/>
    <x v="4"/>
    <s v="SUB RECETAS"/>
    <x v="1"/>
    <x v="944"/>
    <s v="GRAMOS"/>
    <n v="35.738049760000003"/>
    <n v="-2304"/>
    <n v="0"/>
    <n v="2304"/>
    <n v="0"/>
    <n v="82340.466647040012"/>
    <x v="0"/>
  </r>
  <r>
    <x v="2"/>
    <x v="12"/>
    <x v="3"/>
    <s v="SUB RECETAS"/>
    <x v="1"/>
    <x v="285"/>
    <s v="UNIDADES"/>
    <n v="4161.4534161499996"/>
    <n v="39"/>
    <n v="40"/>
    <n v="1"/>
    <n v="166458.13664599997"/>
    <n v="4161.4534161499996"/>
    <x v="0"/>
  </r>
  <r>
    <x v="2"/>
    <x v="14"/>
    <x v="0"/>
    <s v="SUB RECETAS"/>
    <x v="1"/>
    <x v="285"/>
    <s v="UNIDADES"/>
    <n v="3052.6708074500002"/>
    <n v="11.5"/>
    <n v="48"/>
    <n v="36.5"/>
    <n v="146528.19875760001"/>
    <n v="111422.48447192501"/>
    <x v="0"/>
  </r>
  <r>
    <x v="2"/>
    <x v="13"/>
    <x v="2"/>
    <s v="SUB RECETAS"/>
    <x v="1"/>
    <x v="285"/>
    <s v="UNIDADES"/>
    <n v="4161.4534161499996"/>
    <n v="91"/>
    <n v="39"/>
    <n v="-52"/>
    <n v="162296.68322984999"/>
    <n v="-216395.57763979997"/>
    <x v="2"/>
  </r>
  <r>
    <x v="2"/>
    <x v="15"/>
    <x v="1"/>
    <s v="SUB RECETAS"/>
    <x v="1"/>
    <x v="285"/>
    <s v="UNIDADES"/>
    <n v="3052.6708074500002"/>
    <n v="0"/>
    <n v="0"/>
    <n v="0"/>
    <n v="0"/>
    <n v="0"/>
    <x v="1"/>
  </r>
  <r>
    <x v="2"/>
    <x v="10"/>
    <x v="4"/>
    <s v="SUB RECETAS"/>
    <x v="1"/>
    <x v="285"/>
    <s v="UNIDADES"/>
    <n v="4161.4534161499996"/>
    <n v="13"/>
    <n v="12"/>
    <n v="-1"/>
    <n v="49937.440993799995"/>
    <n v="-4161.4534161499996"/>
    <x v="2"/>
  </r>
  <r>
    <x v="2"/>
    <x v="12"/>
    <x v="3"/>
    <s v="SUB-RECETAS CP"/>
    <x v="1"/>
    <x v="945"/>
    <s v="GRAMOS"/>
    <n v="1"/>
    <n v="-964.54539999999997"/>
    <n v="4200"/>
    <n v="5164.5454479999999"/>
    <n v="4200"/>
    <n v="5164.5454479999999"/>
    <x v="0"/>
  </r>
  <r>
    <x v="2"/>
    <x v="13"/>
    <x v="2"/>
    <s v="SUB-RECETAS CP"/>
    <x v="1"/>
    <x v="945"/>
    <s v="GRAMOS"/>
    <n v="1"/>
    <n v="6546"/>
    <n v="4000"/>
    <n v="-2546"/>
    <n v="4000"/>
    <n v="-2546"/>
    <x v="2"/>
  </r>
  <r>
    <x v="2"/>
    <x v="10"/>
    <x v="4"/>
    <s v="SUB-RECETAS CP"/>
    <x v="1"/>
    <x v="945"/>
    <s v="GRAMOS"/>
    <n v="1"/>
    <n v="5313.8490000000002"/>
    <n v="0"/>
    <n v="-5313.8490000000002"/>
    <n v="0"/>
    <n v="-5313.8490000000002"/>
    <x v="2"/>
  </r>
  <r>
    <x v="2"/>
    <x v="14"/>
    <x v="0"/>
    <s v="SUB RECETAS"/>
    <x v="1"/>
    <x v="946"/>
    <s v="GRAMOS"/>
    <n v="6.11583729"/>
    <n v="898"/>
    <n v="1164"/>
    <n v="266"/>
    <n v="7118.8346055599995"/>
    <n v="1626.8127191399999"/>
    <x v="0"/>
  </r>
  <r>
    <x v="2"/>
    <x v="12"/>
    <x v="3"/>
    <s v="SUB RECETAS"/>
    <x v="1"/>
    <x v="947"/>
    <s v="GRAMOS"/>
    <n v="23.716363470000001"/>
    <n v="1180"/>
    <n v="0"/>
    <n v="-1180"/>
    <n v="0"/>
    <n v="-27985.308894600003"/>
    <x v="2"/>
  </r>
  <r>
    <x v="2"/>
    <x v="14"/>
    <x v="0"/>
    <s v="SUB RECETAS"/>
    <x v="1"/>
    <x v="947"/>
    <s v="GRAMOS"/>
    <n v="34.423526010000003"/>
    <n v="-220"/>
    <n v="0"/>
    <n v="220"/>
    <n v="0"/>
    <n v="7573.1757222000006"/>
    <x v="0"/>
  </r>
  <r>
    <x v="2"/>
    <x v="13"/>
    <x v="2"/>
    <s v="SUB RECETAS"/>
    <x v="1"/>
    <x v="947"/>
    <s v="GRAMOS"/>
    <n v="23.716363470000001"/>
    <n v="-140"/>
    <n v="0"/>
    <n v="140"/>
    <n v="0"/>
    <n v="3320.2908858000001"/>
    <x v="0"/>
  </r>
  <r>
    <x v="2"/>
    <x v="10"/>
    <x v="4"/>
    <s v="SUB RECETAS"/>
    <x v="1"/>
    <x v="947"/>
    <s v="GRAMOS"/>
    <n v="23.716363470000001"/>
    <n v="-180"/>
    <n v="0"/>
    <n v="180"/>
    <n v="0"/>
    <n v="4268.9454246000005"/>
    <x v="0"/>
  </r>
  <r>
    <x v="2"/>
    <x v="12"/>
    <x v="3"/>
    <s v="SUB RECETAS"/>
    <x v="1"/>
    <x v="948"/>
    <s v="GRAMOS"/>
    <n v="34.65981884"/>
    <n v="196"/>
    <n v="650"/>
    <n v="454"/>
    <n v="22528.882246000001"/>
    <n v="15735.557753360001"/>
    <x v="0"/>
  </r>
  <r>
    <x v="2"/>
    <x v="14"/>
    <x v="0"/>
    <s v="SUB RECETAS"/>
    <x v="1"/>
    <x v="948"/>
    <s v="GRAMOS"/>
    <n v="27.28597044"/>
    <n v="-2642"/>
    <n v="770"/>
    <n v="3412"/>
    <n v="21010.197238799999"/>
    <n v="93099.731141280005"/>
    <x v="0"/>
  </r>
  <r>
    <x v="2"/>
    <x v="13"/>
    <x v="2"/>
    <s v="SUB RECETAS"/>
    <x v="1"/>
    <x v="948"/>
    <s v="GRAMOS"/>
    <n v="34.65981884"/>
    <n v="0"/>
    <n v="0"/>
    <n v="0"/>
    <n v="0"/>
    <n v="0"/>
    <x v="1"/>
  </r>
  <r>
    <x v="2"/>
    <x v="10"/>
    <x v="4"/>
    <s v="SUB RECETAS"/>
    <x v="1"/>
    <x v="948"/>
    <s v="GRAMOS"/>
    <n v="34.65981884"/>
    <n v="2870"/>
    <n v="0"/>
    <n v="-2870"/>
    <n v="0"/>
    <n v="-99473.680070799994"/>
    <x v="2"/>
  </r>
  <r>
    <x v="2"/>
    <x v="14"/>
    <x v="0"/>
    <s v="SUB RECETAS"/>
    <x v="1"/>
    <x v="949"/>
    <s v="UNIDADES"/>
    <n v="3015.7335090000001"/>
    <n v="9"/>
    <n v="7"/>
    <n v="-2"/>
    <n v="21110.134563"/>
    <n v="-6031.4670180000003"/>
    <x v="2"/>
  </r>
  <r>
    <x v="2"/>
    <x v="12"/>
    <x v="3"/>
    <s v="SUB-RECETAS CP"/>
    <x v="1"/>
    <x v="950"/>
    <s v="UNIDADES"/>
    <n v="637.92764901999999"/>
    <n v="0"/>
    <n v="0"/>
    <n v="0"/>
    <n v="0"/>
    <n v="0"/>
    <x v="1"/>
  </r>
  <r>
    <x v="2"/>
    <x v="13"/>
    <x v="2"/>
    <s v="SUB-RECETAS CP"/>
    <x v="1"/>
    <x v="950"/>
    <s v="UNIDADES"/>
    <n v="637.92764901999999"/>
    <n v="0"/>
    <n v="0"/>
    <n v="0"/>
    <n v="0"/>
    <n v="0"/>
    <x v="1"/>
  </r>
  <r>
    <x v="2"/>
    <x v="10"/>
    <x v="4"/>
    <s v="SUB-RECETAS CP"/>
    <x v="1"/>
    <x v="950"/>
    <s v="UNIDADES"/>
    <n v="637.92764901999999"/>
    <n v="0"/>
    <n v="0"/>
    <n v="0"/>
    <n v="0"/>
    <n v="0"/>
    <x v="1"/>
  </r>
  <r>
    <x v="2"/>
    <x v="12"/>
    <x v="3"/>
    <s v="SUB RECETAS"/>
    <x v="1"/>
    <x v="951"/>
    <s v="UNIDADES"/>
    <n v="435.94936706999999"/>
    <n v="1245"/>
    <n v="53"/>
    <n v="-1192"/>
    <n v="23105.316454709999"/>
    <n v="-519651.64554743998"/>
    <x v="2"/>
  </r>
  <r>
    <x v="2"/>
    <x v="13"/>
    <x v="2"/>
    <s v="SUB RECETAS"/>
    <x v="1"/>
    <x v="951"/>
    <s v="UNIDADES"/>
    <n v="435.94936706999999"/>
    <n v="-47"/>
    <n v="50"/>
    <n v="97"/>
    <n v="21797.4683535"/>
    <n v="42287.088605789999"/>
    <x v="0"/>
  </r>
  <r>
    <x v="2"/>
    <x v="10"/>
    <x v="4"/>
    <s v="SUB RECETAS"/>
    <x v="1"/>
    <x v="951"/>
    <s v="UNIDADES"/>
    <n v="435.94936706999999"/>
    <n v="99"/>
    <n v="0"/>
    <n v="-99"/>
    <n v="0"/>
    <n v="-43158.987339929998"/>
    <x v="2"/>
  </r>
  <r>
    <x v="2"/>
    <x v="12"/>
    <x v="3"/>
    <s v="SUB-RECETAS BAR"/>
    <x v="0"/>
    <x v="952"/>
    <s v="GRAMOS"/>
    <n v="16.463414660000002"/>
    <n v="21369"/>
    <n v="0"/>
    <n v="-21369"/>
    <n v="0"/>
    <n v="-351806.70786954003"/>
    <x v="2"/>
  </r>
  <r>
    <x v="2"/>
    <x v="14"/>
    <x v="0"/>
    <s v="SUB-RECETAS BAR"/>
    <x v="0"/>
    <x v="952"/>
    <s v="GRAMOS"/>
    <n v="15.42857143"/>
    <n v="-44440"/>
    <n v="4500"/>
    <n v="48940"/>
    <n v="69428.571435000005"/>
    <n v="755074.28578419995"/>
    <x v="0"/>
  </r>
  <r>
    <x v="2"/>
    <x v="13"/>
    <x v="2"/>
    <s v="SUB-RECETAS BAR"/>
    <x v="0"/>
    <x v="952"/>
    <s v="GRAMOS"/>
    <n v="16.463414660000002"/>
    <n v="-34975"/>
    <n v="3300"/>
    <n v="38275"/>
    <n v="54329.268378000008"/>
    <n v="630137.19611150003"/>
    <x v="0"/>
  </r>
  <r>
    <x v="2"/>
    <x v="15"/>
    <x v="1"/>
    <s v="SUB-RECETAS BAR"/>
    <x v="0"/>
    <x v="952"/>
    <s v="GRAMOS"/>
    <n v="15.42857143"/>
    <n v="-21340"/>
    <n v="4550"/>
    <n v="25890"/>
    <n v="70200.000006500006"/>
    <n v="399445.71432269999"/>
    <x v="0"/>
  </r>
  <r>
    <x v="2"/>
    <x v="10"/>
    <x v="4"/>
    <s v="SUB-RECETAS BAR"/>
    <x v="0"/>
    <x v="952"/>
    <s v="GRAMOS"/>
    <n v="16.463414660000002"/>
    <n v="-45315"/>
    <n v="4000"/>
    <n v="49315"/>
    <n v="65853.658640000009"/>
    <n v="811893.29395790002"/>
    <x v="0"/>
  </r>
  <r>
    <x v="2"/>
    <x v="15"/>
    <x v="1"/>
    <s v="SUB RECETAS"/>
    <x v="1"/>
    <x v="953"/>
    <s v="GRAMOS"/>
    <n v="8.1147619100000004"/>
    <n v="500"/>
    <n v="450"/>
    <n v="-50"/>
    <n v="3651.6428595000002"/>
    <n v="-405.73809550000004"/>
    <x v="2"/>
  </r>
  <r>
    <x v="2"/>
    <x v="14"/>
    <x v="0"/>
    <s v="SUB-RECETAS BAR"/>
    <x v="0"/>
    <x v="954"/>
    <s v="GRAMOS"/>
    <n v="268.66996798000002"/>
    <n v="-3450"/>
    <n v="20"/>
    <n v="3470"/>
    <n v="5373.3993596"/>
    <n v="932284.78889060009"/>
    <x v="0"/>
  </r>
  <r>
    <x v="2"/>
    <x v="14"/>
    <x v="0"/>
    <s v="LACTEOS"/>
    <x v="1"/>
    <x v="955"/>
    <s v="GRAMOS"/>
    <n v="51.875"/>
    <n v="-3956"/>
    <n v="2800"/>
    <n v="6756"/>
    <n v="145250"/>
    <n v="350467.5"/>
    <x v="0"/>
  </r>
  <r>
    <x v="2"/>
    <x v="15"/>
    <x v="1"/>
    <s v="INSUMOS BAR"/>
    <x v="0"/>
    <x v="956"/>
    <s v="GRAMOS"/>
    <n v="1738.90909091"/>
    <n v="-34.039499999999997"/>
    <n v="0"/>
    <n v="34.039520000000003"/>
    <n v="0"/>
    <n v="59191.63077821277"/>
    <x v="0"/>
  </r>
  <r>
    <x v="2"/>
    <x v="12"/>
    <x v="3"/>
    <s v="INSUMOS BAR"/>
    <x v="0"/>
    <x v="957"/>
    <s v="ONZA"/>
    <n v="1738.90909091"/>
    <n v="48"/>
    <n v="60"/>
    <n v="12"/>
    <n v="104334.5454546"/>
    <n v="20866.909090920002"/>
    <x v="0"/>
  </r>
  <r>
    <x v="2"/>
    <x v="14"/>
    <x v="0"/>
    <s v="INSUMOS BAR"/>
    <x v="0"/>
    <x v="957"/>
    <s v="ONZA"/>
    <n v="1738.90909091"/>
    <n v="-22"/>
    <n v="53"/>
    <n v="75"/>
    <n v="92162.181818230005"/>
    <n v="130418.18181825"/>
    <x v="0"/>
  </r>
  <r>
    <x v="2"/>
    <x v="13"/>
    <x v="2"/>
    <s v="INSUMOS BAR"/>
    <x v="0"/>
    <x v="957"/>
    <s v="ONZA"/>
    <n v="1738.90909091"/>
    <n v="54"/>
    <n v="28"/>
    <n v="-26"/>
    <n v="48689.454545480003"/>
    <n v="-45211.63636366"/>
    <x v="2"/>
  </r>
  <r>
    <x v="2"/>
    <x v="15"/>
    <x v="1"/>
    <s v="INSUMOS BAR"/>
    <x v="0"/>
    <x v="957"/>
    <s v="ONZA"/>
    <n v="1738.90909091"/>
    <n v="10043.5"/>
    <n v="264"/>
    <n v="-9779.5"/>
    <n v="459072.00000023999"/>
    <n v="-17005661.454554345"/>
    <x v="2"/>
  </r>
  <r>
    <x v="2"/>
    <x v="10"/>
    <x v="4"/>
    <s v="INSUMOS BAR"/>
    <x v="0"/>
    <x v="957"/>
    <s v="ONZA"/>
    <n v="1738.90909091"/>
    <n v="90"/>
    <n v="82"/>
    <n v="-8"/>
    <n v="142590.54545462001"/>
    <n v="-13911.27272728"/>
    <x v="2"/>
  </r>
  <r>
    <x v="2"/>
    <x v="12"/>
    <x v="3"/>
    <s v="ABARROTES"/>
    <x v="1"/>
    <x v="958"/>
    <s v="ONZA"/>
    <n v="1594"/>
    <n v="13338.67"/>
    <n v="0"/>
    <n v="-13338.67"/>
    <n v="0"/>
    <n v="-21261839.98"/>
    <x v="2"/>
  </r>
  <r>
    <x v="2"/>
    <x v="14"/>
    <x v="0"/>
    <s v="ABARROTES"/>
    <x v="1"/>
    <x v="958"/>
    <s v="ONZA"/>
    <n v="1594"/>
    <n v="329.7"/>
    <n v="0"/>
    <n v="-329.7"/>
    <n v="0"/>
    <n v="-525541.79999999993"/>
    <x v="2"/>
  </r>
  <r>
    <x v="2"/>
    <x v="13"/>
    <x v="2"/>
    <s v="ABARROTES"/>
    <x v="1"/>
    <x v="958"/>
    <s v="ONZA"/>
    <n v="1594"/>
    <n v="6.7"/>
    <n v="3"/>
    <n v="-3.7"/>
    <n v="4782"/>
    <n v="-5897.8"/>
    <x v="2"/>
  </r>
  <r>
    <x v="2"/>
    <x v="15"/>
    <x v="1"/>
    <s v="ABARROTES"/>
    <x v="1"/>
    <x v="958"/>
    <s v="ONZA"/>
    <n v="1594"/>
    <n v="4"/>
    <n v="7"/>
    <n v="3"/>
    <n v="11158"/>
    <n v="4782"/>
    <x v="0"/>
  </r>
  <r>
    <x v="2"/>
    <x v="10"/>
    <x v="4"/>
    <s v="ABARROTES"/>
    <x v="1"/>
    <x v="958"/>
    <s v="ONZA"/>
    <n v="1594"/>
    <n v="2.0699999999999998"/>
    <n v="0"/>
    <n v="-2.0699999999999998"/>
    <n v="0"/>
    <n v="-3299.58"/>
    <x v="2"/>
  </r>
  <r>
    <x v="2"/>
    <x v="12"/>
    <x v="3"/>
    <s v="MATERIAL DE ASEO"/>
    <x v="3"/>
    <x v="959"/>
    <s v="GRAMOS"/>
    <n v="11.7532"/>
    <n v="0"/>
    <n v="0"/>
    <n v="0"/>
    <n v="0"/>
    <n v="0"/>
    <x v="1"/>
  </r>
  <r>
    <x v="2"/>
    <x v="14"/>
    <x v="0"/>
    <s v="MATERIAL DE ASEO"/>
    <x v="3"/>
    <x v="959"/>
    <s v="GRAMOS"/>
    <n v="9.68065"/>
    <n v="20000"/>
    <n v="4000"/>
    <n v="-16000"/>
    <n v="38722.6"/>
    <n v="-154890.4"/>
    <x v="2"/>
  </r>
  <r>
    <x v="2"/>
    <x v="13"/>
    <x v="2"/>
    <s v="MATERIAL DE ASEO"/>
    <x v="3"/>
    <x v="959"/>
    <s v="GRAMOS"/>
    <n v="11.7532"/>
    <n v="0"/>
    <n v="0"/>
    <n v="0"/>
    <n v="0"/>
    <n v="0"/>
    <x v="1"/>
  </r>
  <r>
    <x v="2"/>
    <x v="15"/>
    <x v="1"/>
    <s v="MATERIAL DE ASEO"/>
    <x v="3"/>
    <x v="959"/>
    <s v="GRAMOS"/>
    <n v="9.68065"/>
    <n v="269340"/>
    <n v="17000"/>
    <n v="-252340"/>
    <n v="164571.04999999999"/>
    <n v="-2442815.2209999999"/>
    <x v="2"/>
  </r>
  <r>
    <x v="2"/>
    <x v="10"/>
    <x v="4"/>
    <s v="MATERIAL DE ASEO"/>
    <x v="3"/>
    <x v="959"/>
    <s v="GRAMOS"/>
    <n v="11.7532"/>
    <n v="7800"/>
    <n v="10800"/>
    <n v="3000"/>
    <n v="126934.56"/>
    <n v="35259.599999999999"/>
    <x v="0"/>
  </r>
  <r>
    <x v="2"/>
    <x v="12"/>
    <x v="3"/>
    <s v="MATERIAL DE ASEO"/>
    <x v="3"/>
    <x v="960"/>
    <s v="GRAMOS"/>
    <n v="69.447999999999993"/>
    <n v="0"/>
    <n v="0"/>
    <n v="0"/>
    <n v="0"/>
    <n v="0"/>
    <x v="1"/>
  </r>
  <r>
    <x v="2"/>
    <x v="13"/>
    <x v="2"/>
    <s v="MATERIAL DE ASEO"/>
    <x v="3"/>
    <x v="960"/>
    <s v="GRAMOS"/>
    <n v="69.447999999999993"/>
    <n v="5000"/>
    <n v="5000"/>
    <n v="0"/>
    <n v="347239.99999999994"/>
    <n v="0"/>
    <x v="1"/>
  </r>
  <r>
    <x v="2"/>
    <x v="10"/>
    <x v="4"/>
    <s v="MATERIAL DE ASEO"/>
    <x v="3"/>
    <x v="960"/>
    <s v="GRAMOS"/>
    <n v="69.447999999999993"/>
    <n v="4000"/>
    <n v="2520"/>
    <n v="-1480"/>
    <n v="175008.96"/>
    <n v="-102783.03999999999"/>
    <x v="2"/>
  </r>
  <r>
    <x v="2"/>
    <x v="12"/>
    <x v="3"/>
    <s v="MATERIAL DE ASEO"/>
    <x v="3"/>
    <x v="961"/>
    <s v="GRAMOS"/>
    <n v="22.645399999999999"/>
    <n v="0"/>
    <n v="0"/>
    <n v="0"/>
    <n v="0"/>
    <n v="0"/>
    <x v="1"/>
  </r>
  <r>
    <x v="2"/>
    <x v="13"/>
    <x v="2"/>
    <s v="MATERIAL DE ASEO"/>
    <x v="3"/>
    <x v="961"/>
    <s v="GRAMOS"/>
    <n v="22.645399999999999"/>
    <n v="15001"/>
    <n v="0"/>
    <n v="-15001"/>
    <n v="0"/>
    <n v="-339703.64539999998"/>
    <x v="2"/>
  </r>
  <r>
    <x v="2"/>
    <x v="15"/>
    <x v="1"/>
    <s v="MATERIAL DE ASEO"/>
    <x v="3"/>
    <x v="961"/>
    <s v="GRAMOS"/>
    <n v="22.645399999999999"/>
    <n v="0"/>
    <n v="0"/>
    <n v="0"/>
    <n v="0"/>
    <n v="0"/>
    <x v="1"/>
  </r>
  <r>
    <x v="2"/>
    <x v="10"/>
    <x v="4"/>
    <s v="MATERIAL DE ASEO"/>
    <x v="3"/>
    <x v="961"/>
    <s v="GRAMOS"/>
    <n v="22.645399999999999"/>
    <n v="9578"/>
    <n v="2350"/>
    <n v="-7228"/>
    <n v="53216.689999999995"/>
    <n v="-163680.95119999998"/>
    <x v="2"/>
  </r>
  <r>
    <x v="2"/>
    <x v="15"/>
    <x v="1"/>
    <s v="MATERIAL DE ASEO"/>
    <x v="3"/>
    <x v="962"/>
    <s v="UNDX5000G"/>
    <n v="27153"/>
    <n v="3"/>
    <n v="0.5"/>
    <n v="497"/>
    <n v="13576.5"/>
    <n v="13495041"/>
    <x v="0"/>
  </r>
  <r>
    <x v="2"/>
    <x v="16"/>
    <x v="5"/>
    <s v="MATERIAL DE ASEO"/>
    <x v="3"/>
    <x v="962"/>
    <s v="UNDX5000G"/>
    <n v="65345"/>
    <n v="0"/>
    <n v="0"/>
    <n v="0"/>
    <n v="0"/>
    <n v="0"/>
    <x v="1"/>
  </r>
  <r>
    <x v="2"/>
    <x v="14"/>
    <x v="0"/>
    <s v="INSUMOS BAR"/>
    <x v="0"/>
    <x v="963"/>
    <s v="ONZA"/>
    <n v="1594"/>
    <n v="43"/>
    <n v="31"/>
    <n v="-12"/>
    <n v="49414"/>
    <n v="-19128"/>
    <x v="2"/>
  </r>
  <r>
    <x v="2"/>
    <x v="14"/>
    <x v="0"/>
    <s v="ABARROTES"/>
    <x v="1"/>
    <x v="964"/>
    <s v="ONZA"/>
    <n v="2093.9545454499998"/>
    <n v="0"/>
    <n v="0"/>
    <n v="0"/>
    <n v="0"/>
    <n v="0"/>
    <x v="1"/>
  </r>
  <r>
    <x v="2"/>
    <x v="15"/>
    <x v="1"/>
    <s v="ABARROTES"/>
    <x v="1"/>
    <x v="964"/>
    <s v="ONZA"/>
    <n v="2093.9545454499998"/>
    <n v="0"/>
    <n v="0"/>
    <n v="0"/>
    <n v="0"/>
    <n v="0"/>
    <x v="1"/>
  </r>
  <r>
    <x v="2"/>
    <x v="14"/>
    <x v="0"/>
    <s v="ABARROTES"/>
    <x v="1"/>
    <x v="965"/>
    <s v="UNIDADES"/>
    <n v="0"/>
    <n v="-8"/>
    <n v="0"/>
    <n v="8"/>
    <n v="0"/>
    <n v="0"/>
    <x v="0"/>
  </r>
  <r>
    <x v="2"/>
    <x v="14"/>
    <x v="0"/>
    <s v="ABARROTES"/>
    <x v="1"/>
    <x v="966"/>
    <s v="GRAMOS"/>
    <n v="100.04"/>
    <n v="99"/>
    <n v="0"/>
    <n v="-99"/>
    <n v="0"/>
    <n v="-9903.9600000000009"/>
    <x v="2"/>
  </r>
  <r>
    <x v="2"/>
    <x v="15"/>
    <x v="1"/>
    <s v="ABARROTES"/>
    <x v="1"/>
    <x v="966"/>
    <s v="GRAMOS"/>
    <n v="100.04"/>
    <n v="95.228200000000001"/>
    <n v="150"/>
    <n v="54.771794999999997"/>
    <n v="15006.000000000002"/>
    <n v="5479.3703717999997"/>
    <x v="0"/>
  </r>
  <r>
    <x v="2"/>
    <x v="15"/>
    <x v="1"/>
    <s v="MATERIAL DE EMPAQUE"/>
    <x v="2"/>
    <x v="967"/>
    <s v="UNIDADES"/>
    <n v="2100.75"/>
    <n v="4"/>
    <n v="0"/>
    <n v="-4"/>
    <n v="0"/>
    <n v="-8403"/>
    <x v="2"/>
  </r>
  <r>
    <x v="2"/>
    <x v="12"/>
    <x v="3"/>
    <s v="LICORES"/>
    <x v="0"/>
    <x v="30"/>
    <s v="ONZA"/>
    <n v="6774.5454545499997"/>
    <n v="44.34"/>
    <n v="46"/>
    <n v="1.66"/>
    <n v="311629.09090929996"/>
    <n v="11245.745454552998"/>
    <x v="0"/>
  </r>
  <r>
    <x v="2"/>
    <x v="14"/>
    <x v="0"/>
    <s v="LICORES"/>
    <x v="0"/>
    <x v="30"/>
    <s v="ONZA"/>
    <n v="6774.5454545499997"/>
    <n v="30"/>
    <n v="33"/>
    <n v="3"/>
    <n v="223560.00000015"/>
    <n v="20323.636363649999"/>
    <x v="0"/>
  </r>
  <r>
    <x v="2"/>
    <x v="13"/>
    <x v="2"/>
    <s v="LICORES"/>
    <x v="0"/>
    <x v="30"/>
    <s v="ONZA"/>
    <n v="6774.5454545499997"/>
    <n v="1"/>
    <n v="4"/>
    <n v="3"/>
    <n v="27098.181818199999"/>
    <n v="20323.636363649999"/>
    <x v="0"/>
  </r>
  <r>
    <x v="2"/>
    <x v="15"/>
    <x v="1"/>
    <s v="LICORES"/>
    <x v="0"/>
    <x v="30"/>
    <s v="ONZA"/>
    <n v="6774.5454545499997"/>
    <n v="12.7"/>
    <n v="7"/>
    <n v="-5.7"/>
    <n v="47421.818181850002"/>
    <n v="-38614.909090934998"/>
    <x v="2"/>
  </r>
  <r>
    <x v="2"/>
    <x v="10"/>
    <x v="4"/>
    <s v="LICORES"/>
    <x v="0"/>
    <x v="30"/>
    <s v="ONZA"/>
    <n v="6774.5454545499997"/>
    <n v="9.32"/>
    <n v="12"/>
    <n v="2.68"/>
    <n v="81294.545454599996"/>
    <n v="18155.781818194002"/>
    <x v="0"/>
  </r>
  <r>
    <x v="2"/>
    <x v="12"/>
    <x v="3"/>
    <s v="MATERIAL DE EMPAQUE"/>
    <x v="2"/>
    <x v="968"/>
    <s v="UNIDADES"/>
    <n v="62.83"/>
    <n v="98"/>
    <n v="35"/>
    <n v="-63"/>
    <n v="2199.0499999999997"/>
    <n v="-3958.29"/>
    <x v="2"/>
  </r>
  <r>
    <x v="2"/>
    <x v="14"/>
    <x v="0"/>
    <s v="MATERIAL DE EMPAQUE"/>
    <x v="2"/>
    <x v="968"/>
    <s v="UNIDADES"/>
    <n v="62.83"/>
    <n v="100"/>
    <n v="0"/>
    <n v="-100"/>
    <n v="0"/>
    <n v="-6283"/>
    <x v="2"/>
  </r>
  <r>
    <x v="2"/>
    <x v="13"/>
    <x v="2"/>
    <s v="MATERIAL DE EMPAQUE"/>
    <x v="2"/>
    <x v="968"/>
    <s v="UNIDADES"/>
    <n v="62.83"/>
    <n v="200"/>
    <n v="150"/>
    <n v="-50"/>
    <n v="9424.5"/>
    <n v="-3141.5"/>
    <x v="2"/>
  </r>
  <r>
    <x v="2"/>
    <x v="15"/>
    <x v="1"/>
    <s v="MATERIAL DE EMPAQUE"/>
    <x v="2"/>
    <x v="968"/>
    <s v="UNIDADES"/>
    <n v="62.83"/>
    <n v="1850"/>
    <n v="200"/>
    <n v="-1650"/>
    <n v="12566"/>
    <n v="-103669.5"/>
    <x v="2"/>
  </r>
  <r>
    <x v="2"/>
    <x v="10"/>
    <x v="4"/>
    <s v="MATERIAL DE EMPAQUE"/>
    <x v="2"/>
    <x v="968"/>
    <s v="UNIDADES"/>
    <n v="62.83"/>
    <n v="0"/>
    <n v="56"/>
    <n v="56"/>
    <n v="3518.48"/>
    <n v="3518.48"/>
    <x v="0"/>
  </r>
  <r>
    <x v="2"/>
    <x v="12"/>
    <x v="3"/>
    <s v="MATERIAL DE EMPAQUE"/>
    <x v="2"/>
    <x v="969"/>
    <s v="UNIDADES"/>
    <n v="76.944999999999993"/>
    <n v="0"/>
    <n v="30"/>
    <n v="30"/>
    <n v="2308.35"/>
    <n v="2308.35"/>
    <x v="0"/>
  </r>
  <r>
    <x v="2"/>
    <x v="13"/>
    <x v="2"/>
    <s v="MATERIAL DE EMPAQUE"/>
    <x v="2"/>
    <x v="969"/>
    <s v="UNIDADES"/>
    <n v="76.944999999999993"/>
    <n v="400"/>
    <n v="0"/>
    <n v="-400"/>
    <n v="0"/>
    <n v="-30777.999999999996"/>
    <x v="2"/>
  </r>
  <r>
    <x v="2"/>
    <x v="15"/>
    <x v="1"/>
    <s v="MATERIAL DE EMPAQUE"/>
    <x v="2"/>
    <x v="969"/>
    <s v="UNIDADES"/>
    <n v="77"/>
    <n v="-400"/>
    <n v="0"/>
    <n v="400"/>
    <n v="0"/>
    <n v="30800"/>
    <x v="0"/>
  </r>
  <r>
    <x v="2"/>
    <x v="10"/>
    <x v="4"/>
    <s v="MATERIAL DE EMPAQUE"/>
    <x v="2"/>
    <x v="969"/>
    <s v="UNIDADES"/>
    <n v="76.944999999999993"/>
    <n v="0"/>
    <n v="0"/>
    <n v="0"/>
    <n v="0"/>
    <n v="0"/>
    <x v="1"/>
  </r>
  <r>
    <x v="2"/>
    <x v="12"/>
    <x v="3"/>
    <s v="MATERIAL DE EMPAQUE"/>
    <x v="2"/>
    <x v="970"/>
    <s v="UNIDADES"/>
    <n v="3748.5"/>
    <n v="0"/>
    <n v="0"/>
    <n v="0"/>
    <n v="0"/>
    <n v="0"/>
    <x v="1"/>
  </r>
  <r>
    <x v="2"/>
    <x v="14"/>
    <x v="0"/>
    <s v="MATERIAL DE EMPAQUE"/>
    <x v="2"/>
    <x v="970"/>
    <s v="UNIDADES"/>
    <n v="3748.5"/>
    <n v="26"/>
    <n v="50"/>
    <n v="24"/>
    <n v="187425"/>
    <n v="89964"/>
    <x v="0"/>
  </r>
  <r>
    <x v="2"/>
    <x v="13"/>
    <x v="2"/>
    <s v="MATERIAL DE EMPAQUE"/>
    <x v="2"/>
    <x v="970"/>
    <s v="UNIDADES"/>
    <n v="3748.5"/>
    <n v="202"/>
    <n v="30"/>
    <n v="-172"/>
    <n v="112455"/>
    <n v="-644742"/>
    <x v="2"/>
  </r>
  <r>
    <x v="2"/>
    <x v="15"/>
    <x v="1"/>
    <s v="MATERIAL DE EMPAQUE"/>
    <x v="2"/>
    <x v="970"/>
    <s v="UNIDADES"/>
    <n v="3748.5"/>
    <n v="77"/>
    <n v="50"/>
    <n v="-27"/>
    <n v="187425"/>
    <n v="-101209.5"/>
    <x v="2"/>
  </r>
  <r>
    <x v="2"/>
    <x v="10"/>
    <x v="4"/>
    <s v="MATERIAL DE EMPAQUE"/>
    <x v="2"/>
    <x v="970"/>
    <s v="UNIDADES"/>
    <n v="3748.5"/>
    <n v="75"/>
    <n v="0"/>
    <n v="-75"/>
    <n v="0"/>
    <n v="-281137.5"/>
    <x v="2"/>
  </r>
  <r>
    <x v="2"/>
    <x v="12"/>
    <x v="3"/>
    <s v="AGUA Y TE"/>
    <x v="0"/>
    <x v="147"/>
    <s v="UNIDADES"/>
    <n v="3458.3291316700002"/>
    <n v="16"/>
    <n v="16"/>
    <n v="0"/>
    <n v="55333.266106720002"/>
    <n v="0"/>
    <x v="1"/>
  </r>
  <r>
    <x v="2"/>
    <x v="14"/>
    <x v="0"/>
    <s v="AGUA Y TE"/>
    <x v="0"/>
    <x v="147"/>
    <s v="UNIDADES"/>
    <n v="3458.25"/>
    <n v="16"/>
    <n v="16"/>
    <n v="0"/>
    <n v="55332"/>
    <n v="0"/>
    <x v="1"/>
  </r>
  <r>
    <x v="2"/>
    <x v="13"/>
    <x v="2"/>
    <s v="AGUA Y TE"/>
    <x v="0"/>
    <x v="147"/>
    <s v="UNIDADES"/>
    <n v="3458.3291316700002"/>
    <n v="5"/>
    <n v="5"/>
    <n v="0"/>
    <n v="17291.64565835"/>
    <n v="0"/>
    <x v="1"/>
  </r>
  <r>
    <x v="2"/>
    <x v="15"/>
    <x v="1"/>
    <s v="AGUA Y TE"/>
    <x v="0"/>
    <x v="147"/>
    <s v="UNIDADES"/>
    <n v="3458.25"/>
    <n v="14"/>
    <n v="14"/>
    <n v="0"/>
    <n v="48415.5"/>
    <n v="0"/>
    <x v="1"/>
  </r>
  <r>
    <x v="2"/>
    <x v="10"/>
    <x v="4"/>
    <s v="AGUA Y TE"/>
    <x v="0"/>
    <x v="147"/>
    <s v="UNIDADES"/>
    <n v="3458.3291316700002"/>
    <n v="0"/>
    <n v="0"/>
    <n v="0"/>
    <n v="0"/>
    <n v="0"/>
    <x v="1"/>
  </r>
  <r>
    <x v="2"/>
    <x v="12"/>
    <x v="3"/>
    <s v="AGUA Y TE"/>
    <x v="0"/>
    <x v="148"/>
    <s v="UNIDADES"/>
    <n v="3458.3283333300001"/>
    <n v="7"/>
    <n v="7"/>
    <n v="0"/>
    <n v="24208.298333310002"/>
    <n v="0"/>
    <x v="1"/>
  </r>
  <r>
    <x v="2"/>
    <x v="14"/>
    <x v="0"/>
    <s v="AGUA Y TE"/>
    <x v="0"/>
    <x v="148"/>
    <s v="UNIDADES"/>
    <n v="3458.3283333300001"/>
    <n v="5"/>
    <n v="5"/>
    <n v="0"/>
    <n v="17291.641666650001"/>
    <n v="0"/>
    <x v="1"/>
  </r>
  <r>
    <x v="2"/>
    <x v="13"/>
    <x v="2"/>
    <s v="AGUA Y TE"/>
    <x v="0"/>
    <x v="148"/>
    <s v="UNIDADES"/>
    <n v="3458.3283333300001"/>
    <n v="10"/>
    <n v="10"/>
    <n v="0"/>
    <n v="34583.283333300002"/>
    <n v="0"/>
    <x v="1"/>
  </r>
  <r>
    <x v="2"/>
    <x v="15"/>
    <x v="1"/>
    <s v="AGUA Y TE"/>
    <x v="0"/>
    <x v="148"/>
    <s v="UNIDADES"/>
    <n v="3458.3283333300001"/>
    <n v="20"/>
    <n v="20"/>
    <n v="0"/>
    <n v="69166.566666600003"/>
    <n v="0"/>
    <x v="1"/>
  </r>
  <r>
    <x v="2"/>
    <x v="10"/>
    <x v="4"/>
    <s v="AGUA Y TE"/>
    <x v="0"/>
    <x v="148"/>
    <s v="UNIDADES"/>
    <n v="3458.3283333300001"/>
    <n v="0"/>
    <n v="0"/>
    <n v="0"/>
    <n v="0"/>
    <n v="0"/>
    <x v="1"/>
  </r>
  <r>
    <x v="2"/>
    <x v="12"/>
    <x v="3"/>
    <s v="AGUA Y TE"/>
    <x v="0"/>
    <x v="149"/>
    <s v="UNIDADES"/>
    <n v="3458.25"/>
    <n v="0"/>
    <n v="0"/>
    <n v="0"/>
    <n v="0"/>
    <n v="0"/>
    <x v="1"/>
  </r>
  <r>
    <x v="2"/>
    <x v="14"/>
    <x v="0"/>
    <s v="AGUA Y TE"/>
    <x v="0"/>
    <x v="149"/>
    <s v="UNIDADES"/>
    <n v="3458.25"/>
    <n v="5"/>
    <n v="5"/>
    <n v="0"/>
    <n v="17291.25"/>
    <n v="0"/>
    <x v="1"/>
  </r>
  <r>
    <x v="2"/>
    <x v="13"/>
    <x v="2"/>
    <s v="AGUA Y TE"/>
    <x v="0"/>
    <x v="149"/>
    <s v="UNIDADES"/>
    <n v="3458.25"/>
    <n v="0"/>
    <n v="0"/>
    <n v="0"/>
    <n v="0"/>
    <n v="0"/>
    <x v="1"/>
  </r>
  <r>
    <x v="2"/>
    <x v="15"/>
    <x v="1"/>
    <s v="AGUA Y TE"/>
    <x v="0"/>
    <x v="149"/>
    <s v="UNIDADES"/>
    <n v="3458.25"/>
    <n v="15"/>
    <n v="14"/>
    <n v="-1"/>
    <n v="48415.5"/>
    <n v="-3458.25"/>
    <x v="2"/>
  </r>
  <r>
    <x v="2"/>
    <x v="10"/>
    <x v="4"/>
    <s v="AGUA Y TE"/>
    <x v="0"/>
    <x v="149"/>
    <s v="UNIDADES"/>
    <n v="3458.25"/>
    <n v="0"/>
    <n v="0"/>
    <n v="0"/>
    <n v="0"/>
    <n v="0"/>
    <x v="1"/>
  </r>
  <r>
    <x v="2"/>
    <x v="12"/>
    <x v="3"/>
    <s v="AGUA Y TE"/>
    <x v="0"/>
    <x v="150"/>
    <s v="UNIDADES"/>
    <n v="3458.25"/>
    <n v="7"/>
    <n v="7"/>
    <n v="0"/>
    <n v="24207.75"/>
    <n v="0"/>
    <x v="1"/>
  </r>
  <r>
    <x v="2"/>
    <x v="14"/>
    <x v="0"/>
    <s v="AGUA Y TE"/>
    <x v="0"/>
    <x v="150"/>
    <s v="UNIDADES"/>
    <n v="3458.25"/>
    <n v="2"/>
    <n v="2"/>
    <n v="0"/>
    <n v="6916.5"/>
    <n v="0"/>
    <x v="1"/>
  </r>
  <r>
    <x v="2"/>
    <x v="13"/>
    <x v="2"/>
    <s v="AGUA Y TE"/>
    <x v="0"/>
    <x v="150"/>
    <s v="UNIDADES"/>
    <n v="3458.25"/>
    <n v="5"/>
    <n v="5"/>
    <n v="0"/>
    <n v="17291.25"/>
    <n v="0"/>
    <x v="1"/>
  </r>
  <r>
    <x v="2"/>
    <x v="15"/>
    <x v="1"/>
    <s v="AGUA Y TE"/>
    <x v="0"/>
    <x v="150"/>
    <s v="UNIDADES"/>
    <n v="3458.25"/>
    <n v="13"/>
    <n v="13"/>
    <n v="0"/>
    <n v="44957.25"/>
    <n v="0"/>
    <x v="1"/>
  </r>
  <r>
    <x v="2"/>
    <x v="10"/>
    <x v="4"/>
    <s v="AGUA Y TE"/>
    <x v="0"/>
    <x v="150"/>
    <s v="UNIDADES"/>
    <n v="3458.25"/>
    <n v="3"/>
    <n v="3"/>
    <n v="0"/>
    <n v="10374.75"/>
    <n v="0"/>
    <x v="1"/>
  </r>
  <r>
    <x v="2"/>
    <x v="12"/>
    <x v="3"/>
    <s v="AGUA Y TE"/>
    <x v="0"/>
    <x v="162"/>
    <s v="UNIDADES"/>
    <n v="3458.25"/>
    <n v="1"/>
    <n v="1"/>
    <n v="0"/>
    <n v="3458.25"/>
    <n v="0"/>
    <x v="1"/>
  </r>
  <r>
    <x v="2"/>
    <x v="14"/>
    <x v="0"/>
    <s v="AGUA Y TE"/>
    <x v="0"/>
    <x v="162"/>
    <s v="UNIDADES"/>
    <n v="3458.25"/>
    <n v="9"/>
    <n v="9"/>
    <n v="0"/>
    <n v="31124.25"/>
    <n v="0"/>
    <x v="1"/>
  </r>
  <r>
    <x v="2"/>
    <x v="13"/>
    <x v="2"/>
    <s v="AGUA Y TE"/>
    <x v="0"/>
    <x v="162"/>
    <s v="UNIDADES"/>
    <n v="3458.25"/>
    <n v="7"/>
    <n v="7"/>
    <n v="0"/>
    <n v="24207.75"/>
    <n v="0"/>
    <x v="1"/>
  </r>
  <r>
    <x v="2"/>
    <x v="15"/>
    <x v="1"/>
    <s v="AGUA Y TE"/>
    <x v="0"/>
    <x v="162"/>
    <s v="UNIDADES"/>
    <n v="3458.25"/>
    <n v="8"/>
    <n v="14"/>
    <n v="6"/>
    <n v="48415.5"/>
    <n v="20749.5"/>
    <x v="0"/>
  </r>
  <r>
    <x v="2"/>
    <x v="10"/>
    <x v="4"/>
    <s v="AGUA Y TE"/>
    <x v="0"/>
    <x v="162"/>
    <s v="UNIDADES"/>
    <n v="3458.25"/>
    <n v="0"/>
    <n v="0"/>
    <n v="0"/>
    <n v="0"/>
    <n v="0"/>
    <x v="1"/>
  </r>
  <r>
    <x v="2"/>
    <x v="12"/>
    <x v="3"/>
    <s v="AGUA Y TE"/>
    <x v="0"/>
    <x v="151"/>
    <s v="UNIDADES"/>
    <n v="3458.25"/>
    <n v="6"/>
    <n v="6"/>
    <n v="0"/>
    <n v="20749.5"/>
    <n v="0"/>
    <x v="1"/>
  </r>
  <r>
    <x v="2"/>
    <x v="14"/>
    <x v="0"/>
    <s v="AGUA Y TE"/>
    <x v="0"/>
    <x v="151"/>
    <s v="UNIDADES"/>
    <n v="3458.25"/>
    <n v="2"/>
    <n v="2"/>
    <n v="0"/>
    <n v="6916.5"/>
    <n v="0"/>
    <x v="1"/>
  </r>
  <r>
    <x v="2"/>
    <x v="13"/>
    <x v="2"/>
    <s v="AGUA Y TE"/>
    <x v="0"/>
    <x v="151"/>
    <s v="UNIDADES"/>
    <n v="3458.25"/>
    <n v="8"/>
    <n v="8"/>
    <n v="0"/>
    <n v="27666"/>
    <n v="0"/>
    <x v="1"/>
  </r>
  <r>
    <x v="2"/>
    <x v="15"/>
    <x v="1"/>
    <s v="AGUA Y TE"/>
    <x v="0"/>
    <x v="151"/>
    <s v="UNIDADES"/>
    <n v="3458.25"/>
    <n v="18"/>
    <n v="18"/>
    <n v="0"/>
    <n v="62248.5"/>
    <n v="0"/>
    <x v="1"/>
  </r>
  <r>
    <x v="2"/>
    <x v="10"/>
    <x v="4"/>
    <s v="AGUA Y TE"/>
    <x v="0"/>
    <x v="151"/>
    <s v="UNIDADES"/>
    <n v="3458.25"/>
    <n v="0"/>
    <n v="0"/>
    <n v="0"/>
    <n v="0"/>
    <n v="0"/>
    <x v="1"/>
  </r>
  <r>
    <x v="2"/>
    <x v="12"/>
    <x v="3"/>
    <s v="AGUA Y TE"/>
    <x v="0"/>
    <x v="130"/>
    <s v="UNIDADES"/>
    <n v="3458.25"/>
    <n v="0"/>
    <n v="0"/>
    <n v="0"/>
    <n v="0"/>
    <n v="0"/>
    <x v="1"/>
  </r>
  <r>
    <x v="2"/>
    <x v="13"/>
    <x v="2"/>
    <s v="AGUA Y TE"/>
    <x v="0"/>
    <x v="130"/>
    <s v="UNIDADES"/>
    <n v="3458.25"/>
    <n v="10"/>
    <n v="0"/>
    <n v="-10"/>
    <n v="0"/>
    <n v="-34582.5"/>
    <x v="2"/>
  </r>
  <r>
    <x v="2"/>
    <x v="10"/>
    <x v="4"/>
    <s v="AGUA Y TE"/>
    <x v="0"/>
    <x v="130"/>
    <s v="UNIDADES"/>
    <n v="3458.25"/>
    <n v="0"/>
    <n v="0"/>
    <n v="0"/>
    <n v="0"/>
    <n v="0"/>
    <x v="1"/>
  </r>
  <r>
    <x v="2"/>
    <x v="12"/>
    <x v="3"/>
    <s v="AGUA Y TE"/>
    <x v="0"/>
    <x v="152"/>
    <s v="UNIDADES"/>
    <n v="3458.25"/>
    <n v="8"/>
    <n v="8"/>
    <n v="0"/>
    <n v="27666"/>
    <n v="0"/>
    <x v="1"/>
  </r>
  <r>
    <x v="2"/>
    <x v="14"/>
    <x v="0"/>
    <s v="AGUA Y TE"/>
    <x v="0"/>
    <x v="152"/>
    <s v="UNIDADES"/>
    <n v="3458.25"/>
    <n v="-2"/>
    <n v="0"/>
    <n v="2"/>
    <n v="0"/>
    <n v="6916.5"/>
    <x v="0"/>
  </r>
  <r>
    <x v="2"/>
    <x v="13"/>
    <x v="2"/>
    <s v="AGUA Y TE"/>
    <x v="0"/>
    <x v="152"/>
    <s v="UNIDADES"/>
    <n v="3458.25"/>
    <n v="0"/>
    <n v="10"/>
    <n v="10"/>
    <n v="34582.5"/>
    <n v="34582.5"/>
    <x v="0"/>
  </r>
  <r>
    <x v="2"/>
    <x v="15"/>
    <x v="1"/>
    <s v="AGUA Y TE"/>
    <x v="0"/>
    <x v="152"/>
    <s v="UNIDADES"/>
    <n v="3458.25"/>
    <n v="7"/>
    <n v="8"/>
    <n v="1"/>
    <n v="27666"/>
    <n v="3458.25"/>
    <x v="0"/>
  </r>
  <r>
    <x v="2"/>
    <x v="10"/>
    <x v="4"/>
    <s v="AGUA Y TE"/>
    <x v="0"/>
    <x v="152"/>
    <s v="UNIDADES"/>
    <n v="3458.25"/>
    <n v="4"/>
    <n v="4"/>
    <n v="0"/>
    <n v="13833"/>
    <n v="0"/>
    <x v="1"/>
  </r>
  <r>
    <x v="2"/>
    <x v="12"/>
    <x v="3"/>
    <s v="ABARROTES"/>
    <x v="1"/>
    <x v="971"/>
    <s v="GRAMOS"/>
    <n v="17.850000000000001"/>
    <n v="0"/>
    <n v="0"/>
    <n v="0"/>
    <n v="0"/>
    <n v="0"/>
    <x v="1"/>
  </r>
  <r>
    <x v="2"/>
    <x v="13"/>
    <x v="2"/>
    <s v="ABARROTES"/>
    <x v="1"/>
    <x v="971"/>
    <s v="GRAMOS"/>
    <n v="17.850000000000001"/>
    <n v="0"/>
    <n v="0"/>
    <n v="0"/>
    <n v="0"/>
    <n v="0"/>
    <x v="1"/>
  </r>
  <r>
    <x v="2"/>
    <x v="10"/>
    <x v="4"/>
    <s v="ABARROTES"/>
    <x v="1"/>
    <x v="971"/>
    <s v="GRAMOS"/>
    <n v="17.850000000000001"/>
    <n v="7784"/>
    <n v="0"/>
    <n v="-7784"/>
    <n v="0"/>
    <n v="-138944.40000000002"/>
    <x v="2"/>
  </r>
  <r>
    <x v="2"/>
    <x v="12"/>
    <x v="3"/>
    <s v="MATERIAL DE EMPAQUE"/>
    <x v="2"/>
    <x v="972"/>
    <s v="UNIDADES"/>
    <n v="135.84"/>
    <n v="207"/>
    <n v="100"/>
    <n v="-107"/>
    <n v="13584"/>
    <n v="-14534.880000000001"/>
    <x v="2"/>
  </r>
  <r>
    <x v="2"/>
    <x v="14"/>
    <x v="0"/>
    <s v="MATERIAL DE EMPAQUE"/>
    <x v="2"/>
    <x v="972"/>
    <s v="UNIDADES"/>
    <n v="135.84"/>
    <n v="30"/>
    <n v="100"/>
    <n v="70"/>
    <n v="13584"/>
    <n v="9508.8000000000011"/>
    <x v="0"/>
  </r>
  <r>
    <x v="2"/>
    <x v="13"/>
    <x v="2"/>
    <s v="MATERIAL DE EMPAQUE"/>
    <x v="2"/>
    <x v="972"/>
    <s v="UNIDADES"/>
    <n v="135.84"/>
    <n v="300"/>
    <n v="200"/>
    <n v="-100"/>
    <n v="27168"/>
    <n v="-13584"/>
    <x v="2"/>
  </r>
  <r>
    <x v="2"/>
    <x v="15"/>
    <x v="1"/>
    <s v="MATERIAL DE EMPAQUE"/>
    <x v="2"/>
    <x v="972"/>
    <s v="UNIDADES"/>
    <n v="135.84"/>
    <n v="200"/>
    <n v="0"/>
    <n v="-200"/>
    <n v="0"/>
    <n v="-27168"/>
    <x v="2"/>
  </r>
  <r>
    <x v="2"/>
    <x v="10"/>
    <x v="4"/>
    <s v="MATERIAL DE EMPAQUE"/>
    <x v="2"/>
    <x v="972"/>
    <s v="UNIDADES"/>
    <n v="135.84"/>
    <n v="0"/>
    <n v="0"/>
    <n v="0"/>
    <n v="0"/>
    <n v="0"/>
    <x v="1"/>
  </r>
  <r>
    <x v="2"/>
    <x v="12"/>
    <x v="3"/>
    <s v="LICORES"/>
    <x v="0"/>
    <x v="225"/>
    <s v="ONZA"/>
    <n v="8628.9583333299997"/>
    <n v="0"/>
    <n v="0"/>
    <n v="0"/>
    <n v="0"/>
    <n v="0"/>
    <x v="1"/>
  </r>
  <r>
    <x v="2"/>
    <x v="14"/>
    <x v="0"/>
    <s v="LICORES"/>
    <x v="0"/>
    <x v="225"/>
    <s v="ONZA"/>
    <n v="8628.9583333299997"/>
    <n v="36"/>
    <n v="36"/>
    <n v="0"/>
    <n v="310642.49999987998"/>
    <n v="0"/>
    <x v="1"/>
  </r>
  <r>
    <x v="2"/>
    <x v="13"/>
    <x v="2"/>
    <s v="LICORES"/>
    <x v="0"/>
    <x v="225"/>
    <s v="ONZA"/>
    <n v="8628.9583333299997"/>
    <n v="0"/>
    <n v="0"/>
    <n v="0"/>
    <n v="0"/>
    <n v="0"/>
    <x v="1"/>
  </r>
  <r>
    <x v="2"/>
    <x v="10"/>
    <x v="4"/>
    <s v="LICORES"/>
    <x v="0"/>
    <x v="225"/>
    <s v="ONZA"/>
    <n v="8628.9583333299997"/>
    <n v="0"/>
    <n v="0"/>
    <n v="0"/>
    <n v="0"/>
    <n v="0"/>
    <x v="1"/>
  </r>
  <r>
    <x v="2"/>
    <x v="12"/>
    <x v="3"/>
    <s v="LICORES"/>
    <x v="0"/>
    <x v="23"/>
    <s v="ONZA"/>
    <n v="8628.9583333299997"/>
    <n v="38"/>
    <n v="40"/>
    <n v="2"/>
    <n v="345158.33333319996"/>
    <n v="17257.916666659999"/>
    <x v="0"/>
  </r>
  <r>
    <x v="2"/>
    <x v="14"/>
    <x v="0"/>
    <s v="LICORES"/>
    <x v="0"/>
    <x v="23"/>
    <s v="ONZA"/>
    <n v="8308.1111111099999"/>
    <n v="30"/>
    <n v="30"/>
    <n v="0"/>
    <n v="249243.33333329999"/>
    <n v="0"/>
    <x v="1"/>
  </r>
  <r>
    <x v="2"/>
    <x v="13"/>
    <x v="2"/>
    <s v="LICORES"/>
    <x v="0"/>
    <x v="23"/>
    <s v="ONZA"/>
    <n v="8628.9583333299997"/>
    <n v="22"/>
    <n v="19"/>
    <n v="-3"/>
    <n v="163950.20833326998"/>
    <n v="-25886.874999989999"/>
    <x v="2"/>
  </r>
  <r>
    <x v="2"/>
    <x v="10"/>
    <x v="4"/>
    <s v="LICORES"/>
    <x v="0"/>
    <x v="23"/>
    <s v="ONZA"/>
    <n v="8628.9583333299997"/>
    <n v="26"/>
    <n v="28"/>
    <n v="2"/>
    <n v="241610.83333324001"/>
    <n v="17257.916666659999"/>
    <x v="0"/>
  </r>
  <r>
    <x v="2"/>
    <x v="15"/>
    <x v="1"/>
    <s v="LICORES"/>
    <x v="0"/>
    <x v="154"/>
    <s v="ONZA"/>
    <n v="8500"/>
    <n v="0"/>
    <n v="0"/>
    <n v="0"/>
    <n v="0"/>
    <n v="0"/>
    <x v="1"/>
  </r>
  <r>
    <x v="2"/>
    <x v="14"/>
    <x v="0"/>
    <s v="LICORES"/>
    <x v="0"/>
    <x v="54"/>
    <s v="ONZA"/>
    <n v="8500"/>
    <n v="22"/>
    <n v="20"/>
    <n v="-2"/>
    <n v="170000"/>
    <n v="-17000"/>
    <x v="2"/>
  </r>
  <r>
    <x v="2"/>
    <x v="15"/>
    <x v="1"/>
    <s v="LICORES"/>
    <x v="0"/>
    <x v="155"/>
    <s v="ONZA"/>
    <n v="8500"/>
    <n v="0"/>
    <n v="0"/>
    <n v="0"/>
    <n v="0"/>
    <n v="0"/>
    <x v="1"/>
  </r>
  <r>
    <x v="2"/>
    <x v="12"/>
    <x v="3"/>
    <s v="LICORES"/>
    <x v="0"/>
    <x v="28"/>
    <s v="ONZA"/>
    <n v="4004.4333333300001"/>
    <n v="64"/>
    <n v="65"/>
    <n v="1"/>
    <n v="260288.16666645001"/>
    <n v="4004.4333333300001"/>
    <x v="0"/>
  </r>
  <r>
    <x v="2"/>
    <x v="14"/>
    <x v="0"/>
    <s v="LICORES"/>
    <x v="0"/>
    <x v="28"/>
    <s v="ONZA"/>
    <n v="4004.4333333300001"/>
    <n v="62"/>
    <n v="68"/>
    <n v="6"/>
    <n v="272301.46666644001"/>
    <n v="24026.599999980001"/>
    <x v="0"/>
  </r>
  <r>
    <x v="2"/>
    <x v="13"/>
    <x v="2"/>
    <s v="LICORES"/>
    <x v="0"/>
    <x v="28"/>
    <s v="ONZA"/>
    <n v="4004.4333333300001"/>
    <n v="-3"/>
    <n v="3"/>
    <n v="6"/>
    <n v="12013.29999999"/>
    <n v="24026.599999980001"/>
    <x v="0"/>
  </r>
  <r>
    <x v="2"/>
    <x v="15"/>
    <x v="1"/>
    <s v="LICORES"/>
    <x v="0"/>
    <x v="28"/>
    <s v="ONZA"/>
    <n v="4004.4333333300001"/>
    <n v="59"/>
    <n v="71"/>
    <n v="12"/>
    <n v="284314.76666642999"/>
    <n v="48053.199999960001"/>
    <x v="0"/>
  </r>
  <r>
    <x v="2"/>
    <x v="10"/>
    <x v="4"/>
    <s v="LICORES"/>
    <x v="0"/>
    <x v="28"/>
    <s v="ONZA"/>
    <n v="4004.4333333300001"/>
    <n v="72"/>
    <n v="86.5"/>
    <n v="14.5"/>
    <n v="346383.48333304503"/>
    <n v="58064.283333284999"/>
    <x v="0"/>
  </r>
  <r>
    <x v="2"/>
    <x v="15"/>
    <x v="1"/>
    <s v="LICORES"/>
    <x v="0"/>
    <x v="973"/>
    <s v="ONZA"/>
    <n v="3662.7083333300002"/>
    <n v="48"/>
    <n v="48"/>
    <n v="0"/>
    <n v="175809.99999984002"/>
    <n v="0"/>
    <x v="1"/>
  </r>
  <r>
    <x v="2"/>
    <x v="12"/>
    <x v="3"/>
    <s v="LICORES"/>
    <x v="0"/>
    <x v="288"/>
    <s v="ONZA"/>
    <n v="14293.772727269999"/>
    <n v="22"/>
    <n v="22"/>
    <n v="0"/>
    <n v="314462.99999993999"/>
    <n v="0"/>
    <x v="1"/>
  </r>
  <r>
    <x v="2"/>
    <x v="14"/>
    <x v="0"/>
    <s v="LICORES"/>
    <x v="0"/>
    <x v="288"/>
    <s v="ONZA"/>
    <n v="14293.772727269999"/>
    <n v="44"/>
    <n v="44"/>
    <n v="0"/>
    <n v="628925.99999987998"/>
    <n v="0"/>
    <x v="1"/>
  </r>
  <r>
    <x v="2"/>
    <x v="13"/>
    <x v="2"/>
    <s v="LICORES"/>
    <x v="0"/>
    <x v="288"/>
    <s v="ONZA"/>
    <n v="14293.772727269999"/>
    <n v="22"/>
    <n v="22"/>
    <n v="0"/>
    <n v="314462.99999993999"/>
    <n v="0"/>
    <x v="1"/>
  </r>
  <r>
    <x v="2"/>
    <x v="10"/>
    <x v="4"/>
    <s v="LICORES"/>
    <x v="0"/>
    <x v="288"/>
    <s v="ONZA"/>
    <n v="14293.772727269999"/>
    <n v="22"/>
    <n v="22"/>
    <n v="0"/>
    <n v="314462.99999993999"/>
    <n v="0"/>
    <x v="1"/>
  </r>
  <r>
    <x v="2"/>
    <x v="12"/>
    <x v="3"/>
    <s v="LICORES"/>
    <x v="0"/>
    <x v="292"/>
    <s v="ONZA"/>
    <n v="10667.40909091"/>
    <n v="22"/>
    <n v="22"/>
    <n v="0"/>
    <n v="234683.00000001999"/>
    <n v="0"/>
    <x v="1"/>
  </r>
  <r>
    <x v="2"/>
    <x v="14"/>
    <x v="0"/>
    <s v="LICORES"/>
    <x v="0"/>
    <x v="292"/>
    <s v="ONZA"/>
    <n v="10667.40909091"/>
    <n v="22"/>
    <n v="22"/>
    <n v="0"/>
    <n v="234683.00000001999"/>
    <n v="0"/>
    <x v="1"/>
  </r>
  <r>
    <x v="2"/>
    <x v="13"/>
    <x v="2"/>
    <s v="LICORES"/>
    <x v="0"/>
    <x v="292"/>
    <s v="ONZA"/>
    <n v="10667.40909091"/>
    <n v="22"/>
    <n v="22"/>
    <n v="0"/>
    <n v="234683.00000001999"/>
    <n v="0"/>
    <x v="1"/>
  </r>
  <r>
    <x v="2"/>
    <x v="15"/>
    <x v="1"/>
    <s v="LICORES"/>
    <x v="0"/>
    <x v="292"/>
    <s v="ONZA"/>
    <n v="10667.40909091"/>
    <n v="0"/>
    <n v="0"/>
    <n v="0"/>
    <n v="0"/>
    <n v="0"/>
    <x v="1"/>
  </r>
  <r>
    <x v="2"/>
    <x v="10"/>
    <x v="4"/>
    <s v="LICORES"/>
    <x v="0"/>
    <x v="292"/>
    <s v="ONZA"/>
    <n v="10667.40909091"/>
    <n v="22"/>
    <n v="22"/>
    <n v="0"/>
    <n v="234683.00000001999"/>
    <n v="0"/>
    <x v="1"/>
  </r>
  <r>
    <x v="2"/>
    <x v="12"/>
    <x v="3"/>
    <s v="LICORES"/>
    <x v="0"/>
    <x v="323"/>
    <s v="ONZA"/>
    <n v="8874.3181818199992"/>
    <n v="76"/>
    <n v="77"/>
    <n v="1"/>
    <n v="683322.50000013993"/>
    <n v="8874.3181818199992"/>
    <x v="0"/>
  </r>
  <r>
    <x v="2"/>
    <x v="14"/>
    <x v="0"/>
    <s v="LICORES"/>
    <x v="0"/>
    <x v="323"/>
    <s v="ONZA"/>
    <n v="8874.3181818199992"/>
    <n v="18"/>
    <n v="22"/>
    <n v="4"/>
    <n v="195235.00000003999"/>
    <n v="35497.272727279997"/>
    <x v="0"/>
  </r>
  <r>
    <x v="2"/>
    <x v="13"/>
    <x v="2"/>
    <s v="LICORES"/>
    <x v="0"/>
    <x v="323"/>
    <s v="ONZA"/>
    <n v="8874.3181818199992"/>
    <n v="68"/>
    <n v="64"/>
    <n v="-4"/>
    <n v="567956.36363647995"/>
    <n v="-35497.272727279997"/>
    <x v="2"/>
  </r>
  <r>
    <x v="2"/>
    <x v="15"/>
    <x v="1"/>
    <s v="LICORES"/>
    <x v="0"/>
    <x v="323"/>
    <s v="ONZA"/>
    <n v="8874.3181818199992"/>
    <n v="88"/>
    <n v="96"/>
    <n v="8"/>
    <n v="851934.54545471992"/>
    <n v="70994.545454559993"/>
    <x v="0"/>
  </r>
  <r>
    <x v="2"/>
    <x v="10"/>
    <x v="4"/>
    <s v="LICORES"/>
    <x v="0"/>
    <x v="323"/>
    <s v="ONZA"/>
    <n v="8874.3181818199992"/>
    <n v="56.91"/>
    <n v="60.32"/>
    <n v="3.41"/>
    <n v="535298.87272738235"/>
    <n v="30261.425000006198"/>
    <x v="0"/>
  </r>
  <r>
    <x v="2"/>
    <x v="14"/>
    <x v="0"/>
    <s v="LICORES"/>
    <x v="0"/>
    <x v="25"/>
    <s v="ONZA"/>
    <n v="4505.9166666700003"/>
    <n v="10"/>
    <n v="10"/>
    <n v="0"/>
    <n v="45059.166666700003"/>
    <n v="0"/>
    <x v="1"/>
  </r>
  <r>
    <x v="2"/>
    <x v="12"/>
    <x v="3"/>
    <s v="PESCADOS Y MARISCOS"/>
    <x v="1"/>
    <x v="272"/>
    <s v="UNIDADES"/>
    <n v="8166.6666666700003"/>
    <n v="0"/>
    <n v="0"/>
    <n v="0"/>
    <n v="0"/>
    <n v="0"/>
    <x v="1"/>
  </r>
  <r>
    <x v="2"/>
    <x v="14"/>
    <x v="0"/>
    <s v="PESCADOS Y MARISCOS"/>
    <x v="1"/>
    <x v="272"/>
    <s v="UNIDADES"/>
    <n v="11564"/>
    <n v="11"/>
    <n v="11"/>
    <n v="0"/>
    <n v="127204"/>
    <n v="0"/>
    <x v="1"/>
  </r>
  <r>
    <x v="2"/>
    <x v="13"/>
    <x v="2"/>
    <s v="PESCADOS Y MARISCOS"/>
    <x v="1"/>
    <x v="272"/>
    <s v="UNIDADES"/>
    <n v="8166.6666666700003"/>
    <n v="0"/>
    <n v="0"/>
    <n v="0"/>
    <n v="0"/>
    <n v="0"/>
    <x v="1"/>
  </r>
  <r>
    <x v="2"/>
    <x v="16"/>
    <x v="5"/>
    <s v="PESCADOS Y MARISCOS"/>
    <x v="1"/>
    <x v="272"/>
    <s v="UNIDADES"/>
    <n v="8166.6666666700003"/>
    <n v="0"/>
    <n v="0"/>
    <n v="0"/>
    <n v="0"/>
    <n v="0"/>
    <x v="1"/>
  </r>
  <r>
    <x v="2"/>
    <x v="10"/>
    <x v="4"/>
    <s v="PESCADOS Y MARISCOS"/>
    <x v="1"/>
    <x v="272"/>
    <s v="UNIDADES"/>
    <n v="8166.6666666700003"/>
    <n v="5"/>
    <n v="5"/>
    <n v="0"/>
    <n v="40833.333333350005"/>
    <n v="0"/>
    <x v="1"/>
  </r>
  <r>
    <x v="2"/>
    <x v="12"/>
    <x v="3"/>
    <s v="PESCADOS Y MARISCOS"/>
    <x v="1"/>
    <x v="335"/>
    <s v="GRAMOS"/>
    <n v="454.81299999999999"/>
    <n v="0"/>
    <n v="0"/>
    <n v="0"/>
    <n v="0"/>
    <n v="0"/>
    <x v="1"/>
  </r>
  <r>
    <x v="2"/>
    <x v="14"/>
    <x v="0"/>
    <s v="PESCADOS Y MARISCOS"/>
    <x v="1"/>
    <x v="335"/>
    <s v="GRAMOS"/>
    <n v="355.6"/>
    <n v="910.52629999999999"/>
    <n v="630"/>
    <n v="-280.52630900000003"/>
    <n v="224028"/>
    <n v="-99755.155480400019"/>
    <x v="2"/>
  </r>
  <r>
    <x v="2"/>
    <x v="13"/>
    <x v="2"/>
    <s v="PESCADOS Y MARISCOS"/>
    <x v="1"/>
    <x v="335"/>
    <s v="GRAMOS"/>
    <n v="454.81299999999999"/>
    <n v="0"/>
    <n v="0"/>
    <n v="0"/>
    <n v="0"/>
    <n v="0"/>
    <x v="1"/>
  </r>
  <r>
    <x v="2"/>
    <x v="16"/>
    <x v="5"/>
    <s v="PESCADOS Y MARISCOS"/>
    <x v="1"/>
    <x v="335"/>
    <s v="GRAMOS"/>
    <n v="454.81299999999999"/>
    <n v="1500"/>
    <n v="1200"/>
    <n v="-300"/>
    <n v="545775.6"/>
    <n v="-136443.9"/>
    <x v="2"/>
  </r>
  <r>
    <x v="2"/>
    <x v="10"/>
    <x v="4"/>
    <s v="PESCADOS Y MARISCOS"/>
    <x v="1"/>
    <x v="335"/>
    <s v="GRAMOS"/>
    <n v="454.81299999999999"/>
    <n v="0"/>
    <n v="0"/>
    <n v="0"/>
    <n v="0"/>
    <n v="0"/>
    <x v="1"/>
  </r>
  <r>
    <x v="2"/>
    <x v="12"/>
    <x v="3"/>
    <s v="MATERIAL DE ASEO"/>
    <x v="3"/>
    <x v="974"/>
    <s v="UNIDADES"/>
    <n v="45452"/>
    <n v="0"/>
    <n v="1"/>
    <n v="0"/>
    <n v="45452"/>
    <n v="0"/>
    <x v="1"/>
  </r>
  <r>
    <x v="2"/>
    <x v="13"/>
    <x v="2"/>
    <s v="MATERIAL DE ASEO"/>
    <x v="3"/>
    <x v="974"/>
    <s v="UNIDADES"/>
    <n v="45452"/>
    <n v="2"/>
    <n v="1"/>
    <n v="-1"/>
    <n v="45452"/>
    <n v="-45452"/>
    <x v="2"/>
  </r>
  <r>
    <x v="2"/>
    <x v="15"/>
    <x v="1"/>
    <s v="MATERIAL DE ASEO"/>
    <x v="3"/>
    <x v="974"/>
    <s v="UNIDADES"/>
    <n v="45452"/>
    <n v="0"/>
    <n v="0"/>
    <n v="0"/>
    <n v="0"/>
    <n v="0"/>
    <x v="1"/>
  </r>
  <r>
    <x v="2"/>
    <x v="10"/>
    <x v="4"/>
    <s v="MATERIAL DE ASEO"/>
    <x v="3"/>
    <x v="974"/>
    <s v="UNIDADES"/>
    <n v="45452"/>
    <n v="0"/>
    <n v="0"/>
    <n v="0"/>
    <n v="0"/>
    <n v="0"/>
    <x v="1"/>
  </r>
  <r>
    <x v="2"/>
    <x v="12"/>
    <x v="3"/>
    <s v="MATERIAL DE ASEO"/>
    <x v="3"/>
    <x v="975"/>
    <s v="UNIDADES"/>
    <n v="56142"/>
    <n v="2"/>
    <n v="1"/>
    <n v="-1"/>
    <n v="56142"/>
    <n v="-56142"/>
    <x v="2"/>
  </r>
  <r>
    <x v="2"/>
    <x v="13"/>
    <x v="2"/>
    <s v="MATERIAL DE ASEO"/>
    <x v="3"/>
    <x v="975"/>
    <s v="UNIDADES"/>
    <n v="56142"/>
    <n v="1"/>
    <n v="1"/>
    <n v="0"/>
    <n v="56142"/>
    <n v="0"/>
    <x v="1"/>
  </r>
  <r>
    <x v="2"/>
    <x v="15"/>
    <x v="1"/>
    <s v="MATERIAL DE ASEO"/>
    <x v="3"/>
    <x v="975"/>
    <s v="UNIDADES"/>
    <n v="56142"/>
    <n v="0"/>
    <n v="0"/>
    <n v="0"/>
    <n v="0"/>
    <n v="0"/>
    <x v="1"/>
  </r>
  <r>
    <x v="2"/>
    <x v="10"/>
    <x v="4"/>
    <s v="MATERIAL DE ASEO"/>
    <x v="3"/>
    <x v="975"/>
    <s v="UNIDADES"/>
    <n v="56142"/>
    <n v="0"/>
    <n v="1"/>
    <n v="1"/>
    <n v="56142"/>
    <n v="56142"/>
    <x v="0"/>
  </r>
  <r>
    <x v="2"/>
    <x v="12"/>
    <x v="3"/>
    <s v="MATERIAL DE ASEO"/>
    <x v="3"/>
    <x v="976"/>
    <s v="UNIDADES"/>
    <n v="40422"/>
    <n v="1"/>
    <n v="1"/>
    <n v="0"/>
    <n v="40422"/>
    <n v="0"/>
    <x v="1"/>
  </r>
  <r>
    <x v="2"/>
    <x v="13"/>
    <x v="2"/>
    <s v="MATERIAL DE ASEO"/>
    <x v="3"/>
    <x v="976"/>
    <s v="UNIDADES"/>
    <n v="40422"/>
    <n v="1"/>
    <n v="1"/>
    <n v="0"/>
    <n v="40422"/>
    <n v="0"/>
    <x v="1"/>
  </r>
  <r>
    <x v="2"/>
    <x v="15"/>
    <x v="1"/>
    <s v="MATERIAL DE ASEO"/>
    <x v="3"/>
    <x v="976"/>
    <s v="UNIDADES"/>
    <n v="40422"/>
    <n v="0"/>
    <n v="0"/>
    <n v="0"/>
    <n v="0"/>
    <n v="0"/>
    <x v="1"/>
  </r>
  <r>
    <x v="2"/>
    <x v="10"/>
    <x v="4"/>
    <s v="MATERIAL DE ASEO"/>
    <x v="3"/>
    <x v="976"/>
    <s v="UNIDADES"/>
    <n v="40422"/>
    <n v="0"/>
    <n v="0"/>
    <n v="0"/>
    <n v="0"/>
    <n v="0"/>
    <x v="1"/>
  </r>
  <r>
    <x v="2"/>
    <x v="12"/>
    <x v="3"/>
    <s v="MATERIAL DE ASEO"/>
    <x v="3"/>
    <x v="977"/>
    <s v="UNIDADES"/>
    <n v="8771.4285714300004"/>
    <n v="0"/>
    <n v="0"/>
    <n v="0"/>
    <n v="0"/>
    <n v="0"/>
    <x v="1"/>
  </r>
  <r>
    <x v="2"/>
    <x v="14"/>
    <x v="0"/>
    <s v="MATERIAL DE ASEO"/>
    <x v="3"/>
    <x v="977"/>
    <s v="UNIDADES"/>
    <n v="8771.5"/>
    <n v="67"/>
    <n v="20"/>
    <n v="-47"/>
    <n v="175430"/>
    <n v="-412260.5"/>
    <x v="2"/>
  </r>
  <r>
    <x v="2"/>
    <x v="13"/>
    <x v="2"/>
    <s v="MATERIAL DE ASEO"/>
    <x v="3"/>
    <x v="977"/>
    <s v="UNIDADES"/>
    <n v="8771.4285714300004"/>
    <n v="44"/>
    <n v="5"/>
    <n v="-39"/>
    <n v="43857.14285715"/>
    <n v="-342085.71428577002"/>
    <x v="2"/>
  </r>
  <r>
    <x v="2"/>
    <x v="15"/>
    <x v="1"/>
    <s v="MATERIAL DE ASEO"/>
    <x v="3"/>
    <x v="977"/>
    <s v="UNIDADES"/>
    <n v="8771.5"/>
    <n v="11"/>
    <n v="3"/>
    <n v="-8"/>
    <n v="26314.5"/>
    <n v="-70172"/>
    <x v="2"/>
  </r>
  <r>
    <x v="2"/>
    <x v="10"/>
    <x v="4"/>
    <s v="MATERIAL DE ASEO"/>
    <x v="3"/>
    <x v="977"/>
    <s v="UNIDADES"/>
    <n v="8771.4285714300004"/>
    <n v="60"/>
    <n v="10"/>
    <n v="-50"/>
    <n v="87714.2857143"/>
    <n v="-438571.4285715"/>
    <x v="2"/>
  </r>
  <r>
    <x v="2"/>
    <x v="12"/>
    <x v="3"/>
    <s v="MATERIAL DE ASEO"/>
    <x v="3"/>
    <x v="978"/>
    <s v="UNIDADES"/>
    <n v="24179.127451"/>
    <n v="0"/>
    <n v="0"/>
    <n v="0"/>
    <n v="0"/>
    <n v="0"/>
    <x v="1"/>
  </r>
  <r>
    <x v="2"/>
    <x v="13"/>
    <x v="2"/>
    <s v="MATERIAL DE ASEO"/>
    <x v="3"/>
    <x v="978"/>
    <s v="UNIDADES"/>
    <n v="24179.127451"/>
    <n v="0"/>
    <n v="0"/>
    <n v="0"/>
    <n v="0"/>
    <n v="0"/>
    <x v="1"/>
  </r>
  <r>
    <x v="2"/>
    <x v="10"/>
    <x v="4"/>
    <s v="MATERIAL DE ASEO"/>
    <x v="3"/>
    <x v="978"/>
    <s v="UNIDADES"/>
    <n v="24179.127451"/>
    <n v="0"/>
    <n v="0"/>
    <n v="0"/>
    <n v="0"/>
    <n v="0"/>
    <x v="1"/>
  </r>
  <r>
    <x v="2"/>
    <x v="12"/>
    <x v="3"/>
    <s v="MATERIAL DE ASEO"/>
    <x v="3"/>
    <x v="979"/>
    <s v="UNIDADES"/>
    <n v="18934.621848800001"/>
    <n v="5"/>
    <n v="0"/>
    <n v="-5"/>
    <n v="0"/>
    <n v="-94673.109244000007"/>
    <x v="2"/>
  </r>
  <r>
    <x v="2"/>
    <x v="13"/>
    <x v="2"/>
    <s v="MATERIAL DE ASEO"/>
    <x v="3"/>
    <x v="979"/>
    <s v="UNIDADES"/>
    <n v="18934.621848800001"/>
    <n v="32"/>
    <n v="0"/>
    <n v="-32"/>
    <n v="0"/>
    <n v="-605907.89916160004"/>
    <x v="2"/>
  </r>
  <r>
    <x v="2"/>
    <x v="15"/>
    <x v="1"/>
    <s v="MATERIAL DE ASEO"/>
    <x v="3"/>
    <x v="979"/>
    <s v="UNIDADES"/>
    <n v="6759"/>
    <n v="14"/>
    <n v="10"/>
    <n v="-4"/>
    <n v="67590"/>
    <n v="-27036"/>
    <x v="2"/>
  </r>
  <r>
    <x v="2"/>
    <x v="10"/>
    <x v="4"/>
    <s v="MATERIAL DE ASEO"/>
    <x v="3"/>
    <x v="979"/>
    <s v="UNIDADES"/>
    <n v="18934.621848800001"/>
    <n v="20"/>
    <n v="8"/>
    <n v="-12"/>
    <n v="151476.97479040001"/>
    <n v="-227215.46218560002"/>
    <x v="2"/>
  </r>
  <r>
    <x v="2"/>
    <x v="14"/>
    <x v="0"/>
    <s v="PROTEINAS"/>
    <x v="1"/>
    <x v="336"/>
    <s v="GRAMOS"/>
    <n v="32.5"/>
    <n v="7534.3860000000004"/>
    <n v="5358"/>
    <n v="-2176.3859699999998"/>
    <n v="174135"/>
    <n v="-70732.544024999996"/>
    <x v="2"/>
  </r>
  <r>
    <x v="2"/>
    <x v="15"/>
    <x v="1"/>
    <s v="PROTEINAS"/>
    <x v="1"/>
    <x v="336"/>
    <s v="GRAMOS"/>
    <n v="32.5"/>
    <n v="9019.4447"/>
    <n v="0"/>
    <n v="-9019.4446609999995"/>
    <n v="0"/>
    <n v="-293131.95148250001"/>
    <x v="2"/>
  </r>
  <r>
    <x v="2"/>
    <x v="12"/>
    <x v="3"/>
    <s v="ABARROTES"/>
    <x v="1"/>
    <x v="980"/>
    <s v="GRAMOS"/>
    <n v="99"/>
    <n v="260"/>
    <n v="450"/>
    <n v="190"/>
    <n v="44550"/>
    <n v="18810"/>
    <x v="0"/>
  </r>
  <r>
    <x v="2"/>
    <x v="14"/>
    <x v="0"/>
    <s v="ABARROTES"/>
    <x v="1"/>
    <x v="980"/>
    <s v="GRAMOS"/>
    <n v="99.166666669999998"/>
    <n v="211"/>
    <n v="630"/>
    <n v="419"/>
    <n v="62475.000002100001"/>
    <n v="41550.833334729999"/>
    <x v="0"/>
  </r>
  <r>
    <x v="2"/>
    <x v="13"/>
    <x v="2"/>
    <s v="ABARROTES"/>
    <x v="1"/>
    <x v="980"/>
    <s v="GRAMOS"/>
    <n v="99.166666669999998"/>
    <n v="903"/>
    <n v="754"/>
    <n v="-149.00000199999999"/>
    <n v="74771.666669180006"/>
    <n v="-14775.833532163333"/>
    <x v="2"/>
  </r>
  <r>
    <x v="2"/>
    <x v="10"/>
    <x v="4"/>
    <s v="ABARROTES"/>
    <x v="1"/>
    <x v="980"/>
    <s v="GRAMOS"/>
    <n v="99.166666669999998"/>
    <n v="447"/>
    <n v="448"/>
    <n v="1"/>
    <n v="44426.666668159996"/>
    <n v="99.166666669999998"/>
    <x v="0"/>
  </r>
  <r>
    <x v="2"/>
    <x v="12"/>
    <x v="3"/>
    <s v="FRUVER"/>
    <x v="1"/>
    <x v="981"/>
    <s v="GRAMOS"/>
    <n v="12"/>
    <n v="-2733.9996999999998"/>
    <n v="1558"/>
    <n v="2991.9997250000001"/>
    <n v="18696"/>
    <n v="35903.996700000003"/>
    <x v="0"/>
  </r>
  <r>
    <x v="2"/>
    <x v="14"/>
    <x v="0"/>
    <s v="FRUVER"/>
    <x v="1"/>
    <x v="981"/>
    <s v="GRAMOS"/>
    <n v="12"/>
    <n v="29822.3861"/>
    <n v="4950"/>
    <n v="-24872.386083000001"/>
    <n v="59400"/>
    <n v="-298468.632996"/>
    <x v="2"/>
  </r>
  <r>
    <x v="2"/>
    <x v="13"/>
    <x v="2"/>
    <s v="FRUVER"/>
    <x v="1"/>
    <x v="981"/>
    <s v="GRAMOS"/>
    <n v="12"/>
    <n v="-1909.9997000000001"/>
    <n v="0"/>
    <n v="909.99971300000004"/>
    <n v="0"/>
    <n v="10919.996556"/>
    <x v="0"/>
  </r>
  <r>
    <x v="2"/>
    <x v="15"/>
    <x v="1"/>
    <s v="FRUVER"/>
    <x v="1"/>
    <x v="981"/>
    <s v="GRAMOS"/>
    <n v="12"/>
    <n v="1000"/>
    <n v="0"/>
    <n v="-1000"/>
    <n v="0"/>
    <n v="-12000"/>
    <x v="2"/>
  </r>
  <r>
    <x v="2"/>
    <x v="10"/>
    <x v="4"/>
    <s v="FRUVER"/>
    <x v="1"/>
    <x v="981"/>
    <s v="GRAMOS"/>
    <n v="12"/>
    <n v="-3812.5551"/>
    <n v="1310"/>
    <n v="5122.5550759999996"/>
    <n v="15720"/>
    <n v="61470.660911999992"/>
    <x v="0"/>
  </r>
  <r>
    <x v="2"/>
    <x v="12"/>
    <x v="3"/>
    <s v="FRUVER"/>
    <x v="1"/>
    <x v="982"/>
    <s v="GRAMOS"/>
    <n v="5"/>
    <n v="6951.3567999999996"/>
    <n v="3120"/>
    <n v="-5831.3568150000001"/>
    <n v="15600"/>
    <n v="-29156.784075"/>
    <x v="2"/>
  </r>
  <r>
    <x v="2"/>
    <x v="14"/>
    <x v="0"/>
    <s v="FRUVER"/>
    <x v="1"/>
    <x v="982"/>
    <s v="GRAMOS"/>
    <n v="5"/>
    <n v="29163.7994"/>
    <n v="4922"/>
    <n v="-24241.799367"/>
    <n v="24610"/>
    <n v="-121208.996835"/>
    <x v="2"/>
  </r>
  <r>
    <x v="2"/>
    <x v="13"/>
    <x v="2"/>
    <s v="FRUVER"/>
    <x v="1"/>
    <x v="982"/>
    <s v="GRAMOS"/>
    <n v="5"/>
    <n v="4565.0456000000004"/>
    <n v="6494"/>
    <n v="-6271.0456000000004"/>
    <n v="32470"/>
    <n v="-31355.228000000003"/>
    <x v="2"/>
  </r>
  <r>
    <x v="2"/>
    <x v="15"/>
    <x v="1"/>
    <s v="FRUVER"/>
    <x v="1"/>
    <x v="982"/>
    <s v="GRAMOS"/>
    <n v="5"/>
    <n v="-6004.9803000000002"/>
    <n v="0"/>
    <n v="6004.9803229999998"/>
    <n v="0"/>
    <n v="30024.901614999999"/>
    <x v="0"/>
  </r>
  <r>
    <x v="2"/>
    <x v="10"/>
    <x v="4"/>
    <s v="FRUVER"/>
    <x v="1"/>
    <x v="982"/>
    <s v="GRAMOS"/>
    <n v="5"/>
    <n v="22243.085599999999"/>
    <n v="9678"/>
    <n v="-12565.085566"/>
    <n v="48390"/>
    <n v="-62825.427830000001"/>
    <x v="2"/>
  </r>
  <r>
    <x v="2"/>
    <x v="12"/>
    <x v="3"/>
    <s v="FRUVER"/>
    <x v="1"/>
    <x v="983"/>
    <s v="GRAMOS"/>
    <n v="37.5"/>
    <n v="2128.5263"/>
    <n v="700"/>
    <n v="-2228.5262905999998"/>
    <n v="26250"/>
    <n v="-83569.735897499995"/>
    <x v="2"/>
  </r>
  <r>
    <x v="2"/>
    <x v="14"/>
    <x v="0"/>
    <s v="FRUVER"/>
    <x v="1"/>
    <x v="983"/>
    <s v="GRAMOS"/>
    <n v="37.5"/>
    <n v="1248.5437999999999"/>
    <n v="600"/>
    <n v="-648.5438034"/>
    <n v="22500"/>
    <n v="-24320.392627500001"/>
    <x v="2"/>
  </r>
  <r>
    <x v="2"/>
    <x v="13"/>
    <x v="2"/>
    <s v="FRUVER"/>
    <x v="1"/>
    <x v="983"/>
    <s v="GRAMOS"/>
    <n v="37.5"/>
    <n v="3348.2105000000001"/>
    <n v="1860"/>
    <n v="-2088.2105012000002"/>
    <n v="69750"/>
    <n v="-78307.893795000011"/>
    <x v="2"/>
  </r>
  <r>
    <x v="2"/>
    <x v="10"/>
    <x v="4"/>
    <s v="FRUVER"/>
    <x v="1"/>
    <x v="983"/>
    <s v="GRAMOS"/>
    <n v="37.5"/>
    <n v="3002.1052"/>
    <n v="950"/>
    <n v="-2052.1052295999998"/>
    <n v="35625"/>
    <n v="-76953.94610999999"/>
    <x v="2"/>
  </r>
  <r>
    <x v="2"/>
    <x v="15"/>
    <x v="1"/>
    <s v="FRUVER"/>
    <x v="1"/>
    <x v="984"/>
    <s v="GRAMOS"/>
    <n v="7"/>
    <n v="27361.111400000002"/>
    <n v="1300"/>
    <n v="-26061.111374"/>
    <n v="9100"/>
    <n v="-182427.779618"/>
    <x v="2"/>
  </r>
  <r>
    <x v="2"/>
    <x v="14"/>
    <x v="0"/>
    <s v="ABARROTES"/>
    <x v="1"/>
    <x v="985"/>
    <s v="GRAMOS"/>
    <n v="50.53298667"/>
    <n v="440"/>
    <n v="430"/>
    <n v="-10"/>
    <n v="21729.184268100002"/>
    <n v="-505.32986670000003"/>
    <x v="2"/>
  </r>
  <r>
    <x v="2"/>
    <x v="12"/>
    <x v="3"/>
    <s v="FRUVER"/>
    <x v="1"/>
    <x v="986"/>
    <s v="GRAMOS"/>
    <n v="15.5"/>
    <n v="0"/>
    <n v="0"/>
    <n v="0"/>
    <n v="0"/>
    <n v="0"/>
    <x v="1"/>
  </r>
  <r>
    <x v="2"/>
    <x v="14"/>
    <x v="0"/>
    <s v="FRUVER"/>
    <x v="1"/>
    <x v="986"/>
    <s v="GRAMOS"/>
    <n v="15.5"/>
    <n v="374"/>
    <n v="104"/>
    <n v="-270"/>
    <n v="1612"/>
    <n v="-4185"/>
    <x v="2"/>
  </r>
  <r>
    <x v="2"/>
    <x v="13"/>
    <x v="2"/>
    <s v="FRUVER"/>
    <x v="1"/>
    <x v="986"/>
    <s v="GRAMOS"/>
    <n v="15.5"/>
    <n v="130"/>
    <n v="0"/>
    <n v="-130"/>
    <n v="0"/>
    <n v="-2015"/>
    <x v="2"/>
  </r>
  <r>
    <x v="2"/>
    <x v="15"/>
    <x v="1"/>
    <s v="FRUVER"/>
    <x v="1"/>
    <x v="986"/>
    <s v="GRAMOS"/>
    <n v="15.5"/>
    <n v="100"/>
    <n v="0"/>
    <n v="-100"/>
    <n v="0"/>
    <n v="-1550"/>
    <x v="2"/>
  </r>
  <r>
    <x v="2"/>
    <x v="16"/>
    <x v="5"/>
    <s v="FRUVER"/>
    <x v="1"/>
    <x v="986"/>
    <s v="GRAMOS"/>
    <n v="15.5"/>
    <n v="227"/>
    <n v="250"/>
    <n v="23"/>
    <n v="3875"/>
    <n v="356.5"/>
    <x v="0"/>
  </r>
  <r>
    <x v="2"/>
    <x v="10"/>
    <x v="4"/>
    <s v="FRUVER"/>
    <x v="1"/>
    <x v="986"/>
    <s v="GRAMOS"/>
    <n v="15.5"/>
    <n v="0"/>
    <n v="0"/>
    <n v="0"/>
    <n v="0"/>
    <n v="0"/>
    <x v="1"/>
  </r>
  <r>
    <x v="2"/>
    <x v="12"/>
    <x v="3"/>
    <s v="FRUVER"/>
    <x v="1"/>
    <x v="987"/>
    <s v="GRAMOS"/>
    <n v="6"/>
    <n v="535"/>
    <n v="0"/>
    <n v="-535.00000199999999"/>
    <n v="0"/>
    <n v="-3210.000012"/>
    <x v="2"/>
  </r>
  <r>
    <x v="2"/>
    <x v="14"/>
    <x v="0"/>
    <s v="FRUVER"/>
    <x v="1"/>
    <x v="987"/>
    <s v="GRAMOS"/>
    <n v="6"/>
    <n v="6995"/>
    <n v="0"/>
    <n v="-6995"/>
    <n v="0"/>
    <n v="-41970"/>
    <x v="2"/>
  </r>
  <r>
    <x v="2"/>
    <x v="13"/>
    <x v="2"/>
    <s v="FRUVER"/>
    <x v="1"/>
    <x v="987"/>
    <s v="GRAMOS"/>
    <n v="6"/>
    <n v="-1016.6667"/>
    <n v="0"/>
    <n v="1016.666662"/>
    <n v="0"/>
    <n v="6099.9999719999996"/>
    <x v="0"/>
  </r>
  <r>
    <x v="2"/>
    <x v="15"/>
    <x v="1"/>
    <s v="FRUVER"/>
    <x v="1"/>
    <x v="987"/>
    <s v="GRAMOS"/>
    <n v="6"/>
    <n v="2875"/>
    <n v="1000"/>
    <n v="-1875"/>
    <n v="6000"/>
    <n v="-11250"/>
    <x v="2"/>
  </r>
  <r>
    <x v="2"/>
    <x v="16"/>
    <x v="5"/>
    <s v="FRUVER"/>
    <x v="1"/>
    <x v="987"/>
    <s v="GRAMOS"/>
    <n v="6"/>
    <n v="6000"/>
    <n v="634"/>
    <n v="-5366"/>
    <n v="3804"/>
    <n v="-32196"/>
    <x v="2"/>
  </r>
  <r>
    <x v="2"/>
    <x v="10"/>
    <x v="4"/>
    <s v="FRUVER"/>
    <x v="1"/>
    <x v="987"/>
    <s v="GRAMOS"/>
    <n v="6"/>
    <n v="1541.6667"/>
    <n v="0"/>
    <n v="-1541.6666720000001"/>
    <n v="0"/>
    <n v="-9250.0000319999999"/>
    <x v="2"/>
  </r>
  <r>
    <x v="2"/>
    <x v="15"/>
    <x v="1"/>
    <s v="ABARROTES"/>
    <x v="1"/>
    <x v="988"/>
    <s v="UNIDADES"/>
    <n v="850"/>
    <n v="-50"/>
    <n v="0"/>
    <n v="50"/>
    <n v="0"/>
    <n v="42500"/>
    <x v="0"/>
  </r>
  <r>
    <x v="2"/>
    <x v="16"/>
    <x v="5"/>
    <s v="ABARROTES"/>
    <x v="1"/>
    <x v="988"/>
    <s v="UNIDADES"/>
    <n v="240"/>
    <n v="0"/>
    <n v="0"/>
    <n v="0"/>
    <n v="0"/>
    <n v="0"/>
    <x v="1"/>
  </r>
  <r>
    <x v="2"/>
    <x v="14"/>
    <x v="0"/>
    <s v="ABARROTES"/>
    <x v="1"/>
    <x v="989"/>
    <s v="UNIDADES"/>
    <n v="451.95"/>
    <n v="-70"/>
    <n v="86"/>
    <n v="156"/>
    <n v="38867.699999999997"/>
    <n v="70504.2"/>
    <x v="0"/>
  </r>
  <r>
    <x v="2"/>
    <x v="15"/>
    <x v="1"/>
    <s v="ABARROTES"/>
    <x v="1"/>
    <x v="989"/>
    <s v="UNIDADES"/>
    <n v="451.95"/>
    <n v="348"/>
    <n v="10"/>
    <n v="-338"/>
    <n v="4519.5"/>
    <n v="-152759.1"/>
    <x v="2"/>
  </r>
  <r>
    <x v="2"/>
    <x v="14"/>
    <x v="0"/>
    <s v="VINOS"/>
    <x v="0"/>
    <x v="104"/>
    <s v="UNIDADES"/>
    <n v="66111.5"/>
    <n v="2"/>
    <n v="2"/>
    <n v="0"/>
    <n v="132223"/>
    <n v="0"/>
    <x v="1"/>
  </r>
  <r>
    <x v="2"/>
    <x v="12"/>
    <x v="3"/>
    <s v="PESCADOS Y MARISCOS"/>
    <x v="1"/>
    <x v="306"/>
    <s v="GRAMOS"/>
    <n v="33.499699999999997"/>
    <n v="34000"/>
    <n v="15000"/>
    <n v="-19000"/>
    <n v="502495.49999999994"/>
    <n v="-636494.29999999993"/>
    <x v="2"/>
  </r>
  <r>
    <x v="2"/>
    <x v="14"/>
    <x v="0"/>
    <s v="PESCADOS Y MARISCOS"/>
    <x v="1"/>
    <x v="306"/>
    <s v="GRAMOS"/>
    <n v="33.499699999999997"/>
    <n v="14000"/>
    <n v="14000"/>
    <n v="0"/>
    <n v="468995.8"/>
    <n v="0"/>
    <x v="1"/>
  </r>
  <r>
    <x v="2"/>
    <x v="13"/>
    <x v="2"/>
    <s v="PESCADOS Y MARISCOS"/>
    <x v="1"/>
    <x v="306"/>
    <s v="GRAMOS"/>
    <n v="33.499699999999997"/>
    <n v="7722"/>
    <n v="11000"/>
    <n v="3278"/>
    <n v="368496.69999999995"/>
    <n v="109812.01659999999"/>
    <x v="0"/>
  </r>
  <r>
    <x v="2"/>
    <x v="16"/>
    <x v="5"/>
    <s v="PESCADOS Y MARISCOS"/>
    <x v="1"/>
    <x v="306"/>
    <s v="GRAMOS"/>
    <n v="33.499699999999997"/>
    <n v="41000"/>
    <n v="41000"/>
    <n v="0"/>
    <n v="1373487.7"/>
    <n v="0"/>
    <x v="1"/>
  </r>
  <r>
    <x v="2"/>
    <x v="10"/>
    <x v="4"/>
    <s v="PESCADOS Y MARISCOS"/>
    <x v="1"/>
    <x v="306"/>
    <s v="GRAMOS"/>
    <n v="33.499699999999997"/>
    <n v="19000"/>
    <n v="20000"/>
    <n v="1000"/>
    <n v="669994"/>
    <n v="33499.699999999997"/>
    <x v="0"/>
  </r>
  <r>
    <x v="2"/>
    <x v="14"/>
    <x v="0"/>
    <s v="FRUVER"/>
    <x v="1"/>
    <x v="990"/>
    <s v="GRAMOS"/>
    <n v="15"/>
    <n v="-90"/>
    <n v="0"/>
    <n v="90"/>
    <n v="0"/>
    <n v="1350"/>
    <x v="0"/>
  </r>
  <r>
    <x v="2"/>
    <x v="12"/>
    <x v="3"/>
    <s v="MATERIAL DE ASEO"/>
    <x v="3"/>
    <x v="991"/>
    <s v="GRAMOS"/>
    <n v="20.623699999999999"/>
    <n v="50000"/>
    <n v="20000"/>
    <n v="-30000"/>
    <n v="412474"/>
    <n v="-618711"/>
    <x v="2"/>
  </r>
  <r>
    <x v="2"/>
    <x v="14"/>
    <x v="0"/>
    <s v="MATERIAL DE ASEO"/>
    <x v="3"/>
    <x v="991"/>
    <s v="GRAMOS"/>
    <n v="20.623699999999999"/>
    <n v="90000"/>
    <n v="0"/>
    <n v="-90000"/>
    <n v="0"/>
    <n v="-1856133"/>
    <x v="2"/>
  </r>
  <r>
    <x v="2"/>
    <x v="13"/>
    <x v="2"/>
    <s v="MATERIAL DE ASEO"/>
    <x v="3"/>
    <x v="991"/>
    <s v="GRAMOS"/>
    <n v="20.623699999999999"/>
    <n v="50000"/>
    <n v="40000"/>
    <n v="-20000"/>
    <n v="824948"/>
    <n v="-412474"/>
    <x v="2"/>
  </r>
  <r>
    <x v="2"/>
    <x v="15"/>
    <x v="1"/>
    <s v="MATERIAL DE ASEO"/>
    <x v="3"/>
    <x v="991"/>
    <s v="GRAMOS"/>
    <n v="20.623699999999999"/>
    <n v="61004"/>
    <n v="0"/>
    <n v="-61004"/>
    <n v="0"/>
    <n v="-1258128.1947999999"/>
    <x v="2"/>
  </r>
  <r>
    <x v="2"/>
    <x v="10"/>
    <x v="4"/>
    <s v="MATERIAL DE ASEO"/>
    <x v="3"/>
    <x v="991"/>
    <s v="GRAMOS"/>
    <n v="20.623699999999999"/>
    <n v="122000"/>
    <n v="30000"/>
    <n v="-92000"/>
    <n v="618711"/>
    <n v="-1897380.4"/>
    <x v="2"/>
  </r>
  <r>
    <x v="2"/>
    <x v="12"/>
    <x v="3"/>
    <s v="FRUVER"/>
    <x v="1"/>
    <x v="992"/>
    <s v="GRAMOS"/>
    <n v="30"/>
    <n v="-1170"/>
    <n v="0"/>
    <n v="1170"/>
    <n v="0"/>
    <n v="35100"/>
    <x v="0"/>
  </r>
  <r>
    <x v="2"/>
    <x v="14"/>
    <x v="0"/>
    <s v="FRUVER"/>
    <x v="1"/>
    <x v="992"/>
    <s v="GRAMOS"/>
    <n v="30"/>
    <n v="-2340"/>
    <n v="0"/>
    <n v="2340"/>
    <n v="0"/>
    <n v="70200"/>
    <x v="0"/>
  </r>
  <r>
    <x v="2"/>
    <x v="13"/>
    <x v="2"/>
    <s v="FRUVER"/>
    <x v="1"/>
    <x v="992"/>
    <s v="GRAMOS"/>
    <n v="30"/>
    <n v="-810"/>
    <n v="0"/>
    <n v="810"/>
    <n v="0"/>
    <n v="24300"/>
    <x v="0"/>
  </r>
  <r>
    <x v="2"/>
    <x v="15"/>
    <x v="1"/>
    <s v="FRUVER"/>
    <x v="1"/>
    <x v="992"/>
    <s v="GRAMOS"/>
    <n v="30"/>
    <n v="0"/>
    <n v="0"/>
    <n v="0"/>
    <n v="0"/>
    <n v="0"/>
    <x v="1"/>
  </r>
  <r>
    <x v="2"/>
    <x v="10"/>
    <x v="4"/>
    <s v="FRUVER"/>
    <x v="1"/>
    <x v="992"/>
    <s v="GRAMOS"/>
    <n v="30"/>
    <n v="-1290"/>
    <n v="0"/>
    <n v="1290"/>
    <n v="0"/>
    <n v="38700"/>
    <x v="0"/>
  </r>
  <r>
    <x v="2"/>
    <x v="12"/>
    <x v="3"/>
    <s v="MATERIAL DE EMPAQUE"/>
    <x v="2"/>
    <x v="993"/>
    <s v="UNIDADES"/>
    <n v="6497"/>
    <n v="1"/>
    <n v="0"/>
    <n v="-1"/>
    <n v="0"/>
    <n v="-6497"/>
    <x v="2"/>
  </r>
  <r>
    <x v="2"/>
    <x v="13"/>
    <x v="2"/>
    <s v="MATERIAL DE EMPAQUE"/>
    <x v="2"/>
    <x v="993"/>
    <s v="UNIDADES"/>
    <n v="6497"/>
    <n v="40"/>
    <n v="0"/>
    <n v="-40"/>
    <n v="0"/>
    <n v="-259880"/>
    <x v="2"/>
  </r>
  <r>
    <x v="2"/>
    <x v="15"/>
    <x v="1"/>
    <s v="MATERIAL DE EMPAQUE"/>
    <x v="2"/>
    <x v="993"/>
    <s v="UNIDADES"/>
    <n v="4600"/>
    <n v="7"/>
    <n v="0"/>
    <n v="-7"/>
    <n v="0"/>
    <n v="-32200"/>
    <x v="2"/>
  </r>
  <r>
    <x v="2"/>
    <x v="10"/>
    <x v="4"/>
    <s v="MATERIAL DE EMPAQUE"/>
    <x v="2"/>
    <x v="993"/>
    <s v="UNIDADES"/>
    <n v="6497"/>
    <n v="0"/>
    <n v="0"/>
    <n v="0"/>
    <n v="0"/>
    <n v="0"/>
    <x v="1"/>
  </r>
  <r>
    <x v="2"/>
    <x v="12"/>
    <x v="3"/>
    <s v="LICORES"/>
    <x v="0"/>
    <x v="36"/>
    <s v="ONZA"/>
    <n v="2904.0416666699998"/>
    <n v="12.72"/>
    <n v="37"/>
    <n v="24.28"/>
    <n v="107449.54166679"/>
    <n v="70510.131666747606"/>
    <x v="0"/>
  </r>
  <r>
    <x v="2"/>
    <x v="13"/>
    <x v="2"/>
    <s v="LICORES"/>
    <x v="0"/>
    <x v="36"/>
    <s v="ONZA"/>
    <n v="2904.0416666699998"/>
    <n v="36.06"/>
    <n v="38.5"/>
    <n v="2.44"/>
    <n v="111805.60416679499"/>
    <n v="7085.8616666747994"/>
    <x v="0"/>
  </r>
  <r>
    <x v="2"/>
    <x v="10"/>
    <x v="4"/>
    <s v="LICORES"/>
    <x v="0"/>
    <x v="36"/>
    <s v="ONZA"/>
    <n v="2904.0416666699998"/>
    <n v="21.72"/>
    <n v="22"/>
    <n v="0.28000000000000003"/>
    <n v="63888.916666739999"/>
    <n v="813.13166666760003"/>
    <x v="0"/>
  </r>
  <r>
    <x v="2"/>
    <x v="12"/>
    <x v="3"/>
    <s v="LICORES"/>
    <x v="0"/>
    <x v="26"/>
    <s v="ONZA"/>
    <n v="2906.3333333300002"/>
    <n v="18.34"/>
    <n v="19"/>
    <n v="0.66"/>
    <n v="55220.333333270006"/>
    <n v="1918.1799999978002"/>
    <x v="0"/>
  </r>
  <r>
    <x v="2"/>
    <x v="13"/>
    <x v="2"/>
    <s v="LICORES"/>
    <x v="0"/>
    <x v="26"/>
    <s v="ONZA"/>
    <n v="2906.3333333300002"/>
    <n v="22.02"/>
    <n v="21"/>
    <n v="-1.02"/>
    <n v="61032.999999930005"/>
    <n v="-2964.4599999966003"/>
    <x v="2"/>
  </r>
  <r>
    <x v="2"/>
    <x v="15"/>
    <x v="1"/>
    <s v="LICORES"/>
    <x v="0"/>
    <x v="26"/>
    <s v="ONZA"/>
    <n v="4587.75"/>
    <n v="0"/>
    <n v="24"/>
    <n v="24"/>
    <n v="110106"/>
    <n v="110106"/>
    <x v="0"/>
  </r>
  <r>
    <x v="2"/>
    <x v="10"/>
    <x v="4"/>
    <s v="LICORES"/>
    <x v="0"/>
    <x v="26"/>
    <s v="ONZA"/>
    <n v="2906.3333333300002"/>
    <n v="25.38"/>
    <n v="25"/>
    <n v="-0.38"/>
    <n v="72658.333333250004"/>
    <n v="-1104.4066666654001"/>
    <x v="2"/>
  </r>
  <r>
    <x v="2"/>
    <x v="12"/>
    <x v="3"/>
    <s v="VINOS"/>
    <x v="0"/>
    <x v="265"/>
    <s v="UNIDADES"/>
    <n v="444869"/>
    <n v="0"/>
    <n v="0"/>
    <n v="0"/>
    <n v="0"/>
    <n v="0"/>
    <x v="1"/>
  </r>
  <r>
    <x v="2"/>
    <x v="13"/>
    <x v="2"/>
    <s v="VINOS"/>
    <x v="0"/>
    <x v="265"/>
    <s v="UNIDADES"/>
    <n v="444869"/>
    <n v="1"/>
    <n v="0"/>
    <n v="-1"/>
    <n v="0"/>
    <n v="-444869"/>
    <x v="2"/>
  </r>
  <r>
    <x v="2"/>
    <x v="10"/>
    <x v="4"/>
    <s v="VINOS"/>
    <x v="0"/>
    <x v="265"/>
    <s v="UNIDADES"/>
    <n v="444869"/>
    <n v="1"/>
    <n v="1"/>
    <n v="0"/>
    <n v="444869"/>
    <n v="0"/>
    <x v="1"/>
  </r>
  <r>
    <x v="2"/>
    <x v="14"/>
    <x v="0"/>
    <s v="ABARROTES"/>
    <x v="1"/>
    <x v="994"/>
    <s v="GRAMOS"/>
    <n v="14.979749999999999"/>
    <n v="12280"/>
    <n v="6500"/>
    <n v="-5780"/>
    <n v="97368.375"/>
    <n v="-86582.955000000002"/>
    <x v="2"/>
  </r>
  <r>
    <x v="2"/>
    <x v="15"/>
    <x v="1"/>
    <s v="ABARROTES"/>
    <x v="1"/>
    <x v="994"/>
    <s v="GRAMOS"/>
    <n v="14.979749999999999"/>
    <n v="3087.4391999999998"/>
    <n v="3400"/>
    <n v="312.56085000000002"/>
    <n v="50931.149999999994"/>
    <n v="4682.0833927875001"/>
    <x v="0"/>
  </r>
  <r>
    <x v="2"/>
    <x v="12"/>
    <x v="3"/>
    <s v="ACEITES Y VINAGRES"/>
    <x v="1"/>
    <x v="995"/>
    <s v="GRAMOS"/>
    <n v="10.193790849999999"/>
    <n v="4000"/>
    <n v="0"/>
    <n v="-4000"/>
    <n v="0"/>
    <n v="-40775.163399999998"/>
    <x v="2"/>
  </r>
  <r>
    <x v="2"/>
    <x v="14"/>
    <x v="0"/>
    <s v="ACEITES Y VINAGRES"/>
    <x v="1"/>
    <x v="995"/>
    <s v="GRAMOS"/>
    <n v="10.193954250000001"/>
    <n v="3401"/>
    <n v="9000"/>
    <n v="5599"/>
    <n v="91745.588250000001"/>
    <n v="57075.949845750009"/>
    <x v="0"/>
  </r>
  <r>
    <x v="2"/>
    <x v="13"/>
    <x v="2"/>
    <s v="ACEITES Y VINAGRES"/>
    <x v="1"/>
    <x v="995"/>
    <s v="GRAMOS"/>
    <n v="10.193790849999999"/>
    <n v="0"/>
    <n v="0"/>
    <n v="0"/>
    <n v="0"/>
    <n v="0"/>
    <x v="1"/>
  </r>
  <r>
    <x v="2"/>
    <x v="15"/>
    <x v="1"/>
    <s v="ACEITES Y VINAGRES"/>
    <x v="1"/>
    <x v="995"/>
    <s v="GRAMOS"/>
    <n v="10.193954250000001"/>
    <n v="5421.2791999999999"/>
    <n v="3650"/>
    <n v="-1771.2792400000001"/>
    <n v="37207.933012500005"/>
    <n v="-18056.339536534771"/>
    <x v="2"/>
  </r>
  <r>
    <x v="2"/>
    <x v="10"/>
    <x v="4"/>
    <s v="ACEITES Y VINAGRES"/>
    <x v="1"/>
    <x v="995"/>
    <s v="GRAMOS"/>
    <n v="10.193790849999999"/>
    <n v="2868"/>
    <n v="12000"/>
    <n v="9132"/>
    <n v="122325.49019999999"/>
    <n v="93089.698042199991"/>
    <x v="0"/>
  </r>
  <r>
    <x v="2"/>
    <x v="15"/>
    <x v="1"/>
    <s v="ABARROTES"/>
    <x v="1"/>
    <x v="996"/>
    <s v="GRAMOS"/>
    <n v="15.64818182"/>
    <n v="0"/>
    <n v="0"/>
    <n v="0"/>
    <n v="0"/>
    <n v="0"/>
    <x v="1"/>
  </r>
  <r>
    <x v="2"/>
    <x v="12"/>
    <x v="3"/>
    <s v="VINOS"/>
    <x v="0"/>
    <x v="271"/>
    <s v="COPA"/>
    <n v="15145.3"/>
    <n v="32"/>
    <n v="27"/>
    <n v="-5"/>
    <n v="408923.1"/>
    <n v="-75726.5"/>
    <x v="2"/>
  </r>
  <r>
    <x v="2"/>
    <x v="13"/>
    <x v="2"/>
    <s v="VINOS"/>
    <x v="0"/>
    <x v="271"/>
    <s v="COPA"/>
    <n v="15145.3"/>
    <n v="7"/>
    <n v="9"/>
    <n v="2"/>
    <n v="136307.69999999998"/>
    <n v="30290.6"/>
    <x v="0"/>
  </r>
  <r>
    <x v="2"/>
    <x v="10"/>
    <x v="4"/>
    <s v="VINOS"/>
    <x v="0"/>
    <x v="271"/>
    <s v="COPA"/>
    <n v="15145.3"/>
    <n v="32"/>
    <n v="32"/>
    <n v="0"/>
    <n v="484649.6"/>
    <n v="0"/>
    <x v="1"/>
  </r>
  <r>
    <x v="2"/>
    <x v="12"/>
    <x v="3"/>
    <s v="ABARROTES"/>
    <x v="1"/>
    <x v="997"/>
    <s v="GRAMOS"/>
    <n v="16.262250000000002"/>
    <n v="4180"/>
    <n v="1000"/>
    <n v="-3180"/>
    <n v="16262.250000000002"/>
    <n v="-51713.955000000002"/>
    <x v="2"/>
  </r>
  <r>
    <x v="2"/>
    <x v="14"/>
    <x v="0"/>
    <s v="ABARROTES"/>
    <x v="1"/>
    <x v="997"/>
    <s v="GRAMOS"/>
    <n v="27.595099999999999"/>
    <n v="33690"/>
    <n v="4000"/>
    <n v="-29690"/>
    <n v="110380.4"/>
    <n v="-819298.51899999997"/>
    <x v="2"/>
  </r>
  <r>
    <x v="2"/>
    <x v="13"/>
    <x v="2"/>
    <s v="ABARROTES"/>
    <x v="1"/>
    <x v="997"/>
    <s v="GRAMOS"/>
    <n v="16.262250000000002"/>
    <n v="5560"/>
    <n v="2000"/>
    <n v="-7560"/>
    <n v="32524.500000000004"/>
    <n v="-122942.61000000002"/>
    <x v="2"/>
  </r>
  <r>
    <x v="2"/>
    <x v="15"/>
    <x v="1"/>
    <s v="ABARROTES"/>
    <x v="1"/>
    <x v="997"/>
    <s v="GRAMOS"/>
    <n v="27.595099999999999"/>
    <n v="877"/>
    <n v="1"/>
    <n v="-876"/>
    <n v="27.595099999999999"/>
    <n v="-24173.3076"/>
    <x v="2"/>
  </r>
  <r>
    <x v="2"/>
    <x v="10"/>
    <x v="4"/>
    <s v="ABARROTES"/>
    <x v="1"/>
    <x v="997"/>
    <s v="GRAMOS"/>
    <n v="16.262250000000002"/>
    <n v="7570"/>
    <n v="3000"/>
    <n v="-4570"/>
    <n v="48786.750000000007"/>
    <n v="-74318.482500000013"/>
    <x v="2"/>
  </r>
  <r>
    <x v="2"/>
    <x v="12"/>
    <x v="3"/>
    <s v="VINOS"/>
    <x v="0"/>
    <x v="105"/>
    <s v="UNIDADES"/>
    <n v="63372.666666669997"/>
    <n v="3"/>
    <n v="3"/>
    <n v="0"/>
    <n v="190118.00000000998"/>
    <n v="0"/>
    <x v="1"/>
  </r>
  <r>
    <x v="2"/>
    <x v="14"/>
    <x v="0"/>
    <s v="VINOS"/>
    <x v="0"/>
    <x v="105"/>
    <s v="UNIDADES"/>
    <n v="63372.666666669997"/>
    <n v="3"/>
    <n v="3"/>
    <n v="0"/>
    <n v="190118.00000000998"/>
    <n v="0"/>
    <x v="1"/>
  </r>
  <r>
    <x v="2"/>
    <x v="13"/>
    <x v="2"/>
    <s v="VINOS"/>
    <x v="0"/>
    <x v="105"/>
    <s v="UNIDADES"/>
    <n v="63372.666666669997"/>
    <n v="2"/>
    <n v="2"/>
    <n v="0"/>
    <n v="126745.33333333999"/>
    <n v="0"/>
    <x v="1"/>
  </r>
  <r>
    <x v="2"/>
    <x v="10"/>
    <x v="4"/>
    <s v="VINOS"/>
    <x v="0"/>
    <x v="105"/>
    <s v="UNIDADES"/>
    <n v="63372.666666669997"/>
    <n v="4"/>
    <n v="3"/>
    <n v="-1"/>
    <n v="190118.00000000998"/>
    <n v="-63372.666666669997"/>
    <x v="2"/>
  </r>
  <r>
    <x v="2"/>
    <x v="12"/>
    <x v="3"/>
    <s v="VINOS"/>
    <x v="0"/>
    <x v="241"/>
    <s v="UNIDADES"/>
    <n v="37616.5"/>
    <n v="4"/>
    <n v="4"/>
    <n v="0"/>
    <n v="150466"/>
    <n v="0"/>
    <x v="1"/>
  </r>
  <r>
    <x v="2"/>
    <x v="13"/>
    <x v="2"/>
    <s v="VINOS"/>
    <x v="0"/>
    <x v="241"/>
    <s v="UNIDADES"/>
    <n v="37616.5"/>
    <n v="3"/>
    <n v="3"/>
    <n v="0"/>
    <n v="112849.5"/>
    <n v="0"/>
    <x v="1"/>
  </r>
  <r>
    <x v="2"/>
    <x v="10"/>
    <x v="4"/>
    <s v="VINOS"/>
    <x v="0"/>
    <x v="241"/>
    <s v="UNIDADES"/>
    <n v="37616.5"/>
    <n v="8"/>
    <n v="8"/>
    <n v="0"/>
    <n v="300932"/>
    <n v="0"/>
    <x v="1"/>
  </r>
  <r>
    <x v="2"/>
    <x v="12"/>
    <x v="3"/>
    <s v="VINOS"/>
    <x v="0"/>
    <x v="107"/>
    <s v="UNIDADES"/>
    <n v="37607.75"/>
    <n v="7"/>
    <n v="7"/>
    <n v="0"/>
    <n v="263254.25"/>
    <n v="0"/>
    <x v="1"/>
  </r>
  <r>
    <x v="2"/>
    <x v="14"/>
    <x v="0"/>
    <s v="VINOS"/>
    <x v="0"/>
    <x v="107"/>
    <s v="UNIDADES"/>
    <n v="37607.75"/>
    <n v="15"/>
    <n v="15"/>
    <n v="0"/>
    <n v="564116.25"/>
    <n v="0"/>
    <x v="1"/>
  </r>
  <r>
    <x v="2"/>
    <x v="13"/>
    <x v="2"/>
    <s v="VINOS"/>
    <x v="0"/>
    <x v="107"/>
    <s v="UNIDADES"/>
    <n v="37607.75"/>
    <n v="4"/>
    <n v="4"/>
    <n v="0"/>
    <n v="150431"/>
    <n v="0"/>
    <x v="1"/>
  </r>
  <r>
    <x v="2"/>
    <x v="15"/>
    <x v="1"/>
    <s v="VINOS"/>
    <x v="0"/>
    <x v="107"/>
    <s v="UNIDADES"/>
    <n v="37607.75"/>
    <n v="4"/>
    <n v="4"/>
    <n v="0"/>
    <n v="150431"/>
    <n v="0"/>
    <x v="1"/>
  </r>
  <r>
    <x v="2"/>
    <x v="10"/>
    <x v="4"/>
    <s v="VINOS"/>
    <x v="0"/>
    <x v="107"/>
    <s v="UNIDADES"/>
    <n v="37607.75"/>
    <n v="15"/>
    <n v="15"/>
    <n v="0"/>
    <n v="564116.25"/>
    <n v="0"/>
    <x v="1"/>
  </r>
  <r>
    <x v="2"/>
    <x v="12"/>
    <x v="3"/>
    <s v="VINOS"/>
    <x v="0"/>
    <x v="128"/>
    <s v="COPA"/>
    <n v="10879.03333333"/>
    <n v="0"/>
    <n v="0"/>
    <n v="0"/>
    <n v="0"/>
    <n v="0"/>
    <x v="1"/>
  </r>
  <r>
    <x v="2"/>
    <x v="14"/>
    <x v="0"/>
    <s v="VINOS"/>
    <x v="0"/>
    <x v="128"/>
    <s v="COPA"/>
    <n v="10879.03333333"/>
    <n v="36"/>
    <n v="36"/>
    <n v="0"/>
    <n v="391645.19999988005"/>
    <n v="0"/>
    <x v="1"/>
  </r>
  <r>
    <x v="2"/>
    <x v="13"/>
    <x v="2"/>
    <s v="VINOS"/>
    <x v="0"/>
    <x v="128"/>
    <s v="COPA"/>
    <n v="10879.03333333"/>
    <n v="15"/>
    <n v="15"/>
    <n v="0"/>
    <n v="163185.49999995"/>
    <n v="0"/>
    <x v="1"/>
  </r>
  <r>
    <x v="2"/>
    <x v="10"/>
    <x v="4"/>
    <s v="VINOS"/>
    <x v="0"/>
    <x v="128"/>
    <s v="COPA"/>
    <n v="10879.03333333"/>
    <n v="0"/>
    <n v="0"/>
    <n v="0"/>
    <n v="0"/>
    <n v="0"/>
    <x v="1"/>
  </r>
  <r>
    <x v="2"/>
    <x v="12"/>
    <x v="3"/>
    <s v="VINOS"/>
    <x v="0"/>
    <x v="185"/>
    <s v="COPA"/>
    <n v="10875.1"/>
    <n v="11"/>
    <n v="6"/>
    <n v="-5"/>
    <n v="65250.600000000006"/>
    <n v="-54375.5"/>
    <x v="2"/>
  </r>
  <r>
    <x v="2"/>
    <x v="14"/>
    <x v="0"/>
    <s v="VINOS"/>
    <x v="0"/>
    <x v="185"/>
    <s v="COPA"/>
    <n v="10875.1"/>
    <n v="74"/>
    <n v="54"/>
    <n v="-20"/>
    <n v="587255.4"/>
    <n v="-217502"/>
    <x v="2"/>
  </r>
  <r>
    <x v="2"/>
    <x v="13"/>
    <x v="2"/>
    <s v="VINOS"/>
    <x v="0"/>
    <x v="185"/>
    <s v="COPA"/>
    <n v="10875.1"/>
    <n v="20"/>
    <n v="20"/>
    <n v="0"/>
    <n v="217502"/>
    <n v="0"/>
    <x v="1"/>
  </r>
  <r>
    <x v="2"/>
    <x v="15"/>
    <x v="1"/>
    <s v="VINOS"/>
    <x v="0"/>
    <x v="185"/>
    <s v="COPA"/>
    <n v="10875.1"/>
    <n v="-10"/>
    <n v="0"/>
    <n v="10"/>
    <n v="0"/>
    <n v="108751"/>
    <x v="0"/>
  </r>
  <r>
    <x v="2"/>
    <x v="10"/>
    <x v="4"/>
    <s v="VINOS"/>
    <x v="0"/>
    <x v="185"/>
    <s v="COPA"/>
    <n v="10875.1"/>
    <n v="0"/>
    <n v="0"/>
    <n v="0"/>
    <n v="0"/>
    <n v="0"/>
    <x v="1"/>
  </r>
  <r>
    <x v="2"/>
    <x v="12"/>
    <x v="3"/>
    <s v="VINOS"/>
    <x v="0"/>
    <x v="109"/>
    <s v="COPA"/>
    <n v="10889.4"/>
    <n v="10"/>
    <n v="10"/>
    <n v="0"/>
    <n v="108894"/>
    <n v="0"/>
    <x v="1"/>
  </r>
  <r>
    <x v="2"/>
    <x v="14"/>
    <x v="0"/>
    <s v="VINOS"/>
    <x v="0"/>
    <x v="109"/>
    <s v="COPA"/>
    <n v="10889.4"/>
    <n v="15"/>
    <n v="15"/>
    <n v="0"/>
    <n v="163341"/>
    <n v="0"/>
    <x v="1"/>
  </r>
  <r>
    <x v="2"/>
    <x v="13"/>
    <x v="2"/>
    <s v="VINOS"/>
    <x v="0"/>
    <x v="109"/>
    <s v="COPA"/>
    <n v="10889.4"/>
    <n v="10"/>
    <n v="10"/>
    <n v="0"/>
    <n v="108894"/>
    <n v="0"/>
    <x v="1"/>
  </r>
  <r>
    <x v="2"/>
    <x v="15"/>
    <x v="1"/>
    <s v="VINOS"/>
    <x v="0"/>
    <x v="109"/>
    <s v="COPA"/>
    <n v="10889.4"/>
    <n v="-1"/>
    <n v="0"/>
    <n v="1"/>
    <n v="0"/>
    <n v="10889.4"/>
    <x v="0"/>
  </r>
  <r>
    <x v="2"/>
    <x v="10"/>
    <x v="4"/>
    <s v="VINOS"/>
    <x v="0"/>
    <x v="109"/>
    <s v="COPA"/>
    <n v="10889.4"/>
    <n v="10"/>
    <n v="10"/>
    <n v="0"/>
    <n v="108894"/>
    <n v="0"/>
    <x v="1"/>
  </r>
  <r>
    <x v="2"/>
    <x v="14"/>
    <x v="0"/>
    <s v="VINOS"/>
    <x v="0"/>
    <x v="129"/>
    <s v="COPA"/>
    <n v="10880.4"/>
    <n v="43"/>
    <n v="41"/>
    <n v="-2"/>
    <n v="446096.39999999997"/>
    <n v="-21760.799999999999"/>
    <x v="2"/>
  </r>
  <r>
    <x v="2"/>
    <x v="15"/>
    <x v="1"/>
    <s v="VINOS"/>
    <x v="0"/>
    <x v="129"/>
    <s v="COPA"/>
    <n v="10880.4"/>
    <n v="0"/>
    <n v="0"/>
    <n v="0"/>
    <n v="0"/>
    <n v="0"/>
    <x v="1"/>
  </r>
  <r>
    <x v="2"/>
    <x v="12"/>
    <x v="3"/>
    <s v="VINOS"/>
    <x v="0"/>
    <x v="111"/>
    <s v="UNIDADES"/>
    <n v="37612"/>
    <n v="4"/>
    <n v="4"/>
    <n v="0"/>
    <n v="150448"/>
    <n v="0"/>
    <x v="1"/>
  </r>
  <r>
    <x v="2"/>
    <x v="14"/>
    <x v="0"/>
    <s v="VINOS"/>
    <x v="0"/>
    <x v="111"/>
    <s v="UNIDADES"/>
    <n v="37612"/>
    <n v="5"/>
    <n v="5"/>
    <n v="0"/>
    <n v="188060"/>
    <n v="0"/>
    <x v="1"/>
  </r>
  <r>
    <x v="2"/>
    <x v="13"/>
    <x v="2"/>
    <s v="VINOS"/>
    <x v="0"/>
    <x v="111"/>
    <s v="UNIDADES"/>
    <n v="37612"/>
    <n v="3"/>
    <n v="3"/>
    <n v="0"/>
    <n v="112836"/>
    <n v="0"/>
    <x v="1"/>
  </r>
  <r>
    <x v="2"/>
    <x v="15"/>
    <x v="1"/>
    <s v="VINOS"/>
    <x v="0"/>
    <x v="111"/>
    <s v="UNIDADES"/>
    <n v="37612"/>
    <n v="4"/>
    <n v="4"/>
    <n v="0"/>
    <n v="150448"/>
    <n v="0"/>
    <x v="1"/>
  </r>
  <r>
    <x v="2"/>
    <x v="10"/>
    <x v="4"/>
    <s v="VINOS"/>
    <x v="0"/>
    <x v="268"/>
    <s v="COPA"/>
    <n v="15144"/>
    <n v="23"/>
    <n v="22"/>
    <n v="-1"/>
    <n v="333168"/>
    <n v="-15144"/>
    <x v="2"/>
  </r>
  <r>
    <x v="2"/>
    <x v="12"/>
    <x v="3"/>
    <s v="VINOS"/>
    <x v="0"/>
    <x v="86"/>
    <s v="COPA"/>
    <n v="4385.6000000000004"/>
    <n v="14"/>
    <n v="14"/>
    <n v="0"/>
    <n v="61398.400000000009"/>
    <n v="0"/>
    <x v="1"/>
  </r>
  <r>
    <x v="2"/>
    <x v="14"/>
    <x v="0"/>
    <s v="VINOS"/>
    <x v="0"/>
    <x v="86"/>
    <s v="COPA"/>
    <n v="4385.6000000000004"/>
    <n v="7"/>
    <n v="9"/>
    <n v="2"/>
    <n v="39470.400000000001"/>
    <n v="8771.2000000000007"/>
    <x v="0"/>
  </r>
  <r>
    <x v="2"/>
    <x v="13"/>
    <x v="2"/>
    <s v="VINOS"/>
    <x v="0"/>
    <x v="86"/>
    <s v="COPA"/>
    <n v="4385.6000000000004"/>
    <n v="21"/>
    <n v="21"/>
    <n v="0"/>
    <n v="92097.600000000006"/>
    <n v="0"/>
    <x v="1"/>
  </r>
  <r>
    <x v="2"/>
    <x v="15"/>
    <x v="1"/>
    <s v="VINOS"/>
    <x v="0"/>
    <x v="86"/>
    <s v="COPA"/>
    <n v="4385.6000000000004"/>
    <n v="0"/>
    <n v="0"/>
    <n v="0"/>
    <n v="0"/>
    <n v="0"/>
    <x v="1"/>
  </r>
  <r>
    <x v="1"/>
    <x v="9"/>
    <x v="4"/>
    <s v="VINOS"/>
    <x v="0"/>
    <x v="314"/>
    <s v="COPA"/>
    <n v="10705"/>
    <n v="13"/>
    <n v="11"/>
    <n v="-2"/>
    <n v="117755"/>
    <n v="-21410"/>
    <x v="2"/>
  </r>
  <r>
    <x v="2"/>
    <x v="12"/>
    <x v="3"/>
    <s v="VINOS"/>
    <x v="0"/>
    <x v="112"/>
    <s v="COPA"/>
    <n v="4363.6000000000004"/>
    <n v="20"/>
    <n v="20"/>
    <n v="0"/>
    <n v="87272"/>
    <n v="0"/>
    <x v="1"/>
  </r>
  <r>
    <x v="2"/>
    <x v="14"/>
    <x v="0"/>
    <s v="VINOS"/>
    <x v="0"/>
    <x v="112"/>
    <s v="COPA"/>
    <n v="4363.6000000000004"/>
    <n v="41"/>
    <n v="41"/>
    <n v="0"/>
    <n v="178907.6"/>
    <n v="0"/>
    <x v="1"/>
  </r>
  <r>
    <x v="2"/>
    <x v="13"/>
    <x v="2"/>
    <s v="VINOS"/>
    <x v="0"/>
    <x v="112"/>
    <s v="COPA"/>
    <n v="4363.6000000000004"/>
    <n v="23"/>
    <n v="24"/>
    <n v="1"/>
    <n v="104726.40000000001"/>
    <n v="4363.6000000000004"/>
    <x v="0"/>
  </r>
  <r>
    <x v="2"/>
    <x v="10"/>
    <x v="4"/>
    <s v="VINOS"/>
    <x v="0"/>
    <x v="112"/>
    <s v="COPA"/>
    <n v="4363.6000000000004"/>
    <n v="17"/>
    <n v="17"/>
    <n v="0"/>
    <n v="74181.200000000012"/>
    <n v="0"/>
    <x v="1"/>
  </r>
  <r>
    <x v="2"/>
    <x v="12"/>
    <x v="3"/>
    <s v="VINOS"/>
    <x v="0"/>
    <x v="142"/>
    <s v="COPA"/>
    <n v="4385.1000000000004"/>
    <n v="0"/>
    <n v="0"/>
    <n v="0"/>
    <n v="0"/>
    <n v="0"/>
    <x v="1"/>
  </r>
  <r>
    <x v="2"/>
    <x v="14"/>
    <x v="0"/>
    <s v="VINOS"/>
    <x v="0"/>
    <x v="142"/>
    <s v="COPA"/>
    <n v="4385.1400000000003"/>
    <n v="15"/>
    <n v="14"/>
    <n v="-1"/>
    <n v="61391.960000000006"/>
    <n v="-4385.1400000000003"/>
    <x v="2"/>
  </r>
  <r>
    <x v="2"/>
    <x v="13"/>
    <x v="2"/>
    <s v="VINOS"/>
    <x v="0"/>
    <x v="142"/>
    <s v="COPA"/>
    <n v="4385.1000000000004"/>
    <n v="16"/>
    <n v="16"/>
    <n v="0"/>
    <n v="70161.600000000006"/>
    <n v="0"/>
    <x v="1"/>
  </r>
  <r>
    <x v="2"/>
    <x v="15"/>
    <x v="1"/>
    <s v="VINOS"/>
    <x v="0"/>
    <x v="142"/>
    <s v="COPA"/>
    <n v="4385.1400000000003"/>
    <n v="19"/>
    <n v="18"/>
    <n v="-1"/>
    <n v="78932.52"/>
    <n v="-4385.1400000000003"/>
    <x v="2"/>
  </r>
  <r>
    <x v="1"/>
    <x v="9"/>
    <x v="4"/>
    <s v="VINOS"/>
    <x v="0"/>
    <x v="107"/>
    <s v="UNIDADES"/>
    <n v="37608"/>
    <n v="22"/>
    <n v="16"/>
    <n v="-6"/>
    <n v="601728"/>
    <n v="-225648"/>
    <x v="2"/>
  </r>
  <r>
    <x v="2"/>
    <x v="12"/>
    <x v="3"/>
    <s v="VINOS"/>
    <x v="0"/>
    <x v="314"/>
    <s v="COPA"/>
    <n v="10709.9"/>
    <n v="0"/>
    <n v="0"/>
    <n v="0"/>
    <n v="0"/>
    <n v="0"/>
    <x v="1"/>
  </r>
  <r>
    <x v="2"/>
    <x v="13"/>
    <x v="2"/>
    <s v="VINOS"/>
    <x v="0"/>
    <x v="314"/>
    <s v="COPA"/>
    <n v="10709.9"/>
    <n v="12"/>
    <n v="13"/>
    <n v="1"/>
    <n v="139228.69999999998"/>
    <n v="10709.9"/>
    <x v="0"/>
  </r>
  <r>
    <x v="2"/>
    <x v="10"/>
    <x v="4"/>
    <s v="VINOS"/>
    <x v="0"/>
    <x v="314"/>
    <s v="COPA"/>
    <n v="10709.9"/>
    <n v="15"/>
    <n v="15"/>
    <n v="0"/>
    <n v="160648.5"/>
    <n v="0"/>
    <x v="1"/>
  </r>
  <r>
    <x v="2"/>
    <x v="12"/>
    <x v="3"/>
    <s v="VINOS"/>
    <x v="0"/>
    <x v="242"/>
    <s v="COPA"/>
    <n v="10715.3"/>
    <n v="3"/>
    <n v="7"/>
    <n v="4"/>
    <n v="75007.099999999991"/>
    <n v="42861.2"/>
    <x v="0"/>
  </r>
  <r>
    <x v="2"/>
    <x v="13"/>
    <x v="2"/>
    <s v="VINOS"/>
    <x v="0"/>
    <x v="242"/>
    <s v="COPA"/>
    <n v="10715.3"/>
    <n v="17"/>
    <n v="17"/>
    <n v="0"/>
    <n v="182160.09999999998"/>
    <n v="0"/>
    <x v="1"/>
  </r>
  <r>
    <x v="2"/>
    <x v="10"/>
    <x v="4"/>
    <s v="VINOS"/>
    <x v="0"/>
    <x v="242"/>
    <s v="COPA"/>
    <n v="10715.3"/>
    <n v="17"/>
    <n v="17"/>
    <n v="0"/>
    <n v="182160.09999999998"/>
    <n v="0"/>
    <x v="1"/>
  </r>
  <r>
    <x v="2"/>
    <x v="12"/>
    <x v="3"/>
    <s v="VINOS"/>
    <x v="0"/>
    <x v="267"/>
    <s v="COPA"/>
    <n v="10710.6"/>
    <n v="38"/>
    <n v="38"/>
    <n v="0"/>
    <n v="407002.8"/>
    <n v="0"/>
    <x v="1"/>
  </r>
  <r>
    <x v="2"/>
    <x v="13"/>
    <x v="2"/>
    <s v="VINOS"/>
    <x v="0"/>
    <x v="267"/>
    <s v="COPA"/>
    <n v="10710.6"/>
    <n v="14"/>
    <n v="15"/>
    <n v="1"/>
    <n v="160659"/>
    <n v="10710.6"/>
    <x v="0"/>
  </r>
  <r>
    <x v="2"/>
    <x v="10"/>
    <x v="4"/>
    <s v="VINOS"/>
    <x v="0"/>
    <x v="267"/>
    <s v="COPA"/>
    <n v="10710.6"/>
    <n v="28"/>
    <n v="28"/>
    <n v="0"/>
    <n v="299896.8"/>
    <n v="0"/>
    <x v="1"/>
  </r>
  <r>
    <x v="2"/>
    <x v="12"/>
    <x v="3"/>
    <s v="ABARROTES"/>
    <x v="1"/>
    <x v="998"/>
    <s v="GRAMOS"/>
    <n v="28.478079170000001"/>
    <n v="-1210"/>
    <n v="0"/>
    <n v="1210"/>
    <n v="0"/>
    <n v="34458.475795700004"/>
    <x v="0"/>
  </r>
  <r>
    <x v="2"/>
    <x v="14"/>
    <x v="0"/>
    <s v="ABARROTES"/>
    <x v="1"/>
    <x v="998"/>
    <s v="GRAMOS"/>
    <n v="28.478000000000002"/>
    <n v="2309"/>
    <n v="7000"/>
    <n v="4691"/>
    <n v="199346"/>
    <n v="133590.29800000001"/>
    <x v="0"/>
  </r>
  <r>
    <x v="2"/>
    <x v="13"/>
    <x v="2"/>
    <s v="ABARROTES"/>
    <x v="1"/>
    <x v="998"/>
    <s v="GRAMOS"/>
    <n v="28.478079170000001"/>
    <n v="-1050"/>
    <n v="0"/>
    <n v="1050"/>
    <n v="0"/>
    <n v="29901.9831285"/>
    <x v="0"/>
  </r>
  <r>
    <x v="2"/>
    <x v="15"/>
    <x v="1"/>
    <s v="ABARROTES"/>
    <x v="1"/>
    <x v="998"/>
    <s v="GRAMOS"/>
    <n v="28.478000000000002"/>
    <n v="-3851.2190999999998"/>
    <n v="0"/>
    <n v="3851.2190599999999"/>
    <n v="0"/>
    <n v="109675.01639068"/>
    <x v="0"/>
  </r>
  <r>
    <x v="2"/>
    <x v="16"/>
    <x v="5"/>
    <s v="ABARROTES"/>
    <x v="1"/>
    <x v="998"/>
    <s v="GRAMOS"/>
    <n v="28.478079170000001"/>
    <n v="8710"/>
    <n v="10000"/>
    <n v="1290"/>
    <n v="284780.7917"/>
    <n v="36736.722129300004"/>
    <x v="0"/>
  </r>
  <r>
    <x v="2"/>
    <x v="10"/>
    <x v="4"/>
    <s v="ABARROTES"/>
    <x v="1"/>
    <x v="998"/>
    <s v="GRAMOS"/>
    <n v="28.478079170000001"/>
    <n v="-2030"/>
    <n v="0"/>
    <n v="2030"/>
    <n v="0"/>
    <n v="57810.500715100003"/>
    <x v="0"/>
  </r>
  <r>
    <x v="2"/>
    <x v="12"/>
    <x v="3"/>
    <s v="VINOS"/>
    <x v="0"/>
    <x v="113"/>
    <s v="UNIDADES"/>
    <n v="70600.5"/>
    <n v="4"/>
    <n v="4"/>
    <n v="0"/>
    <n v="282402"/>
    <n v="0"/>
    <x v="1"/>
  </r>
  <r>
    <x v="2"/>
    <x v="13"/>
    <x v="2"/>
    <s v="VINOS"/>
    <x v="0"/>
    <x v="113"/>
    <s v="UNIDADES"/>
    <n v="70600.5"/>
    <n v="2"/>
    <n v="2"/>
    <n v="0"/>
    <n v="141201"/>
    <n v="0"/>
    <x v="1"/>
  </r>
  <r>
    <x v="2"/>
    <x v="10"/>
    <x v="4"/>
    <s v="VINOS"/>
    <x v="0"/>
    <x v="113"/>
    <s v="UNIDADES"/>
    <n v="70600.5"/>
    <n v="0"/>
    <n v="0"/>
    <n v="0"/>
    <n v="0"/>
    <n v="0"/>
    <x v="1"/>
  </r>
  <r>
    <x v="2"/>
    <x v="12"/>
    <x v="3"/>
    <s v="VINOS"/>
    <x v="0"/>
    <x v="245"/>
    <s v="UNIDADES"/>
    <n v="79652"/>
    <n v="1"/>
    <n v="1"/>
    <n v="0"/>
    <n v="79652"/>
    <n v="0"/>
    <x v="1"/>
  </r>
  <r>
    <x v="2"/>
    <x v="13"/>
    <x v="2"/>
    <s v="VINOS"/>
    <x v="0"/>
    <x v="245"/>
    <s v="UNIDADES"/>
    <n v="79652"/>
    <n v="1"/>
    <n v="1"/>
    <n v="0"/>
    <n v="79652"/>
    <n v="0"/>
    <x v="1"/>
  </r>
  <r>
    <x v="2"/>
    <x v="10"/>
    <x v="4"/>
    <s v="VINOS"/>
    <x v="0"/>
    <x v="245"/>
    <s v="UNIDADES"/>
    <n v="79652"/>
    <n v="1"/>
    <n v="1"/>
    <n v="0"/>
    <n v="79652"/>
    <n v="0"/>
    <x v="1"/>
  </r>
  <r>
    <x v="2"/>
    <x v="12"/>
    <x v="3"/>
    <s v="VINOS"/>
    <x v="0"/>
    <x v="268"/>
    <s v="COPA"/>
    <n v="15144"/>
    <n v="18"/>
    <n v="18"/>
    <n v="0"/>
    <n v="272592"/>
    <n v="0"/>
    <x v="1"/>
  </r>
  <r>
    <x v="2"/>
    <x v="13"/>
    <x v="2"/>
    <s v="VINOS"/>
    <x v="0"/>
    <x v="268"/>
    <s v="COPA"/>
    <n v="15144"/>
    <n v="32"/>
    <n v="33"/>
    <n v="1"/>
    <n v="499752"/>
    <n v="15144"/>
    <x v="0"/>
  </r>
  <r>
    <x v="0"/>
    <x v="8"/>
    <x v="4"/>
    <s v="VINOS"/>
    <x v="0"/>
    <x v="266"/>
    <s v="COPA"/>
    <n v="10705"/>
    <n v="23"/>
    <n v="13"/>
    <n v="-10"/>
    <n v="139165"/>
    <n v="-107050"/>
    <x v="2"/>
  </r>
  <r>
    <x v="2"/>
    <x v="12"/>
    <x v="3"/>
    <s v="VINOS"/>
    <x v="0"/>
    <x v="232"/>
    <s v="COPA"/>
    <n v="10705"/>
    <n v="0"/>
    <n v="0"/>
    <n v="0"/>
    <n v="0"/>
    <n v="0"/>
    <x v="1"/>
  </r>
  <r>
    <x v="2"/>
    <x v="13"/>
    <x v="2"/>
    <s v="VINOS"/>
    <x v="0"/>
    <x v="232"/>
    <s v="COPA"/>
    <n v="10705"/>
    <n v="0"/>
    <n v="0"/>
    <n v="0"/>
    <n v="0"/>
    <n v="0"/>
    <x v="1"/>
  </r>
  <r>
    <x v="2"/>
    <x v="10"/>
    <x v="4"/>
    <s v="VINOS"/>
    <x v="0"/>
    <x v="232"/>
    <s v="COPA"/>
    <n v="10705"/>
    <n v="0"/>
    <n v="0"/>
    <n v="0"/>
    <n v="0"/>
    <n v="0"/>
    <x v="1"/>
  </r>
  <r>
    <x v="2"/>
    <x v="12"/>
    <x v="3"/>
    <s v="VINOS"/>
    <x v="0"/>
    <x v="114"/>
    <s v="COPA"/>
    <n v="10705"/>
    <n v="9"/>
    <n v="9"/>
    <n v="0"/>
    <n v="96345"/>
    <n v="0"/>
    <x v="1"/>
  </r>
  <r>
    <x v="2"/>
    <x v="13"/>
    <x v="2"/>
    <s v="VINOS"/>
    <x v="0"/>
    <x v="114"/>
    <s v="COPA"/>
    <n v="10705"/>
    <n v="37"/>
    <n v="37"/>
    <n v="0"/>
    <n v="396085"/>
    <n v="0"/>
    <x v="1"/>
  </r>
  <r>
    <x v="2"/>
    <x v="10"/>
    <x v="4"/>
    <s v="VINOS"/>
    <x v="0"/>
    <x v="114"/>
    <s v="COPA"/>
    <n v="10705"/>
    <n v="10"/>
    <n v="10"/>
    <n v="0"/>
    <n v="107050"/>
    <n v="0"/>
    <x v="1"/>
  </r>
  <r>
    <x v="2"/>
    <x v="14"/>
    <x v="0"/>
    <s v="VINOS"/>
    <x v="0"/>
    <x v="115"/>
    <s v="UNIDADES"/>
    <n v="53019"/>
    <n v="1"/>
    <n v="1"/>
    <n v="0"/>
    <n v="53019"/>
    <n v="0"/>
    <x v="1"/>
  </r>
  <r>
    <x v="2"/>
    <x v="12"/>
    <x v="3"/>
    <s v="VINOS"/>
    <x v="0"/>
    <x v="116"/>
    <s v="UNIDADES"/>
    <n v="53140"/>
    <n v="0"/>
    <n v="0"/>
    <n v="0"/>
    <n v="0"/>
    <n v="0"/>
    <x v="1"/>
  </r>
  <r>
    <x v="2"/>
    <x v="14"/>
    <x v="0"/>
    <s v="VINOS"/>
    <x v="0"/>
    <x v="116"/>
    <s v="UNIDADES"/>
    <n v="53140"/>
    <n v="2"/>
    <n v="2"/>
    <n v="0"/>
    <n v="106280"/>
    <n v="0"/>
    <x v="1"/>
  </r>
  <r>
    <x v="2"/>
    <x v="13"/>
    <x v="2"/>
    <s v="VINOS"/>
    <x v="0"/>
    <x v="116"/>
    <s v="UNIDADES"/>
    <n v="53140"/>
    <n v="0"/>
    <n v="0"/>
    <n v="0"/>
    <n v="0"/>
    <n v="0"/>
    <x v="1"/>
  </r>
  <r>
    <x v="2"/>
    <x v="10"/>
    <x v="4"/>
    <s v="VINOS"/>
    <x v="0"/>
    <x v="116"/>
    <s v="UNIDADES"/>
    <n v="53140"/>
    <n v="0"/>
    <n v="0"/>
    <n v="0"/>
    <n v="0"/>
    <n v="0"/>
    <x v="1"/>
  </r>
  <r>
    <x v="2"/>
    <x v="14"/>
    <x v="0"/>
    <s v="VINOS"/>
    <x v="0"/>
    <x v="120"/>
    <s v="UNIDADES"/>
    <n v="98892"/>
    <n v="1"/>
    <n v="1"/>
    <n v="0"/>
    <n v="98892"/>
    <n v="0"/>
    <x v="1"/>
  </r>
  <r>
    <x v="2"/>
    <x v="15"/>
    <x v="1"/>
    <s v="LICORES"/>
    <x v="0"/>
    <x v="156"/>
    <s v="ONZA"/>
    <n v="3365.9583333300002"/>
    <n v="0"/>
    <n v="0"/>
    <n v="0"/>
    <n v="0"/>
    <n v="0"/>
    <x v="1"/>
  </r>
  <r>
    <x v="2"/>
    <x v="12"/>
    <x v="3"/>
    <s v="LICORES"/>
    <x v="0"/>
    <x v="999"/>
    <s v="ONZA"/>
    <n v="1794"/>
    <n v="0"/>
    <n v="0"/>
    <n v="0"/>
    <n v="0"/>
    <n v="0"/>
    <x v="1"/>
  </r>
  <r>
    <x v="2"/>
    <x v="13"/>
    <x v="2"/>
    <s v="LICORES"/>
    <x v="0"/>
    <x v="999"/>
    <s v="ONZA"/>
    <n v="1794"/>
    <n v="44"/>
    <n v="0"/>
    <n v="-44"/>
    <n v="0"/>
    <n v="-78936"/>
    <x v="2"/>
  </r>
  <r>
    <x v="2"/>
    <x v="15"/>
    <x v="1"/>
    <s v="LICORES"/>
    <x v="0"/>
    <x v="999"/>
    <s v="ONZA"/>
    <n v="1794"/>
    <n v="22"/>
    <n v="24"/>
    <n v="2"/>
    <n v="43056"/>
    <n v="3588"/>
    <x v="0"/>
  </r>
  <r>
    <x v="2"/>
    <x v="10"/>
    <x v="4"/>
    <s v="LICORES"/>
    <x v="0"/>
    <x v="999"/>
    <s v="ONZA"/>
    <n v="1794"/>
    <n v="44"/>
    <n v="0"/>
    <n v="-44"/>
    <n v="0"/>
    <n v="-78936"/>
    <x v="2"/>
  </r>
  <r>
    <x v="2"/>
    <x v="12"/>
    <x v="3"/>
    <s v="LICORES"/>
    <x v="0"/>
    <x v="33"/>
    <s v="ONZA"/>
    <n v="3022.8333333300002"/>
    <n v="96"/>
    <n v="83"/>
    <n v="-13"/>
    <n v="250895.16666639003"/>
    <n v="-39296.83333329"/>
    <x v="2"/>
  </r>
  <r>
    <x v="2"/>
    <x v="14"/>
    <x v="0"/>
    <s v="LICORES"/>
    <x v="0"/>
    <x v="33"/>
    <s v="ONZA"/>
    <n v="2722.7272727300001"/>
    <n v="73"/>
    <n v="81"/>
    <n v="8"/>
    <n v="220540.90909113002"/>
    <n v="21781.818181840001"/>
    <x v="0"/>
  </r>
  <r>
    <x v="2"/>
    <x v="13"/>
    <x v="2"/>
    <s v="LICORES"/>
    <x v="0"/>
    <x v="33"/>
    <s v="ONZA"/>
    <n v="3022.8333333300002"/>
    <n v="68.02"/>
    <n v="49"/>
    <n v="-19.02"/>
    <n v="148118.83333317001"/>
    <n v="-57494.289999936605"/>
    <x v="2"/>
  </r>
  <r>
    <x v="2"/>
    <x v="15"/>
    <x v="1"/>
    <s v="LICORES"/>
    <x v="0"/>
    <x v="33"/>
    <s v="ONZA"/>
    <n v="2722.7272727300001"/>
    <n v="1"/>
    <n v="72"/>
    <n v="5"/>
    <n v="196036.36363656001"/>
    <n v="13613.636363650001"/>
    <x v="0"/>
  </r>
  <r>
    <x v="2"/>
    <x v="10"/>
    <x v="4"/>
    <s v="LICORES"/>
    <x v="0"/>
    <x v="33"/>
    <s v="ONZA"/>
    <n v="3022.8333333300002"/>
    <n v="14.7"/>
    <n v="55.5"/>
    <n v="40.799999999999997"/>
    <n v="167767.24999981502"/>
    <n v="123331.599999864"/>
    <x v="0"/>
  </r>
  <r>
    <x v="2"/>
    <x v="12"/>
    <x v="3"/>
    <s v="ABARROTES"/>
    <x v="1"/>
    <x v="1000"/>
    <s v="GRAMOS"/>
    <n v="58.31"/>
    <n v="2496"/>
    <n v="744"/>
    <n v="-1752"/>
    <n v="43382.64"/>
    <n v="-102159.12000000001"/>
    <x v="2"/>
  </r>
  <r>
    <x v="2"/>
    <x v="13"/>
    <x v="2"/>
    <s v="ABARROTES"/>
    <x v="1"/>
    <x v="1000"/>
    <s v="GRAMOS"/>
    <n v="58.31"/>
    <n v="3385"/>
    <n v="2010"/>
    <n v="-1375"/>
    <n v="117203.1"/>
    <n v="-80176.25"/>
    <x v="2"/>
  </r>
  <r>
    <x v="2"/>
    <x v="10"/>
    <x v="4"/>
    <s v="ABARROTES"/>
    <x v="1"/>
    <x v="1000"/>
    <s v="GRAMOS"/>
    <n v="58.31"/>
    <n v="5550"/>
    <n v="4660"/>
    <n v="-890"/>
    <n v="271724.60000000003"/>
    <n v="-51895.9"/>
    <x v="2"/>
  </r>
  <r>
    <x v="2"/>
    <x v="12"/>
    <x v="3"/>
    <s v="ABARROTES"/>
    <x v="1"/>
    <x v="1001"/>
    <s v="GRAMOS"/>
    <n v="23"/>
    <n v="0"/>
    <n v="0"/>
    <n v="0"/>
    <n v="0"/>
    <n v="0"/>
    <x v="1"/>
  </r>
  <r>
    <x v="2"/>
    <x v="14"/>
    <x v="0"/>
    <s v="ABARROTES"/>
    <x v="1"/>
    <x v="1001"/>
    <s v="GRAMOS"/>
    <n v="22.750050000000002"/>
    <n v="16385"/>
    <n v="9000"/>
    <n v="-7385"/>
    <n v="204750.45"/>
    <n v="-168009.11925000002"/>
    <x v="2"/>
  </r>
  <r>
    <x v="2"/>
    <x v="13"/>
    <x v="2"/>
    <s v="ABARROTES"/>
    <x v="1"/>
    <x v="1001"/>
    <s v="GRAMOS"/>
    <n v="22.750050000000002"/>
    <n v="0"/>
    <n v="0"/>
    <n v="0"/>
    <n v="0"/>
    <n v="0"/>
    <x v="1"/>
  </r>
  <r>
    <x v="2"/>
    <x v="15"/>
    <x v="1"/>
    <s v="ABARROTES"/>
    <x v="1"/>
    <x v="1001"/>
    <s v="GRAMOS"/>
    <n v="22.750050000000002"/>
    <n v="2000"/>
    <n v="0"/>
    <n v="-2000"/>
    <n v="0"/>
    <n v="-45500.100000000006"/>
    <x v="2"/>
  </r>
  <r>
    <x v="2"/>
    <x v="10"/>
    <x v="4"/>
    <s v="ABARROTES"/>
    <x v="1"/>
    <x v="1001"/>
    <s v="GRAMOS"/>
    <n v="22.750050000000002"/>
    <n v="0"/>
    <n v="0"/>
    <n v="0"/>
    <n v="0"/>
    <n v="0"/>
    <x v="1"/>
  </r>
  <r>
    <x v="2"/>
    <x v="15"/>
    <x v="1"/>
    <s v="LICORES"/>
    <x v="0"/>
    <x v="179"/>
    <s v="ONZA"/>
    <n v="7004.1666666700003"/>
    <n v="55"/>
    <n v="54"/>
    <n v="-1"/>
    <n v="378225.00000018004"/>
    <n v="-7004.1666666700003"/>
    <x v="2"/>
  </r>
  <r>
    <x v="2"/>
    <x v="15"/>
    <x v="1"/>
    <s v="LICORES"/>
    <x v="0"/>
    <x v="169"/>
    <s v="ONZA"/>
    <n v="2566.2447257499998"/>
    <n v="79.8"/>
    <n v="80"/>
    <n v="0.2"/>
    <n v="205299.57805999997"/>
    <n v="513.24894514999994"/>
    <x v="0"/>
  </r>
  <r>
    <x v="2"/>
    <x v="12"/>
    <x v="3"/>
    <s v="LICORES"/>
    <x v="0"/>
    <x v="12"/>
    <s v="ONZA"/>
    <n v="1997.7272727300001"/>
    <n v="0"/>
    <n v="0"/>
    <n v="0"/>
    <n v="0"/>
    <n v="0"/>
    <x v="1"/>
  </r>
  <r>
    <x v="2"/>
    <x v="13"/>
    <x v="2"/>
    <s v="LICORES"/>
    <x v="0"/>
    <x v="12"/>
    <s v="ONZA"/>
    <n v="1997.7272727300001"/>
    <n v="0"/>
    <n v="0"/>
    <n v="0"/>
    <n v="0"/>
    <n v="0"/>
    <x v="1"/>
  </r>
  <r>
    <x v="2"/>
    <x v="15"/>
    <x v="1"/>
    <s v="LICORES"/>
    <x v="0"/>
    <x v="12"/>
    <s v="ONZA"/>
    <n v="1997.7272727300001"/>
    <n v="35.316899999999997"/>
    <n v="0"/>
    <n v="-35.316924999999998"/>
    <n v="0"/>
    <n v="-70553.584261459953"/>
    <x v="2"/>
  </r>
  <r>
    <x v="2"/>
    <x v="10"/>
    <x v="4"/>
    <s v="LICORES"/>
    <x v="0"/>
    <x v="12"/>
    <s v="ONZA"/>
    <n v="1997.7272727300001"/>
    <n v="0"/>
    <n v="0"/>
    <n v="0"/>
    <n v="0"/>
    <n v="0"/>
    <x v="1"/>
  </r>
  <r>
    <x v="2"/>
    <x v="15"/>
    <x v="1"/>
    <s v="LICORES"/>
    <x v="0"/>
    <x v="170"/>
    <s v="ONZA"/>
    <n v="3195.4545454499998"/>
    <n v="53"/>
    <n v="61"/>
    <n v="8"/>
    <n v="194922.72727244999"/>
    <n v="25563.636363599999"/>
    <x v="0"/>
  </r>
  <r>
    <x v="2"/>
    <x v="15"/>
    <x v="1"/>
    <s v="LICORES"/>
    <x v="0"/>
    <x v="345"/>
    <s v="ONZA"/>
    <n v="5316.6818181799999"/>
    <n v="50.7"/>
    <n v="51"/>
    <n v="0.3"/>
    <n v="271150.77272717998"/>
    <n v="1595.004545454"/>
    <x v="0"/>
  </r>
  <r>
    <x v="2"/>
    <x v="12"/>
    <x v="3"/>
    <s v="LICORES"/>
    <x v="0"/>
    <x v="180"/>
    <s v="ONZA"/>
    <n v="20566.318181819999"/>
    <n v="20"/>
    <n v="21"/>
    <n v="1"/>
    <n v="431892.68181822001"/>
    <n v="20566.318181819999"/>
    <x v="0"/>
  </r>
  <r>
    <x v="2"/>
    <x v="13"/>
    <x v="2"/>
    <s v="LICORES"/>
    <x v="0"/>
    <x v="180"/>
    <s v="ONZA"/>
    <n v="20566.318181819999"/>
    <n v="17"/>
    <n v="17"/>
    <n v="0"/>
    <n v="349627.40909093997"/>
    <n v="0"/>
    <x v="1"/>
  </r>
  <r>
    <x v="2"/>
    <x v="15"/>
    <x v="1"/>
    <s v="LICORES"/>
    <x v="0"/>
    <x v="180"/>
    <s v="ONZA"/>
    <n v="20566.318181819999"/>
    <n v="0"/>
    <n v="49"/>
    <n v="49"/>
    <n v="1007749.59090918"/>
    <n v="1007749.59090918"/>
    <x v="0"/>
  </r>
  <r>
    <x v="2"/>
    <x v="10"/>
    <x v="4"/>
    <s v="LICORES"/>
    <x v="0"/>
    <x v="180"/>
    <s v="ONZA"/>
    <n v="20566.318181819999"/>
    <n v="26.14"/>
    <n v="30.14"/>
    <n v="4"/>
    <n v="619868.83000005479"/>
    <n v="82265.272727279997"/>
    <x v="0"/>
  </r>
  <r>
    <x v="2"/>
    <x v="12"/>
    <x v="3"/>
    <s v="LICORES"/>
    <x v="0"/>
    <x v="135"/>
    <s v="ONZA"/>
    <n v="6433.0454545499997"/>
    <n v="58"/>
    <n v="58"/>
    <n v="0"/>
    <n v="373116.63636389998"/>
    <n v="0"/>
    <x v="1"/>
  </r>
  <r>
    <x v="2"/>
    <x v="14"/>
    <x v="0"/>
    <s v="LICORES"/>
    <x v="0"/>
    <x v="135"/>
    <s v="ONZA"/>
    <n v="6433.0454545499997"/>
    <n v="50"/>
    <n v="52"/>
    <n v="2"/>
    <n v="334518.36363659997"/>
    <n v="12866.090909099999"/>
    <x v="0"/>
  </r>
  <r>
    <x v="2"/>
    <x v="13"/>
    <x v="2"/>
    <s v="LICORES"/>
    <x v="0"/>
    <x v="135"/>
    <s v="ONZA"/>
    <n v="6433.0454545499997"/>
    <n v="22"/>
    <n v="30"/>
    <n v="8"/>
    <n v="192991.3636365"/>
    <n v="51464.363636399998"/>
    <x v="0"/>
  </r>
  <r>
    <x v="2"/>
    <x v="15"/>
    <x v="1"/>
    <s v="LICORES"/>
    <x v="0"/>
    <x v="135"/>
    <s v="ONZA"/>
    <n v="6433.0454545499997"/>
    <n v="72"/>
    <n v="48"/>
    <n v="-24"/>
    <n v="308786.18181839999"/>
    <n v="-154393.09090919999"/>
    <x v="2"/>
  </r>
  <r>
    <x v="2"/>
    <x v="10"/>
    <x v="4"/>
    <s v="LICORES"/>
    <x v="0"/>
    <x v="135"/>
    <s v="ONZA"/>
    <n v="6433.0454545499997"/>
    <n v="30.62"/>
    <n v="33.15"/>
    <n v="2.5299999999999998"/>
    <n v="213255.45681833249"/>
    <n v="16275.605000011497"/>
    <x v="0"/>
  </r>
  <r>
    <x v="2"/>
    <x v="14"/>
    <x v="0"/>
    <s v="MATERIAL DE EMPAQUE"/>
    <x v="2"/>
    <x v="1002"/>
    <s v="UNIDADES"/>
    <n v="206"/>
    <n v="0"/>
    <n v="0"/>
    <n v="0"/>
    <n v="0"/>
    <n v="0"/>
    <x v="1"/>
  </r>
  <r>
    <x v="2"/>
    <x v="15"/>
    <x v="1"/>
    <s v="MATERIAL DE EMPAQUE"/>
    <x v="2"/>
    <x v="1002"/>
    <s v="UNIDADES"/>
    <n v="206"/>
    <n v="16340"/>
    <n v="11300"/>
    <n v="-5040"/>
    <n v="2327800"/>
    <n v="-1038240"/>
    <x v="2"/>
  </r>
  <r>
    <x v="2"/>
    <x v="15"/>
    <x v="1"/>
    <s v="MATERIAL DE EMPAQUE"/>
    <x v="2"/>
    <x v="1003"/>
    <s v="UNIDADES"/>
    <n v="206"/>
    <n v="11210"/>
    <n v="15200"/>
    <n v="3990"/>
    <n v="3131200"/>
    <n v="821940"/>
    <x v="0"/>
  </r>
  <r>
    <x v="2"/>
    <x v="15"/>
    <x v="1"/>
    <s v="MATERIAL DE EMPAQUE"/>
    <x v="2"/>
    <x v="1004"/>
    <s v="UNIDADES"/>
    <n v="206"/>
    <n v="13150"/>
    <n v="7200"/>
    <n v="-5950"/>
    <n v="1483200"/>
    <n v="-1225700"/>
    <x v="2"/>
  </r>
  <r>
    <x v="2"/>
    <x v="12"/>
    <x v="3"/>
    <s v="MATERIAL DE ASEO"/>
    <x v="3"/>
    <x v="1005"/>
    <s v="UNIDADES"/>
    <n v="54021"/>
    <n v="0"/>
    <n v="0"/>
    <n v="0"/>
    <n v="0"/>
    <n v="0"/>
    <x v="1"/>
  </r>
  <r>
    <x v="2"/>
    <x v="14"/>
    <x v="0"/>
    <s v="MATERIAL DE ASEO"/>
    <x v="3"/>
    <x v="1005"/>
    <s v="UNIDADES"/>
    <n v="30100"/>
    <n v="2"/>
    <n v="0"/>
    <n v="-2"/>
    <n v="0"/>
    <n v="-60200"/>
    <x v="2"/>
  </r>
  <r>
    <x v="2"/>
    <x v="13"/>
    <x v="2"/>
    <s v="MATERIAL DE ASEO"/>
    <x v="3"/>
    <x v="1005"/>
    <s v="UNIDADES"/>
    <n v="54021"/>
    <n v="1"/>
    <n v="2"/>
    <n v="0"/>
    <n v="108042"/>
    <n v="0"/>
    <x v="1"/>
  </r>
  <r>
    <x v="2"/>
    <x v="16"/>
    <x v="5"/>
    <s v="MATERIAL DE ASEO"/>
    <x v="3"/>
    <x v="1005"/>
    <s v="UNIDADES"/>
    <n v="54021"/>
    <n v="0"/>
    <n v="0"/>
    <n v="0"/>
    <n v="0"/>
    <n v="0"/>
    <x v="1"/>
  </r>
  <r>
    <x v="2"/>
    <x v="10"/>
    <x v="4"/>
    <s v="MATERIAL DE ASEO"/>
    <x v="3"/>
    <x v="1005"/>
    <s v="UNIDADES"/>
    <n v="54021"/>
    <n v="7"/>
    <n v="0"/>
    <n v="-7"/>
    <n v="0"/>
    <n v="-378147"/>
    <x v="2"/>
  </r>
  <r>
    <x v="2"/>
    <x v="14"/>
    <x v="0"/>
    <s v="LACTEOS"/>
    <x v="1"/>
    <x v="1006"/>
    <s v="GRAMOS"/>
    <n v="8.8511111099999997"/>
    <n v="5150"/>
    <n v="3000"/>
    <n v="-2150"/>
    <n v="26553.333329999998"/>
    <n v="-19029.888886500001"/>
    <x v="2"/>
  </r>
  <r>
    <x v="2"/>
    <x v="16"/>
    <x v="5"/>
    <s v="LACTEOS"/>
    <x v="1"/>
    <x v="1007"/>
    <s v="GRAMOS"/>
    <n v="9"/>
    <n v="0"/>
    <n v="0"/>
    <n v="0"/>
    <n v="0"/>
    <n v="0"/>
    <x v="1"/>
  </r>
  <r>
    <x v="2"/>
    <x v="12"/>
    <x v="3"/>
    <s v="FRUVER"/>
    <x v="1"/>
    <x v="1008"/>
    <s v="GRAMOS"/>
    <n v="4"/>
    <n v="26918.571199999998"/>
    <n v="0"/>
    <n v="-26918.571199999998"/>
    <n v="0"/>
    <n v="-107674.28479999999"/>
    <x v="2"/>
  </r>
  <r>
    <x v="2"/>
    <x v="14"/>
    <x v="0"/>
    <s v="FRUVER"/>
    <x v="1"/>
    <x v="1008"/>
    <s v="GRAMOS"/>
    <n v="4.2"/>
    <n v="6900"/>
    <n v="2000"/>
    <n v="-4900"/>
    <n v="8400"/>
    <n v="-20580"/>
    <x v="2"/>
  </r>
  <r>
    <x v="2"/>
    <x v="13"/>
    <x v="2"/>
    <s v="FRUVER"/>
    <x v="1"/>
    <x v="1008"/>
    <s v="GRAMOS"/>
    <n v="4"/>
    <n v="18914.2853"/>
    <n v="0"/>
    <n v="-27314.285309999999"/>
    <n v="0"/>
    <n v="-109257.14124"/>
    <x v="2"/>
  </r>
  <r>
    <x v="2"/>
    <x v="15"/>
    <x v="1"/>
    <s v="FRUVER"/>
    <x v="1"/>
    <x v="1008"/>
    <s v="GRAMOS"/>
    <n v="4.2"/>
    <n v="2200"/>
    <n v="0"/>
    <n v="-2200"/>
    <n v="0"/>
    <n v="-9240"/>
    <x v="2"/>
  </r>
  <r>
    <x v="2"/>
    <x v="10"/>
    <x v="4"/>
    <s v="FRUVER"/>
    <x v="1"/>
    <x v="1008"/>
    <s v="GRAMOS"/>
    <n v="4"/>
    <n v="-1960.0002999999999"/>
    <n v="0"/>
    <n v="1960.0002999999999"/>
    <n v="0"/>
    <n v="7840.0011999999997"/>
    <x v="0"/>
  </r>
  <r>
    <x v="2"/>
    <x v="12"/>
    <x v="3"/>
    <s v="FRUVER"/>
    <x v="1"/>
    <x v="1009"/>
    <s v="GRAMOS"/>
    <n v="1.6"/>
    <n v="2007.1112000000001"/>
    <n v="2888"/>
    <n v="880.88881400000002"/>
    <n v="4620.8"/>
    <n v="1409.4221024000001"/>
    <x v="0"/>
  </r>
  <r>
    <x v="2"/>
    <x v="14"/>
    <x v="0"/>
    <s v="FRUVER"/>
    <x v="1"/>
    <x v="1009"/>
    <s v="GRAMOS"/>
    <n v="1.6"/>
    <n v="12537.8334"/>
    <n v="2130"/>
    <n v="-10407.833387000001"/>
    <n v="3408"/>
    <n v="-16652.533419200001"/>
    <x v="2"/>
  </r>
  <r>
    <x v="2"/>
    <x v="13"/>
    <x v="2"/>
    <s v="FRUVER"/>
    <x v="1"/>
    <x v="1009"/>
    <s v="GRAMOS"/>
    <n v="1.6"/>
    <n v="5958.6112000000003"/>
    <n v="4564"/>
    <n v="-1394.6111739999999"/>
    <n v="7302.4000000000005"/>
    <n v="-2231.3778784000001"/>
    <x v="2"/>
  </r>
  <r>
    <x v="2"/>
    <x v="15"/>
    <x v="1"/>
    <s v="FRUVER"/>
    <x v="1"/>
    <x v="1009"/>
    <s v="GRAMOS"/>
    <n v="1.6"/>
    <n v="7096.1828999999998"/>
    <n v="7800"/>
    <n v="703.81714399999998"/>
    <n v="12480"/>
    <n v="1126.1074304000001"/>
    <x v="0"/>
  </r>
  <r>
    <x v="2"/>
    <x v="16"/>
    <x v="5"/>
    <s v="FRUVER"/>
    <x v="1"/>
    <x v="1009"/>
    <s v="GRAMOS"/>
    <n v="1.6"/>
    <n v="3100"/>
    <n v="3100"/>
    <n v="0"/>
    <n v="4960"/>
    <n v="0"/>
    <x v="1"/>
  </r>
  <r>
    <x v="2"/>
    <x v="10"/>
    <x v="4"/>
    <s v="FRUVER"/>
    <x v="1"/>
    <x v="1009"/>
    <s v="GRAMOS"/>
    <n v="1.6"/>
    <n v="2813.9445000000001"/>
    <n v="3000"/>
    <n v="186.055452"/>
    <n v="4800"/>
    <n v="297.68872320000003"/>
    <x v="0"/>
  </r>
  <r>
    <x v="2"/>
    <x v="14"/>
    <x v="0"/>
    <s v="FRUVER"/>
    <x v="1"/>
    <x v="1010"/>
    <s v="GRAMOS"/>
    <n v="160"/>
    <n v="0"/>
    <n v="0"/>
    <n v="0"/>
    <n v="0"/>
    <n v="0"/>
    <x v="1"/>
  </r>
  <r>
    <x v="2"/>
    <x v="14"/>
    <x v="0"/>
    <s v="FRUVER"/>
    <x v="1"/>
    <x v="1011"/>
    <s v="GRAMOS"/>
    <n v="3.5"/>
    <n v="6498"/>
    <n v="936"/>
    <n v="-5562"/>
    <n v="3276"/>
    <n v="-19467"/>
    <x v="2"/>
  </r>
  <r>
    <x v="2"/>
    <x v="15"/>
    <x v="1"/>
    <s v="FRUVER"/>
    <x v="1"/>
    <x v="1011"/>
    <s v="GRAMOS"/>
    <n v="3.5"/>
    <n v="700"/>
    <n v="0"/>
    <n v="-700"/>
    <n v="0"/>
    <n v="-2450"/>
    <x v="2"/>
  </r>
  <r>
    <x v="4"/>
    <x v="17"/>
    <x v="4"/>
    <s v="LICORES"/>
    <x v="0"/>
    <x v="224"/>
    <s v="UNIDADES"/>
    <n v="0"/>
    <n v="0"/>
    <n v="0"/>
    <n v="0"/>
    <n v="0"/>
    <n v="0"/>
    <x v="1"/>
  </r>
  <r>
    <x v="4"/>
    <x v="17"/>
    <x v="4"/>
    <s v="LICORES"/>
    <x v="0"/>
    <x v="333"/>
    <s v="ONZA"/>
    <n v="0"/>
    <n v="0"/>
    <n v="0"/>
    <n v="0"/>
    <n v="0"/>
    <n v="0"/>
    <x v="1"/>
  </r>
  <r>
    <x v="4"/>
    <x v="17"/>
    <x v="4"/>
    <s v="LICORES"/>
    <x v="0"/>
    <x v="225"/>
    <s v="ONZA"/>
    <n v="0"/>
    <n v="0"/>
    <n v="0"/>
    <n v="0"/>
    <n v="0"/>
    <n v="0"/>
    <x v="1"/>
  </r>
  <r>
    <x v="4"/>
    <x v="17"/>
    <x v="4"/>
    <s v="LICORES"/>
    <x v="0"/>
    <x v="9"/>
    <s v="ONZA"/>
    <n v="0"/>
    <n v="0"/>
    <n v="0"/>
    <n v="0"/>
    <n v="0"/>
    <n v="0"/>
    <x v="1"/>
  </r>
  <r>
    <x v="4"/>
    <x v="17"/>
    <x v="4"/>
    <s v="LICORES"/>
    <x v="0"/>
    <x v="12"/>
    <s v="ONZA"/>
    <n v="0"/>
    <n v="0"/>
    <n v="0"/>
    <n v="0"/>
    <n v="0"/>
    <n v="0"/>
    <x v="1"/>
  </r>
  <r>
    <x v="4"/>
    <x v="17"/>
    <x v="4"/>
    <s v="GASEOSAS Y SODAS"/>
    <x v="0"/>
    <x v="59"/>
    <s v="UNIDADES"/>
    <n v="2323.75925925"/>
    <n v="76"/>
    <n v="75"/>
    <n v="-1"/>
    <n v="174281.94444374999"/>
    <n v="-2323.75925925"/>
    <x v="2"/>
  </r>
  <r>
    <x v="4"/>
    <x v="17"/>
    <x v="4"/>
    <s v="LICORES"/>
    <x v="0"/>
    <x v="2"/>
    <s v="ONZA"/>
    <n v="14896.95833333"/>
    <n v="22"/>
    <n v="22"/>
    <n v="0"/>
    <n v="327733.08333325997"/>
    <n v="0"/>
    <x v="1"/>
  </r>
  <r>
    <x v="4"/>
    <x v="17"/>
    <x v="4"/>
    <s v="LICORES"/>
    <x v="0"/>
    <x v="3"/>
    <s v="UNIDADES"/>
    <n v="86743"/>
    <n v="2"/>
    <n v="2"/>
    <n v="0"/>
    <n v="173486"/>
    <n v="0"/>
    <x v="1"/>
  </r>
  <r>
    <x v="4"/>
    <x v="17"/>
    <x v="4"/>
    <s v="LICORES"/>
    <x v="0"/>
    <x v="999"/>
    <s v="ONZA"/>
    <n v="1736.1111111099999"/>
    <n v="100"/>
    <n v="148"/>
    <n v="48"/>
    <n v="256944.44444428"/>
    <n v="83333.333333279996"/>
    <x v="0"/>
  </r>
  <r>
    <x v="4"/>
    <x v="17"/>
    <x v="4"/>
    <s v="LICORES"/>
    <x v="0"/>
    <x v="138"/>
    <s v="ONZA"/>
    <n v="7147.1666666700003"/>
    <n v="0"/>
    <n v="0"/>
    <n v="0"/>
    <n v="0"/>
    <n v="0"/>
    <x v="1"/>
  </r>
  <r>
    <x v="4"/>
    <x v="17"/>
    <x v="4"/>
    <s v="LICORES"/>
    <x v="0"/>
    <x v="288"/>
    <s v="ONZA"/>
    <n v="14293.772727269999"/>
    <n v="22"/>
    <n v="44"/>
    <n v="22"/>
    <n v="628925.99999987998"/>
    <n v="314462.99999993999"/>
    <x v="0"/>
  </r>
  <r>
    <x v="4"/>
    <x v="17"/>
    <x v="4"/>
    <s v="LICORES"/>
    <x v="0"/>
    <x v="1012"/>
    <s v="ONZA"/>
    <n v="75399.814815000005"/>
    <n v="20"/>
    <n v="20"/>
    <n v="0"/>
    <n v="1507996.2963"/>
    <n v="0"/>
    <x v="1"/>
  </r>
  <r>
    <x v="4"/>
    <x v="17"/>
    <x v="4"/>
    <s v="LICORES"/>
    <x v="0"/>
    <x v="7"/>
    <s v="ONZA"/>
    <n v="11819.5"/>
    <n v="0"/>
    <n v="0"/>
    <n v="0"/>
    <n v="0"/>
    <n v="0"/>
    <x v="1"/>
  </r>
  <r>
    <x v="4"/>
    <x v="17"/>
    <x v="4"/>
    <s v="SUB-RECETAS BAR"/>
    <x v="0"/>
    <x v="273"/>
    <s v="ONZA"/>
    <n v="3245.5439533700001"/>
    <n v="-10.34"/>
    <n v="8"/>
    <n v="18.34"/>
    <n v="25964.35162696"/>
    <n v="59523.276104805802"/>
    <x v="0"/>
  </r>
  <r>
    <x v="4"/>
    <x v="17"/>
    <x v="4"/>
    <s v="LICORES"/>
    <x v="0"/>
    <x v="33"/>
    <s v="ONZA"/>
    <n v="3059.2727272699999"/>
    <n v="49.5"/>
    <n v="65"/>
    <n v="15.5"/>
    <n v="198852.72727254999"/>
    <n v="47418.727272684999"/>
    <x v="0"/>
  </r>
  <r>
    <x v="4"/>
    <x v="17"/>
    <x v="4"/>
    <s v="GASEOSAS Y SODAS"/>
    <x v="0"/>
    <x v="18"/>
    <s v="UNIDADES"/>
    <n v="5424"/>
    <n v="36.67"/>
    <n v="52"/>
    <n v="15.33"/>
    <n v="282048"/>
    <n v="83149.919999999998"/>
    <x v="0"/>
  </r>
  <r>
    <x v="4"/>
    <x v="17"/>
    <x v="4"/>
    <s v="GASEOSAS Y SODAS"/>
    <x v="0"/>
    <x v="22"/>
    <s v="UNIDADES"/>
    <n v="5132.5"/>
    <n v="-5"/>
    <n v="7"/>
    <n v="12"/>
    <n v="35927.5"/>
    <n v="61590"/>
    <x v="0"/>
  </r>
  <r>
    <x v="4"/>
    <x v="17"/>
    <x v="4"/>
    <s v="LICORES"/>
    <x v="0"/>
    <x v="28"/>
    <s v="ONZA"/>
    <n v="4004.4333333300001"/>
    <n v="0.5"/>
    <n v="12"/>
    <n v="11.5"/>
    <n v="48053.199999960001"/>
    <n v="46050.983333295"/>
    <x v="0"/>
  </r>
  <r>
    <x v="4"/>
    <x v="17"/>
    <x v="4"/>
    <s v="LICORES"/>
    <x v="0"/>
    <x v="55"/>
    <s v="ONZA"/>
    <n v="6303.25"/>
    <n v="30.75"/>
    <n v="41"/>
    <n v="10.25"/>
    <n v="258433.25"/>
    <n v="64608.3125"/>
    <x v="0"/>
  </r>
  <r>
    <x v="4"/>
    <x v="17"/>
    <x v="4"/>
    <s v="LICORES"/>
    <x v="0"/>
    <x v="263"/>
    <s v="ONZA"/>
    <n v="4795.4545454500003"/>
    <n v="31.93"/>
    <n v="42"/>
    <n v="10.07"/>
    <n v="201409.09090890002"/>
    <n v="48290.227272681506"/>
    <x v="0"/>
  </r>
  <r>
    <x v="4"/>
    <x v="17"/>
    <x v="4"/>
    <s v="LICORES"/>
    <x v="0"/>
    <x v="43"/>
    <s v="ONZA"/>
    <n v="3426.7241379299999"/>
    <n v="271.5"/>
    <n v="281"/>
    <n v="9.5"/>
    <n v="962909.48275832995"/>
    <n v="32553.879310335"/>
    <x v="0"/>
  </r>
  <r>
    <x v="4"/>
    <x v="17"/>
    <x v="4"/>
    <s v="LICORES"/>
    <x v="0"/>
    <x v="24"/>
    <s v="ONZA"/>
    <n v="1993.59090909"/>
    <n v="47.7"/>
    <n v="57"/>
    <n v="9.3000000000000007"/>
    <n v="113634.68181813"/>
    <n v="18540.395454537"/>
    <x v="0"/>
  </r>
  <r>
    <x v="4"/>
    <x v="17"/>
    <x v="4"/>
    <s v="LICORES"/>
    <x v="0"/>
    <x v="19"/>
    <s v="UNIDADES"/>
    <n v="93956"/>
    <n v="1"/>
    <n v="1"/>
    <n v="0"/>
    <n v="93956"/>
    <n v="0"/>
    <x v="1"/>
  </r>
  <r>
    <x v="4"/>
    <x v="17"/>
    <x v="4"/>
    <s v="LICORES"/>
    <x v="0"/>
    <x v="21"/>
    <s v="ONZA"/>
    <n v="12951.25"/>
    <n v="0"/>
    <n v="0"/>
    <n v="0"/>
    <n v="0"/>
    <n v="0"/>
    <x v="1"/>
  </r>
  <r>
    <x v="4"/>
    <x v="17"/>
    <x v="4"/>
    <s v="LICORES"/>
    <x v="0"/>
    <x v="70"/>
    <s v="ONZA"/>
    <n v="3673.5"/>
    <n v="0"/>
    <n v="0"/>
    <n v="0"/>
    <n v="0"/>
    <n v="0"/>
    <x v="1"/>
  </r>
  <r>
    <x v="4"/>
    <x v="17"/>
    <x v="4"/>
    <s v="LICORES"/>
    <x v="0"/>
    <x v="1013"/>
    <s v="ONZA"/>
    <n v="3077.90909091"/>
    <n v="17.68"/>
    <n v="24"/>
    <n v="6.32"/>
    <n v="73869.818181840004"/>
    <n v="19452.3854545512"/>
    <x v="0"/>
  </r>
  <r>
    <x v="4"/>
    <x v="17"/>
    <x v="4"/>
    <s v="VINOS"/>
    <x v="0"/>
    <x v="142"/>
    <s v="COPA"/>
    <n v="4005.2666666700002"/>
    <n v="-2"/>
    <n v="4"/>
    <n v="6"/>
    <n v="16021.066666680001"/>
    <n v="24031.60000002"/>
    <x v="0"/>
  </r>
  <r>
    <x v="4"/>
    <x v="17"/>
    <x v="4"/>
    <s v="LICORES"/>
    <x v="0"/>
    <x v="4"/>
    <s v="ONZA"/>
    <n v="9796.6363636400001"/>
    <n v="36.93"/>
    <n v="42"/>
    <n v="5.07"/>
    <n v="411458.72727288003"/>
    <n v="49668.946363654803"/>
    <x v="0"/>
  </r>
  <r>
    <x v="4"/>
    <x v="17"/>
    <x v="4"/>
    <s v="LICORES"/>
    <x v="0"/>
    <x v="973"/>
    <s v="ONZA"/>
    <n v="3672"/>
    <n v="44"/>
    <n v="44"/>
    <n v="0"/>
    <n v="161568"/>
    <n v="0"/>
    <x v="1"/>
  </r>
  <r>
    <x v="4"/>
    <x v="17"/>
    <x v="4"/>
    <s v="LICORES"/>
    <x v="0"/>
    <x v="30"/>
    <s v="ONZA"/>
    <n v="6806.25"/>
    <n v="19"/>
    <n v="24"/>
    <n v="5"/>
    <n v="163350"/>
    <n v="34031.25"/>
    <x v="0"/>
  </r>
  <r>
    <x v="4"/>
    <x v="17"/>
    <x v="4"/>
    <s v="LICORES"/>
    <x v="0"/>
    <x v="26"/>
    <s v="ONZA"/>
    <n v="2906.3333333300002"/>
    <n v="25"/>
    <n v="25"/>
    <n v="0"/>
    <n v="72658.333333250004"/>
    <n v="0"/>
    <x v="1"/>
  </r>
  <r>
    <x v="4"/>
    <x v="17"/>
    <x v="4"/>
    <s v="LICORES"/>
    <x v="0"/>
    <x v="161"/>
    <s v="ONZA"/>
    <n v="4724.9090909099996"/>
    <n v="30.1"/>
    <n v="34"/>
    <n v="3.9"/>
    <n v="160646.90909094"/>
    <n v="18427.145454548998"/>
    <x v="0"/>
  </r>
  <r>
    <x v="4"/>
    <x v="17"/>
    <x v="4"/>
    <s v="LICORES"/>
    <x v="0"/>
    <x v="141"/>
    <s v="ONZA"/>
    <n v="6045.125"/>
    <n v="9"/>
    <n v="9"/>
    <n v="0"/>
    <n v="54406.125"/>
    <n v="0"/>
    <x v="1"/>
  </r>
  <r>
    <x v="4"/>
    <x v="17"/>
    <x v="4"/>
    <s v="LICORES"/>
    <x v="0"/>
    <x v="166"/>
    <s v="ONZA"/>
    <n v="9899.25"/>
    <n v="34.14"/>
    <n v="38"/>
    <n v="3.86"/>
    <n v="376171.5"/>
    <n v="38211.104999999996"/>
    <x v="0"/>
  </r>
  <r>
    <x v="4"/>
    <x v="17"/>
    <x v="4"/>
    <s v="LICORES"/>
    <x v="0"/>
    <x v="32"/>
    <s v="ONZA"/>
    <n v="4504.1666666700003"/>
    <n v="0"/>
    <n v="0"/>
    <n v="0"/>
    <n v="0"/>
    <n v="0"/>
    <x v="1"/>
  </r>
  <r>
    <x v="4"/>
    <x v="17"/>
    <x v="4"/>
    <s v="LICORES"/>
    <x v="0"/>
    <x v="44"/>
    <s v="ONZA"/>
    <n v="4668.5"/>
    <n v="2"/>
    <n v="2"/>
    <n v="0"/>
    <n v="9337"/>
    <n v="0"/>
    <x v="1"/>
  </r>
  <r>
    <x v="4"/>
    <x v="17"/>
    <x v="4"/>
    <s v="LICORES"/>
    <x v="0"/>
    <x v="110"/>
    <s v="ONZA"/>
    <n v="3185.3636363599999"/>
    <n v="40.5"/>
    <n v="44"/>
    <n v="3.5"/>
    <n v="140155.99999983999"/>
    <n v="11148.772727259999"/>
    <x v="0"/>
  </r>
  <r>
    <x v="4"/>
    <x v="17"/>
    <x v="4"/>
    <s v="LICORES"/>
    <x v="0"/>
    <x v="46"/>
    <s v="ONZA"/>
    <n v="6813.3636363599999"/>
    <n v="36"/>
    <n v="39"/>
    <n v="3"/>
    <n v="265721.18181803997"/>
    <n v="20440.090909079998"/>
    <x v="0"/>
  </r>
  <r>
    <x v="4"/>
    <x v="17"/>
    <x v="4"/>
    <s v="LICORES"/>
    <x v="0"/>
    <x v="174"/>
    <s v="ONZA"/>
    <n v="4893.8500000000004"/>
    <n v="20"/>
    <n v="20"/>
    <n v="0"/>
    <n v="97877"/>
    <n v="0"/>
    <x v="1"/>
  </r>
  <r>
    <x v="4"/>
    <x v="17"/>
    <x v="4"/>
    <s v="GASEOSAS Y SODAS"/>
    <x v="0"/>
    <x v="63"/>
    <s v="UNIDADES"/>
    <n v="5309.7916666700003"/>
    <n v="67"/>
    <n v="69"/>
    <n v="2"/>
    <n v="366375.62500023004"/>
    <n v="10619.583333340001"/>
    <x v="0"/>
  </r>
  <r>
    <x v="4"/>
    <x v="17"/>
    <x v="4"/>
    <s v="VINOS"/>
    <x v="0"/>
    <x v="86"/>
    <s v="COPA"/>
    <n v="4385.6000000000004"/>
    <n v="9"/>
    <n v="11"/>
    <n v="2"/>
    <n v="48241.600000000006"/>
    <n v="8771.2000000000007"/>
    <x v="0"/>
  </r>
  <r>
    <x v="4"/>
    <x v="17"/>
    <x v="4"/>
    <s v="LICORES"/>
    <x v="0"/>
    <x v="292"/>
    <s v="ONZA"/>
    <n v="10667.40909091"/>
    <n v="22"/>
    <n v="22"/>
    <n v="0"/>
    <n v="234683.00000001999"/>
    <n v="0"/>
    <x v="1"/>
  </r>
  <r>
    <x v="4"/>
    <x v="17"/>
    <x v="4"/>
    <s v="LICORES"/>
    <x v="0"/>
    <x v="17"/>
    <s v="ONZA"/>
    <n v="3359.40909091"/>
    <n v="24.04"/>
    <n v="26"/>
    <n v="0"/>
    <n v="87344.63636366"/>
    <n v="0"/>
    <x v="1"/>
  </r>
  <r>
    <x v="4"/>
    <x v="17"/>
    <x v="4"/>
    <s v="LICORES"/>
    <x v="0"/>
    <x v="172"/>
    <s v="ONZA"/>
    <n v="6744"/>
    <n v="19.71"/>
    <n v="21"/>
    <n v="0"/>
    <n v="141624"/>
    <n v="0"/>
    <x v="1"/>
  </r>
  <r>
    <x v="4"/>
    <x v="17"/>
    <x v="4"/>
    <s v="LICORES"/>
    <x v="0"/>
    <x v="173"/>
    <s v="ONZA"/>
    <n v="12698.95454545"/>
    <n v="28"/>
    <n v="29"/>
    <n v="0"/>
    <n v="368269.68181804998"/>
    <n v="0"/>
    <x v="1"/>
  </r>
  <r>
    <x v="4"/>
    <x v="17"/>
    <x v="4"/>
    <s v="LICORES"/>
    <x v="0"/>
    <x v="134"/>
    <s v="ONZA"/>
    <n v="9152.4545454500003"/>
    <n v="20"/>
    <n v="21"/>
    <n v="0"/>
    <n v="192201.54545445001"/>
    <n v="0"/>
    <x v="1"/>
  </r>
  <r>
    <x v="4"/>
    <x v="17"/>
    <x v="4"/>
    <s v="LICORES"/>
    <x v="0"/>
    <x v="38"/>
    <s v="UNIDADES"/>
    <n v="24403"/>
    <n v="2"/>
    <n v="2"/>
    <n v="0"/>
    <n v="48806"/>
    <n v="0"/>
    <x v="1"/>
  </r>
  <r>
    <x v="4"/>
    <x v="17"/>
    <x v="4"/>
    <s v="LICORES"/>
    <x v="0"/>
    <x v="270"/>
    <s v="ONZA"/>
    <n v="1988.9655172400001"/>
    <n v="50"/>
    <n v="51"/>
    <n v="0"/>
    <n v="101437.24137924"/>
    <n v="0"/>
    <x v="1"/>
  </r>
  <r>
    <x v="4"/>
    <x v="17"/>
    <x v="4"/>
    <s v="LICORES"/>
    <x v="0"/>
    <x v="40"/>
    <s v="UNIDADES"/>
    <n v="22770"/>
    <n v="3"/>
    <n v="3"/>
    <n v="0"/>
    <n v="68310"/>
    <n v="0"/>
    <x v="1"/>
  </r>
  <r>
    <x v="4"/>
    <x v="17"/>
    <x v="4"/>
    <s v="VINOS"/>
    <x v="0"/>
    <x v="112"/>
    <s v="COPA"/>
    <n v="4002.6"/>
    <n v="14"/>
    <n v="15"/>
    <n v="1"/>
    <n v="60039"/>
    <n v="4002.6"/>
    <x v="0"/>
  </r>
  <r>
    <x v="4"/>
    <x v="17"/>
    <x v="4"/>
    <s v="LICORES"/>
    <x v="0"/>
    <x v="42"/>
    <s v="UNIDADES"/>
    <n v="21478"/>
    <n v="2"/>
    <n v="2"/>
    <n v="0"/>
    <n v="42956"/>
    <n v="0"/>
    <x v="1"/>
  </r>
  <r>
    <x v="4"/>
    <x v="17"/>
    <x v="4"/>
    <s v="VINOS"/>
    <x v="0"/>
    <x v="268"/>
    <s v="COPA"/>
    <n v="13704.2"/>
    <n v="-1"/>
    <n v="0"/>
    <n v="1"/>
    <n v="0"/>
    <n v="13704.2"/>
    <x v="0"/>
  </r>
  <r>
    <x v="4"/>
    <x v="17"/>
    <x v="4"/>
    <s v="LICORES"/>
    <x v="0"/>
    <x v="108"/>
    <s v="ONZA"/>
    <n v="5958.3333333299997"/>
    <n v="0"/>
    <n v="0"/>
    <n v="0"/>
    <n v="0"/>
    <n v="0"/>
    <x v="1"/>
  </r>
  <r>
    <x v="4"/>
    <x v="17"/>
    <x v="4"/>
    <s v="LICORES"/>
    <x v="0"/>
    <x v="13"/>
    <s v="ONZA"/>
    <n v="1886.3636363600001"/>
    <n v="36.32"/>
    <n v="37"/>
    <n v="0"/>
    <n v="69795.454545319997"/>
    <n v="0"/>
    <x v="1"/>
  </r>
  <r>
    <x v="4"/>
    <x v="17"/>
    <x v="4"/>
    <s v="VINOS"/>
    <x v="0"/>
    <x v="262"/>
    <s v="ONZA"/>
    <n v="2902.8333333300002"/>
    <n v="9.34"/>
    <n v="10"/>
    <n v="0"/>
    <n v="29028.333333300001"/>
    <n v="0"/>
    <x v="1"/>
  </r>
  <r>
    <x v="4"/>
    <x v="17"/>
    <x v="4"/>
    <s v="LICORES"/>
    <x v="0"/>
    <x v="48"/>
    <s v="UNIDADES"/>
    <n v="41250"/>
    <n v="2"/>
    <n v="2"/>
    <n v="0"/>
    <n v="82500"/>
    <n v="0"/>
    <x v="1"/>
  </r>
  <r>
    <x v="4"/>
    <x v="17"/>
    <x v="4"/>
    <s v="LICORES"/>
    <x v="0"/>
    <x v="203"/>
    <s v="ONZA"/>
    <n v="0"/>
    <n v="0"/>
    <n v="0"/>
    <n v="0"/>
    <n v="0"/>
    <n v="0"/>
    <x v="1"/>
  </r>
  <r>
    <x v="4"/>
    <x v="17"/>
    <x v="4"/>
    <s v="LICORES"/>
    <x v="0"/>
    <x v="159"/>
    <s v="ONZA"/>
    <n v="3500"/>
    <n v="10.35"/>
    <n v="11"/>
    <n v="0"/>
    <n v="38500"/>
    <n v="0"/>
    <x v="1"/>
  </r>
  <r>
    <x v="4"/>
    <x v="17"/>
    <x v="4"/>
    <s v="LICORES"/>
    <x v="0"/>
    <x v="52"/>
    <s v="ONZA"/>
    <n v="5291.6666666700003"/>
    <n v="0"/>
    <n v="0"/>
    <n v="0"/>
    <n v="0"/>
    <n v="0"/>
    <x v="1"/>
  </r>
  <r>
    <x v="4"/>
    <x v="17"/>
    <x v="4"/>
    <s v="LICORES"/>
    <x v="0"/>
    <x v="56"/>
    <s v="ONZA"/>
    <n v="2309.40625"/>
    <n v="13.5"/>
    <n v="14"/>
    <n v="0"/>
    <n v="32331.6875"/>
    <n v="0"/>
    <x v="1"/>
  </r>
  <r>
    <x v="4"/>
    <x v="17"/>
    <x v="4"/>
    <s v="LICORES"/>
    <x v="0"/>
    <x v="231"/>
    <s v="ONZA"/>
    <n v="10178.90909091"/>
    <n v="28.75"/>
    <n v="29"/>
    <n v="0"/>
    <n v="295188.36363639002"/>
    <n v="0"/>
    <x v="1"/>
  </r>
  <r>
    <x v="4"/>
    <x v="17"/>
    <x v="4"/>
    <s v="LICORES"/>
    <x v="0"/>
    <x v="31"/>
    <s v="ONZA"/>
    <n v="2222.09090909"/>
    <n v="78.75"/>
    <n v="79"/>
    <n v="0"/>
    <n v="175545.18181811"/>
    <n v="0"/>
    <x v="1"/>
  </r>
  <r>
    <x v="4"/>
    <x v="17"/>
    <x v="4"/>
    <s v="LICORES"/>
    <x v="0"/>
    <x v="41"/>
    <s v="ONZA"/>
    <n v="1809.40909091"/>
    <n v="36.799999999999997"/>
    <n v="37"/>
    <n v="0"/>
    <n v="66948.136363669997"/>
    <n v="0"/>
    <x v="1"/>
  </r>
  <r>
    <x v="4"/>
    <x v="17"/>
    <x v="4"/>
    <s v="LICORES"/>
    <x v="0"/>
    <x v="5"/>
    <s v="ONZA"/>
    <n v="6850.05"/>
    <n v="23.99"/>
    <n v="24"/>
    <n v="0"/>
    <n v="164401.20000000001"/>
    <n v="0"/>
    <x v="1"/>
  </r>
  <r>
    <x v="4"/>
    <x v="17"/>
    <x v="4"/>
    <s v="LICORES"/>
    <x v="0"/>
    <x v="36"/>
    <s v="ONZA"/>
    <n v="2904.0416666699998"/>
    <n v="20.02"/>
    <n v="20"/>
    <n v="0"/>
    <n v="58080.833333399998"/>
    <n v="0"/>
    <x v="1"/>
  </r>
  <r>
    <x v="4"/>
    <x v="17"/>
    <x v="4"/>
    <s v="GASEOSAS Y SODAS"/>
    <x v="0"/>
    <x v="79"/>
    <s v="UNIDADES"/>
    <n v="0"/>
    <n v="0"/>
    <n v="0"/>
    <n v="0"/>
    <n v="0"/>
    <n v="0"/>
    <x v="1"/>
  </r>
  <r>
    <x v="4"/>
    <x v="17"/>
    <x v="4"/>
    <s v="GASEOSAS Y SODAS"/>
    <x v="0"/>
    <x v="58"/>
    <s v="UNIDADES"/>
    <n v="3333.3333333300002"/>
    <n v="0"/>
    <n v="0"/>
    <n v="0"/>
    <n v="0"/>
    <n v="0"/>
    <x v="1"/>
  </r>
  <r>
    <x v="4"/>
    <x v="17"/>
    <x v="4"/>
    <s v="GASEOSAS Y SODAS"/>
    <x v="0"/>
    <x v="50"/>
    <s v="UNIDADES"/>
    <n v="0"/>
    <n v="0"/>
    <n v="0"/>
    <n v="0"/>
    <n v="0"/>
    <n v="0"/>
    <x v="1"/>
  </r>
  <r>
    <x v="4"/>
    <x v="17"/>
    <x v="4"/>
    <s v="LICORES"/>
    <x v="0"/>
    <x v="180"/>
    <s v="ONZA"/>
    <n v="20566.318181819999"/>
    <n v="30.14"/>
    <n v="30"/>
    <n v="0"/>
    <n v="616989.54545460001"/>
    <n v="0"/>
    <x v="1"/>
  </r>
  <r>
    <x v="4"/>
    <x v="17"/>
    <x v="4"/>
    <s v="LICORES"/>
    <x v="0"/>
    <x v="135"/>
    <s v="ONZA"/>
    <n v="5941.2272727299996"/>
    <n v="49.15"/>
    <n v="49"/>
    <n v="0"/>
    <n v="291120.13636377"/>
    <n v="0"/>
    <x v="1"/>
  </r>
  <r>
    <x v="4"/>
    <x v="17"/>
    <x v="4"/>
    <s v="SUB-RECETAS BAR"/>
    <x v="0"/>
    <x v="260"/>
    <s v="ONZA"/>
    <n v="2164.9723335899998"/>
    <n v="20.22"/>
    <n v="20"/>
    <n v="0"/>
    <n v="43299.446671799997"/>
    <n v="0"/>
    <x v="1"/>
  </r>
  <r>
    <x v="4"/>
    <x v="17"/>
    <x v="4"/>
    <s v="LICORES"/>
    <x v="0"/>
    <x v="323"/>
    <s v="ONZA"/>
    <n v="4.5454550000000003E-2"/>
    <n v="58.32"/>
    <n v="58"/>
    <n v="0"/>
    <n v="2.6363639000000001"/>
    <n v="0"/>
    <x v="1"/>
  </r>
  <r>
    <x v="4"/>
    <x v="17"/>
    <x v="4"/>
    <s v="GASEOSAS Y SODAS"/>
    <x v="0"/>
    <x v="62"/>
    <s v="UNIDADES"/>
    <n v="1395.83333333"/>
    <n v="12"/>
    <n v="12"/>
    <n v="0"/>
    <n v="16749.99999996"/>
    <n v="0"/>
    <x v="1"/>
  </r>
  <r>
    <x v="4"/>
    <x v="17"/>
    <x v="4"/>
    <s v="GASEOSAS Y SODAS"/>
    <x v="0"/>
    <x v="189"/>
    <s v="UNIDADES"/>
    <n v="1860.01"/>
    <n v="0"/>
    <n v="0"/>
    <n v="0"/>
    <n v="0"/>
    <n v="0"/>
    <x v="1"/>
  </r>
  <r>
    <x v="4"/>
    <x v="17"/>
    <x v="4"/>
    <s v="LICORES"/>
    <x v="0"/>
    <x v="132"/>
    <s v="ONZA"/>
    <n v="13020.86363636"/>
    <n v="42.5"/>
    <n v="42"/>
    <n v="0"/>
    <n v="546876.27272711997"/>
    <n v="0"/>
    <x v="1"/>
  </r>
  <r>
    <x v="4"/>
    <x v="17"/>
    <x v="4"/>
    <s v="LICORES"/>
    <x v="0"/>
    <x v="35"/>
    <s v="ONZA"/>
    <n v="2056.3333333300002"/>
    <n v="37.5"/>
    <n v="37"/>
    <n v="0"/>
    <n v="76084.333333210001"/>
    <n v="0"/>
    <x v="1"/>
  </r>
  <r>
    <x v="4"/>
    <x v="17"/>
    <x v="4"/>
    <s v="GASEOSAS Y SODAS"/>
    <x v="0"/>
    <x v="137"/>
    <s v="UNIDADES"/>
    <n v="1654.07134292"/>
    <n v="37"/>
    <n v="37"/>
    <n v="0"/>
    <n v="61200.639688039999"/>
    <n v="0"/>
    <x v="1"/>
  </r>
  <r>
    <x v="4"/>
    <x v="17"/>
    <x v="4"/>
    <s v="LICORES"/>
    <x v="0"/>
    <x v="39"/>
    <s v="ONZA"/>
    <n v="3951.875"/>
    <n v="107"/>
    <n v="107"/>
    <n v="0"/>
    <n v="422850.625"/>
    <n v="0"/>
    <x v="1"/>
  </r>
  <r>
    <x v="4"/>
    <x v="17"/>
    <x v="4"/>
    <s v="VINOS"/>
    <x v="0"/>
    <x v="242"/>
    <s v="COPA"/>
    <n v="9702"/>
    <n v="27"/>
    <n v="26"/>
    <n v="-1"/>
    <n v="252252"/>
    <n v="-9702"/>
    <x v="2"/>
  </r>
  <r>
    <x v="4"/>
    <x v="17"/>
    <x v="4"/>
    <s v="GASEOSAS Y SODAS"/>
    <x v="0"/>
    <x v="67"/>
    <s v="UNIDADES"/>
    <n v="0"/>
    <n v="0"/>
    <n v="0"/>
    <n v="0"/>
    <n v="0"/>
    <n v="0"/>
    <x v="1"/>
  </r>
  <r>
    <x v="4"/>
    <x v="17"/>
    <x v="4"/>
    <s v="GASEOSAS Y SODAS"/>
    <x v="0"/>
    <x v="47"/>
    <s v="UNIDADES"/>
    <n v="5132.5"/>
    <n v="12"/>
    <n v="12"/>
    <n v="0"/>
    <n v="61590"/>
    <n v="0"/>
    <x v="1"/>
  </r>
  <r>
    <x v="4"/>
    <x v="17"/>
    <x v="4"/>
    <s v="GASEOSAS Y SODAS"/>
    <x v="0"/>
    <x v="337"/>
    <s v="UNIDADES"/>
    <n v="2120.83"/>
    <n v="0"/>
    <n v="0"/>
    <n v="0"/>
    <n v="0"/>
    <n v="0"/>
    <x v="1"/>
  </r>
  <r>
    <x v="4"/>
    <x v="17"/>
    <x v="4"/>
    <s v="GASEOSAS Y SODAS"/>
    <x v="0"/>
    <x v="229"/>
    <s v="UNIDADES"/>
    <n v="6387"/>
    <n v="5"/>
    <n v="5"/>
    <n v="0"/>
    <n v="31935"/>
    <n v="0"/>
    <x v="1"/>
  </r>
  <r>
    <x v="4"/>
    <x v="17"/>
    <x v="4"/>
    <s v="GASEOSAS Y SODAS"/>
    <x v="0"/>
    <x v="71"/>
    <s v="UNIDADES"/>
    <n v="1966.66666667"/>
    <n v="0"/>
    <n v="0"/>
    <n v="0"/>
    <n v="0"/>
    <n v="0"/>
    <x v="1"/>
  </r>
  <r>
    <x v="4"/>
    <x v="17"/>
    <x v="4"/>
    <s v="CERVEZAS"/>
    <x v="0"/>
    <x v="230"/>
    <s v="UNIDADES"/>
    <n v="11900.27777778"/>
    <n v="12"/>
    <n v="12"/>
    <n v="0"/>
    <n v="142803.33333336"/>
    <n v="0"/>
    <x v="1"/>
  </r>
  <r>
    <x v="4"/>
    <x v="17"/>
    <x v="4"/>
    <s v="CERVEZAS"/>
    <x v="0"/>
    <x v="75"/>
    <s v="UNIDADES"/>
    <n v="2455.2333333299998"/>
    <n v="34"/>
    <n v="34"/>
    <n v="0"/>
    <n v="83477.933333219989"/>
    <n v="0"/>
    <x v="1"/>
  </r>
  <r>
    <x v="4"/>
    <x v="17"/>
    <x v="4"/>
    <s v="CERVEZAS"/>
    <x v="0"/>
    <x v="76"/>
    <s v="UNIDADES"/>
    <n v="2359.5666666699999"/>
    <n v="29"/>
    <n v="29"/>
    <n v="0"/>
    <n v="68427.433333430003"/>
    <n v="0"/>
    <x v="1"/>
  </r>
  <r>
    <x v="4"/>
    <x v="17"/>
    <x v="4"/>
    <s v="CERVEZAS"/>
    <x v="0"/>
    <x v="77"/>
    <s v="UNIDADES"/>
    <n v="3300"/>
    <n v="52"/>
    <n v="52"/>
    <n v="0"/>
    <n v="171600"/>
    <n v="0"/>
    <x v="1"/>
  </r>
  <r>
    <x v="4"/>
    <x v="17"/>
    <x v="4"/>
    <s v="CERVEZAS"/>
    <x v="0"/>
    <x v="143"/>
    <s v="UNIDADES"/>
    <n v="2773.5"/>
    <n v="21"/>
    <n v="21"/>
    <n v="0"/>
    <n v="58243.5"/>
    <n v="0"/>
    <x v="1"/>
  </r>
  <r>
    <x v="4"/>
    <x v="17"/>
    <x v="4"/>
    <s v="CERVEZAS"/>
    <x v="0"/>
    <x v="178"/>
    <s v="UNIDADES"/>
    <n v="3603.3333333300002"/>
    <n v="46"/>
    <n v="46"/>
    <n v="0"/>
    <n v="165753.33333317999"/>
    <n v="0"/>
    <x v="1"/>
  </r>
  <r>
    <x v="4"/>
    <x v="17"/>
    <x v="4"/>
    <s v="CERVEZAS"/>
    <x v="0"/>
    <x v="227"/>
    <s v="UNIDADES"/>
    <n v="4102.8333333299997"/>
    <n v="68"/>
    <n v="68"/>
    <n v="0"/>
    <n v="278992.66666643997"/>
    <n v="0"/>
    <x v="1"/>
  </r>
  <r>
    <x v="4"/>
    <x v="17"/>
    <x v="4"/>
    <s v="CERVEZAS"/>
    <x v="0"/>
    <x v="183"/>
    <s v="UNIDADES"/>
    <n v="3099.6666666699998"/>
    <n v="0"/>
    <n v="0"/>
    <n v="0"/>
    <n v="0"/>
    <n v="0"/>
    <x v="1"/>
  </r>
  <r>
    <x v="4"/>
    <x v="17"/>
    <x v="4"/>
    <s v="CERVEZAS"/>
    <x v="0"/>
    <x v="184"/>
    <s v="UNIDADES"/>
    <n v="3338.5"/>
    <n v="67"/>
    <n v="67"/>
    <n v="0"/>
    <n v="223679.5"/>
    <n v="0"/>
    <x v="1"/>
  </r>
  <r>
    <x v="4"/>
    <x v="17"/>
    <x v="4"/>
    <s v="CERVEZAS"/>
    <x v="0"/>
    <x v="96"/>
    <s v="UNIDADES"/>
    <n v="3200"/>
    <n v="0"/>
    <n v="0"/>
    <n v="0"/>
    <n v="0"/>
    <n v="0"/>
    <x v="1"/>
  </r>
  <r>
    <x v="4"/>
    <x v="17"/>
    <x v="4"/>
    <s v="GASEOSAS Y SODAS"/>
    <x v="0"/>
    <x v="65"/>
    <s v="UNIDADES"/>
    <n v="5313.1666666700003"/>
    <n v="20"/>
    <n v="18"/>
    <n v="-2"/>
    <n v="95637.000000060012"/>
    <n v="-10626.333333340001"/>
    <x v="2"/>
  </r>
  <r>
    <x v="4"/>
    <x v="17"/>
    <x v="4"/>
    <s v="CERVEZAS"/>
    <x v="0"/>
    <x v="199"/>
    <s v="UNIDADES"/>
    <n v="3261.8333333300002"/>
    <n v="5"/>
    <n v="5"/>
    <n v="0"/>
    <n v="16309.16666665"/>
    <n v="0"/>
    <x v="1"/>
  </r>
  <r>
    <x v="4"/>
    <x v="17"/>
    <x v="4"/>
    <s v="PESCADOS Y MARISCOS"/>
    <x v="1"/>
    <x v="139"/>
    <s v="GRAMOS"/>
    <n v="39"/>
    <n v="16899.777600000001"/>
    <n v="21200"/>
    <n v="4300.2224470000001"/>
    <n v="826800"/>
    <n v="167708.675433"/>
    <x v="0"/>
  </r>
  <r>
    <x v="4"/>
    <x v="17"/>
    <x v="4"/>
    <s v="PESCADOS Y MARISCOS"/>
    <x v="1"/>
    <x v="186"/>
    <s v="UNIDADES"/>
    <n v="1500"/>
    <n v="-726"/>
    <n v="81"/>
    <n v="807"/>
    <n v="121500"/>
    <n v="1210500"/>
    <x v="0"/>
  </r>
  <r>
    <x v="4"/>
    <x v="17"/>
    <x v="4"/>
    <s v="SUB RECETAS"/>
    <x v="1"/>
    <x v="257"/>
    <s v="UNIDADES"/>
    <n v="1758.9063333300001"/>
    <n v="-61"/>
    <n v="62"/>
    <n v="123"/>
    <n v="109052.19266646"/>
    <n v="216345.47899959001"/>
    <x v="0"/>
  </r>
  <r>
    <x v="4"/>
    <x v="17"/>
    <x v="4"/>
    <s v="PESCADOS Y MARISCOS"/>
    <x v="1"/>
    <x v="190"/>
    <s v="UNIDADES"/>
    <n v="436.01333333000002"/>
    <n v="185"/>
    <n v="291"/>
    <n v="106"/>
    <n v="126879.87999903"/>
    <n v="46217.413332980002"/>
    <x v="0"/>
  </r>
  <r>
    <x v="4"/>
    <x v="17"/>
    <x v="4"/>
    <s v="PROTEINAS"/>
    <x v="1"/>
    <x v="78"/>
    <s v="UNIDADES"/>
    <n v="8870"/>
    <n v="3.5"/>
    <n v="51"/>
    <n v="47.5"/>
    <n v="452370"/>
    <n v="421325"/>
    <x v="0"/>
  </r>
  <r>
    <x v="4"/>
    <x v="17"/>
    <x v="4"/>
    <s v="SUB RECETAS"/>
    <x v="1"/>
    <x v="310"/>
    <s v="UNIDADES"/>
    <n v="1940.3180376099999"/>
    <n v="-19"/>
    <n v="7"/>
    <n v="26"/>
    <n v="13582.22626327"/>
    <n v="50448.268977859996"/>
    <x v="0"/>
  </r>
  <r>
    <x v="4"/>
    <x v="17"/>
    <x v="4"/>
    <s v="SUB RECETAS"/>
    <x v="1"/>
    <x v="277"/>
    <s v="UNIDADES"/>
    <n v="2901.7923862100001"/>
    <n v="-13"/>
    <n v="12"/>
    <n v="25"/>
    <n v="34821.508634520003"/>
    <n v="72544.809655250006"/>
    <x v="0"/>
  </r>
  <r>
    <x v="4"/>
    <x v="17"/>
    <x v="4"/>
    <s v="SUB RECETAS"/>
    <x v="1"/>
    <x v="254"/>
    <s v="UNIDADES"/>
    <n v="669.41413851000004"/>
    <n v="-12"/>
    <n v="0"/>
    <n v="12"/>
    <n v="0"/>
    <n v="8032.9696621200001"/>
    <x v="0"/>
  </r>
  <r>
    <x v="4"/>
    <x v="17"/>
    <x v="4"/>
    <s v="SUB RECETAS"/>
    <x v="1"/>
    <x v="250"/>
    <s v="UNIDADES"/>
    <n v="5943.1887500000003"/>
    <n v="7"/>
    <n v="16"/>
    <n v="9"/>
    <n v="95091.02"/>
    <n v="53488.698750000003"/>
    <x v="0"/>
  </r>
  <r>
    <x v="4"/>
    <x v="17"/>
    <x v="4"/>
    <s v="VINOS"/>
    <x v="0"/>
    <x v="97"/>
    <s v="UNIDADES"/>
    <n v="0"/>
    <n v="0"/>
    <n v="0"/>
    <n v="0"/>
    <n v="0"/>
    <n v="0"/>
    <x v="1"/>
  </r>
  <r>
    <x v="4"/>
    <x v="17"/>
    <x v="4"/>
    <s v="VINOS"/>
    <x v="0"/>
    <x v="232"/>
    <s v="COPA"/>
    <n v="0"/>
    <n v="0"/>
    <n v="0"/>
    <n v="0"/>
    <n v="0"/>
    <n v="0"/>
    <x v="1"/>
  </r>
  <r>
    <x v="4"/>
    <x v="17"/>
    <x v="4"/>
    <s v="VINOS"/>
    <x v="0"/>
    <x v="233"/>
    <s v="UNIDADES"/>
    <n v="125043"/>
    <n v="1"/>
    <n v="1"/>
    <n v="0"/>
    <n v="125043"/>
    <n v="0"/>
    <x v="1"/>
  </r>
  <r>
    <x v="4"/>
    <x v="17"/>
    <x v="4"/>
    <s v="VINOS"/>
    <x v="0"/>
    <x v="234"/>
    <s v="UNIDADES"/>
    <n v="22425"/>
    <n v="0"/>
    <n v="0"/>
    <n v="0"/>
    <n v="0"/>
    <n v="0"/>
    <x v="1"/>
  </r>
  <r>
    <x v="4"/>
    <x v="17"/>
    <x v="4"/>
    <s v="VINOS"/>
    <x v="0"/>
    <x v="1014"/>
    <s v="UNIDADES"/>
    <n v="22425.5"/>
    <n v="4"/>
    <n v="4"/>
    <n v="0"/>
    <n v="89702"/>
    <n v="0"/>
    <x v="1"/>
  </r>
  <r>
    <x v="4"/>
    <x v="17"/>
    <x v="4"/>
    <s v="VINOS"/>
    <x v="0"/>
    <x v="6"/>
    <s v="ONZA"/>
    <n v="2903.3333333300002"/>
    <n v="0"/>
    <n v="0"/>
    <n v="0"/>
    <n v="0"/>
    <n v="0"/>
    <x v="1"/>
  </r>
  <r>
    <x v="4"/>
    <x v="17"/>
    <x v="4"/>
    <s v="VINOS"/>
    <x v="0"/>
    <x v="98"/>
    <s v="UNIDADES"/>
    <n v="108834"/>
    <n v="0"/>
    <n v="0"/>
    <n v="0"/>
    <n v="0"/>
    <n v="0"/>
    <x v="1"/>
  </r>
  <r>
    <x v="4"/>
    <x v="17"/>
    <x v="4"/>
    <s v="VINOS"/>
    <x v="0"/>
    <x v="236"/>
    <s v="UNIDADES"/>
    <n v="28357"/>
    <n v="2"/>
    <n v="2"/>
    <n v="0"/>
    <n v="56714"/>
    <n v="0"/>
    <x v="1"/>
  </r>
  <r>
    <x v="4"/>
    <x v="17"/>
    <x v="4"/>
    <s v="VINOS"/>
    <x v="0"/>
    <x v="237"/>
    <s v="UNIDADES"/>
    <n v="87241.5"/>
    <n v="2"/>
    <n v="2"/>
    <n v="0"/>
    <n v="174483"/>
    <n v="0"/>
    <x v="1"/>
  </r>
  <r>
    <x v="4"/>
    <x v="17"/>
    <x v="4"/>
    <s v="VINOS"/>
    <x v="0"/>
    <x v="238"/>
    <s v="UNIDADES"/>
    <n v="63897.666666669997"/>
    <n v="0"/>
    <n v="0"/>
    <n v="0"/>
    <n v="0"/>
    <n v="0"/>
    <x v="1"/>
  </r>
  <r>
    <x v="4"/>
    <x v="17"/>
    <x v="4"/>
    <s v="VINOS"/>
    <x v="0"/>
    <x v="114"/>
    <s v="COPA"/>
    <n v="9700"/>
    <n v="24"/>
    <n v="22"/>
    <n v="-2"/>
    <n v="213400"/>
    <n v="-19400"/>
    <x v="2"/>
  </r>
  <r>
    <x v="4"/>
    <x v="17"/>
    <x v="4"/>
    <s v="VINOS"/>
    <x v="0"/>
    <x v="239"/>
    <s v="UNIDADES"/>
    <n v="25109.5"/>
    <n v="3"/>
    <n v="3"/>
    <n v="0"/>
    <n v="75328.5"/>
    <n v="0"/>
    <x v="1"/>
  </r>
  <r>
    <x v="4"/>
    <x v="17"/>
    <x v="4"/>
    <s v="VINOS"/>
    <x v="0"/>
    <x v="240"/>
    <s v="UNIDADES"/>
    <n v="25109.5"/>
    <n v="0"/>
    <n v="0"/>
    <n v="0"/>
    <n v="0"/>
    <n v="0"/>
    <x v="1"/>
  </r>
  <r>
    <x v="4"/>
    <x v="17"/>
    <x v="4"/>
    <s v="VINOS"/>
    <x v="0"/>
    <x v="264"/>
    <s v="COPA"/>
    <n v="13705.2"/>
    <n v="19"/>
    <n v="19"/>
    <n v="0"/>
    <n v="260398.80000000002"/>
    <n v="0"/>
    <x v="1"/>
  </r>
  <r>
    <x v="4"/>
    <x v="17"/>
    <x v="4"/>
    <s v="VINOS"/>
    <x v="0"/>
    <x v="265"/>
    <s v="UNIDADES"/>
    <n v="444869"/>
    <n v="1"/>
    <n v="1"/>
    <n v="0"/>
    <n v="444869"/>
    <n v="0"/>
    <x v="1"/>
  </r>
  <r>
    <x v="4"/>
    <x v="17"/>
    <x v="4"/>
    <s v="VINOS"/>
    <x v="0"/>
    <x v="271"/>
    <s v="COPA"/>
    <n v="14349.53333333"/>
    <n v="23"/>
    <n v="23"/>
    <n v="0"/>
    <n v="330039.26666659"/>
    <n v="0"/>
    <x v="1"/>
  </r>
  <r>
    <x v="4"/>
    <x v="17"/>
    <x v="4"/>
    <s v="VINOS"/>
    <x v="0"/>
    <x v="105"/>
    <s v="UNIDADES"/>
    <n v="63372.666666669997"/>
    <n v="3"/>
    <n v="3"/>
    <n v="0"/>
    <n v="190118.00000000998"/>
    <n v="0"/>
    <x v="1"/>
  </r>
  <r>
    <x v="4"/>
    <x v="17"/>
    <x v="4"/>
    <s v="VINOS"/>
    <x v="0"/>
    <x v="241"/>
    <s v="UNIDADES"/>
    <n v="34226"/>
    <n v="4"/>
    <n v="4"/>
    <n v="0"/>
    <n v="136904"/>
    <n v="0"/>
    <x v="1"/>
  </r>
  <r>
    <x v="4"/>
    <x v="17"/>
    <x v="4"/>
    <s v="VINOS"/>
    <x v="0"/>
    <x v="107"/>
    <s v="UNIDADES"/>
    <n v="34226"/>
    <n v="14"/>
    <n v="14"/>
    <n v="0"/>
    <n v="479164"/>
    <n v="0"/>
    <x v="1"/>
  </r>
  <r>
    <x v="4"/>
    <x v="17"/>
    <x v="4"/>
    <s v="VINOS"/>
    <x v="0"/>
    <x v="128"/>
    <s v="COPA"/>
    <n v="9853.7999999999993"/>
    <n v="0"/>
    <n v="0"/>
    <n v="0"/>
    <n v="0"/>
    <n v="0"/>
    <x v="1"/>
  </r>
  <r>
    <x v="4"/>
    <x v="17"/>
    <x v="4"/>
    <s v="VINOS"/>
    <x v="0"/>
    <x v="185"/>
    <s v="COPA"/>
    <n v="9853.2000000000007"/>
    <n v="0"/>
    <n v="0"/>
    <n v="0"/>
    <n v="0"/>
    <n v="0"/>
    <x v="1"/>
  </r>
  <r>
    <x v="4"/>
    <x v="17"/>
    <x v="4"/>
    <s v="VINOS"/>
    <x v="0"/>
    <x v="111"/>
    <s v="UNIDADES"/>
    <n v="34232.333333330003"/>
    <n v="13"/>
    <n v="13"/>
    <n v="0"/>
    <n v="445020.33333329007"/>
    <n v="0"/>
    <x v="1"/>
  </r>
  <r>
    <x v="4"/>
    <x v="17"/>
    <x v="4"/>
    <s v="SUB-RECETAS BAR"/>
    <x v="0"/>
    <x v="259"/>
    <s v="ONZA"/>
    <n v="3659.04270434"/>
    <n v="103.47"/>
    <n v="101"/>
    <n v="0"/>
    <n v="369563.31313834002"/>
    <n v="0"/>
    <x v="1"/>
  </r>
  <r>
    <x v="4"/>
    <x v="17"/>
    <x v="4"/>
    <s v="GASEOSAS Y SODAS"/>
    <x v="0"/>
    <x v="1"/>
    <s v="UNIDADES"/>
    <n v="1497.59166667"/>
    <n v="220.9"/>
    <n v="218"/>
    <n v="-2.9"/>
    <n v="326474.98333406"/>
    <n v="-4343.0158333429999"/>
    <x v="2"/>
  </r>
  <r>
    <x v="4"/>
    <x v="17"/>
    <x v="4"/>
    <s v="LICORES"/>
    <x v="0"/>
    <x v="8"/>
    <s v="ONZA"/>
    <n v="17377"/>
    <n v="24"/>
    <n v="21"/>
    <n v="-3"/>
    <n v="364917"/>
    <n v="-52131"/>
    <x v="2"/>
  </r>
  <r>
    <x v="4"/>
    <x v="17"/>
    <x v="4"/>
    <s v="LICORES"/>
    <x v="0"/>
    <x v="23"/>
    <s v="ONZA"/>
    <n v="8628.9583333299997"/>
    <n v="28"/>
    <n v="25"/>
    <n v="-3"/>
    <n v="215723.95833324999"/>
    <n v="-25886.874999989999"/>
    <x v="2"/>
  </r>
  <r>
    <x v="4"/>
    <x v="17"/>
    <x v="4"/>
    <s v="VINOS"/>
    <x v="0"/>
    <x v="267"/>
    <s v="COPA"/>
    <n v="9701.2000000000007"/>
    <n v="21"/>
    <n v="21"/>
    <n v="0"/>
    <n v="203725.2"/>
    <n v="0"/>
    <x v="1"/>
  </r>
  <r>
    <x v="4"/>
    <x v="17"/>
    <x v="4"/>
    <s v="VINOS"/>
    <x v="0"/>
    <x v="113"/>
    <s v="UNIDADES"/>
    <n v="63886.666666669997"/>
    <n v="2"/>
    <n v="2"/>
    <n v="0"/>
    <n v="127773.33333333999"/>
    <n v="0"/>
    <x v="1"/>
  </r>
  <r>
    <x v="4"/>
    <x v="17"/>
    <x v="4"/>
    <s v="LICORES"/>
    <x v="0"/>
    <x v="16"/>
    <s v="ONZA"/>
    <n v="6549"/>
    <n v="17.38"/>
    <n v="14"/>
    <n v="-3.38"/>
    <n v="91686"/>
    <n v="-22135.62"/>
    <x v="2"/>
  </r>
  <r>
    <x v="4"/>
    <x v="17"/>
    <x v="4"/>
    <s v="CERVEZAS"/>
    <x v="0"/>
    <x v="228"/>
    <s v="UNIDADES"/>
    <n v="3109.9949999999999"/>
    <n v="4.72"/>
    <n v="0"/>
    <n v="-4.72"/>
    <n v="0"/>
    <n v="-14679.176399999998"/>
    <x v="2"/>
  </r>
  <r>
    <x v="4"/>
    <x v="17"/>
    <x v="4"/>
    <s v="VINOS"/>
    <x v="0"/>
    <x v="116"/>
    <s v="UNIDADES"/>
    <n v="48500"/>
    <n v="0"/>
    <n v="0"/>
    <n v="0"/>
    <n v="0"/>
    <n v="0"/>
    <x v="1"/>
  </r>
  <r>
    <x v="4"/>
    <x v="17"/>
    <x v="4"/>
    <s v="VINOS"/>
    <x v="0"/>
    <x v="243"/>
    <s v="UNIDADES"/>
    <n v="97200"/>
    <n v="3"/>
    <n v="3"/>
    <n v="0"/>
    <n v="291600"/>
    <n v="0"/>
    <x v="1"/>
  </r>
  <r>
    <x v="4"/>
    <x v="17"/>
    <x v="4"/>
    <s v="VINOS"/>
    <x v="0"/>
    <x v="244"/>
    <s v="UNIDADES"/>
    <n v="73956.022408999997"/>
    <n v="4"/>
    <n v="4"/>
    <n v="0"/>
    <n v="295824.08963599999"/>
    <n v="0"/>
    <x v="1"/>
  </r>
  <r>
    <x v="4"/>
    <x v="17"/>
    <x v="4"/>
    <s v="VINOS"/>
    <x v="0"/>
    <x v="245"/>
    <s v="UNIDADES"/>
    <n v="79652"/>
    <n v="0"/>
    <n v="0"/>
    <n v="0"/>
    <n v="0"/>
    <n v="0"/>
    <x v="1"/>
  </r>
  <r>
    <x v="4"/>
    <x v="17"/>
    <x v="4"/>
    <s v="VINOS"/>
    <x v="0"/>
    <x v="99"/>
    <s v="UNIDADES"/>
    <n v="0"/>
    <n v="0"/>
    <n v="0"/>
    <n v="0"/>
    <n v="0"/>
    <n v="0"/>
    <x v="1"/>
  </r>
  <r>
    <x v="4"/>
    <x v="17"/>
    <x v="4"/>
    <s v="SUB-RECETAS BAR"/>
    <x v="0"/>
    <x v="269"/>
    <s v="ONZA"/>
    <n v="3713.5548079599998"/>
    <n v="35.450000000000003"/>
    <n v="30"/>
    <n v="-5.45"/>
    <n v="111406.6442388"/>
    <n v="-20238.873703382"/>
    <x v="2"/>
  </r>
  <r>
    <x v="4"/>
    <x v="17"/>
    <x v="4"/>
    <s v="VINOS"/>
    <x v="0"/>
    <x v="314"/>
    <s v="COPA"/>
    <n v="10709.9"/>
    <n v="14"/>
    <n v="14"/>
    <n v="0"/>
    <n v="149938.6"/>
    <n v="0"/>
    <x v="1"/>
  </r>
  <r>
    <x v="4"/>
    <x v="17"/>
    <x v="4"/>
    <s v="SUB-RECETAS CP"/>
    <x v="1"/>
    <x v="275"/>
    <s v="UNIDADES"/>
    <n v="20264.39357692"/>
    <n v="1.06"/>
    <n v="8"/>
    <n v="6.94"/>
    <n v="162115.14861536"/>
    <n v="140634.8914238248"/>
    <x v="0"/>
  </r>
  <r>
    <x v="4"/>
    <x v="17"/>
    <x v="4"/>
    <s v="PESCADOS Y MARISCOS"/>
    <x v="1"/>
    <x v="84"/>
    <s v="UNIDADES"/>
    <n v="19000.25"/>
    <n v="3"/>
    <n v="6"/>
    <n v="3"/>
    <n v="114001.5"/>
    <n v="57000.75"/>
    <x v="0"/>
  </r>
  <r>
    <x v="4"/>
    <x v="17"/>
    <x v="4"/>
    <s v="PROTEINAS"/>
    <x v="1"/>
    <x v="125"/>
    <s v="UNIDADES"/>
    <n v="3250"/>
    <n v="33"/>
    <n v="34"/>
    <n v="1"/>
    <n v="110500"/>
    <n v="3250"/>
    <x v="0"/>
  </r>
  <r>
    <x v="4"/>
    <x v="17"/>
    <x v="4"/>
    <s v="SUB-RECETAS CP"/>
    <x v="1"/>
    <x v="255"/>
    <s v="UNIDADES"/>
    <n v="4833.0366379300003"/>
    <n v="9"/>
    <n v="10"/>
    <n v="1"/>
    <n v="48330.366379300001"/>
    <n v="4833.0366379300003"/>
    <x v="0"/>
  </r>
  <r>
    <x v="4"/>
    <x v="17"/>
    <x v="4"/>
    <s v="PROTEINAS"/>
    <x v="1"/>
    <x v="66"/>
    <s v="GRAMOS"/>
    <n v="30.99415205"/>
    <n v="0"/>
    <n v="0"/>
    <n v="0"/>
    <n v="0"/>
    <n v="0"/>
    <x v="1"/>
  </r>
  <r>
    <x v="4"/>
    <x v="17"/>
    <x v="4"/>
    <s v="SUB RECETAS"/>
    <x v="1"/>
    <x v="258"/>
    <s v="UNIDADES"/>
    <n v="2851.38809455"/>
    <n v="58"/>
    <n v="58"/>
    <n v="0"/>
    <n v="165380.50948390001"/>
    <n v="0"/>
    <x v="1"/>
  </r>
  <r>
    <x v="4"/>
    <x v="17"/>
    <x v="4"/>
    <s v="PROTEINAS"/>
    <x v="1"/>
    <x v="176"/>
    <s v="GRAMOS"/>
    <n v="26.941605840000001"/>
    <n v="0"/>
    <n v="0"/>
    <n v="0"/>
    <n v="0"/>
    <n v="0"/>
    <x v="1"/>
  </r>
  <r>
    <x v="4"/>
    <x v="17"/>
    <x v="4"/>
    <s v="PROTEINAS"/>
    <x v="1"/>
    <x v="210"/>
    <s v="GRAMOS"/>
    <n v="0"/>
    <n v="0"/>
    <n v="0"/>
    <n v="0"/>
    <n v="0"/>
    <n v="0"/>
    <x v="1"/>
  </r>
  <r>
    <x v="4"/>
    <x v="17"/>
    <x v="4"/>
    <s v="PESCADOS Y MARISCOS"/>
    <x v="1"/>
    <x v="34"/>
    <s v="UNIDADES"/>
    <n v="50966.18357488"/>
    <n v="0"/>
    <n v="0"/>
    <n v="0"/>
    <n v="0"/>
    <n v="0"/>
    <x v="1"/>
  </r>
  <r>
    <x v="4"/>
    <x v="17"/>
    <x v="4"/>
    <s v="PESCADOS Y MARISCOS"/>
    <x v="1"/>
    <x v="61"/>
    <s v="GRAMOS"/>
    <n v="0"/>
    <n v="0"/>
    <n v="0"/>
    <n v="0"/>
    <n v="0"/>
    <n v="0"/>
    <x v="1"/>
  </r>
  <r>
    <x v="4"/>
    <x v="17"/>
    <x v="4"/>
    <s v="PESCADOS Y MARISCOS"/>
    <x v="1"/>
    <x v="335"/>
    <s v="GRAMOS"/>
    <n v="454.81299999999999"/>
    <n v="0"/>
    <n v="0"/>
    <n v="0"/>
    <n v="0"/>
    <n v="0"/>
    <x v="1"/>
  </r>
  <r>
    <x v="4"/>
    <x v="17"/>
    <x v="4"/>
    <s v="PROTEINAS"/>
    <x v="1"/>
    <x v="464"/>
    <s v="GRAMOS"/>
    <n v="28"/>
    <n v="45"/>
    <n v="0"/>
    <n v="0"/>
    <n v="0"/>
    <n v="0"/>
    <x v="1"/>
  </r>
  <r>
    <x v="4"/>
    <x v="17"/>
    <x v="4"/>
    <s v="PESCADOS Y MARISCOS"/>
    <x v="1"/>
    <x v="246"/>
    <s v="GRAMOS"/>
    <n v="58.31"/>
    <n v="0"/>
    <n v="0"/>
    <n v="0"/>
    <n v="0"/>
    <n v="0"/>
    <x v="1"/>
  </r>
  <r>
    <x v="4"/>
    <x v="17"/>
    <x v="4"/>
    <s v="SUB RECETAS"/>
    <x v="1"/>
    <x v="864"/>
    <s v="GRAMOS"/>
    <n v="50.048832169999997"/>
    <n v="0"/>
    <n v="0"/>
    <n v="0"/>
    <n v="0"/>
    <n v="0"/>
    <x v="1"/>
  </r>
  <r>
    <x v="4"/>
    <x v="17"/>
    <x v="4"/>
    <s v="SUB RECETAS"/>
    <x v="1"/>
    <x v="312"/>
    <s v="UNIDADES"/>
    <n v="6457.8305472000002"/>
    <n v="9"/>
    <n v="9"/>
    <n v="0"/>
    <n v="58120.474924800001"/>
    <n v="0"/>
    <x v="1"/>
  </r>
  <r>
    <x v="4"/>
    <x v="17"/>
    <x v="4"/>
    <s v="SUB RECETAS"/>
    <x v="1"/>
    <x v="253"/>
    <s v="UNIDADES"/>
    <n v="16425.13066658"/>
    <n v="7"/>
    <n v="7"/>
    <n v="0"/>
    <n v="114975.91466606001"/>
    <n v="0"/>
    <x v="1"/>
  </r>
  <r>
    <x v="4"/>
    <x v="17"/>
    <x v="4"/>
    <s v="PROTEINAS"/>
    <x v="1"/>
    <x v="207"/>
    <s v="UNIDADES"/>
    <n v="13154.054054050001"/>
    <n v="74"/>
    <n v="73"/>
    <n v="-1"/>
    <n v="960245.94594564999"/>
    <n v="-13154.054054050001"/>
    <x v="2"/>
  </r>
  <r>
    <x v="4"/>
    <x v="17"/>
    <x v="4"/>
    <s v="PESCADOS Y MARISCOS"/>
    <x v="1"/>
    <x v="272"/>
    <s v="UNIDADES"/>
    <n v="13905"/>
    <n v="9"/>
    <n v="8"/>
    <n v="-1"/>
    <n v="111240"/>
    <n v="-13905"/>
    <x v="2"/>
  </r>
  <r>
    <x v="4"/>
    <x v="17"/>
    <x v="4"/>
    <s v="PESCADOS Y MARISCOS"/>
    <x v="1"/>
    <x v="192"/>
    <s v="UNIDADES"/>
    <n v="753.66666667000004"/>
    <n v="40"/>
    <n v="39"/>
    <n v="-1"/>
    <n v="29393.000000130003"/>
    <n v="-753.66666667000004"/>
    <x v="2"/>
  </r>
  <r>
    <x v="4"/>
    <x v="17"/>
    <x v="4"/>
    <s v="PROTEINAS"/>
    <x v="1"/>
    <x v="131"/>
    <s v="UNIDADES"/>
    <n v="4850"/>
    <n v="18.5"/>
    <n v="16"/>
    <n v="-2.5"/>
    <n v="77600"/>
    <n v="-12125"/>
    <x v="2"/>
  </r>
  <r>
    <x v="4"/>
    <x v="17"/>
    <x v="4"/>
    <s v="SUB-RECETAS CP"/>
    <x v="1"/>
    <x v="256"/>
    <s v="UNIDADES"/>
    <n v="1996.9894927"/>
    <n v="66"/>
    <n v="62"/>
    <n v="-4"/>
    <n v="123813.3485474"/>
    <n v="-7987.9579708000001"/>
    <x v="2"/>
  </r>
  <r>
    <x v="4"/>
    <x v="17"/>
    <x v="4"/>
    <s v="SUB RECETAS"/>
    <x v="1"/>
    <x v="799"/>
    <s v="UNIDADES"/>
    <n v="5943.1887500000003"/>
    <n v="10"/>
    <n v="0"/>
    <n v="-10"/>
    <n v="0"/>
    <n v="-59431.887500000004"/>
    <x v="2"/>
  </r>
  <r>
    <x v="4"/>
    <x v="17"/>
    <x v="4"/>
    <s v="SUB RECETAS"/>
    <x v="1"/>
    <x v="251"/>
    <s v="UNIDADES"/>
    <n v="4955.5749061300003"/>
    <n v="41"/>
    <n v="24"/>
    <n v="-17"/>
    <n v="118933.79774712"/>
    <n v="-84244.773404210006"/>
    <x v="2"/>
  </r>
  <r>
    <x v="4"/>
    <x v="17"/>
    <x v="4"/>
    <s v="SUB-RECETAS CP"/>
    <x v="1"/>
    <x v="274"/>
    <s v="UNIDADES"/>
    <n v="7154.7847073200001"/>
    <n v="64"/>
    <n v="40"/>
    <n v="-24"/>
    <n v="286191.38829279999"/>
    <n v="-171714.83297568001"/>
    <x v="2"/>
  </r>
  <r>
    <x v="4"/>
    <x v="17"/>
    <x v="4"/>
    <s v="PESCADOS Y MARISCOS"/>
    <x v="1"/>
    <x v="57"/>
    <s v="UNIDADES"/>
    <n v="514.28571428999999"/>
    <n v="663"/>
    <n v="597"/>
    <n v="-66"/>
    <n v="307028.57143113"/>
    <n v="-33942.857143139998"/>
    <x v="2"/>
  </r>
  <r>
    <x v="4"/>
    <x v="17"/>
    <x v="4"/>
    <s v="PESCADOS Y MARISCOS"/>
    <x v="1"/>
    <x v="247"/>
    <s v="GRAMOS"/>
    <n v="54.545000000000002"/>
    <n v="11353.777700000001"/>
    <n v="10948"/>
    <n v="-405.77774599999998"/>
    <n v="597158.66"/>
    <n v="-22133.147155570001"/>
    <x v="2"/>
  </r>
  <r>
    <x v="4"/>
    <x v="17"/>
    <x v="4"/>
    <s v="SUB RECETAS"/>
    <x v="1"/>
    <x v="249"/>
    <s v="GRAMOS"/>
    <n v="56.779095910000002"/>
    <n v="1126"/>
    <n v="332"/>
    <n v="-794"/>
    <n v="18850.65984212"/>
    <n v="-45082.602152539999"/>
    <x v="2"/>
  </r>
  <r>
    <x v="4"/>
    <x v="17"/>
    <x v="4"/>
    <s v="PROTEINAS"/>
    <x v="1"/>
    <x v="208"/>
    <s v="GRAMOS"/>
    <n v="23"/>
    <n v="7733.3333000000002"/>
    <n v="6172"/>
    <n v="-1561.3333399999999"/>
    <n v="141956"/>
    <n v="-35910.666819999999"/>
    <x v="2"/>
  </r>
  <r>
    <x v="4"/>
    <x v="17"/>
    <x v="4"/>
    <s v="PESCADOS Y MARISCOS"/>
    <x v="1"/>
    <x v="121"/>
    <s v="GRAMOS"/>
    <n v="50.866658409999999"/>
    <n v="13213.779500000001"/>
    <n v="11600"/>
    <n v="-1613.779495"/>
    <n v="590053.23755600001"/>
    <n v="-82087.570321227307"/>
    <x v="2"/>
  </r>
  <r>
    <x v="4"/>
    <x v="17"/>
    <x v="4"/>
    <s v="SUB RECETAS"/>
    <x v="1"/>
    <x v="252"/>
    <s v="GRAMOS"/>
    <n v="39.075090510000003"/>
    <n v="4080"/>
    <n v="216"/>
    <n v="-3864"/>
    <n v="8440.2195501599999"/>
    <n v="-150986.14973064"/>
    <x v="2"/>
  </r>
  <r>
    <x v="4"/>
    <x v="17"/>
    <x v="4"/>
    <s v="PESCADOS Y MARISCOS"/>
    <x v="1"/>
    <x v="306"/>
    <s v="GRAMOS"/>
    <n v="33.499666670000003"/>
    <n v="17000"/>
    <n v="3000"/>
    <n v="-14000"/>
    <n v="100499.00001"/>
    <n v="-468995.33338000003"/>
    <x v="2"/>
  </r>
  <r>
    <x v="4"/>
    <x v="17"/>
    <x v="4"/>
    <s v="AGUA Y TE"/>
    <x v="0"/>
    <x v="147"/>
    <s v="UNIDADES"/>
    <n v="3458.3291316700002"/>
    <n v="9"/>
    <n v="3"/>
    <n v="-6"/>
    <n v="10374.987395010001"/>
    <n v="-20749.974790020002"/>
    <x v="2"/>
  </r>
  <r>
    <x v="4"/>
    <x v="17"/>
    <x v="4"/>
    <s v="LICORES"/>
    <x v="0"/>
    <x v="83"/>
    <s v="ONZA"/>
    <n v="7154.55"/>
    <n v="86.38"/>
    <n v="80"/>
    <n v="-6.38"/>
    <n v="572364"/>
    <n v="-45646.029000000002"/>
    <x v="2"/>
  </r>
  <r>
    <x v="4"/>
    <x v="17"/>
    <x v="4"/>
    <s v="VINOS"/>
    <x v="0"/>
    <x v="109"/>
    <s v="COPA"/>
    <n v="9615.4"/>
    <n v="10"/>
    <n v="2"/>
    <n v="-8"/>
    <n v="19230.8"/>
    <n v="-76923.199999999997"/>
    <x v="2"/>
  </r>
  <r>
    <x v="4"/>
    <x v="17"/>
    <x v="4"/>
    <s v="SUB-RECETAS BAR"/>
    <x v="0"/>
    <x v="302"/>
    <s v="ONZA"/>
    <n v="4942.8194726199999"/>
    <n v="0"/>
    <n v="0"/>
    <n v="0"/>
    <n v="0"/>
    <n v="0"/>
    <x v="1"/>
  </r>
  <r>
    <x v="4"/>
    <x v="17"/>
    <x v="4"/>
    <s v="GASEOSAS Y SODAS"/>
    <x v="0"/>
    <x v="160"/>
    <s v="UNIDADES"/>
    <n v="5310.9583333299997"/>
    <n v="45.67"/>
    <n v="32"/>
    <n v="-13.67"/>
    <n v="169950.66666655999"/>
    <n v="-72600.800416621103"/>
    <x v="2"/>
  </r>
  <r>
    <x v="4"/>
    <x v="17"/>
    <x v="4"/>
    <s v="AGUA Y TE"/>
    <x v="0"/>
    <x v="29"/>
    <s v="UNIDADES"/>
    <n v="1234.3916666699999"/>
    <n v="51"/>
    <n v="51"/>
    <n v="0"/>
    <n v="62953.975000169994"/>
    <n v="0"/>
    <x v="1"/>
  </r>
  <r>
    <x v="4"/>
    <x v="17"/>
    <x v="4"/>
    <s v="AGUA Y TE"/>
    <x v="0"/>
    <x v="158"/>
    <s v="UNIDADES"/>
    <n v="1654.27380952"/>
    <n v="106"/>
    <n v="106"/>
    <n v="0"/>
    <n v="175353.02380912"/>
    <n v="0"/>
    <x v="1"/>
  </r>
  <r>
    <x v="4"/>
    <x v="17"/>
    <x v="4"/>
    <s v="AGUA Y TE"/>
    <x v="0"/>
    <x v="144"/>
    <s v="UNIDADES"/>
    <n v="7330"/>
    <n v="17"/>
    <n v="17"/>
    <n v="0"/>
    <n v="124610"/>
    <n v="0"/>
    <x v="1"/>
  </r>
  <r>
    <x v="4"/>
    <x v="17"/>
    <x v="4"/>
    <s v="AGUA Y TE"/>
    <x v="0"/>
    <x v="145"/>
    <s v="UNIDADES"/>
    <n v="7857"/>
    <n v="30"/>
    <n v="30"/>
    <n v="0"/>
    <n v="235710"/>
    <n v="0"/>
    <x v="1"/>
  </r>
  <r>
    <x v="4"/>
    <x v="17"/>
    <x v="4"/>
    <s v="AGUA Y TE"/>
    <x v="0"/>
    <x v="146"/>
    <s v="UNIDADES"/>
    <n v="1408.33333333"/>
    <n v="0"/>
    <n v="0"/>
    <n v="0"/>
    <n v="0"/>
    <n v="0"/>
    <x v="1"/>
  </r>
  <r>
    <x v="4"/>
    <x v="17"/>
    <x v="4"/>
    <s v="GASEOSAS Y SODAS"/>
    <x v="0"/>
    <x v="60"/>
    <s v="UNIDADES"/>
    <n v="2119.75"/>
    <n v="60"/>
    <n v="60"/>
    <n v="0"/>
    <n v="127185"/>
    <n v="0"/>
    <x v="1"/>
  </r>
  <r>
    <x v="4"/>
    <x v="17"/>
    <x v="4"/>
    <s v="AGUA Y TE"/>
    <x v="0"/>
    <x v="148"/>
    <s v="UNIDADES"/>
    <n v="3458.3283333300001"/>
    <n v="0"/>
    <n v="0"/>
    <n v="0"/>
    <n v="0"/>
    <n v="0"/>
    <x v="1"/>
  </r>
  <r>
    <x v="4"/>
    <x v="17"/>
    <x v="4"/>
    <s v="AGUA Y TE"/>
    <x v="0"/>
    <x v="149"/>
    <s v="UNIDADES"/>
    <n v="3458.25"/>
    <n v="4"/>
    <n v="4"/>
    <n v="0"/>
    <n v="13833"/>
    <n v="0"/>
    <x v="1"/>
  </r>
  <r>
    <x v="4"/>
    <x v="17"/>
    <x v="4"/>
    <s v="AGUA Y TE"/>
    <x v="0"/>
    <x v="150"/>
    <s v="UNIDADES"/>
    <n v="3458.25"/>
    <n v="2"/>
    <n v="2"/>
    <n v="0"/>
    <n v="6916.5"/>
    <n v="0"/>
    <x v="1"/>
  </r>
  <r>
    <x v="4"/>
    <x v="17"/>
    <x v="4"/>
    <s v="AGUA Y TE"/>
    <x v="0"/>
    <x v="162"/>
    <s v="UNIDADES"/>
    <n v="3458.4691876699999"/>
    <n v="4"/>
    <n v="4"/>
    <n v="0"/>
    <n v="13833.87675068"/>
    <n v="0"/>
    <x v="1"/>
  </r>
  <r>
    <x v="4"/>
    <x v="17"/>
    <x v="4"/>
    <s v="AGUA Y TE"/>
    <x v="0"/>
    <x v="151"/>
    <s v="UNIDADES"/>
    <n v="3458.3333333300002"/>
    <n v="0"/>
    <n v="0"/>
    <n v="0"/>
    <n v="0"/>
    <n v="0"/>
    <x v="1"/>
  </r>
  <r>
    <x v="4"/>
    <x v="17"/>
    <x v="4"/>
    <s v="AGUA Y TE"/>
    <x v="0"/>
    <x v="130"/>
    <s v="UNIDADES"/>
    <n v="2766.665"/>
    <n v="0"/>
    <n v="0"/>
    <n v="0"/>
    <n v="0"/>
    <n v="0"/>
    <x v="1"/>
  </r>
  <r>
    <x v="4"/>
    <x v="17"/>
    <x v="4"/>
    <s v="AGUA Y TE"/>
    <x v="0"/>
    <x v="152"/>
    <s v="UNIDADES"/>
    <n v="3458.3333333300002"/>
    <n v="0"/>
    <n v="0"/>
    <n v="0"/>
    <n v="0"/>
    <n v="0"/>
    <x v="1"/>
  </r>
  <r>
    <x v="5"/>
    <x v="18"/>
    <x v="1"/>
    <s v="LICORES"/>
    <x v="0"/>
    <x v="30"/>
    <s v="ONZA"/>
    <n v="6806.25"/>
    <n v="5"/>
    <n v="25"/>
    <n v="20"/>
    <n v="170156.25"/>
    <n v="136125"/>
    <x v="0"/>
  </r>
  <r>
    <x v="5"/>
    <x v="18"/>
    <x v="1"/>
    <s v="LICORES"/>
    <x v="0"/>
    <x v="231"/>
    <s v="ONZA"/>
    <n v="10500"/>
    <n v="37"/>
    <n v="61"/>
    <n v="24"/>
    <n v="640500"/>
    <n v="252000"/>
    <x v="0"/>
  </r>
  <r>
    <x v="5"/>
    <x v="18"/>
    <x v="1"/>
    <s v="SUB RECETAS"/>
    <x v="1"/>
    <x v="218"/>
    <s v="GRAMOS"/>
    <n v="9.9631231800000002"/>
    <n v="-210265"/>
    <n v="66030"/>
    <n v="276295"/>
    <n v="657865.0235754"/>
    <n v="2752761.1190181002"/>
    <x v="0"/>
  </r>
  <r>
    <x v="5"/>
    <x v="18"/>
    <x v="1"/>
    <s v="LICORES"/>
    <x v="0"/>
    <x v="263"/>
    <s v="ONZA"/>
    <n v="4721.625"/>
    <n v="24"/>
    <n v="24"/>
    <n v="0"/>
    <n v="113319"/>
    <n v="0"/>
    <x v="1"/>
  </r>
  <r>
    <x v="5"/>
    <x v="18"/>
    <x v="1"/>
    <s v="GASEOSAS Y SODAS"/>
    <x v="0"/>
    <x v="79"/>
    <s v="UNIDADES"/>
    <n v="4900"/>
    <n v="0"/>
    <n v="0"/>
    <n v="0"/>
    <n v="0"/>
    <n v="0"/>
    <x v="1"/>
  </r>
  <r>
    <x v="5"/>
    <x v="18"/>
    <x v="1"/>
    <s v="LICORES"/>
    <x v="0"/>
    <x v="0"/>
    <s v="ONZA"/>
    <n v="2454.5454545500002"/>
    <n v="0"/>
    <n v="0"/>
    <n v="0"/>
    <n v="0"/>
    <n v="0"/>
    <x v="1"/>
  </r>
  <r>
    <x v="5"/>
    <x v="18"/>
    <x v="1"/>
    <s v="CERVEZAS"/>
    <x v="0"/>
    <x v="199"/>
    <s v="UNIDADES"/>
    <n v="2683.3333333300002"/>
    <n v="305"/>
    <n v="288"/>
    <n v="-17"/>
    <n v="772799.99999904004"/>
    <n v="-45616.666666610006"/>
    <x v="2"/>
  </r>
  <r>
    <x v="5"/>
    <x v="18"/>
    <x v="1"/>
    <s v="LICORES"/>
    <x v="0"/>
    <x v="33"/>
    <s v="ONZA"/>
    <n v="2722.7272727300001"/>
    <n v="80"/>
    <n v="80"/>
    <n v="0"/>
    <n v="217818.18181840001"/>
    <n v="0"/>
    <x v="1"/>
  </r>
  <r>
    <x v="5"/>
    <x v="18"/>
    <x v="1"/>
    <s v="CERVEZAS"/>
    <x v="0"/>
    <x v="96"/>
    <s v="UNIDADES"/>
    <n v="2699.6666666699998"/>
    <n v="0"/>
    <n v="0"/>
    <n v="0"/>
    <n v="0"/>
    <n v="0"/>
    <x v="1"/>
  </r>
  <r>
    <x v="5"/>
    <x v="18"/>
    <x v="1"/>
    <s v="PROTEINAS"/>
    <x v="1"/>
    <x v="344"/>
    <s v="GRAMOS"/>
    <n v="9.5"/>
    <n v="0"/>
    <n v="0"/>
    <n v="0"/>
    <n v="0"/>
    <n v="0"/>
    <x v="1"/>
  </r>
  <r>
    <x v="5"/>
    <x v="19"/>
    <x v="3"/>
    <s v="PROTEINAS"/>
    <x v="1"/>
    <x v="208"/>
    <s v="GRAMOS"/>
    <n v="23"/>
    <n v="-164599.9993"/>
    <n v="3000"/>
    <n v="167599.99932999999"/>
    <n v="69000"/>
    <n v="3854799.98459"/>
    <x v="0"/>
  </r>
  <r>
    <x v="5"/>
    <x v="18"/>
    <x v="1"/>
    <s v="LICORES"/>
    <x v="0"/>
    <x v="973"/>
    <s v="ONZA"/>
    <n v="3672"/>
    <n v="48"/>
    <n v="36"/>
    <n v="-12"/>
    <n v="132192"/>
    <n v="-44064"/>
    <x v="2"/>
  </r>
  <r>
    <x v="5"/>
    <x v="18"/>
    <x v="1"/>
    <s v="GASEOSAS Y SODAS"/>
    <x v="0"/>
    <x v="18"/>
    <s v="UNIDADES"/>
    <n v="5424"/>
    <n v="20"/>
    <n v="21"/>
    <n v="1"/>
    <n v="113904"/>
    <n v="5424"/>
    <x v="0"/>
  </r>
  <r>
    <x v="5"/>
    <x v="18"/>
    <x v="1"/>
    <s v="LICORES"/>
    <x v="0"/>
    <x v="166"/>
    <s v="ONZA"/>
    <n v="9899.25"/>
    <n v="0"/>
    <n v="0"/>
    <n v="0"/>
    <n v="0"/>
    <n v="0"/>
    <x v="1"/>
  </r>
  <r>
    <x v="5"/>
    <x v="18"/>
    <x v="1"/>
    <s v="AGUA Y TE"/>
    <x v="0"/>
    <x v="148"/>
    <s v="UNIDADES"/>
    <n v="3458.3283333300001"/>
    <n v="20"/>
    <n v="20"/>
    <n v="0"/>
    <n v="69166.566666600003"/>
    <n v="0"/>
    <x v="1"/>
  </r>
  <r>
    <x v="5"/>
    <x v="18"/>
    <x v="1"/>
    <s v="LICORES"/>
    <x v="0"/>
    <x v="167"/>
    <s v="ONZA"/>
    <n v="3104.5454545500002"/>
    <n v="104"/>
    <n v="96"/>
    <n v="-8"/>
    <n v="298036.36363680003"/>
    <n v="-24836.363636400001"/>
    <x v="2"/>
  </r>
  <r>
    <x v="5"/>
    <x v="18"/>
    <x v="1"/>
    <s v="CERVEZAS"/>
    <x v="0"/>
    <x v="223"/>
    <s v="GRAMOS"/>
    <n v="26.666666670000001"/>
    <n v="9010"/>
    <n v="2347"/>
    <n v="-6663"/>
    <n v="62586.666674490007"/>
    <n v="-177680.00002221001"/>
    <x v="2"/>
  </r>
  <r>
    <x v="5"/>
    <x v="18"/>
    <x v="1"/>
    <s v="PROTEINAS"/>
    <x v="1"/>
    <x v="205"/>
    <s v="UNIDADES"/>
    <n v="13958.33333335"/>
    <n v="17"/>
    <n v="17"/>
    <n v="0"/>
    <n v="237291.66666694998"/>
    <n v="0"/>
    <x v="1"/>
  </r>
  <r>
    <x v="5"/>
    <x v="18"/>
    <x v="1"/>
    <s v="LICORES"/>
    <x v="0"/>
    <x v="17"/>
    <s v="ONZA"/>
    <n v="2575.5208333300002"/>
    <n v="27.34"/>
    <n v="39"/>
    <n v="11.66"/>
    <n v="100445.31249987001"/>
    <n v="30030.572916627803"/>
    <x v="0"/>
  </r>
  <r>
    <x v="5"/>
    <x v="18"/>
    <x v="1"/>
    <s v="LICORES"/>
    <x v="0"/>
    <x v="127"/>
    <s v="ONZA"/>
    <n v="5000"/>
    <n v="1040"/>
    <n v="0"/>
    <n v="-1040"/>
    <n v="0"/>
    <n v="-5200000"/>
    <x v="2"/>
  </r>
  <r>
    <x v="5"/>
    <x v="18"/>
    <x v="1"/>
    <s v="VINOS"/>
    <x v="0"/>
    <x v="142"/>
    <s v="COPA"/>
    <n v="4005.2666666700002"/>
    <n v="18"/>
    <n v="17"/>
    <n v="-1"/>
    <n v="68089.533333390005"/>
    <n v="-4005.2666666700002"/>
    <x v="2"/>
  </r>
  <r>
    <x v="5"/>
    <x v="18"/>
    <x v="1"/>
    <s v="LICORES"/>
    <x v="0"/>
    <x v="999"/>
    <s v="ONZA"/>
    <n v="1794"/>
    <n v="24"/>
    <n v="0"/>
    <n v="-24"/>
    <n v="0"/>
    <n v="-43056"/>
    <x v="2"/>
  </r>
  <r>
    <x v="5"/>
    <x v="18"/>
    <x v="1"/>
    <s v="LICORES"/>
    <x v="0"/>
    <x v="8"/>
    <s v="ONZA"/>
    <n v="15769.5"/>
    <n v="26"/>
    <n v="34"/>
    <n v="8"/>
    <n v="536163"/>
    <n v="126156"/>
    <x v="0"/>
  </r>
  <r>
    <x v="5"/>
    <x v="20"/>
    <x v="5"/>
    <s v="PESCADOS Y MARISCOS"/>
    <x v="1"/>
    <x v="246"/>
    <s v="GRAMOS"/>
    <n v="58.31"/>
    <n v="33902"/>
    <n v="90600"/>
    <n v="56698"/>
    <n v="5282886"/>
    <n v="3306060.3800000004"/>
    <x v="0"/>
  </r>
  <r>
    <x v="5"/>
    <x v="18"/>
    <x v="1"/>
    <s v="LICORES"/>
    <x v="0"/>
    <x v="203"/>
    <s v="ONZA"/>
    <n v="2157.6363636400001"/>
    <n v="61"/>
    <n v="61"/>
    <n v="0"/>
    <n v="131615.81818204001"/>
    <n v="0"/>
    <x v="1"/>
  </r>
  <r>
    <x v="5"/>
    <x v="18"/>
    <x v="1"/>
    <s v="GASEOSAS Y SODAS"/>
    <x v="0"/>
    <x v="71"/>
    <s v="UNIDADES"/>
    <n v="983.33333332999996"/>
    <n v="6"/>
    <n v="6"/>
    <n v="0"/>
    <n v="5899.9999999800002"/>
    <n v="0"/>
    <x v="1"/>
  </r>
  <r>
    <x v="5"/>
    <x v="18"/>
    <x v="1"/>
    <s v="LICORES"/>
    <x v="0"/>
    <x v="1015"/>
    <s v="ONZA"/>
    <n v="0"/>
    <n v="0"/>
    <n v="0"/>
    <n v="0"/>
    <n v="0"/>
    <n v="0"/>
    <x v="1"/>
  </r>
  <r>
    <x v="5"/>
    <x v="18"/>
    <x v="1"/>
    <s v="AGUA Y TE"/>
    <x v="0"/>
    <x v="130"/>
    <s v="UNIDADES"/>
    <n v="3458.3291316700002"/>
    <n v="0"/>
    <n v="7"/>
    <n v="7"/>
    <n v="24208.30392169"/>
    <n v="24208.30392169"/>
    <x v="0"/>
  </r>
  <r>
    <x v="5"/>
    <x v="18"/>
    <x v="1"/>
    <s v="LICORES"/>
    <x v="0"/>
    <x v="39"/>
    <s v="ONZA"/>
    <n v="4041.5454545500002"/>
    <n v="60"/>
    <n v="50"/>
    <n v="-10"/>
    <n v="202077.27272750001"/>
    <n v="-40415.454545500004"/>
    <x v="2"/>
  </r>
  <r>
    <x v="5"/>
    <x v="18"/>
    <x v="1"/>
    <s v="CERVEZAS"/>
    <x v="0"/>
    <x v="183"/>
    <s v="UNIDADES"/>
    <n v="2298.1166666700001"/>
    <n v="10"/>
    <n v="0"/>
    <n v="-10"/>
    <n v="0"/>
    <n v="-22981.166666700003"/>
    <x v="2"/>
  </r>
  <r>
    <x v="5"/>
    <x v="18"/>
    <x v="1"/>
    <s v="PROTEINAS"/>
    <x v="1"/>
    <x v="206"/>
    <s v="UNIDADES"/>
    <n v="10840"/>
    <n v="0"/>
    <n v="0"/>
    <n v="0"/>
    <n v="0"/>
    <n v="0"/>
    <x v="1"/>
  </r>
  <r>
    <x v="5"/>
    <x v="18"/>
    <x v="1"/>
    <s v="PROTEINAS"/>
    <x v="1"/>
    <x v="69"/>
    <s v="GRAMOS"/>
    <n v="8.5363636399999994"/>
    <n v="-15110"/>
    <n v="0"/>
    <n v="15110"/>
    <n v="0"/>
    <n v="128984.45460039999"/>
    <x v="0"/>
  </r>
  <r>
    <x v="5"/>
    <x v="18"/>
    <x v="1"/>
    <s v="LICORES"/>
    <x v="0"/>
    <x v="170"/>
    <s v="ONZA"/>
    <n v="3195.4545454499998"/>
    <n v="57"/>
    <n v="50"/>
    <n v="-7"/>
    <n v="159772.72727249999"/>
    <n v="-22368.181818149998"/>
    <x v="2"/>
  </r>
  <r>
    <x v="5"/>
    <x v="18"/>
    <x v="1"/>
    <s v="GASEOSAS Y SODAS"/>
    <x v="0"/>
    <x v="1"/>
    <s v="UNIDADES"/>
    <n v="1656.3166666699999"/>
    <n v="194"/>
    <n v="281"/>
    <n v="87"/>
    <n v="465424.98333426996"/>
    <n v="144099.55000028998"/>
    <x v="0"/>
  </r>
  <r>
    <x v="5"/>
    <x v="20"/>
    <x v="5"/>
    <s v="SUB-RECETAS CP"/>
    <x v="1"/>
    <x v="828"/>
    <s v="GRAMOS"/>
    <n v="25.843411069999998"/>
    <n v="-11487"/>
    <n v="0"/>
    <n v="11487"/>
    <n v="0"/>
    <n v="296863.26296108996"/>
    <x v="0"/>
  </r>
  <r>
    <x v="5"/>
    <x v="18"/>
    <x v="1"/>
    <s v="AGUA Y TE"/>
    <x v="0"/>
    <x v="146"/>
    <s v="UNIDADES"/>
    <n v="1408.33333333"/>
    <n v="51"/>
    <n v="51"/>
    <n v="0"/>
    <n v="71824.999999830005"/>
    <n v="0"/>
    <x v="1"/>
  </r>
  <r>
    <x v="5"/>
    <x v="18"/>
    <x v="1"/>
    <s v="LICORES"/>
    <x v="0"/>
    <x v="70"/>
    <s v="ONZA"/>
    <n v="4048.4"/>
    <n v="0"/>
    <n v="0"/>
    <n v="0"/>
    <n v="0"/>
    <n v="0"/>
    <x v="1"/>
  </r>
  <r>
    <x v="5"/>
    <x v="18"/>
    <x v="1"/>
    <s v="CERVEZAS"/>
    <x v="0"/>
    <x v="76"/>
    <s v="UNIDADES"/>
    <n v="2319"/>
    <n v="135"/>
    <n v="134"/>
    <n v="-1"/>
    <n v="310746"/>
    <n v="-2319"/>
    <x v="2"/>
  </r>
  <r>
    <x v="5"/>
    <x v="19"/>
    <x v="3"/>
    <s v="PESCADOS Y MARISCOS"/>
    <x v="1"/>
    <x v="247"/>
    <s v="GRAMOS"/>
    <n v="54.545000000000002"/>
    <n v="6249.1111000000001"/>
    <n v="15418"/>
    <n v="9168.8889380000001"/>
    <n v="840974.81"/>
    <n v="500117.04712321004"/>
    <x v="0"/>
  </r>
  <r>
    <x v="5"/>
    <x v="18"/>
    <x v="1"/>
    <s v="LICORES"/>
    <x v="0"/>
    <x v="48"/>
    <s v="UNIDADES"/>
    <n v="41250"/>
    <n v="2"/>
    <n v="2"/>
    <n v="0"/>
    <n v="82500"/>
    <n v="0"/>
    <x v="1"/>
  </r>
  <r>
    <x v="5"/>
    <x v="18"/>
    <x v="1"/>
    <s v="GASEOSAS Y SODAS"/>
    <x v="0"/>
    <x v="51"/>
    <s v="UNIDADES"/>
    <n v="3375.0050000000001"/>
    <n v="0"/>
    <n v="0"/>
    <n v="0"/>
    <n v="0"/>
    <n v="0"/>
    <x v="1"/>
  </r>
  <r>
    <x v="5"/>
    <x v="18"/>
    <x v="1"/>
    <s v="VINOS"/>
    <x v="0"/>
    <x v="107"/>
    <s v="UNIDADES"/>
    <n v="34226"/>
    <n v="4"/>
    <n v="4"/>
    <n v="0"/>
    <n v="136904"/>
    <n v="0"/>
    <x v="1"/>
  </r>
  <r>
    <x v="5"/>
    <x v="18"/>
    <x v="1"/>
    <s v="LICORES"/>
    <x v="0"/>
    <x v="46"/>
    <s v="ONZA"/>
    <n v="7045.4545454500003"/>
    <n v="69"/>
    <n v="65"/>
    <n v="-4"/>
    <n v="457954.54545425001"/>
    <n v="-28181.818181800001"/>
    <x v="2"/>
  </r>
  <r>
    <x v="5"/>
    <x v="18"/>
    <x v="1"/>
    <s v="VINOS"/>
    <x v="0"/>
    <x v="86"/>
    <s v="COPA"/>
    <n v="4005.3666666700001"/>
    <n v="0"/>
    <n v="0"/>
    <n v="0"/>
    <n v="0"/>
    <n v="0"/>
    <x v="1"/>
  </r>
  <r>
    <x v="5"/>
    <x v="18"/>
    <x v="1"/>
    <s v="LICORES"/>
    <x v="0"/>
    <x v="28"/>
    <s v="ONZA"/>
    <n v="3672.8666666700001"/>
    <n v="37"/>
    <n v="52"/>
    <n v="15"/>
    <n v="190989.06666683999"/>
    <n v="55093.00000005"/>
    <x v="0"/>
  </r>
  <r>
    <x v="5"/>
    <x v="18"/>
    <x v="1"/>
    <s v="GASEOSAS Y SODAS"/>
    <x v="0"/>
    <x v="47"/>
    <s v="UNIDADES"/>
    <n v="5424"/>
    <n v="14.5"/>
    <n v="12"/>
    <n v="-2.5"/>
    <n v="65088"/>
    <n v="-13560"/>
    <x v="2"/>
  </r>
  <r>
    <x v="5"/>
    <x v="18"/>
    <x v="1"/>
    <s v="LICORES"/>
    <x v="0"/>
    <x v="141"/>
    <s v="ONZA"/>
    <n v="1665.04166667"/>
    <n v="0"/>
    <n v="0"/>
    <n v="0"/>
    <n v="0"/>
    <n v="0"/>
    <x v="1"/>
  </r>
  <r>
    <x v="5"/>
    <x v="18"/>
    <x v="1"/>
    <s v="AGUA Y TE"/>
    <x v="0"/>
    <x v="144"/>
    <s v="UNIDADES"/>
    <n v="7330"/>
    <n v="0"/>
    <n v="0"/>
    <n v="0"/>
    <n v="0"/>
    <n v="0"/>
    <x v="1"/>
  </r>
  <r>
    <x v="5"/>
    <x v="18"/>
    <x v="1"/>
    <s v="LICORES"/>
    <x v="0"/>
    <x v="135"/>
    <s v="ONZA"/>
    <n v="5658.3333333299997"/>
    <n v="48"/>
    <n v="56"/>
    <n v="8"/>
    <n v="316866.66666648001"/>
    <n v="45266.666666639998"/>
    <x v="0"/>
  </r>
  <r>
    <x v="5"/>
    <x v="18"/>
    <x v="1"/>
    <s v="CERVEZAS"/>
    <x v="0"/>
    <x v="221"/>
    <s v="GRAMOS"/>
    <n v="24.444444440000002"/>
    <n v="2570"/>
    <n v="14876"/>
    <n v="12306"/>
    <n v="363635.55548944004"/>
    <n v="300813.33327864"/>
    <x v="0"/>
  </r>
  <r>
    <x v="5"/>
    <x v="18"/>
    <x v="1"/>
    <s v="PROTEINAS"/>
    <x v="1"/>
    <x v="210"/>
    <s v="GRAMOS"/>
    <n v="32"/>
    <n v="0"/>
    <n v="0"/>
    <n v="0"/>
    <n v="0"/>
    <n v="0"/>
    <x v="1"/>
  </r>
  <r>
    <x v="5"/>
    <x v="18"/>
    <x v="1"/>
    <s v="SUB RECETAS"/>
    <x v="1"/>
    <x v="303"/>
    <s v="UNIDADES"/>
    <n v="5838.3018681200001"/>
    <n v="20"/>
    <n v="20"/>
    <n v="0"/>
    <n v="116766.03736240001"/>
    <n v="0"/>
    <x v="1"/>
  </r>
  <r>
    <x v="5"/>
    <x v="18"/>
    <x v="1"/>
    <s v="LICORES"/>
    <x v="0"/>
    <x v="197"/>
    <s v="ONZA"/>
    <n v="3610.375"/>
    <n v="15"/>
    <n v="61"/>
    <n v="46"/>
    <n v="220232.875"/>
    <n v="166077.25"/>
    <x v="0"/>
  </r>
  <r>
    <x v="5"/>
    <x v="18"/>
    <x v="1"/>
    <s v="GASEOSAS Y SODAS"/>
    <x v="0"/>
    <x v="60"/>
    <s v="UNIDADES"/>
    <n v="2119.6875"/>
    <n v="162"/>
    <n v="157"/>
    <n v="-5"/>
    <n v="332790.9375"/>
    <n v="-10598.4375"/>
    <x v="2"/>
  </r>
  <r>
    <x v="5"/>
    <x v="18"/>
    <x v="1"/>
    <s v="PROTEINAS"/>
    <x v="1"/>
    <x v="176"/>
    <s v="GRAMOS"/>
    <n v="28"/>
    <n v="-1770"/>
    <n v="5110"/>
    <n v="6880"/>
    <n v="143080"/>
    <n v="192640"/>
    <x v="0"/>
  </r>
  <r>
    <x v="5"/>
    <x v="18"/>
    <x v="1"/>
    <s v="AGUA Y TE"/>
    <x v="0"/>
    <x v="162"/>
    <s v="UNIDADES"/>
    <n v="4166.58053225"/>
    <n v="21"/>
    <n v="21"/>
    <n v="0"/>
    <n v="87498.191177250003"/>
    <n v="0"/>
    <x v="1"/>
  </r>
  <r>
    <x v="5"/>
    <x v="18"/>
    <x v="1"/>
    <s v="LICORES"/>
    <x v="0"/>
    <x v="4"/>
    <s v="ONZA"/>
    <n v="9738.2016806699994"/>
    <n v="0"/>
    <n v="0"/>
    <n v="0"/>
    <n v="0"/>
    <n v="0"/>
    <x v="1"/>
  </r>
  <r>
    <x v="5"/>
    <x v="18"/>
    <x v="1"/>
    <s v="CERVEZAS"/>
    <x v="0"/>
    <x v="213"/>
    <s v="GRAMOS"/>
    <n v="20.541544439999999"/>
    <n v="21425"/>
    <n v="13252"/>
    <n v="-8173"/>
    <n v="272216.54691887996"/>
    <n v="-167886.04270811999"/>
    <x v="2"/>
  </r>
  <r>
    <x v="5"/>
    <x v="21"/>
    <x v="2"/>
    <s v="PESCADOS Y MARISCOS"/>
    <x v="1"/>
    <x v="121"/>
    <s v="GRAMOS"/>
    <n v="51.342281880000002"/>
    <n v="3173.6034"/>
    <n v="7762"/>
    <n v="4588.3965639999997"/>
    <n v="398518.79195256002"/>
    <n v="235578.74976611146"/>
    <x v="0"/>
  </r>
  <r>
    <x v="5"/>
    <x v="18"/>
    <x v="1"/>
    <s v="LICORES"/>
    <x v="0"/>
    <x v="31"/>
    <s v="ONZA"/>
    <n v="2222.09090909"/>
    <n v="47"/>
    <n v="50.11"/>
    <n v="3.11"/>
    <n v="111348.9754544999"/>
    <n v="6910.7027272698997"/>
    <x v="0"/>
  </r>
  <r>
    <x v="5"/>
    <x v="18"/>
    <x v="1"/>
    <s v="GASEOSAS Y SODAS"/>
    <x v="0"/>
    <x v="45"/>
    <s v="UNIDADES"/>
    <n v="0"/>
    <n v="0"/>
    <n v="0"/>
    <n v="0"/>
    <n v="0"/>
    <n v="0"/>
    <x v="1"/>
  </r>
  <r>
    <x v="5"/>
    <x v="18"/>
    <x v="1"/>
    <s v="LICORES"/>
    <x v="0"/>
    <x v="21"/>
    <s v="ONZA"/>
    <n v="0"/>
    <n v="0"/>
    <n v="0"/>
    <n v="0"/>
    <n v="0"/>
    <n v="0"/>
    <x v="1"/>
  </r>
  <r>
    <x v="5"/>
    <x v="18"/>
    <x v="1"/>
    <s v="LICORES"/>
    <x v="0"/>
    <x v="169"/>
    <s v="ONZA"/>
    <n v="2566.2447257499998"/>
    <n v="80"/>
    <n v="74"/>
    <n v="-6"/>
    <n v="189902.10970549998"/>
    <n v="-15397.468354499999"/>
    <x v="2"/>
  </r>
  <r>
    <x v="5"/>
    <x v="18"/>
    <x v="1"/>
    <s v="VINOS"/>
    <x v="0"/>
    <x v="129"/>
    <s v="COPA"/>
    <n v="10880.4"/>
    <n v="0"/>
    <n v="0"/>
    <n v="0"/>
    <n v="0"/>
    <n v="0"/>
    <x v="1"/>
  </r>
  <r>
    <x v="5"/>
    <x v="18"/>
    <x v="1"/>
    <s v="LICORES"/>
    <x v="0"/>
    <x v="38"/>
    <s v="UNIDADES"/>
    <n v="26517"/>
    <n v="6"/>
    <n v="6"/>
    <n v="0"/>
    <n v="159102"/>
    <n v="0"/>
    <x v="1"/>
  </r>
  <r>
    <x v="5"/>
    <x v="18"/>
    <x v="1"/>
    <s v="GASEOSAS Y SODAS"/>
    <x v="0"/>
    <x v="194"/>
    <s v="UNIDADES"/>
    <n v="5023"/>
    <n v="19"/>
    <n v="19"/>
    <n v="0"/>
    <n v="95437"/>
    <n v="0"/>
    <x v="1"/>
  </r>
  <r>
    <x v="5"/>
    <x v="18"/>
    <x v="1"/>
    <s v="LICORES"/>
    <x v="0"/>
    <x v="171"/>
    <s v="ONZA"/>
    <n v="0"/>
    <n v="0"/>
    <n v="0"/>
    <n v="0"/>
    <n v="0"/>
    <n v="0"/>
    <x v="1"/>
  </r>
  <r>
    <x v="5"/>
    <x v="18"/>
    <x v="1"/>
    <s v="AGUA Y TE"/>
    <x v="0"/>
    <x v="151"/>
    <s v="UNIDADES"/>
    <n v="2766.5"/>
    <n v="18"/>
    <n v="24"/>
    <n v="6"/>
    <n v="66396"/>
    <n v="16599"/>
    <x v="0"/>
  </r>
  <r>
    <x v="5"/>
    <x v="18"/>
    <x v="1"/>
    <s v="LICORES"/>
    <x v="0"/>
    <x v="173"/>
    <s v="ONZA"/>
    <n v="12698.95454545"/>
    <n v="22"/>
    <n v="22"/>
    <n v="0"/>
    <n v="279376.9999999"/>
    <n v="0"/>
    <x v="1"/>
  </r>
  <r>
    <x v="5"/>
    <x v="18"/>
    <x v="1"/>
    <s v="CERVEZAS"/>
    <x v="0"/>
    <x v="216"/>
    <s v="GRAMOS"/>
    <n v="20.541544439999999"/>
    <n v="6420"/>
    <n v="0"/>
    <n v="-6420"/>
    <n v="0"/>
    <n v="-131876.71530479999"/>
    <x v="2"/>
  </r>
  <r>
    <x v="5"/>
    <x v="18"/>
    <x v="1"/>
    <s v="SUB RECETAS"/>
    <x v="1"/>
    <x v="865"/>
    <s v="GRAMOS"/>
    <n v="6180.4241373200002"/>
    <n v="-4202"/>
    <n v="0"/>
    <n v="4202"/>
    <n v="0"/>
    <n v="25970142.225018639"/>
    <x v="0"/>
  </r>
  <r>
    <x v="5"/>
    <x v="18"/>
    <x v="1"/>
    <s v="LICORES"/>
    <x v="0"/>
    <x v="270"/>
    <s v="ONZA"/>
    <n v="2011.5714285700001"/>
    <n v="29"/>
    <n v="38"/>
    <n v="9"/>
    <n v="76439.714285659997"/>
    <n v="18104.142857130002"/>
    <x v="0"/>
  </r>
  <r>
    <x v="5"/>
    <x v="18"/>
    <x v="1"/>
    <s v="LICORES"/>
    <x v="0"/>
    <x v="180"/>
    <s v="ONZA"/>
    <n v="13494.60416667"/>
    <n v="49"/>
    <n v="50"/>
    <n v="1"/>
    <n v="674730.20833349996"/>
    <n v="13494.60416667"/>
    <x v="0"/>
  </r>
  <r>
    <x v="5"/>
    <x v="18"/>
    <x v="1"/>
    <s v="SUB RECETAS"/>
    <x v="1"/>
    <x v="316"/>
    <s v="GRAMOS"/>
    <n v="31.363643840000002"/>
    <n v="6265"/>
    <n v="10410"/>
    <n v="4145"/>
    <n v="326495.53237440001"/>
    <n v="130002.3037168"/>
    <x v="0"/>
  </r>
  <r>
    <x v="5"/>
    <x v="18"/>
    <x v="1"/>
    <s v="LICORES"/>
    <x v="0"/>
    <x v="49"/>
    <s v="UNIDADES"/>
    <n v="24582.994999999999"/>
    <n v="1"/>
    <n v="1"/>
    <n v="0"/>
    <n v="24582.994999999999"/>
    <n v="0"/>
    <x v="1"/>
  </r>
  <r>
    <x v="5"/>
    <x v="18"/>
    <x v="1"/>
    <s v="LICORES"/>
    <x v="0"/>
    <x v="179"/>
    <s v="ONZA"/>
    <n v="7004.1666666700003"/>
    <n v="54"/>
    <n v="31"/>
    <n v="-23"/>
    <n v="217129.16666677"/>
    <n v="-161095.83333341"/>
    <x v="2"/>
  </r>
  <r>
    <x v="5"/>
    <x v="18"/>
    <x v="1"/>
    <s v="PROTEINAS"/>
    <x v="1"/>
    <x v="195"/>
    <s v="GRAMOS"/>
    <n v="27"/>
    <n v="0"/>
    <n v="0"/>
    <n v="0"/>
    <n v="0"/>
    <n v="0"/>
    <x v="1"/>
  </r>
  <r>
    <x v="5"/>
    <x v="18"/>
    <x v="1"/>
    <s v="LICORES"/>
    <x v="0"/>
    <x v="44"/>
    <s v="ONZA"/>
    <n v="4469.0833333299997"/>
    <n v="25"/>
    <n v="25"/>
    <n v="0"/>
    <n v="111727.08333324999"/>
    <n v="0"/>
    <x v="1"/>
  </r>
  <r>
    <x v="5"/>
    <x v="18"/>
    <x v="1"/>
    <s v="GASEOSAS Y SODAS"/>
    <x v="0"/>
    <x v="50"/>
    <s v="UNIDADES"/>
    <n v="4126.8333333299997"/>
    <n v="0"/>
    <n v="0"/>
    <n v="0"/>
    <n v="0"/>
    <n v="0"/>
    <x v="1"/>
  </r>
  <r>
    <x v="5"/>
    <x v="18"/>
    <x v="1"/>
    <s v="LICORES"/>
    <x v="0"/>
    <x v="165"/>
    <s v="ONZA"/>
    <n v="384.58620689999998"/>
    <n v="0"/>
    <n v="0"/>
    <n v="0"/>
    <n v="0"/>
    <n v="0"/>
    <x v="1"/>
  </r>
  <r>
    <x v="5"/>
    <x v="18"/>
    <x v="1"/>
    <s v="CERVEZAS"/>
    <x v="0"/>
    <x v="64"/>
    <s v="GRAMOS"/>
    <n v="23.34266667"/>
    <n v="22075"/>
    <n v="3752"/>
    <n v="-18323"/>
    <n v="87581.68534584"/>
    <n v="-427707.68139440997"/>
    <x v="2"/>
  </r>
  <r>
    <x v="5"/>
    <x v="18"/>
    <x v="1"/>
    <s v="LICORES"/>
    <x v="0"/>
    <x v="138"/>
    <s v="ONZA"/>
    <n v="7147.1666666700003"/>
    <n v="30"/>
    <n v="30"/>
    <n v="0"/>
    <n v="214415.0000001"/>
    <n v="0"/>
    <x v="1"/>
  </r>
  <r>
    <x v="5"/>
    <x v="18"/>
    <x v="1"/>
    <s v="CERVEZAS"/>
    <x v="0"/>
    <x v="196"/>
    <s v="UNIDADES"/>
    <n v="0"/>
    <n v="0"/>
    <n v="0"/>
    <n v="0"/>
    <n v="0"/>
    <n v="0"/>
    <x v="1"/>
  </r>
  <r>
    <x v="5"/>
    <x v="22"/>
    <x v="0"/>
    <s v="PESCADOS Y MARISCOS"/>
    <x v="1"/>
    <x v="74"/>
    <s v="GRAMOS"/>
    <n v="11.5"/>
    <n v="-2000"/>
    <n v="2000"/>
    <n v="4000"/>
    <n v="23000"/>
    <n v="46000"/>
    <x v="0"/>
  </r>
  <r>
    <x v="5"/>
    <x v="18"/>
    <x v="1"/>
    <s v="LICORES"/>
    <x v="0"/>
    <x v="13"/>
    <s v="ONZA"/>
    <n v="1886.3636363600001"/>
    <n v="93"/>
    <n v="120"/>
    <n v="27"/>
    <n v="226363.6363632"/>
    <n v="50931.818181720002"/>
    <x v="0"/>
  </r>
  <r>
    <x v="5"/>
    <x v="18"/>
    <x v="1"/>
    <s v="GASEOSAS Y SODAS"/>
    <x v="0"/>
    <x v="67"/>
    <s v="UNIDADES"/>
    <n v="4986.1810224199999"/>
    <n v="21"/>
    <n v="21"/>
    <n v="0"/>
    <n v="104709.80147081999"/>
    <n v="0"/>
    <x v="1"/>
  </r>
  <r>
    <x v="5"/>
    <x v="18"/>
    <x v="1"/>
    <s v="LICORES"/>
    <x v="0"/>
    <x v="27"/>
    <s v="ONZA"/>
    <n v="2458"/>
    <n v="0"/>
    <n v="0"/>
    <n v="0"/>
    <n v="0"/>
    <n v="0"/>
    <x v="1"/>
  </r>
  <r>
    <x v="5"/>
    <x v="18"/>
    <x v="1"/>
    <s v="AGUA Y TE"/>
    <x v="0"/>
    <x v="147"/>
    <s v="UNIDADES"/>
    <n v="3458.3263305"/>
    <n v="17"/>
    <n v="17"/>
    <n v="0"/>
    <n v="58791.547618500001"/>
    <n v="0"/>
    <x v="1"/>
  </r>
  <r>
    <x v="5"/>
    <x v="18"/>
    <x v="1"/>
    <s v="LICORES"/>
    <x v="0"/>
    <x v="35"/>
    <s v="ONZA"/>
    <n v="2056.3333333300002"/>
    <n v="139"/>
    <n v="18"/>
    <n v="-121"/>
    <n v="37013.999999940002"/>
    <n v="-248816.33333293002"/>
    <x v="2"/>
  </r>
  <r>
    <x v="5"/>
    <x v="18"/>
    <x v="1"/>
    <s v="CERVEZAS"/>
    <x v="0"/>
    <x v="219"/>
    <s v="GRAMOS"/>
    <n v="18.674166670000002"/>
    <n v="11095"/>
    <n v="2980"/>
    <n v="-8115"/>
    <n v="55649.016676600004"/>
    <n v="-151540.86252705002"/>
    <x v="2"/>
  </r>
  <r>
    <x v="5"/>
    <x v="18"/>
    <x v="1"/>
    <s v="PROTEINAS"/>
    <x v="1"/>
    <x v="125"/>
    <s v="UNIDADES"/>
    <n v="337.5"/>
    <n v="0"/>
    <n v="0"/>
    <n v="0"/>
    <n v="0"/>
    <n v="0"/>
    <x v="1"/>
  </r>
  <r>
    <x v="5"/>
    <x v="18"/>
    <x v="1"/>
    <s v="LICORES"/>
    <x v="0"/>
    <x v="40"/>
    <s v="UNIDADES"/>
    <n v="22770"/>
    <n v="3"/>
    <n v="5"/>
    <n v="2"/>
    <n v="113850"/>
    <n v="45540"/>
    <x v="0"/>
  </r>
  <r>
    <x v="5"/>
    <x v="18"/>
    <x v="1"/>
    <s v="LICORES"/>
    <x v="0"/>
    <x v="323"/>
    <s v="ONZA"/>
    <n v="8874.3181818199992"/>
    <n v="96"/>
    <n v="88"/>
    <n v="-8"/>
    <n v="780940.00000015995"/>
    <n v="-70994.545454559993"/>
    <x v="2"/>
  </r>
  <r>
    <x v="5"/>
    <x v="18"/>
    <x v="1"/>
    <s v="VINOS"/>
    <x v="0"/>
    <x v="262"/>
    <s v="ONZA"/>
    <n v="2137.5"/>
    <n v="22"/>
    <n v="3.17"/>
    <n v="-18.829999999999998"/>
    <n v="6775.875"/>
    <n v="-40249.124999999993"/>
    <x v="2"/>
  </r>
  <r>
    <x v="5"/>
    <x v="18"/>
    <x v="1"/>
    <s v="LICORES"/>
    <x v="0"/>
    <x v="42"/>
    <s v="UNIDADES"/>
    <n v="21478"/>
    <n v="2"/>
    <n v="3"/>
    <n v="1"/>
    <n v="64434"/>
    <n v="21478"/>
    <x v="0"/>
  </r>
  <r>
    <x v="5"/>
    <x v="18"/>
    <x v="1"/>
    <s v="LICORES"/>
    <x v="0"/>
    <x v="132"/>
    <s v="ONZA"/>
    <n v="11532.86363636"/>
    <n v="33"/>
    <n v="33"/>
    <n v="0"/>
    <n v="380584.49999987998"/>
    <n v="0"/>
    <x v="1"/>
  </r>
  <r>
    <x v="5"/>
    <x v="18"/>
    <x v="1"/>
    <s v="SUB RECETAS"/>
    <x v="1"/>
    <x v="300"/>
    <s v="GRAMOS"/>
    <n v="32.64626063"/>
    <n v="-1790"/>
    <n v="995"/>
    <n v="2785"/>
    <n v="32483.029326849999"/>
    <n v="90919.835854549994"/>
    <x v="0"/>
  </r>
  <r>
    <x v="5"/>
    <x v="18"/>
    <x v="1"/>
    <s v="LICORES"/>
    <x v="0"/>
    <x v="9"/>
    <s v="ONZA"/>
    <n v="2040.29310345"/>
    <n v="60"/>
    <n v="88.38"/>
    <n v="28.38"/>
    <n v="180321.104482911"/>
    <n v="57903.518275910996"/>
    <x v="0"/>
  </r>
  <r>
    <x v="5"/>
    <x v="18"/>
    <x v="1"/>
    <s v="GASEOSAS Y SODAS"/>
    <x v="0"/>
    <x v="189"/>
    <s v="UNIDADES"/>
    <n v="1860"/>
    <n v="0"/>
    <n v="0"/>
    <n v="0"/>
    <n v="0"/>
    <n v="0"/>
    <x v="1"/>
  </r>
  <r>
    <x v="5"/>
    <x v="18"/>
    <x v="1"/>
    <s v="LICORES"/>
    <x v="0"/>
    <x v="340"/>
    <s v="ONZA"/>
    <n v="0"/>
    <n v="0"/>
    <n v="0"/>
    <n v="0"/>
    <n v="0"/>
    <n v="0"/>
    <x v="1"/>
  </r>
  <r>
    <x v="5"/>
    <x v="18"/>
    <x v="1"/>
    <s v="CERVEZAS"/>
    <x v="0"/>
    <x v="215"/>
    <s v="GRAMOS"/>
    <n v="23.34266667"/>
    <n v="35285"/>
    <n v="25466"/>
    <n v="-9819"/>
    <n v="594444.34941821999"/>
    <n v="-229201.64403272999"/>
    <x v="2"/>
  </r>
  <r>
    <x v="5"/>
    <x v="18"/>
    <x v="1"/>
    <s v="LICORES"/>
    <x v="0"/>
    <x v="172"/>
    <s v="ONZA"/>
    <n v="6744"/>
    <n v="33"/>
    <n v="33"/>
    <n v="0"/>
    <n v="222552"/>
    <n v="0"/>
    <x v="1"/>
  </r>
  <r>
    <x v="5"/>
    <x v="18"/>
    <x v="1"/>
    <s v="CERVEZAS"/>
    <x v="0"/>
    <x v="184"/>
    <s v="UNIDADES"/>
    <n v="3338.5"/>
    <n v="1"/>
    <n v="79"/>
    <n v="78"/>
    <n v="263741.5"/>
    <n v="260403"/>
    <x v="0"/>
  </r>
  <r>
    <x v="5"/>
    <x v="18"/>
    <x v="1"/>
    <s v="PROTEINAS"/>
    <x v="1"/>
    <x v="97"/>
    <s v="UNIDADES"/>
    <n v="15233.33333333"/>
    <n v="0"/>
    <n v="0"/>
    <n v="0"/>
    <n v="0"/>
    <n v="0"/>
    <x v="1"/>
  </r>
  <r>
    <x v="5"/>
    <x v="22"/>
    <x v="0"/>
    <s v="PESCADOS Y MARISCOS"/>
    <x v="1"/>
    <x v="191"/>
    <s v="UNIDADES"/>
    <n v="438.8125"/>
    <n v="-1480"/>
    <n v="0"/>
    <n v="1480"/>
    <n v="0"/>
    <n v="649442.5"/>
    <x v="0"/>
  </r>
  <r>
    <x v="5"/>
    <x v="18"/>
    <x v="1"/>
    <s v="LICORES"/>
    <x v="0"/>
    <x v="41"/>
    <s v="ONZA"/>
    <n v="1798.66666667"/>
    <n v="98"/>
    <n v="98"/>
    <n v="0"/>
    <n v="176269.33333366"/>
    <n v="0"/>
    <x v="1"/>
  </r>
  <r>
    <x v="5"/>
    <x v="18"/>
    <x v="1"/>
    <s v="GASEOSAS Y SODAS"/>
    <x v="0"/>
    <x v="22"/>
    <s v="UNIDADES"/>
    <n v="5428.7142857099998"/>
    <n v="22"/>
    <n v="21"/>
    <n v="-1"/>
    <n v="114002.99999991"/>
    <n v="-5428.7142857099998"/>
    <x v="2"/>
  </r>
  <r>
    <x v="5"/>
    <x v="19"/>
    <x v="3"/>
    <s v="SUB RECETAS"/>
    <x v="1"/>
    <x v="249"/>
    <s v="GRAMOS"/>
    <n v="4.9264214500000003"/>
    <n v="-644"/>
    <n v="780"/>
    <n v="1424"/>
    <n v="3842.6087310000003"/>
    <n v="7015.2241448000004"/>
    <x v="0"/>
  </r>
  <r>
    <x v="5"/>
    <x v="18"/>
    <x v="1"/>
    <s v="AGUA Y TE"/>
    <x v="0"/>
    <x v="149"/>
    <s v="UNIDADES"/>
    <n v="4166.58053225"/>
    <n v="17"/>
    <n v="18"/>
    <n v="1"/>
    <n v="74998.449580500004"/>
    <n v="4166.58053225"/>
    <x v="0"/>
  </r>
  <r>
    <x v="5"/>
    <x v="18"/>
    <x v="1"/>
    <s v="LICORES"/>
    <x v="0"/>
    <x v="154"/>
    <s v="ONZA"/>
    <n v="0"/>
    <n v="0"/>
    <n v="0"/>
    <n v="0"/>
    <n v="0"/>
    <n v="0"/>
    <x v="1"/>
  </r>
  <r>
    <x v="5"/>
    <x v="18"/>
    <x v="1"/>
    <s v="CERVEZAS"/>
    <x v="0"/>
    <x v="75"/>
    <s v="UNIDADES"/>
    <n v="2380"/>
    <n v="118"/>
    <n v="118"/>
    <n v="0"/>
    <n v="280840"/>
    <n v="0"/>
    <x v="1"/>
  </r>
  <r>
    <x v="5"/>
    <x v="19"/>
    <x v="3"/>
    <s v="PESCADOS Y MARISCOS"/>
    <x v="1"/>
    <x v="139"/>
    <s v="GRAMOS"/>
    <n v="39"/>
    <n v="5243.3329999999996"/>
    <n v="6414"/>
    <n v="1170.666952"/>
    <n v="250146"/>
    <n v="45656.011127999998"/>
    <x v="0"/>
  </r>
  <r>
    <x v="5"/>
    <x v="18"/>
    <x v="1"/>
    <s v="LICORES"/>
    <x v="0"/>
    <x v="359"/>
    <s v="ONZA"/>
    <n v="3090.9074074099999"/>
    <n v="24"/>
    <n v="24"/>
    <n v="0"/>
    <n v="74181.777777840005"/>
    <n v="0"/>
    <x v="1"/>
  </r>
  <r>
    <x v="5"/>
    <x v="18"/>
    <x v="1"/>
    <s v="GASEOSAS Y SODAS"/>
    <x v="0"/>
    <x v="58"/>
    <s v="UNIDADES"/>
    <n v="1944.4444444000001"/>
    <n v="0"/>
    <n v="0"/>
    <n v="0"/>
    <n v="0"/>
    <n v="0"/>
    <x v="1"/>
  </r>
  <r>
    <x v="5"/>
    <x v="18"/>
    <x v="1"/>
    <s v="VINOS"/>
    <x v="0"/>
    <x v="111"/>
    <s v="UNIDADES"/>
    <n v="34232.416666669997"/>
    <n v="3"/>
    <n v="3"/>
    <n v="0"/>
    <n v="102697.25000000998"/>
    <n v="0"/>
    <x v="1"/>
  </r>
  <r>
    <x v="5"/>
    <x v="18"/>
    <x v="1"/>
    <s v="LICORES"/>
    <x v="0"/>
    <x v="83"/>
    <s v="ONZA"/>
    <n v="7122.4772727299996"/>
    <n v="60"/>
    <n v="57"/>
    <n v="-3"/>
    <n v="405981.20454561"/>
    <n v="-21367.431818189998"/>
    <x v="2"/>
  </r>
  <r>
    <x v="5"/>
    <x v="18"/>
    <x v="1"/>
    <s v="PROTEINAS"/>
    <x v="1"/>
    <x v="66"/>
    <s v="GRAMOS"/>
    <n v="33.844011139999999"/>
    <n v="1636"/>
    <n v="2675"/>
    <n v="1039"/>
    <n v="90532.729799499997"/>
    <n v="35163.927574460002"/>
    <x v="0"/>
  </r>
  <r>
    <x v="5"/>
    <x v="18"/>
    <x v="1"/>
    <s v="LICORES"/>
    <x v="0"/>
    <x v="108"/>
    <s v="ONZA"/>
    <n v="6372.7272727299996"/>
    <n v="22"/>
    <n v="22"/>
    <n v="0"/>
    <n v="140200.00000005998"/>
    <n v="0"/>
    <x v="1"/>
  </r>
  <r>
    <x v="5"/>
    <x v="18"/>
    <x v="1"/>
    <s v="GASEOSAS Y SODAS"/>
    <x v="0"/>
    <x v="160"/>
    <s v="UNIDADES"/>
    <n v="5310.9583333299997"/>
    <n v="14"/>
    <n v="14"/>
    <n v="0"/>
    <n v="74353.416666620004"/>
    <n v="0"/>
    <x v="1"/>
  </r>
  <r>
    <x v="5"/>
    <x v="18"/>
    <x v="1"/>
    <s v="LICORES"/>
    <x v="0"/>
    <x v="156"/>
    <s v="ONZA"/>
    <n v="3365.9583333300002"/>
    <n v="0"/>
    <n v="0"/>
    <n v="0"/>
    <n v="0"/>
    <n v="0"/>
    <x v="1"/>
  </r>
  <r>
    <x v="5"/>
    <x v="18"/>
    <x v="1"/>
    <s v="AGUA Y TE"/>
    <x v="0"/>
    <x v="145"/>
    <s v="UNIDADES"/>
    <n v="7857"/>
    <n v="0"/>
    <n v="0"/>
    <n v="0"/>
    <n v="0"/>
    <n v="0"/>
    <x v="1"/>
  </r>
  <r>
    <x v="5"/>
    <x v="18"/>
    <x v="1"/>
    <s v="LICORES"/>
    <x v="0"/>
    <x v="24"/>
    <s v="ONZA"/>
    <n v="2500"/>
    <n v="98"/>
    <n v="148.19999999999999"/>
    <n v="50.2"/>
    <n v="370500"/>
    <n v="125500"/>
    <x v="0"/>
  </r>
  <r>
    <x v="5"/>
    <x v="18"/>
    <x v="1"/>
    <s v="CERVEZAS"/>
    <x v="0"/>
    <x v="228"/>
    <s v="UNIDADES"/>
    <n v="2397.96666667"/>
    <n v="22"/>
    <n v="0"/>
    <n v="-22"/>
    <n v="0"/>
    <n v="-52755.266666739997"/>
    <x v="2"/>
  </r>
  <r>
    <x v="5"/>
    <x v="19"/>
    <x v="3"/>
    <s v="SUB-RECETAS CP"/>
    <x v="1"/>
    <x v="280"/>
    <s v="GRAMOS"/>
    <n v="63.986645770000003"/>
    <n v="877.5"/>
    <n v="1800"/>
    <n v="922.5"/>
    <n v="115175.962386"/>
    <n v="59027.680722825004"/>
    <x v="0"/>
  </r>
  <r>
    <x v="5"/>
    <x v="19"/>
    <x v="3"/>
    <s v="SUB RECETAS"/>
    <x v="1"/>
    <x v="254"/>
    <s v="UNIDADES"/>
    <n v="651.05372451999995"/>
    <n v="42"/>
    <n v="412"/>
    <n v="370"/>
    <n v="268234.13450223999"/>
    <n v="240889.87807239997"/>
    <x v="0"/>
  </r>
  <r>
    <x v="5"/>
    <x v="18"/>
    <x v="1"/>
    <s v="LICORES"/>
    <x v="0"/>
    <x v="177"/>
    <s v="ONZA"/>
    <n v="1590.84375"/>
    <n v="29"/>
    <n v="28.19"/>
    <n v="-0.81"/>
    <n v="44845.885312500002"/>
    <n v="-1288.5834375000002"/>
    <x v="2"/>
  </r>
  <r>
    <x v="5"/>
    <x v="18"/>
    <x v="1"/>
    <s v="GASEOSAS Y SODAS"/>
    <x v="0"/>
    <x v="59"/>
    <s v="UNIDADES"/>
    <n v="2435.1975308800002"/>
    <n v="139"/>
    <n v="130"/>
    <n v="-9"/>
    <n v="316575.6790144"/>
    <n v="-21916.777777920001"/>
    <x v="2"/>
  </r>
  <r>
    <x v="5"/>
    <x v="18"/>
    <x v="1"/>
    <s v="SUB RECETAS"/>
    <x v="1"/>
    <x v="284"/>
    <s v="UNIDADES"/>
    <n v="4154.1964107900003"/>
    <n v="6"/>
    <n v="6"/>
    <n v="0"/>
    <n v="24925.178464740002"/>
    <n v="0"/>
    <x v="1"/>
  </r>
  <r>
    <x v="5"/>
    <x v="18"/>
    <x v="1"/>
    <s v="AGUA Y TE"/>
    <x v="0"/>
    <x v="150"/>
    <s v="UNIDADES"/>
    <n v="3458.3270308299998"/>
    <n v="21"/>
    <n v="22"/>
    <n v="1"/>
    <n v="76083.194678259999"/>
    <n v="3458.3270308299998"/>
    <x v="0"/>
  </r>
  <r>
    <x v="5"/>
    <x v="18"/>
    <x v="1"/>
    <s v="LICORES"/>
    <x v="0"/>
    <x v="292"/>
    <s v="ONZA"/>
    <n v="10667.40909091"/>
    <n v="0"/>
    <n v="0"/>
    <n v="0"/>
    <n v="0"/>
    <n v="0"/>
    <x v="1"/>
  </r>
  <r>
    <x v="5"/>
    <x v="18"/>
    <x v="1"/>
    <s v="CERVEZAS"/>
    <x v="0"/>
    <x v="222"/>
    <s v="GRAMOS"/>
    <n v="21.47526667"/>
    <n v="20425"/>
    <n v="20800"/>
    <n v="375"/>
    <n v="446685.54673599999"/>
    <n v="8053.2250012499999"/>
    <x v="0"/>
  </r>
  <r>
    <x v="5"/>
    <x v="20"/>
    <x v="5"/>
    <s v="PROTEINAS"/>
    <x v="1"/>
    <x v="282"/>
    <s v="GRAMOS"/>
    <n v="15.5"/>
    <n v="40300"/>
    <n v="40628"/>
    <n v="328"/>
    <n v="629734"/>
    <n v="5084"/>
    <x v="0"/>
  </r>
  <r>
    <x v="5"/>
    <x v="18"/>
    <x v="1"/>
    <s v="LICORES"/>
    <x v="0"/>
    <x v="16"/>
    <s v="ONZA"/>
    <n v="5465.125"/>
    <n v="19"/>
    <n v="19.329999999999998"/>
    <n v="0.33"/>
    <n v="105640.86624999999"/>
    <n v="1803.49125"/>
    <x v="0"/>
  </r>
  <r>
    <x v="5"/>
    <x v="18"/>
    <x v="1"/>
    <s v="GASEOSAS Y SODAS"/>
    <x v="0"/>
    <x v="62"/>
    <s v="UNIDADES"/>
    <n v="1395.8"/>
    <n v="0"/>
    <n v="0"/>
    <n v="0"/>
    <n v="0"/>
    <n v="0"/>
    <x v="1"/>
  </r>
  <r>
    <x v="5"/>
    <x v="18"/>
    <x v="1"/>
    <s v="LICORES"/>
    <x v="0"/>
    <x v="12"/>
    <s v="ONZA"/>
    <n v="1997.7272727300001"/>
    <n v="-5"/>
    <n v="0"/>
    <n v="5"/>
    <n v="0"/>
    <n v="9988.6363636500009"/>
    <x v="0"/>
  </r>
  <r>
    <x v="5"/>
    <x v="18"/>
    <x v="1"/>
    <s v="LICORES"/>
    <x v="0"/>
    <x v="159"/>
    <s v="ONZA"/>
    <n v="3780"/>
    <n v="51"/>
    <n v="47"/>
    <n v="-4"/>
    <n v="177660"/>
    <n v="-15120"/>
    <x v="2"/>
  </r>
  <r>
    <x v="5"/>
    <x v="18"/>
    <x v="1"/>
    <s v="VINOS"/>
    <x v="0"/>
    <x v="185"/>
    <s v="COPA"/>
    <n v="10875.1"/>
    <n v="0"/>
    <n v="0"/>
    <n v="0"/>
    <n v="0"/>
    <n v="0"/>
    <x v="1"/>
  </r>
  <r>
    <x v="5"/>
    <x v="18"/>
    <x v="1"/>
    <s v="LICORES"/>
    <x v="0"/>
    <x v="55"/>
    <s v="ONZA"/>
    <n v="6303.0416666700003"/>
    <n v="24"/>
    <n v="24"/>
    <n v="0"/>
    <n v="151273.00000008001"/>
    <n v="0"/>
    <x v="1"/>
  </r>
  <r>
    <x v="5"/>
    <x v="18"/>
    <x v="1"/>
    <s v="GASEOSAS Y SODAS"/>
    <x v="0"/>
    <x v="137"/>
    <s v="UNIDADES"/>
    <n v="1815.1252997500001"/>
    <n v="56.2"/>
    <n v="48"/>
    <n v="-8.1999999999999993"/>
    <n v="87126.014388000011"/>
    <n v="-14884.02745795"/>
    <x v="2"/>
  </r>
  <r>
    <x v="5"/>
    <x v="18"/>
    <x v="1"/>
    <s v="LICORES"/>
    <x v="0"/>
    <x v="155"/>
    <s v="ONZA"/>
    <n v="0"/>
    <n v="0"/>
    <n v="0"/>
    <n v="0"/>
    <n v="0"/>
    <n v="0"/>
    <x v="1"/>
  </r>
  <r>
    <x v="5"/>
    <x v="18"/>
    <x v="1"/>
    <s v="AGUA Y TE"/>
    <x v="0"/>
    <x v="29"/>
    <s v="UNIDADES"/>
    <n v="1234.3916666699999"/>
    <n v="27"/>
    <n v="25"/>
    <n v="-2"/>
    <n v="30859.791666749999"/>
    <n v="-2468.7833333399999"/>
    <x v="2"/>
  </r>
  <r>
    <x v="5"/>
    <x v="18"/>
    <x v="1"/>
    <s v="LICORES"/>
    <x v="0"/>
    <x v="345"/>
    <s v="ONZA"/>
    <n v="5316.6818181799999"/>
    <n v="51"/>
    <n v="48"/>
    <n v="-3"/>
    <n v="255200.72727263998"/>
    <n v="-15950.045454539999"/>
    <x v="2"/>
  </r>
  <r>
    <x v="5"/>
    <x v="18"/>
    <x v="1"/>
    <s v="CERVEZAS"/>
    <x v="0"/>
    <x v="143"/>
    <s v="UNIDADES"/>
    <n v="3050"/>
    <n v="47"/>
    <n v="47"/>
    <n v="0"/>
    <n v="143350"/>
    <n v="0"/>
    <x v="1"/>
  </r>
  <r>
    <x v="5"/>
    <x v="18"/>
    <x v="1"/>
    <s v="PESCADOS Y MARISCOS"/>
    <x v="1"/>
    <x v="186"/>
    <s v="UNIDADES"/>
    <n v="1600"/>
    <n v="0"/>
    <n v="0"/>
    <n v="0"/>
    <n v="0"/>
    <n v="0"/>
    <x v="1"/>
  </r>
  <r>
    <x v="5"/>
    <x v="18"/>
    <x v="1"/>
    <s v="SUB RECETAS"/>
    <x v="1"/>
    <x v="319"/>
    <s v="UNIDADES"/>
    <n v="954.93560869999999"/>
    <n v="-45"/>
    <n v="172"/>
    <n v="217"/>
    <n v="164248.9246964"/>
    <n v="207221.0270879"/>
    <x v="0"/>
  </r>
  <r>
    <x v="5"/>
    <x v="18"/>
    <x v="1"/>
    <s v="LICORES"/>
    <x v="0"/>
    <x v="187"/>
    <s v="UNIDADES"/>
    <n v="28750"/>
    <n v="2"/>
    <n v="2"/>
    <n v="0"/>
    <n v="57500"/>
    <n v="0"/>
    <x v="1"/>
  </r>
  <r>
    <x v="5"/>
    <x v="18"/>
    <x v="1"/>
    <s v="LICORES"/>
    <x v="0"/>
    <x v="134"/>
    <s v="ONZA"/>
    <n v="9217.1666666700003"/>
    <n v="69"/>
    <n v="63"/>
    <n v="-6"/>
    <n v="580681.50000021001"/>
    <n v="-55303.000000020002"/>
    <x v="2"/>
  </r>
  <r>
    <x v="5"/>
    <x v="19"/>
    <x v="3"/>
    <s v="PROTEINAS"/>
    <x v="1"/>
    <x v="131"/>
    <s v="UNIDADES"/>
    <n v="4850"/>
    <n v="-148"/>
    <n v="28"/>
    <n v="176"/>
    <n v="135800"/>
    <n v="853600"/>
    <x v="0"/>
  </r>
  <r>
    <x v="5"/>
    <x v="19"/>
    <x v="3"/>
    <s v="PROTEINAS"/>
    <x v="1"/>
    <x v="125"/>
    <s v="UNIDADES"/>
    <n v="3250"/>
    <n v="-120"/>
    <n v="27"/>
    <n v="147"/>
    <n v="87750"/>
    <n v="477750"/>
    <x v="0"/>
  </r>
  <r>
    <x v="5"/>
    <x v="18"/>
    <x v="1"/>
    <s v="AGUA Y TE"/>
    <x v="0"/>
    <x v="158"/>
    <s v="UNIDADES"/>
    <n v="1654.21666667"/>
    <n v="134"/>
    <n v="134"/>
    <n v="0"/>
    <n v="221665.03333378001"/>
    <n v="0"/>
    <x v="1"/>
  </r>
  <r>
    <x v="5"/>
    <x v="18"/>
    <x v="1"/>
    <s v="LICORES"/>
    <x v="0"/>
    <x v="110"/>
    <s v="ONZA"/>
    <n v="3171.7083333300002"/>
    <n v="2"/>
    <n v="52"/>
    <n v="50"/>
    <n v="164928.83333316"/>
    <n v="158585.41666650001"/>
    <x v="0"/>
  </r>
  <r>
    <x v="5"/>
    <x v="18"/>
    <x v="1"/>
    <s v="LICORES"/>
    <x v="0"/>
    <x v="5"/>
    <s v="ONZA"/>
    <n v="6800.3640183199996"/>
    <n v="54"/>
    <n v="50"/>
    <n v="-4"/>
    <n v="340018.200916"/>
    <n v="-27201.456073279998"/>
    <x v="2"/>
  </r>
  <r>
    <x v="5"/>
    <x v="18"/>
    <x v="1"/>
    <s v="PESCADOS Y MARISCOS"/>
    <x v="1"/>
    <x v="57"/>
    <s v="UNIDADES"/>
    <n v="514.28571428999999"/>
    <n v="102"/>
    <n v="215"/>
    <n v="113"/>
    <n v="110571.42857234999"/>
    <n v="58114.285714769998"/>
    <x v="0"/>
  </r>
  <r>
    <x v="5"/>
    <x v="18"/>
    <x v="1"/>
    <s v="LICORES"/>
    <x v="0"/>
    <x v="26"/>
    <s v="ONZA"/>
    <n v="4587.75"/>
    <n v="24"/>
    <n v="24"/>
    <n v="0"/>
    <n v="110106"/>
    <n v="0"/>
    <x v="1"/>
  </r>
  <r>
    <x v="5"/>
    <x v="18"/>
    <x v="1"/>
    <s v="GASEOSAS Y SODAS"/>
    <x v="0"/>
    <x v="65"/>
    <s v="UNIDADES"/>
    <n v="4986.1393557499996"/>
    <n v="0"/>
    <n v="0"/>
    <n v="0"/>
    <n v="0"/>
    <n v="0"/>
    <x v="1"/>
  </r>
  <r>
    <x v="5"/>
    <x v="18"/>
    <x v="1"/>
    <s v="LICORES"/>
    <x v="0"/>
    <x v="72"/>
    <s v="ONZA"/>
    <n v="4272.95"/>
    <n v="0"/>
    <n v="0"/>
    <n v="0"/>
    <n v="0"/>
    <n v="0"/>
    <x v="1"/>
  </r>
  <r>
    <x v="5"/>
    <x v="18"/>
    <x v="1"/>
    <s v="CERVEZAS"/>
    <x v="0"/>
    <x v="77"/>
    <s v="UNIDADES"/>
    <n v="3241"/>
    <n v="157"/>
    <n v="158"/>
    <n v="1"/>
    <n v="512078"/>
    <n v="3241"/>
    <x v="0"/>
  </r>
  <r>
    <x v="5"/>
    <x v="18"/>
    <x v="1"/>
    <s v="LICORES"/>
    <x v="0"/>
    <x v="174"/>
    <s v="ONZA"/>
    <n v="4454.5454545499997"/>
    <n v="47"/>
    <n v="65.099999999999994"/>
    <n v="18.100000000000001"/>
    <n v="289990.90909120493"/>
    <n v="80627.272727354997"/>
    <x v="0"/>
  </r>
  <r>
    <x v="5"/>
    <x v="18"/>
    <x v="1"/>
    <s v="CERVEZAS"/>
    <x v="0"/>
    <x v="188"/>
    <s v="GRAMOS"/>
    <n v="0"/>
    <n v="0"/>
    <n v="0"/>
    <n v="0"/>
    <n v="0"/>
    <n v="0"/>
    <x v="1"/>
  </r>
  <r>
    <x v="5"/>
    <x v="18"/>
    <x v="1"/>
    <s v="LICORES"/>
    <x v="0"/>
    <x v="3"/>
    <s v="UNIDADES"/>
    <n v="86743"/>
    <n v="2"/>
    <n v="4"/>
    <n v="2"/>
    <n v="346972"/>
    <n v="173486"/>
    <x v="0"/>
  </r>
  <r>
    <x v="5"/>
    <x v="18"/>
    <x v="1"/>
    <s v="GASEOSAS Y SODAS"/>
    <x v="0"/>
    <x v="63"/>
    <s v="UNIDADES"/>
    <n v="5309.8"/>
    <n v="19"/>
    <n v="19"/>
    <n v="0"/>
    <n v="100886.2"/>
    <n v="0"/>
    <x v="1"/>
  </r>
  <r>
    <x v="5"/>
    <x v="18"/>
    <x v="1"/>
    <s v="LICORES"/>
    <x v="0"/>
    <x v="175"/>
    <s v="ONZA"/>
    <n v="1825"/>
    <n v="0"/>
    <n v="0"/>
    <n v="0"/>
    <n v="0"/>
    <n v="0"/>
    <x v="1"/>
  </r>
  <r>
    <x v="5"/>
    <x v="18"/>
    <x v="1"/>
    <s v="AGUA Y TE"/>
    <x v="0"/>
    <x v="152"/>
    <s v="UNIDADES"/>
    <n v="4166.58053225"/>
    <n v="13"/>
    <n v="12"/>
    <n v="-1"/>
    <n v="49998.966387"/>
    <n v="-4166.58053225"/>
    <x v="2"/>
  </r>
  <r>
    <x v="5"/>
    <x v="18"/>
    <x v="1"/>
    <s v="LICORES"/>
    <x v="0"/>
    <x v="19"/>
    <s v="UNIDADES"/>
    <n v="93956"/>
    <n v="3"/>
    <n v="3"/>
    <n v="0"/>
    <n v="281868"/>
    <n v="0"/>
    <x v="1"/>
  </r>
  <r>
    <x v="5"/>
    <x v="18"/>
    <x v="1"/>
    <s v="CERVEZAS"/>
    <x v="0"/>
    <x v="178"/>
    <s v="UNIDADES"/>
    <n v="3750"/>
    <n v="38"/>
    <n v="37"/>
    <n v="-1"/>
    <n v="138750"/>
    <n v="-3750"/>
    <x v="2"/>
  </r>
  <r>
    <x v="5"/>
    <x v="18"/>
    <x v="1"/>
    <s v="PESCADOS Y MARISCOS"/>
    <x v="1"/>
    <x v="136"/>
    <s v="UNIDADES"/>
    <n v="10787.09677419"/>
    <n v="0"/>
    <n v="0"/>
    <n v="0"/>
    <n v="0"/>
    <n v="0"/>
    <x v="1"/>
  </r>
  <r>
    <x v="5"/>
    <x v="18"/>
    <x v="1"/>
    <s v="LICORES"/>
    <x v="0"/>
    <x v="123"/>
    <s v="ONZA"/>
    <n v="2665.4166666699998"/>
    <n v="24"/>
    <n v="24"/>
    <n v="0"/>
    <n v="63970.000000079992"/>
    <n v="0"/>
    <x v="1"/>
  </r>
  <r>
    <x v="5"/>
    <x v="18"/>
    <x v="1"/>
    <s v="LICORES"/>
    <x v="0"/>
    <x v="2"/>
    <s v="ONZA"/>
    <n v="14896.95833333"/>
    <n v="48"/>
    <n v="50"/>
    <n v="2"/>
    <n v="744847.91666650004"/>
    <n v="29793.916666659999"/>
    <x v="0"/>
  </r>
  <r>
    <x v="5"/>
    <x v="18"/>
    <x v="1"/>
    <s v="VINOS"/>
    <x v="0"/>
    <x v="109"/>
    <s v="COPA"/>
    <n v="10889.4"/>
    <n v="0"/>
    <n v="0"/>
    <n v="0"/>
    <n v="0"/>
    <n v="0"/>
    <x v="1"/>
  </r>
  <r>
    <x v="5"/>
    <x v="22"/>
    <x v="0"/>
    <s v="LICORES"/>
    <x v="0"/>
    <x v="33"/>
    <s v="ONZA"/>
    <n v="2722.7272727300001"/>
    <n v="67"/>
    <n v="59"/>
    <n v="-8"/>
    <n v="160640.90909107"/>
    <n v="-21781.818181840001"/>
    <x v="2"/>
  </r>
  <r>
    <x v="5"/>
    <x v="22"/>
    <x v="0"/>
    <s v="GASEOSAS Y SODAS"/>
    <x v="0"/>
    <x v="71"/>
    <s v="UNIDADES"/>
    <n v="983.33333332999996"/>
    <n v="0"/>
    <n v="0"/>
    <n v="0"/>
    <n v="0"/>
    <n v="0"/>
    <x v="1"/>
  </r>
  <r>
    <x v="5"/>
    <x v="22"/>
    <x v="0"/>
    <s v="VINOS"/>
    <x v="0"/>
    <x v="287"/>
    <s v="UNIDADES"/>
    <n v="75606"/>
    <n v="2"/>
    <n v="1"/>
    <n v="-1"/>
    <n v="75606"/>
    <n v="-75606"/>
    <x v="2"/>
  </r>
  <r>
    <x v="5"/>
    <x v="22"/>
    <x v="0"/>
    <s v="VINOS"/>
    <x v="0"/>
    <x v="102"/>
    <s v="UNIDADES"/>
    <n v="80870"/>
    <n v="2"/>
    <n v="2"/>
    <n v="0"/>
    <n v="161740"/>
    <n v="0"/>
    <x v="1"/>
  </r>
  <r>
    <x v="5"/>
    <x v="22"/>
    <x v="0"/>
    <s v="LICORES"/>
    <x v="0"/>
    <x v="334"/>
    <s v="ONZA"/>
    <n v="0"/>
    <n v="15"/>
    <n v="15"/>
    <n v="0"/>
    <n v="0"/>
    <n v="0"/>
    <x v="1"/>
  </r>
  <r>
    <x v="5"/>
    <x v="22"/>
    <x v="0"/>
    <s v="GASEOSAS Y SODAS"/>
    <x v="0"/>
    <x v="22"/>
    <s v="UNIDADES"/>
    <n v="5428.7142857099998"/>
    <n v="34"/>
    <n v="43"/>
    <n v="9"/>
    <n v="233434.71428553"/>
    <n v="48858.428571389995"/>
    <x v="0"/>
  </r>
  <r>
    <x v="5"/>
    <x v="21"/>
    <x v="2"/>
    <s v="SUB RECETAS"/>
    <x v="1"/>
    <x v="277"/>
    <s v="UNIDADES"/>
    <n v="2770.4763510600001"/>
    <n v="-8"/>
    <n v="87"/>
    <n v="95"/>
    <n v="241031.44254222"/>
    <n v="263195.25335070002"/>
    <x v="0"/>
  </r>
  <r>
    <x v="5"/>
    <x v="22"/>
    <x v="0"/>
    <s v="CERVEZAS"/>
    <x v="0"/>
    <x v="96"/>
    <s v="UNIDADES"/>
    <n v="2699.6666666699998"/>
    <n v="0"/>
    <n v="0"/>
    <n v="0"/>
    <n v="0"/>
    <n v="0"/>
    <x v="1"/>
  </r>
  <r>
    <x v="5"/>
    <x v="22"/>
    <x v="0"/>
    <s v="LICORES"/>
    <x v="0"/>
    <x v="172"/>
    <s v="ONZA"/>
    <n v="6744"/>
    <n v="26"/>
    <n v="32"/>
    <n v="6"/>
    <n v="215808"/>
    <n v="40464"/>
    <x v="0"/>
  </r>
  <r>
    <x v="5"/>
    <x v="22"/>
    <x v="0"/>
    <s v="LICORES"/>
    <x v="0"/>
    <x v="24"/>
    <s v="ONZA"/>
    <n v="2500"/>
    <n v="16"/>
    <n v="32"/>
    <n v="16"/>
    <n v="80000"/>
    <n v="40000"/>
    <x v="0"/>
  </r>
  <r>
    <x v="5"/>
    <x v="22"/>
    <x v="0"/>
    <s v="PESCADOS Y MARISCOS"/>
    <x v="1"/>
    <x v="272"/>
    <s v="UNIDADES"/>
    <n v="10506"/>
    <n v="15"/>
    <n v="15"/>
    <n v="0"/>
    <n v="157590"/>
    <n v="0"/>
    <x v="1"/>
  </r>
  <r>
    <x v="5"/>
    <x v="22"/>
    <x v="0"/>
    <s v="VINOS"/>
    <x v="0"/>
    <x v="129"/>
    <s v="COPA"/>
    <n v="10880.4"/>
    <n v="15"/>
    <n v="14"/>
    <n v="-1"/>
    <n v="152325.6"/>
    <n v="-10880.4"/>
    <x v="2"/>
  </r>
  <r>
    <x v="5"/>
    <x v="22"/>
    <x v="0"/>
    <s v="AGUA Y TE"/>
    <x v="0"/>
    <x v="144"/>
    <s v="UNIDADES"/>
    <n v="7330"/>
    <n v="35"/>
    <n v="35"/>
    <n v="0"/>
    <n v="256550"/>
    <n v="0"/>
    <x v="1"/>
  </r>
  <r>
    <x v="5"/>
    <x v="22"/>
    <x v="0"/>
    <s v="LICORES"/>
    <x v="0"/>
    <x v="165"/>
    <s v="ONZA"/>
    <n v="384.58620689999998"/>
    <n v="49.5"/>
    <n v="28"/>
    <n v="-21.5"/>
    <n v="10768.413793199999"/>
    <n v="-8268.6034483499989"/>
    <x v="2"/>
  </r>
  <r>
    <x v="5"/>
    <x v="22"/>
    <x v="0"/>
    <s v="LICORES"/>
    <x v="0"/>
    <x v="231"/>
    <s v="ONZA"/>
    <n v="10500"/>
    <n v="62"/>
    <n v="64"/>
    <n v="2"/>
    <n v="672000"/>
    <n v="21000"/>
    <x v="0"/>
  </r>
  <r>
    <x v="5"/>
    <x v="22"/>
    <x v="0"/>
    <s v="PESCADOS Y MARISCOS"/>
    <x v="1"/>
    <x v="247"/>
    <s v="GRAMOS"/>
    <n v="49.53"/>
    <n v="0"/>
    <n v="94"/>
    <n v="94"/>
    <n v="4655.82"/>
    <n v="4655.82"/>
    <x v="0"/>
  </r>
  <r>
    <x v="5"/>
    <x v="22"/>
    <x v="0"/>
    <s v="VINOS"/>
    <x v="0"/>
    <x v="114"/>
    <s v="COPA"/>
    <n v="9481.9714285699993"/>
    <n v="0"/>
    <n v="0"/>
    <n v="0"/>
    <n v="0"/>
    <n v="0"/>
    <x v="1"/>
  </r>
  <r>
    <x v="5"/>
    <x v="22"/>
    <x v="0"/>
    <s v="AGUA Y TE"/>
    <x v="0"/>
    <x v="149"/>
    <s v="UNIDADES"/>
    <n v="4166.58053225"/>
    <n v="13"/>
    <n v="12"/>
    <n v="-1"/>
    <n v="49998.966387"/>
    <n v="-4166.58053225"/>
    <x v="2"/>
  </r>
  <r>
    <x v="5"/>
    <x v="22"/>
    <x v="0"/>
    <s v="PESCADOS Y MARISCOS"/>
    <x v="1"/>
    <x v="84"/>
    <s v="UNIDADES"/>
    <n v="18999.886554500001"/>
    <n v="6"/>
    <n v="6"/>
    <n v="0"/>
    <n v="113999.319327"/>
    <n v="0"/>
    <x v="1"/>
  </r>
  <r>
    <x v="5"/>
    <x v="22"/>
    <x v="0"/>
    <s v="LICORES"/>
    <x v="0"/>
    <x v="13"/>
    <s v="ONZA"/>
    <n v="1886.3636363600001"/>
    <n v="67"/>
    <n v="41"/>
    <n v="-26"/>
    <n v="77340.909090760004"/>
    <n v="-49045.45454536"/>
    <x v="2"/>
  </r>
  <r>
    <x v="5"/>
    <x v="20"/>
    <x v="5"/>
    <s v="SUB-RECETAS CP"/>
    <x v="1"/>
    <x v="274"/>
    <s v="UNIDADES"/>
    <n v="10614.7325009"/>
    <n v="1348"/>
    <n v="1438"/>
    <n v="90"/>
    <n v="15263985.3362942"/>
    <n v="955325.92508099996"/>
    <x v="0"/>
  </r>
  <r>
    <x v="5"/>
    <x v="22"/>
    <x v="0"/>
    <s v="VINOS"/>
    <x v="0"/>
    <x v="117"/>
    <s v="UNIDADES"/>
    <n v="0"/>
    <n v="1"/>
    <n v="1"/>
    <n v="0"/>
    <n v="0"/>
    <n v="0"/>
    <x v="1"/>
  </r>
  <r>
    <x v="5"/>
    <x v="22"/>
    <x v="0"/>
    <s v="LICORES"/>
    <x v="0"/>
    <x v="30"/>
    <s v="ONZA"/>
    <n v="6806.25"/>
    <n v="49"/>
    <n v="52"/>
    <n v="3"/>
    <n v="353925"/>
    <n v="20418.75"/>
    <x v="0"/>
  </r>
  <r>
    <x v="5"/>
    <x v="22"/>
    <x v="0"/>
    <s v="GASEOSAS Y SODAS"/>
    <x v="0"/>
    <x v="65"/>
    <s v="UNIDADES"/>
    <n v="4986.1393557499996"/>
    <n v="2"/>
    <n v="0"/>
    <n v="-2"/>
    <n v="0"/>
    <n v="-9972.2787114999992"/>
    <x v="2"/>
  </r>
  <r>
    <x v="5"/>
    <x v="19"/>
    <x v="3"/>
    <s v="PESCADOS Y MARISCOS"/>
    <x v="1"/>
    <x v="190"/>
    <s v="UNIDADES"/>
    <n v="436.02"/>
    <n v="77"/>
    <n v="167"/>
    <n v="90"/>
    <n v="72815.34"/>
    <n v="39241.799999999996"/>
    <x v="0"/>
  </r>
  <r>
    <x v="5"/>
    <x v="22"/>
    <x v="0"/>
    <s v="CERVEZAS"/>
    <x v="0"/>
    <x v="157"/>
    <s v="UNIDADES"/>
    <n v="3601.6666666699998"/>
    <n v="31"/>
    <n v="0"/>
    <n v="-31"/>
    <n v="0"/>
    <n v="-111651.66666676999"/>
    <x v="2"/>
  </r>
  <r>
    <x v="5"/>
    <x v="22"/>
    <x v="0"/>
    <s v="GASEOSAS Y SODAS"/>
    <x v="0"/>
    <x v="1"/>
    <s v="UNIDADES"/>
    <n v="1656.3166666699999"/>
    <n v="200.9"/>
    <n v="254"/>
    <n v="53.1"/>
    <n v="420704.43333417998"/>
    <n v="87950.415000177003"/>
    <x v="0"/>
  </r>
  <r>
    <x v="5"/>
    <x v="22"/>
    <x v="0"/>
    <s v="VINOS"/>
    <x v="0"/>
    <x v="88"/>
    <s v="UNIDADES"/>
    <n v="0"/>
    <n v="1"/>
    <n v="1"/>
    <n v="0"/>
    <n v="0"/>
    <n v="0"/>
    <x v="1"/>
  </r>
  <r>
    <x v="5"/>
    <x v="22"/>
    <x v="0"/>
    <s v="LICORES"/>
    <x v="0"/>
    <x v="5"/>
    <s v="ONZA"/>
    <n v="6800.3640183199996"/>
    <n v="36.340000000000003"/>
    <n v="36"/>
    <n v="-0.34"/>
    <n v="244813.10465951997"/>
    <n v="-2312.1237662287999"/>
    <x v="2"/>
  </r>
  <r>
    <x v="5"/>
    <x v="22"/>
    <x v="0"/>
    <s v="LICORES"/>
    <x v="0"/>
    <x v="332"/>
    <s v="ONZA"/>
    <n v="0"/>
    <n v="0"/>
    <n v="0"/>
    <n v="0"/>
    <n v="0"/>
    <n v="0"/>
    <x v="1"/>
  </r>
  <r>
    <x v="5"/>
    <x v="21"/>
    <x v="2"/>
    <s v="SUB RECETAS"/>
    <x v="1"/>
    <x v="310"/>
    <s v="UNIDADES"/>
    <n v="1940.3180376099999"/>
    <n v="4"/>
    <n v="58"/>
    <n v="54"/>
    <n v="112538.44618138"/>
    <n v="104777.17403093999"/>
    <x v="0"/>
  </r>
  <r>
    <x v="5"/>
    <x v="22"/>
    <x v="0"/>
    <s v="CERVEZAS"/>
    <x v="0"/>
    <x v="76"/>
    <s v="UNIDADES"/>
    <n v="2319"/>
    <n v="63"/>
    <n v="63"/>
    <n v="0"/>
    <n v="146097"/>
    <n v="0"/>
    <x v="1"/>
  </r>
  <r>
    <x v="5"/>
    <x v="22"/>
    <x v="0"/>
    <s v="LICORES"/>
    <x v="0"/>
    <x v="2"/>
    <s v="ONZA"/>
    <n v="14896.95833333"/>
    <n v="34"/>
    <n v="34"/>
    <n v="0"/>
    <n v="506496.58333321998"/>
    <n v="0"/>
    <x v="1"/>
  </r>
  <r>
    <x v="5"/>
    <x v="22"/>
    <x v="0"/>
    <s v="LICORES"/>
    <x v="0"/>
    <x v="14"/>
    <s v="ONZA"/>
    <n v="6134.2727272700004"/>
    <n v="29"/>
    <n v="29"/>
    <n v="0"/>
    <n v="177893.90909083001"/>
    <n v="0"/>
    <x v="1"/>
  </r>
  <r>
    <x v="5"/>
    <x v="21"/>
    <x v="2"/>
    <s v="SUB RECETAS"/>
    <x v="1"/>
    <x v="285"/>
    <s v="UNIDADES"/>
    <n v="6340.5732732699998"/>
    <n v="42"/>
    <n v="91"/>
    <n v="49"/>
    <n v="576992.16786756995"/>
    <n v="310688.09039023001"/>
    <x v="0"/>
  </r>
  <r>
    <x v="5"/>
    <x v="22"/>
    <x v="0"/>
    <s v="VINOS"/>
    <x v="0"/>
    <x v="185"/>
    <s v="COPA"/>
    <n v="10875.1"/>
    <n v="54"/>
    <n v="64"/>
    <n v="10"/>
    <n v="696006.4"/>
    <n v="108751"/>
    <x v="0"/>
  </r>
  <r>
    <x v="5"/>
    <x v="22"/>
    <x v="0"/>
    <s v="LICORES"/>
    <x v="0"/>
    <x v="36"/>
    <s v="ONZA"/>
    <n v="0"/>
    <n v="-3.3"/>
    <n v="25"/>
    <n v="28.3"/>
    <n v="0"/>
    <n v="0"/>
    <x v="0"/>
  </r>
  <r>
    <x v="5"/>
    <x v="19"/>
    <x v="3"/>
    <s v="SUB RECETAS"/>
    <x v="1"/>
    <x v="285"/>
    <s v="UNIDADES"/>
    <n v="6340.5732732699998"/>
    <n v="-46"/>
    <n v="0"/>
    <n v="46"/>
    <n v="0"/>
    <n v="291666.37057042"/>
    <x v="0"/>
  </r>
  <r>
    <x v="5"/>
    <x v="22"/>
    <x v="0"/>
    <s v="VINOS"/>
    <x v="0"/>
    <x v="113"/>
    <s v="UNIDADES"/>
    <n v="56095"/>
    <n v="0"/>
    <n v="0"/>
    <n v="0"/>
    <n v="0"/>
    <n v="0"/>
    <x v="1"/>
  </r>
  <r>
    <x v="5"/>
    <x v="22"/>
    <x v="0"/>
    <s v="AGUA Y TE"/>
    <x v="0"/>
    <x v="147"/>
    <s v="UNIDADES"/>
    <n v="3458.3263305"/>
    <n v="8"/>
    <n v="8"/>
    <n v="0"/>
    <n v="27666.610644"/>
    <n v="0"/>
    <x v="1"/>
  </r>
  <r>
    <x v="5"/>
    <x v="20"/>
    <x v="5"/>
    <s v="SUB RECETAS"/>
    <x v="1"/>
    <x v="285"/>
    <s v="UNIDADES"/>
    <n v="6340.5732732699998"/>
    <n v="0"/>
    <n v="43"/>
    <n v="43"/>
    <n v="272644.65075060999"/>
    <n v="272644.65075060999"/>
    <x v="0"/>
  </r>
  <r>
    <x v="5"/>
    <x v="22"/>
    <x v="0"/>
    <s v="LICORES"/>
    <x v="0"/>
    <x v="35"/>
    <s v="ONZA"/>
    <n v="2056.3333333300002"/>
    <n v="30"/>
    <n v="6"/>
    <n v="-24"/>
    <n v="12337.999999980002"/>
    <n v="-49351.999999920008"/>
    <x v="2"/>
  </r>
  <r>
    <x v="5"/>
    <x v="22"/>
    <x v="0"/>
    <s v="VINOS"/>
    <x v="0"/>
    <x v="119"/>
    <s v="UNIDADES"/>
    <n v="97685.185184999995"/>
    <n v="2"/>
    <n v="2"/>
    <n v="0"/>
    <n v="195370.37036999999"/>
    <n v="0"/>
    <x v="1"/>
  </r>
  <r>
    <x v="5"/>
    <x v="22"/>
    <x v="0"/>
    <s v="VINOS"/>
    <x v="0"/>
    <x v="90"/>
    <s v="UNIDADES"/>
    <n v="0"/>
    <n v="2"/>
    <n v="2"/>
    <n v="0"/>
    <n v="0"/>
    <n v="0"/>
    <x v="1"/>
  </r>
  <r>
    <x v="5"/>
    <x v="22"/>
    <x v="0"/>
    <s v="LICORES"/>
    <x v="0"/>
    <x v="52"/>
    <s v="ONZA"/>
    <n v="0"/>
    <n v="44"/>
    <n v="42"/>
    <n v="-2"/>
    <n v="0"/>
    <n v="0"/>
    <x v="2"/>
  </r>
  <r>
    <x v="5"/>
    <x v="22"/>
    <x v="0"/>
    <s v="GASEOSAS Y SODAS"/>
    <x v="0"/>
    <x v="160"/>
    <s v="UNIDADES"/>
    <n v="5310.9583333299997"/>
    <n v="31.65"/>
    <n v="23"/>
    <n v="-8.65"/>
    <n v="122152.04166659"/>
    <n v="-45939.789583304497"/>
    <x v="2"/>
  </r>
  <r>
    <x v="5"/>
    <x v="19"/>
    <x v="3"/>
    <s v="SUB RECETAS"/>
    <x v="1"/>
    <x v="310"/>
    <s v="UNIDADES"/>
    <n v="1940.3180376099999"/>
    <n v="-17"/>
    <n v="21"/>
    <n v="38"/>
    <n v="40746.678789810001"/>
    <n v="73732.085429179991"/>
    <x v="0"/>
  </r>
  <r>
    <x v="5"/>
    <x v="22"/>
    <x v="0"/>
    <s v="CERVEZAS"/>
    <x v="0"/>
    <x v="183"/>
    <s v="UNIDADES"/>
    <n v="2298.1166666700001"/>
    <n v="29"/>
    <n v="15"/>
    <n v="-14"/>
    <n v="34471.75000005"/>
    <n v="-32173.633333379999"/>
    <x v="2"/>
  </r>
  <r>
    <x v="5"/>
    <x v="22"/>
    <x v="0"/>
    <s v="LICORES"/>
    <x v="0"/>
    <x v="44"/>
    <s v="ONZA"/>
    <n v="4469.0833333299997"/>
    <n v="5"/>
    <n v="5"/>
    <n v="0"/>
    <n v="22345.416666649999"/>
    <n v="0"/>
    <x v="1"/>
  </r>
  <r>
    <x v="5"/>
    <x v="22"/>
    <x v="0"/>
    <s v="LICORES"/>
    <x v="0"/>
    <x v="55"/>
    <s v="ONZA"/>
    <n v="6303.0416666700003"/>
    <n v="0"/>
    <n v="0"/>
    <n v="0"/>
    <n v="0"/>
    <n v="0"/>
    <x v="1"/>
  </r>
  <r>
    <x v="5"/>
    <x v="22"/>
    <x v="0"/>
    <s v="LICORES"/>
    <x v="0"/>
    <x v="4"/>
    <s v="ONZA"/>
    <n v="9738.2016806699994"/>
    <n v="31.68"/>
    <n v="32"/>
    <n v="0.32"/>
    <n v="311622.45378143998"/>
    <n v="3116.2245378143998"/>
    <x v="0"/>
  </r>
  <r>
    <x v="5"/>
    <x v="22"/>
    <x v="0"/>
    <s v="LICORES"/>
    <x v="0"/>
    <x v="203"/>
    <s v="ONZA"/>
    <n v="2157.6363636400001"/>
    <n v="-4"/>
    <n v="41"/>
    <n v="45"/>
    <n v="88463.090909240011"/>
    <n v="97093.636363800004"/>
    <x v="0"/>
  </r>
  <r>
    <x v="5"/>
    <x v="19"/>
    <x v="3"/>
    <s v="SUB RECETAS"/>
    <x v="1"/>
    <x v="277"/>
    <s v="UNIDADES"/>
    <n v="2770.4763510600001"/>
    <n v="-13"/>
    <n v="19"/>
    <n v="32"/>
    <n v="52639.050670140001"/>
    <n v="88655.243233920002"/>
    <x v="0"/>
  </r>
  <r>
    <x v="5"/>
    <x v="22"/>
    <x v="0"/>
    <s v="AGUA Y TE"/>
    <x v="0"/>
    <x v="152"/>
    <s v="UNIDADES"/>
    <n v="4166.58053225"/>
    <n v="18"/>
    <n v="12"/>
    <n v="-6"/>
    <n v="49998.966387"/>
    <n v="-24999.4831935"/>
    <x v="2"/>
  </r>
  <r>
    <x v="5"/>
    <x v="22"/>
    <x v="0"/>
    <s v="LICORES"/>
    <x v="0"/>
    <x v="56"/>
    <s v="ONZA"/>
    <n v="3362.90625"/>
    <n v="34"/>
    <n v="33"/>
    <n v="-1"/>
    <n v="110975.90625"/>
    <n v="-3362.90625"/>
    <x v="2"/>
  </r>
  <r>
    <x v="5"/>
    <x v="22"/>
    <x v="0"/>
    <s v="LICORES"/>
    <x v="0"/>
    <x v="331"/>
    <s v="ONZA"/>
    <n v="0"/>
    <n v="44"/>
    <n v="44"/>
    <n v="0"/>
    <n v="0"/>
    <n v="0"/>
    <x v="1"/>
  </r>
  <r>
    <x v="5"/>
    <x v="21"/>
    <x v="2"/>
    <s v="PESCADOS Y MARISCOS"/>
    <x v="1"/>
    <x v="190"/>
    <s v="UNIDADES"/>
    <n v="436.02"/>
    <n v="264"/>
    <n v="295"/>
    <n v="31"/>
    <n v="128625.9"/>
    <n v="13516.619999999999"/>
    <x v="0"/>
  </r>
  <r>
    <x v="5"/>
    <x v="22"/>
    <x v="0"/>
    <s v="VINOS"/>
    <x v="0"/>
    <x v="107"/>
    <s v="UNIDADES"/>
    <n v="34226"/>
    <n v="18"/>
    <n v="18"/>
    <n v="0"/>
    <n v="616068"/>
    <n v="0"/>
    <x v="1"/>
  </r>
  <r>
    <x v="5"/>
    <x v="22"/>
    <x v="0"/>
    <s v="LICORES"/>
    <x v="0"/>
    <x v="28"/>
    <s v="ONZA"/>
    <n v="3672.8666666700001"/>
    <n v="50"/>
    <n v="57"/>
    <n v="7"/>
    <n v="209353.40000019001"/>
    <n v="25710.06666669"/>
    <x v="0"/>
  </r>
  <r>
    <x v="5"/>
    <x v="22"/>
    <x v="0"/>
    <s v="GASEOSAS Y SODAS"/>
    <x v="0"/>
    <x v="79"/>
    <s v="UNIDADES"/>
    <n v="4900"/>
    <n v="0"/>
    <n v="0"/>
    <n v="0"/>
    <n v="0"/>
    <n v="0"/>
    <x v="1"/>
  </r>
  <r>
    <x v="5"/>
    <x v="22"/>
    <x v="0"/>
    <s v="VINOS"/>
    <x v="0"/>
    <x v="87"/>
    <s v="UNIDADES"/>
    <n v="87226.89"/>
    <n v="2"/>
    <n v="2"/>
    <n v="0"/>
    <n v="174453.78"/>
    <n v="0"/>
    <x v="1"/>
  </r>
  <r>
    <x v="5"/>
    <x v="22"/>
    <x v="0"/>
    <s v="AGUA Y TE"/>
    <x v="0"/>
    <x v="29"/>
    <s v="UNIDADES"/>
    <n v="1234.3916666699999"/>
    <n v="59"/>
    <n v="63"/>
    <n v="4"/>
    <n v="77766.675000210002"/>
    <n v="4937.5666666799998"/>
    <x v="0"/>
  </r>
  <r>
    <x v="5"/>
    <x v="20"/>
    <x v="5"/>
    <s v="SUB RECETAS"/>
    <x v="1"/>
    <x v="312"/>
    <s v="UNIDADES"/>
    <n v="6457.8215472000002"/>
    <n v="44"/>
    <n v="67"/>
    <n v="23"/>
    <n v="432674.04366239998"/>
    <n v="148529.8955856"/>
    <x v="0"/>
  </r>
  <r>
    <x v="5"/>
    <x v="22"/>
    <x v="0"/>
    <s v="LICORES"/>
    <x v="0"/>
    <x v="159"/>
    <s v="ONZA"/>
    <n v="3780"/>
    <n v="3"/>
    <n v="6"/>
    <n v="3"/>
    <n v="22680"/>
    <n v="11340"/>
    <x v="0"/>
  </r>
  <r>
    <x v="5"/>
    <x v="22"/>
    <x v="0"/>
    <s v="VINOS"/>
    <x v="0"/>
    <x v="122"/>
    <s v="UNIDADES"/>
    <n v="49268.9"/>
    <n v="1"/>
    <n v="1"/>
    <n v="0"/>
    <n v="49268.9"/>
    <n v="0"/>
    <x v="1"/>
  </r>
  <r>
    <x v="5"/>
    <x v="22"/>
    <x v="0"/>
    <s v="VINOS"/>
    <x v="0"/>
    <x v="93"/>
    <s v="UNIDADES"/>
    <n v="113953"/>
    <n v="1"/>
    <n v="2"/>
    <n v="1"/>
    <n v="227906"/>
    <n v="113953"/>
    <x v="0"/>
  </r>
  <r>
    <x v="5"/>
    <x v="22"/>
    <x v="0"/>
    <s v="LICORES"/>
    <x v="0"/>
    <x v="9"/>
    <s v="ONZA"/>
    <n v="2040.29310345"/>
    <n v="109"/>
    <n v="57"/>
    <n v="-52"/>
    <n v="116296.70689664999"/>
    <n v="-106095.2413794"/>
    <x v="2"/>
  </r>
  <r>
    <x v="5"/>
    <x v="22"/>
    <x v="0"/>
    <s v="GASEOSAS Y SODAS"/>
    <x v="0"/>
    <x v="59"/>
    <s v="UNIDADES"/>
    <n v="2435.1975308800002"/>
    <n v="82"/>
    <n v="69"/>
    <n v="-13"/>
    <n v="168028.62963072001"/>
    <n v="-31657.567901440001"/>
    <x v="2"/>
  </r>
  <r>
    <x v="5"/>
    <x v="22"/>
    <x v="0"/>
    <s v="SUB RECETAS"/>
    <x v="1"/>
    <x v="322"/>
    <s v="UNIDADES"/>
    <n v="4733.7887154999999"/>
    <n v="7.5"/>
    <n v="28.5"/>
    <n v="21"/>
    <n v="134912.97839174999"/>
    <n v="99409.5630255"/>
    <x v="0"/>
  </r>
  <r>
    <x v="5"/>
    <x v="22"/>
    <x v="0"/>
    <s v="CERVEZAS"/>
    <x v="0"/>
    <x v="199"/>
    <s v="UNIDADES"/>
    <n v="2683.3333333300002"/>
    <n v="-1"/>
    <n v="0"/>
    <n v="1"/>
    <n v="0"/>
    <n v="2683.3333333300002"/>
    <x v="0"/>
  </r>
  <r>
    <x v="5"/>
    <x v="22"/>
    <x v="0"/>
    <s v="LICORES"/>
    <x v="0"/>
    <x v="46"/>
    <s v="ONZA"/>
    <n v="7045.4545454500003"/>
    <n v="52.68"/>
    <n v="58"/>
    <n v="5.32"/>
    <n v="408636.36363610002"/>
    <n v="37481.818181794006"/>
    <x v="0"/>
  </r>
  <r>
    <x v="5"/>
    <x v="22"/>
    <x v="0"/>
    <s v="LICORES"/>
    <x v="0"/>
    <x v="83"/>
    <s v="ONZA"/>
    <n v="7122.4772727299996"/>
    <n v="22.01"/>
    <n v="24"/>
    <n v="1.99"/>
    <n v="170939.45454551998"/>
    <n v="14173.729772732699"/>
    <x v="0"/>
  </r>
  <r>
    <x v="5"/>
    <x v="22"/>
    <x v="0"/>
    <s v="PROTEINAS"/>
    <x v="1"/>
    <x v="66"/>
    <s v="GRAMOS"/>
    <n v="33.844011139999999"/>
    <n v="0"/>
    <n v="0"/>
    <n v="0"/>
    <n v="0"/>
    <n v="0"/>
    <x v="1"/>
  </r>
  <r>
    <x v="5"/>
    <x v="22"/>
    <x v="0"/>
    <s v="VINOS"/>
    <x v="0"/>
    <x v="112"/>
    <s v="COPA"/>
    <n v="4002.6"/>
    <n v="36"/>
    <n v="36"/>
    <n v="0"/>
    <n v="144093.6"/>
    <n v="0"/>
    <x v="1"/>
  </r>
  <r>
    <x v="5"/>
    <x v="22"/>
    <x v="0"/>
    <s v="LICORES"/>
    <x v="0"/>
    <x v="132"/>
    <s v="ONZA"/>
    <n v="11532.86363636"/>
    <n v="31"/>
    <n v="29"/>
    <n v="-2"/>
    <n v="334453.04545444"/>
    <n v="-23065.72727272"/>
    <x v="2"/>
  </r>
  <r>
    <x v="5"/>
    <x v="22"/>
    <x v="0"/>
    <s v="LICORES"/>
    <x v="0"/>
    <x v="48"/>
    <s v="UNIDADES"/>
    <n v="41250"/>
    <n v="3"/>
    <n v="3"/>
    <n v="0"/>
    <n v="123750"/>
    <n v="0"/>
    <x v="1"/>
  </r>
  <r>
    <x v="5"/>
    <x v="22"/>
    <x v="0"/>
    <s v="PROTEINAS"/>
    <x v="1"/>
    <x v="208"/>
    <s v="GRAMOS"/>
    <n v="23"/>
    <n v="0"/>
    <n v="0"/>
    <n v="0"/>
    <n v="0"/>
    <n v="0"/>
    <x v="1"/>
  </r>
  <r>
    <x v="5"/>
    <x v="22"/>
    <x v="0"/>
    <s v="VINOS"/>
    <x v="0"/>
    <x v="120"/>
    <s v="UNIDADES"/>
    <n v="98892"/>
    <n v="1"/>
    <n v="1"/>
    <n v="0"/>
    <n v="98892"/>
    <n v="0"/>
    <x v="1"/>
  </r>
  <r>
    <x v="5"/>
    <x v="22"/>
    <x v="0"/>
    <s v="AGUA Y TE"/>
    <x v="0"/>
    <x v="151"/>
    <s v="UNIDADES"/>
    <n v="2766.5"/>
    <n v="-24"/>
    <n v="7"/>
    <n v="31"/>
    <n v="19365.5"/>
    <n v="85761.5"/>
    <x v="0"/>
  </r>
  <r>
    <x v="5"/>
    <x v="22"/>
    <x v="0"/>
    <s v="PESCADOS Y MARISCOS"/>
    <x v="1"/>
    <x v="190"/>
    <s v="UNIDADES"/>
    <n v="436.02"/>
    <n v="133"/>
    <n v="154"/>
    <n v="21"/>
    <n v="67147.08"/>
    <n v="9156.42"/>
    <x v="0"/>
  </r>
  <r>
    <x v="5"/>
    <x v="22"/>
    <x v="0"/>
    <s v="LICORES"/>
    <x v="0"/>
    <x v="141"/>
    <s v="ONZA"/>
    <n v="1665.04166667"/>
    <n v="19"/>
    <n v="19"/>
    <n v="0"/>
    <n v="31635.791666730001"/>
    <n v="0"/>
    <x v="1"/>
  </r>
  <r>
    <x v="5"/>
    <x v="21"/>
    <x v="2"/>
    <s v="SUB RECETAS"/>
    <x v="1"/>
    <x v="257"/>
    <s v="UNIDADES"/>
    <n v="1729.6435177799999"/>
    <n v="-2"/>
    <n v="19"/>
    <n v="21"/>
    <n v="32863.226837819995"/>
    <n v="36322.513873379998"/>
    <x v="0"/>
  </r>
  <r>
    <x v="5"/>
    <x v="22"/>
    <x v="0"/>
    <s v="VINOS"/>
    <x v="0"/>
    <x v="105"/>
    <s v="UNIDADES"/>
    <n v="63372.666666669997"/>
    <n v="2"/>
    <n v="2"/>
    <n v="0"/>
    <n v="126745.33333333999"/>
    <n v="0"/>
    <x v="1"/>
  </r>
  <r>
    <x v="5"/>
    <x v="22"/>
    <x v="0"/>
    <s v="LICORES"/>
    <x v="0"/>
    <x v="23"/>
    <s v="ONZA"/>
    <n v="8308.1111111099999"/>
    <n v="30"/>
    <n v="30"/>
    <n v="0"/>
    <n v="249243.33333329999"/>
    <n v="0"/>
    <x v="1"/>
  </r>
  <r>
    <x v="5"/>
    <x v="22"/>
    <x v="0"/>
    <s v="GASEOSAS Y SODAS"/>
    <x v="0"/>
    <x v="68"/>
    <s v="UNIDADES"/>
    <n v="4986.0833333299997"/>
    <n v="-0.28000000000000003"/>
    <n v="0"/>
    <n v="0.28000000000000003"/>
    <n v="0"/>
    <n v="1396.1033333324001"/>
    <x v="0"/>
  </r>
  <r>
    <x v="5"/>
    <x v="22"/>
    <x v="0"/>
    <s v="SUB RECETAS"/>
    <x v="1"/>
    <x v="311"/>
    <s v="UNIDADES"/>
    <n v="12520.122590589999"/>
    <n v="17.809999999999999"/>
    <n v="37"/>
    <n v="19.190000000000001"/>
    <n v="463244.53585182998"/>
    <n v="240261.1525134221"/>
    <x v="0"/>
  </r>
  <r>
    <x v="5"/>
    <x v="22"/>
    <x v="0"/>
    <s v="DESPENSA"/>
    <x v="0"/>
    <x v="519"/>
    <s v="GRAMOS"/>
    <n v="15.21547619"/>
    <n v="2500"/>
    <n v="0"/>
    <n v="-2500"/>
    <n v="0"/>
    <n v="-38038.690475000003"/>
    <x v="2"/>
  </r>
  <r>
    <x v="5"/>
    <x v="22"/>
    <x v="0"/>
    <s v="LICORES"/>
    <x v="0"/>
    <x v="12"/>
    <s v="ONZA"/>
    <n v="1997.7272727300001"/>
    <n v="0"/>
    <n v="0"/>
    <n v="0"/>
    <n v="0"/>
    <n v="0"/>
    <x v="1"/>
  </r>
  <r>
    <x v="5"/>
    <x v="22"/>
    <x v="0"/>
    <s v="GASEOSAS Y SODAS"/>
    <x v="0"/>
    <x v="62"/>
    <s v="UNIDADES"/>
    <n v="1395.8"/>
    <n v="22"/>
    <n v="22"/>
    <n v="0"/>
    <n v="30707.599999999999"/>
    <n v="0"/>
    <x v="1"/>
  </r>
  <r>
    <x v="5"/>
    <x v="22"/>
    <x v="0"/>
    <s v="VINOS"/>
    <x v="0"/>
    <x v="98"/>
    <s v="UNIDADES"/>
    <n v="95860"/>
    <n v="2"/>
    <n v="2"/>
    <n v="0"/>
    <n v="191720"/>
    <n v="0"/>
    <x v="1"/>
  </r>
  <r>
    <x v="5"/>
    <x v="22"/>
    <x v="0"/>
    <s v="VINOS"/>
    <x v="0"/>
    <x v="89"/>
    <s v="UNIDADES"/>
    <n v="0"/>
    <n v="0"/>
    <n v="0"/>
    <n v="0"/>
    <n v="0"/>
    <n v="0"/>
    <x v="1"/>
  </r>
  <r>
    <x v="5"/>
    <x v="22"/>
    <x v="0"/>
    <s v="LICORES"/>
    <x v="0"/>
    <x v="72"/>
    <s v="ONZA"/>
    <n v="4272.95"/>
    <n v="22"/>
    <n v="30"/>
    <n v="8"/>
    <n v="128188.5"/>
    <n v="34183.599999999999"/>
    <x v="0"/>
  </r>
  <r>
    <x v="5"/>
    <x v="22"/>
    <x v="0"/>
    <s v="GASEOSAS Y SODAS"/>
    <x v="0"/>
    <x v="63"/>
    <s v="UNIDADES"/>
    <n v="5309.8"/>
    <n v="24"/>
    <n v="24"/>
    <n v="0"/>
    <n v="127435.20000000001"/>
    <n v="0"/>
    <x v="1"/>
  </r>
  <r>
    <x v="5"/>
    <x v="19"/>
    <x v="3"/>
    <s v="SUB-RECETAS CP"/>
    <x v="1"/>
    <x v="274"/>
    <s v="UNIDADES"/>
    <n v="10614.7325009"/>
    <n v="27"/>
    <n v="44"/>
    <n v="17"/>
    <n v="467048.23003959999"/>
    <n v="180450.45251529998"/>
    <x v="0"/>
  </r>
  <r>
    <x v="5"/>
    <x v="22"/>
    <x v="0"/>
    <s v="CERVEZAS"/>
    <x v="0"/>
    <x v="143"/>
    <s v="UNIDADES"/>
    <n v="3050"/>
    <n v="69"/>
    <n v="69"/>
    <n v="0"/>
    <n v="210450"/>
    <n v="0"/>
    <x v="1"/>
  </r>
  <r>
    <x v="5"/>
    <x v="22"/>
    <x v="0"/>
    <s v="LICORES"/>
    <x v="0"/>
    <x v="138"/>
    <s v="ONZA"/>
    <n v="7147.1666666700003"/>
    <n v="38"/>
    <n v="36"/>
    <n v="-2"/>
    <n v="257298.00000012002"/>
    <n v="-14294.333333340001"/>
    <x v="2"/>
  </r>
  <r>
    <x v="5"/>
    <x v="22"/>
    <x v="0"/>
    <s v="LICORES"/>
    <x v="0"/>
    <x v="16"/>
    <s v="ONZA"/>
    <n v="5465.125"/>
    <n v="15"/>
    <n v="15"/>
    <n v="0"/>
    <n v="81976.875"/>
    <n v="0"/>
    <x v="1"/>
  </r>
  <r>
    <x v="5"/>
    <x v="18"/>
    <x v="1"/>
    <s v="PROTEINAS"/>
    <x v="1"/>
    <x v="202"/>
    <s v="UNIDADES"/>
    <n v="4190"/>
    <n v="14"/>
    <n v="30"/>
    <n v="16"/>
    <n v="125700"/>
    <n v="67040"/>
    <x v="0"/>
  </r>
  <r>
    <x v="5"/>
    <x v="22"/>
    <x v="0"/>
    <s v="VINOS"/>
    <x v="0"/>
    <x v="111"/>
    <s v="UNIDADES"/>
    <n v="34232.416666669997"/>
    <n v="15"/>
    <n v="15"/>
    <n v="0"/>
    <n v="513486.25000004994"/>
    <n v="0"/>
    <x v="1"/>
  </r>
  <r>
    <x v="5"/>
    <x v="22"/>
    <x v="0"/>
    <s v="AGUA Y TE"/>
    <x v="0"/>
    <x v="146"/>
    <s v="UNIDADES"/>
    <n v="1408.33333333"/>
    <n v="0"/>
    <n v="0"/>
    <n v="0"/>
    <n v="0"/>
    <n v="0"/>
    <x v="1"/>
  </r>
  <r>
    <x v="5"/>
    <x v="22"/>
    <x v="0"/>
    <s v="LICORES"/>
    <x v="0"/>
    <x v="7"/>
    <s v="ONZA"/>
    <n v="12894"/>
    <n v="25"/>
    <n v="33"/>
    <n v="8"/>
    <n v="425502"/>
    <n v="103152"/>
    <x v="0"/>
  </r>
  <r>
    <x v="5"/>
    <x v="22"/>
    <x v="0"/>
    <s v="LICORES"/>
    <x v="0"/>
    <x v="270"/>
    <s v="ONZA"/>
    <n v="2011.5714285700001"/>
    <n v="88"/>
    <n v="86"/>
    <n v="-2"/>
    <n v="172995.14285701999"/>
    <n v="-4023.1428571400002"/>
    <x v="2"/>
  </r>
  <r>
    <x v="5"/>
    <x v="22"/>
    <x v="0"/>
    <s v="PROTEINAS"/>
    <x v="1"/>
    <x v="131"/>
    <s v="UNIDADES"/>
    <n v="0"/>
    <n v="0"/>
    <n v="0"/>
    <n v="0"/>
    <n v="0"/>
    <n v="0"/>
    <x v="1"/>
  </r>
  <r>
    <x v="5"/>
    <x v="22"/>
    <x v="0"/>
    <s v="VINOS"/>
    <x v="0"/>
    <x v="115"/>
    <s v="UNIDADES"/>
    <n v="53019"/>
    <n v="1"/>
    <n v="1"/>
    <n v="0"/>
    <n v="53019"/>
    <n v="0"/>
    <x v="1"/>
  </r>
  <r>
    <x v="5"/>
    <x v="22"/>
    <x v="0"/>
    <s v="AGUA Y TE"/>
    <x v="0"/>
    <x v="150"/>
    <s v="UNIDADES"/>
    <n v="3458.3270308299998"/>
    <n v="8"/>
    <n v="8"/>
    <n v="0"/>
    <n v="27666.616246639998"/>
    <n v="0"/>
    <x v="1"/>
  </r>
  <r>
    <x v="5"/>
    <x v="22"/>
    <x v="0"/>
    <s v="PESCADOS Y MARISCOS"/>
    <x v="1"/>
    <x v="133"/>
    <s v="UNIDADES"/>
    <n v="12500"/>
    <n v="62"/>
    <n v="77"/>
    <n v="15"/>
    <n v="962500"/>
    <n v="187500"/>
    <x v="0"/>
  </r>
  <r>
    <x v="5"/>
    <x v="22"/>
    <x v="0"/>
    <s v="LICORES"/>
    <x v="0"/>
    <x v="42"/>
    <s v="UNIDADES"/>
    <n v="21478"/>
    <n v="5"/>
    <n v="4"/>
    <n v="-1"/>
    <n v="85912"/>
    <n v="-21478"/>
    <x v="2"/>
  </r>
  <r>
    <x v="5"/>
    <x v="21"/>
    <x v="2"/>
    <s v="SUB-RECETAS CP"/>
    <x v="1"/>
    <x v="275"/>
    <s v="UNIDADES"/>
    <n v="27045.723563070002"/>
    <n v="15.88"/>
    <n v="29.5"/>
    <n v="13.62"/>
    <n v="797848.84511056507"/>
    <n v="368362.75492901338"/>
    <x v="0"/>
  </r>
  <r>
    <x v="5"/>
    <x v="22"/>
    <x v="0"/>
    <m/>
    <x v="0"/>
    <x v="91"/>
    <s v="UNIDADES"/>
    <n v="0"/>
    <n v="0"/>
    <n v="0"/>
    <n v="0"/>
    <n v="0"/>
    <n v="0"/>
    <x v="1"/>
  </r>
  <r>
    <x v="5"/>
    <x v="22"/>
    <x v="0"/>
    <s v="LICORES"/>
    <x v="0"/>
    <x v="999"/>
    <s v="ONZA"/>
    <n v="1794"/>
    <n v="44"/>
    <n v="0"/>
    <n v="-44"/>
    <n v="0"/>
    <n v="-78936"/>
    <x v="2"/>
  </r>
  <r>
    <x v="5"/>
    <x v="22"/>
    <x v="0"/>
    <s v="GASEOSAS Y SODAS"/>
    <x v="0"/>
    <x v="18"/>
    <s v="UNIDADES"/>
    <n v="5424"/>
    <n v="57.12"/>
    <n v="58"/>
    <n v="0.88"/>
    <n v="314592"/>
    <n v="4773.12"/>
    <x v="0"/>
  </r>
  <r>
    <x v="5"/>
    <x v="19"/>
    <x v="3"/>
    <s v="PESCADOS Y MARISCOS"/>
    <x v="1"/>
    <x v="186"/>
    <s v="UNIDADES"/>
    <n v="1500"/>
    <n v="46"/>
    <n v="57"/>
    <n v="11"/>
    <n v="85500"/>
    <n v="16500"/>
    <x v="0"/>
  </r>
  <r>
    <x v="5"/>
    <x v="22"/>
    <x v="0"/>
    <s v="DESPENSA"/>
    <x v="0"/>
    <x v="408"/>
    <s v="GRAMOS"/>
    <n v="6.3"/>
    <n v="0"/>
    <n v="0"/>
    <n v="0"/>
    <n v="0"/>
    <n v="0"/>
    <x v="1"/>
  </r>
  <r>
    <x v="5"/>
    <x v="22"/>
    <x v="0"/>
    <s v="LICORES"/>
    <x v="0"/>
    <x v="26"/>
    <s v="ONZA"/>
    <n v="4587.75"/>
    <n v="0"/>
    <n v="43"/>
    <n v="43"/>
    <n v="197273.25"/>
    <n v="197273.25"/>
    <x v="0"/>
  </r>
  <r>
    <x v="5"/>
    <x v="22"/>
    <x v="0"/>
    <s v="GASEOSAS Y SODAS"/>
    <x v="0"/>
    <x v="58"/>
    <s v="UNIDADES"/>
    <n v="1944.4444444000001"/>
    <n v="0"/>
    <n v="0"/>
    <n v="0"/>
    <n v="0"/>
    <n v="0"/>
    <x v="1"/>
  </r>
  <r>
    <x v="5"/>
    <x v="22"/>
    <x v="0"/>
    <s v="VINOS"/>
    <x v="0"/>
    <x v="6"/>
    <s v="ONZA"/>
    <n v="1540.1111111099999"/>
    <n v="44"/>
    <n v="64"/>
    <n v="20"/>
    <n v="98567.111111039994"/>
    <n v="30802.222222199998"/>
    <x v="0"/>
  </r>
  <r>
    <x v="5"/>
    <x v="22"/>
    <x v="0"/>
    <s v="VINOS"/>
    <x v="0"/>
    <x v="101"/>
    <s v="UNIDADES"/>
    <n v="91785.5"/>
    <n v="2"/>
    <n v="2"/>
    <n v="0"/>
    <n v="183571"/>
    <n v="0"/>
    <x v="1"/>
  </r>
  <r>
    <x v="5"/>
    <x v="22"/>
    <x v="0"/>
    <s v="LICORES"/>
    <x v="0"/>
    <x v="333"/>
    <s v="ONZA"/>
    <n v="0"/>
    <n v="0"/>
    <n v="0"/>
    <n v="0"/>
    <n v="0"/>
    <n v="0"/>
    <x v="1"/>
  </r>
  <r>
    <x v="5"/>
    <x v="22"/>
    <x v="0"/>
    <s v="DESPENSA"/>
    <x v="0"/>
    <x v="628"/>
    <s v="GRAMOS"/>
    <n v="39.333333330000002"/>
    <n v="0"/>
    <n v="0"/>
    <n v="0"/>
    <n v="0"/>
    <n v="0"/>
    <x v="1"/>
  </r>
  <r>
    <x v="5"/>
    <x v="23"/>
    <x v="0"/>
    <s v="LICORES"/>
    <x v="0"/>
    <x v="1016"/>
    <s v="UNDX22ONZ"/>
    <n v="1658795.9259299999"/>
    <n v="1"/>
    <n v="0"/>
    <n v="-1"/>
    <n v="0"/>
    <n v="-1658795.9259299999"/>
    <x v="2"/>
  </r>
  <r>
    <x v="5"/>
    <x v="18"/>
    <x v="1"/>
    <s v="SUB RECETAS"/>
    <x v="1"/>
    <x v="212"/>
    <s v="UNIDADES"/>
    <n v="100018.99063335999"/>
    <n v="0"/>
    <n v="10"/>
    <n v="10"/>
    <n v="1000189.9063335999"/>
    <n v="1000189.9063335999"/>
    <x v="0"/>
  </r>
  <r>
    <x v="5"/>
    <x v="22"/>
    <x v="0"/>
    <s v="CERVEZAS"/>
    <x v="0"/>
    <x v="77"/>
    <s v="UNIDADES"/>
    <n v="3241"/>
    <n v="151"/>
    <n v="120"/>
    <n v="-31"/>
    <n v="388920"/>
    <n v="-100471"/>
    <x v="2"/>
  </r>
  <r>
    <x v="5"/>
    <x v="22"/>
    <x v="0"/>
    <s v="LICORES"/>
    <x v="0"/>
    <x v="3"/>
    <s v="UNIDADES"/>
    <n v="86743"/>
    <n v="2"/>
    <n v="2"/>
    <n v="0"/>
    <n v="173486"/>
    <n v="0"/>
    <x v="1"/>
  </r>
  <r>
    <x v="5"/>
    <x v="22"/>
    <x v="0"/>
    <s v="LICORES"/>
    <x v="0"/>
    <x v="15"/>
    <s v="ONZA"/>
    <n v="2902.5454545500002"/>
    <n v="26"/>
    <n v="26"/>
    <n v="0"/>
    <n v="75466.1818183"/>
    <n v="0"/>
    <x v="1"/>
  </r>
  <r>
    <x v="5"/>
    <x v="20"/>
    <x v="5"/>
    <s v="SUB-RECETAS CP"/>
    <x v="1"/>
    <x v="256"/>
    <s v="UNIDADES"/>
    <n v="1977.5824342000001"/>
    <n v="135"/>
    <n v="144"/>
    <n v="9"/>
    <n v="284771.87052480003"/>
    <n v="17798.241907800002"/>
    <x v="0"/>
  </r>
  <r>
    <x v="5"/>
    <x v="22"/>
    <x v="0"/>
    <s v="VINOS"/>
    <x v="0"/>
    <x v="109"/>
    <s v="COPA"/>
    <n v="10889.4"/>
    <n v="15"/>
    <n v="15"/>
    <n v="0"/>
    <n v="163341"/>
    <n v="0"/>
    <x v="1"/>
  </r>
  <r>
    <x v="5"/>
    <x v="22"/>
    <x v="0"/>
    <s v="LICORES"/>
    <x v="0"/>
    <x v="43"/>
    <s v="ONZA"/>
    <n v="3103.4482758600002"/>
    <n v="63"/>
    <n v="66"/>
    <n v="3"/>
    <n v="204827.58620676002"/>
    <n v="9310.3448275800001"/>
    <x v="0"/>
  </r>
  <r>
    <x v="5"/>
    <x v="18"/>
    <x v="1"/>
    <s v="SUB RECETAS"/>
    <x v="1"/>
    <x v="296"/>
    <s v="UNIDADES"/>
    <n v="3514.3767861299998"/>
    <n v="4"/>
    <n v="12"/>
    <n v="8"/>
    <n v="42172.521433559996"/>
    <n v="28115.014289039998"/>
    <x v="0"/>
  </r>
  <r>
    <x v="5"/>
    <x v="22"/>
    <x v="0"/>
    <s v="VINOS"/>
    <x v="0"/>
    <x v="92"/>
    <s v="UNIDADES"/>
    <n v="0"/>
    <n v="0"/>
    <n v="0"/>
    <n v="0"/>
    <n v="0"/>
    <n v="0"/>
    <x v="1"/>
  </r>
  <r>
    <x v="5"/>
    <x v="22"/>
    <x v="0"/>
    <s v="AGUA Y TE"/>
    <x v="0"/>
    <x v="148"/>
    <s v="UNIDADES"/>
    <n v="3458.3283333300001"/>
    <n v="11"/>
    <n v="11"/>
    <n v="0"/>
    <n v="38041.61166663"/>
    <n v="0"/>
    <x v="1"/>
  </r>
  <r>
    <x v="5"/>
    <x v="22"/>
    <x v="0"/>
    <s v="PESCADOS Y MARISCOS"/>
    <x v="1"/>
    <x v="34"/>
    <s v="UNIDADES"/>
    <n v="6666.6666666700003"/>
    <n v="13"/>
    <n v="21"/>
    <n v="8"/>
    <n v="140000.00000006999"/>
    <n v="53333.333333360002"/>
    <x v="0"/>
  </r>
  <r>
    <x v="5"/>
    <x v="22"/>
    <x v="0"/>
    <s v="LICORES"/>
    <x v="0"/>
    <x v="40"/>
    <s v="UNIDADES"/>
    <n v="22770"/>
    <n v="4"/>
    <n v="4"/>
    <n v="0"/>
    <n v="91080"/>
    <n v="0"/>
    <x v="1"/>
  </r>
  <r>
    <x v="5"/>
    <x v="22"/>
    <x v="0"/>
    <s v="VINOS"/>
    <x v="0"/>
    <x v="100"/>
    <s v="UNIDADES"/>
    <n v="80870"/>
    <n v="2"/>
    <n v="2"/>
    <n v="0"/>
    <n v="161740"/>
    <n v="0"/>
    <x v="1"/>
  </r>
  <r>
    <x v="5"/>
    <x v="22"/>
    <x v="0"/>
    <s v="VINOS"/>
    <x v="0"/>
    <x v="95"/>
    <s v="UNIDADES"/>
    <n v="127507"/>
    <n v="4"/>
    <n v="3"/>
    <n v="-1"/>
    <n v="382521"/>
    <n v="-127507"/>
    <x v="2"/>
  </r>
  <r>
    <x v="5"/>
    <x v="22"/>
    <x v="0"/>
    <s v="LICORES"/>
    <x v="0"/>
    <x v="70"/>
    <s v="ONZA"/>
    <n v="4048.4"/>
    <n v="32"/>
    <n v="33"/>
    <n v="1"/>
    <n v="133597.20000000001"/>
    <n v="4048.4"/>
    <x v="0"/>
  </r>
  <r>
    <x v="5"/>
    <x v="22"/>
    <x v="0"/>
    <s v="GASEOSAS Y SODAS"/>
    <x v="0"/>
    <x v="11"/>
    <s v="UNIDADES"/>
    <n v="2083.3333333300002"/>
    <n v="17.920000000000002"/>
    <n v="6"/>
    <n v="-11.92"/>
    <n v="12499.999999980002"/>
    <n v="-24833.333333293602"/>
    <x v="2"/>
  </r>
  <r>
    <x v="5"/>
    <x v="22"/>
    <x v="0"/>
    <s v="PESCADOS Y MARISCOS"/>
    <x v="1"/>
    <x v="186"/>
    <s v="UNIDADES"/>
    <n v="1600"/>
    <n v="191"/>
    <n v="199"/>
    <n v="8"/>
    <n v="318400"/>
    <n v="12800"/>
    <x v="0"/>
  </r>
  <r>
    <x v="5"/>
    <x v="22"/>
    <x v="0"/>
    <s v="CERVEZAS"/>
    <x v="0"/>
    <x v="184"/>
    <s v="UNIDADES"/>
    <n v="3338.5"/>
    <n v="43"/>
    <n v="43"/>
    <n v="0"/>
    <n v="143555.5"/>
    <n v="0"/>
    <x v="1"/>
  </r>
  <r>
    <x v="5"/>
    <x v="22"/>
    <x v="0"/>
    <s v="LICORES"/>
    <x v="0"/>
    <x v="31"/>
    <s v="ONZA"/>
    <n v="2222.09090909"/>
    <n v="62"/>
    <n v="69"/>
    <n v="7"/>
    <n v="153324.27272720999"/>
    <n v="15554.636363629999"/>
    <x v="0"/>
  </r>
  <r>
    <x v="5"/>
    <x v="22"/>
    <x v="0"/>
    <s v="LICORES"/>
    <x v="0"/>
    <x v="161"/>
    <s v="ONZA"/>
    <n v="4724.9090909099996"/>
    <n v="36.340000000000003"/>
    <n v="52"/>
    <n v="15.66"/>
    <n v="245695.27272731997"/>
    <n v="73992.076363650587"/>
    <x v="0"/>
  </r>
  <r>
    <x v="5"/>
    <x v="22"/>
    <x v="0"/>
    <s v="LICORES"/>
    <x v="0"/>
    <x v="110"/>
    <s v="ONZA"/>
    <n v="3171.7083333300002"/>
    <n v="78"/>
    <n v="80"/>
    <n v="2"/>
    <n v="253736.66666640001"/>
    <n v="6343.4166666600004"/>
    <x v="0"/>
  </r>
  <r>
    <x v="5"/>
    <x v="22"/>
    <x v="0"/>
    <s v="PROTEINAS"/>
    <x v="1"/>
    <x v="97"/>
    <s v="UNIDADES"/>
    <n v="15233.33333333"/>
    <n v="0"/>
    <n v="0"/>
    <n v="0"/>
    <n v="0"/>
    <n v="0"/>
    <x v="1"/>
  </r>
  <r>
    <x v="5"/>
    <x v="22"/>
    <x v="0"/>
    <s v="CERVEZAS"/>
    <x v="0"/>
    <x v="75"/>
    <s v="UNIDADES"/>
    <n v="2380"/>
    <n v="63"/>
    <n v="63"/>
    <n v="0"/>
    <n v="149940"/>
    <n v="0"/>
    <x v="1"/>
  </r>
  <r>
    <x v="5"/>
    <x v="22"/>
    <x v="0"/>
    <s v="LICORES"/>
    <x v="0"/>
    <x v="108"/>
    <s v="ONZA"/>
    <n v="6372.7272727299996"/>
    <n v="17"/>
    <n v="17"/>
    <n v="0"/>
    <n v="108336.36363640999"/>
    <n v="0"/>
    <x v="1"/>
  </r>
  <r>
    <x v="5"/>
    <x v="22"/>
    <x v="0"/>
    <s v="LICORES"/>
    <x v="0"/>
    <x v="17"/>
    <s v="ONZA"/>
    <n v="2575.5208333300002"/>
    <n v="71.2"/>
    <n v="63"/>
    <n v="-8.1999999999999993"/>
    <n v="162257.81249979002"/>
    <n v="-21119.270833306"/>
    <x v="2"/>
  </r>
  <r>
    <x v="5"/>
    <x v="21"/>
    <x v="2"/>
    <s v="SUB RECETAS"/>
    <x v="1"/>
    <x v="248"/>
    <s v="UNIDADES"/>
    <n v="2730.0773662900001"/>
    <n v="9"/>
    <n v="17"/>
    <n v="8"/>
    <n v="46411.315226930004"/>
    <n v="21840.618930320001"/>
    <x v="0"/>
  </r>
  <r>
    <x v="5"/>
    <x v="22"/>
    <x v="0"/>
    <s v="VINOS"/>
    <x v="0"/>
    <x v="128"/>
    <s v="COPA"/>
    <n v="10879.03333333"/>
    <n v="25"/>
    <n v="25"/>
    <n v="0"/>
    <n v="271975.83333325002"/>
    <n v="0"/>
    <x v="1"/>
  </r>
  <r>
    <x v="5"/>
    <x v="22"/>
    <x v="0"/>
    <s v="LICORES"/>
    <x v="0"/>
    <x v="25"/>
    <s v="ONZA"/>
    <n v="4505.9166666700003"/>
    <n v="10"/>
    <n v="10"/>
    <n v="0"/>
    <n v="45059.166666700003"/>
    <n v="0"/>
    <x v="1"/>
  </r>
  <r>
    <x v="5"/>
    <x v="22"/>
    <x v="0"/>
    <s v="GASEOSAS Y SODAS"/>
    <x v="0"/>
    <x v="51"/>
    <s v="UNIDADES"/>
    <n v="3375.0050000000001"/>
    <n v="9"/>
    <n v="9"/>
    <n v="0"/>
    <n v="30375.045000000002"/>
    <n v="0"/>
    <x v="1"/>
  </r>
  <r>
    <x v="5"/>
    <x v="22"/>
    <x v="0"/>
    <s v="VINOS"/>
    <x v="0"/>
    <x v="262"/>
    <s v="ONZA"/>
    <n v="2137.5"/>
    <n v="22"/>
    <n v="19"/>
    <n v="-3"/>
    <n v="40612.5"/>
    <n v="-6412.5"/>
    <x v="2"/>
  </r>
  <r>
    <x v="5"/>
    <x v="22"/>
    <x v="0"/>
    <s v="AGUA Y TE"/>
    <x v="0"/>
    <x v="158"/>
    <s v="UNIDADES"/>
    <n v="1654.21666667"/>
    <n v="72"/>
    <n v="65"/>
    <n v="-7"/>
    <n v="107524.08333355001"/>
    <n v="-11579.51666669"/>
    <x v="2"/>
  </r>
  <r>
    <x v="5"/>
    <x v="19"/>
    <x v="3"/>
    <s v="PESCADOS Y MARISCOS"/>
    <x v="1"/>
    <x v="57"/>
    <s v="UNIDADES"/>
    <n v="514.28571428999999"/>
    <n v="617"/>
    <n v="624"/>
    <n v="7"/>
    <n v="320914.28571695997"/>
    <n v="3600.0000000299997"/>
    <x v="0"/>
  </r>
  <r>
    <x v="5"/>
    <x v="22"/>
    <x v="0"/>
    <s v="LICORES"/>
    <x v="0"/>
    <x v="38"/>
    <s v="UNIDADES"/>
    <n v="26517"/>
    <n v="8"/>
    <n v="9"/>
    <n v="1"/>
    <n v="238653"/>
    <n v="26517"/>
    <x v="0"/>
  </r>
  <r>
    <x v="5"/>
    <x v="22"/>
    <x v="0"/>
    <s v="VINOS"/>
    <x v="0"/>
    <x v="118"/>
    <s v="UNIDADES"/>
    <n v="176006.72268899999"/>
    <n v="2"/>
    <n v="2"/>
    <n v="0"/>
    <n v="352013.44537799997"/>
    <n v="0"/>
    <x v="1"/>
  </r>
  <r>
    <x v="5"/>
    <x v="22"/>
    <x v="0"/>
    <s v="VINOS"/>
    <x v="0"/>
    <x v="94"/>
    <s v="UNIDADES"/>
    <n v="7350"/>
    <n v="3"/>
    <n v="3"/>
    <n v="0"/>
    <n v="22050"/>
    <n v="0"/>
    <x v="1"/>
  </r>
  <r>
    <x v="5"/>
    <x v="22"/>
    <x v="0"/>
    <s v="LICORES"/>
    <x v="0"/>
    <x v="21"/>
    <s v="ONZA"/>
    <n v="0"/>
    <n v="48"/>
    <n v="48"/>
    <n v="0"/>
    <n v="0"/>
    <n v="0"/>
    <x v="1"/>
  </r>
  <r>
    <x v="5"/>
    <x v="22"/>
    <x v="0"/>
    <s v="GASEOSAS Y SODAS"/>
    <x v="0"/>
    <x v="60"/>
    <s v="UNIDADES"/>
    <n v="2119.6875"/>
    <n v="51"/>
    <n v="63"/>
    <n v="12"/>
    <n v="133540.3125"/>
    <n v="25436.25"/>
    <x v="0"/>
  </r>
  <r>
    <x v="5"/>
    <x v="19"/>
    <x v="3"/>
    <s v="SUB-RECETAS CP"/>
    <x v="1"/>
    <x v="275"/>
    <s v="UNIDADES"/>
    <n v="27045.723563070002"/>
    <n v="23.5"/>
    <n v="29"/>
    <n v="5.5"/>
    <n v="784325.98332902999"/>
    <n v="148751.47959688501"/>
    <x v="0"/>
  </r>
  <r>
    <x v="5"/>
    <x v="22"/>
    <x v="0"/>
    <s v="CERVEZAS"/>
    <x v="0"/>
    <x v="228"/>
    <s v="UNIDADES"/>
    <n v="2397.96666667"/>
    <n v="21"/>
    <n v="0"/>
    <n v="-21"/>
    <n v="0"/>
    <n v="-50357.300000069998"/>
    <x v="2"/>
  </r>
  <r>
    <x v="5"/>
    <x v="22"/>
    <x v="0"/>
    <s v="LICORES"/>
    <x v="0"/>
    <x v="177"/>
    <s v="ONZA"/>
    <n v="1590.84375"/>
    <n v="15"/>
    <n v="17"/>
    <n v="2"/>
    <n v="27044.34375"/>
    <n v="3181.6875"/>
    <x v="0"/>
  </r>
  <r>
    <x v="5"/>
    <x v="22"/>
    <x v="0"/>
    <s v="LICORES"/>
    <x v="0"/>
    <x v="19"/>
    <s v="UNIDADES"/>
    <n v="93956"/>
    <n v="2"/>
    <n v="2"/>
    <n v="0"/>
    <n v="187912"/>
    <n v="0"/>
    <x v="1"/>
  </r>
  <r>
    <x v="5"/>
    <x v="22"/>
    <x v="0"/>
    <s v="PROTEINAS"/>
    <x v="1"/>
    <x v="85"/>
    <s v="UNIDADES"/>
    <n v="13576.66666667"/>
    <n v="-5"/>
    <n v="0"/>
    <n v="5"/>
    <n v="0"/>
    <n v="67883.333333350005"/>
    <x v="0"/>
  </r>
  <r>
    <x v="5"/>
    <x v="22"/>
    <x v="0"/>
    <s v="VINOS"/>
    <x v="0"/>
    <x v="142"/>
    <s v="COPA"/>
    <n v="4005.2666666700002"/>
    <n v="21"/>
    <n v="21"/>
    <n v="0"/>
    <n v="84110.600000070001"/>
    <n v="0"/>
    <x v="1"/>
  </r>
  <r>
    <x v="5"/>
    <x v="22"/>
    <x v="0"/>
    <s v="LICORES"/>
    <x v="0"/>
    <x v="173"/>
    <s v="ONZA"/>
    <n v="12698.95454545"/>
    <n v="44"/>
    <n v="44"/>
    <n v="0"/>
    <n v="558753.9999998"/>
    <n v="0"/>
    <x v="1"/>
  </r>
  <r>
    <x v="5"/>
    <x v="22"/>
    <x v="0"/>
    <s v="LICORES"/>
    <x v="0"/>
    <x v="49"/>
    <s v="UNIDADES"/>
    <n v="24582.994999999999"/>
    <n v="3"/>
    <n v="3"/>
    <n v="0"/>
    <n v="73748.985000000001"/>
    <n v="0"/>
    <x v="1"/>
  </r>
  <r>
    <x v="5"/>
    <x v="22"/>
    <x v="0"/>
    <s v="PROTEINAS"/>
    <x v="1"/>
    <x v="97"/>
    <s v="UNIDADES"/>
    <n v="2552.9411764699998"/>
    <n v="0"/>
    <n v="0"/>
    <n v="0"/>
    <n v="0"/>
    <n v="0"/>
    <x v="1"/>
  </r>
  <r>
    <x v="5"/>
    <x v="22"/>
    <x v="0"/>
    <s v="AGUA Y TE"/>
    <x v="0"/>
    <x v="130"/>
    <s v="UNIDADES"/>
    <n v="3458.3291316700002"/>
    <n v="2"/>
    <n v="0"/>
    <n v="-2"/>
    <n v="0"/>
    <n v="-6916.6582633400003"/>
    <x v="2"/>
  </r>
  <r>
    <x v="5"/>
    <x v="22"/>
    <x v="0"/>
    <s v="LICORES"/>
    <x v="0"/>
    <x v="39"/>
    <s v="ONZA"/>
    <n v="4041.5454545500002"/>
    <n v="59"/>
    <n v="60"/>
    <n v="1"/>
    <n v="242492.727273"/>
    <n v="4041.5454545500002"/>
    <x v="0"/>
  </r>
  <r>
    <x v="5"/>
    <x v="22"/>
    <x v="0"/>
    <s v="LICORES"/>
    <x v="0"/>
    <x v="37"/>
    <s v="ONZA"/>
    <n v="0"/>
    <n v="64"/>
    <n v="64"/>
    <n v="0"/>
    <n v="0"/>
    <n v="0"/>
    <x v="1"/>
  </r>
  <r>
    <x v="5"/>
    <x v="18"/>
    <x v="1"/>
    <s v="SUB RECETAS"/>
    <x v="1"/>
    <x v="307"/>
    <s v="UNIDADES"/>
    <n v="13836.50201763"/>
    <n v="3.1"/>
    <n v="8"/>
    <n v="4.9000000000000004"/>
    <n v="110692.01614104"/>
    <n v="67798.859886387014"/>
    <x v="0"/>
  </r>
  <r>
    <x v="5"/>
    <x v="22"/>
    <x v="0"/>
    <s v="VINOS"/>
    <x v="0"/>
    <x v="106"/>
    <s v="UNIDADES"/>
    <n v="93809"/>
    <n v="0"/>
    <n v="0"/>
    <n v="0"/>
    <n v="0"/>
    <n v="0"/>
    <x v="1"/>
  </r>
  <r>
    <x v="5"/>
    <x v="22"/>
    <x v="0"/>
    <s v="LICORES"/>
    <x v="0"/>
    <x v="54"/>
    <s v="ONZA"/>
    <n v="0"/>
    <n v="20"/>
    <n v="24"/>
    <n v="4"/>
    <n v="0"/>
    <n v="0"/>
    <x v="0"/>
  </r>
  <r>
    <x v="5"/>
    <x v="22"/>
    <x v="0"/>
    <s v="GASEOSAS Y SODAS"/>
    <x v="0"/>
    <x v="47"/>
    <s v="UNIDADES"/>
    <n v="5424"/>
    <n v="30"/>
    <n v="30"/>
    <n v="0"/>
    <n v="162720"/>
    <n v="0"/>
    <x v="1"/>
  </r>
  <r>
    <x v="5"/>
    <x v="22"/>
    <x v="0"/>
    <s v="SUB RECETAS"/>
    <x v="1"/>
    <x v="299"/>
    <s v="UNIDADES"/>
    <n v="8981.7889772100007"/>
    <n v="76.27"/>
    <n v="81"/>
    <n v="4.7300000000000004"/>
    <n v="727524.90715401003"/>
    <n v="42483.86186220331"/>
    <x v="0"/>
  </r>
  <r>
    <x v="5"/>
    <x v="22"/>
    <x v="0"/>
    <s v="LICORES"/>
    <x v="0"/>
    <x v="135"/>
    <s v="ONZA"/>
    <n v="5658.3333333299997"/>
    <n v="52"/>
    <n v="52"/>
    <n v="0"/>
    <n v="294233.33333315997"/>
    <n v="0"/>
    <x v="1"/>
  </r>
  <r>
    <x v="5"/>
    <x v="22"/>
    <x v="0"/>
    <s v="LICORES"/>
    <x v="0"/>
    <x v="330"/>
    <s v="ONZA"/>
    <n v="0"/>
    <n v="44"/>
    <n v="44"/>
    <n v="0"/>
    <n v="0"/>
    <n v="0"/>
    <x v="1"/>
  </r>
  <r>
    <x v="5"/>
    <x v="22"/>
    <x v="0"/>
    <s v="VINOS"/>
    <x v="0"/>
    <x v="99"/>
    <s v="UNIDADES"/>
    <n v="66850"/>
    <n v="-1"/>
    <n v="0"/>
    <n v="1"/>
    <n v="0"/>
    <n v="66850"/>
    <x v="0"/>
  </r>
  <r>
    <x v="5"/>
    <x v="22"/>
    <x v="0"/>
    <s v="VINOS"/>
    <x v="0"/>
    <x v="103"/>
    <s v="UNIDADES"/>
    <n v="62806"/>
    <n v="2"/>
    <n v="2"/>
    <n v="0"/>
    <n v="125612"/>
    <n v="0"/>
    <x v="1"/>
  </r>
  <r>
    <x v="5"/>
    <x v="22"/>
    <x v="0"/>
    <s v="LICORES"/>
    <x v="0"/>
    <x v="0"/>
    <s v="ONZA"/>
    <n v="2454.5454545500002"/>
    <n v="-29"/>
    <n v="25"/>
    <n v="54"/>
    <n v="61363.636363750004"/>
    <n v="132545.45454570002"/>
    <x v="0"/>
  </r>
  <r>
    <x v="5"/>
    <x v="22"/>
    <x v="0"/>
    <s v="GASEOSAS Y SODAS"/>
    <x v="0"/>
    <x v="50"/>
    <s v="UNIDADES"/>
    <n v="4126.8333333299997"/>
    <n v="1"/>
    <n v="1"/>
    <n v="0"/>
    <n v="4126.8333333299997"/>
    <n v="0"/>
    <x v="1"/>
  </r>
  <r>
    <x v="5"/>
    <x v="18"/>
    <x v="1"/>
    <s v="SUB RECETAS"/>
    <x v="1"/>
    <x v="289"/>
    <s v="UNIDADES"/>
    <n v="1540.8429147500001"/>
    <n v="-4"/>
    <n v="0"/>
    <n v="4"/>
    <n v="0"/>
    <n v="6163.3716590000004"/>
    <x v="0"/>
  </r>
  <r>
    <x v="5"/>
    <x v="22"/>
    <x v="0"/>
    <s v="CERVEZAS"/>
    <x v="0"/>
    <x v="178"/>
    <s v="UNIDADES"/>
    <n v="3750"/>
    <n v="17"/>
    <n v="17"/>
    <n v="0"/>
    <n v="63750"/>
    <n v="0"/>
    <x v="1"/>
  </r>
  <r>
    <x v="5"/>
    <x v="22"/>
    <x v="0"/>
    <s v="LICORES"/>
    <x v="0"/>
    <x v="32"/>
    <s v="ONZA"/>
    <n v="4504.1666666700003"/>
    <n v="30"/>
    <n v="30"/>
    <n v="0"/>
    <n v="135125.0000001"/>
    <n v="0"/>
    <x v="1"/>
  </r>
  <r>
    <x v="5"/>
    <x v="22"/>
    <x v="0"/>
    <s v="LICORES"/>
    <x v="0"/>
    <x v="134"/>
    <s v="ONZA"/>
    <n v="9217.1666666700003"/>
    <n v="37"/>
    <n v="37"/>
    <n v="0"/>
    <n v="341035.16666679003"/>
    <n v="0"/>
    <x v="1"/>
  </r>
  <r>
    <x v="5"/>
    <x v="22"/>
    <x v="0"/>
    <s v="PESCADOS Y MARISCOS"/>
    <x v="1"/>
    <x v="306"/>
    <s v="GRAMOS"/>
    <n v="33.499600000000001"/>
    <n v="0"/>
    <n v="0"/>
    <n v="0"/>
    <n v="0"/>
    <n v="0"/>
    <x v="1"/>
  </r>
  <r>
    <x v="5"/>
    <x v="22"/>
    <x v="0"/>
    <s v="VINOS"/>
    <x v="0"/>
    <x v="86"/>
    <s v="COPA"/>
    <n v="4005.3666666700001"/>
    <n v="37.200000000000003"/>
    <n v="38"/>
    <n v="0.8"/>
    <n v="152203.93333346001"/>
    <n v="3204.2933333360002"/>
    <x v="0"/>
  </r>
  <r>
    <x v="5"/>
    <x v="22"/>
    <x v="0"/>
    <s v="AGUA Y TE"/>
    <x v="0"/>
    <x v="145"/>
    <s v="UNIDADES"/>
    <n v="7857"/>
    <n v="31"/>
    <n v="31"/>
    <n v="0"/>
    <n v="243567"/>
    <n v="0"/>
    <x v="1"/>
  </r>
  <r>
    <x v="5"/>
    <x v="22"/>
    <x v="0"/>
    <s v="LICORES"/>
    <x v="0"/>
    <x v="8"/>
    <s v="ONZA"/>
    <n v="15769.5"/>
    <n v="31"/>
    <n v="29"/>
    <n v="-2"/>
    <n v="457315.5"/>
    <n v="-31539"/>
    <x v="2"/>
  </r>
  <r>
    <x v="5"/>
    <x v="22"/>
    <x v="0"/>
    <s v="LICORES"/>
    <x v="0"/>
    <x v="27"/>
    <s v="ONZA"/>
    <n v="2458"/>
    <n v="-4"/>
    <n v="13"/>
    <n v="17"/>
    <n v="31954"/>
    <n v="41786"/>
    <x v="0"/>
  </r>
  <r>
    <x v="5"/>
    <x v="21"/>
    <x v="2"/>
    <s v="PROTEINAS"/>
    <x v="1"/>
    <x v="131"/>
    <s v="UNIDADES"/>
    <n v="4850"/>
    <n v="10"/>
    <n v="13.5"/>
    <n v="3.5"/>
    <n v="65475"/>
    <n v="16975"/>
    <x v="0"/>
  </r>
  <r>
    <x v="5"/>
    <x v="22"/>
    <x v="0"/>
    <s v="VINOS"/>
    <x v="0"/>
    <x v="116"/>
    <s v="UNIDADES"/>
    <n v="53140"/>
    <n v="2"/>
    <n v="2"/>
    <n v="0"/>
    <n v="106280"/>
    <n v="0"/>
    <x v="1"/>
  </r>
  <r>
    <x v="5"/>
    <x v="22"/>
    <x v="0"/>
    <s v="AGUA Y TE"/>
    <x v="0"/>
    <x v="162"/>
    <s v="UNIDADES"/>
    <n v="4166.58053225"/>
    <n v="9"/>
    <n v="9"/>
    <n v="0"/>
    <n v="37499.224790250002"/>
    <n v="0"/>
    <x v="1"/>
  </r>
  <r>
    <x v="5"/>
    <x v="22"/>
    <x v="0"/>
    <s v="PESCADOS Y MARISCOS"/>
    <x v="1"/>
    <x v="124"/>
    <s v="UNIDADES"/>
    <n v="7500"/>
    <n v="0"/>
    <n v="0"/>
    <n v="0"/>
    <n v="0"/>
    <n v="0"/>
    <x v="1"/>
  </r>
  <r>
    <x v="5"/>
    <x v="22"/>
    <x v="0"/>
    <s v="LICORES"/>
    <x v="0"/>
    <x v="41"/>
    <s v="ONZA"/>
    <n v="1798.66666667"/>
    <n v="35"/>
    <n v="35"/>
    <n v="0"/>
    <n v="62953.333333449998"/>
    <n v="0"/>
    <x v="1"/>
  </r>
  <r>
    <x v="5"/>
    <x v="22"/>
    <x v="0"/>
    <s v="PROTEINAS"/>
    <x v="1"/>
    <x v="217"/>
    <s v="UNIDADES"/>
    <n v="12365"/>
    <n v="127"/>
    <n v="130"/>
    <n v="3"/>
    <n v="1607450"/>
    <n v="37095"/>
    <x v="0"/>
  </r>
  <r>
    <x v="5"/>
    <x v="22"/>
    <x v="0"/>
    <s v="VINOS"/>
    <x v="0"/>
    <x v="104"/>
    <s v="UNIDADES"/>
    <n v="66111.5"/>
    <n v="2"/>
    <n v="2"/>
    <n v="0"/>
    <n v="132223"/>
    <n v="0"/>
    <x v="1"/>
  </r>
  <r>
    <x v="5"/>
    <x v="22"/>
    <x v="0"/>
    <s v="LICORES"/>
    <x v="0"/>
    <x v="225"/>
    <s v="ONZA"/>
    <n v="0"/>
    <n v="36"/>
    <n v="36"/>
    <n v="0"/>
    <n v="0"/>
    <n v="0"/>
    <x v="1"/>
  </r>
  <r>
    <x v="5"/>
    <x v="22"/>
    <x v="0"/>
    <s v="GASEOSAS Y SODAS"/>
    <x v="0"/>
    <x v="67"/>
    <s v="UNIDADES"/>
    <n v="4986.1810224199999"/>
    <n v="0"/>
    <n v="0"/>
    <n v="0"/>
    <n v="0"/>
    <n v="0"/>
    <x v="1"/>
  </r>
  <r>
    <x v="5"/>
    <x v="22"/>
    <x v="0"/>
    <s v="SUB RECETAS"/>
    <x v="1"/>
    <x v="285"/>
    <s v="UNIDADES"/>
    <n v="2891.0588234400002"/>
    <n v="89.5"/>
    <n v="92"/>
    <n v="2.5"/>
    <n v="265977.41175648"/>
    <n v="7227.6470586000005"/>
    <x v="0"/>
  </r>
  <r>
    <x v="5"/>
    <x v="22"/>
    <x v="0"/>
    <s v="DESPENSA"/>
    <x v="0"/>
    <x v="465"/>
    <s v="GRAMOS"/>
    <n v="33.200159659999997"/>
    <n v="580"/>
    <n v="0"/>
    <n v="-580"/>
    <n v="0"/>
    <n v="-19256.092602799999"/>
    <x v="2"/>
  </r>
  <r>
    <x v="5"/>
    <x v="18"/>
    <x v="1"/>
    <s v="PROTEINAS"/>
    <x v="1"/>
    <x v="450"/>
    <s v="UNIDADES"/>
    <n v="5141"/>
    <n v="52"/>
    <n v="54"/>
    <n v="2"/>
    <n v="277614"/>
    <n v="10282"/>
    <x v="0"/>
  </r>
  <r>
    <x v="5"/>
    <x v="22"/>
    <x v="0"/>
    <s v="SUB RECETAS"/>
    <x v="1"/>
    <x v="320"/>
    <s v="UNIDADES"/>
    <n v="3637.5542850000002"/>
    <n v="26"/>
    <n v="28"/>
    <n v="2"/>
    <n v="101851.51998000001"/>
    <n v="7275.1085700000003"/>
    <x v="0"/>
  </r>
  <r>
    <x v="5"/>
    <x v="19"/>
    <x v="3"/>
    <s v="SUB-RECETAS CP"/>
    <x v="1"/>
    <x v="256"/>
    <s v="UNIDADES"/>
    <n v="1977.5824342000001"/>
    <n v="65"/>
    <n v="67"/>
    <n v="2"/>
    <n v="132498.02309140001"/>
    <n v="3955.1648684000002"/>
    <x v="0"/>
  </r>
  <r>
    <x v="5"/>
    <x v="22"/>
    <x v="0"/>
    <s v="PROTEINAS"/>
    <x v="1"/>
    <x v="80"/>
    <s v="UNIDADES"/>
    <n v="2000"/>
    <n v="2"/>
    <n v="3.5"/>
    <n v="1.5"/>
    <n v="7000"/>
    <n v="3000"/>
    <x v="0"/>
  </r>
  <r>
    <x v="5"/>
    <x v="20"/>
    <x v="5"/>
    <s v="SUB RECETAS"/>
    <x v="1"/>
    <x v="253"/>
    <s v="UNIDADES"/>
    <n v="16188.145044430001"/>
    <n v="28"/>
    <n v="29"/>
    <n v="1"/>
    <n v="469456.20628847001"/>
    <n v="16188.145044430001"/>
    <x v="0"/>
  </r>
  <r>
    <x v="5"/>
    <x v="20"/>
    <x v="5"/>
    <s v="SUB-RECETAS BAR"/>
    <x v="0"/>
    <x v="326"/>
    <s v="GRAMOS"/>
    <n v="58.412030450000003"/>
    <n v="2000"/>
    <n v="2660"/>
    <n v="660"/>
    <n v="155376.000997"/>
    <n v="38551.940096999999"/>
    <x v="0"/>
  </r>
  <r>
    <x v="5"/>
    <x v="19"/>
    <x v="3"/>
    <s v="PESCADOS Y MARISCOS"/>
    <x v="1"/>
    <x v="272"/>
    <s v="UNIDADES"/>
    <n v="13905"/>
    <n v="-1"/>
    <n v="0"/>
    <n v="1"/>
    <n v="0"/>
    <n v="13905"/>
    <x v="0"/>
  </r>
  <r>
    <x v="5"/>
    <x v="19"/>
    <x v="3"/>
    <s v="SUB-RECETAS CP"/>
    <x v="1"/>
    <x v="258"/>
    <s v="UNIDADES"/>
    <n v="1530.8871941499999"/>
    <n v="19"/>
    <n v="20"/>
    <n v="1"/>
    <n v="30617.743882999999"/>
    <n v="1530.8871941499999"/>
    <x v="0"/>
  </r>
  <r>
    <x v="5"/>
    <x v="19"/>
    <x v="3"/>
    <s v="PROTEINAS"/>
    <x v="1"/>
    <x v="78"/>
    <s v="UNIDADES"/>
    <n v="8870"/>
    <n v="14.5"/>
    <n v="15"/>
    <n v="0.5"/>
    <n v="133050"/>
    <n v="4435"/>
    <x v="0"/>
  </r>
  <r>
    <x v="5"/>
    <x v="21"/>
    <x v="2"/>
    <s v="SUB RECETAS"/>
    <x v="1"/>
    <x v="250"/>
    <s v="UNIDADES"/>
    <n v="5943.1887500000003"/>
    <n v="6.5"/>
    <n v="6"/>
    <n v="-0.5"/>
    <n v="35659.1325"/>
    <n v="-2971.5943750000001"/>
    <x v="2"/>
  </r>
  <r>
    <x v="5"/>
    <x v="20"/>
    <x v="5"/>
    <s v="SUB-RECETAS CP"/>
    <x v="1"/>
    <x v="255"/>
    <s v="UNIDADES"/>
    <n v="4833.0366379300003"/>
    <n v="96"/>
    <n v="96"/>
    <n v="0"/>
    <n v="463971.51724128006"/>
    <n v="0"/>
    <x v="1"/>
  </r>
  <r>
    <x v="5"/>
    <x v="20"/>
    <x v="5"/>
    <s v="PESCADOS Y MARISCOS"/>
    <x v="1"/>
    <x v="186"/>
    <s v="UNIDADES"/>
    <n v="1500"/>
    <n v="900"/>
    <n v="900"/>
    <n v="0"/>
    <n v="1350000"/>
    <n v="0"/>
    <x v="1"/>
  </r>
  <r>
    <x v="5"/>
    <x v="22"/>
    <x v="0"/>
    <s v="SUB RECETAS"/>
    <x v="1"/>
    <x v="290"/>
    <s v="UNIDADES"/>
    <n v="2112.87669792"/>
    <n v="33"/>
    <n v="32"/>
    <n v="-1"/>
    <n v="67612.054333439999"/>
    <n v="-2112.87669792"/>
    <x v="2"/>
  </r>
  <r>
    <x v="5"/>
    <x v="20"/>
    <x v="5"/>
    <s v="SUB-RECETAS CP"/>
    <x v="1"/>
    <x v="280"/>
    <s v="GRAMOS"/>
    <n v="63.986645770000003"/>
    <n v="13000"/>
    <n v="13000"/>
    <n v="0"/>
    <n v="831826.39500999998"/>
    <n v="0"/>
    <x v="1"/>
  </r>
  <r>
    <x v="5"/>
    <x v="22"/>
    <x v="0"/>
    <s v="SUB RECETAS"/>
    <x v="1"/>
    <x v="315"/>
    <s v="UNIDADES"/>
    <n v="19487.232833329999"/>
    <n v="22.5"/>
    <n v="21.5"/>
    <n v="-1"/>
    <n v="418975.50591659499"/>
    <n v="-19487.232833329999"/>
    <x v="2"/>
  </r>
  <r>
    <x v="5"/>
    <x v="22"/>
    <x v="0"/>
    <s v="PROTEINAS"/>
    <x v="1"/>
    <x v="78"/>
    <s v="UNIDADES"/>
    <n v="8684"/>
    <n v="1"/>
    <n v="0"/>
    <n v="-1"/>
    <n v="0"/>
    <n v="-8684"/>
    <x v="2"/>
  </r>
  <r>
    <x v="5"/>
    <x v="20"/>
    <x v="5"/>
    <s v="SUB RECETAS"/>
    <x v="1"/>
    <x v="277"/>
    <s v="UNIDADES"/>
    <n v="2770.4763510600001"/>
    <n v="300"/>
    <n v="300"/>
    <n v="0"/>
    <n v="831142.905318"/>
    <n v="0"/>
    <x v="1"/>
  </r>
  <r>
    <x v="5"/>
    <x v="20"/>
    <x v="5"/>
    <s v="SUB-RECETAS CP"/>
    <x v="1"/>
    <x v="291"/>
    <s v="UNIDADES"/>
    <n v="1106.87022901"/>
    <n v="210"/>
    <n v="210"/>
    <n v="0"/>
    <n v="232442.7480921"/>
    <n v="0"/>
    <x v="1"/>
  </r>
  <r>
    <x v="5"/>
    <x v="20"/>
    <x v="5"/>
    <s v="SUB-RECETAS CP"/>
    <x v="1"/>
    <x v="305"/>
    <s v="GRAMOS"/>
    <n v="33.255269220000002"/>
    <n v="5514"/>
    <n v="5514"/>
    <n v="0"/>
    <n v="183369.55447908002"/>
    <n v="0"/>
    <x v="1"/>
  </r>
  <r>
    <x v="5"/>
    <x v="19"/>
    <x v="3"/>
    <s v="PESCADOS Y MARISCOS"/>
    <x v="1"/>
    <x v="84"/>
    <s v="UNIDADES"/>
    <n v="19000.25"/>
    <n v="2"/>
    <n v="1"/>
    <n v="-1"/>
    <n v="19000.25"/>
    <n v="-19000.25"/>
    <x v="2"/>
  </r>
  <r>
    <x v="5"/>
    <x v="20"/>
    <x v="5"/>
    <s v="SUB-RECETAS BAR"/>
    <x v="0"/>
    <x v="317"/>
    <s v="GRAMOS"/>
    <n v="66.666666669999998"/>
    <n v="670"/>
    <n v="0"/>
    <n v="-670"/>
    <n v="0"/>
    <n v="-44666.666668899998"/>
    <x v="2"/>
  </r>
  <r>
    <x v="5"/>
    <x v="20"/>
    <x v="5"/>
    <s v="PESCADOS Y MARISCOS"/>
    <x v="1"/>
    <x v="192"/>
    <s v="UNIDADES"/>
    <n v="753.66666667000004"/>
    <n v="0"/>
    <n v="0"/>
    <n v="0"/>
    <n v="0"/>
    <n v="0"/>
    <x v="1"/>
  </r>
  <r>
    <x v="5"/>
    <x v="20"/>
    <x v="5"/>
    <s v="SUB-RECETAS CP"/>
    <x v="1"/>
    <x v="293"/>
    <s v="GRAMOS"/>
    <n v="11.506372799999999"/>
    <n v="11000"/>
    <n v="11000"/>
    <n v="0"/>
    <n v="126570.1008"/>
    <n v="0"/>
    <x v="1"/>
  </r>
  <r>
    <x v="5"/>
    <x v="21"/>
    <x v="2"/>
    <s v="SUB RECETAS"/>
    <x v="1"/>
    <x v="251"/>
    <s v="UNIDADES"/>
    <n v="4091.0326780999999"/>
    <n v="9"/>
    <n v="8"/>
    <n v="-1"/>
    <n v="32728.261424799999"/>
    <n v="-4091.0326780999999"/>
    <x v="2"/>
  </r>
  <r>
    <x v="5"/>
    <x v="19"/>
    <x v="3"/>
    <s v="SUB RECETAS"/>
    <x v="1"/>
    <x v="250"/>
    <s v="UNIDADES"/>
    <n v="5943.1887500000003"/>
    <n v="3"/>
    <n v="0"/>
    <n v="-3"/>
    <n v="0"/>
    <n v="-17829.56625"/>
    <x v="2"/>
  </r>
  <r>
    <x v="5"/>
    <x v="20"/>
    <x v="5"/>
    <s v="SUB-RECETAS CP"/>
    <x v="1"/>
    <x v="283"/>
    <s v="GRAMOS"/>
    <n v="13.60654124"/>
    <n v="13930"/>
    <n v="13930"/>
    <n v="0"/>
    <n v="189539.1194732"/>
    <n v="0"/>
    <x v="1"/>
  </r>
  <r>
    <x v="5"/>
    <x v="20"/>
    <x v="5"/>
    <s v="PESCADOS Y MARISCOS"/>
    <x v="1"/>
    <x v="335"/>
    <s v="GRAMOS"/>
    <n v="454.81299999999999"/>
    <n v="1200"/>
    <n v="1200"/>
    <n v="0"/>
    <n v="545775.6"/>
    <n v="0"/>
    <x v="1"/>
  </r>
  <r>
    <x v="5"/>
    <x v="18"/>
    <x v="1"/>
    <s v="PROTEINAS"/>
    <x v="1"/>
    <x v="85"/>
    <s v="UNIDADES"/>
    <n v="13576.66666667"/>
    <n v="5"/>
    <n v="0"/>
    <n v="-5"/>
    <n v="0"/>
    <n v="-67883.333333350005"/>
    <x v="2"/>
  </r>
  <r>
    <x v="5"/>
    <x v="20"/>
    <x v="5"/>
    <s v="SUB-RECETAS CP"/>
    <x v="1"/>
    <x v="275"/>
    <s v="UNIDADES"/>
    <n v="27045.723563070002"/>
    <n v="58"/>
    <n v="58"/>
    <n v="0"/>
    <n v="1568651.96665806"/>
    <n v="0"/>
    <x v="1"/>
  </r>
  <r>
    <x v="5"/>
    <x v="22"/>
    <x v="0"/>
    <s v="SUB RECETAS"/>
    <x v="1"/>
    <x v="294"/>
    <s v="UNIDADES"/>
    <n v="2510.4086790400002"/>
    <n v="37"/>
    <n v="32"/>
    <n v="-5"/>
    <n v="80333.077729280005"/>
    <n v="-12552.0433952"/>
    <x v="2"/>
  </r>
  <r>
    <x v="5"/>
    <x v="20"/>
    <x v="5"/>
    <s v="PESCADOS Y MARISCOS"/>
    <x v="1"/>
    <x v="57"/>
    <s v="UNIDADES"/>
    <n v="514.28571428999999"/>
    <n v="3640"/>
    <n v="3640"/>
    <n v="0"/>
    <n v="1872000.0000155999"/>
    <n v="0"/>
    <x v="1"/>
  </r>
  <r>
    <x v="5"/>
    <x v="20"/>
    <x v="5"/>
    <s v="SUB-RECETAS CP"/>
    <x v="1"/>
    <x v="321"/>
    <s v="GRAMOS"/>
    <n v="32.832008909999999"/>
    <n v="869"/>
    <n v="864"/>
    <n v="-5"/>
    <n v="28366.85569824"/>
    <n v="-164.16004455000001"/>
    <x v="2"/>
  </r>
  <r>
    <x v="5"/>
    <x v="20"/>
    <x v="5"/>
    <s v="SUB-RECETAS CP"/>
    <x v="1"/>
    <x v="258"/>
    <s v="UNIDADES"/>
    <n v="1530.8871941499999"/>
    <n v="215"/>
    <n v="210"/>
    <n v="-5"/>
    <n v="321486.31077149999"/>
    <n v="-7654.4359707499998"/>
    <x v="2"/>
  </r>
  <r>
    <x v="5"/>
    <x v="21"/>
    <x v="2"/>
    <s v="PROTEINAS"/>
    <x v="1"/>
    <x v="207"/>
    <s v="UNIDADES"/>
    <n v="13154.054054050001"/>
    <n v="75.5"/>
    <n v="70.5"/>
    <n v="-5"/>
    <n v="927360.81081052509"/>
    <n v="-65770.27027025001"/>
    <x v="2"/>
  </r>
  <r>
    <x v="5"/>
    <x v="19"/>
    <x v="3"/>
    <s v="VINOS"/>
    <x v="0"/>
    <x v="114"/>
    <s v="COPA"/>
    <n v="9700"/>
    <n v="31"/>
    <n v="30"/>
    <n v="-1"/>
    <n v="291000"/>
    <n v="-9700"/>
    <x v="2"/>
  </r>
  <r>
    <x v="5"/>
    <x v="19"/>
    <x v="3"/>
    <s v="CERVEZAS"/>
    <x v="0"/>
    <x v="77"/>
    <s v="UNIDADES"/>
    <n v="2828.2333333299998"/>
    <n v="53"/>
    <n v="38"/>
    <n v="-15"/>
    <n v="107472.86666653999"/>
    <n v="-42423.49999995"/>
    <x v="2"/>
  </r>
  <r>
    <x v="5"/>
    <x v="19"/>
    <x v="3"/>
    <s v="LICORES"/>
    <x v="0"/>
    <x v="3"/>
    <s v="UNIDADES"/>
    <n v="86743"/>
    <n v="2"/>
    <n v="2"/>
    <n v="0"/>
    <n v="173486"/>
    <n v="0"/>
    <x v="1"/>
  </r>
  <r>
    <x v="5"/>
    <x v="21"/>
    <x v="2"/>
    <s v="SUB-RECETAS CP"/>
    <x v="1"/>
    <x v="274"/>
    <s v="UNIDADES"/>
    <n v="10614.7325009"/>
    <n v="69"/>
    <n v="62"/>
    <n v="-7"/>
    <n v="658113.4150558"/>
    <n v="-74303.127506299992"/>
    <x v="2"/>
  </r>
  <r>
    <x v="5"/>
    <x v="19"/>
    <x v="3"/>
    <s v="VINOS"/>
    <x v="0"/>
    <x v="241"/>
    <s v="UNIDADES"/>
    <n v="34240.5"/>
    <n v="7"/>
    <n v="7"/>
    <n v="0"/>
    <n v="239683.5"/>
    <n v="0"/>
    <x v="1"/>
  </r>
  <r>
    <x v="5"/>
    <x v="19"/>
    <x v="3"/>
    <s v="LICORES"/>
    <x v="0"/>
    <x v="999"/>
    <s v="ONZA"/>
    <n v="1736.1111111099999"/>
    <n v="0"/>
    <n v="0"/>
    <n v="0"/>
    <n v="0"/>
    <n v="0"/>
    <x v="1"/>
  </r>
  <r>
    <x v="5"/>
    <x v="21"/>
    <x v="2"/>
    <s v="PROTEINAS"/>
    <x v="1"/>
    <x v="125"/>
    <s v="UNIDADES"/>
    <n v="3250"/>
    <n v="23"/>
    <n v="15.5"/>
    <n v="-7.5"/>
    <n v="50375"/>
    <n v="-24375"/>
    <x v="2"/>
  </r>
  <r>
    <x v="5"/>
    <x v="19"/>
    <x v="3"/>
    <s v="GASEOSAS Y SODAS"/>
    <x v="0"/>
    <x v="160"/>
    <s v="UNIDADES"/>
    <n v="5310.9583333299997"/>
    <n v="29.41"/>
    <n v="24"/>
    <n v="-5.41"/>
    <n v="127462.99999991999"/>
    <n v="-28732.284583315301"/>
    <x v="2"/>
  </r>
  <r>
    <x v="5"/>
    <x v="19"/>
    <x v="3"/>
    <s v="LICORES"/>
    <x v="0"/>
    <x v="16"/>
    <s v="ONZA"/>
    <n v="6549"/>
    <n v="26"/>
    <n v="26"/>
    <n v="0"/>
    <n v="170274"/>
    <n v="0"/>
    <x v="1"/>
  </r>
  <r>
    <x v="5"/>
    <x v="19"/>
    <x v="3"/>
    <s v="GASEOSAS Y SODAS"/>
    <x v="0"/>
    <x v="229"/>
    <s v="UNIDADES"/>
    <n v="6387"/>
    <n v="4"/>
    <n v="4"/>
    <n v="0"/>
    <n v="25548"/>
    <n v="0"/>
    <x v="1"/>
  </r>
  <r>
    <x v="5"/>
    <x v="19"/>
    <x v="3"/>
    <s v="VINOS"/>
    <x v="0"/>
    <x v="243"/>
    <s v="UNIDADES"/>
    <n v="97200"/>
    <n v="0"/>
    <n v="0"/>
    <n v="0"/>
    <n v="0"/>
    <n v="0"/>
    <x v="1"/>
  </r>
  <r>
    <x v="5"/>
    <x v="19"/>
    <x v="3"/>
    <s v="LICORES"/>
    <x v="0"/>
    <x v="231"/>
    <s v="ONZA"/>
    <n v="10233.9"/>
    <n v="43"/>
    <n v="43"/>
    <n v="0"/>
    <n v="440057.7"/>
    <n v="0"/>
    <x v="1"/>
  </r>
  <r>
    <x v="5"/>
    <x v="19"/>
    <x v="3"/>
    <s v="LICORES"/>
    <x v="0"/>
    <x v="12"/>
    <s v="ONZA"/>
    <n v="0"/>
    <n v="0"/>
    <n v="0"/>
    <n v="0"/>
    <n v="0"/>
    <n v="0"/>
    <x v="1"/>
  </r>
  <r>
    <x v="5"/>
    <x v="19"/>
    <x v="3"/>
    <s v="CERVEZAS"/>
    <x v="0"/>
    <x v="183"/>
    <s v="UNIDADES"/>
    <n v="3099.6666666699998"/>
    <n v="0"/>
    <n v="15"/>
    <n v="15"/>
    <n v="46495.00000005"/>
    <n v="46495.00000005"/>
    <x v="0"/>
  </r>
  <r>
    <x v="5"/>
    <x v="19"/>
    <x v="3"/>
    <s v="LICORES"/>
    <x v="0"/>
    <x v="8"/>
    <s v="ONZA"/>
    <n v="17377"/>
    <n v="25"/>
    <n v="25"/>
    <n v="0"/>
    <n v="434425"/>
    <n v="0"/>
    <x v="1"/>
  </r>
  <r>
    <x v="5"/>
    <x v="19"/>
    <x v="3"/>
    <s v="SUB-RECETAS BAR"/>
    <x v="0"/>
    <x v="273"/>
    <s v="ONZA"/>
    <n v="3245.5439533700001"/>
    <n v="-2"/>
    <n v="101"/>
    <n v="103"/>
    <n v="327799.93929036998"/>
    <n v="334291.02719711"/>
    <x v="0"/>
  </r>
  <r>
    <x v="5"/>
    <x v="19"/>
    <x v="3"/>
    <s v="VINOS"/>
    <x v="0"/>
    <x v="112"/>
    <s v="COPA"/>
    <n v="4002.6"/>
    <n v="16"/>
    <n v="16"/>
    <n v="0"/>
    <n v="64041.599999999999"/>
    <n v="0"/>
    <x v="1"/>
  </r>
  <r>
    <x v="5"/>
    <x v="19"/>
    <x v="3"/>
    <s v="AGUA Y TE"/>
    <x v="0"/>
    <x v="148"/>
    <s v="UNIDADES"/>
    <n v="3458.3283333300001"/>
    <n v="6"/>
    <n v="6"/>
    <n v="0"/>
    <n v="20749.96999998"/>
    <n v="0"/>
    <x v="1"/>
  </r>
  <r>
    <x v="5"/>
    <x v="19"/>
    <x v="3"/>
    <s v="LICORES"/>
    <x v="0"/>
    <x v="35"/>
    <s v="ONZA"/>
    <n v="2056.3333333300002"/>
    <n v="38"/>
    <n v="38"/>
    <n v="0"/>
    <n v="78140.666666540012"/>
    <n v="0"/>
    <x v="1"/>
  </r>
  <r>
    <x v="5"/>
    <x v="19"/>
    <x v="3"/>
    <s v="PESCADOS Y MARISCOS"/>
    <x v="1"/>
    <x v="192"/>
    <s v="UNIDADES"/>
    <n v="753.66666667000004"/>
    <n v="38"/>
    <n v="30"/>
    <n v="-8"/>
    <n v="22610.000000100001"/>
    <n v="-6029.3333333600003"/>
    <x v="2"/>
  </r>
  <r>
    <x v="5"/>
    <x v="19"/>
    <x v="3"/>
    <s v="VINOS"/>
    <x v="0"/>
    <x v="268"/>
    <s v="COPA"/>
    <n v="13704.2"/>
    <n v="38"/>
    <n v="39"/>
    <n v="1"/>
    <n v="534463.80000000005"/>
    <n v="13704.2"/>
    <x v="0"/>
  </r>
  <r>
    <x v="5"/>
    <x v="19"/>
    <x v="3"/>
    <s v="CERVEZAS"/>
    <x v="0"/>
    <x v="75"/>
    <s v="UNIDADES"/>
    <n v="2455.2333333299998"/>
    <n v="11"/>
    <n v="11"/>
    <n v="0"/>
    <n v="27007.566666629999"/>
    <n v="0"/>
    <x v="1"/>
  </r>
  <r>
    <x v="5"/>
    <x v="19"/>
    <x v="3"/>
    <s v="LICORES"/>
    <x v="0"/>
    <x v="56"/>
    <s v="ONZA"/>
    <n v="2309.40625"/>
    <n v="-2"/>
    <n v="0"/>
    <n v="2"/>
    <n v="0"/>
    <n v="4618.8125"/>
    <x v="0"/>
  </r>
  <r>
    <x v="5"/>
    <x v="19"/>
    <x v="3"/>
    <s v="SUB RECETAS"/>
    <x v="1"/>
    <x v="248"/>
    <s v="UNIDADES"/>
    <n v="2730.0773662900001"/>
    <n v="16"/>
    <n v="16"/>
    <n v="0"/>
    <n v="43681.237860640002"/>
    <n v="0"/>
    <x v="1"/>
  </r>
  <r>
    <x v="5"/>
    <x v="19"/>
    <x v="3"/>
    <s v="LICORES"/>
    <x v="0"/>
    <x v="38"/>
    <s v="UNIDADES"/>
    <n v="24403"/>
    <n v="2"/>
    <n v="2"/>
    <n v="0"/>
    <n v="48806"/>
    <n v="0"/>
    <x v="1"/>
  </r>
  <r>
    <x v="5"/>
    <x v="19"/>
    <x v="3"/>
    <s v="VINOS"/>
    <x v="0"/>
    <x v="271"/>
    <s v="COPA"/>
    <n v="13704.6"/>
    <n v="41"/>
    <n v="26"/>
    <n v="-15"/>
    <n v="356319.60000000003"/>
    <n v="-205569"/>
    <x v="2"/>
  </r>
  <r>
    <x v="5"/>
    <x v="19"/>
    <x v="3"/>
    <s v="LICORES"/>
    <x v="0"/>
    <x v="70"/>
    <s v="ONZA"/>
    <n v="3673.5"/>
    <n v="0"/>
    <n v="0"/>
    <n v="0"/>
    <n v="0"/>
    <n v="0"/>
    <x v="1"/>
  </r>
  <r>
    <x v="5"/>
    <x v="22"/>
    <x v="0"/>
    <s v="SUB RECETAS"/>
    <x v="1"/>
    <x v="301"/>
    <s v="UNIDADES"/>
    <n v="13841.168684509999"/>
    <n v="34.35"/>
    <n v="26"/>
    <n v="-8.35"/>
    <n v="359870.38579725998"/>
    <n v="-115573.75851565848"/>
    <x v="2"/>
  </r>
  <r>
    <x v="5"/>
    <x v="19"/>
    <x v="3"/>
    <s v="GASEOSAS Y SODAS"/>
    <x v="0"/>
    <x v="59"/>
    <s v="UNIDADES"/>
    <n v="2435.27777775"/>
    <n v="152"/>
    <n v="92"/>
    <n v="-60"/>
    <n v="224045.55555300001"/>
    <n v="-146116.666665"/>
    <x v="2"/>
  </r>
  <r>
    <x v="5"/>
    <x v="19"/>
    <x v="3"/>
    <s v="LICORES"/>
    <x v="0"/>
    <x v="166"/>
    <s v="ONZA"/>
    <n v="9899.25"/>
    <n v="10"/>
    <n v="11"/>
    <n v="1"/>
    <n v="108891.75"/>
    <n v="9899.25"/>
    <x v="0"/>
  </r>
  <r>
    <x v="5"/>
    <x v="19"/>
    <x v="3"/>
    <s v="PROTEINAS"/>
    <x v="1"/>
    <x v="207"/>
    <s v="UNIDADES"/>
    <n v="13154.054054050001"/>
    <n v="44.5"/>
    <n v="34.5"/>
    <n v="-10"/>
    <n v="453814.86486472504"/>
    <n v="-131540.54054050002"/>
    <x v="2"/>
  </r>
  <r>
    <x v="5"/>
    <x v="19"/>
    <x v="3"/>
    <s v="VINOS"/>
    <x v="0"/>
    <x v="237"/>
    <s v="UNIDADES"/>
    <n v="87241.5"/>
    <n v="1"/>
    <n v="1"/>
    <n v="0"/>
    <n v="87241.5"/>
    <n v="0"/>
    <x v="1"/>
  </r>
  <r>
    <x v="5"/>
    <x v="19"/>
    <x v="3"/>
    <s v="LICORES"/>
    <x v="0"/>
    <x v="55"/>
    <s v="ONZA"/>
    <n v="6303.25"/>
    <n v="56"/>
    <n v="62"/>
    <n v="6"/>
    <n v="390801.5"/>
    <n v="37819.5"/>
    <x v="0"/>
  </r>
  <r>
    <x v="5"/>
    <x v="19"/>
    <x v="3"/>
    <s v="VINOS"/>
    <x v="0"/>
    <x v="1014"/>
    <s v="UNIDADES"/>
    <n v="22425.5"/>
    <n v="7"/>
    <n v="5"/>
    <n v="-2"/>
    <n v="112127.5"/>
    <n v="-44851"/>
    <x v="2"/>
  </r>
  <r>
    <x v="5"/>
    <x v="19"/>
    <x v="3"/>
    <s v="CERVEZAS"/>
    <x v="0"/>
    <x v="199"/>
    <s v="UNIDADES"/>
    <n v="3261.8333333300002"/>
    <n v="0"/>
    <n v="0"/>
    <n v="0"/>
    <n v="0"/>
    <n v="0"/>
    <x v="1"/>
  </r>
  <r>
    <x v="5"/>
    <x v="19"/>
    <x v="3"/>
    <s v="LICORES"/>
    <x v="0"/>
    <x v="31"/>
    <s v="ONZA"/>
    <n v="2222.09090909"/>
    <n v="78"/>
    <n v="77"/>
    <n v="-1"/>
    <n v="171100.99999993001"/>
    <n v="-2222.09090909"/>
    <x v="2"/>
  </r>
  <r>
    <x v="5"/>
    <x v="18"/>
    <x v="1"/>
    <s v="PESCADOS Y MARISCOS"/>
    <x v="1"/>
    <x v="139"/>
    <s v="GRAMOS"/>
    <n v="39"/>
    <n v="800"/>
    <n v="780"/>
    <n v="-19.99999"/>
    <n v="30420"/>
    <n v="-779.99960999999996"/>
    <x v="2"/>
  </r>
  <r>
    <x v="5"/>
    <x v="19"/>
    <x v="3"/>
    <s v="VINOS"/>
    <x v="0"/>
    <x v="111"/>
    <s v="UNIDADES"/>
    <n v="34232.333333330003"/>
    <n v="4"/>
    <n v="4"/>
    <n v="0"/>
    <n v="136929.33333332001"/>
    <n v="0"/>
    <x v="1"/>
  </r>
  <r>
    <x v="5"/>
    <x v="19"/>
    <x v="3"/>
    <s v="AGUA Y TE"/>
    <x v="0"/>
    <x v="158"/>
    <s v="UNIDADES"/>
    <n v="1829.625"/>
    <n v="122"/>
    <n v="158"/>
    <n v="36"/>
    <n v="289080.75"/>
    <n v="65866.5"/>
    <x v="0"/>
  </r>
  <r>
    <x v="5"/>
    <x v="19"/>
    <x v="3"/>
    <s v="LICORES"/>
    <x v="0"/>
    <x v="26"/>
    <s v="ONZA"/>
    <n v="2906.3333333300002"/>
    <n v="19"/>
    <n v="19"/>
    <n v="0"/>
    <n v="55220.333333270006"/>
    <n v="0"/>
    <x v="1"/>
  </r>
  <r>
    <x v="5"/>
    <x v="18"/>
    <x v="1"/>
    <s v="PROTEINAS"/>
    <x v="1"/>
    <x v="217"/>
    <s v="UNIDADES"/>
    <n v="12365"/>
    <n v="22"/>
    <n v="0"/>
    <n v="-22"/>
    <n v="0"/>
    <n v="-272030"/>
    <x v="2"/>
  </r>
  <r>
    <x v="5"/>
    <x v="19"/>
    <x v="3"/>
    <s v="GASEOSAS Y SODAS"/>
    <x v="0"/>
    <x v="47"/>
    <s v="UNIDADES"/>
    <n v="5132.5"/>
    <n v="6"/>
    <n v="6"/>
    <n v="0"/>
    <n v="30795"/>
    <n v="0"/>
    <x v="1"/>
  </r>
  <r>
    <x v="5"/>
    <x v="19"/>
    <x v="3"/>
    <s v="LICORES"/>
    <x v="0"/>
    <x v="141"/>
    <s v="ONZA"/>
    <n v="6045.125"/>
    <n v="15"/>
    <n v="16"/>
    <n v="1"/>
    <n v="96722"/>
    <n v="6045.125"/>
    <x v="0"/>
  </r>
  <r>
    <x v="5"/>
    <x v="19"/>
    <x v="3"/>
    <s v="SUB RECETAS"/>
    <x v="1"/>
    <x v="253"/>
    <s v="UNIDADES"/>
    <n v="16188.145044430001"/>
    <n v="13"/>
    <n v="13"/>
    <n v="0"/>
    <n v="210445.88557759"/>
    <n v="0"/>
    <x v="1"/>
  </r>
  <r>
    <x v="5"/>
    <x v="19"/>
    <x v="3"/>
    <s v="LICORES"/>
    <x v="0"/>
    <x v="224"/>
    <s v="UNIDADES"/>
    <n v="0"/>
    <n v="2"/>
    <n v="2"/>
    <n v="0"/>
    <n v="0"/>
    <n v="0"/>
    <x v="1"/>
  </r>
  <r>
    <x v="5"/>
    <x v="19"/>
    <x v="3"/>
    <s v="VINOS"/>
    <x v="0"/>
    <x v="264"/>
    <s v="COPA"/>
    <n v="13660"/>
    <n v="7"/>
    <n v="8"/>
    <n v="1"/>
    <n v="109280"/>
    <n v="13660"/>
    <x v="0"/>
  </r>
  <r>
    <x v="5"/>
    <x v="19"/>
    <x v="3"/>
    <s v="LICORES"/>
    <x v="0"/>
    <x v="21"/>
    <s v="ONZA"/>
    <n v="12951.25"/>
    <n v="9"/>
    <n v="9"/>
    <n v="0"/>
    <n v="116561.25"/>
    <n v="0"/>
    <x v="1"/>
  </r>
  <r>
    <x v="5"/>
    <x v="22"/>
    <x v="0"/>
    <s v="PROTEINAS"/>
    <x v="1"/>
    <x v="206"/>
    <s v="UNIDADES"/>
    <n v="10840"/>
    <n v="24"/>
    <n v="0"/>
    <n v="-24"/>
    <n v="0"/>
    <n v="-260160"/>
    <x v="2"/>
  </r>
  <r>
    <x v="5"/>
    <x v="19"/>
    <x v="3"/>
    <s v="GASEOSAS Y SODAS"/>
    <x v="0"/>
    <x v="63"/>
    <s v="UNIDADES"/>
    <n v="5309.7916666700003"/>
    <n v="13.5"/>
    <n v="14"/>
    <n v="0.5"/>
    <n v="74337.083333379996"/>
    <n v="2654.8958333350001"/>
    <x v="0"/>
  </r>
  <r>
    <x v="5"/>
    <x v="19"/>
    <x v="3"/>
    <s v="LICORES"/>
    <x v="0"/>
    <x v="5"/>
    <s v="ONZA"/>
    <n v="6850.05"/>
    <n v="32.04"/>
    <n v="34"/>
    <n v="1.96"/>
    <n v="232901.7"/>
    <n v="13426.098"/>
    <x v="0"/>
  </r>
  <r>
    <x v="5"/>
    <x v="22"/>
    <x v="0"/>
    <s v="PESCADOS Y MARISCOS"/>
    <x v="1"/>
    <x v="192"/>
    <s v="UNIDADES"/>
    <n v="810"/>
    <n v="130"/>
    <n v="100"/>
    <n v="-30"/>
    <n v="81000"/>
    <n v="-24300"/>
    <x v="2"/>
  </r>
  <r>
    <x v="5"/>
    <x v="19"/>
    <x v="3"/>
    <s v="VINOS"/>
    <x v="0"/>
    <x v="113"/>
    <s v="UNIDADES"/>
    <n v="63887"/>
    <n v="3"/>
    <n v="3"/>
    <n v="0"/>
    <n v="191661"/>
    <n v="0"/>
    <x v="1"/>
  </r>
  <r>
    <x v="5"/>
    <x v="19"/>
    <x v="3"/>
    <s v="AGUA Y TE"/>
    <x v="0"/>
    <x v="130"/>
    <s v="UNIDADES"/>
    <n v="2766.665"/>
    <n v="0"/>
    <n v="8"/>
    <n v="8"/>
    <n v="22133.32"/>
    <n v="22133.32"/>
    <x v="0"/>
  </r>
  <r>
    <x v="5"/>
    <x v="19"/>
    <x v="3"/>
    <s v="LICORES"/>
    <x v="0"/>
    <x v="19"/>
    <s v="UNIDADES"/>
    <n v="93956"/>
    <n v="2"/>
    <n v="2"/>
    <n v="0"/>
    <n v="187912"/>
    <n v="0"/>
    <x v="1"/>
  </r>
  <r>
    <x v="5"/>
    <x v="19"/>
    <x v="3"/>
    <s v="VINOS"/>
    <x v="0"/>
    <x v="262"/>
    <s v="ONZA"/>
    <n v="2902.8333333300002"/>
    <n v="36"/>
    <n v="40"/>
    <n v="4"/>
    <n v="116113.3333332"/>
    <n v="11611.333333320001"/>
    <x v="0"/>
  </r>
  <r>
    <x v="5"/>
    <x v="19"/>
    <x v="3"/>
    <s v="CERVEZAS"/>
    <x v="0"/>
    <x v="178"/>
    <s v="UNIDADES"/>
    <n v="3603.3333333300002"/>
    <n v="31"/>
    <n v="31"/>
    <n v="0"/>
    <n v="111703.33333323001"/>
    <n v="0"/>
    <x v="1"/>
  </r>
  <r>
    <x v="5"/>
    <x v="19"/>
    <x v="3"/>
    <s v="LICORES"/>
    <x v="0"/>
    <x v="46"/>
    <s v="ONZA"/>
    <n v="6813.3636363599999"/>
    <n v="16.670000000000002"/>
    <n v="16"/>
    <n v="-0.67"/>
    <n v="109013.81818176"/>
    <n v="-4564.9536363612006"/>
    <x v="2"/>
  </r>
  <r>
    <x v="5"/>
    <x v="22"/>
    <x v="0"/>
    <s v="PESCADOS Y MARISCOS"/>
    <x v="1"/>
    <x v="246"/>
    <s v="GRAMOS"/>
    <n v="58.31"/>
    <n v="4600"/>
    <n v="4560"/>
    <n v="-40"/>
    <n v="265893.60000000003"/>
    <n v="-2332.4"/>
    <x v="2"/>
  </r>
  <r>
    <x v="5"/>
    <x v="19"/>
    <x v="3"/>
    <s v="VINOS"/>
    <x v="0"/>
    <x v="185"/>
    <s v="COPA"/>
    <n v="9853.2000000000007"/>
    <n v="11"/>
    <n v="11"/>
    <n v="0"/>
    <n v="108385.20000000001"/>
    <n v="0"/>
    <x v="1"/>
  </r>
  <r>
    <x v="5"/>
    <x v="19"/>
    <x v="3"/>
    <s v="AGUA Y TE"/>
    <x v="0"/>
    <x v="145"/>
    <s v="UNIDADES"/>
    <n v="7857"/>
    <n v="27"/>
    <n v="27"/>
    <n v="0"/>
    <n v="212139"/>
    <n v="0"/>
    <x v="1"/>
  </r>
  <r>
    <x v="5"/>
    <x v="19"/>
    <x v="3"/>
    <s v="LICORES"/>
    <x v="0"/>
    <x v="28"/>
    <s v="ONZA"/>
    <n v="4004.4333333300001"/>
    <n v="43"/>
    <n v="44"/>
    <n v="1"/>
    <n v="176195.06666652"/>
    <n v="4004.4333333300001"/>
    <x v="0"/>
  </r>
  <r>
    <x v="5"/>
    <x v="22"/>
    <x v="0"/>
    <s v="SUB RECETAS"/>
    <x v="1"/>
    <x v="304"/>
    <s v="UNIDADES"/>
    <n v="482.77218261000002"/>
    <n v="85"/>
    <n v="40"/>
    <n v="-45"/>
    <n v="19310.887304399999"/>
    <n v="-21724.74821745"/>
    <x v="2"/>
  </r>
  <r>
    <x v="5"/>
    <x v="19"/>
    <x v="3"/>
    <s v="GASEOSAS Y SODAS"/>
    <x v="0"/>
    <x v="18"/>
    <s v="UNIDADES"/>
    <n v="5424"/>
    <n v="23.41"/>
    <n v="26"/>
    <n v="2.59"/>
    <n v="141024"/>
    <n v="14048.16"/>
    <x v="0"/>
  </r>
  <r>
    <x v="5"/>
    <x v="19"/>
    <x v="3"/>
    <s v="VINOS"/>
    <x v="0"/>
    <x v="98"/>
    <s v="UNIDADES"/>
    <n v="108834"/>
    <n v="4"/>
    <n v="4"/>
    <n v="0"/>
    <n v="435336"/>
    <n v="0"/>
    <x v="1"/>
  </r>
  <r>
    <x v="5"/>
    <x v="19"/>
    <x v="3"/>
    <s v="LICORES"/>
    <x v="0"/>
    <x v="42"/>
    <s v="UNIDADES"/>
    <n v="21478"/>
    <n v="2"/>
    <n v="2"/>
    <n v="0"/>
    <n v="42956"/>
    <n v="0"/>
    <x v="1"/>
  </r>
  <r>
    <x v="5"/>
    <x v="20"/>
    <x v="5"/>
    <s v="PROTEINAS"/>
    <x v="1"/>
    <x v="85"/>
    <s v="UNIDADES"/>
    <n v="13512.820512820001"/>
    <n v="126"/>
    <n v="78"/>
    <n v="-48"/>
    <n v="1053999.99999996"/>
    <n v="-648615.38461536006"/>
    <x v="2"/>
  </r>
  <r>
    <x v="5"/>
    <x v="19"/>
    <x v="3"/>
    <s v="GASEOSAS Y SODAS"/>
    <x v="0"/>
    <x v="71"/>
    <s v="UNIDADES"/>
    <n v="1835.41666667"/>
    <n v="0"/>
    <n v="0"/>
    <n v="0"/>
    <n v="0"/>
    <n v="0"/>
    <x v="1"/>
  </r>
  <r>
    <x v="5"/>
    <x v="19"/>
    <x v="3"/>
    <s v="VINOS"/>
    <x v="0"/>
    <x v="240"/>
    <s v="UNIDADES"/>
    <n v="25109.5"/>
    <n v="0"/>
    <n v="2"/>
    <n v="2"/>
    <n v="50219"/>
    <n v="50219"/>
    <x v="0"/>
  </r>
  <r>
    <x v="5"/>
    <x v="19"/>
    <x v="3"/>
    <s v="LICORES"/>
    <x v="0"/>
    <x v="203"/>
    <s v="ONZA"/>
    <n v="0"/>
    <n v="0"/>
    <n v="0"/>
    <n v="0"/>
    <n v="0"/>
    <n v="0"/>
    <x v="1"/>
  </r>
  <r>
    <x v="5"/>
    <x v="22"/>
    <x v="0"/>
    <s v="PESCADOS Y MARISCOS"/>
    <x v="1"/>
    <x v="57"/>
    <s v="UNIDADES"/>
    <n v="514.28571428999999"/>
    <n v="2010"/>
    <n v="1946"/>
    <n v="-64"/>
    <n v="1000800.00000834"/>
    <n v="-32914.285714559999"/>
    <x v="2"/>
  </r>
  <r>
    <x v="5"/>
    <x v="19"/>
    <x v="3"/>
    <s v="GASEOSAS Y SODAS"/>
    <x v="0"/>
    <x v="22"/>
    <s v="UNIDADES"/>
    <n v="5132.4583333299997"/>
    <n v="9"/>
    <n v="17"/>
    <n v="8"/>
    <n v="87251.791666609992"/>
    <n v="41059.666666639998"/>
    <x v="0"/>
  </r>
  <r>
    <x v="5"/>
    <x v="19"/>
    <x v="3"/>
    <s v="LICORES"/>
    <x v="0"/>
    <x v="4"/>
    <s v="ONZA"/>
    <n v="9796.6363636400001"/>
    <n v="25.34"/>
    <n v="25"/>
    <n v="-0.34"/>
    <n v="244915.90909100001"/>
    <n v="-3330.8563636376002"/>
    <x v="2"/>
  </r>
  <r>
    <x v="5"/>
    <x v="19"/>
    <x v="3"/>
    <s v="SUB-RECETAS BAR"/>
    <x v="0"/>
    <x v="302"/>
    <s v="ONZA"/>
    <n v="4942.8194726199999"/>
    <n v="0"/>
    <n v="0"/>
    <n v="0"/>
    <n v="0"/>
    <n v="0"/>
    <x v="1"/>
  </r>
  <r>
    <x v="5"/>
    <x v="19"/>
    <x v="3"/>
    <s v="VINOS"/>
    <x v="0"/>
    <x v="242"/>
    <s v="COPA"/>
    <n v="9702"/>
    <n v="6"/>
    <n v="6"/>
    <n v="0"/>
    <n v="58212"/>
    <n v="0"/>
    <x v="1"/>
  </r>
  <r>
    <x v="5"/>
    <x v="19"/>
    <x v="3"/>
    <s v="AGUA Y TE"/>
    <x v="0"/>
    <x v="162"/>
    <s v="UNIDADES"/>
    <n v="3458.4691876699999"/>
    <n v="-3"/>
    <n v="3"/>
    <n v="6"/>
    <n v="10375.40756301"/>
    <n v="20750.815126019999"/>
    <x v="0"/>
  </r>
  <r>
    <x v="5"/>
    <x v="21"/>
    <x v="2"/>
    <s v="PESCADOS Y MARISCOS"/>
    <x v="1"/>
    <x v="57"/>
    <s v="UNIDADES"/>
    <n v="514.28571428999999"/>
    <n v="842"/>
    <n v="770"/>
    <n v="-72"/>
    <n v="396000.00000329997"/>
    <n v="-37028.571428880001"/>
    <x v="2"/>
  </r>
  <r>
    <x v="5"/>
    <x v="19"/>
    <x v="3"/>
    <s v="VINOS"/>
    <x v="0"/>
    <x v="116"/>
    <s v="UNIDADES"/>
    <n v="48500"/>
    <n v="0"/>
    <n v="0"/>
    <n v="0"/>
    <n v="0"/>
    <n v="0"/>
    <x v="1"/>
  </r>
  <r>
    <x v="5"/>
    <x v="19"/>
    <x v="3"/>
    <s v="CERVEZAS"/>
    <x v="0"/>
    <x v="96"/>
    <s v="UNIDADES"/>
    <n v="3200"/>
    <n v="0"/>
    <n v="0"/>
    <n v="0"/>
    <n v="0"/>
    <n v="0"/>
    <x v="1"/>
  </r>
  <r>
    <x v="5"/>
    <x v="19"/>
    <x v="3"/>
    <s v="LICORES"/>
    <x v="0"/>
    <x v="172"/>
    <s v="ONZA"/>
    <n v="6744"/>
    <n v="55"/>
    <n v="57"/>
    <n v="2"/>
    <n v="384408"/>
    <n v="13488"/>
    <x v="0"/>
  </r>
  <r>
    <x v="5"/>
    <x v="22"/>
    <x v="0"/>
    <s v="PROTEINAS"/>
    <x v="1"/>
    <x v="163"/>
    <s v="GRAMOS"/>
    <n v="7970"/>
    <n v="73"/>
    <n v="0"/>
    <n v="-73"/>
    <n v="0"/>
    <n v="-581810"/>
    <x v="2"/>
  </r>
  <r>
    <x v="5"/>
    <x v="19"/>
    <x v="3"/>
    <s v="VINOS"/>
    <x v="0"/>
    <x v="107"/>
    <s v="UNIDADES"/>
    <n v="34226.166666669997"/>
    <n v="12"/>
    <n v="12"/>
    <n v="0"/>
    <n v="410714.00000003993"/>
    <n v="0"/>
    <x v="1"/>
  </r>
  <r>
    <x v="5"/>
    <x v="24"/>
    <x v="3"/>
    <s v="LICORES"/>
    <x v="0"/>
    <x v="1016"/>
    <s v="UNDX22ONZ"/>
    <n v="1658795.9259299999"/>
    <n v="0"/>
    <n v="0"/>
    <n v="0"/>
    <n v="0"/>
    <n v="0"/>
    <x v="1"/>
  </r>
  <r>
    <x v="5"/>
    <x v="19"/>
    <x v="3"/>
    <s v="LICORES"/>
    <x v="0"/>
    <x v="225"/>
    <s v="ONZA"/>
    <n v="0"/>
    <n v="0"/>
    <n v="0"/>
    <n v="0"/>
    <n v="0"/>
    <n v="0"/>
    <x v="1"/>
  </r>
  <r>
    <x v="5"/>
    <x v="19"/>
    <x v="3"/>
    <s v="PESCADOS Y MARISCOS"/>
    <x v="1"/>
    <x v="246"/>
    <s v="GRAMOS"/>
    <n v="58.31"/>
    <n v="0"/>
    <n v="0"/>
    <n v="0"/>
    <n v="0"/>
    <n v="0"/>
    <x v="1"/>
  </r>
  <r>
    <x v="5"/>
    <x v="19"/>
    <x v="3"/>
    <s v="GASEOSAS Y SODAS"/>
    <x v="0"/>
    <x v="65"/>
    <s v="UNIDADES"/>
    <n v="5313.1666666700003"/>
    <n v="9.5"/>
    <n v="8"/>
    <n v="-1.5"/>
    <n v="42505.333333360002"/>
    <n v="-7969.7500000050004"/>
    <x v="2"/>
  </r>
  <r>
    <x v="5"/>
    <x v="19"/>
    <x v="3"/>
    <s v="LICORES"/>
    <x v="0"/>
    <x v="134"/>
    <s v="ONZA"/>
    <n v="9152.4545454500003"/>
    <n v="6"/>
    <n v="6"/>
    <n v="0"/>
    <n v="54914.727272700002"/>
    <n v="0"/>
    <x v="1"/>
  </r>
  <r>
    <x v="5"/>
    <x v="22"/>
    <x v="0"/>
    <s v="PESCADOS Y MARISCOS"/>
    <x v="1"/>
    <x v="136"/>
    <s v="UNIDADES"/>
    <n v="10787.09677419"/>
    <n v="95"/>
    <n v="0"/>
    <n v="-95"/>
    <n v="0"/>
    <n v="-1024774.19354805"/>
    <x v="2"/>
  </r>
  <r>
    <x v="5"/>
    <x v="19"/>
    <x v="3"/>
    <s v="GASEOSAS Y SODAS"/>
    <x v="0"/>
    <x v="1"/>
    <s v="UNIDADES"/>
    <n v="1656.3214285700001"/>
    <n v="153.19999999999999"/>
    <n v="164.5"/>
    <n v="11.3"/>
    <n v="272464.87499976502"/>
    <n v="18716.432142841"/>
    <x v="0"/>
  </r>
  <r>
    <x v="5"/>
    <x v="19"/>
    <x v="3"/>
    <s v="VINOS"/>
    <x v="0"/>
    <x v="244"/>
    <s v="UNIDADES"/>
    <n v="73956.022408999997"/>
    <n v="0"/>
    <n v="0"/>
    <n v="0"/>
    <n v="0"/>
    <n v="0"/>
    <x v="1"/>
  </r>
  <r>
    <x v="5"/>
    <x v="19"/>
    <x v="3"/>
    <s v="LICORES"/>
    <x v="0"/>
    <x v="270"/>
    <s v="ONZA"/>
    <n v="2746.1166666700001"/>
    <n v="9"/>
    <n v="14"/>
    <n v="5"/>
    <n v="38445.633333379999"/>
    <n v="13730.583333350001"/>
    <x v="0"/>
  </r>
  <r>
    <x v="5"/>
    <x v="19"/>
    <x v="3"/>
    <s v="LICORES"/>
    <x v="0"/>
    <x v="180"/>
    <s v="ONZA"/>
    <n v="20566.318181819999"/>
    <n v="5"/>
    <n v="7"/>
    <n v="2"/>
    <n v="143964.22727273998"/>
    <n v="41132.636363639998"/>
    <x v="0"/>
  </r>
  <r>
    <x v="5"/>
    <x v="19"/>
    <x v="3"/>
    <s v="CERVEZAS"/>
    <x v="0"/>
    <x v="184"/>
    <s v="UNIDADES"/>
    <n v="3338.5"/>
    <n v="45"/>
    <n v="45"/>
    <n v="0"/>
    <n v="150232.5"/>
    <n v="0"/>
    <x v="1"/>
  </r>
  <r>
    <x v="5"/>
    <x v="19"/>
    <x v="3"/>
    <s v="LICORES"/>
    <x v="0"/>
    <x v="132"/>
    <s v="ONZA"/>
    <n v="13020.86363636"/>
    <n v="43"/>
    <n v="43"/>
    <n v="0"/>
    <n v="559897.13636348001"/>
    <n v="0"/>
    <x v="1"/>
  </r>
  <r>
    <x v="5"/>
    <x v="19"/>
    <x v="3"/>
    <s v="SUB-RECETAS BAR"/>
    <x v="0"/>
    <x v="259"/>
    <s v="ONZA"/>
    <n v="3659.04270434"/>
    <n v="84"/>
    <n v="84"/>
    <n v="0"/>
    <n v="307359.58716455998"/>
    <n v="0"/>
    <x v="1"/>
  </r>
  <r>
    <x v="5"/>
    <x v="19"/>
    <x v="3"/>
    <s v="VINOS"/>
    <x v="0"/>
    <x v="142"/>
    <s v="COPA"/>
    <n v="4005"/>
    <n v="11"/>
    <n v="11"/>
    <n v="0"/>
    <n v="44055"/>
    <n v="0"/>
    <x v="1"/>
  </r>
  <r>
    <x v="5"/>
    <x v="19"/>
    <x v="3"/>
    <s v="AGUA Y TE"/>
    <x v="0"/>
    <x v="149"/>
    <s v="UNIDADES"/>
    <n v="3458.25"/>
    <n v="-6"/>
    <n v="6"/>
    <n v="12"/>
    <n v="20749.5"/>
    <n v="41499"/>
    <x v="0"/>
  </r>
  <r>
    <x v="5"/>
    <x v="19"/>
    <x v="3"/>
    <s v="LICORES"/>
    <x v="0"/>
    <x v="40"/>
    <s v="UNIDADES"/>
    <n v="22770"/>
    <n v="2"/>
    <n v="2"/>
    <n v="0"/>
    <n v="45540"/>
    <n v="0"/>
    <x v="1"/>
  </r>
  <r>
    <x v="5"/>
    <x v="19"/>
    <x v="3"/>
    <s v="VINOS"/>
    <x v="0"/>
    <x v="232"/>
    <s v="COPA"/>
    <n v="0"/>
    <n v="0"/>
    <n v="0"/>
    <n v="0"/>
    <n v="0"/>
    <n v="0"/>
    <x v="1"/>
  </r>
  <r>
    <x v="5"/>
    <x v="19"/>
    <x v="3"/>
    <s v="CERVEZAS"/>
    <x v="0"/>
    <x v="76"/>
    <s v="UNIDADES"/>
    <n v="2359.5666666699999"/>
    <n v="17"/>
    <n v="17"/>
    <n v="0"/>
    <n v="40112.633333389997"/>
    <n v="0"/>
    <x v="1"/>
  </r>
  <r>
    <x v="5"/>
    <x v="19"/>
    <x v="3"/>
    <s v="LICORES"/>
    <x v="0"/>
    <x v="2"/>
    <s v="ONZA"/>
    <n v="14896.95833333"/>
    <n v="9"/>
    <n v="9"/>
    <n v="0"/>
    <n v="134072.62499996999"/>
    <n v="0"/>
    <x v="1"/>
  </r>
  <r>
    <x v="5"/>
    <x v="19"/>
    <x v="3"/>
    <s v="SUB RECETAS"/>
    <x v="1"/>
    <x v="257"/>
    <s v="UNIDADES"/>
    <n v="1729.6435177799999"/>
    <n v="44"/>
    <n v="44"/>
    <n v="0"/>
    <n v="76104.314782319998"/>
    <n v="0"/>
    <x v="1"/>
  </r>
  <r>
    <x v="5"/>
    <x v="19"/>
    <x v="3"/>
    <s v="VINOS"/>
    <x v="0"/>
    <x v="105"/>
    <s v="UNIDADES"/>
    <n v="63372.666666669997"/>
    <n v="3"/>
    <n v="3"/>
    <n v="0"/>
    <n v="190118.00000000998"/>
    <n v="0"/>
    <x v="1"/>
  </r>
  <r>
    <x v="5"/>
    <x v="19"/>
    <x v="3"/>
    <s v="LICORES"/>
    <x v="0"/>
    <x v="30"/>
    <s v="ONZA"/>
    <n v="6806.25"/>
    <n v="44"/>
    <n v="44"/>
    <n v="0"/>
    <n v="299475"/>
    <n v="0"/>
    <x v="1"/>
  </r>
  <r>
    <x v="5"/>
    <x v="21"/>
    <x v="2"/>
    <s v="SUB-RECETAS CP"/>
    <x v="1"/>
    <x v="280"/>
    <s v="GRAMOS"/>
    <n v="63.986645770000003"/>
    <n v="4116"/>
    <n v="4000"/>
    <n v="-116"/>
    <n v="255946.58308000001"/>
    <n v="-7422.4509093200004"/>
    <x v="2"/>
  </r>
  <r>
    <x v="5"/>
    <x v="19"/>
    <x v="3"/>
    <s v="GASEOSAS Y SODAS"/>
    <x v="0"/>
    <x v="60"/>
    <s v="UNIDADES"/>
    <n v="2252.8125"/>
    <n v="85"/>
    <n v="84"/>
    <n v="-1"/>
    <n v="189236.25"/>
    <n v="-2252.8125"/>
    <x v="2"/>
  </r>
  <r>
    <x v="5"/>
    <x v="19"/>
    <x v="3"/>
    <s v="LICORES"/>
    <x v="0"/>
    <x v="24"/>
    <s v="ONZA"/>
    <n v="1993.59090909"/>
    <n v="12"/>
    <n v="12"/>
    <n v="0"/>
    <n v="23923.090909079998"/>
    <n v="0"/>
    <x v="1"/>
  </r>
  <r>
    <x v="5"/>
    <x v="21"/>
    <x v="2"/>
    <s v="PESCADOS Y MARISCOS"/>
    <x v="1"/>
    <x v="186"/>
    <s v="UNIDADES"/>
    <n v="1500"/>
    <n v="188"/>
    <n v="68"/>
    <n v="-120"/>
    <n v="102000"/>
    <n v="-180000"/>
    <x v="2"/>
  </r>
  <r>
    <x v="5"/>
    <x v="19"/>
    <x v="3"/>
    <s v="GASEOSAS Y SODAS"/>
    <x v="0"/>
    <x v="79"/>
    <s v="UNIDADES"/>
    <n v="0"/>
    <n v="0"/>
    <n v="0"/>
    <n v="0"/>
    <n v="0"/>
    <n v="0"/>
    <x v="1"/>
  </r>
  <r>
    <x v="5"/>
    <x v="19"/>
    <x v="3"/>
    <s v="VINOS"/>
    <x v="0"/>
    <x v="238"/>
    <s v="UNIDADES"/>
    <n v="63897.666666669997"/>
    <n v="6"/>
    <n v="6"/>
    <n v="0"/>
    <n v="383386.00000001997"/>
    <n v="0"/>
    <x v="1"/>
  </r>
  <r>
    <x v="5"/>
    <x v="19"/>
    <x v="3"/>
    <s v="LICORES"/>
    <x v="0"/>
    <x v="43"/>
    <s v="ONZA"/>
    <n v="3426.7241379299999"/>
    <n v="147.5"/>
    <n v="69"/>
    <n v="-78.5"/>
    <n v="236443.96551717"/>
    <n v="-268997.844827505"/>
    <x v="2"/>
  </r>
  <r>
    <x v="5"/>
    <x v="19"/>
    <x v="3"/>
    <s v="VINOS"/>
    <x v="0"/>
    <x v="6"/>
    <s v="ONZA"/>
    <n v="2903.3333333300002"/>
    <n v="0"/>
    <n v="0"/>
    <n v="0"/>
    <n v="0"/>
    <n v="0"/>
    <x v="1"/>
  </r>
  <r>
    <x v="5"/>
    <x v="19"/>
    <x v="3"/>
    <s v="CERVEZAS"/>
    <x v="0"/>
    <x v="228"/>
    <s v="UNIDADES"/>
    <n v="19546.5"/>
    <n v="6.58"/>
    <n v="0"/>
    <n v="-6.58"/>
    <n v="0"/>
    <n v="-128615.97"/>
    <x v="2"/>
  </r>
  <r>
    <x v="5"/>
    <x v="19"/>
    <x v="3"/>
    <s v="LICORES"/>
    <x v="0"/>
    <x v="7"/>
    <s v="ONZA"/>
    <n v="11819.5"/>
    <n v="0"/>
    <n v="0"/>
    <n v="0"/>
    <n v="0"/>
    <n v="0"/>
    <x v="1"/>
  </r>
  <r>
    <x v="5"/>
    <x v="19"/>
    <x v="3"/>
    <s v="SUB-RECETAS BAR"/>
    <x v="0"/>
    <x v="269"/>
    <s v="ONZA"/>
    <n v="3713.5548079599998"/>
    <n v="6"/>
    <n v="10"/>
    <n v="4"/>
    <n v="37135.548079599997"/>
    <n v="14854.219231839999"/>
    <x v="0"/>
  </r>
  <r>
    <x v="5"/>
    <x v="19"/>
    <x v="3"/>
    <s v="VINOS"/>
    <x v="0"/>
    <x v="86"/>
    <s v="COPA"/>
    <n v="4005.4"/>
    <n v="16"/>
    <n v="16"/>
    <n v="0"/>
    <n v="64086.400000000001"/>
    <n v="0"/>
    <x v="1"/>
  </r>
  <r>
    <x v="5"/>
    <x v="19"/>
    <x v="3"/>
    <s v="AGUA Y TE"/>
    <x v="0"/>
    <x v="147"/>
    <s v="UNIDADES"/>
    <n v="4166.7338934999998"/>
    <n v="15"/>
    <n v="15"/>
    <n v="0"/>
    <n v="62501.008402499996"/>
    <n v="0"/>
    <x v="1"/>
  </r>
  <r>
    <x v="5"/>
    <x v="19"/>
    <x v="3"/>
    <s v="LICORES"/>
    <x v="0"/>
    <x v="33"/>
    <s v="ONZA"/>
    <n v="4404.8863636400001"/>
    <n v="58"/>
    <n v="57"/>
    <n v="-1"/>
    <n v="251078.52272748001"/>
    <n v="-4404.8863636400001"/>
    <x v="2"/>
  </r>
  <r>
    <x v="5"/>
    <x v="20"/>
    <x v="5"/>
    <s v="SUB-RECETAS CP"/>
    <x v="1"/>
    <x v="313"/>
    <s v="GRAMOS"/>
    <n v="13.16873865"/>
    <n v="3800"/>
    <n v="3600"/>
    <n v="-200"/>
    <n v="47407.459139999999"/>
    <n v="-2633.74773"/>
    <x v="2"/>
  </r>
  <r>
    <x v="5"/>
    <x v="19"/>
    <x v="3"/>
    <s v="LICORES"/>
    <x v="0"/>
    <x v="39"/>
    <s v="ONZA"/>
    <n v="3951.875"/>
    <n v="76"/>
    <n v="76"/>
    <n v="0"/>
    <n v="300342.5"/>
    <n v="0"/>
    <x v="1"/>
  </r>
  <r>
    <x v="5"/>
    <x v="22"/>
    <x v="0"/>
    <s v="PESCADOS Y MARISCOS"/>
    <x v="1"/>
    <x v="335"/>
    <s v="GRAMOS"/>
    <n v="376"/>
    <n v="1010"/>
    <n v="800"/>
    <n v="-209.9999957"/>
    <n v="300800"/>
    <n v="-78959.9983832"/>
    <x v="2"/>
  </r>
  <r>
    <x v="5"/>
    <x v="19"/>
    <x v="3"/>
    <s v="LICORES"/>
    <x v="0"/>
    <x v="159"/>
    <s v="ONZA"/>
    <n v="3500"/>
    <n v="24"/>
    <n v="24"/>
    <n v="0"/>
    <n v="84000"/>
    <n v="0"/>
    <x v="1"/>
  </r>
  <r>
    <x v="5"/>
    <x v="19"/>
    <x v="3"/>
    <s v="VINOS"/>
    <x v="0"/>
    <x v="265"/>
    <s v="UNIDADES"/>
    <n v="444869"/>
    <n v="0"/>
    <n v="0"/>
    <n v="0"/>
    <n v="0"/>
    <n v="0"/>
    <x v="1"/>
  </r>
  <r>
    <x v="5"/>
    <x v="19"/>
    <x v="3"/>
    <s v="LICORES"/>
    <x v="0"/>
    <x v="52"/>
    <s v="ONZA"/>
    <n v="5291.6666666700003"/>
    <n v="0"/>
    <n v="0"/>
    <n v="0"/>
    <n v="0"/>
    <n v="0"/>
    <x v="1"/>
  </r>
  <r>
    <x v="5"/>
    <x v="18"/>
    <x v="1"/>
    <s v="PESCADOS Y MARISCOS"/>
    <x v="1"/>
    <x v="298"/>
    <s v="GRAMOS"/>
    <n v="326.20299999999997"/>
    <n v="504"/>
    <n v="270"/>
    <n v="-234"/>
    <n v="88074.81"/>
    <n v="-76331.501999999993"/>
    <x v="2"/>
  </r>
  <r>
    <x v="5"/>
    <x v="19"/>
    <x v="3"/>
    <s v="GASEOSAS Y SODAS"/>
    <x v="0"/>
    <x v="50"/>
    <s v="UNIDADES"/>
    <n v="0"/>
    <n v="0"/>
    <n v="0"/>
    <n v="0"/>
    <n v="0"/>
    <n v="0"/>
    <x v="1"/>
  </r>
  <r>
    <x v="5"/>
    <x v="19"/>
    <x v="3"/>
    <s v="LICORES"/>
    <x v="0"/>
    <x v="17"/>
    <s v="ONZA"/>
    <n v="3359.40909091"/>
    <n v="19.34"/>
    <n v="20"/>
    <n v="0.66"/>
    <n v="67188.181818199999"/>
    <n v="2217.2100000006003"/>
    <x v="0"/>
  </r>
  <r>
    <x v="5"/>
    <x v="22"/>
    <x v="0"/>
    <s v="PESCADOS Y MARISCOS"/>
    <x v="1"/>
    <x v="140"/>
    <s v="GRAMOS"/>
    <n v="10.3"/>
    <n v="1635.9984999999999"/>
    <n v="1390"/>
    <n v="-245.99850000000001"/>
    <n v="14317.000000000002"/>
    <n v="-2533.7845500000003"/>
    <x v="2"/>
  </r>
  <r>
    <x v="5"/>
    <x v="19"/>
    <x v="3"/>
    <s v="VINOS"/>
    <x v="0"/>
    <x v="245"/>
    <s v="UNIDADES"/>
    <n v="79652"/>
    <n v="1"/>
    <n v="1"/>
    <n v="0"/>
    <n v="79652"/>
    <n v="0"/>
    <x v="1"/>
  </r>
  <r>
    <x v="5"/>
    <x v="19"/>
    <x v="3"/>
    <s v="AGUA Y TE"/>
    <x v="0"/>
    <x v="152"/>
    <s v="UNIDADES"/>
    <n v="4166.5672268300004"/>
    <n v="8"/>
    <n v="0"/>
    <n v="-8"/>
    <n v="0"/>
    <n v="-33332.537814640003"/>
    <x v="2"/>
  </r>
  <r>
    <x v="5"/>
    <x v="19"/>
    <x v="3"/>
    <s v="LICORES"/>
    <x v="0"/>
    <x v="263"/>
    <s v="ONZA"/>
    <n v="4795.4545454500003"/>
    <n v="40"/>
    <n v="53"/>
    <n v="13"/>
    <n v="254159.09090885002"/>
    <n v="62340.909090850007"/>
    <x v="0"/>
  </r>
  <r>
    <x v="5"/>
    <x v="19"/>
    <x v="3"/>
    <s v="VINOS"/>
    <x v="0"/>
    <x v="234"/>
    <s v="UNIDADES"/>
    <n v="22425"/>
    <n v="0"/>
    <n v="0"/>
    <n v="0"/>
    <n v="0"/>
    <n v="0"/>
    <x v="1"/>
  </r>
  <r>
    <x v="5"/>
    <x v="19"/>
    <x v="3"/>
    <s v="CERVEZAS"/>
    <x v="0"/>
    <x v="227"/>
    <s v="UNIDADES"/>
    <n v="4102.8666666700001"/>
    <n v="29"/>
    <n v="29"/>
    <n v="0"/>
    <n v="118983.13333343"/>
    <n v="0"/>
    <x v="1"/>
  </r>
  <r>
    <x v="5"/>
    <x v="19"/>
    <x v="3"/>
    <s v="LICORES"/>
    <x v="0"/>
    <x v="44"/>
    <s v="ONZA"/>
    <n v="4668.5"/>
    <n v="49"/>
    <n v="49"/>
    <n v="0"/>
    <n v="228756.5"/>
    <n v="0"/>
    <x v="1"/>
  </r>
  <r>
    <x v="5"/>
    <x v="19"/>
    <x v="3"/>
    <s v="SUB RECETAS"/>
    <x v="1"/>
    <x v="312"/>
    <s v="UNIDADES"/>
    <n v="6457.8215472000002"/>
    <n v="12"/>
    <n v="12"/>
    <n v="0"/>
    <n v="77493.858566399998"/>
    <n v="0"/>
    <x v="1"/>
  </r>
  <r>
    <x v="5"/>
    <x v="19"/>
    <x v="3"/>
    <s v="VINOS"/>
    <x v="0"/>
    <x v="109"/>
    <s v="COPA"/>
    <n v="9855"/>
    <n v="10"/>
    <n v="10"/>
    <n v="0"/>
    <n v="98550"/>
    <n v="0"/>
    <x v="1"/>
  </r>
  <r>
    <x v="5"/>
    <x v="19"/>
    <x v="3"/>
    <s v="AGUA Y TE"/>
    <x v="0"/>
    <x v="29"/>
    <s v="UNIDADES"/>
    <n v="1234.3916666699999"/>
    <n v="26"/>
    <n v="86"/>
    <n v="60"/>
    <n v="106157.68333361999"/>
    <n v="74063.500000200002"/>
    <x v="0"/>
  </r>
  <r>
    <x v="5"/>
    <x v="19"/>
    <x v="3"/>
    <s v="LICORES"/>
    <x v="0"/>
    <x v="36"/>
    <s v="ONZA"/>
    <n v="2904.0416666699998"/>
    <n v="36.340000000000003"/>
    <n v="41"/>
    <n v="4.66"/>
    <n v="119065.70833346999"/>
    <n v="13532.8341666822"/>
    <x v="0"/>
  </r>
  <r>
    <x v="5"/>
    <x v="20"/>
    <x v="5"/>
    <s v="SUB-RECETAS CP"/>
    <x v="1"/>
    <x v="278"/>
    <s v="GRAMOS"/>
    <n v="23.33687085"/>
    <n v="6310"/>
    <n v="6000"/>
    <n v="-310"/>
    <n v="140021.22510000001"/>
    <n v="-7234.4299634999998"/>
    <x v="2"/>
  </r>
  <r>
    <x v="5"/>
    <x v="19"/>
    <x v="3"/>
    <s v="GASEOSAS Y SODAS"/>
    <x v="0"/>
    <x v="67"/>
    <s v="UNIDADES"/>
    <n v="0"/>
    <n v="-0.56999999999999995"/>
    <n v="0"/>
    <n v="0.56999999999999995"/>
    <n v="0"/>
    <n v="0"/>
    <x v="0"/>
  </r>
  <r>
    <x v="5"/>
    <x v="19"/>
    <x v="3"/>
    <s v="VINOS"/>
    <x v="0"/>
    <x v="236"/>
    <s v="UNIDADES"/>
    <n v="28357"/>
    <n v="1"/>
    <n v="1"/>
    <n v="0"/>
    <n v="28357"/>
    <n v="0"/>
    <x v="1"/>
  </r>
  <r>
    <x v="5"/>
    <x v="19"/>
    <x v="3"/>
    <s v="LICORES"/>
    <x v="0"/>
    <x v="41"/>
    <s v="ONZA"/>
    <n v="1809.40909091"/>
    <n v="41"/>
    <n v="43"/>
    <n v="2"/>
    <n v="77804.590909129998"/>
    <n v="3618.8181818200001"/>
    <x v="0"/>
  </r>
  <r>
    <x v="5"/>
    <x v="22"/>
    <x v="0"/>
    <s v="PROTEINAS"/>
    <x v="1"/>
    <x v="125"/>
    <s v="UNIDADES"/>
    <n v="337.5"/>
    <n v="404"/>
    <n v="43"/>
    <n v="-361"/>
    <n v="14512.5"/>
    <n v="-121837.5"/>
    <x v="2"/>
  </r>
  <r>
    <x v="5"/>
    <x v="19"/>
    <x v="3"/>
    <s v="GASEOSAS Y SODAS"/>
    <x v="0"/>
    <x v="62"/>
    <s v="UNIDADES"/>
    <n v="1395.83333333"/>
    <n v="55"/>
    <n v="55"/>
    <n v="0"/>
    <n v="76770.833333150003"/>
    <n v="0"/>
    <x v="1"/>
  </r>
  <r>
    <x v="5"/>
    <x v="19"/>
    <x v="3"/>
    <s v="VINOS"/>
    <x v="0"/>
    <x v="97"/>
    <s v="UNIDADES"/>
    <n v="0"/>
    <n v="0"/>
    <n v="0"/>
    <n v="0"/>
    <n v="0"/>
    <n v="0"/>
    <x v="1"/>
  </r>
  <r>
    <x v="5"/>
    <x v="19"/>
    <x v="3"/>
    <s v="LICORES"/>
    <x v="0"/>
    <x v="110"/>
    <s v="ONZA"/>
    <n v="3185.3636363599999"/>
    <n v="24"/>
    <n v="26"/>
    <n v="2"/>
    <n v="82819.45454536"/>
    <n v="6370.7272727199997"/>
    <x v="0"/>
  </r>
  <r>
    <x v="5"/>
    <x v="20"/>
    <x v="5"/>
    <s v="PROTEINAS"/>
    <x v="1"/>
    <x v="464"/>
    <s v="GRAMOS"/>
    <n v="28"/>
    <n v="500"/>
    <n v="0"/>
    <n v="-500"/>
    <n v="0"/>
    <n v="-14000"/>
    <x v="2"/>
  </r>
  <r>
    <x v="5"/>
    <x v="19"/>
    <x v="3"/>
    <s v="GASEOSAS Y SODAS"/>
    <x v="0"/>
    <x v="337"/>
    <s v="UNIDADES"/>
    <n v="2120.83"/>
    <n v="0"/>
    <n v="0"/>
    <n v="0"/>
    <n v="0"/>
    <n v="0"/>
    <x v="1"/>
  </r>
  <r>
    <x v="5"/>
    <x v="19"/>
    <x v="3"/>
    <s v="LICORES"/>
    <x v="0"/>
    <x v="161"/>
    <s v="ONZA"/>
    <n v="4724.9090909099996"/>
    <n v="16.5"/>
    <n v="18"/>
    <n v="1.5"/>
    <n v="85048.363636379989"/>
    <n v="7087.3636363649994"/>
    <x v="0"/>
  </r>
  <r>
    <x v="5"/>
    <x v="19"/>
    <x v="3"/>
    <s v="SUB-RECETAS CP"/>
    <x v="1"/>
    <x v="255"/>
    <s v="UNIDADES"/>
    <n v="4833.0366379300003"/>
    <n v="21"/>
    <n v="21"/>
    <n v="0"/>
    <n v="101493.76939653001"/>
    <n v="0"/>
    <x v="1"/>
  </r>
  <r>
    <x v="5"/>
    <x v="19"/>
    <x v="3"/>
    <s v="VINOS"/>
    <x v="0"/>
    <x v="267"/>
    <s v="COPA"/>
    <n v="9701.2000000000007"/>
    <n v="30"/>
    <n v="30"/>
    <n v="0"/>
    <n v="291036"/>
    <n v="0"/>
    <x v="1"/>
  </r>
  <r>
    <x v="5"/>
    <x v="19"/>
    <x v="3"/>
    <s v="AGUA Y TE"/>
    <x v="0"/>
    <x v="151"/>
    <s v="UNIDADES"/>
    <n v="3458.3333333300002"/>
    <n v="6"/>
    <n v="6"/>
    <n v="0"/>
    <n v="20749.999999980002"/>
    <n v="0"/>
    <x v="1"/>
  </r>
  <r>
    <x v="5"/>
    <x v="19"/>
    <x v="3"/>
    <s v="VINOS"/>
    <x v="0"/>
    <x v="233"/>
    <s v="UNIDADES"/>
    <n v="125043"/>
    <n v="2"/>
    <n v="2"/>
    <n v="0"/>
    <n v="250086"/>
    <n v="0"/>
    <x v="1"/>
  </r>
  <r>
    <x v="5"/>
    <x v="19"/>
    <x v="3"/>
    <s v="CERVEZAS"/>
    <x v="0"/>
    <x v="143"/>
    <s v="UNIDADES"/>
    <n v="2773.5"/>
    <n v="3"/>
    <n v="18"/>
    <n v="15"/>
    <n v="49923"/>
    <n v="41602.5"/>
    <x v="0"/>
  </r>
  <r>
    <x v="5"/>
    <x v="19"/>
    <x v="3"/>
    <s v="LICORES"/>
    <x v="0"/>
    <x v="32"/>
    <s v="ONZA"/>
    <n v="4504.1666666700003"/>
    <n v="0"/>
    <n v="0"/>
    <n v="0"/>
    <n v="0"/>
    <n v="0"/>
    <x v="1"/>
  </r>
  <r>
    <x v="5"/>
    <x v="22"/>
    <x v="0"/>
    <s v="PROTEINAS"/>
    <x v="1"/>
    <x v="336"/>
    <s v="GRAMOS"/>
    <n v="32.5"/>
    <n v="5714.5789000000004"/>
    <n v="5100"/>
    <n v="-614.57894099999999"/>
    <n v="165750"/>
    <n v="-19973.815582499999"/>
    <x v="2"/>
  </r>
  <r>
    <x v="5"/>
    <x v="19"/>
    <x v="3"/>
    <s v="VINOS"/>
    <x v="0"/>
    <x v="128"/>
    <s v="COPA"/>
    <n v="9853.7999999999993"/>
    <n v="0"/>
    <n v="0"/>
    <n v="0"/>
    <n v="0"/>
    <n v="0"/>
    <x v="1"/>
  </r>
  <r>
    <x v="5"/>
    <x v="19"/>
    <x v="3"/>
    <s v="AGUA Y TE"/>
    <x v="0"/>
    <x v="146"/>
    <s v="UNIDADES"/>
    <n v="1408.33333333"/>
    <n v="0"/>
    <n v="20"/>
    <n v="20"/>
    <n v="28166.666666599998"/>
    <n v="28166.666666599998"/>
    <x v="0"/>
  </r>
  <r>
    <x v="5"/>
    <x v="19"/>
    <x v="3"/>
    <s v="LICORES"/>
    <x v="0"/>
    <x v="23"/>
    <s v="ONZA"/>
    <n v="8628.9583333299997"/>
    <n v="40"/>
    <n v="38"/>
    <n v="-2"/>
    <n v="327900.41666653997"/>
    <n v="-17257.916666659999"/>
    <x v="2"/>
  </r>
  <r>
    <x v="5"/>
    <x v="20"/>
    <x v="5"/>
    <s v="SUB-RECETAS CP"/>
    <x v="1"/>
    <x v="297"/>
    <s v="GRAMOS"/>
    <n v="15.54095184"/>
    <n v="19739.444500000001"/>
    <n v="19084"/>
    <n v="-655.44446800000003"/>
    <n v="296583.52491456002"/>
    <n v="-10186.230910982422"/>
    <x v="2"/>
  </r>
  <r>
    <x v="5"/>
    <x v="19"/>
    <x v="3"/>
    <s v="GASEOSAS Y SODAS"/>
    <x v="0"/>
    <x v="137"/>
    <s v="UNIDADES"/>
    <n v="1816.8243405000001"/>
    <n v="47.99"/>
    <n v="48.5"/>
    <n v="0.51"/>
    <n v="88115.980514249997"/>
    <n v="926.58041365500003"/>
    <x v="0"/>
  </r>
  <r>
    <x v="5"/>
    <x v="19"/>
    <x v="3"/>
    <s v="LICORES"/>
    <x v="0"/>
    <x v="83"/>
    <s v="ONZA"/>
    <n v="7154.55"/>
    <n v="16"/>
    <n v="16"/>
    <n v="0"/>
    <n v="114472.8"/>
    <n v="0"/>
    <x v="1"/>
  </r>
  <r>
    <x v="5"/>
    <x v="18"/>
    <x v="1"/>
    <s v="SUB RECETAS"/>
    <x v="1"/>
    <x v="276"/>
    <s v="GRAMOS"/>
    <n v="49.701163800000003"/>
    <n v="6805"/>
    <n v="5625"/>
    <n v="-1180"/>
    <n v="279569.04637500003"/>
    <n v="-58647.373284000001"/>
    <x v="2"/>
  </r>
  <r>
    <x v="5"/>
    <x v="19"/>
    <x v="3"/>
    <s v="GASEOSAS Y SODAS"/>
    <x v="0"/>
    <x v="58"/>
    <s v="UNIDADES"/>
    <n v="3333.3333333300002"/>
    <n v="0"/>
    <n v="0"/>
    <n v="0"/>
    <n v="0"/>
    <n v="0"/>
    <x v="1"/>
  </r>
  <r>
    <x v="5"/>
    <x v="19"/>
    <x v="3"/>
    <s v="VINOS"/>
    <x v="0"/>
    <x v="239"/>
    <s v="UNIDADES"/>
    <n v="25109.5"/>
    <n v="5"/>
    <n v="3"/>
    <n v="-2"/>
    <n v="75328.5"/>
    <n v="-50219"/>
    <x v="2"/>
  </r>
  <r>
    <x v="5"/>
    <x v="19"/>
    <x v="3"/>
    <s v="LICORES"/>
    <x v="0"/>
    <x v="48"/>
    <s v="UNIDADES"/>
    <n v="41250"/>
    <n v="1"/>
    <n v="1"/>
    <n v="0"/>
    <n v="41250"/>
    <n v="0"/>
    <x v="1"/>
  </r>
  <r>
    <x v="5"/>
    <x v="19"/>
    <x v="3"/>
    <s v="LICORES"/>
    <x v="0"/>
    <x v="135"/>
    <s v="ONZA"/>
    <n v="5941.2272727299996"/>
    <n v="58"/>
    <n v="58"/>
    <n v="0"/>
    <n v="344591.18181833997"/>
    <n v="0"/>
    <x v="1"/>
  </r>
  <r>
    <x v="5"/>
    <x v="19"/>
    <x v="3"/>
    <s v="CERVEZAS"/>
    <x v="0"/>
    <x v="230"/>
    <s v="UNIDADES"/>
    <n v="11900.27777778"/>
    <n v="27"/>
    <n v="27"/>
    <n v="0"/>
    <n v="321307.50000006001"/>
    <n v="0"/>
    <x v="1"/>
  </r>
  <r>
    <x v="5"/>
    <x v="19"/>
    <x v="3"/>
    <s v="LICORES"/>
    <x v="0"/>
    <x v="173"/>
    <s v="ONZA"/>
    <n v="12698.95454545"/>
    <n v="26"/>
    <n v="28"/>
    <n v="2"/>
    <n v="355570.72727259999"/>
    <n v="25397.909090900001"/>
    <x v="0"/>
  </r>
  <r>
    <x v="5"/>
    <x v="19"/>
    <x v="3"/>
    <s v="SUB-RECETAS BAR"/>
    <x v="0"/>
    <x v="260"/>
    <s v="ONZA"/>
    <n v="2164.9723335899998"/>
    <n v="24"/>
    <n v="24"/>
    <n v="0"/>
    <n v="51959.336006159996"/>
    <n v="0"/>
    <x v="1"/>
  </r>
  <r>
    <x v="5"/>
    <x v="19"/>
    <x v="3"/>
    <s v="VINOS"/>
    <x v="0"/>
    <x v="314"/>
    <s v="COPA"/>
    <n v="9701.1"/>
    <n v="0"/>
    <n v="0"/>
    <n v="0"/>
    <n v="0"/>
    <n v="0"/>
    <x v="1"/>
  </r>
  <r>
    <x v="5"/>
    <x v="19"/>
    <x v="3"/>
    <s v="AGUA Y TE"/>
    <x v="0"/>
    <x v="150"/>
    <s v="UNIDADES"/>
    <n v="4166.7338934999998"/>
    <n v="5"/>
    <n v="5"/>
    <n v="0"/>
    <n v="20833.6694675"/>
    <n v="0"/>
    <x v="1"/>
  </r>
  <r>
    <x v="5"/>
    <x v="19"/>
    <x v="3"/>
    <s v="LICORES"/>
    <x v="0"/>
    <x v="13"/>
    <s v="ONZA"/>
    <n v="1886.3636363600001"/>
    <n v="39"/>
    <n v="39"/>
    <n v="0"/>
    <n v="73568.181818040001"/>
    <n v="0"/>
    <x v="1"/>
  </r>
  <r>
    <x v="5"/>
    <x v="25"/>
    <x v="4"/>
    <s v="LICORES"/>
    <x v="0"/>
    <x v="1016"/>
    <s v="UNDX22ONZ"/>
    <n v="1658795.9259299999"/>
    <n v="1"/>
    <n v="0"/>
    <n v="-1"/>
    <n v="0"/>
    <n v="-1658795.9259299999"/>
    <x v="2"/>
  </r>
  <r>
    <x v="5"/>
    <x v="22"/>
    <x v="0"/>
    <s v="PESCADOS Y MARISCOS"/>
    <x v="1"/>
    <x v="139"/>
    <s v="GRAMOS"/>
    <n v="39"/>
    <n v="8513.5552000000007"/>
    <n v="7240"/>
    <n v="-1273.55519"/>
    <n v="282360"/>
    <n v="-49668.652410000002"/>
    <x v="2"/>
  </r>
  <r>
    <x v="5"/>
    <x v="21"/>
    <x v="2"/>
    <s v="VINOS"/>
    <x v="0"/>
    <x v="185"/>
    <s v="COPA"/>
    <n v="9853.2000000000007"/>
    <n v="20"/>
    <n v="20"/>
    <n v="0"/>
    <n v="197064"/>
    <n v="0"/>
    <x v="1"/>
  </r>
  <r>
    <x v="5"/>
    <x v="21"/>
    <x v="2"/>
    <s v="GASEOSAS Y SODAS"/>
    <x v="0"/>
    <x v="59"/>
    <s v="UNIDADES"/>
    <n v="2435.27777775"/>
    <n v="101"/>
    <n v="89"/>
    <n v="-12"/>
    <n v="216739.72221974999"/>
    <n v="-29223.333333000002"/>
    <x v="2"/>
  </r>
  <r>
    <x v="5"/>
    <x v="21"/>
    <x v="2"/>
    <s v="LICORES"/>
    <x v="0"/>
    <x v="7"/>
    <s v="ONZA"/>
    <n v="11819.5"/>
    <n v="26"/>
    <n v="25"/>
    <n v="-1"/>
    <n v="295487.5"/>
    <n v="-11819.5"/>
    <x v="2"/>
  </r>
  <r>
    <x v="5"/>
    <x v="21"/>
    <x v="2"/>
    <s v="PESCADOS Y MARISCOS"/>
    <x v="1"/>
    <x v="247"/>
    <s v="GRAMOS"/>
    <n v="54.545000000000002"/>
    <n v="22502.2222"/>
    <n v="21106"/>
    <n v="-1396.222176"/>
    <n v="1151226.77"/>
    <n v="-76156.938589919999"/>
    <x v="2"/>
  </r>
  <r>
    <x v="5"/>
    <x v="21"/>
    <x v="2"/>
    <s v="VINOS"/>
    <x v="0"/>
    <x v="6"/>
    <s v="ONZA"/>
    <n v="2903.3333333300002"/>
    <n v="0"/>
    <n v="0"/>
    <n v="0"/>
    <n v="0"/>
    <n v="0"/>
    <x v="1"/>
  </r>
  <r>
    <x v="5"/>
    <x v="21"/>
    <x v="2"/>
    <s v="CERVEZAS"/>
    <x v="0"/>
    <x v="75"/>
    <s v="UNIDADES"/>
    <n v="2455.2333333299998"/>
    <n v="38"/>
    <n v="38"/>
    <n v="0"/>
    <n v="93298.866666539994"/>
    <n v="0"/>
    <x v="1"/>
  </r>
  <r>
    <x v="5"/>
    <x v="21"/>
    <x v="2"/>
    <s v="LICORES"/>
    <x v="0"/>
    <x v="38"/>
    <s v="UNIDADES"/>
    <n v="24403"/>
    <n v="2"/>
    <n v="2"/>
    <n v="0"/>
    <n v="48806"/>
    <n v="0"/>
    <x v="1"/>
  </r>
  <r>
    <x v="5"/>
    <x v="21"/>
    <x v="2"/>
    <s v="SUB-RECETAS BAR"/>
    <x v="0"/>
    <x v="302"/>
    <s v="ONZA"/>
    <n v="4942.8194726199999"/>
    <n v="28"/>
    <n v="29"/>
    <n v="1"/>
    <n v="143341.76470597999"/>
    <n v="4942.8194726199999"/>
    <x v="0"/>
  </r>
  <r>
    <x v="5"/>
    <x v="21"/>
    <x v="2"/>
    <s v="LICORES"/>
    <x v="0"/>
    <x v="43"/>
    <s v="ONZA"/>
    <n v="3426.7241379299999"/>
    <n v="16"/>
    <n v="72"/>
    <n v="56"/>
    <n v="246724.13793095999"/>
    <n v="191896.55172408"/>
    <x v="0"/>
  </r>
  <r>
    <x v="5"/>
    <x v="21"/>
    <x v="2"/>
    <s v="LICORES"/>
    <x v="0"/>
    <x v="225"/>
    <s v="ONZA"/>
    <n v="0"/>
    <n v="0"/>
    <n v="0"/>
    <n v="0"/>
    <n v="0"/>
    <n v="0"/>
    <x v="1"/>
  </r>
  <r>
    <x v="5"/>
    <x v="21"/>
    <x v="2"/>
    <s v="LICORES"/>
    <x v="0"/>
    <x v="52"/>
    <s v="ONZA"/>
    <n v="5291.6666666700003"/>
    <n v="1"/>
    <n v="1"/>
    <n v="0"/>
    <n v="5291.6666666700003"/>
    <n v="0"/>
    <x v="1"/>
  </r>
  <r>
    <x v="5"/>
    <x v="21"/>
    <x v="2"/>
    <s v="AGUA Y TE"/>
    <x v="0"/>
    <x v="158"/>
    <s v="UNIDADES"/>
    <n v="1829.625"/>
    <n v="98"/>
    <n v="97"/>
    <n v="-1"/>
    <n v="177473.625"/>
    <n v="-1829.625"/>
    <x v="2"/>
  </r>
  <r>
    <x v="5"/>
    <x v="22"/>
    <x v="0"/>
    <s v="SUB RECETAS"/>
    <x v="1"/>
    <x v="309"/>
    <s v="UNIDADES"/>
    <n v="600.61093749999998"/>
    <n v="1595"/>
    <n v="0"/>
    <n v="-1595"/>
    <n v="0"/>
    <n v="-957974.4453125"/>
    <x v="2"/>
  </r>
  <r>
    <x v="5"/>
    <x v="21"/>
    <x v="2"/>
    <s v="VINOS"/>
    <x v="0"/>
    <x v="242"/>
    <s v="COPA"/>
    <n v="9702"/>
    <n v="12"/>
    <n v="12"/>
    <n v="0"/>
    <n v="116424"/>
    <n v="0"/>
    <x v="1"/>
  </r>
  <r>
    <x v="5"/>
    <x v="21"/>
    <x v="2"/>
    <s v="GASEOSAS Y SODAS"/>
    <x v="0"/>
    <x v="47"/>
    <s v="UNIDADES"/>
    <n v="5132.5"/>
    <n v="11"/>
    <n v="11"/>
    <n v="0"/>
    <n v="56457.5"/>
    <n v="0"/>
    <x v="1"/>
  </r>
  <r>
    <x v="5"/>
    <x v="21"/>
    <x v="2"/>
    <s v="LICORES"/>
    <x v="0"/>
    <x v="17"/>
    <s v="ONZA"/>
    <n v="3359.40909091"/>
    <n v="23.06"/>
    <n v="30"/>
    <n v="6.94"/>
    <n v="100782.27272730001"/>
    <n v="23314.299090915403"/>
    <x v="0"/>
  </r>
  <r>
    <x v="5"/>
    <x v="21"/>
    <x v="2"/>
    <s v="PESCADOS Y MARISCOS"/>
    <x v="1"/>
    <x v="246"/>
    <s v="GRAMOS"/>
    <n v="58.31"/>
    <n v="0"/>
    <n v="0"/>
    <n v="0"/>
    <n v="0"/>
    <n v="0"/>
    <x v="1"/>
  </r>
  <r>
    <x v="5"/>
    <x v="21"/>
    <x v="2"/>
    <s v="VINOS"/>
    <x v="0"/>
    <x v="239"/>
    <s v="UNIDADES"/>
    <n v="25109.5"/>
    <n v="5"/>
    <n v="2"/>
    <n v="-3"/>
    <n v="50219"/>
    <n v="-75328.5"/>
    <x v="2"/>
  </r>
  <r>
    <x v="5"/>
    <x v="21"/>
    <x v="2"/>
    <s v="CERVEZAS"/>
    <x v="0"/>
    <x v="199"/>
    <s v="UNIDADES"/>
    <n v="3261.8333333300002"/>
    <n v="18"/>
    <n v="18"/>
    <n v="0"/>
    <n v="58712.999999940002"/>
    <n v="0"/>
    <x v="1"/>
  </r>
  <r>
    <x v="5"/>
    <x v="21"/>
    <x v="2"/>
    <s v="LICORES"/>
    <x v="0"/>
    <x v="39"/>
    <s v="ONZA"/>
    <n v="3951.875"/>
    <n v="17"/>
    <n v="17"/>
    <n v="0"/>
    <n v="67181.875"/>
    <n v="0"/>
    <x v="1"/>
  </r>
  <r>
    <x v="5"/>
    <x v="21"/>
    <x v="2"/>
    <s v="VINOS"/>
    <x v="0"/>
    <x v="107"/>
    <s v="UNIDADES"/>
    <n v="34226.166666669997"/>
    <n v="2"/>
    <n v="6"/>
    <n v="4"/>
    <n v="205357.00000001997"/>
    <n v="136904.66666667999"/>
    <x v="0"/>
  </r>
  <r>
    <x v="5"/>
    <x v="21"/>
    <x v="2"/>
    <s v="GASEOSAS Y SODAS"/>
    <x v="0"/>
    <x v="63"/>
    <s v="UNIDADES"/>
    <n v="5309.7916666700003"/>
    <n v="53.5"/>
    <n v="53"/>
    <n v="-0.5"/>
    <n v="281418.95833351003"/>
    <n v="-2654.8958333350001"/>
    <x v="2"/>
  </r>
  <r>
    <x v="5"/>
    <x v="21"/>
    <x v="2"/>
    <s v="LICORES"/>
    <x v="0"/>
    <x v="44"/>
    <s v="ONZA"/>
    <n v="4668.5"/>
    <n v="24"/>
    <n v="26"/>
    <n v="2"/>
    <n v="121381"/>
    <n v="9337"/>
    <x v="0"/>
  </r>
  <r>
    <x v="5"/>
    <x v="21"/>
    <x v="2"/>
    <s v="LICORES"/>
    <x v="0"/>
    <x v="180"/>
    <s v="ONZA"/>
    <n v="20566.318181819999"/>
    <n v="17"/>
    <n v="17"/>
    <n v="0"/>
    <n v="349627.40909093997"/>
    <n v="0"/>
    <x v="1"/>
  </r>
  <r>
    <x v="5"/>
    <x v="21"/>
    <x v="2"/>
    <s v="VINOS"/>
    <x v="0"/>
    <x v="234"/>
    <s v="UNIDADES"/>
    <n v="22425"/>
    <n v="0"/>
    <n v="2"/>
    <n v="2"/>
    <n v="44850"/>
    <n v="44850"/>
    <x v="0"/>
  </r>
  <r>
    <x v="5"/>
    <x v="21"/>
    <x v="2"/>
    <s v="AGUA Y TE"/>
    <x v="0"/>
    <x v="130"/>
    <s v="UNIDADES"/>
    <n v="2766.665"/>
    <n v="0"/>
    <n v="0"/>
    <n v="0"/>
    <n v="0"/>
    <n v="0"/>
    <x v="1"/>
  </r>
  <r>
    <x v="5"/>
    <x v="21"/>
    <x v="2"/>
    <s v="LICORES"/>
    <x v="0"/>
    <x v="224"/>
    <s v="UNIDADES"/>
    <n v="0"/>
    <n v="1"/>
    <n v="1"/>
    <n v="0"/>
    <n v="0"/>
    <n v="0"/>
    <x v="1"/>
  </r>
  <r>
    <x v="5"/>
    <x v="21"/>
    <x v="2"/>
    <s v="SUB-RECETAS BAR"/>
    <x v="0"/>
    <x v="259"/>
    <s v="ONZA"/>
    <n v="3659.04270434"/>
    <n v="39"/>
    <n v="39"/>
    <n v="0"/>
    <n v="142702.66546926001"/>
    <n v="0"/>
    <x v="1"/>
  </r>
  <r>
    <x v="5"/>
    <x v="21"/>
    <x v="2"/>
    <s v="VINOS"/>
    <x v="0"/>
    <x v="116"/>
    <s v="UNIDADES"/>
    <n v="48500"/>
    <n v="0"/>
    <n v="0"/>
    <n v="0"/>
    <n v="0"/>
    <n v="0"/>
    <x v="1"/>
  </r>
  <r>
    <x v="5"/>
    <x v="21"/>
    <x v="2"/>
    <s v="LICORES"/>
    <x v="0"/>
    <x v="263"/>
    <s v="ONZA"/>
    <n v="4795.4545454500003"/>
    <n v="19"/>
    <n v="28"/>
    <n v="9"/>
    <n v="134272.72727259999"/>
    <n v="43159.090909050006"/>
    <x v="0"/>
  </r>
  <r>
    <x v="5"/>
    <x v="21"/>
    <x v="2"/>
    <s v="SUB RECETAS"/>
    <x v="1"/>
    <x v="252"/>
    <s v="GRAMOS"/>
    <n v="118.89991223"/>
    <n v="1988"/>
    <n v="216"/>
    <n v="-1772"/>
    <n v="25682.381041680001"/>
    <n v="-210690.64447155999"/>
    <x v="2"/>
  </r>
  <r>
    <x v="5"/>
    <x v="21"/>
    <x v="2"/>
    <s v="LICORES"/>
    <x v="0"/>
    <x v="110"/>
    <s v="ONZA"/>
    <n v="3185.3636363599999"/>
    <n v="16"/>
    <n v="19"/>
    <n v="3"/>
    <n v="60521.909090839996"/>
    <n v="9556.0909090799996"/>
    <x v="0"/>
  </r>
  <r>
    <x v="5"/>
    <x v="21"/>
    <x v="2"/>
    <s v="AGUA Y TE"/>
    <x v="0"/>
    <x v="144"/>
    <s v="UNIDADES"/>
    <n v="7330"/>
    <n v="26"/>
    <n v="26"/>
    <n v="0"/>
    <n v="190580"/>
    <n v="0"/>
    <x v="1"/>
  </r>
  <r>
    <x v="5"/>
    <x v="18"/>
    <x v="1"/>
    <s v="PROTEINAS"/>
    <x v="1"/>
    <x v="484"/>
    <s v="GRAMOS"/>
    <n v="19"/>
    <n v="2940"/>
    <n v="1110"/>
    <n v="-1830"/>
    <n v="21090"/>
    <n v="-34770"/>
    <x v="2"/>
  </r>
  <r>
    <x v="5"/>
    <x v="21"/>
    <x v="2"/>
    <s v="VINOS"/>
    <x v="0"/>
    <x v="142"/>
    <s v="COPA"/>
    <n v="4005"/>
    <n v="10"/>
    <n v="10"/>
    <n v="0"/>
    <n v="40050"/>
    <n v="0"/>
    <x v="1"/>
  </r>
  <r>
    <x v="5"/>
    <x v="21"/>
    <x v="2"/>
    <s v="GASEOSAS Y SODAS"/>
    <x v="0"/>
    <x v="18"/>
    <s v="UNIDADES"/>
    <n v="5424"/>
    <n v="11.55"/>
    <n v="21"/>
    <n v="9.4499999999999993"/>
    <n v="113904"/>
    <n v="51256.799999999996"/>
    <x v="0"/>
  </r>
  <r>
    <x v="5"/>
    <x v="21"/>
    <x v="2"/>
    <s v="LICORES"/>
    <x v="0"/>
    <x v="161"/>
    <s v="ONZA"/>
    <n v="4724.9090909099996"/>
    <n v="-3.66"/>
    <n v="8"/>
    <n v="11.66"/>
    <n v="37799.272727279997"/>
    <n v="55092.440000010596"/>
    <x v="0"/>
  </r>
  <r>
    <x v="5"/>
    <x v="19"/>
    <x v="3"/>
    <s v="PESCADOS Y MARISCOS"/>
    <x v="1"/>
    <x v="306"/>
    <s v="GRAMOS"/>
    <n v="33.499666670000003"/>
    <n v="14000"/>
    <n v="12000"/>
    <n v="-2000"/>
    <n v="401996.00004000001"/>
    <n v="-66999.333340000012"/>
    <x v="2"/>
  </r>
  <r>
    <x v="5"/>
    <x v="21"/>
    <x v="2"/>
    <s v="VINOS"/>
    <x v="0"/>
    <x v="243"/>
    <s v="UNIDADES"/>
    <n v="97200"/>
    <n v="1"/>
    <n v="1"/>
    <n v="0"/>
    <n v="97200"/>
    <n v="0"/>
    <x v="1"/>
  </r>
  <r>
    <x v="5"/>
    <x v="21"/>
    <x v="2"/>
    <s v="CERVEZAS"/>
    <x v="0"/>
    <x v="178"/>
    <s v="UNIDADES"/>
    <n v="3603.3333333300002"/>
    <n v="20"/>
    <n v="20"/>
    <n v="0"/>
    <n v="72066.666666600009"/>
    <n v="0"/>
    <x v="1"/>
  </r>
  <r>
    <x v="5"/>
    <x v="21"/>
    <x v="2"/>
    <s v="LICORES"/>
    <x v="0"/>
    <x v="41"/>
    <s v="ONZA"/>
    <n v="1809.40909091"/>
    <n v="28"/>
    <n v="31"/>
    <n v="3"/>
    <n v="56091.681818210003"/>
    <n v="5428.2272727300005"/>
    <x v="0"/>
  </r>
  <r>
    <x v="5"/>
    <x v="19"/>
    <x v="3"/>
    <s v="SUB RECETAS"/>
    <x v="1"/>
    <x v="251"/>
    <s v="UNIDADES"/>
    <n v="4091.0326780999999"/>
    <n v="2028"/>
    <n v="8"/>
    <n v="-2020"/>
    <n v="32728.261424799999"/>
    <n v="-8263886.0097619994"/>
    <x v="2"/>
  </r>
  <r>
    <x v="5"/>
    <x v="21"/>
    <x v="2"/>
    <s v="VINOS"/>
    <x v="0"/>
    <x v="105"/>
    <s v="UNIDADES"/>
    <n v="63372.666666669997"/>
    <n v="2"/>
    <n v="2"/>
    <n v="0"/>
    <n v="126745.33333333999"/>
    <n v="0"/>
    <x v="1"/>
  </r>
  <r>
    <x v="5"/>
    <x v="21"/>
    <x v="2"/>
    <s v="GASEOSAS Y SODAS"/>
    <x v="0"/>
    <x v="22"/>
    <s v="UNIDADES"/>
    <n v="5132.4583333299997"/>
    <n v="34"/>
    <n v="37"/>
    <n v="3"/>
    <n v="189900.95833321"/>
    <n v="15397.374999989999"/>
    <x v="0"/>
  </r>
  <r>
    <x v="5"/>
    <x v="21"/>
    <x v="2"/>
    <s v="LICORES"/>
    <x v="0"/>
    <x v="32"/>
    <s v="ONZA"/>
    <n v="4504.1666666700003"/>
    <n v="0"/>
    <n v="0"/>
    <n v="0"/>
    <n v="0"/>
    <n v="0"/>
    <x v="1"/>
  </r>
  <r>
    <x v="5"/>
    <x v="21"/>
    <x v="2"/>
    <s v="LICORES"/>
    <x v="0"/>
    <x v="33"/>
    <s v="ONZA"/>
    <n v="4404.8863636400001"/>
    <n v="12"/>
    <n v="3"/>
    <n v="-9"/>
    <n v="13214.65909092"/>
    <n v="-39643.977272759999"/>
    <x v="2"/>
  </r>
  <r>
    <x v="5"/>
    <x v="21"/>
    <x v="2"/>
    <s v="VINOS"/>
    <x v="0"/>
    <x v="233"/>
    <s v="UNIDADES"/>
    <n v="125043"/>
    <n v="2"/>
    <n v="2"/>
    <n v="0"/>
    <n v="250086"/>
    <n v="0"/>
    <x v="1"/>
  </r>
  <r>
    <x v="5"/>
    <x v="21"/>
    <x v="2"/>
    <s v="AGUA Y TE"/>
    <x v="0"/>
    <x v="162"/>
    <s v="UNIDADES"/>
    <n v="3458.4691876699999"/>
    <n v="4"/>
    <n v="4"/>
    <n v="0"/>
    <n v="13833.87675068"/>
    <n v="0"/>
    <x v="1"/>
  </r>
  <r>
    <x v="5"/>
    <x v="21"/>
    <x v="2"/>
    <s v="GASEOSAS Y SODAS"/>
    <x v="0"/>
    <x v="71"/>
    <s v="UNIDADES"/>
    <n v="1835.41666667"/>
    <n v="30"/>
    <n v="30"/>
    <n v="0"/>
    <n v="55062.500000100001"/>
    <n v="0"/>
    <x v="1"/>
  </r>
  <r>
    <x v="5"/>
    <x v="21"/>
    <x v="2"/>
    <s v="SUB-RECETAS BAR"/>
    <x v="0"/>
    <x v="269"/>
    <s v="ONZA"/>
    <n v="3713.5548079599998"/>
    <n v="0"/>
    <n v="0"/>
    <n v="0"/>
    <n v="0"/>
    <n v="0"/>
    <x v="1"/>
  </r>
  <r>
    <x v="5"/>
    <x v="21"/>
    <x v="2"/>
    <s v="VINOS"/>
    <x v="0"/>
    <x v="232"/>
    <s v="COPA"/>
    <n v="0"/>
    <n v="0"/>
    <n v="0"/>
    <n v="0"/>
    <n v="0"/>
    <n v="0"/>
    <x v="1"/>
  </r>
  <r>
    <x v="5"/>
    <x v="21"/>
    <x v="2"/>
    <s v="LICORES"/>
    <x v="0"/>
    <x v="83"/>
    <s v="ONZA"/>
    <n v="7154.55"/>
    <n v="55"/>
    <n v="56"/>
    <n v="1"/>
    <n v="400654.8"/>
    <n v="7154.55"/>
    <x v="0"/>
  </r>
  <r>
    <x v="5"/>
    <x v="19"/>
    <x v="3"/>
    <s v="SUB-RECETAS CP"/>
    <x v="1"/>
    <x v="278"/>
    <s v="GRAMOS"/>
    <n v="23.33687085"/>
    <n v="10620"/>
    <n v="8000"/>
    <n v="-2620"/>
    <n v="186694.96679999999"/>
    <n v="-61142.601627000004"/>
    <x v="2"/>
  </r>
  <r>
    <x v="5"/>
    <x v="21"/>
    <x v="2"/>
    <s v="LICORES"/>
    <x v="0"/>
    <x v="48"/>
    <s v="UNIDADES"/>
    <n v="41250"/>
    <n v="2"/>
    <n v="2"/>
    <n v="0"/>
    <n v="82500"/>
    <n v="0"/>
    <x v="1"/>
  </r>
  <r>
    <x v="5"/>
    <x v="21"/>
    <x v="2"/>
    <s v="AGUA Y TE"/>
    <x v="0"/>
    <x v="146"/>
    <s v="UNIDADES"/>
    <n v="1408.33333333"/>
    <n v="0"/>
    <n v="0"/>
    <n v="0"/>
    <n v="0"/>
    <n v="0"/>
    <x v="1"/>
  </r>
  <r>
    <x v="5"/>
    <x v="21"/>
    <x v="2"/>
    <s v="SUB RECETAS"/>
    <x v="1"/>
    <x v="254"/>
    <s v="UNIDADES"/>
    <n v="651.05372451999995"/>
    <n v="2"/>
    <n v="2"/>
    <n v="0"/>
    <n v="1302.1074490399999"/>
    <n v="0"/>
    <x v="1"/>
  </r>
  <r>
    <x v="5"/>
    <x v="21"/>
    <x v="2"/>
    <s v="VINOS"/>
    <x v="0"/>
    <x v="86"/>
    <s v="COPA"/>
    <n v="4005.4"/>
    <n v="18"/>
    <n v="18"/>
    <n v="0"/>
    <n v="72097.2"/>
    <n v="0"/>
    <x v="1"/>
  </r>
  <r>
    <x v="5"/>
    <x v="21"/>
    <x v="2"/>
    <s v="GASEOSAS Y SODAS"/>
    <x v="0"/>
    <x v="65"/>
    <s v="UNIDADES"/>
    <n v="5313.1666666700003"/>
    <n v="16"/>
    <n v="18"/>
    <n v="2"/>
    <n v="95637.000000060012"/>
    <n v="10626.333333340001"/>
    <x v="0"/>
  </r>
  <r>
    <x v="5"/>
    <x v="21"/>
    <x v="2"/>
    <s v="LICORES"/>
    <x v="0"/>
    <x v="173"/>
    <s v="ONZA"/>
    <n v="12698.95454545"/>
    <n v="30"/>
    <n v="30"/>
    <n v="0"/>
    <n v="380968.63636350003"/>
    <n v="0"/>
    <x v="1"/>
  </r>
  <r>
    <x v="5"/>
    <x v="21"/>
    <x v="2"/>
    <s v="PROTEINAS"/>
    <x v="1"/>
    <x v="208"/>
    <s v="GRAMOS"/>
    <n v="23"/>
    <n v="4866.6666999999998"/>
    <n v="2000"/>
    <n v="-2866.6666700000001"/>
    <n v="46000"/>
    <n v="-65933.333410000007"/>
    <x v="2"/>
  </r>
  <r>
    <x v="5"/>
    <x v="21"/>
    <x v="2"/>
    <s v="VINOS"/>
    <x v="0"/>
    <x v="237"/>
    <s v="UNIDADES"/>
    <n v="87241.5"/>
    <n v="2"/>
    <n v="2"/>
    <n v="0"/>
    <n v="174483"/>
    <n v="0"/>
    <x v="1"/>
  </r>
  <r>
    <x v="5"/>
    <x v="21"/>
    <x v="2"/>
    <s v="CERVEZAS"/>
    <x v="0"/>
    <x v="96"/>
    <s v="UNIDADES"/>
    <n v="3200"/>
    <n v="0"/>
    <n v="0"/>
    <n v="0"/>
    <n v="0"/>
    <n v="0"/>
    <x v="1"/>
  </r>
  <r>
    <x v="5"/>
    <x v="21"/>
    <x v="2"/>
    <s v="LICORES"/>
    <x v="0"/>
    <x v="13"/>
    <s v="ONZA"/>
    <n v="1886.3636363600001"/>
    <n v="42"/>
    <n v="44"/>
    <n v="2"/>
    <n v="82999.999999840002"/>
    <n v="3772.7272727200002"/>
    <x v="0"/>
  </r>
  <r>
    <x v="5"/>
    <x v="22"/>
    <x v="0"/>
    <s v="PROTEINAS"/>
    <x v="1"/>
    <x v="286"/>
    <s v="GRAMOS"/>
    <n v="32"/>
    <n v="2908"/>
    <n v="0"/>
    <n v="-2908"/>
    <n v="0"/>
    <n v="-93056"/>
    <x v="2"/>
  </r>
  <r>
    <x v="5"/>
    <x v="21"/>
    <x v="2"/>
    <s v="CERVEZAS"/>
    <x v="0"/>
    <x v="184"/>
    <s v="UNIDADES"/>
    <n v="3338.5"/>
    <n v="31"/>
    <n v="31"/>
    <n v="0"/>
    <n v="103493.5"/>
    <n v="0"/>
    <x v="1"/>
  </r>
  <r>
    <x v="5"/>
    <x v="21"/>
    <x v="2"/>
    <s v="LICORES"/>
    <x v="0"/>
    <x v="3"/>
    <s v="UNIDADES"/>
    <n v="86743"/>
    <n v="1"/>
    <n v="1"/>
    <n v="0"/>
    <n v="86743"/>
    <n v="0"/>
    <x v="1"/>
  </r>
  <r>
    <x v="5"/>
    <x v="21"/>
    <x v="2"/>
    <s v="LICORES"/>
    <x v="0"/>
    <x v="36"/>
    <s v="ONZA"/>
    <n v="2904.0416666699998"/>
    <n v="33.22"/>
    <n v="35"/>
    <n v="1.78"/>
    <n v="101641.45833344999"/>
    <n v="5169.1941666725997"/>
    <x v="0"/>
  </r>
  <r>
    <x v="5"/>
    <x v="21"/>
    <x v="2"/>
    <s v="LICORES"/>
    <x v="0"/>
    <x v="999"/>
    <s v="ONZA"/>
    <n v="1736.1111111099999"/>
    <n v="0"/>
    <n v="48"/>
    <n v="48"/>
    <n v="83333.333333279996"/>
    <n v="83333.333333279996"/>
    <x v="0"/>
  </r>
  <r>
    <x v="5"/>
    <x v="21"/>
    <x v="2"/>
    <s v="AGUA Y TE"/>
    <x v="0"/>
    <x v="149"/>
    <s v="UNIDADES"/>
    <n v="3458.25"/>
    <n v="0"/>
    <n v="0"/>
    <n v="0"/>
    <n v="0"/>
    <n v="0"/>
    <x v="1"/>
  </r>
  <r>
    <x v="5"/>
    <x v="21"/>
    <x v="2"/>
    <s v="SUB RECETAS"/>
    <x v="1"/>
    <x v="312"/>
    <s v="UNIDADES"/>
    <n v="6457.8215472000002"/>
    <n v="11"/>
    <n v="11"/>
    <n v="0"/>
    <n v="71036.037019199997"/>
    <n v="0"/>
    <x v="1"/>
  </r>
  <r>
    <x v="5"/>
    <x v="21"/>
    <x v="2"/>
    <s v="VINOS"/>
    <x v="0"/>
    <x v="245"/>
    <s v="UNIDADES"/>
    <n v="79652"/>
    <n v="1"/>
    <n v="1"/>
    <n v="0"/>
    <n v="79652"/>
    <n v="0"/>
    <x v="1"/>
  </r>
  <r>
    <x v="5"/>
    <x v="21"/>
    <x v="2"/>
    <s v="GASEOSAS Y SODAS"/>
    <x v="0"/>
    <x v="1"/>
    <s v="UNIDADES"/>
    <n v="1656.3214285700001"/>
    <n v="124.9"/>
    <n v="136"/>
    <n v="11.1"/>
    <n v="225259.71428552002"/>
    <n v="18385.167857126999"/>
    <x v="0"/>
  </r>
  <r>
    <x v="5"/>
    <x v="21"/>
    <x v="2"/>
    <s v="LICORES"/>
    <x v="0"/>
    <x v="16"/>
    <s v="ONZA"/>
    <n v="6549"/>
    <n v="14.34"/>
    <n v="14"/>
    <n v="-0.34"/>
    <n v="91686"/>
    <n v="-2226.6600000000003"/>
    <x v="2"/>
  </r>
  <r>
    <x v="5"/>
    <x v="19"/>
    <x v="3"/>
    <s v="SUB RECETAS"/>
    <x v="1"/>
    <x v="252"/>
    <s v="GRAMOS"/>
    <n v="118.89991223"/>
    <n v="4216"/>
    <n v="778"/>
    <n v="-3438"/>
    <n v="92504.131714939998"/>
    <n v="-408777.89824673999"/>
    <x v="2"/>
  </r>
  <r>
    <x v="5"/>
    <x v="21"/>
    <x v="2"/>
    <s v="VINOS"/>
    <x v="0"/>
    <x v="265"/>
    <s v="UNIDADES"/>
    <n v="444869"/>
    <n v="0"/>
    <n v="1"/>
    <n v="1"/>
    <n v="444869"/>
    <n v="444869"/>
    <x v="0"/>
  </r>
  <r>
    <x v="5"/>
    <x v="20"/>
    <x v="5"/>
    <s v="SUB-RECETAS CP"/>
    <x v="1"/>
    <x v="318"/>
    <s v="GRAMOS"/>
    <n v="20.988405660000002"/>
    <n v="6032"/>
    <n v="2536"/>
    <n v="-3496"/>
    <n v="53226.596753760001"/>
    <n v="-73375.466187360013"/>
    <x v="2"/>
  </r>
  <r>
    <x v="5"/>
    <x v="21"/>
    <x v="2"/>
    <s v="VINOS"/>
    <x v="0"/>
    <x v="109"/>
    <s v="COPA"/>
    <n v="9855"/>
    <n v="10"/>
    <n v="10"/>
    <n v="0"/>
    <n v="98550"/>
    <n v="0"/>
    <x v="1"/>
  </r>
  <r>
    <x v="5"/>
    <x v="21"/>
    <x v="2"/>
    <s v="GASEOSAS Y SODAS"/>
    <x v="0"/>
    <x v="60"/>
    <s v="UNIDADES"/>
    <n v="2252.8125"/>
    <n v="94"/>
    <n v="93"/>
    <n v="-1"/>
    <n v="209511.5625"/>
    <n v="-2252.8125"/>
    <x v="2"/>
  </r>
  <r>
    <x v="5"/>
    <x v="21"/>
    <x v="2"/>
    <s v="LICORES"/>
    <x v="0"/>
    <x v="8"/>
    <s v="ONZA"/>
    <n v="17377"/>
    <n v="6"/>
    <n v="7"/>
    <n v="1"/>
    <n v="121639"/>
    <n v="17377"/>
    <x v="0"/>
  </r>
  <r>
    <x v="5"/>
    <x v="21"/>
    <x v="2"/>
    <s v="PESCADOS Y MARISCOS"/>
    <x v="1"/>
    <x v="84"/>
    <s v="UNIDADES"/>
    <n v="19000.25"/>
    <n v="4"/>
    <n v="4"/>
    <n v="0"/>
    <n v="76001"/>
    <n v="0"/>
    <x v="1"/>
  </r>
  <r>
    <x v="5"/>
    <x v="21"/>
    <x v="2"/>
    <s v="VINOS"/>
    <x v="0"/>
    <x v="98"/>
    <s v="UNIDADES"/>
    <n v="108834"/>
    <n v="2"/>
    <n v="2"/>
    <n v="0"/>
    <n v="217668"/>
    <n v="0"/>
    <x v="1"/>
  </r>
  <r>
    <x v="5"/>
    <x v="21"/>
    <x v="2"/>
    <s v="CERVEZAS"/>
    <x v="0"/>
    <x v="76"/>
    <s v="UNIDADES"/>
    <n v="2359.5666666699999"/>
    <n v="15"/>
    <n v="16"/>
    <n v="1"/>
    <n v="37753.066666719998"/>
    <n v="2359.5666666699999"/>
    <x v="0"/>
  </r>
  <r>
    <x v="5"/>
    <x v="21"/>
    <x v="2"/>
    <s v="LICORES"/>
    <x v="0"/>
    <x v="35"/>
    <s v="ONZA"/>
    <n v="2056.3333333300002"/>
    <n v="49"/>
    <n v="52"/>
    <n v="3"/>
    <n v="106929.33333316002"/>
    <n v="6168.999999990001"/>
    <x v="0"/>
  </r>
  <r>
    <x v="5"/>
    <x v="21"/>
    <x v="2"/>
    <s v="SUB-RECETAS CP"/>
    <x v="1"/>
    <x v="255"/>
    <s v="UNIDADES"/>
    <n v="4833.0366379300003"/>
    <n v="9"/>
    <n v="9"/>
    <n v="0"/>
    <n v="43497.329741370006"/>
    <n v="0"/>
    <x v="1"/>
  </r>
  <r>
    <x v="5"/>
    <x v="21"/>
    <x v="2"/>
    <s v="LICORES"/>
    <x v="0"/>
    <x v="231"/>
    <s v="ONZA"/>
    <n v="10233.9"/>
    <n v="37"/>
    <n v="40"/>
    <n v="3"/>
    <n v="409356"/>
    <n v="30701.699999999997"/>
    <x v="0"/>
  </r>
  <r>
    <x v="5"/>
    <x v="21"/>
    <x v="2"/>
    <s v="LICORES"/>
    <x v="0"/>
    <x v="23"/>
    <s v="ONZA"/>
    <n v="8628.9583333299997"/>
    <n v="19"/>
    <n v="19"/>
    <n v="0"/>
    <n v="163950.20833326998"/>
    <n v="0"/>
    <x v="1"/>
  </r>
  <r>
    <x v="5"/>
    <x v="21"/>
    <x v="2"/>
    <s v="LICORES"/>
    <x v="0"/>
    <x v="70"/>
    <s v="ONZA"/>
    <n v="3673.5"/>
    <n v="22.5"/>
    <n v="23"/>
    <n v="0.5"/>
    <n v="84490.5"/>
    <n v="1836.75"/>
    <x v="0"/>
  </r>
  <r>
    <x v="5"/>
    <x v="21"/>
    <x v="2"/>
    <s v="AGUA Y TE"/>
    <x v="0"/>
    <x v="147"/>
    <s v="UNIDADES"/>
    <n v="4166.7338934999998"/>
    <n v="2"/>
    <n v="2"/>
    <n v="0"/>
    <n v="8333.4677869999996"/>
    <n v="0"/>
    <x v="1"/>
  </r>
  <r>
    <x v="5"/>
    <x v="22"/>
    <x v="0"/>
    <s v="PESCADOS Y MARISCOS"/>
    <x v="1"/>
    <x v="61"/>
    <s v="GRAMOS"/>
    <n v="62.6"/>
    <n v="3750"/>
    <n v="26"/>
    <n v="-3724"/>
    <n v="1627.6000000000001"/>
    <n v="-233122.4"/>
    <x v="2"/>
  </r>
  <r>
    <x v="5"/>
    <x v="21"/>
    <x v="2"/>
    <s v="VINOS"/>
    <x v="0"/>
    <x v="267"/>
    <s v="COPA"/>
    <n v="9701.2000000000007"/>
    <n v="20"/>
    <n v="30"/>
    <n v="10"/>
    <n v="291036"/>
    <n v="97012"/>
    <x v="0"/>
  </r>
  <r>
    <x v="5"/>
    <x v="21"/>
    <x v="2"/>
    <s v="GASEOSAS Y SODAS"/>
    <x v="0"/>
    <x v="79"/>
    <s v="UNIDADES"/>
    <n v="0"/>
    <n v="0"/>
    <n v="0"/>
    <n v="0"/>
    <n v="0"/>
    <n v="0"/>
    <x v="1"/>
  </r>
  <r>
    <x v="5"/>
    <x v="21"/>
    <x v="2"/>
    <s v="LICORES"/>
    <x v="0"/>
    <x v="166"/>
    <s v="ONZA"/>
    <n v="9899.25"/>
    <n v="23"/>
    <n v="24"/>
    <n v="1"/>
    <n v="237582"/>
    <n v="9899.25"/>
    <x v="0"/>
  </r>
  <r>
    <x v="5"/>
    <x v="18"/>
    <x v="1"/>
    <s v="PROTEINAS"/>
    <x v="1"/>
    <x v="336"/>
    <s v="GRAMOS"/>
    <n v="32.5"/>
    <n v="18530.1113"/>
    <n v="13000"/>
    <n v="-5530.1112620000004"/>
    <n v="422500"/>
    <n v="-179728.61601500001"/>
    <x v="2"/>
  </r>
  <r>
    <x v="5"/>
    <x v="21"/>
    <x v="2"/>
    <s v="VINOS"/>
    <x v="0"/>
    <x v="240"/>
    <s v="UNIDADES"/>
    <n v="25109.5"/>
    <n v="0"/>
    <n v="3"/>
    <n v="3"/>
    <n v="75328.5"/>
    <n v="75328.5"/>
    <x v="0"/>
  </r>
  <r>
    <x v="5"/>
    <x v="21"/>
    <x v="2"/>
    <s v="CERVEZAS"/>
    <x v="0"/>
    <x v="228"/>
    <s v="UNIDADES"/>
    <n v="19546.5"/>
    <n v="5.15"/>
    <n v="5"/>
    <n v="-0.15"/>
    <n v="97732.5"/>
    <n v="-2931.9749999999999"/>
    <x v="2"/>
  </r>
  <r>
    <x v="5"/>
    <x v="21"/>
    <x v="2"/>
    <s v="LICORES"/>
    <x v="0"/>
    <x v="56"/>
    <s v="ONZA"/>
    <n v="2309.40625"/>
    <n v="32"/>
    <n v="32"/>
    <n v="0"/>
    <n v="73901"/>
    <n v="0"/>
    <x v="1"/>
  </r>
  <r>
    <x v="5"/>
    <x v="20"/>
    <x v="5"/>
    <s v="PESCADOS Y MARISCOS"/>
    <x v="1"/>
    <x v="306"/>
    <s v="GRAMOS"/>
    <n v="33.499666670000003"/>
    <n v="41000"/>
    <n v="34754"/>
    <n v="-6246"/>
    <n v="1164247.4154491802"/>
    <n v="-209238.91802082001"/>
    <x v="2"/>
  </r>
  <r>
    <x v="5"/>
    <x v="21"/>
    <x v="2"/>
    <s v="VINOS"/>
    <x v="0"/>
    <x v="128"/>
    <s v="COPA"/>
    <n v="9853.7999999999993"/>
    <n v="15"/>
    <n v="15"/>
    <n v="0"/>
    <n v="147807"/>
    <n v="0"/>
    <x v="1"/>
  </r>
  <r>
    <x v="5"/>
    <x v="21"/>
    <x v="2"/>
    <s v="GASEOSAS Y SODAS"/>
    <x v="0"/>
    <x v="50"/>
    <s v="UNIDADES"/>
    <n v="0"/>
    <n v="11"/>
    <n v="0"/>
    <n v="-11"/>
    <n v="0"/>
    <n v="0"/>
    <x v="2"/>
  </r>
  <r>
    <x v="5"/>
    <x v="21"/>
    <x v="2"/>
    <s v="LICORES"/>
    <x v="0"/>
    <x v="31"/>
    <s v="ONZA"/>
    <n v="2222.09090909"/>
    <n v="25"/>
    <n v="27"/>
    <n v="2"/>
    <n v="59996.454545430002"/>
    <n v="4444.1818181799999"/>
    <x v="0"/>
  </r>
  <r>
    <x v="5"/>
    <x v="21"/>
    <x v="2"/>
    <s v="LICORES"/>
    <x v="0"/>
    <x v="135"/>
    <s v="ONZA"/>
    <n v="5941.2272727299996"/>
    <n v="30"/>
    <n v="30"/>
    <n v="0"/>
    <n v="178236.81818189999"/>
    <n v="0"/>
    <x v="1"/>
  </r>
  <r>
    <x v="5"/>
    <x v="21"/>
    <x v="2"/>
    <s v="VINOS"/>
    <x v="0"/>
    <x v="1014"/>
    <s v="UNIDADES"/>
    <n v="22425.5"/>
    <n v="2"/>
    <n v="2"/>
    <n v="0"/>
    <n v="44851"/>
    <n v="0"/>
    <x v="1"/>
  </r>
  <r>
    <x v="5"/>
    <x v="21"/>
    <x v="2"/>
    <s v="AGUA Y TE"/>
    <x v="0"/>
    <x v="152"/>
    <s v="UNIDADES"/>
    <n v="4166.5672268300004"/>
    <n v="10"/>
    <n v="10"/>
    <n v="0"/>
    <n v="41665.672268300004"/>
    <n v="0"/>
    <x v="1"/>
  </r>
  <r>
    <x v="5"/>
    <x v="21"/>
    <x v="2"/>
    <s v="LICORES"/>
    <x v="0"/>
    <x v="159"/>
    <s v="ONZA"/>
    <n v="3500"/>
    <n v="7"/>
    <n v="8"/>
    <n v="1"/>
    <n v="28000"/>
    <n v="3500"/>
    <x v="0"/>
  </r>
  <r>
    <x v="5"/>
    <x v="21"/>
    <x v="2"/>
    <s v="SUB-RECETAS BAR"/>
    <x v="0"/>
    <x v="260"/>
    <s v="ONZA"/>
    <n v="2164.9723335899998"/>
    <n v="66"/>
    <n v="66"/>
    <n v="0"/>
    <n v="142888.17401694"/>
    <n v="0"/>
    <x v="1"/>
  </r>
  <r>
    <x v="5"/>
    <x v="21"/>
    <x v="2"/>
    <s v="LICORES"/>
    <x v="0"/>
    <x v="55"/>
    <s v="ONZA"/>
    <n v="6303.25"/>
    <n v="22"/>
    <n v="29"/>
    <n v="7"/>
    <n v="182794.25"/>
    <n v="44122.75"/>
    <x v="0"/>
  </r>
  <r>
    <x v="5"/>
    <x v="21"/>
    <x v="2"/>
    <s v="LICORES"/>
    <x v="0"/>
    <x v="21"/>
    <s v="ONZA"/>
    <n v="12951.25"/>
    <n v="7"/>
    <n v="7"/>
    <n v="0"/>
    <n v="90658.75"/>
    <n v="0"/>
    <x v="1"/>
  </r>
  <r>
    <x v="5"/>
    <x v="21"/>
    <x v="2"/>
    <s v="AGUA Y TE"/>
    <x v="0"/>
    <x v="29"/>
    <s v="UNIDADES"/>
    <n v="1234.3916666699999"/>
    <n v="85"/>
    <n v="86"/>
    <n v="1"/>
    <n v="106157.68333361999"/>
    <n v="1234.3916666699999"/>
    <x v="0"/>
  </r>
  <r>
    <x v="5"/>
    <x v="21"/>
    <x v="2"/>
    <s v="PESCADOS Y MARISCOS"/>
    <x v="1"/>
    <x v="306"/>
    <s v="GRAMOS"/>
    <n v="33.499666670000003"/>
    <n v="24000"/>
    <n v="17560"/>
    <n v="-6440"/>
    <n v="588254.14672520012"/>
    <n v="-215737.85335480003"/>
    <x v="2"/>
  </r>
  <r>
    <x v="5"/>
    <x v="21"/>
    <x v="2"/>
    <s v="VINOS"/>
    <x v="0"/>
    <x v="314"/>
    <s v="COPA"/>
    <n v="9701.1"/>
    <n v="19"/>
    <n v="9"/>
    <n v="-10"/>
    <n v="87309.900000000009"/>
    <n v="-97011"/>
    <x v="2"/>
  </r>
  <r>
    <x v="5"/>
    <x v="21"/>
    <x v="2"/>
    <s v="GASEOSAS Y SODAS"/>
    <x v="0"/>
    <x v="67"/>
    <s v="UNIDADES"/>
    <n v="0"/>
    <n v="-1.71"/>
    <n v="0"/>
    <n v="1.71"/>
    <n v="0"/>
    <n v="0"/>
    <x v="0"/>
  </r>
  <r>
    <x v="5"/>
    <x v="21"/>
    <x v="2"/>
    <s v="LICORES"/>
    <x v="0"/>
    <x v="5"/>
    <s v="ONZA"/>
    <n v="6850.05"/>
    <n v="6.34"/>
    <n v="6"/>
    <n v="-0.34"/>
    <n v="41100.300000000003"/>
    <n v="-2329.0170000000003"/>
    <x v="2"/>
  </r>
  <r>
    <x v="5"/>
    <x v="21"/>
    <x v="2"/>
    <s v="PESCADOS Y MARISCOS"/>
    <x v="1"/>
    <x v="192"/>
    <s v="UNIDADES"/>
    <n v="753.66666667000004"/>
    <n v="0"/>
    <n v="0"/>
    <n v="0"/>
    <n v="0"/>
    <n v="0"/>
    <x v="1"/>
  </r>
  <r>
    <x v="5"/>
    <x v="21"/>
    <x v="2"/>
    <s v="VINOS"/>
    <x v="0"/>
    <x v="244"/>
    <s v="UNIDADES"/>
    <n v="73956.022408999997"/>
    <n v="1"/>
    <n v="1"/>
    <n v="0"/>
    <n v="73956.022408999997"/>
    <n v="0"/>
    <x v="1"/>
  </r>
  <r>
    <x v="5"/>
    <x v="21"/>
    <x v="2"/>
    <s v="CERVEZAS"/>
    <x v="0"/>
    <x v="227"/>
    <s v="UNIDADES"/>
    <n v="4102.8666666700001"/>
    <n v="29"/>
    <n v="29"/>
    <n v="0"/>
    <n v="118983.13333343"/>
    <n v="0"/>
    <x v="1"/>
  </r>
  <r>
    <x v="5"/>
    <x v="21"/>
    <x v="2"/>
    <s v="LICORES"/>
    <x v="0"/>
    <x v="141"/>
    <s v="ONZA"/>
    <n v="6045.125"/>
    <n v="11"/>
    <n v="12"/>
    <n v="1"/>
    <n v="72541.5"/>
    <n v="6045.125"/>
    <x v="0"/>
  </r>
  <r>
    <x v="5"/>
    <x v="21"/>
    <x v="2"/>
    <s v="SUB-RECETAS CP"/>
    <x v="1"/>
    <x v="278"/>
    <s v="GRAMOS"/>
    <n v="23.33687085"/>
    <n v="20767"/>
    <n v="13000"/>
    <n v="-7767"/>
    <n v="303379.32105000003"/>
    <n v="-181257.47589195002"/>
    <x v="2"/>
  </r>
  <r>
    <x v="5"/>
    <x v="21"/>
    <x v="2"/>
    <s v="VINOS"/>
    <x v="0"/>
    <x v="241"/>
    <s v="UNIDADES"/>
    <n v="34240.5"/>
    <n v="5"/>
    <n v="5"/>
    <n v="0"/>
    <n v="171202.5"/>
    <n v="0"/>
    <x v="1"/>
  </r>
  <r>
    <x v="5"/>
    <x v="21"/>
    <x v="2"/>
    <s v="GASEOSAS Y SODAS"/>
    <x v="0"/>
    <x v="337"/>
    <s v="UNIDADES"/>
    <n v="2120.83"/>
    <n v="0"/>
    <n v="0"/>
    <n v="0"/>
    <n v="0"/>
    <n v="0"/>
    <x v="1"/>
  </r>
  <r>
    <x v="5"/>
    <x v="21"/>
    <x v="2"/>
    <s v="LICORES"/>
    <x v="0"/>
    <x v="46"/>
    <s v="ONZA"/>
    <n v="6813.3636363599999"/>
    <n v="5.67"/>
    <n v="9"/>
    <n v="3.33"/>
    <n v="61320.272727240001"/>
    <n v="22688.500909078801"/>
    <x v="0"/>
  </r>
  <r>
    <x v="5"/>
    <x v="21"/>
    <x v="2"/>
    <s v="LICORES"/>
    <x v="0"/>
    <x v="12"/>
    <s v="ONZA"/>
    <n v="0"/>
    <n v="0"/>
    <n v="0"/>
    <n v="0"/>
    <n v="0"/>
    <n v="0"/>
    <x v="1"/>
  </r>
  <r>
    <x v="5"/>
    <x v="21"/>
    <x v="2"/>
    <s v="VINOS"/>
    <x v="0"/>
    <x v="262"/>
    <s v="ONZA"/>
    <n v="2902.8333333300002"/>
    <n v="23"/>
    <n v="24"/>
    <n v="1"/>
    <n v="69667.999999920008"/>
    <n v="2902.8333333300002"/>
    <x v="0"/>
  </r>
  <r>
    <x v="5"/>
    <x v="21"/>
    <x v="2"/>
    <s v="AGUA Y TE"/>
    <x v="0"/>
    <x v="151"/>
    <s v="UNIDADES"/>
    <n v="3458.3333333300002"/>
    <n v="8"/>
    <n v="8"/>
    <n v="0"/>
    <n v="27666.666666640001"/>
    <n v="0"/>
    <x v="1"/>
  </r>
  <r>
    <x v="5"/>
    <x v="21"/>
    <x v="2"/>
    <s v="GASEOSAS Y SODAS"/>
    <x v="0"/>
    <x v="62"/>
    <s v="UNIDADES"/>
    <n v="1395.83333333"/>
    <n v="19"/>
    <n v="19"/>
    <n v="0"/>
    <n v="26520.833333269999"/>
    <n v="0"/>
    <x v="1"/>
  </r>
  <r>
    <x v="5"/>
    <x v="21"/>
    <x v="2"/>
    <s v="SUB-RECETAS BAR"/>
    <x v="0"/>
    <x v="273"/>
    <s v="ONZA"/>
    <n v="3245.5439533700001"/>
    <n v="20"/>
    <n v="22"/>
    <n v="2"/>
    <n v="71401.966974139999"/>
    <n v="6491.0879067400001"/>
    <x v="0"/>
  </r>
  <r>
    <x v="5"/>
    <x v="21"/>
    <x v="2"/>
    <s v="VINOS"/>
    <x v="0"/>
    <x v="114"/>
    <s v="COPA"/>
    <n v="9700"/>
    <n v="30"/>
    <n v="30"/>
    <n v="0"/>
    <n v="291000"/>
    <n v="0"/>
    <x v="1"/>
  </r>
  <r>
    <x v="5"/>
    <x v="21"/>
    <x v="2"/>
    <s v="LICORES"/>
    <x v="0"/>
    <x v="19"/>
    <s v="UNIDADES"/>
    <n v="93956"/>
    <n v="1"/>
    <n v="1"/>
    <n v="0"/>
    <n v="93956"/>
    <n v="0"/>
    <x v="1"/>
  </r>
  <r>
    <x v="5"/>
    <x v="19"/>
    <x v="3"/>
    <s v="PESCADOS Y MARISCOS"/>
    <x v="1"/>
    <x v="121"/>
    <s v="GRAMOS"/>
    <n v="51.342281880000002"/>
    <n v="17558.284500000002"/>
    <n v="7832"/>
    <n v="-9726.2845170000001"/>
    <n v="402112.75168416003"/>
    <n v="-499369.64131689369"/>
    <x v="2"/>
  </r>
  <r>
    <x v="5"/>
    <x v="21"/>
    <x v="2"/>
    <s v="LICORES"/>
    <x v="0"/>
    <x v="203"/>
    <s v="ONZA"/>
    <n v="0"/>
    <n v="3"/>
    <n v="3"/>
    <n v="0"/>
    <n v="0"/>
    <n v="0"/>
    <x v="1"/>
  </r>
  <r>
    <x v="5"/>
    <x v="21"/>
    <x v="2"/>
    <s v="AGUA Y TE"/>
    <x v="0"/>
    <x v="145"/>
    <s v="UNIDADES"/>
    <n v="7857"/>
    <n v="21"/>
    <n v="21"/>
    <n v="0"/>
    <n v="164997"/>
    <n v="0"/>
    <x v="1"/>
  </r>
  <r>
    <x v="5"/>
    <x v="22"/>
    <x v="0"/>
    <s v="PESCADOS Y MARISCOS"/>
    <x v="1"/>
    <x v="121"/>
    <s v="GRAMOS"/>
    <n v="60"/>
    <n v="10000"/>
    <n v="0"/>
    <n v="-10000"/>
    <n v="0"/>
    <n v="-600000"/>
    <x v="2"/>
  </r>
  <r>
    <x v="5"/>
    <x v="21"/>
    <x v="2"/>
    <s v="VINOS"/>
    <x v="0"/>
    <x v="112"/>
    <s v="COPA"/>
    <n v="4002.6"/>
    <n v="28"/>
    <n v="28"/>
    <n v="0"/>
    <n v="112072.8"/>
    <n v="0"/>
    <x v="1"/>
  </r>
  <r>
    <x v="5"/>
    <x v="21"/>
    <x v="2"/>
    <s v="GASEOSAS Y SODAS"/>
    <x v="0"/>
    <x v="137"/>
    <s v="UNIDADES"/>
    <n v="1816.8243405000001"/>
    <n v="40.96"/>
    <n v="27"/>
    <n v="-13.96"/>
    <n v="49054.257193500001"/>
    <n v="-25362.867793380003"/>
    <x v="2"/>
  </r>
  <r>
    <x v="5"/>
    <x v="21"/>
    <x v="2"/>
    <s v="LICORES"/>
    <x v="0"/>
    <x v="4"/>
    <s v="ONZA"/>
    <n v="9796.6363636400001"/>
    <n v="18.68"/>
    <n v="31"/>
    <n v="12.32"/>
    <n v="303695.72727283998"/>
    <n v="120694.5600000448"/>
    <x v="0"/>
  </r>
  <r>
    <x v="5"/>
    <x v="20"/>
    <x v="5"/>
    <s v="SUB-RECETAS CP"/>
    <x v="1"/>
    <x v="945"/>
    <s v="GRAMOS"/>
    <n v="0"/>
    <n v="167188"/>
    <n v="155188"/>
    <n v="-12000"/>
    <n v="0"/>
    <n v="0"/>
    <x v="2"/>
  </r>
  <r>
    <x v="5"/>
    <x v="21"/>
    <x v="2"/>
    <s v="VINOS"/>
    <x v="0"/>
    <x v="238"/>
    <s v="UNIDADES"/>
    <n v="63897.666666669997"/>
    <n v="1"/>
    <n v="1"/>
    <n v="0"/>
    <n v="63897.666666669997"/>
    <n v="0"/>
    <x v="1"/>
  </r>
  <r>
    <x v="5"/>
    <x v="21"/>
    <x v="2"/>
    <s v="CERVEZAS"/>
    <x v="0"/>
    <x v="143"/>
    <s v="UNIDADES"/>
    <n v="2773.5"/>
    <n v="16"/>
    <n v="16"/>
    <n v="0"/>
    <n v="44376"/>
    <n v="0"/>
    <x v="1"/>
  </r>
  <r>
    <x v="5"/>
    <x v="21"/>
    <x v="2"/>
    <s v="LICORES"/>
    <x v="0"/>
    <x v="42"/>
    <s v="UNIDADES"/>
    <n v="21478"/>
    <n v="2"/>
    <n v="2"/>
    <n v="0"/>
    <n v="42956"/>
    <n v="0"/>
    <x v="1"/>
  </r>
  <r>
    <x v="5"/>
    <x v="20"/>
    <x v="5"/>
    <s v="SUB-RECETAS CP"/>
    <x v="1"/>
    <x v="878"/>
    <s v="GRAMOS"/>
    <n v="25.11263018"/>
    <n v="14548"/>
    <n v="1548"/>
    <n v="-13000"/>
    <n v="38874.351518640004"/>
    <n v="-326464.19234000001"/>
    <x v="2"/>
  </r>
  <r>
    <x v="5"/>
    <x v="21"/>
    <x v="2"/>
    <s v="CERVEZAS"/>
    <x v="0"/>
    <x v="230"/>
    <s v="UNIDADES"/>
    <n v="11900.27777778"/>
    <n v="36"/>
    <n v="35"/>
    <n v="-1"/>
    <n v="416509.72222230001"/>
    <n v="-11900.27777778"/>
    <x v="2"/>
  </r>
  <r>
    <x v="5"/>
    <x v="21"/>
    <x v="2"/>
    <s v="LICORES"/>
    <x v="0"/>
    <x v="172"/>
    <s v="ONZA"/>
    <n v="6744"/>
    <n v="37"/>
    <n v="37"/>
    <n v="0"/>
    <n v="249528"/>
    <n v="0"/>
    <x v="1"/>
  </r>
  <r>
    <x v="5"/>
    <x v="21"/>
    <x v="2"/>
    <s v="LICORES"/>
    <x v="0"/>
    <x v="26"/>
    <s v="ONZA"/>
    <n v="2906.3333333300002"/>
    <n v="18.36"/>
    <n v="18"/>
    <n v="-0.36"/>
    <n v="52313.999999940002"/>
    <n v="-1046.2799999988001"/>
    <x v="2"/>
  </r>
  <r>
    <x v="5"/>
    <x v="21"/>
    <x v="2"/>
    <s v="SUB-RECETAS CP"/>
    <x v="1"/>
    <x v="258"/>
    <s v="UNIDADES"/>
    <n v="1530.8871941499999"/>
    <n v="57"/>
    <n v="57"/>
    <n v="0"/>
    <n v="87260.57006654999"/>
    <n v="0"/>
    <x v="1"/>
  </r>
  <r>
    <x v="5"/>
    <x v="21"/>
    <x v="2"/>
    <s v="AGUA Y TE"/>
    <x v="0"/>
    <x v="150"/>
    <s v="UNIDADES"/>
    <n v="4166.7338934999998"/>
    <n v="5"/>
    <n v="5"/>
    <n v="0"/>
    <n v="20833.6694675"/>
    <n v="0"/>
    <x v="1"/>
  </r>
  <r>
    <x v="5"/>
    <x v="21"/>
    <x v="2"/>
    <s v="GASEOSAS Y SODAS"/>
    <x v="0"/>
    <x v="58"/>
    <s v="UNIDADES"/>
    <n v="3333.3333333300002"/>
    <n v="0"/>
    <n v="0"/>
    <n v="0"/>
    <n v="0"/>
    <n v="0"/>
    <x v="1"/>
  </r>
  <r>
    <x v="5"/>
    <x v="18"/>
    <x v="1"/>
    <s v="PROTEINAS"/>
    <x v="1"/>
    <x v="208"/>
    <s v="GRAMOS"/>
    <n v="23"/>
    <n v="14750"/>
    <n v="0"/>
    <n v="-14750"/>
    <n v="0"/>
    <n v="-339250"/>
    <x v="2"/>
  </r>
  <r>
    <x v="5"/>
    <x v="21"/>
    <x v="2"/>
    <s v="VINOS"/>
    <x v="0"/>
    <x v="268"/>
    <s v="COPA"/>
    <n v="13704.2"/>
    <n v="27"/>
    <n v="27"/>
    <n v="0"/>
    <n v="370013.4"/>
    <n v="0"/>
    <x v="1"/>
  </r>
  <r>
    <x v="5"/>
    <x v="21"/>
    <x v="2"/>
    <s v="LICORES"/>
    <x v="0"/>
    <x v="134"/>
    <s v="ONZA"/>
    <n v="9152.4545454500003"/>
    <n v="15"/>
    <n v="20"/>
    <n v="5"/>
    <n v="183049.09090900002"/>
    <n v="45762.272727250005"/>
    <x v="0"/>
  </r>
  <r>
    <x v="5"/>
    <x v="21"/>
    <x v="2"/>
    <s v="PROTEINAS"/>
    <x v="1"/>
    <x v="78"/>
    <s v="UNIDADES"/>
    <n v="8870"/>
    <n v="31"/>
    <n v="31"/>
    <n v="0"/>
    <n v="274970"/>
    <n v="0"/>
    <x v="1"/>
  </r>
  <r>
    <x v="5"/>
    <x v="21"/>
    <x v="2"/>
    <s v="VINOS"/>
    <x v="0"/>
    <x v="271"/>
    <s v="COPA"/>
    <n v="13704.6"/>
    <n v="29"/>
    <n v="30"/>
    <n v="1"/>
    <n v="411138"/>
    <n v="13704.6"/>
    <x v="0"/>
  </r>
  <r>
    <x v="5"/>
    <x v="21"/>
    <x v="2"/>
    <s v="LICORES"/>
    <x v="0"/>
    <x v="270"/>
    <s v="ONZA"/>
    <n v="2746.1166666700001"/>
    <n v="41"/>
    <n v="39"/>
    <n v="-2"/>
    <n v="107098.55000013001"/>
    <n v="-5492.2333333400002"/>
    <x v="2"/>
  </r>
  <r>
    <x v="5"/>
    <x v="21"/>
    <x v="2"/>
    <s v="SUB RECETAS"/>
    <x v="1"/>
    <x v="253"/>
    <s v="UNIDADES"/>
    <n v="16188.145044430001"/>
    <n v="13"/>
    <n v="13"/>
    <n v="0"/>
    <n v="210445.88557759"/>
    <n v="0"/>
    <x v="1"/>
  </r>
  <r>
    <x v="5"/>
    <x v="21"/>
    <x v="2"/>
    <s v="VINOS"/>
    <x v="0"/>
    <x v="111"/>
    <s v="UNIDADES"/>
    <n v="34232.333333330003"/>
    <n v="7"/>
    <n v="3"/>
    <n v="-4"/>
    <n v="102696.99999999002"/>
    <n v="-136929.33333332001"/>
    <x v="2"/>
  </r>
  <r>
    <x v="5"/>
    <x v="21"/>
    <x v="2"/>
    <s v="GASEOSAS Y SODAS"/>
    <x v="0"/>
    <x v="160"/>
    <s v="UNIDADES"/>
    <n v="5310.9583333299997"/>
    <n v="56.55"/>
    <n v="51"/>
    <n v="-5.55"/>
    <n v="270858.87499982998"/>
    <n v="-29475.818749981496"/>
    <x v="2"/>
  </r>
  <r>
    <x v="5"/>
    <x v="21"/>
    <x v="2"/>
    <s v="LICORES"/>
    <x v="0"/>
    <x v="132"/>
    <s v="ONZA"/>
    <n v="13020.86363636"/>
    <n v="36"/>
    <n v="36"/>
    <n v="0"/>
    <n v="468751.09090895997"/>
    <n v="0"/>
    <x v="1"/>
  </r>
  <r>
    <x v="5"/>
    <x v="21"/>
    <x v="2"/>
    <s v="PESCADOS Y MARISCOS"/>
    <x v="1"/>
    <x v="139"/>
    <s v="GRAMOS"/>
    <n v="39"/>
    <n v="27309.999899999999"/>
    <n v="9122"/>
    <n v="-18187.999875000001"/>
    <n v="355758"/>
    <n v="-709331.99512500002"/>
    <x v="2"/>
  </r>
  <r>
    <x v="5"/>
    <x v="21"/>
    <x v="2"/>
    <s v="VINOS"/>
    <x v="0"/>
    <x v="236"/>
    <s v="UNIDADES"/>
    <n v="28357"/>
    <n v="2"/>
    <n v="2"/>
    <n v="0"/>
    <n v="56714"/>
    <n v="0"/>
    <x v="1"/>
  </r>
  <r>
    <x v="5"/>
    <x v="21"/>
    <x v="2"/>
    <s v="CERVEZAS"/>
    <x v="0"/>
    <x v="77"/>
    <s v="UNIDADES"/>
    <n v="2828.2333333299998"/>
    <n v="51"/>
    <n v="51"/>
    <n v="0"/>
    <n v="144239.89999983"/>
    <n v="0"/>
    <x v="1"/>
  </r>
  <r>
    <x v="5"/>
    <x v="21"/>
    <x v="2"/>
    <s v="LICORES"/>
    <x v="0"/>
    <x v="40"/>
    <s v="UNIDADES"/>
    <n v="22770"/>
    <n v="2"/>
    <n v="2"/>
    <n v="0"/>
    <n v="45540"/>
    <n v="0"/>
    <x v="1"/>
  </r>
  <r>
    <x v="5"/>
    <x v="21"/>
    <x v="2"/>
    <s v="SUB-RECETAS CP"/>
    <x v="1"/>
    <x v="256"/>
    <s v="UNIDADES"/>
    <n v="1977.5824342000001"/>
    <n v="95"/>
    <n v="95"/>
    <n v="0"/>
    <n v="187870.33124900001"/>
    <n v="0"/>
    <x v="1"/>
  </r>
  <r>
    <x v="5"/>
    <x v="21"/>
    <x v="2"/>
    <s v="LICORES"/>
    <x v="0"/>
    <x v="2"/>
    <s v="ONZA"/>
    <n v="14896.95833333"/>
    <n v="16"/>
    <n v="16"/>
    <n v="0"/>
    <n v="238351.33333328"/>
    <n v="0"/>
    <x v="1"/>
  </r>
  <r>
    <x v="5"/>
    <x v="21"/>
    <x v="2"/>
    <s v="LICORES"/>
    <x v="0"/>
    <x v="28"/>
    <s v="ONZA"/>
    <n v="4004.4333333300001"/>
    <n v="-17"/>
    <n v="38"/>
    <n v="55"/>
    <n v="152168.46666654001"/>
    <n v="220243.83333315002"/>
    <x v="0"/>
  </r>
  <r>
    <x v="5"/>
    <x v="21"/>
    <x v="2"/>
    <s v="LICORES"/>
    <x v="0"/>
    <x v="30"/>
    <s v="ONZA"/>
    <n v="6806.25"/>
    <n v="10.36"/>
    <n v="13"/>
    <n v="2.64"/>
    <n v="88481.25"/>
    <n v="17968.5"/>
    <x v="0"/>
  </r>
  <r>
    <x v="5"/>
    <x v="21"/>
    <x v="2"/>
    <s v="AGUA Y TE"/>
    <x v="0"/>
    <x v="148"/>
    <s v="UNIDADES"/>
    <n v="3458.3283333300001"/>
    <n v="10"/>
    <n v="10"/>
    <n v="0"/>
    <n v="34583.283333300002"/>
    <n v="0"/>
    <x v="1"/>
  </r>
  <r>
    <x v="5"/>
    <x v="21"/>
    <x v="2"/>
    <s v="SUB RECETAS"/>
    <x v="1"/>
    <x v="249"/>
    <s v="GRAMOS"/>
    <n v="4.9264214500000003"/>
    <n v="52284"/>
    <n v="1452"/>
    <n v="-50832"/>
    <n v="7153.1639454000006"/>
    <n v="-250419.85514640002"/>
    <x v="2"/>
  </r>
  <r>
    <x v="5"/>
    <x v="21"/>
    <x v="2"/>
    <s v="VINOS"/>
    <x v="0"/>
    <x v="113"/>
    <s v="UNIDADES"/>
    <n v="63887"/>
    <n v="2"/>
    <n v="2"/>
    <n v="0"/>
    <n v="127774"/>
    <n v="0"/>
    <x v="1"/>
  </r>
  <r>
    <x v="5"/>
    <x v="21"/>
    <x v="2"/>
    <s v="GASEOSAS Y SODAS"/>
    <x v="0"/>
    <x v="229"/>
    <s v="UNIDADES"/>
    <n v="6387"/>
    <n v="1"/>
    <n v="1"/>
    <n v="0"/>
    <n v="6387"/>
    <n v="0"/>
    <x v="1"/>
  </r>
  <r>
    <x v="5"/>
    <x v="21"/>
    <x v="2"/>
    <s v="LICORES"/>
    <x v="0"/>
    <x v="24"/>
    <s v="ONZA"/>
    <n v="1993.59090909"/>
    <n v="11"/>
    <n v="26"/>
    <n v="15"/>
    <n v="51833.36363634"/>
    <n v="29903.863636350001"/>
    <x v="0"/>
  </r>
  <r>
    <x v="5"/>
    <x v="21"/>
    <x v="2"/>
    <s v="PESCADOS Y MARISCOS"/>
    <x v="1"/>
    <x v="272"/>
    <s v="UNIDADES"/>
    <n v="13905"/>
    <n v="0"/>
    <n v="0"/>
    <n v="0"/>
    <n v="0"/>
    <n v="0"/>
    <x v="1"/>
  </r>
  <r>
    <x v="5"/>
    <x v="21"/>
    <x v="2"/>
    <s v="VINOS"/>
    <x v="0"/>
    <x v="264"/>
    <s v="COPA"/>
    <n v="13660"/>
    <n v="16"/>
    <n v="17"/>
    <n v="1"/>
    <n v="232220"/>
    <n v="13660"/>
    <x v="0"/>
  </r>
  <r>
    <x v="5"/>
    <x v="21"/>
    <x v="2"/>
    <s v="CERVEZAS"/>
    <x v="0"/>
    <x v="183"/>
    <s v="UNIDADES"/>
    <n v="3099.6666666699998"/>
    <n v="0"/>
    <n v="0"/>
    <n v="0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6A17B-5424-4F05-A21E-4755367B396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8" firstHeaderRow="1" firstDataRow="2" firstDataCol="1" rowPageCount="2" colPageCount="1"/>
  <pivotFields count="14">
    <pivotField axis="axisPage" numFmtId="14" multipleItemSelectionAllowed="1" showAll="0">
      <items count="7">
        <item x="0"/>
        <item x="3"/>
        <item x="1"/>
        <item x="2"/>
        <item h="1" x="4"/>
        <item h="1" x="5"/>
        <item t="default"/>
      </items>
    </pivotField>
    <pivotField axis="axisCol" showAll="0">
      <items count="27">
        <item x="4"/>
        <item x="6"/>
        <item x="8"/>
        <item x="0"/>
        <item x="1"/>
        <item x="11"/>
        <item x="2"/>
        <item x="7"/>
        <item x="9"/>
        <item x="5"/>
        <item x="3"/>
        <item x="12"/>
        <item x="14"/>
        <item x="13"/>
        <item x="15"/>
        <item x="16"/>
        <item x="10"/>
        <item x="17"/>
        <item x="23"/>
        <item x="25"/>
        <item x="24"/>
        <item x="19"/>
        <item x="21"/>
        <item x="18"/>
        <item x="20"/>
        <item x="22"/>
        <item t="default"/>
      </items>
    </pivotField>
    <pivotField axis="axisPage" multipleItemSelectionAllowed="1" showAll="0">
      <items count="7">
        <item x="1"/>
        <item h="1" x="0"/>
        <item h="1" x="5"/>
        <item x="3"/>
        <item h="1" x="4"/>
        <item h="1" x="2"/>
        <item t="default"/>
      </items>
    </pivotField>
    <pivotField showAll="0"/>
    <pivotField showAll="0">
      <items count="5">
        <item h="1" x="0"/>
        <item x="1"/>
        <item h="1" x="3"/>
        <item h="1" x="2"/>
        <item t="default"/>
      </items>
    </pivotField>
    <pivotField axis="axisRow" showAll="0">
      <items count="1018">
        <item h="1" x="127"/>
        <item h="1" x="330"/>
        <item h="1" x="224"/>
        <item h="1" x="159"/>
        <item h="1" x="339"/>
        <item h="1" x="340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144"/>
        <item h="1" x="355"/>
        <item h="1" x="356"/>
        <item h="1" x="357"/>
        <item h="1" x="146"/>
        <item h="1" x="145"/>
        <item h="1" x="22"/>
        <item h="1" x="358"/>
        <item h="1" x="38"/>
        <item h="1" x="35"/>
        <item h="1" x="359"/>
        <item h="1" x="40"/>
        <item h="1" x="13"/>
        <item h="1" x="42"/>
        <item h="1" x="41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69"/>
        <item h="1" x="379"/>
        <item h="1" x="233"/>
        <item h="1" x="380"/>
        <item h="1" x="381"/>
        <item h="1" x="382"/>
        <item h="1" x="383"/>
        <item h="1" x="384"/>
        <item h="1" x="141"/>
        <item h="1" x="123"/>
        <item h="1" x="385"/>
        <item h="1" x="73"/>
        <item h="1" x="298"/>
        <item h="1" x="39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4"/>
        <item h="1" x="395"/>
        <item h="1" x="396"/>
        <item h="1" x="397"/>
        <item h="1" x="398"/>
        <item h="1" x="399"/>
        <item h="1" x="56"/>
        <item h="1" x="226"/>
        <item h="1" x="400"/>
        <item h="1" x="401"/>
        <item h="1" x="402"/>
        <item h="1" x="403"/>
        <item h="1" x="404"/>
        <item h="1" x="405"/>
        <item h="1" x="216"/>
        <item h="1" x="213"/>
        <item h="1" x="219"/>
        <item h="1" x="215"/>
        <item h="1" x="222"/>
        <item h="1" x="64"/>
        <item h="1" x="221"/>
        <item h="1" x="223"/>
        <item h="1" x="188"/>
        <item h="1" x="406"/>
        <item h="1" x="407"/>
        <item h="1" x="408"/>
        <item h="1" x="202"/>
        <item h="1" x="171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108"/>
        <item h="1" x="435"/>
        <item h="1" x="436"/>
        <item h="1" x="337"/>
        <item h="1" x="437"/>
        <item h="1" x="438"/>
        <item h="1" x="2"/>
        <item h="1" x="3"/>
        <item h="1" x="172"/>
        <item h="1" x="138"/>
        <item h="1" x="32"/>
        <item h="1" x="46"/>
        <item h="1" x="439"/>
        <item h="1" x="53"/>
        <item h="1" x="440"/>
        <item h="1" x="177"/>
        <item h="1" x="441"/>
        <item h="1" x="442"/>
        <item h="1" x="443"/>
        <item h="1" x="57"/>
        <item h="1" x="444"/>
        <item h="1" x="44"/>
        <item h="1" x="189"/>
        <item h="1" x="445"/>
        <item h="1" x="446"/>
        <item h="1" x="447"/>
        <item h="1" x="448"/>
        <item h="1" x="449"/>
        <item h="1" x="61"/>
        <item h="1" x="195"/>
        <item h="1" x="66"/>
        <item h="1" x="81"/>
        <item h="1" x="82"/>
        <item h="1" x="450"/>
        <item h="1" x="74"/>
        <item h="1" x="87"/>
        <item h="1" x="451"/>
        <item h="1" x="452"/>
        <item h="1" x="453"/>
        <item h="1" x="454"/>
        <item h="1" x="455"/>
        <item h="1" x="456"/>
        <item h="1" x="457"/>
        <item h="1" x="75"/>
        <item h="1" x="76"/>
        <item h="1" x="77"/>
        <item h="1" x="96"/>
        <item h="1" x="143"/>
        <item h="1" x="178"/>
        <item h="1" x="227"/>
        <item h="1" x="199"/>
        <item h="1" x="196"/>
        <item h="1" x="181"/>
        <item h="1" x="228"/>
        <item h="1" x="183"/>
        <item h="1" x="184"/>
        <item h="1" x="230"/>
        <item h="1" x="458"/>
        <item h="1" x="459"/>
        <item h="1" x="460"/>
        <item h="1" x="461"/>
        <item h="1" x="462"/>
        <item h="1" x="463"/>
        <item h="1" x="78"/>
        <item h="1" x="464"/>
        <item h="1" x="465"/>
        <item h="1" x="80"/>
        <item h="1" x="63"/>
        <item h="1" x="466"/>
        <item h="1" x="31"/>
        <item h="1" x="193"/>
        <item h="1" x="467"/>
        <item h="1" x="468"/>
        <item h="1" x="469"/>
        <item h="1" x="470"/>
        <item h="1" x="471"/>
        <item h="1" x="50"/>
        <item h="1" x="59"/>
        <item h="1" x="60"/>
        <item h="1" x="472"/>
        <item h="1" x="473"/>
        <item h="1" x="474"/>
        <item h="1" x="160"/>
        <item h="1" x="1015"/>
        <item h="1" x="475"/>
        <item h="1" x="84"/>
        <item h="1" x="198"/>
        <item h="1" x="476"/>
        <item h="1" x="11"/>
        <item h="1" x="477"/>
        <item h="1" x="478"/>
        <item h="1" x="479"/>
        <item h="1" x="480"/>
        <item h="1" x="481"/>
        <item h="1" x="482"/>
        <item h="1" x="483"/>
        <item h="1" x="484"/>
        <item h="1" x="126"/>
        <item h="1" x="200"/>
        <item h="1" x="485"/>
        <item h="1" x="85"/>
        <item h="1" x="176"/>
        <item h="1" x="486"/>
        <item h="1" x="487"/>
        <item h="1" x="1013"/>
        <item h="1" x="488"/>
        <item h="1" x="489"/>
        <item h="1" x="165"/>
        <item h="1" x="88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7"/>
        <item h="1" x="8"/>
        <item h="1" x="132"/>
        <item h="1" x="231"/>
        <item h="1" x="10"/>
        <item h="1" x="173"/>
        <item h="1" x="504"/>
        <item h="1" x="65"/>
        <item h="1" x="505"/>
        <item h="1" x="2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234"/>
        <item h="1" x="1014"/>
        <item h="1" x="235"/>
        <item h="1" x="6"/>
        <item h="1" x="517"/>
        <item h="1" x="518"/>
        <item h="1" x="519"/>
        <item h="1" x="121"/>
        <item h="1" x="124"/>
        <item h="1" x="209"/>
        <item h="1" x="125"/>
        <item h="1" x="131"/>
        <item h="1" x="133"/>
        <item h="1" x="136"/>
        <item h="1" x="139"/>
        <item h="1" x="287"/>
        <item h="1" x="98"/>
        <item h="1" x="99"/>
        <item h="1" x="153"/>
        <item h="1" x="520"/>
        <item h="1" x="521"/>
        <item h="1" x="522"/>
        <item h="1" x="236"/>
        <item h="1" x="237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4"/>
        <item h="1" x="161"/>
        <item h="1" x="5"/>
        <item h="1" x="137"/>
        <item h="1" x="18"/>
        <item h="1" x="37"/>
        <item h="1" x="532"/>
        <item h="1" x="331"/>
        <item h="1" x="533"/>
        <item h="1" x="17"/>
        <item h="1" x="534"/>
        <item h="1" x="535"/>
        <item h="1" x="536"/>
        <item h="1" x="201"/>
        <item h="1" x="16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157"/>
        <item h="1" x="548"/>
        <item h="1" x="549"/>
        <item h="1" x="550"/>
        <item h="1" x="551"/>
        <item h="1" x="552"/>
        <item h="1" x="553"/>
        <item h="1" x="140"/>
        <item h="1" x="554"/>
        <item h="1" x="555"/>
        <item h="1" x="556"/>
        <item h="1" x="557"/>
        <item h="1" x="558"/>
        <item h="1" x="167"/>
        <item h="1" x="174"/>
        <item h="1" x="559"/>
        <item h="1" x="560"/>
        <item h="1" x="342"/>
        <item h="1" x="163"/>
        <item h="1" x="561"/>
        <item h="1" x="14"/>
        <item h="1" x="15"/>
        <item h="1" x="562"/>
        <item h="1" x="67"/>
        <item h="1" x="194"/>
        <item h="1" x="68"/>
        <item h="1" x="47"/>
        <item h="1" x="563"/>
        <item h="1" x="564"/>
        <item h="1" x="24"/>
        <item h="1" x="238"/>
        <item h="1" x="338"/>
        <item h="1" x="186"/>
        <item h="1" x="122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79"/>
        <item h="1" x="574"/>
        <item h="1" x="575"/>
        <item h="1" x="16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29"/>
        <item h="1" x="158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262"/>
        <item h="1" x="606"/>
        <item h="1" x="607"/>
        <item h="1" x="608"/>
        <item h="1" x="609"/>
        <item h="1" x="610"/>
        <item h="1" x="611"/>
        <item h="1" x="190"/>
        <item h="1" x="243"/>
        <item h="1" x="244"/>
        <item h="1" x="612"/>
        <item h="1" x="613"/>
        <item h="1" x="134"/>
        <item h="1" x="83"/>
        <item h="1" x="614"/>
        <item h="1" x="615"/>
        <item h="1" x="616"/>
        <item h="1" x="617"/>
        <item h="1" x="618"/>
        <item h="1" x="619"/>
        <item h="1" x="239"/>
        <item h="1" x="240"/>
        <item h="1" x="620"/>
        <item h="1" x="621"/>
        <item h="1" x="118"/>
        <item h="1" x="119"/>
        <item h="1" x="622"/>
        <item h="1" x="623"/>
        <item h="1" x="624"/>
        <item h="1" x="625"/>
        <item h="1" x="626"/>
        <item h="1" x="627"/>
        <item h="1" x="628"/>
        <item h="1" x="51"/>
        <item h="1" x="100"/>
        <item h="1" x="101"/>
        <item h="1" x="102"/>
        <item h="1" x="97"/>
        <item h="1" x="45"/>
        <item h="1" x="629"/>
        <item h="1" x="630"/>
        <item h="1" x="631"/>
        <item h="1" x="632"/>
        <item h="1" x="633"/>
        <item h="1" x="19"/>
        <item h="1" x="634"/>
        <item h="1" x="635"/>
        <item h="1" x="636"/>
        <item h="1" x="191"/>
        <item h="1" x="192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210"/>
        <item h="1" x="282"/>
        <item h="1" x="208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279"/>
        <item h="1" x="204"/>
        <item h="1" x="663"/>
        <item h="1" x="664"/>
        <item h="1" x="665"/>
        <item h="1" x="666"/>
        <item h="1" x="667"/>
        <item h="1" x="263"/>
        <item h="1" x="55"/>
        <item h="1" x="43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206"/>
        <item h="1" x="677"/>
        <item h="1" x="678"/>
        <item h="1" x="679"/>
        <item h="1" x="680"/>
        <item h="1" x="681"/>
        <item h="1" x="682"/>
        <item h="1" x="246"/>
        <item h="1" x="211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264"/>
        <item h="1" x="344"/>
        <item h="1" x="229"/>
        <item h="1" x="693"/>
        <item h="1" x="694"/>
        <item h="1" x="695"/>
        <item h="1" x="696"/>
        <item h="1" x="20"/>
        <item h="1" x="89"/>
        <item h="1" x="697"/>
        <item h="1" x="698"/>
        <item h="1" x="699"/>
        <item h="1" x="700"/>
        <item h="1" x="701"/>
        <item h="1" x="702"/>
        <item h="1" x="270"/>
        <item h="1" x="175"/>
        <item h="1" x="182"/>
        <item h="1" x="27"/>
        <item h="1" x="48"/>
        <item h="1" x="49"/>
        <item h="1" x="203"/>
        <item h="1" x="110"/>
        <item h="1" x="332"/>
        <item h="1" x="333"/>
        <item h="1" x="334"/>
        <item h="1" x="72"/>
        <item h="1" x="0"/>
        <item h="1" x="187"/>
        <item h="1" x="9"/>
        <item h="1" x="197"/>
        <item h="1" x="21"/>
        <item h="1" x="52"/>
        <item h="1" x="703"/>
        <item h="1" x="704"/>
        <item h="1" x="705"/>
        <item h="1" x="706"/>
        <item h="1" x="247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103"/>
        <item h="1" x="93"/>
        <item h="1" x="94"/>
        <item h="1" x="90"/>
        <item h="1" x="95"/>
        <item h="1" x="1"/>
        <item h="1" x="722"/>
        <item h="1" x="723"/>
        <item h="1" x="724"/>
        <item h="1" x="725"/>
        <item h="1" x="726"/>
        <item h="1" x="727"/>
        <item h="1" x="728"/>
        <item h="1" x="729"/>
        <item h="1" x="70"/>
        <item h="1" x="286"/>
        <item h="1" x="58"/>
        <item h="1" x="71"/>
        <item h="1" x="1012"/>
        <item h="1" x="1016"/>
        <item h="1" x="217"/>
        <item h="1" x="207"/>
        <item h="1" x="730"/>
        <item h="1" x="731"/>
        <item h="1" x="117"/>
        <item h="1" x="732"/>
        <item h="1" x="733"/>
        <item h="1" x="62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297"/>
        <item h="1" x="218"/>
        <item h="1" x="220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313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325"/>
        <item h="1" x="770"/>
        <item h="1" x="276"/>
        <item h="1" x="290"/>
        <item h="1" x="284"/>
        <item h="1" x="294"/>
        <item h="1" x="289"/>
        <item h="1" x="295"/>
        <item h="1" x="771"/>
        <item h="1" x="249"/>
        <item h="1" x="772"/>
        <item h="1" x="773"/>
        <item h="1" x="774"/>
        <item h="1" x="775"/>
        <item h="1" x="776"/>
        <item h="1" x="777"/>
        <item h="1" x="252"/>
        <item h="1" x="778"/>
        <item h="1" x="779"/>
        <item h="1" x="780"/>
        <item h="1" x="781"/>
        <item h="1" x="255"/>
        <item h="1" x="782"/>
        <item h="1" x="296"/>
        <item h="1" x="783"/>
        <item h="1" x="283"/>
        <item h="1" x="299"/>
        <item h="1" x="300"/>
        <item h="1" x="784"/>
        <item h="1" x="785"/>
        <item h="1" x="786"/>
        <item h="1" x="787"/>
        <item h="1" x="788"/>
        <item h="1" x="789"/>
        <item h="1" x="790"/>
        <item h="1" x="327"/>
        <item h="1" x="791"/>
        <item h="1" x="792"/>
        <item h="1" x="303"/>
        <item h="1" x="793"/>
        <item h="1" x="794"/>
        <item h="1" x="301"/>
        <item h="1" x="307"/>
        <item h="1" x="253"/>
        <item h="1" x="212"/>
        <item h="1" x="795"/>
        <item h="1" x="796"/>
        <item h="1" x="797"/>
        <item h="1" x="798"/>
        <item h="1" x="316"/>
        <item h="1" x="254"/>
        <item h="1" x="799"/>
        <item h="1" x="304"/>
        <item h="1" x="800"/>
        <item h="1" x="319"/>
        <item h="1" x="256"/>
        <item h="1" x="248"/>
        <item h="1" x="801"/>
        <item h="1" x="802"/>
        <item h="1" x="803"/>
        <item h="1" x="804"/>
        <item h="1" x="341"/>
        <item h="1" x="318"/>
        <item h="1" x="805"/>
        <item h="1" x="806"/>
        <item h="1" x="807"/>
        <item h="1" x="808"/>
        <item h="1" x="324"/>
        <item h="1" x="293"/>
        <item h="1" x="809"/>
        <item h="1" x="810"/>
        <item h="1" x="811"/>
        <item h="1" x="812"/>
        <item h="1" x="214"/>
        <item h="1" x="813"/>
        <item h="1" x="326"/>
        <item h="1" x="814"/>
        <item h="1" x="815"/>
        <item h="1" x="816"/>
        <item h="1" x="817"/>
        <item h="1" x="818"/>
        <item h="1" x="819"/>
        <item h="1" x="257"/>
        <item h="1" x="277"/>
        <item h="1" x="281"/>
        <item h="1" x="820"/>
        <item h="1" x="821"/>
        <item h="1" x="822"/>
        <item h="1" x="328"/>
        <item h="1" x="823"/>
        <item h="1" x="824"/>
        <item h="1" x="269"/>
        <item h="1" x="273"/>
        <item h="1" x="259"/>
        <item h="1" x="302"/>
        <item h="1" x="260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321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309"/>
        <item h="1" x="848"/>
        <item h="1" x="291"/>
        <item h="1" x="849"/>
        <item h="1" x="850"/>
        <item h="1" x="851"/>
        <item h="1" x="278"/>
        <item h="1" x="280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329"/>
        <item h="1" x="862"/>
        <item h="1" x="863"/>
        <item h="1" x="864"/>
        <item h="1" x="250"/>
        <item h="1" x="865"/>
        <item h="1" x="305"/>
        <item h="1" x="251"/>
        <item h="1" x="311"/>
        <item h="1" x="866"/>
        <item h="1" x="867"/>
        <item h="1" x="315"/>
        <item x="275"/>
        <item x="274"/>
        <item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320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34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322"/>
        <item h="1" x="931"/>
        <item h="1" x="932"/>
        <item h="1" x="258"/>
        <item h="1" x="310"/>
        <item h="1" x="933"/>
        <item h="1" x="934"/>
        <item h="1" x="935"/>
        <item h="1" x="936"/>
        <item h="1" x="261"/>
        <item h="1" x="937"/>
        <item h="1" x="938"/>
        <item h="1" x="939"/>
        <item h="1" x="940"/>
        <item h="1" x="941"/>
        <item h="1" x="942"/>
        <item h="1" x="317"/>
        <item h="1" x="943"/>
        <item h="1" x="312"/>
        <item h="1" x="944"/>
        <item h="1" x="285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30"/>
        <item h="1" x="968"/>
        <item h="1" x="969"/>
        <item h="1" x="970"/>
        <item h="1" x="147"/>
        <item h="1" x="148"/>
        <item h="1" x="149"/>
        <item h="1" x="150"/>
        <item h="1" x="162"/>
        <item h="1" x="151"/>
        <item h="1" x="130"/>
        <item h="1" x="152"/>
        <item h="1" x="971"/>
        <item h="1" x="972"/>
        <item h="1" x="225"/>
        <item h="1" x="23"/>
        <item h="1" x="154"/>
        <item h="1" x="54"/>
        <item h="1" x="155"/>
        <item h="1" x="28"/>
        <item h="1" x="973"/>
        <item h="1" x="288"/>
        <item h="1" x="168"/>
        <item h="1" x="292"/>
        <item h="1" x="323"/>
        <item h="1" x="25"/>
        <item h="1" x="272"/>
        <item h="1" x="335"/>
        <item h="1" x="974"/>
        <item h="1" x="975"/>
        <item h="1" x="976"/>
        <item h="1" x="977"/>
        <item h="1" x="978"/>
        <item h="1" x="979"/>
        <item h="1" x="336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1"/>
        <item h="1" x="104"/>
        <item h="1" x="306"/>
        <item h="1" x="990"/>
        <item h="1" x="991"/>
        <item h="1" x="992"/>
        <item h="1" x="993"/>
        <item h="1" x="36"/>
        <item h="1" x="26"/>
        <item h="1" x="265"/>
        <item h="1" x="994"/>
        <item h="1" x="995"/>
        <item h="1" x="996"/>
        <item h="1" x="271"/>
        <item h="1" x="997"/>
        <item h="1" x="105"/>
        <item h="1" x="106"/>
        <item h="1" x="241"/>
        <item h="1" x="107"/>
        <item h="1" x="128"/>
        <item h="1" x="185"/>
        <item h="1" x="109"/>
        <item h="1" x="129"/>
        <item h="1" x="111"/>
        <item h="1" x="86"/>
        <item h="1" x="112"/>
        <item h="1" x="142"/>
        <item h="1" x="314"/>
        <item h="1" x="266"/>
        <item h="1" x="242"/>
        <item h="1" x="267"/>
        <item h="1" x="998"/>
        <item h="1" x="113"/>
        <item h="1" x="92"/>
        <item h="1" x="245"/>
        <item h="1" x="268"/>
        <item h="1" x="232"/>
        <item h="1" x="114"/>
        <item h="1" x="115"/>
        <item h="1" x="116"/>
        <item h="1" x="120"/>
        <item h="1" x="156"/>
        <item h="1" x="308"/>
        <item h="1" x="999"/>
        <item h="1" x="33"/>
        <item h="1" x="1000"/>
        <item h="1" x="1001"/>
        <item h="1" x="179"/>
        <item h="1" x="169"/>
        <item h="1" x="12"/>
        <item h="1" x="170"/>
        <item h="1" x="164"/>
        <item h="1" x="345"/>
        <item h="1" x="180"/>
        <item h="1" x="135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t="default"/>
      </items>
    </pivotField>
    <pivotField showAll="0"/>
    <pivotField numFmtId="164" showAll="0"/>
    <pivotField numFmtId="1" showAll="0"/>
    <pivotField numFmtId="1" showAll="0"/>
    <pivotField dataField="1" numFmtId="1" showAll="0"/>
    <pivotField numFmtId="164" showAll="0"/>
    <pivotField numFmtId="164" showAll="0"/>
    <pivotField showAll="0">
      <items count="4">
        <item x="2"/>
        <item x="1"/>
        <item x="0"/>
        <item t="default"/>
      </items>
    </pivotField>
  </pivotFields>
  <rowFields count="1">
    <field x="5"/>
  </rowFields>
  <rowItems count="3">
    <i>
      <x v="796"/>
    </i>
    <i>
      <x v="797"/>
    </i>
    <i t="grand">
      <x/>
    </i>
  </rowItems>
  <colFields count="1">
    <field x="1"/>
  </colFields>
  <colItems count="4">
    <i>
      <x v="1"/>
    </i>
    <i>
      <x v="7"/>
    </i>
    <i>
      <x v="11"/>
    </i>
    <i t="grand">
      <x/>
    </i>
  </colItems>
  <pageFields count="2">
    <pageField fld="2" hier="-1"/>
    <pageField fld="0" hier="-1"/>
  </pageFields>
  <dataFields count="1">
    <dataField name="Suma de Variación Stock" fld="10" baseField="0" baseItem="0" numFmtId="1"/>
  </dataFields>
  <formats count="1">
    <format dxfId="35">
      <pivotArea field="5" grandCol="1" collapsedLevelsAreSubtotals="1" axis="axisRow" fieldPosition="0">
        <references count="1">
          <reference field="5" count="1"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entro_de_Costos" xr10:uid="{288BCE2C-53B8-49E7-9F50-CF09E202BE4E}" sourceName="Centro de Costos">
  <pivotTables>
    <pivotTable tabId="5" name="TablaDinámica2"/>
  </pivotTables>
  <data>
    <tabular pivotCacheId="183495743">
      <items count="4">
        <i x="1" s="1"/>
        <i x="0" nd="1"/>
        <i x="3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Costos" xr10:uid="{F7122B8B-730C-4E9A-9EC7-60913F08AEE5}" cache="SegmentaciónDeDatos_Centro_de_Costos" caption="Centro de Costos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N5704" headerRowDxfId="34" dataDxfId="33" totalsRowDxfId="32">
  <autoFilter ref="A1:N5704" xr:uid="{00000000-000C-0000-FFFF-FFFF00000000}">
    <filterColumn colId="4">
      <filters>
        <filter val="Bar"/>
      </filters>
    </filterColumn>
  </autoFilter>
  <sortState xmlns:xlrd2="http://schemas.microsoft.com/office/spreadsheetml/2017/richdata2" ref="A2:N904">
    <sortCondition ref="F11:F5704"/>
  </sortState>
  <tableColumns count="14">
    <tableColumn id="1" xr3:uid="{00000000-0010-0000-0000-000001000000}" name="FECHA" totalsRowLabel="Total" dataDxfId="31" totalsRowDxfId="30" dataCellStyle="Normal 2"/>
    <tableColumn id="2" xr3:uid="{00000000-0010-0000-0000-000002000000}" name="SERIE" dataDxfId="29" totalsRowDxfId="28" dataCellStyle="Normal 2"/>
    <tableColumn id="15" xr3:uid="{27ACD731-17EA-4E62-8289-A99DF47E56F7}" name="Almacen" dataDxfId="27" totalsRowDxfId="26"/>
    <tableColumn id="3" xr3:uid="{00000000-0010-0000-0000-000003000000}" name="FAMILIA" dataDxfId="25" totalsRowDxfId="24" dataCellStyle="Normal 2"/>
    <tableColumn id="18" xr3:uid="{592BADD8-B96E-4D38-9DBE-5BA798AE2DE1}" name="Centro de Costos" dataDxfId="23" totalsRowDxfId="22" dataCellStyle="Normal 2"/>
    <tableColumn id="5" xr3:uid="{00000000-0010-0000-0000-000005000000}" name="Artículo" dataDxfId="21" totalsRowDxfId="20" dataCellStyle="Normal 2"/>
    <tableColumn id="7" xr3:uid="{00000000-0010-0000-0000-000007000000}" name="Subartículo" dataDxfId="19" totalsRowDxfId="18" dataCellStyle="Normal 2"/>
    <tableColumn id="8" xr3:uid="{00000000-0010-0000-0000-000008000000}" name="Coste LÃ­nea" totalsRowFunction="sum" dataDxfId="17" totalsRowDxfId="16" dataCellStyle="Moneda"/>
    <tableColumn id="9" xr3:uid="{00000000-0010-0000-0000-000009000000}" name="Stock a Fecha" totalsRowFunction="sum" dataDxfId="15" totalsRowDxfId="14" dataCellStyle="Moneda">
      <calculatedColumnFormula>+Tabla2[[#This Row],[Coste LÃ­nea]]*#REF!</calculatedColumnFormula>
    </tableColumn>
    <tableColumn id="10" xr3:uid="{00000000-0010-0000-0000-00000A000000}" name="Stock Inventario" totalsRowFunction="sum" dataDxfId="13" totalsRowDxfId="12" dataCellStyle="Moneda">
      <calculatedColumnFormula>+Tabla2[[#This Row],[Coste LÃ­nea]]*Tabla2[[#This Row],[Subartículo]]</calculatedColumnFormula>
    </tableColumn>
    <tableColumn id="13" xr3:uid="{00000000-0010-0000-0000-00000D000000}" name="Variación Stock" dataDxfId="11" totalsRowDxfId="10" dataCellStyle="Normal 2"/>
    <tableColumn id="16" xr3:uid="{69C7B13B-0710-474B-BC0D-3E9BABA30185}" name="Costo Ajuste" totalsRowFunction="sum" dataDxfId="9" totalsRowDxfId="8" dataCellStyle="Moneda">
      <calculatedColumnFormula>+Tabla2[[#This Row],[Stock Inventario]]*Tabla2[[#This Row],[Coste LÃ­nea]]</calculatedColumnFormula>
    </tableColumn>
    <tableColumn id="4" xr3:uid="{E8145695-36DF-49ED-8A27-3131095F305B}" name="Ajuste" totalsRowFunction="sum" dataDxfId="7" totalsRowDxfId="6" dataCellStyle="Moneda">
      <calculatedColumnFormula>+Tabla2[[#This Row],[Variación Stock]]*Tabla2[[#This Row],[Coste LÃ­nea]]</calculatedColumnFormula>
    </tableColumn>
    <tableColumn id="12" xr3:uid="{00000000-0010-0000-0000-00000C000000}" name="Estado" dataDxfId="5" totalsRowDxfId="4">
      <calculatedColumnFormula>+IF(Tabla2[[#This Row],[Variación Stock]]&gt;0,"Sobrante",IF(Tabla2[[#This Row],[Variación Stock]]&lt;0,"Faltante","Sin novedad"))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3" dT="2020-01-20T15:49:07.27" personId="{00000000-0000-0000-0000-000000000000}" id="{39842604-C876-4623-A69F-07C29EBF466D}">
    <text>Hay 1 en acumulación</text>
  </threadedComment>
  <threadedComment ref="G47" dT="2020-01-20T15:50:26.36" personId="{00000000-0000-0000-0000-000000000000}" id="{C0086403-96FE-408C-99F6-F1AD0B801C01}">
    <text>Hay 17 en la acumulación</text>
  </threadedComment>
  <threadedComment ref="G87" dT="2020-01-20T15:56:12.30" personId="{00000000-0000-0000-0000-000000000000}" id="{D425E677-BADC-4535-A3D6-BEAD88769579}">
    <text>Hay 3 en la acumulación</text>
  </threadedComment>
  <threadedComment ref="G89" dT="2020-01-20T15:56:41.16" personId="{00000000-0000-0000-0000-000000000000}" id="{D469E933-8E9B-4FA9-8E6D-41EAB8CFA06A}">
    <text>Hay 12 en la acumulación</text>
  </threadedComment>
  <threadedComment ref="G92" dT="2020-01-20T15:57:26.67" personId="{00000000-0000-0000-0000-000000000000}" id="{F71C1AE4-0F8D-46D1-AFE9-6382C81A7AB4}">
    <text>Hay 1,5 en la acumulación</text>
  </threadedComment>
  <threadedComment ref="G177" dT="2020-01-20T16:03:49.22" personId="{00000000-0000-0000-0000-000000000000}" id="{60FD9A89-F064-49B3-871A-CA9A4F481EBA}">
    <text>Hay 8 en la acumulación</text>
  </threadedComment>
  <threadedComment ref="G219" dT="2020-01-20T16:07:39.65" personId="{00000000-0000-0000-0000-000000000000}" id="{5710B97C-D867-40FD-A084-E68DD51E02CE}">
    <text>Hay 8 en la acumulación</text>
  </threadedComment>
  <threadedComment ref="G221" dT="2020-01-20T16:08:07.07" personId="{00000000-0000-0000-0000-000000000000}" id="{8ACA0442-2EC3-469D-84D0-0F1C863F9808}">
    <text>Hay 4 en la acumulación</text>
  </threadedComment>
  <threadedComment ref="G223" dT="2020-01-20T16:09:09.62" personId="{00000000-0000-0000-0000-000000000000}" id="{D3137908-7635-45DE-9D26-907482C9E364}">
    <text>Hay 9 en la acumulación</text>
  </threadedComment>
  <threadedComment ref="G285" dT="2020-01-26T13:35:44.90" personId="{00000000-0000-0000-0000-000000000000}" id="{30950787-90AA-4854-A05C-B169787FB4E8}">
    <text>Mal facturado, acumulación de café en grano</text>
  </threadedComment>
  <threadedComment ref="G286" dT="2020-01-26T13:36:38.85" personId="{00000000-0000-0000-0000-000000000000}" id="{E9EECA5E-FE77-400A-8B8C-E14D70F907CF}">
    <text>Mal facturado, acumulación de croissant horneado</text>
  </threadedComment>
  <threadedComment ref="G287" dT="2020-01-26T13:36:57.56" personId="{00000000-0000-0000-0000-000000000000}" id="{CEBB64CC-B628-4B2B-8674-59B2150A05C8}">
    <text>Mal facturado, acumulación de croissant horneado</text>
  </threadedComment>
  <threadedComment ref="G288" dT="2020-01-26T13:37:09.07" personId="{00000000-0000-0000-0000-000000000000}" id="{68F599C8-BD1B-4E91-8468-B89F0F12D63A}">
    <text>Mal facturado, acumulación de croissant horneado</text>
  </threadedComment>
  <threadedComment ref="G315" dT="2020-01-26T13:42:20.05" personId="{00000000-0000-0000-0000-000000000000}" id="{DF228181-3B36-42B9-84F8-DDEEA3D94CC1}">
    <text>Mal facturado, acumulación de croissant horneado</text>
  </threadedComment>
  <threadedComment ref="G316" dT="2020-01-26T13:42:42.38" personId="{00000000-0000-0000-0000-000000000000}" id="{3C81C0BA-FEE9-4521-8C9E-C3AD6BD19D03}">
    <text>Mal facturado, acumulación de croissant horneado</text>
  </threadedComment>
  <threadedComment ref="G317" dT="2020-01-26T13:43:05.39" personId="{00000000-0000-0000-0000-000000000000}" id="{EB6CD1E2-3AE3-45C3-B25D-3D79B54D95A2}">
    <text>Mal facturado, acumulación de croissant horneado</text>
  </threadedComment>
  <threadedComment ref="G318" dT="2020-01-26T13:43:39.15" personId="{00000000-0000-0000-0000-000000000000}" id="{EB9B4FA0-7AE1-40AE-A6E4-E9D47B623506}">
    <text>Mal facturado, acumulación de croissant horneado</text>
  </threadedComment>
  <threadedComment ref="G319" dT="2020-01-26T13:44:00.55" personId="{00000000-0000-0000-0000-000000000000}" id="{CB80DA0C-BF41-408B-9586-09DE4F134F12}">
    <text>Mal reporte en diciembre</text>
  </threadedComment>
  <threadedComment ref="G359" dT="2020-01-26T13:46:17.63" personId="{00000000-0000-0000-0000-000000000000}" id="{419E6005-672E-44D5-826E-5989B31B0535}">
    <text>Mal reporte en diciembre y mala facturación</text>
  </threadedComment>
  <threadedComment ref="G360" dT="2020-01-26T13:47:32.01" personId="{00000000-0000-0000-0000-000000000000}" id="{9D28465C-0DC8-42AA-BDCF-4FBC56D6EA31}">
    <text>Cobrar 16, hay 4 en la acumulación</text>
  </threadedComment>
  <threadedComment ref="G361" dT="2020-01-26T13:48:57.40" personId="{00000000-0000-0000-0000-000000000000}" id="{CBFA2B5E-9116-49E4-9D76-6906901B3F3E}">
    <text>Mal facturado, acumulación de croissant horneado</text>
  </threadedComment>
  <threadedComment ref="G362" dT="2020-01-26T13:49:30.83" personId="{00000000-0000-0000-0000-000000000000}" id="{EF5DCDCF-F967-487B-897E-0A24D251E650}">
    <text>Mal reporte en diciembre</text>
  </threadedComment>
  <threadedComment ref="G403" dT="2020-01-26T13:52:31.88" personId="{00000000-0000-0000-0000-000000000000}" id="{551A41DC-1F42-4C5B-A8CD-E029B266594D}">
    <text>Acumulación</text>
  </threadedComment>
  <threadedComment ref="G404" dT="2020-01-26T13:52:49.55" personId="{00000000-0000-0000-0000-000000000000}" id="{A890A4A7-3E1C-40D6-88D1-F6393028176C}">
    <text>Mal reporte en diciembre</text>
  </threadedComment>
  <threadedComment ref="G405" dT="2020-01-26T13:53:32.76" personId="{00000000-0000-0000-0000-000000000000}" id="{F4B8E45C-4DEA-4064-BC66-B3B5DC2450BA}">
    <text>Mal reporten en diciembre</text>
  </threadedComment>
  <threadedComment ref="G443" dT="2020-01-26T13:54:43.00" personId="{00000000-0000-0000-0000-000000000000}" id="{1BCD0F3A-6A84-403B-8FD5-9A9C34A0C153}">
    <text>Acumulación</text>
  </threadedComment>
  <threadedComment ref="G444" dT="2020-01-26T13:55:08.47" personId="{00000000-0000-0000-0000-000000000000}" id="{9A5BD59C-942B-4DAD-8C4E-F9B59A600EDB}">
    <text>Acumulación</text>
  </threadedComment>
  <threadedComment ref="G445" dT="2020-01-26T13:55:43.80" personId="{00000000-0000-0000-0000-000000000000}" id="{60B03058-ACB5-4B41-8D8A-C34DA790FB6D}">
    <text>Cobrar 1, hay 12 en la acumulación</text>
  </threadedComment>
  <threadedComment ref="G446" dT="2020-01-26T13:56:10.68" personId="{00000000-0000-0000-0000-000000000000}" id="{F3BCB7BB-D58F-49C7-889D-491EA0E46C03}">
    <text>Mal facturado, acumulación de croissant horneado</text>
  </threadedComment>
  <threadedComment ref="G447" dT="2020-01-26T13:57:45.11" personId="{00000000-0000-0000-0000-000000000000}" id="{6AC62B50-D2A0-44C0-BACA-DDF96EAE4BC7}">
    <text>Acumulación</text>
  </threadedComment>
  <threadedComment ref="G448" dT="2020-01-26T13:58:17.71" personId="{00000000-0000-0000-0000-000000000000}" id="{DFEC2940-D23A-4359-BDE5-A2393C2706D6}">
    <text>Acumulación</text>
  </threadedComment>
  <threadedComment ref="G449" dT="2020-01-26T13:56:32.71" personId="{00000000-0000-0000-0000-000000000000}" id="{08757E4C-AD8B-414C-B5BF-623640655D3B}">
    <text>Cobrar 1, hay 1 en la acumulación</text>
  </threadedComment>
  <threadedComment ref="G450" dT="2020-01-26T13:58:36.00" personId="{00000000-0000-0000-0000-000000000000}" id="{C25D645C-2DC0-4871-85CC-4CDB6C72470D}">
    <text>Mal reporte en diciembre</text>
  </threadedComment>
  <threadedComment ref="G451" dT="2020-01-26T13:56:43.50" personId="{00000000-0000-0000-0000-000000000000}" id="{25CED1E1-198E-427A-A5EE-614A734A6C58}">
    <text>Mal facturado, acumulación de croissant horneado</text>
  </threadedComment>
  <threadedComment ref="G452" dT="2020-01-26T13:59:01.00" personId="{00000000-0000-0000-0000-000000000000}" id="{E3644C8B-B1A8-498E-A87F-EB630775F15B}">
    <text>Mal reporte en diciembre</text>
  </threadedComment>
  <threadedComment ref="G485" dT="2020-01-26T14:00:48.34" personId="{00000000-0000-0000-0000-000000000000}" id="{04CE4A2A-0FA4-4843-86A3-800A22C8A6AA}">
    <text>Mal facturado, acumulación de croissant horneado</text>
  </threadedComment>
  <threadedComment ref="G486" dT="2020-01-26T14:01:26.38" personId="{00000000-0000-0000-0000-000000000000}" id="{319A1E01-35EE-476F-8C50-6E10F188E4AB}">
    <text>Cobrar 2, hay 24 en la acumulación</text>
  </threadedComment>
  <threadedComment ref="G487" dT="2020-01-26T14:02:01.62" personId="{00000000-0000-0000-0000-000000000000}" id="{A105D7E2-A23F-474A-99AC-3874BEAF2D90}">
    <text>Cobrar 1, hay 19 en la acumulación</text>
  </threadedComment>
  <threadedComment ref="G488" dT="2020-01-26T14:02:43.12" personId="{00000000-0000-0000-0000-000000000000}" id="{8ABD26BC-8D9D-456D-89E0-2A38557B60B8}">
    <text>Cobrar 1, hay 23 en la acumulación</text>
  </threadedComment>
  <threadedComment ref="G489" dT="2020-01-26T14:04:05.47" personId="{00000000-0000-0000-0000-000000000000}" id="{93C4E41A-8D7C-4BFD-9600-4D1E08BB4490}">
    <text>Mal reporte en diciembre</text>
  </threadedComment>
  <threadedComment ref="G490" dT="2020-01-26T14:03:15.35" personId="{00000000-0000-0000-0000-000000000000}" id="{ABF6A47A-F883-48ED-9469-FED8565FE65A}">
    <text>Mal facturado, sobra agua gas</text>
  </threadedComment>
  <threadedComment ref="G527" dT="2020-01-26T14:05:13.23" personId="{00000000-0000-0000-0000-000000000000}" id="{CF989D3B-822B-4C24-BE5D-47969258E1AA}">
    <text>Acumulación</text>
  </threadedComment>
  <threadedComment ref="G528" dT="2020-01-26T14:04:56.81" personId="{00000000-0000-0000-0000-000000000000}" id="{A425EFF2-2979-423A-8DDA-2C524F70429D}">
    <text>Cobrar 1, hay 1 por mal reporte en enero</text>
  </threadedComment>
  <threadedComment ref="G529" dT="2020-01-26T14:06:20.53" personId="{00000000-0000-0000-0000-000000000000}" id="{7D5B4D00-EA65-47B3-A19C-E0E26B5B9545}">
    <text>Cobrar 5, hay 8 en la acumulación</text>
  </threadedComment>
  <threadedComment ref="G530" dT="2020-01-26T14:06:54.50" personId="{00000000-0000-0000-0000-000000000000}" id="{C9382CDA-55BA-44EC-B8C4-94178C466FC8}">
    <text>Cobrar 3, hay 6 en la acumulación</text>
  </threadedComment>
  <threadedComment ref="G531" dT="2020-01-26T14:07:16.13" personId="{00000000-0000-0000-0000-000000000000}" id="{5C4F5940-7BEA-4230-B827-CC5B12805894}">
    <text>Mal facturado, acumulación de croissant horneado</text>
  </threadedComment>
  <threadedComment ref="G532" dT="2020-01-26T14:08:25.96" personId="{00000000-0000-0000-0000-000000000000}" id="{B9EA3ACB-596E-4D6E-B011-2FB4EE7DB7B1}">
    <text>Acumulación</text>
  </threadedComment>
  <threadedComment ref="G533" dT="2020-01-26T14:09:10.23" personId="{00000000-0000-0000-0000-000000000000}" id="{57741AE2-DF4A-4B74-B89D-F098CD0180BD}">
    <text>Mal facturado, acumulación de croissant horneado</text>
  </threadedComment>
  <threadedComment ref="G534" dT="2020-01-26T14:09:30.72" personId="{00000000-0000-0000-0000-000000000000}" id="{5B3F3476-116B-4B1E-A93F-35825FC94E45}">
    <text>Mal reporte en diciembre</text>
  </threadedComment>
  <threadedComment ref="G570" dT="2020-01-26T14:10:36.37" personId="{00000000-0000-0000-0000-000000000000}" id="{4992A2ED-4B56-429E-9732-2DE849FF7499}">
    <text>Cobrar 1, hay 69 en la acumulación</text>
  </threadedComment>
  <threadedComment ref="G601" dT="2020-01-26T14:11:26.94" personId="{00000000-0000-0000-0000-000000000000}" id="{D74D004B-EAB5-484D-8D0B-6CD366139EC7}">
    <text>Acumulación</text>
  </threadedComment>
  <threadedComment ref="G636" dT="2020-01-26T14:12:32.86" personId="{00000000-0000-0000-0000-000000000000}" id="{490E6C31-449F-4FED-B6F5-39338994ED64}">
    <text>Cobrar 14, hay 66 en la acumulación</text>
  </threadedComment>
  <threadedComment ref="G637" dT="2020-01-26T14:13:27.87" personId="{00000000-0000-0000-0000-000000000000}" id="{030BB8B9-BAEA-4583-A69C-CDB0198DD0C2}">
    <text>Cobrar 9, hay 16 en la acumulación</text>
  </threadedComment>
  <threadedComment ref="G638" dT="2020-01-26T14:15:02.03" personId="{00000000-0000-0000-0000-000000000000}" id="{5FE30BEF-4369-41BC-A3D4-8CF4C2D72CEF}">
    <text>Mal facturado, acumulación de croissant horneado</text>
  </threadedComment>
  <threadedComment ref="G639" dT="2020-01-26T14:14:31.01" personId="{00000000-0000-0000-0000-000000000000}" id="{CD99C526-1E7B-4A29-B38C-60A95B6E20AB}">
    <text>Cobrar 6, hay 13 en la acumulación</text>
  </threadedComment>
  <threadedComment ref="G640" dT="2020-01-26T14:15:20.33" personId="{00000000-0000-0000-0000-000000000000}" id="{237CC0C9-E220-428A-B077-F0F2047F1143}">
    <text>Mal facturado, acumulación de croissant horneado</text>
  </threadedComment>
  <threadedComment ref="G641" dT="2020-01-26T14:15:32.39" personId="{00000000-0000-0000-0000-000000000000}" id="{C75E1706-EDE1-4F9D-8C2A-EB65C8F21FB9}">
    <text>Mal facturado, acumulación de croissant horneado</text>
  </threadedComment>
  <threadedComment ref="G647" dT="2020-01-26T14:16:26.48" personId="{00000000-0000-0000-0000-000000000000}" id="{91E22B61-AC4E-45E1-A16E-31ADC62C495A}">
    <text>Cobrar 1, hay 6 en la acumulación</text>
  </threadedComment>
  <threadedComment ref="G678" dT="2020-01-26T14:17:17.37" personId="{00000000-0000-0000-0000-000000000000}" id="{E629CD3A-19DB-4F57-891D-FD45B0195B79}">
    <text>Mal facturado, acumulación de croissant horneado</text>
  </threadedComment>
  <threadedComment ref="G679" dT="2020-01-26T14:17:45.25" personId="{00000000-0000-0000-0000-000000000000}" id="{7E32047B-BF01-435A-814D-2AECE4A74CBF}">
    <text>Cobrar 6, hay 6 en la acumulación</text>
  </threadedComment>
  <threadedComment ref="G680" dT="2020-01-26T14:19:01.53" personId="{00000000-0000-0000-0000-000000000000}" id="{3DAF21A7-A10C-4D9C-B0F2-7B1CE94F440C}">
    <text>Mal facturado, acumulación tapa roja</text>
  </threadedComment>
  <threadedComment ref="G681" dT="2020-01-26T14:18:16.78" personId="{00000000-0000-0000-0000-000000000000}" id="{3283E8C4-BE05-4B9A-8258-A3891D5D72EE}">
    <text>Cobrar 4, hay 4 en la acumulación</text>
  </threadedComment>
  <threadedComment ref="G682" dT="2020-01-26T14:19:37.56" personId="{00000000-0000-0000-0000-000000000000}" id="{A23A6A03-698C-4F43-A53F-0E4031305867}">
    <text>Mal reporte en enero</text>
  </threadedComment>
  <threadedComment ref="G683" dT="2020-01-26T14:18:33.56" personId="{00000000-0000-0000-0000-000000000000}" id="{86FD769F-E759-42F6-9C79-6691C3DD9CB1}">
    <text>Mal facturado, acumulación de croissant horneado</text>
  </threadedComment>
  <threadedComment ref="G722" dT="2020-01-26T14:21:33.05" personId="{00000000-0000-0000-0000-000000000000}" id="{76747D31-5BAB-418D-A363-0D2D8E9CC255}">
    <text>Mal facturado, acumulación de croissant horneado</text>
  </threadedComment>
  <threadedComment ref="G723" dT="2020-01-26T14:21:48.03" personId="{00000000-0000-0000-0000-000000000000}" id="{5DDE9C30-D66F-492C-B863-0C99E82F7EDA}">
    <text>Mal facturado, acumulación de croissant horneado</text>
  </threadedComment>
  <threadedComment ref="G724" dT="2020-01-26T14:22:52.59" personId="{00000000-0000-0000-0000-000000000000}" id="{2ED35662-7FC0-4618-B630-6F0F1C3D6682}">
    <text>Acumulación</text>
  </threadedComment>
  <threadedComment ref="G725" dT="2020-01-26T14:21:20.60" personId="{00000000-0000-0000-0000-000000000000}" id="{279D0C62-93ED-469B-AC17-C1BF1A76FBE7}">
    <text>Cobrar 1, hay 3 en la acumulación</text>
  </threadedComment>
  <threadedComment ref="G726" dT="2020-01-26T14:20:33.66" personId="{00000000-0000-0000-0000-000000000000}" id="{0541FECB-A306-42A9-B6E8-6AC38CC4A8AB}">
    <text>Cobrar 1, hay 1 en la acumulación</text>
  </threadedComment>
  <threadedComment ref="G727" dT="2020-01-26T14:22:02.39" personId="{00000000-0000-0000-0000-000000000000}" id="{8AAE77F8-CB42-4486-8CB7-568E731FA4B7}">
    <text>Mal facturado, acumulación de croissant horneado</text>
  </threadedComment>
  <threadedComment ref="G728" dT="2020-01-26T14:23:35.64" personId="{00000000-0000-0000-0000-000000000000}" id="{7F984A9E-C4D5-4DBD-8404-F456B81652E7}">
    <text>Mal reporte en diciembre</text>
  </threadedComment>
  <threadedComment ref="G729" dT="2020-01-26T14:22:21.83" personId="{00000000-0000-0000-0000-000000000000}" id="{5A64D521-89DB-4DFC-95F8-9424FBCD293A}">
    <text>Mal facturado, sobra agua gas</text>
  </threadedComment>
  <threadedComment ref="G765" dT="2020-01-26T14:24:38.72" personId="{00000000-0000-0000-0000-000000000000}" id="{0930E681-8B56-467B-86BE-25F8F15A648B}">
    <text>Mal facturado, acumulación de croissant horneado</text>
  </threadedComment>
  <threadedComment ref="G766" dT="2020-01-26T14:24:53.74" personId="{00000000-0000-0000-0000-000000000000}" id="{89784E54-5919-4AE6-9D78-A5927EC21782}">
    <text>Mal facturado, acumulación de croissant horneado</text>
  </threadedComment>
  <threadedComment ref="G767" dT="2020-01-26T14:25:55.38" personId="{00000000-0000-0000-0000-000000000000}" id="{9A353EF3-9BD4-415A-A6DC-444D40F96A6B}">
    <text>Mal reporte en diciembre y acumulación</text>
  </threadedComment>
  <threadedComment ref="G768" dT="2020-01-26T14:25:05.99" personId="{00000000-0000-0000-0000-000000000000}" id="{0DFE3FDD-A29C-4B1E-9346-666ACF3A2DD2}">
    <text>Mal facturado, acumulación de croissant horneado</text>
  </threadedComment>
  <threadedComment ref="G769" dT="2020-01-26T14:26:28.45" personId="{00000000-0000-0000-0000-000000000000}" id="{ED4AE6D2-62E5-47B8-9899-6659ADA6D13B}">
    <text>Mala facturación, sobra club negra</text>
  </threadedComment>
  <threadedComment ref="G915" dT="2020-01-28T15:36:38.41" personId="{00000000-0000-0000-0000-000000000000}" id="{4907D18F-FF3F-49E7-9630-B37FDF6CA7DD}">
    <text>Mal reporte en diciembre</text>
  </threadedComment>
  <threadedComment ref="G916" dT="2020-01-28T15:38:02.25" personId="{00000000-0000-0000-0000-000000000000}" id="{399928AF-1EF3-491B-9764-C6F57D829FDC}">
    <text>Cobrar 4, 19 fueron mal reporte en diciembre</text>
  </threadedComment>
  <threadedComment ref="G917" dT="2020-01-28T15:39:05.36" personId="{00000000-0000-0000-0000-000000000000}" id="{F2A25BE1-DE9B-4330-A634-B3827C1E413C}">
    <text>Acumulación</text>
  </threadedComment>
  <threadedComment ref="G918" dT="2020-01-28T15:39:30.45" personId="{00000000-0000-0000-0000-000000000000}" id="{83273021-0AB0-4B26-AEB3-D901E98A4026}">
    <text>Acumulación</text>
  </threadedComment>
  <threadedComment ref="G919" dT="2020-01-28T15:39:47.67" personId="{00000000-0000-0000-0000-000000000000}" id="{E23155E4-D6E3-4D2C-B36C-C074781DB4CA}">
    <text>Mal reporte en diciembre</text>
  </threadedComment>
  <threadedComment ref="G957" dT="2020-01-28T15:52:20.50" personId="{00000000-0000-0000-0000-000000000000}" id="{C8A8A244-B714-4064-886C-835715AD118C}">
    <text>Acumulación</text>
  </threadedComment>
  <threadedComment ref="G1000" dT="2020-01-28T15:55:11.77" personId="{00000000-0000-0000-0000-000000000000}" id="{39A63519-0E50-4B1B-9248-56205E45E34B}">
    <text>Acumulación</text>
  </threadedComment>
  <threadedComment ref="G1001" dT="2020-01-28T15:56:17.50" personId="{00000000-0000-0000-0000-000000000000}" id="{9A9ED410-F44E-4503-9EF2-87492AA0B1ED}">
    <text>Acumulación</text>
  </threadedComment>
  <threadedComment ref="G1041" dT="2020-01-28T15:59:25.88" personId="{00000000-0000-0000-0000-000000000000}" id="{4A7502AE-330D-4D48-8F0B-C909A9F9BB8A}">
    <text>Mal repore en enero</text>
  </threadedComment>
  <threadedComment ref="G1084" dT="2020-01-28T16:04:50.64" personId="{00000000-0000-0000-0000-000000000000}" id="{42A77AD0-9826-47BD-BA25-29851A7B20C7}">
    <text>Acumulación</text>
  </threadedComment>
  <threadedComment ref="G1085" dT="2020-01-28T16:07:42.27" personId="{00000000-0000-0000-0000-000000000000}" id="{E4902811-C3E4-4330-94E6-4EDA9BC38B8B}">
    <text>Mala facturación, sobra flan de leche</text>
  </threadedComment>
  <threadedComment ref="G1086" dT="2020-01-28T16:06:07.47" personId="{00000000-0000-0000-0000-000000000000}" id="{5A92A372-BBA2-42CD-BEF8-B00D36BE9F09}">
    <text>Acumulación</text>
  </threadedComment>
  <threadedComment ref="G1127" dT="2020-01-28T16:11:22.55" personId="{00000000-0000-0000-0000-000000000000}" id="{85143919-B2CC-4EA9-855D-4EFC80AA4C15}">
    <text>Acumulación</text>
  </threadedComment>
  <threadedComment ref="G1170" dT="2020-01-28T16:15:09.99" personId="{00000000-0000-0000-0000-000000000000}" id="{0A15E4E6-5DAC-47EE-B976-A7EED475F1C3}">
    <text>Acumulación</text>
  </threadedComment>
  <threadedComment ref="G1205" dT="2020-01-28T16:17:51.20" personId="{00000000-0000-0000-0000-000000000000}" id="{A866BBD4-70F5-4734-81E8-AD0570FA49B9}">
    <text>Mal reporte en enero</text>
  </threadedComment>
  <threadedComment ref="G1279" dT="2020-01-28T16:23:00.45" personId="{00000000-0000-0000-0000-000000000000}" id="{FE2D33EF-BB6E-4941-B9FB-4FF2164D3C2C}">
    <text>Mal reporte en diciembre</text>
  </threadedComment>
  <threadedComment ref="G1319" dT="2020-01-28T16:25:41.60" personId="{00000000-0000-0000-0000-000000000000}" id="{01BC06C9-3706-40F7-B5A1-477C2F5BF8F5}">
    <text>Mal reporte en diciembre</text>
  </threadedComment>
  <threadedComment ref="G1320" dT="2020-01-28T16:26:15.99" personId="{00000000-0000-0000-0000-000000000000}" id="{283CEE31-6CC8-4773-A71C-037C3740F22B}">
    <text>Mal reporte en enero</text>
  </threadedComment>
  <threadedComment ref="G1321" dT="2020-01-28T16:26:40.12" personId="{00000000-0000-0000-0000-000000000000}" id="{213A59E2-4023-4206-A1DF-FB65582EB539}">
    <text>Acumulación</text>
  </threadedComment>
  <threadedComment ref="G1322" dT="2020-01-28T16:27:06.65" personId="{00000000-0000-0000-0000-000000000000}" id="{8C027015-8063-42D4-AD4C-595BA8C8C06F}">
    <text>Mal reporte en enero</text>
  </threadedComment>
  <threadedComment ref="G1436" dT="2020-01-30T16:57:54.58" personId="{00000000-0000-0000-0000-000000000000}" id="{81B8C2F6-3632-4FD9-A29D-3F552CA1A213}">
    <text>Mal reporte el 19 de enero</text>
  </threadedComment>
  <threadedComment ref="G1437" dT="2020-01-30T16:59:14.91" personId="{00000000-0000-0000-0000-000000000000}" id="{33F5250F-41E7-4F65-9D59-44F4A4864889}">
    <text>Mal reporte el 26 de diciembre</text>
  </threadedComment>
  <threadedComment ref="G1481" dT="2020-01-30T17:01:22.59" personId="{00000000-0000-0000-0000-000000000000}" id="{30424556-3284-49F0-B366-D2DBCD8ED997}">
    <text>Faltate 16 porciones, cobrar 4 ya que hay 12 en la acumulación</text>
  </threadedComment>
  <threadedComment ref="G1526" dT="2020-01-30T17:04:03.92" personId="{00000000-0000-0000-0000-000000000000}" id="{40E46663-EFA9-4126-B9C1-17906FEC57E0}">
    <text>Mal reporte el 19 de enero</text>
  </threadedComment>
  <threadedComment ref="G1527" dT="2020-01-30T17:04:38.64" personId="{00000000-0000-0000-0000-000000000000}" id="{3B8A179A-16BC-40FB-99CE-22CABDB4508D}">
    <text>Acumulación</text>
  </threadedComment>
  <threadedComment ref="G1610" dT="2020-01-30T17:09:33.21" personId="{00000000-0000-0000-0000-000000000000}" id="{686EFAE9-CB11-4FB5-8790-110CD0B46F02}">
    <text>Mal reporte el 19 de enero</text>
  </threadedComment>
  <threadedComment ref="G1611" dT="2020-01-30T17:10:04.06" personId="{00000000-0000-0000-0000-000000000000}" id="{94899C81-9673-4B5B-8977-84D0F59650DC}">
    <text>Mal reporte el 26 de diciembre</text>
  </threadedComment>
  <threadedComment ref="G1656" dT="2020-01-30T17:12:25.98" personId="{00000000-0000-0000-0000-000000000000}" id="{88DD2AC4-5115-4593-8448-206743ECA2E8}">
    <text>Faltante de 4 porciones, cobrar 1 ya que 2 estan por mal reporte el 26 de diciembre y 1 en acumulación</text>
  </threadedComment>
  <threadedComment ref="G1657" dT="2020-01-30T17:13:11.84" personId="{00000000-0000-0000-0000-000000000000}" id="{6B021AAF-7F0A-4812-A522-8140AD90958B}">
    <text>Acumulación</text>
  </threadedComment>
  <threadedComment ref="G1658" dT="2020-01-30T17:13:36.53" personId="{00000000-0000-0000-0000-000000000000}" id="{C0AA5B8A-3192-4C1A-AB23-5D6B06238593}">
    <text>Mal reporte el 26 de diciembre</text>
  </threadedComment>
  <threadedComment ref="G1733" dT="2020-01-30T17:18:17.54" personId="{00000000-0000-0000-0000-000000000000}" id="{A196D9A3-9E2D-4BC2-90F8-44F844345613}">
    <text>Mal reporte el 26 de diciembre</text>
  </threadedComment>
  <threadedComment ref="G1769" dT="2020-01-30T17:20:16.86" personId="{00000000-0000-0000-0000-000000000000}" id="{48C289C1-58E4-494D-AF17-4AD116C06946}">
    <text>Faltate 212, cobrar 158 ya que 54 estan en la acumulación</text>
  </threadedComment>
  <threadedComment ref="G1770" dT="2020-01-30T17:21:38.77" personId="{00000000-0000-0000-0000-000000000000}" id="{29EBBCC1-E111-4BB5-A239-85DFEF2D67E9}">
    <text>Mal reporte el 26 de diciembre</text>
  </threadedComment>
  <threadedComment ref="G1771" dT="2020-01-30T17:21:21.23" personId="{00000000-0000-0000-0000-000000000000}" id="{00BC04E0-67FB-419C-911F-AFC011FF4F41}">
    <text>Faltate de 8, cobrar 2 ya que 6 fue por mal reporte el 26 de diciembre</text>
  </threadedComment>
  <threadedComment ref="G1772" dT="2020-01-30T17:29:56.38" personId="{00000000-0000-0000-0000-000000000000}" id="{969EB466-329F-40AF-BDCE-C07D075E3E9E}">
    <text>Mal reporte el 19 de enero</text>
  </threadedComment>
  <threadedComment ref="G1773" dT="2020-01-30T17:22:40.08" personId="{00000000-0000-0000-0000-000000000000}" id="{04DA44A5-E2B6-4EAB-B1B7-D39941E05592}">
    <text>Faltante de 2, cobrar 1 ya que 1 esta en la acumulación</text>
  </threadedComment>
  <threadedComment ref="G1813" dT="2020-01-30T17:31:11.25" personId="{00000000-0000-0000-0000-000000000000}" id="{8680DAD8-7CF4-4EFA-BCBD-B8B8A2504F6E}">
    <text>Faltanta de 8, cobrar 7 ya que 1 esta en la acumulación</text>
  </threadedComment>
  <threadedComment ref="G1856" dT="2020-01-30T17:39:44.19" personId="{00000000-0000-0000-0000-000000000000}" id="{36DFC6ED-9D46-4B99-8443-2CD0565BAD81}">
    <text>Mal reporte el 19 de enero</text>
  </threadedComment>
  <threadedComment ref="G1857" dT="2020-01-30T17:40:14.42" personId="{00000000-0000-0000-0000-000000000000}" id="{6377D98E-F01F-4CA6-BA39-2BD2F86B573C}">
    <text>Mal reporte el 19 de enero</text>
  </threadedComment>
  <threadedComment ref="G1858" dT="2020-01-30T17:38:43.84" personId="{00000000-0000-0000-0000-000000000000}" id="{6065DBEB-D2BD-4563-A53F-36BD6F33266A}">
    <text>Acumulación</text>
  </threadedComment>
  <threadedComment ref="G4828" dT="2020-02-27T15:55:43.84" personId="{00000000-0000-0000-0000-000000000000}" id="{384A4FBB-0BA4-406D-8772-206C5119A36C}">
    <text>Mal reporte del 12 de febrero</text>
  </threadedComment>
  <threadedComment ref="G4829" dT="2020-02-27T15:56:12.18" personId="{00000000-0000-0000-0000-000000000000}" id="{DA708014-A882-47B7-B259-E1A7502A8B6D}">
    <text>Mal reporte del 12 de febrero</text>
  </threadedComment>
  <threadedComment ref="G4830" dT="2020-02-27T15:55:14.00" personId="{00000000-0000-0000-0000-000000000000}" id="{3C4F47F2-E680-4C8D-8B30-617D2F0C9F46}">
    <text>Mal reporte del 12 de febrero</text>
  </threadedComment>
  <threadedComment ref="G4831" dT="2020-02-27T15:59:24.31" personId="{00000000-0000-0000-0000-000000000000}" id="{B34CCBDF-ED0A-4ABF-8561-CB729A0C2E4E}">
    <text>Mal reporte del 12 de febrero</text>
  </threadedComment>
  <threadedComment ref="G4870" dT="2020-02-27T16:00:30.16" personId="{00000000-0000-0000-0000-000000000000}" id="{FE3A307A-599D-4B9F-B72A-7E10A790F4F4}">
    <text>Mal reporte del 12 de febrero</text>
  </threadedComment>
  <threadedComment ref="G4871" dT="2020-02-27T16:00:41.60" personId="{00000000-0000-0000-0000-000000000000}" id="{32E27A96-E3A0-4F58-A31A-6F93A63F50E8}">
    <text>Mal reporte del 12 de febrero</text>
  </threadedComment>
  <threadedComment ref="G4872" dT="2020-02-27T16:00:58.29" personId="{00000000-0000-0000-0000-000000000000}" id="{C7A7B2E2-7F35-44BE-A279-0C81F4C01A32}">
    <text>Mal reporte del 12 de febrero</text>
  </threadedComment>
  <threadedComment ref="G4997" dT="2020-02-27T16:06:40.43" personId="{00000000-0000-0000-0000-000000000000}" id="{14E24CBF-2C4A-4458-8590-2A1C7197D874}">
    <text>Mal reporte del 12 de febrero</text>
  </threadedComment>
  <threadedComment ref="G4998" dT="2020-02-27T16:07:28.74" personId="{00000000-0000-0000-0000-000000000000}" id="{EE3B8689-B68C-46B9-8DF9-8A9EE8A9E8BF}">
    <text>Faltante de 6 porciones, cobrar 1 ya que hay 5 porciones por mal conteo y en acumulación</text>
  </threadedComment>
  <threadedComment ref="G4999" dT="2020-02-27T16:07:57.41" personId="{00000000-0000-0000-0000-000000000000}" id="{77BFBC64-D58D-4925-AB0C-C9FEA9CA938A}">
    <text>Faltante de 3 unidades, cobrar 1 ya que hay 2 por mal reporte del 12 de febrero</text>
  </threadedComment>
  <threadedComment ref="G5000" dT="2020-02-27T16:09:06.74" personId="{00000000-0000-0000-0000-000000000000}" id="{AECCE37A-A79E-4798-B632-576193199857}">
    <text>Mal reporte del 12 de febrero</text>
  </threadedComment>
  <threadedComment ref="G5039" dT="2020-02-27T16:09:54.07" personId="{00000000-0000-0000-0000-000000000000}" id="{C645AADA-39FB-4908-A168-A9A8C3C36735}">
    <text>Estan en la acumulación</text>
  </threadedComment>
  <threadedComment ref="G5040" dT="2020-02-27T16:10:18.20" personId="{00000000-0000-0000-0000-000000000000}" id="{E915595A-DD7D-4008-96DB-B3B407347FB1}">
    <text>Estan en la acumulación</text>
  </threadedComment>
  <threadedComment ref="G5041" dT="2020-02-27T16:10:36.96" personId="{00000000-0000-0000-0000-000000000000}" id="{265E1FDF-AA3D-4835-AFAC-D72EFEE36840}">
    <text>Mal reporte del 12 de febrero</text>
  </threadedComment>
  <threadedComment ref="G5042" dT="2020-02-27T16:11:08.85" personId="{00000000-0000-0000-0000-000000000000}" id="{72411FDD-8CCB-4782-A2C1-DCAF8467DE1A}">
    <text>Mal reporte del 12 de febrero</text>
  </threadedComment>
  <threadedComment ref="G5336" dT="2020-03-09T17:36:13.42" personId="{00000000-0000-0000-0000-000000000000}" id="{7B6D1F39-DE2C-472A-B3D7-693B3376BF90}">
    <text>Estan en la acumulación</text>
  </threadedComment>
  <threadedComment ref="G5343" dT="2020-03-09T17:37:18.64" personId="{00000000-0000-0000-0000-000000000000}" id="{9CB6957F-CD71-4209-9646-BB66498FD98D}">
    <text>Mal reporte del 21 de febrero</text>
  </threadedComment>
  <threadedComment ref="G5357" dT="2020-03-09T17:37:55.79" personId="{00000000-0000-0000-0000-000000000000}" id="{4D35B99A-E444-4592-961F-D1E8516F1F42}">
    <text>Mal reporte del 26 de febrero</text>
  </threadedComment>
  <threadedComment ref="G5378" dT="2020-03-09T17:15:36.01" personId="{00000000-0000-0000-0000-000000000000}" id="{57486EF0-75E0-44E4-96C2-0140596EA302}">
    <text>Faltante de 7,5 unidades, hay 0,5 por mal reporte del 21 de febrero</text>
  </threadedComment>
  <threadedComment ref="G5385" dT="2020-03-09T16:52:09.89" personId="{00000000-0000-0000-0000-000000000000}" id="{D4C82DBF-12EB-4052-9573-9A9837781213}">
    <text>Faltante de 7 unidades, hay 4 por mal conteo del 23 de febrero</text>
  </threadedComment>
  <threadedComment ref="G5438" dT="2020-03-11T01:11:32.61" personId="{00000000-0000-0000-0000-000000000000}" id="{1B5095E9-D79A-411E-A0D9-379859EF8239}">
    <text>Faltante de 2 unidades, hay 1 unidad en ajuste por entrada por mal reporte del 21 de febrero</text>
  </threadedComment>
  <threadedComment ref="G5439" dT="2020-03-11T01:12:11.97" personId="{00000000-0000-0000-0000-000000000000}" id="{9004EB03-0BA4-45F5-B379-AE6669EDBB13}">
    <text>Faltante de 13 unidades, hay 4 unidades en ajuste por entrada por mal reporte del 21 de febrero</text>
  </threadedComment>
  <threadedComment ref="G5481" dT="2020-03-11T01:13:49.59" personId="{00000000-0000-0000-0000-000000000000}" id="{E3996DEB-9530-46B1-BA9A-4DF9E30909A7}">
    <text>Faltante de 0,5 unidades, hay 0,5 unidad en ajuste por entrada por mal reporte del 21 de febrero</text>
  </threadedComment>
  <threadedComment ref="G5527" dT="2020-03-11T01:14:55.98" personId="{00000000-0000-0000-0000-000000000000}" id="{3C0360BA-8A18-4132-A322-EBB37666B5C3}">
    <text>Estan en la acumulación</text>
  </threadedComment>
  <threadedComment ref="G5528" dT="2020-03-11T01:15:38.86" personId="{00000000-0000-0000-0000-000000000000}" id="{652640E3-7304-4DCD-BA50-F5F076DC7FD9}">
    <text>Esta en la acumulación</text>
  </threadedComment>
  <threadedComment ref="G5572" dT="2020-03-11T01:38:27.60" personId="{00000000-0000-0000-0000-000000000000}" id="{F3A645C5-523C-4338-A4FA-676900A3A1A6}">
    <text>Faltante de 1 unidad, hay 1 unidad en ajuste por entrada por mal reporte del 21 de febrero</text>
  </threadedComment>
  <threadedComment ref="G5573" dT="2020-03-11T01:37:59.79" personId="{00000000-0000-0000-0000-000000000000}" id="{3310496D-162F-4F9E-82F9-94BC84471549}">
    <text>Faltante de 2 unidades, hay 1 unidad en ajuste por entrada por mal reporte del 21 de febrero</text>
  </threadedComment>
  <threadedComment ref="G5617" dT="2020-03-11T01:39:45.21" personId="{00000000-0000-0000-0000-000000000000}" id="{D19A8AB6-680C-42D6-A738-AC14D4061C23}">
    <text>Faltante de 9 unidades, hay 7 unidades en ajuste por entrada por mal reporte del 21 de febrero</text>
  </threadedComment>
  <threadedComment ref="G5618" dT="2020-03-11T01:41:00.33" personId="{00000000-0000-0000-0000-000000000000}" id="{3DFD4A4F-36B1-4E81-8C89-5B48B893F45C}">
    <text>Faltante de 0,5 unidades, hay 0,5 unidades en ajuste por entrada por mal reporte del 9 de marzo</text>
  </threadedComment>
  <threadedComment ref="G5619" dT="2020-03-11T01:41:30.35" personId="{00000000-0000-0000-0000-000000000000}" id="{6E6707EA-C954-4D7C-9271-5AEF8684C75C}">
    <text>Faltante de 1 unidad, hay 1 unidad en ajuste por entrada por mal reporte del 21 de febrero</text>
  </threadedComment>
  <threadedComment ref="G5659" dT="2020-03-11T01:42:18.33" personId="{00000000-0000-0000-0000-000000000000}" id="{6D50927A-A177-4476-B770-84A4C353F832}">
    <text>Estan en la acumulación</text>
  </threadedComment>
  <threadedComment ref="G5660" dT="2020-03-11T01:42:31.07" personId="{00000000-0000-0000-0000-000000000000}" id="{04439ACD-ADDE-44B3-9071-BE088BEA8859}">
    <text>Estan en la acumulación</text>
  </threadedComment>
  <threadedComment ref="G5661" dT="2020-03-11T01:42:53.94" personId="{00000000-0000-0000-0000-000000000000}" id="{8D036A4C-0530-4702-BFBE-E51897ED258D}">
    <text>Estan en la acumulación</text>
  </threadedComment>
  <threadedComment ref="G5774" dT="2020-03-11T01:45:26.18" personId="{00000000-0000-0000-0000-000000000000}" id="{AEA49CA9-3E09-4962-BEE1-CA4783FD933D}">
    <text>Estan en la acumulación</text>
  </threadedComment>
  <threadedComment ref="G5775" dT="2020-03-11T01:46:18.36" personId="{00000000-0000-0000-0000-000000000000}" id="{913DD92B-A388-460F-9E03-F9640C4CE0BD}">
    <text>Faltante de 1 unidad, hay 1 unidad en ajuste por entrada por mal reporte del 21 de febrero</text>
  </threadedComment>
  <threadedComment ref="G5820" dT="2020-03-11T01:48:38.23" personId="{00000000-0000-0000-0000-000000000000}" id="{85A413B0-36A2-43CA-8A89-89954794AB5B}">
    <text>Esta en la acumulación</text>
  </threadedComment>
  <threadedComment ref="G5865" dT="2020-03-11T01:50:07.28" personId="{00000000-0000-0000-0000-000000000000}" id="{AA9A3426-71EA-491A-BF48-E5E946F8F7FD}">
    <text>Faltante de 5 unidades, hay 2 unidades en ajuste por entrada por mal reporte del 21 de febrero y 2 en la acumulación</text>
  </threadedComment>
  <threadedComment ref="G5866" dT="2020-03-11T01:51:17.07" personId="{00000000-0000-0000-0000-000000000000}" id="{3BC6F463-9131-4920-A81B-38AE93F0C247}">
    <text>Mal facturadas</text>
  </threadedComment>
  <threadedComment ref="G5910" dT="2020-03-11T01:52:03.40" personId="{00000000-0000-0000-0000-000000000000}" id="{81F706DD-77B1-4B30-91D4-8BC8EAE174FD}">
    <text>Estan en la acumulación</text>
  </threadedComment>
  <threadedComment ref="G5953" dT="2020-03-12T14:30:28.54" personId="{00000000-0000-0000-0000-000000000000}" id="{7F5BEECF-B089-414B-811F-DD1C1366852D}">
    <text>Estan en la acumulación</text>
  </threadedComment>
  <threadedComment ref="G5984" dT="2020-03-12T14:34:10.62" personId="{00000000-0000-0000-0000-000000000000}" id="{98B0C376-1BBF-48A5-81DE-788DB2B8F8C7}">
    <text>Faltante de 6 copas, hay ajuste por entrada por mal reporte del 24 de febrero</text>
  </threadedComment>
  <threadedComment ref="G5985" dT="2020-03-12T14:34:45.63" personId="{00000000-0000-0000-0000-000000000000}" id="{2DB8F2EC-AF99-4E25-AF4E-159C451550AB}">
    <text>Faltante de 4,8 unidades, hay ajuste por entrada por mal reporte del 24 de febrero</text>
  </threadedComment>
  <threadedComment ref="G5986" dT="2020-03-12T14:35:38.04" personId="{00000000-0000-0000-0000-000000000000}" id="{E502E5A3-C93A-4FA7-AA7F-F08571237CBD}">
    <text>Faltante de 1 unidad, esta en ajuste por entrada por mal reporte del 24 de febrero</text>
  </threadedComment>
  <threadedComment ref="G6066" dT="2020-03-12T14:42:10.87" personId="{00000000-0000-0000-0000-000000000000}" id="{8FDC8625-4A24-4B66-A4A4-D405C7FDCE8D}">
    <text>Hay 5 unidades en ajuste por entrada por mal reporte del 9 de marzo</text>
  </threadedComment>
  <threadedComment ref="G6067" dT="2020-03-12T19:37:53.05" personId="{00000000-0000-0000-0000-000000000000}" id="{F5541A03-8800-4E8C-918E-A34EEE40B2FF}">
    <text>Mal reporte del 9 de marzo</text>
  </threadedComment>
  <threadedComment ref="G6106" dT="2020-03-12T14:44:24.71" personId="{00000000-0000-0000-0000-000000000000}" id="{5D26BF11-3F2B-4998-BA37-0604F2C47925}">
    <text>Mal reporte del 2 de febrero</text>
  </threadedComment>
  <threadedComment ref="G6187" dT="2020-03-12T14:48:42.73" personId="{00000000-0000-0000-0000-000000000000}" id="{EB45921A-81B2-4FE4-97FA-CE2F7BFA710F}">
    <text>Faltante de 13 unidades, hay 9 unidades en ajuste por entrada por mal reporte del 24 de febrero</text>
  </threadedComment>
  <threadedComment ref="G6188" dT="2020-03-12T14:49:48.20" personId="{00000000-0000-0000-0000-000000000000}" id="{57C84DEF-2220-4A6D-B8D6-40BACBCD7514}">
    <text>Faltante de 4,7 unidades, hay 4 unidades en ajuste por entrada por mal reporte del 24 de febrero</text>
  </threadedComment>
  <threadedComment ref="G6189" dT="2020-03-12T14:50:02.53" personId="{00000000-0000-0000-0000-000000000000}" id="{12CA6F05-9F60-44CC-91F6-694B47D1EA0E}">
    <text>Mal reporte del 24 de febrero</text>
  </threadedComment>
  <threadedComment ref="G6190" dT="2020-03-12T14:51:32.46" personId="{00000000-0000-0000-0000-000000000000}" id="{E6077063-48AA-4AAB-B3DE-263BC0A118CD}">
    <text>Faltante de 3 undiades, hay 2 en ajuste por entrada por mal reporte del 24 de febrero</text>
  </threadedComment>
  <threadedComment ref="G6261" dT="2020-03-12T19:21:39.20" personId="{00000000-0000-0000-0000-000000000000}" id="{22EFA20A-1963-42BA-BDEC-F480F41E270E}">
    <text>Mal facturada</text>
  </threadedComment>
  <threadedComment ref="G6296" dT="2020-03-12T19:23:23.41" personId="{00000000-0000-0000-0000-000000000000}" id="{9BEEE31C-1EFF-4DA5-8FAB-B92DC141C6DC}">
    <text>Faltante de 39 unidades, hay 36 unidades en la acumulación</text>
  </threadedComment>
  <threadedComment ref="G6297" dT="2020-03-12T19:23:49.18" personId="{00000000-0000-0000-0000-000000000000}" id="{C3D9C305-A8C5-47B5-B04F-967E1ED35FBD}">
    <text>Estan en la acumulación</text>
  </threadedComment>
  <threadedComment ref="G6298" dT="2020-03-12T19:24:47.87" personId="{00000000-0000-0000-0000-000000000000}" id="{FEDEE6EA-72B9-422C-AFEE-564C70A4B0EE}">
    <text>Estan en la acumulación</text>
  </threadedComment>
  <threadedComment ref="G6334" dT="2020-03-12T19:27:38.59" personId="{00000000-0000-0000-0000-000000000000}" id="{745E2C48-E0CE-43B9-A4D0-FA1084D024B9}">
    <text>Faltante de 5 unidades, hay 1 unidad en la acumulación</text>
  </threadedComment>
  <threadedComment ref="G6374" dT="2020-03-12T19:30:40.27" personId="{00000000-0000-0000-0000-000000000000}" id="{E716C730-EF69-4DB7-A68C-060E3B3E05DD}">
    <text>Faltante de 8 unidades, hay 3 en ajuste por entrada por mall reporte del 24 de febrero</text>
  </threadedComment>
  <threadedComment ref="G6416" dT="2020-03-12T19:33:15.99" personId="{00000000-0000-0000-0000-000000000000}" id="{AFB04CAA-84A7-446B-9263-2FD8C79A9401}">
    <text>Mal reporte del 24 de febrero</text>
  </threadedComment>
  <threadedComment ref="G6486" dT="2020-03-14T17:01:46.34" personId="{00000000-0000-0000-0000-000000000000}" id="{31ECBD5A-BF35-447E-9A1B-D8EC04EE435B}">
    <text>Mal reporte del 26 de febrero</text>
  </threadedComment>
  <threadedComment ref="G6487" dT="2020-03-14T17:02:21.42" personId="{00000000-0000-0000-0000-000000000000}" id="{CAD74CBC-2F8C-4E43-BB56-33BC5BFF7B7F}">
    <text>Estan en la acumulación</text>
  </threadedComment>
  <threadedComment ref="G6488" dT="2020-03-14T17:03:09.82" personId="{00000000-0000-0000-0000-000000000000}" id="{510F5CF0-E8F3-4E64-AE65-B1F422DB879E}">
    <text>Estan en la acumulación</text>
  </threadedComment>
  <threadedComment ref="G6489" dT="2020-03-14T17:03:43.29" personId="{00000000-0000-0000-0000-000000000000}" id="{D62A54D8-EB53-416C-A527-94CAE1DCD1F6}">
    <text>Esta en la acumulación</text>
  </threadedComment>
  <threadedComment ref="G6490" dT="2020-03-14T17:04:01.68" personId="{00000000-0000-0000-0000-000000000000}" id="{BA0841CB-E4E2-4406-B007-68F643CD0002}">
    <text>Esta en la acumulación</text>
  </threadedComment>
  <threadedComment ref="G6571" dT="2020-03-14T17:06:20.96" personId="{00000000-0000-0000-0000-000000000000}" id="{82862344-6B31-4E2E-A2CB-B4F430F67248}">
    <text>Estan en la acumulación</text>
  </threadedComment>
  <threadedComment ref="G6572" dT="2020-03-14T17:06:37.07" personId="{00000000-0000-0000-0000-000000000000}" id="{6A19D3A3-7B73-47CB-B7E9-079C6B6A3A4E}">
    <text>Esta en la acumulación</text>
  </threadedComment>
  <threadedComment ref="G6573" dT="2020-03-14T17:06:58.59" personId="{00000000-0000-0000-0000-000000000000}" id="{FA1522B1-DB22-488D-A89B-16EEE4AB4AB0}">
    <text>Mal reporte del 9 de marzo</text>
  </threadedComment>
  <threadedComment ref="G6610" dT="2020-03-14T17:09:35.19" personId="{00000000-0000-0000-0000-000000000000}" id="{13999217-C796-4AFB-9949-A1F375B4BBD2}">
    <text>Mal reporte del 26 de febrero</text>
  </threadedComment>
  <threadedComment ref="G6654" dT="2020-03-14T17:15:35.06" personId="{00000000-0000-0000-0000-000000000000}" id="{4B0172E4-5B8C-4D10-A248-245A2BD7852D}">
    <text>Mal resporte del 26 de febrero</text>
  </threadedComment>
  <threadedComment ref="G6655" dT="2020-03-14T17:16:04.60" personId="{00000000-0000-0000-0000-000000000000}" id="{061D66A2-AB2E-4097-9BFC-1449CCC5D561}">
    <text>Mal reporte del 26 de febrero</text>
  </threadedComment>
  <threadedComment ref="G6697" dT="2020-03-14T17:19:52.41" personId="{00000000-0000-0000-0000-000000000000}" id="{1896B2D3-30A1-4145-A414-6C2538BF5830}">
    <text>Faltante de 7 unidades, hay 6 por mal reporte del 26 de febrero</text>
  </threadedComment>
  <threadedComment ref="G6698" dT="2020-03-14T17:20:46.63" personId="{00000000-0000-0000-0000-000000000000}" id="{AF17E90C-3875-4ED0-9B25-AF41FBF3B625}">
    <text>Mal reporte del 26 de febrero</text>
  </threadedComment>
  <threadedComment ref="G6699" dT="2020-03-14T17:21:05.01" personId="{00000000-0000-0000-0000-000000000000}" id="{39D809E7-C7B6-4E8C-9807-AD8DD78572AC}">
    <text>Mal reporte del 26 de febrero</text>
  </threadedComment>
  <threadedComment ref="G6773" dT="2020-03-14T17:22:30.45" personId="{00000000-0000-0000-0000-000000000000}" id="{C75170EA-CE2D-4D00-BFC3-959610308116}">
    <text>Mal reporte del 9 de marzo</text>
  </threadedComment>
  <threadedComment ref="G6850" dT="2020-03-14T17:23:49.75" personId="{00000000-0000-0000-0000-000000000000}" id="{FB9B8973-A8B5-4A03-B700-BFC4199697EC}">
    <text>Faltante de 5 unidades, hay 4 en la acumulación</text>
  </threadedComment>
  <threadedComment ref="G6851" dT="2020-03-14T17:25:47.29" personId="{00000000-0000-0000-0000-000000000000}" id="{CCBD08E2-EB60-4829-9876-B4A465E51599}">
    <text>Estan en la acumulación</text>
  </threadedComment>
  <threadedComment ref="G6852" dT="2020-03-14T17:25:10.05" personId="{00000000-0000-0000-0000-000000000000}" id="{74286F9C-31C3-4AC2-AFFA-14B5E6A413B1}">
    <text>Mal reporte del 26 de febrero</text>
  </threadedComment>
  <threadedComment ref="G6892" dT="2020-03-14T17:42:57.27" personId="{00000000-0000-0000-0000-000000000000}" id="{F66F476D-FC16-402D-9BF7-E24A041FB2DB}">
    <text>Mal reporte del 26 de febrero</text>
  </threadedComment>
  <threadedComment ref="G7018" dT="2020-03-16T15:45:39.38" personId="{00000000-0000-0000-0000-000000000000}" id="{C142D321-2A9C-4535-A462-6E23C9292633}">
    <text>Faltante de 23, hay 12 por mal reporte del 9 de marzo</text>
  </threadedComment>
  <threadedComment ref="G7019" dT="2020-03-16T15:46:30.68" personId="{00000000-0000-0000-0000-000000000000}" id="{BA278704-207B-4669-84CF-E9E75DDE63F0}">
    <text>Mal reporte del 9 y 11 de marzo</text>
  </threadedComment>
  <threadedComment ref="G7039" dT="2020-03-16T16:05:36.56" personId="{00000000-0000-0000-0000-000000000000}" id="{81FE761A-EC84-4659-A603-F90A10C506AE}">
    <text>Faltante de 22 unidades, hay 19,5 por mal reporte del 11 de marzo</text>
  </threadedComment>
  <threadedComment ref="G7040" dT="2020-03-16T16:06:12.29" personId="{00000000-0000-0000-0000-000000000000}" id="{37ED33B9-9F8F-42CB-AFA4-CD827C5DE576}">
    <text>Mal reporte del 13 de marzo</text>
  </threadedComment>
  <threadedComment ref="G7046" dT="2020-03-16T16:14:05.00" personId="{00000000-0000-0000-0000-000000000000}" id="{12F174AD-A8D4-484C-8FA4-C43BBFAF2C0E}">
    <text>Falta de 5,5 undiades, hay 4 por mal reporte del 10 de marzo</text>
  </threadedComment>
  <threadedComment ref="G7053" dT="2020-03-16T16:21:11.38" personId="{00000000-0000-0000-0000-000000000000}" id="{0B542D46-1055-4BA3-A17F-0AB4C8885142}">
    <text>Mal reporte del 9 de marzo</text>
  </threadedComment>
  <threadedComment ref="G7067" dT="2020-03-17T10:15:34.80" personId="{00000000-0000-0000-0000-000000000000}" id="{7C32D37E-BA10-4F68-ABE2-A03EA4FAC9A8}">
    <text>Mal reporte del 13 de marzo</text>
  </threadedComment>
  <threadedComment ref="G7783" dT="2020-03-19T02:29:04.29" personId="{00000000-0000-0000-0000-000000000000}" id="{7E2423F2-529F-47F3-8756-7C1E9DED4ED0}">
    <text>Mal reporte del 15 de marzo</text>
  </threadedComment>
  <threadedComment ref="G7912" dT="2020-03-17T10:33:25.29" personId="{00000000-0000-0000-0000-000000000000}" id="{00A29D97-0089-4CDF-85DE-2D026D682F4C}">
    <text>Mal reporte del 11 de marzo</text>
  </threadedComment>
  <threadedComment ref="G7913" dT="2020-03-17T10:34:41.26" personId="{00000000-0000-0000-0000-000000000000}" id="{DACAA467-303E-4C68-BCB7-F41CE085FA90}">
    <text>Mal reporte del 13 de marzo</text>
  </threadedComment>
  <threadedComment ref="G7914" dT="2020-03-17T10:34:21.45" personId="{00000000-0000-0000-0000-000000000000}" id="{E2566A57-30B7-4FC4-966D-7BF5E8EDEA9A}">
    <text>Mal reporte del 13 de marzo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4CAD-0528-49C7-9BC9-928530D1A23E}">
  <dimension ref="A1:E8"/>
  <sheetViews>
    <sheetView workbookViewId="0">
      <selection activeCell="B7" sqref="B7"/>
    </sheetView>
  </sheetViews>
  <sheetFormatPr baseColWidth="10" defaultRowHeight="14.4" x14ac:dyDescent="0.3"/>
  <cols>
    <col min="1" max="1" width="34.88671875" bestFit="1" customWidth="1"/>
    <col min="2" max="2" width="21.44140625" bestFit="1" customWidth="1"/>
    <col min="3" max="4" width="7.77734375" bestFit="1" customWidth="1"/>
    <col min="5" max="5" width="11.88671875" bestFit="1" customWidth="1"/>
    <col min="6" max="6" width="8" bestFit="1" customWidth="1"/>
    <col min="7" max="7" width="7.77734375" bestFit="1" customWidth="1"/>
    <col min="8" max="8" width="11.88671875" bestFit="1" customWidth="1"/>
  </cols>
  <sheetData>
    <row r="1" spans="1:5" x14ac:dyDescent="0.3">
      <c r="A1" s="40" t="s">
        <v>280</v>
      </c>
      <c r="B1" t="s">
        <v>1100</v>
      </c>
    </row>
    <row r="2" spans="1:5" x14ac:dyDescent="0.3">
      <c r="A2" s="40" t="s">
        <v>272</v>
      </c>
      <c r="B2" t="s">
        <v>1100</v>
      </c>
    </row>
    <row r="4" spans="1:5" x14ac:dyDescent="0.3">
      <c r="A4" s="40" t="s">
        <v>1098</v>
      </c>
      <c r="B4" s="40" t="s">
        <v>1099</v>
      </c>
    </row>
    <row r="5" spans="1:5" x14ac:dyDescent="0.3">
      <c r="A5" s="40" t="s">
        <v>1096</v>
      </c>
      <c r="B5" t="s">
        <v>336</v>
      </c>
      <c r="C5" t="s">
        <v>372</v>
      </c>
      <c r="D5" t="s">
        <v>394</v>
      </c>
      <c r="E5" t="s">
        <v>1097</v>
      </c>
    </row>
    <row r="6" spans="1:5" x14ac:dyDescent="0.3">
      <c r="A6" s="41" t="s">
        <v>328</v>
      </c>
      <c r="B6" s="42">
        <v>15.9</v>
      </c>
      <c r="C6" s="42">
        <v>-8.42</v>
      </c>
      <c r="D6" s="42">
        <v>8.0399999999999991</v>
      </c>
      <c r="E6" s="42">
        <v>15.52</v>
      </c>
    </row>
    <row r="7" spans="1:5" x14ac:dyDescent="0.3">
      <c r="A7" s="41" t="s">
        <v>329</v>
      </c>
      <c r="B7" s="42">
        <v>20</v>
      </c>
      <c r="C7" s="42">
        <v>-20</v>
      </c>
      <c r="D7" s="42">
        <v>-21</v>
      </c>
      <c r="E7" s="42">
        <v>-21</v>
      </c>
    </row>
    <row r="8" spans="1:5" x14ac:dyDescent="0.3">
      <c r="A8" s="41" t="s">
        <v>1097</v>
      </c>
      <c r="B8" s="42">
        <v>35.9</v>
      </c>
      <c r="C8" s="42">
        <v>-28.42</v>
      </c>
      <c r="D8" s="42">
        <v>-12.96</v>
      </c>
      <c r="E8" s="42">
        <v>-5.48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704"/>
  <sheetViews>
    <sheetView showGridLines="0" tabSelected="1" zoomScale="87" zoomScaleNormal="87" workbookViewId="0">
      <pane ySplit="1" topLeftCell="A231" activePane="bottomLeft" state="frozen"/>
      <selection pane="bottomLeft" activeCell="I243" sqref="I243"/>
    </sheetView>
  </sheetViews>
  <sheetFormatPr baseColWidth="10" defaultColWidth="12.44140625" defaultRowHeight="15" x14ac:dyDescent="0.25"/>
  <cols>
    <col min="1" max="1" width="12.6640625" style="12" customWidth="1"/>
    <col min="2" max="2" width="14" style="3" customWidth="1"/>
    <col min="3" max="3" width="14.44140625" style="3" customWidth="1"/>
    <col min="4" max="4" width="15.33203125" style="3" customWidth="1"/>
    <col min="5" max="5" width="8.6640625" style="3" customWidth="1"/>
    <col min="6" max="6" width="50.5546875" style="30" customWidth="1"/>
    <col min="7" max="7" width="13.44140625" style="2" customWidth="1"/>
    <col min="8" max="8" width="13.6640625" style="24" customWidth="1"/>
    <col min="9" max="9" width="14.6640625" style="10" customWidth="1"/>
    <col min="10" max="10" width="19.77734375" style="10" customWidth="1"/>
    <col min="11" max="11" width="11.109375" style="2" customWidth="1"/>
    <col min="12" max="12" width="18.5546875" style="27" customWidth="1"/>
    <col min="13" max="13" width="18.77734375" style="27" bestFit="1" customWidth="1"/>
    <col min="14" max="14" width="15" style="22" bestFit="1" customWidth="1"/>
    <col min="15" max="15" width="22" style="1" bestFit="1" customWidth="1"/>
    <col min="16" max="16384" width="12.44140625" style="1"/>
  </cols>
  <sheetData>
    <row r="1" spans="1:14" s="18" customFormat="1" ht="30" x14ac:dyDescent="0.25">
      <c r="A1" s="16" t="s">
        <v>272</v>
      </c>
      <c r="B1" s="17" t="s">
        <v>273</v>
      </c>
      <c r="C1" s="18" t="s">
        <v>280</v>
      </c>
      <c r="D1" s="28" t="s">
        <v>274</v>
      </c>
      <c r="E1" s="28" t="s">
        <v>281</v>
      </c>
      <c r="F1" s="28" t="s">
        <v>275</v>
      </c>
      <c r="G1" s="19" t="s">
        <v>276</v>
      </c>
      <c r="H1" s="24" t="s">
        <v>282</v>
      </c>
      <c r="I1" s="20" t="s">
        <v>277</v>
      </c>
      <c r="J1" s="21" t="s">
        <v>278</v>
      </c>
      <c r="K1" s="19" t="s">
        <v>279</v>
      </c>
      <c r="L1" s="26" t="s">
        <v>271</v>
      </c>
      <c r="M1" s="26" t="s">
        <v>393</v>
      </c>
      <c r="N1" s="23" t="s">
        <v>125</v>
      </c>
    </row>
    <row r="2" spans="1:14" x14ac:dyDescent="0.25">
      <c r="A2" s="11">
        <v>46037</v>
      </c>
      <c r="B2" s="5" t="s">
        <v>212</v>
      </c>
      <c r="C2" s="3" t="s">
        <v>213</v>
      </c>
      <c r="D2" s="5" t="s">
        <v>111</v>
      </c>
      <c r="E2" s="5" t="s">
        <v>112</v>
      </c>
      <c r="F2" s="6" t="s">
        <v>225</v>
      </c>
      <c r="G2" s="4" t="s">
        <v>0</v>
      </c>
      <c r="H2" s="24">
        <v>5000</v>
      </c>
      <c r="I2" s="8">
        <v>1040</v>
      </c>
      <c r="J2" s="9">
        <v>1049</v>
      </c>
      <c r="K2" s="7">
        <v>9</v>
      </c>
      <c r="L2" s="24">
        <f>+Tabla2[[#This Row],[Stock Inventario]]*Tabla2[[#This Row],[Coste LÃ­nea]]</f>
        <v>5245000</v>
      </c>
      <c r="M2" s="24">
        <f>+Tabla2[[#This Row],[Variación Stock]]*Tabla2[[#This Row],[Coste LÃ­nea]]</f>
        <v>45000</v>
      </c>
      <c r="N2" s="22" t="str">
        <f>+IF(Tabla2[[#This Row],[Variación Stock]]&gt;0,"Sobrante",IF(Tabla2[[#This Row],[Variación Stock]]&lt;0,"Faltante","Sin novedad"))</f>
        <v>Sobrante</v>
      </c>
    </row>
    <row r="3" spans="1:14" x14ac:dyDescent="0.25">
      <c r="A3" s="11">
        <v>46044</v>
      </c>
      <c r="B3" s="5" t="s">
        <v>383</v>
      </c>
      <c r="C3" s="3" t="s">
        <v>213</v>
      </c>
      <c r="D3" s="5" t="s">
        <v>111</v>
      </c>
      <c r="E3" s="5" t="s">
        <v>112</v>
      </c>
      <c r="F3" s="6" t="s">
        <v>225</v>
      </c>
      <c r="G3" s="4" t="s">
        <v>0</v>
      </c>
      <c r="H3" s="25">
        <v>5000</v>
      </c>
      <c r="I3" s="8">
        <v>1049</v>
      </c>
      <c r="J3" s="9">
        <v>6</v>
      </c>
      <c r="K3" s="7">
        <v>-1043</v>
      </c>
      <c r="L3" s="24">
        <f>+Tabla2[[#This Row],[Stock Inventario]]*Tabla2[[#This Row],[Coste LÃ­nea]]</f>
        <v>30000</v>
      </c>
      <c r="M3" s="24">
        <f>+Tabla2[[#This Row],[Variación Stock]]*Tabla2[[#This Row],[Coste LÃ­nea]]</f>
        <v>-5215000</v>
      </c>
      <c r="N3" s="22" t="str">
        <f>+IF(Tabla2[[#This Row],[Variación Stock]]&gt;0,"Sobrante",IF(Tabla2[[#This Row],[Variación Stock]]&lt;0,"Faltante","Sin novedad"))</f>
        <v>Faltante</v>
      </c>
    </row>
    <row r="4" spans="1:14" hidden="1" x14ac:dyDescent="0.25">
      <c r="A4" s="11">
        <v>46037</v>
      </c>
      <c r="B4" s="5" t="s">
        <v>212</v>
      </c>
      <c r="C4" s="3" t="s">
        <v>213</v>
      </c>
      <c r="D4" s="5" t="s">
        <v>116</v>
      </c>
      <c r="E4" s="5" t="s">
        <v>117</v>
      </c>
      <c r="F4" s="6" t="s">
        <v>245</v>
      </c>
      <c r="G4" s="4" t="s">
        <v>1</v>
      </c>
      <c r="H4" s="24">
        <v>12.005530520000001</v>
      </c>
      <c r="I4" s="8">
        <v>128170</v>
      </c>
      <c r="J4" s="9">
        <v>119715</v>
      </c>
      <c r="K4" s="15">
        <v>-8455</v>
      </c>
      <c r="L4" s="24">
        <f>+Tabla2[[#This Row],[Stock Inventario]]*Tabla2[[#This Row],[Coste LÃ­nea]]</f>
        <v>1437242.0862018</v>
      </c>
      <c r="M4" s="24">
        <f>+Tabla2[[#This Row],[Variación Stock]]*Tabla2[[#This Row],[Coste LÃ­nea]]</f>
        <v>-101506.76054660001</v>
      </c>
      <c r="N4" s="22" t="str">
        <f>+IF(Tabla2[[#This Row],[Variación Stock]]&gt;0,"Sobrante",IF(Tabla2[[#This Row],[Variación Stock]]&lt;0,"Faltante","Sin novedad"))</f>
        <v>Faltante</v>
      </c>
    </row>
    <row r="5" spans="1:14" hidden="1" x14ac:dyDescent="0.25">
      <c r="A5" s="11">
        <v>46044</v>
      </c>
      <c r="B5" s="5" t="s">
        <v>383</v>
      </c>
      <c r="C5" s="3" t="s">
        <v>213</v>
      </c>
      <c r="D5" s="5" t="s">
        <v>116</v>
      </c>
      <c r="E5" s="5" t="s">
        <v>117</v>
      </c>
      <c r="F5" s="6" t="s">
        <v>245</v>
      </c>
      <c r="G5" s="4" t="s">
        <v>1</v>
      </c>
      <c r="H5" s="25">
        <v>10.11231527</v>
      </c>
      <c r="I5" s="8">
        <v>166665</v>
      </c>
      <c r="J5" s="9">
        <v>75000</v>
      </c>
      <c r="K5" s="15">
        <v>-91665</v>
      </c>
      <c r="L5" s="24">
        <f>+Tabla2[[#This Row],[Stock Inventario]]*Tabla2[[#This Row],[Coste LÃ­nea]]</f>
        <v>758423.64524999994</v>
      </c>
      <c r="M5" s="24">
        <f>+Tabla2[[#This Row],[Variación Stock]]*Tabla2[[#This Row],[Coste LÃ­nea]]</f>
        <v>-926945.37922454998</v>
      </c>
      <c r="N5" s="22" t="str">
        <f>+IF(Tabla2[[#This Row],[Variación Stock]]&gt;0,"Sobrante",IF(Tabla2[[#This Row],[Variación Stock]]&lt;0,"Faltante","Sin novedad"))</f>
        <v>Faltante</v>
      </c>
    </row>
    <row r="6" spans="1:14" hidden="1" x14ac:dyDescent="0.25">
      <c r="A6" s="11">
        <v>46037</v>
      </c>
      <c r="B6" s="5" t="s">
        <v>212</v>
      </c>
      <c r="C6" s="3" t="s">
        <v>213</v>
      </c>
      <c r="D6" s="5" t="s">
        <v>119</v>
      </c>
      <c r="E6" s="5" t="s">
        <v>117</v>
      </c>
      <c r="F6" s="6" t="s">
        <v>256</v>
      </c>
      <c r="G6" s="4" t="s">
        <v>1</v>
      </c>
      <c r="H6" s="24">
        <v>326.20299999999997</v>
      </c>
      <c r="I6" s="8">
        <v>1457.9563000000001</v>
      </c>
      <c r="J6" s="9">
        <v>1100</v>
      </c>
      <c r="K6" s="7">
        <v>-357.95627999999999</v>
      </c>
      <c r="L6" s="24">
        <f>+Tabla2[[#This Row],[Stock Inventario]]*Tabla2[[#This Row],[Coste LÃ­nea]]</f>
        <v>358823.3</v>
      </c>
      <c r="M6" s="24">
        <f>+Tabla2[[#This Row],[Variación Stock]]*Tabla2[[#This Row],[Coste LÃ­nea]]</f>
        <v>-116766.41240483998</v>
      </c>
      <c r="N6" s="22" t="str">
        <f>+IF(Tabla2[[#This Row],[Variación Stock]]&gt;0,"Sobrante",IF(Tabla2[[#This Row],[Variación Stock]]&lt;0,"Faltante","Sin novedad"))</f>
        <v>Faltante</v>
      </c>
    </row>
    <row r="7" spans="1:14" hidden="1" x14ac:dyDescent="0.25">
      <c r="A7" s="11">
        <v>46037</v>
      </c>
      <c r="B7" s="5" t="s">
        <v>212</v>
      </c>
      <c r="C7" s="3" t="s">
        <v>213</v>
      </c>
      <c r="D7" s="5" t="s">
        <v>119</v>
      </c>
      <c r="E7" s="5" t="s">
        <v>117</v>
      </c>
      <c r="F7" s="6" t="s">
        <v>9</v>
      </c>
      <c r="G7" s="4" t="s">
        <v>2</v>
      </c>
      <c r="H7" s="24">
        <v>0</v>
      </c>
      <c r="I7" s="8">
        <v>145</v>
      </c>
      <c r="J7" s="9">
        <v>276</v>
      </c>
      <c r="K7" s="7">
        <v>131</v>
      </c>
      <c r="L7" s="24">
        <f>+Tabla2[[#This Row],[Stock Inventario]]*Tabla2[[#This Row],[Coste LÃ­nea]]</f>
        <v>0</v>
      </c>
      <c r="M7" s="24">
        <f>+Tabla2[[#This Row],[Variación Stock]]*Tabla2[[#This Row],[Coste LÃ­nea]]</f>
        <v>0</v>
      </c>
      <c r="N7" s="22" t="str">
        <f>+IF(Tabla2[[#This Row],[Variación Stock]]&gt;0,"Sobrante",IF(Tabla2[[#This Row],[Variación Stock]]&lt;0,"Faltante","Sin novedad"))</f>
        <v>Sobrante</v>
      </c>
    </row>
    <row r="8" spans="1:14" hidden="1" x14ac:dyDescent="0.25">
      <c r="A8" s="11">
        <v>46037</v>
      </c>
      <c r="B8" s="5" t="s">
        <v>212</v>
      </c>
      <c r="C8" s="3" t="s">
        <v>213</v>
      </c>
      <c r="D8" s="5" t="s">
        <v>116</v>
      </c>
      <c r="E8" s="5" t="s">
        <v>117</v>
      </c>
      <c r="F8" s="6" t="s">
        <v>157</v>
      </c>
      <c r="G8" s="4" t="s">
        <v>1</v>
      </c>
      <c r="H8" s="24">
        <v>34</v>
      </c>
      <c r="I8" s="8">
        <v>-211.36240000000001</v>
      </c>
      <c r="J8" s="9">
        <v>1010</v>
      </c>
      <c r="K8" s="7">
        <v>1221.3624</v>
      </c>
      <c r="L8" s="24">
        <f>+Tabla2[[#This Row],[Stock Inventario]]*Tabla2[[#This Row],[Coste LÃ­nea]]</f>
        <v>34340</v>
      </c>
      <c r="M8" s="24">
        <f>+Tabla2[[#This Row],[Variación Stock]]*Tabla2[[#This Row],[Coste LÃ­nea]]</f>
        <v>41526.321599999996</v>
      </c>
      <c r="N8" s="22" t="str">
        <f>+IF(Tabla2[[#This Row],[Variación Stock]]&gt;0,"Sobrante",IF(Tabla2[[#This Row],[Variación Stock]]&lt;0,"Faltante","Sin novedad"))</f>
        <v>Sobrante</v>
      </c>
    </row>
    <row r="9" spans="1:14" hidden="1" x14ac:dyDescent="0.25">
      <c r="A9" s="11">
        <v>46044</v>
      </c>
      <c r="B9" s="5" t="s">
        <v>383</v>
      </c>
      <c r="C9" s="3" t="s">
        <v>213</v>
      </c>
      <c r="D9" s="5" t="s">
        <v>116</v>
      </c>
      <c r="E9" s="5" t="s">
        <v>117</v>
      </c>
      <c r="F9" s="6" t="s">
        <v>388</v>
      </c>
      <c r="G9" s="4" t="s">
        <v>2</v>
      </c>
      <c r="H9" s="25">
        <v>4850</v>
      </c>
      <c r="I9" s="8">
        <v>43</v>
      </c>
      <c r="J9" s="9">
        <v>0</v>
      </c>
      <c r="K9" s="7">
        <v>-43</v>
      </c>
      <c r="L9" s="24">
        <f>+Tabla2[[#This Row],[Stock Inventario]]*Tabla2[[#This Row],[Coste LÃ­nea]]</f>
        <v>0</v>
      </c>
      <c r="M9" s="24">
        <f>+Tabla2[[#This Row],[Variación Stock]]*Tabla2[[#This Row],[Coste LÃ­nea]]</f>
        <v>-208550</v>
      </c>
      <c r="N9" s="22" t="str">
        <f>+IF(Tabla2[[#This Row],[Variación Stock]]&gt;0,"Sobrante",IF(Tabla2[[#This Row],[Variación Stock]]&lt;0,"Faltante","Sin novedad"))</f>
        <v>Faltante</v>
      </c>
    </row>
    <row r="10" spans="1:14" hidden="1" x14ac:dyDescent="0.25">
      <c r="A10" s="11">
        <v>46037</v>
      </c>
      <c r="B10" s="5" t="s">
        <v>212</v>
      </c>
      <c r="C10" s="3" t="s">
        <v>213</v>
      </c>
      <c r="D10" s="5" t="s">
        <v>116</v>
      </c>
      <c r="E10" s="5" t="s">
        <v>117</v>
      </c>
      <c r="F10" s="6" t="s">
        <v>250</v>
      </c>
      <c r="G10" s="4" t="s">
        <v>2</v>
      </c>
      <c r="H10" s="24">
        <v>4850</v>
      </c>
      <c r="I10" s="8">
        <v>-57</v>
      </c>
      <c r="J10" s="9">
        <v>80</v>
      </c>
      <c r="K10" s="7">
        <v>137</v>
      </c>
      <c r="L10" s="24">
        <f>+Tabla2[[#This Row],[Stock Inventario]]*Tabla2[[#This Row],[Coste LÃ­nea]]</f>
        <v>388000</v>
      </c>
      <c r="M10" s="24">
        <f>+Tabla2[[#This Row],[Variación Stock]]*Tabla2[[#This Row],[Coste LÃ­nea]]</f>
        <v>664450</v>
      </c>
      <c r="N10" s="22" t="str">
        <f>+IF(Tabla2[[#This Row],[Variación Stock]]&gt;0,"Sobrante",IF(Tabla2[[#This Row],[Variación Stock]]&lt;0,"Faltante","Sin novedad"))</f>
        <v>Sobrante</v>
      </c>
    </row>
    <row r="11" spans="1:14" x14ac:dyDescent="0.25">
      <c r="A11" s="11">
        <v>46037</v>
      </c>
      <c r="B11" s="5" t="s">
        <v>212</v>
      </c>
      <c r="C11" s="3" t="s">
        <v>213</v>
      </c>
      <c r="D11" s="5" t="s">
        <v>111</v>
      </c>
      <c r="E11" s="5" t="s">
        <v>112</v>
      </c>
      <c r="F11" s="6" t="s">
        <v>44</v>
      </c>
      <c r="G11" s="4" t="s">
        <v>0</v>
      </c>
      <c r="H11" s="24">
        <v>3804.2272727300001</v>
      </c>
      <c r="I11" s="8">
        <v>55</v>
      </c>
      <c r="J11" s="9">
        <v>54</v>
      </c>
      <c r="K11" s="7">
        <v>-1</v>
      </c>
      <c r="L11" s="24">
        <f>+Tabla2[[#This Row],[Stock Inventario]]*Tabla2[[#This Row],[Coste LÃ­nea]]</f>
        <v>205428.27272742</v>
      </c>
      <c r="M11" s="24">
        <f>+Tabla2[[#This Row],[Variación Stock]]*Tabla2[[#This Row],[Coste LÃ­nea]]</f>
        <v>-3804.2272727300001</v>
      </c>
      <c r="N11" s="22" t="str">
        <f>+IF(Tabla2[[#This Row],[Variación Stock]]&gt;0,"Sobrante",IF(Tabla2[[#This Row],[Variación Stock]]&lt;0,"Faltante","Sin novedad"))</f>
        <v>Faltante</v>
      </c>
    </row>
    <row r="12" spans="1:14" x14ac:dyDescent="0.25">
      <c r="A12" s="11">
        <v>46044</v>
      </c>
      <c r="B12" s="5" t="s">
        <v>383</v>
      </c>
      <c r="C12" s="3" t="s">
        <v>213</v>
      </c>
      <c r="D12" s="5" t="s">
        <v>111</v>
      </c>
      <c r="E12" s="5" t="s">
        <v>112</v>
      </c>
      <c r="F12" s="6" t="s">
        <v>44</v>
      </c>
      <c r="G12" s="4" t="s">
        <v>0</v>
      </c>
      <c r="H12" s="25">
        <v>3804.2272727300001</v>
      </c>
      <c r="I12" s="8">
        <v>54</v>
      </c>
      <c r="J12" s="9">
        <v>54</v>
      </c>
      <c r="K12" s="7">
        <v>0</v>
      </c>
      <c r="L12" s="24">
        <f>+Tabla2[[#This Row],[Stock Inventario]]*Tabla2[[#This Row],[Coste LÃ­nea]]</f>
        <v>205428.27272742</v>
      </c>
      <c r="M12" s="24">
        <f>+Tabla2[[#This Row],[Variación Stock]]*Tabla2[[#This Row],[Coste LÃ­nea]]</f>
        <v>0</v>
      </c>
      <c r="N12" s="22" t="str">
        <f>+IF(Tabla2[[#This Row],[Variación Stock]]&gt;0,"Sobrante",IF(Tabla2[[#This Row],[Variación Stock]]&lt;0,"Faltante","Sin novedad"))</f>
        <v>Sin novedad</v>
      </c>
    </row>
    <row r="13" spans="1:14" x14ac:dyDescent="0.25">
      <c r="A13" s="11">
        <v>46053</v>
      </c>
      <c r="B13" s="5" t="s">
        <v>972</v>
      </c>
      <c r="C13" s="3" t="s">
        <v>213</v>
      </c>
      <c r="D13" s="5" t="s">
        <v>111</v>
      </c>
      <c r="E13" s="5" t="s">
        <v>112</v>
      </c>
      <c r="F13" s="6" t="s">
        <v>44</v>
      </c>
      <c r="G13" s="4" t="s">
        <v>0</v>
      </c>
      <c r="H13" s="25">
        <v>3804.2272727300001</v>
      </c>
      <c r="I13" s="8">
        <v>48</v>
      </c>
      <c r="J13" s="9">
        <v>53</v>
      </c>
      <c r="K13" s="7">
        <v>5</v>
      </c>
      <c r="L13" s="24">
        <f>+Tabla2[[#This Row],[Stock Inventario]]*Tabla2[[#This Row],[Coste LÃ­nea]]</f>
        <v>201624.04545469</v>
      </c>
      <c r="M13" s="24">
        <f>+Tabla2[[#This Row],[Variación Stock]]*Tabla2[[#This Row],[Coste LÃ­nea]]</f>
        <v>19021.136363649999</v>
      </c>
      <c r="N13" s="22" t="str">
        <f>+IF(Tabla2[[#This Row],[Variación Stock]]&gt;0,"Sobrante",IF(Tabla2[[#This Row],[Variación Stock]]&lt;0,"Faltante","Sin novedad"))</f>
        <v>Sobrante</v>
      </c>
    </row>
    <row r="14" spans="1:14" x14ac:dyDescent="0.25">
      <c r="A14" s="11">
        <v>46044</v>
      </c>
      <c r="B14" s="5" t="s">
        <v>383</v>
      </c>
      <c r="C14" s="3" t="s">
        <v>213</v>
      </c>
      <c r="D14" s="5" t="s">
        <v>111</v>
      </c>
      <c r="E14" s="5" t="s">
        <v>112</v>
      </c>
      <c r="F14" s="6" t="s">
        <v>384</v>
      </c>
      <c r="G14" s="4" t="s">
        <v>0</v>
      </c>
      <c r="H14" s="25">
        <v>0</v>
      </c>
      <c r="I14" s="8">
        <v>0</v>
      </c>
      <c r="J14" s="9">
        <v>0</v>
      </c>
      <c r="K14" s="7">
        <v>0</v>
      </c>
      <c r="L14" s="24">
        <f>+Tabla2[[#This Row],[Stock Inventario]]*Tabla2[[#This Row],[Coste LÃ­nea]]</f>
        <v>0</v>
      </c>
      <c r="M14" s="24">
        <f>+Tabla2[[#This Row],[Variación Stock]]*Tabla2[[#This Row],[Coste LÃ­nea]]</f>
        <v>0</v>
      </c>
      <c r="N14" s="22" t="str">
        <f>+IF(Tabla2[[#This Row],[Variación Stock]]&gt;0,"Sobrante",IF(Tabla2[[#This Row],[Variación Stock]]&lt;0,"Faltante","Sin novedad"))</f>
        <v>Sin novedad</v>
      </c>
    </row>
    <row r="15" spans="1:14" x14ac:dyDescent="0.25">
      <c r="A15" s="11">
        <v>46053</v>
      </c>
      <c r="B15" s="5" t="s">
        <v>972</v>
      </c>
      <c r="C15" s="3" t="s">
        <v>213</v>
      </c>
      <c r="D15" s="5" t="s">
        <v>111</v>
      </c>
      <c r="E15" s="5" t="s">
        <v>112</v>
      </c>
      <c r="F15" s="6" t="s">
        <v>384</v>
      </c>
      <c r="G15" s="4" t="s">
        <v>0</v>
      </c>
      <c r="H15" s="25">
        <v>3500</v>
      </c>
      <c r="I15" s="8">
        <v>0</v>
      </c>
      <c r="J15" s="9">
        <v>0</v>
      </c>
      <c r="K15" s="7">
        <v>0</v>
      </c>
      <c r="L15" s="24">
        <f>+Tabla2[[#This Row],[Stock Inventario]]*Tabla2[[#This Row],[Coste LÃ­nea]]</f>
        <v>0</v>
      </c>
      <c r="M15" s="24">
        <f>+Tabla2[[#This Row],[Variación Stock]]*Tabla2[[#This Row],[Coste LÃ­nea]]</f>
        <v>0</v>
      </c>
      <c r="N15" s="22" t="str">
        <f>+IF(Tabla2[[#This Row],[Variación Stock]]&gt;0,"Sobrante",IF(Tabla2[[#This Row],[Variación Stock]]&lt;0,"Faltante","Sin novedad"))</f>
        <v>Sin novedad</v>
      </c>
    </row>
    <row r="16" spans="1:14" x14ac:dyDescent="0.25">
      <c r="A16" s="11">
        <v>46044</v>
      </c>
      <c r="B16" s="5" t="s">
        <v>383</v>
      </c>
      <c r="C16" s="3" t="s">
        <v>213</v>
      </c>
      <c r="D16" s="5" t="s">
        <v>111</v>
      </c>
      <c r="E16" s="5" t="s">
        <v>112</v>
      </c>
      <c r="F16" s="6" t="s">
        <v>385</v>
      </c>
      <c r="G16" s="4" t="s">
        <v>0</v>
      </c>
      <c r="H16" s="25">
        <v>0</v>
      </c>
      <c r="I16" s="8">
        <v>0</v>
      </c>
      <c r="J16" s="9">
        <v>0</v>
      </c>
      <c r="K16" s="7">
        <v>0</v>
      </c>
      <c r="L16" s="24">
        <f>+Tabla2[[#This Row],[Stock Inventario]]*Tabla2[[#This Row],[Coste LÃ­nea]]</f>
        <v>0</v>
      </c>
      <c r="M16" s="24">
        <f>+Tabla2[[#This Row],[Variación Stock]]*Tabla2[[#This Row],[Coste LÃ­nea]]</f>
        <v>0</v>
      </c>
      <c r="N16" s="22" t="str">
        <f>+IF(Tabla2[[#This Row],[Variación Stock]]&gt;0,"Sobrante",IF(Tabla2[[#This Row],[Variación Stock]]&lt;0,"Faltante","Sin novedad"))</f>
        <v>Sin novedad</v>
      </c>
    </row>
    <row r="17" spans="1:14" hidden="1" x14ac:dyDescent="0.25">
      <c r="A17" s="11">
        <v>46037</v>
      </c>
      <c r="B17" s="5" t="s">
        <v>212</v>
      </c>
      <c r="C17" s="3" t="s">
        <v>213</v>
      </c>
      <c r="D17" s="5" t="s">
        <v>116</v>
      </c>
      <c r="E17" s="5" t="s">
        <v>117</v>
      </c>
      <c r="F17" s="6" t="s">
        <v>246</v>
      </c>
      <c r="G17" s="4" t="s">
        <v>1</v>
      </c>
      <c r="H17" s="24">
        <v>19.445</v>
      </c>
      <c r="I17" s="8">
        <v>1425</v>
      </c>
      <c r="J17" s="9">
        <v>3135</v>
      </c>
      <c r="K17" s="7">
        <v>1710</v>
      </c>
      <c r="L17" s="24">
        <f>+Tabla2[[#This Row],[Stock Inventario]]*Tabla2[[#This Row],[Coste LÃ­nea]]</f>
        <v>60960.075000000004</v>
      </c>
      <c r="M17" s="24">
        <f>+Tabla2[[#This Row],[Variación Stock]]*Tabla2[[#This Row],[Coste LÃ­nea]]</f>
        <v>33250.949999999997</v>
      </c>
      <c r="N17" s="22" t="str">
        <f>+IF(Tabla2[[#This Row],[Variación Stock]]&gt;0,"Sobrante",IF(Tabla2[[#This Row],[Variación Stock]]&lt;0,"Faltante","Sin novedad"))</f>
        <v>Sobrante</v>
      </c>
    </row>
    <row r="18" spans="1:14" x14ac:dyDescent="0.25">
      <c r="A18" s="11">
        <v>46053</v>
      </c>
      <c r="B18" s="5" t="s">
        <v>972</v>
      </c>
      <c r="C18" s="3" t="s">
        <v>213</v>
      </c>
      <c r="D18" s="5" t="s">
        <v>111</v>
      </c>
      <c r="E18" s="5" t="s">
        <v>112</v>
      </c>
      <c r="F18" s="6" t="s">
        <v>385</v>
      </c>
      <c r="G18" s="4" t="s">
        <v>0</v>
      </c>
      <c r="H18" s="25">
        <v>3500</v>
      </c>
      <c r="I18" s="8">
        <v>0</v>
      </c>
      <c r="J18" s="9">
        <v>0</v>
      </c>
      <c r="K18" s="7">
        <v>0</v>
      </c>
      <c r="L18" s="24">
        <f>+Tabla2[[#This Row],[Stock Inventario]]*Tabla2[[#This Row],[Coste LÃ­nea]]</f>
        <v>0</v>
      </c>
      <c r="M18" s="24">
        <f>+Tabla2[[#This Row],[Variación Stock]]*Tabla2[[#This Row],[Coste LÃ­nea]]</f>
        <v>0</v>
      </c>
      <c r="N18" s="22" t="str">
        <f>+IF(Tabla2[[#This Row],[Variación Stock]]&gt;0,"Sobrante",IF(Tabla2[[#This Row],[Variación Stock]]&lt;0,"Faltante","Sin novedad"))</f>
        <v>Sin novedad</v>
      </c>
    </row>
    <row r="19" spans="1:14" x14ac:dyDescent="0.25">
      <c r="A19" s="11">
        <v>46053</v>
      </c>
      <c r="B19" s="5" t="s">
        <v>972</v>
      </c>
      <c r="C19" s="3" t="s">
        <v>213</v>
      </c>
      <c r="D19" s="5" t="s">
        <v>122</v>
      </c>
      <c r="E19" s="5" t="s">
        <v>112</v>
      </c>
      <c r="F19" s="6" t="s">
        <v>99</v>
      </c>
      <c r="G19" s="4" t="s">
        <v>2</v>
      </c>
      <c r="H19" s="25">
        <v>7330</v>
      </c>
      <c r="I19" s="8">
        <v>0</v>
      </c>
      <c r="J19" s="9">
        <v>0</v>
      </c>
      <c r="K19" s="7">
        <v>0</v>
      </c>
      <c r="L19" s="24">
        <f>+Tabla2[[#This Row],[Stock Inventario]]*Tabla2[[#This Row],[Coste LÃ­nea]]</f>
        <v>0</v>
      </c>
      <c r="M19" s="24">
        <f>+Tabla2[[#This Row],[Variación Stock]]*Tabla2[[#This Row],[Coste LÃ­nea]]</f>
        <v>0</v>
      </c>
      <c r="N19" s="22" t="str">
        <f>+IF(Tabla2[[#This Row],[Variación Stock]]&gt;0,"Sobrante",IF(Tabla2[[#This Row],[Variación Stock]]&lt;0,"Faltante","Sin novedad"))</f>
        <v>Sin novedad</v>
      </c>
    </row>
    <row r="20" spans="1:14" x14ac:dyDescent="0.25">
      <c r="A20" s="11">
        <v>46037</v>
      </c>
      <c r="B20" s="5" t="s">
        <v>212</v>
      </c>
      <c r="C20" s="3" t="s">
        <v>213</v>
      </c>
      <c r="D20" s="5" t="s">
        <v>122</v>
      </c>
      <c r="E20" s="5" t="s">
        <v>112</v>
      </c>
      <c r="F20" s="6" t="s">
        <v>101</v>
      </c>
      <c r="G20" s="4" t="s">
        <v>2</v>
      </c>
      <c r="H20" s="24">
        <v>1408.33333333</v>
      </c>
      <c r="I20" s="8">
        <v>51</v>
      </c>
      <c r="J20" s="9">
        <v>51</v>
      </c>
      <c r="K20" s="7">
        <v>0</v>
      </c>
      <c r="L20" s="24">
        <f>+Tabla2[[#This Row],[Stock Inventario]]*Tabla2[[#This Row],[Coste LÃ­nea]]</f>
        <v>71824.999999830005</v>
      </c>
      <c r="M20" s="24">
        <f>+Tabla2[[#This Row],[Variación Stock]]*Tabla2[[#This Row],[Coste LÃ­nea]]</f>
        <v>0</v>
      </c>
      <c r="N20" s="22" t="str">
        <f>+IF(Tabla2[[#This Row],[Variación Stock]]&gt;0,"Sobrante",IF(Tabla2[[#This Row],[Variación Stock]]&lt;0,"Faltante","Sin novedad"))</f>
        <v>Sin novedad</v>
      </c>
    </row>
    <row r="21" spans="1:14" x14ac:dyDescent="0.25">
      <c r="A21" s="11">
        <v>46044</v>
      </c>
      <c r="B21" s="5" t="s">
        <v>383</v>
      </c>
      <c r="C21" s="3" t="s">
        <v>213</v>
      </c>
      <c r="D21" s="5" t="s">
        <v>122</v>
      </c>
      <c r="E21" s="5" t="s">
        <v>112</v>
      </c>
      <c r="F21" s="6" t="s">
        <v>101</v>
      </c>
      <c r="G21" s="4" t="s">
        <v>2</v>
      </c>
      <c r="H21" s="25">
        <v>1408.33333333</v>
      </c>
      <c r="I21" s="8">
        <v>51</v>
      </c>
      <c r="J21" s="9">
        <v>4</v>
      </c>
      <c r="K21" s="7">
        <v>-47</v>
      </c>
      <c r="L21" s="24">
        <f>+Tabla2[[#This Row],[Stock Inventario]]*Tabla2[[#This Row],[Coste LÃ­nea]]</f>
        <v>5633.3333333199998</v>
      </c>
      <c r="M21" s="24">
        <f>+Tabla2[[#This Row],[Variación Stock]]*Tabla2[[#This Row],[Coste LÃ­nea]]</f>
        <v>-66191.666666509991</v>
      </c>
      <c r="N21" s="22" t="str">
        <f>+IF(Tabla2[[#This Row],[Variación Stock]]&gt;0,"Sobrante",IF(Tabla2[[#This Row],[Variación Stock]]&lt;0,"Faltante","Sin novedad"))</f>
        <v>Faltante</v>
      </c>
    </row>
    <row r="22" spans="1:14" x14ac:dyDescent="0.25">
      <c r="A22" s="11">
        <v>46053</v>
      </c>
      <c r="B22" s="5" t="s">
        <v>972</v>
      </c>
      <c r="C22" s="3" t="s">
        <v>213</v>
      </c>
      <c r="D22" s="5" t="s">
        <v>122</v>
      </c>
      <c r="E22" s="5" t="s">
        <v>112</v>
      </c>
      <c r="F22" s="6" t="s">
        <v>101</v>
      </c>
      <c r="G22" s="4" t="s">
        <v>2</v>
      </c>
      <c r="H22" s="25">
        <v>1408.33333333</v>
      </c>
      <c r="I22" s="8">
        <v>4</v>
      </c>
      <c r="J22" s="9">
        <v>51</v>
      </c>
      <c r="K22" s="7">
        <v>47</v>
      </c>
      <c r="L22" s="24">
        <f>+Tabla2[[#This Row],[Stock Inventario]]*Tabla2[[#This Row],[Coste LÃ­nea]]</f>
        <v>71824.999999830005</v>
      </c>
      <c r="M22" s="24">
        <f>+Tabla2[[#This Row],[Variación Stock]]*Tabla2[[#This Row],[Coste LÃ­nea]]</f>
        <v>66191.666666509991</v>
      </c>
      <c r="N22" s="22" t="str">
        <f>+IF(Tabla2[[#This Row],[Variación Stock]]&gt;0,"Sobrante",IF(Tabla2[[#This Row],[Variación Stock]]&lt;0,"Faltante","Sin novedad"))</f>
        <v>Sobrante</v>
      </c>
    </row>
    <row r="23" spans="1:14" x14ac:dyDescent="0.25">
      <c r="A23" s="11">
        <v>46053</v>
      </c>
      <c r="B23" s="5" t="s">
        <v>972</v>
      </c>
      <c r="C23" s="3" t="s">
        <v>213</v>
      </c>
      <c r="D23" s="5" t="s">
        <v>122</v>
      </c>
      <c r="E23" s="5" t="s">
        <v>112</v>
      </c>
      <c r="F23" s="6" t="s">
        <v>100</v>
      </c>
      <c r="G23" s="4" t="s">
        <v>2</v>
      </c>
      <c r="H23" s="25">
        <v>7857</v>
      </c>
      <c r="I23" s="8">
        <v>0</v>
      </c>
      <c r="J23" s="9">
        <v>0</v>
      </c>
      <c r="K23" s="7">
        <v>0</v>
      </c>
      <c r="L23" s="24">
        <f>+Tabla2[[#This Row],[Stock Inventario]]*Tabla2[[#This Row],[Coste LÃ­nea]]</f>
        <v>0</v>
      </c>
      <c r="M23" s="24">
        <f>+Tabla2[[#This Row],[Variación Stock]]*Tabla2[[#This Row],[Coste LÃ­nea]]</f>
        <v>0</v>
      </c>
      <c r="N23" s="22" t="str">
        <f>+IF(Tabla2[[#This Row],[Variación Stock]]&gt;0,"Sobrante",IF(Tabla2[[#This Row],[Variación Stock]]&lt;0,"Faltante","Sin novedad"))</f>
        <v>Sin novedad</v>
      </c>
    </row>
    <row r="24" spans="1:14" x14ac:dyDescent="0.25">
      <c r="A24" s="11">
        <v>46037</v>
      </c>
      <c r="B24" s="5" t="s">
        <v>212</v>
      </c>
      <c r="C24" s="3" t="s">
        <v>213</v>
      </c>
      <c r="D24" s="5" t="s">
        <v>114</v>
      </c>
      <c r="E24" s="5" t="s">
        <v>112</v>
      </c>
      <c r="F24" s="6" t="s">
        <v>65</v>
      </c>
      <c r="G24" s="4" t="s">
        <v>2</v>
      </c>
      <c r="H24" s="24">
        <v>5132.5</v>
      </c>
      <c r="I24" s="8">
        <v>19</v>
      </c>
      <c r="J24" s="9">
        <v>19</v>
      </c>
      <c r="K24" s="7">
        <v>0</v>
      </c>
      <c r="L24" s="24">
        <f>+Tabla2[[#This Row],[Stock Inventario]]*Tabla2[[#This Row],[Coste LÃ­nea]]</f>
        <v>97517.5</v>
      </c>
      <c r="M24" s="24">
        <f>+Tabla2[[#This Row],[Variación Stock]]*Tabla2[[#This Row],[Coste LÃ­nea]]</f>
        <v>0</v>
      </c>
      <c r="N24" s="22" t="str">
        <f>+IF(Tabla2[[#This Row],[Variación Stock]]&gt;0,"Sobrante",IF(Tabla2[[#This Row],[Variación Stock]]&lt;0,"Faltante","Sin novedad"))</f>
        <v>Sin novedad</v>
      </c>
    </row>
    <row r="25" spans="1:14" x14ac:dyDescent="0.25">
      <c r="A25" s="11">
        <v>46044</v>
      </c>
      <c r="B25" s="5" t="s">
        <v>383</v>
      </c>
      <c r="C25" s="3" t="s">
        <v>213</v>
      </c>
      <c r="D25" s="5" t="s">
        <v>114</v>
      </c>
      <c r="E25" s="5" t="s">
        <v>112</v>
      </c>
      <c r="F25" s="6" t="s">
        <v>65</v>
      </c>
      <c r="G25" s="4" t="s">
        <v>2</v>
      </c>
      <c r="H25" s="25">
        <v>5132.5</v>
      </c>
      <c r="I25" s="8">
        <v>19</v>
      </c>
      <c r="J25" s="9">
        <v>19</v>
      </c>
      <c r="K25" s="7">
        <v>0</v>
      </c>
      <c r="L25" s="24">
        <f>+Tabla2[[#This Row],[Stock Inventario]]*Tabla2[[#This Row],[Coste LÃ­nea]]</f>
        <v>97517.5</v>
      </c>
      <c r="M25" s="24">
        <f>+Tabla2[[#This Row],[Variación Stock]]*Tabla2[[#This Row],[Coste LÃ­nea]]</f>
        <v>0</v>
      </c>
      <c r="N25" s="22" t="str">
        <f>+IF(Tabla2[[#This Row],[Variación Stock]]&gt;0,"Sobrante",IF(Tabla2[[#This Row],[Variación Stock]]&lt;0,"Faltante","Sin novedad"))</f>
        <v>Sin novedad</v>
      </c>
    </row>
    <row r="26" spans="1:14" x14ac:dyDescent="0.25">
      <c r="A26" s="11">
        <v>46053</v>
      </c>
      <c r="B26" s="5" t="s">
        <v>972</v>
      </c>
      <c r="C26" s="3" t="s">
        <v>213</v>
      </c>
      <c r="D26" s="5" t="s">
        <v>114</v>
      </c>
      <c r="E26" s="5" t="s">
        <v>112</v>
      </c>
      <c r="F26" s="6" t="s">
        <v>65</v>
      </c>
      <c r="G26" s="4" t="s">
        <v>2</v>
      </c>
      <c r="H26" s="25">
        <v>5132.5</v>
      </c>
      <c r="I26" s="8">
        <v>14</v>
      </c>
      <c r="J26" s="9">
        <v>16</v>
      </c>
      <c r="K26" s="7">
        <v>2</v>
      </c>
      <c r="L26" s="24">
        <f>+Tabla2[[#This Row],[Stock Inventario]]*Tabla2[[#This Row],[Coste LÃ­nea]]</f>
        <v>82120</v>
      </c>
      <c r="M26" s="24">
        <f>+Tabla2[[#This Row],[Variación Stock]]*Tabla2[[#This Row],[Coste LÃ­nea]]</f>
        <v>10265</v>
      </c>
      <c r="N26" s="22" t="str">
        <f>+IF(Tabla2[[#This Row],[Variación Stock]]&gt;0,"Sobrante",IF(Tabla2[[#This Row],[Variación Stock]]&lt;0,"Faltante","Sin novedad"))</f>
        <v>Sobrante</v>
      </c>
    </row>
    <row r="27" spans="1:14" x14ac:dyDescent="0.25">
      <c r="A27" s="11">
        <v>46037</v>
      </c>
      <c r="B27" s="5" t="s">
        <v>212</v>
      </c>
      <c r="C27" s="3" t="s">
        <v>213</v>
      </c>
      <c r="D27" s="5" t="s">
        <v>111</v>
      </c>
      <c r="E27" s="5" t="s">
        <v>112</v>
      </c>
      <c r="F27" s="6" t="s">
        <v>45</v>
      </c>
      <c r="G27" s="4" t="s">
        <v>2</v>
      </c>
      <c r="H27" s="24">
        <v>26517</v>
      </c>
      <c r="I27" s="8">
        <v>6</v>
      </c>
      <c r="J27" s="9">
        <v>6</v>
      </c>
      <c r="K27" s="7">
        <v>0</v>
      </c>
      <c r="L27" s="24">
        <f>+Tabla2[[#This Row],[Stock Inventario]]*Tabla2[[#This Row],[Coste LÃ­nea]]</f>
        <v>159102</v>
      </c>
      <c r="M27" s="24">
        <f>+Tabla2[[#This Row],[Variación Stock]]*Tabla2[[#This Row],[Coste LÃ­nea]]</f>
        <v>0</v>
      </c>
      <c r="N27" s="22" t="str">
        <f>+IF(Tabla2[[#This Row],[Variación Stock]]&gt;0,"Sobrante",IF(Tabla2[[#This Row],[Variación Stock]]&lt;0,"Faltante","Sin novedad"))</f>
        <v>Sin novedad</v>
      </c>
    </row>
    <row r="28" spans="1:14" x14ac:dyDescent="0.25">
      <c r="A28" s="11">
        <v>46044</v>
      </c>
      <c r="B28" s="5" t="s">
        <v>383</v>
      </c>
      <c r="C28" s="3" t="s">
        <v>213</v>
      </c>
      <c r="D28" s="5" t="s">
        <v>111</v>
      </c>
      <c r="E28" s="5" t="s">
        <v>112</v>
      </c>
      <c r="F28" s="6" t="s">
        <v>45</v>
      </c>
      <c r="G28" s="4" t="s">
        <v>2</v>
      </c>
      <c r="H28" s="25">
        <v>26517</v>
      </c>
      <c r="I28" s="8">
        <v>6</v>
      </c>
      <c r="J28" s="9">
        <v>6</v>
      </c>
      <c r="K28" s="7">
        <v>0</v>
      </c>
      <c r="L28" s="24">
        <f>+Tabla2[[#This Row],[Stock Inventario]]*Tabla2[[#This Row],[Coste LÃ­nea]]</f>
        <v>159102</v>
      </c>
      <c r="M28" s="24">
        <f>+Tabla2[[#This Row],[Variación Stock]]*Tabla2[[#This Row],[Coste LÃ­nea]]</f>
        <v>0</v>
      </c>
      <c r="N28" s="22" t="str">
        <f>+IF(Tabla2[[#This Row],[Variación Stock]]&gt;0,"Sobrante",IF(Tabla2[[#This Row],[Variación Stock]]&lt;0,"Faltante","Sin novedad"))</f>
        <v>Sin novedad</v>
      </c>
    </row>
    <row r="29" spans="1:14" x14ac:dyDescent="0.25">
      <c r="A29" s="11">
        <v>46053</v>
      </c>
      <c r="B29" s="5" t="s">
        <v>972</v>
      </c>
      <c r="C29" s="3" t="s">
        <v>213</v>
      </c>
      <c r="D29" s="5" t="s">
        <v>111</v>
      </c>
      <c r="E29" s="5" t="s">
        <v>112</v>
      </c>
      <c r="F29" s="6" t="s">
        <v>45</v>
      </c>
      <c r="G29" s="4" t="s">
        <v>2</v>
      </c>
      <c r="H29" s="25">
        <v>26517</v>
      </c>
      <c r="I29" s="8">
        <v>6</v>
      </c>
      <c r="J29" s="9">
        <v>6</v>
      </c>
      <c r="K29" s="7">
        <v>0</v>
      </c>
      <c r="L29" s="24">
        <f>+Tabla2[[#This Row],[Stock Inventario]]*Tabla2[[#This Row],[Coste LÃ­nea]]</f>
        <v>159102</v>
      </c>
      <c r="M29" s="24">
        <f>+Tabla2[[#This Row],[Variación Stock]]*Tabla2[[#This Row],[Coste LÃ­nea]]</f>
        <v>0</v>
      </c>
      <c r="N29" s="22" t="str">
        <f>+IF(Tabla2[[#This Row],[Variación Stock]]&gt;0,"Sobrante",IF(Tabla2[[#This Row],[Variación Stock]]&lt;0,"Faltante","Sin novedad"))</f>
        <v>Sin novedad</v>
      </c>
    </row>
    <row r="30" spans="1:14" x14ac:dyDescent="0.25">
      <c r="A30" s="11">
        <v>46037</v>
      </c>
      <c r="B30" s="5" t="s">
        <v>212</v>
      </c>
      <c r="C30" s="3" t="s">
        <v>213</v>
      </c>
      <c r="D30" s="5" t="s">
        <v>111</v>
      </c>
      <c r="E30" s="5" t="s">
        <v>112</v>
      </c>
      <c r="F30" s="6" t="s">
        <v>46</v>
      </c>
      <c r="G30" s="4" t="s">
        <v>0</v>
      </c>
      <c r="H30" s="24">
        <v>2056.3333333300002</v>
      </c>
      <c r="I30" s="8">
        <v>138</v>
      </c>
      <c r="J30" s="9">
        <v>136</v>
      </c>
      <c r="K30" s="7">
        <v>-2</v>
      </c>
      <c r="L30" s="24">
        <f>+Tabla2[[#This Row],[Stock Inventario]]*Tabla2[[#This Row],[Coste LÃ­nea]]</f>
        <v>279661.33333288005</v>
      </c>
      <c r="M30" s="24">
        <f>+Tabla2[[#This Row],[Variación Stock]]*Tabla2[[#This Row],[Coste LÃ­nea]]</f>
        <v>-4112.6666666600004</v>
      </c>
      <c r="N30" s="22" t="str">
        <f>+IF(Tabla2[[#This Row],[Variación Stock]]&gt;0,"Sobrante",IF(Tabla2[[#This Row],[Variación Stock]]&lt;0,"Faltante","Sin novedad"))</f>
        <v>Faltante</v>
      </c>
    </row>
    <row r="31" spans="1:14" x14ac:dyDescent="0.25">
      <c r="A31" s="11">
        <v>46044</v>
      </c>
      <c r="B31" s="5" t="s">
        <v>383</v>
      </c>
      <c r="C31" s="3" t="s">
        <v>213</v>
      </c>
      <c r="D31" s="5" t="s">
        <v>111</v>
      </c>
      <c r="E31" s="5" t="s">
        <v>112</v>
      </c>
      <c r="F31" s="6" t="s">
        <v>46</v>
      </c>
      <c r="G31" s="4" t="s">
        <v>0</v>
      </c>
      <c r="H31" s="25">
        <v>2056.3333333300002</v>
      </c>
      <c r="I31" s="8">
        <v>136</v>
      </c>
      <c r="J31" s="9">
        <v>150.80000000000001</v>
      </c>
      <c r="K31" s="7">
        <v>14.8</v>
      </c>
      <c r="L31" s="24">
        <f>+Tabla2[[#This Row],[Stock Inventario]]*Tabla2[[#This Row],[Coste LÃ­nea]]</f>
        <v>310095.06666616403</v>
      </c>
      <c r="M31" s="24">
        <f>+Tabla2[[#This Row],[Variación Stock]]*Tabla2[[#This Row],[Coste LÃ­nea]]</f>
        <v>30433.733333284003</v>
      </c>
      <c r="N31" s="22" t="str">
        <f>+IF(Tabla2[[#This Row],[Variación Stock]]&gt;0,"Sobrante",IF(Tabla2[[#This Row],[Variación Stock]]&lt;0,"Faltante","Sin novedad"))</f>
        <v>Sobrante</v>
      </c>
    </row>
    <row r="32" spans="1:14" x14ac:dyDescent="0.25">
      <c r="A32" s="11">
        <v>46053</v>
      </c>
      <c r="B32" s="5" t="s">
        <v>972</v>
      </c>
      <c r="C32" s="3" t="s">
        <v>213</v>
      </c>
      <c r="D32" s="5" t="s">
        <v>111</v>
      </c>
      <c r="E32" s="5" t="s">
        <v>112</v>
      </c>
      <c r="F32" s="6" t="s">
        <v>46</v>
      </c>
      <c r="G32" s="4" t="s">
        <v>0</v>
      </c>
      <c r="H32" s="25">
        <v>2056.3333333300002</v>
      </c>
      <c r="I32" s="8">
        <v>150.80000000000001</v>
      </c>
      <c r="J32" s="9">
        <v>139</v>
      </c>
      <c r="K32" s="7">
        <v>-11.8</v>
      </c>
      <c r="L32" s="24">
        <f>+Tabla2[[#This Row],[Stock Inventario]]*Tabla2[[#This Row],[Coste LÃ­nea]]</f>
        <v>285830.33333287004</v>
      </c>
      <c r="M32" s="24">
        <f>+Tabla2[[#This Row],[Variación Stock]]*Tabla2[[#This Row],[Coste LÃ­nea]]</f>
        <v>-24264.733333294003</v>
      </c>
      <c r="N32" s="22" t="str">
        <f>+IF(Tabla2[[#This Row],[Variación Stock]]&gt;0,"Sobrante",IF(Tabla2[[#This Row],[Variación Stock]]&lt;0,"Faltante","Sin novedad"))</f>
        <v>Faltante</v>
      </c>
    </row>
    <row r="33" spans="1:14" hidden="1" x14ac:dyDescent="0.25">
      <c r="A33" s="11">
        <v>46044</v>
      </c>
      <c r="B33" s="5" t="s">
        <v>383</v>
      </c>
      <c r="C33" s="3" t="s">
        <v>213</v>
      </c>
      <c r="D33" s="5" t="s">
        <v>116</v>
      </c>
      <c r="E33" s="5" t="s">
        <v>117</v>
      </c>
      <c r="F33" s="6" t="s">
        <v>246</v>
      </c>
      <c r="G33" s="4" t="s">
        <v>1</v>
      </c>
      <c r="H33" s="25">
        <v>19.445</v>
      </c>
      <c r="I33" s="8">
        <v>-1005</v>
      </c>
      <c r="J33" s="9">
        <v>0</v>
      </c>
      <c r="K33" s="7">
        <v>1005</v>
      </c>
      <c r="L33" s="24">
        <f>+Tabla2[[#This Row],[Stock Inventario]]*Tabla2[[#This Row],[Coste LÃ­nea]]</f>
        <v>0</v>
      </c>
      <c r="M33" s="24">
        <f>+Tabla2[[#This Row],[Variación Stock]]*Tabla2[[#This Row],[Coste LÃ­nea]]</f>
        <v>19542.224999999999</v>
      </c>
      <c r="N33" s="22" t="str">
        <f>+IF(Tabla2[[#This Row],[Variación Stock]]&gt;0,"Sobrante",IF(Tabla2[[#This Row],[Variación Stock]]&lt;0,"Faltante","Sin novedad"))</f>
        <v>Sobrante</v>
      </c>
    </row>
    <row r="34" spans="1:14" x14ac:dyDescent="0.25">
      <c r="A34" s="11">
        <v>46053</v>
      </c>
      <c r="B34" s="5" t="s">
        <v>972</v>
      </c>
      <c r="C34" s="3" t="s">
        <v>213</v>
      </c>
      <c r="D34" s="5" t="s">
        <v>111</v>
      </c>
      <c r="E34" s="5" t="s">
        <v>112</v>
      </c>
      <c r="F34" s="6" t="s">
        <v>974</v>
      </c>
      <c r="G34" s="4" t="s">
        <v>0</v>
      </c>
      <c r="H34" s="25">
        <v>3091.38425925</v>
      </c>
      <c r="I34" s="8">
        <v>24</v>
      </c>
      <c r="J34" s="9">
        <v>24</v>
      </c>
      <c r="K34" s="7">
        <v>0</v>
      </c>
      <c r="L34" s="24">
        <f>+Tabla2[[#This Row],[Stock Inventario]]*Tabla2[[#This Row],[Coste LÃ­nea]]</f>
        <v>74193.222221999997</v>
      </c>
      <c r="M34" s="24">
        <f>+Tabla2[[#This Row],[Variación Stock]]*Tabla2[[#This Row],[Coste LÃ­nea]]</f>
        <v>0</v>
      </c>
      <c r="N34" s="22" t="str">
        <f>+IF(Tabla2[[#This Row],[Variación Stock]]&gt;0,"Sobrante",IF(Tabla2[[#This Row],[Variación Stock]]&lt;0,"Faltante","Sin novedad"))</f>
        <v>Sin novedad</v>
      </c>
    </row>
    <row r="35" spans="1:14" x14ac:dyDescent="0.25">
      <c r="A35" s="11">
        <v>46037</v>
      </c>
      <c r="B35" s="5" t="s">
        <v>212</v>
      </c>
      <c r="C35" s="3" t="s">
        <v>213</v>
      </c>
      <c r="D35" s="5" t="s">
        <v>111</v>
      </c>
      <c r="E35" s="5" t="s">
        <v>112</v>
      </c>
      <c r="F35" s="6" t="s">
        <v>47</v>
      </c>
      <c r="G35" s="4" t="s">
        <v>2</v>
      </c>
      <c r="H35" s="24">
        <v>22770</v>
      </c>
      <c r="I35" s="8">
        <v>5</v>
      </c>
      <c r="J35" s="9">
        <v>5</v>
      </c>
      <c r="K35" s="7">
        <v>0</v>
      </c>
      <c r="L35" s="24">
        <f>+Tabla2[[#This Row],[Stock Inventario]]*Tabla2[[#This Row],[Coste LÃ­nea]]</f>
        <v>113850</v>
      </c>
      <c r="M35" s="24">
        <f>+Tabla2[[#This Row],[Variación Stock]]*Tabla2[[#This Row],[Coste LÃ­nea]]</f>
        <v>0</v>
      </c>
      <c r="N35" s="22" t="str">
        <f>+IF(Tabla2[[#This Row],[Variación Stock]]&gt;0,"Sobrante",IF(Tabla2[[#This Row],[Variación Stock]]&lt;0,"Faltante","Sin novedad"))</f>
        <v>Sin novedad</v>
      </c>
    </row>
    <row r="36" spans="1:14" x14ac:dyDescent="0.25">
      <c r="A36" s="11">
        <v>46044</v>
      </c>
      <c r="B36" s="5" t="s">
        <v>383</v>
      </c>
      <c r="C36" s="3" t="s">
        <v>213</v>
      </c>
      <c r="D36" s="5" t="s">
        <v>111</v>
      </c>
      <c r="E36" s="5" t="s">
        <v>112</v>
      </c>
      <c r="F36" s="6" t="s">
        <v>47</v>
      </c>
      <c r="G36" s="4" t="s">
        <v>2</v>
      </c>
      <c r="H36" s="25">
        <v>22770</v>
      </c>
      <c r="I36" s="8">
        <v>5</v>
      </c>
      <c r="J36" s="9">
        <v>5</v>
      </c>
      <c r="K36" s="7">
        <v>0</v>
      </c>
      <c r="L36" s="24">
        <f>+Tabla2[[#This Row],[Stock Inventario]]*Tabla2[[#This Row],[Coste LÃ­nea]]</f>
        <v>113850</v>
      </c>
      <c r="M36" s="24">
        <f>+Tabla2[[#This Row],[Variación Stock]]*Tabla2[[#This Row],[Coste LÃ­nea]]</f>
        <v>0</v>
      </c>
      <c r="N36" s="22" t="str">
        <f>+IF(Tabla2[[#This Row],[Variación Stock]]&gt;0,"Sobrante",IF(Tabla2[[#This Row],[Variación Stock]]&lt;0,"Faltante","Sin novedad"))</f>
        <v>Sin novedad</v>
      </c>
    </row>
    <row r="37" spans="1:14" x14ac:dyDescent="0.25">
      <c r="A37" s="11">
        <v>46053</v>
      </c>
      <c r="B37" s="5" t="s">
        <v>972</v>
      </c>
      <c r="C37" s="3" t="s">
        <v>213</v>
      </c>
      <c r="D37" s="5" t="s">
        <v>111</v>
      </c>
      <c r="E37" s="5" t="s">
        <v>112</v>
      </c>
      <c r="F37" s="6" t="s">
        <v>47</v>
      </c>
      <c r="G37" s="4" t="s">
        <v>2</v>
      </c>
      <c r="H37" s="25">
        <v>22770</v>
      </c>
      <c r="I37" s="8">
        <v>5</v>
      </c>
      <c r="J37" s="9">
        <v>3</v>
      </c>
      <c r="K37" s="7">
        <v>-2</v>
      </c>
      <c r="L37" s="24">
        <f>+Tabla2[[#This Row],[Stock Inventario]]*Tabla2[[#This Row],[Coste LÃ­nea]]</f>
        <v>68310</v>
      </c>
      <c r="M37" s="24">
        <f>+Tabla2[[#This Row],[Variación Stock]]*Tabla2[[#This Row],[Coste LÃ­nea]]</f>
        <v>-45540</v>
      </c>
      <c r="N37" s="22" t="str">
        <f>+IF(Tabla2[[#This Row],[Variación Stock]]&gt;0,"Sobrante",IF(Tabla2[[#This Row],[Variación Stock]]&lt;0,"Faltante","Sin novedad"))</f>
        <v>Faltante</v>
      </c>
    </row>
    <row r="38" spans="1:14" x14ac:dyDescent="0.25">
      <c r="A38" s="11">
        <v>46044</v>
      </c>
      <c r="B38" s="5" t="s">
        <v>383</v>
      </c>
      <c r="C38" s="3" t="s">
        <v>213</v>
      </c>
      <c r="D38" s="5" t="s">
        <v>111</v>
      </c>
      <c r="E38" s="5" t="s">
        <v>112</v>
      </c>
      <c r="F38" s="6" t="s">
        <v>48</v>
      </c>
      <c r="G38" s="4" t="s">
        <v>0</v>
      </c>
      <c r="H38" s="25">
        <v>1729.16666667</v>
      </c>
      <c r="I38" s="8">
        <v>122</v>
      </c>
      <c r="J38" s="9">
        <v>123</v>
      </c>
      <c r="K38" s="7">
        <v>1</v>
      </c>
      <c r="L38" s="24">
        <f>+Tabla2[[#This Row],[Stock Inventario]]*Tabla2[[#This Row],[Coste LÃ­nea]]</f>
        <v>212687.50000041001</v>
      </c>
      <c r="M38" s="24">
        <f>+Tabla2[[#This Row],[Variación Stock]]*Tabla2[[#This Row],[Coste LÃ­nea]]</f>
        <v>1729.16666667</v>
      </c>
      <c r="N38" s="22" t="str">
        <f>+IF(Tabla2[[#This Row],[Variación Stock]]&gt;0,"Sobrante",IF(Tabla2[[#This Row],[Variación Stock]]&lt;0,"Faltante","Sin novedad"))</f>
        <v>Sobrante</v>
      </c>
    </row>
    <row r="39" spans="1:14" x14ac:dyDescent="0.25">
      <c r="A39" s="11">
        <v>46037</v>
      </c>
      <c r="B39" s="5" t="s">
        <v>212</v>
      </c>
      <c r="C39" s="3" t="s">
        <v>213</v>
      </c>
      <c r="D39" s="5" t="s">
        <v>111</v>
      </c>
      <c r="E39" s="5" t="s">
        <v>112</v>
      </c>
      <c r="F39" s="6" t="s">
        <v>48</v>
      </c>
      <c r="G39" s="4" t="s">
        <v>0</v>
      </c>
      <c r="H39" s="24">
        <v>1729.16666667</v>
      </c>
      <c r="I39" s="8">
        <v>124</v>
      </c>
      <c r="J39" s="9">
        <v>122</v>
      </c>
      <c r="K39" s="7">
        <v>-2</v>
      </c>
      <c r="L39" s="24">
        <f>+Tabla2[[#This Row],[Stock Inventario]]*Tabla2[[#This Row],[Coste LÃ­nea]]</f>
        <v>210958.33333374001</v>
      </c>
      <c r="M39" s="24">
        <f>+Tabla2[[#This Row],[Variación Stock]]*Tabla2[[#This Row],[Coste LÃ­nea]]</f>
        <v>-3458.3333333400001</v>
      </c>
      <c r="N39" s="22" t="str">
        <f>+IF(Tabla2[[#This Row],[Variación Stock]]&gt;0,"Sobrante",IF(Tabla2[[#This Row],[Variación Stock]]&lt;0,"Faltante","Sin novedad"))</f>
        <v>Faltante</v>
      </c>
    </row>
    <row r="40" spans="1:14" x14ac:dyDescent="0.25">
      <c r="A40" s="11">
        <v>46053</v>
      </c>
      <c r="B40" s="5" t="s">
        <v>972</v>
      </c>
      <c r="C40" s="3" t="s">
        <v>213</v>
      </c>
      <c r="D40" s="5" t="s">
        <v>111</v>
      </c>
      <c r="E40" s="5" t="s">
        <v>112</v>
      </c>
      <c r="F40" s="6" t="s">
        <v>48</v>
      </c>
      <c r="G40" s="4" t="s">
        <v>0</v>
      </c>
      <c r="H40" s="25">
        <v>1729.16666667</v>
      </c>
      <c r="I40" s="8">
        <v>123</v>
      </c>
      <c r="J40" s="9">
        <v>99</v>
      </c>
      <c r="K40" s="7">
        <v>-24</v>
      </c>
      <c r="L40" s="24">
        <f>+Tabla2[[#This Row],[Stock Inventario]]*Tabla2[[#This Row],[Coste LÃ­nea]]</f>
        <v>171187.50000033001</v>
      </c>
      <c r="M40" s="24">
        <f>+Tabla2[[#This Row],[Variación Stock]]*Tabla2[[#This Row],[Coste LÃ­nea]]</f>
        <v>-41500.000000079999</v>
      </c>
      <c r="N40" s="22" t="str">
        <f>+IF(Tabla2[[#This Row],[Variación Stock]]&gt;0,"Sobrante",IF(Tabla2[[#This Row],[Variación Stock]]&lt;0,"Faltante","Sin novedad"))</f>
        <v>Faltante</v>
      </c>
    </row>
    <row r="41" spans="1:14" x14ac:dyDescent="0.25">
      <c r="A41" s="11">
        <v>46037</v>
      </c>
      <c r="B41" s="5" t="s">
        <v>212</v>
      </c>
      <c r="C41" s="3" t="s">
        <v>213</v>
      </c>
      <c r="D41" s="5" t="s">
        <v>111</v>
      </c>
      <c r="E41" s="5" t="s">
        <v>112</v>
      </c>
      <c r="F41" s="6" t="s">
        <v>49</v>
      </c>
      <c r="G41" s="4" t="s">
        <v>2</v>
      </c>
      <c r="H41" s="24">
        <v>21478</v>
      </c>
      <c r="I41" s="8">
        <v>5</v>
      </c>
      <c r="J41" s="9">
        <v>5</v>
      </c>
      <c r="K41" s="7">
        <v>0</v>
      </c>
      <c r="L41" s="24">
        <f>+Tabla2[[#This Row],[Stock Inventario]]*Tabla2[[#This Row],[Coste LÃ­nea]]</f>
        <v>107390</v>
      </c>
      <c r="M41" s="24">
        <f>+Tabla2[[#This Row],[Variación Stock]]*Tabla2[[#This Row],[Coste LÃ­nea]]</f>
        <v>0</v>
      </c>
      <c r="N41" s="22" t="str">
        <f>+IF(Tabla2[[#This Row],[Variación Stock]]&gt;0,"Sobrante",IF(Tabla2[[#This Row],[Variación Stock]]&lt;0,"Faltante","Sin novedad"))</f>
        <v>Sin novedad</v>
      </c>
    </row>
    <row r="42" spans="1:14" x14ac:dyDescent="0.25">
      <c r="A42" s="11">
        <v>46044</v>
      </c>
      <c r="B42" s="5" t="s">
        <v>383</v>
      </c>
      <c r="C42" s="3" t="s">
        <v>213</v>
      </c>
      <c r="D42" s="5" t="s">
        <v>111</v>
      </c>
      <c r="E42" s="5" t="s">
        <v>112</v>
      </c>
      <c r="F42" s="6" t="s">
        <v>49</v>
      </c>
      <c r="G42" s="4" t="s">
        <v>2</v>
      </c>
      <c r="H42" s="25">
        <v>23367</v>
      </c>
      <c r="I42" s="8">
        <v>5</v>
      </c>
      <c r="J42" s="9">
        <v>5</v>
      </c>
      <c r="K42" s="7">
        <v>0</v>
      </c>
      <c r="L42" s="24">
        <f>+Tabla2[[#This Row],[Stock Inventario]]*Tabla2[[#This Row],[Coste LÃ­nea]]</f>
        <v>116835</v>
      </c>
      <c r="M42" s="24">
        <f>+Tabla2[[#This Row],[Variación Stock]]*Tabla2[[#This Row],[Coste LÃ­nea]]</f>
        <v>0</v>
      </c>
      <c r="N42" s="22" t="str">
        <f>+IF(Tabla2[[#This Row],[Variación Stock]]&gt;0,"Sobrante",IF(Tabla2[[#This Row],[Variación Stock]]&lt;0,"Faltante","Sin novedad"))</f>
        <v>Sin novedad</v>
      </c>
    </row>
    <row r="43" spans="1:14" x14ac:dyDescent="0.25">
      <c r="A43" s="11">
        <v>46053</v>
      </c>
      <c r="B43" s="5" t="s">
        <v>972</v>
      </c>
      <c r="C43" s="3" t="s">
        <v>213</v>
      </c>
      <c r="D43" s="5" t="s">
        <v>111</v>
      </c>
      <c r="E43" s="5" t="s">
        <v>112</v>
      </c>
      <c r="F43" s="6" t="s">
        <v>49</v>
      </c>
      <c r="G43" s="4" t="s">
        <v>2</v>
      </c>
      <c r="H43" s="25">
        <v>23367</v>
      </c>
      <c r="I43" s="8">
        <v>5</v>
      </c>
      <c r="J43" s="9">
        <v>4</v>
      </c>
      <c r="K43" s="7">
        <v>-1</v>
      </c>
      <c r="L43" s="24">
        <f>+Tabla2[[#This Row],[Stock Inventario]]*Tabla2[[#This Row],[Coste LÃ­nea]]</f>
        <v>93468</v>
      </c>
      <c r="M43" s="24">
        <f>+Tabla2[[#This Row],[Variación Stock]]*Tabla2[[#This Row],[Coste LÃ­nea]]</f>
        <v>-23367</v>
      </c>
      <c r="N43" s="22" t="str">
        <f>+IF(Tabla2[[#This Row],[Variación Stock]]&gt;0,"Sobrante",IF(Tabla2[[#This Row],[Variación Stock]]&lt;0,"Faltante","Sin novedad"))</f>
        <v>Faltante</v>
      </c>
    </row>
    <row r="44" spans="1:14" x14ac:dyDescent="0.25">
      <c r="A44" s="11">
        <v>46037</v>
      </c>
      <c r="B44" s="5" t="s">
        <v>212</v>
      </c>
      <c r="C44" s="3" t="s">
        <v>213</v>
      </c>
      <c r="D44" s="5" t="s">
        <v>111</v>
      </c>
      <c r="E44" s="5" t="s">
        <v>112</v>
      </c>
      <c r="F44" s="6" t="s">
        <v>50</v>
      </c>
      <c r="G44" s="4" t="s">
        <v>0</v>
      </c>
      <c r="H44" s="24">
        <v>1798.66666667</v>
      </c>
      <c r="I44" s="8">
        <v>97</v>
      </c>
      <c r="J44" s="9">
        <v>96</v>
      </c>
      <c r="K44" s="7">
        <v>-1</v>
      </c>
      <c r="L44" s="24">
        <f>+Tabla2[[#This Row],[Stock Inventario]]*Tabla2[[#This Row],[Coste LÃ­nea]]</f>
        <v>172672.00000032</v>
      </c>
      <c r="M44" s="24">
        <f>+Tabla2[[#This Row],[Variación Stock]]*Tabla2[[#This Row],[Coste LÃ­nea]]</f>
        <v>-1798.66666667</v>
      </c>
      <c r="N44" s="22" t="str">
        <f>+IF(Tabla2[[#This Row],[Variación Stock]]&gt;0,"Sobrante",IF(Tabla2[[#This Row],[Variación Stock]]&lt;0,"Faltante","Sin novedad"))</f>
        <v>Faltante</v>
      </c>
    </row>
    <row r="45" spans="1:14" x14ac:dyDescent="0.25">
      <c r="A45" s="11">
        <v>46044</v>
      </c>
      <c r="B45" s="5" t="s">
        <v>383</v>
      </c>
      <c r="C45" s="3" t="s">
        <v>213</v>
      </c>
      <c r="D45" s="5" t="s">
        <v>111</v>
      </c>
      <c r="E45" s="5" t="s">
        <v>112</v>
      </c>
      <c r="F45" s="6" t="s">
        <v>50</v>
      </c>
      <c r="G45" s="4" t="s">
        <v>0</v>
      </c>
      <c r="H45" s="25">
        <v>1798.66666667</v>
      </c>
      <c r="I45" s="8">
        <v>96</v>
      </c>
      <c r="J45" s="9">
        <v>97</v>
      </c>
      <c r="K45" s="7">
        <v>1</v>
      </c>
      <c r="L45" s="24">
        <f>+Tabla2[[#This Row],[Stock Inventario]]*Tabla2[[#This Row],[Coste LÃ­nea]]</f>
        <v>174470.66666699</v>
      </c>
      <c r="M45" s="24">
        <f>+Tabla2[[#This Row],[Variación Stock]]*Tabla2[[#This Row],[Coste LÃ­nea]]</f>
        <v>1798.66666667</v>
      </c>
      <c r="N45" s="22" t="str">
        <f>+IF(Tabla2[[#This Row],[Variación Stock]]&gt;0,"Sobrante",IF(Tabla2[[#This Row],[Variación Stock]]&lt;0,"Faltante","Sin novedad"))</f>
        <v>Sobrante</v>
      </c>
    </row>
    <row r="46" spans="1:14" x14ac:dyDescent="0.25">
      <c r="A46" s="11">
        <v>46053</v>
      </c>
      <c r="B46" s="5" t="s">
        <v>972</v>
      </c>
      <c r="C46" s="3" t="s">
        <v>213</v>
      </c>
      <c r="D46" s="5" t="s">
        <v>111</v>
      </c>
      <c r="E46" s="5" t="s">
        <v>112</v>
      </c>
      <c r="F46" s="6" t="s">
        <v>50</v>
      </c>
      <c r="G46" s="4" t="s">
        <v>0</v>
      </c>
      <c r="H46" s="25">
        <v>1798.66666667</v>
      </c>
      <c r="I46" s="8">
        <v>97</v>
      </c>
      <c r="J46" s="9">
        <v>98</v>
      </c>
      <c r="K46" s="7">
        <v>1</v>
      </c>
      <c r="L46" s="24">
        <f>+Tabla2[[#This Row],[Stock Inventario]]*Tabla2[[#This Row],[Coste LÃ­nea]]</f>
        <v>176269.33333366</v>
      </c>
      <c r="M46" s="24">
        <f>+Tabla2[[#This Row],[Variación Stock]]*Tabla2[[#This Row],[Coste LÃ­nea]]</f>
        <v>1798.66666667</v>
      </c>
      <c r="N46" s="22" t="str">
        <f>+IF(Tabla2[[#This Row],[Variación Stock]]&gt;0,"Sobrante",IF(Tabla2[[#This Row],[Variación Stock]]&lt;0,"Faltante","Sin novedad"))</f>
        <v>Sobrante</v>
      </c>
    </row>
    <row r="47" spans="1:14" x14ac:dyDescent="0.25">
      <c r="A47" s="11">
        <v>46053</v>
      </c>
      <c r="B47" s="5" t="s">
        <v>972</v>
      </c>
      <c r="C47" s="3" t="s">
        <v>213</v>
      </c>
      <c r="D47" s="5" t="s">
        <v>111</v>
      </c>
      <c r="E47" s="5" t="s">
        <v>112</v>
      </c>
      <c r="F47" s="6" t="s">
        <v>35</v>
      </c>
      <c r="G47" s="4" t="s">
        <v>0</v>
      </c>
      <c r="H47" s="25">
        <v>1665.04166667</v>
      </c>
      <c r="I47" s="8">
        <v>24</v>
      </c>
      <c r="J47" s="9">
        <v>0</v>
      </c>
      <c r="K47" s="7">
        <v>-24</v>
      </c>
      <c r="L47" s="24">
        <f>+Tabla2[[#This Row],[Stock Inventario]]*Tabla2[[#This Row],[Coste LÃ­nea]]</f>
        <v>0</v>
      </c>
      <c r="M47" s="24">
        <f>+Tabla2[[#This Row],[Variación Stock]]*Tabla2[[#This Row],[Coste LÃ­nea]]</f>
        <v>-39961.000000079999</v>
      </c>
      <c r="N47" s="22" t="str">
        <f>+IF(Tabla2[[#This Row],[Variación Stock]]&gt;0,"Sobrante",IF(Tabla2[[#This Row],[Variación Stock]]&lt;0,"Faltante","Sin novedad"))</f>
        <v>Faltante</v>
      </c>
    </row>
    <row r="48" spans="1:14" x14ac:dyDescent="0.25">
      <c r="A48" s="11">
        <v>46037</v>
      </c>
      <c r="B48" s="5" t="s">
        <v>212</v>
      </c>
      <c r="C48" s="3" t="s">
        <v>213</v>
      </c>
      <c r="D48" s="5" t="s">
        <v>111</v>
      </c>
      <c r="E48" s="5" t="s">
        <v>112</v>
      </c>
      <c r="F48" s="6" t="s">
        <v>220</v>
      </c>
      <c r="G48" s="4" t="s">
        <v>0</v>
      </c>
      <c r="H48" s="24">
        <v>2665.4166666699998</v>
      </c>
      <c r="I48" s="8">
        <v>-2</v>
      </c>
      <c r="J48" s="9">
        <v>24</v>
      </c>
      <c r="K48" s="7">
        <v>26</v>
      </c>
      <c r="L48" s="24">
        <f>+Tabla2[[#This Row],[Stock Inventario]]*Tabla2[[#This Row],[Coste LÃ­nea]]</f>
        <v>63970.000000079992</v>
      </c>
      <c r="M48" s="24">
        <f>+Tabla2[[#This Row],[Variación Stock]]*Tabla2[[#This Row],[Coste LÃ­nea]]</f>
        <v>69300.83333342</v>
      </c>
      <c r="N48" s="22" t="str">
        <f>+IF(Tabla2[[#This Row],[Variación Stock]]&gt;0,"Sobrante",IF(Tabla2[[#This Row],[Variación Stock]]&lt;0,"Faltante","Sin novedad"))</f>
        <v>Sobrante</v>
      </c>
    </row>
    <row r="49" spans="1:14" x14ac:dyDescent="0.25">
      <c r="A49" s="11">
        <v>46044</v>
      </c>
      <c r="B49" s="5" t="s">
        <v>383</v>
      </c>
      <c r="C49" s="3" t="s">
        <v>213</v>
      </c>
      <c r="D49" s="5" t="s">
        <v>111</v>
      </c>
      <c r="E49" s="5" t="s">
        <v>112</v>
      </c>
      <c r="F49" s="6" t="s">
        <v>220</v>
      </c>
      <c r="G49" s="4" t="s">
        <v>0</v>
      </c>
      <c r="H49" s="25">
        <v>2665.4166666699998</v>
      </c>
      <c r="I49" s="8">
        <v>23</v>
      </c>
      <c r="J49" s="9">
        <v>24</v>
      </c>
      <c r="K49" s="7">
        <v>1</v>
      </c>
      <c r="L49" s="24">
        <f>+Tabla2[[#This Row],[Stock Inventario]]*Tabla2[[#This Row],[Coste LÃ­nea]]</f>
        <v>63970.000000079992</v>
      </c>
      <c r="M49" s="24">
        <f>+Tabla2[[#This Row],[Variación Stock]]*Tabla2[[#This Row],[Coste LÃ­nea]]</f>
        <v>2665.4166666699998</v>
      </c>
      <c r="N49" s="22" t="str">
        <f>+IF(Tabla2[[#This Row],[Variación Stock]]&gt;0,"Sobrante",IF(Tabla2[[#This Row],[Variación Stock]]&lt;0,"Faltante","Sin novedad"))</f>
        <v>Sobrante</v>
      </c>
    </row>
    <row r="50" spans="1:14" x14ac:dyDescent="0.25">
      <c r="A50" s="11">
        <v>46053</v>
      </c>
      <c r="B50" s="5" t="s">
        <v>972</v>
      </c>
      <c r="C50" s="3" t="s">
        <v>213</v>
      </c>
      <c r="D50" s="5" t="s">
        <v>111</v>
      </c>
      <c r="E50" s="5" t="s">
        <v>112</v>
      </c>
      <c r="F50" s="6" t="s">
        <v>220</v>
      </c>
      <c r="G50" s="4" t="s">
        <v>0</v>
      </c>
      <c r="H50" s="25">
        <v>2665.4166666699998</v>
      </c>
      <c r="I50" s="8">
        <v>23</v>
      </c>
      <c r="J50" s="9">
        <v>24</v>
      </c>
      <c r="K50" s="7">
        <v>1</v>
      </c>
      <c r="L50" s="24">
        <f>+Tabla2[[#This Row],[Stock Inventario]]*Tabla2[[#This Row],[Coste LÃ­nea]]</f>
        <v>63970.000000079992</v>
      </c>
      <c r="M50" s="24">
        <f>+Tabla2[[#This Row],[Variación Stock]]*Tabla2[[#This Row],[Coste LÃ­nea]]</f>
        <v>2665.4166666699998</v>
      </c>
      <c r="N50" s="22" t="str">
        <f>+IF(Tabla2[[#This Row],[Variación Stock]]&gt;0,"Sobrante",IF(Tabla2[[#This Row],[Variación Stock]]&lt;0,"Faltante","Sin novedad"))</f>
        <v>Sobrante</v>
      </c>
    </row>
    <row r="51" spans="1:14" x14ac:dyDescent="0.25">
      <c r="A51" s="11">
        <v>46037</v>
      </c>
      <c r="B51" s="5" t="s">
        <v>212</v>
      </c>
      <c r="C51" s="3" t="s">
        <v>213</v>
      </c>
      <c r="D51" s="5" t="s">
        <v>111</v>
      </c>
      <c r="E51" s="5" t="s">
        <v>112</v>
      </c>
      <c r="F51" s="6" t="s">
        <v>36</v>
      </c>
      <c r="G51" s="4" t="s">
        <v>0</v>
      </c>
      <c r="H51" s="24">
        <v>4075.1666666699998</v>
      </c>
      <c r="I51" s="8">
        <v>64</v>
      </c>
      <c r="J51" s="9">
        <v>63</v>
      </c>
      <c r="K51" s="7">
        <v>-1</v>
      </c>
      <c r="L51" s="24">
        <f>+Tabla2[[#This Row],[Stock Inventario]]*Tabla2[[#This Row],[Coste LÃ­nea]]</f>
        <v>256735.50000020998</v>
      </c>
      <c r="M51" s="24">
        <f>+Tabla2[[#This Row],[Variación Stock]]*Tabla2[[#This Row],[Coste LÃ­nea]]</f>
        <v>-4075.1666666699998</v>
      </c>
      <c r="N51" s="22" t="str">
        <f>+IF(Tabla2[[#This Row],[Variación Stock]]&gt;0,"Sobrante",IF(Tabla2[[#This Row],[Variación Stock]]&lt;0,"Faltante","Sin novedad"))</f>
        <v>Faltante</v>
      </c>
    </row>
    <row r="52" spans="1:14" x14ac:dyDescent="0.25">
      <c r="A52" s="11">
        <v>46044</v>
      </c>
      <c r="B52" s="5" t="s">
        <v>383</v>
      </c>
      <c r="C52" s="3" t="s">
        <v>213</v>
      </c>
      <c r="D52" s="5" t="s">
        <v>111</v>
      </c>
      <c r="E52" s="5" t="s">
        <v>112</v>
      </c>
      <c r="F52" s="6" t="s">
        <v>36</v>
      </c>
      <c r="G52" s="4" t="s">
        <v>0</v>
      </c>
      <c r="H52" s="25">
        <v>4075.1666666699998</v>
      </c>
      <c r="I52" s="8">
        <v>63</v>
      </c>
      <c r="J52" s="9">
        <v>63</v>
      </c>
      <c r="K52" s="7">
        <v>0</v>
      </c>
      <c r="L52" s="24">
        <f>+Tabla2[[#This Row],[Stock Inventario]]*Tabla2[[#This Row],[Coste LÃ­nea]]</f>
        <v>256735.50000020998</v>
      </c>
      <c r="M52" s="24">
        <f>+Tabla2[[#This Row],[Variación Stock]]*Tabla2[[#This Row],[Coste LÃ­nea]]</f>
        <v>0</v>
      </c>
      <c r="N52" s="22" t="str">
        <f>+IF(Tabla2[[#This Row],[Variación Stock]]&gt;0,"Sobrante",IF(Tabla2[[#This Row],[Variación Stock]]&lt;0,"Faltante","Sin novedad"))</f>
        <v>Sin novedad</v>
      </c>
    </row>
    <row r="53" spans="1:14" x14ac:dyDescent="0.25">
      <c r="A53" s="11">
        <v>46053</v>
      </c>
      <c r="B53" s="5" t="s">
        <v>972</v>
      </c>
      <c r="C53" s="3" t="s">
        <v>213</v>
      </c>
      <c r="D53" s="5" t="s">
        <v>111</v>
      </c>
      <c r="E53" s="5" t="s">
        <v>112</v>
      </c>
      <c r="F53" s="6" t="s">
        <v>36</v>
      </c>
      <c r="G53" s="4" t="s">
        <v>0</v>
      </c>
      <c r="H53" s="25">
        <v>3313.8958333300002</v>
      </c>
      <c r="I53" s="8">
        <v>57</v>
      </c>
      <c r="J53" s="9">
        <v>60</v>
      </c>
      <c r="K53" s="7">
        <v>3</v>
      </c>
      <c r="L53" s="24">
        <f>+Tabla2[[#This Row],[Stock Inventario]]*Tabla2[[#This Row],[Coste LÃ­nea]]</f>
        <v>198833.7499998</v>
      </c>
      <c r="M53" s="24">
        <f>+Tabla2[[#This Row],[Variación Stock]]*Tabla2[[#This Row],[Coste LÃ­nea]]</f>
        <v>9941.687499990001</v>
      </c>
      <c r="N53" s="22" t="str">
        <f>+IF(Tabla2[[#This Row],[Variación Stock]]&gt;0,"Sobrante",IF(Tabla2[[#This Row],[Variación Stock]]&lt;0,"Faltante","Sin novedad"))</f>
        <v>Sobrante</v>
      </c>
    </row>
    <row r="54" spans="1:14" x14ac:dyDescent="0.25">
      <c r="A54" s="11">
        <v>46037</v>
      </c>
      <c r="B54" s="5" t="s">
        <v>212</v>
      </c>
      <c r="C54" s="3" t="s">
        <v>213</v>
      </c>
      <c r="D54" s="5" t="s">
        <v>115</v>
      </c>
      <c r="E54" s="5" t="s">
        <v>112</v>
      </c>
      <c r="F54" s="6" t="s">
        <v>237</v>
      </c>
      <c r="G54" s="4" t="s">
        <v>1</v>
      </c>
      <c r="H54" s="24">
        <v>24.444444440000002</v>
      </c>
      <c r="I54" s="8">
        <v>24850</v>
      </c>
      <c r="J54" s="9">
        <v>21200</v>
      </c>
      <c r="K54" s="7">
        <v>-3650</v>
      </c>
      <c r="L54" s="24">
        <f>+Tabla2[[#This Row],[Stock Inventario]]*Tabla2[[#This Row],[Coste LÃ­nea]]</f>
        <v>518222.22212800005</v>
      </c>
      <c r="M54" s="24">
        <f>+Tabla2[[#This Row],[Variación Stock]]*Tabla2[[#This Row],[Coste LÃ­nea]]</f>
        <v>-89222.222206000006</v>
      </c>
      <c r="N54" s="22" t="str">
        <f>+IF(Tabla2[[#This Row],[Variación Stock]]&gt;0,"Sobrante",IF(Tabla2[[#This Row],[Variación Stock]]&lt;0,"Faltante","Sin novedad"))</f>
        <v>Faltante</v>
      </c>
    </row>
    <row r="55" spans="1:14" x14ac:dyDescent="0.25">
      <c r="A55" s="11">
        <v>46044</v>
      </c>
      <c r="B55" s="5" t="s">
        <v>383</v>
      </c>
      <c r="C55" s="3" t="s">
        <v>213</v>
      </c>
      <c r="D55" s="5" t="s">
        <v>115</v>
      </c>
      <c r="E55" s="5" t="s">
        <v>112</v>
      </c>
      <c r="F55" s="6" t="s">
        <v>237</v>
      </c>
      <c r="G55" s="4" t="s">
        <v>1</v>
      </c>
      <c r="H55" s="25">
        <v>24.444444440000002</v>
      </c>
      <c r="I55" s="8">
        <v>18140</v>
      </c>
      <c r="J55" s="9">
        <v>19230</v>
      </c>
      <c r="K55" s="7">
        <v>1090</v>
      </c>
      <c r="L55" s="24">
        <f>+Tabla2[[#This Row],[Stock Inventario]]*Tabla2[[#This Row],[Coste LÃ­nea]]</f>
        <v>470066.66658120003</v>
      </c>
      <c r="M55" s="24">
        <f>+Tabla2[[#This Row],[Variación Stock]]*Tabla2[[#This Row],[Coste LÃ­nea]]</f>
        <v>26644.444439600004</v>
      </c>
      <c r="N55" s="22" t="str">
        <f>+IF(Tabla2[[#This Row],[Variación Stock]]&gt;0,"Sobrante",IF(Tabla2[[#This Row],[Variación Stock]]&lt;0,"Faltante","Sin novedad"))</f>
        <v>Sobrante</v>
      </c>
    </row>
    <row r="56" spans="1:14" x14ac:dyDescent="0.25">
      <c r="A56" s="11">
        <v>46053</v>
      </c>
      <c r="B56" s="5" t="s">
        <v>972</v>
      </c>
      <c r="C56" s="3" t="s">
        <v>213</v>
      </c>
      <c r="D56" s="5" t="s">
        <v>115</v>
      </c>
      <c r="E56" s="5" t="s">
        <v>112</v>
      </c>
      <c r="F56" s="6" t="s">
        <v>237</v>
      </c>
      <c r="G56" s="4" t="s">
        <v>1</v>
      </c>
      <c r="H56" s="25">
        <v>23.722222219999999</v>
      </c>
      <c r="I56" s="8">
        <v>19230</v>
      </c>
      <c r="J56" s="9">
        <v>15000</v>
      </c>
      <c r="K56" s="7">
        <v>-4230</v>
      </c>
      <c r="L56" s="24">
        <f>+Tabla2[[#This Row],[Stock Inventario]]*Tabla2[[#This Row],[Coste LÃ­nea]]</f>
        <v>355833.3333</v>
      </c>
      <c r="M56" s="24">
        <f>+Tabla2[[#This Row],[Variación Stock]]*Tabla2[[#This Row],[Coste LÃ­nea]]</f>
        <v>-100344.9999906</v>
      </c>
      <c r="N56" s="22" t="str">
        <f>+IF(Tabla2[[#This Row],[Variación Stock]]&gt;0,"Sobrante",IF(Tabla2[[#This Row],[Variación Stock]]&lt;0,"Faltante","Sin novedad"))</f>
        <v>Faltante</v>
      </c>
    </row>
    <row r="57" spans="1:14" x14ac:dyDescent="0.25">
      <c r="A57" s="11">
        <v>46037</v>
      </c>
      <c r="B57" s="5" t="s">
        <v>212</v>
      </c>
      <c r="C57" s="3" t="s">
        <v>213</v>
      </c>
      <c r="D57" s="5" t="s">
        <v>115</v>
      </c>
      <c r="E57" s="5" t="s">
        <v>112</v>
      </c>
      <c r="F57" s="6" t="s">
        <v>238</v>
      </c>
      <c r="G57" s="4" t="s">
        <v>1</v>
      </c>
      <c r="H57" s="24">
        <v>24.444444440000002</v>
      </c>
      <c r="I57" s="8">
        <v>24400</v>
      </c>
      <c r="J57" s="9">
        <v>22000</v>
      </c>
      <c r="K57" s="7">
        <v>-2400</v>
      </c>
      <c r="L57" s="24">
        <f>+Tabla2[[#This Row],[Stock Inventario]]*Tabla2[[#This Row],[Coste LÃ­nea]]</f>
        <v>537777.77768000006</v>
      </c>
      <c r="M57" s="24">
        <f>+Tabla2[[#This Row],[Variación Stock]]*Tabla2[[#This Row],[Coste LÃ­nea]]</f>
        <v>-58666.666656000001</v>
      </c>
      <c r="N57" s="22" t="str">
        <f>+IF(Tabla2[[#This Row],[Variación Stock]]&gt;0,"Sobrante",IF(Tabla2[[#This Row],[Variación Stock]]&lt;0,"Faltante","Sin novedad"))</f>
        <v>Faltante</v>
      </c>
    </row>
    <row r="58" spans="1:14" x14ac:dyDescent="0.25">
      <c r="A58" s="11">
        <v>46044</v>
      </c>
      <c r="B58" s="5" t="s">
        <v>383</v>
      </c>
      <c r="C58" s="3" t="s">
        <v>213</v>
      </c>
      <c r="D58" s="5" t="s">
        <v>115</v>
      </c>
      <c r="E58" s="5" t="s">
        <v>112</v>
      </c>
      <c r="F58" s="6" t="s">
        <v>238</v>
      </c>
      <c r="G58" s="4" t="s">
        <v>1</v>
      </c>
      <c r="H58" s="25">
        <v>24.444444440000002</v>
      </c>
      <c r="I58" s="8">
        <v>20560</v>
      </c>
      <c r="J58" s="9">
        <v>19985</v>
      </c>
      <c r="K58" s="7">
        <v>-575</v>
      </c>
      <c r="L58" s="24">
        <f>+Tabla2[[#This Row],[Stock Inventario]]*Tabla2[[#This Row],[Coste LÃ­nea]]</f>
        <v>488522.22213340004</v>
      </c>
      <c r="M58" s="24">
        <f>+Tabla2[[#This Row],[Variación Stock]]*Tabla2[[#This Row],[Coste LÃ­nea]]</f>
        <v>-14055.555553</v>
      </c>
      <c r="N58" s="22" t="str">
        <f>+IF(Tabla2[[#This Row],[Variación Stock]]&gt;0,"Sobrante",IF(Tabla2[[#This Row],[Variación Stock]]&lt;0,"Faltante","Sin novedad"))</f>
        <v>Faltante</v>
      </c>
    </row>
    <row r="59" spans="1:14" x14ac:dyDescent="0.25">
      <c r="A59" s="11">
        <v>46053</v>
      </c>
      <c r="B59" s="5" t="s">
        <v>972</v>
      </c>
      <c r="C59" s="3" t="s">
        <v>213</v>
      </c>
      <c r="D59" s="5" t="s">
        <v>115</v>
      </c>
      <c r="E59" s="5" t="s">
        <v>112</v>
      </c>
      <c r="F59" s="6" t="s">
        <v>238</v>
      </c>
      <c r="G59" s="4" t="s">
        <v>1</v>
      </c>
      <c r="H59" s="25">
        <v>23.722222219999999</v>
      </c>
      <c r="I59" s="8">
        <v>28075</v>
      </c>
      <c r="J59" s="9">
        <v>25285</v>
      </c>
      <c r="K59" s="7">
        <v>-2790</v>
      </c>
      <c r="L59" s="24">
        <f>+Tabla2[[#This Row],[Stock Inventario]]*Tabla2[[#This Row],[Coste LÃ­nea]]</f>
        <v>599816.38883269997</v>
      </c>
      <c r="M59" s="24">
        <f>+Tabla2[[#This Row],[Variación Stock]]*Tabla2[[#This Row],[Coste LÃ­nea]]</f>
        <v>-66184.999993799996</v>
      </c>
      <c r="N59" s="22" t="str">
        <f>+IF(Tabla2[[#This Row],[Variación Stock]]&gt;0,"Sobrante",IF(Tabla2[[#This Row],[Variación Stock]]&lt;0,"Faltante","Sin novedad"))</f>
        <v>Faltante</v>
      </c>
    </row>
    <row r="60" spans="1:14" x14ac:dyDescent="0.25">
      <c r="A60" s="11">
        <v>46037</v>
      </c>
      <c r="B60" s="5" t="s">
        <v>212</v>
      </c>
      <c r="C60" s="3" t="s">
        <v>213</v>
      </c>
      <c r="D60" s="5" t="s">
        <v>115</v>
      </c>
      <c r="E60" s="5" t="s">
        <v>112</v>
      </c>
      <c r="F60" s="13" t="s">
        <v>239</v>
      </c>
      <c r="G60" s="14" t="s">
        <v>1</v>
      </c>
      <c r="H60" s="24">
        <v>1.12044944</v>
      </c>
      <c r="I60" s="8">
        <v>362940</v>
      </c>
      <c r="J60" s="9">
        <v>20720</v>
      </c>
      <c r="K60" s="15">
        <v>-342220</v>
      </c>
      <c r="L60" s="24">
        <f>+Tabla2[[#This Row],[Stock Inventario]]*Tabla2[[#This Row],[Coste LÃ­nea]]</f>
        <v>23215.712396800001</v>
      </c>
      <c r="M60" s="24">
        <f>+Tabla2[[#This Row],[Variación Stock]]*Tabla2[[#This Row],[Coste LÃ­nea]]</f>
        <v>-383440.20735680003</v>
      </c>
      <c r="N60" s="22" t="str">
        <f>+IF(Tabla2[[#This Row],[Variación Stock]]&gt;0,"Sobrante",IF(Tabla2[[#This Row],[Variación Stock]]&lt;0,"Faltante","Sin novedad"))</f>
        <v>Faltante</v>
      </c>
    </row>
    <row r="61" spans="1:14" x14ac:dyDescent="0.25">
      <c r="A61" s="11">
        <v>46044</v>
      </c>
      <c r="B61" s="5" t="s">
        <v>383</v>
      </c>
      <c r="C61" s="3" t="s">
        <v>213</v>
      </c>
      <c r="D61" s="5" t="s">
        <v>115</v>
      </c>
      <c r="E61" s="5" t="s">
        <v>112</v>
      </c>
      <c r="F61" s="6" t="s">
        <v>239</v>
      </c>
      <c r="G61" s="4" t="s">
        <v>1</v>
      </c>
      <c r="H61" s="25">
        <v>1.12044944</v>
      </c>
      <c r="I61" s="8">
        <v>10170</v>
      </c>
      <c r="J61" s="9">
        <v>34210</v>
      </c>
      <c r="K61" s="7">
        <v>24040</v>
      </c>
      <c r="L61" s="24">
        <f>+Tabla2[[#This Row],[Stock Inventario]]*Tabla2[[#This Row],[Coste LÃ­nea]]</f>
        <v>38330.575342399999</v>
      </c>
      <c r="M61" s="24">
        <f>+Tabla2[[#This Row],[Variación Stock]]*Tabla2[[#This Row],[Coste LÃ­nea]]</f>
        <v>26935.6045376</v>
      </c>
      <c r="N61" s="22" t="str">
        <f>+IF(Tabla2[[#This Row],[Variación Stock]]&gt;0,"Sobrante",IF(Tabla2[[#This Row],[Variación Stock]]&lt;0,"Faltante","Sin novedad"))</f>
        <v>Sobrante</v>
      </c>
    </row>
    <row r="62" spans="1:14" hidden="1" x14ac:dyDescent="0.25">
      <c r="A62" s="11">
        <v>46044</v>
      </c>
      <c r="B62" s="5" t="s">
        <v>383</v>
      </c>
      <c r="C62" s="3" t="s">
        <v>213</v>
      </c>
      <c r="D62" s="5" t="s">
        <v>116</v>
      </c>
      <c r="E62" s="5" t="s">
        <v>117</v>
      </c>
      <c r="F62" s="6" t="s">
        <v>159</v>
      </c>
      <c r="G62" s="4" t="s">
        <v>2</v>
      </c>
      <c r="H62" s="25">
        <v>14488.88888889</v>
      </c>
      <c r="I62" s="8">
        <v>5</v>
      </c>
      <c r="J62" s="9">
        <v>0</v>
      </c>
      <c r="K62" s="7">
        <v>-5</v>
      </c>
      <c r="L62" s="24">
        <f>+Tabla2[[#This Row],[Stock Inventario]]*Tabla2[[#This Row],[Coste LÃ­nea]]</f>
        <v>0</v>
      </c>
      <c r="M62" s="24">
        <f>+Tabla2[[#This Row],[Variación Stock]]*Tabla2[[#This Row],[Coste LÃ­nea]]</f>
        <v>-72444.444444449997</v>
      </c>
      <c r="N62" s="22" t="str">
        <f>+IF(Tabla2[[#This Row],[Variación Stock]]&gt;0,"Sobrante",IF(Tabla2[[#This Row],[Variación Stock]]&lt;0,"Faltante","Sin novedad"))</f>
        <v>Faltante</v>
      </c>
    </row>
    <row r="63" spans="1:14" x14ac:dyDescent="0.25">
      <c r="A63" s="11">
        <v>46053</v>
      </c>
      <c r="B63" s="5" t="s">
        <v>972</v>
      </c>
      <c r="C63" s="3" t="s">
        <v>213</v>
      </c>
      <c r="D63" s="5" t="s">
        <v>115</v>
      </c>
      <c r="E63" s="5" t="s">
        <v>112</v>
      </c>
      <c r="F63" s="6" t="s">
        <v>239</v>
      </c>
      <c r="G63" s="4" t="s">
        <v>1</v>
      </c>
      <c r="H63" s="25">
        <v>23.666666670000001</v>
      </c>
      <c r="I63" s="8">
        <v>48160</v>
      </c>
      <c r="J63" s="9">
        <v>20575</v>
      </c>
      <c r="K63" s="7">
        <v>-27585</v>
      </c>
      <c r="L63" s="24">
        <f>+Tabla2[[#This Row],[Stock Inventario]]*Tabla2[[#This Row],[Coste LÃ­nea]]</f>
        <v>486941.66673525004</v>
      </c>
      <c r="M63" s="24">
        <f>+Tabla2[[#This Row],[Variación Stock]]*Tabla2[[#This Row],[Coste LÃ­nea]]</f>
        <v>-652845.00009195006</v>
      </c>
      <c r="N63" s="22" t="str">
        <f>+IF(Tabla2[[#This Row],[Variación Stock]]&gt;0,"Sobrante",IF(Tabla2[[#This Row],[Variación Stock]]&lt;0,"Faltante","Sin novedad"))</f>
        <v>Faltante</v>
      </c>
    </row>
    <row r="64" spans="1:14" x14ac:dyDescent="0.25">
      <c r="A64" s="11">
        <v>46037</v>
      </c>
      <c r="B64" s="5" t="s">
        <v>212</v>
      </c>
      <c r="C64" s="3" t="s">
        <v>213</v>
      </c>
      <c r="D64" s="5" t="s">
        <v>115</v>
      </c>
      <c r="E64" s="5" t="s">
        <v>112</v>
      </c>
      <c r="F64" s="6" t="s">
        <v>240</v>
      </c>
      <c r="G64" s="4" t="s">
        <v>1</v>
      </c>
      <c r="H64" s="24">
        <v>26.666666670000001</v>
      </c>
      <c r="I64" s="8">
        <v>27985</v>
      </c>
      <c r="J64" s="9">
        <v>24970</v>
      </c>
      <c r="K64" s="7">
        <v>-3015</v>
      </c>
      <c r="L64" s="24">
        <f>+Tabla2[[#This Row],[Stock Inventario]]*Tabla2[[#This Row],[Coste LÃ­nea]]</f>
        <v>665866.66674990009</v>
      </c>
      <c r="M64" s="24">
        <f>+Tabla2[[#This Row],[Variación Stock]]*Tabla2[[#This Row],[Coste LÃ­nea]]</f>
        <v>-80400.000010050004</v>
      </c>
      <c r="N64" s="22" t="str">
        <f>+IF(Tabla2[[#This Row],[Variación Stock]]&gt;0,"Sobrante",IF(Tabla2[[#This Row],[Variación Stock]]&lt;0,"Faltante","Sin novedad"))</f>
        <v>Faltante</v>
      </c>
    </row>
    <row r="65" spans="1:14" x14ac:dyDescent="0.25">
      <c r="A65" s="11">
        <v>46044</v>
      </c>
      <c r="B65" s="5" t="s">
        <v>383</v>
      </c>
      <c r="C65" s="3" t="s">
        <v>213</v>
      </c>
      <c r="D65" s="5" t="s">
        <v>115</v>
      </c>
      <c r="E65" s="5" t="s">
        <v>112</v>
      </c>
      <c r="F65" s="6" t="s">
        <v>240</v>
      </c>
      <c r="G65" s="4" t="s">
        <v>1</v>
      </c>
      <c r="H65" s="25">
        <v>26.666666670000001</v>
      </c>
      <c r="I65" s="8">
        <v>20320</v>
      </c>
      <c r="J65" s="9">
        <v>40775</v>
      </c>
      <c r="K65" s="7">
        <v>20455</v>
      </c>
      <c r="L65" s="24">
        <f>+Tabla2[[#This Row],[Stock Inventario]]*Tabla2[[#This Row],[Coste LÃ­nea]]</f>
        <v>1087333.33346925</v>
      </c>
      <c r="M65" s="24">
        <f>+Tabla2[[#This Row],[Variación Stock]]*Tabla2[[#This Row],[Coste LÃ­nea]]</f>
        <v>545466.66673485003</v>
      </c>
      <c r="N65" s="22" t="str">
        <f>+IF(Tabla2[[#This Row],[Variación Stock]]&gt;0,"Sobrante",IF(Tabla2[[#This Row],[Variación Stock]]&lt;0,"Faltante","Sin novedad"))</f>
        <v>Sobrante</v>
      </c>
    </row>
    <row r="66" spans="1:14" x14ac:dyDescent="0.25">
      <c r="A66" s="11">
        <v>46053</v>
      </c>
      <c r="B66" s="5" t="s">
        <v>972</v>
      </c>
      <c r="C66" s="3" t="s">
        <v>213</v>
      </c>
      <c r="D66" s="5" t="s">
        <v>115</v>
      </c>
      <c r="E66" s="5" t="s">
        <v>112</v>
      </c>
      <c r="F66" s="6" t="s">
        <v>240</v>
      </c>
      <c r="G66" s="4" t="s">
        <v>1</v>
      </c>
      <c r="H66" s="25">
        <v>26.666666670000001</v>
      </c>
      <c r="I66" s="8">
        <v>31015</v>
      </c>
      <c r="J66" s="9">
        <v>36815</v>
      </c>
      <c r="K66" s="7">
        <v>5800</v>
      </c>
      <c r="L66" s="24">
        <f>+Tabla2[[#This Row],[Stock Inventario]]*Tabla2[[#This Row],[Coste LÃ­nea]]</f>
        <v>981733.33345605002</v>
      </c>
      <c r="M66" s="24">
        <f>+Tabla2[[#This Row],[Variación Stock]]*Tabla2[[#This Row],[Coste LÃ­nea]]</f>
        <v>154666.66668600001</v>
      </c>
      <c r="N66" s="22" t="str">
        <f>+IF(Tabla2[[#This Row],[Variación Stock]]&gt;0,"Sobrante",IF(Tabla2[[#This Row],[Variación Stock]]&lt;0,"Faltante","Sin novedad"))</f>
        <v>Sobrante</v>
      </c>
    </row>
    <row r="67" spans="1:14" x14ac:dyDescent="0.25">
      <c r="A67" s="11">
        <v>46037</v>
      </c>
      <c r="B67" s="5" t="s">
        <v>212</v>
      </c>
      <c r="C67" s="3" t="s">
        <v>213</v>
      </c>
      <c r="D67" s="5" t="s">
        <v>115</v>
      </c>
      <c r="E67" s="5" t="s">
        <v>112</v>
      </c>
      <c r="F67" s="13" t="s">
        <v>241</v>
      </c>
      <c r="G67" s="14" t="s">
        <v>1</v>
      </c>
      <c r="H67" s="24">
        <v>1.02707722</v>
      </c>
      <c r="I67" s="8">
        <v>364855</v>
      </c>
      <c r="J67" s="9">
        <v>20100</v>
      </c>
      <c r="K67" s="15">
        <v>-344755</v>
      </c>
      <c r="L67" s="24">
        <f>+Tabla2[[#This Row],[Stock Inventario]]*Tabla2[[#This Row],[Coste LÃ­nea]]</f>
        <v>20644.252122000002</v>
      </c>
      <c r="M67" s="24">
        <f>+Tabla2[[#This Row],[Variación Stock]]*Tabla2[[#This Row],[Coste LÃ­nea]]</f>
        <v>-354090.00698110001</v>
      </c>
      <c r="N67" s="22" t="str">
        <f>+IF(Tabla2[[#This Row],[Variación Stock]]&gt;0,"Sobrante",IF(Tabla2[[#This Row],[Variación Stock]]&lt;0,"Faltante","Sin novedad"))</f>
        <v>Faltante</v>
      </c>
    </row>
    <row r="68" spans="1:14" x14ac:dyDescent="0.25">
      <c r="A68" s="11">
        <v>46044</v>
      </c>
      <c r="B68" s="5" t="s">
        <v>383</v>
      </c>
      <c r="C68" s="3" t="s">
        <v>213</v>
      </c>
      <c r="D68" s="5" t="s">
        <v>115</v>
      </c>
      <c r="E68" s="5" t="s">
        <v>112</v>
      </c>
      <c r="F68" s="6" t="s">
        <v>241</v>
      </c>
      <c r="G68" s="4" t="s">
        <v>1</v>
      </c>
      <c r="H68" s="25">
        <v>24.444444440000002</v>
      </c>
      <c r="I68" s="8">
        <v>19140</v>
      </c>
      <c r="J68" s="9">
        <v>17950</v>
      </c>
      <c r="K68" s="7">
        <v>-1190</v>
      </c>
      <c r="L68" s="24">
        <f>+Tabla2[[#This Row],[Stock Inventario]]*Tabla2[[#This Row],[Coste LÃ­nea]]</f>
        <v>438777.77769800002</v>
      </c>
      <c r="M68" s="24">
        <f>+Tabla2[[#This Row],[Variación Stock]]*Tabla2[[#This Row],[Coste LÃ­nea]]</f>
        <v>-29088.888883600001</v>
      </c>
      <c r="N68" s="22" t="str">
        <f>+IF(Tabla2[[#This Row],[Variación Stock]]&gt;0,"Sobrante",IF(Tabla2[[#This Row],[Variación Stock]]&lt;0,"Faltante","Sin novedad"))</f>
        <v>Faltante</v>
      </c>
    </row>
    <row r="69" spans="1:14" x14ac:dyDescent="0.25">
      <c r="A69" s="11">
        <v>46053</v>
      </c>
      <c r="B69" s="5" t="s">
        <v>972</v>
      </c>
      <c r="C69" s="3" t="s">
        <v>213</v>
      </c>
      <c r="D69" s="5" t="s">
        <v>115</v>
      </c>
      <c r="E69" s="5" t="s">
        <v>112</v>
      </c>
      <c r="F69" s="6" t="s">
        <v>241</v>
      </c>
      <c r="G69" s="4" t="s">
        <v>1</v>
      </c>
      <c r="H69" s="25">
        <v>24.444444440000002</v>
      </c>
      <c r="I69" s="8">
        <v>11650</v>
      </c>
      <c r="J69" s="9">
        <v>9325</v>
      </c>
      <c r="K69" s="7">
        <v>-2325</v>
      </c>
      <c r="L69" s="24">
        <f>+Tabla2[[#This Row],[Stock Inventario]]*Tabla2[[#This Row],[Coste LÃ­nea]]</f>
        <v>227944.444403</v>
      </c>
      <c r="M69" s="24">
        <f>+Tabla2[[#This Row],[Variación Stock]]*Tabla2[[#This Row],[Coste LÃ­nea]]</f>
        <v>-56833.333323000006</v>
      </c>
      <c r="N69" s="22" t="str">
        <f>+IF(Tabla2[[#This Row],[Variación Stock]]&gt;0,"Sobrante",IF(Tabla2[[#This Row],[Variación Stock]]&lt;0,"Faltante","Sin novedad"))</f>
        <v>Faltante</v>
      </c>
    </row>
    <row r="70" spans="1:14" x14ac:dyDescent="0.25">
      <c r="A70" s="11">
        <v>46037</v>
      </c>
      <c r="B70" s="5" t="s">
        <v>212</v>
      </c>
      <c r="C70" s="3" t="s">
        <v>213</v>
      </c>
      <c r="D70" s="5" t="s">
        <v>115</v>
      </c>
      <c r="E70" s="5" t="s">
        <v>112</v>
      </c>
      <c r="F70" s="6" t="s">
        <v>242</v>
      </c>
      <c r="G70" s="4" t="s">
        <v>1</v>
      </c>
      <c r="H70" s="24">
        <v>22.408944439999999</v>
      </c>
      <c r="I70" s="8">
        <v>21595</v>
      </c>
      <c r="J70" s="9">
        <v>38450</v>
      </c>
      <c r="K70" s="15">
        <v>16855</v>
      </c>
      <c r="L70" s="24">
        <f>+Tabla2[[#This Row],[Stock Inventario]]*Tabla2[[#This Row],[Coste LÃ­nea]]</f>
        <v>861623.91371799994</v>
      </c>
      <c r="M70" s="24">
        <f>+Tabla2[[#This Row],[Variación Stock]]*Tabla2[[#This Row],[Coste LÃ­nea]]</f>
        <v>377702.75853619998</v>
      </c>
      <c r="N70" s="22" t="str">
        <f>+IF(Tabla2[[#This Row],[Variación Stock]]&gt;0,"Sobrante",IF(Tabla2[[#This Row],[Variación Stock]]&lt;0,"Faltante","Sin novedad"))</f>
        <v>Sobrante</v>
      </c>
    </row>
    <row r="71" spans="1:14" x14ac:dyDescent="0.25">
      <c r="A71" s="11">
        <v>46044</v>
      </c>
      <c r="B71" s="5" t="s">
        <v>383</v>
      </c>
      <c r="C71" s="3" t="s">
        <v>213</v>
      </c>
      <c r="D71" s="5" t="s">
        <v>115</v>
      </c>
      <c r="E71" s="5" t="s">
        <v>112</v>
      </c>
      <c r="F71" s="6" t="s">
        <v>242</v>
      </c>
      <c r="G71" s="4" t="s">
        <v>1</v>
      </c>
      <c r="H71" s="25">
        <v>26.666666670000001</v>
      </c>
      <c r="I71" s="8">
        <v>31260</v>
      </c>
      <c r="J71" s="9">
        <v>7520</v>
      </c>
      <c r="K71" s="7">
        <v>-23740</v>
      </c>
      <c r="L71" s="24">
        <f>+Tabla2[[#This Row],[Stock Inventario]]*Tabla2[[#This Row],[Coste LÃ­nea]]</f>
        <v>200533.33335840001</v>
      </c>
      <c r="M71" s="24">
        <f>+Tabla2[[#This Row],[Variación Stock]]*Tabla2[[#This Row],[Coste LÃ­nea]]</f>
        <v>-633066.66674580006</v>
      </c>
      <c r="N71" s="22" t="str">
        <f>+IF(Tabla2[[#This Row],[Variación Stock]]&gt;0,"Sobrante",IF(Tabla2[[#This Row],[Variación Stock]]&lt;0,"Faltante","Sin novedad"))</f>
        <v>Faltante</v>
      </c>
    </row>
    <row r="72" spans="1:14" x14ac:dyDescent="0.25">
      <c r="A72" s="11">
        <v>46053</v>
      </c>
      <c r="B72" s="5" t="s">
        <v>972</v>
      </c>
      <c r="C72" s="3" t="s">
        <v>213</v>
      </c>
      <c r="D72" s="5" t="s">
        <v>115</v>
      </c>
      <c r="E72" s="5" t="s">
        <v>112</v>
      </c>
      <c r="F72" s="6" t="s">
        <v>242</v>
      </c>
      <c r="G72" s="4" t="s">
        <v>1</v>
      </c>
      <c r="H72" s="25">
        <v>26.666666670000001</v>
      </c>
      <c r="I72" s="8">
        <v>-11540</v>
      </c>
      <c r="J72" s="9">
        <v>16585</v>
      </c>
      <c r="K72" s="7">
        <v>28125</v>
      </c>
      <c r="L72" s="24">
        <f>+Tabla2[[#This Row],[Stock Inventario]]*Tabla2[[#This Row],[Coste LÃ­nea]]</f>
        <v>442266.66672195005</v>
      </c>
      <c r="M72" s="24">
        <f>+Tabla2[[#This Row],[Variación Stock]]*Tabla2[[#This Row],[Coste LÃ­nea]]</f>
        <v>750000.00009375007</v>
      </c>
      <c r="N72" s="22" t="str">
        <f>+IF(Tabla2[[#This Row],[Variación Stock]]&gt;0,"Sobrante",IF(Tabla2[[#This Row],[Variación Stock]]&lt;0,"Faltante","Sin novedad"))</f>
        <v>Sobrante</v>
      </c>
    </row>
    <row r="73" spans="1:14" hidden="1" x14ac:dyDescent="0.25">
      <c r="A73" s="11">
        <v>46037</v>
      </c>
      <c r="B73" s="5" t="s">
        <v>212</v>
      </c>
      <c r="C73" s="3" t="s">
        <v>213</v>
      </c>
      <c r="D73" s="5" t="s">
        <v>116</v>
      </c>
      <c r="E73" s="5" t="s">
        <v>117</v>
      </c>
      <c r="F73" s="6" t="s">
        <v>253</v>
      </c>
      <c r="G73" s="4" t="s">
        <v>1</v>
      </c>
      <c r="H73" s="24">
        <v>28.002673519999998</v>
      </c>
      <c r="I73" s="8">
        <v>-475</v>
      </c>
      <c r="J73" s="9">
        <v>0</v>
      </c>
      <c r="K73" s="7">
        <v>475</v>
      </c>
      <c r="L73" s="24">
        <f>+Tabla2[[#This Row],[Stock Inventario]]*Tabla2[[#This Row],[Coste LÃ­nea]]</f>
        <v>0</v>
      </c>
      <c r="M73" s="24">
        <f>+Tabla2[[#This Row],[Variación Stock]]*Tabla2[[#This Row],[Coste LÃ­nea]]</f>
        <v>13301.269921999999</v>
      </c>
      <c r="N73" s="22" t="str">
        <f>+IF(Tabla2[[#This Row],[Variación Stock]]&gt;0,"Sobrante",IF(Tabla2[[#This Row],[Variación Stock]]&lt;0,"Faltante","Sin novedad"))</f>
        <v>Sobrante</v>
      </c>
    </row>
    <row r="74" spans="1:14" x14ac:dyDescent="0.25">
      <c r="A74" s="11">
        <v>46037</v>
      </c>
      <c r="B74" s="5" t="s">
        <v>212</v>
      </c>
      <c r="C74" s="3" t="s">
        <v>213</v>
      </c>
      <c r="D74" s="5" t="s">
        <v>115</v>
      </c>
      <c r="E74" s="5" t="s">
        <v>112</v>
      </c>
      <c r="F74" s="13" t="s">
        <v>243</v>
      </c>
      <c r="G74" s="14" t="s">
        <v>1</v>
      </c>
      <c r="H74" s="24">
        <v>1.02707722</v>
      </c>
      <c r="I74" s="8">
        <v>368175</v>
      </c>
      <c r="J74" s="9">
        <v>25105</v>
      </c>
      <c r="K74" s="15">
        <v>-343070</v>
      </c>
      <c r="L74" s="24">
        <f>+Tabla2[[#This Row],[Stock Inventario]]*Tabla2[[#This Row],[Coste LÃ­nea]]</f>
        <v>25784.7736081</v>
      </c>
      <c r="M74" s="24">
        <f>+Tabla2[[#This Row],[Variación Stock]]*Tabla2[[#This Row],[Coste LÃ­nea]]</f>
        <v>-352359.38186540001</v>
      </c>
      <c r="N74" s="22" t="str">
        <f>+IF(Tabla2[[#This Row],[Variación Stock]]&gt;0,"Sobrante",IF(Tabla2[[#This Row],[Variación Stock]]&lt;0,"Faltante","Sin novedad"))</f>
        <v>Faltante</v>
      </c>
    </row>
    <row r="75" spans="1:14" hidden="1" x14ac:dyDescent="0.25">
      <c r="A75" s="11">
        <v>46044</v>
      </c>
      <c r="B75" s="5" t="s">
        <v>383</v>
      </c>
      <c r="C75" s="3" t="s">
        <v>213</v>
      </c>
      <c r="D75" s="5" t="s">
        <v>119</v>
      </c>
      <c r="E75" s="5" t="s">
        <v>117</v>
      </c>
      <c r="F75" s="6" t="s">
        <v>9</v>
      </c>
      <c r="G75" s="4" t="s">
        <v>2</v>
      </c>
      <c r="H75" s="25">
        <v>485.71428571000001</v>
      </c>
      <c r="I75" s="8">
        <v>208</v>
      </c>
      <c r="J75" s="9">
        <v>205</v>
      </c>
      <c r="K75" s="7">
        <v>-3</v>
      </c>
      <c r="L75" s="24">
        <f>+Tabla2[[#This Row],[Stock Inventario]]*Tabla2[[#This Row],[Coste LÃ­nea]]</f>
        <v>99571.428570550008</v>
      </c>
      <c r="M75" s="24">
        <f>+Tabla2[[#This Row],[Variación Stock]]*Tabla2[[#This Row],[Coste LÃ­nea]]</f>
        <v>-1457.14285713</v>
      </c>
      <c r="N75" s="22" t="str">
        <f>+IF(Tabla2[[#This Row],[Variación Stock]]&gt;0,"Sobrante",IF(Tabla2[[#This Row],[Variación Stock]]&lt;0,"Faltante","Sin novedad"))</f>
        <v>Faltante</v>
      </c>
    </row>
    <row r="76" spans="1:14" x14ac:dyDescent="0.25">
      <c r="A76" s="11">
        <v>46044</v>
      </c>
      <c r="B76" s="5" t="s">
        <v>383</v>
      </c>
      <c r="C76" s="3" t="s">
        <v>213</v>
      </c>
      <c r="D76" s="5" t="s">
        <v>115</v>
      </c>
      <c r="E76" s="5" t="s">
        <v>112</v>
      </c>
      <c r="F76" s="6" t="s">
        <v>243</v>
      </c>
      <c r="G76" s="4" t="s">
        <v>1</v>
      </c>
      <c r="H76" s="25">
        <v>24.444444440000002</v>
      </c>
      <c r="I76" s="8">
        <v>22975</v>
      </c>
      <c r="J76" s="9">
        <v>22645</v>
      </c>
      <c r="K76" s="7">
        <v>-330</v>
      </c>
      <c r="L76" s="24">
        <f>+Tabla2[[#This Row],[Stock Inventario]]*Tabla2[[#This Row],[Coste LÃ­nea]]</f>
        <v>553544.44434380007</v>
      </c>
      <c r="M76" s="24">
        <f>+Tabla2[[#This Row],[Variación Stock]]*Tabla2[[#This Row],[Coste LÃ­nea]]</f>
        <v>-8066.6666652000004</v>
      </c>
      <c r="N76" s="22" t="str">
        <f>+IF(Tabla2[[#This Row],[Variación Stock]]&gt;0,"Sobrante",IF(Tabla2[[#This Row],[Variación Stock]]&lt;0,"Faltante","Sin novedad"))</f>
        <v>Faltante</v>
      </c>
    </row>
    <row r="77" spans="1:14" x14ac:dyDescent="0.25">
      <c r="A77" s="11">
        <v>46053</v>
      </c>
      <c r="B77" s="5" t="s">
        <v>972</v>
      </c>
      <c r="C77" s="3" t="s">
        <v>213</v>
      </c>
      <c r="D77" s="5" t="s">
        <v>115</v>
      </c>
      <c r="E77" s="5" t="s">
        <v>112</v>
      </c>
      <c r="F77" s="6" t="s">
        <v>243</v>
      </c>
      <c r="G77" s="4" t="s">
        <v>1</v>
      </c>
      <c r="H77" s="25">
        <v>24.444444440000002</v>
      </c>
      <c r="I77" s="8">
        <v>8185</v>
      </c>
      <c r="J77" s="9">
        <v>6800</v>
      </c>
      <c r="K77" s="7">
        <v>-1385</v>
      </c>
      <c r="L77" s="24">
        <f>+Tabla2[[#This Row],[Stock Inventario]]*Tabla2[[#This Row],[Coste LÃ­nea]]</f>
        <v>166222.22219200002</v>
      </c>
      <c r="M77" s="24">
        <f>+Tabla2[[#This Row],[Variación Stock]]*Tabla2[[#This Row],[Coste LÃ­nea]]</f>
        <v>-33855.5555494</v>
      </c>
      <c r="N77" s="22" t="str">
        <f>+IF(Tabla2[[#This Row],[Variación Stock]]&gt;0,"Sobrante",IF(Tabla2[[#This Row],[Variación Stock]]&lt;0,"Faltante","Sin novedad"))</f>
        <v>Faltante</v>
      </c>
    </row>
    <row r="78" spans="1:14" x14ac:dyDescent="0.25">
      <c r="A78" s="11">
        <v>46037</v>
      </c>
      <c r="B78" s="5" t="s">
        <v>212</v>
      </c>
      <c r="C78" s="3" t="s">
        <v>213</v>
      </c>
      <c r="D78" s="5" t="s">
        <v>115</v>
      </c>
      <c r="E78" s="5" t="s">
        <v>112</v>
      </c>
      <c r="F78" s="13" t="s">
        <v>244</v>
      </c>
      <c r="G78" s="14" t="s">
        <v>1</v>
      </c>
      <c r="H78" s="24">
        <v>1.02707722</v>
      </c>
      <c r="I78" s="8">
        <v>369880</v>
      </c>
      <c r="J78" s="9">
        <v>9380</v>
      </c>
      <c r="K78" s="15">
        <v>-360500</v>
      </c>
      <c r="L78" s="24">
        <f>+Tabla2[[#This Row],[Stock Inventario]]*Tabla2[[#This Row],[Coste LÃ­nea]]</f>
        <v>9633.9843235999997</v>
      </c>
      <c r="M78" s="24">
        <f>+Tabla2[[#This Row],[Variación Stock]]*Tabla2[[#This Row],[Coste LÃ­nea]]</f>
        <v>-370261.33781</v>
      </c>
      <c r="N78" s="22" t="str">
        <f>+IF(Tabla2[[#This Row],[Variación Stock]]&gt;0,"Sobrante",IF(Tabla2[[#This Row],[Variación Stock]]&lt;0,"Faltante","Sin novedad"))</f>
        <v>Faltante</v>
      </c>
    </row>
    <row r="79" spans="1:14" x14ac:dyDescent="0.25">
      <c r="A79" s="11">
        <v>46044</v>
      </c>
      <c r="B79" s="5" t="s">
        <v>383</v>
      </c>
      <c r="C79" s="3" t="s">
        <v>213</v>
      </c>
      <c r="D79" s="5" t="s">
        <v>115</v>
      </c>
      <c r="E79" s="5" t="s">
        <v>112</v>
      </c>
      <c r="F79" s="6" t="s">
        <v>244</v>
      </c>
      <c r="G79" s="4" t="s">
        <v>1</v>
      </c>
      <c r="H79" s="25">
        <v>24.444444440000002</v>
      </c>
      <c r="I79" s="8">
        <v>6500</v>
      </c>
      <c r="J79" s="9">
        <v>32895</v>
      </c>
      <c r="K79" s="7">
        <v>26395</v>
      </c>
      <c r="L79" s="24">
        <f>+Tabla2[[#This Row],[Stock Inventario]]*Tabla2[[#This Row],[Coste LÃ­nea]]</f>
        <v>804099.99985380005</v>
      </c>
      <c r="M79" s="24">
        <f>+Tabla2[[#This Row],[Variación Stock]]*Tabla2[[#This Row],[Coste LÃ­nea]]</f>
        <v>645211.11099379999</v>
      </c>
      <c r="N79" s="22" t="str">
        <f>+IF(Tabla2[[#This Row],[Variación Stock]]&gt;0,"Sobrante",IF(Tabla2[[#This Row],[Variación Stock]]&lt;0,"Faltante","Sin novedad"))</f>
        <v>Sobrante</v>
      </c>
    </row>
    <row r="80" spans="1:14" x14ac:dyDescent="0.25">
      <c r="A80" s="11">
        <v>46053</v>
      </c>
      <c r="B80" s="5" t="s">
        <v>972</v>
      </c>
      <c r="C80" s="3" t="s">
        <v>213</v>
      </c>
      <c r="D80" s="5" t="s">
        <v>115</v>
      </c>
      <c r="E80" s="5" t="s">
        <v>112</v>
      </c>
      <c r="F80" s="6" t="s">
        <v>244</v>
      </c>
      <c r="G80" s="4" t="s">
        <v>1</v>
      </c>
      <c r="H80" s="25">
        <v>26.666666670000001</v>
      </c>
      <c r="I80" s="8">
        <v>43995</v>
      </c>
      <c r="J80" s="9">
        <v>18590</v>
      </c>
      <c r="K80" s="7">
        <v>-25405</v>
      </c>
      <c r="L80" s="24">
        <f>+Tabla2[[#This Row],[Stock Inventario]]*Tabla2[[#This Row],[Coste LÃ­nea]]</f>
        <v>495733.33339530003</v>
      </c>
      <c r="M80" s="24">
        <f>+Tabla2[[#This Row],[Variación Stock]]*Tabla2[[#This Row],[Coste LÃ­nea]]</f>
        <v>-677466.66675135004</v>
      </c>
      <c r="N80" s="22" t="str">
        <f>+IF(Tabla2[[#This Row],[Variación Stock]]&gt;0,"Sobrante",IF(Tabla2[[#This Row],[Variación Stock]]&lt;0,"Faltante","Sin novedad"))</f>
        <v>Faltante</v>
      </c>
    </row>
    <row r="81" spans="1:14" x14ac:dyDescent="0.25">
      <c r="A81" s="11">
        <v>46037</v>
      </c>
      <c r="B81" s="5" t="s">
        <v>212</v>
      </c>
      <c r="C81" s="3" t="s">
        <v>213</v>
      </c>
      <c r="D81" s="5" t="s">
        <v>115</v>
      </c>
      <c r="E81" s="5" t="s">
        <v>112</v>
      </c>
      <c r="F81" s="6" t="s">
        <v>235</v>
      </c>
      <c r="G81" s="4" t="s">
        <v>1</v>
      </c>
      <c r="H81" s="24">
        <v>0</v>
      </c>
      <c r="I81" s="8">
        <v>0</v>
      </c>
      <c r="J81" s="9">
        <v>0</v>
      </c>
      <c r="K81" s="7">
        <v>0</v>
      </c>
      <c r="L81" s="24">
        <f>+Tabla2[[#This Row],[Stock Inventario]]*Tabla2[[#This Row],[Coste LÃ­nea]]</f>
        <v>0</v>
      </c>
      <c r="M81" s="24">
        <f>+Tabla2[[#This Row],[Variación Stock]]*Tabla2[[#This Row],[Coste LÃ­nea]]</f>
        <v>0</v>
      </c>
      <c r="N81" s="22" t="str">
        <f>+IF(Tabla2[[#This Row],[Variación Stock]]&gt;0,"Sobrante",IF(Tabla2[[#This Row],[Variación Stock]]&lt;0,"Faltante","Sin novedad"))</f>
        <v>Sin novedad</v>
      </c>
    </row>
    <row r="82" spans="1:14" x14ac:dyDescent="0.25">
      <c r="A82" s="11">
        <v>46044</v>
      </c>
      <c r="B82" s="5" t="s">
        <v>383</v>
      </c>
      <c r="C82" s="3" t="s">
        <v>213</v>
      </c>
      <c r="D82" s="5" t="s">
        <v>115</v>
      </c>
      <c r="E82" s="5" t="s">
        <v>112</v>
      </c>
      <c r="F82" s="6" t="s">
        <v>235</v>
      </c>
      <c r="G82" s="4" t="s">
        <v>1</v>
      </c>
      <c r="H82" s="25">
        <v>0</v>
      </c>
      <c r="I82" s="8">
        <v>0</v>
      </c>
      <c r="J82" s="9">
        <v>0</v>
      </c>
      <c r="K82" s="7">
        <v>0</v>
      </c>
      <c r="L82" s="24">
        <f>+Tabla2[[#This Row],[Stock Inventario]]*Tabla2[[#This Row],[Coste LÃ­nea]]</f>
        <v>0</v>
      </c>
      <c r="M82" s="24">
        <f>+Tabla2[[#This Row],[Variación Stock]]*Tabla2[[#This Row],[Coste LÃ­nea]]</f>
        <v>0</v>
      </c>
      <c r="N82" s="22" t="str">
        <f>+IF(Tabla2[[#This Row],[Variación Stock]]&gt;0,"Sobrante",IF(Tabla2[[#This Row],[Variación Stock]]&lt;0,"Faltante","Sin novedad"))</f>
        <v>Sin novedad</v>
      </c>
    </row>
    <row r="83" spans="1:14" x14ac:dyDescent="0.25">
      <c r="A83" s="11">
        <v>46053</v>
      </c>
      <c r="B83" s="5" t="s">
        <v>972</v>
      </c>
      <c r="C83" s="3" t="s">
        <v>213</v>
      </c>
      <c r="D83" s="5" t="s">
        <v>115</v>
      </c>
      <c r="E83" s="5" t="s">
        <v>112</v>
      </c>
      <c r="F83" s="6" t="s">
        <v>235</v>
      </c>
      <c r="G83" s="4" t="s">
        <v>1</v>
      </c>
      <c r="H83" s="25">
        <v>26.666666670000001</v>
      </c>
      <c r="I83" s="8">
        <v>0</v>
      </c>
      <c r="J83" s="9">
        <v>0</v>
      </c>
      <c r="K83" s="7">
        <v>0</v>
      </c>
      <c r="L83" s="24">
        <f>+Tabla2[[#This Row],[Stock Inventario]]*Tabla2[[#This Row],[Coste LÃ­nea]]</f>
        <v>0</v>
      </c>
      <c r="M83" s="24">
        <f>+Tabla2[[#This Row],[Variación Stock]]*Tabla2[[#This Row],[Coste LÃ­nea]]</f>
        <v>0</v>
      </c>
      <c r="N83" s="22" t="str">
        <f>+IF(Tabla2[[#This Row],[Variación Stock]]&gt;0,"Sobrante",IF(Tabla2[[#This Row],[Variación Stock]]&lt;0,"Faltante","Sin novedad"))</f>
        <v>Sin novedad</v>
      </c>
    </row>
    <row r="84" spans="1:14" x14ac:dyDescent="0.25">
      <c r="A84" s="11">
        <v>46053</v>
      </c>
      <c r="B84" s="5" t="s">
        <v>972</v>
      </c>
      <c r="C84" s="3" t="s">
        <v>213</v>
      </c>
      <c r="D84" s="5" t="s">
        <v>603</v>
      </c>
      <c r="E84" s="5" t="s">
        <v>112</v>
      </c>
      <c r="F84" s="6" t="s">
        <v>1023</v>
      </c>
      <c r="G84" s="4" t="s">
        <v>1</v>
      </c>
      <c r="H84" s="25">
        <v>30.355499999999999</v>
      </c>
      <c r="I84" s="8">
        <v>39000</v>
      </c>
      <c r="J84" s="9">
        <v>3415</v>
      </c>
      <c r="K84" s="7">
        <v>-35585</v>
      </c>
      <c r="L84" s="24">
        <f>+Tabla2[[#This Row],[Stock Inventario]]*Tabla2[[#This Row],[Coste LÃ­nea]]</f>
        <v>103664.0325</v>
      </c>
      <c r="M84" s="24">
        <f>+Tabla2[[#This Row],[Variación Stock]]*Tabla2[[#This Row],[Coste LÃ­nea]]</f>
        <v>-1080200.4675</v>
      </c>
      <c r="N84" s="22" t="str">
        <f>+IF(Tabla2[[#This Row],[Variación Stock]]&gt;0,"Sobrante",IF(Tabla2[[#This Row],[Variación Stock]]&lt;0,"Faltante","Sin novedad"))</f>
        <v>Faltante</v>
      </c>
    </row>
    <row r="85" spans="1:14" x14ac:dyDescent="0.25">
      <c r="A85" s="11">
        <v>46037</v>
      </c>
      <c r="B85" s="5" t="s">
        <v>212</v>
      </c>
      <c r="C85" s="3" t="s">
        <v>213</v>
      </c>
      <c r="D85" s="5" t="s">
        <v>111</v>
      </c>
      <c r="E85" s="5" t="s">
        <v>112</v>
      </c>
      <c r="F85" s="6" t="s">
        <v>214</v>
      </c>
      <c r="G85" s="4" t="s">
        <v>0</v>
      </c>
      <c r="H85" s="24">
        <v>0</v>
      </c>
      <c r="I85" s="8">
        <v>-0.5</v>
      </c>
      <c r="J85" s="9">
        <v>0</v>
      </c>
      <c r="K85" s="7">
        <v>0.5</v>
      </c>
      <c r="L85" s="24">
        <f>+Tabla2[[#This Row],[Stock Inventario]]*Tabla2[[#This Row],[Coste LÃ­nea]]</f>
        <v>0</v>
      </c>
      <c r="M85" s="24">
        <f>+Tabla2[[#This Row],[Variación Stock]]*Tabla2[[#This Row],[Coste LÃ­nea]]</f>
        <v>0</v>
      </c>
      <c r="N85" s="22" t="str">
        <f>+IF(Tabla2[[#This Row],[Variación Stock]]&gt;0,"Sobrante",IF(Tabla2[[#This Row],[Variación Stock]]&lt;0,"Faltante","Sin novedad"))</f>
        <v>Sobrante</v>
      </c>
    </row>
    <row r="86" spans="1:14" x14ac:dyDescent="0.25">
      <c r="A86" s="11">
        <v>46044</v>
      </c>
      <c r="B86" s="5" t="s">
        <v>383</v>
      </c>
      <c r="C86" s="3" t="s">
        <v>213</v>
      </c>
      <c r="D86" s="5" t="s">
        <v>111</v>
      </c>
      <c r="E86" s="5" t="s">
        <v>112</v>
      </c>
      <c r="F86" s="6" t="s">
        <v>214</v>
      </c>
      <c r="G86" s="4" t="s">
        <v>0</v>
      </c>
      <c r="H86" s="25">
        <v>0</v>
      </c>
      <c r="I86" s="8">
        <v>0</v>
      </c>
      <c r="J86" s="9">
        <v>0</v>
      </c>
      <c r="K86" s="7">
        <v>0</v>
      </c>
      <c r="L86" s="24">
        <f>+Tabla2[[#This Row],[Stock Inventario]]*Tabla2[[#This Row],[Coste LÃ­nea]]</f>
        <v>0</v>
      </c>
      <c r="M86" s="24">
        <f>+Tabla2[[#This Row],[Variación Stock]]*Tabla2[[#This Row],[Coste LÃ­nea]]</f>
        <v>0</v>
      </c>
      <c r="N86" s="22" t="str">
        <f>+IF(Tabla2[[#This Row],[Variación Stock]]&gt;0,"Sobrante",IF(Tabla2[[#This Row],[Variación Stock]]&lt;0,"Faltante","Sin novedad"))</f>
        <v>Sin novedad</v>
      </c>
    </row>
    <row r="87" spans="1:14" x14ac:dyDescent="0.25">
      <c r="A87" s="11">
        <v>46053</v>
      </c>
      <c r="B87" s="5" t="s">
        <v>972</v>
      </c>
      <c r="C87" s="3" t="s">
        <v>213</v>
      </c>
      <c r="D87" s="5" t="s">
        <v>111</v>
      </c>
      <c r="E87" s="5" t="s">
        <v>112</v>
      </c>
      <c r="F87" s="6" t="s">
        <v>214</v>
      </c>
      <c r="G87" s="4" t="s">
        <v>0</v>
      </c>
      <c r="H87" s="25">
        <v>1700</v>
      </c>
      <c r="I87" s="8">
        <v>0</v>
      </c>
      <c r="J87" s="9">
        <v>0</v>
      </c>
      <c r="K87" s="7">
        <v>0</v>
      </c>
      <c r="L87" s="24">
        <f>+Tabla2[[#This Row],[Stock Inventario]]*Tabla2[[#This Row],[Coste LÃ­nea]]</f>
        <v>0</v>
      </c>
      <c r="M87" s="24">
        <f>+Tabla2[[#This Row],[Variación Stock]]*Tabla2[[#This Row],[Coste LÃ­nea]]</f>
        <v>0</v>
      </c>
      <c r="N87" s="22" t="str">
        <f>+IF(Tabla2[[#This Row],[Variación Stock]]&gt;0,"Sobrante",IF(Tabla2[[#This Row],[Variación Stock]]&lt;0,"Faltante","Sin novedad"))</f>
        <v>Sin novedad</v>
      </c>
    </row>
    <row r="88" spans="1:14" x14ac:dyDescent="0.25">
      <c r="A88" s="11">
        <v>46037</v>
      </c>
      <c r="B88" s="5" t="s">
        <v>212</v>
      </c>
      <c r="C88" s="3" t="s">
        <v>213</v>
      </c>
      <c r="D88" s="5" t="s">
        <v>111</v>
      </c>
      <c r="E88" s="5" t="s">
        <v>112</v>
      </c>
      <c r="F88" s="6" t="s">
        <v>17</v>
      </c>
      <c r="G88" s="4" t="s">
        <v>0</v>
      </c>
      <c r="H88" s="24">
        <v>14896.95833333</v>
      </c>
      <c r="I88" s="8">
        <v>48</v>
      </c>
      <c r="J88" s="9">
        <v>48</v>
      </c>
      <c r="K88" s="7">
        <v>0</v>
      </c>
      <c r="L88" s="24">
        <f>+Tabla2[[#This Row],[Stock Inventario]]*Tabla2[[#This Row],[Coste LÃ­nea]]</f>
        <v>715053.99999984005</v>
      </c>
      <c r="M88" s="24">
        <f>+Tabla2[[#This Row],[Variación Stock]]*Tabla2[[#This Row],[Coste LÃ­nea]]</f>
        <v>0</v>
      </c>
      <c r="N88" s="22" t="str">
        <f>+IF(Tabla2[[#This Row],[Variación Stock]]&gt;0,"Sobrante",IF(Tabla2[[#This Row],[Variación Stock]]&lt;0,"Faltante","Sin novedad"))</f>
        <v>Sin novedad</v>
      </c>
    </row>
    <row r="89" spans="1:14" x14ac:dyDescent="0.25">
      <c r="A89" s="11">
        <v>46044</v>
      </c>
      <c r="B89" s="5" t="s">
        <v>383</v>
      </c>
      <c r="C89" s="3" t="s">
        <v>213</v>
      </c>
      <c r="D89" s="5" t="s">
        <v>111</v>
      </c>
      <c r="E89" s="5" t="s">
        <v>112</v>
      </c>
      <c r="F89" s="6" t="s">
        <v>17</v>
      </c>
      <c r="G89" s="4" t="s">
        <v>0</v>
      </c>
      <c r="H89" s="25">
        <v>14896.95833333</v>
      </c>
      <c r="I89" s="8">
        <v>48</v>
      </c>
      <c r="J89" s="9">
        <v>49.7</v>
      </c>
      <c r="K89" s="7">
        <v>1.7</v>
      </c>
      <c r="L89" s="24">
        <f>+Tabla2[[#This Row],[Stock Inventario]]*Tabla2[[#This Row],[Coste LÃ­nea]]</f>
        <v>740378.82916650106</v>
      </c>
      <c r="M89" s="24">
        <f>+Tabla2[[#This Row],[Variación Stock]]*Tabla2[[#This Row],[Coste LÃ­nea]]</f>
        <v>25324.829166660998</v>
      </c>
      <c r="N89" s="22" t="str">
        <f>+IF(Tabla2[[#This Row],[Variación Stock]]&gt;0,"Sobrante",IF(Tabla2[[#This Row],[Variación Stock]]&lt;0,"Faltante","Sin novedad"))</f>
        <v>Sobrante</v>
      </c>
    </row>
    <row r="90" spans="1:14" x14ac:dyDescent="0.25">
      <c r="A90" s="11">
        <v>46053</v>
      </c>
      <c r="B90" s="5" t="s">
        <v>972</v>
      </c>
      <c r="C90" s="3" t="s">
        <v>213</v>
      </c>
      <c r="D90" s="5" t="s">
        <v>111</v>
      </c>
      <c r="E90" s="5" t="s">
        <v>112</v>
      </c>
      <c r="F90" s="6" t="s">
        <v>17</v>
      </c>
      <c r="G90" s="4" t="s">
        <v>0</v>
      </c>
      <c r="H90" s="25">
        <v>14896.95833333</v>
      </c>
      <c r="I90" s="8">
        <v>49.7</v>
      </c>
      <c r="J90" s="9">
        <v>48</v>
      </c>
      <c r="K90" s="7">
        <v>-1.7</v>
      </c>
      <c r="L90" s="24">
        <f>+Tabla2[[#This Row],[Stock Inventario]]*Tabla2[[#This Row],[Coste LÃ­nea]]</f>
        <v>715053.99999984005</v>
      </c>
      <c r="M90" s="24">
        <f>+Tabla2[[#This Row],[Variación Stock]]*Tabla2[[#This Row],[Coste LÃ­nea]]</f>
        <v>-25324.829166660998</v>
      </c>
      <c r="N90" s="22" t="str">
        <f>+IF(Tabla2[[#This Row],[Variación Stock]]&gt;0,"Sobrante",IF(Tabla2[[#This Row],[Variación Stock]]&lt;0,"Faltante","Sin novedad"))</f>
        <v>Faltante</v>
      </c>
    </row>
    <row r="91" spans="1:14" hidden="1" x14ac:dyDescent="0.25">
      <c r="A91" s="11">
        <v>46044</v>
      </c>
      <c r="B91" s="5" t="s">
        <v>383</v>
      </c>
      <c r="C91" s="3" t="s">
        <v>213</v>
      </c>
      <c r="D91" s="5" t="s">
        <v>116</v>
      </c>
      <c r="E91" s="5" t="s">
        <v>117</v>
      </c>
      <c r="F91" s="6" t="s">
        <v>253</v>
      </c>
      <c r="G91" s="4" t="s">
        <v>1</v>
      </c>
      <c r="H91" s="25">
        <v>28.00198314</v>
      </c>
      <c r="I91" s="8">
        <v>10085</v>
      </c>
      <c r="J91" s="9">
        <v>10090</v>
      </c>
      <c r="K91" s="7">
        <v>5</v>
      </c>
      <c r="L91" s="24">
        <f>+Tabla2[[#This Row],[Stock Inventario]]*Tabla2[[#This Row],[Coste LÃ­nea]]</f>
        <v>282540.00988259999</v>
      </c>
      <c r="M91" s="24">
        <f>+Tabla2[[#This Row],[Variación Stock]]*Tabla2[[#This Row],[Coste LÃ­nea]]</f>
        <v>140.00991569999999</v>
      </c>
      <c r="N91" s="22" t="str">
        <f>+IF(Tabla2[[#This Row],[Variación Stock]]&gt;0,"Sobrante",IF(Tabla2[[#This Row],[Variación Stock]]&lt;0,"Faltante","Sin novedad"))</f>
        <v>Sobrante</v>
      </c>
    </row>
    <row r="92" spans="1:14" x14ac:dyDescent="0.25">
      <c r="A92" s="11">
        <v>46037</v>
      </c>
      <c r="B92" s="5" t="s">
        <v>212</v>
      </c>
      <c r="C92" s="3" t="s">
        <v>213</v>
      </c>
      <c r="D92" s="5" t="s">
        <v>111</v>
      </c>
      <c r="E92" s="5" t="s">
        <v>112</v>
      </c>
      <c r="F92" s="6" t="s">
        <v>18</v>
      </c>
      <c r="G92" s="4" t="s">
        <v>2</v>
      </c>
      <c r="H92" s="24">
        <v>86743</v>
      </c>
      <c r="I92" s="8">
        <v>4</v>
      </c>
      <c r="J92" s="9">
        <v>4</v>
      </c>
      <c r="K92" s="7">
        <v>0</v>
      </c>
      <c r="L92" s="24">
        <f>+Tabla2[[#This Row],[Stock Inventario]]*Tabla2[[#This Row],[Coste LÃ­nea]]</f>
        <v>346972</v>
      </c>
      <c r="M92" s="24">
        <f>+Tabla2[[#This Row],[Variación Stock]]*Tabla2[[#This Row],[Coste LÃ­nea]]</f>
        <v>0</v>
      </c>
      <c r="N92" s="22" t="str">
        <f>+IF(Tabla2[[#This Row],[Variación Stock]]&gt;0,"Sobrante",IF(Tabla2[[#This Row],[Variación Stock]]&lt;0,"Faltante","Sin novedad"))</f>
        <v>Sin novedad</v>
      </c>
    </row>
    <row r="93" spans="1:14" x14ac:dyDescent="0.25">
      <c r="A93" s="11">
        <v>46044</v>
      </c>
      <c r="B93" s="5" t="s">
        <v>383</v>
      </c>
      <c r="C93" s="3" t="s">
        <v>213</v>
      </c>
      <c r="D93" s="5" t="s">
        <v>111</v>
      </c>
      <c r="E93" s="5" t="s">
        <v>112</v>
      </c>
      <c r="F93" s="6" t="s">
        <v>18</v>
      </c>
      <c r="G93" s="4" t="s">
        <v>2</v>
      </c>
      <c r="H93" s="25">
        <v>100385</v>
      </c>
      <c r="I93" s="8">
        <v>4</v>
      </c>
      <c r="J93" s="9">
        <v>4</v>
      </c>
      <c r="K93" s="7">
        <v>0</v>
      </c>
      <c r="L93" s="24">
        <f>+Tabla2[[#This Row],[Stock Inventario]]*Tabla2[[#This Row],[Coste LÃ­nea]]</f>
        <v>401540</v>
      </c>
      <c r="M93" s="24">
        <f>+Tabla2[[#This Row],[Variación Stock]]*Tabla2[[#This Row],[Coste LÃ­nea]]</f>
        <v>0</v>
      </c>
      <c r="N93" s="22" t="str">
        <f>+IF(Tabla2[[#This Row],[Variación Stock]]&gt;0,"Sobrante",IF(Tabla2[[#This Row],[Variación Stock]]&lt;0,"Faltante","Sin novedad"))</f>
        <v>Sin novedad</v>
      </c>
    </row>
    <row r="94" spans="1:14" x14ac:dyDescent="0.25">
      <c r="A94" s="11">
        <v>46053</v>
      </c>
      <c r="B94" s="5" t="s">
        <v>972</v>
      </c>
      <c r="C94" s="3" t="s">
        <v>213</v>
      </c>
      <c r="D94" s="5" t="s">
        <v>111</v>
      </c>
      <c r="E94" s="5" t="s">
        <v>112</v>
      </c>
      <c r="F94" s="6" t="s">
        <v>18</v>
      </c>
      <c r="G94" s="4" t="s">
        <v>2</v>
      </c>
      <c r="H94" s="25">
        <v>100385</v>
      </c>
      <c r="I94" s="8">
        <v>2</v>
      </c>
      <c r="J94" s="9">
        <v>2</v>
      </c>
      <c r="K94" s="7">
        <v>0</v>
      </c>
      <c r="L94" s="24">
        <f>+Tabla2[[#This Row],[Stock Inventario]]*Tabla2[[#This Row],[Coste LÃ­nea]]</f>
        <v>200770</v>
      </c>
      <c r="M94" s="24">
        <f>+Tabla2[[#This Row],[Variación Stock]]*Tabla2[[#This Row],[Coste LÃ­nea]]</f>
        <v>0</v>
      </c>
      <c r="N94" s="22" t="str">
        <f>+IF(Tabla2[[#This Row],[Variación Stock]]&gt;0,"Sobrante",IF(Tabla2[[#This Row],[Variación Stock]]&lt;0,"Faltante","Sin novedad"))</f>
        <v>Sin novedad</v>
      </c>
    </row>
    <row r="95" spans="1:14" x14ac:dyDescent="0.25">
      <c r="A95" s="11">
        <v>46037</v>
      </c>
      <c r="B95" s="5" t="s">
        <v>212</v>
      </c>
      <c r="C95" s="3" t="s">
        <v>213</v>
      </c>
      <c r="D95" s="5" t="s">
        <v>111</v>
      </c>
      <c r="E95" s="5" t="s">
        <v>112</v>
      </c>
      <c r="F95" s="6" t="s">
        <v>19</v>
      </c>
      <c r="G95" s="4" t="s">
        <v>0</v>
      </c>
      <c r="H95" s="24">
        <v>6333.3333333299997</v>
      </c>
      <c r="I95" s="8">
        <v>37</v>
      </c>
      <c r="J95" s="9">
        <v>36</v>
      </c>
      <c r="K95" s="7">
        <v>-1</v>
      </c>
      <c r="L95" s="24">
        <f>+Tabla2[[#This Row],[Stock Inventario]]*Tabla2[[#This Row],[Coste LÃ­nea]]</f>
        <v>227999.99999987998</v>
      </c>
      <c r="M95" s="24">
        <f>+Tabla2[[#This Row],[Variación Stock]]*Tabla2[[#This Row],[Coste LÃ­nea]]</f>
        <v>-6333.3333333299997</v>
      </c>
      <c r="N95" s="22" t="str">
        <f>+IF(Tabla2[[#This Row],[Variación Stock]]&gt;0,"Sobrante",IF(Tabla2[[#This Row],[Variación Stock]]&lt;0,"Faltante","Sin novedad"))</f>
        <v>Faltante</v>
      </c>
    </row>
    <row r="96" spans="1:14" x14ac:dyDescent="0.25">
      <c r="A96" s="11">
        <v>46044</v>
      </c>
      <c r="B96" s="5" t="s">
        <v>383</v>
      </c>
      <c r="C96" s="3" t="s">
        <v>213</v>
      </c>
      <c r="D96" s="5" t="s">
        <v>111</v>
      </c>
      <c r="E96" s="5" t="s">
        <v>112</v>
      </c>
      <c r="F96" s="6" t="s">
        <v>19</v>
      </c>
      <c r="G96" s="4" t="s">
        <v>0</v>
      </c>
      <c r="H96" s="25">
        <v>6333.3333333299997</v>
      </c>
      <c r="I96" s="8">
        <v>36</v>
      </c>
      <c r="J96" s="9">
        <v>37</v>
      </c>
      <c r="K96" s="7">
        <v>1</v>
      </c>
      <c r="L96" s="24">
        <f>+Tabla2[[#This Row],[Stock Inventario]]*Tabla2[[#This Row],[Coste LÃ­nea]]</f>
        <v>234333.33333321</v>
      </c>
      <c r="M96" s="24">
        <f>+Tabla2[[#This Row],[Variación Stock]]*Tabla2[[#This Row],[Coste LÃ­nea]]</f>
        <v>6333.3333333299997</v>
      </c>
      <c r="N96" s="22" t="str">
        <f>+IF(Tabla2[[#This Row],[Variación Stock]]&gt;0,"Sobrante",IF(Tabla2[[#This Row],[Variación Stock]]&lt;0,"Faltante","Sin novedad"))</f>
        <v>Sobrante</v>
      </c>
    </row>
    <row r="97" spans="1:14" x14ac:dyDescent="0.25">
      <c r="A97" s="11">
        <v>46053</v>
      </c>
      <c r="B97" s="5" t="s">
        <v>972</v>
      </c>
      <c r="C97" s="3" t="s">
        <v>213</v>
      </c>
      <c r="D97" s="5" t="s">
        <v>111</v>
      </c>
      <c r="E97" s="5" t="s">
        <v>112</v>
      </c>
      <c r="F97" s="6" t="s">
        <v>19</v>
      </c>
      <c r="G97" s="4" t="s">
        <v>0</v>
      </c>
      <c r="H97" s="25">
        <v>6154.6666666700003</v>
      </c>
      <c r="I97" s="8">
        <v>33</v>
      </c>
      <c r="J97" s="9">
        <v>33</v>
      </c>
      <c r="K97" s="7">
        <v>0</v>
      </c>
      <c r="L97" s="24">
        <f>+Tabla2[[#This Row],[Stock Inventario]]*Tabla2[[#This Row],[Coste LÃ­nea]]</f>
        <v>203104.00000011001</v>
      </c>
      <c r="M97" s="24">
        <f>+Tabla2[[#This Row],[Variación Stock]]*Tabla2[[#This Row],[Coste LÃ­nea]]</f>
        <v>0</v>
      </c>
      <c r="N97" s="22" t="str">
        <f>+IF(Tabla2[[#This Row],[Variación Stock]]&gt;0,"Sobrante",IF(Tabla2[[#This Row],[Variación Stock]]&lt;0,"Faltante","Sin novedad"))</f>
        <v>Sin novedad</v>
      </c>
    </row>
    <row r="98" spans="1:14" x14ac:dyDescent="0.25">
      <c r="A98" s="11">
        <v>46037</v>
      </c>
      <c r="B98" s="5" t="s">
        <v>212</v>
      </c>
      <c r="C98" s="3" t="s">
        <v>213</v>
      </c>
      <c r="D98" s="5" t="s">
        <v>111</v>
      </c>
      <c r="E98" s="5" t="s">
        <v>112</v>
      </c>
      <c r="F98" s="6" t="s">
        <v>131</v>
      </c>
      <c r="G98" s="4" t="s">
        <v>0</v>
      </c>
      <c r="H98" s="24">
        <v>7147.1666666700003</v>
      </c>
      <c r="I98" s="8">
        <v>31</v>
      </c>
      <c r="J98" s="9">
        <v>46</v>
      </c>
      <c r="K98" s="7">
        <v>15</v>
      </c>
      <c r="L98" s="24">
        <f>+Tabla2[[#This Row],[Stock Inventario]]*Tabla2[[#This Row],[Coste LÃ­nea]]</f>
        <v>328769.66666682001</v>
      </c>
      <c r="M98" s="24">
        <f>+Tabla2[[#This Row],[Variación Stock]]*Tabla2[[#This Row],[Coste LÃ­nea]]</f>
        <v>107207.50000005</v>
      </c>
      <c r="N98" s="22" t="str">
        <f>+IF(Tabla2[[#This Row],[Variación Stock]]&gt;0,"Sobrante",IF(Tabla2[[#This Row],[Variación Stock]]&lt;0,"Faltante","Sin novedad"))</f>
        <v>Sobrante</v>
      </c>
    </row>
    <row r="99" spans="1:14" x14ac:dyDescent="0.25">
      <c r="A99" s="11">
        <v>46044</v>
      </c>
      <c r="B99" s="5" t="s">
        <v>383</v>
      </c>
      <c r="C99" s="3" t="s">
        <v>213</v>
      </c>
      <c r="D99" s="5" t="s">
        <v>111</v>
      </c>
      <c r="E99" s="5" t="s">
        <v>112</v>
      </c>
      <c r="F99" s="6" t="s">
        <v>131</v>
      </c>
      <c r="G99" s="4" t="s">
        <v>0</v>
      </c>
      <c r="H99" s="25">
        <v>7147.1666666700003</v>
      </c>
      <c r="I99" s="8">
        <v>46</v>
      </c>
      <c r="J99" s="9">
        <v>25.7</v>
      </c>
      <c r="K99" s="7">
        <v>-20.3</v>
      </c>
      <c r="L99" s="24">
        <f>+Tabla2[[#This Row],[Stock Inventario]]*Tabla2[[#This Row],[Coste LÃ­nea]]</f>
        <v>183682.183333419</v>
      </c>
      <c r="M99" s="24">
        <f>+Tabla2[[#This Row],[Variación Stock]]*Tabla2[[#This Row],[Coste LÃ­nea]]</f>
        <v>-145087.483333401</v>
      </c>
      <c r="N99" s="22" t="str">
        <f>+IF(Tabla2[[#This Row],[Variación Stock]]&gt;0,"Sobrante",IF(Tabla2[[#This Row],[Variación Stock]]&lt;0,"Faltante","Sin novedad"))</f>
        <v>Faltante</v>
      </c>
    </row>
    <row r="100" spans="1:14" x14ac:dyDescent="0.25">
      <c r="A100" s="11">
        <v>46053</v>
      </c>
      <c r="B100" s="5" t="s">
        <v>972</v>
      </c>
      <c r="C100" s="3" t="s">
        <v>213</v>
      </c>
      <c r="D100" s="5" t="s">
        <v>111</v>
      </c>
      <c r="E100" s="5" t="s">
        <v>112</v>
      </c>
      <c r="F100" s="6" t="s">
        <v>131</v>
      </c>
      <c r="G100" s="4" t="s">
        <v>0</v>
      </c>
      <c r="H100" s="25">
        <v>7147.1666666700003</v>
      </c>
      <c r="I100" s="8">
        <v>23.7</v>
      </c>
      <c r="J100" s="9">
        <v>30</v>
      </c>
      <c r="K100" s="7">
        <v>6.3</v>
      </c>
      <c r="L100" s="24">
        <f>+Tabla2[[#This Row],[Stock Inventario]]*Tabla2[[#This Row],[Coste LÃ­nea]]</f>
        <v>214415.0000001</v>
      </c>
      <c r="M100" s="24">
        <f>+Tabla2[[#This Row],[Variación Stock]]*Tabla2[[#This Row],[Coste LÃ­nea]]</f>
        <v>45027.150000021</v>
      </c>
      <c r="N100" s="22" t="str">
        <f>+IF(Tabla2[[#This Row],[Variación Stock]]&gt;0,"Sobrante",IF(Tabla2[[#This Row],[Variación Stock]]&lt;0,"Faltante","Sin novedad"))</f>
        <v>Sobrante</v>
      </c>
    </row>
    <row r="101" spans="1:14" x14ac:dyDescent="0.25">
      <c r="A101" s="11">
        <v>46044</v>
      </c>
      <c r="B101" s="5" t="s">
        <v>383</v>
      </c>
      <c r="C101" s="3" t="s">
        <v>213</v>
      </c>
      <c r="D101" s="5" t="s">
        <v>111</v>
      </c>
      <c r="E101" s="5" t="s">
        <v>112</v>
      </c>
      <c r="F101" s="6" t="s">
        <v>20</v>
      </c>
      <c r="G101" s="4" t="s">
        <v>0</v>
      </c>
      <c r="H101" s="25">
        <v>6839.9166666700003</v>
      </c>
      <c r="I101" s="8">
        <v>62</v>
      </c>
      <c r="J101" s="9">
        <v>63</v>
      </c>
      <c r="K101" s="7">
        <v>1</v>
      </c>
      <c r="L101" s="24">
        <f>+Tabla2[[#This Row],[Stock Inventario]]*Tabla2[[#This Row],[Coste LÃ­nea]]</f>
        <v>430914.75000021001</v>
      </c>
      <c r="M101" s="24">
        <f>+Tabla2[[#This Row],[Variación Stock]]*Tabla2[[#This Row],[Coste LÃ­nea]]</f>
        <v>6839.9166666700003</v>
      </c>
      <c r="N101" s="22" t="str">
        <f>+IF(Tabla2[[#This Row],[Variación Stock]]&gt;0,"Sobrante",IF(Tabla2[[#This Row],[Variación Stock]]&lt;0,"Faltante","Sin novedad"))</f>
        <v>Sobrante</v>
      </c>
    </row>
    <row r="102" spans="1:14" x14ac:dyDescent="0.25">
      <c r="A102" s="11">
        <v>46037</v>
      </c>
      <c r="B102" s="5" t="s">
        <v>212</v>
      </c>
      <c r="C102" s="3" t="s">
        <v>213</v>
      </c>
      <c r="D102" s="5" t="s">
        <v>111</v>
      </c>
      <c r="E102" s="5" t="s">
        <v>112</v>
      </c>
      <c r="F102" s="6" t="s">
        <v>20</v>
      </c>
      <c r="G102" s="4" t="s">
        <v>0</v>
      </c>
      <c r="H102" s="24">
        <v>6839.9166666700003</v>
      </c>
      <c r="I102" s="8">
        <v>70</v>
      </c>
      <c r="J102" s="9">
        <v>64</v>
      </c>
      <c r="K102" s="7">
        <v>-6</v>
      </c>
      <c r="L102" s="24">
        <f>+Tabla2[[#This Row],[Stock Inventario]]*Tabla2[[#This Row],[Coste LÃ­nea]]</f>
        <v>437754.66666688002</v>
      </c>
      <c r="M102" s="24">
        <f>+Tabla2[[#This Row],[Variación Stock]]*Tabla2[[#This Row],[Coste LÃ­nea]]</f>
        <v>-41039.500000020002</v>
      </c>
      <c r="N102" s="22" t="str">
        <f>+IF(Tabla2[[#This Row],[Variación Stock]]&gt;0,"Sobrante",IF(Tabla2[[#This Row],[Variación Stock]]&lt;0,"Faltante","Sin novedad"))</f>
        <v>Faltante</v>
      </c>
    </row>
    <row r="103" spans="1:14" x14ac:dyDescent="0.25">
      <c r="A103" s="11">
        <v>46053</v>
      </c>
      <c r="B103" s="5" t="s">
        <v>972</v>
      </c>
      <c r="C103" s="3" t="s">
        <v>213</v>
      </c>
      <c r="D103" s="5" t="s">
        <v>111</v>
      </c>
      <c r="E103" s="5" t="s">
        <v>112</v>
      </c>
      <c r="F103" s="6" t="s">
        <v>20</v>
      </c>
      <c r="G103" s="4" t="s">
        <v>0</v>
      </c>
      <c r="H103" s="25">
        <v>6839.9166666700003</v>
      </c>
      <c r="I103" s="8">
        <v>53.34</v>
      </c>
      <c r="J103" s="9">
        <v>55</v>
      </c>
      <c r="K103" s="7">
        <v>1.66</v>
      </c>
      <c r="L103" s="24">
        <f>+Tabla2[[#This Row],[Stock Inventario]]*Tabla2[[#This Row],[Coste LÃ­nea]]</f>
        <v>376195.41666685004</v>
      </c>
      <c r="M103" s="24">
        <f>+Tabla2[[#This Row],[Variación Stock]]*Tabla2[[#This Row],[Coste LÃ­nea]]</f>
        <v>11354.261666672201</v>
      </c>
      <c r="N103" s="22" t="str">
        <f>+IF(Tabla2[[#This Row],[Variación Stock]]&gt;0,"Sobrante",IF(Tabla2[[#This Row],[Variación Stock]]&lt;0,"Faltante","Sin novedad"))</f>
        <v>Sobrante</v>
      </c>
    </row>
    <row r="104" spans="1:14" x14ac:dyDescent="0.25">
      <c r="A104" s="11">
        <v>46044</v>
      </c>
      <c r="B104" s="5" t="s">
        <v>383</v>
      </c>
      <c r="C104" s="3" t="s">
        <v>213</v>
      </c>
      <c r="D104" s="5" t="s">
        <v>111</v>
      </c>
      <c r="E104" s="5" t="s">
        <v>112</v>
      </c>
      <c r="F104" s="6" t="s">
        <v>145</v>
      </c>
      <c r="G104" s="4" t="s">
        <v>0</v>
      </c>
      <c r="H104" s="25">
        <v>1500</v>
      </c>
      <c r="I104" s="8">
        <v>32</v>
      </c>
      <c r="J104" s="9">
        <v>28</v>
      </c>
      <c r="K104" s="7">
        <v>-4</v>
      </c>
      <c r="L104" s="24">
        <f>+Tabla2[[#This Row],[Stock Inventario]]*Tabla2[[#This Row],[Coste LÃ­nea]]</f>
        <v>42000</v>
      </c>
      <c r="M104" s="24">
        <f>+Tabla2[[#This Row],[Variación Stock]]*Tabla2[[#This Row],[Coste LÃ­nea]]</f>
        <v>-6000</v>
      </c>
      <c r="N104" s="22" t="str">
        <f>+IF(Tabla2[[#This Row],[Variación Stock]]&gt;0,"Sobrante",IF(Tabla2[[#This Row],[Variación Stock]]&lt;0,"Faltante","Sin novedad"))</f>
        <v>Faltante</v>
      </c>
    </row>
    <row r="105" spans="1:14" x14ac:dyDescent="0.25">
      <c r="A105" s="11">
        <v>46037</v>
      </c>
      <c r="B105" s="5" t="s">
        <v>212</v>
      </c>
      <c r="C105" s="3" t="s">
        <v>213</v>
      </c>
      <c r="D105" s="5" t="s">
        <v>111</v>
      </c>
      <c r="E105" s="5" t="s">
        <v>112</v>
      </c>
      <c r="F105" s="6" t="s">
        <v>145</v>
      </c>
      <c r="G105" s="4" t="s">
        <v>0</v>
      </c>
      <c r="H105" s="24">
        <v>1500</v>
      </c>
      <c r="I105" s="8">
        <v>32</v>
      </c>
      <c r="J105" s="9">
        <v>32</v>
      </c>
      <c r="K105" s="7">
        <v>0</v>
      </c>
      <c r="L105" s="24">
        <f>+Tabla2[[#This Row],[Stock Inventario]]*Tabla2[[#This Row],[Coste LÃ­nea]]</f>
        <v>48000</v>
      </c>
      <c r="M105" s="24">
        <f>+Tabla2[[#This Row],[Variación Stock]]*Tabla2[[#This Row],[Coste LÃ­nea]]</f>
        <v>0</v>
      </c>
      <c r="N105" s="22" t="str">
        <f>+IF(Tabla2[[#This Row],[Variación Stock]]&gt;0,"Sobrante",IF(Tabla2[[#This Row],[Variación Stock]]&lt;0,"Faltante","Sin novedad"))</f>
        <v>Sin novedad</v>
      </c>
    </row>
    <row r="106" spans="1:14" x14ac:dyDescent="0.25">
      <c r="A106" s="11">
        <v>46053</v>
      </c>
      <c r="B106" s="5" t="s">
        <v>972</v>
      </c>
      <c r="C106" s="3" t="s">
        <v>213</v>
      </c>
      <c r="D106" s="5" t="s">
        <v>111</v>
      </c>
      <c r="E106" s="5" t="s">
        <v>112</v>
      </c>
      <c r="F106" s="6" t="s">
        <v>145</v>
      </c>
      <c r="G106" s="4" t="s">
        <v>0</v>
      </c>
      <c r="H106" s="25">
        <v>1590.84375</v>
      </c>
      <c r="I106" s="8">
        <v>28</v>
      </c>
      <c r="J106" s="9">
        <v>29</v>
      </c>
      <c r="K106" s="7">
        <v>1</v>
      </c>
      <c r="L106" s="24">
        <f>+Tabla2[[#This Row],[Stock Inventario]]*Tabla2[[#This Row],[Coste LÃ­nea]]</f>
        <v>46134.46875</v>
      </c>
      <c r="M106" s="24">
        <f>+Tabla2[[#This Row],[Variación Stock]]*Tabla2[[#This Row],[Coste LÃ­nea]]</f>
        <v>1590.84375</v>
      </c>
      <c r="N106" s="22" t="str">
        <f>+IF(Tabla2[[#This Row],[Variación Stock]]&gt;0,"Sobrante",IF(Tabla2[[#This Row],[Variación Stock]]&lt;0,"Faltante","Sin novedad"))</f>
        <v>Sobrante</v>
      </c>
    </row>
    <row r="107" spans="1:14" x14ac:dyDescent="0.25">
      <c r="A107" s="11">
        <v>46053</v>
      </c>
      <c r="B107" s="5" t="s">
        <v>972</v>
      </c>
      <c r="C107" s="3" t="s">
        <v>213</v>
      </c>
      <c r="D107" s="5" t="s">
        <v>603</v>
      </c>
      <c r="E107" s="5" t="s">
        <v>112</v>
      </c>
      <c r="F107" s="6" t="s">
        <v>612</v>
      </c>
      <c r="G107" s="4" t="s">
        <v>1</v>
      </c>
      <c r="H107" s="25">
        <v>68.432671080000006</v>
      </c>
      <c r="I107" s="8">
        <v>4026.3332999999998</v>
      </c>
      <c r="J107" s="9">
        <v>4000</v>
      </c>
      <c r="K107" s="7">
        <v>-26.333333289999999</v>
      </c>
      <c r="L107" s="24">
        <f>+Tabla2[[#This Row],[Stock Inventario]]*Tabla2[[#This Row],[Coste LÃ­nea]]</f>
        <v>273730.68432</v>
      </c>
      <c r="M107" s="24">
        <f>+Tabla2[[#This Row],[Variación Stock]]*Tabla2[[#This Row],[Coste LÃ­nea]]</f>
        <v>-1802.0603354745842</v>
      </c>
      <c r="N107" s="22" t="str">
        <f>+IF(Tabla2[[#This Row],[Variación Stock]]&gt;0,"Sobrante",IF(Tabla2[[#This Row],[Variación Stock]]&lt;0,"Faltante","Sin novedad"))</f>
        <v>Faltante</v>
      </c>
    </row>
    <row r="108" spans="1:14" x14ac:dyDescent="0.25">
      <c r="A108" s="11">
        <v>46053</v>
      </c>
      <c r="B108" s="5" t="s">
        <v>972</v>
      </c>
      <c r="C108" s="3" t="s">
        <v>213</v>
      </c>
      <c r="D108" s="5" t="s">
        <v>603</v>
      </c>
      <c r="E108" s="5" t="s">
        <v>112</v>
      </c>
      <c r="F108" s="6" t="s">
        <v>605</v>
      </c>
      <c r="G108" s="4" t="s">
        <v>2</v>
      </c>
      <c r="H108" s="25">
        <v>1222.2222222222222</v>
      </c>
      <c r="I108" s="8">
        <v>47</v>
      </c>
      <c r="J108" s="9">
        <v>23</v>
      </c>
      <c r="K108" s="7">
        <v>-24</v>
      </c>
      <c r="L108" s="24">
        <f>+Tabla2[[#This Row],[Stock Inventario]]*Tabla2[[#This Row],[Coste LÃ­nea]]</f>
        <v>28111.111111111109</v>
      </c>
      <c r="M108" s="24">
        <f>+Tabla2[[#This Row],[Variación Stock]]*Tabla2[[#This Row],[Coste LÃ­nea]]</f>
        <v>-29333.333333333332</v>
      </c>
      <c r="N108" s="22" t="str">
        <f>+IF(Tabla2[[#This Row],[Variación Stock]]&gt;0,"Sobrante",IF(Tabla2[[#This Row],[Variación Stock]]&lt;0,"Faltante","Sin novedad"))</f>
        <v>Faltante</v>
      </c>
    </row>
    <row r="109" spans="1:14" x14ac:dyDescent="0.25">
      <c r="A109" s="11">
        <v>46037</v>
      </c>
      <c r="B109" s="5" t="s">
        <v>212</v>
      </c>
      <c r="C109" s="3" t="s">
        <v>213</v>
      </c>
      <c r="D109" s="5" t="s">
        <v>111</v>
      </c>
      <c r="E109" s="5" t="s">
        <v>112</v>
      </c>
      <c r="F109" s="6" t="s">
        <v>37</v>
      </c>
      <c r="G109" s="4" t="s">
        <v>0</v>
      </c>
      <c r="H109" s="24">
        <v>4469.0833333299997</v>
      </c>
      <c r="I109" s="8">
        <v>28</v>
      </c>
      <c r="J109" s="9">
        <v>28</v>
      </c>
      <c r="K109" s="7">
        <v>0</v>
      </c>
      <c r="L109" s="24">
        <f>+Tabla2[[#This Row],[Stock Inventario]]*Tabla2[[#This Row],[Coste LÃ­nea]]</f>
        <v>125134.33333323999</v>
      </c>
      <c r="M109" s="24">
        <f>+Tabla2[[#This Row],[Variación Stock]]*Tabla2[[#This Row],[Coste LÃ­nea]]</f>
        <v>0</v>
      </c>
      <c r="N109" s="22" t="str">
        <f>+IF(Tabla2[[#This Row],[Variación Stock]]&gt;0,"Sobrante",IF(Tabla2[[#This Row],[Variación Stock]]&lt;0,"Faltante","Sin novedad"))</f>
        <v>Sin novedad</v>
      </c>
    </row>
    <row r="110" spans="1:14" x14ac:dyDescent="0.25">
      <c r="A110" s="11">
        <v>46044</v>
      </c>
      <c r="B110" s="5" t="s">
        <v>383</v>
      </c>
      <c r="C110" s="3" t="s">
        <v>213</v>
      </c>
      <c r="D110" s="5" t="s">
        <v>111</v>
      </c>
      <c r="E110" s="5" t="s">
        <v>112</v>
      </c>
      <c r="F110" s="6" t="s">
        <v>37</v>
      </c>
      <c r="G110" s="4" t="s">
        <v>0</v>
      </c>
      <c r="H110" s="25">
        <v>4469.0833333299997</v>
      </c>
      <c r="I110" s="8">
        <v>28</v>
      </c>
      <c r="J110" s="9">
        <v>28</v>
      </c>
      <c r="K110" s="7">
        <v>0</v>
      </c>
      <c r="L110" s="24">
        <f>+Tabla2[[#This Row],[Stock Inventario]]*Tabla2[[#This Row],[Coste LÃ­nea]]</f>
        <v>125134.33333323999</v>
      </c>
      <c r="M110" s="24">
        <f>+Tabla2[[#This Row],[Variación Stock]]*Tabla2[[#This Row],[Coste LÃ­nea]]</f>
        <v>0</v>
      </c>
      <c r="N110" s="22" t="str">
        <f>+IF(Tabla2[[#This Row],[Variación Stock]]&gt;0,"Sobrante",IF(Tabla2[[#This Row],[Variación Stock]]&lt;0,"Faltante","Sin novedad"))</f>
        <v>Sin novedad</v>
      </c>
    </row>
    <row r="111" spans="1:14" x14ac:dyDescent="0.25">
      <c r="A111" s="11">
        <v>46053</v>
      </c>
      <c r="B111" s="5" t="s">
        <v>972</v>
      </c>
      <c r="C111" s="3" t="s">
        <v>213</v>
      </c>
      <c r="D111" s="5" t="s">
        <v>111</v>
      </c>
      <c r="E111" s="5" t="s">
        <v>112</v>
      </c>
      <c r="F111" s="6" t="s">
        <v>37</v>
      </c>
      <c r="G111" s="4" t="s">
        <v>0</v>
      </c>
      <c r="H111" s="25">
        <v>4469.0833333299997</v>
      </c>
      <c r="I111" s="8">
        <v>27</v>
      </c>
      <c r="J111" s="9">
        <v>27</v>
      </c>
      <c r="K111" s="7">
        <v>0</v>
      </c>
      <c r="L111" s="24">
        <f>+Tabla2[[#This Row],[Stock Inventario]]*Tabla2[[#This Row],[Coste LÃ­nea]]</f>
        <v>120665.24999991</v>
      </c>
      <c r="M111" s="24">
        <f>+Tabla2[[#This Row],[Variación Stock]]*Tabla2[[#This Row],[Coste LÃ­nea]]</f>
        <v>0</v>
      </c>
      <c r="N111" s="22" t="str">
        <f>+IF(Tabla2[[#This Row],[Variación Stock]]&gt;0,"Sobrante",IF(Tabla2[[#This Row],[Variación Stock]]&lt;0,"Faltante","Sin novedad"))</f>
        <v>Sin novedad</v>
      </c>
    </row>
    <row r="112" spans="1:14" x14ac:dyDescent="0.25">
      <c r="A112" s="11">
        <v>46037</v>
      </c>
      <c r="B112" s="5" t="s">
        <v>212</v>
      </c>
      <c r="C112" s="3" t="s">
        <v>213</v>
      </c>
      <c r="D112" s="5" t="s">
        <v>114</v>
      </c>
      <c r="E112" s="5" t="s">
        <v>112</v>
      </c>
      <c r="F112" s="6" t="s">
        <v>233</v>
      </c>
      <c r="G112" s="4" t="s">
        <v>2</v>
      </c>
      <c r="H112" s="24">
        <v>1860</v>
      </c>
      <c r="I112" s="8">
        <v>0</v>
      </c>
      <c r="J112" s="9">
        <v>0</v>
      </c>
      <c r="K112" s="7">
        <v>0</v>
      </c>
      <c r="L112" s="24">
        <f>+Tabla2[[#This Row],[Stock Inventario]]*Tabla2[[#This Row],[Coste LÃ­nea]]</f>
        <v>0</v>
      </c>
      <c r="M112" s="24">
        <f>+Tabla2[[#This Row],[Variación Stock]]*Tabla2[[#This Row],[Coste LÃ­nea]]</f>
        <v>0</v>
      </c>
      <c r="N112" s="22" t="str">
        <f>+IF(Tabla2[[#This Row],[Variación Stock]]&gt;0,"Sobrante",IF(Tabla2[[#This Row],[Variación Stock]]&lt;0,"Faltante","Sin novedad"))</f>
        <v>Sin novedad</v>
      </c>
    </row>
    <row r="113" spans="1:14" x14ac:dyDescent="0.25">
      <c r="A113" s="11">
        <v>46044</v>
      </c>
      <c r="B113" s="5" t="s">
        <v>383</v>
      </c>
      <c r="C113" s="3" t="s">
        <v>213</v>
      </c>
      <c r="D113" s="5" t="s">
        <v>114</v>
      </c>
      <c r="E113" s="5" t="s">
        <v>112</v>
      </c>
      <c r="F113" s="6" t="s">
        <v>233</v>
      </c>
      <c r="G113" s="4" t="s">
        <v>2</v>
      </c>
      <c r="H113" s="25">
        <v>1860</v>
      </c>
      <c r="I113" s="8">
        <v>0</v>
      </c>
      <c r="J113" s="9">
        <v>0</v>
      </c>
      <c r="K113" s="7">
        <v>0</v>
      </c>
      <c r="L113" s="24">
        <f>+Tabla2[[#This Row],[Stock Inventario]]*Tabla2[[#This Row],[Coste LÃ­nea]]</f>
        <v>0</v>
      </c>
      <c r="M113" s="24">
        <f>+Tabla2[[#This Row],[Variación Stock]]*Tabla2[[#This Row],[Coste LÃ­nea]]</f>
        <v>0</v>
      </c>
      <c r="N113" s="22" t="str">
        <f>+IF(Tabla2[[#This Row],[Variación Stock]]&gt;0,"Sobrante",IF(Tabla2[[#This Row],[Variación Stock]]&lt;0,"Faltante","Sin novedad"))</f>
        <v>Sin novedad</v>
      </c>
    </row>
    <row r="114" spans="1:14" x14ac:dyDescent="0.25">
      <c r="A114" s="11">
        <v>46053</v>
      </c>
      <c r="B114" s="5" t="s">
        <v>972</v>
      </c>
      <c r="C114" s="3" t="s">
        <v>213</v>
      </c>
      <c r="D114" s="5" t="s">
        <v>114</v>
      </c>
      <c r="E114" s="5" t="s">
        <v>112</v>
      </c>
      <c r="F114" s="6" t="s">
        <v>233</v>
      </c>
      <c r="G114" s="4" t="s">
        <v>2</v>
      </c>
      <c r="H114" s="25">
        <v>1860</v>
      </c>
      <c r="I114" s="8">
        <v>0</v>
      </c>
      <c r="J114" s="9">
        <v>0</v>
      </c>
      <c r="K114" s="7">
        <v>0</v>
      </c>
      <c r="L114" s="24">
        <f>+Tabla2[[#This Row],[Stock Inventario]]*Tabla2[[#This Row],[Coste LÃ­nea]]</f>
        <v>0</v>
      </c>
      <c r="M114" s="24">
        <f>+Tabla2[[#This Row],[Variación Stock]]*Tabla2[[#This Row],[Coste LÃ­nea]]</f>
        <v>0</v>
      </c>
      <c r="N114" s="22" t="str">
        <f>+IF(Tabla2[[#This Row],[Variación Stock]]&gt;0,"Sobrante",IF(Tabla2[[#This Row],[Variación Stock]]&lt;0,"Faltante","Sin novedad"))</f>
        <v>Sin novedad</v>
      </c>
    </row>
    <row r="115" spans="1:14" x14ac:dyDescent="0.25">
      <c r="A115" s="11">
        <v>46037</v>
      </c>
      <c r="B115" s="5" t="s">
        <v>212</v>
      </c>
      <c r="C115" s="3" t="s">
        <v>213</v>
      </c>
      <c r="D115" s="5" t="s">
        <v>115</v>
      </c>
      <c r="E115" s="5" t="s">
        <v>112</v>
      </c>
      <c r="F115" s="6" t="s">
        <v>71</v>
      </c>
      <c r="G115" s="4" t="s">
        <v>2</v>
      </c>
      <c r="H115" s="25">
        <v>2335.03333333</v>
      </c>
      <c r="I115" s="8">
        <v>97</v>
      </c>
      <c r="J115" s="9">
        <v>97</v>
      </c>
      <c r="K115" s="7">
        <v>0</v>
      </c>
      <c r="L115" s="24">
        <f>+Tabla2[[#This Row],[Stock Inventario]]*Tabla2[[#This Row],[Coste LÃ­nea]]</f>
        <v>226498.23333300999</v>
      </c>
      <c r="M115" s="24">
        <f>+Tabla2[[#This Row],[Variación Stock]]*Tabla2[[#This Row],[Coste LÃ­nea]]</f>
        <v>0</v>
      </c>
      <c r="N115" s="22" t="str">
        <f>+IF(Tabla2[[#This Row],[Variación Stock]]&gt;0,"Sobrante",IF(Tabla2[[#This Row],[Variación Stock]]&lt;0,"Faltante","Sin novedad"))</f>
        <v>Sin novedad</v>
      </c>
    </row>
    <row r="116" spans="1:14" x14ac:dyDescent="0.25">
      <c r="A116" s="11">
        <v>46044</v>
      </c>
      <c r="B116" s="5" t="s">
        <v>383</v>
      </c>
      <c r="C116" s="3" t="s">
        <v>213</v>
      </c>
      <c r="D116" s="5" t="s">
        <v>115</v>
      </c>
      <c r="E116" s="5" t="s">
        <v>112</v>
      </c>
      <c r="F116" s="6" t="s">
        <v>71</v>
      </c>
      <c r="G116" s="4" t="s">
        <v>2</v>
      </c>
      <c r="H116" s="25">
        <v>2379.9986666700001</v>
      </c>
      <c r="I116" s="8">
        <v>121</v>
      </c>
      <c r="J116" s="9">
        <v>121</v>
      </c>
      <c r="K116" s="7">
        <v>0</v>
      </c>
      <c r="L116" s="24">
        <f>+Tabla2[[#This Row],[Stock Inventario]]*Tabla2[[#This Row],[Coste LÃ­nea]]</f>
        <v>287979.83866707003</v>
      </c>
      <c r="M116" s="24">
        <f>+Tabla2[[#This Row],[Variación Stock]]*Tabla2[[#This Row],[Coste LÃ­nea]]</f>
        <v>0</v>
      </c>
      <c r="N116" s="22" t="str">
        <f>+IF(Tabla2[[#This Row],[Variación Stock]]&gt;0,"Sobrante",IF(Tabla2[[#This Row],[Variación Stock]]&lt;0,"Faltante","Sin novedad"))</f>
        <v>Sin novedad</v>
      </c>
    </row>
    <row r="117" spans="1:14" hidden="1" x14ac:dyDescent="0.25">
      <c r="A117" s="11">
        <v>46037</v>
      </c>
      <c r="B117" s="5" t="s">
        <v>212</v>
      </c>
      <c r="C117" s="3" t="s">
        <v>213</v>
      </c>
      <c r="D117" s="5" t="s">
        <v>116</v>
      </c>
      <c r="E117" s="5" t="s">
        <v>117</v>
      </c>
      <c r="F117" s="6" t="s">
        <v>248</v>
      </c>
      <c r="G117" s="4" t="s">
        <v>1</v>
      </c>
      <c r="H117" s="24">
        <v>27</v>
      </c>
      <c r="I117" s="8">
        <v>0</v>
      </c>
      <c r="J117" s="9">
        <v>0</v>
      </c>
      <c r="K117" s="7">
        <v>0</v>
      </c>
      <c r="L117" s="24">
        <f>+Tabla2[[#This Row],[Stock Inventario]]*Tabla2[[#This Row],[Coste LÃ­nea]]</f>
        <v>0</v>
      </c>
      <c r="M117" s="24">
        <f>+Tabla2[[#This Row],[Variación Stock]]*Tabla2[[#This Row],[Coste LÃ­nea]]</f>
        <v>0</v>
      </c>
      <c r="N117" s="22" t="str">
        <f>+IF(Tabla2[[#This Row],[Variación Stock]]&gt;0,"Sobrante",IF(Tabla2[[#This Row],[Variación Stock]]&lt;0,"Faltante","Sin novedad"))</f>
        <v>Sin novedad</v>
      </c>
    </row>
    <row r="118" spans="1:14" x14ac:dyDescent="0.25">
      <c r="A118" s="11">
        <v>46053</v>
      </c>
      <c r="B118" s="5" t="s">
        <v>972</v>
      </c>
      <c r="C118" s="3" t="s">
        <v>213</v>
      </c>
      <c r="D118" s="5" t="s">
        <v>115</v>
      </c>
      <c r="E118" s="5" t="s">
        <v>112</v>
      </c>
      <c r="F118" s="6" t="s">
        <v>71</v>
      </c>
      <c r="G118" s="4" t="s">
        <v>2</v>
      </c>
      <c r="H118" s="25">
        <v>2335.0666666699999</v>
      </c>
      <c r="I118" s="8">
        <v>99</v>
      </c>
      <c r="J118" s="9">
        <v>99</v>
      </c>
      <c r="K118" s="7">
        <v>0</v>
      </c>
      <c r="L118" s="24">
        <f>+Tabla2[[#This Row],[Stock Inventario]]*Tabla2[[#This Row],[Coste LÃ­nea]]</f>
        <v>231171.60000032999</v>
      </c>
      <c r="M118" s="24">
        <f>+Tabla2[[#This Row],[Variación Stock]]*Tabla2[[#This Row],[Coste LÃ­nea]]</f>
        <v>0</v>
      </c>
      <c r="N118" s="22" t="str">
        <f>+IF(Tabla2[[#This Row],[Variación Stock]]&gt;0,"Sobrante",IF(Tabla2[[#This Row],[Variación Stock]]&lt;0,"Faltante","Sin novedad"))</f>
        <v>Sin novedad</v>
      </c>
    </row>
    <row r="119" spans="1:14" x14ac:dyDescent="0.25">
      <c r="A119" s="11">
        <v>46037</v>
      </c>
      <c r="B119" s="5" t="s">
        <v>212</v>
      </c>
      <c r="C119" s="3" t="s">
        <v>213</v>
      </c>
      <c r="D119" s="5" t="s">
        <v>115</v>
      </c>
      <c r="E119" s="5" t="s">
        <v>112</v>
      </c>
      <c r="F119" s="6" t="s">
        <v>72</v>
      </c>
      <c r="G119" s="4" t="s">
        <v>2</v>
      </c>
      <c r="H119" s="24">
        <v>2319</v>
      </c>
      <c r="I119" s="8">
        <v>137</v>
      </c>
      <c r="J119" s="9">
        <v>137</v>
      </c>
      <c r="K119" s="7">
        <v>0</v>
      </c>
      <c r="L119" s="24">
        <f>+Tabla2[[#This Row],[Stock Inventario]]*Tabla2[[#This Row],[Coste LÃ­nea]]</f>
        <v>317703</v>
      </c>
      <c r="M119" s="24">
        <f>+Tabla2[[#This Row],[Variación Stock]]*Tabla2[[#This Row],[Coste LÃ­nea]]</f>
        <v>0</v>
      </c>
      <c r="N119" s="22" t="str">
        <f>+IF(Tabla2[[#This Row],[Variación Stock]]&gt;0,"Sobrante",IF(Tabla2[[#This Row],[Variación Stock]]&lt;0,"Faltante","Sin novedad"))</f>
        <v>Sin novedad</v>
      </c>
    </row>
    <row r="120" spans="1:14" x14ac:dyDescent="0.25">
      <c r="A120" s="11">
        <v>46044</v>
      </c>
      <c r="B120" s="5" t="s">
        <v>383</v>
      </c>
      <c r="C120" s="3" t="s">
        <v>213</v>
      </c>
      <c r="D120" s="5" t="s">
        <v>115</v>
      </c>
      <c r="E120" s="5" t="s">
        <v>112</v>
      </c>
      <c r="F120" s="6" t="s">
        <v>72</v>
      </c>
      <c r="G120" s="4" t="s">
        <v>2</v>
      </c>
      <c r="H120" s="25">
        <v>2319</v>
      </c>
      <c r="I120" s="8">
        <v>186</v>
      </c>
      <c r="J120" s="9">
        <v>184</v>
      </c>
      <c r="K120" s="7">
        <v>-2</v>
      </c>
      <c r="L120" s="24">
        <f>+Tabla2[[#This Row],[Stock Inventario]]*Tabla2[[#This Row],[Coste LÃ­nea]]</f>
        <v>426696</v>
      </c>
      <c r="M120" s="24">
        <f>+Tabla2[[#This Row],[Variación Stock]]*Tabla2[[#This Row],[Coste LÃ­nea]]</f>
        <v>-4638</v>
      </c>
      <c r="N120" s="22" t="str">
        <f>+IF(Tabla2[[#This Row],[Variación Stock]]&gt;0,"Sobrante",IF(Tabla2[[#This Row],[Variación Stock]]&lt;0,"Faltante","Sin novedad"))</f>
        <v>Faltante</v>
      </c>
    </row>
    <row r="121" spans="1:14" x14ac:dyDescent="0.25">
      <c r="A121" s="11">
        <v>46053</v>
      </c>
      <c r="B121" s="5" t="s">
        <v>972</v>
      </c>
      <c r="C121" s="3" t="s">
        <v>213</v>
      </c>
      <c r="D121" s="5" t="s">
        <v>115</v>
      </c>
      <c r="E121" s="5" t="s">
        <v>112</v>
      </c>
      <c r="F121" s="6" t="s">
        <v>72</v>
      </c>
      <c r="G121" s="4" t="s">
        <v>2</v>
      </c>
      <c r="H121" s="25">
        <v>2359.5666666699999</v>
      </c>
      <c r="I121" s="8">
        <v>146</v>
      </c>
      <c r="J121" s="9">
        <v>145</v>
      </c>
      <c r="K121" s="7">
        <v>-1</v>
      </c>
      <c r="L121" s="24">
        <f>+Tabla2[[#This Row],[Stock Inventario]]*Tabla2[[#This Row],[Coste LÃ­nea]]</f>
        <v>342137.16666714998</v>
      </c>
      <c r="M121" s="24">
        <f>+Tabla2[[#This Row],[Variación Stock]]*Tabla2[[#This Row],[Coste LÃ­nea]]</f>
        <v>-2359.5666666699999</v>
      </c>
      <c r="N121" s="22" t="str">
        <f>+IF(Tabla2[[#This Row],[Variación Stock]]&gt;0,"Sobrante",IF(Tabla2[[#This Row],[Variación Stock]]&lt;0,"Faltante","Sin novedad"))</f>
        <v>Faltante</v>
      </c>
    </row>
    <row r="122" spans="1:14" x14ac:dyDescent="0.25">
      <c r="A122" s="11">
        <v>46037</v>
      </c>
      <c r="B122" s="5" t="s">
        <v>212</v>
      </c>
      <c r="C122" s="3" t="s">
        <v>213</v>
      </c>
      <c r="D122" s="5" t="s">
        <v>115</v>
      </c>
      <c r="E122" s="5" t="s">
        <v>112</v>
      </c>
      <c r="F122" s="6" t="s">
        <v>73</v>
      </c>
      <c r="G122" s="4" t="s">
        <v>2</v>
      </c>
      <c r="H122" s="24">
        <v>2725.4166666699998</v>
      </c>
      <c r="I122" s="8">
        <v>113</v>
      </c>
      <c r="J122" s="9">
        <v>100</v>
      </c>
      <c r="K122" s="7">
        <v>-13</v>
      </c>
      <c r="L122" s="24">
        <f>+Tabla2[[#This Row],[Stock Inventario]]*Tabla2[[#This Row],[Coste LÃ­nea]]</f>
        <v>272541.66666699998</v>
      </c>
      <c r="M122" s="24">
        <f>+Tabla2[[#This Row],[Variación Stock]]*Tabla2[[#This Row],[Coste LÃ­nea]]</f>
        <v>-35430.41666671</v>
      </c>
      <c r="N122" s="22" t="str">
        <f>+IF(Tabla2[[#This Row],[Variación Stock]]&gt;0,"Sobrante",IF(Tabla2[[#This Row],[Variación Stock]]&lt;0,"Faltante","Sin novedad"))</f>
        <v>Faltante</v>
      </c>
    </row>
    <row r="123" spans="1:14" hidden="1" x14ac:dyDescent="0.25">
      <c r="A123" s="11">
        <v>46037</v>
      </c>
      <c r="B123" s="5" t="s">
        <v>212</v>
      </c>
      <c r="C123" s="3" t="s">
        <v>213</v>
      </c>
      <c r="D123" s="5" t="s">
        <v>116</v>
      </c>
      <c r="E123" s="5" t="s">
        <v>117</v>
      </c>
      <c r="F123" s="6" t="s">
        <v>252</v>
      </c>
      <c r="G123" s="4" t="s">
        <v>1</v>
      </c>
      <c r="H123" s="24">
        <v>9.5</v>
      </c>
      <c r="I123" s="8">
        <v>0</v>
      </c>
      <c r="J123" s="9">
        <v>0</v>
      </c>
      <c r="K123" s="7">
        <v>0</v>
      </c>
      <c r="L123" s="24">
        <f>+Tabla2[[#This Row],[Stock Inventario]]*Tabla2[[#This Row],[Coste LÃ­nea]]</f>
        <v>0</v>
      </c>
      <c r="M123" s="24">
        <f>+Tabla2[[#This Row],[Variación Stock]]*Tabla2[[#This Row],[Coste LÃ­nea]]</f>
        <v>0</v>
      </c>
      <c r="N123" s="22" t="str">
        <f>+IF(Tabla2[[#This Row],[Variación Stock]]&gt;0,"Sobrante",IF(Tabla2[[#This Row],[Variación Stock]]&lt;0,"Faltante","Sin novedad"))</f>
        <v>Sin novedad</v>
      </c>
    </row>
    <row r="124" spans="1:14" x14ac:dyDescent="0.25">
      <c r="A124" s="11">
        <v>46044</v>
      </c>
      <c r="B124" s="5" t="s">
        <v>383</v>
      </c>
      <c r="C124" s="3" t="s">
        <v>213</v>
      </c>
      <c r="D124" s="5" t="s">
        <v>115</v>
      </c>
      <c r="E124" s="5" t="s">
        <v>112</v>
      </c>
      <c r="F124" s="6" t="s">
        <v>73</v>
      </c>
      <c r="G124" s="4" t="s">
        <v>2</v>
      </c>
      <c r="H124" s="25">
        <v>2773.5</v>
      </c>
      <c r="I124" s="8">
        <v>180</v>
      </c>
      <c r="J124" s="9">
        <v>210</v>
      </c>
      <c r="K124" s="7">
        <v>30</v>
      </c>
      <c r="L124" s="24">
        <f>+Tabla2[[#This Row],[Stock Inventario]]*Tabla2[[#This Row],[Coste LÃ­nea]]</f>
        <v>582435</v>
      </c>
      <c r="M124" s="24">
        <f>+Tabla2[[#This Row],[Variación Stock]]*Tabla2[[#This Row],[Coste LÃ­nea]]</f>
        <v>83205</v>
      </c>
      <c r="N124" s="22" t="str">
        <f>+IF(Tabla2[[#This Row],[Variación Stock]]&gt;0,"Sobrante",IF(Tabla2[[#This Row],[Variación Stock]]&lt;0,"Faltante","Sin novedad"))</f>
        <v>Sobrante</v>
      </c>
    </row>
    <row r="125" spans="1:14" x14ac:dyDescent="0.25">
      <c r="A125" s="11">
        <v>46053</v>
      </c>
      <c r="B125" s="5" t="s">
        <v>972</v>
      </c>
      <c r="C125" s="3" t="s">
        <v>213</v>
      </c>
      <c r="D125" s="5" t="s">
        <v>115</v>
      </c>
      <c r="E125" s="5" t="s">
        <v>112</v>
      </c>
      <c r="F125" s="6" t="s">
        <v>73</v>
      </c>
      <c r="G125" s="4" t="s">
        <v>2</v>
      </c>
      <c r="H125" s="25">
        <v>3080.03333333</v>
      </c>
      <c r="I125" s="8">
        <v>216</v>
      </c>
      <c r="J125" s="9">
        <v>185</v>
      </c>
      <c r="K125" s="7">
        <v>-31</v>
      </c>
      <c r="L125" s="24">
        <f>+Tabla2[[#This Row],[Stock Inventario]]*Tabla2[[#This Row],[Coste LÃ­nea]]</f>
        <v>569806.16666604998</v>
      </c>
      <c r="M125" s="24">
        <f>+Tabla2[[#This Row],[Variación Stock]]*Tabla2[[#This Row],[Coste LÃ­nea]]</f>
        <v>-95481.033333230007</v>
      </c>
      <c r="N125" s="22" t="str">
        <f>+IF(Tabla2[[#This Row],[Variación Stock]]&gt;0,"Sobrante",IF(Tabla2[[#This Row],[Variación Stock]]&lt;0,"Faltante","Sin novedad"))</f>
        <v>Faltante</v>
      </c>
    </row>
    <row r="126" spans="1:14" hidden="1" x14ac:dyDescent="0.25">
      <c r="A126" s="11">
        <v>46037</v>
      </c>
      <c r="B126" s="5" t="s">
        <v>212</v>
      </c>
      <c r="C126" s="3" t="s">
        <v>213</v>
      </c>
      <c r="D126" s="5" t="s">
        <v>116</v>
      </c>
      <c r="E126" s="5" t="s">
        <v>117</v>
      </c>
      <c r="F126" s="6" t="s">
        <v>247</v>
      </c>
      <c r="G126" s="4" t="s">
        <v>2</v>
      </c>
      <c r="H126" s="24">
        <v>2520</v>
      </c>
      <c r="I126" s="8">
        <v>0</v>
      </c>
      <c r="J126" s="9">
        <v>0</v>
      </c>
      <c r="K126" s="7">
        <v>0</v>
      </c>
      <c r="L126" s="24">
        <f>+Tabla2[[#This Row],[Stock Inventario]]*Tabla2[[#This Row],[Coste LÃ­nea]]</f>
        <v>0</v>
      </c>
      <c r="M126" s="24">
        <f>+Tabla2[[#This Row],[Variación Stock]]*Tabla2[[#This Row],[Coste LÃ­nea]]</f>
        <v>0</v>
      </c>
      <c r="N126" s="22" t="str">
        <f>+IF(Tabla2[[#This Row],[Variación Stock]]&gt;0,"Sobrante",IF(Tabla2[[#This Row],[Variación Stock]]&lt;0,"Faltante","Sin novedad"))</f>
        <v>Sin novedad</v>
      </c>
    </row>
    <row r="127" spans="1:14" x14ac:dyDescent="0.25">
      <c r="A127" s="11">
        <v>46037</v>
      </c>
      <c r="B127" s="5" t="s">
        <v>212</v>
      </c>
      <c r="C127" s="3" t="s">
        <v>213</v>
      </c>
      <c r="D127" s="5" t="s">
        <v>115</v>
      </c>
      <c r="E127" s="5" t="s">
        <v>112</v>
      </c>
      <c r="F127" s="6" t="s">
        <v>153</v>
      </c>
      <c r="G127" s="4" t="s">
        <v>2</v>
      </c>
      <c r="H127" s="24">
        <v>2699.6666666699998</v>
      </c>
      <c r="I127" s="8">
        <v>-12</v>
      </c>
      <c r="J127" s="9">
        <v>0</v>
      </c>
      <c r="K127" s="7">
        <v>12</v>
      </c>
      <c r="L127" s="24">
        <f>+Tabla2[[#This Row],[Stock Inventario]]*Tabla2[[#This Row],[Coste LÃ­nea]]</f>
        <v>0</v>
      </c>
      <c r="M127" s="24">
        <f>+Tabla2[[#This Row],[Variación Stock]]*Tabla2[[#This Row],[Coste LÃ­nea]]</f>
        <v>32396.000000039996</v>
      </c>
      <c r="N127" s="22" t="str">
        <f>+IF(Tabla2[[#This Row],[Variación Stock]]&gt;0,"Sobrante",IF(Tabla2[[#This Row],[Variación Stock]]&lt;0,"Faltante","Sin novedad"))</f>
        <v>Sobrante</v>
      </c>
    </row>
    <row r="128" spans="1:14" hidden="1" x14ac:dyDescent="0.25">
      <c r="A128" s="11">
        <v>46037</v>
      </c>
      <c r="B128" s="5" t="s">
        <v>212</v>
      </c>
      <c r="C128" s="3" t="s">
        <v>213</v>
      </c>
      <c r="D128" s="5" t="s">
        <v>116</v>
      </c>
      <c r="E128" s="5" t="s">
        <v>117</v>
      </c>
      <c r="F128" s="6" t="s">
        <v>249</v>
      </c>
      <c r="G128" s="4" t="s">
        <v>2</v>
      </c>
      <c r="H128" s="24">
        <v>10</v>
      </c>
      <c r="I128" s="8">
        <v>0</v>
      </c>
      <c r="J128" s="9">
        <v>0</v>
      </c>
      <c r="K128" s="7">
        <v>0</v>
      </c>
      <c r="L128" s="24">
        <f>+Tabla2[[#This Row],[Stock Inventario]]*Tabla2[[#This Row],[Coste LÃ­nea]]</f>
        <v>0</v>
      </c>
      <c r="M128" s="24">
        <f>+Tabla2[[#This Row],[Variación Stock]]*Tabla2[[#This Row],[Coste LÃ­nea]]</f>
        <v>0</v>
      </c>
      <c r="N128" s="22" t="str">
        <f>+IF(Tabla2[[#This Row],[Variación Stock]]&gt;0,"Sobrante",IF(Tabla2[[#This Row],[Variación Stock]]&lt;0,"Faltante","Sin novedad"))</f>
        <v>Sin novedad</v>
      </c>
    </row>
    <row r="129" spans="1:14" hidden="1" x14ac:dyDescent="0.25">
      <c r="A129" s="11">
        <v>46037</v>
      </c>
      <c r="B129" s="5" t="s">
        <v>212</v>
      </c>
      <c r="C129" s="3" t="s">
        <v>213</v>
      </c>
      <c r="D129" s="5" t="s">
        <v>116</v>
      </c>
      <c r="E129" s="5" t="s">
        <v>117</v>
      </c>
      <c r="F129" s="6" t="s">
        <v>251</v>
      </c>
      <c r="G129" s="4" t="s">
        <v>2</v>
      </c>
      <c r="H129" s="24">
        <v>3890</v>
      </c>
      <c r="I129" s="8">
        <v>26</v>
      </c>
      <c r="J129" s="9">
        <v>26</v>
      </c>
      <c r="K129" s="7">
        <v>0</v>
      </c>
      <c r="L129" s="24">
        <f>+Tabla2[[#This Row],[Stock Inventario]]*Tabla2[[#This Row],[Coste LÃ­nea]]</f>
        <v>101140</v>
      </c>
      <c r="M129" s="24">
        <f>+Tabla2[[#This Row],[Variación Stock]]*Tabla2[[#This Row],[Coste LÃ­nea]]</f>
        <v>0</v>
      </c>
      <c r="N129" s="22" t="str">
        <f>+IF(Tabla2[[#This Row],[Variación Stock]]&gt;0,"Sobrante",IF(Tabla2[[#This Row],[Variación Stock]]&lt;0,"Faltante","Sin novedad"))</f>
        <v>Sin novedad</v>
      </c>
    </row>
    <row r="130" spans="1:14" hidden="1" x14ac:dyDescent="0.25">
      <c r="A130" s="11">
        <v>46037</v>
      </c>
      <c r="B130" s="5" t="s">
        <v>212</v>
      </c>
      <c r="C130" s="3" t="s">
        <v>213</v>
      </c>
      <c r="D130" s="5" t="s">
        <v>116</v>
      </c>
      <c r="E130" s="5" t="s">
        <v>117</v>
      </c>
      <c r="F130" s="6" t="s">
        <v>158</v>
      </c>
      <c r="G130" s="4" t="s">
        <v>2</v>
      </c>
      <c r="H130" s="24">
        <v>2000</v>
      </c>
      <c r="I130" s="8">
        <v>0</v>
      </c>
      <c r="J130" s="9">
        <v>0</v>
      </c>
      <c r="K130" s="7">
        <v>0</v>
      </c>
      <c r="L130" s="24">
        <f>+Tabla2[[#This Row],[Stock Inventario]]*Tabla2[[#This Row],[Coste LÃ­nea]]</f>
        <v>0</v>
      </c>
      <c r="M130" s="24">
        <f>+Tabla2[[#This Row],[Variación Stock]]*Tabla2[[#This Row],[Coste LÃ­nea]]</f>
        <v>0</v>
      </c>
      <c r="N130" s="22" t="str">
        <f>+IF(Tabla2[[#This Row],[Variación Stock]]&gt;0,"Sobrante",IF(Tabla2[[#This Row],[Variación Stock]]&lt;0,"Faltante","Sin novedad"))</f>
        <v>Sin novedad</v>
      </c>
    </row>
    <row r="131" spans="1:14" x14ac:dyDescent="0.25">
      <c r="A131" s="11">
        <v>46044</v>
      </c>
      <c r="B131" s="5" t="s">
        <v>383</v>
      </c>
      <c r="C131" s="3" t="s">
        <v>213</v>
      </c>
      <c r="D131" s="5" t="s">
        <v>115</v>
      </c>
      <c r="E131" s="5" t="s">
        <v>112</v>
      </c>
      <c r="F131" s="6" t="s">
        <v>153</v>
      </c>
      <c r="G131" s="4" t="s">
        <v>2</v>
      </c>
      <c r="H131" s="25">
        <v>2699.6666666699998</v>
      </c>
      <c r="I131" s="8">
        <v>0</v>
      </c>
      <c r="J131" s="9">
        <v>0</v>
      </c>
      <c r="K131" s="7">
        <v>0</v>
      </c>
      <c r="L131" s="24">
        <f>+Tabla2[[#This Row],[Stock Inventario]]*Tabla2[[#This Row],[Coste LÃ­nea]]</f>
        <v>0</v>
      </c>
      <c r="M131" s="24">
        <f>+Tabla2[[#This Row],[Variación Stock]]*Tabla2[[#This Row],[Coste LÃ­nea]]</f>
        <v>0</v>
      </c>
      <c r="N131" s="22" t="str">
        <f>+IF(Tabla2[[#This Row],[Variación Stock]]&gt;0,"Sobrante",IF(Tabla2[[#This Row],[Variación Stock]]&lt;0,"Faltante","Sin novedad"))</f>
        <v>Sin novedad</v>
      </c>
    </row>
    <row r="132" spans="1:14" hidden="1" x14ac:dyDescent="0.25">
      <c r="A132" s="11">
        <v>46037</v>
      </c>
      <c r="B132" s="5" t="s">
        <v>212</v>
      </c>
      <c r="C132" s="3" t="s">
        <v>213</v>
      </c>
      <c r="D132" s="5" t="s">
        <v>116</v>
      </c>
      <c r="E132" s="5" t="s">
        <v>117</v>
      </c>
      <c r="F132" s="6" t="s">
        <v>159</v>
      </c>
      <c r="G132" s="4" t="s">
        <v>2</v>
      </c>
      <c r="H132" s="24">
        <v>13810</v>
      </c>
      <c r="I132" s="8">
        <v>0</v>
      </c>
      <c r="J132" s="9">
        <v>0</v>
      </c>
      <c r="K132" s="7">
        <v>0</v>
      </c>
      <c r="L132" s="24">
        <f>+Tabla2[[#This Row],[Stock Inventario]]*Tabla2[[#This Row],[Coste LÃ­nea]]</f>
        <v>0</v>
      </c>
      <c r="M132" s="24">
        <f>+Tabla2[[#This Row],[Variación Stock]]*Tabla2[[#This Row],[Coste LÃ­nea]]</f>
        <v>0</v>
      </c>
      <c r="N132" s="22" t="str">
        <f>+IF(Tabla2[[#This Row],[Variación Stock]]&gt;0,"Sobrante",IF(Tabla2[[#This Row],[Variación Stock]]&lt;0,"Faltante","Sin novedad"))</f>
        <v>Sin novedad</v>
      </c>
    </row>
    <row r="133" spans="1:14" hidden="1" x14ac:dyDescent="0.25">
      <c r="A133" s="11">
        <v>46037</v>
      </c>
      <c r="B133" s="5" t="s">
        <v>212</v>
      </c>
      <c r="C133" s="3" t="s">
        <v>213</v>
      </c>
      <c r="D133" s="5" t="s">
        <v>116</v>
      </c>
      <c r="E133" s="5" t="s">
        <v>117</v>
      </c>
      <c r="F133" s="6" t="s">
        <v>160</v>
      </c>
      <c r="G133" s="4" t="s">
        <v>2</v>
      </c>
      <c r="H133" s="24">
        <v>2552.9411764699998</v>
      </c>
      <c r="I133" s="8">
        <v>0</v>
      </c>
      <c r="J133" s="9">
        <v>0</v>
      </c>
      <c r="K133" s="7">
        <v>0</v>
      </c>
      <c r="L133" s="24">
        <f>+Tabla2[[#This Row],[Stock Inventario]]*Tabla2[[#This Row],[Coste LÃ­nea]]</f>
        <v>0</v>
      </c>
      <c r="M133" s="24">
        <f>+Tabla2[[#This Row],[Variación Stock]]*Tabla2[[#This Row],[Coste LÃ­nea]]</f>
        <v>0</v>
      </c>
      <c r="N133" s="22" t="str">
        <f>+IF(Tabla2[[#This Row],[Variación Stock]]&gt;0,"Sobrante",IF(Tabla2[[#This Row],[Variación Stock]]&lt;0,"Faltante","Sin novedad"))</f>
        <v>Sin novedad</v>
      </c>
    </row>
    <row r="134" spans="1:14" hidden="1" x14ac:dyDescent="0.25">
      <c r="A134" s="11">
        <v>46037</v>
      </c>
      <c r="B134" s="5" t="s">
        <v>212</v>
      </c>
      <c r="C134" s="3" t="s">
        <v>213</v>
      </c>
      <c r="D134" s="5" t="s">
        <v>116</v>
      </c>
      <c r="E134" s="5" t="s">
        <v>117</v>
      </c>
      <c r="F134" s="6" t="s">
        <v>254</v>
      </c>
      <c r="G134" s="4" t="s">
        <v>2</v>
      </c>
      <c r="H134" s="24">
        <v>46296.296296239998</v>
      </c>
      <c r="I134" s="8">
        <v>-7.15</v>
      </c>
      <c r="J134" s="9">
        <v>17</v>
      </c>
      <c r="K134" s="7">
        <v>24.15</v>
      </c>
      <c r="L134" s="24">
        <f>+Tabla2[[#This Row],[Stock Inventario]]*Tabla2[[#This Row],[Coste LÃ­nea]]</f>
        <v>787037.03703607991</v>
      </c>
      <c r="M134" s="24">
        <f>+Tabla2[[#This Row],[Variación Stock]]*Tabla2[[#This Row],[Coste LÃ­nea]]</f>
        <v>1118055.5555541958</v>
      </c>
      <c r="N134" s="22" t="str">
        <f>+IF(Tabla2[[#This Row],[Variación Stock]]&gt;0,"Sobrante",IF(Tabla2[[#This Row],[Variación Stock]]&lt;0,"Faltante","Sin novedad"))</f>
        <v>Sobrante</v>
      </c>
    </row>
    <row r="135" spans="1:14" x14ac:dyDescent="0.25">
      <c r="A135" s="11">
        <v>46053</v>
      </c>
      <c r="B135" s="5" t="s">
        <v>972</v>
      </c>
      <c r="C135" s="3" t="s">
        <v>213</v>
      </c>
      <c r="D135" s="5" t="s">
        <v>115</v>
      </c>
      <c r="E135" s="5" t="s">
        <v>112</v>
      </c>
      <c r="F135" s="6" t="s">
        <v>153</v>
      </c>
      <c r="G135" s="4" t="s">
        <v>2</v>
      </c>
      <c r="H135" s="25">
        <v>2699.6666666699998</v>
      </c>
      <c r="I135" s="8">
        <v>0</v>
      </c>
      <c r="J135" s="9">
        <v>0</v>
      </c>
      <c r="K135" s="7">
        <v>0</v>
      </c>
      <c r="L135" s="24">
        <f>+Tabla2[[#This Row],[Stock Inventario]]*Tabla2[[#This Row],[Coste LÃ­nea]]</f>
        <v>0</v>
      </c>
      <c r="M135" s="24">
        <f>+Tabla2[[#This Row],[Variación Stock]]*Tabla2[[#This Row],[Coste LÃ­nea]]</f>
        <v>0</v>
      </c>
      <c r="N135" s="22" t="str">
        <f>+IF(Tabla2[[#This Row],[Variación Stock]]&gt;0,"Sobrante",IF(Tabla2[[#This Row],[Variación Stock]]&lt;0,"Faltante","Sin novedad"))</f>
        <v>Sin novedad</v>
      </c>
    </row>
    <row r="136" spans="1:14" x14ac:dyDescent="0.25">
      <c r="A136" s="11">
        <v>46037</v>
      </c>
      <c r="B136" s="5" t="s">
        <v>212</v>
      </c>
      <c r="C136" s="3" t="s">
        <v>213</v>
      </c>
      <c r="D136" s="5" t="s">
        <v>115</v>
      </c>
      <c r="E136" s="5" t="s">
        <v>112</v>
      </c>
      <c r="F136" s="6" t="s">
        <v>77</v>
      </c>
      <c r="G136" s="4" t="s">
        <v>2</v>
      </c>
      <c r="H136" s="24">
        <v>2965.8</v>
      </c>
      <c r="I136" s="8">
        <v>35</v>
      </c>
      <c r="J136" s="9">
        <v>36</v>
      </c>
      <c r="K136" s="15">
        <v>1</v>
      </c>
      <c r="L136" s="24">
        <f>+Tabla2[[#This Row],[Stock Inventario]]*Tabla2[[#This Row],[Coste LÃ­nea]]</f>
        <v>106768.8</v>
      </c>
      <c r="M136" s="24">
        <f>+Tabla2[[#This Row],[Variación Stock]]*Tabla2[[#This Row],[Coste LÃ­nea]]</f>
        <v>2965.8</v>
      </c>
      <c r="N136" s="22" t="str">
        <f>+IF(Tabla2[[#This Row],[Variación Stock]]&gt;0,"Sobrante",IF(Tabla2[[#This Row],[Variación Stock]]&lt;0,"Faltante","Sin novedad"))</f>
        <v>Sobrante</v>
      </c>
    </row>
    <row r="137" spans="1:14" hidden="1" x14ac:dyDescent="0.25">
      <c r="A137" s="11">
        <v>46037</v>
      </c>
      <c r="B137" s="5" t="s">
        <v>212</v>
      </c>
      <c r="C137" s="3" t="s">
        <v>213</v>
      </c>
      <c r="D137" s="5" t="s">
        <v>116</v>
      </c>
      <c r="E137" s="5" t="s">
        <v>117</v>
      </c>
      <c r="F137" s="6" t="s">
        <v>161</v>
      </c>
      <c r="G137" s="4" t="s">
        <v>2</v>
      </c>
      <c r="H137" s="24">
        <v>10430</v>
      </c>
      <c r="I137" s="8">
        <v>0</v>
      </c>
      <c r="J137" s="9">
        <v>0</v>
      </c>
      <c r="K137" s="7">
        <v>0</v>
      </c>
      <c r="L137" s="24">
        <f>+Tabla2[[#This Row],[Stock Inventario]]*Tabla2[[#This Row],[Coste LÃ­nea]]</f>
        <v>0</v>
      </c>
      <c r="M137" s="24">
        <f>+Tabla2[[#This Row],[Variación Stock]]*Tabla2[[#This Row],[Coste LÃ­nea]]</f>
        <v>0</v>
      </c>
      <c r="N137" s="22" t="str">
        <f>+IF(Tabla2[[#This Row],[Variación Stock]]&gt;0,"Sobrante",IF(Tabla2[[#This Row],[Variación Stock]]&lt;0,"Faltante","Sin novedad"))</f>
        <v>Sin novedad</v>
      </c>
    </row>
    <row r="138" spans="1:14" x14ac:dyDescent="0.25">
      <c r="A138" s="11">
        <v>46044</v>
      </c>
      <c r="B138" s="5" t="s">
        <v>383</v>
      </c>
      <c r="C138" s="3" t="s">
        <v>213</v>
      </c>
      <c r="D138" s="5" t="s">
        <v>115</v>
      </c>
      <c r="E138" s="5" t="s">
        <v>112</v>
      </c>
      <c r="F138" s="6" t="s">
        <v>77</v>
      </c>
      <c r="G138" s="4" t="s">
        <v>2</v>
      </c>
      <c r="H138" s="25">
        <v>3050</v>
      </c>
      <c r="I138" s="8">
        <v>72</v>
      </c>
      <c r="J138" s="9">
        <v>72</v>
      </c>
      <c r="K138" s="7">
        <v>0</v>
      </c>
      <c r="L138" s="24">
        <f>+Tabla2[[#This Row],[Stock Inventario]]*Tabla2[[#This Row],[Coste LÃ­nea]]</f>
        <v>219600</v>
      </c>
      <c r="M138" s="24">
        <f>+Tabla2[[#This Row],[Variación Stock]]*Tabla2[[#This Row],[Coste LÃ­nea]]</f>
        <v>0</v>
      </c>
      <c r="N138" s="22" t="str">
        <f>+IF(Tabla2[[#This Row],[Variación Stock]]&gt;0,"Sobrante",IF(Tabla2[[#This Row],[Variación Stock]]&lt;0,"Faltante","Sin novedad"))</f>
        <v>Sin novedad</v>
      </c>
    </row>
    <row r="139" spans="1:14" x14ac:dyDescent="0.25">
      <c r="A139" s="11">
        <v>46053</v>
      </c>
      <c r="B139" s="5" t="s">
        <v>972</v>
      </c>
      <c r="C139" s="3" t="s">
        <v>213</v>
      </c>
      <c r="D139" s="5" t="s">
        <v>115</v>
      </c>
      <c r="E139" s="5" t="s">
        <v>112</v>
      </c>
      <c r="F139" s="6" t="s">
        <v>77</v>
      </c>
      <c r="G139" s="4" t="s">
        <v>2</v>
      </c>
      <c r="H139" s="25">
        <v>3080.03333333</v>
      </c>
      <c r="I139" s="8">
        <v>48</v>
      </c>
      <c r="J139" s="9">
        <v>46</v>
      </c>
      <c r="K139" s="7">
        <v>-2</v>
      </c>
      <c r="L139" s="24">
        <f>+Tabla2[[#This Row],[Stock Inventario]]*Tabla2[[#This Row],[Coste LÃ­nea]]</f>
        <v>141681.53333318001</v>
      </c>
      <c r="M139" s="24">
        <f>+Tabla2[[#This Row],[Variación Stock]]*Tabla2[[#This Row],[Coste LÃ­nea]]</f>
        <v>-6160.06666666</v>
      </c>
      <c r="N139" s="22" t="str">
        <f>+IF(Tabla2[[#This Row],[Variación Stock]]&gt;0,"Sobrante",IF(Tabla2[[#This Row],[Variación Stock]]&lt;0,"Faltante","Sin novedad"))</f>
        <v>Faltante</v>
      </c>
    </row>
    <row r="140" spans="1:14" x14ac:dyDescent="0.25">
      <c r="A140" s="11">
        <v>46037</v>
      </c>
      <c r="B140" s="5" t="s">
        <v>212</v>
      </c>
      <c r="C140" s="3" t="s">
        <v>213</v>
      </c>
      <c r="D140" s="5" t="s">
        <v>115</v>
      </c>
      <c r="E140" s="5" t="s">
        <v>112</v>
      </c>
      <c r="F140" s="6" t="s">
        <v>74</v>
      </c>
      <c r="G140" s="4" t="s">
        <v>2</v>
      </c>
      <c r="H140" s="25">
        <v>3465.2083333300002</v>
      </c>
      <c r="I140" s="8">
        <v>66</v>
      </c>
      <c r="J140" s="9">
        <v>65</v>
      </c>
      <c r="K140" s="15">
        <v>-1</v>
      </c>
      <c r="L140" s="25">
        <f>+Tabla2[[#This Row],[Stock Inventario]]*Tabla2[[#This Row],[Coste LÃ­nea]]</f>
        <v>225238.54166645001</v>
      </c>
      <c r="M140" s="24">
        <f>+Tabla2[[#This Row],[Variación Stock]]*Tabla2[[#This Row],[Coste LÃ­nea]]</f>
        <v>-3465.2083333300002</v>
      </c>
      <c r="N140" s="22" t="str">
        <f>+IF(Tabla2[[#This Row],[Variación Stock]]&gt;0,"Sobrante",IF(Tabla2[[#This Row],[Variación Stock]]&lt;0,"Faltante","Sin novedad"))</f>
        <v>Faltante</v>
      </c>
    </row>
    <row r="141" spans="1:14" hidden="1" x14ac:dyDescent="0.25">
      <c r="A141" s="11">
        <v>46037</v>
      </c>
      <c r="B141" s="5" t="s">
        <v>212</v>
      </c>
      <c r="C141" s="3" t="s">
        <v>213</v>
      </c>
      <c r="D141" s="5" t="s">
        <v>116</v>
      </c>
      <c r="E141" s="5" t="s">
        <v>117</v>
      </c>
      <c r="F141" s="6" t="s">
        <v>7</v>
      </c>
      <c r="G141" s="4" t="s">
        <v>2</v>
      </c>
      <c r="H141" s="24">
        <v>11188.88888889</v>
      </c>
      <c r="I141" s="8">
        <v>0</v>
      </c>
      <c r="J141" s="9">
        <v>0</v>
      </c>
      <c r="K141" s="7">
        <v>0</v>
      </c>
      <c r="L141" s="24">
        <f>+Tabla2[[#This Row],[Stock Inventario]]*Tabla2[[#This Row],[Coste LÃ­nea]]</f>
        <v>0</v>
      </c>
      <c r="M141" s="24">
        <f>+Tabla2[[#This Row],[Variación Stock]]*Tabla2[[#This Row],[Coste LÃ­nea]]</f>
        <v>0</v>
      </c>
      <c r="N141" s="22" t="str">
        <f>+IF(Tabla2[[#This Row],[Variación Stock]]&gt;0,"Sobrante",IF(Tabla2[[#This Row],[Variación Stock]]&lt;0,"Faltante","Sin novedad"))</f>
        <v>Sin novedad</v>
      </c>
    </row>
    <row r="142" spans="1:14" x14ac:dyDescent="0.25">
      <c r="A142" s="11">
        <v>46044</v>
      </c>
      <c r="B142" s="5" t="s">
        <v>383</v>
      </c>
      <c r="C142" s="3" t="s">
        <v>213</v>
      </c>
      <c r="D142" s="5" t="s">
        <v>115</v>
      </c>
      <c r="E142" s="5" t="s">
        <v>112</v>
      </c>
      <c r="F142" s="6" t="s">
        <v>74</v>
      </c>
      <c r="G142" s="4" t="s">
        <v>2</v>
      </c>
      <c r="H142" s="25">
        <v>3465.1666666699998</v>
      </c>
      <c r="I142" s="8">
        <v>121</v>
      </c>
      <c r="J142" s="9">
        <v>118</v>
      </c>
      <c r="K142" s="15">
        <v>-3</v>
      </c>
      <c r="L142" s="24">
        <f>+Tabla2[[#This Row],[Stock Inventario]]*Tabla2[[#This Row],[Coste LÃ­nea]]</f>
        <v>408889.66666706</v>
      </c>
      <c r="M142" s="24">
        <f>+Tabla2[[#This Row],[Variación Stock]]*Tabla2[[#This Row],[Coste LÃ­nea]]</f>
        <v>-10395.500000009999</v>
      </c>
      <c r="N142" s="22" t="str">
        <f>+IF(Tabla2[[#This Row],[Variación Stock]]&gt;0,"Sobrante",IF(Tabla2[[#This Row],[Variación Stock]]&lt;0,"Faltante","Sin novedad"))</f>
        <v>Faltante</v>
      </c>
    </row>
    <row r="143" spans="1:14" hidden="1" x14ac:dyDescent="0.25">
      <c r="A143" s="11">
        <v>46037</v>
      </c>
      <c r="B143" s="5" t="s">
        <v>212</v>
      </c>
      <c r="C143" s="3" t="s">
        <v>213</v>
      </c>
      <c r="D143" s="5" t="s">
        <v>120</v>
      </c>
      <c r="E143" s="5" t="s">
        <v>117</v>
      </c>
      <c r="F143" s="6" t="s">
        <v>269</v>
      </c>
      <c r="G143" s="4" t="s">
        <v>2</v>
      </c>
      <c r="H143" s="24">
        <v>3666.6666740000001</v>
      </c>
      <c r="I143" s="8">
        <v>-8</v>
      </c>
      <c r="J143" s="9">
        <v>16</v>
      </c>
      <c r="K143" s="7">
        <v>24</v>
      </c>
      <c r="L143" s="24">
        <f>+Tabla2[[#This Row],[Stock Inventario]]*Tabla2[[#This Row],[Coste LÃ­nea]]</f>
        <v>58666.666784000001</v>
      </c>
      <c r="M143" s="24">
        <f>+Tabla2[[#This Row],[Variación Stock]]*Tabla2[[#This Row],[Coste LÃ­nea]]</f>
        <v>88000.000176000001</v>
      </c>
      <c r="N143" s="22" t="str">
        <f>+IF(Tabla2[[#This Row],[Variación Stock]]&gt;0,"Sobrante",IF(Tabla2[[#This Row],[Variación Stock]]&lt;0,"Faltante","Sin novedad"))</f>
        <v>Sobrante</v>
      </c>
    </row>
    <row r="144" spans="1:14" hidden="1" x14ac:dyDescent="0.25">
      <c r="A144" s="11">
        <v>46037</v>
      </c>
      <c r="B144" s="5" t="s">
        <v>212</v>
      </c>
      <c r="C144" s="3" t="s">
        <v>213</v>
      </c>
      <c r="D144" s="5" t="s">
        <v>119</v>
      </c>
      <c r="E144" s="5" t="s">
        <v>117</v>
      </c>
      <c r="F144" s="6" t="s">
        <v>95</v>
      </c>
      <c r="G144" s="4" t="s">
        <v>1</v>
      </c>
      <c r="H144" s="24">
        <v>0</v>
      </c>
      <c r="I144" s="8">
        <v>2228.3332999999998</v>
      </c>
      <c r="J144" s="9">
        <v>1945</v>
      </c>
      <c r="K144" s="7">
        <v>-283.33327000000003</v>
      </c>
      <c r="L144" s="24">
        <f>+Tabla2[[#This Row],[Stock Inventario]]*Tabla2[[#This Row],[Coste LÃ­nea]]</f>
        <v>0</v>
      </c>
      <c r="M144" s="24">
        <f>+Tabla2[[#This Row],[Variación Stock]]*Tabla2[[#This Row],[Coste LÃ­nea]]</f>
        <v>0</v>
      </c>
      <c r="N144" s="22" t="str">
        <f>+IF(Tabla2[[#This Row],[Variación Stock]]&gt;0,"Sobrante",IF(Tabla2[[#This Row],[Variación Stock]]&lt;0,"Faltante","Sin novedad"))</f>
        <v>Faltante</v>
      </c>
    </row>
    <row r="145" spans="1:14" hidden="1" x14ac:dyDescent="0.25">
      <c r="A145" s="11">
        <v>46037</v>
      </c>
      <c r="B145" s="5" t="s">
        <v>212</v>
      </c>
      <c r="C145" s="3" t="s">
        <v>213</v>
      </c>
      <c r="D145" s="5" t="s">
        <v>116</v>
      </c>
      <c r="E145" s="5" t="s">
        <v>117</v>
      </c>
      <c r="F145" s="6" t="s">
        <v>255</v>
      </c>
      <c r="G145" s="4" t="s">
        <v>1</v>
      </c>
      <c r="H145" s="24">
        <v>30.990615219999999</v>
      </c>
      <c r="I145" s="8">
        <v>12016.889800000001</v>
      </c>
      <c r="J145" s="9">
        <v>0</v>
      </c>
      <c r="K145" s="7">
        <v>-12016.889794999999</v>
      </c>
      <c r="L145" s="24">
        <f>+Tabla2[[#This Row],[Stock Inventario]]*Tabla2[[#This Row],[Coste LÃ­nea]]</f>
        <v>0</v>
      </c>
      <c r="M145" s="24">
        <f>+Tabla2[[#This Row],[Variación Stock]]*Tabla2[[#This Row],[Coste LÃ­nea]]</f>
        <v>-372410.80777798966</v>
      </c>
      <c r="N145" s="22" t="str">
        <f>+IF(Tabla2[[#This Row],[Variación Stock]]&gt;0,"Sobrante",IF(Tabla2[[#This Row],[Variación Stock]]&lt;0,"Faltante","Sin novedad"))</f>
        <v>Faltante</v>
      </c>
    </row>
    <row r="146" spans="1:14" hidden="1" x14ac:dyDescent="0.25">
      <c r="A146" s="11">
        <v>46044</v>
      </c>
      <c r="B146" s="5" t="s">
        <v>383</v>
      </c>
      <c r="C146" s="3" t="s">
        <v>213</v>
      </c>
      <c r="D146" s="5" t="s">
        <v>116</v>
      </c>
      <c r="E146" s="5" t="s">
        <v>117</v>
      </c>
      <c r="F146" s="6" t="s">
        <v>255</v>
      </c>
      <c r="G146" s="4" t="s">
        <v>1</v>
      </c>
      <c r="H146" s="25">
        <v>32</v>
      </c>
      <c r="I146" s="8">
        <v>5075</v>
      </c>
      <c r="J146" s="9">
        <v>5065</v>
      </c>
      <c r="K146" s="7">
        <v>-10</v>
      </c>
      <c r="L146" s="24">
        <f>+Tabla2[[#This Row],[Stock Inventario]]*Tabla2[[#This Row],[Coste LÃ­nea]]</f>
        <v>162080</v>
      </c>
      <c r="M146" s="24">
        <f>+Tabla2[[#This Row],[Variación Stock]]*Tabla2[[#This Row],[Coste LÃ­nea]]</f>
        <v>-320</v>
      </c>
      <c r="N146" s="22" t="str">
        <f>+IF(Tabla2[[#This Row],[Variación Stock]]&gt;0,"Sobrante",IF(Tabla2[[#This Row],[Variación Stock]]&lt;0,"Faltante","Sin novedad"))</f>
        <v>Faltante</v>
      </c>
    </row>
    <row r="147" spans="1:14" x14ac:dyDescent="0.25">
      <c r="A147" s="11">
        <v>46053</v>
      </c>
      <c r="B147" s="5" t="s">
        <v>972</v>
      </c>
      <c r="C147" s="3" t="s">
        <v>213</v>
      </c>
      <c r="D147" s="5" t="s">
        <v>115</v>
      </c>
      <c r="E147" s="5" t="s">
        <v>112</v>
      </c>
      <c r="F147" s="6" t="s">
        <v>74</v>
      </c>
      <c r="G147" s="4" t="s">
        <v>2</v>
      </c>
      <c r="H147" s="25">
        <v>3465.2291666699998</v>
      </c>
      <c r="I147" s="8">
        <v>110</v>
      </c>
      <c r="J147" s="9">
        <v>108</v>
      </c>
      <c r="K147" s="7">
        <v>-2</v>
      </c>
      <c r="L147" s="24">
        <f>+Tabla2[[#This Row],[Stock Inventario]]*Tabla2[[#This Row],[Coste LÃ­nea]]</f>
        <v>374244.75000035996</v>
      </c>
      <c r="M147" s="24">
        <f>+Tabla2[[#This Row],[Variación Stock]]*Tabla2[[#This Row],[Coste LÃ­nea]]</f>
        <v>-6930.4583333399996</v>
      </c>
      <c r="N147" s="22" t="str">
        <f>+IF(Tabla2[[#This Row],[Variación Stock]]&gt;0,"Sobrante",IF(Tabla2[[#This Row],[Variación Stock]]&lt;0,"Faltante","Sin novedad"))</f>
        <v>Faltante</v>
      </c>
    </row>
    <row r="148" spans="1:14" hidden="1" x14ac:dyDescent="0.25">
      <c r="A148" s="11">
        <v>46037</v>
      </c>
      <c r="B148" s="5" t="s">
        <v>212</v>
      </c>
      <c r="C148" s="3" t="s">
        <v>213</v>
      </c>
      <c r="D148" s="5" t="s">
        <v>119</v>
      </c>
      <c r="E148" s="5" t="s">
        <v>117</v>
      </c>
      <c r="F148" s="6" t="s">
        <v>94</v>
      </c>
      <c r="G148" s="4" t="s">
        <v>2</v>
      </c>
      <c r="H148" s="24">
        <v>1600</v>
      </c>
      <c r="I148" s="8">
        <v>0</v>
      </c>
      <c r="J148" s="9">
        <v>0</v>
      </c>
      <c r="K148" s="7">
        <v>0</v>
      </c>
      <c r="L148" s="24">
        <f>+Tabla2[[#This Row],[Stock Inventario]]*Tabla2[[#This Row],[Coste LÃ­nea]]</f>
        <v>0</v>
      </c>
      <c r="M148" s="24">
        <f>+Tabla2[[#This Row],[Variación Stock]]*Tabla2[[#This Row],[Coste LÃ­nea]]</f>
        <v>0</v>
      </c>
      <c r="N148" s="22" t="str">
        <f>+IF(Tabla2[[#This Row],[Variación Stock]]&gt;0,"Sobrante",IF(Tabla2[[#This Row],[Variación Stock]]&lt;0,"Faltante","Sin novedad"))</f>
        <v>Sin novedad</v>
      </c>
    </row>
    <row r="149" spans="1:14" hidden="1" x14ac:dyDescent="0.25">
      <c r="A149" s="11">
        <v>46037</v>
      </c>
      <c r="B149" s="5" t="s">
        <v>212</v>
      </c>
      <c r="C149" s="3" t="s">
        <v>213</v>
      </c>
      <c r="D149" s="5" t="s">
        <v>116</v>
      </c>
      <c r="E149" s="5" t="s">
        <v>117</v>
      </c>
      <c r="F149" s="6" t="s">
        <v>5</v>
      </c>
      <c r="G149" s="4" t="s">
        <v>1</v>
      </c>
      <c r="H149" s="24">
        <v>22</v>
      </c>
      <c r="I149" s="8">
        <v>-2001.1102000000001</v>
      </c>
      <c r="J149" s="9">
        <v>0</v>
      </c>
      <c r="K149" s="7">
        <v>2001.110195</v>
      </c>
      <c r="L149" s="24">
        <f>+Tabla2[[#This Row],[Stock Inventario]]*Tabla2[[#This Row],[Coste LÃ­nea]]</f>
        <v>0</v>
      </c>
      <c r="M149" s="24">
        <f>+Tabla2[[#This Row],[Variación Stock]]*Tabla2[[#This Row],[Coste LÃ­nea]]</f>
        <v>44024.424290000003</v>
      </c>
      <c r="N149" s="22" t="str">
        <f>+IF(Tabla2[[#This Row],[Variación Stock]]&gt;0,"Sobrante",IF(Tabla2[[#This Row],[Variación Stock]]&lt;0,"Faltante","Sin novedad"))</f>
        <v>Sobrante</v>
      </c>
    </row>
    <row r="150" spans="1:14" hidden="1" x14ac:dyDescent="0.25">
      <c r="A150" s="11">
        <v>46044</v>
      </c>
      <c r="B150" s="5" t="s">
        <v>383</v>
      </c>
      <c r="C150" s="3" t="s">
        <v>213</v>
      </c>
      <c r="D150" s="5" t="s">
        <v>116</v>
      </c>
      <c r="E150" s="5" t="s">
        <v>117</v>
      </c>
      <c r="F150" s="6" t="s">
        <v>5</v>
      </c>
      <c r="G150" s="4" t="s">
        <v>1</v>
      </c>
      <c r="H150" s="25">
        <v>22</v>
      </c>
      <c r="I150" s="8">
        <v>5000</v>
      </c>
      <c r="J150" s="9">
        <v>0</v>
      </c>
      <c r="K150" s="7">
        <v>-5000</v>
      </c>
      <c r="L150" s="24">
        <f>+Tabla2[[#This Row],[Stock Inventario]]*Tabla2[[#This Row],[Coste LÃ­nea]]</f>
        <v>0</v>
      </c>
      <c r="M150" s="24">
        <f>+Tabla2[[#This Row],[Variación Stock]]*Tabla2[[#This Row],[Coste LÃ­nea]]</f>
        <v>-110000</v>
      </c>
      <c r="N150" s="22" t="str">
        <f>+IF(Tabla2[[#This Row],[Variación Stock]]&gt;0,"Sobrante",IF(Tabla2[[#This Row],[Variación Stock]]&lt;0,"Faltante","Sin novedad"))</f>
        <v>Faltante</v>
      </c>
    </row>
    <row r="151" spans="1:14" hidden="1" x14ac:dyDescent="0.25">
      <c r="A151" s="11">
        <v>46037</v>
      </c>
      <c r="B151" s="5" t="s">
        <v>212</v>
      </c>
      <c r="C151" s="3" t="s">
        <v>213</v>
      </c>
      <c r="D151" s="5" t="s">
        <v>116</v>
      </c>
      <c r="E151" s="5" t="s">
        <v>117</v>
      </c>
      <c r="F151" s="6" t="s">
        <v>162</v>
      </c>
      <c r="G151" s="4" t="s">
        <v>2</v>
      </c>
      <c r="H151" s="24">
        <v>17053.33333333</v>
      </c>
      <c r="I151" s="8">
        <v>8.5</v>
      </c>
      <c r="J151" s="9">
        <v>9</v>
      </c>
      <c r="K151" s="7">
        <v>0.5</v>
      </c>
      <c r="L151" s="24">
        <f>+Tabla2[[#This Row],[Stock Inventario]]*Tabla2[[#This Row],[Coste LÃ­nea]]</f>
        <v>153479.99999996999</v>
      </c>
      <c r="M151" s="24">
        <f>+Tabla2[[#This Row],[Variación Stock]]*Tabla2[[#This Row],[Coste LÃ­nea]]</f>
        <v>8526.6666666649999</v>
      </c>
      <c r="N151" s="22" t="str">
        <f>+IF(Tabla2[[#This Row],[Variación Stock]]&gt;0,"Sobrante",IF(Tabla2[[#This Row],[Variación Stock]]&lt;0,"Faltante","Sin novedad"))</f>
        <v>Sobrante</v>
      </c>
    </row>
    <row r="152" spans="1:14" hidden="1" x14ac:dyDescent="0.25">
      <c r="A152" s="11">
        <v>46037</v>
      </c>
      <c r="B152" s="5" t="s">
        <v>212</v>
      </c>
      <c r="C152" s="3" t="s">
        <v>213</v>
      </c>
      <c r="D152" s="5" t="s">
        <v>120</v>
      </c>
      <c r="E152" s="5" t="s">
        <v>117</v>
      </c>
      <c r="F152" s="6" t="s">
        <v>265</v>
      </c>
      <c r="G152" s="4" t="s">
        <v>2</v>
      </c>
      <c r="H152" s="24">
        <v>121606.25564468</v>
      </c>
      <c r="I152" s="8">
        <v>20</v>
      </c>
      <c r="J152" s="9">
        <v>20</v>
      </c>
      <c r="K152" s="7">
        <v>0</v>
      </c>
      <c r="L152" s="24">
        <f>+Tabla2[[#This Row],[Stock Inventario]]*Tabla2[[#This Row],[Coste LÃ­nea]]</f>
        <v>2432125.1128936</v>
      </c>
      <c r="M152" s="24">
        <f>+Tabla2[[#This Row],[Variación Stock]]*Tabla2[[#This Row],[Coste LÃ­nea]]</f>
        <v>0</v>
      </c>
      <c r="N152" s="22" t="str">
        <f>+IF(Tabla2[[#This Row],[Variación Stock]]&gt;0,"Sobrante",IF(Tabla2[[#This Row],[Variación Stock]]&lt;0,"Faltante","Sin novedad"))</f>
        <v>Sin novedad</v>
      </c>
    </row>
    <row r="153" spans="1:14" x14ac:dyDescent="0.25">
      <c r="A153" s="11">
        <v>46037</v>
      </c>
      <c r="B153" s="5" t="s">
        <v>212</v>
      </c>
      <c r="C153" s="3" t="s">
        <v>213</v>
      </c>
      <c r="D153" s="5" t="s">
        <v>115</v>
      </c>
      <c r="E153" s="5" t="s">
        <v>112</v>
      </c>
      <c r="F153" s="6" t="s">
        <v>78</v>
      </c>
      <c r="G153" s="4" t="s">
        <v>2</v>
      </c>
      <c r="H153" s="24">
        <v>3416.64355742</v>
      </c>
      <c r="I153" s="8">
        <v>146</v>
      </c>
      <c r="J153" s="9">
        <v>140</v>
      </c>
      <c r="K153" s="7">
        <v>-6</v>
      </c>
      <c r="L153" s="25">
        <f>+Tabla2[[#This Row],[Stock Inventario]]*Tabla2[[#This Row],[Coste LÃ­nea]]</f>
        <v>478330.0980388</v>
      </c>
      <c r="M153" s="24">
        <f>+Tabla2[[#This Row],[Variación Stock]]*Tabla2[[#This Row],[Coste LÃ­nea]]</f>
        <v>-20499.861344519999</v>
      </c>
      <c r="N153" s="22" t="str">
        <f>+IF(Tabla2[[#This Row],[Variación Stock]]&gt;0,"Sobrante",IF(Tabla2[[#This Row],[Variación Stock]]&lt;0,"Faltante","Sin novedad"))</f>
        <v>Faltante</v>
      </c>
    </row>
    <row r="154" spans="1:14" x14ac:dyDescent="0.25">
      <c r="A154" s="11">
        <v>46044</v>
      </c>
      <c r="B154" s="5" t="s">
        <v>383</v>
      </c>
      <c r="C154" s="3" t="s">
        <v>213</v>
      </c>
      <c r="D154" s="5" t="s">
        <v>115</v>
      </c>
      <c r="E154" s="5" t="s">
        <v>112</v>
      </c>
      <c r="F154" s="6" t="s">
        <v>78</v>
      </c>
      <c r="G154" s="4" t="s">
        <v>2</v>
      </c>
      <c r="H154" s="25">
        <v>3416.64355742</v>
      </c>
      <c r="I154" s="8">
        <v>133</v>
      </c>
      <c r="J154" s="9">
        <v>139</v>
      </c>
      <c r="K154" s="7">
        <v>6</v>
      </c>
      <c r="L154" s="24">
        <f>+Tabla2[[#This Row],[Stock Inventario]]*Tabla2[[#This Row],[Coste LÃ­nea]]</f>
        <v>474913.45448138</v>
      </c>
      <c r="M154" s="24">
        <f>+Tabla2[[#This Row],[Variación Stock]]*Tabla2[[#This Row],[Coste LÃ­nea]]</f>
        <v>20499.861344519999</v>
      </c>
      <c r="N154" s="22" t="str">
        <f>+IF(Tabla2[[#This Row],[Variación Stock]]&gt;0,"Sobrante",IF(Tabla2[[#This Row],[Variación Stock]]&lt;0,"Faltante","Sin novedad"))</f>
        <v>Sobrante</v>
      </c>
    </row>
    <row r="155" spans="1:14" x14ac:dyDescent="0.25">
      <c r="A155" s="11">
        <v>46053</v>
      </c>
      <c r="B155" s="5" t="s">
        <v>972</v>
      </c>
      <c r="C155" s="3" t="s">
        <v>213</v>
      </c>
      <c r="D155" s="5" t="s">
        <v>115</v>
      </c>
      <c r="E155" s="5" t="s">
        <v>112</v>
      </c>
      <c r="F155" s="6" t="s">
        <v>78</v>
      </c>
      <c r="G155" s="4" t="s">
        <v>2</v>
      </c>
      <c r="H155" s="25">
        <v>2683.3333333300002</v>
      </c>
      <c r="I155" s="8">
        <v>359</v>
      </c>
      <c r="J155" s="9">
        <v>359</v>
      </c>
      <c r="K155" s="7">
        <v>0</v>
      </c>
      <c r="L155" s="24">
        <f>+Tabla2[[#This Row],[Stock Inventario]]*Tabla2[[#This Row],[Coste LÃ­nea]]</f>
        <v>963316.66666547011</v>
      </c>
      <c r="M155" s="24">
        <f>+Tabla2[[#This Row],[Variación Stock]]*Tabla2[[#This Row],[Coste LÃ­nea]]</f>
        <v>0</v>
      </c>
      <c r="N155" s="22" t="str">
        <f>+IF(Tabla2[[#This Row],[Variación Stock]]&gt;0,"Sobrante",IF(Tabla2[[#This Row],[Variación Stock]]&lt;0,"Faltante","Sin novedad"))</f>
        <v>Sin novedad</v>
      </c>
    </row>
    <row r="156" spans="1:14" x14ac:dyDescent="0.25">
      <c r="A156" s="11">
        <v>46037</v>
      </c>
      <c r="B156" s="5" t="s">
        <v>212</v>
      </c>
      <c r="C156" s="3" t="s">
        <v>213</v>
      </c>
      <c r="D156" s="5" t="s">
        <v>115</v>
      </c>
      <c r="E156" s="5" t="s">
        <v>112</v>
      </c>
      <c r="F156" s="6" t="s">
        <v>236</v>
      </c>
      <c r="G156" s="4" t="s">
        <v>2</v>
      </c>
      <c r="H156" s="24">
        <v>0</v>
      </c>
      <c r="I156" s="8">
        <v>0</v>
      </c>
      <c r="J156" s="9">
        <v>0</v>
      </c>
      <c r="K156" s="7">
        <v>0</v>
      </c>
      <c r="L156" s="24">
        <f>+Tabla2[[#This Row],[Stock Inventario]]*Tabla2[[#This Row],[Coste LÃ­nea]]</f>
        <v>0</v>
      </c>
      <c r="M156" s="24">
        <f>+Tabla2[[#This Row],[Variación Stock]]*Tabla2[[#This Row],[Coste LÃ­nea]]</f>
        <v>0</v>
      </c>
      <c r="N156" s="22" t="str">
        <f>+IF(Tabla2[[#This Row],[Variación Stock]]&gt;0,"Sobrante",IF(Tabla2[[#This Row],[Variación Stock]]&lt;0,"Faltante","Sin novedad"))</f>
        <v>Sin novedad</v>
      </c>
    </row>
    <row r="157" spans="1:14" x14ac:dyDescent="0.25">
      <c r="A157" s="11">
        <v>46044</v>
      </c>
      <c r="B157" s="5" t="s">
        <v>383</v>
      </c>
      <c r="C157" s="3" t="s">
        <v>213</v>
      </c>
      <c r="D157" s="5" t="s">
        <v>115</v>
      </c>
      <c r="E157" s="5" t="s">
        <v>112</v>
      </c>
      <c r="F157" s="6" t="s">
        <v>236</v>
      </c>
      <c r="G157" s="4" t="s">
        <v>2</v>
      </c>
      <c r="H157" s="25">
        <v>0</v>
      </c>
      <c r="I157" s="8">
        <v>0</v>
      </c>
      <c r="J157" s="9">
        <v>0</v>
      </c>
      <c r="K157" s="7">
        <v>0</v>
      </c>
      <c r="L157" s="24">
        <f>+Tabla2[[#This Row],[Stock Inventario]]*Tabla2[[#This Row],[Coste LÃ­nea]]</f>
        <v>0</v>
      </c>
      <c r="M157" s="24">
        <f>+Tabla2[[#This Row],[Variación Stock]]*Tabla2[[#This Row],[Coste LÃ­nea]]</f>
        <v>0</v>
      </c>
      <c r="N157" s="22" t="str">
        <f>+IF(Tabla2[[#This Row],[Variación Stock]]&gt;0,"Sobrante",IF(Tabla2[[#This Row],[Variación Stock]]&lt;0,"Faltante","Sin novedad"))</f>
        <v>Sin novedad</v>
      </c>
    </row>
    <row r="158" spans="1:14" hidden="1" x14ac:dyDescent="0.25">
      <c r="A158" s="11">
        <v>46044</v>
      </c>
      <c r="B158" s="5" t="s">
        <v>383</v>
      </c>
      <c r="C158" s="3" t="s">
        <v>213</v>
      </c>
      <c r="D158" s="5" t="s">
        <v>116</v>
      </c>
      <c r="E158" s="5" t="s">
        <v>117</v>
      </c>
      <c r="F158" s="6" t="s">
        <v>162</v>
      </c>
      <c r="G158" s="4" t="s">
        <v>2</v>
      </c>
      <c r="H158" s="25">
        <v>16550</v>
      </c>
      <c r="I158" s="8">
        <v>21.5</v>
      </c>
      <c r="J158" s="9">
        <v>23</v>
      </c>
      <c r="K158" s="7">
        <v>1.5</v>
      </c>
      <c r="L158" s="24">
        <f>+Tabla2[[#This Row],[Stock Inventario]]*Tabla2[[#This Row],[Coste LÃ­nea]]</f>
        <v>380650</v>
      </c>
      <c r="M158" s="24">
        <f>+Tabla2[[#This Row],[Variación Stock]]*Tabla2[[#This Row],[Coste LÃ­nea]]</f>
        <v>24825</v>
      </c>
      <c r="N158" s="22" t="str">
        <f>+IF(Tabla2[[#This Row],[Variación Stock]]&gt;0,"Sobrante",IF(Tabla2[[#This Row],[Variación Stock]]&lt;0,"Faltante","Sin novedad"))</f>
        <v>Sobrante</v>
      </c>
    </row>
    <row r="159" spans="1:14" hidden="1" x14ac:dyDescent="0.25">
      <c r="A159" s="11">
        <v>46037</v>
      </c>
      <c r="B159" s="5" t="s">
        <v>212</v>
      </c>
      <c r="C159" s="3" t="s">
        <v>213</v>
      </c>
      <c r="D159" s="5" t="s">
        <v>116</v>
      </c>
      <c r="E159" s="5" t="s">
        <v>117</v>
      </c>
      <c r="F159" s="6" t="s">
        <v>164</v>
      </c>
      <c r="G159" s="4" t="s">
        <v>2</v>
      </c>
      <c r="H159" s="24">
        <v>11459.77011494</v>
      </c>
      <c r="I159" s="8">
        <v>53</v>
      </c>
      <c r="J159" s="9">
        <v>0</v>
      </c>
      <c r="K159" s="15">
        <v>-53</v>
      </c>
      <c r="L159" s="24">
        <f>+Tabla2[[#This Row],[Stock Inventario]]*Tabla2[[#This Row],[Coste LÃ­nea]]</f>
        <v>0</v>
      </c>
      <c r="M159" s="24">
        <f>+Tabla2[[#This Row],[Variación Stock]]*Tabla2[[#This Row],[Coste LÃ­nea]]</f>
        <v>-607367.81609182002</v>
      </c>
      <c r="N159" s="22" t="str">
        <f>+IF(Tabla2[[#This Row],[Variación Stock]]&gt;0,"Sobrante",IF(Tabla2[[#This Row],[Variación Stock]]&lt;0,"Faltante","Sin novedad"))</f>
        <v>Faltante</v>
      </c>
    </row>
    <row r="160" spans="1:14" hidden="1" x14ac:dyDescent="0.25">
      <c r="A160" s="11">
        <v>46044</v>
      </c>
      <c r="B160" s="5" t="s">
        <v>383</v>
      </c>
      <c r="C160" s="3" t="s">
        <v>213</v>
      </c>
      <c r="D160" s="5" t="s">
        <v>116</v>
      </c>
      <c r="E160" s="5" t="s">
        <v>117</v>
      </c>
      <c r="F160" s="6" t="s">
        <v>164</v>
      </c>
      <c r="G160" s="4" t="s">
        <v>2</v>
      </c>
      <c r="H160" s="25">
        <v>11532.5</v>
      </c>
      <c r="I160" s="8">
        <v>4</v>
      </c>
      <c r="J160" s="9">
        <v>0</v>
      </c>
      <c r="K160" s="15">
        <v>-4</v>
      </c>
      <c r="L160" s="24">
        <f>+Tabla2[[#This Row],[Stock Inventario]]*Tabla2[[#This Row],[Coste LÃ­nea]]</f>
        <v>0</v>
      </c>
      <c r="M160" s="24">
        <f>+Tabla2[[#This Row],[Variación Stock]]*Tabla2[[#This Row],[Coste LÃ­nea]]</f>
        <v>-46130</v>
      </c>
      <c r="N160" s="22" t="str">
        <f>+IF(Tabla2[[#This Row],[Variación Stock]]&gt;0,"Sobrante",IF(Tabla2[[#This Row],[Variación Stock]]&lt;0,"Faltante","Sin novedad"))</f>
        <v>Faltante</v>
      </c>
    </row>
    <row r="161" spans="1:14" hidden="1" x14ac:dyDescent="0.25">
      <c r="A161" s="11">
        <v>46037</v>
      </c>
      <c r="B161" s="5" t="s">
        <v>212</v>
      </c>
      <c r="C161" s="3" t="s">
        <v>213</v>
      </c>
      <c r="D161" s="5" t="s">
        <v>120</v>
      </c>
      <c r="E161" s="5" t="s">
        <v>117</v>
      </c>
      <c r="F161" s="6" t="s">
        <v>257</v>
      </c>
      <c r="G161" s="4" t="s">
        <v>1</v>
      </c>
      <c r="H161" s="24">
        <v>15.38461758</v>
      </c>
      <c r="I161" s="8">
        <v>-187515</v>
      </c>
      <c r="J161" s="9">
        <v>0</v>
      </c>
      <c r="K161" s="7">
        <v>187515</v>
      </c>
      <c r="L161" s="24">
        <f>+Tabla2[[#This Row],[Stock Inventario]]*Tabla2[[#This Row],[Coste LÃ­nea]]</f>
        <v>0</v>
      </c>
      <c r="M161" s="24">
        <f>+Tabla2[[#This Row],[Variación Stock]]*Tabla2[[#This Row],[Coste LÃ­nea]]</f>
        <v>2884846.5655137002</v>
      </c>
      <c r="N161" s="22" t="str">
        <f>+IF(Tabla2[[#This Row],[Variación Stock]]&gt;0,"Sobrante",IF(Tabla2[[#This Row],[Variación Stock]]&lt;0,"Faltante","Sin novedad"))</f>
        <v>Sobrante</v>
      </c>
    </row>
    <row r="162" spans="1:14" x14ac:dyDescent="0.25">
      <c r="A162" s="11">
        <v>46053</v>
      </c>
      <c r="B162" s="5" t="s">
        <v>972</v>
      </c>
      <c r="C162" s="3" t="s">
        <v>213</v>
      </c>
      <c r="D162" s="5" t="s">
        <v>115</v>
      </c>
      <c r="E162" s="5" t="s">
        <v>112</v>
      </c>
      <c r="F162" s="6" t="s">
        <v>236</v>
      </c>
      <c r="G162" s="4" t="s">
        <v>2</v>
      </c>
      <c r="H162" s="25">
        <v>3261.8333333300002</v>
      </c>
      <c r="I162" s="8">
        <v>0</v>
      </c>
      <c r="J162" s="9">
        <v>0</v>
      </c>
      <c r="K162" s="7">
        <v>0</v>
      </c>
      <c r="L162" s="24">
        <f>+Tabla2[[#This Row],[Stock Inventario]]*Tabla2[[#This Row],[Coste LÃ­nea]]</f>
        <v>0</v>
      </c>
      <c r="M162" s="24">
        <f>+Tabla2[[#This Row],[Variación Stock]]*Tabla2[[#This Row],[Coste LÃ­nea]]</f>
        <v>0</v>
      </c>
      <c r="N162" s="22" t="str">
        <f>+IF(Tabla2[[#This Row],[Variación Stock]]&gt;0,"Sobrante",IF(Tabla2[[#This Row],[Variación Stock]]&lt;0,"Faltante","Sin novedad"))</f>
        <v>Sin novedad</v>
      </c>
    </row>
    <row r="163" spans="1:14" hidden="1" x14ac:dyDescent="0.25">
      <c r="A163" s="11">
        <v>46044</v>
      </c>
      <c r="B163" s="5" t="s">
        <v>383</v>
      </c>
      <c r="C163" s="3" t="s">
        <v>213</v>
      </c>
      <c r="D163" s="5" t="s">
        <v>120</v>
      </c>
      <c r="E163" s="5" t="s">
        <v>117</v>
      </c>
      <c r="F163" s="6" t="s">
        <v>391</v>
      </c>
      <c r="G163" s="4" t="s">
        <v>1</v>
      </c>
      <c r="H163" s="25">
        <v>11.91881345</v>
      </c>
      <c r="I163" s="8">
        <v>-275700</v>
      </c>
      <c r="J163" s="9">
        <v>147400</v>
      </c>
      <c r="K163" s="7">
        <v>423100</v>
      </c>
      <c r="L163" s="24">
        <f>+Tabla2[[#This Row],[Stock Inventario]]*Tabla2[[#This Row],[Coste LÃ­nea]]</f>
        <v>1756833.10253</v>
      </c>
      <c r="M163" s="24">
        <f>+Tabla2[[#This Row],[Variación Stock]]*Tabla2[[#This Row],[Coste LÃ­nea]]</f>
        <v>5042849.9706950001</v>
      </c>
      <c r="N163" s="22" t="str">
        <f>+IF(Tabla2[[#This Row],[Variación Stock]]&gt;0,"Sobrante",IF(Tabla2[[#This Row],[Variación Stock]]&lt;0,"Faltante","Sin novedad"))</f>
        <v>Sobrante</v>
      </c>
    </row>
    <row r="164" spans="1:14" x14ac:dyDescent="0.25">
      <c r="A164" s="11">
        <v>46037</v>
      </c>
      <c r="B164" s="5" t="s">
        <v>212</v>
      </c>
      <c r="C164" s="3" t="s">
        <v>213</v>
      </c>
      <c r="D164" s="5" t="s">
        <v>115</v>
      </c>
      <c r="E164" s="5" t="s">
        <v>112</v>
      </c>
      <c r="F164" s="6" t="s">
        <v>75</v>
      </c>
      <c r="G164" s="4" t="s">
        <v>2</v>
      </c>
      <c r="H164" s="24">
        <v>2298</v>
      </c>
      <c r="I164" s="8">
        <v>43.325600000000001</v>
      </c>
      <c r="J164" s="9">
        <v>0</v>
      </c>
      <c r="K164" s="7">
        <v>-43.32555</v>
      </c>
      <c r="L164" s="24">
        <f>+Tabla2[[#This Row],[Stock Inventario]]*Tabla2[[#This Row],[Coste LÃ­nea]]</f>
        <v>0</v>
      </c>
      <c r="M164" s="24">
        <f>+Tabla2[[#This Row],[Variación Stock]]*Tabla2[[#This Row],[Coste LÃ­nea]]</f>
        <v>-99562.113899999997</v>
      </c>
      <c r="N164" s="22" t="str">
        <f>+IF(Tabla2[[#This Row],[Variación Stock]]&gt;0,"Sobrante",IF(Tabla2[[#This Row],[Variación Stock]]&lt;0,"Faltante","Sin novedad"))</f>
        <v>Faltante</v>
      </c>
    </row>
    <row r="165" spans="1:14" x14ac:dyDescent="0.25">
      <c r="A165" s="11">
        <v>46044</v>
      </c>
      <c r="B165" s="5" t="s">
        <v>383</v>
      </c>
      <c r="C165" s="3" t="s">
        <v>213</v>
      </c>
      <c r="D165" s="5" t="s">
        <v>115</v>
      </c>
      <c r="E165" s="5" t="s">
        <v>112</v>
      </c>
      <c r="F165" s="6" t="s">
        <v>367</v>
      </c>
      <c r="G165" s="4" t="s">
        <v>2</v>
      </c>
      <c r="H165" s="25">
        <v>2298.1333333299999</v>
      </c>
      <c r="I165" s="8">
        <v>20</v>
      </c>
      <c r="J165" s="9">
        <v>0</v>
      </c>
      <c r="K165" s="7">
        <v>-20</v>
      </c>
      <c r="L165" s="24">
        <f>+Tabla2[[#This Row],[Stock Inventario]]*Tabla2[[#This Row],[Coste LÃ­nea]]</f>
        <v>0</v>
      </c>
      <c r="M165" s="24">
        <f>+Tabla2[[#This Row],[Variación Stock]]*Tabla2[[#This Row],[Coste LÃ­nea]]</f>
        <v>-45962.666666599995</v>
      </c>
      <c r="N165" s="22" t="str">
        <f>+IF(Tabla2[[#This Row],[Variación Stock]]&gt;0,"Sobrante",IF(Tabla2[[#This Row],[Variación Stock]]&lt;0,"Faltante","Sin novedad"))</f>
        <v>Faltante</v>
      </c>
    </row>
    <row r="166" spans="1:14" x14ac:dyDescent="0.25">
      <c r="A166" s="11">
        <v>46053</v>
      </c>
      <c r="B166" s="5" t="s">
        <v>972</v>
      </c>
      <c r="C166" s="3" t="s">
        <v>213</v>
      </c>
      <c r="D166" s="5" t="s">
        <v>115</v>
      </c>
      <c r="E166" s="5" t="s">
        <v>112</v>
      </c>
      <c r="F166" s="6" t="s">
        <v>367</v>
      </c>
      <c r="G166" s="4" t="s">
        <v>2</v>
      </c>
      <c r="H166" s="25">
        <v>2298.1333333299999</v>
      </c>
      <c r="I166" s="8">
        <v>-26</v>
      </c>
      <c r="J166" s="9">
        <v>10</v>
      </c>
      <c r="K166" s="7">
        <v>36</v>
      </c>
      <c r="L166" s="24">
        <f>+Tabla2[[#This Row],[Stock Inventario]]*Tabla2[[#This Row],[Coste LÃ­nea]]</f>
        <v>22981.333333299997</v>
      </c>
      <c r="M166" s="24">
        <f>+Tabla2[[#This Row],[Variación Stock]]*Tabla2[[#This Row],[Coste LÃ­nea]]</f>
        <v>82732.799999879993</v>
      </c>
      <c r="N166" s="22" t="str">
        <f>+IF(Tabla2[[#This Row],[Variación Stock]]&gt;0,"Sobrante",IF(Tabla2[[#This Row],[Variación Stock]]&lt;0,"Faltante","Sin novedad"))</f>
        <v>Sobrante</v>
      </c>
    </row>
    <row r="167" spans="1:14" hidden="1" x14ac:dyDescent="0.25">
      <c r="A167" s="11">
        <v>46037</v>
      </c>
      <c r="B167" s="5" t="s">
        <v>212</v>
      </c>
      <c r="C167" s="3" t="s">
        <v>213</v>
      </c>
      <c r="D167" s="5" t="s">
        <v>120</v>
      </c>
      <c r="E167" s="5" t="s">
        <v>117</v>
      </c>
      <c r="F167" s="6" t="s">
        <v>258</v>
      </c>
      <c r="G167" s="4" t="s">
        <v>1</v>
      </c>
      <c r="H167" s="24">
        <v>48.270320429999998</v>
      </c>
      <c r="I167" s="8">
        <v>3410</v>
      </c>
      <c r="J167" s="9">
        <v>3685</v>
      </c>
      <c r="K167" s="7">
        <v>275</v>
      </c>
      <c r="L167" s="24">
        <f>+Tabla2[[#This Row],[Stock Inventario]]*Tabla2[[#This Row],[Coste LÃ­nea]]</f>
        <v>177876.13078454998</v>
      </c>
      <c r="M167" s="24">
        <f>+Tabla2[[#This Row],[Variación Stock]]*Tabla2[[#This Row],[Coste LÃ­nea]]</f>
        <v>13274.33811825</v>
      </c>
      <c r="N167" s="22" t="str">
        <f>+IF(Tabla2[[#This Row],[Variación Stock]]&gt;0,"Sobrante",IF(Tabla2[[#This Row],[Variación Stock]]&lt;0,"Faltante","Sin novedad"))</f>
        <v>Sobrante</v>
      </c>
    </row>
    <row r="168" spans="1:14" hidden="1" x14ac:dyDescent="0.25">
      <c r="A168" s="11">
        <v>46044</v>
      </c>
      <c r="B168" s="5" t="s">
        <v>383</v>
      </c>
      <c r="C168" s="3" t="s">
        <v>213</v>
      </c>
      <c r="D168" s="5" t="s">
        <v>120</v>
      </c>
      <c r="E168" s="5" t="s">
        <v>117</v>
      </c>
      <c r="F168" s="6" t="s">
        <v>265</v>
      </c>
      <c r="G168" s="4" t="s">
        <v>2</v>
      </c>
      <c r="H168" s="25">
        <v>121606.25564468</v>
      </c>
      <c r="I168" s="8">
        <v>10</v>
      </c>
      <c r="J168" s="9">
        <v>10</v>
      </c>
      <c r="K168" s="7">
        <v>0</v>
      </c>
      <c r="L168" s="24">
        <f>+Tabla2[[#This Row],[Stock Inventario]]*Tabla2[[#This Row],[Coste LÃ­nea]]</f>
        <v>1216062.5564468</v>
      </c>
      <c r="M168" s="24">
        <f>+Tabla2[[#This Row],[Variación Stock]]*Tabla2[[#This Row],[Coste LÃ­nea]]</f>
        <v>0</v>
      </c>
      <c r="N168" s="22" t="str">
        <f>+IF(Tabla2[[#This Row],[Variación Stock]]&gt;0,"Sobrante",IF(Tabla2[[#This Row],[Variación Stock]]&lt;0,"Faltante","Sin novedad"))</f>
        <v>Sin novedad</v>
      </c>
    </row>
    <row r="169" spans="1:14" x14ac:dyDescent="0.25">
      <c r="A169" s="11">
        <v>46044</v>
      </c>
      <c r="B169" s="5" t="s">
        <v>383</v>
      </c>
      <c r="C169" s="3" t="s">
        <v>213</v>
      </c>
      <c r="D169" s="5" t="s">
        <v>115</v>
      </c>
      <c r="E169" s="5" t="s">
        <v>112</v>
      </c>
      <c r="F169" s="6" t="s">
        <v>368</v>
      </c>
      <c r="G169" s="4" t="s">
        <v>2</v>
      </c>
      <c r="H169" s="25">
        <v>2298.1166666700001</v>
      </c>
      <c r="I169" s="8">
        <v>23</v>
      </c>
      <c r="J169" s="9">
        <v>30</v>
      </c>
      <c r="K169" s="7">
        <v>7</v>
      </c>
      <c r="L169" s="24">
        <f>+Tabla2[[#This Row],[Stock Inventario]]*Tabla2[[#This Row],[Coste LÃ­nea]]</f>
        <v>68943.500000100001</v>
      </c>
      <c r="M169" s="24">
        <f>+Tabla2[[#This Row],[Variación Stock]]*Tabla2[[#This Row],[Coste LÃ­nea]]</f>
        <v>16086.81666669</v>
      </c>
      <c r="N169" s="22" t="str">
        <f>+IF(Tabla2[[#This Row],[Variación Stock]]&gt;0,"Sobrante",IF(Tabla2[[#This Row],[Variación Stock]]&lt;0,"Faltante","Sin novedad"))</f>
        <v>Sobrante</v>
      </c>
    </row>
    <row r="170" spans="1:14" x14ac:dyDescent="0.25">
      <c r="A170" s="11">
        <v>46053</v>
      </c>
      <c r="B170" s="5" t="s">
        <v>972</v>
      </c>
      <c r="C170" s="3" t="s">
        <v>213</v>
      </c>
      <c r="D170" s="5" t="s">
        <v>115</v>
      </c>
      <c r="E170" s="5" t="s">
        <v>112</v>
      </c>
      <c r="F170" s="6" t="s">
        <v>368</v>
      </c>
      <c r="G170" s="4" t="s">
        <v>2</v>
      </c>
      <c r="H170" s="25">
        <v>3099.6666666699998</v>
      </c>
      <c r="I170" s="8">
        <v>30</v>
      </c>
      <c r="J170" s="9">
        <v>10</v>
      </c>
      <c r="K170" s="7">
        <v>-20</v>
      </c>
      <c r="L170" s="24">
        <f>+Tabla2[[#This Row],[Stock Inventario]]*Tabla2[[#This Row],[Coste LÃ­nea]]</f>
        <v>30996.666666699999</v>
      </c>
      <c r="M170" s="24">
        <f>+Tabla2[[#This Row],[Variación Stock]]*Tabla2[[#This Row],[Coste LÃ­nea]]</f>
        <v>-61993.333333399998</v>
      </c>
      <c r="N170" s="22" t="str">
        <f>+IF(Tabla2[[#This Row],[Variación Stock]]&gt;0,"Sobrante",IF(Tabla2[[#This Row],[Variación Stock]]&lt;0,"Faltante","Sin novedad"))</f>
        <v>Faltante</v>
      </c>
    </row>
    <row r="171" spans="1:14" hidden="1" x14ac:dyDescent="0.25">
      <c r="A171" s="11">
        <v>46044</v>
      </c>
      <c r="B171" s="5" t="s">
        <v>383</v>
      </c>
      <c r="C171" s="3" t="s">
        <v>213</v>
      </c>
      <c r="D171" s="5" t="s">
        <v>120</v>
      </c>
      <c r="E171" s="5" t="s">
        <v>117</v>
      </c>
      <c r="F171" s="6" t="s">
        <v>258</v>
      </c>
      <c r="G171" s="4" t="s">
        <v>1</v>
      </c>
      <c r="H171" s="25">
        <v>49.744959129999998</v>
      </c>
      <c r="I171" s="8">
        <v>2485</v>
      </c>
      <c r="J171" s="9">
        <v>2330</v>
      </c>
      <c r="K171" s="7">
        <v>-155</v>
      </c>
      <c r="L171" s="24">
        <f>+Tabla2[[#This Row],[Stock Inventario]]*Tabla2[[#This Row],[Coste LÃ­nea]]</f>
        <v>115905.75477289999</v>
      </c>
      <c r="M171" s="24">
        <f>+Tabla2[[#This Row],[Variación Stock]]*Tabla2[[#This Row],[Coste LÃ­nea]]</f>
        <v>-7710.4686651499997</v>
      </c>
      <c r="N171" s="22" t="str">
        <f>+IF(Tabla2[[#This Row],[Variación Stock]]&gt;0,"Sobrante",IF(Tabla2[[#This Row],[Variación Stock]]&lt;0,"Faltante","Sin novedad"))</f>
        <v>Faltante</v>
      </c>
    </row>
    <row r="172" spans="1:14" x14ac:dyDescent="0.25">
      <c r="A172" s="11">
        <v>46037</v>
      </c>
      <c r="B172" s="5" t="s">
        <v>212</v>
      </c>
      <c r="C172" s="3" t="s">
        <v>213</v>
      </c>
      <c r="D172" s="5" t="s">
        <v>115</v>
      </c>
      <c r="E172" s="5" t="s">
        <v>112</v>
      </c>
      <c r="F172" s="6" t="s">
        <v>76</v>
      </c>
      <c r="G172" s="4" t="s">
        <v>2</v>
      </c>
      <c r="H172" s="24">
        <v>3179.6666666699998</v>
      </c>
      <c r="I172" s="8">
        <v>62</v>
      </c>
      <c r="J172" s="9">
        <v>61</v>
      </c>
      <c r="K172" s="15">
        <v>-1</v>
      </c>
      <c r="L172" s="25">
        <f>+Tabla2[[#This Row],[Stock Inventario]]*Tabla2[[#This Row],[Coste LÃ­nea]]</f>
        <v>193959.66666686998</v>
      </c>
      <c r="M172" s="24">
        <f>+Tabla2[[#This Row],[Variación Stock]]*Tabla2[[#This Row],[Coste LÃ­nea]]</f>
        <v>-3179.6666666699998</v>
      </c>
      <c r="N172" s="22" t="str">
        <f>+IF(Tabla2[[#This Row],[Variación Stock]]&gt;0,"Sobrante",IF(Tabla2[[#This Row],[Variación Stock]]&lt;0,"Faltante","Sin novedad"))</f>
        <v>Faltante</v>
      </c>
    </row>
    <row r="173" spans="1:14" x14ac:dyDescent="0.25">
      <c r="A173" s="11">
        <v>46044</v>
      </c>
      <c r="B173" s="5" t="s">
        <v>383</v>
      </c>
      <c r="C173" s="3" t="s">
        <v>213</v>
      </c>
      <c r="D173" s="5" t="s">
        <v>115</v>
      </c>
      <c r="E173" s="5" t="s">
        <v>112</v>
      </c>
      <c r="F173" s="6" t="s">
        <v>76</v>
      </c>
      <c r="G173" s="4" t="s">
        <v>2</v>
      </c>
      <c r="H173" s="25">
        <v>3244.25</v>
      </c>
      <c r="I173" s="8">
        <v>106</v>
      </c>
      <c r="J173" s="9">
        <v>106</v>
      </c>
      <c r="K173" s="7">
        <v>0</v>
      </c>
      <c r="L173" s="24">
        <f>+Tabla2[[#This Row],[Stock Inventario]]*Tabla2[[#This Row],[Coste LÃ­nea]]</f>
        <v>343890.5</v>
      </c>
      <c r="M173" s="24">
        <f>+Tabla2[[#This Row],[Variación Stock]]*Tabla2[[#This Row],[Coste LÃ­nea]]</f>
        <v>0</v>
      </c>
      <c r="N173" s="22" t="str">
        <f>+IF(Tabla2[[#This Row],[Variación Stock]]&gt;0,"Sobrante",IF(Tabla2[[#This Row],[Variación Stock]]&lt;0,"Faltante","Sin novedad"))</f>
        <v>Sin novedad</v>
      </c>
    </row>
    <row r="174" spans="1:14" x14ac:dyDescent="0.25">
      <c r="A174" s="11">
        <v>46053</v>
      </c>
      <c r="B174" s="5" t="s">
        <v>972</v>
      </c>
      <c r="C174" s="3" t="s">
        <v>213</v>
      </c>
      <c r="D174" s="5" t="s">
        <v>115</v>
      </c>
      <c r="E174" s="5" t="s">
        <v>112</v>
      </c>
      <c r="F174" s="6" t="s">
        <v>76</v>
      </c>
      <c r="G174" s="4" t="s">
        <v>2</v>
      </c>
      <c r="H174" s="25">
        <v>3747.9166666699998</v>
      </c>
      <c r="I174" s="8">
        <v>73</v>
      </c>
      <c r="J174" s="9">
        <v>72</v>
      </c>
      <c r="K174" s="7">
        <v>-1</v>
      </c>
      <c r="L174" s="24">
        <f>+Tabla2[[#This Row],[Stock Inventario]]*Tabla2[[#This Row],[Coste LÃ­nea]]</f>
        <v>269850.00000023999</v>
      </c>
      <c r="M174" s="24">
        <f>+Tabla2[[#This Row],[Variación Stock]]*Tabla2[[#This Row],[Coste LÃ­nea]]</f>
        <v>-3747.9166666699998</v>
      </c>
      <c r="N174" s="22" t="str">
        <f>+IF(Tabla2[[#This Row],[Variación Stock]]&gt;0,"Sobrante",IF(Tabla2[[#This Row],[Variación Stock]]&lt;0,"Faltante","Sin novedad"))</f>
        <v>Faltante</v>
      </c>
    </row>
    <row r="175" spans="1:14" x14ac:dyDescent="0.25">
      <c r="A175" s="11">
        <v>46037</v>
      </c>
      <c r="B175" s="5" t="s">
        <v>212</v>
      </c>
      <c r="C175" s="3" t="s">
        <v>213</v>
      </c>
      <c r="D175" s="5" t="s">
        <v>114</v>
      </c>
      <c r="E175" s="5" t="s">
        <v>112</v>
      </c>
      <c r="F175" s="6" t="s">
        <v>66</v>
      </c>
      <c r="G175" s="4" t="s">
        <v>2</v>
      </c>
      <c r="H175" s="24">
        <v>4986.0833333299997</v>
      </c>
      <c r="I175" s="8">
        <v>20</v>
      </c>
      <c r="J175" s="9">
        <v>20</v>
      </c>
      <c r="K175" s="7">
        <v>0</v>
      </c>
      <c r="L175" s="24">
        <f>+Tabla2[[#This Row],[Stock Inventario]]*Tabla2[[#This Row],[Coste LÃ­nea]]</f>
        <v>99721.666666599995</v>
      </c>
      <c r="M175" s="24">
        <f>+Tabla2[[#This Row],[Variación Stock]]*Tabla2[[#This Row],[Coste LÃ­nea]]</f>
        <v>0</v>
      </c>
      <c r="N175" s="22" t="str">
        <f>+IF(Tabla2[[#This Row],[Variación Stock]]&gt;0,"Sobrante",IF(Tabla2[[#This Row],[Variación Stock]]&lt;0,"Faltante","Sin novedad"))</f>
        <v>Sin novedad</v>
      </c>
    </row>
    <row r="176" spans="1:14" x14ac:dyDescent="0.25">
      <c r="A176" s="11">
        <v>46044</v>
      </c>
      <c r="B176" s="5" t="s">
        <v>383</v>
      </c>
      <c r="C176" s="3" t="s">
        <v>213</v>
      </c>
      <c r="D176" s="5" t="s">
        <v>114</v>
      </c>
      <c r="E176" s="5" t="s">
        <v>112</v>
      </c>
      <c r="F176" s="6" t="s">
        <v>66</v>
      </c>
      <c r="G176" s="4" t="s">
        <v>2</v>
      </c>
      <c r="H176" s="25">
        <v>4986.0833333299997</v>
      </c>
      <c r="I176" s="8">
        <v>20</v>
      </c>
      <c r="J176" s="9">
        <v>20</v>
      </c>
      <c r="K176" s="7">
        <v>0</v>
      </c>
      <c r="L176" s="24">
        <f>+Tabla2[[#This Row],[Stock Inventario]]*Tabla2[[#This Row],[Coste LÃ­nea]]</f>
        <v>99721.666666599995</v>
      </c>
      <c r="M176" s="24">
        <f>+Tabla2[[#This Row],[Variación Stock]]*Tabla2[[#This Row],[Coste LÃ­nea]]</f>
        <v>0</v>
      </c>
      <c r="N176" s="22" t="str">
        <f>+IF(Tabla2[[#This Row],[Variación Stock]]&gt;0,"Sobrante",IF(Tabla2[[#This Row],[Variación Stock]]&lt;0,"Faltante","Sin novedad"))</f>
        <v>Sin novedad</v>
      </c>
    </row>
    <row r="177" spans="1:14" x14ac:dyDescent="0.25">
      <c r="A177" s="11">
        <v>46053</v>
      </c>
      <c r="B177" s="5" t="s">
        <v>972</v>
      </c>
      <c r="C177" s="3" t="s">
        <v>213</v>
      </c>
      <c r="D177" s="5" t="s">
        <v>114</v>
      </c>
      <c r="E177" s="5" t="s">
        <v>112</v>
      </c>
      <c r="F177" s="6" t="s">
        <v>66</v>
      </c>
      <c r="G177" s="4" t="s">
        <v>2</v>
      </c>
      <c r="H177" s="25">
        <v>4986.0833333299997</v>
      </c>
      <c r="I177" s="8">
        <v>20</v>
      </c>
      <c r="J177" s="9">
        <v>19</v>
      </c>
      <c r="K177" s="7">
        <v>-1</v>
      </c>
      <c r="L177" s="24">
        <f>+Tabla2[[#This Row],[Stock Inventario]]*Tabla2[[#This Row],[Coste LÃ­nea]]</f>
        <v>94735.583333269999</v>
      </c>
      <c r="M177" s="24">
        <f>+Tabla2[[#This Row],[Variación Stock]]*Tabla2[[#This Row],[Coste LÃ­nea]]</f>
        <v>-4986.0833333299997</v>
      </c>
      <c r="N177" s="22" t="str">
        <f>+IF(Tabla2[[#This Row],[Variación Stock]]&gt;0,"Sobrante",IF(Tabla2[[#This Row],[Variación Stock]]&lt;0,"Faltante","Sin novedad"))</f>
        <v>Faltante</v>
      </c>
    </row>
    <row r="178" spans="1:14" x14ac:dyDescent="0.25">
      <c r="A178" s="11">
        <v>46037</v>
      </c>
      <c r="B178" s="5" t="s">
        <v>212</v>
      </c>
      <c r="C178" s="3" t="s">
        <v>213</v>
      </c>
      <c r="D178" s="5" t="s">
        <v>111</v>
      </c>
      <c r="E178" s="5" t="s">
        <v>112</v>
      </c>
      <c r="F178" s="6" t="s">
        <v>38</v>
      </c>
      <c r="G178" s="4" t="s">
        <v>0</v>
      </c>
      <c r="H178" s="24">
        <v>2244.5833333300002</v>
      </c>
      <c r="I178" s="8">
        <v>40</v>
      </c>
      <c r="J178" s="9">
        <v>39</v>
      </c>
      <c r="K178" s="7">
        <v>-1</v>
      </c>
      <c r="L178" s="24">
        <f>+Tabla2[[#This Row],[Stock Inventario]]*Tabla2[[#This Row],[Coste LÃ­nea]]</f>
        <v>87538.749999870008</v>
      </c>
      <c r="M178" s="24">
        <f>+Tabla2[[#This Row],[Variación Stock]]*Tabla2[[#This Row],[Coste LÃ­nea]]</f>
        <v>-2244.5833333300002</v>
      </c>
      <c r="N178" s="22" t="str">
        <f>+IF(Tabla2[[#This Row],[Variación Stock]]&gt;0,"Sobrante",IF(Tabla2[[#This Row],[Variación Stock]]&lt;0,"Faltante","Sin novedad"))</f>
        <v>Faltante</v>
      </c>
    </row>
    <row r="179" spans="1:14" x14ac:dyDescent="0.25">
      <c r="A179" s="11">
        <v>46044</v>
      </c>
      <c r="B179" s="5" t="s">
        <v>383</v>
      </c>
      <c r="C179" s="3" t="s">
        <v>213</v>
      </c>
      <c r="D179" s="5" t="s">
        <v>111</v>
      </c>
      <c r="E179" s="5" t="s">
        <v>112</v>
      </c>
      <c r="F179" s="6" t="s">
        <v>38</v>
      </c>
      <c r="G179" s="4" t="s">
        <v>0</v>
      </c>
      <c r="H179" s="25">
        <v>2244.5833333300002</v>
      </c>
      <c r="I179" s="8">
        <v>37</v>
      </c>
      <c r="J179" s="9">
        <v>35</v>
      </c>
      <c r="K179" s="7">
        <v>-2</v>
      </c>
      <c r="L179" s="24">
        <f>+Tabla2[[#This Row],[Stock Inventario]]*Tabla2[[#This Row],[Coste LÃ­nea]]</f>
        <v>78560.416666550009</v>
      </c>
      <c r="M179" s="24">
        <f>+Tabla2[[#This Row],[Variación Stock]]*Tabla2[[#This Row],[Coste LÃ­nea]]</f>
        <v>-4489.1666666600004</v>
      </c>
      <c r="N179" s="22" t="str">
        <f>+IF(Tabla2[[#This Row],[Variación Stock]]&gt;0,"Sobrante",IF(Tabla2[[#This Row],[Variación Stock]]&lt;0,"Faltante","Sin novedad"))</f>
        <v>Faltante</v>
      </c>
    </row>
    <row r="180" spans="1:14" x14ac:dyDescent="0.25">
      <c r="A180" s="11">
        <v>46053</v>
      </c>
      <c r="B180" s="5" t="s">
        <v>972</v>
      </c>
      <c r="C180" s="3" t="s">
        <v>213</v>
      </c>
      <c r="D180" s="5" t="s">
        <v>111</v>
      </c>
      <c r="E180" s="5" t="s">
        <v>112</v>
      </c>
      <c r="F180" s="6" t="s">
        <v>38</v>
      </c>
      <c r="G180" s="4" t="s">
        <v>0</v>
      </c>
      <c r="H180" s="25">
        <v>3005.8333333300002</v>
      </c>
      <c r="I180" s="8">
        <v>26</v>
      </c>
      <c r="J180" s="9">
        <v>47</v>
      </c>
      <c r="K180" s="7">
        <v>21</v>
      </c>
      <c r="L180" s="24">
        <f>+Tabla2[[#This Row],[Stock Inventario]]*Tabla2[[#This Row],[Coste LÃ­nea]]</f>
        <v>141274.16666651002</v>
      </c>
      <c r="M180" s="24">
        <f>+Tabla2[[#This Row],[Variación Stock]]*Tabla2[[#This Row],[Coste LÃ­nea]]</f>
        <v>63122.499999930005</v>
      </c>
      <c r="N180" s="22" t="str">
        <f>+IF(Tabla2[[#This Row],[Variación Stock]]&gt;0,"Sobrante",IF(Tabla2[[#This Row],[Variación Stock]]&lt;0,"Faltante","Sin novedad"))</f>
        <v>Sobrante</v>
      </c>
    </row>
    <row r="181" spans="1:14" x14ac:dyDescent="0.25">
      <c r="A181" s="11">
        <v>46037</v>
      </c>
      <c r="B181" s="5" t="s">
        <v>212</v>
      </c>
      <c r="C181" s="3" t="s">
        <v>213</v>
      </c>
      <c r="D181" s="5" t="s">
        <v>118</v>
      </c>
      <c r="E181" s="5" t="s">
        <v>112</v>
      </c>
      <c r="F181" s="6" t="s">
        <v>123</v>
      </c>
      <c r="G181" s="4" t="s">
        <v>0</v>
      </c>
      <c r="H181" s="24">
        <v>2137.5</v>
      </c>
      <c r="I181" s="8">
        <v>8</v>
      </c>
      <c r="J181" s="9">
        <v>10</v>
      </c>
      <c r="K181" s="7">
        <v>2</v>
      </c>
      <c r="L181" s="24">
        <f>+Tabla2[[#This Row],[Stock Inventario]]*Tabla2[[#This Row],[Coste LÃ­nea]]</f>
        <v>21375</v>
      </c>
      <c r="M181" s="24">
        <f>+Tabla2[[#This Row],[Variación Stock]]*Tabla2[[#This Row],[Coste LÃ­nea]]</f>
        <v>4275</v>
      </c>
      <c r="N181" s="22" t="str">
        <f>+IF(Tabla2[[#This Row],[Variación Stock]]&gt;0,"Sobrante",IF(Tabla2[[#This Row],[Variación Stock]]&lt;0,"Faltante","Sin novedad"))</f>
        <v>Sobrante</v>
      </c>
    </row>
    <row r="182" spans="1:14" x14ac:dyDescent="0.25">
      <c r="A182" s="11">
        <v>46037</v>
      </c>
      <c r="B182" s="5" t="s">
        <v>212</v>
      </c>
      <c r="C182" s="3" t="s">
        <v>213</v>
      </c>
      <c r="D182" s="5" t="s">
        <v>114</v>
      </c>
      <c r="E182" s="5" t="s">
        <v>112</v>
      </c>
      <c r="F182" s="6" t="s">
        <v>110</v>
      </c>
      <c r="G182" s="4" t="s">
        <v>2</v>
      </c>
      <c r="H182" s="24">
        <v>4126.8333333299997</v>
      </c>
      <c r="I182" s="8">
        <v>0</v>
      </c>
      <c r="J182" s="9">
        <v>0</v>
      </c>
      <c r="K182" s="7">
        <v>0</v>
      </c>
      <c r="L182" s="24">
        <f>+Tabla2[[#This Row],[Stock Inventario]]*Tabla2[[#This Row],[Coste LÃ­nea]]</f>
        <v>0</v>
      </c>
      <c r="M182" s="24">
        <f>+Tabla2[[#This Row],[Variación Stock]]*Tabla2[[#This Row],[Coste LÃ­nea]]</f>
        <v>0</v>
      </c>
      <c r="N182" s="22" t="str">
        <f>+IF(Tabla2[[#This Row],[Variación Stock]]&gt;0,"Sobrante",IF(Tabla2[[#This Row],[Variación Stock]]&lt;0,"Faltante","Sin novedad"))</f>
        <v>Sin novedad</v>
      </c>
    </row>
    <row r="183" spans="1:14" x14ac:dyDescent="0.25">
      <c r="A183" s="11">
        <v>46044</v>
      </c>
      <c r="B183" s="5" t="s">
        <v>383</v>
      </c>
      <c r="C183" s="3" t="s">
        <v>213</v>
      </c>
      <c r="D183" s="5" t="s">
        <v>114</v>
      </c>
      <c r="E183" s="5" t="s">
        <v>112</v>
      </c>
      <c r="F183" s="6" t="s">
        <v>110</v>
      </c>
      <c r="G183" s="4" t="s">
        <v>2</v>
      </c>
      <c r="H183" s="25">
        <v>4126.8333333299997</v>
      </c>
      <c r="I183" s="8">
        <v>0</v>
      </c>
      <c r="J183" s="9">
        <v>0</v>
      </c>
      <c r="K183" s="7">
        <v>0</v>
      </c>
      <c r="L183" s="24">
        <f>+Tabla2[[#This Row],[Stock Inventario]]*Tabla2[[#This Row],[Coste LÃ­nea]]</f>
        <v>0</v>
      </c>
      <c r="M183" s="24">
        <f>+Tabla2[[#This Row],[Variación Stock]]*Tabla2[[#This Row],[Coste LÃ­nea]]</f>
        <v>0</v>
      </c>
      <c r="N183" s="22" t="str">
        <f>+IF(Tabla2[[#This Row],[Variación Stock]]&gt;0,"Sobrante",IF(Tabla2[[#This Row],[Variación Stock]]&lt;0,"Faltante","Sin novedad"))</f>
        <v>Sin novedad</v>
      </c>
    </row>
    <row r="184" spans="1:14" x14ac:dyDescent="0.25">
      <c r="A184" s="11">
        <v>46053</v>
      </c>
      <c r="B184" s="5" t="s">
        <v>972</v>
      </c>
      <c r="C184" s="3" t="s">
        <v>213</v>
      </c>
      <c r="D184" s="5" t="s">
        <v>114</v>
      </c>
      <c r="E184" s="5" t="s">
        <v>112</v>
      </c>
      <c r="F184" s="6" t="s">
        <v>110</v>
      </c>
      <c r="G184" s="4" t="s">
        <v>2</v>
      </c>
      <c r="H184" s="25">
        <v>4126.8333333299997</v>
      </c>
      <c r="I184" s="8">
        <v>0</v>
      </c>
      <c r="J184" s="9">
        <v>0</v>
      </c>
      <c r="K184" s="7">
        <v>0</v>
      </c>
      <c r="L184" s="24">
        <f>+Tabla2[[#This Row],[Stock Inventario]]*Tabla2[[#This Row],[Coste LÃ­nea]]</f>
        <v>0</v>
      </c>
      <c r="M184" s="24">
        <f>+Tabla2[[#This Row],[Variación Stock]]*Tabla2[[#This Row],[Coste LÃ­nea]]</f>
        <v>0</v>
      </c>
      <c r="N184" s="22" t="str">
        <f>+IF(Tabla2[[#This Row],[Variación Stock]]&gt;0,"Sobrante",IF(Tabla2[[#This Row],[Variación Stock]]&lt;0,"Faltante","Sin novedad"))</f>
        <v>Sin novedad</v>
      </c>
    </row>
    <row r="185" spans="1:14" x14ac:dyDescent="0.25">
      <c r="A185" s="11">
        <v>46037</v>
      </c>
      <c r="B185" s="5" t="s">
        <v>212</v>
      </c>
      <c r="C185" s="3" t="s">
        <v>213</v>
      </c>
      <c r="D185" s="5" t="s">
        <v>114</v>
      </c>
      <c r="E185" s="5" t="s">
        <v>112</v>
      </c>
      <c r="F185" s="6" t="s">
        <v>60</v>
      </c>
      <c r="G185" s="4" t="s">
        <v>2</v>
      </c>
      <c r="H185" s="24">
        <v>2323.74029982</v>
      </c>
      <c r="I185" s="8">
        <v>148.5</v>
      </c>
      <c r="J185" s="9">
        <v>196</v>
      </c>
      <c r="K185" s="7">
        <v>47.5</v>
      </c>
      <c r="L185" s="24">
        <f>+Tabla2[[#This Row],[Stock Inventario]]*Tabla2[[#This Row],[Coste LÃ­nea]]</f>
        <v>455453.09876472002</v>
      </c>
      <c r="M185" s="24">
        <f>+Tabla2[[#This Row],[Variación Stock]]*Tabla2[[#This Row],[Coste LÃ­nea]]</f>
        <v>110377.66424144999</v>
      </c>
      <c r="N185" s="22" t="str">
        <f>+IF(Tabla2[[#This Row],[Variación Stock]]&gt;0,"Sobrante",IF(Tabla2[[#This Row],[Variación Stock]]&lt;0,"Faltante","Sin novedad"))</f>
        <v>Sobrante</v>
      </c>
    </row>
    <row r="186" spans="1:14" x14ac:dyDescent="0.25">
      <c r="A186" s="11">
        <v>46044</v>
      </c>
      <c r="B186" s="5" t="s">
        <v>383</v>
      </c>
      <c r="C186" s="3" t="s">
        <v>213</v>
      </c>
      <c r="D186" s="5" t="s">
        <v>114</v>
      </c>
      <c r="E186" s="5" t="s">
        <v>112</v>
      </c>
      <c r="F186" s="6" t="s">
        <v>60</v>
      </c>
      <c r="G186" s="4" t="s">
        <v>2</v>
      </c>
      <c r="H186" s="25">
        <v>2136.7111111099998</v>
      </c>
      <c r="I186" s="8">
        <v>111</v>
      </c>
      <c r="J186" s="9">
        <v>122</v>
      </c>
      <c r="K186" s="7">
        <v>11</v>
      </c>
      <c r="L186" s="24">
        <f>+Tabla2[[#This Row],[Stock Inventario]]*Tabla2[[#This Row],[Coste LÃ­nea]]</f>
        <v>260678.75555541998</v>
      </c>
      <c r="M186" s="24">
        <f>+Tabla2[[#This Row],[Variación Stock]]*Tabla2[[#This Row],[Coste LÃ­nea]]</f>
        <v>23503.822222209998</v>
      </c>
      <c r="N186" s="22" t="str">
        <f>+IF(Tabla2[[#This Row],[Variación Stock]]&gt;0,"Sobrante",IF(Tabla2[[#This Row],[Variación Stock]]&lt;0,"Faltante","Sin novedad"))</f>
        <v>Sobrante</v>
      </c>
    </row>
    <row r="187" spans="1:14" x14ac:dyDescent="0.25">
      <c r="A187" s="11">
        <v>46053</v>
      </c>
      <c r="B187" s="5" t="s">
        <v>972</v>
      </c>
      <c r="C187" s="3" t="s">
        <v>213</v>
      </c>
      <c r="D187" s="5" t="s">
        <v>114</v>
      </c>
      <c r="E187" s="5" t="s">
        <v>112</v>
      </c>
      <c r="F187" s="6" t="s">
        <v>60</v>
      </c>
      <c r="G187" s="4" t="s">
        <v>2</v>
      </c>
      <c r="H187" s="25">
        <v>2318.6893004200001</v>
      </c>
      <c r="I187" s="8">
        <v>128.5</v>
      </c>
      <c r="J187" s="9">
        <v>115</v>
      </c>
      <c r="K187" s="7">
        <v>-13.5</v>
      </c>
      <c r="L187" s="24">
        <f>+Tabla2[[#This Row],[Stock Inventario]]*Tabla2[[#This Row],[Coste LÃ­nea]]</f>
        <v>266649.26954830001</v>
      </c>
      <c r="M187" s="24">
        <f>+Tabla2[[#This Row],[Variación Stock]]*Tabla2[[#This Row],[Coste LÃ­nea]]</f>
        <v>-31302.305555670002</v>
      </c>
      <c r="N187" s="22" t="str">
        <f>+IF(Tabla2[[#This Row],[Variación Stock]]&gt;0,"Sobrante",IF(Tabla2[[#This Row],[Variación Stock]]&lt;0,"Faltante","Sin novedad"))</f>
        <v>Faltante</v>
      </c>
    </row>
    <row r="188" spans="1:14" hidden="1" x14ac:dyDescent="0.25">
      <c r="A188" s="11">
        <v>46037</v>
      </c>
      <c r="B188" s="5" t="s">
        <v>212</v>
      </c>
      <c r="C188" s="3" t="s">
        <v>213</v>
      </c>
      <c r="D188" s="5" t="s">
        <v>120</v>
      </c>
      <c r="E188" s="5" t="s">
        <v>117</v>
      </c>
      <c r="F188" s="6" t="s">
        <v>259</v>
      </c>
      <c r="G188" s="4" t="s">
        <v>2</v>
      </c>
      <c r="H188" s="24">
        <v>11062.590169360001</v>
      </c>
      <c r="I188" s="8">
        <v>8</v>
      </c>
      <c r="J188" s="9">
        <v>7</v>
      </c>
      <c r="K188" s="15">
        <v>-1</v>
      </c>
      <c r="L188" s="24">
        <f>+Tabla2[[#This Row],[Stock Inventario]]*Tabla2[[#This Row],[Coste LÃ­nea]]</f>
        <v>77438.131185520004</v>
      </c>
      <c r="M188" s="24">
        <f>+Tabla2[[#This Row],[Variación Stock]]*Tabla2[[#This Row],[Coste LÃ­nea]]</f>
        <v>-11062.590169360001</v>
      </c>
      <c r="N188" s="22" t="str">
        <f>+IF(Tabla2[[#This Row],[Variación Stock]]&gt;0,"Sobrante",IF(Tabla2[[#This Row],[Variación Stock]]&lt;0,"Faltante","Sin novedad"))</f>
        <v>Faltante</v>
      </c>
    </row>
    <row r="189" spans="1:14" x14ac:dyDescent="0.25">
      <c r="A189" s="11">
        <v>46037</v>
      </c>
      <c r="B189" s="5" t="s">
        <v>212</v>
      </c>
      <c r="C189" s="3" t="s">
        <v>213</v>
      </c>
      <c r="D189" s="5" t="s">
        <v>114</v>
      </c>
      <c r="E189" s="5" t="s">
        <v>112</v>
      </c>
      <c r="F189" s="6" t="s">
        <v>61</v>
      </c>
      <c r="G189" s="4" t="s">
        <v>2</v>
      </c>
      <c r="H189" s="24">
        <v>2119.75</v>
      </c>
      <c r="I189" s="8">
        <v>136</v>
      </c>
      <c r="J189" s="9">
        <v>169</v>
      </c>
      <c r="K189" s="7">
        <v>33</v>
      </c>
      <c r="L189" s="24">
        <f>+Tabla2[[#This Row],[Stock Inventario]]*Tabla2[[#This Row],[Coste LÃ­nea]]</f>
        <v>358237.75</v>
      </c>
      <c r="M189" s="24">
        <f>+Tabla2[[#This Row],[Variación Stock]]*Tabla2[[#This Row],[Coste LÃ­nea]]</f>
        <v>69951.75</v>
      </c>
      <c r="N189" s="22" t="str">
        <f>+IF(Tabla2[[#This Row],[Variación Stock]]&gt;0,"Sobrante",IF(Tabla2[[#This Row],[Variación Stock]]&lt;0,"Faltante","Sin novedad"))</f>
        <v>Sobrante</v>
      </c>
    </row>
    <row r="190" spans="1:14" x14ac:dyDescent="0.25">
      <c r="A190" s="11">
        <v>46044</v>
      </c>
      <c r="B190" s="5" t="s">
        <v>383</v>
      </c>
      <c r="C190" s="3" t="s">
        <v>213</v>
      </c>
      <c r="D190" s="5" t="s">
        <v>114</v>
      </c>
      <c r="E190" s="5" t="s">
        <v>112</v>
      </c>
      <c r="F190" s="6" t="s">
        <v>61</v>
      </c>
      <c r="G190" s="4" t="s">
        <v>2</v>
      </c>
      <c r="H190" s="25">
        <v>2307.25</v>
      </c>
      <c r="I190" s="8">
        <v>135</v>
      </c>
      <c r="J190" s="9">
        <v>122</v>
      </c>
      <c r="K190" s="7">
        <v>-13</v>
      </c>
      <c r="L190" s="24">
        <f>+Tabla2[[#This Row],[Stock Inventario]]*Tabla2[[#This Row],[Coste LÃ­nea]]</f>
        <v>281484.5</v>
      </c>
      <c r="M190" s="24">
        <f>+Tabla2[[#This Row],[Variación Stock]]*Tabla2[[#This Row],[Coste LÃ­nea]]</f>
        <v>-29994.25</v>
      </c>
      <c r="N190" s="22" t="str">
        <f>+IF(Tabla2[[#This Row],[Variación Stock]]&gt;0,"Sobrante",IF(Tabla2[[#This Row],[Variación Stock]]&lt;0,"Faltante","Sin novedad"))</f>
        <v>Faltante</v>
      </c>
    </row>
    <row r="191" spans="1:14" x14ac:dyDescent="0.25">
      <c r="A191" s="11">
        <v>46053</v>
      </c>
      <c r="B191" s="5" t="s">
        <v>972</v>
      </c>
      <c r="C191" s="3" t="s">
        <v>213</v>
      </c>
      <c r="D191" s="5" t="s">
        <v>114</v>
      </c>
      <c r="E191" s="5" t="s">
        <v>112</v>
      </c>
      <c r="F191" s="6" t="s">
        <v>61</v>
      </c>
      <c r="G191" s="4" t="s">
        <v>2</v>
      </c>
      <c r="H191" s="25">
        <v>2119.75</v>
      </c>
      <c r="I191" s="8">
        <v>80</v>
      </c>
      <c r="J191" s="9">
        <v>88</v>
      </c>
      <c r="K191" s="7">
        <v>8</v>
      </c>
      <c r="L191" s="24">
        <f>+Tabla2[[#This Row],[Stock Inventario]]*Tabla2[[#This Row],[Coste LÃ­nea]]</f>
        <v>186538</v>
      </c>
      <c r="M191" s="24">
        <f>+Tabla2[[#This Row],[Variación Stock]]*Tabla2[[#This Row],[Coste LÃ­nea]]</f>
        <v>16958</v>
      </c>
      <c r="N191" s="22" t="str">
        <f>+IF(Tabla2[[#This Row],[Variación Stock]]&gt;0,"Sobrante",IF(Tabla2[[#This Row],[Variación Stock]]&lt;0,"Faltante","Sin novedad"))</f>
        <v>Sobrante</v>
      </c>
    </row>
    <row r="192" spans="1:14" hidden="1" x14ac:dyDescent="0.25">
      <c r="A192" s="11">
        <v>46044</v>
      </c>
      <c r="B192" s="5" t="s">
        <v>383</v>
      </c>
      <c r="C192" s="3" t="s">
        <v>213</v>
      </c>
      <c r="D192" s="5" t="s">
        <v>116</v>
      </c>
      <c r="E192" s="5" t="s">
        <v>117</v>
      </c>
      <c r="F192" s="6" t="s">
        <v>254</v>
      </c>
      <c r="G192" s="4" t="s">
        <v>2</v>
      </c>
      <c r="H192" s="25">
        <v>14780</v>
      </c>
      <c r="I192" s="8">
        <v>23</v>
      </c>
      <c r="J192" s="9">
        <v>23</v>
      </c>
      <c r="K192" s="7">
        <v>0</v>
      </c>
      <c r="L192" s="24">
        <f>+Tabla2[[#This Row],[Stock Inventario]]*Tabla2[[#This Row],[Coste LÃ­nea]]</f>
        <v>339940</v>
      </c>
      <c r="M192" s="24">
        <f>+Tabla2[[#This Row],[Variación Stock]]*Tabla2[[#This Row],[Coste LÃ­nea]]</f>
        <v>0</v>
      </c>
      <c r="N192" s="22" t="str">
        <f>+IF(Tabla2[[#This Row],[Variación Stock]]&gt;0,"Sobrante",IF(Tabla2[[#This Row],[Variación Stock]]&lt;0,"Faltante","Sin novedad"))</f>
        <v>Sin novedad</v>
      </c>
    </row>
    <row r="193" spans="1:14" hidden="1" x14ac:dyDescent="0.25">
      <c r="A193" s="11">
        <v>46044</v>
      </c>
      <c r="B193" s="5" t="s">
        <v>383</v>
      </c>
      <c r="C193" s="3" t="s">
        <v>213</v>
      </c>
      <c r="D193" s="5" t="s">
        <v>120</v>
      </c>
      <c r="E193" s="5" t="s">
        <v>117</v>
      </c>
      <c r="F193" s="6" t="s">
        <v>259</v>
      </c>
      <c r="G193" s="4" t="s">
        <v>2</v>
      </c>
      <c r="H193" s="25">
        <v>4169.92511079</v>
      </c>
      <c r="I193" s="8">
        <v>8</v>
      </c>
      <c r="J193" s="9">
        <v>7</v>
      </c>
      <c r="K193" s="15">
        <v>-1</v>
      </c>
      <c r="L193" s="24">
        <f>+Tabla2[[#This Row],[Stock Inventario]]*Tabla2[[#This Row],[Coste LÃ­nea]]</f>
        <v>29189.475775530002</v>
      </c>
      <c r="M193" s="24">
        <f>+Tabla2[[#This Row],[Variación Stock]]*Tabla2[[#This Row],[Coste LÃ­nea]]</f>
        <v>-4169.92511079</v>
      </c>
      <c r="N193" s="22" t="str">
        <f>+IF(Tabla2[[#This Row],[Variación Stock]]&gt;0,"Sobrante",IF(Tabla2[[#This Row],[Variación Stock]]&lt;0,"Faltante","Sin novedad"))</f>
        <v>Faltante</v>
      </c>
    </row>
    <row r="194" spans="1:14" x14ac:dyDescent="0.25">
      <c r="A194" s="11">
        <v>46037</v>
      </c>
      <c r="B194" s="5" t="s">
        <v>212</v>
      </c>
      <c r="C194" s="3" t="s">
        <v>213</v>
      </c>
      <c r="D194" s="5" t="s">
        <v>114</v>
      </c>
      <c r="E194" s="5" t="s">
        <v>112</v>
      </c>
      <c r="F194" s="6" t="s">
        <v>67</v>
      </c>
      <c r="G194" s="4" t="s">
        <v>2</v>
      </c>
      <c r="H194" s="24">
        <v>4986.0833333299997</v>
      </c>
      <c r="I194" s="8">
        <v>21</v>
      </c>
      <c r="J194" s="9">
        <v>21</v>
      </c>
      <c r="K194" s="7">
        <v>0</v>
      </c>
      <c r="L194" s="24">
        <f>+Tabla2[[#This Row],[Stock Inventario]]*Tabla2[[#This Row],[Coste LÃ­nea]]</f>
        <v>104707.74999992999</v>
      </c>
      <c r="M194" s="24">
        <f>+Tabla2[[#This Row],[Variación Stock]]*Tabla2[[#This Row],[Coste LÃ­nea]]</f>
        <v>0</v>
      </c>
      <c r="N194" s="22" t="str">
        <f>+IF(Tabla2[[#This Row],[Variación Stock]]&gt;0,"Sobrante",IF(Tabla2[[#This Row],[Variación Stock]]&lt;0,"Faltante","Sin novedad"))</f>
        <v>Sin novedad</v>
      </c>
    </row>
    <row r="195" spans="1:14" x14ac:dyDescent="0.25">
      <c r="A195" s="11">
        <v>46044</v>
      </c>
      <c r="B195" s="5" t="s">
        <v>383</v>
      </c>
      <c r="C195" s="3" t="s">
        <v>213</v>
      </c>
      <c r="D195" s="5" t="s">
        <v>114</v>
      </c>
      <c r="E195" s="5" t="s">
        <v>112</v>
      </c>
      <c r="F195" s="6" t="s">
        <v>67</v>
      </c>
      <c r="G195" s="4" t="s">
        <v>2</v>
      </c>
      <c r="H195" s="25">
        <v>4986.0833333299997</v>
      </c>
      <c r="I195" s="8">
        <v>19.5</v>
      </c>
      <c r="J195" s="9">
        <v>19</v>
      </c>
      <c r="K195" s="7">
        <v>-0.5</v>
      </c>
      <c r="L195" s="24">
        <f>+Tabla2[[#This Row],[Stock Inventario]]*Tabla2[[#This Row],[Coste LÃ­nea]]</f>
        <v>94735.583333269999</v>
      </c>
      <c r="M195" s="24">
        <f>+Tabla2[[#This Row],[Variación Stock]]*Tabla2[[#This Row],[Coste LÃ­nea]]</f>
        <v>-2493.0416666649999</v>
      </c>
      <c r="N195" s="22" t="str">
        <f>+IF(Tabla2[[#This Row],[Variación Stock]]&gt;0,"Sobrante",IF(Tabla2[[#This Row],[Variación Stock]]&lt;0,"Faltante","Sin novedad"))</f>
        <v>Faltante</v>
      </c>
    </row>
    <row r="196" spans="1:14" hidden="1" x14ac:dyDescent="0.25">
      <c r="A196" s="11">
        <v>46037</v>
      </c>
      <c r="B196" s="5" t="s">
        <v>212</v>
      </c>
      <c r="C196" s="3" t="s">
        <v>213</v>
      </c>
      <c r="D196" s="5" t="s">
        <v>120</v>
      </c>
      <c r="E196" s="5" t="s">
        <v>117</v>
      </c>
      <c r="F196" s="6" t="s">
        <v>260</v>
      </c>
      <c r="G196" s="4" t="s">
        <v>2</v>
      </c>
      <c r="H196" s="24">
        <v>4449.64160257</v>
      </c>
      <c r="I196" s="8">
        <v>-34</v>
      </c>
      <c r="J196" s="9">
        <v>0</v>
      </c>
      <c r="K196" s="7">
        <v>34</v>
      </c>
      <c r="L196" s="24">
        <f>+Tabla2[[#This Row],[Stock Inventario]]*Tabla2[[#This Row],[Coste LÃ­nea]]</f>
        <v>0</v>
      </c>
      <c r="M196" s="24">
        <f>+Tabla2[[#This Row],[Variación Stock]]*Tabla2[[#This Row],[Coste LÃ­nea]]</f>
        <v>151287.81448738</v>
      </c>
      <c r="N196" s="22" t="str">
        <f>+IF(Tabla2[[#This Row],[Variación Stock]]&gt;0,"Sobrante",IF(Tabla2[[#This Row],[Variación Stock]]&lt;0,"Faltante","Sin novedad"))</f>
        <v>Sobrante</v>
      </c>
    </row>
    <row r="197" spans="1:14" x14ac:dyDescent="0.25">
      <c r="A197" s="11">
        <v>46053</v>
      </c>
      <c r="B197" s="5" t="s">
        <v>972</v>
      </c>
      <c r="C197" s="3" t="s">
        <v>213</v>
      </c>
      <c r="D197" s="5" t="s">
        <v>114</v>
      </c>
      <c r="E197" s="5" t="s">
        <v>112</v>
      </c>
      <c r="F197" s="6" t="s">
        <v>67</v>
      </c>
      <c r="G197" s="4" t="s">
        <v>2</v>
      </c>
      <c r="H197" s="25">
        <v>5291.7303921700004</v>
      </c>
      <c r="I197" s="8">
        <v>16</v>
      </c>
      <c r="J197" s="9">
        <v>14</v>
      </c>
      <c r="K197" s="7">
        <v>-2</v>
      </c>
      <c r="L197" s="24">
        <f>+Tabla2[[#This Row],[Stock Inventario]]*Tabla2[[#This Row],[Coste LÃ­nea]]</f>
        <v>74084.225490380006</v>
      </c>
      <c r="M197" s="24">
        <f>+Tabla2[[#This Row],[Variación Stock]]*Tabla2[[#This Row],[Coste LÃ­nea]]</f>
        <v>-10583.460784340001</v>
      </c>
      <c r="N197" s="22" t="str">
        <f>+IF(Tabla2[[#This Row],[Variación Stock]]&gt;0,"Sobrante",IF(Tabla2[[#This Row],[Variación Stock]]&lt;0,"Faltante","Sin novedad"))</f>
        <v>Faltante</v>
      </c>
    </row>
    <row r="198" spans="1:14" x14ac:dyDescent="0.25">
      <c r="A198" s="11">
        <v>46037</v>
      </c>
      <c r="B198" s="5" t="s">
        <v>212</v>
      </c>
      <c r="C198" s="3" t="s">
        <v>213</v>
      </c>
      <c r="D198" s="5" t="s">
        <v>111</v>
      </c>
      <c r="E198" s="5" t="s">
        <v>112</v>
      </c>
      <c r="F198" s="6" t="s">
        <v>136</v>
      </c>
      <c r="G198" s="4" t="s">
        <v>0</v>
      </c>
      <c r="H198" s="24">
        <v>1425.6293103400001</v>
      </c>
      <c r="I198" s="8">
        <v>0</v>
      </c>
      <c r="J198" s="9">
        <v>0</v>
      </c>
      <c r="K198" s="7">
        <v>0</v>
      </c>
      <c r="L198" s="24">
        <f>+Tabla2[[#This Row],[Stock Inventario]]*Tabla2[[#This Row],[Coste LÃ­nea]]</f>
        <v>0</v>
      </c>
      <c r="M198" s="24">
        <f>+Tabla2[[#This Row],[Variación Stock]]*Tabla2[[#This Row],[Coste LÃ­nea]]</f>
        <v>0</v>
      </c>
      <c r="N198" s="22" t="str">
        <f>+IF(Tabla2[[#This Row],[Variación Stock]]&gt;0,"Sobrante",IF(Tabla2[[#This Row],[Variación Stock]]&lt;0,"Faltante","Sin novedad"))</f>
        <v>Sin novedad</v>
      </c>
    </row>
    <row r="199" spans="1:14" x14ac:dyDescent="0.25">
      <c r="A199" s="11">
        <v>46044</v>
      </c>
      <c r="B199" s="5" t="s">
        <v>383</v>
      </c>
      <c r="C199" s="3" t="s">
        <v>213</v>
      </c>
      <c r="D199" s="5" t="s">
        <v>111</v>
      </c>
      <c r="E199" s="5" t="s">
        <v>112</v>
      </c>
      <c r="F199" s="6" t="s">
        <v>136</v>
      </c>
      <c r="G199" s="4" t="s">
        <v>0</v>
      </c>
      <c r="H199" s="25">
        <v>1425.6293103400001</v>
      </c>
      <c r="I199" s="8">
        <v>0</v>
      </c>
      <c r="J199" s="9">
        <v>0</v>
      </c>
      <c r="K199" s="7">
        <v>0</v>
      </c>
      <c r="L199" s="24">
        <f>+Tabla2[[#This Row],[Stock Inventario]]*Tabla2[[#This Row],[Coste LÃ­nea]]</f>
        <v>0</v>
      </c>
      <c r="M199" s="24">
        <f>+Tabla2[[#This Row],[Variación Stock]]*Tabla2[[#This Row],[Coste LÃ­nea]]</f>
        <v>0</v>
      </c>
      <c r="N199" s="22" t="str">
        <f>+IF(Tabla2[[#This Row],[Variación Stock]]&gt;0,"Sobrante",IF(Tabla2[[#This Row],[Variación Stock]]&lt;0,"Faltante","Sin novedad"))</f>
        <v>Sin novedad</v>
      </c>
    </row>
    <row r="200" spans="1:14" x14ac:dyDescent="0.25">
      <c r="A200" s="11">
        <v>46053</v>
      </c>
      <c r="B200" s="5" t="s">
        <v>972</v>
      </c>
      <c r="C200" s="3" t="s">
        <v>213</v>
      </c>
      <c r="D200" s="5" t="s">
        <v>111</v>
      </c>
      <c r="E200" s="5" t="s">
        <v>112</v>
      </c>
      <c r="F200" s="6" t="s">
        <v>136</v>
      </c>
      <c r="G200" s="4" t="s">
        <v>0</v>
      </c>
      <c r="H200" s="25">
        <v>384.58620689999998</v>
      </c>
      <c r="I200" s="8">
        <v>0</v>
      </c>
      <c r="J200" s="9">
        <v>0</v>
      </c>
      <c r="K200" s="7">
        <v>0</v>
      </c>
      <c r="L200" s="24">
        <f>+Tabla2[[#This Row],[Stock Inventario]]*Tabla2[[#This Row],[Coste LÃ­nea]]</f>
        <v>0</v>
      </c>
      <c r="M200" s="24">
        <f>+Tabla2[[#This Row],[Variación Stock]]*Tabla2[[#This Row],[Coste LÃ­nea]]</f>
        <v>0</v>
      </c>
      <c r="N200" s="22" t="str">
        <f>+IF(Tabla2[[#This Row],[Variación Stock]]&gt;0,"Sobrante",IF(Tabla2[[#This Row],[Variación Stock]]&lt;0,"Faltante","Sin novedad"))</f>
        <v>Sin novedad</v>
      </c>
    </row>
    <row r="201" spans="1:14" x14ac:dyDescent="0.25">
      <c r="A201" s="11">
        <v>46037</v>
      </c>
      <c r="B201" s="5" t="s">
        <v>212</v>
      </c>
      <c r="C201" s="3" t="s">
        <v>213</v>
      </c>
      <c r="D201" s="5" t="s">
        <v>111</v>
      </c>
      <c r="E201" s="5" t="s">
        <v>112</v>
      </c>
      <c r="F201" s="6" t="s">
        <v>21</v>
      </c>
      <c r="G201" s="4" t="s">
        <v>0</v>
      </c>
      <c r="H201" s="24">
        <v>15769.5</v>
      </c>
      <c r="I201" s="8">
        <v>40</v>
      </c>
      <c r="J201" s="9">
        <v>38</v>
      </c>
      <c r="K201" s="7">
        <v>-2</v>
      </c>
      <c r="L201" s="24">
        <f>+Tabla2[[#This Row],[Stock Inventario]]*Tabla2[[#This Row],[Coste LÃ­nea]]</f>
        <v>599241</v>
      </c>
      <c r="M201" s="24">
        <f>+Tabla2[[#This Row],[Variación Stock]]*Tabla2[[#This Row],[Coste LÃ­nea]]</f>
        <v>-31539</v>
      </c>
      <c r="N201" s="22" t="str">
        <f>+IF(Tabla2[[#This Row],[Variación Stock]]&gt;0,"Sobrante",IF(Tabla2[[#This Row],[Variación Stock]]&lt;0,"Faltante","Sin novedad"))</f>
        <v>Faltante</v>
      </c>
    </row>
    <row r="202" spans="1:14" x14ac:dyDescent="0.25">
      <c r="A202" s="11">
        <v>46044</v>
      </c>
      <c r="B202" s="5" t="s">
        <v>383</v>
      </c>
      <c r="C202" s="3" t="s">
        <v>213</v>
      </c>
      <c r="D202" s="5" t="s">
        <v>111</v>
      </c>
      <c r="E202" s="5" t="s">
        <v>112</v>
      </c>
      <c r="F202" s="6" t="s">
        <v>21</v>
      </c>
      <c r="G202" s="4" t="s">
        <v>0</v>
      </c>
      <c r="H202" s="25">
        <v>15769.5</v>
      </c>
      <c r="I202" s="8">
        <v>38</v>
      </c>
      <c r="J202" s="9">
        <v>40</v>
      </c>
      <c r="K202" s="7">
        <v>2</v>
      </c>
      <c r="L202" s="24">
        <f>+Tabla2[[#This Row],[Stock Inventario]]*Tabla2[[#This Row],[Coste LÃ­nea]]</f>
        <v>630780</v>
      </c>
      <c r="M202" s="24">
        <f>+Tabla2[[#This Row],[Variación Stock]]*Tabla2[[#This Row],[Coste LÃ­nea]]</f>
        <v>31539</v>
      </c>
      <c r="N202" s="22" t="str">
        <f>+IF(Tabla2[[#This Row],[Variación Stock]]&gt;0,"Sobrante",IF(Tabla2[[#This Row],[Variación Stock]]&lt;0,"Faltante","Sin novedad"))</f>
        <v>Sobrante</v>
      </c>
    </row>
    <row r="203" spans="1:14" x14ac:dyDescent="0.25">
      <c r="A203" s="11">
        <v>46053</v>
      </c>
      <c r="B203" s="5" t="s">
        <v>972</v>
      </c>
      <c r="C203" s="3" t="s">
        <v>213</v>
      </c>
      <c r="D203" s="5" t="s">
        <v>111</v>
      </c>
      <c r="E203" s="5" t="s">
        <v>112</v>
      </c>
      <c r="F203" s="6" t="s">
        <v>21</v>
      </c>
      <c r="G203" s="4" t="s">
        <v>0</v>
      </c>
      <c r="H203" s="25">
        <v>15769.5</v>
      </c>
      <c r="I203" s="8">
        <v>26</v>
      </c>
      <c r="J203" s="9">
        <v>26</v>
      </c>
      <c r="K203" s="7">
        <v>0</v>
      </c>
      <c r="L203" s="24">
        <f>+Tabla2[[#This Row],[Stock Inventario]]*Tabla2[[#This Row],[Coste LÃ­nea]]</f>
        <v>410007</v>
      </c>
      <c r="M203" s="24">
        <f>+Tabla2[[#This Row],[Variación Stock]]*Tabla2[[#This Row],[Coste LÃ­nea]]</f>
        <v>0</v>
      </c>
      <c r="N203" s="22" t="str">
        <f>+IF(Tabla2[[#This Row],[Variación Stock]]&gt;0,"Sobrante",IF(Tabla2[[#This Row],[Variación Stock]]&lt;0,"Faltante","Sin novedad"))</f>
        <v>Sin novedad</v>
      </c>
    </row>
    <row r="204" spans="1:14" x14ac:dyDescent="0.25">
      <c r="A204" s="11">
        <v>46037</v>
      </c>
      <c r="B204" s="5" t="s">
        <v>212</v>
      </c>
      <c r="C204" s="3" t="s">
        <v>213</v>
      </c>
      <c r="D204" s="5" t="s">
        <v>111</v>
      </c>
      <c r="E204" s="5" t="s">
        <v>112</v>
      </c>
      <c r="F204" s="6" t="s">
        <v>22</v>
      </c>
      <c r="G204" s="4" t="s">
        <v>0</v>
      </c>
      <c r="H204" s="24">
        <v>11532.86363636</v>
      </c>
      <c r="I204" s="8">
        <v>33</v>
      </c>
      <c r="J204" s="9">
        <v>30</v>
      </c>
      <c r="K204" s="7">
        <v>-3</v>
      </c>
      <c r="L204" s="24">
        <f>+Tabla2[[#This Row],[Stock Inventario]]*Tabla2[[#This Row],[Coste LÃ­nea]]</f>
        <v>345985.90909079998</v>
      </c>
      <c r="M204" s="24">
        <f>+Tabla2[[#This Row],[Variación Stock]]*Tabla2[[#This Row],[Coste LÃ­nea]]</f>
        <v>-34598.590909079998</v>
      </c>
      <c r="N204" s="22" t="str">
        <f>+IF(Tabla2[[#This Row],[Variación Stock]]&gt;0,"Sobrante",IF(Tabla2[[#This Row],[Variación Stock]]&lt;0,"Faltante","Sin novedad"))</f>
        <v>Faltante</v>
      </c>
    </row>
    <row r="205" spans="1:14" x14ac:dyDescent="0.25">
      <c r="A205" s="11">
        <v>46044</v>
      </c>
      <c r="B205" s="5" t="s">
        <v>383</v>
      </c>
      <c r="C205" s="3" t="s">
        <v>213</v>
      </c>
      <c r="D205" s="5" t="s">
        <v>111</v>
      </c>
      <c r="E205" s="5" t="s">
        <v>112</v>
      </c>
      <c r="F205" s="6" t="s">
        <v>22</v>
      </c>
      <c r="G205" s="4" t="s">
        <v>0</v>
      </c>
      <c r="H205" s="25">
        <v>11532.86363636</v>
      </c>
      <c r="I205" s="8">
        <v>30</v>
      </c>
      <c r="J205" s="9">
        <v>40.4</v>
      </c>
      <c r="K205" s="7">
        <v>10.4</v>
      </c>
      <c r="L205" s="24">
        <f>+Tabla2[[#This Row],[Stock Inventario]]*Tabla2[[#This Row],[Coste LÃ­nea]]</f>
        <v>465927.690908944</v>
      </c>
      <c r="M205" s="24">
        <f>+Tabla2[[#This Row],[Variación Stock]]*Tabla2[[#This Row],[Coste LÃ­nea]]</f>
        <v>119941.78181814401</v>
      </c>
      <c r="N205" s="22" t="str">
        <f>+IF(Tabla2[[#This Row],[Variación Stock]]&gt;0,"Sobrante",IF(Tabla2[[#This Row],[Variación Stock]]&lt;0,"Faltante","Sin novedad"))</f>
        <v>Sobrante</v>
      </c>
    </row>
    <row r="206" spans="1:14" x14ac:dyDescent="0.25">
      <c r="A206" s="11">
        <v>46053</v>
      </c>
      <c r="B206" s="5" t="s">
        <v>972</v>
      </c>
      <c r="C206" s="3" t="s">
        <v>213</v>
      </c>
      <c r="D206" s="5" t="s">
        <v>111</v>
      </c>
      <c r="E206" s="5" t="s">
        <v>112</v>
      </c>
      <c r="F206" s="6" t="s">
        <v>22</v>
      </c>
      <c r="G206" s="4" t="s">
        <v>0</v>
      </c>
      <c r="H206" s="25">
        <v>11532.86363636</v>
      </c>
      <c r="I206" s="8">
        <v>40.4</v>
      </c>
      <c r="J206" s="9">
        <v>33</v>
      </c>
      <c r="K206" s="7">
        <v>-7.4</v>
      </c>
      <c r="L206" s="24">
        <f>+Tabla2[[#This Row],[Stock Inventario]]*Tabla2[[#This Row],[Coste LÃ­nea]]</f>
        <v>380584.49999987998</v>
      </c>
      <c r="M206" s="24">
        <f>+Tabla2[[#This Row],[Variación Stock]]*Tabla2[[#This Row],[Coste LÃ­nea]]</f>
        <v>-85343.190909063997</v>
      </c>
      <c r="N206" s="22" t="str">
        <f>+IF(Tabla2[[#This Row],[Variación Stock]]&gt;0,"Sobrante",IF(Tabla2[[#This Row],[Variación Stock]]&lt;0,"Faltante","Sin novedad"))</f>
        <v>Faltante</v>
      </c>
    </row>
    <row r="207" spans="1:14" x14ac:dyDescent="0.25">
      <c r="A207" s="11">
        <v>46044</v>
      </c>
      <c r="B207" s="5" t="s">
        <v>383</v>
      </c>
      <c r="C207" s="3" t="s">
        <v>213</v>
      </c>
      <c r="D207" s="5" t="s">
        <v>111</v>
      </c>
      <c r="E207" s="5" t="s">
        <v>112</v>
      </c>
      <c r="F207" s="6" t="s">
        <v>364</v>
      </c>
      <c r="G207" s="4" t="s">
        <v>0</v>
      </c>
      <c r="H207" s="25">
        <v>10178.95454545</v>
      </c>
      <c r="I207" s="8">
        <v>29</v>
      </c>
      <c r="J207" s="9">
        <v>26.8</v>
      </c>
      <c r="K207" s="7">
        <v>-2.2000000000000002</v>
      </c>
      <c r="L207" s="24">
        <f>+Tabla2[[#This Row],[Stock Inventario]]*Tabla2[[#This Row],[Coste LÃ­nea]]</f>
        <v>272795.98181806004</v>
      </c>
      <c r="M207" s="24">
        <f>+Tabla2[[#This Row],[Variación Stock]]*Tabla2[[#This Row],[Coste LÃ­nea]]</f>
        <v>-22393.699999990004</v>
      </c>
      <c r="N207" s="22" t="str">
        <f>+IF(Tabla2[[#This Row],[Variación Stock]]&gt;0,"Sobrante",IF(Tabla2[[#This Row],[Variación Stock]]&lt;0,"Faltante","Sin novedad"))</f>
        <v>Faltante</v>
      </c>
    </row>
    <row r="208" spans="1:14" x14ac:dyDescent="0.25">
      <c r="A208" s="11">
        <v>46053</v>
      </c>
      <c r="B208" s="5" t="s">
        <v>972</v>
      </c>
      <c r="C208" s="3" t="s">
        <v>213</v>
      </c>
      <c r="D208" s="5" t="s">
        <v>111</v>
      </c>
      <c r="E208" s="5" t="s">
        <v>112</v>
      </c>
      <c r="F208" s="6" t="s">
        <v>364</v>
      </c>
      <c r="G208" s="4" t="s">
        <v>0</v>
      </c>
      <c r="H208" s="25">
        <v>10178.95454545</v>
      </c>
      <c r="I208" s="8">
        <v>24.8</v>
      </c>
      <c r="J208" s="9">
        <v>19</v>
      </c>
      <c r="K208" s="7">
        <v>-5.8</v>
      </c>
      <c r="L208" s="24">
        <f>+Tabla2[[#This Row],[Stock Inventario]]*Tabla2[[#This Row],[Coste LÃ­nea]]</f>
        <v>193400.13636355</v>
      </c>
      <c r="M208" s="24">
        <f>+Tabla2[[#This Row],[Variación Stock]]*Tabla2[[#This Row],[Coste LÃ­nea]]</f>
        <v>-59037.936363610002</v>
      </c>
      <c r="N208" s="22" t="str">
        <f>+IF(Tabla2[[#This Row],[Variación Stock]]&gt;0,"Sobrante",IF(Tabla2[[#This Row],[Variación Stock]]&lt;0,"Faltante","Sin novedad"))</f>
        <v>Faltante</v>
      </c>
    </row>
    <row r="209" spans="1:14" x14ac:dyDescent="0.25">
      <c r="A209" s="11">
        <v>46037</v>
      </c>
      <c r="B209" s="5" t="s">
        <v>212</v>
      </c>
      <c r="C209" s="3" t="s">
        <v>213</v>
      </c>
      <c r="D209" s="5" t="s">
        <v>111</v>
      </c>
      <c r="E209" s="5" t="s">
        <v>112</v>
      </c>
      <c r="F209" s="6" t="s">
        <v>126</v>
      </c>
      <c r="G209" s="4" t="s">
        <v>0</v>
      </c>
      <c r="H209" s="24">
        <v>11532.86363636</v>
      </c>
      <c r="I209" s="8">
        <v>29</v>
      </c>
      <c r="J209" s="9">
        <v>27</v>
      </c>
      <c r="K209" s="7">
        <v>-2</v>
      </c>
      <c r="L209" s="24">
        <f>+Tabla2[[#This Row],[Stock Inventario]]*Tabla2[[#This Row],[Coste LÃ­nea]]</f>
        <v>311387.31818171998</v>
      </c>
      <c r="M209" s="24">
        <f>+Tabla2[[#This Row],[Variación Stock]]*Tabla2[[#This Row],[Coste LÃ­nea]]</f>
        <v>-23065.72727272</v>
      </c>
      <c r="N209" s="22" t="str">
        <f>+IF(Tabla2[[#This Row],[Variación Stock]]&gt;0,"Sobrante",IF(Tabla2[[#This Row],[Variación Stock]]&lt;0,"Faltante","Sin novedad"))</f>
        <v>Faltante</v>
      </c>
    </row>
    <row r="210" spans="1:14" x14ac:dyDescent="0.25">
      <c r="A210" s="11">
        <v>46044</v>
      </c>
      <c r="B210" s="5" t="s">
        <v>383</v>
      </c>
      <c r="C210" s="3" t="s">
        <v>213</v>
      </c>
      <c r="D210" s="5" t="s">
        <v>111</v>
      </c>
      <c r="E210" s="5" t="s">
        <v>112</v>
      </c>
      <c r="F210" s="6" t="s">
        <v>365</v>
      </c>
      <c r="G210" s="4" t="s">
        <v>0</v>
      </c>
      <c r="H210" s="25">
        <v>11532.86363636</v>
      </c>
      <c r="I210" s="8">
        <v>27</v>
      </c>
      <c r="J210" s="9">
        <v>22</v>
      </c>
      <c r="K210" s="7">
        <v>-5</v>
      </c>
      <c r="L210" s="24">
        <f>+Tabla2[[#This Row],[Stock Inventario]]*Tabla2[[#This Row],[Coste LÃ­nea]]</f>
        <v>253722.99999991999</v>
      </c>
      <c r="M210" s="24">
        <f>+Tabla2[[#This Row],[Variación Stock]]*Tabla2[[#This Row],[Coste LÃ­nea]]</f>
        <v>-57664.318181800001</v>
      </c>
      <c r="N210" s="22" t="str">
        <f>+IF(Tabla2[[#This Row],[Variación Stock]]&gt;0,"Sobrante",IF(Tabla2[[#This Row],[Variación Stock]]&lt;0,"Faltante","Sin novedad"))</f>
        <v>Faltante</v>
      </c>
    </row>
    <row r="211" spans="1:14" x14ac:dyDescent="0.25">
      <c r="A211" s="11">
        <v>46053</v>
      </c>
      <c r="B211" s="5" t="s">
        <v>972</v>
      </c>
      <c r="C211" s="3" t="s">
        <v>213</v>
      </c>
      <c r="D211" s="5" t="s">
        <v>111</v>
      </c>
      <c r="E211" s="5" t="s">
        <v>112</v>
      </c>
      <c r="F211" s="6" t="s">
        <v>365</v>
      </c>
      <c r="G211" s="4" t="s">
        <v>0</v>
      </c>
      <c r="H211" s="25">
        <v>12698.95454545</v>
      </c>
      <c r="I211" s="8">
        <v>16</v>
      </c>
      <c r="J211" s="9">
        <v>22</v>
      </c>
      <c r="K211" s="7">
        <v>6</v>
      </c>
      <c r="L211" s="24">
        <f>+Tabla2[[#This Row],[Stock Inventario]]*Tabla2[[#This Row],[Coste LÃ­nea]]</f>
        <v>279376.9999999</v>
      </c>
      <c r="M211" s="24">
        <f>+Tabla2[[#This Row],[Variación Stock]]*Tabla2[[#This Row],[Coste LÃ­nea]]</f>
        <v>76193.727272699995</v>
      </c>
      <c r="N211" s="22" t="str">
        <f>+IF(Tabla2[[#This Row],[Variación Stock]]&gt;0,"Sobrante",IF(Tabla2[[#This Row],[Variación Stock]]&lt;0,"Faltante","Sin novedad"))</f>
        <v>Sobrante</v>
      </c>
    </row>
    <row r="212" spans="1:14" hidden="1" x14ac:dyDescent="0.25">
      <c r="A212" s="11">
        <v>46044</v>
      </c>
      <c r="B212" s="5" t="s">
        <v>383</v>
      </c>
      <c r="C212" s="3" t="s">
        <v>213</v>
      </c>
      <c r="D212" s="5" t="s">
        <v>120</v>
      </c>
      <c r="E212" s="5" t="s">
        <v>117</v>
      </c>
      <c r="F212" s="6" t="s">
        <v>260</v>
      </c>
      <c r="G212" s="4" t="s">
        <v>2</v>
      </c>
      <c r="H212" s="25">
        <v>1547.4668410700001</v>
      </c>
      <c r="I212" s="8">
        <v>-7</v>
      </c>
      <c r="J212" s="9">
        <v>0</v>
      </c>
      <c r="K212" s="7">
        <v>7</v>
      </c>
      <c r="L212" s="24">
        <f>+Tabla2[[#This Row],[Stock Inventario]]*Tabla2[[#This Row],[Coste LÃ­nea]]</f>
        <v>0</v>
      </c>
      <c r="M212" s="24">
        <f>+Tabla2[[#This Row],[Variación Stock]]*Tabla2[[#This Row],[Coste LÃ­nea]]</f>
        <v>10832.267887490001</v>
      </c>
      <c r="N212" s="22" t="str">
        <f>+IF(Tabla2[[#This Row],[Variación Stock]]&gt;0,"Sobrante",IF(Tabla2[[#This Row],[Variación Stock]]&lt;0,"Faltante","Sin novedad"))</f>
        <v>Sobrante</v>
      </c>
    </row>
    <row r="213" spans="1:14" x14ac:dyDescent="0.25">
      <c r="A213" s="11">
        <v>46037</v>
      </c>
      <c r="B213" s="5" t="s">
        <v>212</v>
      </c>
      <c r="C213" s="3" t="s">
        <v>213</v>
      </c>
      <c r="D213" s="5" t="s">
        <v>114</v>
      </c>
      <c r="E213" s="5" t="s">
        <v>112</v>
      </c>
      <c r="F213" s="6" t="s">
        <v>68</v>
      </c>
      <c r="G213" s="4" t="s">
        <v>2</v>
      </c>
      <c r="H213" s="24">
        <v>4986.1393557499996</v>
      </c>
      <c r="I213" s="8">
        <v>0</v>
      </c>
      <c r="J213" s="9">
        <v>0</v>
      </c>
      <c r="K213" s="7">
        <v>0</v>
      </c>
      <c r="L213" s="24">
        <f>+Tabla2[[#This Row],[Stock Inventario]]*Tabla2[[#This Row],[Coste LÃ­nea]]</f>
        <v>0</v>
      </c>
      <c r="M213" s="24">
        <f>+Tabla2[[#This Row],[Variación Stock]]*Tabla2[[#This Row],[Coste LÃ­nea]]</f>
        <v>0</v>
      </c>
      <c r="N213" s="22" t="str">
        <f>+IF(Tabla2[[#This Row],[Variación Stock]]&gt;0,"Sobrante",IF(Tabla2[[#This Row],[Variación Stock]]&lt;0,"Faltante","Sin novedad"))</f>
        <v>Sin novedad</v>
      </c>
    </row>
    <row r="214" spans="1:14" x14ac:dyDescent="0.25">
      <c r="A214" s="11">
        <v>46044</v>
      </c>
      <c r="B214" s="5" t="s">
        <v>383</v>
      </c>
      <c r="C214" s="3" t="s">
        <v>213</v>
      </c>
      <c r="D214" s="5" t="s">
        <v>114</v>
      </c>
      <c r="E214" s="5" t="s">
        <v>112</v>
      </c>
      <c r="F214" s="6" t="s">
        <v>68</v>
      </c>
      <c r="G214" s="4" t="s">
        <v>2</v>
      </c>
      <c r="H214" s="25">
        <v>4986.1393557499996</v>
      </c>
      <c r="I214" s="8">
        <v>0</v>
      </c>
      <c r="J214" s="9">
        <v>0</v>
      </c>
      <c r="K214" s="7">
        <v>0</v>
      </c>
      <c r="L214" s="24">
        <f>+Tabla2[[#This Row],[Stock Inventario]]*Tabla2[[#This Row],[Coste LÃ­nea]]</f>
        <v>0</v>
      </c>
      <c r="M214" s="24">
        <f>+Tabla2[[#This Row],[Variación Stock]]*Tabla2[[#This Row],[Coste LÃ­nea]]</f>
        <v>0</v>
      </c>
      <c r="N214" s="22" t="str">
        <f>+IF(Tabla2[[#This Row],[Variación Stock]]&gt;0,"Sobrante",IF(Tabla2[[#This Row],[Variación Stock]]&lt;0,"Faltante","Sin novedad"))</f>
        <v>Sin novedad</v>
      </c>
    </row>
    <row r="215" spans="1:14" x14ac:dyDescent="0.25">
      <c r="A215" s="11">
        <v>46053</v>
      </c>
      <c r="B215" s="5" t="s">
        <v>972</v>
      </c>
      <c r="C215" s="3" t="s">
        <v>213</v>
      </c>
      <c r="D215" s="5" t="s">
        <v>114</v>
      </c>
      <c r="E215" s="5" t="s">
        <v>112</v>
      </c>
      <c r="F215" s="6" t="s">
        <v>68</v>
      </c>
      <c r="G215" s="4" t="s">
        <v>2</v>
      </c>
      <c r="H215" s="25">
        <v>4986.1393557499996</v>
      </c>
      <c r="I215" s="8">
        <v>0</v>
      </c>
      <c r="J215" s="9">
        <v>0</v>
      </c>
      <c r="K215" s="7">
        <v>0</v>
      </c>
      <c r="L215" s="24">
        <f>+Tabla2[[#This Row],[Stock Inventario]]*Tabla2[[#This Row],[Coste LÃ­nea]]</f>
        <v>0</v>
      </c>
      <c r="M215" s="24">
        <f>+Tabla2[[#This Row],[Variación Stock]]*Tabla2[[#This Row],[Coste LÃ­nea]]</f>
        <v>0</v>
      </c>
      <c r="N215" s="22" t="str">
        <f>+IF(Tabla2[[#This Row],[Variación Stock]]&gt;0,"Sobrante",IF(Tabla2[[#This Row],[Variación Stock]]&lt;0,"Faltante","Sin novedad"))</f>
        <v>Sin novedad</v>
      </c>
    </row>
    <row r="216" spans="1:14" x14ac:dyDescent="0.25">
      <c r="A216" s="11">
        <v>46037</v>
      </c>
      <c r="B216" s="5" t="s">
        <v>212</v>
      </c>
      <c r="C216" s="3" t="s">
        <v>213</v>
      </c>
      <c r="D216" s="5" t="s">
        <v>111</v>
      </c>
      <c r="E216" s="5" t="s">
        <v>112</v>
      </c>
      <c r="F216" s="6" t="s">
        <v>215</v>
      </c>
      <c r="G216" s="4" t="s">
        <v>0</v>
      </c>
      <c r="H216" s="24">
        <v>5900</v>
      </c>
      <c r="I216" s="8">
        <v>0</v>
      </c>
      <c r="J216" s="9">
        <v>0</v>
      </c>
      <c r="K216" s="7">
        <v>0</v>
      </c>
      <c r="L216" s="24">
        <f>+Tabla2[[#This Row],[Stock Inventario]]*Tabla2[[#This Row],[Coste LÃ­nea]]</f>
        <v>0</v>
      </c>
      <c r="M216" s="24">
        <f>+Tabla2[[#This Row],[Variación Stock]]*Tabla2[[#This Row],[Coste LÃ­nea]]</f>
        <v>0</v>
      </c>
      <c r="N216" s="22" t="str">
        <f>+IF(Tabla2[[#This Row],[Variación Stock]]&gt;0,"Sobrante",IF(Tabla2[[#This Row],[Variación Stock]]&lt;0,"Faltante","Sin novedad"))</f>
        <v>Sin novedad</v>
      </c>
    </row>
    <row r="217" spans="1:14" x14ac:dyDescent="0.25">
      <c r="A217" s="11">
        <v>46044</v>
      </c>
      <c r="B217" s="5" t="s">
        <v>383</v>
      </c>
      <c r="C217" s="3" t="s">
        <v>213</v>
      </c>
      <c r="D217" s="5" t="s">
        <v>111</v>
      </c>
      <c r="E217" s="5" t="s">
        <v>112</v>
      </c>
      <c r="F217" s="6" t="s">
        <v>215</v>
      </c>
      <c r="G217" s="4" t="s">
        <v>0</v>
      </c>
      <c r="H217" s="25">
        <v>5900</v>
      </c>
      <c r="I217" s="8">
        <v>0</v>
      </c>
      <c r="J217" s="9">
        <v>0</v>
      </c>
      <c r="K217" s="7">
        <v>0</v>
      </c>
      <c r="L217" s="24">
        <f>+Tabla2[[#This Row],[Stock Inventario]]*Tabla2[[#This Row],[Coste LÃ­nea]]</f>
        <v>0</v>
      </c>
      <c r="M217" s="24">
        <f>+Tabla2[[#This Row],[Variación Stock]]*Tabla2[[#This Row],[Coste LÃ­nea]]</f>
        <v>0</v>
      </c>
      <c r="N217" s="22" t="str">
        <f>+IF(Tabla2[[#This Row],[Variación Stock]]&gt;0,"Sobrante",IF(Tabla2[[#This Row],[Variación Stock]]&lt;0,"Faltante","Sin novedad"))</f>
        <v>Sin novedad</v>
      </c>
    </row>
    <row r="218" spans="1:14" hidden="1" x14ac:dyDescent="0.25">
      <c r="A218" s="11">
        <v>46037</v>
      </c>
      <c r="B218" s="5" t="s">
        <v>212</v>
      </c>
      <c r="C218" s="3" t="s">
        <v>213</v>
      </c>
      <c r="D218" s="5" t="s">
        <v>120</v>
      </c>
      <c r="E218" s="5" t="s">
        <v>117</v>
      </c>
      <c r="F218" s="6" t="s">
        <v>261</v>
      </c>
      <c r="G218" s="4" t="s">
        <v>2</v>
      </c>
      <c r="H218" s="24">
        <v>5122.3678486600002</v>
      </c>
      <c r="I218" s="8">
        <v>1</v>
      </c>
      <c r="J218" s="9">
        <v>9</v>
      </c>
      <c r="K218" s="7">
        <v>8</v>
      </c>
      <c r="L218" s="24">
        <f>+Tabla2[[#This Row],[Stock Inventario]]*Tabla2[[#This Row],[Coste LÃ­nea]]</f>
        <v>46101.310637939998</v>
      </c>
      <c r="M218" s="24">
        <f>+Tabla2[[#This Row],[Variación Stock]]*Tabla2[[#This Row],[Coste LÃ­nea]]</f>
        <v>40978.942789280001</v>
      </c>
      <c r="N218" s="22" t="str">
        <f>+IF(Tabla2[[#This Row],[Variación Stock]]&gt;0,"Sobrante",IF(Tabla2[[#This Row],[Variación Stock]]&lt;0,"Faltante","Sin novedad"))</f>
        <v>Sobrante</v>
      </c>
    </row>
    <row r="219" spans="1:14" x14ac:dyDescent="0.25">
      <c r="A219" s="11">
        <v>46053</v>
      </c>
      <c r="B219" s="5" t="s">
        <v>972</v>
      </c>
      <c r="C219" s="3" t="s">
        <v>213</v>
      </c>
      <c r="D219" s="5" t="s">
        <v>111</v>
      </c>
      <c r="E219" s="5" t="s">
        <v>112</v>
      </c>
      <c r="F219" s="6" t="s">
        <v>1082</v>
      </c>
      <c r="G219" s="4" t="s">
        <v>0</v>
      </c>
      <c r="H219" s="25">
        <v>5000</v>
      </c>
      <c r="I219" s="8">
        <v>6</v>
      </c>
      <c r="J219" s="9">
        <v>34.666666666666664</v>
      </c>
      <c r="K219" s="7">
        <f>+Tabla2[[#This Row],[Stock Inventario]]-Tabla2[[#This Row],[Stock a Fecha]]</f>
        <v>28.666666666666664</v>
      </c>
      <c r="L219" s="24">
        <f>+Tabla2[[#This Row],[Stock Inventario]]*Tabla2[[#This Row],[Coste LÃ­nea]]</f>
        <v>173333.33333333331</v>
      </c>
      <c r="M219" s="24">
        <f>+Tabla2[[#This Row],[Variación Stock]]*Tabla2[[#This Row],[Coste LÃ­nea]]</f>
        <v>143333.33333333331</v>
      </c>
      <c r="N219" s="22" t="str">
        <f>+IF(Tabla2[[#This Row],[Variación Stock]]&gt;0,"Sobrante",IF(Tabla2[[#This Row],[Variación Stock]]&lt;0,"Faltante","Sin novedad"))</f>
        <v>Sobrante</v>
      </c>
    </row>
    <row r="220" spans="1:14" x14ac:dyDescent="0.25">
      <c r="A220" s="11">
        <v>46053</v>
      </c>
      <c r="B220" s="5" t="s">
        <v>972</v>
      </c>
      <c r="C220" s="3" t="s">
        <v>213</v>
      </c>
      <c r="D220" s="5" t="s">
        <v>603</v>
      </c>
      <c r="E220" s="5" t="s">
        <v>112</v>
      </c>
      <c r="F220" s="6" t="s">
        <v>617</v>
      </c>
      <c r="G220" s="4" t="s">
        <v>1</v>
      </c>
      <c r="H220" s="25">
        <v>13</v>
      </c>
      <c r="I220" s="8">
        <v>-703.68420000000003</v>
      </c>
      <c r="J220" s="9">
        <v>0</v>
      </c>
      <c r="K220" s="7">
        <v>703.68423800000005</v>
      </c>
      <c r="L220" s="24">
        <f>+Tabla2[[#This Row],[Stock Inventario]]*Tabla2[[#This Row],[Coste LÃ­nea]]</f>
        <v>0</v>
      </c>
      <c r="M220" s="24">
        <f>+Tabla2[[#This Row],[Variación Stock]]*Tabla2[[#This Row],[Coste LÃ­nea]]</f>
        <v>9147.8950940000013</v>
      </c>
      <c r="N220" s="22" t="str">
        <f>+IF(Tabla2[[#This Row],[Variación Stock]]&gt;0,"Sobrante",IF(Tabla2[[#This Row],[Variación Stock]]&lt;0,"Faltante","Sin novedad"))</f>
        <v>Sobrante</v>
      </c>
    </row>
    <row r="221" spans="1:14" x14ac:dyDescent="0.25">
      <c r="A221" s="11">
        <v>46053</v>
      </c>
      <c r="B221" s="5" t="s">
        <v>972</v>
      </c>
      <c r="C221" s="3" t="s">
        <v>213</v>
      </c>
      <c r="D221" s="5" t="s">
        <v>603</v>
      </c>
      <c r="E221" s="5" t="s">
        <v>112</v>
      </c>
      <c r="F221" s="6" t="s">
        <v>610</v>
      </c>
      <c r="G221" s="4" t="s">
        <v>1</v>
      </c>
      <c r="H221" s="25">
        <v>3.96</v>
      </c>
      <c r="I221" s="8">
        <v>-500</v>
      </c>
      <c r="J221" s="9">
        <v>0</v>
      </c>
      <c r="K221" s="7">
        <v>500</v>
      </c>
      <c r="L221" s="24">
        <f>+Tabla2[[#This Row],[Stock Inventario]]*Tabla2[[#This Row],[Coste LÃ­nea]]</f>
        <v>0</v>
      </c>
      <c r="M221" s="24">
        <f>+Tabla2[[#This Row],[Variación Stock]]*Tabla2[[#This Row],[Coste LÃ­nea]]</f>
        <v>1980</v>
      </c>
      <c r="N221" s="22" t="str">
        <f>+IF(Tabla2[[#This Row],[Variación Stock]]&gt;0,"Sobrante",IF(Tabla2[[#This Row],[Variación Stock]]&lt;0,"Faltante","Sin novedad"))</f>
        <v>Sobrante</v>
      </c>
    </row>
    <row r="222" spans="1:14" x14ac:dyDescent="0.25">
      <c r="A222" s="11">
        <v>46037</v>
      </c>
      <c r="B222" s="5" t="s">
        <v>212</v>
      </c>
      <c r="C222" s="3" t="s">
        <v>213</v>
      </c>
      <c r="D222" s="5" t="s">
        <v>111</v>
      </c>
      <c r="E222" s="5" t="s">
        <v>112</v>
      </c>
      <c r="F222" s="6" t="s">
        <v>51</v>
      </c>
      <c r="G222" s="4" t="s">
        <v>0</v>
      </c>
      <c r="H222" s="24">
        <v>9738.2016806699994</v>
      </c>
      <c r="I222" s="8">
        <v>0</v>
      </c>
      <c r="J222" s="9">
        <v>0</v>
      </c>
      <c r="K222" s="7">
        <v>0</v>
      </c>
      <c r="L222" s="24">
        <f>+Tabla2[[#This Row],[Stock Inventario]]*Tabla2[[#This Row],[Coste LÃ­nea]]</f>
        <v>0</v>
      </c>
      <c r="M222" s="24">
        <f>+Tabla2[[#This Row],[Variación Stock]]*Tabla2[[#This Row],[Coste LÃ­nea]]</f>
        <v>0</v>
      </c>
      <c r="N222" s="22" t="str">
        <f>+IF(Tabla2[[#This Row],[Variación Stock]]&gt;0,"Sobrante",IF(Tabla2[[#This Row],[Variación Stock]]&lt;0,"Faltante","Sin novedad"))</f>
        <v>Sin novedad</v>
      </c>
    </row>
    <row r="223" spans="1:14" hidden="1" x14ac:dyDescent="0.25">
      <c r="A223" s="11">
        <v>46044</v>
      </c>
      <c r="B223" s="5" t="s">
        <v>383</v>
      </c>
      <c r="C223" s="3" t="s">
        <v>213</v>
      </c>
      <c r="D223" s="5" t="s">
        <v>119</v>
      </c>
      <c r="E223" s="5" t="s">
        <v>117</v>
      </c>
      <c r="F223" s="6" t="s">
        <v>390</v>
      </c>
      <c r="G223" s="4" t="s">
        <v>1</v>
      </c>
      <c r="H223" s="25">
        <v>326.20299999999997</v>
      </c>
      <c r="I223" s="8">
        <v>1100</v>
      </c>
      <c r="J223" s="9">
        <v>450</v>
      </c>
      <c r="K223" s="7">
        <v>-650</v>
      </c>
      <c r="L223" s="24">
        <f>+Tabla2[[#This Row],[Stock Inventario]]*Tabla2[[#This Row],[Coste LÃ­nea]]</f>
        <v>146791.34999999998</v>
      </c>
      <c r="M223" s="24">
        <f>+Tabla2[[#This Row],[Variación Stock]]*Tabla2[[#This Row],[Coste LÃ­nea]]</f>
        <v>-212031.94999999998</v>
      </c>
      <c r="N223" s="22" t="str">
        <f>+IF(Tabla2[[#This Row],[Variación Stock]]&gt;0,"Sobrante",IF(Tabla2[[#This Row],[Variación Stock]]&lt;0,"Faltante","Sin novedad"))</f>
        <v>Faltante</v>
      </c>
    </row>
    <row r="224" spans="1:14" x14ac:dyDescent="0.25">
      <c r="A224" s="11">
        <v>46044</v>
      </c>
      <c r="B224" s="5" t="s">
        <v>383</v>
      </c>
      <c r="C224" s="3" t="s">
        <v>213</v>
      </c>
      <c r="D224" s="5" t="s">
        <v>111</v>
      </c>
      <c r="E224" s="5" t="s">
        <v>112</v>
      </c>
      <c r="F224" s="6" t="s">
        <v>51</v>
      </c>
      <c r="G224" s="4" t="s">
        <v>0</v>
      </c>
      <c r="H224" s="25">
        <v>9738.2016806699994</v>
      </c>
      <c r="I224" s="8">
        <v>0</v>
      </c>
      <c r="J224" s="9">
        <v>0</v>
      </c>
      <c r="K224" s="7">
        <v>0</v>
      </c>
      <c r="L224" s="24">
        <f>+Tabla2[[#This Row],[Stock Inventario]]*Tabla2[[#This Row],[Coste LÃ­nea]]</f>
        <v>0</v>
      </c>
      <c r="M224" s="24">
        <f>+Tabla2[[#This Row],[Variación Stock]]*Tabla2[[#This Row],[Coste LÃ­nea]]</f>
        <v>0</v>
      </c>
      <c r="N224" s="22" t="str">
        <f>+IF(Tabla2[[#This Row],[Variación Stock]]&gt;0,"Sobrante",IF(Tabla2[[#This Row],[Variación Stock]]&lt;0,"Faltante","Sin novedad"))</f>
        <v>Sin novedad</v>
      </c>
    </row>
    <row r="225" spans="1:14" x14ac:dyDescent="0.25">
      <c r="A225" s="11">
        <v>46053</v>
      </c>
      <c r="B225" s="5" t="s">
        <v>972</v>
      </c>
      <c r="C225" s="3" t="s">
        <v>213</v>
      </c>
      <c r="D225" s="5" t="s">
        <v>111</v>
      </c>
      <c r="E225" s="5" t="s">
        <v>112</v>
      </c>
      <c r="F225" s="6" t="s">
        <v>51</v>
      </c>
      <c r="G225" s="4" t="s">
        <v>0</v>
      </c>
      <c r="H225" s="25">
        <v>9738.2016806699994</v>
      </c>
      <c r="I225" s="8">
        <v>0</v>
      </c>
      <c r="J225" s="9">
        <v>0</v>
      </c>
      <c r="K225" s="7">
        <v>0</v>
      </c>
      <c r="L225" s="24">
        <f>+Tabla2[[#This Row],[Stock Inventario]]*Tabla2[[#This Row],[Coste LÃ­nea]]</f>
        <v>0</v>
      </c>
      <c r="M225" s="24">
        <f>+Tabla2[[#This Row],[Variación Stock]]*Tabla2[[#This Row],[Coste LÃ­nea]]</f>
        <v>0</v>
      </c>
      <c r="N225" s="22" t="str">
        <f>+IF(Tabla2[[#This Row],[Variación Stock]]&gt;0,"Sobrante",IF(Tabla2[[#This Row],[Variación Stock]]&lt;0,"Faltante","Sin novedad"))</f>
        <v>Sin novedad</v>
      </c>
    </row>
    <row r="226" spans="1:14" x14ac:dyDescent="0.25">
      <c r="A226" s="11">
        <v>46037</v>
      </c>
      <c r="B226" s="5" t="s">
        <v>212</v>
      </c>
      <c r="C226" s="3" t="s">
        <v>213</v>
      </c>
      <c r="D226" s="5" t="s">
        <v>111</v>
      </c>
      <c r="E226" s="5" t="s">
        <v>112</v>
      </c>
      <c r="F226" s="6" t="s">
        <v>23</v>
      </c>
      <c r="G226" s="4" t="s">
        <v>0</v>
      </c>
      <c r="H226" s="24">
        <v>4320.1818181799999</v>
      </c>
      <c r="I226" s="8">
        <v>0</v>
      </c>
      <c r="J226" s="9">
        <v>0</v>
      </c>
      <c r="K226" s="7">
        <v>0</v>
      </c>
      <c r="L226" s="24">
        <f>+Tabla2[[#This Row],[Stock Inventario]]*Tabla2[[#This Row],[Coste LÃ­nea]]</f>
        <v>0</v>
      </c>
      <c r="M226" s="24">
        <f>+Tabla2[[#This Row],[Variación Stock]]*Tabla2[[#This Row],[Coste LÃ­nea]]</f>
        <v>0</v>
      </c>
      <c r="N226" s="22" t="str">
        <f>+IF(Tabla2[[#This Row],[Variación Stock]]&gt;0,"Sobrante",IF(Tabla2[[#This Row],[Variación Stock]]&lt;0,"Faltante","Sin novedad"))</f>
        <v>Sin novedad</v>
      </c>
    </row>
    <row r="227" spans="1:14" hidden="1" x14ac:dyDescent="0.25">
      <c r="A227" s="11">
        <v>46037</v>
      </c>
      <c r="B227" s="5" t="s">
        <v>212</v>
      </c>
      <c r="C227" s="3" t="s">
        <v>213</v>
      </c>
      <c r="D227" s="5" t="s">
        <v>120</v>
      </c>
      <c r="E227" s="5" t="s">
        <v>117</v>
      </c>
      <c r="F227" s="6" t="s">
        <v>262</v>
      </c>
      <c r="G227" s="4" t="s">
        <v>1</v>
      </c>
      <c r="H227" s="24">
        <v>32.663171830000003</v>
      </c>
      <c r="I227" s="8">
        <v>3510</v>
      </c>
      <c r="J227" s="9">
        <v>3515</v>
      </c>
      <c r="K227" s="7">
        <v>5</v>
      </c>
      <c r="L227" s="24">
        <f>+Tabla2[[#This Row],[Stock Inventario]]*Tabla2[[#This Row],[Coste LÃ­nea]]</f>
        <v>114811.04898245001</v>
      </c>
      <c r="M227" s="24">
        <f>+Tabla2[[#This Row],[Variación Stock]]*Tabla2[[#This Row],[Coste LÃ­nea]]</f>
        <v>163.31585915000002</v>
      </c>
      <c r="N227" s="22" t="str">
        <f>+IF(Tabla2[[#This Row],[Variación Stock]]&gt;0,"Sobrante",IF(Tabla2[[#This Row],[Variación Stock]]&lt;0,"Faltante","Sin novedad"))</f>
        <v>Sobrante</v>
      </c>
    </row>
    <row r="228" spans="1:14" x14ac:dyDescent="0.25">
      <c r="A228" s="11">
        <v>46044</v>
      </c>
      <c r="B228" s="5" t="s">
        <v>383</v>
      </c>
      <c r="C228" s="3" t="s">
        <v>213</v>
      </c>
      <c r="D228" s="5" t="s">
        <v>111</v>
      </c>
      <c r="E228" s="5" t="s">
        <v>112</v>
      </c>
      <c r="F228" s="6" t="s">
        <v>23</v>
      </c>
      <c r="G228" s="4" t="s">
        <v>0</v>
      </c>
      <c r="H228" s="25">
        <v>4724.9090909099996</v>
      </c>
      <c r="I228" s="8">
        <v>0</v>
      </c>
      <c r="J228" s="9">
        <v>0</v>
      </c>
      <c r="K228" s="7">
        <v>0</v>
      </c>
      <c r="L228" s="24">
        <f>+Tabla2[[#This Row],[Stock Inventario]]*Tabla2[[#This Row],[Coste LÃ­nea]]</f>
        <v>0</v>
      </c>
      <c r="M228" s="24">
        <f>+Tabla2[[#This Row],[Variación Stock]]*Tabla2[[#This Row],[Coste LÃ­nea]]</f>
        <v>0</v>
      </c>
      <c r="N228" s="22" t="str">
        <f>+IF(Tabla2[[#This Row],[Variación Stock]]&gt;0,"Sobrante",IF(Tabla2[[#This Row],[Variación Stock]]&lt;0,"Faltante","Sin novedad"))</f>
        <v>Sin novedad</v>
      </c>
    </row>
    <row r="229" spans="1:14" hidden="1" x14ac:dyDescent="0.25">
      <c r="A229" s="11">
        <v>46044</v>
      </c>
      <c r="B229" s="5" t="s">
        <v>383</v>
      </c>
      <c r="C229" s="3" t="s">
        <v>213</v>
      </c>
      <c r="D229" s="5" t="s">
        <v>120</v>
      </c>
      <c r="E229" s="5" t="s">
        <v>117</v>
      </c>
      <c r="F229" s="6" t="s">
        <v>262</v>
      </c>
      <c r="G229" s="4" t="s">
        <v>1</v>
      </c>
      <c r="H229" s="25">
        <v>32.684100829999998</v>
      </c>
      <c r="I229" s="8">
        <v>2375</v>
      </c>
      <c r="J229" s="9">
        <v>2510</v>
      </c>
      <c r="K229" s="7">
        <v>135</v>
      </c>
      <c r="L229" s="24">
        <f>+Tabla2[[#This Row],[Stock Inventario]]*Tabla2[[#This Row],[Coste LÃ­nea]]</f>
        <v>82037.093083300002</v>
      </c>
      <c r="M229" s="24">
        <f>+Tabla2[[#This Row],[Variación Stock]]*Tabla2[[#This Row],[Coste LÃ­nea]]</f>
        <v>4412.3536120499994</v>
      </c>
      <c r="N229" s="22" t="str">
        <f>+IF(Tabla2[[#This Row],[Variación Stock]]&gt;0,"Sobrante",IF(Tabla2[[#This Row],[Variación Stock]]&lt;0,"Faltante","Sin novedad"))</f>
        <v>Sobrante</v>
      </c>
    </row>
    <row r="230" spans="1:14" x14ac:dyDescent="0.25">
      <c r="A230" s="11">
        <v>46053</v>
      </c>
      <c r="B230" s="5" t="s">
        <v>972</v>
      </c>
      <c r="C230" s="3" t="s">
        <v>213</v>
      </c>
      <c r="D230" s="5" t="s">
        <v>111</v>
      </c>
      <c r="E230" s="5" t="s">
        <v>112</v>
      </c>
      <c r="F230" s="6" t="s">
        <v>23</v>
      </c>
      <c r="G230" s="4" t="s">
        <v>0</v>
      </c>
      <c r="H230" s="25">
        <v>4724.9090909099996</v>
      </c>
      <c r="I230" s="8">
        <v>0</v>
      </c>
      <c r="J230" s="9">
        <v>0</v>
      </c>
      <c r="K230" s="7">
        <v>0</v>
      </c>
      <c r="L230" s="24">
        <f>+Tabla2[[#This Row],[Stock Inventario]]*Tabla2[[#This Row],[Coste LÃ­nea]]</f>
        <v>0</v>
      </c>
      <c r="M230" s="24">
        <f>+Tabla2[[#This Row],[Variación Stock]]*Tabla2[[#This Row],[Coste LÃ­nea]]</f>
        <v>0</v>
      </c>
      <c r="N230" s="22" t="str">
        <f>+IF(Tabla2[[#This Row],[Variación Stock]]&gt;0,"Sobrante",IF(Tabla2[[#This Row],[Variación Stock]]&lt;0,"Faltante","Sin novedad"))</f>
        <v>Sin novedad</v>
      </c>
    </row>
    <row r="231" spans="1:14" x14ac:dyDescent="0.25">
      <c r="A231" s="11">
        <v>46037</v>
      </c>
      <c r="B231" s="5" t="s">
        <v>212</v>
      </c>
      <c r="C231" s="3" t="s">
        <v>213</v>
      </c>
      <c r="D231" s="5" t="s">
        <v>111</v>
      </c>
      <c r="E231" s="5" t="s">
        <v>112</v>
      </c>
      <c r="F231" s="6" t="s">
        <v>52</v>
      </c>
      <c r="G231" s="4" t="s">
        <v>0</v>
      </c>
      <c r="H231" s="24">
        <v>6800.3640183199996</v>
      </c>
      <c r="I231" s="8">
        <v>52</v>
      </c>
      <c r="J231" s="9">
        <v>52</v>
      </c>
      <c r="K231" s="7">
        <v>0</v>
      </c>
      <c r="L231" s="24">
        <f>+Tabla2[[#This Row],[Stock Inventario]]*Tabla2[[#This Row],[Coste LÃ­nea]]</f>
        <v>353618.92895263998</v>
      </c>
      <c r="M231" s="24">
        <f>+Tabla2[[#This Row],[Variación Stock]]*Tabla2[[#This Row],[Coste LÃ­nea]]</f>
        <v>0</v>
      </c>
      <c r="N231" s="22" t="str">
        <f>+IF(Tabla2[[#This Row],[Variación Stock]]&gt;0,"Sobrante",IF(Tabla2[[#This Row],[Variación Stock]]&lt;0,"Faltante","Sin novedad"))</f>
        <v>Sin novedad</v>
      </c>
    </row>
    <row r="232" spans="1:14" x14ac:dyDescent="0.25">
      <c r="A232" s="11">
        <v>46044</v>
      </c>
      <c r="B232" s="5" t="s">
        <v>383</v>
      </c>
      <c r="C232" s="3" t="s">
        <v>213</v>
      </c>
      <c r="D232" s="5" t="s">
        <v>111</v>
      </c>
      <c r="E232" s="5" t="s">
        <v>112</v>
      </c>
      <c r="F232" s="6" t="s">
        <v>52</v>
      </c>
      <c r="G232" s="4" t="s">
        <v>0</v>
      </c>
      <c r="H232" s="25">
        <v>6800.3640183199996</v>
      </c>
      <c r="I232" s="8">
        <v>52</v>
      </c>
      <c r="J232" s="9">
        <v>51.6</v>
      </c>
      <c r="K232" s="7">
        <v>-0.4</v>
      </c>
      <c r="L232" s="24">
        <f>+Tabla2[[#This Row],[Stock Inventario]]*Tabla2[[#This Row],[Coste LÃ­nea]]</f>
        <v>350898.783345312</v>
      </c>
      <c r="M232" s="24">
        <f>+Tabla2[[#This Row],[Variación Stock]]*Tabla2[[#This Row],[Coste LÃ­nea]]</f>
        <v>-2720.1456073280001</v>
      </c>
      <c r="N232" s="22" t="str">
        <f>+IF(Tabla2[[#This Row],[Variación Stock]]&gt;0,"Sobrante",IF(Tabla2[[#This Row],[Variación Stock]]&lt;0,"Faltante","Sin novedad"))</f>
        <v>Faltante</v>
      </c>
    </row>
    <row r="233" spans="1:14" x14ac:dyDescent="0.25">
      <c r="A233" s="11">
        <v>46053</v>
      </c>
      <c r="B233" s="5" t="s">
        <v>972</v>
      </c>
      <c r="C233" s="3" t="s">
        <v>213</v>
      </c>
      <c r="D233" s="5" t="s">
        <v>111</v>
      </c>
      <c r="E233" s="5" t="s">
        <v>112</v>
      </c>
      <c r="F233" s="6" t="s">
        <v>52</v>
      </c>
      <c r="G233" s="4" t="s">
        <v>0</v>
      </c>
      <c r="H233" s="25">
        <v>6800.3640183199996</v>
      </c>
      <c r="I233" s="8">
        <v>49.94</v>
      </c>
      <c r="J233" s="9">
        <v>54</v>
      </c>
      <c r="K233" s="7">
        <v>4.0599999999999996</v>
      </c>
      <c r="L233" s="24">
        <f>+Tabla2[[#This Row],[Stock Inventario]]*Tabla2[[#This Row],[Coste LÃ­nea]]</f>
        <v>367219.65698927996</v>
      </c>
      <c r="M233" s="24">
        <f>+Tabla2[[#This Row],[Variación Stock]]*Tabla2[[#This Row],[Coste LÃ­nea]]</f>
        <v>27609.477914379197</v>
      </c>
      <c r="N233" s="22" t="str">
        <f>+IF(Tabla2[[#This Row],[Variación Stock]]&gt;0,"Sobrante",IF(Tabla2[[#This Row],[Variación Stock]]&lt;0,"Faltante","Sin novedad"))</f>
        <v>Sobrante</v>
      </c>
    </row>
    <row r="234" spans="1:14" x14ac:dyDescent="0.25">
      <c r="A234" s="11">
        <v>46037</v>
      </c>
      <c r="B234" s="5" t="s">
        <v>212</v>
      </c>
      <c r="C234" s="3" t="s">
        <v>213</v>
      </c>
      <c r="D234" s="5" t="s">
        <v>114</v>
      </c>
      <c r="E234" s="5" t="s">
        <v>112</v>
      </c>
      <c r="F234" s="6" t="s">
        <v>62</v>
      </c>
      <c r="G234" s="4" t="s">
        <v>2</v>
      </c>
      <c r="H234" s="24">
        <v>1654.1729616299999</v>
      </c>
      <c r="I234" s="8">
        <v>46.8</v>
      </c>
      <c r="J234" s="9">
        <v>65</v>
      </c>
      <c r="K234" s="7">
        <v>18.2</v>
      </c>
      <c r="L234" s="24">
        <f>+Tabla2[[#This Row],[Stock Inventario]]*Tabla2[[#This Row],[Coste LÃ­nea]]</f>
        <v>107521.24250594999</v>
      </c>
      <c r="M234" s="24">
        <f>+Tabla2[[#This Row],[Variación Stock]]*Tabla2[[#This Row],[Coste LÃ­nea]]</f>
        <v>30105.947901665997</v>
      </c>
      <c r="N234" s="22" t="str">
        <f>+IF(Tabla2[[#This Row],[Variación Stock]]&gt;0,"Sobrante",IF(Tabla2[[#This Row],[Variación Stock]]&lt;0,"Faltante","Sin novedad"))</f>
        <v>Sobrante</v>
      </c>
    </row>
    <row r="235" spans="1:14" hidden="1" x14ac:dyDescent="0.25">
      <c r="A235" s="11">
        <v>46037</v>
      </c>
      <c r="B235" s="5" t="s">
        <v>212</v>
      </c>
      <c r="C235" s="3" t="s">
        <v>213</v>
      </c>
      <c r="D235" s="5" t="s">
        <v>120</v>
      </c>
      <c r="E235" s="5" t="s">
        <v>117</v>
      </c>
      <c r="F235" s="6" t="s">
        <v>263</v>
      </c>
      <c r="G235" s="4" t="s">
        <v>2</v>
      </c>
      <c r="H235" s="24">
        <v>8078.16898692</v>
      </c>
      <c r="I235" s="8">
        <v>22</v>
      </c>
      <c r="J235" s="9">
        <v>6</v>
      </c>
      <c r="K235" s="15">
        <v>-16</v>
      </c>
      <c r="L235" s="24">
        <f>+Tabla2[[#This Row],[Stock Inventario]]*Tabla2[[#This Row],[Coste LÃ­nea]]</f>
        <v>48469.013921520003</v>
      </c>
      <c r="M235" s="24">
        <f>+Tabla2[[#This Row],[Variación Stock]]*Tabla2[[#This Row],[Coste LÃ­nea]]</f>
        <v>-129250.70379072</v>
      </c>
      <c r="N235" s="22" t="str">
        <f>+IF(Tabla2[[#This Row],[Variación Stock]]&gt;0,"Sobrante",IF(Tabla2[[#This Row],[Variación Stock]]&lt;0,"Faltante","Sin novedad"))</f>
        <v>Faltante</v>
      </c>
    </row>
    <row r="236" spans="1:14" x14ac:dyDescent="0.25">
      <c r="A236" s="11">
        <v>46044</v>
      </c>
      <c r="B236" s="5" t="s">
        <v>383</v>
      </c>
      <c r="C236" s="3" t="s">
        <v>213</v>
      </c>
      <c r="D236" s="5" t="s">
        <v>114</v>
      </c>
      <c r="E236" s="5" t="s">
        <v>112</v>
      </c>
      <c r="F236" s="6" t="s">
        <v>62</v>
      </c>
      <c r="G236" s="4" t="s">
        <v>2</v>
      </c>
      <c r="H236" s="25">
        <v>1654.1729616299999</v>
      </c>
      <c r="I236" s="8">
        <v>64.099999999999994</v>
      </c>
      <c r="J236" s="9">
        <v>62</v>
      </c>
      <c r="K236" s="7">
        <v>-2.1</v>
      </c>
      <c r="L236" s="24">
        <f>+Tabla2[[#This Row],[Stock Inventario]]*Tabla2[[#This Row],[Coste LÃ­nea]]</f>
        <v>102558.72362105999</v>
      </c>
      <c r="M236" s="24">
        <f>+Tabla2[[#This Row],[Variación Stock]]*Tabla2[[#This Row],[Coste LÃ­nea]]</f>
        <v>-3473.763219423</v>
      </c>
      <c r="N236" s="22" t="str">
        <f>+IF(Tabla2[[#This Row],[Variación Stock]]&gt;0,"Sobrante",IF(Tabla2[[#This Row],[Variación Stock]]&lt;0,"Faltante","Sin novedad"))</f>
        <v>Faltante</v>
      </c>
    </row>
    <row r="237" spans="1:14" hidden="1" x14ac:dyDescent="0.25">
      <c r="A237" s="11">
        <v>46044</v>
      </c>
      <c r="B237" s="5" t="s">
        <v>383</v>
      </c>
      <c r="C237" s="3" t="s">
        <v>213</v>
      </c>
      <c r="D237" s="5" t="s">
        <v>120</v>
      </c>
      <c r="E237" s="5" t="s">
        <v>117</v>
      </c>
      <c r="F237" s="6" t="s">
        <v>263</v>
      </c>
      <c r="G237" s="4" t="s">
        <v>2</v>
      </c>
      <c r="H237" s="25">
        <v>8007.5353664300001</v>
      </c>
      <c r="I237" s="8">
        <v>17</v>
      </c>
      <c r="J237" s="9">
        <v>14</v>
      </c>
      <c r="K237" s="15">
        <v>-3</v>
      </c>
      <c r="L237" s="24">
        <f>+Tabla2[[#This Row],[Stock Inventario]]*Tabla2[[#This Row],[Coste LÃ­nea]]</f>
        <v>112105.49513002</v>
      </c>
      <c r="M237" s="24">
        <f>+Tabla2[[#This Row],[Variación Stock]]*Tabla2[[#This Row],[Coste LÃ­nea]]</f>
        <v>-24022.606099290002</v>
      </c>
      <c r="N237" s="22" t="str">
        <f>+IF(Tabla2[[#This Row],[Variación Stock]]&gt;0,"Sobrante",IF(Tabla2[[#This Row],[Variación Stock]]&lt;0,"Faltante","Sin novedad"))</f>
        <v>Faltante</v>
      </c>
    </row>
    <row r="238" spans="1:14" x14ac:dyDescent="0.25">
      <c r="A238" s="11">
        <v>46053</v>
      </c>
      <c r="B238" s="5" t="s">
        <v>972</v>
      </c>
      <c r="C238" s="3" t="s">
        <v>213</v>
      </c>
      <c r="D238" s="5" t="s">
        <v>114</v>
      </c>
      <c r="E238" s="5" t="s">
        <v>112</v>
      </c>
      <c r="F238" s="6" t="s">
        <v>62</v>
      </c>
      <c r="G238" s="4" t="s">
        <v>2</v>
      </c>
      <c r="H238" s="25">
        <v>1654.1729616299999</v>
      </c>
      <c r="I238" s="8">
        <v>57.2</v>
      </c>
      <c r="J238" s="9">
        <v>59</v>
      </c>
      <c r="K238" s="7">
        <v>1.8</v>
      </c>
      <c r="L238" s="24">
        <f>+Tabla2[[#This Row],[Stock Inventario]]*Tabla2[[#This Row],[Coste LÃ­nea]]</f>
        <v>97596.204736169995</v>
      </c>
      <c r="M238" s="24">
        <f>+Tabla2[[#This Row],[Variación Stock]]*Tabla2[[#This Row],[Coste LÃ­nea]]</f>
        <v>2977.5113309339999</v>
      </c>
      <c r="N238" s="22" t="str">
        <f>+IF(Tabla2[[#This Row],[Variación Stock]]&gt;0,"Sobrante",IF(Tabla2[[#This Row],[Variación Stock]]&lt;0,"Faltante","Sin novedad"))</f>
        <v>Sobrante</v>
      </c>
    </row>
    <row r="239" spans="1:14" x14ac:dyDescent="0.25">
      <c r="A239" s="11">
        <v>46037</v>
      </c>
      <c r="B239" s="5" t="s">
        <v>212</v>
      </c>
      <c r="C239" s="3" t="s">
        <v>213</v>
      </c>
      <c r="D239" s="5" t="s">
        <v>114</v>
      </c>
      <c r="E239" s="5" t="s">
        <v>112</v>
      </c>
      <c r="F239" s="6" t="s">
        <v>69</v>
      </c>
      <c r="G239" s="4" t="s">
        <v>2</v>
      </c>
      <c r="H239" s="24">
        <v>5133.6000000000004</v>
      </c>
      <c r="I239" s="8">
        <v>17</v>
      </c>
      <c r="J239" s="9">
        <v>0</v>
      </c>
      <c r="K239" s="7">
        <v>-17</v>
      </c>
      <c r="L239" s="24">
        <f>+Tabla2[[#This Row],[Stock Inventario]]*Tabla2[[#This Row],[Coste LÃ­nea]]</f>
        <v>0</v>
      </c>
      <c r="M239" s="24">
        <f>+Tabla2[[#This Row],[Variación Stock]]*Tabla2[[#This Row],[Coste LÃ­nea]]</f>
        <v>-87271.200000000012</v>
      </c>
      <c r="N239" s="22" t="str">
        <f>+IF(Tabla2[[#This Row],[Variación Stock]]&gt;0,"Sobrante",IF(Tabla2[[#This Row],[Variación Stock]]&lt;0,"Faltante","Sin novedad"))</f>
        <v>Faltante</v>
      </c>
    </row>
    <row r="240" spans="1:14" x14ac:dyDescent="0.25">
      <c r="A240" s="11">
        <v>46044</v>
      </c>
      <c r="B240" s="5" t="s">
        <v>383</v>
      </c>
      <c r="C240" s="3" t="s">
        <v>213</v>
      </c>
      <c r="D240" s="5" t="s">
        <v>114</v>
      </c>
      <c r="E240" s="5" t="s">
        <v>112</v>
      </c>
      <c r="F240" s="6" t="s">
        <v>69</v>
      </c>
      <c r="G240" s="4" t="s">
        <v>2</v>
      </c>
      <c r="H240" s="25">
        <v>5133.6666666700003</v>
      </c>
      <c r="I240" s="8">
        <v>-7.07</v>
      </c>
      <c r="J240" s="9">
        <v>12</v>
      </c>
      <c r="K240" s="7">
        <v>19.07</v>
      </c>
      <c r="L240" s="24">
        <f>+Tabla2[[#This Row],[Stock Inventario]]*Tabla2[[#This Row],[Coste LÃ­nea]]</f>
        <v>61604.000000040003</v>
      </c>
      <c r="M240" s="24">
        <f>+Tabla2[[#This Row],[Variación Stock]]*Tabla2[[#This Row],[Coste LÃ­nea]]</f>
        <v>97899.023333396908</v>
      </c>
      <c r="N240" s="22" t="str">
        <f>+IF(Tabla2[[#This Row],[Variación Stock]]&gt;0,"Sobrante",IF(Tabla2[[#This Row],[Variación Stock]]&lt;0,"Faltante","Sin novedad"))</f>
        <v>Sobrante</v>
      </c>
    </row>
    <row r="241" spans="1:14" x14ac:dyDescent="0.25">
      <c r="A241" s="11">
        <v>46053</v>
      </c>
      <c r="B241" s="5" t="s">
        <v>972</v>
      </c>
      <c r="C241" s="3" t="s">
        <v>213</v>
      </c>
      <c r="D241" s="5" t="s">
        <v>114</v>
      </c>
      <c r="E241" s="5" t="s">
        <v>112</v>
      </c>
      <c r="F241" s="6" t="s">
        <v>69</v>
      </c>
      <c r="G241" s="4" t="s">
        <v>2</v>
      </c>
      <c r="H241" s="25">
        <v>5133.6666666700003</v>
      </c>
      <c r="I241" s="8">
        <v>16.29</v>
      </c>
      <c r="J241" s="9">
        <v>22</v>
      </c>
      <c r="K241" s="7">
        <v>5.71</v>
      </c>
      <c r="L241" s="24">
        <f>+Tabla2[[#This Row],[Stock Inventario]]*Tabla2[[#This Row],[Coste LÃ­nea]]</f>
        <v>112940.66666674</v>
      </c>
      <c r="M241" s="24">
        <f>+Tabla2[[#This Row],[Variación Stock]]*Tabla2[[#This Row],[Coste LÃ­nea]]</f>
        <v>29313.236666685701</v>
      </c>
      <c r="N241" s="22" t="str">
        <f>+IF(Tabla2[[#This Row],[Variación Stock]]&gt;0,"Sobrante",IF(Tabla2[[#This Row],[Variación Stock]]&lt;0,"Faltante","Sin novedad"))</f>
        <v>Sobrante</v>
      </c>
    </row>
    <row r="242" spans="1:14" x14ac:dyDescent="0.25">
      <c r="A242" s="11">
        <v>46037</v>
      </c>
      <c r="B242" s="5" t="s">
        <v>212</v>
      </c>
      <c r="C242" s="3" t="s">
        <v>213</v>
      </c>
      <c r="D242" s="5" t="s">
        <v>111</v>
      </c>
      <c r="E242" s="5" t="s">
        <v>112</v>
      </c>
      <c r="F242" s="6" t="s">
        <v>24</v>
      </c>
      <c r="G242" s="4" t="s">
        <v>0</v>
      </c>
      <c r="H242" s="24">
        <v>3359.40909091</v>
      </c>
      <c r="I242" s="8">
        <v>22.68</v>
      </c>
      <c r="J242" s="9">
        <v>23</v>
      </c>
      <c r="K242" s="7">
        <v>0.32</v>
      </c>
      <c r="L242" s="24">
        <f>+Tabla2[[#This Row],[Stock Inventario]]*Tabla2[[#This Row],[Coste LÃ­nea]]</f>
        <v>77266.409090929999</v>
      </c>
      <c r="M242" s="24">
        <f>+Tabla2[[#This Row],[Variación Stock]]*Tabla2[[#This Row],[Coste LÃ­nea]]</f>
        <v>1075.0109090912001</v>
      </c>
      <c r="N242" s="22" t="str">
        <f>+IF(Tabla2[[#This Row],[Variación Stock]]&gt;0,"Sobrante",IF(Tabla2[[#This Row],[Variación Stock]]&lt;0,"Faltante","Sin novedad"))</f>
        <v>Sobrante</v>
      </c>
    </row>
    <row r="243" spans="1:14" x14ac:dyDescent="0.25">
      <c r="A243" s="11">
        <v>46044</v>
      </c>
      <c r="B243" s="5" t="s">
        <v>383</v>
      </c>
      <c r="C243" s="3" t="s">
        <v>213</v>
      </c>
      <c r="D243" s="5" t="s">
        <v>111</v>
      </c>
      <c r="E243" s="5" t="s">
        <v>112</v>
      </c>
      <c r="F243" s="6" t="s">
        <v>24</v>
      </c>
      <c r="G243" s="4" t="s">
        <v>0</v>
      </c>
      <c r="H243" s="25">
        <v>3359.40909091</v>
      </c>
      <c r="I243" s="8">
        <v>21.34</v>
      </c>
      <c r="J243" s="9">
        <v>20</v>
      </c>
      <c r="K243" s="7">
        <v>-1.34</v>
      </c>
      <c r="L243" s="24">
        <f>+Tabla2[[#This Row],[Stock Inventario]]*Tabla2[[#This Row],[Coste LÃ­nea]]</f>
        <v>67188.181818199999</v>
      </c>
      <c r="M243" s="24">
        <f>+Tabla2[[#This Row],[Variación Stock]]*Tabla2[[#This Row],[Coste LÃ­nea]]</f>
        <v>-4501.6081818194007</v>
      </c>
      <c r="N243" s="22" t="str">
        <f>+IF(Tabla2[[#This Row],[Variación Stock]]&gt;0,"Sobrante",IF(Tabla2[[#This Row],[Variación Stock]]&lt;0,"Faltante","Sin novedad"))</f>
        <v>Faltante</v>
      </c>
    </row>
    <row r="244" spans="1:14" x14ac:dyDescent="0.25">
      <c r="A244" s="11">
        <v>46053</v>
      </c>
      <c r="B244" s="5" t="s">
        <v>972</v>
      </c>
      <c r="C244" s="3" t="s">
        <v>213</v>
      </c>
      <c r="D244" s="5" t="s">
        <v>111</v>
      </c>
      <c r="E244" s="5" t="s">
        <v>112</v>
      </c>
      <c r="F244" s="6" t="s">
        <v>24</v>
      </c>
      <c r="G244" s="4" t="s">
        <v>0</v>
      </c>
      <c r="H244" s="25">
        <v>3359.40909091</v>
      </c>
      <c r="I244" s="8">
        <v>35.36</v>
      </c>
      <c r="J244" s="9">
        <v>29</v>
      </c>
      <c r="K244" s="7">
        <v>-6.36</v>
      </c>
      <c r="L244" s="24">
        <f>+Tabla2[[#This Row],[Stock Inventario]]*Tabla2[[#This Row],[Coste LÃ­nea]]</f>
        <v>97422.86363639</v>
      </c>
      <c r="M244" s="24">
        <f>+Tabla2[[#This Row],[Variación Stock]]*Tabla2[[#This Row],[Coste LÃ­nea]]</f>
        <v>-21365.8418181876</v>
      </c>
      <c r="N244" s="22" t="str">
        <f>+IF(Tabla2[[#This Row],[Variación Stock]]&gt;0,"Sobrante",IF(Tabla2[[#This Row],[Variación Stock]]&lt;0,"Faltante","Sin novedad"))</f>
        <v>Faltante</v>
      </c>
    </row>
    <row r="245" spans="1:14" x14ac:dyDescent="0.25">
      <c r="A245" s="11">
        <v>46053</v>
      </c>
      <c r="B245" s="5" t="s">
        <v>972</v>
      </c>
      <c r="C245" s="3" t="s">
        <v>213</v>
      </c>
      <c r="D245" s="5" t="s">
        <v>603</v>
      </c>
      <c r="E245" s="5" t="s">
        <v>112</v>
      </c>
      <c r="F245" s="6" t="s">
        <v>623</v>
      </c>
      <c r="G245" s="4" t="s">
        <v>1</v>
      </c>
      <c r="H245" s="25">
        <v>358.54340000000002</v>
      </c>
      <c r="I245" s="8">
        <v>444</v>
      </c>
      <c r="J245" s="9">
        <v>400</v>
      </c>
      <c r="K245" s="7">
        <v>-44</v>
      </c>
      <c r="L245" s="24">
        <f>+Tabla2[[#This Row],[Stock Inventario]]*Tabla2[[#This Row],[Coste LÃ­nea]]</f>
        <v>143417.36000000002</v>
      </c>
      <c r="M245" s="24">
        <f>+Tabla2[[#This Row],[Variación Stock]]*Tabla2[[#This Row],[Coste LÃ­nea]]</f>
        <v>-15775.909600000001</v>
      </c>
      <c r="N245" s="22" t="str">
        <f>+IF(Tabla2[[#This Row],[Variación Stock]]&gt;0,"Sobrante",IF(Tabla2[[#This Row],[Variación Stock]]&lt;0,"Faltante","Sin novedad"))</f>
        <v>Faltante</v>
      </c>
    </row>
    <row r="246" spans="1:14" x14ac:dyDescent="0.25">
      <c r="A246" s="11">
        <v>46037</v>
      </c>
      <c r="B246" s="5" t="s">
        <v>212</v>
      </c>
      <c r="C246" s="3" t="s">
        <v>213</v>
      </c>
      <c r="D246" s="5" t="s">
        <v>111</v>
      </c>
      <c r="E246" s="5" t="s">
        <v>112</v>
      </c>
      <c r="F246" s="6" t="s">
        <v>39</v>
      </c>
      <c r="G246" s="4" t="s">
        <v>0</v>
      </c>
      <c r="H246" s="24">
        <v>0</v>
      </c>
      <c r="I246" s="8">
        <v>0</v>
      </c>
      <c r="J246" s="9">
        <v>0</v>
      </c>
      <c r="K246" s="7">
        <v>0</v>
      </c>
      <c r="L246" s="24">
        <f>+Tabla2[[#This Row],[Stock Inventario]]*Tabla2[[#This Row],[Coste LÃ­nea]]</f>
        <v>0</v>
      </c>
      <c r="M246" s="24">
        <f>+Tabla2[[#This Row],[Variación Stock]]*Tabla2[[#This Row],[Coste LÃ­nea]]</f>
        <v>0</v>
      </c>
      <c r="N246" s="22" t="str">
        <f>+IF(Tabla2[[#This Row],[Variación Stock]]&gt;0,"Sobrante",IF(Tabla2[[#This Row],[Variación Stock]]&lt;0,"Faltante","Sin novedad"))</f>
        <v>Sin novedad</v>
      </c>
    </row>
    <row r="247" spans="1:14" hidden="1" x14ac:dyDescent="0.25">
      <c r="A247" s="11">
        <v>46037</v>
      </c>
      <c r="B247" s="5" t="s">
        <v>212</v>
      </c>
      <c r="C247" s="3" t="s">
        <v>213</v>
      </c>
      <c r="D247" s="5" t="s">
        <v>120</v>
      </c>
      <c r="E247" s="5" t="s">
        <v>117</v>
      </c>
      <c r="F247" s="6" t="s">
        <v>264</v>
      </c>
      <c r="G247" s="4" t="s">
        <v>2</v>
      </c>
      <c r="H247" s="24">
        <v>461.08409621999999</v>
      </c>
      <c r="I247" s="8">
        <v>10.8</v>
      </c>
      <c r="J247" s="9">
        <v>6</v>
      </c>
      <c r="K247" s="7">
        <v>-4.8</v>
      </c>
      <c r="L247" s="24">
        <f>+Tabla2[[#This Row],[Stock Inventario]]*Tabla2[[#This Row],[Coste LÃ­nea]]</f>
        <v>2766.50457732</v>
      </c>
      <c r="M247" s="24">
        <f>+Tabla2[[#This Row],[Variación Stock]]*Tabla2[[#This Row],[Coste LÃ­nea]]</f>
        <v>-2213.2036618560001</v>
      </c>
      <c r="N247" s="22" t="str">
        <f>+IF(Tabla2[[#This Row],[Variación Stock]]&gt;0,"Sobrante",IF(Tabla2[[#This Row],[Variación Stock]]&lt;0,"Faltante","Sin novedad"))</f>
        <v>Faltante</v>
      </c>
    </row>
    <row r="248" spans="1:14" x14ac:dyDescent="0.25">
      <c r="A248" s="11">
        <v>46044</v>
      </c>
      <c r="B248" s="5" t="s">
        <v>383</v>
      </c>
      <c r="C248" s="3" t="s">
        <v>213</v>
      </c>
      <c r="D248" s="5" t="s">
        <v>111</v>
      </c>
      <c r="E248" s="5" t="s">
        <v>112</v>
      </c>
      <c r="F248" s="6" t="s">
        <v>39</v>
      </c>
      <c r="G248" s="4" t="s">
        <v>0</v>
      </c>
      <c r="H248" s="25">
        <v>0</v>
      </c>
      <c r="I248" s="8">
        <v>0</v>
      </c>
      <c r="J248" s="9">
        <v>0</v>
      </c>
      <c r="K248" s="7">
        <v>0</v>
      </c>
      <c r="L248" s="24">
        <f>+Tabla2[[#This Row],[Stock Inventario]]*Tabla2[[#This Row],[Coste LÃ­nea]]</f>
        <v>0</v>
      </c>
      <c r="M248" s="24">
        <f>+Tabla2[[#This Row],[Variación Stock]]*Tabla2[[#This Row],[Coste LÃ­nea]]</f>
        <v>0</v>
      </c>
      <c r="N248" s="22" t="str">
        <f>+IF(Tabla2[[#This Row],[Variación Stock]]&gt;0,"Sobrante",IF(Tabla2[[#This Row],[Variación Stock]]&lt;0,"Faltante","Sin novedad"))</f>
        <v>Sin novedad</v>
      </c>
    </row>
    <row r="249" spans="1:14" x14ac:dyDescent="0.25">
      <c r="A249" s="11">
        <v>46053</v>
      </c>
      <c r="B249" s="5" t="s">
        <v>972</v>
      </c>
      <c r="C249" s="3" t="s">
        <v>213</v>
      </c>
      <c r="D249" s="5" t="s">
        <v>111</v>
      </c>
      <c r="E249" s="5" t="s">
        <v>112</v>
      </c>
      <c r="F249" s="6" t="s">
        <v>39</v>
      </c>
      <c r="G249" s="4" t="s">
        <v>0</v>
      </c>
      <c r="H249" s="25">
        <v>10145.63636364</v>
      </c>
      <c r="I249" s="8">
        <v>0</v>
      </c>
      <c r="J249" s="9">
        <v>0</v>
      </c>
      <c r="K249" s="7">
        <v>0</v>
      </c>
      <c r="L249" s="24">
        <f>+Tabla2[[#This Row],[Stock Inventario]]*Tabla2[[#This Row],[Coste LÃ­nea]]</f>
        <v>0</v>
      </c>
      <c r="M249" s="24">
        <f>+Tabla2[[#This Row],[Variación Stock]]*Tabla2[[#This Row],[Coste LÃ­nea]]</f>
        <v>0</v>
      </c>
      <c r="N249" s="22" t="str">
        <f>+IF(Tabla2[[#This Row],[Variación Stock]]&gt;0,"Sobrante",IF(Tabla2[[#This Row],[Variación Stock]]&lt;0,"Faltante","Sin novedad"))</f>
        <v>Sin novedad</v>
      </c>
    </row>
    <row r="250" spans="1:14" hidden="1" x14ac:dyDescent="0.25">
      <c r="A250" s="11">
        <v>46044</v>
      </c>
      <c r="B250" s="5" t="s">
        <v>383</v>
      </c>
      <c r="C250" s="3" t="s">
        <v>213</v>
      </c>
      <c r="D250" s="5" t="s">
        <v>120</v>
      </c>
      <c r="E250" s="5" t="s">
        <v>117</v>
      </c>
      <c r="F250" s="6" t="s">
        <v>264</v>
      </c>
      <c r="G250" s="4" t="s">
        <v>2</v>
      </c>
      <c r="H250" s="25">
        <v>14738.045573179999</v>
      </c>
      <c r="I250" s="8">
        <v>4.5999999999999996</v>
      </c>
      <c r="J250" s="9">
        <v>13.5</v>
      </c>
      <c r="K250" s="7">
        <v>8.9</v>
      </c>
      <c r="L250" s="24">
        <f>+Tabla2[[#This Row],[Stock Inventario]]*Tabla2[[#This Row],[Coste LÃ­nea]]</f>
        <v>198963.61523793</v>
      </c>
      <c r="M250" s="24">
        <f>+Tabla2[[#This Row],[Variación Stock]]*Tabla2[[#This Row],[Coste LÃ­nea]]</f>
        <v>131168.605601302</v>
      </c>
      <c r="N250" s="22" t="str">
        <f>+IF(Tabla2[[#This Row],[Variación Stock]]&gt;0,"Sobrante",IF(Tabla2[[#This Row],[Variación Stock]]&lt;0,"Faltante","Sin novedad"))</f>
        <v>Sobrante</v>
      </c>
    </row>
    <row r="251" spans="1:14" x14ac:dyDescent="0.25">
      <c r="A251" s="11">
        <v>46053</v>
      </c>
      <c r="B251" s="5" t="s">
        <v>972</v>
      </c>
      <c r="C251" s="3" t="s">
        <v>213</v>
      </c>
      <c r="D251" s="5" t="s">
        <v>603</v>
      </c>
      <c r="E251" s="5" t="s">
        <v>112</v>
      </c>
      <c r="F251" s="6" t="s">
        <v>618</v>
      </c>
      <c r="G251" s="4" t="s">
        <v>1</v>
      </c>
      <c r="H251" s="25">
        <v>16</v>
      </c>
      <c r="I251" s="8">
        <v>-101.5</v>
      </c>
      <c r="J251" s="9">
        <v>200</v>
      </c>
      <c r="K251" s="7">
        <v>301.50001250000003</v>
      </c>
      <c r="L251" s="24">
        <f>+Tabla2[[#This Row],[Stock Inventario]]*Tabla2[[#This Row],[Coste LÃ­nea]]</f>
        <v>3200</v>
      </c>
      <c r="M251" s="24">
        <f>+Tabla2[[#This Row],[Variación Stock]]*Tabla2[[#This Row],[Coste LÃ­nea]]</f>
        <v>4824.0002000000004</v>
      </c>
      <c r="N251" s="22" t="str">
        <f>+IF(Tabla2[[#This Row],[Variación Stock]]&gt;0,"Sobrante",IF(Tabla2[[#This Row],[Variación Stock]]&lt;0,"Faltante","Sin novedad"))</f>
        <v>Sobrante</v>
      </c>
    </row>
    <row r="252" spans="1:14" x14ac:dyDescent="0.25">
      <c r="A252" s="11">
        <v>46037</v>
      </c>
      <c r="B252" s="5" t="s">
        <v>212</v>
      </c>
      <c r="C252" s="3" t="s">
        <v>213</v>
      </c>
      <c r="D252" s="5" t="s">
        <v>111</v>
      </c>
      <c r="E252" s="5" t="s">
        <v>112</v>
      </c>
      <c r="F252" s="6" t="s">
        <v>221</v>
      </c>
      <c r="G252" s="4" t="s">
        <v>0</v>
      </c>
      <c r="H252" s="24">
        <v>3104.5454545500002</v>
      </c>
      <c r="I252" s="8">
        <v>98</v>
      </c>
      <c r="J252" s="9">
        <v>98</v>
      </c>
      <c r="K252" s="7">
        <v>0</v>
      </c>
      <c r="L252" s="24">
        <f>+Tabla2[[#This Row],[Stock Inventario]]*Tabla2[[#This Row],[Coste LÃ­nea]]</f>
        <v>304245.45454589999</v>
      </c>
      <c r="M252" s="24">
        <f>+Tabla2[[#This Row],[Variación Stock]]*Tabla2[[#This Row],[Coste LÃ­nea]]</f>
        <v>0</v>
      </c>
      <c r="N252" s="22" t="str">
        <f>+IF(Tabla2[[#This Row],[Variación Stock]]&gt;0,"Sobrante",IF(Tabla2[[#This Row],[Variación Stock]]&lt;0,"Faltante","Sin novedad"))</f>
        <v>Sin novedad</v>
      </c>
    </row>
    <row r="253" spans="1:14" x14ac:dyDescent="0.25">
      <c r="A253" s="11">
        <v>46044</v>
      </c>
      <c r="B253" s="5" t="s">
        <v>383</v>
      </c>
      <c r="C253" s="3" t="s">
        <v>213</v>
      </c>
      <c r="D253" s="5" t="s">
        <v>111</v>
      </c>
      <c r="E253" s="5" t="s">
        <v>112</v>
      </c>
      <c r="F253" s="6" t="s">
        <v>221</v>
      </c>
      <c r="G253" s="4" t="s">
        <v>0</v>
      </c>
      <c r="H253" s="25">
        <v>3104.5454545500002</v>
      </c>
      <c r="I253" s="8">
        <v>98</v>
      </c>
      <c r="J253" s="9">
        <v>88</v>
      </c>
      <c r="K253" s="15">
        <v>-10</v>
      </c>
      <c r="L253" s="24">
        <f>+Tabla2[[#This Row],[Stock Inventario]]*Tabla2[[#This Row],[Coste LÃ­nea]]</f>
        <v>273200.0000004</v>
      </c>
      <c r="M253" s="24">
        <f>+Tabla2[[#This Row],[Variación Stock]]*Tabla2[[#This Row],[Coste LÃ­nea]]</f>
        <v>-31045.454545500001</v>
      </c>
      <c r="N253" s="22" t="str">
        <f>+IF(Tabla2[[#This Row],[Variación Stock]]&gt;0,"Sobrante",IF(Tabla2[[#This Row],[Variación Stock]]&lt;0,"Faltante","Sin novedad"))</f>
        <v>Faltante</v>
      </c>
    </row>
    <row r="254" spans="1:14" hidden="1" x14ac:dyDescent="0.25">
      <c r="A254" s="11">
        <v>46044</v>
      </c>
      <c r="B254" s="5" t="s">
        <v>383</v>
      </c>
      <c r="C254" s="3" t="s">
        <v>213</v>
      </c>
      <c r="D254" s="5" t="s">
        <v>119</v>
      </c>
      <c r="E254" s="5" t="s">
        <v>117</v>
      </c>
      <c r="F254" s="6" t="s">
        <v>95</v>
      </c>
      <c r="G254" s="4" t="s">
        <v>1</v>
      </c>
      <c r="H254" s="25">
        <v>39</v>
      </c>
      <c r="I254" s="8">
        <v>1778.3333</v>
      </c>
      <c r="J254" s="9">
        <v>1790</v>
      </c>
      <c r="K254" s="7">
        <v>11.66667</v>
      </c>
      <c r="L254" s="24">
        <f>+Tabla2[[#This Row],[Stock Inventario]]*Tabla2[[#This Row],[Coste LÃ­nea]]</f>
        <v>69810</v>
      </c>
      <c r="M254" s="24">
        <f>+Tabla2[[#This Row],[Variación Stock]]*Tabla2[[#This Row],[Coste LÃ­nea]]</f>
        <v>455.00013000000001</v>
      </c>
      <c r="N254" s="22" t="str">
        <f>+IF(Tabla2[[#This Row],[Variación Stock]]&gt;0,"Sobrante",IF(Tabla2[[#This Row],[Variación Stock]]&lt;0,"Faltante","Sin novedad"))</f>
        <v>Sobrante</v>
      </c>
    </row>
    <row r="255" spans="1:14" x14ac:dyDescent="0.25">
      <c r="A255" s="11">
        <v>46053</v>
      </c>
      <c r="B255" s="5" t="s">
        <v>972</v>
      </c>
      <c r="C255" s="3" t="s">
        <v>213</v>
      </c>
      <c r="D255" s="5" t="s">
        <v>111</v>
      </c>
      <c r="E255" s="5" t="s">
        <v>112</v>
      </c>
      <c r="F255" s="6" t="s">
        <v>221</v>
      </c>
      <c r="G255" s="4" t="s">
        <v>0</v>
      </c>
      <c r="H255" s="25">
        <v>3104.5454545500002</v>
      </c>
      <c r="I255" s="8">
        <v>86</v>
      </c>
      <c r="J255" s="9">
        <v>104</v>
      </c>
      <c r="K255" s="7">
        <v>18</v>
      </c>
      <c r="L255" s="24">
        <f>+Tabla2[[#This Row],[Stock Inventario]]*Tabla2[[#This Row],[Coste LÃ­nea]]</f>
        <v>322872.7272732</v>
      </c>
      <c r="M255" s="24">
        <f>+Tabla2[[#This Row],[Variación Stock]]*Tabla2[[#This Row],[Coste LÃ­nea]]</f>
        <v>55881.818181900002</v>
      </c>
      <c r="N255" s="22" t="str">
        <f>+IF(Tabla2[[#This Row],[Variación Stock]]&gt;0,"Sobrante",IF(Tabla2[[#This Row],[Variación Stock]]&lt;0,"Faltante","Sin novedad"))</f>
        <v>Sobrante</v>
      </c>
    </row>
    <row r="256" spans="1:14" x14ac:dyDescent="0.25">
      <c r="A256" s="11">
        <v>46037</v>
      </c>
      <c r="B256" s="5" t="s">
        <v>212</v>
      </c>
      <c r="C256" s="3" t="s">
        <v>213</v>
      </c>
      <c r="D256" s="5" t="s">
        <v>111</v>
      </c>
      <c r="E256" s="5" t="s">
        <v>112</v>
      </c>
      <c r="F256" s="6" t="s">
        <v>226</v>
      </c>
      <c r="G256" s="4" t="s">
        <v>0</v>
      </c>
      <c r="H256" s="24">
        <v>4454.5454545499997</v>
      </c>
      <c r="I256" s="8">
        <v>47</v>
      </c>
      <c r="J256" s="9">
        <v>47</v>
      </c>
      <c r="K256" s="7">
        <v>0</v>
      </c>
      <c r="L256" s="24">
        <f>+Tabla2[[#This Row],[Stock Inventario]]*Tabla2[[#This Row],[Coste LÃ­nea]]</f>
        <v>209363.63636384998</v>
      </c>
      <c r="M256" s="24">
        <f>+Tabla2[[#This Row],[Variación Stock]]*Tabla2[[#This Row],[Coste LÃ­nea]]</f>
        <v>0</v>
      </c>
      <c r="N256" s="22" t="str">
        <f>+IF(Tabla2[[#This Row],[Variación Stock]]&gt;0,"Sobrante",IF(Tabla2[[#This Row],[Variación Stock]]&lt;0,"Faltante","Sin novedad"))</f>
        <v>Sin novedad</v>
      </c>
    </row>
    <row r="257" spans="1:14" hidden="1" x14ac:dyDescent="0.25">
      <c r="A257" s="11">
        <v>46044</v>
      </c>
      <c r="B257" s="5" t="s">
        <v>383</v>
      </c>
      <c r="C257" s="3" t="s">
        <v>213</v>
      </c>
      <c r="D257" s="5" t="s">
        <v>116</v>
      </c>
      <c r="E257" s="5" t="s">
        <v>117</v>
      </c>
      <c r="F257" s="6" t="s">
        <v>251</v>
      </c>
      <c r="G257" s="4" t="s">
        <v>2</v>
      </c>
      <c r="H257" s="25">
        <v>3890</v>
      </c>
      <c r="I257" s="8">
        <v>17</v>
      </c>
      <c r="J257" s="9">
        <v>17</v>
      </c>
      <c r="K257" s="7">
        <v>0</v>
      </c>
      <c r="L257" s="24">
        <f>+Tabla2[[#This Row],[Stock Inventario]]*Tabla2[[#This Row],[Coste LÃ­nea]]</f>
        <v>66130</v>
      </c>
      <c r="M257" s="24">
        <f>+Tabla2[[#This Row],[Variación Stock]]*Tabla2[[#This Row],[Coste LÃ­nea]]</f>
        <v>0</v>
      </c>
      <c r="N257" s="22" t="str">
        <f>+IF(Tabla2[[#This Row],[Variación Stock]]&gt;0,"Sobrante",IF(Tabla2[[#This Row],[Variación Stock]]&lt;0,"Faltante","Sin novedad"))</f>
        <v>Sin novedad</v>
      </c>
    </row>
    <row r="258" spans="1:14" x14ac:dyDescent="0.25">
      <c r="A258" s="11">
        <v>46044</v>
      </c>
      <c r="B258" s="5" t="s">
        <v>383</v>
      </c>
      <c r="C258" s="3" t="s">
        <v>213</v>
      </c>
      <c r="D258" s="5" t="s">
        <v>111</v>
      </c>
      <c r="E258" s="5" t="s">
        <v>112</v>
      </c>
      <c r="F258" s="6" t="s">
        <v>226</v>
      </c>
      <c r="G258" s="4" t="s">
        <v>0</v>
      </c>
      <c r="H258" s="25">
        <v>4454.5454545499997</v>
      </c>
      <c r="I258" s="8">
        <v>47</v>
      </c>
      <c r="J258" s="9">
        <v>42</v>
      </c>
      <c r="K258" s="15">
        <v>-5</v>
      </c>
      <c r="L258" s="24">
        <f>+Tabla2[[#This Row],[Stock Inventario]]*Tabla2[[#This Row],[Coste LÃ­nea]]</f>
        <v>187090.90909109998</v>
      </c>
      <c r="M258" s="24">
        <f>+Tabla2[[#This Row],[Variación Stock]]*Tabla2[[#This Row],[Coste LÃ­nea]]</f>
        <v>-22272.727272749999</v>
      </c>
      <c r="N258" s="22" t="str">
        <f>+IF(Tabla2[[#This Row],[Variación Stock]]&gt;0,"Sobrante",IF(Tabla2[[#This Row],[Variación Stock]]&lt;0,"Faltante","Sin novedad"))</f>
        <v>Faltante</v>
      </c>
    </row>
    <row r="259" spans="1:14" x14ac:dyDescent="0.25">
      <c r="A259" s="11">
        <v>46053</v>
      </c>
      <c r="B259" s="5" t="s">
        <v>972</v>
      </c>
      <c r="C259" s="3" t="s">
        <v>213</v>
      </c>
      <c r="D259" s="5" t="s">
        <v>111</v>
      </c>
      <c r="E259" s="5" t="s">
        <v>112</v>
      </c>
      <c r="F259" s="6" t="s">
        <v>226</v>
      </c>
      <c r="G259" s="4" t="s">
        <v>0</v>
      </c>
      <c r="H259" s="25">
        <v>4454.5454545499997</v>
      </c>
      <c r="I259" s="8">
        <v>42</v>
      </c>
      <c r="J259" s="9">
        <v>47</v>
      </c>
      <c r="K259" s="7">
        <v>5</v>
      </c>
      <c r="L259" s="24">
        <f>+Tabla2[[#This Row],[Stock Inventario]]*Tabla2[[#This Row],[Coste LÃ­nea]]</f>
        <v>209363.63636384998</v>
      </c>
      <c r="M259" s="24">
        <f>+Tabla2[[#This Row],[Variación Stock]]*Tabla2[[#This Row],[Coste LÃ­nea]]</f>
        <v>22272.727272749999</v>
      </c>
      <c r="N259" s="22" t="str">
        <f>+IF(Tabla2[[#This Row],[Variación Stock]]&gt;0,"Sobrante",IF(Tabla2[[#This Row],[Variación Stock]]&lt;0,"Faltante","Sin novedad"))</f>
        <v>Sobrante</v>
      </c>
    </row>
    <row r="260" spans="1:14" x14ac:dyDescent="0.25">
      <c r="A260" s="11">
        <v>46053</v>
      </c>
      <c r="B260" s="5" t="s">
        <v>972</v>
      </c>
      <c r="C260" s="3" t="s">
        <v>213</v>
      </c>
      <c r="D260" s="5" t="s">
        <v>603</v>
      </c>
      <c r="E260" s="5" t="s">
        <v>112</v>
      </c>
      <c r="F260" s="6" t="s">
        <v>613</v>
      </c>
      <c r="G260" s="4" t="s">
        <v>0</v>
      </c>
      <c r="H260" s="25">
        <v>638.27160492999997</v>
      </c>
      <c r="I260" s="8">
        <v>59</v>
      </c>
      <c r="J260" s="9">
        <v>0</v>
      </c>
      <c r="K260" s="7">
        <v>-59</v>
      </c>
      <c r="L260" s="24">
        <f>+Tabla2[[#This Row],[Stock Inventario]]*Tabla2[[#This Row],[Coste LÃ­nea]]</f>
        <v>0</v>
      </c>
      <c r="M260" s="24">
        <f>+Tabla2[[#This Row],[Variación Stock]]*Tabla2[[#This Row],[Coste LÃ­nea]]</f>
        <v>-37658.024690869999</v>
      </c>
      <c r="N260" s="22" t="str">
        <f>+IF(Tabla2[[#This Row],[Variación Stock]]&gt;0,"Sobrante",IF(Tabla2[[#This Row],[Variación Stock]]&lt;0,"Faltante","Sin novedad"))</f>
        <v>Faltante</v>
      </c>
    </row>
    <row r="261" spans="1:14" x14ac:dyDescent="0.25">
      <c r="A261" s="11">
        <v>46037</v>
      </c>
      <c r="B261" s="5" t="s">
        <v>212</v>
      </c>
      <c r="C261" s="3" t="s">
        <v>213</v>
      </c>
      <c r="D261" s="5" t="s">
        <v>114</v>
      </c>
      <c r="E261" s="5" t="s">
        <v>112</v>
      </c>
      <c r="F261" s="6" t="s">
        <v>148</v>
      </c>
      <c r="G261" s="4" t="s">
        <v>2</v>
      </c>
      <c r="H261" s="24">
        <v>4986.1810224199999</v>
      </c>
      <c r="I261" s="8">
        <v>19.86</v>
      </c>
      <c r="J261" s="9">
        <v>21</v>
      </c>
      <c r="K261" s="7">
        <v>1.1399999999999999</v>
      </c>
      <c r="L261" s="24">
        <f>+Tabla2[[#This Row],[Stock Inventario]]*Tabla2[[#This Row],[Coste LÃ­nea]]</f>
        <v>104709.80147081999</v>
      </c>
      <c r="M261" s="24">
        <f>+Tabla2[[#This Row],[Variación Stock]]*Tabla2[[#This Row],[Coste LÃ­nea]]</f>
        <v>5684.246365558799</v>
      </c>
      <c r="N261" s="22" t="str">
        <f>+IF(Tabla2[[#This Row],[Variación Stock]]&gt;0,"Sobrante",IF(Tabla2[[#This Row],[Variación Stock]]&lt;0,"Faltante","Sin novedad"))</f>
        <v>Sobrante</v>
      </c>
    </row>
    <row r="262" spans="1:14" x14ac:dyDescent="0.25">
      <c r="A262" s="11">
        <v>46044</v>
      </c>
      <c r="B262" s="5" t="s">
        <v>383</v>
      </c>
      <c r="C262" s="3" t="s">
        <v>213</v>
      </c>
      <c r="D262" s="5" t="s">
        <v>114</v>
      </c>
      <c r="E262" s="5" t="s">
        <v>112</v>
      </c>
      <c r="F262" s="6" t="s">
        <v>148</v>
      </c>
      <c r="G262" s="4" t="s">
        <v>2</v>
      </c>
      <c r="H262" s="25">
        <v>4986.1810224199999</v>
      </c>
      <c r="I262" s="8">
        <v>21</v>
      </c>
      <c r="J262" s="9">
        <v>21</v>
      </c>
      <c r="K262" s="7">
        <v>0</v>
      </c>
      <c r="L262" s="24">
        <f>+Tabla2[[#This Row],[Stock Inventario]]*Tabla2[[#This Row],[Coste LÃ­nea]]</f>
        <v>104709.80147081999</v>
      </c>
      <c r="M262" s="24">
        <f>+Tabla2[[#This Row],[Variación Stock]]*Tabla2[[#This Row],[Coste LÃ­nea]]</f>
        <v>0</v>
      </c>
      <c r="N262" s="22" t="str">
        <f>+IF(Tabla2[[#This Row],[Variación Stock]]&gt;0,"Sobrante",IF(Tabla2[[#This Row],[Variación Stock]]&lt;0,"Faltante","Sin novedad"))</f>
        <v>Sin novedad</v>
      </c>
    </row>
    <row r="263" spans="1:14" x14ac:dyDescent="0.25">
      <c r="A263" s="11">
        <v>46053</v>
      </c>
      <c r="B263" s="5" t="s">
        <v>972</v>
      </c>
      <c r="C263" s="3" t="s">
        <v>213</v>
      </c>
      <c r="D263" s="5" t="s">
        <v>114</v>
      </c>
      <c r="E263" s="5" t="s">
        <v>112</v>
      </c>
      <c r="F263" s="6" t="s">
        <v>148</v>
      </c>
      <c r="G263" s="4" t="s">
        <v>2</v>
      </c>
      <c r="H263" s="25">
        <v>4986.1810224199999</v>
      </c>
      <c r="I263" s="8">
        <v>21</v>
      </c>
      <c r="J263" s="9">
        <v>21</v>
      </c>
      <c r="K263" s="7">
        <v>0</v>
      </c>
      <c r="L263" s="24">
        <f>+Tabla2[[#This Row],[Stock Inventario]]*Tabla2[[#This Row],[Coste LÃ­nea]]</f>
        <v>104709.80147081999</v>
      </c>
      <c r="M263" s="24">
        <f>+Tabla2[[#This Row],[Variación Stock]]*Tabla2[[#This Row],[Coste LÃ­nea]]</f>
        <v>0</v>
      </c>
      <c r="N263" s="22" t="str">
        <f>+IF(Tabla2[[#This Row],[Variación Stock]]&gt;0,"Sobrante",IF(Tabla2[[#This Row],[Variación Stock]]&lt;0,"Faltante","Sin novedad"))</f>
        <v>Sin novedad</v>
      </c>
    </row>
    <row r="264" spans="1:14" x14ac:dyDescent="0.25">
      <c r="A264" s="11">
        <v>46037</v>
      </c>
      <c r="B264" s="5" t="s">
        <v>212</v>
      </c>
      <c r="C264" s="3" t="s">
        <v>213</v>
      </c>
      <c r="D264" s="5" t="s">
        <v>114</v>
      </c>
      <c r="E264" s="5" t="s">
        <v>112</v>
      </c>
      <c r="F264" s="6" t="s">
        <v>234</v>
      </c>
      <c r="G264" s="4" t="s">
        <v>2</v>
      </c>
      <c r="H264" s="24">
        <v>5023</v>
      </c>
      <c r="I264" s="8">
        <v>20</v>
      </c>
      <c r="J264" s="9">
        <v>20</v>
      </c>
      <c r="K264" s="7">
        <v>0</v>
      </c>
      <c r="L264" s="24">
        <f>+Tabla2[[#This Row],[Stock Inventario]]*Tabla2[[#This Row],[Coste LÃ­nea]]</f>
        <v>100460</v>
      </c>
      <c r="M264" s="24">
        <f>+Tabla2[[#This Row],[Variación Stock]]*Tabla2[[#This Row],[Coste LÃ­nea]]</f>
        <v>0</v>
      </c>
      <c r="N264" s="22" t="str">
        <f>+IF(Tabla2[[#This Row],[Variación Stock]]&gt;0,"Sobrante",IF(Tabla2[[#This Row],[Variación Stock]]&lt;0,"Faltante","Sin novedad"))</f>
        <v>Sin novedad</v>
      </c>
    </row>
    <row r="265" spans="1:14" x14ac:dyDescent="0.25">
      <c r="A265" s="11">
        <v>46044</v>
      </c>
      <c r="B265" s="5" t="s">
        <v>383</v>
      </c>
      <c r="C265" s="3" t="s">
        <v>213</v>
      </c>
      <c r="D265" s="5" t="s">
        <v>114</v>
      </c>
      <c r="E265" s="5" t="s">
        <v>112</v>
      </c>
      <c r="F265" s="6" t="s">
        <v>234</v>
      </c>
      <c r="G265" s="4" t="s">
        <v>2</v>
      </c>
      <c r="H265" s="25">
        <v>5023</v>
      </c>
      <c r="I265" s="8">
        <v>20</v>
      </c>
      <c r="J265" s="9">
        <v>20</v>
      </c>
      <c r="K265" s="7">
        <v>0</v>
      </c>
      <c r="L265" s="24">
        <f>+Tabla2[[#This Row],[Stock Inventario]]*Tabla2[[#This Row],[Coste LÃ­nea]]</f>
        <v>100460</v>
      </c>
      <c r="M265" s="24">
        <f>+Tabla2[[#This Row],[Variación Stock]]*Tabla2[[#This Row],[Coste LÃ­nea]]</f>
        <v>0</v>
      </c>
      <c r="N265" s="22" t="str">
        <f>+IF(Tabla2[[#This Row],[Variación Stock]]&gt;0,"Sobrante",IF(Tabla2[[#This Row],[Variación Stock]]&lt;0,"Faltante","Sin novedad"))</f>
        <v>Sin novedad</v>
      </c>
    </row>
    <row r="266" spans="1:14" x14ac:dyDescent="0.25">
      <c r="A266" s="11">
        <v>46053</v>
      </c>
      <c r="B266" s="5" t="s">
        <v>972</v>
      </c>
      <c r="C266" s="3" t="s">
        <v>213</v>
      </c>
      <c r="D266" s="5" t="s">
        <v>114</v>
      </c>
      <c r="E266" s="5" t="s">
        <v>112</v>
      </c>
      <c r="F266" s="6" t="s">
        <v>234</v>
      </c>
      <c r="G266" s="4" t="s">
        <v>2</v>
      </c>
      <c r="H266" s="25">
        <v>5023</v>
      </c>
      <c r="I266" s="8">
        <v>19</v>
      </c>
      <c r="J266" s="9">
        <v>19</v>
      </c>
      <c r="K266" s="7">
        <v>0</v>
      </c>
      <c r="L266" s="24">
        <f>+Tabla2[[#This Row],[Stock Inventario]]*Tabla2[[#This Row],[Coste LÃ­nea]]</f>
        <v>95437</v>
      </c>
      <c r="M266" s="24">
        <f>+Tabla2[[#This Row],[Variación Stock]]*Tabla2[[#This Row],[Coste LÃ­nea]]</f>
        <v>0</v>
      </c>
      <c r="N266" s="22" t="str">
        <f>+IF(Tabla2[[#This Row],[Variación Stock]]&gt;0,"Sobrante",IF(Tabla2[[#This Row],[Variación Stock]]&lt;0,"Faltante","Sin novedad"))</f>
        <v>Sin novedad</v>
      </c>
    </row>
    <row r="267" spans="1:14" x14ac:dyDescent="0.25">
      <c r="A267" s="11">
        <v>46037</v>
      </c>
      <c r="B267" s="5" t="s">
        <v>212</v>
      </c>
      <c r="C267" s="3" t="s">
        <v>213</v>
      </c>
      <c r="D267" s="5" t="s">
        <v>114</v>
      </c>
      <c r="E267" s="5" t="s">
        <v>112</v>
      </c>
      <c r="F267" s="6" t="s">
        <v>64</v>
      </c>
      <c r="G267" s="4" t="s">
        <v>2</v>
      </c>
      <c r="H267" s="24">
        <v>5132.5</v>
      </c>
      <c r="I267" s="8">
        <v>17.5</v>
      </c>
      <c r="J267" s="9">
        <v>16</v>
      </c>
      <c r="K267" s="7">
        <v>-1.5</v>
      </c>
      <c r="L267" s="24">
        <f>+Tabla2[[#This Row],[Stock Inventario]]*Tabla2[[#This Row],[Coste LÃ­nea]]</f>
        <v>82120</v>
      </c>
      <c r="M267" s="24">
        <f>+Tabla2[[#This Row],[Variación Stock]]*Tabla2[[#This Row],[Coste LÃ­nea]]</f>
        <v>-7698.75</v>
      </c>
      <c r="N267" s="22" t="str">
        <f>+IF(Tabla2[[#This Row],[Variación Stock]]&gt;0,"Sobrante",IF(Tabla2[[#This Row],[Variación Stock]]&lt;0,"Faltante","Sin novedad"))</f>
        <v>Faltante</v>
      </c>
    </row>
    <row r="268" spans="1:14" x14ac:dyDescent="0.25">
      <c r="A268" s="11">
        <v>46044</v>
      </c>
      <c r="B268" s="5" t="s">
        <v>383</v>
      </c>
      <c r="C268" s="3" t="s">
        <v>213</v>
      </c>
      <c r="D268" s="5" t="s">
        <v>114</v>
      </c>
      <c r="E268" s="5" t="s">
        <v>112</v>
      </c>
      <c r="F268" s="6" t="s">
        <v>64</v>
      </c>
      <c r="G268" s="4" t="s">
        <v>2</v>
      </c>
      <c r="H268" s="25">
        <v>5132.5</v>
      </c>
      <c r="I268" s="8">
        <v>15</v>
      </c>
      <c r="J268" s="9">
        <v>16</v>
      </c>
      <c r="K268" s="7">
        <v>1</v>
      </c>
      <c r="L268" s="24">
        <f>+Tabla2[[#This Row],[Stock Inventario]]*Tabla2[[#This Row],[Coste LÃ­nea]]</f>
        <v>82120</v>
      </c>
      <c r="M268" s="24">
        <f>+Tabla2[[#This Row],[Variación Stock]]*Tabla2[[#This Row],[Coste LÃ­nea]]</f>
        <v>5132.5</v>
      </c>
      <c r="N268" s="22" t="str">
        <f>+IF(Tabla2[[#This Row],[Variación Stock]]&gt;0,"Sobrante",IF(Tabla2[[#This Row],[Variación Stock]]&lt;0,"Faltante","Sin novedad"))</f>
        <v>Sobrante</v>
      </c>
    </row>
    <row r="269" spans="1:14" hidden="1" x14ac:dyDescent="0.25">
      <c r="A269" s="11">
        <v>46037</v>
      </c>
      <c r="B269" s="5" t="s">
        <v>212</v>
      </c>
      <c r="C269" s="3" t="s">
        <v>213</v>
      </c>
      <c r="D269" s="5" t="s">
        <v>120</v>
      </c>
      <c r="E269" s="5" t="s">
        <v>117</v>
      </c>
      <c r="F269" s="6" t="s">
        <v>266</v>
      </c>
      <c r="G269" s="4" t="s">
        <v>1</v>
      </c>
      <c r="H269" s="24">
        <v>19.521056219999998</v>
      </c>
      <c r="I269" s="8">
        <v>10390</v>
      </c>
      <c r="J269" s="9">
        <v>4845</v>
      </c>
      <c r="K269" s="7">
        <v>-5545</v>
      </c>
      <c r="L269" s="24">
        <f>+Tabla2[[#This Row],[Stock Inventario]]*Tabla2[[#This Row],[Coste LÃ­nea]]</f>
        <v>94579.517385899991</v>
      </c>
      <c r="M269" s="24">
        <f>+Tabla2[[#This Row],[Variación Stock]]*Tabla2[[#This Row],[Coste LÃ­nea]]</f>
        <v>-108244.2567399</v>
      </c>
      <c r="N269" s="22" t="str">
        <f>+IF(Tabla2[[#This Row],[Variación Stock]]&gt;0,"Sobrante",IF(Tabla2[[#This Row],[Variación Stock]]&lt;0,"Faltante","Sin novedad"))</f>
        <v>Faltante</v>
      </c>
    </row>
    <row r="270" spans="1:14" x14ac:dyDescent="0.25">
      <c r="A270" s="11">
        <v>46053</v>
      </c>
      <c r="B270" s="5" t="s">
        <v>972</v>
      </c>
      <c r="C270" s="3" t="s">
        <v>213</v>
      </c>
      <c r="D270" s="5" t="s">
        <v>114</v>
      </c>
      <c r="E270" s="5" t="s">
        <v>112</v>
      </c>
      <c r="F270" s="6" t="s">
        <v>64</v>
      </c>
      <c r="G270" s="4" t="s">
        <v>2</v>
      </c>
      <c r="H270" s="25">
        <v>5132.5</v>
      </c>
      <c r="I270" s="8">
        <v>20</v>
      </c>
      <c r="J270" s="9">
        <v>19</v>
      </c>
      <c r="K270" s="7">
        <v>-1</v>
      </c>
      <c r="L270" s="24">
        <f>+Tabla2[[#This Row],[Stock Inventario]]*Tabla2[[#This Row],[Coste LÃ­nea]]</f>
        <v>97517.5</v>
      </c>
      <c r="M270" s="24">
        <f>+Tabla2[[#This Row],[Variación Stock]]*Tabla2[[#This Row],[Coste LÃ­nea]]</f>
        <v>-5132.5</v>
      </c>
      <c r="N270" s="22" t="str">
        <f>+IF(Tabla2[[#This Row],[Variación Stock]]&gt;0,"Sobrante",IF(Tabla2[[#This Row],[Variación Stock]]&lt;0,"Faltante","Sin novedad"))</f>
        <v>Faltante</v>
      </c>
    </row>
    <row r="271" spans="1:14" x14ac:dyDescent="0.25">
      <c r="A271" s="11">
        <v>46037</v>
      </c>
      <c r="B271" s="5" t="s">
        <v>212</v>
      </c>
      <c r="C271" s="3" t="s">
        <v>213</v>
      </c>
      <c r="D271" s="5" t="s">
        <v>111</v>
      </c>
      <c r="E271" s="5" t="s">
        <v>112</v>
      </c>
      <c r="F271" s="6" t="s">
        <v>57</v>
      </c>
      <c r="G271" s="4" t="s">
        <v>0</v>
      </c>
      <c r="H271" s="24">
        <v>2012.98701299</v>
      </c>
      <c r="I271" s="8">
        <v>90.36</v>
      </c>
      <c r="J271" s="9">
        <v>79</v>
      </c>
      <c r="K271" s="7">
        <v>-11.36</v>
      </c>
      <c r="L271" s="24">
        <f>+Tabla2[[#This Row],[Stock Inventario]]*Tabla2[[#This Row],[Coste LÃ­nea]]</f>
        <v>159025.97402620999</v>
      </c>
      <c r="M271" s="24">
        <f>+Tabla2[[#This Row],[Variación Stock]]*Tabla2[[#This Row],[Coste LÃ­nea]]</f>
        <v>-22867.532467566398</v>
      </c>
      <c r="N271" s="22" t="str">
        <f>+IF(Tabla2[[#This Row],[Variación Stock]]&gt;0,"Sobrante",IF(Tabla2[[#This Row],[Variación Stock]]&lt;0,"Faltante","Sin novedad"))</f>
        <v>Faltante</v>
      </c>
    </row>
    <row r="272" spans="1:14" hidden="1" x14ac:dyDescent="0.25">
      <c r="A272" s="11">
        <v>46044</v>
      </c>
      <c r="B272" s="5" t="s">
        <v>383</v>
      </c>
      <c r="C272" s="3" t="s">
        <v>213</v>
      </c>
      <c r="D272" s="5" t="s">
        <v>116</v>
      </c>
      <c r="E272" s="5" t="s">
        <v>117</v>
      </c>
      <c r="F272" s="6" t="s">
        <v>157</v>
      </c>
      <c r="G272" s="4" t="s">
        <v>1</v>
      </c>
      <c r="H272" s="25">
        <v>34</v>
      </c>
      <c r="I272" s="8">
        <v>1010</v>
      </c>
      <c r="J272" s="9">
        <v>1010</v>
      </c>
      <c r="K272" s="7">
        <v>0</v>
      </c>
      <c r="L272" s="24">
        <f>+Tabla2[[#This Row],[Stock Inventario]]*Tabla2[[#This Row],[Coste LÃ­nea]]</f>
        <v>34340</v>
      </c>
      <c r="M272" s="24">
        <f>+Tabla2[[#This Row],[Variación Stock]]*Tabla2[[#This Row],[Coste LÃ­nea]]</f>
        <v>0</v>
      </c>
      <c r="N272" s="22" t="str">
        <f>+IF(Tabla2[[#This Row],[Variación Stock]]&gt;0,"Sobrante",IF(Tabla2[[#This Row],[Variación Stock]]&lt;0,"Faltante","Sin novedad"))</f>
        <v>Sin novedad</v>
      </c>
    </row>
    <row r="273" spans="1:14" x14ac:dyDescent="0.25">
      <c r="A273" s="11">
        <v>46044</v>
      </c>
      <c r="B273" s="5" t="s">
        <v>383</v>
      </c>
      <c r="C273" s="3" t="s">
        <v>213</v>
      </c>
      <c r="D273" s="5" t="s">
        <v>111</v>
      </c>
      <c r="E273" s="5" t="s">
        <v>112</v>
      </c>
      <c r="F273" s="6" t="s">
        <v>57</v>
      </c>
      <c r="G273" s="4" t="s">
        <v>0</v>
      </c>
      <c r="H273" s="25">
        <v>2012.98701299</v>
      </c>
      <c r="I273" s="8">
        <v>70.680000000000007</v>
      </c>
      <c r="J273" s="9">
        <v>64</v>
      </c>
      <c r="K273" s="7">
        <v>-6.68</v>
      </c>
      <c r="L273" s="24">
        <f>+Tabla2[[#This Row],[Stock Inventario]]*Tabla2[[#This Row],[Coste LÃ­nea]]</f>
        <v>128831.16883136</v>
      </c>
      <c r="M273" s="24">
        <f>+Tabla2[[#This Row],[Variación Stock]]*Tabla2[[#This Row],[Coste LÃ­nea]]</f>
        <v>-13446.7532467732</v>
      </c>
      <c r="N273" s="22" t="str">
        <f>+IF(Tabla2[[#This Row],[Variación Stock]]&gt;0,"Sobrante",IF(Tabla2[[#This Row],[Variación Stock]]&lt;0,"Faltante","Sin novedad"))</f>
        <v>Faltante</v>
      </c>
    </row>
    <row r="274" spans="1:14" hidden="1" x14ac:dyDescent="0.25">
      <c r="A274" s="11">
        <v>46044</v>
      </c>
      <c r="B274" s="5" t="s">
        <v>383</v>
      </c>
      <c r="C274" s="3" t="s">
        <v>213</v>
      </c>
      <c r="D274" s="5" t="s">
        <v>120</v>
      </c>
      <c r="E274" s="5" t="s">
        <v>117</v>
      </c>
      <c r="F274" s="6" t="s">
        <v>266</v>
      </c>
      <c r="G274" s="4" t="s">
        <v>1</v>
      </c>
      <c r="H274" s="25">
        <v>30.21290226</v>
      </c>
      <c r="I274" s="8">
        <v>2505</v>
      </c>
      <c r="J274" s="9">
        <v>4320</v>
      </c>
      <c r="K274" s="7">
        <v>1815</v>
      </c>
      <c r="L274" s="24">
        <f>+Tabla2[[#This Row],[Stock Inventario]]*Tabla2[[#This Row],[Coste LÃ­nea]]</f>
        <v>130519.7377632</v>
      </c>
      <c r="M274" s="24">
        <f>+Tabla2[[#This Row],[Variación Stock]]*Tabla2[[#This Row],[Coste LÃ­nea]]</f>
        <v>54836.417601900001</v>
      </c>
      <c r="N274" s="22" t="str">
        <f>+IF(Tabla2[[#This Row],[Variación Stock]]&gt;0,"Sobrante",IF(Tabla2[[#This Row],[Variación Stock]]&lt;0,"Faltante","Sin novedad"))</f>
        <v>Sobrante</v>
      </c>
    </row>
    <row r="275" spans="1:14" hidden="1" x14ac:dyDescent="0.25">
      <c r="A275" s="11">
        <v>46044</v>
      </c>
      <c r="B275" s="5" t="s">
        <v>383</v>
      </c>
      <c r="C275" s="3" t="s">
        <v>213</v>
      </c>
      <c r="D275" s="5" t="s">
        <v>120</v>
      </c>
      <c r="E275" s="5" t="s">
        <v>117</v>
      </c>
      <c r="F275" s="6" t="s">
        <v>261</v>
      </c>
      <c r="G275" s="4" t="s">
        <v>2</v>
      </c>
      <c r="H275" s="25">
        <v>3537.0347861300002</v>
      </c>
      <c r="I275" s="8">
        <v>7</v>
      </c>
      <c r="J275" s="9">
        <v>7</v>
      </c>
      <c r="K275" s="7">
        <v>0</v>
      </c>
      <c r="L275" s="24">
        <f>+Tabla2[[#This Row],[Stock Inventario]]*Tabla2[[#This Row],[Coste LÃ­nea]]</f>
        <v>24759.243502910002</v>
      </c>
      <c r="M275" s="24">
        <f>+Tabla2[[#This Row],[Variación Stock]]*Tabla2[[#This Row],[Coste LÃ­nea]]</f>
        <v>0</v>
      </c>
      <c r="N275" s="22" t="str">
        <f>+IF(Tabla2[[#This Row],[Variación Stock]]&gt;0,"Sobrante",IF(Tabla2[[#This Row],[Variación Stock]]&lt;0,"Faltante","Sin novedad"))</f>
        <v>Sin novedad</v>
      </c>
    </row>
    <row r="276" spans="1:14" hidden="1" x14ac:dyDescent="0.25">
      <c r="A276" s="11">
        <v>46037</v>
      </c>
      <c r="B276" s="5" t="s">
        <v>212</v>
      </c>
      <c r="C276" s="3" t="s">
        <v>213</v>
      </c>
      <c r="D276" s="5" t="s">
        <v>120</v>
      </c>
      <c r="E276" s="5" t="s">
        <v>117</v>
      </c>
      <c r="F276" s="6" t="s">
        <v>267</v>
      </c>
      <c r="G276" s="4" t="s">
        <v>2</v>
      </c>
      <c r="H276" s="24">
        <v>1062.9044772499999</v>
      </c>
      <c r="I276" s="8">
        <v>2</v>
      </c>
      <c r="J276" s="9">
        <v>145</v>
      </c>
      <c r="K276" s="7">
        <v>143</v>
      </c>
      <c r="L276" s="24">
        <f>+Tabla2[[#This Row],[Stock Inventario]]*Tabla2[[#This Row],[Coste LÃ­nea]]</f>
        <v>154121.14920124999</v>
      </c>
      <c r="M276" s="24">
        <f>+Tabla2[[#This Row],[Variación Stock]]*Tabla2[[#This Row],[Coste LÃ­nea]]</f>
        <v>151995.34024674998</v>
      </c>
      <c r="N276" s="22" t="str">
        <f>+IF(Tabla2[[#This Row],[Variación Stock]]&gt;0,"Sobrante",IF(Tabla2[[#This Row],[Variación Stock]]&lt;0,"Faltante","Sin novedad"))</f>
        <v>Sobrante</v>
      </c>
    </row>
    <row r="277" spans="1:14" x14ac:dyDescent="0.25">
      <c r="A277" s="11">
        <v>46053</v>
      </c>
      <c r="B277" s="5" t="s">
        <v>972</v>
      </c>
      <c r="C277" s="3" t="s">
        <v>213</v>
      </c>
      <c r="D277" s="5" t="s">
        <v>111</v>
      </c>
      <c r="E277" s="5" t="s">
        <v>112</v>
      </c>
      <c r="F277" s="6" t="s">
        <v>57</v>
      </c>
      <c r="G277" s="4" t="s">
        <v>0</v>
      </c>
      <c r="H277" s="25">
        <v>1993.59090909</v>
      </c>
      <c r="I277" s="8">
        <v>53</v>
      </c>
      <c r="J277" s="9">
        <v>44</v>
      </c>
      <c r="K277" s="7">
        <v>-9</v>
      </c>
      <c r="L277" s="24">
        <f>+Tabla2[[#This Row],[Stock Inventario]]*Tabla2[[#This Row],[Coste LÃ­nea]]</f>
        <v>87717.999999959997</v>
      </c>
      <c r="M277" s="24">
        <f>+Tabla2[[#This Row],[Variación Stock]]*Tabla2[[#This Row],[Coste LÃ­nea]]</f>
        <v>-17942.318181809998</v>
      </c>
      <c r="N277" s="22" t="str">
        <f>+IF(Tabla2[[#This Row],[Variación Stock]]&gt;0,"Sobrante",IF(Tabla2[[#This Row],[Variación Stock]]&lt;0,"Faltante","Sin novedad"))</f>
        <v>Faltante</v>
      </c>
    </row>
    <row r="278" spans="1:14" x14ac:dyDescent="0.25">
      <c r="A278" s="11">
        <v>46037</v>
      </c>
      <c r="B278" s="5" t="s">
        <v>212</v>
      </c>
      <c r="C278" s="3" t="s">
        <v>213</v>
      </c>
      <c r="D278" s="5" t="s">
        <v>114</v>
      </c>
      <c r="E278" s="5" t="s">
        <v>112</v>
      </c>
      <c r="F278" s="6" t="s">
        <v>146</v>
      </c>
      <c r="G278" s="4" t="s">
        <v>2</v>
      </c>
      <c r="H278" s="24">
        <v>4900</v>
      </c>
      <c r="I278" s="8">
        <v>0</v>
      </c>
      <c r="J278" s="9">
        <v>0</v>
      </c>
      <c r="K278" s="7">
        <v>0</v>
      </c>
      <c r="L278" s="24">
        <f>+Tabla2[[#This Row],[Stock Inventario]]*Tabla2[[#This Row],[Coste LÃ­nea]]</f>
        <v>0</v>
      </c>
      <c r="M278" s="24">
        <f>+Tabla2[[#This Row],[Variación Stock]]*Tabla2[[#This Row],[Coste LÃ­nea]]</f>
        <v>0</v>
      </c>
      <c r="N278" s="22" t="str">
        <f>+IF(Tabla2[[#This Row],[Variación Stock]]&gt;0,"Sobrante",IF(Tabla2[[#This Row],[Variación Stock]]&lt;0,"Faltante","Sin novedad"))</f>
        <v>Sin novedad</v>
      </c>
    </row>
    <row r="279" spans="1:14" x14ac:dyDescent="0.25">
      <c r="A279" s="11">
        <v>46044</v>
      </c>
      <c r="B279" s="5" t="s">
        <v>383</v>
      </c>
      <c r="C279" s="3" t="s">
        <v>213</v>
      </c>
      <c r="D279" s="5" t="s">
        <v>114</v>
      </c>
      <c r="E279" s="5" t="s">
        <v>112</v>
      </c>
      <c r="F279" s="6" t="s">
        <v>146</v>
      </c>
      <c r="G279" s="4" t="s">
        <v>2</v>
      </c>
      <c r="H279" s="25">
        <v>4900</v>
      </c>
      <c r="I279" s="8">
        <v>0</v>
      </c>
      <c r="J279" s="9">
        <v>0</v>
      </c>
      <c r="K279" s="7">
        <v>0</v>
      </c>
      <c r="L279" s="24">
        <f>+Tabla2[[#This Row],[Stock Inventario]]*Tabla2[[#This Row],[Coste LÃ­nea]]</f>
        <v>0</v>
      </c>
      <c r="M279" s="24">
        <f>+Tabla2[[#This Row],[Variación Stock]]*Tabla2[[#This Row],[Coste LÃ­nea]]</f>
        <v>0</v>
      </c>
      <c r="N279" s="22" t="str">
        <f>+IF(Tabla2[[#This Row],[Variación Stock]]&gt;0,"Sobrante",IF(Tabla2[[#This Row],[Variación Stock]]&lt;0,"Faltante","Sin novedad"))</f>
        <v>Sin novedad</v>
      </c>
    </row>
    <row r="280" spans="1:14" x14ac:dyDescent="0.25">
      <c r="A280" s="11">
        <v>46053</v>
      </c>
      <c r="B280" s="5" t="s">
        <v>972</v>
      </c>
      <c r="C280" s="3" t="s">
        <v>213</v>
      </c>
      <c r="D280" s="5" t="s">
        <v>114</v>
      </c>
      <c r="E280" s="5" t="s">
        <v>112</v>
      </c>
      <c r="F280" s="6" t="s">
        <v>146</v>
      </c>
      <c r="G280" s="4" t="s">
        <v>2</v>
      </c>
      <c r="H280" s="25">
        <v>4900</v>
      </c>
      <c r="I280" s="8">
        <v>0</v>
      </c>
      <c r="J280" s="9">
        <v>0</v>
      </c>
      <c r="K280" s="7">
        <v>0</v>
      </c>
      <c r="L280" s="24">
        <f>+Tabla2[[#This Row],[Stock Inventario]]*Tabla2[[#This Row],[Coste LÃ­nea]]</f>
        <v>0</v>
      </c>
      <c r="M280" s="24">
        <f>+Tabla2[[#This Row],[Variación Stock]]*Tabla2[[#This Row],[Coste LÃ­nea]]</f>
        <v>0</v>
      </c>
      <c r="N280" s="22" t="str">
        <f>+IF(Tabla2[[#This Row],[Variación Stock]]&gt;0,"Sobrante",IF(Tabla2[[#This Row],[Variación Stock]]&lt;0,"Faltante","Sin novedad"))</f>
        <v>Sin novedad</v>
      </c>
    </row>
    <row r="281" spans="1:14" x14ac:dyDescent="0.25">
      <c r="A281" s="11">
        <v>46053</v>
      </c>
      <c r="B281" s="5" t="s">
        <v>972</v>
      </c>
      <c r="C281" s="3" t="s">
        <v>213</v>
      </c>
      <c r="D281" s="5" t="s">
        <v>603</v>
      </c>
      <c r="E281" s="5" t="s">
        <v>112</v>
      </c>
      <c r="F281" s="6" t="s">
        <v>1022</v>
      </c>
      <c r="G281" s="4" t="s">
        <v>0</v>
      </c>
      <c r="H281" s="25">
        <v>150</v>
      </c>
      <c r="I281" s="8">
        <v>20</v>
      </c>
      <c r="J281" s="9">
        <v>20</v>
      </c>
      <c r="K281" s="7">
        <v>0</v>
      </c>
      <c r="L281" s="24">
        <f>+Tabla2[[#This Row],[Stock Inventario]]*Tabla2[[#This Row],[Coste LÃ­nea]]</f>
        <v>3000</v>
      </c>
      <c r="M281" s="24">
        <f>+Tabla2[[#This Row],[Variación Stock]]*Tabla2[[#This Row],[Coste LÃ­nea]]</f>
        <v>0</v>
      </c>
      <c r="N281" s="22" t="str">
        <f>+IF(Tabla2[[#This Row],[Variación Stock]]&gt;0,"Sobrante",IF(Tabla2[[#This Row],[Variación Stock]]&lt;0,"Faltante","Sin novedad"))</f>
        <v>Sin novedad</v>
      </c>
    </row>
    <row r="282" spans="1:14" x14ac:dyDescent="0.25">
      <c r="A282" s="11">
        <v>46037</v>
      </c>
      <c r="B282" s="5" t="s">
        <v>212</v>
      </c>
      <c r="C282" s="3" t="s">
        <v>213</v>
      </c>
      <c r="D282" s="5" t="s">
        <v>111</v>
      </c>
      <c r="E282" s="5" t="s">
        <v>112</v>
      </c>
      <c r="F282" s="6" t="s">
        <v>25</v>
      </c>
      <c r="G282" s="4" t="s">
        <v>0</v>
      </c>
      <c r="H282" s="24">
        <v>5465.125</v>
      </c>
      <c r="I282" s="8">
        <v>20</v>
      </c>
      <c r="J282" s="9">
        <v>23</v>
      </c>
      <c r="K282" s="7">
        <v>3</v>
      </c>
      <c r="L282" s="24">
        <f>+Tabla2[[#This Row],[Stock Inventario]]*Tabla2[[#This Row],[Coste LÃ­nea]]</f>
        <v>125697.875</v>
      </c>
      <c r="M282" s="24">
        <f>+Tabla2[[#This Row],[Variación Stock]]*Tabla2[[#This Row],[Coste LÃ­nea]]</f>
        <v>16395.375</v>
      </c>
      <c r="N282" s="22" t="str">
        <f>+IF(Tabla2[[#This Row],[Variación Stock]]&gt;0,"Sobrante",IF(Tabla2[[#This Row],[Variación Stock]]&lt;0,"Faltante","Sin novedad"))</f>
        <v>Sobrante</v>
      </c>
    </row>
    <row r="283" spans="1:14" x14ac:dyDescent="0.25">
      <c r="A283" s="11">
        <v>46044</v>
      </c>
      <c r="B283" s="5" t="s">
        <v>383</v>
      </c>
      <c r="C283" s="3" t="s">
        <v>213</v>
      </c>
      <c r="D283" s="5" t="s">
        <v>111</v>
      </c>
      <c r="E283" s="5" t="s">
        <v>112</v>
      </c>
      <c r="F283" s="6" t="s">
        <v>25</v>
      </c>
      <c r="G283" s="4" t="s">
        <v>0</v>
      </c>
      <c r="H283" s="25">
        <v>5465.125</v>
      </c>
      <c r="I283" s="8">
        <v>23</v>
      </c>
      <c r="J283" s="9">
        <v>0</v>
      </c>
      <c r="K283" s="7">
        <v>-23</v>
      </c>
      <c r="L283" s="24">
        <f>+Tabla2[[#This Row],[Stock Inventario]]*Tabla2[[#This Row],[Coste LÃ­nea]]</f>
        <v>0</v>
      </c>
      <c r="M283" s="24">
        <f>+Tabla2[[#This Row],[Variación Stock]]*Tabla2[[#This Row],[Coste LÃ­nea]]</f>
        <v>-125697.875</v>
      </c>
      <c r="N283" s="22" t="str">
        <f>+IF(Tabla2[[#This Row],[Variación Stock]]&gt;0,"Sobrante",IF(Tabla2[[#This Row],[Variación Stock]]&lt;0,"Faltante","Sin novedad"))</f>
        <v>Faltante</v>
      </c>
    </row>
    <row r="284" spans="1:14" x14ac:dyDescent="0.25">
      <c r="A284" s="11">
        <v>46053</v>
      </c>
      <c r="B284" s="5" t="s">
        <v>972</v>
      </c>
      <c r="C284" s="3" t="s">
        <v>213</v>
      </c>
      <c r="D284" s="5" t="s">
        <v>111</v>
      </c>
      <c r="E284" s="5" t="s">
        <v>112</v>
      </c>
      <c r="F284" s="6" t="s">
        <v>25</v>
      </c>
      <c r="G284" s="4" t="s">
        <v>0</v>
      </c>
      <c r="H284" s="25">
        <v>5465.125</v>
      </c>
      <c r="I284" s="8">
        <v>0</v>
      </c>
      <c r="J284" s="9">
        <v>19</v>
      </c>
      <c r="K284" s="7">
        <v>19</v>
      </c>
      <c r="L284" s="24">
        <f>+Tabla2[[#This Row],[Stock Inventario]]*Tabla2[[#This Row],[Coste LÃ­nea]]</f>
        <v>103837.375</v>
      </c>
      <c r="M284" s="24">
        <f>+Tabla2[[#This Row],[Variación Stock]]*Tabla2[[#This Row],[Coste LÃ­nea]]</f>
        <v>103837.375</v>
      </c>
      <c r="N284" s="22" t="str">
        <f>+IF(Tabla2[[#This Row],[Variación Stock]]&gt;0,"Sobrante",IF(Tabla2[[#This Row],[Variación Stock]]&lt;0,"Faltante","Sin novedad"))</f>
        <v>Sobrante</v>
      </c>
    </row>
    <row r="285" spans="1:14" x14ac:dyDescent="0.25">
      <c r="A285" s="11">
        <v>46053</v>
      </c>
      <c r="B285" s="5" t="s">
        <v>972</v>
      </c>
      <c r="C285" s="3" t="s">
        <v>213</v>
      </c>
      <c r="D285" s="5" t="s">
        <v>603</v>
      </c>
      <c r="E285" s="5" t="s">
        <v>112</v>
      </c>
      <c r="F285" s="6" t="s">
        <v>625</v>
      </c>
      <c r="G285" s="4" t="s">
        <v>1</v>
      </c>
      <c r="H285" s="25">
        <v>4.5</v>
      </c>
      <c r="I285" s="8">
        <v>167699</v>
      </c>
      <c r="J285" s="9">
        <v>1000</v>
      </c>
      <c r="K285" s="7">
        <v>-166699.00002400001</v>
      </c>
      <c r="L285" s="24">
        <f>+Tabla2[[#This Row],[Stock Inventario]]*Tabla2[[#This Row],[Coste LÃ­nea]]</f>
        <v>4500</v>
      </c>
      <c r="M285" s="24">
        <f>+Tabla2[[#This Row],[Variación Stock]]*Tabla2[[#This Row],[Coste LÃ­nea]]</f>
        <v>-750145.50010800001</v>
      </c>
      <c r="N285" s="22" t="str">
        <f>+IF(Tabla2[[#This Row],[Variación Stock]]&gt;0,"Sobrante",IF(Tabla2[[#This Row],[Variación Stock]]&lt;0,"Faltante","Sin novedad"))</f>
        <v>Faltante</v>
      </c>
    </row>
    <row r="286" spans="1:14" x14ac:dyDescent="0.25">
      <c r="A286" s="11">
        <v>46037</v>
      </c>
      <c r="B286" s="5" t="s">
        <v>212</v>
      </c>
      <c r="C286" s="3" t="s">
        <v>213</v>
      </c>
      <c r="D286" s="5" t="s">
        <v>122</v>
      </c>
      <c r="E286" s="5" t="s">
        <v>112</v>
      </c>
      <c r="F286" s="6" t="s">
        <v>97</v>
      </c>
      <c r="G286" s="4" t="s">
        <v>2</v>
      </c>
      <c r="H286" s="24">
        <v>1234.3916666699999</v>
      </c>
      <c r="I286" s="8">
        <v>31</v>
      </c>
      <c r="J286" s="9">
        <v>55</v>
      </c>
      <c r="K286" s="7">
        <v>24</v>
      </c>
      <c r="L286" s="24">
        <f>+Tabla2[[#This Row],[Stock Inventario]]*Tabla2[[#This Row],[Coste LÃ­nea]]</f>
        <v>67891.541666849997</v>
      </c>
      <c r="M286" s="24">
        <f>+Tabla2[[#This Row],[Variación Stock]]*Tabla2[[#This Row],[Coste LÃ­nea]]</f>
        <v>29625.400000080001</v>
      </c>
      <c r="N286" s="22" t="str">
        <f>+IF(Tabla2[[#This Row],[Variación Stock]]&gt;0,"Sobrante",IF(Tabla2[[#This Row],[Variación Stock]]&lt;0,"Faltante","Sin novedad"))</f>
        <v>Sobrante</v>
      </c>
    </row>
    <row r="287" spans="1:14" x14ac:dyDescent="0.25">
      <c r="A287" s="11">
        <v>46044</v>
      </c>
      <c r="B287" s="5" t="s">
        <v>383</v>
      </c>
      <c r="C287" s="3" t="s">
        <v>213</v>
      </c>
      <c r="D287" s="5" t="s">
        <v>122</v>
      </c>
      <c r="E287" s="5" t="s">
        <v>112</v>
      </c>
      <c r="F287" s="6" t="s">
        <v>97</v>
      </c>
      <c r="G287" s="4" t="s">
        <v>2</v>
      </c>
      <c r="H287" s="25">
        <v>1234.3916666699999</v>
      </c>
      <c r="I287" s="8">
        <v>44</v>
      </c>
      <c r="J287" s="9">
        <v>44</v>
      </c>
      <c r="K287" s="7">
        <v>0</v>
      </c>
      <c r="L287" s="24">
        <f>+Tabla2[[#This Row],[Stock Inventario]]*Tabla2[[#This Row],[Coste LÃ­nea]]</f>
        <v>54313.233333479999</v>
      </c>
      <c r="M287" s="24">
        <f>+Tabla2[[#This Row],[Variación Stock]]*Tabla2[[#This Row],[Coste LÃ­nea]]</f>
        <v>0</v>
      </c>
      <c r="N287" s="22" t="str">
        <f>+IF(Tabla2[[#This Row],[Variación Stock]]&gt;0,"Sobrante",IF(Tabla2[[#This Row],[Variación Stock]]&lt;0,"Faltante","Sin novedad"))</f>
        <v>Sin novedad</v>
      </c>
    </row>
    <row r="288" spans="1:14" x14ac:dyDescent="0.25">
      <c r="A288" s="11">
        <v>46053</v>
      </c>
      <c r="B288" s="5" t="s">
        <v>972</v>
      </c>
      <c r="C288" s="3" t="s">
        <v>213</v>
      </c>
      <c r="D288" s="5" t="s">
        <v>122</v>
      </c>
      <c r="E288" s="5" t="s">
        <v>112</v>
      </c>
      <c r="F288" s="6" t="s">
        <v>97</v>
      </c>
      <c r="G288" s="4" t="s">
        <v>2</v>
      </c>
      <c r="H288" s="25">
        <v>1234.3916666699999</v>
      </c>
      <c r="I288" s="8">
        <v>22</v>
      </c>
      <c r="J288" s="9">
        <v>20</v>
      </c>
      <c r="K288" s="7">
        <v>-2</v>
      </c>
      <c r="L288" s="24">
        <f>+Tabla2[[#This Row],[Stock Inventario]]*Tabla2[[#This Row],[Coste LÃ­nea]]</f>
        <v>24687.833333399998</v>
      </c>
      <c r="M288" s="24">
        <f>+Tabla2[[#This Row],[Variación Stock]]*Tabla2[[#This Row],[Coste LÃ­nea]]</f>
        <v>-2468.7833333399999</v>
      </c>
      <c r="N288" s="22" t="str">
        <f>+IF(Tabla2[[#This Row],[Variación Stock]]&gt;0,"Sobrante",IF(Tabla2[[#This Row],[Variación Stock]]&lt;0,"Faltante","Sin novedad"))</f>
        <v>Faltante</v>
      </c>
    </row>
    <row r="289" spans="1:14" x14ac:dyDescent="0.25">
      <c r="A289" s="11">
        <v>46037</v>
      </c>
      <c r="B289" s="5" t="s">
        <v>212</v>
      </c>
      <c r="C289" s="3" t="s">
        <v>213</v>
      </c>
      <c r="D289" s="5" t="s">
        <v>122</v>
      </c>
      <c r="E289" s="5" t="s">
        <v>112</v>
      </c>
      <c r="F289" s="6" t="s">
        <v>98</v>
      </c>
      <c r="G289" s="4" t="s">
        <v>2</v>
      </c>
      <c r="H289" s="24">
        <v>1654.27083333</v>
      </c>
      <c r="I289" s="8">
        <v>123</v>
      </c>
      <c r="J289" s="9">
        <v>134</v>
      </c>
      <c r="K289" s="7">
        <v>11</v>
      </c>
      <c r="L289" s="24">
        <f>+Tabla2[[#This Row],[Stock Inventario]]*Tabla2[[#This Row],[Coste LÃ­nea]]</f>
        <v>221672.29166622</v>
      </c>
      <c r="M289" s="24">
        <f>+Tabla2[[#This Row],[Variación Stock]]*Tabla2[[#This Row],[Coste LÃ­nea]]</f>
        <v>18196.979166630001</v>
      </c>
      <c r="N289" s="22" t="str">
        <f>+IF(Tabla2[[#This Row],[Variación Stock]]&gt;0,"Sobrante",IF(Tabla2[[#This Row],[Variación Stock]]&lt;0,"Faltante","Sin novedad"))</f>
        <v>Sobrante</v>
      </c>
    </row>
    <row r="290" spans="1:14" x14ac:dyDescent="0.25">
      <c r="A290" s="11">
        <v>46044</v>
      </c>
      <c r="B290" s="5" t="s">
        <v>383</v>
      </c>
      <c r="C290" s="3" t="s">
        <v>213</v>
      </c>
      <c r="D290" s="5" t="s">
        <v>122</v>
      </c>
      <c r="E290" s="5" t="s">
        <v>112</v>
      </c>
      <c r="F290" s="6" t="s">
        <v>98</v>
      </c>
      <c r="G290" s="4" t="s">
        <v>2</v>
      </c>
      <c r="H290" s="25">
        <v>1654.27777778</v>
      </c>
      <c r="I290" s="8">
        <v>93</v>
      </c>
      <c r="J290" s="9">
        <v>87</v>
      </c>
      <c r="K290" s="15">
        <v>-6</v>
      </c>
      <c r="L290" s="24">
        <f>+Tabla2[[#This Row],[Stock Inventario]]*Tabla2[[#This Row],[Coste LÃ­nea]]</f>
        <v>143922.16666685999</v>
      </c>
      <c r="M290" s="24">
        <f>+Tabla2[[#This Row],[Variación Stock]]*Tabla2[[#This Row],[Coste LÃ­nea]]</f>
        <v>-9925.6666666799993</v>
      </c>
      <c r="N290" s="22" t="str">
        <f>+IF(Tabla2[[#This Row],[Variación Stock]]&gt;0,"Sobrante",IF(Tabla2[[#This Row],[Variación Stock]]&lt;0,"Faltante","Sin novedad"))</f>
        <v>Faltante</v>
      </c>
    </row>
    <row r="291" spans="1:14" x14ac:dyDescent="0.25">
      <c r="A291" s="11">
        <v>46053</v>
      </c>
      <c r="B291" s="5" t="s">
        <v>972</v>
      </c>
      <c r="C291" s="3" t="s">
        <v>213</v>
      </c>
      <c r="D291" s="5" t="s">
        <v>122</v>
      </c>
      <c r="E291" s="5" t="s">
        <v>112</v>
      </c>
      <c r="F291" s="6" t="s">
        <v>98</v>
      </c>
      <c r="G291" s="4" t="s">
        <v>2</v>
      </c>
      <c r="H291" s="25">
        <v>1654.2750000000001</v>
      </c>
      <c r="I291" s="8">
        <v>78</v>
      </c>
      <c r="J291" s="9">
        <v>81</v>
      </c>
      <c r="K291" s="7">
        <v>3</v>
      </c>
      <c r="L291" s="24">
        <f>+Tabla2[[#This Row],[Stock Inventario]]*Tabla2[[#This Row],[Coste LÃ­nea]]</f>
        <v>133996.27499999999</v>
      </c>
      <c r="M291" s="24">
        <f>+Tabla2[[#This Row],[Variación Stock]]*Tabla2[[#This Row],[Coste LÃ­nea]]</f>
        <v>4962.8250000000007</v>
      </c>
      <c r="N291" s="22" t="str">
        <f>+IF(Tabla2[[#This Row],[Variación Stock]]&gt;0,"Sobrante",IF(Tabla2[[#This Row],[Variación Stock]]&lt;0,"Faltante","Sin novedad"))</f>
        <v>Sobrante</v>
      </c>
    </row>
    <row r="292" spans="1:14" x14ac:dyDescent="0.25">
      <c r="A292" s="11">
        <v>46053</v>
      </c>
      <c r="B292" s="5" t="s">
        <v>972</v>
      </c>
      <c r="C292" s="3" t="s">
        <v>213</v>
      </c>
      <c r="D292" s="5" t="s">
        <v>603</v>
      </c>
      <c r="E292" s="5" t="s">
        <v>112</v>
      </c>
      <c r="F292" s="6" t="s">
        <v>608</v>
      </c>
      <c r="G292" s="4" t="s">
        <v>2</v>
      </c>
      <c r="H292" s="25">
        <v>2714.2857142900002</v>
      </c>
      <c r="I292" s="8">
        <v>39</v>
      </c>
      <c r="J292" s="9">
        <v>20</v>
      </c>
      <c r="K292" s="7">
        <v>-19</v>
      </c>
      <c r="L292" s="24">
        <f>+Tabla2[[#This Row],[Stock Inventario]]*Tabla2[[#This Row],[Coste LÃ­nea]]</f>
        <v>54285.714285800001</v>
      </c>
      <c r="M292" s="24">
        <f>+Tabla2[[#This Row],[Variación Stock]]*Tabla2[[#This Row],[Coste LÃ­nea]]</f>
        <v>-51571.428571510005</v>
      </c>
      <c r="N292" s="22" t="str">
        <f>+IF(Tabla2[[#This Row],[Variación Stock]]&gt;0,"Sobrante",IF(Tabla2[[#This Row],[Variación Stock]]&lt;0,"Faltante","Sin novedad"))</f>
        <v>Faltante</v>
      </c>
    </row>
    <row r="293" spans="1:14" x14ac:dyDescent="0.25">
      <c r="A293" s="11">
        <v>46053</v>
      </c>
      <c r="B293" s="5" t="s">
        <v>972</v>
      </c>
      <c r="C293" s="3" t="s">
        <v>213</v>
      </c>
      <c r="D293" s="5" t="s">
        <v>603</v>
      </c>
      <c r="E293" s="5" t="s">
        <v>112</v>
      </c>
      <c r="F293" s="6" t="s">
        <v>619</v>
      </c>
      <c r="G293" s="4" t="s">
        <v>1</v>
      </c>
      <c r="H293" s="25">
        <v>3.8</v>
      </c>
      <c r="I293" s="8">
        <v>0</v>
      </c>
      <c r="J293" s="9">
        <v>0</v>
      </c>
      <c r="K293" s="7">
        <v>0</v>
      </c>
      <c r="L293" s="24">
        <f>+Tabla2[[#This Row],[Stock Inventario]]*Tabla2[[#This Row],[Coste LÃ­nea]]</f>
        <v>0</v>
      </c>
      <c r="M293" s="24">
        <f>+Tabla2[[#This Row],[Variación Stock]]*Tabla2[[#This Row],[Coste LÃ­nea]]</f>
        <v>0</v>
      </c>
      <c r="N293" s="22" t="str">
        <f>+IF(Tabla2[[#This Row],[Variación Stock]]&gt;0,"Sobrante",IF(Tabla2[[#This Row],[Variación Stock]]&lt;0,"Faltante","Sin novedad"))</f>
        <v>Sin novedad</v>
      </c>
    </row>
    <row r="294" spans="1:14" x14ac:dyDescent="0.25">
      <c r="A294" s="11">
        <v>46053</v>
      </c>
      <c r="B294" s="5" t="s">
        <v>972</v>
      </c>
      <c r="C294" s="3" t="s">
        <v>213</v>
      </c>
      <c r="D294" s="5" t="s">
        <v>603</v>
      </c>
      <c r="E294" s="5" t="s">
        <v>112</v>
      </c>
      <c r="F294" s="6" t="s">
        <v>620</v>
      </c>
      <c r="G294" s="4" t="s">
        <v>1</v>
      </c>
      <c r="H294" s="25">
        <v>10.5</v>
      </c>
      <c r="I294" s="8">
        <v>-19</v>
      </c>
      <c r="J294" s="9">
        <v>0</v>
      </c>
      <c r="K294" s="7">
        <v>19</v>
      </c>
      <c r="L294" s="24">
        <f>+Tabla2[[#This Row],[Stock Inventario]]*Tabla2[[#This Row],[Coste LÃ­nea]]</f>
        <v>0</v>
      </c>
      <c r="M294" s="24">
        <f>+Tabla2[[#This Row],[Variación Stock]]*Tabla2[[#This Row],[Coste LÃ­nea]]</f>
        <v>199.5</v>
      </c>
      <c r="N294" s="22" t="str">
        <f>+IF(Tabla2[[#This Row],[Variación Stock]]&gt;0,"Sobrante",IF(Tabla2[[#This Row],[Variación Stock]]&lt;0,"Faltante","Sin novedad"))</f>
        <v>Sobrante</v>
      </c>
    </row>
    <row r="295" spans="1:14" x14ac:dyDescent="0.25">
      <c r="A295" s="11">
        <v>46053</v>
      </c>
      <c r="B295" s="5" t="s">
        <v>972</v>
      </c>
      <c r="C295" s="3" t="s">
        <v>213</v>
      </c>
      <c r="D295" s="5" t="s">
        <v>603</v>
      </c>
      <c r="E295" s="5" t="s">
        <v>112</v>
      </c>
      <c r="F295" s="6" t="s">
        <v>621</v>
      </c>
      <c r="G295" s="4" t="s">
        <v>1</v>
      </c>
      <c r="H295" s="25">
        <v>12</v>
      </c>
      <c r="I295" s="8">
        <v>840</v>
      </c>
      <c r="J295" s="9">
        <v>0</v>
      </c>
      <c r="K295" s="7">
        <v>-840</v>
      </c>
      <c r="L295" s="24">
        <f>+Tabla2[[#This Row],[Stock Inventario]]*Tabla2[[#This Row],[Coste LÃ­nea]]</f>
        <v>0</v>
      </c>
      <c r="M295" s="24">
        <f>+Tabla2[[#This Row],[Variación Stock]]*Tabla2[[#This Row],[Coste LÃ­nea]]</f>
        <v>-10080</v>
      </c>
      <c r="N295" s="22" t="str">
        <f>+IF(Tabla2[[#This Row],[Variación Stock]]&gt;0,"Sobrante",IF(Tabla2[[#This Row],[Variación Stock]]&lt;0,"Faltante","Sin novedad"))</f>
        <v>Faltante</v>
      </c>
    </row>
    <row r="296" spans="1:14" x14ac:dyDescent="0.25">
      <c r="A296" s="11">
        <v>46044</v>
      </c>
      <c r="B296" s="5" t="s">
        <v>383</v>
      </c>
      <c r="C296" s="3" t="s">
        <v>213</v>
      </c>
      <c r="D296" s="5" t="s">
        <v>118</v>
      </c>
      <c r="E296" s="5" t="s">
        <v>112</v>
      </c>
      <c r="F296" s="6" t="s">
        <v>370</v>
      </c>
      <c r="G296" s="4" t="s">
        <v>0</v>
      </c>
      <c r="H296" s="25">
        <v>2137.5</v>
      </c>
      <c r="I296" s="8">
        <v>10</v>
      </c>
      <c r="J296" s="9">
        <v>8.6</v>
      </c>
      <c r="K296" s="7">
        <v>-1.4</v>
      </c>
      <c r="L296" s="24">
        <f>+Tabla2[[#This Row],[Stock Inventario]]*Tabla2[[#This Row],[Coste LÃ­nea]]</f>
        <v>18382.5</v>
      </c>
      <c r="M296" s="24">
        <f>+Tabla2[[#This Row],[Variación Stock]]*Tabla2[[#This Row],[Coste LÃ­nea]]</f>
        <v>-2992.5</v>
      </c>
      <c r="N296" s="22" t="str">
        <f>+IF(Tabla2[[#This Row],[Variación Stock]]&gt;0,"Sobrante",IF(Tabla2[[#This Row],[Variación Stock]]&lt;0,"Faltante","Sin novedad"))</f>
        <v>Faltante</v>
      </c>
    </row>
    <row r="297" spans="1:14" x14ac:dyDescent="0.25">
      <c r="A297" s="11">
        <v>46053</v>
      </c>
      <c r="B297" s="5" t="s">
        <v>972</v>
      </c>
      <c r="C297" s="3" t="s">
        <v>213</v>
      </c>
      <c r="D297" s="5" t="s">
        <v>118</v>
      </c>
      <c r="E297" s="5" t="s">
        <v>112</v>
      </c>
      <c r="F297" s="6" t="s">
        <v>370</v>
      </c>
      <c r="G297" s="4" t="s">
        <v>0</v>
      </c>
      <c r="H297" s="25">
        <v>2137.5</v>
      </c>
      <c r="I297" s="8">
        <v>7.6</v>
      </c>
      <c r="J297" s="9">
        <v>24</v>
      </c>
      <c r="K297" s="7">
        <v>16.399999999999999</v>
      </c>
      <c r="L297" s="24">
        <f>+Tabla2[[#This Row],[Stock Inventario]]*Tabla2[[#This Row],[Coste LÃ­nea]]</f>
        <v>51300</v>
      </c>
      <c r="M297" s="24">
        <f>+Tabla2[[#This Row],[Variación Stock]]*Tabla2[[#This Row],[Coste LÃ­nea]]</f>
        <v>35055</v>
      </c>
      <c r="N297" s="22" t="str">
        <f>+IF(Tabla2[[#This Row],[Variación Stock]]&gt;0,"Sobrante",IF(Tabla2[[#This Row],[Variación Stock]]&lt;0,"Faltante","Sin novedad"))</f>
        <v>Sobrante</v>
      </c>
    </row>
    <row r="298" spans="1:14" x14ac:dyDescent="0.25">
      <c r="A298" s="11">
        <v>46044</v>
      </c>
      <c r="B298" s="5" t="s">
        <v>383</v>
      </c>
      <c r="C298" s="3" t="s">
        <v>213</v>
      </c>
      <c r="D298" s="5" t="s">
        <v>111</v>
      </c>
      <c r="E298" s="5" t="s">
        <v>112</v>
      </c>
      <c r="F298" s="6" t="s">
        <v>26</v>
      </c>
      <c r="G298" s="4" t="s">
        <v>0</v>
      </c>
      <c r="H298" s="25">
        <v>9217.1666666700003</v>
      </c>
      <c r="I298" s="8">
        <v>70</v>
      </c>
      <c r="J298" s="9">
        <v>48</v>
      </c>
      <c r="K298" s="7">
        <v>-22</v>
      </c>
      <c r="L298" s="24">
        <f>+Tabla2[[#This Row],[Stock Inventario]]*Tabla2[[#This Row],[Coste LÃ­nea]]</f>
        <v>442424.00000016001</v>
      </c>
      <c r="M298" s="24">
        <f>+Tabla2[[#This Row],[Variación Stock]]*Tabla2[[#This Row],[Coste LÃ­nea]]</f>
        <v>-202777.66666674</v>
      </c>
      <c r="N298" s="22" t="str">
        <f>+IF(Tabla2[[#This Row],[Variación Stock]]&gt;0,"Sobrante",IF(Tabla2[[#This Row],[Variación Stock]]&lt;0,"Faltante","Sin novedad"))</f>
        <v>Faltante</v>
      </c>
    </row>
    <row r="299" spans="1:14" x14ac:dyDescent="0.25">
      <c r="A299" s="11">
        <v>46037</v>
      </c>
      <c r="B299" s="5" t="s">
        <v>212</v>
      </c>
      <c r="C299" s="3" t="s">
        <v>213</v>
      </c>
      <c r="D299" s="5" t="s">
        <v>111</v>
      </c>
      <c r="E299" s="5" t="s">
        <v>112</v>
      </c>
      <c r="F299" s="6" t="s">
        <v>26</v>
      </c>
      <c r="G299" s="4" t="s">
        <v>0</v>
      </c>
      <c r="H299" s="24">
        <v>9217.1666666700003</v>
      </c>
      <c r="I299" s="8">
        <v>69</v>
      </c>
      <c r="J299" s="9">
        <v>70</v>
      </c>
      <c r="K299" s="7">
        <v>1</v>
      </c>
      <c r="L299" s="24">
        <f>+Tabla2[[#This Row],[Stock Inventario]]*Tabla2[[#This Row],[Coste LÃ­nea]]</f>
        <v>645201.66666690004</v>
      </c>
      <c r="M299" s="24">
        <f>+Tabla2[[#This Row],[Variación Stock]]*Tabla2[[#This Row],[Coste LÃ­nea]]</f>
        <v>9217.1666666700003</v>
      </c>
      <c r="N299" s="22" t="str">
        <f>+IF(Tabla2[[#This Row],[Variación Stock]]&gt;0,"Sobrante",IF(Tabla2[[#This Row],[Variación Stock]]&lt;0,"Faltante","Sin novedad"))</f>
        <v>Sobrante</v>
      </c>
    </row>
    <row r="300" spans="1:14" x14ac:dyDescent="0.25">
      <c r="A300" s="11">
        <v>46053</v>
      </c>
      <c r="B300" s="5" t="s">
        <v>972</v>
      </c>
      <c r="C300" s="3" t="s">
        <v>213</v>
      </c>
      <c r="D300" s="5" t="s">
        <v>111</v>
      </c>
      <c r="E300" s="5" t="s">
        <v>112</v>
      </c>
      <c r="F300" s="6" t="s">
        <v>26</v>
      </c>
      <c r="G300" s="4" t="s">
        <v>0</v>
      </c>
      <c r="H300" s="25">
        <v>9217.1666666700003</v>
      </c>
      <c r="I300" s="8">
        <v>48</v>
      </c>
      <c r="J300" s="9">
        <v>69</v>
      </c>
      <c r="K300" s="7">
        <v>21</v>
      </c>
      <c r="L300" s="24">
        <f>+Tabla2[[#This Row],[Stock Inventario]]*Tabla2[[#This Row],[Coste LÃ­nea]]</f>
        <v>635984.50000023004</v>
      </c>
      <c r="M300" s="24">
        <f>+Tabla2[[#This Row],[Variación Stock]]*Tabla2[[#This Row],[Coste LÃ­nea]]</f>
        <v>193560.50000006999</v>
      </c>
      <c r="N300" s="22" t="str">
        <f>+IF(Tabla2[[#This Row],[Variación Stock]]&gt;0,"Sobrante",IF(Tabla2[[#This Row],[Variación Stock]]&lt;0,"Faltante","Sin novedad"))</f>
        <v>Sobrante</v>
      </c>
    </row>
    <row r="301" spans="1:14" x14ac:dyDescent="0.25">
      <c r="A301" s="11">
        <v>46037</v>
      </c>
      <c r="B301" s="5" t="s">
        <v>212</v>
      </c>
      <c r="C301" s="3" t="s">
        <v>213</v>
      </c>
      <c r="D301" s="5" t="s">
        <v>111</v>
      </c>
      <c r="E301" s="5" t="s">
        <v>112</v>
      </c>
      <c r="F301" s="6" t="s">
        <v>27</v>
      </c>
      <c r="G301" s="4" t="s">
        <v>0</v>
      </c>
      <c r="H301" s="24">
        <v>6500</v>
      </c>
      <c r="I301" s="8">
        <v>-4</v>
      </c>
      <c r="J301" s="9">
        <v>63</v>
      </c>
      <c r="K301" s="7">
        <v>67</v>
      </c>
      <c r="L301" s="24">
        <f>+Tabla2[[#This Row],[Stock Inventario]]*Tabla2[[#This Row],[Coste LÃ­nea]]</f>
        <v>409500</v>
      </c>
      <c r="M301" s="24">
        <f>+Tabla2[[#This Row],[Variación Stock]]*Tabla2[[#This Row],[Coste LÃ­nea]]</f>
        <v>435500</v>
      </c>
      <c r="N301" s="22" t="str">
        <f>+IF(Tabla2[[#This Row],[Variación Stock]]&gt;0,"Sobrante",IF(Tabla2[[#This Row],[Variación Stock]]&lt;0,"Faltante","Sin novedad"))</f>
        <v>Sobrante</v>
      </c>
    </row>
    <row r="302" spans="1:14" x14ac:dyDescent="0.25">
      <c r="A302" s="11">
        <v>46044</v>
      </c>
      <c r="B302" s="5" t="s">
        <v>383</v>
      </c>
      <c r="C302" s="3" t="s">
        <v>213</v>
      </c>
      <c r="D302" s="5" t="s">
        <v>111</v>
      </c>
      <c r="E302" s="5" t="s">
        <v>112</v>
      </c>
      <c r="F302" s="6" t="s">
        <v>27</v>
      </c>
      <c r="G302" s="4" t="s">
        <v>0</v>
      </c>
      <c r="H302" s="25">
        <v>6500</v>
      </c>
      <c r="I302" s="8">
        <v>61</v>
      </c>
      <c r="J302" s="9">
        <v>57</v>
      </c>
      <c r="K302" s="7">
        <v>-4</v>
      </c>
      <c r="L302" s="24">
        <f>+Tabla2[[#This Row],[Stock Inventario]]*Tabla2[[#This Row],[Coste LÃ­nea]]</f>
        <v>370500</v>
      </c>
      <c r="M302" s="24">
        <f>+Tabla2[[#This Row],[Variación Stock]]*Tabla2[[#This Row],[Coste LÃ­nea]]</f>
        <v>-26000</v>
      </c>
      <c r="N302" s="22" t="str">
        <f>+IF(Tabla2[[#This Row],[Variación Stock]]&gt;0,"Sobrante",IF(Tabla2[[#This Row],[Variación Stock]]&lt;0,"Faltante","Sin novedad"))</f>
        <v>Faltante</v>
      </c>
    </row>
    <row r="303" spans="1:14" x14ac:dyDescent="0.25">
      <c r="A303" s="11">
        <v>46053</v>
      </c>
      <c r="B303" s="5" t="s">
        <v>972</v>
      </c>
      <c r="C303" s="3" t="s">
        <v>213</v>
      </c>
      <c r="D303" s="5" t="s">
        <v>111</v>
      </c>
      <c r="E303" s="5" t="s">
        <v>112</v>
      </c>
      <c r="F303" s="6" t="s">
        <v>27</v>
      </c>
      <c r="G303" s="4" t="s">
        <v>0</v>
      </c>
      <c r="H303" s="25">
        <v>7122.4772727299996</v>
      </c>
      <c r="I303" s="8">
        <v>56.67</v>
      </c>
      <c r="J303" s="9">
        <v>60</v>
      </c>
      <c r="K303" s="7">
        <v>3.33</v>
      </c>
      <c r="L303" s="24">
        <f>+Tabla2[[#This Row],[Stock Inventario]]*Tabla2[[#This Row],[Coste LÃ­nea]]</f>
        <v>427348.63636379997</v>
      </c>
      <c r="M303" s="24">
        <f>+Tabla2[[#This Row],[Variación Stock]]*Tabla2[[#This Row],[Coste LÃ­nea]]</f>
        <v>23717.8493181909</v>
      </c>
      <c r="N303" s="22" t="str">
        <f>+IF(Tabla2[[#This Row],[Variación Stock]]&gt;0,"Sobrante",IF(Tabla2[[#This Row],[Variación Stock]]&lt;0,"Faltante","Sin novedad"))</f>
        <v>Sobrante</v>
      </c>
    </row>
    <row r="304" spans="1:14" x14ac:dyDescent="0.25">
      <c r="A304" s="11">
        <v>46053</v>
      </c>
      <c r="B304" s="5" t="s">
        <v>972</v>
      </c>
      <c r="C304" s="3" t="s">
        <v>213</v>
      </c>
      <c r="D304" s="5" t="s">
        <v>603</v>
      </c>
      <c r="E304" s="5" t="s">
        <v>112</v>
      </c>
      <c r="F304" s="6" t="s">
        <v>622</v>
      </c>
      <c r="G304" s="4" t="s">
        <v>1</v>
      </c>
      <c r="H304" s="25">
        <v>8.5</v>
      </c>
      <c r="I304" s="8">
        <v>5740.7804999999998</v>
      </c>
      <c r="J304" s="9">
        <v>250</v>
      </c>
      <c r="K304" s="7">
        <v>-5490.7804802000001</v>
      </c>
      <c r="L304" s="24">
        <f>+Tabla2[[#This Row],[Stock Inventario]]*Tabla2[[#This Row],[Coste LÃ­nea]]</f>
        <v>2125</v>
      </c>
      <c r="M304" s="24">
        <f>+Tabla2[[#This Row],[Variación Stock]]*Tabla2[[#This Row],[Coste LÃ­nea]]</f>
        <v>-46671.634081700002</v>
      </c>
      <c r="N304" s="22" t="str">
        <f>+IF(Tabla2[[#This Row],[Variación Stock]]&gt;0,"Sobrante",IF(Tabla2[[#This Row],[Variación Stock]]&lt;0,"Faltante","Sin novedad"))</f>
        <v>Faltante</v>
      </c>
    </row>
    <row r="305" spans="1:14" x14ac:dyDescent="0.25">
      <c r="A305" s="11">
        <v>46037</v>
      </c>
      <c r="B305" s="5" t="s">
        <v>212</v>
      </c>
      <c r="C305" s="3" t="s">
        <v>213</v>
      </c>
      <c r="D305" s="5" t="s">
        <v>114</v>
      </c>
      <c r="E305" s="5" t="s">
        <v>112</v>
      </c>
      <c r="F305" s="6" t="s">
        <v>151</v>
      </c>
      <c r="G305" s="4" t="s">
        <v>2</v>
      </c>
      <c r="H305" s="24">
        <v>40936</v>
      </c>
      <c r="I305" s="8">
        <v>0</v>
      </c>
      <c r="J305" s="9">
        <v>0</v>
      </c>
      <c r="K305" s="7">
        <v>0</v>
      </c>
      <c r="L305" s="24">
        <f>+Tabla2[[#This Row],[Stock Inventario]]*Tabla2[[#This Row],[Coste LÃ­nea]]</f>
        <v>0</v>
      </c>
      <c r="M305" s="24">
        <f>+Tabla2[[#This Row],[Variación Stock]]*Tabla2[[#This Row],[Coste LÃ­nea]]</f>
        <v>0</v>
      </c>
      <c r="N305" s="22" t="str">
        <f>+IF(Tabla2[[#This Row],[Variación Stock]]&gt;0,"Sobrante",IF(Tabla2[[#This Row],[Variación Stock]]&lt;0,"Faltante","Sin novedad"))</f>
        <v>Sin novedad</v>
      </c>
    </row>
    <row r="306" spans="1:14" x14ac:dyDescent="0.25">
      <c r="A306" s="11">
        <v>46044</v>
      </c>
      <c r="B306" s="5" t="s">
        <v>383</v>
      </c>
      <c r="C306" s="3" t="s">
        <v>213</v>
      </c>
      <c r="D306" s="5" t="s">
        <v>114</v>
      </c>
      <c r="E306" s="5" t="s">
        <v>112</v>
      </c>
      <c r="F306" s="6" t="s">
        <v>151</v>
      </c>
      <c r="G306" s="4" t="s">
        <v>2</v>
      </c>
      <c r="H306" s="25">
        <v>40936</v>
      </c>
      <c r="I306" s="8">
        <v>0</v>
      </c>
      <c r="J306" s="9">
        <v>0</v>
      </c>
      <c r="K306" s="7">
        <v>0</v>
      </c>
      <c r="L306" s="24">
        <f>+Tabla2[[#This Row],[Stock Inventario]]*Tabla2[[#This Row],[Coste LÃ­nea]]</f>
        <v>0</v>
      </c>
      <c r="M306" s="24">
        <f>+Tabla2[[#This Row],[Variación Stock]]*Tabla2[[#This Row],[Coste LÃ­nea]]</f>
        <v>0</v>
      </c>
      <c r="N306" s="22" t="str">
        <f>+IF(Tabla2[[#This Row],[Variación Stock]]&gt;0,"Sobrante",IF(Tabla2[[#This Row],[Variación Stock]]&lt;0,"Faltante","Sin novedad"))</f>
        <v>Sin novedad</v>
      </c>
    </row>
    <row r="307" spans="1:14" x14ac:dyDescent="0.25">
      <c r="A307" s="11">
        <v>46053</v>
      </c>
      <c r="B307" s="5" t="s">
        <v>972</v>
      </c>
      <c r="C307" s="3" t="s">
        <v>213</v>
      </c>
      <c r="D307" s="5" t="s">
        <v>114</v>
      </c>
      <c r="E307" s="5" t="s">
        <v>112</v>
      </c>
      <c r="F307" s="6" t="s">
        <v>151</v>
      </c>
      <c r="G307" s="4" t="s">
        <v>2</v>
      </c>
      <c r="H307" s="25">
        <f>40936/6</f>
        <v>6822.666666666667</v>
      </c>
      <c r="I307" s="8">
        <v>0</v>
      </c>
      <c r="J307" s="9">
        <v>0</v>
      </c>
      <c r="K307" s="7">
        <v>0</v>
      </c>
      <c r="L307" s="24">
        <f>+Tabla2[[#This Row],[Stock Inventario]]*Tabla2[[#This Row],[Coste LÃ­nea]]</f>
        <v>0</v>
      </c>
      <c r="M307" s="24">
        <f>+Tabla2[[#This Row],[Variación Stock]]*Tabla2[[#This Row],[Coste LÃ­nea]]</f>
        <v>0</v>
      </c>
      <c r="N307" s="22" t="str">
        <f>+IF(Tabla2[[#This Row],[Variación Stock]]&gt;0,"Sobrante",IF(Tabla2[[#This Row],[Variación Stock]]&lt;0,"Faltante","Sin novedad"))</f>
        <v>Sin novedad</v>
      </c>
    </row>
    <row r="308" spans="1:14" x14ac:dyDescent="0.25">
      <c r="A308" s="11">
        <v>46037</v>
      </c>
      <c r="B308" s="5" t="s">
        <v>212</v>
      </c>
      <c r="C308" s="3" t="s">
        <v>213</v>
      </c>
      <c r="D308" s="5" t="s">
        <v>115</v>
      </c>
      <c r="E308" s="5" t="s">
        <v>112</v>
      </c>
      <c r="F308" s="6" t="s">
        <v>152</v>
      </c>
      <c r="G308" s="4" t="s">
        <v>2</v>
      </c>
      <c r="H308" s="24">
        <v>2298.1166666700001</v>
      </c>
      <c r="I308" s="8">
        <v>0</v>
      </c>
      <c r="J308" s="9">
        <v>23</v>
      </c>
      <c r="K308" s="7">
        <v>23</v>
      </c>
      <c r="L308" s="24">
        <f>+Tabla2[[#This Row],[Stock Inventario]]*Tabla2[[#This Row],[Coste LÃ­nea]]</f>
        <v>52856.683333410001</v>
      </c>
      <c r="M308" s="24">
        <f>+Tabla2[[#This Row],[Variación Stock]]*Tabla2[[#This Row],[Coste LÃ­nea]]</f>
        <v>52856.683333410001</v>
      </c>
      <c r="N308" s="22" t="str">
        <f>+IF(Tabla2[[#This Row],[Variación Stock]]&gt;0,"Sobrante",IF(Tabla2[[#This Row],[Variación Stock]]&lt;0,"Faltante","Sin novedad"))</f>
        <v>Sobrante</v>
      </c>
    </row>
    <row r="309" spans="1:14" x14ac:dyDescent="0.25">
      <c r="A309" s="11">
        <v>46037</v>
      </c>
      <c r="B309" s="5" t="s">
        <v>212</v>
      </c>
      <c r="C309" s="3" t="s">
        <v>213</v>
      </c>
      <c r="D309" s="5" t="s">
        <v>111</v>
      </c>
      <c r="E309" s="5" t="s">
        <v>112</v>
      </c>
      <c r="F309" s="6" t="s">
        <v>216</v>
      </c>
      <c r="G309" s="4" t="s">
        <v>0</v>
      </c>
      <c r="H309" s="24">
        <v>0</v>
      </c>
      <c r="I309" s="8">
        <v>0</v>
      </c>
      <c r="J309" s="9">
        <v>0</v>
      </c>
      <c r="K309" s="7">
        <v>0</v>
      </c>
      <c r="L309" s="24">
        <f>+Tabla2[[#This Row],[Stock Inventario]]*Tabla2[[#This Row],[Coste LÃ­nea]]</f>
        <v>0</v>
      </c>
      <c r="M309" s="24">
        <f>+Tabla2[[#This Row],[Variación Stock]]*Tabla2[[#This Row],[Coste LÃ­nea]]</f>
        <v>0</v>
      </c>
      <c r="N309" s="22" t="str">
        <f>+IF(Tabla2[[#This Row],[Variación Stock]]&gt;0,"Sobrante",IF(Tabla2[[#This Row],[Variación Stock]]&lt;0,"Faltante","Sin novedad"))</f>
        <v>Sin novedad</v>
      </c>
    </row>
    <row r="310" spans="1:14" x14ac:dyDescent="0.25">
      <c r="A310" s="11">
        <v>46053</v>
      </c>
      <c r="B310" s="5" t="s">
        <v>972</v>
      </c>
      <c r="C310" s="3" t="s">
        <v>213</v>
      </c>
      <c r="D310" s="5" t="s">
        <v>111</v>
      </c>
      <c r="E310" s="5" t="s">
        <v>112</v>
      </c>
      <c r="F310" s="6" t="s">
        <v>216</v>
      </c>
      <c r="G310" s="4" t="s">
        <v>0</v>
      </c>
      <c r="H310" s="25">
        <v>5900</v>
      </c>
      <c r="I310" s="8">
        <v>0</v>
      </c>
      <c r="J310" s="9">
        <v>0</v>
      </c>
      <c r="K310" s="7">
        <v>0</v>
      </c>
      <c r="L310" s="24">
        <f>+Tabla2[[#This Row],[Stock Inventario]]*Tabla2[[#This Row],[Coste LÃ­nea]]</f>
        <v>0</v>
      </c>
      <c r="M310" s="24">
        <f>+Tabla2[[#This Row],[Variación Stock]]*Tabla2[[#This Row],[Coste LÃ­nea]]</f>
        <v>0</v>
      </c>
      <c r="N310" s="22" t="str">
        <f>+IF(Tabla2[[#This Row],[Variación Stock]]&gt;0,"Sobrante",IF(Tabla2[[#This Row],[Variación Stock]]&lt;0,"Faltante","Sin novedad"))</f>
        <v>Sin novedad</v>
      </c>
    </row>
    <row r="311" spans="1:14" x14ac:dyDescent="0.25">
      <c r="A311" s="11">
        <v>46037</v>
      </c>
      <c r="B311" s="5" t="s">
        <v>212</v>
      </c>
      <c r="C311" s="3" t="s">
        <v>213</v>
      </c>
      <c r="D311" s="5" t="s">
        <v>111</v>
      </c>
      <c r="E311" s="5" t="s">
        <v>112</v>
      </c>
      <c r="F311" s="6" t="s">
        <v>141</v>
      </c>
      <c r="G311" s="4" t="s">
        <v>0</v>
      </c>
      <c r="H311" s="24">
        <v>0</v>
      </c>
      <c r="I311" s="8">
        <v>0</v>
      </c>
      <c r="J311" s="9">
        <v>0</v>
      </c>
      <c r="K311" s="7">
        <v>0</v>
      </c>
      <c r="L311" s="24">
        <f>+Tabla2[[#This Row],[Stock Inventario]]*Tabla2[[#This Row],[Coste LÃ­nea]]</f>
        <v>0</v>
      </c>
      <c r="M311" s="24">
        <f>+Tabla2[[#This Row],[Variación Stock]]*Tabla2[[#This Row],[Coste LÃ­nea]]</f>
        <v>0</v>
      </c>
      <c r="N311" s="22" t="str">
        <f>+IF(Tabla2[[#This Row],[Variación Stock]]&gt;0,"Sobrante",IF(Tabla2[[#This Row],[Variación Stock]]&lt;0,"Faltante","Sin novedad"))</f>
        <v>Sin novedad</v>
      </c>
    </row>
    <row r="312" spans="1:14" x14ac:dyDescent="0.25">
      <c r="A312" s="11">
        <v>46053</v>
      </c>
      <c r="B312" s="5" t="s">
        <v>972</v>
      </c>
      <c r="C312" s="3" t="s">
        <v>213</v>
      </c>
      <c r="D312" s="5" t="s">
        <v>114</v>
      </c>
      <c r="E312" s="5" t="s">
        <v>112</v>
      </c>
      <c r="F312" s="6" t="s">
        <v>141</v>
      </c>
      <c r="G312" s="4" t="s">
        <v>2</v>
      </c>
      <c r="H312" s="25">
        <v>42</v>
      </c>
      <c r="I312" s="8">
        <v>0</v>
      </c>
      <c r="J312" s="9">
        <v>0</v>
      </c>
      <c r="K312" s="7">
        <v>0</v>
      </c>
      <c r="L312" s="24">
        <f>+Tabla2[[#This Row],[Stock Inventario]]*Tabla2[[#This Row],[Coste LÃ­nea]]</f>
        <v>0</v>
      </c>
      <c r="M312" s="24">
        <f>+Tabla2[[#This Row],[Variación Stock]]*Tabla2[[#This Row],[Coste LÃ­nea]]</f>
        <v>0</v>
      </c>
      <c r="N312" s="22" t="str">
        <f>+IF(Tabla2[[#This Row],[Variación Stock]]&gt;0,"Sobrante",IF(Tabla2[[#This Row],[Variación Stock]]&lt;0,"Faltante","Sin novedad"))</f>
        <v>Sin novedad</v>
      </c>
    </row>
    <row r="313" spans="1:14" x14ac:dyDescent="0.25">
      <c r="A313" s="11">
        <v>46037</v>
      </c>
      <c r="B313" s="5" t="s">
        <v>212</v>
      </c>
      <c r="C313" s="3" t="s">
        <v>213</v>
      </c>
      <c r="D313" s="5" t="s">
        <v>111</v>
      </c>
      <c r="E313" s="5" t="s">
        <v>112</v>
      </c>
      <c r="F313" s="6" t="s">
        <v>28</v>
      </c>
      <c r="G313" s="4" t="s">
        <v>2</v>
      </c>
      <c r="H313" s="24">
        <v>93956</v>
      </c>
      <c r="I313" s="8">
        <v>3</v>
      </c>
      <c r="J313" s="9">
        <v>3</v>
      </c>
      <c r="K313" s="7">
        <v>0</v>
      </c>
      <c r="L313" s="24">
        <f>+Tabla2[[#This Row],[Stock Inventario]]*Tabla2[[#This Row],[Coste LÃ­nea]]</f>
        <v>281868</v>
      </c>
      <c r="M313" s="24">
        <f>+Tabla2[[#This Row],[Variación Stock]]*Tabla2[[#This Row],[Coste LÃ­nea]]</f>
        <v>0</v>
      </c>
      <c r="N313" s="22" t="str">
        <f>+IF(Tabla2[[#This Row],[Variación Stock]]&gt;0,"Sobrante",IF(Tabla2[[#This Row],[Variación Stock]]&lt;0,"Faltante","Sin novedad"))</f>
        <v>Sin novedad</v>
      </c>
    </row>
    <row r="314" spans="1:14" hidden="1" x14ac:dyDescent="0.25">
      <c r="A314" s="11">
        <v>46044</v>
      </c>
      <c r="B314" s="5" t="s">
        <v>383</v>
      </c>
      <c r="C314" s="3" t="s">
        <v>213</v>
      </c>
      <c r="D314" s="5" t="s">
        <v>120</v>
      </c>
      <c r="E314" s="5" t="s">
        <v>117</v>
      </c>
      <c r="F314" s="6" t="s">
        <v>267</v>
      </c>
      <c r="G314" s="4" t="s">
        <v>2</v>
      </c>
      <c r="H314" s="25">
        <v>183.6549258</v>
      </c>
      <c r="I314" s="8">
        <v>214</v>
      </c>
      <c r="J314" s="9">
        <v>216</v>
      </c>
      <c r="K314" s="7">
        <v>2</v>
      </c>
      <c r="L314" s="24">
        <f>+Tabla2[[#This Row],[Stock Inventario]]*Tabla2[[#This Row],[Coste LÃ­nea]]</f>
        <v>39669.463972800004</v>
      </c>
      <c r="M314" s="24">
        <f>+Tabla2[[#This Row],[Variación Stock]]*Tabla2[[#This Row],[Coste LÃ­nea]]</f>
        <v>367.3098516</v>
      </c>
      <c r="N314" s="22" t="str">
        <f>+IF(Tabla2[[#This Row],[Variación Stock]]&gt;0,"Sobrante",IF(Tabla2[[#This Row],[Variación Stock]]&lt;0,"Faltante","Sin novedad"))</f>
        <v>Sobrante</v>
      </c>
    </row>
    <row r="315" spans="1:14" hidden="1" x14ac:dyDescent="0.25">
      <c r="A315" s="11">
        <v>46044</v>
      </c>
      <c r="B315" s="5" t="s">
        <v>383</v>
      </c>
      <c r="C315" s="3" t="s">
        <v>213</v>
      </c>
      <c r="D315" s="5" t="s">
        <v>116</v>
      </c>
      <c r="E315" s="5" t="s">
        <v>117</v>
      </c>
      <c r="F315" s="6" t="s">
        <v>247</v>
      </c>
      <c r="G315" s="4" t="s">
        <v>2</v>
      </c>
      <c r="H315" s="25">
        <v>2520</v>
      </c>
      <c r="I315" s="8">
        <v>0</v>
      </c>
      <c r="J315" s="9">
        <v>0</v>
      </c>
      <c r="K315" s="7">
        <v>0</v>
      </c>
      <c r="L315" s="24">
        <f>+Tabla2[[#This Row],[Stock Inventario]]*Tabla2[[#This Row],[Coste LÃ­nea]]</f>
        <v>0</v>
      </c>
      <c r="M315" s="24">
        <f>+Tabla2[[#This Row],[Variación Stock]]*Tabla2[[#This Row],[Coste LÃ­nea]]</f>
        <v>0</v>
      </c>
      <c r="N315" s="22" t="str">
        <f>+IF(Tabla2[[#This Row],[Variación Stock]]&gt;0,"Sobrante",IF(Tabla2[[#This Row],[Variación Stock]]&lt;0,"Faltante","Sin novedad"))</f>
        <v>Sin novedad</v>
      </c>
    </row>
    <row r="316" spans="1:14" hidden="1" x14ac:dyDescent="0.25">
      <c r="A316" s="11">
        <v>46044</v>
      </c>
      <c r="B316" s="5" t="s">
        <v>383</v>
      </c>
      <c r="C316" s="3" t="s">
        <v>213</v>
      </c>
      <c r="D316" s="5" t="s">
        <v>120</v>
      </c>
      <c r="E316" s="5" t="s">
        <v>117</v>
      </c>
      <c r="F316" s="6" t="s">
        <v>392</v>
      </c>
      <c r="G316" s="4" t="s">
        <v>2</v>
      </c>
      <c r="H316" s="25">
        <v>3666.6666666699998</v>
      </c>
      <c r="I316" s="8">
        <v>7</v>
      </c>
      <c r="J316" s="9">
        <v>24</v>
      </c>
      <c r="K316" s="7">
        <v>17</v>
      </c>
      <c r="L316" s="24">
        <f>+Tabla2[[#This Row],[Stock Inventario]]*Tabla2[[#This Row],[Coste LÃ­nea]]</f>
        <v>88000.000000079992</v>
      </c>
      <c r="M316" s="24">
        <f>+Tabla2[[#This Row],[Variación Stock]]*Tabla2[[#This Row],[Coste LÃ­nea]]</f>
        <v>62333.333333389994</v>
      </c>
      <c r="N316" s="22" t="str">
        <f>+IF(Tabla2[[#This Row],[Variación Stock]]&gt;0,"Sobrante",IF(Tabla2[[#This Row],[Variación Stock]]&lt;0,"Faltante","Sin novedad"))</f>
        <v>Sobrante</v>
      </c>
    </row>
    <row r="317" spans="1:14" hidden="1" x14ac:dyDescent="0.25">
      <c r="A317" s="11">
        <v>46044</v>
      </c>
      <c r="B317" s="5" t="s">
        <v>383</v>
      </c>
      <c r="C317" s="3" t="s">
        <v>213</v>
      </c>
      <c r="D317" s="5" t="s">
        <v>116</v>
      </c>
      <c r="E317" s="5" t="s">
        <v>117</v>
      </c>
      <c r="F317" s="6" t="s">
        <v>248</v>
      </c>
      <c r="G317" s="4" t="s">
        <v>1</v>
      </c>
      <c r="H317" s="25">
        <v>27</v>
      </c>
      <c r="I317" s="8">
        <v>0</v>
      </c>
      <c r="J317" s="9">
        <v>0</v>
      </c>
      <c r="K317" s="7">
        <v>0</v>
      </c>
      <c r="L317" s="24">
        <f>+Tabla2[[#This Row],[Stock Inventario]]*Tabla2[[#This Row],[Coste LÃ­nea]]</f>
        <v>0</v>
      </c>
      <c r="M317" s="24">
        <f>+Tabla2[[#This Row],[Variación Stock]]*Tabla2[[#This Row],[Coste LÃ­nea]]</f>
        <v>0</v>
      </c>
      <c r="N317" s="22" t="str">
        <f>+IF(Tabla2[[#This Row],[Variación Stock]]&gt;0,"Sobrante",IF(Tabla2[[#This Row],[Variación Stock]]&lt;0,"Faltante","Sin novedad"))</f>
        <v>Sin novedad</v>
      </c>
    </row>
    <row r="318" spans="1:14" hidden="1" x14ac:dyDescent="0.25">
      <c r="A318" s="11">
        <v>46044</v>
      </c>
      <c r="B318" s="5" t="s">
        <v>383</v>
      </c>
      <c r="C318" s="3" t="s">
        <v>213</v>
      </c>
      <c r="D318" s="5" t="s">
        <v>116</v>
      </c>
      <c r="E318" s="5" t="s">
        <v>117</v>
      </c>
      <c r="F318" s="6" t="s">
        <v>387</v>
      </c>
      <c r="G318" s="4" t="s">
        <v>2</v>
      </c>
      <c r="H318" s="25">
        <v>10</v>
      </c>
      <c r="I318" s="8">
        <v>0</v>
      </c>
      <c r="J318" s="9">
        <v>0</v>
      </c>
      <c r="K318" s="7">
        <v>0</v>
      </c>
      <c r="L318" s="24">
        <f>+Tabla2[[#This Row],[Stock Inventario]]*Tabla2[[#This Row],[Coste LÃ­nea]]</f>
        <v>0</v>
      </c>
      <c r="M318" s="24">
        <f>+Tabla2[[#This Row],[Variación Stock]]*Tabla2[[#This Row],[Coste LÃ­nea]]</f>
        <v>0</v>
      </c>
      <c r="N318" s="22" t="str">
        <f>+IF(Tabla2[[#This Row],[Variación Stock]]&gt;0,"Sobrante",IF(Tabla2[[#This Row],[Variación Stock]]&lt;0,"Faltante","Sin novedad"))</f>
        <v>Sin novedad</v>
      </c>
    </row>
    <row r="319" spans="1:14" hidden="1" x14ac:dyDescent="0.25">
      <c r="A319" s="11">
        <v>46037</v>
      </c>
      <c r="B319" s="5" t="s">
        <v>212</v>
      </c>
      <c r="C319" s="3" t="s">
        <v>213</v>
      </c>
      <c r="D319" s="5" t="s">
        <v>120</v>
      </c>
      <c r="E319" s="5" t="s">
        <v>117</v>
      </c>
      <c r="F319" s="6" t="s">
        <v>268</v>
      </c>
      <c r="G319" s="4" t="s">
        <v>1</v>
      </c>
      <c r="H319" s="24">
        <v>12.485299660000001</v>
      </c>
      <c r="I319" s="8">
        <v>19340</v>
      </c>
      <c r="J319" s="9">
        <v>0</v>
      </c>
      <c r="K319" s="7">
        <v>-19340</v>
      </c>
      <c r="L319" s="24">
        <f>+Tabla2[[#This Row],[Stock Inventario]]*Tabla2[[#This Row],[Coste LÃ­nea]]</f>
        <v>0</v>
      </c>
      <c r="M319" s="24">
        <f>+Tabla2[[#This Row],[Variación Stock]]*Tabla2[[#This Row],[Coste LÃ­nea]]</f>
        <v>-241465.69542440001</v>
      </c>
      <c r="N319" s="22" t="str">
        <f>+IF(Tabla2[[#This Row],[Variación Stock]]&gt;0,"Sobrante",IF(Tabla2[[#This Row],[Variación Stock]]&lt;0,"Faltante","Sin novedad"))</f>
        <v>Faltante</v>
      </c>
    </row>
    <row r="320" spans="1:14" hidden="1" x14ac:dyDescent="0.25">
      <c r="A320" s="11">
        <v>46044</v>
      </c>
      <c r="B320" s="5" t="s">
        <v>383</v>
      </c>
      <c r="C320" s="3" t="s">
        <v>213</v>
      </c>
      <c r="D320" s="5" t="s">
        <v>116</v>
      </c>
      <c r="E320" s="5" t="s">
        <v>117</v>
      </c>
      <c r="F320" s="6" t="s">
        <v>158</v>
      </c>
      <c r="G320" s="4" t="s">
        <v>2</v>
      </c>
      <c r="H320" s="25">
        <v>2000</v>
      </c>
      <c r="I320" s="8">
        <v>0</v>
      </c>
      <c r="J320" s="9">
        <v>0</v>
      </c>
      <c r="K320" s="7">
        <v>0</v>
      </c>
      <c r="L320" s="24">
        <f>+Tabla2[[#This Row],[Stock Inventario]]*Tabla2[[#This Row],[Coste LÃ­nea]]</f>
        <v>0</v>
      </c>
      <c r="M320" s="24">
        <f>+Tabla2[[#This Row],[Variación Stock]]*Tabla2[[#This Row],[Coste LÃ­nea]]</f>
        <v>0</v>
      </c>
      <c r="N320" s="22" t="str">
        <f>+IF(Tabla2[[#This Row],[Variación Stock]]&gt;0,"Sobrante",IF(Tabla2[[#This Row],[Variación Stock]]&lt;0,"Faltante","Sin novedad"))</f>
        <v>Sin novedad</v>
      </c>
    </row>
    <row r="321" spans="1:14" hidden="1" x14ac:dyDescent="0.25">
      <c r="A321" s="11">
        <v>46044</v>
      </c>
      <c r="B321" s="5" t="s">
        <v>383</v>
      </c>
      <c r="C321" s="3" t="s">
        <v>213</v>
      </c>
      <c r="D321" s="5" t="s">
        <v>120</v>
      </c>
      <c r="E321" s="5" t="s">
        <v>117</v>
      </c>
      <c r="F321" s="6" t="s">
        <v>268</v>
      </c>
      <c r="G321" s="4" t="s">
        <v>1</v>
      </c>
      <c r="H321" s="25">
        <v>12.48537505</v>
      </c>
      <c r="I321" s="8">
        <v>3000</v>
      </c>
      <c r="J321" s="9">
        <v>11020</v>
      </c>
      <c r="K321" s="7">
        <v>8020</v>
      </c>
      <c r="L321" s="24">
        <f>+Tabla2[[#This Row],[Stock Inventario]]*Tabla2[[#This Row],[Coste LÃ­nea]]</f>
        <v>137588.83305099999</v>
      </c>
      <c r="M321" s="24">
        <f>+Tabla2[[#This Row],[Variación Stock]]*Tabla2[[#This Row],[Coste LÃ­nea]]</f>
        <v>100132.707901</v>
      </c>
      <c r="N321" s="22" t="str">
        <f>+IF(Tabla2[[#This Row],[Variación Stock]]&gt;0,"Sobrante",IF(Tabla2[[#This Row],[Variación Stock]]&lt;0,"Faltante","Sin novedad"))</f>
        <v>Sobrante</v>
      </c>
    </row>
    <row r="322" spans="1:14" hidden="1" x14ac:dyDescent="0.25">
      <c r="A322" s="11">
        <v>46044</v>
      </c>
      <c r="B322" s="5" t="s">
        <v>383</v>
      </c>
      <c r="C322" s="3" t="s">
        <v>213</v>
      </c>
      <c r="D322" s="5" t="s">
        <v>116</v>
      </c>
      <c r="E322" s="5" t="s">
        <v>117</v>
      </c>
      <c r="F322" s="6" t="s">
        <v>369</v>
      </c>
      <c r="G322" s="4" t="s">
        <v>2</v>
      </c>
      <c r="H322" s="25">
        <v>2552.9411764699998</v>
      </c>
      <c r="I322" s="8">
        <v>0</v>
      </c>
      <c r="J322" s="9">
        <v>0</v>
      </c>
      <c r="K322" s="7">
        <v>0</v>
      </c>
      <c r="L322" s="24">
        <f>+Tabla2[[#This Row],[Stock Inventario]]*Tabla2[[#This Row],[Coste LÃ­nea]]</f>
        <v>0</v>
      </c>
      <c r="M322" s="24">
        <f>+Tabla2[[#This Row],[Variación Stock]]*Tabla2[[#This Row],[Coste LÃ­nea]]</f>
        <v>0</v>
      </c>
      <c r="N322" s="22" t="str">
        <f>+IF(Tabla2[[#This Row],[Variación Stock]]&gt;0,"Sobrante",IF(Tabla2[[#This Row],[Variación Stock]]&lt;0,"Faltante","Sin novedad"))</f>
        <v>Sin novedad</v>
      </c>
    </row>
    <row r="323" spans="1:14" hidden="1" x14ac:dyDescent="0.25">
      <c r="A323" s="11">
        <v>46044</v>
      </c>
      <c r="B323" s="5" t="s">
        <v>383</v>
      </c>
      <c r="C323" s="3" t="s">
        <v>213</v>
      </c>
      <c r="D323" s="5" t="s">
        <v>116</v>
      </c>
      <c r="E323" s="5" t="s">
        <v>117</v>
      </c>
      <c r="F323" s="6" t="s">
        <v>161</v>
      </c>
      <c r="G323" s="4" t="s">
        <v>2</v>
      </c>
      <c r="H323" s="25">
        <v>11025</v>
      </c>
      <c r="I323" s="8">
        <v>0</v>
      </c>
      <c r="J323" s="9">
        <v>0</v>
      </c>
      <c r="K323" s="7">
        <v>0</v>
      </c>
      <c r="L323" s="24">
        <f>+Tabla2[[#This Row],[Stock Inventario]]*Tabla2[[#This Row],[Coste LÃ­nea]]</f>
        <v>0</v>
      </c>
      <c r="M323" s="24">
        <f>+Tabla2[[#This Row],[Variación Stock]]*Tabla2[[#This Row],[Coste LÃ­nea]]</f>
        <v>0</v>
      </c>
      <c r="N323" s="22" t="str">
        <f>+IF(Tabla2[[#This Row],[Variación Stock]]&gt;0,"Sobrante",IF(Tabla2[[#This Row],[Variación Stock]]&lt;0,"Faltante","Sin novedad"))</f>
        <v>Sin novedad</v>
      </c>
    </row>
    <row r="324" spans="1:14" hidden="1" x14ac:dyDescent="0.25">
      <c r="A324" s="11">
        <v>46044</v>
      </c>
      <c r="B324" s="5" t="s">
        <v>383</v>
      </c>
      <c r="C324" s="3" t="s">
        <v>213</v>
      </c>
      <c r="D324" s="5" t="s">
        <v>116</v>
      </c>
      <c r="E324" s="5" t="s">
        <v>117</v>
      </c>
      <c r="F324" s="6" t="s">
        <v>389</v>
      </c>
      <c r="G324" s="4" t="s">
        <v>1</v>
      </c>
      <c r="H324" s="25">
        <v>9.5</v>
      </c>
      <c r="I324" s="8">
        <v>0</v>
      </c>
      <c r="J324" s="9">
        <v>0</v>
      </c>
      <c r="K324" s="7">
        <v>0</v>
      </c>
      <c r="L324" s="24">
        <f>+Tabla2[[#This Row],[Stock Inventario]]*Tabla2[[#This Row],[Coste LÃ­nea]]</f>
        <v>0</v>
      </c>
      <c r="M324" s="24">
        <f>+Tabla2[[#This Row],[Variación Stock]]*Tabla2[[#This Row],[Coste LÃ­nea]]</f>
        <v>0</v>
      </c>
      <c r="N324" s="22" t="str">
        <f>+IF(Tabla2[[#This Row],[Variación Stock]]&gt;0,"Sobrante",IF(Tabla2[[#This Row],[Variación Stock]]&lt;0,"Faltante","Sin novedad"))</f>
        <v>Sin novedad</v>
      </c>
    </row>
    <row r="325" spans="1:14" hidden="1" x14ac:dyDescent="0.25">
      <c r="A325" s="11">
        <v>46037</v>
      </c>
      <c r="B325" s="5" t="s">
        <v>212</v>
      </c>
      <c r="C325" s="3" t="s">
        <v>213</v>
      </c>
      <c r="D325" s="5" t="s">
        <v>116</v>
      </c>
      <c r="E325" s="5" t="s">
        <v>117</v>
      </c>
      <c r="F325" s="6" t="s">
        <v>156</v>
      </c>
      <c r="G325" s="4" t="s">
        <v>1</v>
      </c>
      <c r="H325" s="24">
        <v>32.5</v>
      </c>
      <c r="I325" s="8">
        <v>17672.222300000001</v>
      </c>
      <c r="J325" s="9">
        <v>9155</v>
      </c>
      <c r="K325" s="31">
        <v>-8517.2223209999993</v>
      </c>
      <c r="L325" s="24">
        <f>+Tabla2[[#This Row],[Stock Inventario]]*Tabla2[[#This Row],[Coste LÃ­nea]]</f>
        <v>297537.5</v>
      </c>
      <c r="M325" s="24">
        <f>+Tabla2[[#This Row],[Variación Stock]]*Tabla2[[#This Row],[Coste LÃ­nea]]</f>
        <v>-276809.72543249995</v>
      </c>
      <c r="N325" s="22" t="str">
        <f>+IF(Tabla2[[#This Row],[Variación Stock]]&gt;0,"Sobrante",IF(Tabla2[[#This Row],[Variación Stock]]&lt;0,"Faltante","Sin novedad"))</f>
        <v>Faltante</v>
      </c>
    </row>
    <row r="326" spans="1:14" x14ac:dyDescent="0.25">
      <c r="A326" s="11">
        <v>46044</v>
      </c>
      <c r="B326" s="5" t="s">
        <v>383</v>
      </c>
      <c r="C326" s="3" t="s">
        <v>213</v>
      </c>
      <c r="D326" s="5" t="s">
        <v>111</v>
      </c>
      <c r="E326" s="5" t="s">
        <v>112</v>
      </c>
      <c r="F326" s="6" t="s">
        <v>28</v>
      </c>
      <c r="G326" s="4" t="s">
        <v>2</v>
      </c>
      <c r="H326" s="25">
        <v>93956</v>
      </c>
      <c r="I326" s="8">
        <v>3</v>
      </c>
      <c r="J326" s="9">
        <v>3</v>
      </c>
      <c r="K326" s="7">
        <v>0</v>
      </c>
      <c r="L326" s="24">
        <f>+Tabla2[[#This Row],[Stock Inventario]]*Tabla2[[#This Row],[Coste LÃ­nea]]</f>
        <v>281868</v>
      </c>
      <c r="M326" s="24">
        <f>+Tabla2[[#This Row],[Variación Stock]]*Tabla2[[#This Row],[Coste LÃ­nea]]</f>
        <v>0</v>
      </c>
      <c r="N326" s="22" t="str">
        <f>+IF(Tabla2[[#This Row],[Variación Stock]]&gt;0,"Sobrante",IF(Tabla2[[#This Row],[Variación Stock]]&lt;0,"Faltante","Sin novedad"))</f>
        <v>Sin novedad</v>
      </c>
    </row>
    <row r="327" spans="1:14" x14ac:dyDescent="0.25">
      <c r="A327" s="11">
        <v>46053</v>
      </c>
      <c r="B327" s="5" t="s">
        <v>972</v>
      </c>
      <c r="C327" s="3" t="s">
        <v>213</v>
      </c>
      <c r="D327" s="5" t="s">
        <v>111</v>
      </c>
      <c r="E327" s="5" t="s">
        <v>112</v>
      </c>
      <c r="F327" s="6" t="s">
        <v>28</v>
      </c>
      <c r="G327" s="4" t="s">
        <v>2</v>
      </c>
      <c r="H327" s="25">
        <v>93956</v>
      </c>
      <c r="I327" s="8">
        <v>3</v>
      </c>
      <c r="J327" s="9">
        <v>3</v>
      </c>
      <c r="K327" s="7">
        <v>0</v>
      </c>
      <c r="L327" s="24">
        <f>+Tabla2[[#This Row],[Stock Inventario]]*Tabla2[[#This Row],[Coste LÃ­nea]]</f>
        <v>281868</v>
      </c>
      <c r="M327" s="24">
        <f>+Tabla2[[#This Row],[Variación Stock]]*Tabla2[[#This Row],[Coste LÃ­nea]]</f>
        <v>0</v>
      </c>
      <c r="N327" s="22" t="str">
        <f>+IF(Tabla2[[#This Row],[Variación Stock]]&gt;0,"Sobrante",IF(Tabla2[[#This Row],[Variación Stock]]&lt;0,"Faltante","Sin novedad"))</f>
        <v>Sin novedad</v>
      </c>
    </row>
    <row r="328" spans="1:14" x14ac:dyDescent="0.25">
      <c r="A328" s="11">
        <v>46053</v>
      </c>
      <c r="B328" s="5" t="s">
        <v>972</v>
      </c>
      <c r="C328" s="3" t="s">
        <v>213</v>
      </c>
      <c r="D328" s="5" t="s">
        <v>603</v>
      </c>
      <c r="E328" s="5" t="s">
        <v>112</v>
      </c>
      <c r="F328" s="6" t="s">
        <v>614</v>
      </c>
      <c r="G328" s="4" t="s">
        <v>2</v>
      </c>
      <c r="H328" s="25">
        <v>90.245000000000005</v>
      </c>
      <c r="I328" s="8">
        <v>400</v>
      </c>
      <c r="J328" s="9">
        <v>0</v>
      </c>
      <c r="K328" s="7">
        <v>-400</v>
      </c>
      <c r="L328" s="24">
        <f>+Tabla2[[#This Row],[Stock Inventario]]*Tabla2[[#This Row],[Coste LÃ­nea]]</f>
        <v>0</v>
      </c>
      <c r="M328" s="24">
        <f>+Tabla2[[#This Row],[Variación Stock]]*Tabla2[[#This Row],[Coste LÃ­nea]]</f>
        <v>-36098</v>
      </c>
      <c r="N328" s="22" t="str">
        <f>+IF(Tabla2[[#This Row],[Variación Stock]]&gt;0,"Sobrante",IF(Tabla2[[#This Row],[Variación Stock]]&lt;0,"Faltante","Sin novedad"))</f>
        <v>Faltante</v>
      </c>
    </row>
    <row r="329" spans="1:14" x14ac:dyDescent="0.25">
      <c r="A329" s="11">
        <v>46053</v>
      </c>
      <c r="B329" s="5" t="s">
        <v>972</v>
      </c>
      <c r="C329" s="3" t="s">
        <v>213</v>
      </c>
      <c r="D329" s="5" t="s">
        <v>603</v>
      </c>
      <c r="E329" s="5" t="s">
        <v>112</v>
      </c>
      <c r="F329" s="6" t="s">
        <v>1024</v>
      </c>
      <c r="G329" s="4" t="s">
        <v>1</v>
      </c>
      <c r="H329" s="25">
        <v>150</v>
      </c>
      <c r="I329" s="8">
        <v>0</v>
      </c>
      <c r="J329" s="9">
        <v>1305</v>
      </c>
      <c r="K329" s="7">
        <v>1305</v>
      </c>
      <c r="L329" s="24">
        <f>+Tabla2[[#This Row],[Stock Inventario]]*Tabla2[[#This Row],[Coste LÃ­nea]]</f>
        <v>195750</v>
      </c>
      <c r="M329" s="24">
        <f>+Tabla2[[#This Row],[Variación Stock]]*Tabla2[[#This Row],[Coste LÃ­nea]]</f>
        <v>195750</v>
      </c>
      <c r="N329" s="22" t="str">
        <f>+IF(Tabla2[[#This Row],[Variación Stock]]&gt;0,"Sobrante",IF(Tabla2[[#This Row],[Variación Stock]]&lt;0,"Faltante","Sin novedad"))</f>
        <v>Sobrante</v>
      </c>
    </row>
    <row r="330" spans="1:14" hidden="1" x14ac:dyDescent="0.25">
      <c r="A330" s="11">
        <v>46044</v>
      </c>
      <c r="B330" s="5" t="s">
        <v>383</v>
      </c>
      <c r="C330" s="3" t="s">
        <v>213</v>
      </c>
      <c r="D330" s="5" t="s">
        <v>119</v>
      </c>
      <c r="E330" s="5" t="s">
        <v>117</v>
      </c>
      <c r="F330" s="6" t="s">
        <v>94</v>
      </c>
      <c r="G330" s="4" t="s">
        <v>2</v>
      </c>
      <c r="H330" s="25">
        <v>1600</v>
      </c>
      <c r="I330" s="8">
        <v>0</v>
      </c>
      <c r="J330" s="9">
        <v>0</v>
      </c>
      <c r="K330" s="7">
        <v>0</v>
      </c>
      <c r="L330" s="24">
        <f>+Tabla2[[#This Row],[Stock Inventario]]*Tabla2[[#This Row],[Coste LÃ­nea]]</f>
        <v>0</v>
      </c>
      <c r="M330" s="24">
        <f>+Tabla2[[#This Row],[Variación Stock]]*Tabla2[[#This Row],[Coste LÃ­nea]]</f>
        <v>0</v>
      </c>
      <c r="N330" s="22" t="str">
        <f>+IF(Tabla2[[#This Row],[Variación Stock]]&gt;0,"Sobrante",IF(Tabla2[[#This Row],[Variación Stock]]&lt;0,"Faltante","Sin novedad"))</f>
        <v>Sin novedad</v>
      </c>
    </row>
    <row r="331" spans="1:14" hidden="1" x14ac:dyDescent="0.25">
      <c r="A331" s="11">
        <v>46044</v>
      </c>
      <c r="B331" s="5" t="s">
        <v>383</v>
      </c>
      <c r="C331" s="3" t="s">
        <v>213</v>
      </c>
      <c r="D331" s="5" t="s">
        <v>116</v>
      </c>
      <c r="E331" s="5" t="s">
        <v>117</v>
      </c>
      <c r="F331" s="6" t="s">
        <v>156</v>
      </c>
      <c r="G331" s="4" t="s">
        <v>1</v>
      </c>
      <c r="H331" s="25">
        <v>32.5</v>
      </c>
      <c r="I331" s="8">
        <v>13242.7778</v>
      </c>
      <c r="J331" s="9">
        <v>10050</v>
      </c>
      <c r="K331" s="31">
        <v>-3192.7778389999999</v>
      </c>
      <c r="L331" s="24">
        <f>+Tabla2[[#This Row],[Stock Inventario]]*Tabla2[[#This Row],[Coste LÃ­nea]]</f>
        <v>326625</v>
      </c>
      <c r="M331" s="24">
        <f>+Tabla2[[#This Row],[Variación Stock]]*Tabla2[[#This Row],[Coste LÃ­nea]]</f>
        <v>-103765.27976749999</v>
      </c>
      <c r="N331" s="22" t="str">
        <f>+IF(Tabla2[[#This Row],[Variación Stock]]&gt;0,"Sobrante",IF(Tabla2[[#This Row],[Variación Stock]]&lt;0,"Faltante","Sin novedad"))</f>
        <v>Faltante</v>
      </c>
    </row>
    <row r="332" spans="1:14" x14ac:dyDescent="0.25">
      <c r="A332" s="11">
        <v>46053</v>
      </c>
      <c r="B332" s="5" t="s">
        <v>972</v>
      </c>
      <c r="C332" s="3" t="s">
        <v>213</v>
      </c>
      <c r="D332" s="5" t="s">
        <v>111</v>
      </c>
      <c r="E332" s="5" t="s">
        <v>112</v>
      </c>
      <c r="F332" s="6" t="s">
        <v>288</v>
      </c>
      <c r="G332" s="4" t="s">
        <v>0</v>
      </c>
      <c r="H332" s="25">
        <v>4721.625</v>
      </c>
      <c r="I332" s="8">
        <v>24</v>
      </c>
      <c r="J332" s="9">
        <v>24</v>
      </c>
      <c r="K332" s="7">
        <v>0</v>
      </c>
      <c r="L332" s="24">
        <f>+Tabla2[[#This Row],[Stock Inventario]]*Tabla2[[#This Row],[Coste LÃ­nea]]</f>
        <v>113319</v>
      </c>
      <c r="M332" s="24">
        <f>+Tabla2[[#This Row],[Variación Stock]]*Tabla2[[#This Row],[Coste LÃ­nea]]</f>
        <v>0</v>
      </c>
      <c r="N332" s="22" t="str">
        <f>+IF(Tabla2[[#This Row],[Variación Stock]]&gt;0,"Sobrante",IF(Tabla2[[#This Row],[Variación Stock]]&lt;0,"Faltante","Sin novedad"))</f>
        <v>Sin novedad</v>
      </c>
    </row>
    <row r="333" spans="1:14" x14ac:dyDescent="0.25">
      <c r="A333" s="11">
        <v>46053</v>
      </c>
      <c r="B333" s="5" t="s">
        <v>972</v>
      </c>
      <c r="C333" s="3" t="s">
        <v>213</v>
      </c>
      <c r="D333" s="5" t="s">
        <v>111</v>
      </c>
      <c r="E333" s="5" t="s">
        <v>112</v>
      </c>
      <c r="F333" s="6" t="s">
        <v>58</v>
      </c>
      <c r="G333" s="4" t="s">
        <v>0</v>
      </c>
      <c r="H333" s="25">
        <v>6303.0416666700003</v>
      </c>
      <c r="I333" s="8">
        <v>24</v>
      </c>
      <c r="J333" s="9">
        <v>24</v>
      </c>
      <c r="K333" s="7">
        <v>0</v>
      </c>
      <c r="L333" s="24">
        <f>+Tabla2[[#This Row],[Stock Inventario]]*Tabla2[[#This Row],[Coste LÃ­nea]]</f>
        <v>151273.00000008001</v>
      </c>
      <c r="M333" s="24">
        <f>+Tabla2[[#This Row],[Variación Stock]]*Tabla2[[#This Row],[Coste LÃ­nea]]</f>
        <v>0</v>
      </c>
      <c r="N333" s="22" t="str">
        <f>+IF(Tabla2[[#This Row],[Variación Stock]]&gt;0,"Sobrante",IF(Tabla2[[#This Row],[Variación Stock]]&lt;0,"Faltante","Sin novedad"))</f>
        <v>Sin novedad</v>
      </c>
    </row>
    <row r="334" spans="1:14" x14ac:dyDescent="0.25">
      <c r="A334" s="11">
        <v>46037</v>
      </c>
      <c r="B334" s="5" t="s">
        <v>212</v>
      </c>
      <c r="C334" s="3" t="s">
        <v>213</v>
      </c>
      <c r="D334" s="5" t="s">
        <v>111</v>
      </c>
      <c r="E334" s="5" t="s">
        <v>112</v>
      </c>
      <c r="F334" s="6" t="s">
        <v>59</v>
      </c>
      <c r="G334" s="4" t="s">
        <v>0</v>
      </c>
      <c r="H334" s="24">
        <v>3103.4482758600002</v>
      </c>
      <c r="I334" s="8">
        <v>0</v>
      </c>
      <c r="J334" s="9">
        <v>0</v>
      </c>
      <c r="K334" s="7">
        <v>0</v>
      </c>
      <c r="L334" s="24">
        <f>+Tabla2[[#This Row],[Stock Inventario]]*Tabla2[[#This Row],[Coste LÃ­nea]]</f>
        <v>0</v>
      </c>
      <c r="M334" s="24">
        <f>+Tabla2[[#This Row],[Variación Stock]]*Tabla2[[#This Row],[Coste LÃ­nea]]</f>
        <v>0</v>
      </c>
      <c r="N334" s="22" t="str">
        <f>+IF(Tabla2[[#This Row],[Variación Stock]]&gt;0,"Sobrante",IF(Tabla2[[#This Row],[Variación Stock]]&lt;0,"Faltante","Sin novedad"))</f>
        <v>Sin novedad</v>
      </c>
    </row>
    <row r="335" spans="1:14" x14ac:dyDescent="0.25">
      <c r="A335" s="11">
        <v>46044</v>
      </c>
      <c r="B335" s="5" t="s">
        <v>383</v>
      </c>
      <c r="C335" s="3" t="s">
        <v>213</v>
      </c>
      <c r="D335" s="5" t="s">
        <v>111</v>
      </c>
      <c r="E335" s="5" t="s">
        <v>112</v>
      </c>
      <c r="F335" s="6" t="s">
        <v>59</v>
      </c>
      <c r="G335" s="4" t="s">
        <v>0</v>
      </c>
      <c r="H335" s="25">
        <v>3103.4482758600002</v>
      </c>
      <c r="I335" s="8">
        <v>0</v>
      </c>
      <c r="J335" s="9">
        <v>48</v>
      </c>
      <c r="K335" s="7">
        <v>48</v>
      </c>
      <c r="L335" s="24">
        <f>+Tabla2[[#This Row],[Stock Inventario]]*Tabla2[[#This Row],[Coste LÃ­nea]]</f>
        <v>148965.51724128</v>
      </c>
      <c r="M335" s="24">
        <f>+Tabla2[[#This Row],[Variación Stock]]*Tabla2[[#This Row],[Coste LÃ­nea]]</f>
        <v>148965.51724128</v>
      </c>
      <c r="N335" s="22" t="str">
        <f>+IF(Tabla2[[#This Row],[Variación Stock]]&gt;0,"Sobrante",IF(Tabla2[[#This Row],[Variación Stock]]&lt;0,"Faltante","Sin novedad"))</f>
        <v>Sobrante</v>
      </c>
    </row>
    <row r="336" spans="1:14" hidden="1" x14ac:dyDescent="0.25">
      <c r="A336" s="11">
        <v>46053</v>
      </c>
      <c r="B336" s="5" t="s">
        <v>972</v>
      </c>
      <c r="C336" s="3" t="s">
        <v>213</v>
      </c>
      <c r="D336" s="5" t="s">
        <v>829</v>
      </c>
      <c r="E336" s="5" t="s">
        <v>117</v>
      </c>
      <c r="F336" s="6" t="s">
        <v>833</v>
      </c>
      <c r="G336" s="4" t="s">
        <v>1</v>
      </c>
      <c r="H336" s="25">
        <v>18.85916667</v>
      </c>
      <c r="I336" s="8">
        <v>4055.7444</v>
      </c>
      <c r="J336" s="9">
        <v>2000</v>
      </c>
      <c r="K336" s="7">
        <v>-2055.7443600000001</v>
      </c>
      <c r="L336" s="24">
        <f>+Tabla2[[#This Row],[Stock Inventario]]*Tabla2[[#This Row],[Coste LÃ­nea]]</f>
        <v>37718.333339999997</v>
      </c>
      <c r="M336" s="24">
        <f>+Tabla2[[#This Row],[Variación Stock]]*Tabla2[[#This Row],[Coste LÃ­nea]]</f>
        <v>-38769.625516152482</v>
      </c>
      <c r="N336" s="22" t="str">
        <f>+IF(Tabla2[[#This Row],[Variación Stock]]&gt;0,"Sobrante",IF(Tabla2[[#This Row],[Variación Stock]]&lt;0,"Faltante","Sin novedad"))</f>
        <v>Faltante</v>
      </c>
    </row>
    <row r="337" spans="1:14" hidden="1" x14ac:dyDescent="0.25">
      <c r="A337" s="11">
        <v>46053</v>
      </c>
      <c r="B337" s="5" t="s">
        <v>972</v>
      </c>
      <c r="C337" s="3" t="s">
        <v>213</v>
      </c>
      <c r="D337" s="5" t="s">
        <v>829</v>
      </c>
      <c r="E337" s="5" t="s">
        <v>117</v>
      </c>
      <c r="F337" s="6" t="s">
        <v>970</v>
      </c>
      <c r="G337" s="4" t="s">
        <v>1</v>
      </c>
      <c r="H337" s="25">
        <v>135.6</v>
      </c>
      <c r="I337" s="8">
        <v>255</v>
      </c>
      <c r="J337" s="9">
        <v>0</v>
      </c>
      <c r="K337" s="7">
        <v>-255</v>
      </c>
      <c r="L337" s="24">
        <f>+Tabla2[[#This Row],[Stock Inventario]]*Tabla2[[#This Row],[Coste LÃ­nea]]</f>
        <v>0</v>
      </c>
      <c r="M337" s="24">
        <f>+Tabla2[[#This Row],[Variación Stock]]*Tabla2[[#This Row],[Coste LÃ­nea]]</f>
        <v>-34578</v>
      </c>
      <c r="N337" s="22" t="str">
        <f>+IF(Tabla2[[#This Row],[Variación Stock]]&gt;0,"Sobrante",IF(Tabla2[[#This Row],[Variación Stock]]&lt;0,"Faltante","Sin novedad"))</f>
        <v>Faltante</v>
      </c>
    </row>
    <row r="338" spans="1:14" hidden="1" x14ac:dyDescent="0.25">
      <c r="A338" s="11">
        <v>46053</v>
      </c>
      <c r="B338" s="5" t="s">
        <v>972</v>
      </c>
      <c r="C338" s="3" t="s">
        <v>213</v>
      </c>
      <c r="D338" s="5" t="s">
        <v>829</v>
      </c>
      <c r="E338" s="5" t="s">
        <v>117</v>
      </c>
      <c r="F338" s="6" t="s">
        <v>830</v>
      </c>
      <c r="G338" s="4" t="s">
        <v>1</v>
      </c>
      <c r="H338" s="25">
        <v>8.2499666699999992</v>
      </c>
      <c r="I338" s="8">
        <v>359721.71029999998</v>
      </c>
      <c r="J338" s="9">
        <v>95000</v>
      </c>
      <c r="K338" s="7">
        <v>-264721.71026999998</v>
      </c>
      <c r="L338" s="24">
        <f>+Tabla2[[#This Row],[Stock Inventario]]*Tabla2[[#This Row],[Coste LÃ­nea]]</f>
        <v>783746.83364999993</v>
      </c>
      <c r="M338" s="24">
        <f>+Tabla2[[#This Row],[Variación Stock]]*Tabla2[[#This Row],[Coste LÃ­nea]]</f>
        <v>-2183945.2865528963</v>
      </c>
      <c r="N338" s="22" t="str">
        <f>+IF(Tabla2[[#This Row],[Variación Stock]]&gt;0,"Sobrante",IF(Tabla2[[#This Row],[Variación Stock]]&lt;0,"Faltante","Sin novedad"))</f>
        <v>Faltante</v>
      </c>
    </row>
    <row r="339" spans="1:14" hidden="1" x14ac:dyDescent="0.25">
      <c r="A339" s="11">
        <v>46053</v>
      </c>
      <c r="B339" s="5" t="s">
        <v>972</v>
      </c>
      <c r="C339" s="3" t="s">
        <v>213</v>
      </c>
      <c r="D339" s="5" t="s">
        <v>818</v>
      </c>
      <c r="E339" s="5" t="s">
        <v>117</v>
      </c>
      <c r="F339" s="6" t="s">
        <v>819</v>
      </c>
      <c r="G339" s="4" t="s">
        <v>1</v>
      </c>
      <c r="H339" s="25">
        <v>56.031999999999996</v>
      </c>
      <c r="I339" s="8">
        <v>500</v>
      </c>
      <c r="J339" s="9">
        <v>1000</v>
      </c>
      <c r="K339" s="7">
        <v>500</v>
      </c>
      <c r="L339" s="24">
        <f>+Tabla2[[#This Row],[Stock Inventario]]*Tabla2[[#This Row],[Coste LÃ­nea]]</f>
        <v>56032</v>
      </c>
      <c r="M339" s="24">
        <f>+Tabla2[[#This Row],[Variación Stock]]*Tabla2[[#This Row],[Coste LÃ­nea]]</f>
        <v>28016</v>
      </c>
      <c r="N339" s="22" t="str">
        <f>+IF(Tabla2[[#This Row],[Variación Stock]]&gt;0,"Sobrante",IF(Tabla2[[#This Row],[Variación Stock]]&lt;0,"Faltante","Sin novedad"))</f>
        <v>Sobrante</v>
      </c>
    </row>
    <row r="340" spans="1:14" x14ac:dyDescent="0.25">
      <c r="A340" s="11">
        <v>46053</v>
      </c>
      <c r="B340" s="5" t="s">
        <v>972</v>
      </c>
      <c r="C340" s="3" t="s">
        <v>213</v>
      </c>
      <c r="D340" s="5" t="s">
        <v>111</v>
      </c>
      <c r="E340" s="5" t="s">
        <v>112</v>
      </c>
      <c r="F340" s="6" t="s">
        <v>59</v>
      </c>
      <c r="G340" s="4" t="s">
        <v>0</v>
      </c>
      <c r="H340" s="25">
        <v>3103.4482758600002</v>
      </c>
      <c r="I340" s="8">
        <v>48</v>
      </c>
      <c r="J340" s="9">
        <v>0</v>
      </c>
      <c r="K340" s="7">
        <v>-48</v>
      </c>
      <c r="L340" s="24">
        <f>+Tabla2[[#This Row],[Stock Inventario]]*Tabla2[[#This Row],[Coste LÃ­nea]]</f>
        <v>0</v>
      </c>
      <c r="M340" s="24">
        <f>+Tabla2[[#This Row],[Variación Stock]]*Tabla2[[#This Row],[Coste LÃ­nea]]</f>
        <v>-148965.51724128</v>
      </c>
      <c r="N340" s="22" t="str">
        <f>+IF(Tabla2[[#This Row],[Variación Stock]]&gt;0,"Sobrante",IF(Tabla2[[#This Row],[Variación Stock]]&lt;0,"Faltante","Sin novedad"))</f>
        <v>Faltante</v>
      </c>
    </row>
    <row r="341" spans="1:14" hidden="1" x14ac:dyDescent="0.25">
      <c r="A341" s="11">
        <v>46053</v>
      </c>
      <c r="B341" s="5" t="s">
        <v>972</v>
      </c>
      <c r="C341" s="3" t="s">
        <v>213</v>
      </c>
      <c r="D341" s="5" t="s">
        <v>803</v>
      </c>
      <c r="E341" s="5" t="s">
        <v>117</v>
      </c>
      <c r="F341" s="6" t="s">
        <v>1064</v>
      </c>
      <c r="G341" s="4" t="s">
        <v>1</v>
      </c>
      <c r="H341" s="25">
        <v>28.646775909999999</v>
      </c>
      <c r="I341" s="8">
        <v>0</v>
      </c>
      <c r="J341" s="9">
        <v>0</v>
      </c>
      <c r="K341" s="7">
        <v>0</v>
      </c>
      <c r="L341" s="24">
        <f>+Tabla2[[#This Row],[Stock Inventario]]*Tabla2[[#This Row],[Coste LÃ­nea]]</f>
        <v>0</v>
      </c>
      <c r="M341" s="24">
        <f>+Tabla2[[#This Row],[Variación Stock]]*Tabla2[[#This Row],[Coste LÃ­nea]]</f>
        <v>0</v>
      </c>
      <c r="N341" s="22" t="str">
        <f>+IF(Tabla2[[#This Row],[Variación Stock]]&gt;0,"Sobrante",IF(Tabla2[[#This Row],[Variación Stock]]&lt;0,"Faltante","Sin novedad"))</f>
        <v>Sin novedad</v>
      </c>
    </row>
    <row r="342" spans="1:14" hidden="1" x14ac:dyDescent="0.25">
      <c r="A342" s="11">
        <v>46053</v>
      </c>
      <c r="B342" s="5" t="s">
        <v>972</v>
      </c>
      <c r="C342" s="3" t="s">
        <v>213</v>
      </c>
      <c r="D342" s="5" t="s">
        <v>547</v>
      </c>
      <c r="E342" s="5" t="s">
        <v>117</v>
      </c>
      <c r="F342" s="6" t="s">
        <v>1013</v>
      </c>
      <c r="G342" s="4" t="s">
        <v>1</v>
      </c>
      <c r="H342" s="25">
        <v>28.64683333</v>
      </c>
      <c r="I342" s="8">
        <v>7984.9573</v>
      </c>
      <c r="J342" s="9">
        <v>4000</v>
      </c>
      <c r="K342" s="7">
        <v>-3984.9572750000002</v>
      </c>
      <c r="L342" s="24">
        <f>+Tabla2[[#This Row],[Stock Inventario]]*Tabla2[[#This Row],[Coste LÃ­nea]]</f>
        <v>114587.33332000001</v>
      </c>
      <c r="M342" s="24">
        <f>+Tabla2[[#This Row],[Variación Stock]]*Tabla2[[#This Row],[Coste LÃ­nea]]</f>
        <v>-114156.40688409598</v>
      </c>
      <c r="N342" s="22" t="str">
        <f>+IF(Tabla2[[#This Row],[Variación Stock]]&gt;0,"Sobrante",IF(Tabla2[[#This Row],[Variación Stock]]&lt;0,"Faltante","Sin novedad"))</f>
        <v>Faltante</v>
      </c>
    </row>
    <row r="343" spans="1:14" x14ac:dyDescent="0.25">
      <c r="A343" s="11">
        <v>46053</v>
      </c>
      <c r="B343" s="5" t="s">
        <v>972</v>
      </c>
      <c r="C343" s="3" t="s">
        <v>213</v>
      </c>
      <c r="D343" s="5" t="s">
        <v>603</v>
      </c>
      <c r="E343" s="5" t="s">
        <v>112</v>
      </c>
      <c r="F343" s="6" t="s">
        <v>607</v>
      </c>
      <c r="G343" s="4" t="s">
        <v>2</v>
      </c>
      <c r="H343" s="25">
        <v>3500</v>
      </c>
      <c r="I343" s="8">
        <v>46</v>
      </c>
      <c r="J343" s="9">
        <v>51</v>
      </c>
      <c r="K343" s="7">
        <v>5</v>
      </c>
      <c r="L343" s="24">
        <f>+Tabla2[[#This Row],[Stock Inventario]]*Tabla2[[#This Row],[Coste LÃ­nea]]</f>
        <v>178500</v>
      </c>
      <c r="M343" s="24">
        <f>+Tabla2[[#This Row],[Variación Stock]]*Tabla2[[#This Row],[Coste LÃ­nea]]</f>
        <v>17500</v>
      </c>
      <c r="N343" s="22" t="str">
        <f>+IF(Tabla2[[#This Row],[Variación Stock]]&gt;0,"Sobrante",IF(Tabla2[[#This Row],[Variación Stock]]&lt;0,"Faltante","Sin novedad"))</f>
        <v>Sobrante</v>
      </c>
    </row>
    <row r="344" spans="1:14" x14ac:dyDescent="0.25">
      <c r="A344" s="11">
        <v>46053</v>
      </c>
      <c r="B344" s="5" t="s">
        <v>972</v>
      </c>
      <c r="C344" s="3" t="s">
        <v>213</v>
      </c>
      <c r="D344" s="5" t="s">
        <v>603</v>
      </c>
      <c r="E344" s="5" t="s">
        <v>112</v>
      </c>
      <c r="F344" s="6" t="s">
        <v>886</v>
      </c>
      <c r="G344" s="4" t="s">
        <v>2</v>
      </c>
      <c r="H344" s="25">
        <v>2000</v>
      </c>
      <c r="I344" s="8">
        <v>34</v>
      </c>
      <c r="J344" s="9">
        <v>34</v>
      </c>
      <c r="K344" s="7">
        <v>0</v>
      </c>
      <c r="L344" s="24">
        <f>+Tabla2[[#This Row],[Stock Inventario]]*Tabla2[[#This Row],[Coste LÃ­nea]]</f>
        <v>68000</v>
      </c>
      <c r="M344" s="24">
        <f>+Tabla2[[#This Row],[Variación Stock]]*Tabla2[[#This Row],[Coste LÃ­nea]]</f>
        <v>0</v>
      </c>
      <c r="N344" s="22" t="str">
        <f>+IF(Tabla2[[#This Row],[Variación Stock]]&gt;0,"Sobrante",IF(Tabla2[[#This Row],[Variación Stock]]&lt;0,"Faltante","Sin novedad"))</f>
        <v>Sin novedad</v>
      </c>
    </row>
    <row r="345" spans="1:14" x14ac:dyDescent="0.25">
      <c r="A345" s="11">
        <v>46053</v>
      </c>
      <c r="B345" s="5" t="s">
        <v>972</v>
      </c>
      <c r="C345" s="3" t="s">
        <v>213</v>
      </c>
      <c r="D345" s="5" t="s">
        <v>603</v>
      </c>
      <c r="E345" s="5" t="s">
        <v>112</v>
      </c>
      <c r="F345" s="6" t="s">
        <v>887</v>
      </c>
      <c r="G345" s="4" t="s">
        <v>2</v>
      </c>
      <c r="H345" s="25">
        <v>1800</v>
      </c>
      <c r="I345" s="8">
        <v>7</v>
      </c>
      <c r="J345" s="9">
        <v>0</v>
      </c>
      <c r="K345" s="7">
        <v>-7</v>
      </c>
      <c r="L345" s="24">
        <f>+Tabla2[[#This Row],[Stock Inventario]]*Tabla2[[#This Row],[Coste LÃ­nea]]</f>
        <v>0</v>
      </c>
      <c r="M345" s="24">
        <f>+Tabla2[[#This Row],[Variación Stock]]*Tabla2[[#This Row],[Coste LÃ­nea]]</f>
        <v>-12600</v>
      </c>
      <c r="N345" s="22" t="str">
        <f>+IF(Tabla2[[#This Row],[Variación Stock]]&gt;0,"Sobrante",IF(Tabla2[[#This Row],[Variación Stock]]&lt;0,"Faltante","Sin novedad"))</f>
        <v>Faltante</v>
      </c>
    </row>
    <row r="346" spans="1:14" hidden="1" x14ac:dyDescent="0.25">
      <c r="A346" s="11">
        <v>46053</v>
      </c>
      <c r="B346" s="5" t="s">
        <v>972</v>
      </c>
      <c r="C346" s="3" t="s">
        <v>213</v>
      </c>
      <c r="D346" s="5" t="s">
        <v>471</v>
      </c>
      <c r="E346" s="5" t="s">
        <v>117</v>
      </c>
      <c r="F346" s="6" t="s">
        <v>542</v>
      </c>
      <c r="G346" s="4" t="s">
        <v>1</v>
      </c>
      <c r="H346" s="25">
        <v>8.5</v>
      </c>
      <c r="I346" s="8">
        <v>12345</v>
      </c>
      <c r="J346" s="9">
        <v>0</v>
      </c>
      <c r="K346" s="7">
        <v>-12345</v>
      </c>
      <c r="L346" s="24">
        <f>+Tabla2[[#This Row],[Stock Inventario]]*Tabla2[[#This Row],[Coste LÃ­nea]]</f>
        <v>0</v>
      </c>
      <c r="M346" s="24">
        <f>+Tabla2[[#This Row],[Variación Stock]]*Tabla2[[#This Row],[Coste LÃ­nea]]</f>
        <v>-104932.5</v>
      </c>
      <c r="N346" s="22" t="str">
        <f>+IF(Tabla2[[#This Row],[Variación Stock]]&gt;0,"Sobrante",IF(Tabla2[[#This Row],[Variación Stock]]&lt;0,"Faltante","Sin novedad"))</f>
        <v>Faltante</v>
      </c>
    </row>
    <row r="347" spans="1:14" x14ac:dyDescent="0.25">
      <c r="A347" s="11">
        <v>46053</v>
      </c>
      <c r="B347" s="5" t="s">
        <v>972</v>
      </c>
      <c r="C347" s="3" t="s">
        <v>213</v>
      </c>
      <c r="D347" s="5" t="s">
        <v>603</v>
      </c>
      <c r="E347" s="5" t="s">
        <v>112</v>
      </c>
      <c r="F347" s="6" t="s">
        <v>888</v>
      </c>
      <c r="G347" s="4" t="s">
        <v>2</v>
      </c>
      <c r="H347" s="25">
        <v>2714.2857142900002</v>
      </c>
      <c r="I347" s="8">
        <v>19</v>
      </c>
      <c r="J347" s="9">
        <v>26</v>
      </c>
      <c r="K347" s="7">
        <v>7</v>
      </c>
      <c r="L347" s="24">
        <f>+Tabla2[[#This Row],[Stock Inventario]]*Tabla2[[#This Row],[Coste LÃ­nea]]</f>
        <v>70571.428571540004</v>
      </c>
      <c r="M347" s="24">
        <f>+Tabla2[[#This Row],[Variación Stock]]*Tabla2[[#This Row],[Coste LÃ­nea]]</f>
        <v>19000.000000030002</v>
      </c>
      <c r="N347" s="22" t="str">
        <f>+IF(Tabla2[[#This Row],[Variación Stock]]&gt;0,"Sobrante",IF(Tabla2[[#This Row],[Variación Stock]]&lt;0,"Faltante","Sin novedad"))</f>
        <v>Sobrante</v>
      </c>
    </row>
    <row r="348" spans="1:14" x14ac:dyDescent="0.25">
      <c r="A348" s="11">
        <v>46037</v>
      </c>
      <c r="B348" s="5" t="s">
        <v>212</v>
      </c>
      <c r="C348" s="3" t="s">
        <v>213</v>
      </c>
      <c r="D348" s="5" t="s">
        <v>111</v>
      </c>
      <c r="E348" s="5" t="s">
        <v>112</v>
      </c>
      <c r="F348" s="6" t="s">
        <v>124</v>
      </c>
      <c r="G348" s="4" t="s">
        <v>0</v>
      </c>
      <c r="H348" s="24">
        <v>10178.95454545</v>
      </c>
      <c r="I348" s="8">
        <v>26</v>
      </c>
      <c r="J348" s="9">
        <v>37</v>
      </c>
      <c r="K348" s="7">
        <v>11</v>
      </c>
      <c r="L348" s="24">
        <f>+Tabla2[[#This Row],[Stock Inventario]]*Tabla2[[#This Row],[Coste LÃ­nea]]</f>
        <v>376621.31818165001</v>
      </c>
      <c r="M348" s="24">
        <f>+Tabla2[[#This Row],[Variación Stock]]*Tabla2[[#This Row],[Coste LÃ­nea]]</f>
        <v>111968.49999995</v>
      </c>
      <c r="N348" s="22" t="str">
        <f>+IF(Tabla2[[#This Row],[Variación Stock]]&gt;0,"Sobrante",IF(Tabla2[[#This Row],[Variación Stock]]&lt;0,"Faltante","Sin novedad"))</f>
        <v>Sobrante</v>
      </c>
    </row>
    <row r="349" spans="1:14" x14ac:dyDescent="0.25">
      <c r="A349" s="11">
        <v>46037</v>
      </c>
      <c r="B349" s="5" t="s">
        <v>212</v>
      </c>
      <c r="C349" s="3" t="s">
        <v>213</v>
      </c>
      <c r="D349" s="5" t="s">
        <v>111</v>
      </c>
      <c r="E349" s="5" t="s">
        <v>112</v>
      </c>
      <c r="F349" s="6" t="s">
        <v>40</v>
      </c>
      <c r="G349" s="4" t="s">
        <v>0</v>
      </c>
      <c r="H349" s="24">
        <v>1278.5862069</v>
      </c>
      <c r="I349" s="8">
        <v>69</v>
      </c>
      <c r="J349" s="9">
        <v>66</v>
      </c>
      <c r="K349" s="7">
        <v>-3</v>
      </c>
      <c r="L349" s="24">
        <f>+Tabla2[[#This Row],[Stock Inventario]]*Tabla2[[#This Row],[Coste LÃ­nea]]</f>
        <v>84386.689655399998</v>
      </c>
      <c r="M349" s="24">
        <f>+Tabla2[[#This Row],[Variación Stock]]*Tabla2[[#This Row],[Coste LÃ­nea]]</f>
        <v>-3835.7586206999999</v>
      </c>
      <c r="N349" s="22" t="str">
        <f>+IF(Tabla2[[#This Row],[Variación Stock]]&gt;0,"Sobrante",IF(Tabla2[[#This Row],[Variación Stock]]&lt;0,"Faltante","Sin novedad"))</f>
        <v>Faltante</v>
      </c>
    </row>
    <row r="350" spans="1:14" x14ac:dyDescent="0.25">
      <c r="A350" s="11">
        <v>46044</v>
      </c>
      <c r="B350" s="5" t="s">
        <v>383</v>
      </c>
      <c r="C350" s="3" t="s">
        <v>213</v>
      </c>
      <c r="D350" s="5" t="s">
        <v>111</v>
      </c>
      <c r="E350" s="5" t="s">
        <v>112</v>
      </c>
      <c r="F350" s="6" t="s">
        <v>40</v>
      </c>
      <c r="G350" s="4" t="s">
        <v>0</v>
      </c>
      <c r="H350" s="25">
        <v>1278.5862069</v>
      </c>
      <c r="I350" s="8">
        <v>58</v>
      </c>
      <c r="J350" s="9">
        <v>60</v>
      </c>
      <c r="K350" s="7">
        <v>2</v>
      </c>
      <c r="L350" s="24">
        <f>+Tabla2[[#This Row],[Stock Inventario]]*Tabla2[[#This Row],[Coste LÃ­nea]]</f>
        <v>76715.172414000001</v>
      </c>
      <c r="M350" s="24">
        <f>+Tabla2[[#This Row],[Variación Stock]]*Tabla2[[#This Row],[Coste LÃ­nea]]</f>
        <v>2557.1724138</v>
      </c>
      <c r="N350" s="22" t="str">
        <f>+IF(Tabla2[[#This Row],[Variación Stock]]&gt;0,"Sobrante",IF(Tabla2[[#This Row],[Variación Stock]]&lt;0,"Faltante","Sin novedad"))</f>
        <v>Sobrante</v>
      </c>
    </row>
    <row r="351" spans="1:14" x14ac:dyDescent="0.25">
      <c r="A351" s="11">
        <v>46053</v>
      </c>
      <c r="B351" s="5" t="s">
        <v>972</v>
      </c>
      <c r="C351" s="3" t="s">
        <v>213</v>
      </c>
      <c r="D351" s="5" t="s">
        <v>111</v>
      </c>
      <c r="E351" s="5" t="s">
        <v>112</v>
      </c>
      <c r="F351" s="6" t="s">
        <v>40</v>
      </c>
      <c r="G351" s="4" t="s">
        <v>0</v>
      </c>
      <c r="H351" s="25">
        <v>2290</v>
      </c>
      <c r="I351" s="8">
        <v>12</v>
      </c>
      <c r="J351" s="9">
        <v>47</v>
      </c>
      <c r="K351" s="7">
        <v>5</v>
      </c>
      <c r="L351" s="24">
        <f>+Tabla2[[#This Row],[Stock Inventario]]*Tabla2[[#This Row],[Coste LÃ­nea]]</f>
        <v>107630</v>
      </c>
      <c r="M351" s="24">
        <f>+Tabla2[[#This Row],[Variación Stock]]*Tabla2[[#This Row],[Coste LÃ­nea]]</f>
        <v>11450</v>
      </c>
      <c r="N351" s="22" t="str">
        <f>+IF(Tabla2[[#This Row],[Variación Stock]]&gt;0,"Sobrante",IF(Tabla2[[#This Row],[Variación Stock]]&lt;0,"Faltante","Sin novedad"))</f>
        <v>Sobrante</v>
      </c>
    </row>
    <row r="352" spans="1:14" x14ac:dyDescent="0.25">
      <c r="A352" s="11">
        <v>46037</v>
      </c>
      <c r="B352" s="5" t="s">
        <v>212</v>
      </c>
      <c r="C352" s="3" t="s">
        <v>213</v>
      </c>
      <c r="D352" s="5" t="s">
        <v>111</v>
      </c>
      <c r="E352" s="5" t="s">
        <v>112</v>
      </c>
      <c r="F352" s="6" t="s">
        <v>227</v>
      </c>
      <c r="G352" s="4" t="s">
        <v>0</v>
      </c>
      <c r="H352" s="24">
        <v>1825</v>
      </c>
      <c r="I352" s="8">
        <v>0</v>
      </c>
      <c r="J352" s="9">
        <v>0</v>
      </c>
      <c r="K352" s="7">
        <v>0</v>
      </c>
      <c r="L352" s="24">
        <f>+Tabla2[[#This Row],[Stock Inventario]]*Tabla2[[#This Row],[Coste LÃ­nea]]</f>
        <v>0</v>
      </c>
      <c r="M352" s="24">
        <f>+Tabla2[[#This Row],[Variación Stock]]*Tabla2[[#This Row],[Coste LÃ­nea]]</f>
        <v>0</v>
      </c>
      <c r="N352" s="22" t="str">
        <f>+IF(Tabla2[[#This Row],[Variación Stock]]&gt;0,"Sobrante",IF(Tabla2[[#This Row],[Variación Stock]]&lt;0,"Faltante","Sin novedad"))</f>
        <v>Sin novedad</v>
      </c>
    </row>
    <row r="353" spans="1:14" x14ac:dyDescent="0.25">
      <c r="A353" s="11">
        <v>46044</v>
      </c>
      <c r="B353" s="5" t="s">
        <v>383</v>
      </c>
      <c r="C353" s="3" t="s">
        <v>213</v>
      </c>
      <c r="D353" s="5" t="s">
        <v>111</v>
      </c>
      <c r="E353" s="5" t="s">
        <v>112</v>
      </c>
      <c r="F353" s="6" t="s">
        <v>227</v>
      </c>
      <c r="G353" s="4" t="s">
        <v>0</v>
      </c>
      <c r="H353" s="25">
        <v>1825</v>
      </c>
      <c r="I353" s="8">
        <v>0</v>
      </c>
      <c r="J353" s="9">
        <v>0</v>
      </c>
      <c r="K353" s="7">
        <v>0</v>
      </c>
      <c r="L353" s="24">
        <f>+Tabla2[[#This Row],[Stock Inventario]]*Tabla2[[#This Row],[Coste LÃ­nea]]</f>
        <v>0</v>
      </c>
      <c r="M353" s="24">
        <f>+Tabla2[[#This Row],[Variación Stock]]*Tabla2[[#This Row],[Coste LÃ­nea]]</f>
        <v>0</v>
      </c>
      <c r="N353" s="22" t="str">
        <f>+IF(Tabla2[[#This Row],[Variación Stock]]&gt;0,"Sobrante",IF(Tabla2[[#This Row],[Variación Stock]]&lt;0,"Faltante","Sin novedad"))</f>
        <v>Sin novedad</v>
      </c>
    </row>
    <row r="354" spans="1:14" hidden="1" x14ac:dyDescent="0.25">
      <c r="A354" s="11">
        <v>46053</v>
      </c>
      <c r="B354" s="5" t="s">
        <v>972</v>
      </c>
      <c r="C354" s="3" t="s">
        <v>213</v>
      </c>
      <c r="D354" s="5" t="s">
        <v>803</v>
      </c>
      <c r="E354" s="5" t="s">
        <v>117</v>
      </c>
      <c r="F354" s="6" t="s">
        <v>958</v>
      </c>
      <c r="G354" s="4" t="s">
        <v>1</v>
      </c>
      <c r="H354" s="25">
        <v>10.5</v>
      </c>
      <c r="I354" s="8">
        <v>1000</v>
      </c>
      <c r="J354" s="9">
        <v>0</v>
      </c>
      <c r="K354" s="7">
        <v>-1000</v>
      </c>
      <c r="L354" s="24">
        <f>+Tabla2[[#This Row],[Stock Inventario]]*Tabla2[[#This Row],[Coste LÃ­nea]]</f>
        <v>0</v>
      </c>
      <c r="M354" s="24">
        <f>+Tabla2[[#This Row],[Variación Stock]]*Tabla2[[#This Row],[Coste LÃ­nea]]</f>
        <v>-10500</v>
      </c>
      <c r="N354" s="22" t="str">
        <f>+IF(Tabla2[[#This Row],[Variación Stock]]&gt;0,"Sobrante",IF(Tabla2[[#This Row],[Variación Stock]]&lt;0,"Faltante","Sin novedad"))</f>
        <v>Faltante</v>
      </c>
    </row>
    <row r="355" spans="1:14" hidden="1" x14ac:dyDescent="0.25">
      <c r="A355" s="11">
        <v>46053</v>
      </c>
      <c r="B355" s="5" t="s">
        <v>972</v>
      </c>
      <c r="C355" s="3" t="s">
        <v>213</v>
      </c>
      <c r="D355" s="5" t="s">
        <v>471</v>
      </c>
      <c r="E355" s="5" t="s">
        <v>117</v>
      </c>
      <c r="F355" s="6" t="s">
        <v>478</v>
      </c>
      <c r="G355" s="4" t="s">
        <v>1</v>
      </c>
      <c r="H355" s="25">
        <v>14</v>
      </c>
      <c r="I355" s="8">
        <v>1450</v>
      </c>
      <c r="J355" s="9">
        <v>0</v>
      </c>
      <c r="K355" s="7">
        <v>-1450</v>
      </c>
      <c r="L355" s="24">
        <f>+Tabla2[[#This Row],[Stock Inventario]]*Tabla2[[#This Row],[Coste LÃ­nea]]</f>
        <v>0</v>
      </c>
      <c r="M355" s="24">
        <f>+Tabla2[[#This Row],[Variación Stock]]*Tabla2[[#This Row],[Coste LÃ­nea]]</f>
        <v>-20300</v>
      </c>
      <c r="N355" s="22" t="str">
        <f>+IF(Tabla2[[#This Row],[Variación Stock]]&gt;0,"Sobrante",IF(Tabla2[[#This Row],[Variación Stock]]&lt;0,"Faltante","Sin novedad"))</f>
        <v>Faltante</v>
      </c>
    </row>
    <row r="356" spans="1:14" hidden="1" x14ac:dyDescent="0.25">
      <c r="A356" s="11">
        <v>46053</v>
      </c>
      <c r="B356" s="5" t="s">
        <v>972</v>
      </c>
      <c r="C356" s="3" t="s">
        <v>213</v>
      </c>
      <c r="D356" s="5" t="s">
        <v>471</v>
      </c>
      <c r="E356" s="5" t="s">
        <v>117</v>
      </c>
      <c r="F356" s="6" t="s">
        <v>998</v>
      </c>
      <c r="G356" s="4" t="s">
        <v>1</v>
      </c>
      <c r="H356" s="25">
        <v>84.545454550000002</v>
      </c>
      <c r="I356" s="8">
        <v>220</v>
      </c>
      <c r="J356" s="9">
        <v>0</v>
      </c>
      <c r="K356" s="7">
        <v>-220</v>
      </c>
      <c r="L356" s="24">
        <f>+Tabla2[[#This Row],[Stock Inventario]]*Tabla2[[#This Row],[Coste LÃ­nea]]</f>
        <v>0</v>
      </c>
      <c r="M356" s="24">
        <f>+Tabla2[[#This Row],[Variación Stock]]*Tabla2[[#This Row],[Coste LÃ­nea]]</f>
        <v>-18600.000001</v>
      </c>
      <c r="N356" s="22" t="str">
        <f>+IF(Tabla2[[#This Row],[Variación Stock]]&gt;0,"Sobrante",IF(Tabla2[[#This Row],[Variación Stock]]&lt;0,"Faltante","Sin novedad"))</f>
        <v>Faltante</v>
      </c>
    </row>
    <row r="357" spans="1:14" hidden="1" x14ac:dyDescent="0.25">
      <c r="A357" s="11">
        <v>46053</v>
      </c>
      <c r="B357" s="5" t="s">
        <v>972</v>
      </c>
      <c r="C357" s="3" t="s">
        <v>213</v>
      </c>
      <c r="D357" s="5" t="s">
        <v>471</v>
      </c>
      <c r="E357" s="5" t="s">
        <v>117</v>
      </c>
      <c r="F357" s="6" t="s">
        <v>479</v>
      </c>
      <c r="G357" s="4" t="s">
        <v>1</v>
      </c>
      <c r="H357" s="25">
        <v>14</v>
      </c>
      <c r="I357" s="8">
        <v>0</v>
      </c>
      <c r="J357" s="9">
        <v>0</v>
      </c>
      <c r="K357" s="7">
        <v>0</v>
      </c>
      <c r="L357" s="24">
        <f>+Tabla2[[#This Row],[Stock Inventario]]*Tabla2[[#This Row],[Coste LÃ­nea]]</f>
        <v>0</v>
      </c>
      <c r="M357" s="24">
        <f>+Tabla2[[#This Row],[Variación Stock]]*Tabla2[[#This Row],[Coste LÃ­nea]]</f>
        <v>0</v>
      </c>
      <c r="N357" s="22" t="str">
        <f>+IF(Tabla2[[#This Row],[Variación Stock]]&gt;0,"Sobrante",IF(Tabla2[[#This Row],[Variación Stock]]&lt;0,"Faltante","Sin novedad"))</f>
        <v>Sin novedad</v>
      </c>
    </row>
    <row r="358" spans="1:14" hidden="1" x14ac:dyDescent="0.25">
      <c r="A358" s="11">
        <v>46053</v>
      </c>
      <c r="B358" s="5" t="s">
        <v>972</v>
      </c>
      <c r="C358" s="3" t="s">
        <v>213</v>
      </c>
      <c r="D358" s="5" t="s">
        <v>471</v>
      </c>
      <c r="E358" s="5" t="s">
        <v>117</v>
      </c>
      <c r="F358" s="6" t="s">
        <v>480</v>
      </c>
      <c r="G358" s="4" t="s">
        <v>1</v>
      </c>
      <c r="H358" s="25">
        <v>10</v>
      </c>
      <c r="I358" s="8">
        <v>175.78120000000001</v>
      </c>
      <c r="J358" s="9">
        <v>0</v>
      </c>
      <c r="K358" s="7">
        <v>-175.78116399999999</v>
      </c>
      <c r="L358" s="24">
        <f>+Tabla2[[#This Row],[Stock Inventario]]*Tabla2[[#This Row],[Coste LÃ­nea]]</f>
        <v>0</v>
      </c>
      <c r="M358" s="24">
        <f>+Tabla2[[#This Row],[Variación Stock]]*Tabla2[[#This Row],[Coste LÃ­nea]]</f>
        <v>-1757.8116399999999</v>
      </c>
      <c r="N358" s="22" t="str">
        <f>+IF(Tabla2[[#This Row],[Variación Stock]]&gt;0,"Sobrante",IF(Tabla2[[#This Row],[Variación Stock]]&lt;0,"Faltante","Sin novedad"))</f>
        <v>Faltante</v>
      </c>
    </row>
    <row r="359" spans="1:14" hidden="1" x14ac:dyDescent="0.25">
      <c r="A359" s="11">
        <v>46053</v>
      </c>
      <c r="B359" s="5" t="s">
        <v>972</v>
      </c>
      <c r="C359" s="3" t="s">
        <v>213</v>
      </c>
      <c r="D359" s="5" t="s">
        <v>471</v>
      </c>
      <c r="E359" s="5" t="s">
        <v>117</v>
      </c>
      <c r="F359" s="6" t="s">
        <v>863</v>
      </c>
      <c r="G359" s="4" t="s">
        <v>1</v>
      </c>
      <c r="H359" s="25">
        <v>11.8</v>
      </c>
      <c r="I359" s="8">
        <v>1230</v>
      </c>
      <c r="J359" s="9">
        <v>0</v>
      </c>
      <c r="K359" s="7">
        <v>-1230</v>
      </c>
      <c r="L359" s="24">
        <f>+Tabla2[[#This Row],[Stock Inventario]]*Tabla2[[#This Row],[Coste LÃ­nea]]</f>
        <v>0</v>
      </c>
      <c r="M359" s="24">
        <f>+Tabla2[[#This Row],[Variación Stock]]*Tabla2[[#This Row],[Coste LÃ­nea]]</f>
        <v>-14514</v>
      </c>
      <c r="N359" s="22" t="str">
        <f>+IF(Tabla2[[#This Row],[Variación Stock]]&gt;0,"Sobrante",IF(Tabla2[[#This Row],[Variación Stock]]&lt;0,"Faltante","Sin novedad"))</f>
        <v>Faltante</v>
      </c>
    </row>
    <row r="360" spans="1:14" hidden="1" x14ac:dyDescent="0.25">
      <c r="A360" s="11">
        <v>46053</v>
      </c>
      <c r="B360" s="5" t="s">
        <v>972</v>
      </c>
      <c r="C360" s="3" t="s">
        <v>213</v>
      </c>
      <c r="D360" s="5" t="s">
        <v>471</v>
      </c>
      <c r="E360" s="5" t="s">
        <v>117</v>
      </c>
      <c r="F360" s="6" t="s">
        <v>476</v>
      </c>
      <c r="G360" s="4" t="s">
        <v>1</v>
      </c>
      <c r="H360" s="25">
        <v>25</v>
      </c>
      <c r="I360" s="8">
        <v>160</v>
      </c>
      <c r="J360" s="9">
        <v>0</v>
      </c>
      <c r="K360" s="7">
        <v>-160</v>
      </c>
      <c r="L360" s="24">
        <f>+Tabla2[[#This Row],[Stock Inventario]]*Tabla2[[#This Row],[Coste LÃ­nea]]</f>
        <v>0</v>
      </c>
      <c r="M360" s="24">
        <f>+Tabla2[[#This Row],[Variación Stock]]*Tabla2[[#This Row],[Coste LÃ­nea]]</f>
        <v>-4000</v>
      </c>
      <c r="N360" s="22" t="str">
        <f>+IF(Tabla2[[#This Row],[Variación Stock]]&gt;0,"Sobrante",IF(Tabla2[[#This Row],[Variación Stock]]&lt;0,"Faltante","Sin novedad"))</f>
        <v>Faltante</v>
      </c>
    </row>
    <row r="361" spans="1:14" hidden="1" x14ac:dyDescent="0.25">
      <c r="A361" s="11">
        <v>46053</v>
      </c>
      <c r="B361" s="5" t="s">
        <v>972</v>
      </c>
      <c r="C361" s="3" t="s">
        <v>213</v>
      </c>
      <c r="D361" s="5" t="s">
        <v>471</v>
      </c>
      <c r="E361" s="5" t="s">
        <v>117</v>
      </c>
      <c r="F361" s="6" t="s">
        <v>997</v>
      </c>
      <c r="G361" s="4" t="s">
        <v>1</v>
      </c>
      <c r="H361" s="25">
        <v>40</v>
      </c>
      <c r="I361" s="8">
        <v>0</v>
      </c>
      <c r="J361" s="9">
        <v>0</v>
      </c>
      <c r="K361" s="7">
        <v>0</v>
      </c>
      <c r="L361" s="24">
        <f>+Tabla2[[#This Row],[Stock Inventario]]*Tabla2[[#This Row],[Coste LÃ­nea]]</f>
        <v>0</v>
      </c>
      <c r="M361" s="24">
        <f>+Tabla2[[#This Row],[Variación Stock]]*Tabla2[[#This Row],[Coste LÃ­nea]]</f>
        <v>0</v>
      </c>
      <c r="N361" s="22" t="str">
        <f>+IF(Tabla2[[#This Row],[Variación Stock]]&gt;0,"Sobrante",IF(Tabla2[[#This Row],[Variación Stock]]&lt;0,"Faltante","Sin novedad"))</f>
        <v>Sin novedad</v>
      </c>
    </row>
    <row r="362" spans="1:14" hidden="1" x14ac:dyDescent="0.25">
      <c r="A362" s="11">
        <v>46053</v>
      </c>
      <c r="B362" s="5" t="s">
        <v>972</v>
      </c>
      <c r="C362" s="3" t="s">
        <v>213</v>
      </c>
      <c r="D362" s="5" t="s">
        <v>471</v>
      </c>
      <c r="E362" s="5" t="s">
        <v>117</v>
      </c>
      <c r="F362" s="6" t="s">
        <v>481</v>
      </c>
      <c r="G362" s="4" t="s">
        <v>1</v>
      </c>
      <c r="H362" s="25">
        <v>28</v>
      </c>
      <c r="I362" s="8">
        <v>100</v>
      </c>
      <c r="J362" s="9">
        <v>0</v>
      </c>
      <c r="K362" s="7">
        <v>-100</v>
      </c>
      <c r="L362" s="24">
        <f>+Tabla2[[#This Row],[Stock Inventario]]*Tabla2[[#This Row],[Coste LÃ­nea]]</f>
        <v>0</v>
      </c>
      <c r="M362" s="24">
        <f>+Tabla2[[#This Row],[Variación Stock]]*Tabla2[[#This Row],[Coste LÃ­nea]]</f>
        <v>-2800</v>
      </c>
      <c r="N362" s="22" t="str">
        <f>+IF(Tabla2[[#This Row],[Variación Stock]]&gt;0,"Sobrante",IF(Tabla2[[#This Row],[Variación Stock]]&lt;0,"Faltante","Sin novedad"))</f>
        <v>Faltante</v>
      </c>
    </row>
    <row r="363" spans="1:14" hidden="1" x14ac:dyDescent="0.25">
      <c r="A363" s="11">
        <v>46053</v>
      </c>
      <c r="B363" s="5" t="s">
        <v>972</v>
      </c>
      <c r="C363" s="3" t="s">
        <v>213</v>
      </c>
      <c r="D363" s="5" t="s">
        <v>803</v>
      </c>
      <c r="E363" s="5" t="s">
        <v>117</v>
      </c>
      <c r="F363" s="6" t="s">
        <v>806</v>
      </c>
      <c r="G363" s="4" t="s">
        <v>1</v>
      </c>
      <c r="H363" s="25">
        <v>13.68465</v>
      </c>
      <c r="I363" s="8">
        <v>246.9222</v>
      </c>
      <c r="J363" s="9">
        <v>0</v>
      </c>
      <c r="K363" s="7">
        <v>-246.92214999999999</v>
      </c>
      <c r="L363" s="24">
        <f>+Tabla2[[#This Row],[Stock Inventario]]*Tabla2[[#This Row],[Coste LÃ­nea]]</f>
        <v>0</v>
      </c>
      <c r="M363" s="24">
        <f>+Tabla2[[#This Row],[Variación Stock]]*Tabla2[[#This Row],[Coste LÃ­nea]]</f>
        <v>-3379.0431999974999</v>
      </c>
      <c r="N363" s="22" t="str">
        <f>+IF(Tabla2[[#This Row],[Variación Stock]]&gt;0,"Sobrante",IF(Tabla2[[#This Row],[Variación Stock]]&lt;0,"Faltante","Sin novedad"))</f>
        <v>Faltante</v>
      </c>
    </row>
    <row r="364" spans="1:14" hidden="1" x14ac:dyDescent="0.25">
      <c r="A364" s="11">
        <v>46053</v>
      </c>
      <c r="B364" s="5" t="s">
        <v>972</v>
      </c>
      <c r="C364" s="3" t="s">
        <v>213</v>
      </c>
      <c r="D364" s="5" t="s">
        <v>396</v>
      </c>
      <c r="E364" s="5" t="s">
        <v>117</v>
      </c>
      <c r="F364" s="6" t="s">
        <v>994</v>
      </c>
      <c r="G364" s="4" t="s">
        <v>1</v>
      </c>
      <c r="H364" s="25">
        <v>24.7</v>
      </c>
      <c r="I364" s="8">
        <v>9836.1059999999998</v>
      </c>
      <c r="J364" s="9">
        <v>4500</v>
      </c>
      <c r="K364" s="7">
        <v>-5336.1059999999998</v>
      </c>
      <c r="L364" s="24">
        <f>+Tabla2[[#This Row],[Stock Inventario]]*Tabla2[[#This Row],[Coste LÃ­nea]]</f>
        <v>111150</v>
      </c>
      <c r="M364" s="24">
        <f>+Tabla2[[#This Row],[Variación Stock]]*Tabla2[[#This Row],[Coste LÃ­nea]]</f>
        <v>-131801.81819999998</v>
      </c>
      <c r="N364" s="22" t="str">
        <f>+IF(Tabla2[[#This Row],[Variación Stock]]&gt;0,"Sobrante",IF(Tabla2[[#This Row],[Variación Stock]]&lt;0,"Faltante","Sin novedad"))</f>
        <v>Faltante</v>
      </c>
    </row>
    <row r="365" spans="1:14" hidden="1" x14ac:dyDescent="0.25">
      <c r="A365" s="11">
        <v>46053</v>
      </c>
      <c r="B365" s="5" t="s">
        <v>972</v>
      </c>
      <c r="C365" s="3" t="s">
        <v>213</v>
      </c>
      <c r="D365" s="5" t="s">
        <v>471</v>
      </c>
      <c r="E365" s="5" t="s">
        <v>117</v>
      </c>
      <c r="F365" s="6" t="s">
        <v>482</v>
      </c>
      <c r="G365" s="4" t="s">
        <v>1</v>
      </c>
      <c r="H365" s="25">
        <v>19.5</v>
      </c>
      <c r="I365" s="8">
        <v>-948.14469999999994</v>
      </c>
      <c r="J365" s="9">
        <v>2300</v>
      </c>
      <c r="K365" s="7">
        <v>3248.1446799999999</v>
      </c>
      <c r="L365" s="24">
        <f>+Tabla2[[#This Row],[Stock Inventario]]*Tabla2[[#This Row],[Coste LÃ­nea]]</f>
        <v>44850</v>
      </c>
      <c r="M365" s="24">
        <f>+Tabla2[[#This Row],[Variación Stock]]*Tabla2[[#This Row],[Coste LÃ­nea]]</f>
        <v>63338.821259999997</v>
      </c>
      <c r="N365" s="22" t="str">
        <f>+IF(Tabla2[[#This Row],[Variación Stock]]&gt;0,"Sobrante",IF(Tabla2[[#This Row],[Variación Stock]]&lt;0,"Faltante","Sin novedad"))</f>
        <v>Sobrante</v>
      </c>
    </row>
    <row r="366" spans="1:14" hidden="1" x14ac:dyDescent="0.25">
      <c r="A366" s="11">
        <v>46053</v>
      </c>
      <c r="B366" s="5" t="s">
        <v>972</v>
      </c>
      <c r="C366" s="3" t="s">
        <v>213</v>
      </c>
      <c r="D366" s="5" t="s">
        <v>396</v>
      </c>
      <c r="E366" s="5" t="s">
        <v>117</v>
      </c>
      <c r="F366" s="6" t="s">
        <v>412</v>
      </c>
      <c r="G366" s="4" t="s">
        <v>1</v>
      </c>
      <c r="H366" s="25">
        <v>20.9</v>
      </c>
      <c r="I366" s="8">
        <v>-1</v>
      </c>
      <c r="J366" s="9">
        <v>0</v>
      </c>
      <c r="K366" s="7">
        <v>1</v>
      </c>
      <c r="L366" s="24">
        <f>+Tabla2[[#This Row],[Stock Inventario]]*Tabla2[[#This Row],[Coste LÃ­nea]]</f>
        <v>0</v>
      </c>
      <c r="M366" s="24">
        <f>+Tabla2[[#This Row],[Variación Stock]]*Tabla2[[#This Row],[Coste LÃ­nea]]</f>
        <v>20.9</v>
      </c>
      <c r="N366" s="22" t="str">
        <f>+IF(Tabla2[[#This Row],[Variación Stock]]&gt;0,"Sobrante",IF(Tabla2[[#This Row],[Variación Stock]]&lt;0,"Faltante","Sin novedad"))</f>
        <v>Sobrante</v>
      </c>
    </row>
    <row r="367" spans="1:14" hidden="1" x14ac:dyDescent="0.25">
      <c r="A367" s="11">
        <v>46053</v>
      </c>
      <c r="B367" s="5" t="s">
        <v>972</v>
      </c>
      <c r="C367" s="3" t="s">
        <v>213</v>
      </c>
      <c r="D367" s="5" t="s">
        <v>116</v>
      </c>
      <c r="E367" s="5" t="s">
        <v>117</v>
      </c>
      <c r="F367" s="6" t="s">
        <v>245</v>
      </c>
      <c r="G367" s="4" t="s">
        <v>1</v>
      </c>
      <c r="H367" s="25">
        <v>10.11231527</v>
      </c>
      <c r="I367" s="8">
        <v>-181200</v>
      </c>
      <c r="J367" s="9">
        <v>35950</v>
      </c>
      <c r="K367" s="7">
        <v>217150</v>
      </c>
      <c r="L367" s="24">
        <f>+Tabla2[[#This Row],[Stock Inventario]]*Tabla2[[#This Row],[Coste LÃ­nea]]</f>
        <v>363537.73395650001</v>
      </c>
      <c r="M367" s="24">
        <f>+Tabla2[[#This Row],[Variación Stock]]*Tabla2[[#This Row],[Coste LÃ­nea]]</f>
        <v>2195889.2608805001</v>
      </c>
      <c r="N367" s="22" t="str">
        <f>+IF(Tabla2[[#This Row],[Variación Stock]]&gt;0,"Sobrante",IF(Tabla2[[#This Row],[Variación Stock]]&lt;0,"Faltante","Sin novedad"))</f>
        <v>Sobrante</v>
      </c>
    </row>
    <row r="368" spans="1:14" hidden="1" x14ac:dyDescent="0.25">
      <c r="A368" s="11">
        <v>46053</v>
      </c>
      <c r="B368" s="5" t="s">
        <v>972</v>
      </c>
      <c r="C368" s="3" t="s">
        <v>213</v>
      </c>
      <c r="D368" s="5" t="s">
        <v>471</v>
      </c>
      <c r="E368" s="5" t="s">
        <v>117</v>
      </c>
      <c r="F368" s="6" t="s">
        <v>483</v>
      </c>
      <c r="G368" s="4" t="s">
        <v>1</v>
      </c>
      <c r="H368" s="25">
        <v>13</v>
      </c>
      <c r="I368" s="8">
        <v>-60</v>
      </c>
      <c r="J368" s="9">
        <v>500</v>
      </c>
      <c r="K368" s="7">
        <v>559.99999590000004</v>
      </c>
      <c r="L368" s="24">
        <f>+Tabla2[[#This Row],[Stock Inventario]]*Tabla2[[#This Row],[Coste LÃ­nea]]</f>
        <v>6500</v>
      </c>
      <c r="M368" s="24">
        <f>+Tabla2[[#This Row],[Variación Stock]]*Tabla2[[#This Row],[Coste LÃ­nea]]</f>
        <v>7279.9999467000007</v>
      </c>
      <c r="N368" s="22" t="str">
        <f>+IF(Tabla2[[#This Row],[Variación Stock]]&gt;0,"Sobrante",IF(Tabla2[[#This Row],[Variación Stock]]&lt;0,"Faltante","Sin novedad"))</f>
        <v>Sobrante</v>
      </c>
    </row>
    <row r="369" spans="1:14" hidden="1" x14ac:dyDescent="0.25">
      <c r="A369" s="11">
        <v>46053</v>
      </c>
      <c r="B369" s="5" t="s">
        <v>972</v>
      </c>
      <c r="C369" s="3" t="s">
        <v>213</v>
      </c>
      <c r="D369" s="5" t="s">
        <v>803</v>
      </c>
      <c r="E369" s="5" t="s">
        <v>117</v>
      </c>
      <c r="F369" s="6" t="s">
        <v>959</v>
      </c>
      <c r="G369" s="4" t="s">
        <v>1</v>
      </c>
      <c r="H369" s="25">
        <v>27.146000000000001</v>
      </c>
      <c r="I369" s="8">
        <v>1783.6934000000001</v>
      </c>
      <c r="J369" s="9">
        <v>2000</v>
      </c>
      <c r="K369" s="7">
        <v>216.30658</v>
      </c>
      <c r="L369" s="24">
        <f>+Tabla2[[#This Row],[Stock Inventario]]*Tabla2[[#This Row],[Coste LÃ­nea]]</f>
        <v>54292</v>
      </c>
      <c r="M369" s="24">
        <f>+Tabla2[[#This Row],[Variación Stock]]*Tabla2[[#This Row],[Coste LÃ­nea]]</f>
        <v>5871.8584206799997</v>
      </c>
      <c r="N369" s="22" t="str">
        <f>+IF(Tabla2[[#This Row],[Variación Stock]]&gt;0,"Sobrante",IF(Tabla2[[#This Row],[Variación Stock]]&lt;0,"Faltante","Sin novedad"))</f>
        <v>Sobrante</v>
      </c>
    </row>
    <row r="370" spans="1:14" hidden="1" x14ac:dyDescent="0.25">
      <c r="A370" s="11">
        <v>46053</v>
      </c>
      <c r="B370" s="5" t="s">
        <v>972</v>
      </c>
      <c r="C370" s="3" t="s">
        <v>213</v>
      </c>
      <c r="D370" s="5" t="s">
        <v>626</v>
      </c>
      <c r="E370" s="5" t="s">
        <v>1079</v>
      </c>
      <c r="F370" s="6" t="s">
        <v>635</v>
      </c>
      <c r="G370" s="4" t="s">
        <v>1</v>
      </c>
      <c r="H370" s="25">
        <v>6.5141</v>
      </c>
      <c r="I370" s="8">
        <v>54000</v>
      </c>
      <c r="J370" s="9">
        <v>20000</v>
      </c>
      <c r="K370" s="7">
        <v>-34000</v>
      </c>
      <c r="L370" s="24">
        <f>+Tabla2[[#This Row],[Stock Inventario]]*Tabla2[[#This Row],[Coste LÃ­nea]]</f>
        <v>130282</v>
      </c>
      <c r="M370" s="24">
        <f>+Tabla2[[#This Row],[Variación Stock]]*Tabla2[[#This Row],[Coste LÃ­nea]]</f>
        <v>-221479.4</v>
      </c>
      <c r="N370" s="22" t="str">
        <f>+IF(Tabla2[[#This Row],[Variación Stock]]&gt;0,"Sobrante",IF(Tabla2[[#This Row],[Variación Stock]]&lt;0,"Faltante","Sin novedad"))</f>
        <v>Faltante</v>
      </c>
    </row>
    <row r="371" spans="1:14" hidden="1" x14ac:dyDescent="0.25">
      <c r="A371" s="11">
        <v>46053</v>
      </c>
      <c r="B371" s="5" t="s">
        <v>972</v>
      </c>
      <c r="C371" s="3" t="s">
        <v>213</v>
      </c>
      <c r="D371" s="5" t="s">
        <v>824</v>
      </c>
      <c r="E371" s="5" t="s">
        <v>117</v>
      </c>
      <c r="F371" s="6" t="s">
        <v>825</v>
      </c>
      <c r="G371" s="4" t="s">
        <v>1</v>
      </c>
      <c r="H371" s="25">
        <v>173.386</v>
      </c>
      <c r="I371" s="8">
        <v>520</v>
      </c>
      <c r="J371" s="9">
        <v>500</v>
      </c>
      <c r="K371" s="7">
        <v>-20</v>
      </c>
      <c r="L371" s="24">
        <f>+Tabla2[[#This Row],[Stock Inventario]]*Tabla2[[#This Row],[Coste LÃ­nea]]</f>
        <v>86693</v>
      </c>
      <c r="M371" s="24">
        <f>+Tabla2[[#This Row],[Variación Stock]]*Tabla2[[#This Row],[Coste LÃ­nea]]</f>
        <v>-3467.72</v>
      </c>
      <c r="N371" s="22" t="str">
        <f>+IF(Tabla2[[#This Row],[Variación Stock]]&gt;0,"Sobrante",IF(Tabla2[[#This Row],[Variación Stock]]&lt;0,"Faltante","Sin novedad"))</f>
        <v>Faltante</v>
      </c>
    </row>
    <row r="372" spans="1:14" hidden="1" x14ac:dyDescent="0.25">
      <c r="A372" s="11">
        <v>46053</v>
      </c>
      <c r="B372" s="5" t="s">
        <v>972</v>
      </c>
      <c r="C372" s="3" t="s">
        <v>213</v>
      </c>
      <c r="D372" s="5" t="s">
        <v>396</v>
      </c>
      <c r="E372" s="5" t="s">
        <v>117</v>
      </c>
      <c r="F372" s="6" t="s">
        <v>458</v>
      </c>
      <c r="G372" s="4" t="s">
        <v>1</v>
      </c>
      <c r="H372" s="25">
        <v>12.150080000000001</v>
      </c>
      <c r="I372" s="8">
        <v>270</v>
      </c>
      <c r="J372" s="9">
        <v>0</v>
      </c>
      <c r="K372" s="7">
        <v>-270</v>
      </c>
      <c r="L372" s="24">
        <f>+Tabla2[[#This Row],[Stock Inventario]]*Tabla2[[#This Row],[Coste LÃ­nea]]</f>
        <v>0</v>
      </c>
      <c r="M372" s="24">
        <f>+Tabla2[[#This Row],[Variación Stock]]*Tabla2[[#This Row],[Coste LÃ­nea]]</f>
        <v>-3280.5216</v>
      </c>
      <c r="N372" s="22" t="str">
        <f>+IF(Tabla2[[#This Row],[Variación Stock]]&gt;0,"Sobrante",IF(Tabla2[[#This Row],[Variación Stock]]&lt;0,"Faltante","Sin novedad"))</f>
        <v>Faltante</v>
      </c>
    </row>
    <row r="373" spans="1:14" x14ac:dyDescent="0.25">
      <c r="A373" s="11">
        <v>46053</v>
      </c>
      <c r="B373" s="5" t="s">
        <v>972</v>
      </c>
      <c r="C373" s="3" t="s">
        <v>213</v>
      </c>
      <c r="D373" s="5" t="s">
        <v>111</v>
      </c>
      <c r="E373" s="5" t="s">
        <v>112</v>
      </c>
      <c r="F373" s="6" t="s">
        <v>227</v>
      </c>
      <c r="G373" s="4" t="s">
        <v>0</v>
      </c>
      <c r="H373" s="25">
        <v>1825</v>
      </c>
      <c r="I373" s="8">
        <v>0</v>
      </c>
      <c r="J373" s="9">
        <v>0</v>
      </c>
      <c r="K373" s="7">
        <v>0</v>
      </c>
      <c r="L373" s="24">
        <f>+Tabla2[[#This Row],[Stock Inventario]]*Tabla2[[#This Row],[Coste LÃ­nea]]</f>
        <v>0</v>
      </c>
      <c r="M373" s="24">
        <f>+Tabla2[[#This Row],[Variación Stock]]*Tabla2[[#This Row],[Coste LÃ­nea]]</f>
        <v>0</v>
      </c>
      <c r="N373" s="22" t="str">
        <f>+IF(Tabla2[[#This Row],[Variación Stock]]&gt;0,"Sobrante",IF(Tabla2[[#This Row],[Variación Stock]]&lt;0,"Faltante","Sin novedad"))</f>
        <v>Sin novedad</v>
      </c>
    </row>
    <row r="374" spans="1:14" x14ac:dyDescent="0.25">
      <c r="A374" s="11">
        <v>46037</v>
      </c>
      <c r="B374" s="5" t="s">
        <v>212</v>
      </c>
      <c r="C374" s="3" t="s">
        <v>213</v>
      </c>
      <c r="D374" s="5" t="s">
        <v>111</v>
      </c>
      <c r="E374" s="5" t="s">
        <v>112</v>
      </c>
      <c r="F374" s="6" t="s">
        <v>232</v>
      </c>
      <c r="G374" s="4" t="s">
        <v>0</v>
      </c>
      <c r="H374" s="25">
        <v>4791.0833333299997</v>
      </c>
      <c r="I374" s="8">
        <v>0</v>
      </c>
      <c r="J374" s="9">
        <v>0</v>
      </c>
      <c r="K374" s="7">
        <v>0</v>
      </c>
      <c r="L374" s="24">
        <f>+Tabla2[[#This Row],[Stock Inventario]]*Tabla2[[#This Row],[Coste LÃ­nea]]</f>
        <v>0</v>
      </c>
      <c r="M374" s="24">
        <f>+Tabla2[[#This Row],[Variación Stock]]*Tabla2[[#This Row],[Coste LÃ­nea]]</f>
        <v>0</v>
      </c>
      <c r="N374" s="22" t="str">
        <f>+IF(Tabla2[[#This Row],[Variación Stock]]&gt;0,"Sobrante",IF(Tabla2[[#This Row],[Variación Stock]]&lt;0,"Faltante","Sin novedad"))</f>
        <v>Sin novedad</v>
      </c>
    </row>
    <row r="375" spans="1:14" hidden="1" x14ac:dyDescent="0.25">
      <c r="A375" s="11">
        <v>46053</v>
      </c>
      <c r="B375" s="5" t="s">
        <v>972</v>
      </c>
      <c r="C375" s="3" t="s">
        <v>213</v>
      </c>
      <c r="D375" s="5" t="s">
        <v>119</v>
      </c>
      <c r="E375" s="5" t="s">
        <v>117</v>
      </c>
      <c r="F375" s="6" t="s">
        <v>390</v>
      </c>
      <c r="G375" s="4" t="s">
        <v>1</v>
      </c>
      <c r="H375" s="25">
        <v>326.20299999999997</v>
      </c>
      <c r="I375" s="8">
        <v>-270</v>
      </c>
      <c r="J375" s="9">
        <v>504</v>
      </c>
      <c r="K375" s="7">
        <v>774</v>
      </c>
      <c r="L375" s="24">
        <f>+Tabla2[[#This Row],[Stock Inventario]]*Tabla2[[#This Row],[Coste LÃ­nea]]</f>
        <v>164406.31199999998</v>
      </c>
      <c r="M375" s="24">
        <f>+Tabla2[[#This Row],[Variación Stock]]*Tabla2[[#This Row],[Coste LÃ­nea]]</f>
        <v>252481.12199999997</v>
      </c>
      <c r="N375" s="22" t="str">
        <f>+IF(Tabla2[[#This Row],[Variación Stock]]&gt;0,"Sobrante",IF(Tabla2[[#This Row],[Variación Stock]]&lt;0,"Faltante","Sin novedad"))</f>
        <v>Sobrante</v>
      </c>
    </row>
    <row r="376" spans="1:14" x14ac:dyDescent="0.25">
      <c r="A376" s="11">
        <v>46044</v>
      </c>
      <c r="B376" s="5" t="s">
        <v>383</v>
      </c>
      <c r="C376" s="3" t="s">
        <v>213</v>
      </c>
      <c r="D376" s="5" t="s">
        <v>111</v>
      </c>
      <c r="E376" s="5" t="s">
        <v>112</v>
      </c>
      <c r="F376" s="6" t="s">
        <v>232</v>
      </c>
      <c r="G376" s="4" t="s">
        <v>0</v>
      </c>
      <c r="H376" s="25">
        <v>4791.0833333299997</v>
      </c>
      <c r="I376" s="8">
        <v>0</v>
      </c>
      <c r="J376" s="9">
        <v>0</v>
      </c>
      <c r="K376" s="7">
        <v>0</v>
      </c>
      <c r="L376" s="24">
        <f>+Tabla2[[#This Row],[Stock Inventario]]*Tabla2[[#This Row],[Coste LÃ­nea]]</f>
        <v>0</v>
      </c>
      <c r="M376" s="24">
        <f>+Tabla2[[#This Row],[Variación Stock]]*Tabla2[[#This Row],[Coste LÃ­nea]]</f>
        <v>0</v>
      </c>
      <c r="N376" s="22" t="str">
        <f>+IF(Tabla2[[#This Row],[Variación Stock]]&gt;0,"Sobrante",IF(Tabla2[[#This Row],[Variación Stock]]&lt;0,"Faltante","Sin novedad"))</f>
        <v>Sin novedad</v>
      </c>
    </row>
    <row r="377" spans="1:14" hidden="1" x14ac:dyDescent="0.25">
      <c r="A377" s="11">
        <v>46053</v>
      </c>
      <c r="B377" s="5" t="s">
        <v>972</v>
      </c>
      <c r="C377" s="3" t="s">
        <v>213</v>
      </c>
      <c r="D377" s="5" t="s">
        <v>471</v>
      </c>
      <c r="E377" s="5" t="s">
        <v>117</v>
      </c>
      <c r="F377" s="6" t="s">
        <v>484</v>
      </c>
      <c r="G377" s="4" t="s">
        <v>1</v>
      </c>
      <c r="H377" s="25">
        <v>2.2000000000000002</v>
      </c>
      <c r="I377" s="8">
        <v>7703.0001000000002</v>
      </c>
      <c r="J377" s="9">
        <v>7200</v>
      </c>
      <c r="K377" s="7">
        <v>-503.00009999999997</v>
      </c>
      <c r="L377" s="24">
        <f>+Tabla2[[#This Row],[Stock Inventario]]*Tabla2[[#This Row],[Coste LÃ­nea]]</f>
        <v>15840.000000000002</v>
      </c>
      <c r="M377" s="24">
        <f>+Tabla2[[#This Row],[Variación Stock]]*Tabla2[[#This Row],[Coste LÃ­nea]]</f>
        <v>-1106.60022</v>
      </c>
      <c r="N377" s="22" t="str">
        <f>+IF(Tabla2[[#This Row],[Variación Stock]]&gt;0,"Sobrante",IF(Tabla2[[#This Row],[Variación Stock]]&lt;0,"Faltante","Sin novedad"))</f>
        <v>Faltante</v>
      </c>
    </row>
    <row r="378" spans="1:14" hidden="1" x14ac:dyDescent="0.25">
      <c r="A378" s="11">
        <v>46053</v>
      </c>
      <c r="B378" s="5" t="s">
        <v>972</v>
      </c>
      <c r="C378" s="3" t="s">
        <v>213</v>
      </c>
      <c r="D378" s="5" t="s">
        <v>471</v>
      </c>
      <c r="E378" s="5" t="s">
        <v>117</v>
      </c>
      <c r="F378" s="6" t="s">
        <v>485</v>
      </c>
      <c r="G378" s="4" t="s">
        <v>1</v>
      </c>
      <c r="H378" s="25">
        <v>60</v>
      </c>
      <c r="I378" s="8">
        <v>0</v>
      </c>
      <c r="J378" s="9">
        <v>0</v>
      </c>
      <c r="K378" s="7">
        <v>0</v>
      </c>
      <c r="L378" s="24">
        <f>+Tabla2[[#This Row],[Stock Inventario]]*Tabla2[[#This Row],[Coste LÃ­nea]]</f>
        <v>0</v>
      </c>
      <c r="M378" s="24">
        <f>+Tabla2[[#This Row],[Variación Stock]]*Tabla2[[#This Row],[Coste LÃ­nea]]</f>
        <v>0</v>
      </c>
      <c r="N378" s="22" t="str">
        <f>+IF(Tabla2[[#This Row],[Variación Stock]]&gt;0,"Sobrante",IF(Tabla2[[#This Row],[Variación Stock]]&lt;0,"Faltante","Sin novedad"))</f>
        <v>Sin novedad</v>
      </c>
    </row>
    <row r="379" spans="1:14" hidden="1" x14ac:dyDescent="0.25">
      <c r="A379" s="11">
        <v>46053</v>
      </c>
      <c r="B379" s="5" t="s">
        <v>972</v>
      </c>
      <c r="C379" s="3" t="s">
        <v>213</v>
      </c>
      <c r="D379" s="5" t="s">
        <v>547</v>
      </c>
      <c r="E379" s="5" t="s">
        <v>117</v>
      </c>
      <c r="F379" s="6" t="s">
        <v>552</v>
      </c>
      <c r="G379" s="4" t="s">
        <v>1</v>
      </c>
      <c r="H379" s="25">
        <v>16.915926049999999</v>
      </c>
      <c r="I379" s="8">
        <v>1200</v>
      </c>
      <c r="J379" s="9">
        <v>0</v>
      </c>
      <c r="K379" s="7">
        <v>-1200</v>
      </c>
      <c r="L379" s="24">
        <f>+Tabla2[[#This Row],[Stock Inventario]]*Tabla2[[#This Row],[Coste LÃ­nea]]</f>
        <v>0</v>
      </c>
      <c r="M379" s="24">
        <f>+Tabla2[[#This Row],[Variación Stock]]*Tabla2[[#This Row],[Coste LÃ­nea]]</f>
        <v>-20299.111259999998</v>
      </c>
      <c r="N379" s="22" t="str">
        <f>+IF(Tabla2[[#This Row],[Variación Stock]]&gt;0,"Sobrante",IF(Tabla2[[#This Row],[Variación Stock]]&lt;0,"Faltante","Sin novedad"))</f>
        <v>Faltante</v>
      </c>
    </row>
    <row r="380" spans="1:14" hidden="1" x14ac:dyDescent="0.25">
      <c r="A380" s="11">
        <v>46053</v>
      </c>
      <c r="B380" s="5" t="s">
        <v>972</v>
      </c>
      <c r="C380" s="3" t="s">
        <v>213</v>
      </c>
      <c r="D380" s="5" t="s">
        <v>396</v>
      </c>
      <c r="E380" s="5" t="s">
        <v>117</v>
      </c>
      <c r="F380" s="6" t="s">
        <v>403</v>
      </c>
      <c r="G380" s="4" t="s">
        <v>1</v>
      </c>
      <c r="H380" s="25">
        <v>202.15</v>
      </c>
      <c r="I380" s="8">
        <v>1500</v>
      </c>
      <c r="J380" s="9">
        <v>350</v>
      </c>
      <c r="K380" s="7">
        <v>-1150</v>
      </c>
      <c r="L380" s="24">
        <f>+Tabla2[[#This Row],[Stock Inventario]]*Tabla2[[#This Row],[Coste LÃ­nea]]</f>
        <v>70752.5</v>
      </c>
      <c r="M380" s="24">
        <f>+Tabla2[[#This Row],[Variación Stock]]*Tabla2[[#This Row],[Coste LÃ­nea]]</f>
        <v>-232472.5</v>
      </c>
      <c r="N380" s="22" t="str">
        <f>+IF(Tabla2[[#This Row],[Variación Stock]]&gt;0,"Sobrante",IF(Tabla2[[#This Row],[Variación Stock]]&lt;0,"Faltante","Sin novedad"))</f>
        <v>Faltante</v>
      </c>
    </row>
    <row r="381" spans="1:14" hidden="1" x14ac:dyDescent="0.25">
      <c r="A381" s="11">
        <v>46053</v>
      </c>
      <c r="B381" s="5" t="s">
        <v>972</v>
      </c>
      <c r="C381" s="3" t="s">
        <v>213</v>
      </c>
      <c r="D381" s="5" t="s">
        <v>396</v>
      </c>
      <c r="E381" s="5" t="s">
        <v>117</v>
      </c>
      <c r="F381" s="6" t="s">
        <v>429</v>
      </c>
      <c r="G381" s="4" t="s">
        <v>1</v>
      </c>
      <c r="H381" s="25">
        <v>10.616</v>
      </c>
      <c r="I381" s="8">
        <v>0</v>
      </c>
      <c r="J381" s="9">
        <v>0</v>
      </c>
      <c r="K381" s="7">
        <v>0</v>
      </c>
      <c r="L381" s="24">
        <f>+Tabla2[[#This Row],[Stock Inventario]]*Tabla2[[#This Row],[Coste LÃ­nea]]</f>
        <v>0</v>
      </c>
      <c r="M381" s="24">
        <f>+Tabla2[[#This Row],[Variación Stock]]*Tabla2[[#This Row],[Coste LÃ­nea]]</f>
        <v>0</v>
      </c>
      <c r="N381" s="22" t="str">
        <f>+IF(Tabla2[[#This Row],[Variación Stock]]&gt;0,"Sobrante",IF(Tabla2[[#This Row],[Variación Stock]]&lt;0,"Faltante","Sin novedad"))</f>
        <v>Sin novedad</v>
      </c>
    </row>
    <row r="382" spans="1:14" hidden="1" x14ac:dyDescent="0.25">
      <c r="A382" s="11">
        <v>46053</v>
      </c>
      <c r="B382" s="5" t="s">
        <v>972</v>
      </c>
      <c r="C382" s="3" t="s">
        <v>213</v>
      </c>
      <c r="D382" s="5" t="s">
        <v>471</v>
      </c>
      <c r="E382" s="5" t="s">
        <v>117</v>
      </c>
      <c r="F382" s="6" t="s">
        <v>486</v>
      </c>
      <c r="G382" s="4" t="s">
        <v>1</v>
      </c>
      <c r="H382" s="25">
        <v>22</v>
      </c>
      <c r="I382" s="8">
        <v>1450</v>
      </c>
      <c r="J382" s="9">
        <v>0</v>
      </c>
      <c r="K382" s="7">
        <v>-1450</v>
      </c>
      <c r="L382" s="24">
        <f>+Tabla2[[#This Row],[Stock Inventario]]*Tabla2[[#This Row],[Coste LÃ­nea]]</f>
        <v>0</v>
      </c>
      <c r="M382" s="24">
        <f>+Tabla2[[#This Row],[Variación Stock]]*Tabla2[[#This Row],[Coste LÃ­nea]]</f>
        <v>-31900</v>
      </c>
      <c r="N382" s="22" t="str">
        <f>+IF(Tabla2[[#This Row],[Variación Stock]]&gt;0,"Sobrante",IF(Tabla2[[#This Row],[Variación Stock]]&lt;0,"Faltante","Sin novedad"))</f>
        <v>Faltante</v>
      </c>
    </row>
    <row r="383" spans="1:14" hidden="1" x14ac:dyDescent="0.25">
      <c r="A383" s="11">
        <v>46053</v>
      </c>
      <c r="B383" s="5" t="s">
        <v>972</v>
      </c>
      <c r="C383" s="3" t="s">
        <v>213</v>
      </c>
      <c r="D383" s="5" t="s">
        <v>396</v>
      </c>
      <c r="E383" s="5" t="s">
        <v>117</v>
      </c>
      <c r="F383" s="6" t="s">
        <v>431</v>
      </c>
      <c r="G383" s="4" t="s">
        <v>1</v>
      </c>
      <c r="H383" s="25">
        <v>4.8816600000000001</v>
      </c>
      <c r="I383" s="8">
        <v>85892.135500000004</v>
      </c>
      <c r="J383" s="9">
        <v>30000</v>
      </c>
      <c r="K383" s="7">
        <v>-55892.135499999997</v>
      </c>
      <c r="L383" s="24">
        <f>+Tabla2[[#This Row],[Stock Inventario]]*Tabla2[[#This Row],[Coste LÃ­nea]]</f>
        <v>146449.80000000002</v>
      </c>
      <c r="M383" s="24">
        <f>+Tabla2[[#This Row],[Variación Stock]]*Tabla2[[#This Row],[Coste LÃ­nea]]</f>
        <v>-272846.40218492999</v>
      </c>
      <c r="N383" s="22" t="str">
        <f>+IF(Tabla2[[#This Row],[Variación Stock]]&gt;0,"Sobrante",IF(Tabla2[[#This Row],[Variación Stock]]&lt;0,"Faltante","Sin novedad"))</f>
        <v>Faltante</v>
      </c>
    </row>
    <row r="384" spans="1:14" hidden="1" x14ac:dyDescent="0.25">
      <c r="A384" s="11">
        <v>46053</v>
      </c>
      <c r="B384" s="5" t="s">
        <v>972</v>
      </c>
      <c r="C384" s="3" t="s">
        <v>213</v>
      </c>
      <c r="D384" s="5" t="s">
        <v>1007</v>
      </c>
      <c r="E384" s="5" t="s">
        <v>117</v>
      </c>
      <c r="F384" s="6" t="s">
        <v>1008</v>
      </c>
      <c r="G384" s="4" t="s">
        <v>1</v>
      </c>
      <c r="H384" s="25">
        <v>5.38984547</v>
      </c>
      <c r="I384" s="8">
        <v>1698.69</v>
      </c>
      <c r="J384" s="9">
        <v>0</v>
      </c>
      <c r="K384" s="7">
        <v>-1698.69002</v>
      </c>
      <c r="L384" s="24">
        <f>+Tabla2[[#This Row],[Stock Inventario]]*Tabla2[[#This Row],[Coste LÃ­nea]]</f>
        <v>0</v>
      </c>
      <c r="M384" s="24">
        <f>+Tabla2[[#This Row],[Variación Stock]]*Tabla2[[#This Row],[Coste LÃ­nea]]</f>
        <v>-9155.6767092312093</v>
      </c>
      <c r="N384" s="22" t="str">
        <f>+IF(Tabla2[[#This Row],[Variación Stock]]&gt;0,"Sobrante",IF(Tabla2[[#This Row],[Variación Stock]]&lt;0,"Faltante","Sin novedad"))</f>
        <v>Faltante</v>
      </c>
    </row>
    <row r="385" spans="1:14" hidden="1" x14ac:dyDescent="0.25">
      <c r="A385" s="11">
        <v>46053</v>
      </c>
      <c r="B385" s="5" t="s">
        <v>972</v>
      </c>
      <c r="C385" s="3" t="s">
        <v>213</v>
      </c>
      <c r="D385" s="5" t="s">
        <v>396</v>
      </c>
      <c r="E385" s="5" t="s">
        <v>117</v>
      </c>
      <c r="F385" s="6" t="s">
        <v>850</v>
      </c>
      <c r="G385" s="4" t="s">
        <v>1</v>
      </c>
      <c r="H385" s="25">
        <v>7.7007000000000003</v>
      </c>
      <c r="I385" s="8">
        <v>-198</v>
      </c>
      <c r="J385" s="9">
        <v>0</v>
      </c>
      <c r="K385" s="7">
        <v>198</v>
      </c>
      <c r="L385" s="24">
        <f>+Tabla2[[#This Row],[Stock Inventario]]*Tabla2[[#This Row],[Coste LÃ­nea]]</f>
        <v>0</v>
      </c>
      <c r="M385" s="24">
        <f>+Tabla2[[#This Row],[Variación Stock]]*Tabla2[[#This Row],[Coste LÃ­nea]]</f>
        <v>1524.7386000000001</v>
      </c>
      <c r="N385" s="22" t="str">
        <f>+IF(Tabla2[[#This Row],[Variación Stock]]&gt;0,"Sobrante",IF(Tabla2[[#This Row],[Variación Stock]]&lt;0,"Faltante","Sin novedad"))</f>
        <v>Sobrante</v>
      </c>
    </row>
    <row r="386" spans="1:14" hidden="1" x14ac:dyDescent="0.25">
      <c r="A386" s="11">
        <v>46053</v>
      </c>
      <c r="B386" s="5" t="s">
        <v>972</v>
      </c>
      <c r="C386" s="3" t="s">
        <v>213</v>
      </c>
      <c r="D386" s="5" t="s">
        <v>396</v>
      </c>
      <c r="E386" s="5" t="s">
        <v>117</v>
      </c>
      <c r="F386" s="6" t="s">
        <v>432</v>
      </c>
      <c r="G386" s="4" t="s">
        <v>2</v>
      </c>
      <c r="H386" s="25">
        <v>32.9375</v>
      </c>
      <c r="I386" s="8">
        <v>1000</v>
      </c>
      <c r="J386" s="9">
        <v>100</v>
      </c>
      <c r="K386" s="7">
        <v>-900</v>
      </c>
      <c r="L386" s="24">
        <f>+Tabla2[[#This Row],[Stock Inventario]]*Tabla2[[#This Row],[Coste LÃ­nea]]</f>
        <v>3293.75</v>
      </c>
      <c r="M386" s="24">
        <f>+Tabla2[[#This Row],[Variación Stock]]*Tabla2[[#This Row],[Coste LÃ­nea]]</f>
        <v>-29643.75</v>
      </c>
      <c r="N386" s="22" t="str">
        <f>+IF(Tabla2[[#This Row],[Variación Stock]]&gt;0,"Sobrante",IF(Tabla2[[#This Row],[Variación Stock]]&lt;0,"Faltante","Sin novedad"))</f>
        <v>Faltante</v>
      </c>
    </row>
    <row r="387" spans="1:14" hidden="1" x14ac:dyDescent="0.25">
      <c r="A387" s="11">
        <v>46053</v>
      </c>
      <c r="B387" s="5" t="s">
        <v>972</v>
      </c>
      <c r="C387" s="3" t="s">
        <v>213</v>
      </c>
      <c r="D387" s="5" t="s">
        <v>815</v>
      </c>
      <c r="E387" s="5" t="s">
        <v>117</v>
      </c>
      <c r="F387" s="6" t="s">
        <v>963</v>
      </c>
      <c r="G387" s="4" t="s">
        <v>2</v>
      </c>
      <c r="H387" s="25">
        <v>2840</v>
      </c>
      <c r="I387" s="8">
        <v>15</v>
      </c>
      <c r="J387" s="9">
        <v>12</v>
      </c>
      <c r="K387" s="7">
        <v>-3</v>
      </c>
      <c r="L387" s="24">
        <f>+Tabla2[[#This Row],[Stock Inventario]]*Tabla2[[#This Row],[Coste LÃ­nea]]</f>
        <v>34080</v>
      </c>
      <c r="M387" s="24">
        <f>+Tabla2[[#This Row],[Variación Stock]]*Tabla2[[#This Row],[Coste LÃ­nea]]</f>
        <v>-8520</v>
      </c>
      <c r="N387" s="22" t="str">
        <f>+IF(Tabla2[[#This Row],[Variación Stock]]&gt;0,"Sobrante",IF(Tabla2[[#This Row],[Variación Stock]]&lt;0,"Faltante","Sin novedad"))</f>
        <v>Faltante</v>
      </c>
    </row>
    <row r="388" spans="1:14" hidden="1" x14ac:dyDescent="0.25">
      <c r="A388" s="11">
        <v>46053</v>
      </c>
      <c r="B388" s="5" t="s">
        <v>972</v>
      </c>
      <c r="C388" s="3" t="s">
        <v>213</v>
      </c>
      <c r="D388" s="5" t="s">
        <v>471</v>
      </c>
      <c r="E388" s="5" t="s">
        <v>117</v>
      </c>
      <c r="F388" s="6" t="s">
        <v>487</v>
      </c>
      <c r="G388" s="4" t="s">
        <v>1</v>
      </c>
      <c r="H388" s="25">
        <v>7</v>
      </c>
      <c r="I388" s="8">
        <v>-0.1163</v>
      </c>
      <c r="J388" s="9">
        <v>0</v>
      </c>
      <c r="K388" s="7">
        <v>0.11627899999999999</v>
      </c>
      <c r="L388" s="24">
        <f>+Tabla2[[#This Row],[Stock Inventario]]*Tabla2[[#This Row],[Coste LÃ­nea]]</f>
        <v>0</v>
      </c>
      <c r="M388" s="24">
        <f>+Tabla2[[#This Row],[Variación Stock]]*Tabla2[[#This Row],[Coste LÃ­nea]]</f>
        <v>0.81395299999999993</v>
      </c>
      <c r="N388" s="22" t="str">
        <f>+IF(Tabla2[[#This Row],[Variación Stock]]&gt;0,"Sobrante",IF(Tabla2[[#This Row],[Variación Stock]]&lt;0,"Faltante","Sin novedad"))</f>
        <v>Sobrante</v>
      </c>
    </row>
    <row r="389" spans="1:14" hidden="1" x14ac:dyDescent="0.25">
      <c r="A389" s="11">
        <v>46053</v>
      </c>
      <c r="B389" s="5" t="s">
        <v>972</v>
      </c>
      <c r="C389" s="3" t="s">
        <v>213</v>
      </c>
      <c r="D389" s="5" t="s">
        <v>396</v>
      </c>
      <c r="E389" s="5" t="s">
        <v>117</v>
      </c>
      <c r="F389" s="6" t="s">
        <v>979</v>
      </c>
      <c r="G389" s="4" t="s">
        <v>2</v>
      </c>
      <c r="H389" s="25">
        <v>414.77083333000002</v>
      </c>
      <c r="I389" s="8">
        <v>75</v>
      </c>
      <c r="J389" s="9">
        <v>56</v>
      </c>
      <c r="K389" s="7">
        <v>-19</v>
      </c>
      <c r="L389" s="24">
        <f>+Tabla2[[#This Row],[Stock Inventario]]*Tabla2[[#This Row],[Coste LÃ­nea]]</f>
        <v>23227.16666648</v>
      </c>
      <c r="M389" s="24">
        <f>+Tabla2[[#This Row],[Variación Stock]]*Tabla2[[#This Row],[Coste LÃ­nea]]</f>
        <v>-7880.6458332700004</v>
      </c>
      <c r="N389" s="22" t="str">
        <f>+IF(Tabla2[[#This Row],[Variación Stock]]&gt;0,"Sobrante",IF(Tabla2[[#This Row],[Variación Stock]]&lt;0,"Faltante","Sin novedad"))</f>
        <v>Faltante</v>
      </c>
    </row>
    <row r="390" spans="1:14" x14ac:dyDescent="0.25">
      <c r="A390" s="11">
        <v>46053</v>
      </c>
      <c r="B390" s="5" t="s">
        <v>972</v>
      </c>
      <c r="C390" s="3" t="s">
        <v>213</v>
      </c>
      <c r="D390" s="5" t="s">
        <v>111</v>
      </c>
      <c r="E390" s="5" t="s">
        <v>112</v>
      </c>
      <c r="F390" s="6" t="s">
        <v>232</v>
      </c>
      <c r="G390" s="4" t="s">
        <v>0</v>
      </c>
      <c r="H390" s="25">
        <v>4791.0833333299997</v>
      </c>
      <c r="I390" s="8">
        <v>0</v>
      </c>
      <c r="J390" s="9">
        <v>0</v>
      </c>
      <c r="K390" s="7">
        <v>0</v>
      </c>
      <c r="L390" s="24">
        <f>+Tabla2[[#This Row],[Stock Inventario]]*Tabla2[[#This Row],[Coste LÃ­nea]]</f>
        <v>0</v>
      </c>
      <c r="M390" s="24">
        <f>+Tabla2[[#This Row],[Variación Stock]]*Tabla2[[#This Row],[Coste LÃ­nea]]</f>
        <v>0</v>
      </c>
      <c r="N390" s="22" t="str">
        <f>+IF(Tabla2[[#This Row],[Variación Stock]]&gt;0,"Sobrante",IF(Tabla2[[#This Row],[Variación Stock]]&lt;0,"Faltante","Sin novedad"))</f>
        <v>Sin novedad</v>
      </c>
    </row>
    <row r="391" spans="1:14" x14ac:dyDescent="0.25">
      <c r="A391" s="11">
        <v>46037</v>
      </c>
      <c r="B391" s="5" t="s">
        <v>212</v>
      </c>
      <c r="C391" s="3" t="s">
        <v>213</v>
      </c>
      <c r="D391" s="5" t="s">
        <v>111</v>
      </c>
      <c r="E391" s="5" t="s">
        <v>112</v>
      </c>
      <c r="F391" s="6" t="s">
        <v>142</v>
      </c>
      <c r="G391" s="4" t="s">
        <v>0</v>
      </c>
      <c r="H391" s="24">
        <v>2457.3333333300002</v>
      </c>
      <c r="I391" s="8">
        <v>24</v>
      </c>
      <c r="J391" s="9">
        <v>0</v>
      </c>
      <c r="K391" s="7">
        <v>-24</v>
      </c>
      <c r="L391" s="24">
        <f>+Tabla2[[#This Row],[Stock Inventario]]*Tabla2[[#This Row],[Coste LÃ­nea]]</f>
        <v>0</v>
      </c>
      <c r="M391" s="24">
        <f>+Tabla2[[#This Row],[Variación Stock]]*Tabla2[[#This Row],[Coste LÃ­nea]]</f>
        <v>-58975.999999920008</v>
      </c>
      <c r="N391" s="22" t="str">
        <f>+IF(Tabla2[[#This Row],[Variación Stock]]&gt;0,"Sobrante",IF(Tabla2[[#This Row],[Variación Stock]]&lt;0,"Faltante","Sin novedad"))</f>
        <v>Faltante</v>
      </c>
    </row>
    <row r="392" spans="1:14" x14ac:dyDescent="0.25">
      <c r="A392" s="11">
        <v>46044</v>
      </c>
      <c r="B392" s="5" t="s">
        <v>383</v>
      </c>
      <c r="C392" s="3" t="s">
        <v>213</v>
      </c>
      <c r="D392" s="5" t="s">
        <v>111</v>
      </c>
      <c r="E392" s="5" t="s">
        <v>112</v>
      </c>
      <c r="F392" s="6" t="s">
        <v>142</v>
      </c>
      <c r="G392" s="4" t="s">
        <v>0</v>
      </c>
      <c r="H392" s="25">
        <v>2961.2083333300002</v>
      </c>
      <c r="I392" s="8">
        <v>0</v>
      </c>
      <c r="J392" s="9">
        <v>0</v>
      </c>
      <c r="K392" s="7">
        <v>0</v>
      </c>
      <c r="L392" s="24">
        <f>+Tabla2[[#This Row],[Stock Inventario]]*Tabla2[[#This Row],[Coste LÃ­nea]]</f>
        <v>0</v>
      </c>
      <c r="M392" s="24">
        <f>+Tabla2[[#This Row],[Variación Stock]]*Tabla2[[#This Row],[Coste LÃ­nea]]</f>
        <v>0</v>
      </c>
      <c r="N392" s="22" t="str">
        <f>+IF(Tabla2[[#This Row],[Variación Stock]]&gt;0,"Sobrante",IF(Tabla2[[#This Row],[Variación Stock]]&lt;0,"Faltante","Sin novedad"))</f>
        <v>Sin novedad</v>
      </c>
    </row>
    <row r="393" spans="1:14" x14ac:dyDescent="0.25">
      <c r="A393" s="11">
        <v>46053</v>
      </c>
      <c r="B393" s="5" t="s">
        <v>972</v>
      </c>
      <c r="C393" s="3" t="s">
        <v>213</v>
      </c>
      <c r="D393" s="5" t="s">
        <v>111</v>
      </c>
      <c r="E393" s="5" t="s">
        <v>112</v>
      </c>
      <c r="F393" s="6" t="s">
        <v>142</v>
      </c>
      <c r="G393" s="4" t="s">
        <v>0</v>
      </c>
      <c r="H393" s="25">
        <v>2680.7272727300001</v>
      </c>
      <c r="I393" s="8">
        <v>0</v>
      </c>
      <c r="J393" s="9">
        <v>0</v>
      </c>
      <c r="K393" s="7">
        <v>0</v>
      </c>
      <c r="L393" s="24">
        <f>+Tabla2[[#This Row],[Stock Inventario]]*Tabla2[[#This Row],[Coste LÃ­nea]]</f>
        <v>0</v>
      </c>
      <c r="M393" s="24">
        <f>+Tabla2[[#This Row],[Variación Stock]]*Tabla2[[#This Row],[Coste LÃ­nea]]</f>
        <v>0</v>
      </c>
      <c r="N393" s="22" t="str">
        <f>+IF(Tabla2[[#This Row],[Variación Stock]]&gt;0,"Sobrante",IF(Tabla2[[#This Row],[Variación Stock]]&lt;0,"Faltante","Sin novedad"))</f>
        <v>Sin novedad</v>
      </c>
    </row>
    <row r="394" spans="1:14" x14ac:dyDescent="0.25">
      <c r="A394" s="11">
        <v>46037</v>
      </c>
      <c r="B394" s="5" t="s">
        <v>212</v>
      </c>
      <c r="C394" s="3" t="s">
        <v>213</v>
      </c>
      <c r="D394" s="5" t="s">
        <v>111</v>
      </c>
      <c r="E394" s="5" t="s">
        <v>112</v>
      </c>
      <c r="F394" s="6" t="s">
        <v>53</v>
      </c>
      <c r="G394" s="4" t="s">
        <v>2</v>
      </c>
      <c r="H394" s="24">
        <v>70078</v>
      </c>
      <c r="I394" s="8">
        <v>2</v>
      </c>
      <c r="J394" s="9">
        <v>2</v>
      </c>
      <c r="K394" s="7">
        <v>0</v>
      </c>
      <c r="L394" s="24">
        <f>+Tabla2[[#This Row],[Stock Inventario]]*Tabla2[[#This Row],[Coste LÃ­nea]]</f>
        <v>140156</v>
      </c>
      <c r="M394" s="24">
        <f>+Tabla2[[#This Row],[Variación Stock]]*Tabla2[[#This Row],[Coste LÃ­nea]]</f>
        <v>0</v>
      </c>
      <c r="N394" s="22" t="str">
        <f>+IF(Tabla2[[#This Row],[Variación Stock]]&gt;0,"Sobrante",IF(Tabla2[[#This Row],[Variación Stock]]&lt;0,"Faltante","Sin novedad"))</f>
        <v>Sin novedad</v>
      </c>
    </row>
    <row r="395" spans="1:14" x14ac:dyDescent="0.25">
      <c r="A395" s="11">
        <v>46044</v>
      </c>
      <c r="B395" s="5" t="s">
        <v>383</v>
      </c>
      <c r="C395" s="3" t="s">
        <v>213</v>
      </c>
      <c r="D395" s="5" t="s">
        <v>111</v>
      </c>
      <c r="E395" s="5" t="s">
        <v>112</v>
      </c>
      <c r="F395" s="6" t="s">
        <v>53</v>
      </c>
      <c r="G395" s="4" t="s">
        <v>2</v>
      </c>
      <c r="H395" s="25">
        <v>70078</v>
      </c>
      <c r="I395" s="8">
        <v>2</v>
      </c>
      <c r="J395" s="9">
        <v>2</v>
      </c>
      <c r="K395" s="7">
        <v>0</v>
      </c>
      <c r="L395" s="24">
        <f>+Tabla2[[#This Row],[Stock Inventario]]*Tabla2[[#This Row],[Coste LÃ­nea]]</f>
        <v>140156</v>
      </c>
      <c r="M395" s="24">
        <f>+Tabla2[[#This Row],[Variación Stock]]*Tabla2[[#This Row],[Coste LÃ­nea]]</f>
        <v>0</v>
      </c>
      <c r="N395" s="22" t="str">
        <f>+IF(Tabla2[[#This Row],[Variación Stock]]&gt;0,"Sobrante",IF(Tabla2[[#This Row],[Variación Stock]]&lt;0,"Faltante","Sin novedad"))</f>
        <v>Sin novedad</v>
      </c>
    </row>
    <row r="396" spans="1:14" x14ac:dyDescent="0.25">
      <c r="A396" s="11">
        <v>46053</v>
      </c>
      <c r="B396" s="5" t="s">
        <v>972</v>
      </c>
      <c r="C396" s="3" t="s">
        <v>213</v>
      </c>
      <c r="D396" s="5" t="s">
        <v>111</v>
      </c>
      <c r="E396" s="5" t="s">
        <v>112</v>
      </c>
      <c r="F396" s="6" t="s">
        <v>53</v>
      </c>
      <c r="G396" s="4" t="s">
        <v>2</v>
      </c>
      <c r="H396" s="25">
        <v>41250</v>
      </c>
      <c r="I396" s="8">
        <v>2</v>
      </c>
      <c r="J396" s="9">
        <v>2</v>
      </c>
      <c r="K396" s="7">
        <v>0</v>
      </c>
      <c r="L396" s="24">
        <f>+Tabla2[[#This Row],[Stock Inventario]]*Tabla2[[#This Row],[Coste LÃ­nea]]</f>
        <v>82500</v>
      </c>
      <c r="M396" s="24">
        <f>+Tabla2[[#This Row],[Variación Stock]]*Tabla2[[#This Row],[Coste LÃ­nea]]</f>
        <v>0</v>
      </c>
      <c r="N396" s="22" t="str">
        <f>+IF(Tabla2[[#This Row],[Variación Stock]]&gt;0,"Sobrante",IF(Tabla2[[#This Row],[Variación Stock]]&lt;0,"Faltante","Sin novedad"))</f>
        <v>Sin novedad</v>
      </c>
    </row>
    <row r="397" spans="1:14" x14ac:dyDescent="0.25">
      <c r="A397" s="11">
        <v>46037</v>
      </c>
      <c r="B397" s="5" t="s">
        <v>212</v>
      </c>
      <c r="C397" s="3" t="s">
        <v>213</v>
      </c>
      <c r="D397" s="5" t="s">
        <v>111</v>
      </c>
      <c r="E397" s="5" t="s">
        <v>112</v>
      </c>
      <c r="F397" s="6" t="s">
        <v>143</v>
      </c>
      <c r="G397" s="4" t="s">
        <v>2</v>
      </c>
      <c r="H397" s="24">
        <v>24583</v>
      </c>
      <c r="I397" s="8">
        <v>2</v>
      </c>
      <c r="J397" s="9">
        <v>2</v>
      </c>
      <c r="K397" s="7">
        <v>0</v>
      </c>
      <c r="L397" s="24">
        <f>+Tabla2[[#This Row],[Stock Inventario]]*Tabla2[[#This Row],[Coste LÃ­nea]]</f>
        <v>49166</v>
      </c>
      <c r="M397" s="24">
        <f>+Tabla2[[#This Row],[Variación Stock]]*Tabla2[[#This Row],[Coste LÃ­nea]]</f>
        <v>0</v>
      </c>
      <c r="N397" s="22" t="str">
        <f>+IF(Tabla2[[#This Row],[Variación Stock]]&gt;0,"Sobrante",IF(Tabla2[[#This Row],[Variación Stock]]&lt;0,"Faltante","Sin novedad"))</f>
        <v>Sin novedad</v>
      </c>
    </row>
    <row r="398" spans="1:14" x14ac:dyDescent="0.25">
      <c r="A398" s="11">
        <v>46044</v>
      </c>
      <c r="B398" s="5" t="s">
        <v>383</v>
      </c>
      <c r="C398" s="3" t="s">
        <v>213</v>
      </c>
      <c r="D398" s="5" t="s">
        <v>111</v>
      </c>
      <c r="E398" s="5" t="s">
        <v>112</v>
      </c>
      <c r="F398" s="6" t="s">
        <v>143</v>
      </c>
      <c r="G398" s="4" t="s">
        <v>2</v>
      </c>
      <c r="H398" s="25">
        <v>24583</v>
      </c>
      <c r="I398" s="8">
        <v>2</v>
      </c>
      <c r="J398" s="9">
        <v>2</v>
      </c>
      <c r="K398" s="7">
        <v>0</v>
      </c>
      <c r="L398" s="24">
        <f>+Tabla2[[#This Row],[Stock Inventario]]*Tabla2[[#This Row],[Coste LÃ­nea]]</f>
        <v>49166</v>
      </c>
      <c r="M398" s="24">
        <f>+Tabla2[[#This Row],[Variación Stock]]*Tabla2[[#This Row],[Coste LÃ­nea]]</f>
        <v>0</v>
      </c>
      <c r="N398" s="22" t="str">
        <f>+IF(Tabla2[[#This Row],[Variación Stock]]&gt;0,"Sobrante",IF(Tabla2[[#This Row],[Variación Stock]]&lt;0,"Faltante","Sin novedad"))</f>
        <v>Sin novedad</v>
      </c>
    </row>
    <row r="399" spans="1:14" x14ac:dyDescent="0.25">
      <c r="A399" s="11">
        <v>46053</v>
      </c>
      <c r="B399" s="5" t="s">
        <v>972</v>
      </c>
      <c r="C399" s="3" t="s">
        <v>213</v>
      </c>
      <c r="D399" s="5" t="s">
        <v>111</v>
      </c>
      <c r="E399" s="5" t="s">
        <v>112</v>
      </c>
      <c r="F399" s="6" t="s">
        <v>143</v>
      </c>
      <c r="G399" s="4" t="s">
        <v>2</v>
      </c>
      <c r="H399" s="25">
        <v>24583</v>
      </c>
      <c r="I399" s="8">
        <v>2</v>
      </c>
      <c r="J399" s="9">
        <v>2</v>
      </c>
      <c r="K399" s="7">
        <v>0</v>
      </c>
      <c r="L399" s="24">
        <f>+Tabla2[[#This Row],[Stock Inventario]]*Tabla2[[#This Row],[Coste LÃ­nea]]</f>
        <v>49166</v>
      </c>
      <c r="M399" s="24">
        <f>+Tabla2[[#This Row],[Variación Stock]]*Tabla2[[#This Row],[Coste LÃ­nea]]</f>
        <v>0</v>
      </c>
      <c r="N399" s="22" t="str">
        <f>+IF(Tabla2[[#This Row],[Variación Stock]]&gt;0,"Sobrante",IF(Tabla2[[#This Row],[Variación Stock]]&lt;0,"Faltante","Sin novedad"))</f>
        <v>Sin novedad</v>
      </c>
    </row>
    <row r="400" spans="1:14" hidden="1" x14ac:dyDescent="0.25">
      <c r="A400" s="11">
        <v>46053</v>
      </c>
      <c r="B400" s="5" t="s">
        <v>972</v>
      </c>
      <c r="C400" s="3" t="s">
        <v>213</v>
      </c>
      <c r="D400" s="5" t="s">
        <v>803</v>
      </c>
      <c r="E400" s="5" t="s">
        <v>117</v>
      </c>
      <c r="F400" s="6" t="s">
        <v>957</v>
      </c>
      <c r="G400" s="4" t="s">
        <v>1</v>
      </c>
      <c r="H400" s="25">
        <f>60288/5000</f>
        <v>12.057600000000001</v>
      </c>
      <c r="I400" s="8">
        <v>0</v>
      </c>
      <c r="J400" s="9">
        <v>0</v>
      </c>
      <c r="K400" s="7">
        <v>0</v>
      </c>
      <c r="L400" s="24">
        <f>+Tabla2[[#This Row],[Stock Inventario]]*Tabla2[[#This Row],[Coste LÃ­nea]]</f>
        <v>0</v>
      </c>
      <c r="M400" s="24">
        <f>+Tabla2[[#This Row],[Variación Stock]]*Tabla2[[#This Row],[Coste LÃ­nea]]</f>
        <v>0</v>
      </c>
      <c r="N400" s="22" t="str">
        <f>+IF(Tabla2[[#This Row],[Variación Stock]]&gt;0,"Sobrante",IF(Tabla2[[#This Row],[Variación Stock]]&lt;0,"Faltante","Sin novedad"))</f>
        <v>Sin novedad</v>
      </c>
    </row>
    <row r="401" spans="1:14" hidden="1" x14ac:dyDescent="0.25">
      <c r="A401" s="11">
        <v>46053</v>
      </c>
      <c r="B401" s="5" t="s">
        <v>972</v>
      </c>
      <c r="C401" s="3" t="s">
        <v>213</v>
      </c>
      <c r="D401" s="5" t="s">
        <v>116</v>
      </c>
      <c r="E401" s="5" t="s">
        <v>117</v>
      </c>
      <c r="F401" s="6" t="s">
        <v>251</v>
      </c>
      <c r="G401" s="4" t="s">
        <v>2</v>
      </c>
      <c r="H401" s="25">
        <v>4190</v>
      </c>
      <c r="I401" s="8">
        <v>17</v>
      </c>
      <c r="J401" s="9">
        <v>0</v>
      </c>
      <c r="K401" s="7">
        <v>-17</v>
      </c>
      <c r="L401" s="24">
        <f>+Tabla2[[#This Row],[Stock Inventario]]*Tabla2[[#This Row],[Coste LÃ­nea]]</f>
        <v>0</v>
      </c>
      <c r="M401" s="24">
        <f>+Tabla2[[#This Row],[Variación Stock]]*Tabla2[[#This Row],[Coste LÃ­nea]]</f>
        <v>-71230</v>
      </c>
      <c r="N401" s="22" t="str">
        <f>+IF(Tabla2[[#This Row],[Variación Stock]]&gt;0,"Sobrante",IF(Tabla2[[#This Row],[Variación Stock]]&lt;0,"Faltante","Sin novedad"))</f>
        <v>Faltante</v>
      </c>
    </row>
    <row r="402" spans="1:14" x14ac:dyDescent="0.25">
      <c r="A402" s="11">
        <v>46037</v>
      </c>
      <c r="B402" s="5" t="s">
        <v>212</v>
      </c>
      <c r="C402" s="3" t="s">
        <v>213</v>
      </c>
      <c r="D402" s="5" t="s">
        <v>111</v>
      </c>
      <c r="E402" s="5" t="s">
        <v>112</v>
      </c>
      <c r="F402" s="6" t="s">
        <v>54</v>
      </c>
      <c r="G402" s="4" t="s">
        <v>0</v>
      </c>
      <c r="H402" s="24">
        <v>2134.5416666699998</v>
      </c>
      <c r="I402" s="8">
        <v>72</v>
      </c>
      <c r="J402" s="9">
        <v>60</v>
      </c>
      <c r="K402" s="7">
        <v>-12</v>
      </c>
      <c r="L402" s="24">
        <f>+Tabla2[[#This Row],[Stock Inventario]]*Tabla2[[#This Row],[Coste LÃ­nea]]</f>
        <v>128072.50000019999</v>
      </c>
      <c r="M402" s="24">
        <f>+Tabla2[[#This Row],[Variación Stock]]*Tabla2[[#This Row],[Coste LÃ­nea]]</f>
        <v>-25614.500000039996</v>
      </c>
      <c r="N402" s="22" t="str">
        <f>+IF(Tabla2[[#This Row],[Variación Stock]]&gt;0,"Sobrante",IF(Tabla2[[#This Row],[Variación Stock]]&lt;0,"Faltante","Sin novedad"))</f>
        <v>Faltante</v>
      </c>
    </row>
    <row r="403" spans="1:14" hidden="1" x14ac:dyDescent="0.25">
      <c r="A403" s="11">
        <v>46053</v>
      </c>
      <c r="B403" s="5" t="s">
        <v>972</v>
      </c>
      <c r="C403" s="3" t="s">
        <v>213</v>
      </c>
      <c r="D403" s="5" t="s">
        <v>559</v>
      </c>
      <c r="E403" s="5" t="s">
        <v>1080</v>
      </c>
      <c r="F403" s="6" t="s">
        <v>562</v>
      </c>
      <c r="G403" s="4" t="s">
        <v>2</v>
      </c>
      <c r="H403" s="25">
        <v>1700</v>
      </c>
      <c r="I403" s="8">
        <v>1</v>
      </c>
      <c r="J403" s="9">
        <v>0</v>
      </c>
      <c r="K403" s="7">
        <v>-1</v>
      </c>
      <c r="L403" s="24">
        <f>+Tabla2[[#This Row],[Stock Inventario]]*Tabla2[[#This Row],[Coste LÃ­nea]]</f>
        <v>0</v>
      </c>
      <c r="M403" s="24">
        <f>+Tabla2[[#This Row],[Variación Stock]]*Tabla2[[#This Row],[Coste LÃ­nea]]</f>
        <v>-1700</v>
      </c>
      <c r="N403" s="22" t="str">
        <f>+IF(Tabla2[[#This Row],[Variación Stock]]&gt;0,"Sobrante",IF(Tabla2[[#This Row],[Variación Stock]]&lt;0,"Faltante","Sin novedad"))</f>
        <v>Faltante</v>
      </c>
    </row>
    <row r="404" spans="1:14" hidden="1" x14ac:dyDescent="0.25">
      <c r="A404" s="11">
        <v>46053</v>
      </c>
      <c r="B404" s="5" t="s">
        <v>972</v>
      </c>
      <c r="C404" s="3" t="s">
        <v>213</v>
      </c>
      <c r="D404" s="5" t="s">
        <v>559</v>
      </c>
      <c r="E404" s="5" t="s">
        <v>1080</v>
      </c>
      <c r="F404" s="6" t="s">
        <v>587</v>
      </c>
      <c r="G404" s="4" t="s">
        <v>2</v>
      </c>
      <c r="H404" s="25">
        <v>320</v>
      </c>
      <c r="I404" s="8">
        <v>1</v>
      </c>
      <c r="J404" s="9">
        <v>0</v>
      </c>
      <c r="K404" s="7">
        <v>-1</v>
      </c>
      <c r="L404" s="24">
        <f>+Tabla2[[#This Row],[Stock Inventario]]*Tabla2[[#This Row],[Coste LÃ­nea]]</f>
        <v>0</v>
      </c>
      <c r="M404" s="24">
        <f>+Tabla2[[#This Row],[Variación Stock]]*Tabla2[[#This Row],[Coste LÃ­nea]]</f>
        <v>-320</v>
      </c>
      <c r="N404" s="22" t="str">
        <f>+IF(Tabla2[[#This Row],[Variación Stock]]&gt;0,"Sobrante",IF(Tabla2[[#This Row],[Variación Stock]]&lt;0,"Faltante","Sin novedad"))</f>
        <v>Faltante</v>
      </c>
    </row>
    <row r="405" spans="1:14" hidden="1" x14ac:dyDescent="0.25">
      <c r="A405" s="11">
        <v>46053</v>
      </c>
      <c r="B405" s="5" t="s">
        <v>972</v>
      </c>
      <c r="C405" s="3" t="s">
        <v>213</v>
      </c>
      <c r="D405" s="5" t="s">
        <v>626</v>
      </c>
      <c r="E405" s="5" t="s">
        <v>1079</v>
      </c>
      <c r="F405" s="6" t="s">
        <v>639</v>
      </c>
      <c r="G405" s="4" t="s">
        <v>2</v>
      </c>
      <c r="H405" s="25">
        <v>68.3</v>
      </c>
      <c r="I405" s="8">
        <v>7625</v>
      </c>
      <c r="J405" s="9">
        <v>32</v>
      </c>
      <c r="K405" s="7">
        <v>-7593</v>
      </c>
      <c r="L405" s="24">
        <f>+Tabla2[[#This Row],[Stock Inventario]]*Tabla2[[#This Row],[Coste LÃ­nea]]</f>
        <v>2185.6</v>
      </c>
      <c r="M405" s="24">
        <f>+Tabla2[[#This Row],[Variación Stock]]*Tabla2[[#This Row],[Coste LÃ­nea]]</f>
        <v>-518601.89999999997</v>
      </c>
      <c r="N405" s="22" t="str">
        <f>+IF(Tabla2[[#This Row],[Variación Stock]]&gt;0,"Sobrante",IF(Tabla2[[#This Row],[Variación Stock]]&lt;0,"Faltante","Sin novedad"))</f>
        <v>Faltante</v>
      </c>
    </row>
    <row r="406" spans="1:14" hidden="1" x14ac:dyDescent="0.25">
      <c r="A406" s="11">
        <v>46053</v>
      </c>
      <c r="B406" s="5" t="s">
        <v>972</v>
      </c>
      <c r="C406" s="3" t="s">
        <v>213</v>
      </c>
      <c r="D406" s="5" t="s">
        <v>626</v>
      </c>
      <c r="E406" s="5" t="s">
        <v>1079</v>
      </c>
      <c r="F406" s="6" t="s">
        <v>1027</v>
      </c>
      <c r="G406" s="4" t="s">
        <v>2</v>
      </c>
      <c r="H406" s="25">
        <v>148.75</v>
      </c>
      <c r="I406" s="8">
        <v>500</v>
      </c>
      <c r="J406" s="9">
        <v>0</v>
      </c>
      <c r="K406" s="7">
        <v>-500</v>
      </c>
      <c r="L406" s="24">
        <f>+Tabla2[[#This Row],[Stock Inventario]]*Tabla2[[#This Row],[Coste LÃ­nea]]</f>
        <v>0</v>
      </c>
      <c r="M406" s="24">
        <f>+Tabla2[[#This Row],[Variación Stock]]*Tabla2[[#This Row],[Coste LÃ­nea]]</f>
        <v>-74375</v>
      </c>
      <c r="N406" s="22" t="str">
        <f>+IF(Tabla2[[#This Row],[Variación Stock]]&gt;0,"Sobrante",IF(Tabla2[[#This Row],[Variación Stock]]&lt;0,"Faltante","Sin novedad"))</f>
        <v>Faltante</v>
      </c>
    </row>
    <row r="407" spans="1:14" hidden="1" x14ac:dyDescent="0.25">
      <c r="A407" s="11">
        <v>46053</v>
      </c>
      <c r="B407" s="5" t="s">
        <v>972</v>
      </c>
      <c r="C407" s="3" t="s">
        <v>213</v>
      </c>
      <c r="D407" s="5" t="s">
        <v>559</v>
      </c>
      <c r="E407" s="5" t="s">
        <v>1080</v>
      </c>
      <c r="F407" s="6" t="s">
        <v>602</v>
      </c>
      <c r="G407" s="4" t="s">
        <v>2</v>
      </c>
      <c r="H407" s="25">
        <v>1550</v>
      </c>
      <c r="I407" s="8">
        <v>10151</v>
      </c>
      <c r="J407" s="9">
        <v>0</v>
      </c>
      <c r="K407" s="7">
        <v>-10151</v>
      </c>
      <c r="L407" s="24">
        <f>+Tabla2[[#This Row],[Stock Inventario]]*Tabla2[[#This Row],[Coste LÃ­nea]]</f>
        <v>0</v>
      </c>
      <c r="M407" s="24">
        <f>+Tabla2[[#This Row],[Variación Stock]]*Tabla2[[#This Row],[Coste LÃ­nea]]</f>
        <v>-15734050</v>
      </c>
      <c r="N407" s="22" t="str">
        <f>+IF(Tabla2[[#This Row],[Variación Stock]]&gt;0,"Sobrante",IF(Tabla2[[#This Row],[Variación Stock]]&lt;0,"Faltante","Sin novedad"))</f>
        <v>Faltante</v>
      </c>
    </row>
    <row r="408" spans="1:14" hidden="1" x14ac:dyDescent="0.25">
      <c r="A408" s="11">
        <v>46053</v>
      </c>
      <c r="B408" s="5" t="s">
        <v>972</v>
      </c>
      <c r="C408" s="3" t="s">
        <v>213</v>
      </c>
      <c r="D408" s="5" t="s">
        <v>626</v>
      </c>
      <c r="E408" s="5" t="s">
        <v>1079</v>
      </c>
      <c r="F408" s="6" t="s">
        <v>630</v>
      </c>
      <c r="G408" s="4" t="s">
        <v>2</v>
      </c>
      <c r="H408" s="25">
        <v>672.26666666999995</v>
      </c>
      <c r="I408" s="8">
        <v>165</v>
      </c>
      <c r="J408" s="9">
        <v>32</v>
      </c>
      <c r="K408" s="7">
        <v>-133</v>
      </c>
      <c r="L408" s="24">
        <f>+Tabla2[[#This Row],[Stock Inventario]]*Tabla2[[#This Row],[Coste LÃ­nea]]</f>
        <v>21512.533333439998</v>
      </c>
      <c r="M408" s="24">
        <f>+Tabla2[[#This Row],[Variación Stock]]*Tabla2[[#This Row],[Coste LÃ­nea]]</f>
        <v>-89411.466667109999</v>
      </c>
      <c r="N408" s="22" t="str">
        <f>+IF(Tabla2[[#This Row],[Variación Stock]]&gt;0,"Sobrante",IF(Tabla2[[#This Row],[Variación Stock]]&lt;0,"Faltante","Sin novedad"))</f>
        <v>Faltante</v>
      </c>
    </row>
    <row r="409" spans="1:14" hidden="1" x14ac:dyDescent="0.25">
      <c r="A409" s="11">
        <v>46053</v>
      </c>
      <c r="B409" s="5" t="s">
        <v>972</v>
      </c>
      <c r="C409" s="3" t="s">
        <v>213</v>
      </c>
      <c r="D409" s="5" t="s">
        <v>559</v>
      </c>
      <c r="E409" s="5" t="s">
        <v>1080</v>
      </c>
      <c r="F409" s="6" t="s">
        <v>1016</v>
      </c>
      <c r="G409" s="4" t="s">
        <v>2</v>
      </c>
      <c r="H409" s="25">
        <v>107.1</v>
      </c>
      <c r="I409" s="8">
        <v>10150</v>
      </c>
      <c r="J409" s="9">
        <v>12700</v>
      </c>
      <c r="K409" s="7">
        <v>2550</v>
      </c>
      <c r="L409" s="24">
        <f>+Tabla2[[#This Row],[Stock Inventario]]*Tabla2[[#This Row],[Coste LÃ­nea]]</f>
        <v>1360170</v>
      </c>
      <c r="M409" s="24">
        <f>+Tabla2[[#This Row],[Variación Stock]]*Tabla2[[#This Row],[Coste LÃ­nea]]</f>
        <v>273105</v>
      </c>
      <c r="N409" s="22" t="str">
        <f>+IF(Tabla2[[#This Row],[Variación Stock]]&gt;0,"Sobrante",IF(Tabla2[[#This Row],[Variación Stock]]&lt;0,"Faltante","Sin novedad"))</f>
        <v>Sobrante</v>
      </c>
    </row>
    <row r="410" spans="1:14" hidden="1" x14ac:dyDescent="0.25">
      <c r="A410" s="11">
        <v>46053</v>
      </c>
      <c r="B410" s="5" t="s">
        <v>972</v>
      </c>
      <c r="C410" s="3" t="s">
        <v>213</v>
      </c>
      <c r="D410" s="5" t="s">
        <v>559</v>
      </c>
      <c r="E410" s="5" t="s">
        <v>1080</v>
      </c>
      <c r="F410" s="6" t="s">
        <v>572</v>
      </c>
      <c r="G410" s="4" t="s">
        <v>2</v>
      </c>
      <c r="H410" s="25">
        <v>39.03</v>
      </c>
      <c r="I410" s="8">
        <v>550</v>
      </c>
      <c r="J410" s="9">
        <v>880</v>
      </c>
      <c r="K410" s="7">
        <v>330</v>
      </c>
      <c r="L410" s="24">
        <f>+Tabla2[[#This Row],[Stock Inventario]]*Tabla2[[#This Row],[Coste LÃ­nea]]</f>
        <v>34346.400000000001</v>
      </c>
      <c r="M410" s="24">
        <f>+Tabla2[[#This Row],[Variación Stock]]*Tabla2[[#This Row],[Coste LÃ­nea]]</f>
        <v>12879.9</v>
      </c>
      <c r="N410" s="22" t="str">
        <f>+IF(Tabla2[[#This Row],[Variación Stock]]&gt;0,"Sobrante",IF(Tabla2[[#This Row],[Variación Stock]]&lt;0,"Faltante","Sin novedad"))</f>
        <v>Sobrante</v>
      </c>
    </row>
    <row r="411" spans="1:14" hidden="1" x14ac:dyDescent="0.25">
      <c r="A411" s="11">
        <v>46053</v>
      </c>
      <c r="B411" s="5" t="s">
        <v>972</v>
      </c>
      <c r="C411" s="3" t="s">
        <v>213</v>
      </c>
      <c r="D411" s="5" t="s">
        <v>559</v>
      </c>
      <c r="E411" s="5" t="s">
        <v>1080</v>
      </c>
      <c r="F411" s="6" t="s">
        <v>573</v>
      </c>
      <c r="G411" s="4" t="s">
        <v>2</v>
      </c>
      <c r="H411" s="25">
        <v>976.55</v>
      </c>
      <c r="I411" s="8">
        <v>0</v>
      </c>
      <c r="J411" s="9">
        <v>880</v>
      </c>
      <c r="K411" s="7">
        <v>880</v>
      </c>
      <c r="L411" s="24">
        <f>+Tabla2[[#This Row],[Stock Inventario]]*Tabla2[[#This Row],[Coste LÃ­nea]]</f>
        <v>859364</v>
      </c>
      <c r="M411" s="24">
        <f>+Tabla2[[#This Row],[Variación Stock]]*Tabla2[[#This Row],[Coste LÃ­nea]]</f>
        <v>859364</v>
      </c>
      <c r="N411" s="22" t="str">
        <f>+IF(Tabla2[[#This Row],[Variación Stock]]&gt;0,"Sobrante",IF(Tabla2[[#This Row],[Variación Stock]]&lt;0,"Faltante","Sin novedad"))</f>
        <v>Sobrante</v>
      </c>
    </row>
    <row r="412" spans="1:14" hidden="1" x14ac:dyDescent="0.25">
      <c r="A412" s="11">
        <v>46053</v>
      </c>
      <c r="B412" s="5" t="s">
        <v>972</v>
      </c>
      <c r="C412" s="3" t="s">
        <v>213</v>
      </c>
      <c r="D412" s="5" t="s">
        <v>559</v>
      </c>
      <c r="E412" s="5" t="s">
        <v>1080</v>
      </c>
      <c r="F412" s="6" t="s">
        <v>588</v>
      </c>
      <c r="G412" s="4" t="s">
        <v>2</v>
      </c>
      <c r="H412" s="25">
        <v>48.670999999999999</v>
      </c>
      <c r="I412" s="8">
        <v>4500</v>
      </c>
      <c r="J412" s="9">
        <v>0</v>
      </c>
      <c r="K412" s="7">
        <v>-4500</v>
      </c>
      <c r="L412" s="24">
        <f>+Tabla2[[#This Row],[Stock Inventario]]*Tabla2[[#This Row],[Coste LÃ­nea]]</f>
        <v>0</v>
      </c>
      <c r="M412" s="24">
        <f>+Tabla2[[#This Row],[Variación Stock]]*Tabla2[[#This Row],[Coste LÃ­nea]]</f>
        <v>-219019.5</v>
      </c>
      <c r="N412" s="22" t="str">
        <f>+IF(Tabla2[[#This Row],[Variación Stock]]&gt;0,"Sobrante",IF(Tabla2[[#This Row],[Variación Stock]]&lt;0,"Faltante","Sin novedad"))</f>
        <v>Faltante</v>
      </c>
    </row>
    <row r="413" spans="1:14" hidden="1" x14ac:dyDescent="0.25">
      <c r="A413" s="11">
        <v>46053</v>
      </c>
      <c r="B413" s="5" t="s">
        <v>972</v>
      </c>
      <c r="C413" s="3" t="s">
        <v>213</v>
      </c>
      <c r="D413" s="5" t="s">
        <v>626</v>
      </c>
      <c r="E413" s="5" t="s">
        <v>1079</v>
      </c>
      <c r="F413" s="6" t="s">
        <v>631</v>
      </c>
      <c r="G413" s="4" t="s">
        <v>2</v>
      </c>
      <c r="H413" s="25">
        <v>877</v>
      </c>
      <c r="I413" s="8">
        <v>320</v>
      </c>
      <c r="J413" s="9">
        <v>50</v>
      </c>
      <c r="K413" s="7">
        <v>-270</v>
      </c>
      <c r="L413" s="24">
        <f>+Tabla2[[#This Row],[Stock Inventario]]*Tabla2[[#This Row],[Coste LÃ­nea]]</f>
        <v>43850</v>
      </c>
      <c r="M413" s="24">
        <f>+Tabla2[[#This Row],[Variación Stock]]*Tabla2[[#This Row],[Coste LÃ­nea]]</f>
        <v>-236790</v>
      </c>
      <c r="N413" s="22" t="str">
        <f>+IF(Tabla2[[#This Row],[Variación Stock]]&gt;0,"Sobrante",IF(Tabla2[[#This Row],[Variación Stock]]&lt;0,"Faltante","Sin novedad"))</f>
        <v>Faltante</v>
      </c>
    </row>
    <row r="414" spans="1:14" hidden="1" x14ac:dyDescent="0.25">
      <c r="A414" s="11">
        <v>46053</v>
      </c>
      <c r="B414" s="5" t="s">
        <v>972</v>
      </c>
      <c r="C414" s="3" t="s">
        <v>213</v>
      </c>
      <c r="D414" s="5" t="s">
        <v>559</v>
      </c>
      <c r="E414" s="5" t="s">
        <v>1080</v>
      </c>
      <c r="F414" s="6" t="s">
        <v>584</v>
      </c>
      <c r="G414" s="4" t="s">
        <v>2</v>
      </c>
      <c r="H414" s="25">
        <v>48.8</v>
      </c>
      <c r="I414" s="8">
        <v>120</v>
      </c>
      <c r="J414" s="9">
        <v>0</v>
      </c>
      <c r="K414" s="7">
        <v>-120</v>
      </c>
      <c r="L414" s="24">
        <f>+Tabla2[[#This Row],[Stock Inventario]]*Tabla2[[#This Row],[Coste LÃ­nea]]</f>
        <v>0</v>
      </c>
      <c r="M414" s="24">
        <f>+Tabla2[[#This Row],[Variación Stock]]*Tabla2[[#This Row],[Coste LÃ­nea]]</f>
        <v>-5856</v>
      </c>
      <c r="N414" s="22" t="str">
        <f>+IF(Tabla2[[#This Row],[Variación Stock]]&gt;0,"Sobrante",IF(Tabla2[[#This Row],[Variación Stock]]&lt;0,"Faltante","Sin novedad"))</f>
        <v>Faltante</v>
      </c>
    </row>
    <row r="415" spans="1:14" hidden="1" x14ac:dyDescent="0.25">
      <c r="A415" s="11">
        <v>46053</v>
      </c>
      <c r="B415" s="5" t="s">
        <v>972</v>
      </c>
      <c r="C415" s="3" t="s">
        <v>213</v>
      </c>
      <c r="D415" s="5" t="s">
        <v>559</v>
      </c>
      <c r="E415" s="5" t="s">
        <v>1080</v>
      </c>
      <c r="F415" s="6" t="s">
        <v>1015</v>
      </c>
      <c r="G415" s="4" t="s">
        <v>2</v>
      </c>
      <c r="H415" s="25">
        <v>35.043999999999997</v>
      </c>
      <c r="I415" s="8">
        <v>0</v>
      </c>
      <c r="J415" s="9">
        <v>0</v>
      </c>
      <c r="K415" s="7">
        <v>0</v>
      </c>
      <c r="L415" s="24">
        <f>+Tabla2[[#This Row],[Stock Inventario]]*Tabla2[[#This Row],[Coste LÃ­nea]]</f>
        <v>0</v>
      </c>
      <c r="M415" s="24">
        <f>+Tabla2[[#This Row],[Variación Stock]]*Tabla2[[#This Row],[Coste LÃ­nea]]</f>
        <v>0</v>
      </c>
      <c r="N415" s="22" t="str">
        <f>+IF(Tabla2[[#This Row],[Variación Stock]]&gt;0,"Sobrante",IF(Tabla2[[#This Row],[Variación Stock]]&lt;0,"Faltante","Sin novedad"))</f>
        <v>Sin novedad</v>
      </c>
    </row>
    <row r="416" spans="1:14" hidden="1" x14ac:dyDescent="0.25">
      <c r="A416" s="11">
        <v>46053</v>
      </c>
      <c r="B416" s="5" t="s">
        <v>972</v>
      </c>
      <c r="C416" s="3" t="s">
        <v>213</v>
      </c>
      <c r="D416" s="5" t="s">
        <v>626</v>
      </c>
      <c r="E416" s="5" t="s">
        <v>1079</v>
      </c>
      <c r="F416" s="6" t="s">
        <v>632</v>
      </c>
      <c r="G416" s="4" t="s">
        <v>2</v>
      </c>
      <c r="H416" s="25">
        <v>17.090833329999999</v>
      </c>
      <c r="I416" s="8">
        <v>100</v>
      </c>
      <c r="J416" s="9">
        <v>300</v>
      </c>
      <c r="K416" s="7">
        <v>200</v>
      </c>
      <c r="L416" s="24">
        <f>+Tabla2[[#This Row],[Stock Inventario]]*Tabla2[[#This Row],[Coste LÃ­nea]]</f>
        <v>5127.2499989999997</v>
      </c>
      <c r="M416" s="24">
        <f>+Tabla2[[#This Row],[Variación Stock]]*Tabla2[[#This Row],[Coste LÃ­nea]]</f>
        <v>3418.1666659999996</v>
      </c>
      <c r="N416" s="22" t="str">
        <f>+IF(Tabla2[[#This Row],[Variación Stock]]&gt;0,"Sobrante",IF(Tabla2[[#This Row],[Variación Stock]]&lt;0,"Faltante","Sin novedad"))</f>
        <v>Sobrante</v>
      </c>
    </row>
    <row r="417" spans="1:14" hidden="1" x14ac:dyDescent="0.25">
      <c r="A417" s="11">
        <v>46053</v>
      </c>
      <c r="B417" s="5" t="s">
        <v>972</v>
      </c>
      <c r="C417" s="3" t="s">
        <v>213</v>
      </c>
      <c r="D417" s="5" t="s">
        <v>559</v>
      </c>
      <c r="E417" s="5" t="s">
        <v>1080</v>
      </c>
      <c r="F417" s="6" t="s">
        <v>565</v>
      </c>
      <c r="G417" s="4" t="s">
        <v>2</v>
      </c>
      <c r="H417" s="25">
        <v>302</v>
      </c>
      <c r="I417" s="8">
        <v>-20</v>
      </c>
      <c r="J417" s="9">
        <v>0</v>
      </c>
      <c r="K417" s="7">
        <v>20</v>
      </c>
      <c r="L417" s="24">
        <f>+Tabla2[[#This Row],[Stock Inventario]]*Tabla2[[#This Row],[Coste LÃ­nea]]</f>
        <v>0</v>
      </c>
      <c r="M417" s="24">
        <f>+Tabla2[[#This Row],[Variación Stock]]*Tabla2[[#This Row],[Coste LÃ­nea]]</f>
        <v>6040</v>
      </c>
      <c r="N417" s="22" t="str">
        <f>+IF(Tabla2[[#This Row],[Variación Stock]]&gt;0,"Sobrante",IF(Tabla2[[#This Row],[Variación Stock]]&lt;0,"Faltante","Sin novedad"))</f>
        <v>Sobrante</v>
      </c>
    </row>
    <row r="418" spans="1:14" hidden="1" x14ac:dyDescent="0.25">
      <c r="A418" s="11">
        <v>46053</v>
      </c>
      <c r="B418" s="5" t="s">
        <v>972</v>
      </c>
      <c r="C418" s="3" t="s">
        <v>213</v>
      </c>
      <c r="D418" s="5" t="s">
        <v>559</v>
      </c>
      <c r="E418" s="5" t="s">
        <v>1080</v>
      </c>
      <c r="F418" s="6" t="s">
        <v>586</v>
      </c>
      <c r="G418" s="4" t="s">
        <v>2</v>
      </c>
      <c r="H418" s="25">
        <v>11</v>
      </c>
      <c r="I418" s="8">
        <v>0</v>
      </c>
      <c r="J418" s="9">
        <v>0</v>
      </c>
      <c r="K418" s="7">
        <v>0</v>
      </c>
      <c r="L418" s="24">
        <f>+Tabla2[[#This Row],[Stock Inventario]]*Tabla2[[#This Row],[Coste LÃ­nea]]</f>
        <v>0</v>
      </c>
      <c r="M418" s="24">
        <f>+Tabla2[[#This Row],[Variación Stock]]*Tabla2[[#This Row],[Coste LÃ­nea]]</f>
        <v>0</v>
      </c>
      <c r="N418" s="22" t="str">
        <f>+IF(Tabla2[[#This Row],[Variación Stock]]&gt;0,"Sobrante",IF(Tabla2[[#This Row],[Variación Stock]]&lt;0,"Faltante","Sin novedad"))</f>
        <v>Sin novedad</v>
      </c>
    </row>
    <row r="419" spans="1:14" hidden="1" x14ac:dyDescent="0.25">
      <c r="A419" s="11">
        <v>46053</v>
      </c>
      <c r="B419" s="5" t="s">
        <v>972</v>
      </c>
      <c r="C419" s="3" t="s">
        <v>213</v>
      </c>
      <c r="D419" s="5" t="s">
        <v>626</v>
      </c>
      <c r="E419" s="5" t="s">
        <v>1079</v>
      </c>
      <c r="F419" s="6" t="s">
        <v>633</v>
      </c>
      <c r="G419" s="4" t="s">
        <v>2</v>
      </c>
      <c r="H419" s="25">
        <v>714.28666667000005</v>
      </c>
      <c r="I419" s="8">
        <v>210</v>
      </c>
      <c r="J419" s="9">
        <v>3</v>
      </c>
      <c r="K419" s="7">
        <v>-207</v>
      </c>
      <c r="L419" s="24">
        <f>+Tabla2[[#This Row],[Stock Inventario]]*Tabla2[[#This Row],[Coste LÃ­nea]]</f>
        <v>2142.86000001</v>
      </c>
      <c r="M419" s="24">
        <f>+Tabla2[[#This Row],[Variación Stock]]*Tabla2[[#This Row],[Coste LÃ­nea]]</f>
        <v>-147857.34000069002</v>
      </c>
      <c r="N419" s="22" t="str">
        <f>+IF(Tabla2[[#This Row],[Variación Stock]]&gt;0,"Sobrante",IF(Tabla2[[#This Row],[Variación Stock]]&lt;0,"Faltante","Sin novedad"))</f>
        <v>Faltante</v>
      </c>
    </row>
    <row r="420" spans="1:14" hidden="1" x14ac:dyDescent="0.25">
      <c r="A420" s="11">
        <v>46053</v>
      </c>
      <c r="B420" s="5" t="s">
        <v>972</v>
      </c>
      <c r="C420" s="3" t="s">
        <v>213</v>
      </c>
      <c r="D420" s="5" t="s">
        <v>471</v>
      </c>
      <c r="E420" s="5" t="s">
        <v>117</v>
      </c>
      <c r="F420" s="6" t="s">
        <v>473</v>
      </c>
      <c r="G420" s="4" t="s">
        <v>1</v>
      </c>
      <c r="H420" s="25">
        <v>350</v>
      </c>
      <c r="I420" s="8">
        <v>-1</v>
      </c>
      <c r="J420" s="9">
        <v>0</v>
      </c>
      <c r="K420" s="7">
        <v>1</v>
      </c>
      <c r="L420" s="24">
        <f>+Tabla2[[#This Row],[Stock Inventario]]*Tabla2[[#This Row],[Coste LÃ­nea]]</f>
        <v>0</v>
      </c>
      <c r="M420" s="24">
        <f>+Tabla2[[#This Row],[Variación Stock]]*Tabla2[[#This Row],[Coste LÃ­nea]]</f>
        <v>350</v>
      </c>
      <c r="N420" s="22" t="str">
        <f>+IF(Tabla2[[#This Row],[Variación Stock]]&gt;0,"Sobrante",IF(Tabla2[[#This Row],[Variación Stock]]&lt;0,"Faltante","Sin novedad"))</f>
        <v>Sobrante</v>
      </c>
    </row>
    <row r="421" spans="1:14" hidden="1" x14ac:dyDescent="0.25">
      <c r="A421" s="11">
        <v>46053</v>
      </c>
      <c r="B421" s="5" t="s">
        <v>972</v>
      </c>
      <c r="C421" s="3" t="s">
        <v>213</v>
      </c>
      <c r="D421" s="5" t="s">
        <v>471</v>
      </c>
      <c r="E421" s="5" t="s">
        <v>117</v>
      </c>
      <c r="F421" s="6" t="s">
        <v>540</v>
      </c>
      <c r="G421" s="4" t="s">
        <v>1</v>
      </c>
      <c r="H421" s="25">
        <v>310</v>
      </c>
      <c r="I421" s="8">
        <v>50</v>
      </c>
      <c r="J421" s="9">
        <v>0</v>
      </c>
      <c r="K421" s="7">
        <v>-50</v>
      </c>
      <c r="L421" s="24">
        <f>+Tabla2[[#This Row],[Stock Inventario]]*Tabla2[[#This Row],[Coste LÃ­nea]]</f>
        <v>0</v>
      </c>
      <c r="M421" s="24">
        <f>+Tabla2[[#This Row],[Variación Stock]]*Tabla2[[#This Row],[Coste LÃ­nea]]</f>
        <v>-15500</v>
      </c>
      <c r="N421" s="22" t="str">
        <f>+IF(Tabla2[[#This Row],[Variación Stock]]&gt;0,"Sobrante",IF(Tabla2[[#This Row],[Variación Stock]]&lt;0,"Faltante","Sin novedad"))</f>
        <v>Faltante</v>
      </c>
    </row>
    <row r="422" spans="1:14" x14ac:dyDescent="0.25">
      <c r="A422" s="11">
        <v>46044</v>
      </c>
      <c r="B422" s="5" t="s">
        <v>383</v>
      </c>
      <c r="C422" s="3" t="s">
        <v>213</v>
      </c>
      <c r="D422" s="5" t="s">
        <v>111</v>
      </c>
      <c r="E422" s="5" t="s">
        <v>112</v>
      </c>
      <c r="F422" s="6" t="s">
        <v>54</v>
      </c>
      <c r="G422" s="4" t="s">
        <v>0</v>
      </c>
      <c r="H422" s="25">
        <v>2134.5416666699998</v>
      </c>
      <c r="I422" s="8">
        <v>60</v>
      </c>
      <c r="J422" s="9">
        <v>60</v>
      </c>
      <c r="K422" s="7">
        <v>0</v>
      </c>
      <c r="L422" s="24">
        <f>+Tabla2[[#This Row],[Stock Inventario]]*Tabla2[[#This Row],[Coste LÃ­nea]]</f>
        <v>128072.50000019999</v>
      </c>
      <c r="M422" s="24">
        <f>+Tabla2[[#This Row],[Variación Stock]]*Tabla2[[#This Row],[Coste LÃ­nea]]</f>
        <v>0</v>
      </c>
      <c r="N422" s="22" t="str">
        <f>+IF(Tabla2[[#This Row],[Variación Stock]]&gt;0,"Sobrante",IF(Tabla2[[#This Row],[Variación Stock]]&lt;0,"Faltante","Sin novedad"))</f>
        <v>Sin novedad</v>
      </c>
    </row>
    <row r="423" spans="1:14" x14ac:dyDescent="0.25">
      <c r="A423" s="11">
        <v>46053</v>
      </c>
      <c r="B423" s="5" t="s">
        <v>972</v>
      </c>
      <c r="C423" s="3" t="s">
        <v>213</v>
      </c>
      <c r="D423" s="5" t="s">
        <v>111</v>
      </c>
      <c r="E423" s="5" t="s">
        <v>112</v>
      </c>
      <c r="F423" s="6" t="s">
        <v>54</v>
      </c>
      <c r="G423" s="4" t="s">
        <v>0</v>
      </c>
      <c r="H423" s="25">
        <v>2134.5416666699998</v>
      </c>
      <c r="I423" s="8">
        <v>60</v>
      </c>
      <c r="J423" s="9">
        <v>61</v>
      </c>
      <c r="K423" s="7">
        <v>1</v>
      </c>
      <c r="L423" s="24">
        <f>+Tabla2[[#This Row],[Stock Inventario]]*Tabla2[[#This Row],[Coste LÃ­nea]]</f>
        <v>130207.04166686999</v>
      </c>
      <c r="M423" s="24">
        <f>+Tabla2[[#This Row],[Variación Stock]]*Tabla2[[#This Row],[Coste LÃ­nea]]</f>
        <v>2134.5416666699998</v>
      </c>
      <c r="N423" s="22" t="str">
        <f>+IF(Tabla2[[#This Row],[Variación Stock]]&gt;0,"Sobrante",IF(Tabla2[[#This Row],[Variación Stock]]&lt;0,"Faltante","Sin novedad"))</f>
        <v>Sobrante</v>
      </c>
    </row>
    <row r="424" spans="1:14" x14ac:dyDescent="0.25">
      <c r="A424" s="11">
        <v>46037</v>
      </c>
      <c r="B424" s="5" t="s">
        <v>212</v>
      </c>
      <c r="C424" s="3" t="s">
        <v>213</v>
      </c>
      <c r="D424" s="5" t="s">
        <v>111</v>
      </c>
      <c r="E424" s="5" t="s">
        <v>112</v>
      </c>
      <c r="F424" s="6" t="s">
        <v>55</v>
      </c>
      <c r="G424" s="4" t="s">
        <v>0</v>
      </c>
      <c r="H424" s="24">
        <v>2919.9166666699998</v>
      </c>
      <c r="I424" s="8">
        <v>56</v>
      </c>
      <c r="J424" s="9">
        <v>60</v>
      </c>
      <c r="K424" s="7">
        <v>4</v>
      </c>
      <c r="L424" s="24">
        <f>+Tabla2[[#This Row],[Stock Inventario]]*Tabla2[[#This Row],[Coste LÃ­nea]]</f>
        <v>175195.0000002</v>
      </c>
      <c r="M424" s="24">
        <f>+Tabla2[[#This Row],[Variación Stock]]*Tabla2[[#This Row],[Coste LÃ­nea]]</f>
        <v>11679.666666679999</v>
      </c>
      <c r="N424" s="22" t="str">
        <f>+IF(Tabla2[[#This Row],[Variación Stock]]&gt;0,"Sobrante",IF(Tabla2[[#This Row],[Variación Stock]]&lt;0,"Faltante","Sin novedad"))</f>
        <v>Sobrante</v>
      </c>
    </row>
    <row r="425" spans="1:14" x14ac:dyDescent="0.25">
      <c r="A425" s="11">
        <v>46044</v>
      </c>
      <c r="B425" s="5" t="s">
        <v>383</v>
      </c>
      <c r="C425" s="3" t="s">
        <v>213</v>
      </c>
      <c r="D425" s="5" t="s">
        <v>111</v>
      </c>
      <c r="E425" s="5" t="s">
        <v>112</v>
      </c>
      <c r="F425" s="6" t="s">
        <v>55</v>
      </c>
      <c r="G425" s="4" t="s">
        <v>0</v>
      </c>
      <c r="H425" s="25">
        <v>3171.7083333300002</v>
      </c>
      <c r="I425" s="8">
        <v>60</v>
      </c>
      <c r="J425" s="9">
        <v>60</v>
      </c>
      <c r="K425" s="7">
        <v>0</v>
      </c>
      <c r="L425" s="24">
        <f>+Tabla2[[#This Row],[Stock Inventario]]*Tabla2[[#This Row],[Coste LÃ­nea]]</f>
        <v>190302.4999998</v>
      </c>
      <c r="M425" s="24">
        <f>+Tabla2[[#This Row],[Variación Stock]]*Tabla2[[#This Row],[Coste LÃ­nea]]</f>
        <v>0</v>
      </c>
      <c r="N425" s="22" t="str">
        <f>+IF(Tabla2[[#This Row],[Variación Stock]]&gt;0,"Sobrante",IF(Tabla2[[#This Row],[Variación Stock]]&lt;0,"Faltante","Sin novedad"))</f>
        <v>Sin novedad</v>
      </c>
    </row>
    <row r="426" spans="1:14" x14ac:dyDescent="0.25">
      <c r="A426" s="11">
        <v>46053</v>
      </c>
      <c r="B426" s="5" t="s">
        <v>972</v>
      </c>
      <c r="C426" s="3" t="s">
        <v>213</v>
      </c>
      <c r="D426" s="5" t="s">
        <v>111</v>
      </c>
      <c r="E426" s="5" t="s">
        <v>112</v>
      </c>
      <c r="F426" s="6" t="s">
        <v>55</v>
      </c>
      <c r="G426" s="4" t="s">
        <v>0</v>
      </c>
      <c r="H426" s="25">
        <v>3171.7083333300002</v>
      </c>
      <c r="I426" s="8">
        <v>60</v>
      </c>
      <c r="J426" s="9">
        <v>12</v>
      </c>
      <c r="K426" s="7">
        <v>-48</v>
      </c>
      <c r="L426" s="24">
        <f>+Tabla2[[#This Row],[Stock Inventario]]*Tabla2[[#This Row],[Coste LÃ­nea]]</f>
        <v>38060.499999960004</v>
      </c>
      <c r="M426" s="24">
        <f>+Tabla2[[#This Row],[Variación Stock]]*Tabla2[[#This Row],[Coste LÃ­nea]]</f>
        <v>-152241.99999984002</v>
      </c>
      <c r="N426" s="22" t="str">
        <f>+IF(Tabla2[[#This Row],[Variación Stock]]&gt;0,"Sobrante",IF(Tabla2[[#This Row],[Variación Stock]]&lt;0,"Faltante","Sin novedad"))</f>
        <v>Faltante</v>
      </c>
    </row>
    <row r="427" spans="1:14" hidden="1" x14ac:dyDescent="0.25">
      <c r="A427" s="11">
        <v>46053</v>
      </c>
      <c r="B427" s="5" t="s">
        <v>972</v>
      </c>
      <c r="C427" s="3" t="s">
        <v>213</v>
      </c>
      <c r="D427" s="5" t="s">
        <v>396</v>
      </c>
      <c r="E427" s="5" t="s">
        <v>117</v>
      </c>
      <c r="F427" s="6" t="s">
        <v>397</v>
      </c>
      <c r="G427" s="4" t="s">
        <v>1</v>
      </c>
      <c r="H427" s="25">
        <v>150</v>
      </c>
      <c r="I427" s="8">
        <v>-1.3299999999999999E-2</v>
      </c>
      <c r="J427" s="9">
        <v>0</v>
      </c>
      <c r="K427" s="7">
        <v>1.3332999999999999E-2</v>
      </c>
      <c r="L427" s="24">
        <f>+Tabla2[[#This Row],[Stock Inventario]]*Tabla2[[#This Row],[Coste LÃ­nea]]</f>
        <v>0</v>
      </c>
      <c r="M427" s="24">
        <f>+Tabla2[[#This Row],[Variación Stock]]*Tabla2[[#This Row],[Coste LÃ­nea]]</f>
        <v>1.9999499999999999</v>
      </c>
      <c r="N427" s="22" t="str">
        <f>+IF(Tabla2[[#This Row],[Variación Stock]]&gt;0,"Sobrante",IF(Tabla2[[#This Row],[Variación Stock]]&lt;0,"Faltante","Sin novedad"))</f>
        <v>Sobrante</v>
      </c>
    </row>
    <row r="428" spans="1:14" x14ac:dyDescent="0.25">
      <c r="A428" s="11">
        <v>46037</v>
      </c>
      <c r="B428" s="5" t="s">
        <v>212</v>
      </c>
      <c r="C428" s="3" t="s">
        <v>213</v>
      </c>
      <c r="D428" s="5" t="s">
        <v>111</v>
      </c>
      <c r="E428" s="5" t="s">
        <v>112</v>
      </c>
      <c r="F428" s="6" t="s">
        <v>139</v>
      </c>
      <c r="G428" s="4" t="s">
        <v>0</v>
      </c>
      <c r="H428" s="24">
        <v>3647.9545454499998</v>
      </c>
      <c r="I428" s="8">
        <v>0</v>
      </c>
      <c r="J428" s="9">
        <v>0</v>
      </c>
      <c r="K428" s="7">
        <v>0</v>
      </c>
      <c r="L428" s="24">
        <f>+Tabla2[[#This Row],[Stock Inventario]]*Tabla2[[#This Row],[Coste LÃ­nea]]</f>
        <v>0</v>
      </c>
      <c r="M428" s="24">
        <f>+Tabla2[[#This Row],[Variación Stock]]*Tabla2[[#This Row],[Coste LÃ­nea]]</f>
        <v>0</v>
      </c>
      <c r="N428" s="22" t="str">
        <f>+IF(Tabla2[[#This Row],[Variación Stock]]&gt;0,"Sobrante",IF(Tabla2[[#This Row],[Variación Stock]]&lt;0,"Faltante","Sin novedad"))</f>
        <v>Sin novedad</v>
      </c>
    </row>
    <row r="429" spans="1:14" x14ac:dyDescent="0.25">
      <c r="A429" s="11">
        <v>46044</v>
      </c>
      <c r="B429" s="5" t="s">
        <v>383</v>
      </c>
      <c r="C429" s="3" t="s">
        <v>213</v>
      </c>
      <c r="D429" s="5" t="s">
        <v>111</v>
      </c>
      <c r="E429" s="5" t="s">
        <v>112</v>
      </c>
      <c r="F429" s="6" t="s">
        <v>139</v>
      </c>
      <c r="G429" s="4" t="s">
        <v>0</v>
      </c>
      <c r="H429" s="25">
        <v>3884.5</v>
      </c>
      <c r="I429" s="8">
        <v>0</v>
      </c>
      <c r="J429" s="9">
        <v>0</v>
      </c>
      <c r="K429" s="7">
        <v>0</v>
      </c>
      <c r="L429" s="24">
        <f>+Tabla2[[#This Row],[Stock Inventario]]*Tabla2[[#This Row],[Coste LÃ­nea]]</f>
        <v>0</v>
      </c>
      <c r="M429" s="24">
        <f>+Tabla2[[#This Row],[Variación Stock]]*Tabla2[[#This Row],[Coste LÃ­nea]]</f>
        <v>0</v>
      </c>
      <c r="N429" s="22" t="str">
        <f>+IF(Tabla2[[#This Row],[Variación Stock]]&gt;0,"Sobrante",IF(Tabla2[[#This Row],[Variación Stock]]&lt;0,"Faltante","Sin novedad"))</f>
        <v>Sin novedad</v>
      </c>
    </row>
    <row r="430" spans="1:14" hidden="1" x14ac:dyDescent="0.25">
      <c r="A430" s="11">
        <v>46053</v>
      </c>
      <c r="B430" s="5" t="s">
        <v>972</v>
      </c>
      <c r="C430" s="3" t="s">
        <v>213</v>
      </c>
      <c r="D430" s="5" t="s">
        <v>547</v>
      </c>
      <c r="E430" s="5" t="s">
        <v>117</v>
      </c>
      <c r="F430" s="6" t="s">
        <v>558</v>
      </c>
      <c r="G430" s="4" t="s">
        <v>1</v>
      </c>
      <c r="H430" s="25">
        <v>8.2562499999999996</v>
      </c>
      <c r="I430" s="8">
        <v>25780</v>
      </c>
      <c r="J430" s="9">
        <v>15000</v>
      </c>
      <c r="K430" s="7">
        <v>-10780</v>
      </c>
      <c r="L430" s="24">
        <f>+Tabla2[[#This Row],[Stock Inventario]]*Tabla2[[#This Row],[Coste LÃ­nea]]</f>
        <v>123843.75</v>
      </c>
      <c r="M430" s="24">
        <f>+Tabla2[[#This Row],[Variación Stock]]*Tabla2[[#This Row],[Coste LÃ­nea]]</f>
        <v>-89002.375</v>
      </c>
      <c r="N430" s="22" t="str">
        <f>+IF(Tabla2[[#This Row],[Variación Stock]]&gt;0,"Sobrante",IF(Tabla2[[#This Row],[Variación Stock]]&lt;0,"Faltante","Sin novedad"))</f>
        <v>Faltante</v>
      </c>
    </row>
    <row r="431" spans="1:14" x14ac:dyDescent="0.25">
      <c r="A431" s="11">
        <v>46053</v>
      </c>
      <c r="B431" s="5" t="s">
        <v>972</v>
      </c>
      <c r="C431" s="3" t="s">
        <v>213</v>
      </c>
      <c r="D431" s="5" t="s">
        <v>111</v>
      </c>
      <c r="E431" s="5" t="s">
        <v>112</v>
      </c>
      <c r="F431" s="6" t="s">
        <v>139</v>
      </c>
      <c r="G431" s="4" t="s">
        <v>0</v>
      </c>
      <c r="H431" s="25">
        <v>3884.5</v>
      </c>
      <c r="I431" s="8">
        <v>0</v>
      </c>
      <c r="J431" s="9">
        <v>0</v>
      </c>
      <c r="K431" s="7">
        <v>0</v>
      </c>
      <c r="L431" s="24">
        <f>+Tabla2[[#This Row],[Stock Inventario]]*Tabla2[[#This Row],[Coste LÃ­nea]]</f>
        <v>0</v>
      </c>
      <c r="M431" s="24">
        <f>+Tabla2[[#This Row],[Variación Stock]]*Tabla2[[#This Row],[Coste LÃ­nea]]</f>
        <v>0</v>
      </c>
      <c r="N431" s="22" t="str">
        <f>+IF(Tabla2[[#This Row],[Variación Stock]]&gt;0,"Sobrante",IF(Tabla2[[#This Row],[Variación Stock]]&lt;0,"Faltante","Sin novedad"))</f>
        <v>Sin novedad</v>
      </c>
    </row>
    <row r="432" spans="1:14" hidden="1" x14ac:dyDescent="0.25">
      <c r="A432" s="11">
        <v>46053</v>
      </c>
      <c r="B432" s="5" t="s">
        <v>972</v>
      </c>
      <c r="C432" s="3" t="s">
        <v>213</v>
      </c>
      <c r="D432" s="5" t="s">
        <v>119</v>
      </c>
      <c r="E432" s="5" t="s">
        <v>117</v>
      </c>
      <c r="F432" s="6" t="s">
        <v>9</v>
      </c>
      <c r="G432" s="4" t="s">
        <v>2</v>
      </c>
      <c r="H432" s="25">
        <v>514.28571428999999</v>
      </c>
      <c r="I432" s="8">
        <v>69</v>
      </c>
      <c r="J432" s="9">
        <v>57</v>
      </c>
      <c r="K432" s="7">
        <v>-12</v>
      </c>
      <c r="L432" s="24">
        <f>+Tabla2[[#This Row],[Stock Inventario]]*Tabla2[[#This Row],[Coste LÃ­nea]]</f>
        <v>29314.28571453</v>
      </c>
      <c r="M432" s="24">
        <f>+Tabla2[[#This Row],[Variación Stock]]*Tabla2[[#This Row],[Coste LÃ­nea]]</f>
        <v>-6171.4285714799998</v>
      </c>
      <c r="N432" s="22" t="str">
        <f>+IF(Tabla2[[#This Row],[Variación Stock]]&gt;0,"Sobrante",IF(Tabla2[[#This Row],[Variación Stock]]&lt;0,"Faltante","Sin novedad"))</f>
        <v>Faltante</v>
      </c>
    </row>
    <row r="433" spans="1:14" hidden="1" x14ac:dyDescent="0.25">
      <c r="A433" s="11">
        <v>46053</v>
      </c>
      <c r="B433" s="5" t="s">
        <v>972</v>
      </c>
      <c r="C433" s="3" t="s">
        <v>213</v>
      </c>
      <c r="D433" s="5" t="s">
        <v>471</v>
      </c>
      <c r="E433" s="5" t="s">
        <v>117</v>
      </c>
      <c r="F433" s="6" t="s">
        <v>488</v>
      </c>
      <c r="G433" s="4" t="s">
        <v>1</v>
      </c>
      <c r="H433" s="25">
        <v>6.5</v>
      </c>
      <c r="I433" s="8">
        <v>1340</v>
      </c>
      <c r="J433" s="9">
        <v>0</v>
      </c>
      <c r="K433" s="7">
        <v>-1340</v>
      </c>
      <c r="L433" s="24">
        <f>+Tabla2[[#This Row],[Stock Inventario]]*Tabla2[[#This Row],[Coste LÃ­nea]]</f>
        <v>0</v>
      </c>
      <c r="M433" s="24">
        <f>+Tabla2[[#This Row],[Variación Stock]]*Tabla2[[#This Row],[Coste LÃ­nea]]</f>
        <v>-8710</v>
      </c>
      <c r="N433" s="22" t="str">
        <f>+IF(Tabla2[[#This Row],[Variación Stock]]&gt;0,"Sobrante",IF(Tabla2[[#This Row],[Variación Stock]]&lt;0,"Faltante","Sin novedad"))</f>
        <v>Faltante</v>
      </c>
    </row>
    <row r="434" spans="1:14" x14ac:dyDescent="0.25">
      <c r="A434" s="11">
        <v>46037</v>
      </c>
      <c r="B434" s="5" t="s">
        <v>212</v>
      </c>
      <c r="C434" s="3" t="s">
        <v>213</v>
      </c>
      <c r="D434" s="5" t="s">
        <v>111</v>
      </c>
      <c r="E434" s="5" t="s">
        <v>112</v>
      </c>
      <c r="F434" s="6" t="s">
        <v>137</v>
      </c>
      <c r="G434" s="4" t="s">
        <v>0</v>
      </c>
      <c r="H434" s="24">
        <v>1919.45833333</v>
      </c>
      <c r="I434" s="8">
        <v>0</v>
      </c>
      <c r="J434" s="9">
        <v>0</v>
      </c>
      <c r="K434" s="7">
        <v>0</v>
      </c>
      <c r="L434" s="24">
        <f>+Tabla2[[#This Row],[Stock Inventario]]*Tabla2[[#This Row],[Coste LÃ­nea]]</f>
        <v>0</v>
      </c>
      <c r="M434" s="24">
        <f>+Tabla2[[#This Row],[Variación Stock]]*Tabla2[[#This Row],[Coste LÃ­nea]]</f>
        <v>0</v>
      </c>
      <c r="N434" s="22" t="str">
        <f>+IF(Tabla2[[#This Row],[Variación Stock]]&gt;0,"Sobrante",IF(Tabla2[[#This Row],[Variación Stock]]&lt;0,"Faltante","Sin novedad"))</f>
        <v>Sin novedad</v>
      </c>
    </row>
    <row r="435" spans="1:14" x14ac:dyDescent="0.25">
      <c r="A435" s="11">
        <v>46044</v>
      </c>
      <c r="B435" s="5" t="s">
        <v>383</v>
      </c>
      <c r="C435" s="3" t="s">
        <v>213</v>
      </c>
      <c r="D435" s="5" t="s">
        <v>111</v>
      </c>
      <c r="E435" s="5" t="s">
        <v>112</v>
      </c>
      <c r="F435" s="6" t="s">
        <v>137</v>
      </c>
      <c r="G435" s="4" t="s">
        <v>0</v>
      </c>
      <c r="H435" s="25">
        <v>1919.45833333</v>
      </c>
      <c r="I435" s="8">
        <v>0</v>
      </c>
      <c r="J435" s="9">
        <v>0</v>
      </c>
      <c r="K435" s="7">
        <v>0</v>
      </c>
      <c r="L435" s="24">
        <f>+Tabla2[[#This Row],[Stock Inventario]]*Tabla2[[#This Row],[Coste LÃ­nea]]</f>
        <v>0</v>
      </c>
      <c r="M435" s="24">
        <f>+Tabla2[[#This Row],[Variación Stock]]*Tabla2[[#This Row],[Coste LÃ­nea]]</f>
        <v>0</v>
      </c>
      <c r="N435" s="22" t="str">
        <f>+IF(Tabla2[[#This Row],[Variación Stock]]&gt;0,"Sobrante",IF(Tabla2[[#This Row],[Variación Stock]]&lt;0,"Faltante","Sin novedad"))</f>
        <v>Sin novedad</v>
      </c>
    </row>
    <row r="436" spans="1:14" hidden="1" x14ac:dyDescent="0.25">
      <c r="A436" s="11">
        <v>46053</v>
      </c>
      <c r="B436" s="5" t="s">
        <v>972</v>
      </c>
      <c r="C436" s="3" t="s">
        <v>213</v>
      </c>
      <c r="D436" s="5" t="s">
        <v>803</v>
      </c>
      <c r="E436" s="5" t="s">
        <v>117</v>
      </c>
      <c r="F436" s="6" t="s">
        <v>811</v>
      </c>
      <c r="G436" s="4" t="s">
        <v>1</v>
      </c>
      <c r="H436" s="25">
        <v>233.07427392</v>
      </c>
      <c r="I436" s="8">
        <v>-3</v>
      </c>
      <c r="J436" s="9">
        <v>0</v>
      </c>
      <c r="K436" s="7">
        <v>3</v>
      </c>
      <c r="L436" s="24">
        <f>+Tabla2[[#This Row],[Stock Inventario]]*Tabla2[[#This Row],[Coste LÃ­nea]]</f>
        <v>0</v>
      </c>
      <c r="M436" s="24">
        <f>+Tabla2[[#This Row],[Variación Stock]]*Tabla2[[#This Row],[Coste LÃ­nea]]</f>
        <v>699.22282175999999</v>
      </c>
      <c r="N436" s="22" t="str">
        <f>+IF(Tabla2[[#This Row],[Variación Stock]]&gt;0,"Sobrante",IF(Tabla2[[#This Row],[Variación Stock]]&lt;0,"Faltante","Sin novedad"))</f>
        <v>Sobrante</v>
      </c>
    </row>
    <row r="437" spans="1:14" hidden="1" x14ac:dyDescent="0.25">
      <c r="A437" s="11">
        <v>46053</v>
      </c>
      <c r="B437" s="5" t="s">
        <v>972</v>
      </c>
      <c r="C437" s="3" t="s">
        <v>213</v>
      </c>
      <c r="D437" s="5" t="s">
        <v>116</v>
      </c>
      <c r="E437" s="5" t="s">
        <v>117</v>
      </c>
      <c r="F437" s="6" t="s">
        <v>248</v>
      </c>
      <c r="G437" s="4" t="s">
        <v>1</v>
      </c>
      <c r="H437" s="25">
        <v>27</v>
      </c>
      <c r="I437" s="8">
        <v>0</v>
      </c>
      <c r="J437" s="9">
        <v>0</v>
      </c>
      <c r="K437" s="7">
        <v>0</v>
      </c>
      <c r="L437" s="24">
        <f>+Tabla2[[#This Row],[Stock Inventario]]*Tabla2[[#This Row],[Coste LÃ­nea]]</f>
        <v>0</v>
      </c>
      <c r="M437" s="24">
        <f>+Tabla2[[#This Row],[Variación Stock]]*Tabla2[[#This Row],[Coste LÃ­nea]]</f>
        <v>0</v>
      </c>
      <c r="N437" s="22" t="str">
        <f>+IF(Tabla2[[#This Row],[Variación Stock]]&gt;0,"Sobrante",IF(Tabla2[[#This Row],[Variación Stock]]&lt;0,"Faltante","Sin novedad"))</f>
        <v>Sin novedad</v>
      </c>
    </row>
    <row r="438" spans="1:14" hidden="1" x14ac:dyDescent="0.25">
      <c r="A438" s="11">
        <v>46053</v>
      </c>
      <c r="B438" s="5" t="s">
        <v>972</v>
      </c>
      <c r="C438" s="3" t="s">
        <v>213</v>
      </c>
      <c r="D438" s="5" t="s">
        <v>116</v>
      </c>
      <c r="E438" s="5" t="s">
        <v>117</v>
      </c>
      <c r="F438" s="6" t="s">
        <v>157</v>
      </c>
      <c r="G438" s="4" t="s">
        <v>1</v>
      </c>
      <c r="H438" s="25">
        <v>34</v>
      </c>
      <c r="I438" s="8">
        <v>-40</v>
      </c>
      <c r="J438" s="9">
        <v>200</v>
      </c>
      <c r="K438" s="7">
        <v>240</v>
      </c>
      <c r="L438" s="24">
        <f>+Tabla2[[#This Row],[Stock Inventario]]*Tabla2[[#This Row],[Coste LÃ­nea]]</f>
        <v>6800</v>
      </c>
      <c r="M438" s="24">
        <f>+Tabla2[[#This Row],[Variación Stock]]*Tabla2[[#This Row],[Coste LÃ­nea]]</f>
        <v>8160</v>
      </c>
      <c r="N438" s="22" t="str">
        <f>+IF(Tabla2[[#This Row],[Variación Stock]]&gt;0,"Sobrante",IF(Tabla2[[#This Row],[Variación Stock]]&lt;0,"Faltante","Sin novedad"))</f>
        <v>Sobrante</v>
      </c>
    </row>
    <row r="439" spans="1:14" hidden="1" x14ac:dyDescent="0.25">
      <c r="A439" s="11">
        <v>46053</v>
      </c>
      <c r="B439" s="5" t="s">
        <v>972</v>
      </c>
      <c r="C439" s="3" t="s">
        <v>213</v>
      </c>
      <c r="D439" s="5" t="s">
        <v>116</v>
      </c>
      <c r="E439" s="5" t="s">
        <v>117</v>
      </c>
      <c r="F439" s="6" t="s">
        <v>1006</v>
      </c>
      <c r="G439" s="4" t="s">
        <v>2</v>
      </c>
      <c r="H439" s="25">
        <v>4850</v>
      </c>
      <c r="I439" s="8">
        <v>-43</v>
      </c>
      <c r="J439" s="9">
        <v>0</v>
      </c>
      <c r="K439" s="7">
        <v>43</v>
      </c>
      <c r="L439" s="24">
        <f>+Tabla2[[#This Row],[Stock Inventario]]*Tabla2[[#This Row],[Coste LÃ­nea]]</f>
        <v>0</v>
      </c>
      <c r="M439" s="24">
        <f>+Tabla2[[#This Row],[Variación Stock]]*Tabla2[[#This Row],[Coste LÃ­nea]]</f>
        <v>208550</v>
      </c>
      <c r="N439" s="22" t="str">
        <f>+IF(Tabla2[[#This Row],[Variación Stock]]&gt;0,"Sobrante",IF(Tabla2[[#This Row],[Variación Stock]]&lt;0,"Faltante","Sin novedad"))</f>
        <v>Sobrante</v>
      </c>
    </row>
    <row r="440" spans="1:14" hidden="1" x14ac:dyDescent="0.25">
      <c r="A440" s="11">
        <v>46053</v>
      </c>
      <c r="B440" s="5" t="s">
        <v>972</v>
      </c>
      <c r="C440" s="3" t="s">
        <v>213</v>
      </c>
      <c r="D440" s="5" t="s">
        <v>471</v>
      </c>
      <c r="E440" s="5" t="s">
        <v>117</v>
      </c>
      <c r="F440" s="6" t="s">
        <v>489</v>
      </c>
      <c r="G440" s="4" t="s">
        <v>1</v>
      </c>
      <c r="H440" s="25">
        <v>2.8</v>
      </c>
      <c r="I440" s="8">
        <v>10278.799199999999</v>
      </c>
      <c r="J440" s="9">
        <v>0</v>
      </c>
      <c r="K440" s="7">
        <v>-10278.799172000001</v>
      </c>
      <c r="L440" s="24">
        <f>+Tabla2[[#This Row],[Stock Inventario]]*Tabla2[[#This Row],[Coste LÃ­nea]]</f>
        <v>0</v>
      </c>
      <c r="M440" s="24">
        <f>+Tabla2[[#This Row],[Variación Stock]]*Tabla2[[#This Row],[Coste LÃ­nea]]</f>
        <v>-28780.637681600001</v>
      </c>
      <c r="N440" s="22" t="str">
        <f>+IF(Tabla2[[#This Row],[Variación Stock]]&gt;0,"Sobrante",IF(Tabla2[[#This Row],[Variación Stock]]&lt;0,"Faltante","Sin novedad"))</f>
        <v>Faltante</v>
      </c>
    </row>
    <row r="441" spans="1:14" hidden="1" x14ac:dyDescent="0.25">
      <c r="A441" s="11">
        <v>46053</v>
      </c>
      <c r="B441" s="5" t="s">
        <v>972</v>
      </c>
      <c r="C441" s="3" t="s">
        <v>213</v>
      </c>
      <c r="D441" s="5" t="s">
        <v>396</v>
      </c>
      <c r="E441" s="5" t="s">
        <v>117</v>
      </c>
      <c r="F441" s="6" t="s">
        <v>465</v>
      </c>
      <c r="G441" s="4" t="s">
        <v>1</v>
      </c>
      <c r="H441" s="25">
        <v>21.375</v>
      </c>
      <c r="I441" s="8">
        <v>10982.0234</v>
      </c>
      <c r="J441" s="9">
        <v>6300</v>
      </c>
      <c r="K441" s="7">
        <v>-4682.0233500000004</v>
      </c>
      <c r="L441" s="24">
        <f>+Tabla2[[#This Row],[Stock Inventario]]*Tabla2[[#This Row],[Coste LÃ­nea]]</f>
        <v>134662.5</v>
      </c>
      <c r="M441" s="24">
        <f>+Tabla2[[#This Row],[Variación Stock]]*Tabla2[[#This Row],[Coste LÃ­nea]]</f>
        <v>-100078.24910625</v>
      </c>
      <c r="N441" s="22" t="str">
        <f>+IF(Tabla2[[#This Row],[Variación Stock]]&gt;0,"Sobrante",IF(Tabla2[[#This Row],[Variación Stock]]&lt;0,"Faltante","Sin novedad"))</f>
        <v>Faltante</v>
      </c>
    </row>
    <row r="442" spans="1:14" hidden="1" x14ac:dyDescent="0.25">
      <c r="A442" s="11">
        <v>46053</v>
      </c>
      <c r="B442" s="5" t="s">
        <v>972</v>
      </c>
      <c r="C442" s="3" t="s">
        <v>213</v>
      </c>
      <c r="D442" s="5" t="s">
        <v>471</v>
      </c>
      <c r="E442" s="5" t="s">
        <v>117</v>
      </c>
      <c r="F442" s="6" t="s">
        <v>490</v>
      </c>
      <c r="G442" s="4" t="s">
        <v>1</v>
      </c>
      <c r="H442" s="25">
        <v>4.8</v>
      </c>
      <c r="I442" s="8">
        <v>9045.7183999999997</v>
      </c>
      <c r="J442" s="9">
        <v>3500</v>
      </c>
      <c r="K442" s="7">
        <v>-5545.7183839999998</v>
      </c>
      <c r="L442" s="24">
        <f>+Tabla2[[#This Row],[Stock Inventario]]*Tabla2[[#This Row],[Coste LÃ­nea]]</f>
        <v>16800</v>
      </c>
      <c r="M442" s="24">
        <f>+Tabla2[[#This Row],[Variación Stock]]*Tabla2[[#This Row],[Coste LÃ­nea]]</f>
        <v>-26619.448243199997</v>
      </c>
      <c r="N442" s="22" t="str">
        <f>+IF(Tabla2[[#This Row],[Variación Stock]]&gt;0,"Sobrante",IF(Tabla2[[#This Row],[Variación Stock]]&lt;0,"Faltante","Sin novedad"))</f>
        <v>Faltante</v>
      </c>
    </row>
    <row r="443" spans="1:14" hidden="1" x14ac:dyDescent="0.25">
      <c r="A443" s="11">
        <v>46053</v>
      </c>
      <c r="B443" s="5" t="s">
        <v>972</v>
      </c>
      <c r="C443" s="3" t="s">
        <v>213</v>
      </c>
      <c r="D443" s="5" t="s">
        <v>471</v>
      </c>
      <c r="E443" s="5" t="s">
        <v>117</v>
      </c>
      <c r="F443" s="6" t="s">
        <v>491</v>
      </c>
      <c r="G443" s="4" t="s">
        <v>1</v>
      </c>
      <c r="H443" s="25">
        <v>7.15</v>
      </c>
      <c r="I443" s="8">
        <v>1230</v>
      </c>
      <c r="J443" s="9">
        <v>0</v>
      </c>
      <c r="K443" s="7">
        <v>-1230</v>
      </c>
      <c r="L443" s="24">
        <f>+Tabla2[[#This Row],[Stock Inventario]]*Tabla2[[#This Row],[Coste LÃ­nea]]</f>
        <v>0</v>
      </c>
      <c r="M443" s="24">
        <f>+Tabla2[[#This Row],[Variación Stock]]*Tabla2[[#This Row],[Coste LÃ­nea]]</f>
        <v>-8794.5</v>
      </c>
      <c r="N443" s="22" t="str">
        <f>+IF(Tabla2[[#This Row],[Variación Stock]]&gt;0,"Sobrante",IF(Tabla2[[#This Row],[Variación Stock]]&lt;0,"Faltante","Sin novedad"))</f>
        <v>Faltante</v>
      </c>
    </row>
    <row r="444" spans="1:14" hidden="1" x14ac:dyDescent="0.25">
      <c r="A444" s="11">
        <v>46053</v>
      </c>
      <c r="B444" s="5" t="s">
        <v>972</v>
      </c>
      <c r="C444" s="3" t="s">
        <v>213</v>
      </c>
      <c r="D444" s="5" t="s">
        <v>471</v>
      </c>
      <c r="E444" s="5" t="s">
        <v>117</v>
      </c>
      <c r="F444" s="6" t="s">
        <v>492</v>
      </c>
      <c r="G444" s="4" t="s">
        <v>1</v>
      </c>
      <c r="H444" s="25">
        <v>5.2</v>
      </c>
      <c r="I444" s="8">
        <v>201.6934</v>
      </c>
      <c r="J444" s="9">
        <v>0</v>
      </c>
      <c r="K444" s="7">
        <v>-201.69342</v>
      </c>
      <c r="L444" s="24">
        <f>+Tabla2[[#This Row],[Stock Inventario]]*Tabla2[[#This Row],[Coste LÃ­nea]]</f>
        <v>0</v>
      </c>
      <c r="M444" s="24">
        <f>+Tabla2[[#This Row],[Variación Stock]]*Tabla2[[#This Row],[Coste LÃ­nea]]</f>
        <v>-1048.8057840000001</v>
      </c>
      <c r="N444" s="22" t="str">
        <f>+IF(Tabla2[[#This Row],[Variación Stock]]&gt;0,"Sobrante",IF(Tabla2[[#This Row],[Variación Stock]]&lt;0,"Faltante","Sin novedad"))</f>
        <v>Faltante</v>
      </c>
    </row>
    <row r="445" spans="1:14" hidden="1" x14ac:dyDescent="0.25">
      <c r="A445" s="11">
        <v>46053</v>
      </c>
      <c r="B445" s="5" t="s">
        <v>972</v>
      </c>
      <c r="C445" s="3" t="s">
        <v>213</v>
      </c>
      <c r="D445" s="5" t="s">
        <v>471</v>
      </c>
      <c r="E445" s="5" t="s">
        <v>117</v>
      </c>
      <c r="F445" s="6" t="s">
        <v>493</v>
      </c>
      <c r="G445" s="4" t="s">
        <v>1</v>
      </c>
      <c r="H445" s="25">
        <v>16</v>
      </c>
      <c r="I445" s="8">
        <v>2107.5376999999999</v>
      </c>
      <c r="J445" s="9">
        <v>0</v>
      </c>
      <c r="K445" s="7">
        <v>-2107.5377199999998</v>
      </c>
      <c r="L445" s="24">
        <f>+Tabla2[[#This Row],[Stock Inventario]]*Tabla2[[#This Row],[Coste LÃ­nea]]</f>
        <v>0</v>
      </c>
      <c r="M445" s="24">
        <f>+Tabla2[[#This Row],[Variación Stock]]*Tabla2[[#This Row],[Coste LÃ­nea]]</f>
        <v>-33720.603519999997</v>
      </c>
      <c r="N445" s="22" t="str">
        <f>+IF(Tabla2[[#This Row],[Variación Stock]]&gt;0,"Sobrante",IF(Tabla2[[#This Row],[Variación Stock]]&lt;0,"Faltante","Sin novedad"))</f>
        <v>Faltante</v>
      </c>
    </row>
    <row r="446" spans="1:14" hidden="1" x14ac:dyDescent="0.25">
      <c r="A446" s="11">
        <v>46053</v>
      </c>
      <c r="B446" s="5" t="s">
        <v>972</v>
      </c>
      <c r="C446" s="3" t="s">
        <v>213</v>
      </c>
      <c r="D446" s="5" t="s">
        <v>818</v>
      </c>
      <c r="E446" s="5" t="s">
        <v>117</v>
      </c>
      <c r="F446" s="6" t="s">
        <v>821</v>
      </c>
      <c r="G446" s="4" t="s">
        <v>1</v>
      </c>
      <c r="H446" s="25">
        <v>30.4755</v>
      </c>
      <c r="I446" s="8">
        <v>8390</v>
      </c>
      <c r="J446" s="9">
        <v>4000</v>
      </c>
      <c r="K446" s="7">
        <v>-4390</v>
      </c>
      <c r="L446" s="24">
        <f>+Tabla2[[#This Row],[Stock Inventario]]*Tabla2[[#This Row],[Coste LÃ­nea]]</f>
        <v>121902</v>
      </c>
      <c r="M446" s="24">
        <f>+Tabla2[[#This Row],[Variación Stock]]*Tabla2[[#This Row],[Coste LÃ­nea]]</f>
        <v>-133787.44500000001</v>
      </c>
      <c r="N446" s="22" t="str">
        <f>+IF(Tabla2[[#This Row],[Variación Stock]]&gt;0,"Sobrante",IF(Tabla2[[#This Row],[Variación Stock]]&lt;0,"Faltante","Sin novedad"))</f>
        <v>Faltante</v>
      </c>
    </row>
    <row r="447" spans="1:14" x14ac:dyDescent="0.25">
      <c r="A447" s="11">
        <v>46053</v>
      </c>
      <c r="B447" s="5" t="s">
        <v>972</v>
      </c>
      <c r="C447" s="3" t="s">
        <v>213</v>
      </c>
      <c r="D447" s="5" t="s">
        <v>111</v>
      </c>
      <c r="E447" s="5" t="s">
        <v>112</v>
      </c>
      <c r="F447" s="6" t="s">
        <v>137</v>
      </c>
      <c r="G447" s="4" t="s">
        <v>0</v>
      </c>
      <c r="H447" s="25">
        <v>2454.5454545500002</v>
      </c>
      <c r="I447" s="8">
        <v>0</v>
      </c>
      <c r="J447" s="9">
        <v>0</v>
      </c>
      <c r="K447" s="7">
        <v>0</v>
      </c>
      <c r="L447" s="24">
        <f>+Tabla2[[#This Row],[Stock Inventario]]*Tabla2[[#This Row],[Coste LÃ­nea]]</f>
        <v>0</v>
      </c>
      <c r="M447" s="24">
        <f>+Tabla2[[#This Row],[Variación Stock]]*Tabla2[[#This Row],[Coste LÃ­nea]]</f>
        <v>0</v>
      </c>
      <c r="N447" s="22" t="str">
        <f>+IF(Tabla2[[#This Row],[Variación Stock]]&gt;0,"Sobrante",IF(Tabla2[[#This Row],[Variación Stock]]&lt;0,"Faltante","Sin novedad"))</f>
        <v>Sin novedad</v>
      </c>
    </row>
    <row r="448" spans="1:14" x14ac:dyDescent="0.25">
      <c r="A448" s="11">
        <v>46037</v>
      </c>
      <c r="B448" s="5" t="s">
        <v>212</v>
      </c>
      <c r="C448" s="3" t="s">
        <v>213</v>
      </c>
      <c r="D448" s="5" t="s">
        <v>111</v>
      </c>
      <c r="E448" s="5" t="s">
        <v>112</v>
      </c>
      <c r="F448" s="6" t="s">
        <v>228</v>
      </c>
      <c r="G448" s="4" t="s">
        <v>2</v>
      </c>
      <c r="H448" s="24">
        <v>28750</v>
      </c>
      <c r="I448" s="8">
        <v>2</v>
      </c>
      <c r="J448" s="9">
        <v>2</v>
      </c>
      <c r="K448" s="7">
        <v>0</v>
      </c>
      <c r="L448" s="24">
        <f>+Tabla2[[#This Row],[Stock Inventario]]*Tabla2[[#This Row],[Coste LÃ­nea]]</f>
        <v>57500</v>
      </c>
      <c r="M448" s="24">
        <f>+Tabla2[[#This Row],[Variación Stock]]*Tabla2[[#This Row],[Coste LÃ­nea]]</f>
        <v>0</v>
      </c>
      <c r="N448" s="22" t="str">
        <f>+IF(Tabla2[[#This Row],[Variación Stock]]&gt;0,"Sobrante",IF(Tabla2[[#This Row],[Variación Stock]]&lt;0,"Faltante","Sin novedad"))</f>
        <v>Sin novedad</v>
      </c>
    </row>
    <row r="449" spans="1:14" x14ac:dyDescent="0.25">
      <c r="A449" s="11">
        <v>46044</v>
      </c>
      <c r="B449" s="5" t="s">
        <v>383</v>
      </c>
      <c r="C449" s="3" t="s">
        <v>213</v>
      </c>
      <c r="D449" s="5" t="s">
        <v>111</v>
      </c>
      <c r="E449" s="5" t="s">
        <v>112</v>
      </c>
      <c r="F449" s="6" t="s">
        <v>228</v>
      </c>
      <c r="G449" s="4" t="s">
        <v>2</v>
      </c>
      <c r="H449" s="25">
        <v>28750</v>
      </c>
      <c r="I449" s="8">
        <v>2</v>
      </c>
      <c r="J449" s="9">
        <v>2</v>
      </c>
      <c r="K449" s="7">
        <v>0</v>
      </c>
      <c r="L449" s="24">
        <f>+Tabla2[[#This Row],[Stock Inventario]]*Tabla2[[#This Row],[Coste LÃ­nea]]</f>
        <v>57500</v>
      </c>
      <c r="M449" s="24">
        <f>+Tabla2[[#This Row],[Variación Stock]]*Tabla2[[#This Row],[Coste LÃ­nea]]</f>
        <v>0</v>
      </c>
      <c r="N449" s="22" t="str">
        <f>+IF(Tabla2[[#This Row],[Variación Stock]]&gt;0,"Sobrante",IF(Tabla2[[#This Row],[Variación Stock]]&lt;0,"Faltante","Sin novedad"))</f>
        <v>Sin novedad</v>
      </c>
    </row>
    <row r="450" spans="1:14" x14ac:dyDescent="0.25">
      <c r="A450" s="11">
        <v>46053</v>
      </c>
      <c r="B450" s="5" t="s">
        <v>972</v>
      </c>
      <c r="C450" s="3" t="s">
        <v>213</v>
      </c>
      <c r="D450" s="5" t="s">
        <v>111</v>
      </c>
      <c r="E450" s="5" t="s">
        <v>112</v>
      </c>
      <c r="F450" s="6" t="s">
        <v>228</v>
      </c>
      <c r="G450" s="4" t="s">
        <v>2</v>
      </c>
      <c r="H450" s="25">
        <v>28750</v>
      </c>
      <c r="I450" s="8">
        <v>2</v>
      </c>
      <c r="J450" s="9">
        <v>2</v>
      </c>
      <c r="K450" s="7">
        <v>0</v>
      </c>
      <c r="L450" s="24">
        <f>+Tabla2[[#This Row],[Stock Inventario]]*Tabla2[[#This Row],[Coste LÃ­nea]]</f>
        <v>57500</v>
      </c>
      <c r="M450" s="24">
        <f>+Tabla2[[#This Row],[Variación Stock]]*Tabla2[[#This Row],[Coste LÃ­nea]]</f>
        <v>0</v>
      </c>
      <c r="N450" s="22" t="str">
        <f>+IF(Tabla2[[#This Row],[Variación Stock]]&gt;0,"Sobrante",IF(Tabla2[[#This Row],[Variación Stock]]&lt;0,"Faltante","Sin novedad"))</f>
        <v>Sin novedad</v>
      </c>
    </row>
    <row r="451" spans="1:14" x14ac:dyDescent="0.25">
      <c r="A451" s="11">
        <v>46044</v>
      </c>
      <c r="B451" s="5" t="s">
        <v>383</v>
      </c>
      <c r="C451" s="3" t="s">
        <v>213</v>
      </c>
      <c r="D451" s="5" t="s">
        <v>111</v>
      </c>
      <c r="E451" s="5" t="s">
        <v>112</v>
      </c>
      <c r="F451" s="6" t="s">
        <v>144</v>
      </c>
      <c r="G451" s="4" t="s">
        <v>0</v>
      </c>
      <c r="H451" s="25">
        <v>2120.6896551700002</v>
      </c>
      <c r="I451" s="8">
        <v>62</v>
      </c>
      <c r="J451" s="9">
        <v>62</v>
      </c>
      <c r="K451" s="7">
        <v>0</v>
      </c>
      <c r="L451" s="24">
        <f>+Tabla2[[#This Row],[Stock Inventario]]*Tabla2[[#This Row],[Coste LÃ­nea]]</f>
        <v>131482.75862054</v>
      </c>
      <c r="M451" s="24">
        <f>+Tabla2[[#This Row],[Variación Stock]]*Tabla2[[#This Row],[Coste LÃ­nea]]</f>
        <v>0</v>
      </c>
      <c r="N451" s="22" t="str">
        <f>+IF(Tabla2[[#This Row],[Variación Stock]]&gt;0,"Sobrante",IF(Tabla2[[#This Row],[Variación Stock]]&lt;0,"Faltante","Sin novedad"))</f>
        <v>Sin novedad</v>
      </c>
    </row>
    <row r="452" spans="1:14" x14ac:dyDescent="0.25">
      <c r="A452" s="11">
        <v>46037</v>
      </c>
      <c r="B452" s="5" t="s">
        <v>212</v>
      </c>
      <c r="C452" s="3" t="s">
        <v>213</v>
      </c>
      <c r="D452" s="5" t="s">
        <v>111</v>
      </c>
      <c r="E452" s="5" t="s">
        <v>112</v>
      </c>
      <c r="F452" s="6" t="s">
        <v>144</v>
      </c>
      <c r="G452" s="4" t="s">
        <v>0</v>
      </c>
      <c r="H452" s="24">
        <v>2120.6896551700002</v>
      </c>
      <c r="I452" s="8">
        <v>60</v>
      </c>
      <c r="J452" s="9">
        <v>62</v>
      </c>
      <c r="K452" s="7">
        <v>2</v>
      </c>
      <c r="L452" s="24">
        <f>+Tabla2[[#This Row],[Stock Inventario]]*Tabla2[[#This Row],[Coste LÃ­nea]]</f>
        <v>131482.75862054</v>
      </c>
      <c r="M452" s="24">
        <f>+Tabla2[[#This Row],[Variación Stock]]*Tabla2[[#This Row],[Coste LÃ­nea]]</f>
        <v>4241.3793103400003</v>
      </c>
      <c r="N452" s="22" t="str">
        <f>+IF(Tabla2[[#This Row],[Variación Stock]]&gt;0,"Sobrante",IF(Tabla2[[#This Row],[Variación Stock]]&lt;0,"Faltante","Sin novedad"))</f>
        <v>Sobrante</v>
      </c>
    </row>
    <row r="453" spans="1:14" x14ac:dyDescent="0.25">
      <c r="A453" s="11">
        <v>46053</v>
      </c>
      <c r="B453" s="5" t="s">
        <v>972</v>
      </c>
      <c r="C453" s="3" t="s">
        <v>213</v>
      </c>
      <c r="D453" s="5" t="s">
        <v>111</v>
      </c>
      <c r="E453" s="5" t="s">
        <v>112</v>
      </c>
      <c r="F453" s="6" t="s">
        <v>144</v>
      </c>
      <c r="G453" s="4" t="s">
        <v>0</v>
      </c>
      <c r="H453" s="25">
        <v>2120.6896551700002</v>
      </c>
      <c r="I453" s="8">
        <v>62</v>
      </c>
      <c r="J453" s="9">
        <v>62</v>
      </c>
      <c r="K453" s="7">
        <v>0</v>
      </c>
      <c r="L453" s="24">
        <f>+Tabla2[[#This Row],[Stock Inventario]]*Tabla2[[#This Row],[Coste LÃ­nea]]</f>
        <v>131482.75862054</v>
      </c>
      <c r="M453" s="24">
        <f>+Tabla2[[#This Row],[Variación Stock]]*Tabla2[[#This Row],[Coste LÃ­nea]]</f>
        <v>0</v>
      </c>
      <c r="N453" s="22" t="str">
        <f>+IF(Tabla2[[#This Row],[Variación Stock]]&gt;0,"Sobrante",IF(Tabla2[[#This Row],[Variación Stock]]&lt;0,"Faltante","Sin novedad"))</f>
        <v>Sin novedad</v>
      </c>
    </row>
    <row r="454" spans="1:14" x14ac:dyDescent="0.25">
      <c r="A454" s="11">
        <v>46037</v>
      </c>
      <c r="B454" s="5" t="s">
        <v>212</v>
      </c>
      <c r="C454" s="3" t="s">
        <v>213</v>
      </c>
      <c r="D454" s="5" t="s">
        <v>111</v>
      </c>
      <c r="E454" s="5" t="s">
        <v>112</v>
      </c>
      <c r="F454" s="6" t="s">
        <v>229</v>
      </c>
      <c r="G454" s="4" t="s">
        <v>0</v>
      </c>
      <c r="H454" s="24">
        <v>3610.375</v>
      </c>
      <c r="I454" s="8">
        <v>18</v>
      </c>
      <c r="J454" s="9">
        <v>12</v>
      </c>
      <c r="K454" s="7">
        <v>-6</v>
      </c>
      <c r="L454" s="24">
        <f>+Tabla2[[#This Row],[Stock Inventario]]*Tabla2[[#This Row],[Coste LÃ­nea]]</f>
        <v>43324.5</v>
      </c>
      <c r="M454" s="24">
        <f>+Tabla2[[#This Row],[Variación Stock]]*Tabla2[[#This Row],[Coste LÃ­nea]]</f>
        <v>-21662.25</v>
      </c>
      <c r="N454" s="22" t="str">
        <f>+IF(Tabla2[[#This Row],[Variación Stock]]&gt;0,"Sobrante",IF(Tabla2[[#This Row],[Variación Stock]]&lt;0,"Faltante","Sin novedad"))</f>
        <v>Faltante</v>
      </c>
    </row>
    <row r="455" spans="1:14" x14ac:dyDescent="0.25">
      <c r="A455" s="11">
        <v>46044</v>
      </c>
      <c r="B455" s="5" t="s">
        <v>383</v>
      </c>
      <c r="C455" s="3" t="s">
        <v>213</v>
      </c>
      <c r="D455" s="5" t="s">
        <v>111</v>
      </c>
      <c r="E455" s="5" t="s">
        <v>112</v>
      </c>
      <c r="F455" s="6" t="s">
        <v>229</v>
      </c>
      <c r="G455" s="4" t="s">
        <v>0</v>
      </c>
      <c r="H455" s="25">
        <v>3610.375</v>
      </c>
      <c r="I455" s="8">
        <v>12</v>
      </c>
      <c r="J455" s="9">
        <v>0</v>
      </c>
      <c r="K455" s="7">
        <v>-12</v>
      </c>
      <c r="L455" s="24">
        <f>+Tabla2[[#This Row],[Stock Inventario]]*Tabla2[[#This Row],[Coste LÃ­nea]]</f>
        <v>0</v>
      </c>
      <c r="M455" s="24">
        <f>+Tabla2[[#This Row],[Variación Stock]]*Tabla2[[#This Row],[Coste LÃ­nea]]</f>
        <v>-43324.5</v>
      </c>
      <c r="N455" s="22" t="str">
        <f>+IF(Tabla2[[#This Row],[Variación Stock]]&gt;0,"Sobrante",IF(Tabla2[[#This Row],[Variación Stock]]&lt;0,"Faltante","Sin novedad"))</f>
        <v>Faltante</v>
      </c>
    </row>
    <row r="456" spans="1:14" x14ac:dyDescent="0.25">
      <c r="A456" s="11">
        <v>46053</v>
      </c>
      <c r="B456" s="5" t="s">
        <v>972</v>
      </c>
      <c r="C456" s="3" t="s">
        <v>213</v>
      </c>
      <c r="D456" s="5" t="s">
        <v>111</v>
      </c>
      <c r="E456" s="5" t="s">
        <v>112</v>
      </c>
      <c r="F456" s="6" t="s">
        <v>229</v>
      </c>
      <c r="G456" s="4" t="s">
        <v>0</v>
      </c>
      <c r="H456" s="25">
        <v>3610.375</v>
      </c>
      <c r="I456" s="8">
        <v>0</v>
      </c>
      <c r="J456" s="9">
        <v>15</v>
      </c>
      <c r="K456" s="7">
        <v>15</v>
      </c>
      <c r="L456" s="24">
        <f>+Tabla2[[#This Row],[Stock Inventario]]*Tabla2[[#This Row],[Coste LÃ­nea]]</f>
        <v>54155.625</v>
      </c>
      <c r="M456" s="24">
        <f>+Tabla2[[#This Row],[Variación Stock]]*Tabla2[[#This Row],[Coste LÃ­nea]]</f>
        <v>54155.625</v>
      </c>
      <c r="N456" s="22" t="str">
        <f>+IF(Tabla2[[#This Row],[Variación Stock]]&gt;0,"Sobrante",IF(Tabla2[[#This Row],[Variación Stock]]&lt;0,"Faltante","Sin novedad"))</f>
        <v>Sobrante</v>
      </c>
    </row>
    <row r="457" spans="1:14" x14ac:dyDescent="0.25">
      <c r="A457" s="11">
        <v>46037</v>
      </c>
      <c r="B457" s="5" t="s">
        <v>212</v>
      </c>
      <c r="C457" s="3" t="s">
        <v>213</v>
      </c>
      <c r="D457" s="5" t="s">
        <v>111</v>
      </c>
      <c r="E457" s="5" t="s">
        <v>112</v>
      </c>
      <c r="F457" s="6" t="s">
        <v>29</v>
      </c>
      <c r="G457" s="4" t="s">
        <v>0</v>
      </c>
      <c r="H457" s="24">
        <v>0</v>
      </c>
      <c r="I457" s="8">
        <v>0</v>
      </c>
      <c r="J457" s="9">
        <v>0</v>
      </c>
      <c r="K457" s="7">
        <v>0</v>
      </c>
      <c r="L457" s="24">
        <f>+Tabla2[[#This Row],[Stock Inventario]]*Tabla2[[#This Row],[Coste LÃ­nea]]</f>
        <v>0</v>
      </c>
      <c r="M457" s="24">
        <f>+Tabla2[[#This Row],[Variación Stock]]*Tabla2[[#This Row],[Coste LÃ­nea]]</f>
        <v>0</v>
      </c>
      <c r="N457" s="22" t="str">
        <f>+IF(Tabla2[[#This Row],[Variación Stock]]&gt;0,"Sobrante",IF(Tabla2[[#This Row],[Variación Stock]]&lt;0,"Faltante","Sin novedad"))</f>
        <v>Sin novedad</v>
      </c>
    </row>
    <row r="458" spans="1:14" hidden="1" x14ac:dyDescent="0.25">
      <c r="A458" s="11">
        <v>46053</v>
      </c>
      <c r="B458" s="5" t="s">
        <v>972</v>
      </c>
      <c r="C458" s="3" t="s">
        <v>213</v>
      </c>
      <c r="D458" s="5" t="s">
        <v>471</v>
      </c>
      <c r="E458" s="5" t="s">
        <v>117</v>
      </c>
      <c r="F458" s="6" t="s">
        <v>866</v>
      </c>
      <c r="G458" s="4" t="s">
        <v>1</v>
      </c>
      <c r="H458" s="25">
        <v>14</v>
      </c>
      <c r="I458" s="8">
        <v>590</v>
      </c>
      <c r="J458" s="9">
        <v>0</v>
      </c>
      <c r="K458" s="7">
        <v>-590</v>
      </c>
      <c r="L458" s="24">
        <f>+Tabla2[[#This Row],[Stock Inventario]]*Tabla2[[#This Row],[Coste LÃ­nea]]</f>
        <v>0</v>
      </c>
      <c r="M458" s="24">
        <f>+Tabla2[[#This Row],[Variación Stock]]*Tabla2[[#This Row],[Coste LÃ­nea]]</f>
        <v>-8260</v>
      </c>
      <c r="N458" s="22" t="str">
        <f>+IF(Tabla2[[#This Row],[Variación Stock]]&gt;0,"Sobrante",IF(Tabla2[[#This Row],[Variación Stock]]&lt;0,"Faltante","Sin novedad"))</f>
        <v>Faltante</v>
      </c>
    </row>
    <row r="459" spans="1:14" hidden="1" x14ac:dyDescent="0.25">
      <c r="A459" s="11">
        <v>46053</v>
      </c>
      <c r="B459" s="5" t="s">
        <v>972</v>
      </c>
      <c r="C459" s="3" t="s">
        <v>213</v>
      </c>
      <c r="D459" s="5" t="s">
        <v>471</v>
      </c>
      <c r="E459" s="5" t="s">
        <v>117</v>
      </c>
      <c r="F459" s="6" t="s">
        <v>494</v>
      </c>
      <c r="G459" s="4" t="s">
        <v>1</v>
      </c>
      <c r="H459" s="25">
        <v>30</v>
      </c>
      <c r="I459" s="8">
        <v>3795</v>
      </c>
      <c r="J459" s="9">
        <v>0</v>
      </c>
      <c r="K459" s="7">
        <v>-3795</v>
      </c>
      <c r="L459" s="24">
        <f>+Tabla2[[#This Row],[Stock Inventario]]*Tabla2[[#This Row],[Coste LÃ­nea]]</f>
        <v>0</v>
      </c>
      <c r="M459" s="24">
        <f>+Tabla2[[#This Row],[Variación Stock]]*Tabla2[[#This Row],[Coste LÃ­nea]]</f>
        <v>-113850</v>
      </c>
      <c r="N459" s="22" t="str">
        <f>+IF(Tabla2[[#This Row],[Variación Stock]]&gt;0,"Sobrante",IF(Tabla2[[#This Row],[Variación Stock]]&lt;0,"Faltante","Sin novedad"))</f>
        <v>Faltante</v>
      </c>
    </row>
    <row r="460" spans="1:14" hidden="1" x14ac:dyDescent="0.25">
      <c r="A460" s="11">
        <v>46053</v>
      </c>
      <c r="B460" s="5" t="s">
        <v>972</v>
      </c>
      <c r="C460" s="3" t="s">
        <v>213</v>
      </c>
      <c r="D460" s="5" t="s">
        <v>471</v>
      </c>
      <c r="E460" s="5" t="s">
        <v>117</v>
      </c>
      <c r="F460" s="6" t="s">
        <v>495</v>
      </c>
      <c r="G460" s="4" t="s">
        <v>1</v>
      </c>
      <c r="H460" s="25">
        <v>29</v>
      </c>
      <c r="I460" s="8">
        <v>-15</v>
      </c>
      <c r="J460" s="9">
        <v>0</v>
      </c>
      <c r="K460" s="7">
        <v>15</v>
      </c>
      <c r="L460" s="24">
        <f>+Tabla2[[#This Row],[Stock Inventario]]*Tabla2[[#This Row],[Coste LÃ­nea]]</f>
        <v>0</v>
      </c>
      <c r="M460" s="24">
        <f>+Tabla2[[#This Row],[Variación Stock]]*Tabla2[[#This Row],[Coste LÃ­nea]]</f>
        <v>435</v>
      </c>
      <c r="N460" s="22" t="str">
        <f>+IF(Tabla2[[#This Row],[Variación Stock]]&gt;0,"Sobrante",IF(Tabla2[[#This Row],[Variación Stock]]&lt;0,"Faltante","Sin novedad"))</f>
        <v>Sobrante</v>
      </c>
    </row>
    <row r="461" spans="1:14" hidden="1" x14ac:dyDescent="0.25">
      <c r="A461" s="11">
        <v>46053</v>
      </c>
      <c r="B461" s="5" t="s">
        <v>972</v>
      </c>
      <c r="C461" s="3" t="s">
        <v>213</v>
      </c>
      <c r="D461" s="5" t="s">
        <v>116</v>
      </c>
      <c r="E461" s="5" t="s">
        <v>117</v>
      </c>
      <c r="F461" s="6" t="s">
        <v>1004</v>
      </c>
      <c r="G461" s="4" t="s">
        <v>2</v>
      </c>
      <c r="H461" s="25">
        <v>0</v>
      </c>
      <c r="I461" s="8">
        <v>-59</v>
      </c>
      <c r="J461" s="9">
        <v>11</v>
      </c>
      <c r="K461" s="7">
        <v>70</v>
      </c>
      <c r="L461" s="24">
        <f>+Tabla2[[#This Row],[Stock Inventario]]*Tabla2[[#This Row],[Coste LÃ­nea]]</f>
        <v>0</v>
      </c>
      <c r="M461" s="24">
        <f>+Tabla2[[#This Row],[Variación Stock]]*Tabla2[[#This Row],[Coste LÃ­nea]]</f>
        <v>0</v>
      </c>
      <c r="N461" s="22" t="str">
        <f>+IF(Tabla2[[#This Row],[Variación Stock]]&gt;0,"Sobrante",IF(Tabla2[[#This Row],[Variación Stock]]&lt;0,"Faltante","Sin novedad"))</f>
        <v>Sobrante</v>
      </c>
    </row>
    <row r="462" spans="1:14" hidden="1" x14ac:dyDescent="0.25">
      <c r="A462" s="11">
        <v>46053</v>
      </c>
      <c r="B462" s="5" t="s">
        <v>972</v>
      </c>
      <c r="C462" s="3" t="s">
        <v>213</v>
      </c>
      <c r="D462" s="5" t="s">
        <v>547</v>
      </c>
      <c r="E462" s="5" t="s">
        <v>117</v>
      </c>
      <c r="F462" s="6" t="s">
        <v>1011</v>
      </c>
      <c r="G462" s="4" t="s">
        <v>1</v>
      </c>
      <c r="H462" s="25">
        <v>60</v>
      </c>
      <c r="I462" s="8">
        <v>-1965</v>
      </c>
      <c r="J462" s="9">
        <v>1800</v>
      </c>
      <c r="K462" s="7">
        <v>3765</v>
      </c>
      <c r="L462" s="24">
        <f>+Tabla2[[#This Row],[Stock Inventario]]*Tabla2[[#This Row],[Coste LÃ­nea]]</f>
        <v>108000</v>
      </c>
      <c r="M462" s="24">
        <f>+Tabla2[[#This Row],[Variación Stock]]*Tabla2[[#This Row],[Coste LÃ­nea]]</f>
        <v>225900</v>
      </c>
      <c r="N462" s="22" t="str">
        <f>+IF(Tabla2[[#This Row],[Variación Stock]]&gt;0,"Sobrante",IF(Tabla2[[#This Row],[Variación Stock]]&lt;0,"Faltante","Sin novedad"))</f>
        <v>Sobrante</v>
      </c>
    </row>
    <row r="463" spans="1:14" hidden="1" x14ac:dyDescent="0.25">
      <c r="A463" s="11">
        <v>46053</v>
      </c>
      <c r="B463" s="5" t="s">
        <v>972</v>
      </c>
      <c r="C463" s="3" t="s">
        <v>213</v>
      </c>
      <c r="D463" s="5" t="s">
        <v>116</v>
      </c>
      <c r="E463" s="5" t="s">
        <v>117</v>
      </c>
      <c r="F463" s="6" t="s">
        <v>158</v>
      </c>
      <c r="G463" s="4" t="s">
        <v>2</v>
      </c>
      <c r="H463" s="25">
        <v>2000</v>
      </c>
      <c r="I463" s="8">
        <v>0</v>
      </c>
      <c r="J463" s="9">
        <v>0</v>
      </c>
      <c r="K463" s="7">
        <v>0</v>
      </c>
      <c r="L463" s="24">
        <f>+Tabla2[[#This Row],[Stock Inventario]]*Tabla2[[#This Row],[Coste LÃ­nea]]</f>
        <v>0</v>
      </c>
      <c r="M463" s="24">
        <f>+Tabla2[[#This Row],[Variación Stock]]*Tabla2[[#This Row],[Coste LÃ­nea]]</f>
        <v>0</v>
      </c>
      <c r="N463" s="22" t="str">
        <f>+IF(Tabla2[[#This Row],[Variación Stock]]&gt;0,"Sobrante",IF(Tabla2[[#This Row],[Variación Stock]]&lt;0,"Faltante","Sin novedad"))</f>
        <v>Sin novedad</v>
      </c>
    </row>
    <row r="464" spans="1:14" x14ac:dyDescent="0.25">
      <c r="A464" s="11">
        <v>46044</v>
      </c>
      <c r="B464" s="5" t="s">
        <v>383</v>
      </c>
      <c r="C464" s="3" t="s">
        <v>213</v>
      </c>
      <c r="D464" s="5" t="s">
        <v>111</v>
      </c>
      <c r="E464" s="5" t="s">
        <v>112</v>
      </c>
      <c r="F464" s="6" t="s">
        <v>29</v>
      </c>
      <c r="G464" s="4" t="s">
        <v>0</v>
      </c>
      <c r="H464" s="25">
        <v>0</v>
      </c>
      <c r="I464" s="8">
        <v>0</v>
      </c>
      <c r="J464" s="9">
        <v>0</v>
      </c>
      <c r="K464" s="7">
        <v>0</v>
      </c>
      <c r="L464" s="24">
        <f>+Tabla2[[#This Row],[Stock Inventario]]*Tabla2[[#This Row],[Coste LÃ­nea]]</f>
        <v>0</v>
      </c>
      <c r="M464" s="24">
        <f>+Tabla2[[#This Row],[Variación Stock]]*Tabla2[[#This Row],[Coste LÃ­nea]]</f>
        <v>0</v>
      </c>
      <c r="N464" s="22" t="str">
        <f>+IF(Tabla2[[#This Row],[Variación Stock]]&gt;0,"Sobrante",IF(Tabla2[[#This Row],[Variación Stock]]&lt;0,"Faltante","Sin novedad"))</f>
        <v>Sin novedad</v>
      </c>
    </row>
    <row r="465" spans="1:14" hidden="1" x14ac:dyDescent="0.25">
      <c r="A465" s="11">
        <v>46053</v>
      </c>
      <c r="B465" s="5" t="s">
        <v>972</v>
      </c>
      <c r="C465" s="3" t="s">
        <v>213</v>
      </c>
      <c r="D465" s="5" t="s">
        <v>471</v>
      </c>
      <c r="E465" s="5" t="s">
        <v>117</v>
      </c>
      <c r="F465" s="6" t="s">
        <v>496</v>
      </c>
      <c r="G465" s="4" t="s">
        <v>1</v>
      </c>
      <c r="H465" s="25">
        <v>6</v>
      </c>
      <c r="I465" s="8">
        <v>1827.7687000000001</v>
      </c>
      <c r="J465" s="9">
        <v>200</v>
      </c>
      <c r="K465" s="7">
        <v>-1627.7687000000001</v>
      </c>
      <c r="L465" s="24">
        <f>+Tabla2[[#This Row],[Stock Inventario]]*Tabla2[[#This Row],[Coste LÃ­nea]]</f>
        <v>1200</v>
      </c>
      <c r="M465" s="24">
        <f>+Tabla2[[#This Row],[Variación Stock]]*Tabla2[[#This Row],[Coste LÃ­nea]]</f>
        <v>-9766.6121999999996</v>
      </c>
      <c r="N465" s="22" t="str">
        <f>+IF(Tabla2[[#This Row],[Variación Stock]]&gt;0,"Sobrante",IF(Tabla2[[#This Row],[Variación Stock]]&lt;0,"Faltante","Sin novedad"))</f>
        <v>Faltante</v>
      </c>
    </row>
    <row r="466" spans="1:14" x14ac:dyDescent="0.25">
      <c r="A466" s="11">
        <v>46053</v>
      </c>
      <c r="B466" s="5" t="s">
        <v>972</v>
      </c>
      <c r="C466" s="3" t="s">
        <v>213</v>
      </c>
      <c r="D466" s="5" t="s">
        <v>111</v>
      </c>
      <c r="E466" s="5" t="s">
        <v>112</v>
      </c>
      <c r="F466" s="6" t="s">
        <v>29</v>
      </c>
      <c r="G466" s="4" t="s">
        <v>0</v>
      </c>
      <c r="H466" s="25">
        <v>12951.25</v>
      </c>
      <c r="I466" s="8">
        <v>0</v>
      </c>
      <c r="J466" s="9">
        <v>0</v>
      </c>
      <c r="K466" s="7">
        <v>0</v>
      </c>
      <c r="L466" s="24">
        <f>+Tabla2[[#This Row],[Stock Inventario]]*Tabla2[[#This Row],[Coste LÃ­nea]]</f>
        <v>0</v>
      </c>
      <c r="M466" s="24">
        <f>+Tabla2[[#This Row],[Variación Stock]]*Tabla2[[#This Row],[Coste LÃ­nea]]</f>
        <v>0</v>
      </c>
      <c r="N466" s="22" t="str">
        <f>+IF(Tabla2[[#This Row],[Variación Stock]]&gt;0,"Sobrante",IF(Tabla2[[#This Row],[Variación Stock]]&lt;0,"Faltante","Sin novedad"))</f>
        <v>Sin novedad</v>
      </c>
    </row>
    <row r="467" spans="1:14" hidden="1" x14ac:dyDescent="0.25">
      <c r="A467" s="11">
        <v>46053</v>
      </c>
      <c r="B467" s="5" t="s">
        <v>972</v>
      </c>
      <c r="C467" s="3" t="s">
        <v>213</v>
      </c>
      <c r="D467" s="5" t="s">
        <v>626</v>
      </c>
      <c r="E467" s="5" t="s">
        <v>1079</v>
      </c>
      <c r="F467" s="6" t="s">
        <v>1030</v>
      </c>
      <c r="G467" s="4" t="s">
        <v>1</v>
      </c>
      <c r="H467" s="25">
        <v>30.5</v>
      </c>
      <c r="I467" s="8">
        <v>0</v>
      </c>
      <c r="J467" s="9">
        <v>0</v>
      </c>
      <c r="K467" s="7">
        <v>0</v>
      </c>
      <c r="L467" s="24">
        <f>+Tabla2[[#This Row],[Stock Inventario]]*Tabla2[[#This Row],[Coste LÃ­nea]]</f>
        <v>0</v>
      </c>
      <c r="M467" s="24">
        <f>+Tabla2[[#This Row],[Variación Stock]]*Tabla2[[#This Row],[Coste LÃ­nea]]</f>
        <v>0</v>
      </c>
      <c r="N467" s="22" t="str">
        <f>+IF(Tabla2[[#This Row],[Variación Stock]]&gt;0,"Sobrante",IF(Tabla2[[#This Row],[Variación Stock]]&lt;0,"Faltante","Sin novedad"))</f>
        <v>Sin novedad</v>
      </c>
    </row>
    <row r="468" spans="1:14" hidden="1" x14ac:dyDescent="0.25">
      <c r="A468" s="11">
        <v>46053</v>
      </c>
      <c r="B468" s="5" t="s">
        <v>972</v>
      </c>
      <c r="C468" s="3" t="s">
        <v>213</v>
      </c>
      <c r="D468" s="5" t="s">
        <v>396</v>
      </c>
      <c r="E468" s="5" t="s">
        <v>117</v>
      </c>
      <c r="F468" s="6" t="s">
        <v>842</v>
      </c>
      <c r="G468" s="4" t="s">
        <v>1</v>
      </c>
      <c r="H468" s="25">
        <v>24.513999999999999</v>
      </c>
      <c r="I468" s="8">
        <v>1319.5025000000001</v>
      </c>
      <c r="J468" s="9">
        <v>946</v>
      </c>
      <c r="K468" s="7">
        <v>-373.50248800000003</v>
      </c>
      <c r="L468" s="24">
        <f>+Tabla2[[#This Row],[Stock Inventario]]*Tabla2[[#This Row],[Coste LÃ­nea]]</f>
        <v>23190.243999999999</v>
      </c>
      <c r="M468" s="24">
        <f>+Tabla2[[#This Row],[Variación Stock]]*Tabla2[[#This Row],[Coste LÃ­nea]]</f>
        <v>-9156.0399908319996</v>
      </c>
      <c r="N468" s="22" t="str">
        <f>+IF(Tabla2[[#This Row],[Variación Stock]]&gt;0,"Sobrante",IF(Tabla2[[#This Row],[Variación Stock]]&lt;0,"Faltante","Sin novedad"))</f>
        <v>Faltante</v>
      </c>
    </row>
    <row r="469" spans="1:14" hidden="1" x14ac:dyDescent="0.25">
      <c r="A469" s="11">
        <v>46053</v>
      </c>
      <c r="B469" s="5" t="s">
        <v>972</v>
      </c>
      <c r="C469" s="3" t="s">
        <v>213</v>
      </c>
      <c r="D469" s="5" t="s">
        <v>803</v>
      </c>
      <c r="E469" s="5" t="s">
        <v>117</v>
      </c>
      <c r="F469" s="6" t="s">
        <v>809</v>
      </c>
      <c r="G469" s="4" t="s">
        <v>1</v>
      </c>
      <c r="H469" s="25">
        <v>178.06399999999999</v>
      </c>
      <c r="I469" s="8">
        <v>-7.7000000000000002E-3</v>
      </c>
      <c r="J469" s="9">
        <v>0</v>
      </c>
      <c r="K469" s="7">
        <v>7.6920000000000001E-3</v>
      </c>
      <c r="L469" s="24">
        <f>+Tabla2[[#This Row],[Stock Inventario]]*Tabla2[[#This Row],[Coste LÃ­nea]]</f>
        <v>0</v>
      </c>
      <c r="M469" s="24">
        <f>+Tabla2[[#This Row],[Variación Stock]]*Tabla2[[#This Row],[Coste LÃ­nea]]</f>
        <v>1.369668288</v>
      </c>
      <c r="N469" s="22" t="str">
        <f>+IF(Tabla2[[#This Row],[Variación Stock]]&gt;0,"Sobrante",IF(Tabla2[[#This Row],[Variación Stock]]&lt;0,"Faltante","Sin novedad"))</f>
        <v>Sobrante</v>
      </c>
    </row>
    <row r="470" spans="1:14" hidden="1" x14ac:dyDescent="0.25">
      <c r="A470" s="11">
        <v>46053</v>
      </c>
      <c r="B470" s="5" t="s">
        <v>972</v>
      </c>
      <c r="C470" s="3" t="s">
        <v>213</v>
      </c>
      <c r="D470" s="5" t="s">
        <v>396</v>
      </c>
      <c r="E470" s="5" t="s">
        <v>117</v>
      </c>
      <c r="F470" s="6" t="s">
        <v>851</v>
      </c>
      <c r="G470" s="4" t="s">
        <v>1</v>
      </c>
      <c r="H470" s="25">
        <v>49.977947020000002</v>
      </c>
      <c r="I470" s="8">
        <v>5060</v>
      </c>
      <c r="J470" s="9">
        <v>3500</v>
      </c>
      <c r="K470" s="7">
        <v>-1560</v>
      </c>
      <c r="L470" s="24">
        <f>+Tabla2[[#This Row],[Stock Inventario]]*Tabla2[[#This Row],[Coste LÃ­nea]]</f>
        <v>174922.81457000002</v>
      </c>
      <c r="M470" s="24">
        <f>+Tabla2[[#This Row],[Variación Stock]]*Tabla2[[#This Row],[Coste LÃ­nea]]</f>
        <v>-77965.597351200006</v>
      </c>
      <c r="N470" s="22" t="str">
        <f>+IF(Tabla2[[#This Row],[Variación Stock]]&gt;0,"Sobrante",IF(Tabla2[[#This Row],[Variación Stock]]&lt;0,"Faltante","Sin novedad"))</f>
        <v>Faltante</v>
      </c>
    </row>
    <row r="471" spans="1:14" hidden="1" x14ac:dyDescent="0.25">
      <c r="A471" s="11">
        <v>46053</v>
      </c>
      <c r="B471" s="5" t="s">
        <v>972</v>
      </c>
      <c r="C471" s="3" t="s">
        <v>213</v>
      </c>
      <c r="D471" s="5" t="s">
        <v>396</v>
      </c>
      <c r="E471" s="5" t="s">
        <v>117</v>
      </c>
      <c r="F471" s="6" t="s">
        <v>459</v>
      </c>
      <c r="G471" s="4" t="s">
        <v>1</v>
      </c>
      <c r="H471" s="25">
        <v>39.22731126</v>
      </c>
      <c r="I471" s="8">
        <v>5450</v>
      </c>
      <c r="J471" s="9">
        <v>3600</v>
      </c>
      <c r="K471" s="7">
        <v>-1850.0000050000001</v>
      </c>
      <c r="L471" s="24">
        <f>+Tabla2[[#This Row],[Stock Inventario]]*Tabla2[[#This Row],[Coste LÃ­nea]]</f>
        <v>141218.32053600001</v>
      </c>
      <c r="M471" s="24">
        <f>+Tabla2[[#This Row],[Variación Stock]]*Tabla2[[#This Row],[Coste LÃ­nea]]</f>
        <v>-72570.526027136555</v>
      </c>
      <c r="N471" s="22" t="str">
        <f>+IF(Tabla2[[#This Row],[Variación Stock]]&gt;0,"Sobrante",IF(Tabla2[[#This Row],[Variación Stock]]&lt;0,"Faltante","Sin novedad"))</f>
        <v>Faltante</v>
      </c>
    </row>
    <row r="472" spans="1:14" x14ac:dyDescent="0.25">
      <c r="A472" s="11">
        <v>46053</v>
      </c>
      <c r="B472" s="5" t="s">
        <v>972</v>
      </c>
      <c r="C472" s="3" t="s">
        <v>213</v>
      </c>
      <c r="D472" s="5" t="s">
        <v>603</v>
      </c>
      <c r="E472" s="5" t="s">
        <v>112</v>
      </c>
      <c r="F472" s="6" t="s">
        <v>609</v>
      </c>
      <c r="G472" s="4" t="s">
        <v>1</v>
      </c>
      <c r="H472" s="25">
        <v>35.274999999999999</v>
      </c>
      <c r="I472" s="8">
        <v>-400</v>
      </c>
      <c r="J472" s="9">
        <v>680</v>
      </c>
      <c r="K472" s="7">
        <v>1080</v>
      </c>
      <c r="L472" s="24">
        <f>+Tabla2[[#This Row],[Stock Inventario]]*Tabla2[[#This Row],[Coste LÃ­nea]]</f>
        <v>23987</v>
      </c>
      <c r="M472" s="24">
        <f>+Tabla2[[#This Row],[Variación Stock]]*Tabla2[[#This Row],[Coste LÃ­nea]]</f>
        <v>38097</v>
      </c>
      <c r="N472" s="22" t="str">
        <f>+IF(Tabla2[[#This Row],[Variación Stock]]&gt;0,"Sobrante",IF(Tabla2[[#This Row],[Variación Stock]]&lt;0,"Faltante","Sin novedad"))</f>
        <v>Sobrante</v>
      </c>
    </row>
    <row r="473" spans="1:14" x14ac:dyDescent="0.25">
      <c r="A473" s="11">
        <v>46037</v>
      </c>
      <c r="B473" s="5" t="s">
        <v>212</v>
      </c>
      <c r="C473" s="3" t="s">
        <v>213</v>
      </c>
      <c r="D473" s="5" t="s">
        <v>114</v>
      </c>
      <c r="E473" s="5" t="s">
        <v>112</v>
      </c>
      <c r="F473" s="6" t="s">
        <v>3</v>
      </c>
      <c r="G473" s="4" t="s">
        <v>2</v>
      </c>
      <c r="H473" s="24">
        <v>1497.59166667</v>
      </c>
      <c r="I473" s="8">
        <v>94</v>
      </c>
      <c r="J473" s="9">
        <v>141</v>
      </c>
      <c r="K473" s="7">
        <v>47</v>
      </c>
      <c r="L473" s="24">
        <f>+Tabla2[[#This Row],[Stock Inventario]]*Tabla2[[#This Row],[Coste LÃ­nea]]</f>
        <v>211160.42500046999</v>
      </c>
      <c r="M473" s="24">
        <f>+Tabla2[[#This Row],[Variación Stock]]*Tabla2[[#This Row],[Coste LÃ­nea]]</f>
        <v>70386.80833349</v>
      </c>
      <c r="N473" s="22" t="str">
        <f>+IF(Tabla2[[#This Row],[Variación Stock]]&gt;0,"Sobrante",IF(Tabla2[[#This Row],[Variación Stock]]&lt;0,"Faltante","Sin novedad"))</f>
        <v>Sobrante</v>
      </c>
    </row>
    <row r="474" spans="1:14" x14ac:dyDescent="0.25">
      <c r="A474" s="11">
        <v>46044</v>
      </c>
      <c r="B474" s="5" t="s">
        <v>383</v>
      </c>
      <c r="C474" s="3" t="s">
        <v>213</v>
      </c>
      <c r="D474" s="5" t="s">
        <v>114</v>
      </c>
      <c r="E474" s="5" t="s">
        <v>112</v>
      </c>
      <c r="F474" s="6" t="s">
        <v>3</v>
      </c>
      <c r="G474" s="4" t="s">
        <v>2</v>
      </c>
      <c r="H474" s="25">
        <v>1497.59166667</v>
      </c>
      <c r="I474" s="8">
        <v>168.86</v>
      </c>
      <c r="J474" s="9">
        <v>138</v>
      </c>
      <c r="K474" s="7">
        <v>-30.86</v>
      </c>
      <c r="L474" s="24">
        <f>+Tabla2[[#This Row],[Stock Inventario]]*Tabla2[[#This Row],[Coste LÃ­nea]]</f>
        <v>206667.65000046001</v>
      </c>
      <c r="M474" s="24">
        <f>+Tabla2[[#This Row],[Variación Stock]]*Tabla2[[#This Row],[Coste LÃ­nea]]</f>
        <v>-46215.678833436199</v>
      </c>
      <c r="N474" s="22" t="str">
        <f>+IF(Tabla2[[#This Row],[Variación Stock]]&gt;0,"Sobrante",IF(Tabla2[[#This Row],[Variación Stock]]&lt;0,"Faltante","Sin novedad"))</f>
        <v>Faltante</v>
      </c>
    </row>
    <row r="475" spans="1:14" hidden="1" x14ac:dyDescent="0.25">
      <c r="A475" s="11">
        <v>46053</v>
      </c>
      <c r="B475" s="5" t="s">
        <v>972</v>
      </c>
      <c r="C475" s="3" t="s">
        <v>213</v>
      </c>
      <c r="D475" s="5" t="s">
        <v>824</v>
      </c>
      <c r="E475" s="5" t="s">
        <v>117</v>
      </c>
      <c r="F475" s="6" t="s">
        <v>826</v>
      </c>
      <c r="G475" s="4" t="s">
        <v>1</v>
      </c>
      <c r="H475" s="25">
        <v>37.630249999999997</v>
      </c>
      <c r="I475" s="8">
        <v>0</v>
      </c>
      <c r="J475" s="9">
        <v>0</v>
      </c>
      <c r="K475" s="7">
        <v>0</v>
      </c>
      <c r="L475" s="24">
        <f>+Tabla2[[#This Row],[Stock Inventario]]*Tabla2[[#This Row],[Coste LÃ­nea]]</f>
        <v>0</v>
      </c>
      <c r="M475" s="24">
        <f>+Tabla2[[#This Row],[Variación Stock]]*Tabla2[[#This Row],[Coste LÃ­nea]]</f>
        <v>0</v>
      </c>
      <c r="N475" s="22" t="str">
        <f>+IF(Tabla2[[#This Row],[Variación Stock]]&gt;0,"Sobrante",IF(Tabla2[[#This Row],[Variación Stock]]&lt;0,"Faltante","Sin novedad"))</f>
        <v>Sin novedad</v>
      </c>
    </row>
    <row r="476" spans="1:14" hidden="1" x14ac:dyDescent="0.25">
      <c r="A476" s="11">
        <v>46053</v>
      </c>
      <c r="B476" s="5" t="s">
        <v>972</v>
      </c>
      <c r="C476" s="3" t="s">
        <v>213</v>
      </c>
      <c r="D476" s="5" t="s">
        <v>471</v>
      </c>
      <c r="E476" s="5" t="s">
        <v>117</v>
      </c>
      <c r="F476" s="6" t="s">
        <v>497</v>
      </c>
      <c r="G476" s="4" t="s">
        <v>1</v>
      </c>
      <c r="H476" s="25">
        <v>8.1999999999999993</v>
      </c>
      <c r="I476" s="8">
        <v>4400</v>
      </c>
      <c r="J476" s="9">
        <v>1500</v>
      </c>
      <c r="K476" s="7">
        <v>-2900</v>
      </c>
      <c r="L476" s="24">
        <f>+Tabla2[[#This Row],[Stock Inventario]]*Tabla2[[#This Row],[Coste LÃ­nea]]</f>
        <v>12299.999999999998</v>
      </c>
      <c r="M476" s="24">
        <f>+Tabla2[[#This Row],[Variación Stock]]*Tabla2[[#This Row],[Coste LÃ­nea]]</f>
        <v>-23779.999999999996</v>
      </c>
      <c r="N476" s="22" t="str">
        <f>+IF(Tabla2[[#This Row],[Variación Stock]]&gt;0,"Sobrante",IF(Tabla2[[#This Row],[Variación Stock]]&lt;0,"Faltante","Sin novedad"))</f>
        <v>Faltante</v>
      </c>
    </row>
    <row r="477" spans="1:14" hidden="1" x14ac:dyDescent="0.25">
      <c r="A477" s="11">
        <v>46053</v>
      </c>
      <c r="B477" s="5" t="s">
        <v>972</v>
      </c>
      <c r="C477" s="3" t="s">
        <v>213</v>
      </c>
      <c r="D477" s="5" t="s">
        <v>396</v>
      </c>
      <c r="E477" s="5" t="s">
        <v>117</v>
      </c>
      <c r="F477" s="6" t="s">
        <v>843</v>
      </c>
      <c r="G477" s="4" t="s">
        <v>1</v>
      </c>
      <c r="H477" s="25">
        <v>74.750129999999999</v>
      </c>
      <c r="I477" s="8">
        <v>2210</v>
      </c>
      <c r="J477" s="9">
        <v>750</v>
      </c>
      <c r="K477" s="7">
        <v>-1460</v>
      </c>
      <c r="L477" s="24">
        <f>+Tabla2[[#This Row],[Stock Inventario]]*Tabla2[[#This Row],[Coste LÃ­nea]]</f>
        <v>56062.597499999996</v>
      </c>
      <c r="M477" s="24">
        <f>+Tabla2[[#This Row],[Variación Stock]]*Tabla2[[#This Row],[Coste LÃ­nea]]</f>
        <v>-109135.18979999999</v>
      </c>
      <c r="N477" s="22" t="str">
        <f>+IF(Tabla2[[#This Row],[Variación Stock]]&gt;0,"Sobrante",IF(Tabla2[[#This Row],[Variación Stock]]&lt;0,"Faltante","Sin novedad"))</f>
        <v>Faltante</v>
      </c>
    </row>
    <row r="478" spans="1:14" x14ac:dyDescent="0.25">
      <c r="A478" s="11">
        <v>46053</v>
      </c>
      <c r="B478" s="5" t="s">
        <v>972</v>
      </c>
      <c r="C478" s="3" t="s">
        <v>213</v>
      </c>
      <c r="D478" s="5" t="s">
        <v>114</v>
      </c>
      <c r="E478" s="5" t="s">
        <v>112</v>
      </c>
      <c r="F478" s="6" t="s">
        <v>3</v>
      </c>
      <c r="G478" s="4" t="s">
        <v>2</v>
      </c>
      <c r="H478" s="25">
        <v>2000</v>
      </c>
      <c r="I478" s="8">
        <v>41.7</v>
      </c>
      <c r="J478" s="9">
        <v>112</v>
      </c>
      <c r="K478" s="7">
        <v>-13.7</v>
      </c>
      <c r="L478" s="24">
        <f>+Tabla2[[#This Row],[Stock Inventario]]*Tabla2[[#This Row],[Coste LÃ­nea]]</f>
        <v>224000</v>
      </c>
      <c r="M478" s="24">
        <f>+Tabla2[[#This Row],[Variación Stock]]*Tabla2[[#This Row],[Coste LÃ­nea]]</f>
        <v>-27400</v>
      </c>
      <c r="N478" s="22" t="str">
        <f>+IF(Tabla2[[#This Row],[Variación Stock]]&gt;0,"Sobrante",IF(Tabla2[[#This Row],[Variación Stock]]&lt;0,"Faltante","Sin novedad"))</f>
        <v>Faltante</v>
      </c>
    </row>
    <row r="479" spans="1:14" hidden="1" x14ac:dyDescent="0.25">
      <c r="A479" s="11">
        <v>46053</v>
      </c>
      <c r="B479" s="5" t="s">
        <v>972</v>
      </c>
      <c r="C479" s="3" t="s">
        <v>213</v>
      </c>
      <c r="D479" s="5" t="s">
        <v>471</v>
      </c>
      <c r="E479" s="5" t="s">
        <v>117</v>
      </c>
      <c r="F479" s="6" t="s">
        <v>498</v>
      </c>
      <c r="G479" s="4" t="s">
        <v>1</v>
      </c>
      <c r="H479" s="25">
        <v>24</v>
      </c>
      <c r="I479" s="8">
        <v>3243.3334</v>
      </c>
      <c r="J479" s="9">
        <v>0</v>
      </c>
      <c r="K479" s="7">
        <v>-3243.3334220000002</v>
      </c>
      <c r="L479" s="24">
        <f>+Tabla2[[#This Row],[Stock Inventario]]*Tabla2[[#This Row],[Coste LÃ­nea]]</f>
        <v>0</v>
      </c>
      <c r="M479" s="24">
        <f>+Tabla2[[#This Row],[Variación Stock]]*Tabla2[[#This Row],[Coste LÃ­nea]]</f>
        <v>-77840.002128000007</v>
      </c>
      <c r="N479" s="22" t="str">
        <f>+IF(Tabla2[[#This Row],[Variación Stock]]&gt;0,"Sobrante",IF(Tabla2[[#This Row],[Variación Stock]]&lt;0,"Faltante","Sin novedad"))</f>
        <v>Faltante</v>
      </c>
    </row>
    <row r="480" spans="1:14" hidden="1" x14ac:dyDescent="0.25">
      <c r="A480" s="11">
        <v>46053</v>
      </c>
      <c r="B480" s="5" t="s">
        <v>972</v>
      </c>
      <c r="C480" s="3" t="s">
        <v>213</v>
      </c>
      <c r="D480" s="5" t="s">
        <v>396</v>
      </c>
      <c r="E480" s="5" t="s">
        <v>117</v>
      </c>
      <c r="F480" s="6" t="s">
        <v>434</v>
      </c>
      <c r="G480" s="4" t="s">
        <v>1</v>
      </c>
      <c r="H480" s="25">
        <v>159.88999999999999</v>
      </c>
      <c r="I480" s="8">
        <v>666</v>
      </c>
      <c r="J480" s="9">
        <v>0</v>
      </c>
      <c r="K480" s="7">
        <v>-665.99999500000001</v>
      </c>
      <c r="L480" s="24">
        <f>+Tabla2[[#This Row],[Stock Inventario]]*Tabla2[[#This Row],[Coste LÃ­nea]]</f>
        <v>0</v>
      </c>
      <c r="M480" s="24">
        <f>+Tabla2[[#This Row],[Variación Stock]]*Tabla2[[#This Row],[Coste LÃ­nea]]</f>
        <v>-106486.73920054999</v>
      </c>
      <c r="N480" s="22" t="str">
        <f>+IF(Tabla2[[#This Row],[Variación Stock]]&gt;0,"Sobrante",IF(Tabla2[[#This Row],[Variación Stock]]&lt;0,"Faltante","Sin novedad"))</f>
        <v>Faltante</v>
      </c>
    </row>
    <row r="481" spans="1:14" hidden="1" x14ac:dyDescent="0.25">
      <c r="A481" s="11">
        <v>46053</v>
      </c>
      <c r="B481" s="5" t="s">
        <v>972</v>
      </c>
      <c r="C481" s="3" t="s">
        <v>213</v>
      </c>
      <c r="D481" s="5" t="s">
        <v>396</v>
      </c>
      <c r="E481" s="5" t="s">
        <v>117</v>
      </c>
      <c r="F481" s="6" t="s">
        <v>466</v>
      </c>
      <c r="G481" s="4" t="s">
        <v>1</v>
      </c>
      <c r="H481" s="25">
        <v>10.735200000000001</v>
      </c>
      <c r="I481" s="8">
        <v>18500</v>
      </c>
      <c r="J481" s="9">
        <v>10000</v>
      </c>
      <c r="K481" s="7">
        <v>-8500</v>
      </c>
      <c r="L481" s="24">
        <f>+Tabla2[[#This Row],[Stock Inventario]]*Tabla2[[#This Row],[Coste LÃ­nea]]</f>
        <v>107352.00000000001</v>
      </c>
      <c r="M481" s="24">
        <f>+Tabla2[[#This Row],[Variación Stock]]*Tabla2[[#This Row],[Coste LÃ­nea]]</f>
        <v>-91249.200000000012</v>
      </c>
      <c r="N481" s="22" t="str">
        <f>+IF(Tabla2[[#This Row],[Variación Stock]]&gt;0,"Sobrante",IF(Tabla2[[#This Row],[Variación Stock]]&lt;0,"Faltante","Sin novedad"))</f>
        <v>Faltante</v>
      </c>
    </row>
    <row r="482" spans="1:14" hidden="1" x14ac:dyDescent="0.25">
      <c r="A482" s="11">
        <v>46053</v>
      </c>
      <c r="B482" s="5" t="s">
        <v>972</v>
      </c>
      <c r="C482" s="3" t="s">
        <v>213</v>
      </c>
      <c r="D482" s="5" t="s">
        <v>396</v>
      </c>
      <c r="E482" s="5" t="s">
        <v>117</v>
      </c>
      <c r="F482" s="6" t="s">
        <v>852</v>
      </c>
      <c r="G482" s="4" t="s">
        <v>1</v>
      </c>
      <c r="H482" s="25">
        <v>350.00099999999998</v>
      </c>
      <c r="I482" s="8">
        <v>120</v>
      </c>
      <c r="J482" s="9">
        <v>0</v>
      </c>
      <c r="K482" s="7">
        <v>-120</v>
      </c>
      <c r="L482" s="24">
        <f>+Tabla2[[#This Row],[Stock Inventario]]*Tabla2[[#This Row],[Coste LÃ­nea]]</f>
        <v>0</v>
      </c>
      <c r="M482" s="24">
        <f>+Tabla2[[#This Row],[Variación Stock]]*Tabla2[[#This Row],[Coste LÃ­nea]]</f>
        <v>-42000.119999999995</v>
      </c>
      <c r="N482" s="22" t="str">
        <f>+IF(Tabla2[[#This Row],[Variación Stock]]&gt;0,"Sobrante",IF(Tabla2[[#This Row],[Variación Stock]]&lt;0,"Faltante","Sin novedad"))</f>
        <v>Faltante</v>
      </c>
    </row>
    <row r="483" spans="1:14" hidden="1" x14ac:dyDescent="0.25">
      <c r="A483" s="11">
        <v>46053</v>
      </c>
      <c r="B483" s="5" t="s">
        <v>972</v>
      </c>
      <c r="C483" s="3" t="s">
        <v>213</v>
      </c>
      <c r="D483" s="5" t="s">
        <v>815</v>
      </c>
      <c r="E483" s="5" t="s">
        <v>117</v>
      </c>
      <c r="F483" s="6" t="s">
        <v>817</v>
      </c>
      <c r="G483" s="4" t="s">
        <v>2</v>
      </c>
      <c r="H483" s="25">
        <v>2730</v>
      </c>
      <c r="I483" s="8">
        <v>-44</v>
      </c>
      <c r="J483" s="9">
        <v>0</v>
      </c>
      <c r="K483" s="7">
        <v>44</v>
      </c>
      <c r="L483" s="24">
        <f>+Tabla2[[#This Row],[Stock Inventario]]*Tabla2[[#This Row],[Coste LÃ­nea]]</f>
        <v>0</v>
      </c>
      <c r="M483" s="24">
        <f>+Tabla2[[#This Row],[Variación Stock]]*Tabla2[[#This Row],[Coste LÃ­nea]]</f>
        <v>120120</v>
      </c>
      <c r="N483" s="22" t="str">
        <f>+IF(Tabla2[[#This Row],[Variación Stock]]&gt;0,"Sobrante",IF(Tabla2[[#This Row],[Variación Stock]]&lt;0,"Faltante","Sin novedad"))</f>
        <v>Sobrante</v>
      </c>
    </row>
    <row r="484" spans="1:14" hidden="1" x14ac:dyDescent="0.25">
      <c r="A484" s="11">
        <v>46053</v>
      </c>
      <c r="B484" s="5" t="s">
        <v>972</v>
      </c>
      <c r="C484" s="3" t="s">
        <v>213</v>
      </c>
      <c r="D484" s="5" t="s">
        <v>803</v>
      </c>
      <c r="E484" s="5" t="s">
        <v>117</v>
      </c>
      <c r="F484" s="6" t="s">
        <v>813</v>
      </c>
      <c r="G484" s="4" t="s">
        <v>1</v>
      </c>
      <c r="H484" s="25">
        <v>60.010800000000003</v>
      </c>
      <c r="I484" s="8">
        <v>77.012100000000004</v>
      </c>
      <c r="J484" s="9">
        <v>300</v>
      </c>
      <c r="K484" s="7">
        <v>222.98791</v>
      </c>
      <c r="L484" s="24">
        <f>+Tabla2[[#This Row],[Stock Inventario]]*Tabla2[[#This Row],[Coste LÃ­nea]]</f>
        <v>18003.240000000002</v>
      </c>
      <c r="M484" s="24">
        <f>+Tabla2[[#This Row],[Variación Stock]]*Tabla2[[#This Row],[Coste LÃ­nea]]</f>
        <v>13381.682869428001</v>
      </c>
      <c r="N484" s="22" t="str">
        <f>+IF(Tabla2[[#This Row],[Variación Stock]]&gt;0,"Sobrante",IF(Tabla2[[#This Row],[Variación Stock]]&lt;0,"Faltante","Sin novedad"))</f>
        <v>Sobrante</v>
      </c>
    </row>
    <row r="485" spans="1:14" hidden="1" x14ac:dyDescent="0.25">
      <c r="A485" s="11">
        <v>46053</v>
      </c>
      <c r="B485" s="5" t="s">
        <v>972</v>
      </c>
      <c r="C485" s="3" t="s">
        <v>213</v>
      </c>
      <c r="D485" s="5" t="s">
        <v>559</v>
      </c>
      <c r="E485" s="5" t="s">
        <v>1080</v>
      </c>
      <c r="F485" s="6" t="s">
        <v>576</v>
      </c>
      <c r="G485" s="4" t="s">
        <v>2</v>
      </c>
      <c r="H485" s="25">
        <v>1388.73</v>
      </c>
      <c r="I485" s="8">
        <v>1195</v>
      </c>
      <c r="J485" s="9">
        <v>0</v>
      </c>
      <c r="K485" s="7">
        <v>-1195</v>
      </c>
      <c r="L485" s="24">
        <f>+Tabla2[[#This Row],[Stock Inventario]]*Tabla2[[#This Row],[Coste LÃ­nea]]</f>
        <v>0</v>
      </c>
      <c r="M485" s="24">
        <f>+Tabla2[[#This Row],[Variación Stock]]*Tabla2[[#This Row],[Coste LÃ­nea]]</f>
        <v>-1659532.35</v>
      </c>
      <c r="N485" s="22" t="str">
        <f>+IF(Tabla2[[#This Row],[Variación Stock]]&gt;0,"Sobrante",IF(Tabla2[[#This Row],[Variación Stock]]&lt;0,"Faltante","Sin novedad"))</f>
        <v>Faltante</v>
      </c>
    </row>
    <row r="486" spans="1:14" hidden="1" x14ac:dyDescent="0.25">
      <c r="A486" s="11">
        <v>46053</v>
      </c>
      <c r="B486" s="5" t="s">
        <v>972</v>
      </c>
      <c r="C486" s="3" t="s">
        <v>213</v>
      </c>
      <c r="D486" s="5" t="s">
        <v>559</v>
      </c>
      <c r="E486" s="5" t="s">
        <v>1080</v>
      </c>
      <c r="F486" s="6" t="s">
        <v>1020</v>
      </c>
      <c r="G486" s="4" t="s">
        <v>2</v>
      </c>
      <c r="H486" s="25">
        <v>1388.73</v>
      </c>
      <c r="I486" s="8">
        <v>450</v>
      </c>
      <c r="J486" s="9">
        <v>0</v>
      </c>
      <c r="K486" s="7">
        <v>-450</v>
      </c>
      <c r="L486" s="24">
        <f>+Tabla2[[#This Row],[Stock Inventario]]*Tabla2[[#This Row],[Coste LÃ­nea]]</f>
        <v>0</v>
      </c>
      <c r="M486" s="24">
        <f>+Tabla2[[#This Row],[Variación Stock]]*Tabla2[[#This Row],[Coste LÃ­nea]]</f>
        <v>-624928.5</v>
      </c>
      <c r="N486" s="22" t="str">
        <f>+IF(Tabla2[[#This Row],[Variación Stock]]&gt;0,"Sobrante",IF(Tabla2[[#This Row],[Variación Stock]]&lt;0,"Faltante","Sin novedad"))</f>
        <v>Faltante</v>
      </c>
    </row>
    <row r="487" spans="1:14" hidden="1" x14ac:dyDescent="0.25">
      <c r="A487" s="11">
        <v>46053</v>
      </c>
      <c r="B487" s="5" t="s">
        <v>972</v>
      </c>
      <c r="C487" s="3" t="s">
        <v>213</v>
      </c>
      <c r="D487" s="5" t="s">
        <v>116</v>
      </c>
      <c r="E487" s="5" t="s">
        <v>117</v>
      </c>
      <c r="F487" s="6" t="s">
        <v>1005</v>
      </c>
      <c r="G487" s="4" t="s">
        <v>1</v>
      </c>
      <c r="H487" s="25">
        <v>21</v>
      </c>
      <c r="I487" s="8">
        <v>2160</v>
      </c>
      <c r="J487" s="9">
        <v>4420</v>
      </c>
      <c r="K487" s="7">
        <v>2260</v>
      </c>
      <c r="L487" s="24">
        <f>+Tabla2[[#This Row],[Stock Inventario]]*Tabla2[[#This Row],[Coste LÃ­nea]]</f>
        <v>92820</v>
      </c>
      <c r="M487" s="24">
        <f>+Tabla2[[#This Row],[Variación Stock]]*Tabla2[[#This Row],[Coste LÃ­nea]]</f>
        <v>47460</v>
      </c>
      <c r="N487" s="22" t="str">
        <f>+IF(Tabla2[[#This Row],[Variación Stock]]&gt;0,"Sobrante",IF(Tabla2[[#This Row],[Variación Stock]]&lt;0,"Faltante","Sin novedad"))</f>
        <v>Sobrante</v>
      </c>
    </row>
    <row r="488" spans="1:14" hidden="1" x14ac:dyDescent="0.25">
      <c r="A488" s="11">
        <v>46053</v>
      </c>
      <c r="B488" s="5" t="s">
        <v>972</v>
      </c>
      <c r="C488" s="3" t="s">
        <v>213</v>
      </c>
      <c r="D488" s="5" t="s">
        <v>116</v>
      </c>
      <c r="E488" s="5" t="s">
        <v>117</v>
      </c>
      <c r="F488" s="6" t="s">
        <v>247</v>
      </c>
      <c r="G488" s="4" t="s">
        <v>2</v>
      </c>
      <c r="H488" s="25">
        <v>21</v>
      </c>
      <c r="I488" s="8">
        <v>0</v>
      </c>
      <c r="J488" s="9">
        <v>0</v>
      </c>
      <c r="K488" s="7">
        <v>0</v>
      </c>
      <c r="L488" s="24">
        <f>+Tabla2[[#This Row],[Stock Inventario]]*Tabla2[[#This Row],[Coste LÃ­nea]]</f>
        <v>0</v>
      </c>
      <c r="M488" s="24">
        <f>+Tabla2[[#This Row],[Variación Stock]]*Tabla2[[#This Row],[Coste LÃ­nea]]</f>
        <v>0</v>
      </c>
      <c r="N488" s="22" t="str">
        <f>+IF(Tabla2[[#This Row],[Variación Stock]]&gt;0,"Sobrante",IF(Tabla2[[#This Row],[Variación Stock]]&lt;0,"Faltante","Sin novedad"))</f>
        <v>Sin novedad</v>
      </c>
    </row>
    <row r="489" spans="1:14" hidden="1" x14ac:dyDescent="0.25">
      <c r="A489" s="11">
        <v>46053</v>
      </c>
      <c r="B489" s="5" t="s">
        <v>972</v>
      </c>
      <c r="C489" s="3" t="s">
        <v>213</v>
      </c>
      <c r="D489" s="5" t="s">
        <v>471</v>
      </c>
      <c r="E489" s="5" t="s">
        <v>117</v>
      </c>
      <c r="F489" s="6" t="s">
        <v>867</v>
      </c>
      <c r="G489" s="4" t="s">
        <v>1</v>
      </c>
      <c r="H489" s="25">
        <v>10</v>
      </c>
      <c r="I489" s="8">
        <v>0</v>
      </c>
      <c r="J489" s="9">
        <v>0</v>
      </c>
      <c r="K489" s="7">
        <v>0</v>
      </c>
      <c r="L489" s="24">
        <f>+Tabla2[[#This Row],[Stock Inventario]]*Tabla2[[#This Row],[Coste LÃ­nea]]</f>
        <v>0</v>
      </c>
      <c r="M489" s="24">
        <f>+Tabla2[[#This Row],[Variación Stock]]*Tabla2[[#This Row],[Coste LÃ­nea]]</f>
        <v>0</v>
      </c>
      <c r="N489" s="22" t="str">
        <f>+IF(Tabla2[[#This Row],[Variación Stock]]&gt;0,"Sobrante",IF(Tabla2[[#This Row],[Variación Stock]]&lt;0,"Faltante","Sin novedad"))</f>
        <v>Sin novedad</v>
      </c>
    </row>
    <row r="490" spans="1:14" hidden="1" x14ac:dyDescent="0.25">
      <c r="A490" s="11">
        <v>46053</v>
      </c>
      <c r="B490" s="5" t="s">
        <v>972</v>
      </c>
      <c r="C490" s="3" t="s">
        <v>213</v>
      </c>
      <c r="D490" s="5" t="s">
        <v>116</v>
      </c>
      <c r="E490" s="5" t="s">
        <v>117</v>
      </c>
      <c r="F490" s="6" t="s">
        <v>159</v>
      </c>
      <c r="G490" s="4" t="s">
        <v>2</v>
      </c>
      <c r="H490" s="25">
        <v>12850</v>
      </c>
      <c r="I490" s="8">
        <v>0</v>
      </c>
      <c r="J490" s="9">
        <v>0</v>
      </c>
      <c r="K490" s="7">
        <v>0</v>
      </c>
      <c r="L490" s="24">
        <f>+Tabla2[[#This Row],[Stock Inventario]]*Tabla2[[#This Row],[Coste LÃ­nea]]</f>
        <v>0</v>
      </c>
      <c r="M490" s="24">
        <f>+Tabla2[[#This Row],[Variación Stock]]*Tabla2[[#This Row],[Coste LÃ­nea]]</f>
        <v>0</v>
      </c>
      <c r="N490" s="22" t="str">
        <f>+IF(Tabla2[[#This Row],[Variación Stock]]&gt;0,"Sobrante",IF(Tabla2[[#This Row],[Variación Stock]]&lt;0,"Faltante","Sin novedad"))</f>
        <v>Sin novedad</v>
      </c>
    </row>
    <row r="491" spans="1:14" hidden="1" x14ac:dyDescent="0.25">
      <c r="A491" s="11">
        <v>46053</v>
      </c>
      <c r="B491" s="5" t="s">
        <v>972</v>
      </c>
      <c r="C491" s="3" t="s">
        <v>213</v>
      </c>
      <c r="D491" s="5" t="s">
        <v>116</v>
      </c>
      <c r="E491" s="5" t="s">
        <v>117</v>
      </c>
      <c r="F491" s="6" t="s">
        <v>253</v>
      </c>
      <c r="G491" s="4" t="s">
        <v>1</v>
      </c>
      <c r="H491" s="25">
        <v>28</v>
      </c>
      <c r="I491" s="8">
        <v>8280</v>
      </c>
      <c r="J491" s="9">
        <v>8230</v>
      </c>
      <c r="K491" s="7">
        <v>-50</v>
      </c>
      <c r="L491" s="24">
        <f>+Tabla2[[#This Row],[Stock Inventario]]*Tabla2[[#This Row],[Coste LÃ­nea]]</f>
        <v>230440</v>
      </c>
      <c r="M491" s="24">
        <f>+Tabla2[[#This Row],[Variación Stock]]*Tabla2[[#This Row],[Coste LÃ­nea]]</f>
        <v>-1400</v>
      </c>
      <c r="N491" s="22" t="str">
        <f>+IF(Tabla2[[#This Row],[Variación Stock]]&gt;0,"Sobrante",IF(Tabla2[[#This Row],[Variación Stock]]&lt;0,"Faltante","Sin novedad"))</f>
        <v>Faltante</v>
      </c>
    </row>
    <row r="492" spans="1:14" hidden="1" x14ac:dyDescent="0.25">
      <c r="A492" s="11">
        <v>46053</v>
      </c>
      <c r="B492" s="5" t="s">
        <v>972</v>
      </c>
      <c r="C492" s="3" t="s">
        <v>213</v>
      </c>
      <c r="D492" s="5" t="s">
        <v>547</v>
      </c>
      <c r="E492" s="5" t="s">
        <v>117</v>
      </c>
      <c r="F492" s="6" t="s">
        <v>548</v>
      </c>
      <c r="G492" s="4" t="s">
        <v>1</v>
      </c>
      <c r="H492" s="25">
        <v>16</v>
      </c>
      <c r="I492" s="8">
        <v>-4520</v>
      </c>
      <c r="J492" s="9">
        <v>1400</v>
      </c>
      <c r="K492" s="7">
        <v>5920</v>
      </c>
      <c r="L492" s="24">
        <f>+Tabla2[[#This Row],[Stock Inventario]]*Tabla2[[#This Row],[Coste LÃ­nea]]</f>
        <v>22400</v>
      </c>
      <c r="M492" s="24">
        <f>+Tabla2[[#This Row],[Variación Stock]]*Tabla2[[#This Row],[Coste LÃ­nea]]</f>
        <v>94720</v>
      </c>
      <c r="N492" s="22" t="str">
        <f>+IF(Tabla2[[#This Row],[Variación Stock]]&gt;0,"Sobrante",IF(Tabla2[[#This Row],[Variación Stock]]&lt;0,"Faltante","Sin novedad"))</f>
        <v>Sobrante</v>
      </c>
    </row>
    <row r="493" spans="1:14" hidden="1" x14ac:dyDescent="0.25">
      <c r="A493" s="11">
        <v>46053</v>
      </c>
      <c r="B493" s="5" t="s">
        <v>972</v>
      </c>
      <c r="C493" s="3" t="s">
        <v>213</v>
      </c>
      <c r="D493" s="5" t="s">
        <v>396</v>
      </c>
      <c r="E493" s="5" t="s">
        <v>117</v>
      </c>
      <c r="F493" s="6" t="s">
        <v>436</v>
      </c>
      <c r="G493" s="4" t="s">
        <v>1</v>
      </c>
      <c r="H493" s="25">
        <v>39.071874999999999</v>
      </c>
      <c r="I493" s="8">
        <v>-330</v>
      </c>
      <c r="J493" s="9">
        <v>0</v>
      </c>
      <c r="K493" s="7">
        <v>330</v>
      </c>
      <c r="L493" s="24">
        <f>+Tabla2[[#This Row],[Stock Inventario]]*Tabla2[[#This Row],[Coste LÃ­nea]]</f>
        <v>0</v>
      </c>
      <c r="M493" s="24">
        <f>+Tabla2[[#This Row],[Variación Stock]]*Tabla2[[#This Row],[Coste LÃ­nea]]</f>
        <v>12893.71875</v>
      </c>
      <c r="N493" s="22" t="str">
        <f>+IF(Tabla2[[#This Row],[Variación Stock]]&gt;0,"Sobrante",IF(Tabla2[[#This Row],[Variación Stock]]&lt;0,"Faltante","Sin novedad"))</f>
        <v>Sobrante</v>
      </c>
    </row>
    <row r="494" spans="1:14" hidden="1" x14ac:dyDescent="0.25">
      <c r="A494" s="11">
        <v>46053</v>
      </c>
      <c r="B494" s="5" t="s">
        <v>972</v>
      </c>
      <c r="C494" s="3" t="s">
        <v>213</v>
      </c>
      <c r="D494" s="5" t="s">
        <v>547</v>
      </c>
      <c r="E494" s="5" t="s">
        <v>117</v>
      </c>
      <c r="F494" s="6" t="s">
        <v>553</v>
      </c>
      <c r="G494" s="4" t="s">
        <v>1</v>
      </c>
      <c r="H494" s="25">
        <v>17.858762890000001</v>
      </c>
      <c r="I494" s="8">
        <v>9026.7052999999996</v>
      </c>
      <c r="J494" s="9">
        <v>4700</v>
      </c>
      <c r="K494" s="7">
        <v>-4326.7052750000003</v>
      </c>
      <c r="L494" s="24">
        <f>+Tabla2[[#This Row],[Stock Inventario]]*Tabla2[[#This Row],[Coste LÃ­nea]]</f>
        <v>83936.185583000013</v>
      </c>
      <c r="M494" s="24">
        <f>+Tabla2[[#This Row],[Variación Stock]]*Tabla2[[#This Row],[Coste LÃ­nea]]</f>
        <v>-77269.603601137249</v>
      </c>
      <c r="N494" s="22" t="str">
        <f>+IF(Tabla2[[#This Row],[Variación Stock]]&gt;0,"Sobrante",IF(Tabla2[[#This Row],[Variación Stock]]&lt;0,"Faltante","Sin novedad"))</f>
        <v>Faltante</v>
      </c>
    </row>
    <row r="495" spans="1:14" x14ac:dyDescent="0.25">
      <c r="A495" s="11">
        <v>46037</v>
      </c>
      <c r="B495" s="5" t="s">
        <v>212</v>
      </c>
      <c r="C495" s="3" t="s">
        <v>213</v>
      </c>
      <c r="D495" s="5" t="s">
        <v>111</v>
      </c>
      <c r="E495" s="5" t="s">
        <v>112</v>
      </c>
      <c r="F495" s="6" t="s">
        <v>30</v>
      </c>
      <c r="G495" s="4" t="s">
        <v>0</v>
      </c>
      <c r="H495" s="24">
        <v>4008.2727272699999</v>
      </c>
      <c r="I495" s="8">
        <v>0</v>
      </c>
      <c r="J495" s="9">
        <v>0</v>
      </c>
      <c r="K495" s="7">
        <v>0</v>
      </c>
      <c r="L495" s="24">
        <f>+Tabla2[[#This Row],[Stock Inventario]]*Tabla2[[#This Row],[Coste LÃ­nea]]</f>
        <v>0</v>
      </c>
      <c r="M495" s="24">
        <f>+Tabla2[[#This Row],[Variación Stock]]*Tabla2[[#This Row],[Coste LÃ­nea]]</f>
        <v>0</v>
      </c>
      <c r="N495" s="22" t="str">
        <f>+IF(Tabla2[[#This Row],[Variación Stock]]&gt;0,"Sobrante",IF(Tabla2[[#This Row],[Variación Stock]]&lt;0,"Faltante","Sin novedad"))</f>
        <v>Sin novedad</v>
      </c>
    </row>
    <row r="496" spans="1:14" hidden="1" x14ac:dyDescent="0.25">
      <c r="A496" s="11">
        <v>46053</v>
      </c>
      <c r="B496" s="5" t="s">
        <v>972</v>
      </c>
      <c r="C496" s="3" t="s">
        <v>213</v>
      </c>
      <c r="D496" s="5" t="s">
        <v>815</v>
      </c>
      <c r="E496" s="5" t="s">
        <v>117</v>
      </c>
      <c r="F496" s="6" t="s">
        <v>962</v>
      </c>
      <c r="G496" s="4" t="s">
        <v>1</v>
      </c>
      <c r="H496" s="25">
        <v>33.159999999999997</v>
      </c>
      <c r="I496" s="8">
        <v>2089</v>
      </c>
      <c r="J496" s="9">
        <v>590</v>
      </c>
      <c r="K496" s="7">
        <v>-1499</v>
      </c>
      <c r="L496" s="24">
        <f>+Tabla2[[#This Row],[Stock Inventario]]*Tabla2[[#This Row],[Coste LÃ­nea]]</f>
        <v>19564.399999999998</v>
      </c>
      <c r="M496" s="24">
        <f>+Tabla2[[#This Row],[Variación Stock]]*Tabla2[[#This Row],[Coste LÃ­nea]]</f>
        <v>-49706.84</v>
      </c>
      <c r="N496" s="22" t="str">
        <f>+IF(Tabla2[[#This Row],[Variación Stock]]&gt;0,"Sobrante",IF(Tabla2[[#This Row],[Variación Stock]]&lt;0,"Faltante","Sin novedad"))</f>
        <v>Faltante</v>
      </c>
    </row>
    <row r="497" spans="1:14" hidden="1" x14ac:dyDescent="0.25">
      <c r="A497" s="11">
        <v>46053</v>
      </c>
      <c r="B497" s="5" t="s">
        <v>972</v>
      </c>
      <c r="C497" s="3" t="s">
        <v>213</v>
      </c>
      <c r="D497" s="5" t="s">
        <v>547</v>
      </c>
      <c r="E497" s="5" t="s">
        <v>117</v>
      </c>
      <c r="F497" s="6" t="s">
        <v>554</v>
      </c>
      <c r="G497" s="4" t="s">
        <v>1</v>
      </c>
      <c r="H497" s="25">
        <v>22.08</v>
      </c>
      <c r="I497" s="8">
        <v>0</v>
      </c>
      <c r="J497" s="9">
        <v>0</v>
      </c>
      <c r="K497" s="7">
        <v>0</v>
      </c>
      <c r="L497" s="24">
        <f>+Tabla2[[#This Row],[Stock Inventario]]*Tabla2[[#This Row],[Coste LÃ­nea]]</f>
        <v>0</v>
      </c>
      <c r="M497" s="24">
        <f>+Tabla2[[#This Row],[Variación Stock]]*Tabla2[[#This Row],[Coste LÃ­nea]]</f>
        <v>0</v>
      </c>
      <c r="N497" s="22" t="str">
        <f>+IF(Tabla2[[#This Row],[Variación Stock]]&gt;0,"Sobrante",IF(Tabla2[[#This Row],[Variación Stock]]&lt;0,"Faltante","Sin novedad"))</f>
        <v>Sin novedad</v>
      </c>
    </row>
    <row r="498" spans="1:14" hidden="1" x14ac:dyDescent="0.25">
      <c r="A498" s="11">
        <v>46053</v>
      </c>
      <c r="B498" s="5" t="s">
        <v>972</v>
      </c>
      <c r="C498" s="3" t="s">
        <v>213</v>
      </c>
      <c r="D498" s="5" t="s">
        <v>559</v>
      </c>
      <c r="E498" s="5" t="s">
        <v>1080</v>
      </c>
      <c r="F498" s="6" t="s">
        <v>578</v>
      </c>
      <c r="G498" s="4" t="s">
        <v>2</v>
      </c>
      <c r="H498" s="25">
        <v>179.65</v>
      </c>
      <c r="I498" s="8">
        <v>300</v>
      </c>
      <c r="J498" s="9">
        <v>0</v>
      </c>
      <c r="K498" s="7">
        <v>-300</v>
      </c>
      <c r="L498" s="24">
        <f>+Tabla2[[#This Row],[Stock Inventario]]*Tabla2[[#This Row],[Coste LÃ­nea]]</f>
        <v>0</v>
      </c>
      <c r="M498" s="24">
        <f>+Tabla2[[#This Row],[Variación Stock]]*Tabla2[[#This Row],[Coste LÃ­nea]]</f>
        <v>-53895</v>
      </c>
      <c r="N498" s="22" t="str">
        <f>+IF(Tabla2[[#This Row],[Variación Stock]]&gt;0,"Sobrante",IF(Tabla2[[#This Row],[Variación Stock]]&lt;0,"Faltante","Sin novedad"))</f>
        <v>Faltante</v>
      </c>
    </row>
    <row r="499" spans="1:14" hidden="1" x14ac:dyDescent="0.25">
      <c r="A499" s="11">
        <v>46053</v>
      </c>
      <c r="B499" s="5" t="s">
        <v>972</v>
      </c>
      <c r="C499" s="3" t="s">
        <v>213</v>
      </c>
      <c r="D499" s="5" t="s">
        <v>396</v>
      </c>
      <c r="E499" s="5" t="s">
        <v>117</v>
      </c>
      <c r="F499" s="6" t="s">
        <v>986</v>
      </c>
      <c r="G499" s="4" t="s">
        <v>1</v>
      </c>
      <c r="H499" s="25">
        <v>18</v>
      </c>
      <c r="I499" s="8">
        <v>0</v>
      </c>
      <c r="J499" s="9">
        <v>0</v>
      </c>
      <c r="K499" s="7">
        <v>0</v>
      </c>
      <c r="L499" s="24">
        <f>+Tabla2[[#This Row],[Stock Inventario]]*Tabla2[[#This Row],[Coste LÃ­nea]]</f>
        <v>0</v>
      </c>
      <c r="M499" s="24">
        <f>+Tabla2[[#This Row],[Variación Stock]]*Tabla2[[#This Row],[Coste LÃ­nea]]</f>
        <v>0</v>
      </c>
      <c r="N499" s="22" t="str">
        <f>+IF(Tabla2[[#This Row],[Variación Stock]]&gt;0,"Sobrante",IF(Tabla2[[#This Row],[Variación Stock]]&lt;0,"Faltante","Sin novedad"))</f>
        <v>Sin novedad</v>
      </c>
    </row>
    <row r="500" spans="1:14" hidden="1" x14ac:dyDescent="0.25">
      <c r="A500" s="11">
        <v>46053</v>
      </c>
      <c r="B500" s="5" t="s">
        <v>972</v>
      </c>
      <c r="C500" s="3" t="s">
        <v>213</v>
      </c>
      <c r="D500" s="5" t="s">
        <v>396</v>
      </c>
      <c r="E500" s="5" t="s">
        <v>117</v>
      </c>
      <c r="F500" s="6" t="s">
        <v>467</v>
      </c>
      <c r="G500" s="4" t="s">
        <v>2</v>
      </c>
      <c r="H500" s="25">
        <v>4.7356828193832596</v>
      </c>
      <c r="I500" s="8">
        <v>146</v>
      </c>
      <c r="J500" s="9">
        <v>0</v>
      </c>
      <c r="K500" s="7">
        <v>-146</v>
      </c>
      <c r="L500" s="24">
        <f>+Tabla2[[#This Row],[Stock Inventario]]*Tabla2[[#This Row],[Coste LÃ­nea]]</f>
        <v>0</v>
      </c>
      <c r="M500" s="24">
        <f>+Tabla2[[#This Row],[Variación Stock]]*Tabla2[[#This Row],[Coste LÃ­nea]]</f>
        <v>-691.40969162995589</v>
      </c>
      <c r="N500" s="22" t="str">
        <f>+IF(Tabla2[[#This Row],[Variación Stock]]&gt;0,"Sobrante",IF(Tabla2[[#This Row],[Variación Stock]]&lt;0,"Faltante","Sin novedad"))</f>
        <v>Faltante</v>
      </c>
    </row>
    <row r="501" spans="1:14" hidden="1" x14ac:dyDescent="0.25">
      <c r="A501" s="11">
        <v>46053</v>
      </c>
      <c r="B501" s="5" t="s">
        <v>972</v>
      </c>
      <c r="C501" s="3" t="s">
        <v>213</v>
      </c>
      <c r="D501" s="5" t="s">
        <v>471</v>
      </c>
      <c r="E501" s="5" t="s">
        <v>117</v>
      </c>
      <c r="F501" s="6" t="s">
        <v>499</v>
      </c>
      <c r="G501" s="4" t="s">
        <v>1</v>
      </c>
      <c r="H501" s="25">
        <v>5.8</v>
      </c>
      <c r="I501" s="8">
        <v>10600</v>
      </c>
      <c r="J501" s="9">
        <v>0</v>
      </c>
      <c r="K501" s="7">
        <v>-10600</v>
      </c>
      <c r="L501" s="24">
        <f>+Tabla2[[#This Row],[Stock Inventario]]*Tabla2[[#This Row],[Coste LÃ­nea]]</f>
        <v>0</v>
      </c>
      <c r="M501" s="24">
        <f>+Tabla2[[#This Row],[Variación Stock]]*Tabla2[[#This Row],[Coste LÃ­nea]]</f>
        <v>-61480</v>
      </c>
      <c r="N501" s="22" t="str">
        <f>+IF(Tabla2[[#This Row],[Variación Stock]]&gt;0,"Sobrante",IF(Tabla2[[#This Row],[Variación Stock]]&lt;0,"Faltante","Sin novedad"))</f>
        <v>Faltante</v>
      </c>
    </row>
    <row r="502" spans="1:14" hidden="1" x14ac:dyDescent="0.25">
      <c r="A502" s="11">
        <v>46053</v>
      </c>
      <c r="B502" s="5" t="s">
        <v>972</v>
      </c>
      <c r="C502" s="3" t="s">
        <v>213</v>
      </c>
      <c r="D502" s="5" t="s">
        <v>626</v>
      </c>
      <c r="E502" s="5" t="s">
        <v>1079</v>
      </c>
      <c r="F502" s="6" t="s">
        <v>636</v>
      </c>
      <c r="G502" s="4" t="s">
        <v>2</v>
      </c>
      <c r="H502" s="25">
        <v>648.20000000000005</v>
      </c>
      <c r="I502" s="8">
        <v>0</v>
      </c>
      <c r="J502" s="9">
        <v>30</v>
      </c>
      <c r="K502" s="7">
        <v>30</v>
      </c>
      <c r="L502" s="24">
        <f>+Tabla2[[#This Row],[Stock Inventario]]*Tabla2[[#This Row],[Coste LÃ­nea]]</f>
        <v>19446</v>
      </c>
      <c r="M502" s="24">
        <f>+Tabla2[[#This Row],[Variación Stock]]*Tabla2[[#This Row],[Coste LÃ­nea]]</f>
        <v>19446</v>
      </c>
      <c r="N502" s="22" t="str">
        <f>+IF(Tabla2[[#This Row],[Variación Stock]]&gt;0,"Sobrante",IF(Tabla2[[#This Row],[Variación Stock]]&lt;0,"Faltante","Sin novedad"))</f>
        <v>Sobrante</v>
      </c>
    </row>
    <row r="503" spans="1:14" hidden="1" x14ac:dyDescent="0.25">
      <c r="A503" s="11">
        <v>46053</v>
      </c>
      <c r="B503" s="5" t="s">
        <v>972</v>
      </c>
      <c r="C503" s="3" t="s">
        <v>213</v>
      </c>
      <c r="D503" s="5" t="s">
        <v>626</v>
      </c>
      <c r="E503" s="5" t="s">
        <v>1079</v>
      </c>
      <c r="F503" s="6" t="s">
        <v>641</v>
      </c>
      <c r="G503" s="4" t="s">
        <v>2</v>
      </c>
      <c r="H503" s="25">
        <v>895.4</v>
      </c>
      <c r="I503" s="8">
        <v>20</v>
      </c>
      <c r="J503" s="9">
        <v>6</v>
      </c>
      <c r="K503" s="7">
        <v>-14</v>
      </c>
      <c r="L503" s="24">
        <f>+Tabla2[[#This Row],[Stock Inventario]]*Tabla2[[#This Row],[Coste LÃ­nea]]</f>
        <v>5372.4</v>
      </c>
      <c r="M503" s="24">
        <f>+Tabla2[[#This Row],[Variación Stock]]*Tabla2[[#This Row],[Coste LÃ­nea]]</f>
        <v>-12535.6</v>
      </c>
      <c r="N503" s="22" t="str">
        <f>+IF(Tabla2[[#This Row],[Variación Stock]]&gt;0,"Sobrante",IF(Tabla2[[#This Row],[Variación Stock]]&lt;0,"Faltante","Sin novedad"))</f>
        <v>Faltante</v>
      </c>
    </row>
    <row r="504" spans="1:14" hidden="1" x14ac:dyDescent="0.25">
      <c r="A504" s="11">
        <v>46053</v>
      </c>
      <c r="B504" s="5" t="s">
        <v>972</v>
      </c>
      <c r="C504" s="3" t="s">
        <v>213</v>
      </c>
      <c r="D504" s="5" t="s">
        <v>626</v>
      </c>
      <c r="E504" s="5" t="s">
        <v>1079</v>
      </c>
      <c r="F504" s="6" t="s">
        <v>642</v>
      </c>
      <c r="G504" s="4" t="s">
        <v>1</v>
      </c>
      <c r="H504" s="25">
        <v>10.115</v>
      </c>
      <c r="I504" s="8">
        <v>84000</v>
      </c>
      <c r="J504" s="9">
        <v>0</v>
      </c>
      <c r="K504" s="7">
        <v>-84000</v>
      </c>
      <c r="L504" s="24">
        <f>+Tabla2[[#This Row],[Stock Inventario]]*Tabla2[[#This Row],[Coste LÃ­nea]]</f>
        <v>0</v>
      </c>
      <c r="M504" s="24">
        <f>+Tabla2[[#This Row],[Variación Stock]]*Tabla2[[#This Row],[Coste LÃ­nea]]</f>
        <v>-849660</v>
      </c>
      <c r="N504" s="22" t="str">
        <f>+IF(Tabla2[[#This Row],[Variación Stock]]&gt;0,"Sobrante",IF(Tabla2[[#This Row],[Variación Stock]]&lt;0,"Faltante","Sin novedad"))</f>
        <v>Faltante</v>
      </c>
    </row>
    <row r="505" spans="1:14" hidden="1" x14ac:dyDescent="0.25">
      <c r="A505" s="11">
        <v>46053</v>
      </c>
      <c r="B505" s="5" t="s">
        <v>972</v>
      </c>
      <c r="C505" s="3" t="s">
        <v>213</v>
      </c>
      <c r="D505" s="5" t="s">
        <v>626</v>
      </c>
      <c r="E505" s="5" t="s">
        <v>1079</v>
      </c>
      <c r="F505" s="6" t="s">
        <v>893</v>
      </c>
      <c r="G505" s="4" t="s">
        <v>1</v>
      </c>
      <c r="H505" s="25">
        <v>10.9412</v>
      </c>
      <c r="I505" s="8">
        <v>20000</v>
      </c>
      <c r="J505" s="9">
        <v>1000</v>
      </c>
      <c r="K505" s="7">
        <v>-19000</v>
      </c>
      <c r="L505" s="24">
        <f>+Tabla2[[#This Row],[Stock Inventario]]*Tabla2[[#This Row],[Coste LÃ­nea]]</f>
        <v>10941.2</v>
      </c>
      <c r="M505" s="24">
        <f>+Tabla2[[#This Row],[Variación Stock]]*Tabla2[[#This Row],[Coste LÃ­nea]]</f>
        <v>-207882.80000000002</v>
      </c>
      <c r="N505" s="22" t="str">
        <f>+IF(Tabla2[[#This Row],[Variación Stock]]&gt;0,"Sobrante",IF(Tabla2[[#This Row],[Variación Stock]]&lt;0,"Faltante","Sin novedad"))</f>
        <v>Faltante</v>
      </c>
    </row>
    <row r="506" spans="1:14" hidden="1" x14ac:dyDescent="0.25">
      <c r="A506" s="11">
        <v>46053</v>
      </c>
      <c r="B506" s="5" t="s">
        <v>972</v>
      </c>
      <c r="C506" s="3" t="s">
        <v>213</v>
      </c>
      <c r="D506" s="5" t="s">
        <v>626</v>
      </c>
      <c r="E506" s="5" t="s">
        <v>1079</v>
      </c>
      <c r="F506" s="6" t="s">
        <v>643</v>
      </c>
      <c r="G506" s="4" t="s">
        <v>2</v>
      </c>
      <c r="H506" s="25">
        <v>5090</v>
      </c>
      <c r="I506" s="8">
        <v>2</v>
      </c>
      <c r="J506" s="9">
        <v>1</v>
      </c>
      <c r="K506" s="7">
        <v>-1</v>
      </c>
      <c r="L506" s="24">
        <f>+Tabla2[[#This Row],[Stock Inventario]]*Tabla2[[#This Row],[Coste LÃ­nea]]</f>
        <v>5090</v>
      </c>
      <c r="M506" s="24">
        <f>+Tabla2[[#This Row],[Variación Stock]]*Tabla2[[#This Row],[Coste LÃ­nea]]</f>
        <v>-5090</v>
      </c>
      <c r="N506" s="22" t="str">
        <f>+IF(Tabla2[[#This Row],[Variación Stock]]&gt;0,"Sobrante",IF(Tabla2[[#This Row],[Variación Stock]]&lt;0,"Faltante","Sin novedad"))</f>
        <v>Faltante</v>
      </c>
    </row>
    <row r="507" spans="1:14" x14ac:dyDescent="0.25">
      <c r="A507" s="11">
        <v>46044</v>
      </c>
      <c r="B507" s="5" t="s">
        <v>383</v>
      </c>
      <c r="C507" s="3" t="s">
        <v>213</v>
      </c>
      <c r="D507" s="5" t="s">
        <v>111</v>
      </c>
      <c r="E507" s="5" t="s">
        <v>112</v>
      </c>
      <c r="F507" s="6" t="s">
        <v>30</v>
      </c>
      <c r="G507" s="4" t="s">
        <v>0</v>
      </c>
      <c r="H507" s="25">
        <v>4008.2727272699999</v>
      </c>
      <c r="I507" s="8">
        <v>0</v>
      </c>
      <c r="J507" s="9">
        <v>0</v>
      </c>
      <c r="K507" s="7">
        <v>0</v>
      </c>
      <c r="L507" s="24">
        <f>+Tabla2[[#This Row],[Stock Inventario]]*Tabla2[[#This Row],[Coste LÃ­nea]]</f>
        <v>0</v>
      </c>
      <c r="M507" s="24">
        <f>+Tabla2[[#This Row],[Variación Stock]]*Tabla2[[#This Row],[Coste LÃ­nea]]</f>
        <v>0</v>
      </c>
      <c r="N507" s="22" t="str">
        <f>+IF(Tabla2[[#This Row],[Variación Stock]]&gt;0,"Sobrante",IF(Tabla2[[#This Row],[Variación Stock]]&lt;0,"Faltante","Sin novedad"))</f>
        <v>Sin novedad</v>
      </c>
    </row>
    <row r="508" spans="1:14" x14ac:dyDescent="0.25">
      <c r="A508" s="11">
        <v>46053</v>
      </c>
      <c r="B508" s="5" t="s">
        <v>972</v>
      </c>
      <c r="C508" s="3" t="s">
        <v>213</v>
      </c>
      <c r="D508" s="5" t="s">
        <v>111</v>
      </c>
      <c r="E508" s="5" t="s">
        <v>112</v>
      </c>
      <c r="F508" s="6" t="s">
        <v>30</v>
      </c>
      <c r="G508" s="4" t="s">
        <v>0</v>
      </c>
      <c r="H508" s="25">
        <v>4008.2727272699999</v>
      </c>
      <c r="I508" s="8">
        <v>0</v>
      </c>
      <c r="J508" s="9">
        <v>0</v>
      </c>
      <c r="K508" s="7">
        <v>0</v>
      </c>
      <c r="L508" s="24">
        <f>+Tabla2[[#This Row],[Stock Inventario]]*Tabla2[[#This Row],[Coste LÃ­nea]]</f>
        <v>0</v>
      </c>
      <c r="M508" s="24">
        <f>+Tabla2[[#This Row],[Variación Stock]]*Tabla2[[#This Row],[Coste LÃ­nea]]</f>
        <v>0</v>
      </c>
      <c r="N508" s="22" t="str">
        <f>+IF(Tabla2[[#This Row],[Variación Stock]]&gt;0,"Sobrante",IF(Tabla2[[#This Row],[Variación Stock]]&lt;0,"Faltante","Sin novedad"))</f>
        <v>Sin novedad</v>
      </c>
    </row>
    <row r="509" spans="1:14" x14ac:dyDescent="0.25">
      <c r="A509" s="11">
        <v>46037</v>
      </c>
      <c r="B509" s="5" t="s">
        <v>212</v>
      </c>
      <c r="C509" s="3" t="s">
        <v>213</v>
      </c>
      <c r="D509" s="5" t="s">
        <v>114</v>
      </c>
      <c r="E509" s="5" t="s">
        <v>112</v>
      </c>
      <c r="F509" s="6" t="s">
        <v>147</v>
      </c>
      <c r="G509" s="4" t="s">
        <v>2</v>
      </c>
      <c r="H509" s="24">
        <v>1944.4444444000001</v>
      </c>
      <c r="I509" s="8">
        <v>0</v>
      </c>
      <c r="J509" s="9">
        <v>0</v>
      </c>
      <c r="K509" s="7">
        <v>0</v>
      </c>
      <c r="L509" s="24">
        <f>+Tabla2[[#This Row],[Stock Inventario]]*Tabla2[[#This Row],[Coste LÃ­nea]]</f>
        <v>0</v>
      </c>
      <c r="M509" s="24">
        <f>+Tabla2[[#This Row],[Variación Stock]]*Tabla2[[#This Row],[Coste LÃ­nea]]</f>
        <v>0</v>
      </c>
      <c r="N509" s="22" t="str">
        <f>+IF(Tabla2[[#This Row],[Variación Stock]]&gt;0,"Sobrante",IF(Tabla2[[#This Row],[Variación Stock]]&lt;0,"Faltante","Sin novedad"))</f>
        <v>Sin novedad</v>
      </c>
    </row>
    <row r="510" spans="1:14" x14ac:dyDescent="0.25">
      <c r="A510" s="11">
        <v>46044</v>
      </c>
      <c r="B510" s="5" t="s">
        <v>383</v>
      </c>
      <c r="C510" s="3" t="s">
        <v>213</v>
      </c>
      <c r="D510" s="5" t="s">
        <v>114</v>
      </c>
      <c r="E510" s="5" t="s">
        <v>112</v>
      </c>
      <c r="F510" s="6" t="s">
        <v>147</v>
      </c>
      <c r="G510" s="4" t="s">
        <v>2</v>
      </c>
      <c r="H510" s="25">
        <v>1944.4444444000001</v>
      </c>
      <c r="I510" s="8">
        <v>0</v>
      </c>
      <c r="J510" s="9">
        <v>0</v>
      </c>
      <c r="K510" s="7">
        <v>0</v>
      </c>
      <c r="L510" s="24">
        <f>+Tabla2[[#This Row],[Stock Inventario]]*Tabla2[[#This Row],[Coste LÃ­nea]]</f>
        <v>0</v>
      </c>
      <c r="M510" s="24">
        <f>+Tabla2[[#This Row],[Variación Stock]]*Tabla2[[#This Row],[Coste LÃ­nea]]</f>
        <v>0</v>
      </c>
      <c r="N510" s="22" t="str">
        <f>+IF(Tabla2[[#This Row],[Variación Stock]]&gt;0,"Sobrante",IF(Tabla2[[#This Row],[Variación Stock]]&lt;0,"Faltante","Sin novedad"))</f>
        <v>Sin novedad</v>
      </c>
    </row>
    <row r="511" spans="1:14" x14ac:dyDescent="0.25">
      <c r="A511" s="11">
        <v>46053</v>
      </c>
      <c r="B511" s="5" t="s">
        <v>972</v>
      </c>
      <c r="C511" s="3" t="s">
        <v>213</v>
      </c>
      <c r="D511" s="5" t="s">
        <v>114</v>
      </c>
      <c r="E511" s="5" t="s">
        <v>112</v>
      </c>
      <c r="F511" s="6" t="s">
        <v>147</v>
      </c>
      <c r="G511" s="4" t="s">
        <v>2</v>
      </c>
      <c r="H511" s="25">
        <v>1944.4444444000001</v>
      </c>
      <c r="I511" s="8">
        <v>0</v>
      </c>
      <c r="J511" s="9">
        <v>0</v>
      </c>
      <c r="K511" s="7">
        <v>0</v>
      </c>
      <c r="L511" s="24">
        <f>+Tabla2[[#This Row],[Stock Inventario]]*Tabla2[[#This Row],[Coste LÃ­nea]]</f>
        <v>0</v>
      </c>
      <c r="M511" s="24">
        <f>+Tabla2[[#This Row],[Variación Stock]]*Tabla2[[#This Row],[Coste LÃ­nea]]</f>
        <v>0</v>
      </c>
      <c r="N511" s="22" t="str">
        <f>+IF(Tabla2[[#This Row],[Variación Stock]]&gt;0,"Sobrante",IF(Tabla2[[#This Row],[Variación Stock]]&lt;0,"Faltante","Sin novedad"))</f>
        <v>Sin novedad</v>
      </c>
    </row>
    <row r="512" spans="1:14" hidden="1" x14ac:dyDescent="0.25">
      <c r="A512" s="11">
        <v>46053</v>
      </c>
      <c r="B512" s="5" t="s">
        <v>972</v>
      </c>
      <c r="C512" s="3" t="s">
        <v>213</v>
      </c>
      <c r="D512" s="5" t="s">
        <v>471</v>
      </c>
      <c r="E512" s="5" t="s">
        <v>117</v>
      </c>
      <c r="F512" s="6" t="s">
        <v>999</v>
      </c>
      <c r="G512" s="4" t="s">
        <v>1</v>
      </c>
      <c r="H512" s="25">
        <v>12</v>
      </c>
      <c r="I512" s="8">
        <v>230</v>
      </c>
      <c r="J512" s="9">
        <v>50</v>
      </c>
      <c r="K512" s="7">
        <v>-180</v>
      </c>
      <c r="L512" s="24">
        <f>+Tabla2[[#This Row],[Stock Inventario]]*Tabla2[[#This Row],[Coste LÃ­nea]]</f>
        <v>600</v>
      </c>
      <c r="M512" s="24">
        <f>+Tabla2[[#This Row],[Variación Stock]]*Tabla2[[#This Row],[Coste LÃ­nea]]</f>
        <v>-2160</v>
      </c>
      <c r="N512" s="22" t="str">
        <f>+IF(Tabla2[[#This Row],[Variación Stock]]&gt;0,"Sobrante",IF(Tabla2[[#This Row],[Variación Stock]]&lt;0,"Faltante","Sin novedad"))</f>
        <v>Faltante</v>
      </c>
    </row>
    <row r="513" spans="1:14" hidden="1" x14ac:dyDescent="0.25">
      <c r="A513" s="11">
        <v>46053</v>
      </c>
      <c r="B513" s="5" t="s">
        <v>972</v>
      </c>
      <c r="C513" s="3" t="s">
        <v>213</v>
      </c>
      <c r="D513" s="5" t="s">
        <v>116</v>
      </c>
      <c r="E513" s="5" t="s">
        <v>117</v>
      </c>
      <c r="F513" s="6" t="s">
        <v>254</v>
      </c>
      <c r="G513" s="4" t="s">
        <v>2</v>
      </c>
      <c r="H513" s="25">
        <v>14780</v>
      </c>
      <c r="I513" s="8">
        <v>13</v>
      </c>
      <c r="J513" s="9">
        <v>0</v>
      </c>
      <c r="K513" s="7">
        <v>-13</v>
      </c>
      <c r="L513" s="24">
        <f>+Tabla2[[#This Row],[Stock Inventario]]*Tabla2[[#This Row],[Coste LÃ­nea]]</f>
        <v>0</v>
      </c>
      <c r="M513" s="24">
        <f>+Tabla2[[#This Row],[Variación Stock]]*Tabla2[[#This Row],[Coste LÃ­nea]]</f>
        <v>-192140</v>
      </c>
      <c r="N513" s="22" t="str">
        <f>+IF(Tabla2[[#This Row],[Variación Stock]]&gt;0,"Sobrante",IF(Tabla2[[#This Row],[Variación Stock]]&lt;0,"Faltante","Sin novedad"))</f>
        <v>Faltante</v>
      </c>
    </row>
    <row r="514" spans="1:14" hidden="1" x14ac:dyDescent="0.25">
      <c r="A514" s="11">
        <v>46053</v>
      </c>
      <c r="B514" s="5" t="s">
        <v>972</v>
      </c>
      <c r="C514" s="3" t="s">
        <v>213</v>
      </c>
      <c r="D514" s="5" t="s">
        <v>803</v>
      </c>
      <c r="E514" s="5" t="s">
        <v>117</v>
      </c>
      <c r="F514" s="6" t="s">
        <v>814</v>
      </c>
      <c r="G514" s="4" t="s">
        <v>1</v>
      </c>
      <c r="H514" s="25">
        <v>16.79964</v>
      </c>
      <c r="I514" s="8">
        <v>810.8</v>
      </c>
      <c r="J514" s="9">
        <v>550</v>
      </c>
      <c r="K514" s="7">
        <v>-260.80002200000001</v>
      </c>
      <c r="L514" s="24">
        <f>+Tabla2[[#This Row],[Stock Inventario]]*Tabla2[[#This Row],[Coste LÃ­nea]]</f>
        <v>9239.8019999999997</v>
      </c>
      <c r="M514" s="24">
        <f>+Tabla2[[#This Row],[Variación Stock]]*Tabla2[[#This Row],[Coste LÃ­nea]]</f>
        <v>-4381.3464815920806</v>
      </c>
      <c r="N514" s="22" t="str">
        <f>+IF(Tabla2[[#This Row],[Variación Stock]]&gt;0,"Sobrante",IF(Tabla2[[#This Row],[Variación Stock]]&lt;0,"Faltante","Sin novedad"))</f>
        <v>Faltante</v>
      </c>
    </row>
    <row r="515" spans="1:14" hidden="1" x14ac:dyDescent="0.25">
      <c r="A515" s="11">
        <v>46053</v>
      </c>
      <c r="B515" s="5" t="s">
        <v>972</v>
      </c>
      <c r="C515" s="3" t="s">
        <v>213</v>
      </c>
      <c r="D515" s="5" t="s">
        <v>471</v>
      </c>
      <c r="E515" s="5" t="s">
        <v>117</v>
      </c>
      <c r="F515" s="6" t="s">
        <v>1000</v>
      </c>
      <c r="G515" s="4" t="s">
        <v>1</v>
      </c>
      <c r="H515" s="25">
        <v>38</v>
      </c>
      <c r="I515" s="8">
        <v>2000</v>
      </c>
      <c r="J515" s="9">
        <v>0</v>
      </c>
      <c r="K515" s="7">
        <v>-2000</v>
      </c>
      <c r="L515" s="24">
        <f>+Tabla2[[#This Row],[Stock Inventario]]*Tabla2[[#This Row],[Coste LÃ­nea]]</f>
        <v>0</v>
      </c>
      <c r="M515" s="24">
        <f>+Tabla2[[#This Row],[Variación Stock]]*Tabla2[[#This Row],[Coste LÃ­nea]]</f>
        <v>-76000</v>
      </c>
      <c r="N515" s="22" t="str">
        <f>+IF(Tabla2[[#This Row],[Variación Stock]]&gt;0,"Sobrante",IF(Tabla2[[#This Row],[Variación Stock]]&lt;0,"Faltante","Sin novedad"))</f>
        <v>Faltante</v>
      </c>
    </row>
    <row r="516" spans="1:14" hidden="1" x14ac:dyDescent="0.25">
      <c r="A516" s="11">
        <v>46053</v>
      </c>
      <c r="B516" s="5" t="s">
        <v>972</v>
      </c>
      <c r="C516" s="3" t="s">
        <v>213</v>
      </c>
      <c r="D516" s="5" t="s">
        <v>626</v>
      </c>
      <c r="E516" s="5" t="s">
        <v>1079</v>
      </c>
      <c r="F516" s="6" t="s">
        <v>645</v>
      </c>
      <c r="G516" s="4" t="s">
        <v>2</v>
      </c>
      <c r="H516" s="25">
        <v>1886.2</v>
      </c>
      <c r="I516" s="8">
        <v>15</v>
      </c>
      <c r="J516" s="9">
        <v>21</v>
      </c>
      <c r="K516" s="7">
        <v>6</v>
      </c>
      <c r="L516" s="24">
        <f>+Tabla2[[#This Row],[Stock Inventario]]*Tabla2[[#This Row],[Coste LÃ­nea]]</f>
        <v>39610.200000000004</v>
      </c>
      <c r="M516" s="24">
        <f>+Tabla2[[#This Row],[Variación Stock]]*Tabla2[[#This Row],[Coste LÃ­nea]]</f>
        <v>11317.2</v>
      </c>
      <c r="N516" s="22" t="str">
        <f>+IF(Tabla2[[#This Row],[Variación Stock]]&gt;0,"Sobrante",IF(Tabla2[[#This Row],[Variación Stock]]&lt;0,"Faltante","Sin novedad"))</f>
        <v>Sobrante</v>
      </c>
    </row>
    <row r="517" spans="1:14" hidden="1" x14ac:dyDescent="0.25">
      <c r="A517" s="11">
        <v>46053</v>
      </c>
      <c r="B517" s="5" t="s">
        <v>972</v>
      </c>
      <c r="C517" s="3" t="s">
        <v>213</v>
      </c>
      <c r="D517" s="5" t="s">
        <v>626</v>
      </c>
      <c r="E517" s="5" t="s">
        <v>1079</v>
      </c>
      <c r="F517" s="6" t="s">
        <v>646</v>
      </c>
      <c r="G517" s="4" t="s">
        <v>2</v>
      </c>
      <c r="H517" s="25">
        <v>5182.3333333299997</v>
      </c>
      <c r="I517" s="8">
        <v>0</v>
      </c>
      <c r="J517" s="9">
        <v>0</v>
      </c>
      <c r="K517" s="7">
        <v>0</v>
      </c>
      <c r="L517" s="24">
        <f>+Tabla2[[#This Row],[Stock Inventario]]*Tabla2[[#This Row],[Coste LÃ­nea]]</f>
        <v>0</v>
      </c>
      <c r="M517" s="24">
        <f>+Tabla2[[#This Row],[Variación Stock]]*Tabla2[[#This Row],[Coste LÃ­nea]]</f>
        <v>0</v>
      </c>
      <c r="N517" s="22" t="str">
        <f>+IF(Tabla2[[#This Row],[Variación Stock]]&gt;0,"Sobrante",IF(Tabla2[[#This Row],[Variación Stock]]&lt;0,"Faltante","Sin novedad"))</f>
        <v>Sin novedad</v>
      </c>
    </row>
    <row r="518" spans="1:14" hidden="1" x14ac:dyDescent="0.25">
      <c r="A518" s="11">
        <v>46053</v>
      </c>
      <c r="B518" s="5" t="s">
        <v>972</v>
      </c>
      <c r="C518" s="3" t="s">
        <v>213</v>
      </c>
      <c r="D518" s="5" t="s">
        <v>626</v>
      </c>
      <c r="E518" s="5" t="s">
        <v>1079</v>
      </c>
      <c r="F518" s="6" t="s">
        <v>648</v>
      </c>
      <c r="G518" s="4" t="s">
        <v>2</v>
      </c>
      <c r="H518" s="25">
        <v>5136</v>
      </c>
      <c r="I518" s="8">
        <v>17</v>
      </c>
      <c r="J518" s="9">
        <v>6</v>
      </c>
      <c r="K518" s="7">
        <v>-11</v>
      </c>
      <c r="L518" s="24">
        <f>+Tabla2[[#This Row],[Stock Inventario]]*Tabla2[[#This Row],[Coste LÃ­nea]]</f>
        <v>30816</v>
      </c>
      <c r="M518" s="24">
        <f>+Tabla2[[#This Row],[Variación Stock]]*Tabla2[[#This Row],[Coste LÃ­nea]]</f>
        <v>-56496</v>
      </c>
      <c r="N518" s="22" t="str">
        <f>+IF(Tabla2[[#This Row],[Variación Stock]]&gt;0,"Sobrante",IF(Tabla2[[#This Row],[Variación Stock]]&lt;0,"Faltante","Sin novedad"))</f>
        <v>Faltante</v>
      </c>
    </row>
    <row r="519" spans="1:14" hidden="1" x14ac:dyDescent="0.25">
      <c r="A519" s="11">
        <v>46053</v>
      </c>
      <c r="B519" s="5" t="s">
        <v>972</v>
      </c>
      <c r="C519" s="3" t="s">
        <v>213</v>
      </c>
      <c r="D519" s="5" t="s">
        <v>626</v>
      </c>
      <c r="E519" s="5" t="s">
        <v>1079</v>
      </c>
      <c r="F519" s="6" t="s">
        <v>649</v>
      </c>
      <c r="G519" s="4" t="s">
        <v>2</v>
      </c>
      <c r="H519" s="25">
        <v>3026.2</v>
      </c>
      <c r="I519" s="8">
        <v>10</v>
      </c>
      <c r="J519" s="9">
        <v>0</v>
      </c>
      <c r="K519" s="7">
        <v>-10</v>
      </c>
      <c r="L519" s="24">
        <f>+Tabla2[[#This Row],[Stock Inventario]]*Tabla2[[#This Row],[Coste LÃ­nea]]</f>
        <v>0</v>
      </c>
      <c r="M519" s="24">
        <f>+Tabla2[[#This Row],[Variación Stock]]*Tabla2[[#This Row],[Coste LÃ­nea]]</f>
        <v>-30262</v>
      </c>
      <c r="N519" s="22" t="str">
        <f>+IF(Tabla2[[#This Row],[Variación Stock]]&gt;0,"Sobrante",IF(Tabla2[[#This Row],[Variación Stock]]&lt;0,"Faltante","Sin novedad"))</f>
        <v>Faltante</v>
      </c>
    </row>
    <row r="520" spans="1:14" hidden="1" x14ac:dyDescent="0.25">
      <c r="A520" s="11">
        <v>46053</v>
      </c>
      <c r="B520" s="5" t="s">
        <v>972</v>
      </c>
      <c r="C520" s="3" t="s">
        <v>213</v>
      </c>
      <c r="D520" s="5" t="s">
        <v>626</v>
      </c>
      <c r="E520" s="5" t="s">
        <v>1079</v>
      </c>
      <c r="F520" s="6" t="s">
        <v>650</v>
      </c>
      <c r="G520" s="4" t="s">
        <v>2</v>
      </c>
      <c r="H520" s="25">
        <v>2742.8333333300002</v>
      </c>
      <c r="I520" s="8">
        <v>12</v>
      </c>
      <c r="J520" s="9">
        <v>0</v>
      </c>
      <c r="K520" s="7">
        <v>-12</v>
      </c>
      <c r="L520" s="24">
        <f>+Tabla2[[#This Row],[Stock Inventario]]*Tabla2[[#This Row],[Coste LÃ­nea]]</f>
        <v>0</v>
      </c>
      <c r="M520" s="24">
        <f>+Tabla2[[#This Row],[Variación Stock]]*Tabla2[[#This Row],[Coste LÃ­nea]]</f>
        <v>-32913.999999960004</v>
      </c>
      <c r="N520" s="22" t="str">
        <f>+IF(Tabla2[[#This Row],[Variación Stock]]&gt;0,"Sobrante",IF(Tabla2[[#This Row],[Variación Stock]]&lt;0,"Faltante","Sin novedad"))</f>
        <v>Faltante</v>
      </c>
    </row>
    <row r="521" spans="1:14" hidden="1" x14ac:dyDescent="0.25">
      <c r="A521" s="11">
        <v>46053</v>
      </c>
      <c r="B521" s="5" t="s">
        <v>972</v>
      </c>
      <c r="C521" s="3" t="s">
        <v>213</v>
      </c>
      <c r="D521" s="5" t="s">
        <v>626</v>
      </c>
      <c r="E521" s="5" t="s">
        <v>1079</v>
      </c>
      <c r="F521" s="6" t="s">
        <v>651</v>
      </c>
      <c r="G521" s="4" t="s">
        <v>2</v>
      </c>
      <c r="H521" s="25">
        <f>54706/5000</f>
        <v>10.9412</v>
      </c>
      <c r="I521" s="8">
        <v>7600</v>
      </c>
      <c r="J521" s="9">
        <v>1</v>
      </c>
      <c r="K521" s="7">
        <v>-7599</v>
      </c>
      <c r="L521" s="24">
        <f>+Tabla2[[#This Row],[Stock Inventario]]*Tabla2[[#This Row],[Coste LÃ­nea]]</f>
        <v>10.9412</v>
      </c>
      <c r="M521" s="24">
        <f>+Tabla2[[#This Row],[Variación Stock]]*Tabla2[[#This Row],[Coste LÃ­nea]]</f>
        <v>-83142.178800000009</v>
      </c>
      <c r="N521" s="22" t="str">
        <f>+IF(Tabla2[[#This Row],[Variación Stock]]&gt;0,"Sobrante",IF(Tabla2[[#This Row],[Variación Stock]]&lt;0,"Faltante","Sin novedad"))</f>
        <v>Faltante</v>
      </c>
    </row>
    <row r="522" spans="1:14" hidden="1" x14ac:dyDescent="0.25">
      <c r="A522" s="11">
        <v>46053</v>
      </c>
      <c r="B522" s="5" t="s">
        <v>972</v>
      </c>
      <c r="C522" s="3" t="s">
        <v>213</v>
      </c>
      <c r="D522" s="5" t="s">
        <v>827</v>
      </c>
      <c r="E522" s="5" t="s">
        <v>117</v>
      </c>
      <c r="F522" s="6" t="s">
        <v>828</v>
      </c>
      <c r="G522" s="4" t="s">
        <v>1</v>
      </c>
      <c r="H522" s="25">
        <v>15.153499999999999</v>
      </c>
      <c r="I522" s="8">
        <v>0</v>
      </c>
      <c r="J522" s="9">
        <v>0</v>
      </c>
      <c r="K522" s="7">
        <v>0</v>
      </c>
      <c r="L522" s="24">
        <f>+Tabla2[[#This Row],[Stock Inventario]]*Tabla2[[#This Row],[Coste LÃ­nea]]</f>
        <v>0</v>
      </c>
      <c r="M522" s="24">
        <f>+Tabla2[[#This Row],[Variación Stock]]*Tabla2[[#This Row],[Coste LÃ­nea]]</f>
        <v>0</v>
      </c>
      <c r="N522" s="22" t="str">
        <f>+IF(Tabla2[[#This Row],[Variación Stock]]&gt;0,"Sobrante",IF(Tabla2[[#This Row],[Variación Stock]]&lt;0,"Faltante","Sin novedad"))</f>
        <v>Sin novedad</v>
      </c>
    </row>
    <row r="523" spans="1:14" hidden="1" x14ac:dyDescent="0.25">
      <c r="A523" s="11">
        <v>46053</v>
      </c>
      <c r="B523" s="5" t="s">
        <v>972</v>
      </c>
      <c r="C523" s="3" t="s">
        <v>213</v>
      </c>
      <c r="D523" s="5" t="s">
        <v>116</v>
      </c>
      <c r="E523" s="5" t="s">
        <v>117</v>
      </c>
      <c r="F523" s="6" t="s">
        <v>4</v>
      </c>
      <c r="G523" s="4" t="s">
        <v>2</v>
      </c>
      <c r="H523" s="25">
        <v>2700</v>
      </c>
      <c r="I523" s="8">
        <v>19</v>
      </c>
      <c r="J523" s="9">
        <v>0</v>
      </c>
      <c r="K523" s="7">
        <v>-19</v>
      </c>
      <c r="L523" s="24">
        <f>+Tabla2[[#This Row],[Stock Inventario]]*Tabla2[[#This Row],[Coste LÃ­nea]]</f>
        <v>0</v>
      </c>
      <c r="M523" s="24">
        <f>+Tabla2[[#This Row],[Variación Stock]]*Tabla2[[#This Row],[Coste LÃ­nea]]</f>
        <v>-51300</v>
      </c>
      <c r="N523" s="22" t="str">
        <f>+IF(Tabla2[[#This Row],[Variación Stock]]&gt;0,"Sobrante",IF(Tabla2[[#This Row],[Variación Stock]]&lt;0,"Faltante","Sin novedad"))</f>
        <v>Faltante</v>
      </c>
    </row>
    <row r="524" spans="1:14" hidden="1" x14ac:dyDescent="0.25">
      <c r="A524" s="11">
        <v>46053</v>
      </c>
      <c r="B524" s="5" t="s">
        <v>972</v>
      </c>
      <c r="C524" s="3" t="s">
        <v>213</v>
      </c>
      <c r="D524" s="5" t="s">
        <v>119</v>
      </c>
      <c r="E524" s="5" t="s">
        <v>117</v>
      </c>
      <c r="F524" s="6" t="s">
        <v>191</v>
      </c>
      <c r="G524" s="4" t="s">
        <v>2</v>
      </c>
      <c r="H524" s="25">
        <v>10877.77777778</v>
      </c>
      <c r="I524" s="8">
        <v>9</v>
      </c>
      <c r="J524" s="9">
        <v>0</v>
      </c>
      <c r="K524" s="7">
        <v>-9</v>
      </c>
      <c r="L524" s="24">
        <f>+Tabla2[[#This Row],[Stock Inventario]]*Tabla2[[#This Row],[Coste LÃ­nea]]</f>
        <v>0</v>
      </c>
      <c r="M524" s="24">
        <f>+Tabla2[[#This Row],[Variación Stock]]*Tabla2[[#This Row],[Coste LÃ­nea]]</f>
        <v>-97900.000000019994</v>
      </c>
      <c r="N524" s="22" t="str">
        <f>+IF(Tabla2[[#This Row],[Variación Stock]]&gt;0,"Sobrante",IF(Tabla2[[#This Row],[Variación Stock]]&lt;0,"Faltante","Sin novedad"))</f>
        <v>Faltante</v>
      </c>
    </row>
    <row r="525" spans="1:14" hidden="1" x14ac:dyDescent="0.25">
      <c r="A525" s="11">
        <v>46053</v>
      </c>
      <c r="B525" s="5" t="s">
        <v>972</v>
      </c>
      <c r="C525" s="3" t="s">
        <v>213</v>
      </c>
      <c r="D525" s="5" t="s">
        <v>119</v>
      </c>
      <c r="E525" s="5" t="s">
        <v>117</v>
      </c>
      <c r="F525" s="6" t="s">
        <v>95</v>
      </c>
      <c r="G525" s="4" t="s">
        <v>1</v>
      </c>
      <c r="H525" s="25">
        <v>39</v>
      </c>
      <c r="I525" s="8">
        <v>1123.3333</v>
      </c>
      <c r="J525" s="9">
        <v>1300</v>
      </c>
      <c r="K525" s="7">
        <v>176.66668000000001</v>
      </c>
      <c r="L525" s="24">
        <f>+Tabla2[[#This Row],[Stock Inventario]]*Tabla2[[#This Row],[Coste LÃ­nea]]</f>
        <v>50700</v>
      </c>
      <c r="M525" s="24">
        <f>+Tabla2[[#This Row],[Variación Stock]]*Tabla2[[#This Row],[Coste LÃ­nea]]</f>
        <v>6890.0005200000005</v>
      </c>
      <c r="N525" s="22" t="str">
        <f>+IF(Tabla2[[#This Row],[Variación Stock]]&gt;0,"Sobrante",IF(Tabla2[[#This Row],[Variación Stock]]&lt;0,"Faltante","Sin novedad"))</f>
        <v>Sobrante</v>
      </c>
    </row>
    <row r="526" spans="1:14" hidden="1" x14ac:dyDescent="0.25">
      <c r="A526" s="11">
        <v>46053</v>
      </c>
      <c r="B526" s="5" t="s">
        <v>972</v>
      </c>
      <c r="C526" s="3" t="s">
        <v>213</v>
      </c>
      <c r="D526" s="5" t="s">
        <v>471</v>
      </c>
      <c r="E526" s="5" t="s">
        <v>117</v>
      </c>
      <c r="F526" s="6" t="s">
        <v>501</v>
      </c>
      <c r="G526" s="4" t="s">
        <v>1</v>
      </c>
      <c r="H526" s="25">
        <v>70</v>
      </c>
      <c r="I526" s="8">
        <v>-29</v>
      </c>
      <c r="J526" s="9">
        <v>0</v>
      </c>
      <c r="K526" s="7">
        <v>29</v>
      </c>
      <c r="L526" s="24">
        <f>+Tabla2[[#This Row],[Stock Inventario]]*Tabla2[[#This Row],[Coste LÃ­nea]]</f>
        <v>0</v>
      </c>
      <c r="M526" s="24">
        <f>+Tabla2[[#This Row],[Variación Stock]]*Tabla2[[#This Row],[Coste LÃ­nea]]</f>
        <v>2030</v>
      </c>
      <c r="N526" s="22" t="str">
        <f>+IF(Tabla2[[#This Row],[Variación Stock]]&gt;0,"Sobrante",IF(Tabla2[[#This Row],[Variación Stock]]&lt;0,"Faltante","Sin novedad"))</f>
        <v>Sobrante</v>
      </c>
    </row>
    <row r="527" spans="1:14" hidden="1" x14ac:dyDescent="0.25">
      <c r="A527" s="11">
        <v>46053</v>
      </c>
      <c r="B527" s="5" t="s">
        <v>972</v>
      </c>
      <c r="C527" s="3" t="s">
        <v>213</v>
      </c>
      <c r="D527" s="5" t="s">
        <v>471</v>
      </c>
      <c r="E527" s="5" t="s">
        <v>117</v>
      </c>
      <c r="F527" s="6" t="s">
        <v>541</v>
      </c>
      <c r="G527" s="4" t="s">
        <v>1</v>
      </c>
      <c r="H527" s="25">
        <v>511</v>
      </c>
      <c r="I527" s="8">
        <v>-4</v>
      </c>
      <c r="J527" s="9">
        <v>0</v>
      </c>
      <c r="K527" s="7">
        <v>4</v>
      </c>
      <c r="L527" s="24">
        <f>+Tabla2[[#This Row],[Stock Inventario]]*Tabla2[[#This Row],[Coste LÃ­nea]]</f>
        <v>0</v>
      </c>
      <c r="M527" s="24">
        <f>+Tabla2[[#This Row],[Variación Stock]]*Tabla2[[#This Row],[Coste LÃ­nea]]</f>
        <v>2044</v>
      </c>
      <c r="N527" s="22" t="str">
        <f>+IF(Tabla2[[#This Row],[Variación Stock]]&gt;0,"Sobrante",IF(Tabla2[[#This Row],[Variación Stock]]&lt;0,"Faltante","Sin novedad"))</f>
        <v>Sobrante</v>
      </c>
    </row>
    <row r="528" spans="1:14" x14ac:dyDescent="0.25">
      <c r="A528" s="11">
        <v>46037</v>
      </c>
      <c r="B528" s="5" t="s">
        <v>212</v>
      </c>
      <c r="C528" s="3" t="s">
        <v>213</v>
      </c>
      <c r="D528" s="5" t="s">
        <v>114</v>
      </c>
      <c r="E528" s="5" t="s">
        <v>112</v>
      </c>
      <c r="F528" s="6" t="s">
        <v>70</v>
      </c>
      <c r="G528" s="4" t="s">
        <v>2</v>
      </c>
      <c r="H528" s="24">
        <v>983.33333332999996</v>
      </c>
      <c r="I528" s="8">
        <v>6</v>
      </c>
      <c r="J528" s="9">
        <v>6</v>
      </c>
      <c r="K528" s="7">
        <v>0</v>
      </c>
      <c r="L528" s="24">
        <f>+Tabla2[[#This Row],[Stock Inventario]]*Tabla2[[#This Row],[Coste LÃ­nea]]</f>
        <v>5899.9999999800002</v>
      </c>
      <c r="M528" s="24">
        <f>+Tabla2[[#This Row],[Variación Stock]]*Tabla2[[#This Row],[Coste LÃ­nea]]</f>
        <v>0</v>
      </c>
      <c r="N528" s="22" t="str">
        <f>+IF(Tabla2[[#This Row],[Variación Stock]]&gt;0,"Sobrante",IF(Tabla2[[#This Row],[Variación Stock]]&lt;0,"Faltante","Sin novedad"))</f>
        <v>Sin novedad</v>
      </c>
    </row>
    <row r="529" spans="1:14" x14ac:dyDescent="0.25">
      <c r="A529" s="11">
        <v>46044</v>
      </c>
      <c r="B529" s="5" t="s">
        <v>383</v>
      </c>
      <c r="C529" s="3" t="s">
        <v>213</v>
      </c>
      <c r="D529" s="5" t="s">
        <v>114</v>
      </c>
      <c r="E529" s="5" t="s">
        <v>112</v>
      </c>
      <c r="F529" s="6" t="s">
        <v>70</v>
      </c>
      <c r="G529" s="4" t="s">
        <v>2</v>
      </c>
      <c r="H529" s="25">
        <v>983.33333332999996</v>
      </c>
      <c r="I529" s="8">
        <v>6</v>
      </c>
      <c r="J529" s="9">
        <v>6</v>
      </c>
      <c r="K529" s="7">
        <v>0</v>
      </c>
      <c r="L529" s="24">
        <f>+Tabla2[[#This Row],[Stock Inventario]]*Tabla2[[#This Row],[Coste LÃ­nea]]</f>
        <v>5899.9999999800002</v>
      </c>
      <c r="M529" s="24">
        <f>+Tabla2[[#This Row],[Variación Stock]]*Tabla2[[#This Row],[Coste LÃ­nea]]</f>
        <v>0</v>
      </c>
      <c r="N529" s="22" t="str">
        <f>+IF(Tabla2[[#This Row],[Variación Stock]]&gt;0,"Sobrante",IF(Tabla2[[#This Row],[Variación Stock]]&lt;0,"Faltante","Sin novedad"))</f>
        <v>Sin novedad</v>
      </c>
    </row>
    <row r="530" spans="1:14" hidden="1" x14ac:dyDescent="0.25">
      <c r="A530" s="11">
        <v>46053</v>
      </c>
      <c r="B530" s="5" t="s">
        <v>972</v>
      </c>
      <c r="C530" s="3" t="s">
        <v>213</v>
      </c>
      <c r="D530" s="5" t="s">
        <v>471</v>
      </c>
      <c r="E530" s="5" t="s">
        <v>117</v>
      </c>
      <c r="F530" s="6" t="s">
        <v>502</v>
      </c>
      <c r="G530" s="4" t="s">
        <v>1</v>
      </c>
      <c r="H530" s="25">
        <v>13</v>
      </c>
      <c r="I530" s="8">
        <v>1500</v>
      </c>
      <c r="J530" s="9">
        <v>0</v>
      </c>
      <c r="K530" s="7">
        <v>-1500</v>
      </c>
      <c r="L530" s="24">
        <f>+Tabla2[[#This Row],[Stock Inventario]]*Tabla2[[#This Row],[Coste LÃ­nea]]</f>
        <v>0</v>
      </c>
      <c r="M530" s="24">
        <f>+Tabla2[[#This Row],[Variación Stock]]*Tabla2[[#This Row],[Coste LÃ­nea]]</f>
        <v>-19500</v>
      </c>
      <c r="N530" s="22" t="str">
        <f>+IF(Tabla2[[#This Row],[Variación Stock]]&gt;0,"Sobrante",IF(Tabla2[[#This Row],[Variación Stock]]&lt;0,"Faltante","Sin novedad"))</f>
        <v>Faltante</v>
      </c>
    </row>
    <row r="531" spans="1:14" x14ac:dyDescent="0.25">
      <c r="A531" s="11">
        <v>46053</v>
      </c>
      <c r="B531" s="5" t="s">
        <v>972</v>
      </c>
      <c r="C531" s="3" t="s">
        <v>213</v>
      </c>
      <c r="D531" s="5" t="s">
        <v>114</v>
      </c>
      <c r="E531" s="5" t="s">
        <v>112</v>
      </c>
      <c r="F531" s="6" t="s">
        <v>70</v>
      </c>
      <c r="G531" s="4" t="s">
        <v>2</v>
      </c>
      <c r="H531" s="25">
        <v>1835.41666667</v>
      </c>
      <c r="I531" s="8">
        <v>6</v>
      </c>
      <c r="J531" s="9">
        <v>6</v>
      </c>
      <c r="K531" s="7">
        <v>0</v>
      </c>
      <c r="L531" s="24">
        <f>+Tabla2[[#This Row],[Stock Inventario]]*Tabla2[[#This Row],[Coste LÃ­nea]]</f>
        <v>11012.50000002</v>
      </c>
      <c r="M531" s="24">
        <f>+Tabla2[[#This Row],[Variación Stock]]*Tabla2[[#This Row],[Coste LÃ­nea]]</f>
        <v>0</v>
      </c>
      <c r="N531" s="22" t="str">
        <f>+IF(Tabla2[[#This Row],[Variación Stock]]&gt;0,"Sobrante",IF(Tabla2[[#This Row],[Variación Stock]]&lt;0,"Faltante","Sin novedad"))</f>
        <v>Sin novedad</v>
      </c>
    </row>
    <row r="532" spans="1:14" hidden="1" x14ac:dyDescent="0.25">
      <c r="A532" s="11">
        <v>46053</v>
      </c>
      <c r="B532" s="5" t="s">
        <v>972</v>
      </c>
      <c r="C532" s="3" t="s">
        <v>213</v>
      </c>
      <c r="D532" s="5" t="s">
        <v>396</v>
      </c>
      <c r="E532" s="5" t="s">
        <v>117</v>
      </c>
      <c r="F532" s="6" t="s">
        <v>980</v>
      </c>
      <c r="G532" s="4" t="s">
        <v>1</v>
      </c>
      <c r="H532" s="25">
        <v>22.61</v>
      </c>
      <c r="I532" s="8">
        <v>7856</v>
      </c>
      <c r="J532" s="9">
        <v>9000</v>
      </c>
      <c r="K532" s="7">
        <v>1144</v>
      </c>
      <c r="L532" s="24">
        <f>+Tabla2[[#This Row],[Stock Inventario]]*Tabla2[[#This Row],[Coste LÃ­nea]]</f>
        <v>203490</v>
      </c>
      <c r="M532" s="24">
        <f>+Tabla2[[#This Row],[Variación Stock]]*Tabla2[[#This Row],[Coste LÃ­nea]]</f>
        <v>25865.84</v>
      </c>
      <c r="N532" s="22" t="str">
        <f>+IF(Tabla2[[#This Row],[Variación Stock]]&gt;0,"Sobrante",IF(Tabla2[[#This Row],[Variación Stock]]&lt;0,"Faltante","Sin novedad"))</f>
        <v>Sobrante</v>
      </c>
    </row>
    <row r="533" spans="1:14" hidden="1" x14ac:dyDescent="0.25">
      <c r="A533" s="11">
        <v>46053</v>
      </c>
      <c r="B533" s="5" t="s">
        <v>972</v>
      </c>
      <c r="C533" s="3" t="s">
        <v>213</v>
      </c>
      <c r="D533" s="5" t="s">
        <v>396</v>
      </c>
      <c r="E533" s="5" t="s">
        <v>117</v>
      </c>
      <c r="F533" s="6" t="s">
        <v>981</v>
      </c>
      <c r="G533" s="4" t="s">
        <v>1</v>
      </c>
      <c r="H533" s="25">
        <v>35.155999999999999</v>
      </c>
      <c r="I533" s="8">
        <v>550</v>
      </c>
      <c r="J533" s="9">
        <v>450</v>
      </c>
      <c r="K533" s="7">
        <v>-100</v>
      </c>
      <c r="L533" s="24">
        <f>+Tabla2[[#This Row],[Stock Inventario]]*Tabla2[[#This Row],[Coste LÃ­nea]]</f>
        <v>15820.199999999999</v>
      </c>
      <c r="M533" s="24">
        <f>+Tabla2[[#This Row],[Variación Stock]]*Tabla2[[#This Row],[Coste LÃ­nea]]</f>
        <v>-3515.6</v>
      </c>
      <c r="N533" s="22" t="str">
        <f>+IF(Tabla2[[#This Row],[Variación Stock]]&gt;0,"Sobrante",IF(Tabla2[[#This Row],[Variación Stock]]&lt;0,"Faltante","Sin novedad"))</f>
        <v>Faltante</v>
      </c>
    </row>
    <row r="534" spans="1:14" hidden="1" x14ac:dyDescent="0.25">
      <c r="A534" s="11">
        <v>46053</v>
      </c>
      <c r="B534" s="5" t="s">
        <v>972</v>
      </c>
      <c r="C534" s="3" t="s">
        <v>213</v>
      </c>
      <c r="D534" s="5" t="s">
        <v>396</v>
      </c>
      <c r="E534" s="5" t="s">
        <v>117</v>
      </c>
      <c r="F534" s="6" t="s">
        <v>853</v>
      </c>
      <c r="G534" s="4" t="s">
        <v>1</v>
      </c>
      <c r="H534" s="25">
        <v>47.6</v>
      </c>
      <c r="I534" s="8">
        <v>0</v>
      </c>
      <c r="J534" s="9">
        <v>0</v>
      </c>
      <c r="K534" s="7">
        <v>0</v>
      </c>
      <c r="L534" s="24">
        <f>+Tabla2[[#This Row],[Stock Inventario]]*Tabla2[[#This Row],[Coste LÃ­nea]]</f>
        <v>0</v>
      </c>
      <c r="M534" s="24">
        <f>+Tabla2[[#This Row],[Variación Stock]]*Tabla2[[#This Row],[Coste LÃ­nea]]</f>
        <v>0</v>
      </c>
      <c r="N534" s="22" t="str">
        <f>+IF(Tabla2[[#This Row],[Variación Stock]]&gt;0,"Sobrante",IF(Tabla2[[#This Row],[Variación Stock]]&lt;0,"Faltante","Sin novedad"))</f>
        <v>Sin novedad</v>
      </c>
    </row>
    <row r="535" spans="1:14" hidden="1" x14ac:dyDescent="0.25">
      <c r="A535" s="11">
        <v>46053</v>
      </c>
      <c r="B535" s="5" t="s">
        <v>972</v>
      </c>
      <c r="C535" s="3" t="s">
        <v>213</v>
      </c>
      <c r="D535" s="5" t="s">
        <v>547</v>
      </c>
      <c r="E535" s="5" t="s">
        <v>117</v>
      </c>
      <c r="F535" s="6" t="s">
        <v>1010</v>
      </c>
      <c r="G535" s="4" t="s">
        <v>1</v>
      </c>
      <c r="H535" s="25">
        <v>23.916499999999999</v>
      </c>
      <c r="I535" s="8">
        <v>2000</v>
      </c>
      <c r="J535" s="9">
        <v>0</v>
      </c>
      <c r="K535" s="7">
        <v>-2000</v>
      </c>
      <c r="L535" s="24">
        <f>+Tabla2[[#This Row],[Stock Inventario]]*Tabla2[[#This Row],[Coste LÃ­nea]]</f>
        <v>0</v>
      </c>
      <c r="M535" s="24">
        <f>+Tabla2[[#This Row],[Variación Stock]]*Tabla2[[#This Row],[Coste LÃ­nea]]</f>
        <v>-47833</v>
      </c>
      <c r="N535" s="22" t="str">
        <f>+IF(Tabla2[[#This Row],[Variación Stock]]&gt;0,"Sobrante",IF(Tabla2[[#This Row],[Variación Stock]]&lt;0,"Faltante","Sin novedad"))</f>
        <v>Faltante</v>
      </c>
    </row>
    <row r="536" spans="1:14" x14ac:dyDescent="0.25">
      <c r="A536" s="11">
        <v>46037</v>
      </c>
      <c r="B536" s="5" t="s">
        <v>212</v>
      </c>
      <c r="C536" s="3" t="s">
        <v>213</v>
      </c>
      <c r="D536" s="5" t="s">
        <v>114</v>
      </c>
      <c r="E536" s="5" t="s">
        <v>112</v>
      </c>
      <c r="F536" s="6" t="s">
        <v>63</v>
      </c>
      <c r="G536" s="4" t="s">
        <v>2</v>
      </c>
      <c r="H536" s="24">
        <v>1395.83333333</v>
      </c>
      <c r="I536" s="8">
        <v>0</v>
      </c>
      <c r="J536" s="9">
        <v>0</v>
      </c>
      <c r="K536" s="7">
        <v>0</v>
      </c>
      <c r="L536" s="24">
        <f>+Tabla2[[#This Row],[Stock Inventario]]*Tabla2[[#This Row],[Coste LÃ­nea]]</f>
        <v>0</v>
      </c>
      <c r="M536" s="24">
        <f>+Tabla2[[#This Row],[Variación Stock]]*Tabla2[[#This Row],[Coste LÃ­nea]]</f>
        <v>0</v>
      </c>
      <c r="N536" s="22" t="str">
        <f>+IF(Tabla2[[#This Row],[Variación Stock]]&gt;0,"Sobrante",IF(Tabla2[[#This Row],[Variación Stock]]&lt;0,"Faltante","Sin novedad"))</f>
        <v>Sin novedad</v>
      </c>
    </row>
    <row r="537" spans="1:14" x14ac:dyDescent="0.25">
      <c r="A537" s="11">
        <v>46044</v>
      </c>
      <c r="B537" s="5" t="s">
        <v>383</v>
      </c>
      <c r="C537" s="3" t="s">
        <v>213</v>
      </c>
      <c r="D537" s="5" t="s">
        <v>114</v>
      </c>
      <c r="E537" s="5" t="s">
        <v>112</v>
      </c>
      <c r="F537" s="6" t="s">
        <v>63</v>
      </c>
      <c r="G537" s="4" t="s">
        <v>2</v>
      </c>
      <c r="H537" s="25">
        <v>1395.83333333</v>
      </c>
      <c r="I537" s="8">
        <v>0</v>
      </c>
      <c r="J537" s="9">
        <v>0</v>
      </c>
      <c r="K537" s="7">
        <v>0</v>
      </c>
      <c r="L537" s="24">
        <f>+Tabla2[[#This Row],[Stock Inventario]]*Tabla2[[#This Row],[Coste LÃ­nea]]</f>
        <v>0</v>
      </c>
      <c r="M537" s="24">
        <f>+Tabla2[[#This Row],[Variación Stock]]*Tabla2[[#This Row],[Coste LÃ­nea]]</f>
        <v>0</v>
      </c>
      <c r="N537" s="22" t="str">
        <f>+IF(Tabla2[[#This Row],[Variación Stock]]&gt;0,"Sobrante",IF(Tabla2[[#This Row],[Variación Stock]]&lt;0,"Faltante","Sin novedad"))</f>
        <v>Sin novedad</v>
      </c>
    </row>
    <row r="538" spans="1:14" x14ac:dyDescent="0.25">
      <c r="A538" s="11">
        <v>46053</v>
      </c>
      <c r="B538" s="5" t="s">
        <v>972</v>
      </c>
      <c r="C538" s="3" t="s">
        <v>213</v>
      </c>
      <c r="D538" s="5" t="s">
        <v>114</v>
      </c>
      <c r="E538" s="5" t="s">
        <v>112</v>
      </c>
      <c r="F538" s="6" t="s">
        <v>63</v>
      </c>
      <c r="G538" s="4" t="s">
        <v>2</v>
      </c>
      <c r="H538" s="25">
        <v>1395.83333333</v>
      </c>
      <c r="I538" s="8">
        <v>0</v>
      </c>
      <c r="J538" s="9">
        <v>0</v>
      </c>
      <c r="K538" s="7">
        <v>0</v>
      </c>
      <c r="L538" s="24">
        <f>+Tabla2[[#This Row],[Stock Inventario]]*Tabla2[[#This Row],[Coste LÃ­nea]]</f>
        <v>0</v>
      </c>
      <c r="M538" s="24">
        <f>+Tabla2[[#This Row],[Variación Stock]]*Tabla2[[#This Row],[Coste LÃ­nea]]</f>
        <v>0</v>
      </c>
      <c r="N538" s="22" t="str">
        <f>+IF(Tabla2[[#This Row],[Variación Stock]]&gt;0,"Sobrante",IF(Tabla2[[#This Row],[Variación Stock]]&lt;0,"Faltante","Sin novedad"))</f>
        <v>Sin novedad</v>
      </c>
    </row>
    <row r="539" spans="1:14" x14ac:dyDescent="0.25">
      <c r="A539" s="11">
        <v>46053</v>
      </c>
      <c r="B539" s="5" t="s">
        <v>972</v>
      </c>
      <c r="C539" s="3" t="s">
        <v>213</v>
      </c>
      <c r="D539" s="5" t="s">
        <v>121</v>
      </c>
      <c r="E539" s="5" t="s">
        <v>112</v>
      </c>
      <c r="F539" s="6" t="s">
        <v>783</v>
      </c>
      <c r="G539" s="4" t="s">
        <v>1</v>
      </c>
      <c r="H539" s="25">
        <v>4.0680500000000004</v>
      </c>
      <c r="I539" s="8">
        <v>-14470.3333</v>
      </c>
      <c r="J539" s="9">
        <v>1345</v>
      </c>
      <c r="K539" s="7">
        <v>15815.33333329</v>
      </c>
      <c r="L539" s="24">
        <f>+Tabla2[[#This Row],[Stock Inventario]]*Tabla2[[#This Row],[Coste LÃ­nea]]</f>
        <v>5471.5272500000001</v>
      </c>
      <c r="M539" s="24">
        <f>+Tabla2[[#This Row],[Variación Stock]]*Tabla2[[#This Row],[Coste LÃ­nea]]</f>
        <v>64337.566766490389</v>
      </c>
      <c r="N539" s="22" t="str">
        <f>+IF(Tabla2[[#This Row],[Variación Stock]]&gt;0,"Sobrante",IF(Tabla2[[#This Row],[Variación Stock]]&lt;0,"Faltante","Sin novedad"))</f>
        <v>Sobrante</v>
      </c>
    </row>
    <row r="540" spans="1:14" x14ac:dyDescent="0.25">
      <c r="A540" s="11">
        <v>46053</v>
      </c>
      <c r="B540" s="5" t="s">
        <v>972</v>
      </c>
      <c r="C540" s="3" t="s">
        <v>213</v>
      </c>
      <c r="D540" s="5" t="s">
        <v>121</v>
      </c>
      <c r="E540" s="5" t="s">
        <v>112</v>
      </c>
      <c r="F540" s="6" t="s">
        <v>784</v>
      </c>
      <c r="G540" s="4" t="s">
        <v>1</v>
      </c>
      <c r="H540" s="25">
        <v>3.4520870600000002</v>
      </c>
      <c r="I540" s="8">
        <v>-60</v>
      </c>
      <c r="J540" s="9">
        <v>0</v>
      </c>
      <c r="K540" s="7">
        <v>60</v>
      </c>
      <c r="L540" s="24">
        <f>+Tabla2[[#This Row],[Stock Inventario]]*Tabla2[[#This Row],[Coste LÃ­nea]]</f>
        <v>0</v>
      </c>
      <c r="M540" s="24">
        <f>+Tabla2[[#This Row],[Variación Stock]]*Tabla2[[#This Row],[Coste LÃ­nea]]</f>
        <v>207.12522360000003</v>
      </c>
      <c r="N540" s="22" t="str">
        <f>+IF(Tabla2[[#This Row],[Variación Stock]]&gt;0,"Sobrante",IF(Tabla2[[#This Row],[Variación Stock]]&lt;0,"Faltante","Sin novedad"))</f>
        <v>Sobrante</v>
      </c>
    </row>
    <row r="541" spans="1:14" hidden="1" x14ac:dyDescent="0.25">
      <c r="A541" s="11">
        <v>46053</v>
      </c>
      <c r="B541" s="5" t="s">
        <v>972</v>
      </c>
      <c r="C541" s="3" t="s">
        <v>213</v>
      </c>
      <c r="D541" s="5" t="s">
        <v>396</v>
      </c>
      <c r="E541" s="5" t="s">
        <v>117</v>
      </c>
      <c r="F541" s="6" t="s">
        <v>987</v>
      </c>
      <c r="G541" s="4" t="s">
        <v>1</v>
      </c>
      <c r="H541" s="25">
        <v>24.14021164</v>
      </c>
      <c r="I541" s="8">
        <v>256.33330000000001</v>
      </c>
      <c r="J541" s="9">
        <v>700</v>
      </c>
      <c r="K541" s="7">
        <v>443.666676</v>
      </c>
      <c r="L541" s="24">
        <f>+Tabla2[[#This Row],[Stock Inventario]]*Tabla2[[#This Row],[Coste LÃ­nea]]</f>
        <v>16898.148148</v>
      </c>
      <c r="M541" s="24">
        <f>+Tabla2[[#This Row],[Variación Stock]]*Tabla2[[#This Row],[Coste LÃ­nea]]</f>
        <v>10710.207456255308</v>
      </c>
      <c r="N541" s="22" t="str">
        <f>+IF(Tabla2[[#This Row],[Variación Stock]]&gt;0,"Sobrante",IF(Tabla2[[#This Row],[Variación Stock]]&lt;0,"Faltante","Sin novedad"))</f>
        <v>Sobrante</v>
      </c>
    </row>
    <row r="542" spans="1:14" x14ac:dyDescent="0.25">
      <c r="A542" s="11">
        <v>46053</v>
      </c>
      <c r="B542" s="5" t="s">
        <v>972</v>
      </c>
      <c r="C542" s="3" t="s">
        <v>213</v>
      </c>
      <c r="D542" s="5" t="s">
        <v>121</v>
      </c>
      <c r="E542" s="5" t="s">
        <v>112</v>
      </c>
      <c r="F542" s="6" t="s">
        <v>788</v>
      </c>
      <c r="G542" s="4" t="s">
        <v>1</v>
      </c>
      <c r="H542" s="25">
        <v>3.8775615399999999</v>
      </c>
      <c r="I542" s="8">
        <v>-826</v>
      </c>
      <c r="J542" s="9">
        <v>955</v>
      </c>
      <c r="K542" s="7">
        <v>1781</v>
      </c>
      <c r="L542" s="24">
        <f>+Tabla2[[#This Row],[Stock Inventario]]*Tabla2[[#This Row],[Coste LÃ­nea]]</f>
        <v>3703.0712706999998</v>
      </c>
      <c r="M542" s="24">
        <f>+Tabla2[[#This Row],[Variación Stock]]*Tabla2[[#This Row],[Coste LÃ­nea]]</f>
        <v>6905.9371027399993</v>
      </c>
      <c r="N542" s="22" t="str">
        <f>+IF(Tabla2[[#This Row],[Variación Stock]]&gt;0,"Sobrante",IF(Tabla2[[#This Row],[Variación Stock]]&lt;0,"Faltante","Sin novedad"))</f>
        <v>Sobrante</v>
      </c>
    </row>
    <row r="543" spans="1:14" hidden="1" x14ac:dyDescent="0.25">
      <c r="A543" s="11">
        <v>46053</v>
      </c>
      <c r="B543" s="5" t="s">
        <v>972</v>
      </c>
      <c r="C543" s="3" t="s">
        <v>213</v>
      </c>
      <c r="D543" s="5" t="s">
        <v>626</v>
      </c>
      <c r="E543" s="5" t="s">
        <v>1079</v>
      </c>
      <c r="F543" s="6" t="s">
        <v>653</v>
      </c>
      <c r="G543" s="4" t="s">
        <v>2</v>
      </c>
      <c r="H543" s="25">
        <v>424.55</v>
      </c>
      <c r="I543" s="8">
        <v>0</v>
      </c>
      <c r="J543" s="9">
        <v>5</v>
      </c>
      <c r="K543" s="7">
        <v>5</v>
      </c>
      <c r="L543" s="24">
        <f>+Tabla2[[#This Row],[Stock Inventario]]*Tabla2[[#This Row],[Coste LÃ­nea]]</f>
        <v>2122.75</v>
      </c>
      <c r="M543" s="24">
        <f>+Tabla2[[#This Row],[Variación Stock]]*Tabla2[[#This Row],[Coste LÃ­nea]]</f>
        <v>2122.75</v>
      </c>
      <c r="N543" s="22" t="str">
        <f>+IF(Tabla2[[#This Row],[Variación Stock]]&gt;0,"Sobrante",IF(Tabla2[[#This Row],[Variación Stock]]&lt;0,"Faltante","Sin novedad"))</f>
        <v>Sobrante</v>
      </c>
    </row>
    <row r="544" spans="1:14" hidden="1" x14ac:dyDescent="0.25">
      <c r="A544" s="11">
        <v>46053</v>
      </c>
      <c r="B544" s="5" t="s">
        <v>972</v>
      </c>
      <c r="C544" s="3" t="s">
        <v>213</v>
      </c>
      <c r="D544" s="5" t="s">
        <v>626</v>
      </c>
      <c r="E544" s="5" t="s">
        <v>1079</v>
      </c>
      <c r="F544" s="6" t="s">
        <v>654</v>
      </c>
      <c r="G544" s="4" t="s">
        <v>2</v>
      </c>
      <c r="H544" s="25">
        <v>4703</v>
      </c>
      <c r="I544" s="8">
        <v>42</v>
      </c>
      <c r="J544" s="9">
        <v>6</v>
      </c>
      <c r="K544" s="7">
        <v>-36</v>
      </c>
      <c r="L544" s="24">
        <f>+Tabla2[[#This Row],[Stock Inventario]]*Tabla2[[#This Row],[Coste LÃ­nea]]</f>
        <v>28218</v>
      </c>
      <c r="M544" s="24">
        <f>+Tabla2[[#This Row],[Variación Stock]]*Tabla2[[#This Row],[Coste LÃ­nea]]</f>
        <v>-169308</v>
      </c>
      <c r="N544" s="22" t="str">
        <f>+IF(Tabla2[[#This Row],[Variación Stock]]&gt;0,"Sobrante",IF(Tabla2[[#This Row],[Variación Stock]]&lt;0,"Faltante","Sin novedad"))</f>
        <v>Faltante</v>
      </c>
    </row>
    <row r="545" spans="1:14" x14ac:dyDescent="0.25">
      <c r="A545" s="11">
        <v>46053</v>
      </c>
      <c r="B545" s="5" t="s">
        <v>972</v>
      </c>
      <c r="C545" s="3" t="s">
        <v>213</v>
      </c>
      <c r="D545" s="5" t="s">
        <v>121</v>
      </c>
      <c r="E545" s="5" t="s">
        <v>112</v>
      </c>
      <c r="F545" s="6" t="s">
        <v>790</v>
      </c>
      <c r="G545" s="4" t="s">
        <v>1</v>
      </c>
      <c r="H545" s="25">
        <v>5.50380571</v>
      </c>
      <c r="I545" s="8">
        <v>-5265</v>
      </c>
      <c r="J545" s="9">
        <v>755</v>
      </c>
      <c r="K545" s="7">
        <v>6020</v>
      </c>
      <c r="L545" s="24">
        <f>+Tabla2[[#This Row],[Stock Inventario]]*Tabla2[[#This Row],[Coste LÃ­nea]]</f>
        <v>4155.3733110499998</v>
      </c>
      <c r="M545" s="24">
        <f>+Tabla2[[#This Row],[Variación Stock]]*Tabla2[[#This Row],[Coste LÃ­nea]]</f>
        <v>33132.910374200001</v>
      </c>
      <c r="N545" s="22" t="str">
        <f>+IF(Tabla2[[#This Row],[Variación Stock]]&gt;0,"Sobrante",IF(Tabla2[[#This Row],[Variación Stock]]&lt;0,"Faltante","Sin novedad"))</f>
        <v>Sobrante</v>
      </c>
    </row>
    <row r="546" spans="1:14" x14ac:dyDescent="0.25">
      <c r="A546" s="11">
        <v>46053</v>
      </c>
      <c r="B546" s="5" t="s">
        <v>972</v>
      </c>
      <c r="C546" s="3" t="s">
        <v>213</v>
      </c>
      <c r="D546" s="5" t="s">
        <v>121</v>
      </c>
      <c r="E546" s="5" t="s">
        <v>112</v>
      </c>
      <c r="F546" s="6" t="s">
        <v>355</v>
      </c>
      <c r="G546" s="4" t="s">
        <v>1</v>
      </c>
      <c r="H546" s="25">
        <v>45.040723980000003</v>
      </c>
      <c r="I546" s="8">
        <v>390</v>
      </c>
      <c r="J546" s="9">
        <v>1360</v>
      </c>
      <c r="K546" s="7">
        <v>970</v>
      </c>
      <c r="L546" s="24">
        <f>+Tabla2[[#This Row],[Stock Inventario]]*Tabla2[[#This Row],[Coste LÃ­nea]]</f>
        <v>61255.3846128</v>
      </c>
      <c r="M546" s="24">
        <f>+Tabla2[[#This Row],[Variación Stock]]*Tabla2[[#This Row],[Coste LÃ­nea]]</f>
        <v>43689.502260600006</v>
      </c>
      <c r="N546" s="22" t="str">
        <f>+IF(Tabla2[[#This Row],[Variación Stock]]&gt;0,"Sobrante",IF(Tabla2[[#This Row],[Variación Stock]]&lt;0,"Faltante","Sin novedad"))</f>
        <v>Sobrante</v>
      </c>
    </row>
    <row r="547" spans="1:14" hidden="1" x14ac:dyDescent="0.25">
      <c r="A547" s="11">
        <v>46053</v>
      </c>
      <c r="B547" s="5" t="s">
        <v>972</v>
      </c>
      <c r="C547" s="3" t="s">
        <v>213</v>
      </c>
      <c r="D547" s="5" t="s">
        <v>559</v>
      </c>
      <c r="E547" s="5" t="s">
        <v>1080</v>
      </c>
      <c r="F547" s="6" t="s">
        <v>590</v>
      </c>
      <c r="G547" s="4" t="s">
        <v>2</v>
      </c>
      <c r="H547" s="25">
        <v>119.25</v>
      </c>
      <c r="I547" s="8">
        <v>1600</v>
      </c>
      <c r="J547" s="9">
        <v>0</v>
      </c>
      <c r="K547" s="7">
        <v>-1600</v>
      </c>
      <c r="L547" s="24">
        <f>+Tabla2[[#This Row],[Stock Inventario]]*Tabla2[[#This Row],[Coste LÃ­nea]]</f>
        <v>0</v>
      </c>
      <c r="M547" s="24">
        <f>+Tabla2[[#This Row],[Variación Stock]]*Tabla2[[#This Row],[Coste LÃ­nea]]</f>
        <v>-190800</v>
      </c>
      <c r="N547" s="22" t="str">
        <f>+IF(Tabla2[[#This Row],[Variación Stock]]&gt;0,"Sobrante",IF(Tabla2[[#This Row],[Variación Stock]]&lt;0,"Faltante","Sin novedad"))</f>
        <v>Faltante</v>
      </c>
    </row>
    <row r="548" spans="1:14" hidden="1" x14ac:dyDescent="0.25">
      <c r="A548" s="11">
        <v>46053</v>
      </c>
      <c r="B548" s="5" t="s">
        <v>972</v>
      </c>
      <c r="C548" s="3" t="s">
        <v>213</v>
      </c>
      <c r="D548" s="5" t="s">
        <v>626</v>
      </c>
      <c r="E548" s="5" t="s">
        <v>1079</v>
      </c>
      <c r="F548" s="6" t="s">
        <v>655</v>
      </c>
      <c r="G548" s="4" t="s">
        <v>2</v>
      </c>
      <c r="H548" s="25">
        <v>217.31714285999999</v>
      </c>
      <c r="I548" s="8">
        <v>383</v>
      </c>
      <c r="J548" s="9">
        <v>200</v>
      </c>
      <c r="K548" s="7">
        <v>-381</v>
      </c>
      <c r="L548" s="24">
        <f>+Tabla2[[#This Row],[Stock Inventario]]*Tabla2[[#This Row],[Coste LÃ­nea]]</f>
        <v>43463.428571999997</v>
      </c>
      <c r="M548" s="24">
        <f>+Tabla2[[#This Row],[Variación Stock]]*Tabla2[[#This Row],[Coste LÃ­nea]]</f>
        <v>-82797.83142966</v>
      </c>
      <c r="N548" s="22" t="str">
        <f>+IF(Tabla2[[#This Row],[Variación Stock]]&gt;0,"Sobrante",IF(Tabla2[[#This Row],[Variación Stock]]&lt;0,"Faltante","Sin novedad"))</f>
        <v>Faltante</v>
      </c>
    </row>
    <row r="549" spans="1:14" hidden="1" x14ac:dyDescent="0.25">
      <c r="A549" s="11">
        <v>46053</v>
      </c>
      <c r="B549" s="5" t="s">
        <v>972</v>
      </c>
      <c r="C549" s="3" t="s">
        <v>213</v>
      </c>
      <c r="D549" s="5" t="s">
        <v>626</v>
      </c>
      <c r="E549" s="5" t="s">
        <v>1079</v>
      </c>
      <c r="F549" s="6" t="s">
        <v>656</v>
      </c>
      <c r="G549" s="4" t="s">
        <v>2</v>
      </c>
      <c r="H549" s="25">
        <v>348.04</v>
      </c>
      <c r="I549" s="8">
        <v>0</v>
      </c>
      <c r="J549" s="9">
        <v>0</v>
      </c>
      <c r="K549" s="7">
        <v>0</v>
      </c>
      <c r="L549" s="24">
        <f>+Tabla2[[#This Row],[Stock Inventario]]*Tabla2[[#This Row],[Coste LÃ­nea]]</f>
        <v>0</v>
      </c>
      <c r="M549" s="24">
        <f>+Tabla2[[#This Row],[Variación Stock]]*Tabla2[[#This Row],[Coste LÃ­nea]]</f>
        <v>0</v>
      </c>
      <c r="N549" s="22" t="str">
        <f>+IF(Tabla2[[#This Row],[Variación Stock]]&gt;0,"Sobrante",IF(Tabla2[[#This Row],[Variación Stock]]&lt;0,"Faltante","Sin novedad"))</f>
        <v>Sin novedad</v>
      </c>
    </row>
    <row r="550" spans="1:14" hidden="1" x14ac:dyDescent="0.25">
      <c r="A550" s="11">
        <v>46053</v>
      </c>
      <c r="B550" s="5" t="s">
        <v>972</v>
      </c>
      <c r="C550" s="3" t="s">
        <v>213</v>
      </c>
      <c r="D550" s="5" t="s">
        <v>626</v>
      </c>
      <c r="E550" s="5" t="s">
        <v>1079</v>
      </c>
      <c r="F550" s="6" t="s">
        <v>627</v>
      </c>
      <c r="G550" s="4" t="s">
        <v>2</v>
      </c>
      <c r="H550" s="25">
        <v>217.32</v>
      </c>
      <c r="I550" s="8">
        <v>503</v>
      </c>
      <c r="J550" s="9">
        <v>100</v>
      </c>
      <c r="K550" s="7">
        <v>-502</v>
      </c>
      <c r="L550" s="24">
        <f>+Tabla2[[#This Row],[Stock Inventario]]*Tabla2[[#This Row],[Coste LÃ­nea]]</f>
        <v>21732</v>
      </c>
      <c r="M550" s="24">
        <f>+Tabla2[[#This Row],[Variación Stock]]*Tabla2[[#This Row],[Coste LÃ­nea]]</f>
        <v>-109094.64</v>
      </c>
      <c r="N550" s="22" t="str">
        <f>+IF(Tabla2[[#This Row],[Variación Stock]]&gt;0,"Sobrante",IF(Tabla2[[#This Row],[Variación Stock]]&lt;0,"Faltante","Sin novedad"))</f>
        <v>Faltante</v>
      </c>
    </row>
    <row r="551" spans="1:14" hidden="1" x14ac:dyDescent="0.25">
      <c r="A551" s="11">
        <v>46053</v>
      </c>
      <c r="B551" s="5" t="s">
        <v>972</v>
      </c>
      <c r="C551" s="3" t="s">
        <v>213</v>
      </c>
      <c r="D551" s="5" t="s">
        <v>471</v>
      </c>
      <c r="E551" s="5" t="s">
        <v>117</v>
      </c>
      <c r="F551" s="6" t="s">
        <v>543</v>
      </c>
      <c r="G551" s="4" t="s">
        <v>1</v>
      </c>
      <c r="H551" s="25">
        <v>9</v>
      </c>
      <c r="I551" s="8">
        <v>0</v>
      </c>
      <c r="J551" s="9">
        <v>0</v>
      </c>
      <c r="K551" s="7">
        <v>0</v>
      </c>
      <c r="L551" s="24">
        <f>+Tabla2[[#This Row],[Stock Inventario]]*Tabla2[[#This Row],[Coste LÃ­nea]]</f>
        <v>0</v>
      </c>
      <c r="M551" s="24">
        <f>+Tabla2[[#This Row],[Variación Stock]]*Tabla2[[#This Row],[Coste LÃ­nea]]</f>
        <v>0</v>
      </c>
      <c r="N551" s="22" t="str">
        <f>+IF(Tabla2[[#This Row],[Variación Stock]]&gt;0,"Sobrante",IF(Tabla2[[#This Row],[Variación Stock]]&lt;0,"Faltante","Sin novedad"))</f>
        <v>Sin novedad</v>
      </c>
    </row>
    <row r="552" spans="1:14" hidden="1" x14ac:dyDescent="0.25">
      <c r="A552" s="11">
        <v>46053</v>
      </c>
      <c r="B552" s="5" t="s">
        <v>972</v>
      </c>
      <c r="C552" s="3" t="s">
        <v>213</v>
      </c>
      <c r="D552" s="5" t="s">
        <v>396</v>
      </c>
      <c r="E552" s="5" t="s">
        <v>117</v>
      </c>
      <c r="F552" s="6" t="s">
        <v>988</v>
      </c>
      <c r="G552" s="4" t="s">
        <v>1</v>
      </c>
      <c r="H552" s="25">
        <v>10.33112583</v>
      </c>
      <c r="I552" s="8">
        <v>2265</v>
      </c>
      <c r="J552" s="9">
        <v>0</v>
      </c>
      <c r="K552" s="7">
        <v>-2265</v>
      </c>
      <c r="L552" s="24">
        <f>+Tabla2[[#This Row],[Stock Inventario]]*Tabla2[[#This Row],[Coste LÃ­nea]]</f>
        <v>0</v>
      </c>
      <c r="M552" s="24">
        <f>+Tabla2[[#This Row],[Variación Stock]]*Tabla2[[#This Row],[Coste LÃ­nea]]</f>
        <v>-23400.000004949998</v>
      </c>
      <c r="N552" s="22" t="str">
        <f>+IF(Tabla2[[#This Row],[Variación Stock]]&gt;0,"Sobrante",IF(Tabla2[[#This Row],[Variación Stock]]&lt;0,"Faltante","Sin novedad"))</f>
        <v>Faltante</v>
      </c>
    </row>
    <row r="553" spans="1:14" hidden="1" x14ac:dyDescent="0.25">
      <c r="A553" s="11">
        <v>46053</v>
      </c>
      <c r="B553" s="5" t="s">
        <v>972</v>
      </c>
      <c r="C553" s="3" t="s">
        <v>213</v>
      </c>
      <c r="D553" s="5" t="s">
        <v>396</v>
      </c>
      <c r="E553" s="5" t="s">
        <v>117</v>
      </c>
      <c r="F553" s="6" t="s">
        <v>437</v>
      </c>
      <c r="G553" s="4" t="s">
        <v>1</v>
      </c>
      <c r="H553" s="25">
        <v>4.2671999999999999</v>
      </c>
      <c r="I553" s="8">
        <v>8854.75</v>
      </c>
      <c r="J553" s="9">
        <v>3850</v>
      </c>
      <c r="K553" s="7">
        <v>-5004.7500049999999</v>
      </c>
      <c r="L553" s="24">
        <f>+Tabla2[[#This Row],[Stock Inventario]]*Tabla2[[#This Row],[Coste LÃ­nea]]</f>
        <v>16428.72</v>
      </c>
      <c r="M553" s="24">
        <f>+Tabla2[[#This Row],[Variación Stock]]*Tabla2[[#This Row],[Coste LÃ­nea]]</f>
        <v>-21356.269221335999</v>
      </c>
      <c r="N553" s="22" t="str">
        <f>+IF(Tabla2[[#This Row],[Variación Stock]]&gt;0,"Sobrante",IF(Tabla2[[#This Row],[Variación Stock]]&lt;0,"Faltante","Sin novedad"))</f>
        <v>Faltante</v>
      </c>
    </row>
    <row r="554" spans="1:14" hidden="1" x14ac:dyDescent="0.25">
      <c r="A554" s="11">
        <v>46053</v>
      </c>
      <c r="B554" s="5" t="s">
        <v>972</v>
      </c>
      <c r="C554" s="3" t="s">
        <v>213</v>
      </c>
      <c r="D554" s="5" t="s">
        <v>396</v>
      </c>
      <c r="E554" s="5" t="s">
        <v>117</v>
      </c>
      <c r="F554" s="6" t="s">
        <v>438</v>
      </c>
      <c r="G554" s="4" t="s">
        <v>1</v>
      </c>
      <c r="H554" s="25">
        <v>3.718</v>
      </c>
      <c r="I554" s="8">
        <v>0</v>
      </c>
      <c r="J554" s="9">
        <v>0</v>
      </c>
      <c r="K554" s="7">
        <v>0</v>
      </c>
      <c r="L554" s="24">
        <f>+Tabla2[[#This Row],[Stock Inventario]]*Tabla2[[#This Row],[Coste LÃ­nea]]</f>
        <v>0</v>
      </c>
      <c r="M554" s="24">
        <f>+Tabla2[[#This Row],[Variación Stock]]*Tabla2[[#This Row],[Coste LÃ­nea]]</f>
        <v>0</v>
      </c>
      <c r="N554" s="22" t="str">
        <f>+IF(Tabla2[[#This Row],[Variación Stock]]&gt;0,"Sobrante",IF(Tabla2[[#This Row],[Variación Stock]]&lt;0,"Faltante","Sin novedad"))</f>
        <v>Sin novedad</v>
      </c>
    </row>
    <row r="555" spans="1:14" hidden="1" x14ac:dyDescent="0.25">
      <c r="A555" s="11">
        <v>46053</v>
      </c>
      <c r="B555" s="5" t="s">
        <v>972</v>
      </c>
      <c r="C555" s="3" t="s">
        <v>213</v>
      </c>
      <c r="D555" s="5" t="s">
        <v>471</v>
      </c>
      <c r="E555" s="5" t="s">
        <v>117</v>
      </c>
      <c r="F555" s="6" t="s">
        <v>545</v>
      </c>
      <c r="G555" s="4" t="s">
        <v>1</v>
      </c>
      <c r="H555" s="25">
        <v>31.5</v>
      </c>
      <c r="I555" s="8">
        <v>-96</v>
      </c>
      <c r="J555" s="9">
        <v>200</v>
      </c>
      <c r="K555" s="7">
        <v>296</v>
      </c>
      <c r="L555" s="24">
        <f>+Tabla2[[#This Row],[Stock Inventario]]*Tabla2[[#This Row],[Coste LÃ­nea]]</f>
        <v>6300</v>
      </c>
      <c r="M555" s="24">
        <f>+Tabla2[[#This Row],[Variación Stock]]*Tabla2[[#This Row],[Coste LÃ­nea]]</f>
        <v>9324</v>
      </c>
      <c r="N555" s="22" t="str">
        <f>+IF(Tabla2[[#This Row],[Variación Stock]]&gt;0,"Sobrante",IF(Tabla2[[#This Row],[Variación Stock]]&lt;0,"Faltante","Sin novedad"))</f>
        <v>Sobrante</v>
      </c>
    </row>
    <row r="556" spans="1:14" x14ac:dyDescent="0.25">
      <c r="A556" s="11">
        <v>46053</v>
      </c>
      <c r="B556" s="5" t="s">
        <v>972</v>
      </c>
      <c r="C556" s="3" t="s">
        <v>213</v>
      </c>
      <c r="D556" s="5" t="s">
        <v>121</v>
      </c>
      <c r="E556" s="5" t="s">
        <v>112</v>
      </c>
      <c r="F556" s="6" t="s">
        <v>792</v>
      </c>
      <c r="G556" s="4" t="s">
        <v>1</v>
      </c>
      <c r="H556" s="25">
        <v>15.05299142</v>
      </c>
      <c r="I556" s="8">
        <v>0</v>
      </c>
      <c r="J556" s="9">
        <v>0</v>
      </c>
      <c r="K556" s="7">
        <v>0</v>
      </c>
      <c r="L556" s="24">
        <f>+Tabla2[[#This Row],[Stock Inventario]]*Tabla2[[#This Row],[Coste LÃ­nea]]</f>
        <v>0</v>
      </c>
      <c r="M556" s="24">
        <f>+Tabla2[[#This Row],[Variación Stock]]*Tabla2[[#This Row],[Coste LÃ­nea]]</f>
        <v>0</v>
      </c>
      <c r="N556" s="22" t="str">
        <f>+IF(Tabla2[[#This Row],[Variación Stock]]&gt;0,"Sobrante",IF(Tabla2[[#This Row],[Variación Stock]]&lt;0,"Faltante","Sin novedad"))</f>
        <v>Sin novedad</v>
      </c>
    </row>
    <row r="557" spans="1:14" hidden="1" x14ac:dyDescent="0.25">
      <c r="A557" s="11">
        <v>46053</v>
      </c>
      <c r="B557" s="5" t="s">
        <v>972</v>
      </c>
      <c r="C557" s="3" t="s">
        <v>213</v>
      </c>
      <c r="D557" s="5" t="s">
        <v>626</v>
      </c>
      <c r="E557" s="5" t="s">
        <v>1079</v>
      </c>
      <c r="F557" s="6" t="s">
        <v>657</v>
      </c>
      <c r="G557" s="4" t="s">
        <v>1</v>
      </c>
      <c r="H557" s="25">
        <v>5.4529500000000004</v>
      </c>
      <c r="I557" s="8">
        <v>63500</v>
      </c>
      <c r="J557" s="9">
        <v>10000</v>
      </c>
      <c r="K557" s="7">
        <v>-53500</v>
      </c>
      <c r="L557" s="24">
        <f>+Tabla2[[#This Row],[Stock Inventario]]*Tabla2[[#This Row],[Coste LÃ­nea]]</f>
        <v>54529.500000000007</v>
      </c>
      <c r="M557" s="24">
        <f>+Tabla2[[#This Row],[Variación Stock]]*Tabla2[[#This Row],[Coste LÃ­nea]]</f>
        <v>-291732.82500000001</v>
      </c>
      <c r="N557" s="22" t="str">
        <f>+IF(Tabla2[[#This Row],[Variación Stock]]&gt;0,"Sobrante",IF(Tabla2[[#This Row],[Variación Stock]]&lt;0,"Faltante","Sin novedad"))</f>
        <v>Faltante</v>
      </c>
    </row>
    <row r="558" spans="1:14" hidden="1" x14ac:dyDescent="0.25">
      <c r="A558" s="11">
        <v>46053</v>
      </c>
      <c r="B558" s="5" t="s">
        <v>972</v>
      </c>
      <c r="C558" s="3" t="s">
        <v>213</v>
      </c>
      <c r="D558" s="5" t="s">
        <v>396</v>
      </c>
      <c r="E558" s="5" t="s">
        <v>117</v>
      </c>
      <c r="F558" s="6" t="s">
        <v>470</v>
      </c>
      <c r="G558" s="4" t="s">
        <v>2</v>
      </c>
      <c r="H558" s="25">
        <v>726.66666667000004</v>
      </c>
      <c r="I558" s="8">
        <v>589.21730000000002</v>
      </c>
      <c r="J558" s="9">
        <v>0</v>
      </c>
      <c r="K558" s="7">
        <v>-589.21732499999996</v>
      </c>
      <c r="L558" s="24">
        <f>+Tabla2[[#This Row],[Stock Inventario]]*Tabla2[[#This Row],[Coste LÃ­nea]]</f>
        <v>0</v>
      </c>
      <c r="M558" s="24">
        <f>+Tabla2[[#This Row],[Variación Stock]]*Tabla2[[#This Row],[Coste LÃ­nea]]</f>
        <v>-428164.58950196404</v>
      </c>
      <c r="N558" s="22" t="str">
        <f>+IF(Tabla2[[#This Row],[Variación Stock]]&gt;0,"Sobrante",IF(Tabla2[[#This Row],[Variación Stock]]&lt;0,"Faltante","Sin novedad"))</f>
        <v>Faltante</v>
      </c>
    </row>
    <row r="559" spans="1:14" hidden="1" x14ac:dyDescent="0.25">
      <c r="A559" s="11">
        <v>46053</v>
      </c>
      <c r="B559" s="5" t="s">
        <v>972</v>
      </c>
      <c r="C559" s="3" t="s">
        <v>213</v>
      </c>
      <c r="D559" s="5" t="s">
        <v>626</v>
      </c>
      <c r="E559" s="5" t="s">
        <v>1079</v>
      </c>
      <c r="F559" s="6" t="s">
        <v>658</v>
      </c>
      <c r="G559" s="4" t="s">
        <v>2</v>
      </c>
      <c r="H559" s="25">
        <v>68049</v>
      </c>
      <c r="I559" s="8">
        <v>6</v>
      </c>
      <c r="J559" s="9">
        <v>3</v>
      </c>
      <c r="K559" s="7">
        <v>-3</v>
      </c>
      <c r="L559" s="24">
        <f>+Tabla2[[#This Row],[Stock Inventario]]*Tabla2[[#This Row],[Coste LÃ­nea]]</f>
        <v>204147</v>
      </c>
      <c r="M559" s="24">
        <f>+Tabla2[[#This Row],[Variación Stock]]*Tabla2[[#This Row],[Coste LÃ­nea]]</f>
        <v>-204147</v>
      </c>
      <c r="N559" s="22" t="str">
        <f>+IF(Tabla2[[#This Row],[Variación Stock]]&gt;0,"Sobrante",IF(Tabla2[[#This Row],[Variación Stock]]&lt;0,"Faltante","Sin novedad"))</f>
        <v>Faltante</v>
      </c>
    </row>
    <row r="560" spans="1:14" hidden="1" x14ac:dyDescent="0.25">
      <c r="A560" s="11">
        <v>46053</v>
      </c>
      <c r="B560" s="5" t="s">
        <v>972</v>
      </c>
      <c r="C560" s="3" t="s">
        <v>213</v>
      </c>
      <c r="D560" s="5" t="s">
        <v>626</v>
      </c>
      <c r="E560" s="5" t="s">
        <v>1079</v>
      </c>
      <c r="F560" s="6" t="s">
        <v>892</v>
      </c>
      <c r="G560" s="4" t="s">
        <v>2</v>
      </c>
      <c r="H560" s="25">
        <v>20657</v>
      </c>
      <c r="I560" s="8">
        <v>2</v>
      </c>
      <c r="J560" s="9">
        <v>1</v>
      </c>
      <c r="K560" s="7">
        <v>-1</v>
      </c>
      <c r="L560" s="24">
        <f>+Tabla2[[#This Row],[Stock Inventario]]*Tabla2[[#This Row],[Coste LÃ­nea]]</f>
        <v>20657</v>
      </c>
      <c r="M560" s="24">
        <f>+Tabla2[[#This Row],[Variación Stock]]*Tabla2[[#This Row],[Coste LÃ­nea]]</f>
        <v>-20657</v>
      </c>
      <c r="N560" s="22" t="str">
        <f>+IF(Tabla2[[#This Row],[Variación Stock]]&gt;0,"Sobrante",IF(Tabla2[[#This Row],[Variación Stock]]&lt;0,"Faltante","Sin novedad"))</f>
        <v>Faltante</v>
      </c>
    </row>
    <row r="561" spans="1:14" hidden="1" x14ac:dyDescent="0.25">
      <c r="A561" s="11">
        <v>46053</v>
      </c>
      <c r="B561" s="5" t="s">
        <v>972</v>
      </c>
      <c r="C561" s="3" t="s">
        <v>213</v>
      </c>
      <c r="D561" s="5" t="s">
        <v>626</v>
      </c>
      <c r="E561" s="5" t="s">
        <v>1079</v>
      </c>
      <c r="F561" s="6" t="s">
        <v>638</v>
      </c>
      <c r="G561" s="4" t="s">
        <v>2</v>
      </c>
      <c r="H561" s="25">
        <v>4516</v>
      </c>
      <c r="I561" s="8">
        <v>2</v>
      </c>
      <c r="J561" s="9">
        <v>0</v>
      </c>
      <c r="K561" s="7">
        <v>-2</v>
      </c>
      <c r="L561" s="24">
        <f>+Tabla2[[#This Row],[Stock Inventario]]*Tabla2[[#This Row],[Coste LÃ­nea]]</f>
        <v>0</v>
      </c>
      <c r="M561" s="24">
        <f>+Tabla2[[#This Row],[Variación Stock]]*Tabla2[[#This Row],[Coste LÃ­nea]]</f>
        <v>-9032</v>
      </c>
      <c r="N561" s="22" t="str">
        <f>+IF(Tabla2[[#This Row],[Variación Stock]]&gt;0,"Sobrante",IF(Tabla2[[#This Row],[Variación Stock]]&lt;0,"Faltante","Sin novedad"))</f>
        <v>Faltante</v>
      </c>
    </row>
    <row r="562" spans="1:14" x14ac:dyDescent="0.25">
      <c r="A562" s="11">
        <v>46037</v>
      </c>
      <c r="B562" s="5" t="s">
        <v>212</v>
      </c>
      <c r="C562" s="3" t="s">
        <v>213</v>
      </c>
      <c r="D562" s="5" t="s">
        <v>121</v>
      </c>
      <c r="E562" s="5" t="s">
        <v>112</v>
      </c>
      <c r="F562" s="6" t="s">
        <v>270</v>
      </c>
      <c r="G562" s="4" t="s">
        <v>2</v>
      </c>
      <c r="H562" s="24">
        <v>1705.8435694</v>
      </c>
      <c r="I562" s="8">
        <v>19</v>
      </c>
      <c r="J562" s="9">
        <v>19</v>
      </c>
      <c r="K562" s="7">
        <v>0</v>
      </c>
      <c r="L562" s="24">
        <f>+Tabla2[[#This Row],[Stock Inventario]]*Tabla2[[#This Row],[Coste LÃ­nea]]</f>
        <v>32411.0278186</v>
      </c>
      <c r="M562" s="24">
        <f>+Tabla2[[#This Row],[Variación Stock]]*Tabla2[[#This Row],[Coste LÃ­nea]]</f>
        <v>0</v>
      </c>
      <c r="N562" s="22" t="str">
        <f>+IF(Tabla2[[#This Row],[Variación Stock]]&gt;0,"Sobrante",IF(Tabla2[[#This Row],[Variación Stock]]&lt;0,"Faltante","Sin novedad"))</f>
        <v>Sin novedad</v>
      </c>
    </row>
    <row r="563" spans="1:14" x14ac:dyDescent="0.25">
      <c r="A563" s="11">
        <v>46044</v>
      </c>
      <c r="B563" s="5" t="s">
        <v>383</v>
      </c>
      <c r="C563" s="3" t="s">
        <v>213</v>
      </c>
      <c r="D563" s="5" t="s">
        <v>121</v>
      </c>
      <c r="E563" s="5" t="s">
        <v>112</v>
      </c>
      <c r="F563" s="6" t="s">
        <v>270</v>
      </c>
      <c r="G563" s="4" t="s">
        <v>2</v>
      </c>
      <c r="H563" s="25">
        <v>2053.98384794</v>
      </c>
      <c r="I563" s="8">
        <v>16</v>
      </c>
      <c r="J563" s="9">
        <v>0</v>
      </c>
      <c r="K563" s="7">
        <v>-16</v>
      </c>
      <c r="L563" s="24">
        <f>+Tabla2[[#This Row],[Stock Inventario]]*Tabla2[[#This Row],[Coste LÃ­nea]]</f>
        <v>0</v>
      </c>
      <c r="M563" s="24">
        <f>+Tabla2[[#This Row],[Variación Stock]]*Tabla2[[#This Row],[Coste LÃ­nea]]</f>
        <v>-32863.741567040001</v>
      </c>
      <c r="N563" s="22" t="str">
        <f>+IF(Tabla2[[#This Row],[Variación Stock]]&gt;0,"Sobrante",IF(Tabla2[[#This Row],[Variación Stock]]&lt;0,"Faltante","Sin novedad"))</f>
        <v>Faltante</v>
      </c>
    </row>
    <row r="564" spans="1:14" hidden="1" x14ac:dyDescent="0.25">
      <c r="A564" s="11">
        <v>46053</v>
      </c>
      <c r="B564" s="5" t="s">
        <v>972</v>
      </c>
      <c r="C564" s="3" t="s">
        <v>213</v>
      </c>
      <c r="D564" s="5" t="s">
        <v>471</v>
      </c>
      <c r="E564" s="5" t="s">
        <v>117</v>
      </c>
      <c r="F564" s="6" t="s">
        <v>1001</v>
      </c>
      <c r="G564" s="4" t="s">
        <v>1</v>
      </c>
      <c r="H564" s="25">
        <v>12</v>
      </c>
      <c r="I564" s="8">
        <v>170</v>
      </c>
      <c r="J564" s="9">
        <v>0</v>
      </c>
      <c r="K564" s="7">
        <v>-170</v>
      </c>
      <c r="L564" s="24">
        <f>+Tabla2[[#This Row],[Stock Inventario]]*Tabla2[[#This Row],[Coste LÃ­nea]]</f>
        <v>0</v>
      </c>
      <c r="M564" s="24">
        <f>+Tabla2[[#This Row],[Variación Stock]]*Tabla2[[#This Row],[Coste LÃ­nea]]</f>
        <v>-2040</v>
      </c>
      <c r="N564" s="22" t="str">
        <f>+IF(Tabla2[[#This Row],[Variación Stock]]&gt;0,"Sobrante",IF(Tabla2[[#This Row],[Variación Stock]]&lt;0,"Faltante","Sin novedad"))</f>
        <v>Faltante</v>
      </c>
    </row>
    <row r="565" spans="1:14" hidden="1" x14ac:dyDescent="0.25">
      <c r="A565" s="11">
        <v>46053</v>
      </c>
      <c r="B565" s="5" t="s">
        <v>972</v>
      </c>
      <c r="C565" s="3" t="s">
        <v>213</v>
      </c>
      <c r="D565" s="5" t="s">
        <v>396</v>
      </c>
      <c r="E565" s="5" t="s">
        <v>117</v>
      </c>
      <c r="F565" s="6" t="s">
        <v>982</v>
      </c>
      <c r="G565" s="4" t="s">
        <v>1</v>
      </c>
      <c r="H565" s="25">
        <v>52.464799999999997</v>
      </c>
      <c r="I565" s="8">
        <v>9448</v>
      </c>
      <c r="J565" s="9">
        <v>4500</v>
      </c>
      <c r="K565" s="7">
        <v>-4948</v>
      </c>
      <c r="L565" s="24">
        <f>+Tabla2[[#This Row],[Stock Inventario]]*Tabla2[[#This Row],[Coste LÃ­nea]]</f>
        <v>236091.59999999998</v>
      </c>
      <c r="M565" s="24">
        <f>+Tabla2[[#This Row],[Variación Stock]]*Tabla2[[#This Row],[Coste LÃ­nea]]</f>
        <v>-259595.83039999998</v>
      </c>
      <c r="N565" s="22" t="str">
        <f>+IF(Tabla2[[#This Row],[Variación Stock]]&gt;0,"Sobrante",IF(Tabla2[[#This Row],[Variación Stock]]&lt;0,"Faltante","Sin novedad"))</f>
        <v>Faltante</v>
      </c>
    </row>
    <row r="566" spans="1:14" hidden="1" x14ac:dyDescent="0.25">
      <c r="A566" s="11">
        <v>46053</v>
      </c>
      <c r="B566" s="5" t="s">
        <v>972</v>
      </c>
      <c r="C566" s="3" t="s">
        <v>213</v>
      </c>
      <c r="D566" s="5" t="s">
        <v>471</v>
      </c>
      <c r="E566" s="5" t="s">
        <v>117</v>
      </c>
      <c r="F566" s="6" t="s">
        <v>506</v>
      </c>
      <c r="G566" s="4" t="s">
        <v>1</v>
      </c>
      <c r="H566" s="25">
        <v>10.5</v>
      </c>
      <c r="I566" s="8">
        <v>170</v>
      </c>
      <c r="J566" s="9">
        <v>0</v>
      </c>
      <c r="K566" s="7">
        <v>-170</v>
      </c>
      <c r="L566" s="24">
        <f>+Tabla2[[#This Row],[Stock Inventario]]*Tabla2[[#This Row],[Coste LÃ­nea]]</f>
        <v>0</v>
      </c>
      <c r="M566" s="24">
        <f>+Tabla2[[#This Row],[Variación Stock]]*Tabla2[[#This Row],[Coste LÃ­nea]]</f>
        <v>-1785</v>
      </c>
      <c r="N566" s="22" t="str">
        <f>+IF(Tabla2[[#This Row],[Variación Stock]]&gt;0,"Sobrante",IF(Tabla2[[#This Row],[Variación Stock]]&lt;0,"Faltante","Sin novedad"))</f>
        <v>Faltante</v>
      </c>
    </row>
    <row r="567" spans="1:14" x14ac:dyDescent="0.25">
      <c r="A567" s="11">
        <v>46053</v>
      </c>
      <c r="B567" s="5" t="s">
        <v>972</v>
      </c>
      <c r="C567" s="3" t="s">
        <v>213</v>
      </c>
      <c r="D567" s="5" t="s">
        <v>121</v>
      </c>
      <c r="E567" s="5" t="s">
        <v>112</v>
      </c>
      <c r="F567" s="6" t="s">
        <v>270</v>
      </c>
      <c r="G567" s="4" t="s">
        <v>2</v>
      </c>
      <c r="H567" s="25">
        <v>2053.9833012700001</v>
      </c>
      <c r="I567" s="8">
        <v>-7</v>
      </c>
      <c r="J567" s="9">
        <v>0</v>
      </c>
      <c r="K567" s="7">
        <v>7</v>
      </c>
      <c r="L567" s="24">
        <f>+Tabla2[[#This Row],[Stock Inventario]]*Tabla2[[#This Row],[Coste LÃ­nea]]</f>
        <v>0</v>
      </c>
      <c r="M567" s="24">
        <f>+Tabla2[[#This Row],[Variación Stock]]*Tabla2[[#This Row],[Coste LÃ­nea]]</f>
        <v>14377.883108890001</v>
      </c>
      <c r="N567" s="22" t="str">
        <f>+IF(Tabla2[[#This Row],[Variación Stock]]&gt;0,"Sobrante",IF(Tabla2[[#This Row],[Variación Stock]]&lt;0,"Faltante","Sin novedad"))</f>
        <v>Sobrante</v>
      </c>
    </row>
    <row r="568" spans="1:14" x14ac:dyDescent="0.25">
      <c r="A568" s="11">
        <v>46053</v>
      </c>
      <c r="B568" s="5" t="s">
        <v>972</v>
      </c>
      <c r="C568" s="3" t="s">
        <v>213</v>
      </c>
      <c r="D568" s="5" t="s">
        <v>121</v>
      </c>
      <c r="E568" s="5" t="s">
        <v>112</v>
      </c>
      <c r="F568" s="6" t="s">
        <v>356</v>
      </c>
      <c r="G568" s="4" t="s">
        <v>1</v>
      </c>
      <c r="H568" s="25">
        <v>10.8</v>
      </c>
      <c r="I568" s="8">
        <v>491</v>
      </c>
      <c r="J568" s="9">
        <v>1360</v>
      </c>
      <c r="K568" s="7">
        <v>869</v>
      </c>
      <c r="L568" s="24">
        <f>+Tabla2[[#This Row],[Stock Inventario]]*Tabla2[[#This Row],[Coste LÃ­nea]]</f>
        <v>14688.000000000002</v>
      </c>
      <c r="M568" s="24">
        <f>+Tabla2[[#This Row],[Variación Stock]]*Tabla2[[#This Row],[Coste LÃ­nea]]</f>
        <v>9385.2000000000007</v>
      </c>
      <c r="N568" s="22" t="str">
        <f>+IF(Tabla2[[#This Row],[Variación Stock]]&gt;0,"Sobrante",IF(Tabla2[[#This Row],[Variación Stock]]&lt;0,"Faltante","Sin novedad"))</f>
        <v>Sobrante</v>
      </c>
    </row>
    <row r="569" spans="1:14" x14ac:dyDescent="0.25">
      <c r="A569" s="11">
        <v>46053</v>
      </c>
      <c r="B569" s="5" t="s">
        <v>972</v>
      </c>
      <c r="C569" s="3" t="s">
        <v>213</v>
      </c>
      <c r="D569" s="5" t="s">
        <v>121</v>
      </c>
      <c r="E569" s="5" t="s">
        <v>112</v>
      </c>
      <c r="F569" s="6" t="s">
        <v>950</v>
      </c>
      <c r="G569" s="4" t="s">
        <v>1</v>
      </c>
      <c r="H569" s="25">
        <v>150</v>
      </c>
      <c r="I569" s="8">
        <v>0</v>
      </c>
      <c r="J569" s="9">
        <v>0</v>
      </c>
      <c r="K569" s="7">
        <v>0</v>
      </c>
      <c r="L569" s="24">
        <f>+Tabla2[[#This Row],[Stock Inventario]]*Tabla2[[#This Row],[Coste LÃ­nea]]</f>
        <v>0</v>
      </c>
      <c r="M569" s="24">
        <f>+Tabla2[[#This Row],[Variación Stock]]*Tabla2[[#This Row],[Coste LÃ­nea]]</f>
        <v>0</v>
      </c>
      <c r="N569" s="22" t="str">
        <f>+IF(Tabla2[[#This Row],[Variación Stock]]&gt;0,"Sobrante",IF(Tabla2[[#This Row],[Variación Stock]]&lt;0,"Faltante","Sin novedad"))</f>
        <v>Sin novedad</v>
      </c>
    </row>
    <row r="570" spans="1:14" x14ac:dyDescent="0.25">
      <c r="A570" s="11">
        <v>46053</v>
      </c>
      <c r="B570" s="5" t="s">
        <v>972</v>
      </c>
      <c r="C570" s="3" t="s">
        <v>213</v>
      </c>
      <c r="D570" s="5" t="s">
        <v>121</v>
      </c>
      <c r="E570" s="5" t="s">
        <v>112</v>
      </c>
      <c r="F570" s="6" t="s">
        <v>802</v>
      </c>
      <c r="G570" s="4" t="s">
        <v>1</v>
      </c>
      <c r="H570" s="25">
        <v>21.08235294</v>
      </c>
      <c r="I570" s="8">
        <v>-5</v>
      </c>
      <c r="J570" s="9">
        <v>1340</v>
      </c>
      <c r="K570" s="7">
        <v>1345</v>
      </c>
      <c r="L570" s="24">
        <f>+Tabla2[[#This Row],[Stock Inventario]]*Tabla2[[#This Row],[Coste LÃ­nea]]</f>
        <v>28250.352939600001</v>
      </c>
      <c r="M570" s="24">
        <f>+Tabla2[[#This Row],[Variación Stock]]*Tabla2[[#This Row],[Coste LÃ­nea]]</f>
        <v>28355.7647043</v>
      </c>
      <c r="N570" s="22" t="str">
        <f>+IF(Tabla2[[#This Row],[Variación Stock]]&gt;0,"Sobrante",IF(Tabla2[[#This Row],[Variación Stock]]&lt;0,"Faltante","Sin novedad"))</f>
        <v>Sobrante</v>
      </c>
    </row>
    <row r="571" spans="1:14" hidden="1" x14ac:dyDescent="0.25">
      <c r="A571" s="11">
        <v>46053</v>
      </c>
      <c r="B571" s="5" t="s">
        <v>972</v>
      </c>
      <c r="C571" s="3" t="s">
        <v>213</v>
      </c>
      <c r="D571" s="5" t="s">
        <v>396</v>
      </c>
      <c r="E571" s="5" t="s">
        <v>117</v>
      </c>
      <c r="F571" s="6" t="s">
        <v>398</v>
      </c>
      <c r="G571" s="4" t="s">
        <v>1</v>
      </c>
      <c r="H571" s="25">
        <v>65.333333330000002</v>
      </c>
      <c r="I571" s="8">
        <v>675</v>
      </c>
      <c r="J571" s="9">
        <v>0</v>
      </c>
      <c r="K571" s="7">
        <v>-675</v>
      </c>
      <c r="L571" s="24">
        <f>+Tabla2[[#This Row],[Stock Inventario]]*Tabla2[[#This Row],[Coste LÃ­nea]]</f>
        <v>0</v>
      </c>
      <c r="M571" s="24">
        <f>+Tabla2[[#This Row],[Variación Stock]]*Tabla2[[#This Row],[Coste LÃ­nea]]</f>
        <v>-44099.999997750005</v>
      </c>
      <c r="N571" s="22" t="str">
        <f>+IF(Tabla2[[#This Row],[Variación Stock]]&gt;0,"Sobrante",IF(Tabla2[[#This Row],[Variación Stock]]&lt;0,"Faltante","Sin novedad"))</f>
        <v>Faltante</v>
      </c>
    </row>
    <row r="572" spans="1:14" x14ac:dyDescent="0.25">
      <c r="A572" s="11">
        <v>46053</v>
      </c>
      <c r="B572" s="5" t="s">
        <v>972</v>
      </c>
      <c r="C572" s="3" t="s">
        <v>213</v>
      </c>
      <c r="D572" s="5" t="s">
        <v>121</v>
      </c>
      <c r="E572" s="5" t="s">
        <v>112</v>
      </c>
      <c r="F572" s="6" t="s">
        <v>951</v>
      </c>
      <c r="G572" s="4" t="s">
        <v>2</v>
      </c>
      <c r="H572" s="25">
        <v>46.4609174</v>
      </c>
      <c r="I572" s="8">
        <v>-10</v>
      </c>
      <c r="J572" s="9">
        <v>0</v>
      </c>
      <c r="K572" s="7">
        <v>10</v>
      </c>
      <c r="L572" s="24">
        <f>+Tabla2[[#This Row],[Stock Inventario]]*Tabla2[[#This Row],[Coste LÃ­nea]]</f>
        <v>0</v>
      </c>
      <c r="M572" s="24">
        <f>+Tabla2[[#This Row],[Variación Stock]]*Tabla2[[#This Row],[Coste LÃ­nea]]</f>
        <v>464.609174</v>
      </c>
      <c r="N572" s="22" t="str">
        <f>+IF(Tabla2[[#This Row],[Variación Stock]]&gt;0,"Sobrante",IF(Tabla2[[#This Row],[Variación Stock]]&lt;0,"Faltante","Sin novedad"))</f>
        <v>Sobrante</v>
      </c>
    </row>
    <row r="573" spans="1:14" hidden="1" x14ac:dyDescent="0.25">
      <c r="A573" s="11">
        <v>46053</v>
      </c>
      <c r="B573" s="5" t="s">
        <v>972</v>
      </c>
      <c r="C573" s="3" t="s">
        <v>213</v>
      </c>
      <c r="D573" s="5" t="s">
        <v>119</v>
      </c>
      <c r="E573" s="5" t="s">
        <v>117</v>
      </c>
      <c r="F573" s="6" t="s">
        <v>94</v>
      </c>
      <c r="G573" s="4" t="s">
        <v>2</v>
      </c>
      <c r="H573" s="25">
        <v>1600</v>
      </c>
      <c r="I573" s="8">
        <v>0</v>
      </c>
      <c r="J573" s="9">
        <v>0</v>
      </c>
      <c r="K573" s="7">
        <v>0</v>
      </c>
      <c r="L573" s="24">
        <f>+Tabla2[[#This Row],[Stock Inventario]]*Tabla2[[#This Row],[Coste LÃ­nea]]</f>
        <v>0</v>
      </c>
      <c r="M573" s="24">
        <f>+Tabla2[[#This Row],[Variación Stock]]*Tabla2[[#This Row],[Coste LÃ­nea]]</f>
        <v>0</v>
      </c>
      <c r="N573" s="22" t="str">
        <f>+IF(Tabla2[[#This Row],[Variación Stock]]&gt;0,"Sobrante",IF(Tabla2[[#This Row],[Variación Stock]]&lt;0,"Faltante","Sin novedad"))</f>
        <v>Sin novedad</v>
      </c>
    </row>
    <row r="574" spans="1:14" hidden="1" x14ac:dyDescent="0.25">
      <c r="A574" s="11">
        <v>46053</v>
      </c>
      <c r="B574" s="5" t="s">
        <v>972</v>
      </c>
      <c r="C574" s="3" t="s">
        <v>213</v>
      </c>
      <c r="D574" s="5" t="s">
        <v>396</v>
      </c>
      <c r="E574" s="5" t="s">
        <v>117</v>
      </c>
      <c r="F574" s="6" t="s">
        <v>983</v>
      </c>
      <c r="G574" s="4" t="s">
        <v>1</v>
      </c>
      <c r="H574" s="25">
        <v>31.59444444</v>
      </c>
      <c r="I574" s="8">
        <v>-411.72890000000001</v>
      </c>
      <c r="J574" s="9">
        <v>2100</v>
      </c>
      <c r="K574" s="7">
        <v>2511.7288800000001</v>
      </c>
      <c r="L574" s="24">
        <f>+Tabla2[[#This Row],[Stock Inventario]]*Tabla2[[#This Row],[Coste LÃ­nea]]</f>
        <v>66348.333324000007</v>
      </c>
      <c r="M574" s="24">
        <f>+Tabla2[[#This Row],[Variación Stock]]*Tabla2[[#This Row],[Coste LÃ­nea]]</f>
        <v>79356.678547503427</v>
      </c>
      <c r="N574" s="22" t="str">
        <f>+IF(Tabla2[[#This Row],[Variación Stock]]&gt;0,"Sobrante",IF(Tabla2[[#This Row],[Variación Stock]]&lt;0,"Faltante","Sin novedad"))</f>
        <v>Sobrante</v>
      </c>
    </row>
    <row r="575" spans="1:14" hidden="1" x14ac:dyDescent="0.25">
      <c r="A575" s="11">
        <v>46053</v>
      </c>
      <c r="B575" s="5" t="s">
        <v>972</v>
      </c>
      <c r="C575" s="3" t="s">
        <v>213</v>
      </c>
      <c r="D575" s="5" t="s">
        <v>471</v>
      </c>
      <c r="E575" s="5" t="s">
        <v>117</v>
      </c>
      <c r="F575" s="6" t="s">
        <v>507</v>
      </c>
      <c r="G575" s="4" t="s">
        <v>1</v>
      </c>
      <c r="H575" s="25">
        <v>35</v>
      </c>
      <c r="I575" s="8">
        <v>50</v>
      </c>
      <c r="J575" s="9">
        <v>0</v>
      </c>
      <c r="K575" s="7">
        <v>-50</v>
      </c>
      <c r="L575" s="24">
        <f>+Tabla2[[#This Row],[Stock Inventario]]*Tabla2[[#This Row],[Coste LÃ­nea]]</f>
        <v>0</v>
      </c>
      <c r="M575" s="24">
        <f>+Tabla2[[#This Row],[Variación Stock]]*Tabla2[[#This Row],[Coste LÃ­nea]]</f>
        <v>-1750</v>
      </c>
      <c r="N575" s="22" t="str">
        <f>+IF(Tabla2[[#This Row],[Variación Stock]]&gt;0,"Sobrante",IF(Tabla2[[#This Row],[Variación Stock]]&lt;0,"Faltante","Sin novedad"))</f>
        <v>Faltante</v>
      </c>
    </row>
    <row r="576" spans="1:14" hidden="1" x14ac:dyDescent="0.25">
      <c r="A576" s="11">
        <v>46053</v>
      </c>
      <c r="B576" s="5" t="s">
        <v>972</v>
      </c>
      <c r="C576" s="3" t="s">
        <v>213</v>
      </c>
      <c r="D576" s="5" t="s">
        <v>626</v>
      </c>
      <c r="E576" s="5" t="s">
        <v>1079</v>
      </c>
      <c r="F576" s="6" t="s">
        <v>1031</v>
      </c>
      <c r="G576" s="4" t="s">
        <v>2</v>
      </c>
      <c r="H576" s="25">
        <v>100000.33333333</v>
      </c>
      <c r="I576" s="8">
        <v>0</v>
      </c>
      <c r="J576" s="9">
        <v>0</v>
      </c>
      <c r="K576" s="7">
        <v>0</v>
      </c>
      <c r="L576" s="24">
        <f>+Tabla2[[#This Row],[Stock Inventario]]*Tabla2[[#This Row],[Coste LÃ­nea]]</f>
        <v>0</v>
      </c>
      <c r="M576" s="24">
        <f>+Tabla2[[#This Row],[Variación Stock]]*Tabla2[[#This Row],[Coste LÃ­nea]]</f>
        <v>0</v>
      </c>
      <c r="N576" s="22" t="str">
        <f>+IF(Tabla2[[#This Row],[Variación Stock]]&gt;0,"Sobrante",IF(Tabla2[[#This Row],[Variación Stock]]&lt;0,"Faltante","Sin novedad"))</f>
        <v>Sin novedad</v>
      </c>
    </row>
    <row r="577" spans="1:14" hidden="1" x14ac:dyDescent="0.25">
      <c r="A577" s="11">
        <v>46053</v>
      </c>
      <c r="B577" s="5" t="s">
        <v>972</v>
      </c>
      <c r="C577" s="3" t="s">
        <v>213</v>
      </c>
      <c r="D577" s="5" t="s">
        <v>547</v>
      </c>
      <c r="E577" s="5" t="s">
        <v>117</v>
      </c>
      <c r="F577" s="6" t="s">
        <v>878</v>
      </c>
      <c r="G577" s="4" t="s">
        <v>1</v>
      </c>
      <c r="H577" s="25">
        <v>12.17853483</v>
      </c>
      <c r="I577" s="8">
        <v>360</v>
      </c>
      <c r="J577" s="9">
        <v>0</v>
      </c>
      <c r="K577" s="7">
        <v>-360</v>
      </c>
      <c r="L577" s="24">
        <f>+Tabla2[[#This Row],[Stock Inventario]]*Tabla2[[#This Row],[Coste LÃ­nea]]</f>
        <v>0</v>
      </c>
      <c r="M577" s="24">
        <f>+Tabla2[[#This Row],[Variación Stock]]*Tabla2[[#This Row],[Coste LÃ­nea]]</f>
        <v>-4384.2725387999999</v>
      </c>
      <c r="N577" s="22" t="str">
        <f>+IF(Tabla2[[#This Row],[Variación Stock]]&gt;0,"Sobrante",IF(Tabla2[[#This Row],[Variación Stock]]&lt;0,"Faltante","Sin novedad"))</f>
        <v>Faltante</v>
      </c>
    </row>
    <row r="578" spans="1:14" hidden="1" x14ac:dyDescent="0.25">
      <c r="A578" s="11">
        <v>46053</v>
      </c>
      <c r="B578" s="5" t="s">
        <v>972</v>
      </c>
      <c r="C578" s="3" t="s">
        <v>213</v>
      </c>
      <c r="D578" s="5" t="s">
        <v>547</v>
      </c>
      <c r="E578" s="5" t="s">
        <v>117</v>
      </c>
      <c r="F578" s="6" t="s">
        <v>881</v>
      </c>
      <c r="G578" s="4" t="s">
        <v>1</v>
      </c>
      <c r="H578" s="25">
        <v>9.9206088000000001</v>
      </c>
      <c r="I578" s="8">
        <v>100</v>
      </c>
      <c r="J578" s="9">
        <v>0</v>
      </c>
      <c r="K578" s="7">
        <v>-100</v>
      </c>
      <c r="L578" s="24">
        <f>+Tabla2[[#This Row],[Stock Inventario]]*Tabla2[[#This Row],[Coste LÃ­nea]]</f>
        <v>0</v>
      </c>
      <c r="M578" s="24">
        <f>+Tabla2[[#This Row],[Variación Stock]]*Tabla2[[#This Row],[Coste LÃ­nea]]</f>
        <v>-992.06088</v>
      </c>
      <c r="N578" s="22" t="str">
        <f>+IF(Tabla2[[#This Row],[Variación Stock]]&gt;0,"Sobrante",IF(Tabla2[[#This Row],[Variación Stock]]&lt;0,"Faltante","Sin novedad"))</f>
        <v>Faltante</v>
      </c>
    </row>
    <row r="579" spans="1:14" hidden="1" x14ac:dyDescent="0.25">
      <c r="A579" s="11">
        <v>46053</v>
      </c>
      <c r="B579" s="5" t="s">
        <v>972</v>
      </c>
      <c r="C579" s="3" t="s">
        <v>213</v>
      </c>
      <c r="D579" s="5" t="s">
        <v>547</v>
      </c>
      <c r="E579" s="5" t="s">
        <v>117</v>
      </c>
      <c r="F579" s="6" t="s">
        <v>1012</v>
      </c>
      <c r="G579" s="4" t="s">
        <v>1</v>
      </c>
      <c r="H579" s="25">
        <v>4.609</v>
      </c>
      <c r="I579" s="8">
        <v>-2750</v>
      </c>
      <c r="J579" s="9">
        <v>1000</v>
      </c>
      <c r="K579" s="7">
        <v>3750</v>
      </c>
      <c r="L579" s="24">
        <f>+Tabla2[[#This Row],[Stock Inventario]]*Tabla2[[#This Row],[Coste LÃ­nea]]</f>
        <v>4609</v>
      </c>
      <c r="M579" s="24">
        <f>+Tabla2[[#This Row],[Variación Stock]]*Tabla2[[#This Row],[Coste LÃ­nea]]</f>
        <v>17283.75</v>
      </c>
      <c r="N579" s="22" t="str">
        <f>+IF(Tabla2[[#This Row],[Variación Stock]]&gt;0,"Sobrante",IF(Tabla2[[#This Row],[Variación Stock]]&lt;0,"Faltante","Sin novedad"))</f>
        <v>Sobrante</v>
      </c>
    </row>
    <row r="580" spans="1:14" hidden="1" x14ac:dyDescent="0.25">
      <c r="A580" s="11">
        <v>46053</v>
      </c>
      <c r="B580" s="5" t="s">
        <v>972</v>
      </c>
      <c r="C580" s="3" t="s">
        <v>213</v>
      </c>
      <c r="D580" s="5" t="s">
        <v>547</v>
      </c>
      <c r="E580" s="5" t="s">
        <v>117</v>
      </c>
      <c r="F580" s="6" t="s">
        <v>1012</v>
      </c>
      <c r="G580" s="4"/>
      <c r="H580" s="25">
        <v>4.609</v>
      </c>
      <c r="I580" s="8">
        <v>6</v>
      </c>
      <c r="J580" s="9">
        <v>1000</v>
      </c>
      <c r="K580" s="7">
        <v>994</v>
      </c>
      <c r="L580" s="24">
        <f>+Tabla2[[#This Row],[Stock Inventario]]*Tabla2[[#This Row],[Coste LÃ­nea]]</f>
        <v>4609</v>
      </c>
      <c r="M580" s="24">
        <f>+Tabla2[[#This Row],[Variación Stock]]*Tabla2[[#This Row],[Coste LÃ­nea]]</f>
        <v>4581.3459999999995</v>
      </c>
      <c r="N580" s="22" t="str">
        <f>+IF(Tabla2[[#This Row],[Variación Stock]]&gt;0,"Sobrante",IF(Tabla2[[#This Row],[Variación Stock]]&lt;0,"Faltante","Sin novedad"))</f>
        <v>Sobrante</v>
      </c>
    </row>
    <row r="581" spans="1:14" hidden="1" x14ac:dyDescent="0.25">
      <c r="A581" s="11">
        <v>46053</v>
      </c>
      <c r="B581" s="5" t="s">
        <v>972</v>
      </c>
      <c r="C581" s="3" t="s">
        <v>213</v>
      </c>
      <c r="D581" s="5" t="s">
        <v>547</v>
      </c>
      <c r="E581" s="5" t="s">
        <v>117</v>
      </c>
      <c r="F581" s="6" t="s">
        <v>555</v>
      </c>
      <c r="G581" s="4" t="s">
        <v>1</v>
      </c>
      <c r="H581" s="25">
        <v>4.609</v>
      </c>
      <c r="I581" s="8">
        <v>11996.6667</v>
      </c>
      <c r="J581" s="9">
        <v>4200</v>
      </c>
      <c r="K581" s="7">
        <v>-7796.6666699999996</v>
      </c>
      <c r="L581" s="24">
        <f>+Tabla2[[#This Row],[Stock Inventario]]*Tabla2[[#This Row],[Coste LÃ­nea]]</f>
        <v>19357.8</v>
      </c>
      <c r="M581" s="24">
        <f>+Tabla2[[#This Row],[Variación Stock]]*Tabla2[[#This Row],[Coste LÃ­nea]]</f>
        <v>-35934.83668203</v>
      </c>
      <c r="N581" s="22" t="str">
        <f>+IF(Tabla2[[#This Row],[Variación Stock]]&gt;0,"Sobrante",IF(Tabla2[[#This Row],[Variación Stock]]&lt;0,"Faltante","Sin novedad"))</f>
        <v>Faltante</v>
      </c>
    </row>
    <row r="582" spans="1:14" hidden="1" x14ac:dyDescent="0.25">
      <c r="A582" s="11">
        <v>46053</v>
      </c>
      <c r="B582" s="5" t="s">
        <v>972</v>
      </c>
      <c r="C582" s="3" t="s">
        <v>213</v>
      </c>
      <c r="D582" s="5" t="s">
        <v>471</v>
      </c>
      <c r="E582" s="5" t="s">
        <v>117</v>
      </c>
      <c r="F582" s="6" t="s">
        <v>868</v>
      </c>
      <c r="G582" s="4" t="s">
        <v>1</v>
      </c>
      <c r="H582" s="25">
        <v>5.5</v>
      </c>
      <c r="I582" s="8">
        <v>-499.99990000000003</v>
      </c>
      <c r="J582" s="9">
        <v>0</v>
      </c>
      <c r="K582" s="7">
        <v>499.99993000000001</v>
      </c>
      <c r="L582" s="24">
        <f>+Tabla2[[#This Row],[Stock Inventario]]*Tabla2[[#This Row],[Coste LÃ­nea]]</f>
        <v>0</v>
      </c>
      <c r="M582" s="24">
        <f>+Tabla2[[#This Row],[Variación Stock]]*Tabla2[[#This Row],[Coste LÃ­nea]]</f>
        <v>2749.9996150000002</v>
      </c>
      <c r="N582" s="22" t="str">
        <f>+IF(Tabla2[[#This Row],[Variación Stock]]&gt;0,"Sobrante",IF(Tabla2[[#This Row],[Variación Stock]]&lt;0,"Faltante","Sin novedad"))</f>
        <v>Sobrante</v>
      </c>
    </row>
    <row r="583" spans="1:14" hidden="1" x14ac:dyDescent="0.25">
      <c r="A583" s="11">
        <v>46053</v>
      </c>
      <c r="B583" s="5" t="s">
        <v>972</v>
      </c>
      <c r="C583" s="3" t="s">
        <v>213</v>
      </c>
      <c r="D583" s="5" t="s">
        <v>471</v>
      </c>
      <c r="E583" s="5" t="s">
        <v>117</v>
      </c>
      <c r="F583" s="6" t="s">
        <v>508</v>
      </c>
      <c r="G583" s="4" t="s">
        <v>1</v>
      </c>
      <c r="H583" s="25">
        <v>5.5</v>
      </c>
      <c r="I583" s="8">
        <v>9212.7484999999997</v>
      </c>
      <c r="J583" s="9">
        <v>3500</v>
      </c>
      <c r="K583" s="7">
        <v>-5712.7485115999998</v>
      </c>
      <c r="L583" s="24">
        <f>+Tabla2[[#This Row],[Stock Inventario]]*Tabla2[[#This Row],[Coste LÃ­nea]]</f>
        <v>19250</v>
      </c>
      <c r="M583" s="24">
        <f>+Tabla2[[#This Row],[Variación Stock]]*Tabla2[[#This Row],[Coste LÃ­nea]]</f>
        <v>-31420.116813799999</v>
      </c>
      <c r="N583" s="22" t="str">
        <f>+IF(Tabla2[[#This Row],[Variación Stock]]&gt;0,"Sobrante",IF(Tabla2[[#This Row],[Variación Stock]]&lt;0,"Faltante","Sin novedad"))</f>
        <v>Faltante</v>
      </c>
    </row>
    <row r="584" spans="1:14" x14ac:dyDescent="0.25">
      <c r="A584" s="11">
        <v>46053</v>
      </c>
      <c r="B584" s="5" t="s">
        <v>972</v>
      </c>
      <c r="C584" s="3" t="s">
        <v>213</v>
      </c>
      <c r="D584" s="5" t="s">
        <v>121</v>
      </c>
      <c r="E584" s="5" t="s">
        <v>112</v>
      </c>
      <c r="F584" s="6" t="s">
        <v>793</v>
      </c>
      <c r="G584" s="4" t="s">
        <v>1</v>
      </c>
      <c r="H584" s="25">
        <v>54.742355779999997</v>
      </c>
      <c r="I584" s="8">
        <v>-4</v>
      </c>
      <c r="J584" s="9">
        <v>0</v>
      </c>
      <c r="K584" s="7">
        <v>4</v>
      </c>
      <c r="L584" s="24">
        <f>+Tabla2[[#This Row],[Stock Inventario]]*Tabla2[[#This Row],[Coste LÃ­nea]]</f>
        <v>0</v>
      </c>
      <c r="M584" s="24">
        <f>+Tabla2[[#This Row],[Variación Stock]]*Tabla2[[#This Row],[Coste LÃ­nea]]</f>
        <v>218.96942311999999</v>
      </c>
      <c r="N584" s="22" t="str">
        <f>+IF(Tabla2[[#This Row],[Variación Stock]]&gt;0,"Sobrante",IF(Tabla2[[#This Row],[Variación Stock]]&lt;0,"Faltante","Sin novedad"))</f>
        <v>Sobrante</v>
      </c>
    </row>
    <row r="585" spans="1:14" x14ac:dyDescent="0.25">
      <c r="A585" s="11">
        <v>46053</v>
      </c>
      <c r="B585" s="5" t="s">
        <v>972</v>
      </c>
      <c r="C585" s="3" t="s">
        <v>213</v>
      </c>
      <c r="D585" s="5" t="s">
        <v>121</v>
      </c>
      <c r="E585" s="5" t="s">
        <v>112</v>
      </c>
      <c r="F585" s="6" t="s">
        <v>357</v>
      </c>
      <c r="G585" s="4" t="s">
        <v>1</v>
      </c>
      <c r="H585" s="25">
        <v>85.424136300000001</v>
      </c>
      <c r="I585" s="8">
        <v>62</v>
      </c>
      <c r="J585" s="9">
        <v>1310</v>
      </c>
      <c r="K585" s="7">
        <v>1248</v>
      </c>
      <c r="L585" s="24">
        <f>+Tabla2[[#This Row],[Stock Inventario]]*Tabla2[[#This Row],[Coste LÃ­nea]]</f>
        <v>111905.61855300001</v>
      </c>
      <c r="M585" s="24">
        <f>+Tabla2[[#This Row],[Variación Stock]]*Tabla2[[#This Row],[Coste LÃ­nea]]</f>
        <v>106609.32210239999</v>
      </c>
      <c r="N585" s="22" t="str">
        <f>+IF(Tabla2[[#This Row],[Variación Stock]]&gt;0,"Sobrante",IF(Tabla2[[#This Row],[Variación Stock]]&lt;0,"Faltante","Sin novedad"))</f>
        <v>Sobrante</v>
      </c>
    </row>
    <row r="586" spans="1:14" x14ac:dyDescent="0.25">
      <c r="A586" s="11">
        <v>46053</v>
      </c>
      <c r="B586" s="5" t="s">
        <v>972</v>
      </c>
      <c r="C586" s="3" t="s">
        <v>213</v>
      </c>
      <c r="D586" s="5" t="s">
        <v>121</v>
      </c>
      <c r="E586" s="5" t="s">
        <v>112</v>
      </c>
      <c r="F586" s="6" t="s">
        <v>795</v>
      </c>
      <c r="G586" s="4" t="s">
        <v>1</v>
      </c>
      <c r="H586" s="25">
        <v>53.273249999999997</v>
      </c>
      <c r="I586" s="8">
        <v>-72</v>
      </c>
      <c r="J586" s="9">
        <v>0</v>
      </c>
      <c r="K586" s="7">
        <v>72</v>
      </c>
      <c r="L586" s="24">
        <f>+Tabla2[[#This Row],[Stock Inventario]]*Tabla2[[#This Row],[Coste LÃ­nea]]</f>
        <v>0</v>
      </c>
      <c r="M586" s="24">
        <f>+Tabla2[[#This Row],[Variación Stock]]*Tabla2[[#This Row],[Coste LÃ­nea]]</f>
        <v>3835.674</v>
      </c>
      <c r="N586" s="22" t="str">
        <f>+IF(Tabla2[[#This Row],[Variación Stock]]&gt;0,"Sobrante",IF(Tabla2[[#This Row],[Variación Stock]]&lt;0,"Faltante","Sin novedad"))</f>
        <v>Sobrante</v>
      </c>
    </row>
    <row r="587" spans="1:14" x14ac:dyDescent="0.25">
      <c r="A587" s="11">
        <v>46053</v>
      </c>
      <c r="B587" s="5" t="s">
        <v>972</v>
      </c>
      <c r="C587" s="3" t="s">
        <v>213</v>
      </c>
      <c r="D587" s="5" t="s">
        <v>121</v>
      </c>
      <c r="E587" s="5" t="s">
        <v>112</v>
      </c>
      <c r="F587" s="6" t="s">
        <v>796</v>
      </c>
      <c r="G587" s="4" t="s">
        <v>1</v>
      </c>
      <c r="H587" s="25">
        <v>82.105034309999994</v>
      </c>
      <c r="I587" s="8">
        <v>-8</v>
      </c>
      <c r="J587" s="9">
        <v>0</v>
      </c>
      <c r="K587" s="7">
        <v>8</v>
      </c>
      <c r="L587" s="24">
        <f>+Tabla2[[#This Row],[Stock Inventario]]*Tabla2[[#This Row],[Coste LÃ­nea]]</f>
        <v>0</v>
      </c>
      <c r="M587" s="24">
        <f>+Tabla2[[#This Row],[Variación Stock]]*Tabla2[[#This Row],[Coste LÃ­nea]]</f>
        <v>656.84027447999995</v>
      </c>
      <c r="N587" s="22" t="str">
        <f>+IF(Tabla2[[#This Row],[Variación Stock]]&gt;0,"Sobrante",IF(Tabla2[[#This Row],[Variación Stock]]&lt;0,"Faltante","Sin novedad"))</f>
        <v>Sobrante</v>
      </c>
    </row>
    <row r="588" spans="1:14" hidden="1" x14ac:dyDescent="0.25">
      <c r="A588" s="11">
        <v>46053</v>
      </c>
      <c r="B588" s="5" t="s">
        <v>972</v>
      </c>
      <c r="C588" s="3" t="s">
        <v>213</v>
      </c>
      <c r="D588" s="5" t="s">
        <v>471</v>
      </c>
      <c r="E588" s="5" t="s">
        <v>117</v>
      </c>
      <c r="F588" s="6" t="s">
        <v>544</v>
      </c>
      <c r="G588" s="4" t="s">
        <v>1</v>
      </c>
      <c r="H588" s="25">
        <v>4.5</v>
      </c>
      <c r="I588" s="8">
        <v>-16343.067499999999</v>
      </c>
      <c r="J588" s="9">
        <v>1000</v>
      </c>
      <c r="K588" s="7">
        <v>17343.067514999999</v>
      </c>
      <c r="L588" s="24">
        <f>+Tabla2[[#This Row],[Stock Inventario]]*Tabla2[[#This Row],[Coste LÃ­nea]]</f>
        <v>4500</v>
      </c>
      <c r="M588" s="24">
        <f>+Tabla2[[#This Row],[Variación Stock]]*Tabla2[[#This Row],[Coste LÃ­nea]]</f>
        <v>78043.803817499997</v>
      </c>
      <c r="N588" s="22" t="str">
        <f>+IF(Tabla2[[#This Row],[Variación Stock]]&gt;0,"Sobrante",IF(Tabla2[[#This Row],[Variación Stock]]&lt;0,"Faltante","Sin novedad"))</f>
        <v>Sobrante</v>
      </c>
    </row>
    <row r="589" spans="1:14" hidden="1" x14ac:dyDescent="0.25">
      <c r="A589" s="11">
        <v>46053</v>
      </c>
      <c r="B589" s="5" t="s">
        <v>972</v>
      </c>
      <c r="C589" s="3" t="s">
        <v>213</v>
      </c>
      <c r="D589" s="5" t="s">
        <v>626</v>
      </c>
      <c r="E589" s="5" t="s">
        <v>1079</v>
      </c>
      <c r="F589" s="6" t="s">
        <v>659</v>
      </c>
      <c r="G589" s="4" t="s">
        <v>2</v>
      </c>
      <c r="H589" s="25">
        <v>20657.5</v>
      </c>
      <c r="I589" s="8">
        <v>5</v>
      </c>
      <c r="J589" s="9">
        <v>1</v>
      </c>
      <c r="K589" s="7">
        <v>-4</v>
      </c>
      <c r="L589" s="24">
        <f>+Tabla2[[#This Row],[Stock Inventario]]*Tabla2[[#This Row],[Coste LÃ­nea]]</f>
        <v>20657.5</v>
      </c>
      <c r="M589" s="24">
        <f>+Tabla2[[#This Row],[Variación Stock]]*Tabla2[[#This Row],[Coste LÃ­nea]]</f>
        <v>-82630</v>
      </c>
      <c r="N589" s="22" t="str">
        <f>+IF(Tabla2[[#This Row],[Variación Stock]]&gt;0,"Sobrante",IF(Tabla2[[#This Row],[Variación Stock]]&lt;0,"Faltante","Sin novedad"))</f>
        <v>Faltante</v>
      </c>
    </row>
    <row r="590" spans="1:14" hidden="1" x14ac:dyDescent="0.25">
      <c r="A590" s="11">
        <v>46053</v>
      </c>
      <c r="B590" s="5" t="s">
        <v>972</v>
      </c>
      <c r="C590" s="3" t="s">
        <v>213</v>
      </c>
      <c r="D590" s="5" t="s">
        <v>626</v>
      </c>
      <c r="E590" s="5" t="s">
        <v>1079</v>
      </c>
      <c r="F590" s="6" t="s">
        <v>673</v>
      </c>
      <c r="G590" s="4" t="s">
        <v>2</v>
      </c>
      <c r="H590" s="25">
        <v>12941.176470599999</v>
      </c>
      <c r="I590" s="8">
        <v>5605</v>
      </c>
      <c r="J590" s="9">
        <v>2</v>
      </c>
      <c r="K590" s="7">
        <v>-5603</v>
      </c>
      <c r="L590" s="24">
        <f>+Tabla2[[#This Row],[Stock Inventario]]*Tabla2[[#This Row],[Coste LÃ­nea]]</f>
        <v>25882.352941199999</v>
      </c>
      <c r="M590" s="24">
        <f>+Tabla2[[#This Row],[Variación Stock]]*Tabla2[[#This Row],[Coste LÃ­nea]]</f>
        <v>-72509411.764771804</v>
      </c>
      <c r="N590" s="22" t="str">
        <f>+IF(Tabla2[[#This Row],[Variación Stock]]&gt;0,"Sobrante",IF(Tabla2[[#This Row],[Variación Stock]]&lt;0,"Faltante","Sin novedad"))</f>
        <v>Faltante</v>
      </c>
    </row>
    <row r="591" spans="1:14" hidden="1" x14ac:dyDescent="0.25">
      <c r="A591" s="11">
        <v>46053</v>
      </c>
      <c r="B591" s="5" t="s">
        <v>972</v>
      </c>
      <c r="C591" s="3" t="s">
        <v>213</v>
      </c>
      <c r="D591" s="5" t="s">
        <v>626</v>
      </c>
      <c r="E591" s="5" t="s">
        <v>1079</v>
      </c>
      <c r="F591" s="6" t="s">
        <v>660</v>
      </c>
      <c r="G591" s="4" t="s">
        <v>2</v>
      </c>
      <c r="H591" s="25">
        <v>36999.5</v>
      </c>
      <c r="I591" s="8">
        <v>14</v>
      </c>
      <c r="J591" s="9">
        <v>0</v>
      </c>
      <c r="K591" s="7">
        <v>-14</v>
      </c>
      <c r="L591" s="24">
        <f>+Tabla2[[#This Row],[Stock Inventario]]*Tabla2[[#This Row],[Coste LÃ­nea]]</f>
        <v>0</v>
      </c>
      <c r="M591" s="24">
        <f>+Tabla2[[#This Row],[Variación Stock]]*Tabla2[[#This Row],[Coste LÃ­nea]]</f>
        <v>-517993</v>
      </c>
      <c r="N591" s="22" t="str">
        <f>+IF(Tabla2[[#This Row],[Variación Stock]]&gt;0,"Sobrante",IF(Tabla2[[#This Row],[Variación Stock]]&lt;0,"Faltante","Sin novedad"))</f>
        <v>Faltante</v>
      </c>
    </row>
    <row r="592" spans="1:14" hidden="1" x14ac:dyDescent="0.25">
      <c r="A592" s="11">
        <v>46053</v>
      </c>
      <c r="B592" s="5" t="s">
        <v>972</v>
      </c>
      <c r="C592" s="3" t="s">
        <v>213</v>
      </c>
      <c r="D592" s="5" t="s">
        <v>626</v>
      </c>
      <c r="E592" s="5" t="s">
        <v>1079</v>
      </c>
      <c r="F592" s="6" t="s">
        <v>661</v>
      </c>
      <c r="G592" s="4" t="s">
        <v>2</v>
      </c>
      <c r="H592" s="25">
        <v>76559</v>
      </c>
      <c r="I592" s="8">
        <v>0</v>
      </c>
      <c r="J592" s="9">
        <v>1</v>
      </c>
      <c r="K592" s="7">
        <v>1</v>
      </c>
      <c r="L592" s="24">
        <f>+Tabla2[[#This Row],[Stock Inventario]]*Tabla2[[#This Row],[Coste LÃ­nea]]</f>
        <v>76559</v>
      </c>
      <c r="M592" s="24">
        <f>+Tabla2[[#This Row],[Variación Stock]]*Tabla2[[#This Row],[Coste LÃ­nea]]</f>
        <v>76559</v>
      </c>
      <c r="N592" s="22" t="str">
        <f>+IF(Tabla2[[#This Row],[Variación Stock]]&gt;0,"Sobrante",IF(Tabla2[[#This Row],[Variación Stock]]&lt;0,"Faltante","Sin novedad"))</f>
        <v>Sobrante</v>
      </c>
    </row>
    <row r="593" spans="1:14" hidden="1" x14ac:dyDescent="0.25">
      <c r="A593" s="11">
        <v>46053</v>
      </c>
      <c r="B593" s="5" t="s">
        <v>972</v>
      </c>
      <c r="C593" s="3" t="s">
        <v>213</v>
      </c>
      <c r="D593" s="5" t="s">
        <v>818</v>
      </c>
      <c r="E593" s="5" t="s">
        <v>117</v>
      </c>
      <c r="F593" s="6" t="s">
        <v>823</v>
      </c>
      <c r="G593" s="4" t="s">
        <v>1</v>
      </c>
      <c r="H593" s="25">
        <v>46.669166670000003</v>
      </c>
      <c r="I593" s="8">
        <v>5010</v>
      </c>
      <c r="J593" s="9">
        <v>3315</v>
      </c>
      <c r="K593" s="7">
        <v>-1695</v>
      </c>
      <c r="L593" s="24">
        <f>+Tabla2[[#This Row],[Stock Inventario]]*Tabla2[[#This Row],[Coste LÃ­nea]]</f>
        <v>154708.28751105</v>
      </c>
      <c r="M593" s="24">
        <f>+Tabla2[[#This Row],[Variación Stock]]*Tabla2[[#This Row],[Coste LÃ­nea]]</f>
        <v>-79104.237505650002</v>
      </c>
      <c r="N593" s="22" t="str">
        <f>+IF(Tabla2[[#This Row],[Variación Stock]]&gt;0,"Sobrante",IF(Tabla2[[#This Row],[Variación Stock]]&lt;0,"Faltante","Sin novedad"))</f>
        <v>Faltante</v>
      </c>
    </row>
    <row r="594" spans="1:14" x14ac:dyDescent="0.25">
      <c r="A594" s="11">
        <v>46053</v>
      </c>
      <c r="B594" s="5" t="s">
        <v>972</v>
      </c>
      <c r="C594" s="3" t="s">
        <v>213</v>
      </c>
      <c r="D594" s="5" t="s">
        <v>121</v>
      </c>
      <c r="E594" s="5" t="s">
        <v>112</v>
      </c>
      <c r="F594" s="6" t="s">
        <v>1062</v>
      </c>
      <c r="G594" s="4" t="s">
        <v>1</v>
      </c>
      <c r="H594" s="25">
        <v>16.73231964</v>
      </c>
      <c r="I594" s="8">
        <v>0</v>
      </c>
      <c r="J594" s="9">
        <v>0</v>
      </c>
      <c r="K594" s="7">
        <v>0</v>
      </c>
      <c r="L594" s="24">
        <f>+Tabla2[[#This Row],[Stock Inventario]]*Tabla2[[#This Row],[Coste LÃ­nea]]</f>
        <v>0</v>
      </c>
      <c r="M594" s="24">
        <f>+Tabla2[[#This Row],[Variación Stock]]*Tabla2[[#This Row],[Coste LÃ­nea]]</f>
        <v>0</v>
      </c>
      <c r="N594" s="22" t="str">
        <f>+IF(Tabla2[[#This Row],[Variación Stock]]&gt;0,"Sobrante",IF(Tabla2[[#This Row],[Variación Stock]]&lt;0,"Faltante","Sin novedad"))</f>
        <v>Sin novedad</v>
      </c>
    </row>
    <row r="595" spans="1:14" x14ac:dyDescent="0.25">
      <c r="A595" s="11">
        <v>46053</v>
      </c>
      <c r="B595" s="5" t="s">
        <v>972</v>
      </c>
      <c r="C595" s="3" t="s">
        <v>213</v>
      </c>
      <c r="D595" s="5" t="s">
        <v>121</v>
      </c>
      <c r="E595" s="5" t="s">
        <v>112</v>
      </c>
      <c r="F595" s="6" t="s">
        <v>797</v>
      </c>
      <c r="G595" s="4" t="s">
        <v>1</v>
      </c>
      <c r="H595" s="25">
        <v>10.599627910000001</v>
      </c>
      <c r="I595" s="8">
        <v>-87</v>
      </c>
      <c r="J595" s="9">
        <v>0</v>
      </c>
      <c r="K595" s="7">
        <v>87</v>
      </c>
      <c r="L595" s="24">
        <f>+Tabla2[[#This Row],[Stock Inventario]]*Tabla2[[#This Row],[Coste LÃ­nea]]</f>
        <v>0</v>
      </c>
      <c r="M595" s="24">
        <f>+Tabla2[[#This Row],[Variación Stock]]*Tabla2[[#This Row],[Coste LÃ­nea]]</f>
        <v>922.16762817000006</v>
      </c>
      <c r="N595" s="22" t="str">
        <f>+IF(Tabla2[[#This Row],[Variación Stock]]&gt;0,"Sobrante",IF(Tabla2[[#This Row],[Variación Stock]]&lt;0,"Faltante","Sin novedad"))</f>
        <v>Sobrante</v>
      </c>
    </row>
    <row r="596" spans="1:14" x14ac:dyDescent="0.25">
      <c r="A596" s="11">
        <v>46053</v>
      </c>
      <c r="B596" s="5" t="s">
        <v>972</v>
      </c>
      <c r="C596" s="3" t="s">
        <v>213</v>
      </c>
      <c r="D596" s="5" t="s">
        <v>121</v>
      </c>
      <c r="E596" s="5" t="s">
        <v>112</v>
      </c>
      <c r="F596" s="6" t="s">
        <v>799</v>
      </c>
      <c r="G596" s="4" t="s">
        <v>1</v>
      </c>
      <c r="H596" s="25">
        <v>44.979917219999997</v>
      </c>
      <c r="I596" s="8">
        <v>-11479</v>
      </c>
      <c r="J596" s="9">
        <v>0</v>
      </c>
      <c r="K596" s="7">
        <v>11479</v>
      </c>
      <c r="L596" s="24">
        <f>+Tabla2[[#This Row],[Stock Inventario]]*Tabla2[[#This Row],[Coste LÃ­nea]]</f>
        <v>0</v>
      </c>
      <c r="M596" s="24">
        <f>+Tabla2[[#This Row],[Variación Stock]]*Tabla2[[#This Row],[Coste LÃ­nea]]</f>
        <v>516324.46976837999</v>
      </c>
      <c r="N596" s="22" t="str">
        <f>+IF(Tabla2[[#This Row],[Variación Stock]]&gt;0,"Sobrante",IF(Tabla2[[#This Row],[Variación Stock]]&lt;0,"Faltante","Sin novedad"))</f>
        <v>Sobrante</v>
      </c>
    </row>
    <row r="597" spans="1:14" hidden="1" x14ac:dyDescent="0.25">
      <c r="A597" s="11">
        <v>46053</v>
      </c>
      <c r="B597" s="5" t="s">
        <v>972</v>
      </c>
      <c r="C597" s="3" t="s">
        <v>213</v>
      </c>
      <c r="D597" s="5" t="s">
        <v>471</v>
      </c>
      <c r="E597" s="5" t="s">
        <v>117</v>
      </c>
      <c r="F597" s="6" t="s">
        <v>512</v>
      </c>
      <c r="G597" s="4" t="s">
        <v>1</v>
      </c>
      <c r="H597" s="25">
        <v>6.8</v>
      </c>
      <c r="I597" s="8">
        <v>-13989.2202</v>
      </c>
      <c r="J597" s="9">
        <v>0</v>
      </c>
      <c r="K597" s="7">
        <v>13989.220224999999</v>
      </c>
      <c r="L597" s="24">
        <f>+Tabla2[[#This Row],[Stock Inventario]]*Tabla2[[#This Row],[Coste LÃ­nea]]</f>
        <v>0</v>
      </c>
      <c r="M597" s="24">
        <f>+Tabla2[[#This Row],[Variación Stock]]*Tabla2[[#This Row],[Coste LÃ­nea]]</f>
        <v>95126.69752999999</v>
      </c>
      <c r="N597" s="22" t="str">
        <f>+IF(Tabla2[[#This Row],[Variación Stock]]&gt;0,"Sobrante",IF(Tabla2[[#This Row],[Variación Stock]]&lt;0,"Faltante","Sin novedad"))</f>
        <v>Sobrante</v>
      </c>
    </row>
    <row r="598" spans="1:14" hidden="1" x14ac:dyDescent="0.25">
      <c r="A598" s="11">
        <v>46053</v>
      </c>
      <c r="B598" s="5" t="s">
        <v>972</v>
      </c>
      <c r="C598" s="3" t="s">
        <v>213</v>
      </c>
      <c r="D598" s="5" t="s">
        <v>471</v>
      </c>
      <c r="E598" s="5" t="s">
        <v>117</v>
      </c>
      <c r="F598" s="6" t="s">
        <v>513</v>
      </c>
      <c r="G598" s="4" t="s">
        <v>1</v>
      </c>
      <c r="H598" s="25">
        <v>3.8</v>
      </c>
      <c r="I598" s="8">
        <v>3700</v>
      </c>
      <c r="J598" s="9">
        <v>0</v>
      </c>
      <c r="K598" s="7">
        <v>-3700</v>
      </c>
      <c r="L598" s="24">
        <f>+Tabla2[[#This Row],[Stock Inventario]]*Tabla2[[#This Row],[Coste LÃ­nea]]</f>
        <v>0</v>
      </c>
      <c r="M598" s="24">
        <f>+Tabla2[[#This Row],[Variación Stock]]*Tabla2[[#This Row],[Coste LÃ­nea]]</f>
        <v>-14060</v>
      </c>
      <c r="N598" s="22" t="str">
        <f>+IF(Tabla2[[#This Row],[Variación Stock]]&gt;0,"Sobrante",IF(Tabla2[[#This Row],[Variación Stock]]&lt;0,"Faltante","Sin novedad"))</f>
        <v>Faltante</v>
      </c>
    </row>
    <row r="599" spans="1:14" x14ac:dyDescent="0.25">
      <c r="A599" s="11">
        <v>46053</v>
      </c>
      <c r="B599" s="5" t="s">
        <v>972</v>
      </c>
      <c r="C599" s="3" t="s">
        <v>213</v>
      </c>
      <c r="D599" s="5" t="s">
        <v>121</v>
      </c>
      <c r="E599" s="5" t="s">
        <v>112</v>
      </c>
      <c r="F599" s="6" t="s">
        <v>801</v>
      </c>
      <c r="G599" s="4" t="s">
        <v>1</v>
      </c>
      <c r="H599" s="25">
        <v>15.42857143</v>
      </c>
      <c r="I599" s="8">
        <v>-21340</v>
      </c>
      <c r="J599" s="9">
        <v>4550</v>
      </c>
      <c r="K599" s="7">
        <v>25890</v>
      </c>
      <c r="L599" s="24">
        <f>+Tabla2[[#This Row],[Stock Inventario]]*Tabla2[[#This Row],[Coste LÃ­nea]]</f>
        <v>70200.000006500006</v>
      </c>
      <c r="M599" s="24">
        <f>+Tabla2[[#This Row],[Variación Stock]]*Tabla2[[#This Row],[Coste LÃ­nea]]</f>
        <v>399445.71432269999</v>
      </c>
      <c r="N599" s="22" t="str">
        <f>+IF(Tabla2[[#This Row],[Variación Stock]]&gt;0,"Sobrante",IF(Tabla2[[#This Row],[Variación Stock]]&lt;0,"Faltante","Sin novedad"))</f>
        <v>Sobrante</v>
      </c>
    </row>
    <row r="600" spans="1:14" hidden="1" x14ac:dyDescent="0.25">
      <c r="A600" s="11">
        <v>46053</v>
      </c>
      <c r="B600" s="5" t="s">
        <v>972</v>
      </c>
      <c r="C600" s="3" t="s">
        <v>213</v>
      </c>
      <c r="D600" s="5" t="s">
        <v>547</v>
      </c>
      <c r="E600" s="5" t="s">
        <v>117</v>
      </c>
      <c r="F600" s="6" t="s">
        <v>556</v>
      </c>
      <c r="G600" s="4" t="s">
        <v>1</v>
      </c>
      <c r="H600" s="25">
        <v>34.200000000000003</v>
      </c>
      <c r="I600" s="8">
        <v>4515.5902999999998</v>
      </c>
      <c r="J600" s="9">
        <v>2000</v>
      </c>
      <c r="K600" s="7">
        <v>-2515.59031</v>
      </c>
      <c r="L600" s="24">
        <f>+Tabla2[[#This Row],[Stock Inventario]]*Tabla2[[#This Row],[Coste LÃ­nea]]</f>
        <v>68400</v>
      </c>
      <c r="M600" s="24">
        <f>+Tabla2[[#This Row],[Variación Stock]]*Tabla2[[#This Row],[Coste LÃ­nea]]</f>
        <v>-86033.188602000009</v>
      </c>
      <c r="N600" s="22" t="str">
        <f>+IF(Tabla2[[#This Row],[Variación Stock]]&gt;0,"Sobrante",IF(Tabla2[[#This Row],[Variación Stock]]&lt;0,"Faltante","Sin novedad"))</f>
        <v>Faltante</v>
      </c>
    </row>
    <row r="601" spans="1:14" x14ac:dyDescent="0.25">
      <c r="A601" s="11">
        <v>46053</v>
      </c>
      <c r="B601" s="5" t="s">
        <v>972</v>
      </c>
      <c r="C601" s="3" t="s">
        <v>213</v>
      </c>
      <c r="D601" s="5" t="s">
        <v>603</v>
      </c>
      <c r="E601" s="5" t="s">
        <v>112</v>
      </c>
      <c r="F601" s="6" t="s">
        <v>1025</v>
      </c>
      <c r="G601" s="4" t="s">
        <v>1</v>
      </c>
      <c r="H601" s="25">
        <v>1738.90909091</v>
      </c>
      <c r="I601" s="8">
        <v>-34.039499999999997</v>
      </c>
      <c r="J601" s="9">
        <v>0</v>
      </c>
      <c r="K601" s="7">
        <v>34.039520000000003</v>
      </c>
      <c r="L601" s="24">
        <f>+Tabla2[[#This Row],[Stock Inventario]]*Tabla2[[#This Row],[Coste LÃ­nea]]</f>
        <v>0</v>
      </c>
      <c r="M601" s="24">
        <f>+Tabla2[[#This Row],[Variación Stock]]*Tabla2[[#This Row],[Coste LÃ­nea]]</f>
        <v>59191.63077821277</v>
      </c>
      <c r="N601" s="22" t="str">
        <f>+IF(Tabla2[[#This Row],[Variación Stock]]&gt;0,"Sobrante",IF(Tabla2[[#This Row],[Variación Stock]]&lt;0,"Faltante","Sin novedad"))</f>
        <v>Sobrante</v>
      </c>
    </row>
    <row r="602" spans="1:14" x14ac:dyDescent="0.25">
      <c r="A602" s="11">
        <v>46053</v>
      </c>
      <c r="B602" s="5" t="s">
        <v>972</v>
      </c>
      <c r="C602" s="3" t="s">
        <v>213</v>
      </c>
      <c r="D602" s="5" t="s">
        <v>603</v>
      </c>
      <c r="E602" s="5" t="s">
        <v>112</v>
      </c>
      <c r="F602" s="6" t="s">
        <v>615</v>
      </c>
      <c r="G602" s="4" t="s">
        <v>0</v>
      </c>
      <c r="H602" s="25">
        <v>1738.90909091</v>
      </c>
      <c r="I602" s="8">
        <v>10043.5</v>
      </c>
      <c r="J602" s="9">
        <v>264</v>
      </c>
      <c r="K602" s="7">
        <v>-9779.5</v>
      </c>
      <c r="L602" s="24">
        <f>+Tabla2[[#This Row],[Stock Inventario]]*Tabla2[[#This Row],[Coste LÃ­nea]]</f>
        <v>459072.00000023999</v>
      </c>
      <c r="M602" s="24">
        <f>+Tabla2[[#This Row],[Variación Stock]]*Tabla2[[#This Row],[Coste LÃ­nea]]</f>
        <v>-17005661.454554345</v>
      </c>
      <c r="N602" s="22" t="str">
        <f>+IF(Tabla2[[#This Row],[Variación Stock]]&gt;0,"Sobrante",IF(Tabla2[[#This Row],[Variación Stock]]&lt;0,"Faltante","Sin novedad"))</f>
        <v>Faltante</v>
      </c>
    </row>
    <row r="603" spans="1:14" hidden="1" x14ac:dyDescent="0.25">
      <c r="A603" s="11">
        <v>46053</v>
      </c>
      <c r="B603" s="5" t="s">
        <v>972</v>
      </c>
      <c r="C603" s="3" t="s">
        <v>213</v>
      </c>
      <c r="D603" s="5" t="s">
        <v>471</v>
      </c>
      <c r="E603" s="5" t="s">
        <v>117</v>
      </c>
      <c r="F603" s="6" t="s">
        <v>869</v>
      </c>
      <c r="G603" s="4" t="s">
        <v>1</v>
      </c>
      <c r="H603" s="25">
        <v>10.199999999999999</v>
      </c>
      <c r="I603" s="8">
        <v>290</v>
      </c>
      <c r="J603" s="9">
        <v>0</v>
      </c>
      <c r="K603" s="7">
        <v>-290</v>
      </c>
      <c r="L603" s="24">
        <f>+Tabla2[[#This Row],[Stock Inventario]]*Tabla2[[#This Row],[Coste LÃ­nea]]</f>
        <v>0</v>
      </c>
      <c r="M603" s="24">
        <f>+Tabla2[[#This Row],[Variación Stock]]*Tabla2[[#This Row],[Coste LÃ­nea]]</f>
        <v>-2958</v>
      </c>
      <c r="N603" s="22" t="str">
        <f>+IF(Tabla2[[#This Row],[Variación Stock]]&gt;0,"Sobrante",IF(Tabla2[[#This Row],[Variación Stock]]&lt;0,"Faltante","Sin novedad"))</f>
        <v>Faltante</v>
      </c>
    </row>
    <row r="604" spans="1:14" hidden="1" x14ac:dyDescent="0.25">
      <c r="A604" s="11">
        <v>46053</v>
      </c>
      <c r="B604" s="5" t="s">
        <v>972</v>
      </c>
      <c r="C604" s="3" t="s">
        <v>213</v>
      </c>
      <c r="D604" s="5" t="s">
        <v>396</v>
      </c>
      <c r="E604" s="5" t="s">
        <v>117</v>
      </c>
      <c r="F604" s="6" t="s">
        <v>989</v>
      </c>
      <c r="G604" s="4" t="s">
        <v>1</v>
      </c>
      <c r="H604" s="25">
        <v>24.541410259999999</v>
      </c>
      <c r="I604" s="8">
        <v>20860</v>
      </c>
      <c r="J604" s="9">
        <v>8400</v>
      </c>
      <c r="K604" s="7">
        <v>-12460</v>
      </c>
      <c r="L604" s="24">
        <f>+Tabla2[[#This Row],[Stock Inventario]]*Tabla2[[#This Row],[Coste LÃ­nea]]</f>
        <v>206147.84618399999</v>
      </c>
      <c r="M604" s="24">
        <f>+Tabla2[[#This Row],[Variación Stock]]*Tabla2[[#This Row],[Coste LÃ­nea]]</f>
        <v>-305785.97183960001</v>
      </c>
      <c r="N604" s="22" t="str">
        <f>+IF(Tabla2[[#This Row],[Variación Stock]]&gt;0,"Sobrante",IF(Tabla2[[#This Row],[Variación Stock]]&lt;0,"Faltante","Sin novedad"))</f>
        <v>Faltante</v>
      </c>
    </row>
    <row r="605" spans="1:14" hidden="1" x14ac:dyDescent="0.25">
      <c r="A605" s="11">
        <v>46053</v>
      </c>
      <c r="B605" s="5" t="s">
        <v>972</v>
      </c>
      <c r="C605" s="3" t="s">
        <v>213</v>
      </c>
      <c r="D605" s="5" t="s">
        <v>803</v>
      </c>
      <c r="E605" s="5" t="s">
        <v>117</v>
      </c>
      <c r="F605" s="6" t="s">
        <v>1067</v>
      </c>
      <c r="G605" s="4" t="s">
        <v>1</v>
      </c>
      <c r="H605" s="25">
        <v>25.652797620000001</v>
      </c>
      <c r="I605" s="8">
        <v>15000</v>
      </c>
      <c r="J605" s="9">
        <v>12100</v>
      </c>
      <c r="K605" s="7">
        <v>-2900</v>
      </c>
      <c r="L605" s="24">
        <f>+Tabla2[[#This Row],[Stock Inventario]]*Tabla2[[#This Row],[Coste LÃ­nea]]</f>
        <v>310398.85120199999</v>
      </c>
      <c r="M605" s="24">
        <f>+Tabla2[[#This Row],[Variación Stock]]*Tabla2[[#This Row],[Coste LÃ­nea]]</f>
        <v>-74393.113098000002</v>
      </c>
      <c r="N605" s="22" t="str">
        <f>+IF(Tabla2[[#This Row],[Variación Stock]]&gt;0,"Sobrante",IF(Tabla2[[#This Row],[Variación Stock]]&lt;0,"Faltante","Sin novedad"))</f>
        <v>Faltante</v>
      </c>
    </row>
    <row r="606" spans="1:14" hidden="1" x14ac:dyDescent="0.25">
      <c r="A606" s="11">
        <v>46053</v>
      </c>
      <c r="B606" s="5" t="s">
        <v>972</v>
      </c>
      <c r="C606" s="3" t="s">
        <v>213</v>
      </c>
      <c r="D606" s="5" t="s">
        <v>471</v>
      </c>
      <c r="E606" s="5" t="s">
        <v>117</v>
      </c>
      <c r="F606" s="6" t="s">
        <v>515</v>
      </c>
      <c r="G606" s="4" t="s">
        <v>1</v>
      </c>
      <c r="H606" s="25">
        <v>6</v>
      </c>
      <c r="I606" s="8">
        <v>6700</v>
      </c>
      <c r="J606" s="9">
        <v>3000</v>
      </c>
      <c r="K606" s="7">
        <v>-3700</v>
      </c>
      <c r="L606" s="24">
        <f>+Tabla2[[#This Row],[Stock Inventario]]*Tabla2[[#This Row],[Coste LÃ­nea]]</f>
        <v>18000</v>
      </c>
      <c r="M606" s="24">
        <f>+Tabla2[[#This Row],[Variación Stock]]*Tabla2[[#This Row],[Coste LÃ­nea]]</f>
        <v>-22200</v>
      </c>
      <c r="N606" s="22" t="str">
        <f>+IF(Tabla2[[#This Row],[Variación Stock]]&gt;0,"Sobrante",IF(Tabla2[[#This Row],[Variación Stock]]&lt;0,"Faltante","Sin novedad"))</f>
        <v>Faltante</v>
      </c>
    </row>
    <row r="607" spans="1:14" hidden="1" x14ac:dyDescent="0.25">
      <c r="A607" s="11">
        <v>46053</v>
      </c>
      <c r="B607" s="5" t="s">
        <v>972</v>
      </c>
      <c r="C607" s="3" t="s">
        <v>213</v>
      </c>
      <c r="D607" s="5" t="s">
        <v>547</v>
      </c>
      <c r="E607" s="5" t="s">
        <v>117</v>
      </c>
      <c r="F607" s="6" t="s">
        <v>1009</v>
      </c>
      <c r="G607" s="4" t="s">
        <v>1</v>
      </c>
      <c r="H607" s="25">
        <v>15</v>
      </c>
      <c r="I607" s="8">
        <v>-15977.7258</v>
      </c>
      <c r="J607" s="9">
        <v>7200</v>
      </c>
      <c r="K607" s="7">
        <v>23177.725825000001</v>
      </c>
      <c r="L607" s="24">
        <f>+Tabla2[[#This Row],[Stock Inventario]]*Tabla2[[#This Row],[Coste LÃ­nea]]</f>
        <v>108000</v>
      </c>
      <c r="M607" s="24">
        <f>+Tabla2[[#This Row],[Variación Stock]]*Tabla2[[#This Row],[Coste LÃ­nea]]</f>
        <v>347665.88737500005</v>
      </c>
      <c r="N607" s="22" t="str">
        <f>+IF(Tabla2[[#This Row],[Variación Stock]]&gt;0,"Sobrante",IF(Tabla2[[#This Row],[Variación Stock]]&lt;0,"Faltante","Sin novedad"))</f>
        <v>Sobrante</v>
      </c>
    </row>
    <row r="608" spans="1:14" x14ac:dyDescent="0.25">
      <c r="A608" s="11">
        <v>46037</v>
      </c>
      <c r="B608" s="5" t="s">
        <v>212</v>
      </c>
      <c r="C608" s="3" t="s">
        <v>213</v>
      </c>
      <c r="D608" s="5" t="s">
        <v>111</v>
      </c>
      <c r="E608" s="5" t="s">
        <v>112</v>
      </c>
      <c r="F608" s="6" t="s">
        <v>31</v>
      </c>
      <c r="G608" s="4" t="s">
        <v>0</v>
      </c>
      <c r="H608" s="24">
        <v>6774.5454545499997</v>
      </c>
      <c r="I608" s="8">
        <v>0</v>
      </c>
      <c r="J608" s="9">
        <v>14</v>
      </c>
      <c r="K608" s="7">
        <v>14</v>
      </c>
      <c r="L608" s="24">
        <f>+Tabla2[[#This Row],[Stock Inventario]]*Tabla2[[#This Row],[Coste LÃ­nea]]</f>
        <v>94843.636363700003</v>
      </c>
      <c r="M608" s="24">
        <f>+Tabla2[[#This Row],[Variación Stock]]*Tabla2[[#This Row],[Coste LÃ­nea]]</f>
        <v>94843.636363700003</v>
      </c>
      <c r="N608" s="22" t="str">
        <f>+IF(Tabla2[[#This Row],[Variación Stock]]&gt;0,"Sobrante",IF(Tabla2[[#This Row],[Variación Stock]]&lt;0,"Faltante","Sin novedad"))</f>
        <v>Sobrante</v>
      </c>
    </row>
    <row r="609" spans="1:14" hidden="1" x14ac:dyDescent="0.25">
      <c r="A609" s="11">
        <v>46053</v>
      </c>
      <c r="B609" s="5" t="s">
        <v>972</v>
      </c>
      <c r="C609" s="3" t="s">
        <v>213</v>
      </c>
      <c r="D609" s="5" t="s">
        <v>396</v>
      </c>
      <c r="E609" s="5" t="s">
        <v>117</v>
      </c>
      <c r="F609" s="6" t="s">
        <v>402</v>
      </c>
      <c r="G609" s="4" t="s">
        <v>1</v>
      </c>
      <c r="H609" s="25">
        <v>32</v>
      </c>
      <c r="I609" s="8">
        <v>-1930</v>
      </c>
      <c r="J609" s="9">
        <v>0</v>
      </c>
      <c r="K609" s="7">
        <v>1930</v>
      </c>
      <c r="L609" s="24">
        <f>+Tabla2[[#This Row],[Stock Inventario]]*Tabla2[[#This Row],[Coste LÃ­nea]]</f>
        <v>0</v>
      </c>
      <c r="M609" s="24">
        <f>+Tabla2[[#This Row],[Variación Stock]]*Tabla2[[#This Row],[Coste LÃ­nea]]</f>
        <v>61760</v>
      </c>
      <c r="N609" s="22" t="str">
        <f>+IF(Tabla2[[#This Row],[Variación Stock]]&gt;0,"Sobrante",IF(Tabla2[[#This Row],[Variación Stock]]&lt;0,"Faltante","Sin novedad"))</f>
        <v>Sobrante</v>
      </c>
    </row>
    <row r="610" spans="1:14" hidden="1" x14ac:dyDescent="0.25">
      <c r="A610" s="11">
        <v>46053</v>
      </c>
      <c r="B610" s="5" t="s">
        <v>972</v>
      </c>
      <c r="C610" s="3" t="s">
        <v>213</v>
      </c>
      <c r="D610" s="5" t="s">
        <v>396</v>
      </c>
      <c r="E610" s="5" t="s">
        <v>117</v>
      </c>
      <c r="F610" s="6" t="s">
        <v>442</v>
      </c>
      <c r="G610" s="4" t="s">
        <v>1</v>
      </c>
      <c r="H610" s="25">
        <v>25.4994695</v>
      </c>
      <c r="I610" s="8">
        <v>10931.278700000001</v>
      </c>
      <c r="J610" s="9">
        <v>8240</v>
      </c>
      <c r="K610" s="7">
        <v>-2691.2787400000002</v>
      </c>
      <c r="L610" s="24">
        <f>+Tabla2[[#This Row],[Stock Inventario]]*Tabla2[[#This Row],[Coste LÃ­nea]]</f>
        <v>210115.62867999999</v>
      </c>
      <c r="M610" s="24">
        <f>+Tabla2[[#This Row],[Variación Stock]]*Tabla2[[#This Row],[Coste LÃ­nea]]</f>
        <v>-68626.180146628438</v>
      </c>
      <c r="N610" s="22" t="str">
        <f>+IF(Tabla2[[#This Row],[Variación Stock]]&gt;0,"Sobrante",IF(Tabla2[[#This Row],[Variación Stock]]&lt;0,"Faltante","Sin novedad"))</f>
        <v>Faltante</v>
      </c>
    </row>
    <row r="611" spans="1:14" hidden="1" x14ac:dyDescent="0.25">
      <c r="A611" s="11">
        <v>46053</v>
      </c>
      <c r="B611" s="5" t="s">
        <v>972</v>
      </c>
      <c r="C611" s="3" t="s">
        <v>213</v>
      </c>
      <c r="D611" s="5" t="s">
        <v>471</v>
      </c>
      <c r="E611" s="5" t="s">
        <v>117</v>
      </c>
      <c r="F611" s="6" t="s">
        <v>516</v>
      </c>
      <c r="G611" s="4" t="s">
        <v>1</v>
      </c>
      <c r="H611" s="25">
        <v>5.5</v>
      </c>
      <c r="I611" s="8">
        <v>-1460.0003999999999</v>
      </c>
      <c r="J611" s="9">
        <v>600</v>
      </c>
      <c r="K611" s="7">
        <v>2060.0003999999999</v>
      </c>
      <c r="L611" s="24">
        <f>+Tabla2[[#This Row],[Stock Inventario]]*Tabla2[[#This Row],[Coste LÃ­nea]]</f>
        <v>3300</v>
      </c>
      <c r="M611" s="24">
        <f>+Tabla2[[#This Row],[Variación Stock]]*Tabla2[[#This Row],[Coste LÃ­nea]]</f>
        <v>11330.002199999999</v>
      </c>
      <c r="N611" s="22" t="str">
        <f>+IF(Tabla2[[#This Row],[Variación Stock]]&gt;0,"Sobrante",IF(Tabla2[[#This Row],[Variación Stock]]&lt;0,"Faltante","Sin novedad"))</f>
        <v>Sobrante</v>
      </c>
    </row>
    <row r="612" spans="1:14" hidden="1" x14ac:dyDescent="0.25">
      <c r="A612" s="11">
        <v>46053</v>
      </c>
      <c r="B612" s="5" t="s">
        <v>972</v>
      </c>
      <c r="C612" s="3" t="s">
        <v>213</v>
      </c>
      <c r="D612" s="5" t="s">
        <v>471</v>
      </c>
      <c r="E612" s="5" t="s">
        <v>117</v>
      </c>
      <c r="F612" s="6" t="s">
        <v>472</v>
      </c>
      <c r="G612" s="4" t="s">
        <v>1</v>
      </c>
      <c r="H612" s="25">
        <v>12.5</v>
      </c>
      <c r="I612" s="8">
        <v>-8.9468999999999994</v>
      </c>
      <c r="J612" s="9">
        <v>0</v>
      </c>
      <c r="K612" s="7">
        <v>8.9469209999999997</v>
      </c>
      <c r="L612" s="24">
        <f>+Tabla2[[#This Row],[Stock Inventario]]*Tabla2[[#This Row],[Coste LÃ­nea]]</f>
        <v>0</v>
      </c>
      <c r="M612" s="24">
        <f>+Tabla2[[#This Row],[Variación Stock]]*Tabla2[[#This Row],[Coste LÃ­nea]]</f>
        <v>111.8365125</v>
      </c>
      <c r="N612" s="22" t="str">
        <f>+IF(Tabla2[[#This Row],[Variación Stock]]&gt;0,"Sobrante",IF(Tabla2[[#This Row],[Variación Stock]]&lt;0,"Faltante","Sin novedad"))</f>
        <v>Sobrante</v>
      </c>
    </row>
    <row r="613" spans="1:14" hidden="1" x14ac:dyDescent="0.25">
      <c r="A613" s="11">
        <v>46053</v>
      </c>
      <c r="B613" s="5" t="s">
        <v>972</v>
      </c>
      <c r="C613" s="3" t="s">
        <v>213</v>
      </c>
      <c r="D613" s="5" t="s">
        <v>396</v>
      </c>
      <c r="E613" s="5" t="s">
        <v>117</v>
      </c>
      <c r="F613" s="6" t="s">
        <v>443</v>
      </c>
      <c r="G613" s="4" t="s">
        <v>2</v>
      </c>
      <c r="H613" s="25">
        <v>171.97888889000001</v>
      </c>
      <c r="I613" s="8">
        <v>2800</v>
      </c>
      <c r="J613" s="9">
        <v>300</v>
      </c>
      <c r="K613" s="7">
        <v>-2500</v>
      </c>
      <c r="L613" s="24">
        <f>+Tabla2[[#This Row],[Stock Inventario]]*Tabla2[[#This Row],[Coste LÃ­nea]]</f>
        <v>51593.666667000005</v>
      </c>
      <c r="M613" s="24">
        <f>+Tabla2[[#This Row],[Variación Stock]]*Tabla2[[#This Row],[Coste LÃ­nea]]</f>
        <v>-429947.22222500003</v>
      </c>
      <c r="N613" s="22" t="str">
        <f>+IF(Tabla2[[#This Row],[Variación Stock]]&gt;0,"Sobrante",IF(Tabla2[[#This Row],[Variación Stock]]&lt;0,"Faltante","Sin novedad"))</f>
        <v>Faltante</v>
      </c>
    </row>
    <row r="614" spans="1:14" x14ac:dyDescent="0.25">
      <c r="A614" s="11">
        <v>46044</v>
      </c>
      <c r="B614" s="5" t="s">
        <v>383</v>
      </c>
      <c r="C614" s="3" t="s">
        <v>213</v>
      </c>
      <c r="D614" s="5" t="s">
        <v>111</v>
      </c>
      <c r="E614" s="5" t="s">
        <v>112</v>
      </c>
      <c r="F614" s="6" t="s">
        <v>31</v>
      </c>
      <c r="G614" s="4" t="s">
        <v>0</v>
      </c>
      <c r="H614" s="25">
        <v>6774.5454545499997</v>
      </c>
      <c r="I614" s="8">
        <v>14</v>
      </c>
      <c r="J614" s="9">
        <v>13.7</v>
      </c>
      <c r="K614" s="7">
        <v>-0.3</v>
      </c>
      <c r="L614" s="24">
        <f>+Tabla2[[#This Row],[Stock Inventario]]*Tabla2[[#This Row],[Coste LÃ­nea]]</f>
        <v>92811.272727334988</v>
      </c>
      <c r="M614" s="24">
        <f>+Tabla2[[#This Row],[Variación Stock]]*Tabla2[[#This Row],[Coste LÃ­nea]]</f>
        <v>-2032.3636363649998</v>
      </c>
      <c r="N614" s="22" t="str">
        <f>+IF(Tabla2[[#This Row],[Variación Stock]]&gt;0,"Sobrante",IF(Tabla2[[#This Row],[Variación Stock]]&lt;0,"Faltante","Sin novedad"))</f>
        <v>Faltante</v>
      </c>
    </row>
    <row r="615" spans="1:14" x14ac:dyDescent="0.25">
      <c r="A615" s="11">
        <v>46053</v>
      </c>
      <c r="B615" s="5" t="s">
        <v>972</v>
      </c>
      <c r="C615" s="3" t="s">
        <v>213</v>
      </c>
      <c r="D615" s="5" t="s">
        <v>111</v>
      </c>
      <c r="E615" s="5" t="s">
        <v>112</v>
      </c>
      <c r="F615" s="6" t="s">
        <v>31</v>
      </c>
      <c r="G615" s="4" t="s">
        <v>0</v>
      </c>
      <c r="H615" s="25">
        <v>6774.5454545499997</v>
      </c>
      <c r="I615" s="8">
        <v>12.7</v>
      </c>
      <c r="J615" s="9">
        <v>7</v>
      </c>
      <c r="K615" s="7">
        <v>-5.7</v>
      </c>
      <c r="L615" s="24">
        <f>+Tabla2[[#This Row],[Stock Inventario]]*Tabla2[[#This Row],[Coste LÃ­nea]]</f>
        <v>47421.818181850002</v>
      </c>
      <c r="M615" s="24">
        <f>+Tabla2[[#This Row],[Variación Stock]]*Tabla2[[#This Row],[Coste LÃ­nea]]</f>
        <v>-38614.909090934998</v>
      </c>
      <c r="N615" s="22" t="str">
        <f>+IF(Tabla2[[#This Row],[Variación Stock]]&gt;0,"Sobrante",IF(Tabla2[[#This Row],[Variación Stock]]&lt;0,"Faltante","Sin novedad"))</f>
        <v>Faltante</v>
      </c>
    </row>
    <row r="616" spans="1:14" hidden="1" x14ac:dyDescent="0.25">
      <c r="A616" s="11">
        <v>46053</v>
      </c>
      <c r="B616" s="5" t="s">
        <v>972</v>
      </c>
      <c r="C616" s="3" t="s">
        <v>213</v>
      </c>
      <c r="D616" s="5" t="s">
        <v>559</v>
      </c>
      <c r="E616" s="5" t="s">
        <v>1080</v>
      </c>
      <c r="F616" s="6" t="s">
        <v>579</v>
      </c>
      <c r="G616" s="4" t="s">
        <v>2</v>
      </c>
      <c r="H616" s="25">
        <v>155.53399999999999</v>
      </c>
      <c r="I616" s="8">
        <v>411</v>
      </c>
      <c r="J616" s="9">
        <v>500</v>
      </c>
      <c r="K616" s="7">
        <v>89</v>
      </c>
      <c r="L616" s="24">
        <f>+Tabla2[[#This Row],[Stock Inventario]]*Tabla2[[#This Row],[Coste LÃ­nea]]</f>
        <v>77767</v>
      </c>
      <c r="M616" s="24">
        <f>+Tabla2[[#This Row],[Variación Stock]]*Tabla2[[#This Row],[Coste LÃ­nea]]</f>
        <v>13842.526</v>
      </c>
      <c r="N616" s="22" t="str">
        <f>+IF(Tabla2[[#This Row],[Variación Stock]]&gt;0,"Sobrante",IF(Tabla2[[#This Row],[Variación Stock]]&lt;0,"Faltante","Sin novedad"))</f>
        <v>Sobrante</v>
      </c>
    </row>
    <row r="617" spans="1:14" hidden="1" x14ac:dyDescent="0.25">
      <c r="A617" s="11">
        <v>46053</v>
      </c>
      <c r="B617" s="5" t="s">
        <v>972</v>
      </c>
      <c r="C617" s="3" t="s">
        <v>213</v>
      </c>
      <c r="D617" s="5" t="s">
        <v>471</v>
      </c>
      <c r="E617" s="5" t="s">
        <v>117</v>
      </c>
      <c r="F617" s="6" t="s">
        <v>870</v>
      </c>
      <c r="G617" s="4" t="s">
        <v>1</v>
      </c>
      <c r="H617" s="25">
        <v>12</v>
      </c>
      <c r="I617" s="8">
        <v>-811.11109999999996</v>
      </c>
      <c r="J617" s="9">
        <v>0</v>
      </c>
      <c r="K617" s="7">
        <v>811.11110299999996</v>
      </c>
      <c r="L617" s="24">
        <f>+Tabla2[[#This Row],[Stock Inventario]]*Tabla2[[#This Row],[Coste LÃ­nea]]</f>
        <v>0</v>
      </c>
      <c r="M617" s="24">
        <f>+Tabla2[[#This Row],[Variación Stock]]*Tabla2[[#This Row],[Coste LÃ­nea]]</f>
        <v>9733.3332359999986</v>
      </c>
      <c r="N617" s="22" t="str">
        <f>+IF(Tabla2[[#This Row],[Variación Stock]]&gt;0,"Sobrante",IF(Tabla2[[#This Row],[Variación Stock]]&lt;0,"Faltante","Sin novedad"))</f>
        <v>Sobrante</v>
      </c>
    </row>
    <row r="618" spans="1:14" hidden="1" x14ac:dyDescent="0.25">
      <c r="A618" s="11">
        <v>46053</v>
      </c>
      <c r="B618" s="5" t="s">
        <v>972</v>
      </c>
      <c r="C618" s="3" t="s">
        <v>213</v>
      </c>
      <c r="D618" s="5" t="s">
        <v>396</v>
      </c>
      <c r="E618" s="5" t="s">
        <v>117</v>
      </c>
      <c r="F618" s="6" t="s">
        <v>418</v>
      </c>
      <c r="G618" s="4" t="s">
        <v>1</v>
      </c>
      <c r="H618" s="25">
        <v>40.047916669999999</v>
      </c>
      <c r="I618" s="8">
        <v>955</v>
      </c>
      <c r="J618" s="9">
        <v>1000</v>
      </c>
      <c r="K618" s="7">
        <v>45</v>
      </c>
      <c r="L618" s="24">
        <f>+Tabla2[[#This Row],[Stock Inventario]]*Tabla2[[#This Row],[Coste LÃ­nea]]</f>
        <v>40047.916669999999</v>
      </c>
      <c r="M618" s="24">
        <f>+Tabla2[[#This Row],[Variación Stock]]*Tabla2[[#This Row],[Coste LÃ­nea]]</f>
        <v>1802.15625015</v>
      </c>
      <c r="N618" s="22" t="str">
        <f>+IF(Tabla2[[#This Row],[Variación Stock]]&gt;0,"Sobrante",IF(Tabla2[[#This Row],[Variación Stock]]&lt;0,"Faltante","Sin novedad"))</f>
        <v>Sobrante</v>
      </c>
    </row>
    <row r="619" spans="1:14" hidden="1" x14ac:dyDescent="0.25">
      <c r="A619" s="11">
        <v>46053</v>
      </c>
      <c r="B619" s="5" t="s">
        <v>972</v>
      </c>
      <c r="C619" s="3" t="s">
        <v>213</v>
      </c>
      <c r="D619" s="5" t="s">
        <v>396</v>
      </c>
      <c r="E619" s="5" t="s">
        <v>117</v>
      </c>
      <c r="F619" s="6" t="s">
        <v>460</v>
      </c>
      <c r="G619" s="4" t="s">
        <v>1</v>
      </c>
      <c r="H619" s="25">
        <v>19.687874999999998</v>
      </c>
      <c r="I619" s="8">
        <v>785.12</v>
      </c>
      <c r="J619" s="9">
        <v>1440</v>
      </c>
      <c r="K619" s="7">
        <v>654.88</v>
      </c>
      <c r="L619" s="24">
        <f>+Tabla2[[#This Row],[Stock Inventario]]*Tabla2[[#This Row],[Coste LÃ­nea]]</f>
        <v>28350.539999999997</v>
      </c>
      <c r="M619" s="24">
        <f>+Tabla2[[#This Row],[Variación Stock]]*Tabla2[[#This Row],[Coste LÃ­nea]]</f>
        <v>12893.19558</v>
      </c>
      <c r="N619" s="22" t="str">
        <f>+IF(Tabla2[[#This Row],[Variación Stock]]&gt;0,"Sobrante",IF(Tabla2[[#This Row],[Variación Stock]]&lt;0,"Faltante","Sin novedad"))</f>
        <v>Sobrante</v>
      </c>
    </row>
    <row r="620" spans="1:14" hidden="1" x14ac:dyDescent="0.25">
      <c r="A620" s="11">
        <v>46053</v>
      </c>
      <c r="B620" s="5" t="s">
        <v>972</v>
      </c>
      <c r="C620" s="3" t="s">
        <v>213</v>
      </c>
      <c r="D620" s="5" t="s">
        <v>396</v>
      </c>
      <c r="E620" s="5" t="s">
        <v>117</v>
      </c>
      <c r="F620" s="6" t="s">
        <v>425</v>
      </c>
      <c r="G620" s="4" t="s">
        <v>1</v>
      </c>
      <c r="H620" s="25">
        <v>16.5</v>
      </c>
      <c r="I620" s="8">
        <v>6309.5</v>
      </c>
      <c r="J620" s="9">
        <v>6000</v>
      </c>
      <c r="K620" s="7">
        <v>-309.5</v>
      </c>
      <c r="L620" s="24">
        <f>+Tabla2[[#This Row],[Stock Inventario]]*Tabla2[[#This Row],[Coste LÃ­nea]]</f>
        <v>99000</v>
      </c>
      <c r="M620" s="24">
        <f>+Tabla2[[#This Row],[Variación Stock]]*Tabla2[[#This Row],[Coste LÃ­nea]]</f>
        <v>-5106.75</v>
      </c>
      <c r="N620" s="22" t="str">
        <f>+IF(Tabla2[[#This Row],[Variación Stock]]&gt;0,"Sobrante",IF(Tabla2[[#This Row],[Variación Stock]]&lt;0,"Faltante","Sin novedad"))</f>
        <v>Faltante</v>
      </c>
    </row>
    <row r="621" spans="1:14" hidden="1" x14ac:dyDescent="0.25">
      <c r="A621" s="11">
        <v>46053</v>
      </c>
      <c r="B621" s="5" t="s">
        <v>972</v>
      </c>
      <c r="C621" s="3" t="s">
        <v>213</v>
      </c>
      <c r="D621" s="5" t="s">
        <v>471</v>
      </c>
      <c r="E621" s="5" t="s">
        <v>117</v>
      </c>
      <c r="F621" s="6" t="s">
        <v>517</v>
      </c>
      <c r="G621" s="4" t="s">
        <v>1</v>
      </c>
      <c r="H621" s="25">
        <v>9.5</v>
      </c>
      <c r="I621" s="8">
        <v>652</v>
      </c>
      <c r="J621" s="9">
        <v>0</v>
      </c>
      <c r="K621" s="7">
        <v>-652</v>
      </c>
      <c r="L621" s="24">
        <f>+Tabla2[[#This Row],[Stock Inventario]]*Tabla2[[#This Row],[Coste LÃ­nea]]</f>
        <v>0</v>
      </c>
      <c r="M621" s="24">
        <f>+Tabla2[[#This Row],[Variación Stock]]*Tabla2[[#This Row],[Coste LÃ­nea]]</f>
        <v>-6194</v>
      </c>
      <c r="N621" s="22" t="str">
        <f>+IF(Tabla2[[#This Row],[Variación Stock]]&gt;0,"Sobrante",IF(Tabla2[[#This Row],[Variación Stock]]&lt;0,"Faltante","Sin novedad"))</f>
        <v>Faltante</v>
      </c>
    </row>
    <row r="622" spans="1:14" hidden="1" x14ac:dyDescent="0.25">
      <c r="A622" s="11">
        <v>46053</v>
      </c>
      <c r="B622" s="5" t="s">
        <v>972</v>
      </c>
      <c r="C622" s="3" t="s">
        <v>213</v>
      </c>
      <c r="D622" s="5" t="s">
        <v>396</v>
      </c>
      <c r="E622" s="5" t="s">
        <v>117</v>
      </c>
      <c r="F622" s="6" t="s">
        <v>984</v>
      </c>
      <c r="G622" s="4" t="s">
        <v>1</v>
      </c>
      <c r="H622" s="25">
        <v>45.423684209999998</v>
      </c>
      <c r="I622" s="8">
        <v>-386.36340000000001</v>
      </c>
      <c r="J622" s="9">
        <v>200</v>
      </c>
      <c r="K622" s="7">
        <v>586.36334999999997</v>
      </c>
      <c r="L622" s="24">
        <f>+Tabla2[[#This Row],[Stock Inventario]]*Tabla2[[#This Row],[Coste LÃ­nea]]</f>
        <v>9084.7368420000003</v>
      </c>
      <c r="M622" s="24">
        <f>+Tabla2[[#This Row],[Variación Stock]]*Tabla2[[#This Row],[Coste LÃ­nea]]</f>
        <v>26634.783642717699</v>
      </c>
      <c r="N622" s="22" t="str">
        <f>+IF(Tabla2[[#This Row],[Variación Stock]]&gt;0,"Sobrante",IF(Tabla2[[#This Row],[Variación Stock]]&lt;0,"Faltante","Sin novedad"))</f>
        <v>Sobrante</v>
      </c>
    </row>
    <row r="623" spans="1:14" hidden="1" x14ac:dyDescent="0.25">
      <c r="A623" s="11">
        <v>46053</v>
      </c>
      <c r="B623" s="5" t="s">
        <v>972</v>
      </c>
      <c r="C623" s="3" t="s">
        <v>213</v>
      </c>
      <c r="D623" s="5" t="s">
        <v>396</v>
      </c>
      <c r="E623" s="5" t="s">
        <v>117</v>
      </c>
      <c r="F623" s="6" t="s">
        <v>444</v>
      </c>
      <c r="G623" s="4" t="s">
        <v>1</v>
      </c>
      <c r="H623" s="25">
        <v>22.523499999999999</v>
      </c>
      <c r="I623" s="8">
        <v>4579.7550000000001</v>
      </c>
      <c r="J623" s="9">
        <v>0</v>
      </c>
      <c r="K623" s="7">
        <v>-4579.7549900000004</v>
      </c>
      <c r="L623" s="24">
        <f>+Tabla2[[#This Row],[Stock Inventario]]*Tabla2[[#This Row],[Coste LÃ­nea]]</f>
        <v>0</v>
      </c>
      <c r="M623" s="24">
        <f>+Tabla2[[#This Row],[Variación Stock]]*Tabla2[[#This Row],[Coste LÃ­nea]]</f>
        <v>-103152.111517265</v>
      </c>
      <c r="N623" s="22" t="str">
        <f>+IF(Tabla2[[#This Row],[Variación Stock]]&gt;0,"Sobrante",IF(Tabla2[[#This Row],[Variación Stock]]&lt;0,"Faltante","Sin novedad"))</f>
        <v>Faltante</v>
      </c>
    </row>
    <row r="624" spans="1:14" hidden="1" x14ac:dyDescent="0.25">
      <c r="A624" s="11">
        <v>46053</v>
      </c>
      <c r="B624" s="5" t="s">
        <v>972</v>
      </c>
      <c r="C624" s="3" t="s">
        <v>213</v>
      </c>
      <c r="D624" s="5" t="s">
        <v>396</v>
      </c>
      <c r="E624" s="5" t="s">
        <v>117</v>
      </c>
      <c r="F624" s="6" t="s">
        <v>859</v>
      </c>
      <c r="G624" s="4" t="s">
        <v>1</v>
      </c>
      <c r="H624" s="25">
        <v>25.5</v>
      </c>
      <c r="I624" s="8">
        <v>2109</v>
      </c>
      <c r="J624" s="9">
        <v>1000</v>
      </c>
      <c r="K624" s="7">
        <v>-1109</v>
      </c>
      <c r="L624" s="24">
        <f>+Tabla2[[#This Row],[Stock Inventario]]*Tabla2[[#This Row],[Coste LÃ­nea]]</f>
        <v>25500</v>
      </c>
      <c r="M624" s="24">
        <f>+Tabla2[[#This Row],[Variación Stock]]*Tabla2[[#This Row],[Coste LÃ­nea]]</f>
        <v>-28279.5</v>
      </c>
      <c r="N624" s="22" t="str">
        <f>+IF(Tabla2[[#This Row],[Variación Stock]]&gt;0,"Sobrante",IF(Tabla2[[#This Row],[Variación Stock]]&lt;0,"Faltante","Sin novedad"))</f>
        <v>Faltante</v>
      </c>
    </row>
    <row r="625" spans="1:14" x14ac:dyDescent="0.25">
      <c r="A625" s="11">
        <v>46037</v>
      </c>
      <c r="B625" s="5" t="s">
        <v>212</v>
      </c>
      <c r="C625" s="3" t="s">
        <v>213</v>
      </c>
      <c r="D625" s="5" t="s">
        <v>122</v>
      </c>
      <c r="E625" s="5" t="s">
        <v>112</v>
      </c>
      <c r="F625" s="6" t="s">
        <v>102</v>
      </c>
      <c r="G625" s="4" t="s">
        <v>2</v>
      </c>
      <c r="H625" s="24">
        <v>3458.25</v>
      </c>
      <c r="I625" s="8">
        <v>11</v>
      </c>
      <c r="J625" s="9">
        <v>21</v>
      </c>
      <c r="K625" s="7">
        <v>10</v>
      </c>
      <c r="L625" s="24">
        <f>+Tabla2[[#This Row],[Stock Inventario]]*Tabla2[[#This Row],[Coste LÃ­nea]]</f>
        <v>72623.25</v>
      </c>
      <c r="M625" s="24">
        <f>+Tabla2[[#This Row],[Variación Stock]]*Tabla2[[#This Row],[Coste LÃ­nea]]</f>
        <v>34582.5</v>
      </c>
      <c r="N625" s="22" t="str">
        <f>+IF(Tabla2[[#This Row],[Variación Stock]]&gt;0,"Sobrante",IF(Tabla2[[#This Row],[Variación Stock]]&lt;0,"Faltante","Sin novedad"))</f>
        <v>Sobrante</v>
      </c>
    </row>
    <row r="626" spans="1:14" x14ac:dyDescent="0.25">
      <c r="A626" s="11">
        <v>46044</v>
      </c>
      <c r="B626" s="5" t="s">
        <v>383</v>
      </c>
      <c r="C626" s="3" t="s">
        <v>213</v>
      </c>
      <c r="D626" s="5" t="s">
        <v>122</v>
      </c>
      <c r="E626" s="5" t="s">
        <v>112</v>
      </c>
      <c r="F626" s="6" t="s">
        <v>102</v>
      </c>
      <c r="G626" s="4" t="s">
        <v>2</v>
      </c>
      <c r="H626" s="25">
        <v>3458.25</v>
      </c>
      <c r="I626" s="8">
        <v>19</v>
      </c>
      <c r="J626" s="9">
        <v>19</v>
      </c>
      <c r="K626" s="7">
        <v>0</v>
      </c>
      <c r="L626" s="24">
        <f>+Tabla2[[#This Row],[Stock Inventario]]*Tabla2[[#This Row],[Coste LÃ­nea]]</f>
        <v>65706.75</v>
      </c>
      <c r="M626" s="24">
        <f>+Tabla2[[#This Row],[Variación Stock]]*Tabla2[[#This Row],[Coste LÃ­nea]]</f>
        <v>0</v>
      </c>
      <c r="N626" s="22" t="str">
        <f>+IF(Tabla2[[#This Row],[Variación Stock]]&gt;0,"Sobrante",IF(Tabla2[[#This Row],[Variación Stock]]&lt;0,"Faltante","Sin novedad"))</f>
        <v>Sin novedad</v>
      </c>
    </row>
    <row r="627" spans="1:14" x14ac:dyDescent="0.25">
      <c r="A627" s="11">
        <v>46053</v>
      </c>
      <c r="B627" s="5" t="s">
        <v>972</v>
      </c>
      <c r="C627" s="3" t="s">
        <v>213</v>
      </c>
      <c r="D627" s="5" t="s">
        <v>122</v>
      </c>
      <c r="E627" s="5" t="s">
        <v>112</v>
      </c>
      <c r="F627" s="6" t="s">
        <v>102</v>
      </c>
      <c r="G627" s="4" t="s">
        <v>2</v>
      </c>
      <c r="H627" s="25">
        <v>3458.25</v>
      </c>
      <c r="I627" s="8">
        <v>14</v>
      </c>
      <c r="J627" s="9">
        <v>14</v>
      </c>
      <c r="K627" s="7">
        <v>0</v>
      </c>
      <c r="L627" s="24">
        <f>+Tabla2[[#This Row],[Stock Inventario]]*Tabla2[[#This Row],[Coste LÃ­nea]]</f>
        <v>48415.5</v>
      </c>
      <c r="M627" s="24">
        <f>+Tabla2[[#This Row],[Variación Stock]]*Tabla2[[#This Row],[Coste LÃ­nea]]</f>
        <v>0</v>
      </c>
      <c r="N627" s="22" t="str">
        <f>+IF(Tabla2[[#This Row],[Variación Stock]]&gt;0,"Sobrante",IF(Tabla2[[#This Row],[Variación Stock]]&lt;0,"Faltante","Sin novedad"))</f>
        <v>Sin novedad</v>
      </c>
    </row>
    <row r="628" spans="1:14" hidden="1" x14ac:dyDescent="0.25">
      <c r="A628" s="11">
        <v>46053</v>
      </c>
      <c r="B628" s="5" t="s">
        <v>972</v>
      </c>
      <c r="C628" s="3" t="s">
        <v>213</v>
      </c>
      <c r="D628" s="5" t="s">
        <v>120</v>
      </c>
      <c r="E628" s="5" t="s">
        <v>117</v>
      </c>
      <c r="F628" s="6" t="s">
        <v>216</v>
      </c>
      <c r="G628" s="4" t="s">
        <v>1</v>
      </c>
      <c r="H628" s="25">
        <v>23.681562029999998</v>
      </c>
      <c r="I628" s="8">
        <v>0</v>
      </c>
      <c r="J628" s="9">
        <v>0</v>
      </c>
      <c r="K628" s="7">
        <v>0</v>
      </c>
      <c r="L628" s="24">
        <f>+Tabla2[[#This Row],[Stock Inventario]]*Tabla2[[#This Row],[Coste LÃ­nea]]</f>
        <v>0</v>
      </c>
      <c r="M628" s="24">
        <f>+Tabla2[[#This Row],[Variación Stock]]*Tabla2[[#This Row],[Coste LÃ­nea]]</f>
        <v>0</v>
      </c>
      <c r="N628" s="22" t="str">
        <f>+IF(Tabla2[[#This Row],[Variación Stock]]&gt;0,"Sobrante",IF(Tabla2[[#This Row],[Variación Stock]]&lt;0,"Faltante","Sin novedad"))</f>
        <v>Sin novedad</v>
      </c>
    </row>
    <row r="629" spans="1:14" hidden="1" x14ac:dyDescent="0.25">
      <c r="A629" s="11">
        <v>46053</v>
      </c>
      <c r="B629" s="5" t="s">
        <v>972</v>
      </c>
      <c r="C629" s="3" t="s">
        <v>213</v>
      </c>
      <c r="D629" s="5" t="s">
        <v>120</v>
      </c>
      <c r="E629" s="5" t="s">
        <v>117</v>
      </c>
      <c r="F629" s="6" t="s">
        <v>216</v>
      </c>
      <c r="G629" s="4" t="s">
        <v>1</v>
      </c>
      <c r="H629" s="25">
        <v>46.82688503</v>
      </c>
      <c r="I629" s="8">
        <v>0</v>
      </c>
      <c r="J629" s="9">
        <v>0</v>
      </c>
      <c r="K629" s="7">
        <v>0</v>
      </c>
      <c r="L629" s="24">
        <f>+Tabla2[[#This Row],[Stock Inventario]]*Tabla2[[#This Row],[Coste LÃ­nea]]</f>
        <v>0</v>
      </c>
      <c r="M629" s="24">
        <f>+Tabla2[[#This Row],[Variación Stock]]*Tabla2[[#This Row],[Coste LÃ­nea]]</f>
        <v>0</v>
      </c>
      <c r="N629" s="22" t="str">
        <f>+IF(Tabla2[[#This Row],[Variación Stock]]&gt;0,"Sobrante",IF(Tabla2[[#This Row],[Variación Stock]]&lt;0,"Faltante","Sin novedad"))</f>
        <v>Sin novedad</v>
      </c>
    </row>
    <row r="630" spans="1:14" hidden="1" x14ac:dyDescent="0.25">
      <c r="A630" s="11">
        <v>46053</v>
      </c>
      <c r="B630" s="5" t="s">
        <v>972</v>
      </c>
      <c r="C630" s="3" t="s">
        <v>213</v>
      </c>
      <c r="D630" s="5" t="s">
        <v>120</v>
      </c>
      <c r="E630" s="5" t="s">
        <v>117</v>
      </c>
      <c r="F630" s="6" t="s">
        <v>216</v>
      </c>
      <c r="G630" s="4" t="s">
        <v>2</v>
      </c>
      <c r="H630" s="25">
        <v>3.6938461500000002</v>
      </c>
      <c r="I630" s="8">
        <v>155</v>
      </c>
      <c r="J630" s="9">
        <v>0</v>
      </c>
      <c r="K630" s="7">
        <v>-155</v>
      </c>
      <c r="L630" s="24">
        <f>+Tabla2[[#This Row],[Stock Inventario]]*Tabla2[[#This Row],[Coste LÃ­nea]]</f>
        <v>0</v>
      </c>
      <c r="M630" s="24">
        <f>+Tabla2[[#This Row],[Variación Stock]]*Tabla2[[#This Row],[Coste LÃ­nea]]</f>
        <v>-572.54615324999997</v>
      </c>
      <c r="N630" s="22" t="str">
        <f>+IF(Tabla2[[#This Row],[Variación Stock]]&gt;0,"Sobrante",IF(Tabla2[[#This Row],[Variación Stock]]&lt;0,"Faltante","Sin novedad"))</f>
        <v>Faltante</v>
      </c>
    </row>
    <row r="631" spans="1:14" hidden="1" x14ac:dyDescent="0.25">
      <c r="A631" s="11">
        <v>46053</v>
      </c>
      <c r="B631" s="5" t="s">
        <v>972</v>
      </c>
      <c r="C631" s="3" t="s">
        <v>213</v>
      </c>
      <c r="D631" s="5" t="s">
        <v>120</v>
      </c>
      <c r="E631" s="5" t="s">
        <v>117</v>
      </c>
      <c r="F631" s="6" t="s">
        <v>216</v>
      </c>
      <c r="G631" s="4" t="s">
        <v>2</v>
      </c>
      <c r="H631" s="25">
        <v>646.58044907999999</v>
      </c>
      <c r="I631" s="8">
        <v>3</v>
      </c>
      <c r="J631" s="9">
        <v>0</v>
      </c>
      <c r="K631" s="7">
        <v>-3</v>
      </c>
      <c r="L631" s="24">
        <f>+Tabla2[[#This Row],[Stock Inventario]]*Tabla2[[#This Row],[Coste LÃ­nea]]</f>
        <v>0</v>
      </c>
      <c r="M631" s="24">
        <f>+Tabla2[[#This Row],[Variación Stock]]*Tabla2[[#This Row],[Coste LÃ­nea]]</f>
        <v>-1939.7413472399999</v>
      </c>
      <c r="N631" s="22" t="str">
        <f>+IF(Tabla2[[#This Row],[Variación Stock]]&gt;0,"Sobrante",IF(Tabla2[[#This Row],[Variación Stock]]&lt;0,"Faltante","Sin novedad"))</f>
        <v>Faltante</v>
      </c>
    </row>
    <row r="632" spans="1:14" hidden="1" x14ac:dyDescent="0.25">
      <c r="A632" s="11">
        <v>46053</v>
      </c>
      <c r="B632" s="5" t="s">
        <v>972</v>
      </c>
      <c r="C632" s="3" t="s">
        <v>213</v>
      </c>
      <c r="D632" s="5" t="s">
        <v>323</v>
      </c>
      <c r="E632" s="5" t="s">
        <v>117</v>
      </c>
      <c r="F632" s="6" t="s">
        <v>216</v>
      </c>
      <c r="G632" s="4" t="s">
        <v>1</v>
      </c>
      <c r="H632" s="25">
        <v>13.227421379999999</v>
      </c>
      <c r="I632" s="8">
        <v>-1710</v>
      </c>
      <c r="J632" s="9">
        <v>0</v>
      </c>
      <c r="K632" s="7">
        <v>1710</v>
      </c>
      <c r="L632" s="24">
        <f>+Tabla2[[#This Row],[Stock Inventario]]*Tabla2[[#This Row],[Coste LÃ­nea]]</f>
        <v>0</v>
      </c>
      <c r="M632" s="24">
        <f>+Tabla2[[#This Row],[Variación Stock]]*Tabla2[[#This Row],[Coste LÃ­nea]]</f>
        <v>22618.890559799998</v>
      </c>
      <c r="N632" s="22" t="str">
        <f>+IF(Tabla2[[#This Row],[Variación Stock]]&gt;0,"Sobrante",IF(Tabla2[[#This Row],[Variación Stock]]&lt;0,"Faltante","Sin novedad"))</f>
        <v>Sobrante</v>
      </c>
    </row>
    <row r="633" spans="1:14" x14ac:dyDescent="0.25">
      <c r="A633" s="11">
        <v>46037</v>
      </c>
      <c r="B633" s="5" t="s">
        <v>212</v>
      </c>
      <c r="C633" s="3" t="s">
        <v>213</v>
      </c>
      <c r="D633" s="5" t="s">
        <v>122</v>
      </c>
      <c r="E633" s="5" t="s">
        <v>112</v>
      </c>
      <c r="F633" s="6" t="s">
        <v>103</v>
      </c>
      <c r="G633" s="4" t="s">
        <v>2</v>
      </c>
      <c r="H633" s="24">
        <v>3458.3283333300001</v>
      </c>
      <c r="I633" s="8">
        <v>16</v>
      </c>
      <c r="J633" s="9">
        <v>22</v>
      </c>
      <c r="K633" s="7">
        <v>6</v>
      </c>
      <c r="L633" s="24">
        <f>+Tabla2[[#This Row],[Stock Inventario]]*Tabla2[[#This Row],[Coste LÃ­nea]]</f>
        <v>76083.223333260001</v>
      </c>
      <c r="M633" s="24">
        <f>+Tabla2[[#This Row],[Variación Stock]]*Tabla2[[#This Row],[Coste LÃ­nea]]</f>
        <v>20749.96999998</v>
      </c>
      <c r="N633" s="22" t="str">
        <f>+IF(Tabla2[[#This Row],[Variación Stock]]&gt;0,"Sobrante",IF(Tabla2[[#This Row],[Variación Stock]]&lt;0,"Faltante","Sin novedad"))</f>
        <v>Sobrante</v>
      </c>
    </row>
    <row r="634" spans="1:14" hidden="1" x14ac:dyDescent="0.25">
      <c r="A634" s="11">
        <v>46053</v>
      </c>
      <c r="B634" s="5" t="s">
        <v>972</v>
      </c>
      <c r="C634" s="3" t="s">
        <v>213</v>
      </c>
      <c r="D634" s="5" t="s">
        <v>116</v>
      </c>
      <c r="E634" s="5" t="s">
        <v>117</v>
      </c>
      <c r="F634" s="6" t="s">
        <v>141</v>
      </c>
      <c r="G634" s="4" t="s">
        <v>2</v>
      </c>
      <c r="H634" s="25">
        <v>10</v>
      </c>
      <c r="I634" s="8">
        <v>0</v>
      </c>
      <c r="J634" s="9">
        <v>0</v>
      </c>
      <c r="K634" s="7">
        <v>0</v>
      </c>
      <c r="L634" s="24">
        <f>+Tabla2[[#This Row],[Stock Inventario]]*Tabla2[[#This Row],[Coste LÃ­nea]]</f>
        <v>0</v>
      </c>
      <c r="M634" s="24">
        <f>+Tabla2[[#This Row],[Variación Stock]]*Tabla2[[#This Row],[Coste LÃ­nea]]</f>
        <v>0</v>
      </c>
      <c r="N634" s="22" t="str">
        <f>+IF(Tabla2[[#This Row],[Variación Stock]]&gt;0,"Sobrante",IF(Tabla2[[#This Row],[Variación Stock]]&lt;0,"Faltante","Sin novedad"))</f>
        <v>Sin novedad</v>
      </c>
    </row>
    <row r="635" spans="1:14" hidden="1" x14ac:dyDescent="0.25">
      <c r="A635" s="11">
        <v>46053</v>
      </c>
      <c r="B635" s="5" t="s">
        <v>972</v>
      </c>
      <c r="C635" s="3" t="s">
        <v>213</v>
      </c>
      <c r="D635" s="5" t="s">
        <v>547</v>
      </c>
      <c r="E635" s="5" t="s">
        <v>117</v>
      </c>
      <c r="F635" s="6" t="s">
        <v>141</v>
      </c>
      <c r="G635" s="4" t="s">
        <v>1</v>
      </c>
      <c r="H635" s="25">
        <v>8.8117999999999999</v>
      </c>
      <c r="I635" s="8">
        <v>25100</v>
      </c>
      <c r="J635" s="9">
        <v>0</v>
      </c>
      <c r="K635" s="7">
        <v>-25100</v>
      </c>
      <c r="L635" s="24">
        <f>+Tabla2[[#This Row],[Stock Inventario]]*Tabla2[[#This Row],[Coste LÃ­nea]]</f>
        <v>0</v>
      </c>
      <c r="M635" s="24">
        <f>+Tabla2[[#This Row],[Variación Stock]]*Tabla2[[#This Row],[Coste LÃ­nea]]</f>
        <v>-221176.18</v>
      </c>
      <c r="N635" s="22" t="str">
        <f>+IF(Tabla2[[#This Row],[Variación Stock]]&gt;0,"Sobrante",IF(Tabla2[[#This Row],[Variación Stock]]&lt;0,"Faltante","Sin novedad"))</f>
        <v>Faltante</v>
      </c>
    </row>
    <row r="636" spans="1:14" hidden="1" x14ac:dyDescent="0.25">
      <c r="A636" s="11">
        <v>46053</v>
      </c>
      <c r="B636" s="5" t="s">
        <v>972</v>
      </c>
      <c r="C636" s="3" t="s">
        <v>213</v>
      </c>
      <c r="D636" s="5" t="s">
        <v>471</v>
      </c>
      <c r="E636" s="5" t="s">
        <v>117</v>
      </c>
      <c r="F636" s="6" t="s">
        <v>518</v>
      </c>
      <c r="G636" s="4" t="s">
        <v>1</v>
      </c>
      <c r="H636" s="25">
        <v>10</v>
      </c>
      <c r="I636" s="8">
        <v>-97</v>
      </c>
      <c r="J636" s="9">
        <v>0</v>
      </c>
      <c r="K636" s="7">
        <v>97</v>
      </c>
      <c r="L636" s="24">
        <f>+Tabla2[[#This Row],[Stock Inventario]]*Tabla2[[#This Row],[Coste LÃ­nea]]</f>
        <v>0</v>
      </c>
      <c r="M636" s="24">
        <f>+Tabla2[[#This Row],[Variación Stock]]*Tabla2[[#This Row],[Coste LÃ­nea]]</f>
        <v>970</v>
      </c>
      <c r="N636" s="22" t="str">
        <f>+IF(Tabla2[[#This Row],[Variación Stock]]&gt;0,"Sobrante",IF(Tabla2[[#This Row],[Variación Stock]]&lt;0,"Faltante","Sin novedad"))</f>
        <v>Sobrante</v>
      </c>
    </row>
    <row r="637" spans="1:14" x14ac:dyDescent="0.25">
      <c r="A637" s="11">
        <v>46044</v>
      </c>
      <c r="B637" s="5" t="s">
        <v>383</v>
      </c>
      <c r="C637" s="3" t="s">
        <v>213</v>
      </c>
      <c r="D637" s="5" t="s">
        <v>122</v>
      </c>
      <c r="E637" s="5" t="s">
        <v>112</v>
      </c>
      <c r="F637" s="6" t="s">
        <v>103</v>
      </c>
      <c r="G637" s="4" t="s">
        <v>2</v>
      </c>
      <c r="H637" s="25">
        <v>3458.3283333300001</v>
      </c>
      <c r="I637" s="8">
        <v>22</v>
      </c>
      <c r="J637" s="9">
        <v>22</v>
      </c>
      <c r="K637" s="7">
        <v>0</v>
      </c>
      <c r="L637" s="24">
        <f>+Tabla2[[#This Row],[Stock Inventario]]*Tabla2[[#This Row],[Coste LÃ­nea]]</f>
        <v>76083.223333260001</v>
      </c>
      <c r="M637" s="24">
        <f>+Tabla2[[#This Row],[Variación Stock]]*Tabla2[[#This Row],[Coste LÃ­nea]]</f>
        <v>0</v>
      </c>
      <c r="N637" s="22" t="str">
        <f>+IF(Tabla2[[#This Row],[Variación Stock]]&gt;0,"Sobrante",IF(Tabla2[[#This Row],[Variación Stock]]&lt;0,"Faltante","Sin novedad"))</f>
        <v>Sin novedad</v>
      </c>
    </row>
    <row r="638" spans="1:14" hidden="1" x14ac:dyDescent="0.25">
      <c r="A638" s="11">
        <v>46053</v>
      </c>
      <c r="B638" s="5" t="s">
        <v>972</v>
      </c>
      <c r="C638" s="3" t="s">
        <v>213</v>
      </c>
      <c r="D638" s="5" t="s">
        <v>471</v>
      </c>
      <c r="E638" s="5" t="s">
        <v>117</v>
      </c>
      <c r="F638" s="6" t="s">
        <v>477</v>
      </c>
      <c r="G638" s="4" t="s">
        <v>1</v>
      </c>
      <c r="H638" s="25">
        <v>28.313500000000001</v>
      </c>
      <c r="I638" s="8">
        <v>3766.1487999999999</v>
      </c>
      <c r="J638" s="9">
        <v>5000</v>
      </c>
      <c r="K638" s="7">
        <v>1233.851195</v>
      </c>
      <c r="L638" s="24">
        <f>+Tabla2[[#This Row],[Stock Inventario]]*Tabla2[[#This Row],[Coste LÃ­nea]]</f>
        <v>141567.5</v>
      </c>
      <c r="M638" s="24">
        <f>+Tabla2[[#This Row],[Variación Stock]]*Tabla2[[#This Row],[Coste LÃ­nea]]</f>
        <v>34934.6458096325</v>
      </c>
      <c r="N638" s="22" t="str">
        <f>+IF(Tabla2[[#This Row],[Variación Stock]]&gt;0,"Sobrante",IF(Tabla2[[#This Row],[Variación Stock]]&lt;0,"Faltante","Sin novedad"))</f>
        <v>Sobrante</v>
      </c>
    </row>
    <row r="639" spans="1:14" hidden="1" x14ac:dyDescent="0.25">
      <c r="A639" s="11">
        <v>46053</v>
      </c>
      <c r="B639" s="5" t="s">
        <v>972</v>
      </c>
      <c r="C639" s="3" t="s">
        <v>213</v>
      </c>
      <c r="D639" s="5" t="s">
        <v>559</v>
      </c>
      <c r="E639" s="5" t="s">
        <v>1080</v>
      </c>
      <c r="F639" s="6" t="s">
        <v>882</v>
      </c>
      <c r="G639" s="4" t="s">
        <v>2</v>
      </c>
      <c r="H639" s="25">
        <v>107.33333333</v>
      </c>
      <c r="I639" s="8">
        <v>560</v>
      </c>
      <c r="J639" s="9">
        <v>300</v>
      </c>
      <c r="K639" s="7">
        <v>-260</v>
      </c>
      <c r="L639" s="24">
        <f>+Tabla2[[#This Row],[Stock Inventario]]*Tabla2[[#This Row],[Coste LÃ­nea]]</f>
        <v>32199.999999</v>
      </c>
      <c r="M639" s="24">
        <f>+Tabla2[[#This Row],[Variación Stock]]*Tabla2[[#This Row],[Coste LÃ­nea]]</f>
        <v>-27906.666665799999</v>
      </c>
      <c r="N639" s="22" t="str">
        <f>+IF(Tabla2[[#This Row],[Variación Stock]]&gt;0,"Sobrante",IF(Tabla2[[#This Row],[Variación Stock]]&lt;0,"Faltante","Sin novedad"))</f>
        <v>Faltante</v>
      </c>
    </row>
    <row r="640" spans="1:14" hidden="1" x14ac:dyDescent="0.25">
      <c r="A640" s="11">
        <v>46053</v>
      </c>
      <c r="B640" s="5" t="s">
        <v>972</v>
      </c>
      <c r="C640" s="3" t="s">
        <v>213</v>
      </c>
      <c r="D640" s="5" t="s">
        <v>815</v>
      </c>
      <c r="E640" s="5" t="s">
        <v>117</v>
      </c>
      <c r="F640" s="6" t="s">
        <v>964</v>
      </c>
      <c r="G640" s="4" t="s">
        <v>2</v>
      </c>
      <c r="H640" s="25">
        <v>1870</v>
      </c>
      <c r="I640" s="8">
        <v>30</v>
      </c>
      <c r="J640" s="9">
        <v>0</v>
      </c>
      <c r="K640" s="7">
        <v>-30</v>
      </c>
      <c r="L640" s="24">
        <f>+Tabla2[[#This Row],[Stock Inventario]]*Tabla2[[#This Row],[Coste LÃ­nea]]</f>
        <v>0</v>
      </c>
      <c r="M640" s="24">
        <f>+Tabla2[[#This Row],[Variación Stock]]*Tabla2[[#This Row],[Coste LÃ­nea]]</f>
        <v>-56100</v>
      </c>
      <c r="N640" s="22" t="str">
        <f>+IF(Tabla2[[#This Row],[Variación Stock]]&gt;0,"Sobrante",IF(Tabla2[[#This Row],[Variación Stock]]&lt;0,"Faltante","Sin novedad"))</f>
        <v>Faltante</v>
      </c>
    </row>
    <row r="641" spans="1:14" hidden="1" x14ac:dyDescent="0.25">
      <c r="A641" s="11">
        <v>46053</v>
      </c>
      <c r="B641" s="5" t="s">
        <v>972</v>
      </c>
      <c r="C641" s="3" t="s">
        <v>213</v>
      </c>
      <c r="D641" s="5" t="s">
        <v>815</v>
      </c>
      <c r="E641" s="5" t="s">
        <v>117</v>
      </c>
      <c r="F641" s="6" t="s">
        <v>1068</v>
      </c>
      <c r="G641" s="4" t="s">
        <v>2</v>
      </c>
      <c r="H641" s="25">
        <v>1636.66666667</v>
      </c>
      <c r="I641" s="8">
        <v>-7</v>
      </c>
      <c r="J641" s="9">
        <v>2</v>
      </c>
      <c r="K641" s="7">
        <v>9</v>
      </c>
      <c r="L641" s="24">
        <f>+Tabla2[[#This Row],[Stock Inventario]]*Tabla2[[#This Row],[Coste LÃ­nea]]</f>
        <v>3273.3333333400001</v>
      </c>
      <c r="M641" s="24">
        <f>+Tabla2[[#This Row],[Variación Stock]]*Tabla2[[#This Row],[Coste LÃ­nea]]</f>
        <v>14730.000000030001</v>
      </c>
      <c r="N641" s="22" t="str">
        <f>+IF(Tabla2[[#This Row],[Variación Stock]]&gt;0,"Sobrante",IF(Tabla2[[#This Row],[Variación Stock]]&lt;0,"Faltante","Sin novedad"))</f>
        <v>Sobrante</v>
      </c>
    </row>
    <row r="642" spans="1:14" hidden="1" x14ac:dyDescent="0.25">
      <c r="A642" s="11">
        <v>46053</v>
      </c>
      <c r="B642" s="5" t="s">
        <v>972</v>
      </c>
      <c r="C642" s="3" t="s">
        <v>213</v>
      </c>
      <c r="D642" s="5" t="s">
        <v>815</v>
      </c>
      <c r="E642" s="5" t="s">
        <v>117</v>
      </c>
      <c r="F642" s="6" t="s">
        <v>1069</v>
      </c>
      <c r="G642" s="4" t="s">
        <v>2</v>
      </c>
      <c r="H642" s="25">
        <v>1600</v>
      </c>
      <c r="I642" s="8">
        <v>-36</v>
      </c>
      <c r="J642" s="9">
        <v>0</v>
      </c>
      <c r="K642" s="7">
        <v>36</v>
      </c>
      <c r="L642" s="24">
        <f>+Tabla2[[#This Row],[Stock Inventario]]*Tabla2[[#This Row],[Coste LÃ­nea]]</f>
        <v>0</v>
      </c>
      <c r="M642" s="24">
        <f>+Tabla2[[#This Row],[Variación Stock]]*Tabla2[[#This Row],[Coste LÃ­nea]]</f>
        <v>57600</v>
      </c>
      <c r="N642" s="22" t="str">
        <f>+IF(Tabla2[[#This Row],[Variación Stock]]&gt;0,"Sobrante",IF(Tabla2[[#This Row],[Variación Stock]]&lt;0,"Faltante","Sin novedad"))</f>
        <v>Sobrante</v>
      </c>
    </row>
    <row r="643" spans="1:14" hidden="1" x14ac:dyDescent="0.25">
      <c r="A643" s="11">
        <v>46053</v>
      </c>
      <c r="B643" s="5" t="s">
        <v>972</v>
      </c>
      <c r="C643" s="3" t="s">
        <v>213</v>
      </c>
      <c r="D643" s="5" t="s">
        <v>815</v>
      </c>
      <c r="E643" s="5" t="s">
        <v>117</v>
      </c>
      <c r="F643" s="6" t="s">
        <v>965</v>
      </c>
      <c r="G643" s="4" t="s">
        <v>2</v>
      </c>
      <c r="H643" s="25">
        <v>2191.6666666699998</v>
      </c>
      <c r="I643" s="8">
        <v>689</v>
      </c>
      <c r="J643" s="9">
        <v>0</v>
      </c>
      <c r="K643" s="7">
        <v>-689</v>
      </c>
      <c r="L643" s="24">
        <f>+Tabla2[[#This Row],[Stock Inventario]]*Tabla2[[#This Row],[Coste LÃ­nea]]</f>
        <v>0</v>
      </c>
      <c r="M643" s="24">
        <f>+Tabla2[[#This Row],[Variación Stock]]*Tabla2[[#This Row],[Coste LÃ­nea]]</f>
        <v>-1510058.3333356299</v>
      </c>
      <c r="N643" s="22" t="str">
        <f>+IF(Tabla2[[#This Row],[Variación Stock]]&gt;0,"Sobrante",IF(Tabla2[[#This Row],[Variación Stock]]&lt;0,"Faltante","Sin novedad"))</f>
        <v>Faltante</v>
      </c>
    </row>
    <row r="644" spans="1:14" x14ac:dyDescent="0.25">
      <c r="A644" s="11">
        <v>46053</v>
      </c>
      <c r="B644" s="5" t="s">
        <v>972</v>
      </c>
      <c r="C644" s="3" t="s">
        <v>213</v>
      </c>
      <c r="D644" s="5" t="s">
        <v>122</v>
      </c>
      <c r="E644" s="5" t="s">
        <v>112</v>
      </c>
      <c r="F644" s="6" t="s">
        <v>103</v>
      </c>
      <c r="G644" s="4" t="s">
        <v>2</v>
      </c>
      <c r="H644" s="25">
        <v>3458.3283333300001</v>
      </c>
      <c r="I644" s="8">
        <v>20</v>
      </c>
      <c r="J644" s="9">
        <v>20</v>
      </c>
      <c r="K644" s="7">
        <v>0</v>
      </c>
      <c r="L644" s="24">
        <f>+Tabla2[[#This Row],[Stock Inventario]]*Tabla2[[#This Row],[Coste LÃ­nea]]</f>
        <v>69166.566666600003</v>
      </c>
      <c r="M644" s="24">
        <f>+Tabla2[[#This Row],[Variación Stock]]*Tabla2[[#This Row],[Coste LÃ­nea]]</f>
        <v>0</v>
      </c>
      <c r="N644" s="22" t="str">
        <f>+IF(Tabla2[[#This Row],[Variación Stock]]&gt;0,"Sobrante",IF(Tabla2[[#This Row],[Variación Stock]]&lt;0,"Faltante","Sin novedad"))</f>
        <v>Sin novedad</v>
      </c>
    </row>
    <row r="645" spans="1:14" hidden="1" x14ac:dyDescent="0.25">
      <c r="A645" s="11">
        <v>46053</v>
      </c>
      <c r="B645" s="5" t="s">
        <v>972</v>
      </c>
      <c r="C645" s="3" t="s">
        <v>213</v>
      </c>
      <c r="D645" s="5" t="s">
        <v>471</v>
      </c>
      <c r="E645" s="5" t="s">
        <v>117</v>
      </c>
      <c r="F645" s="6" t="s">
        <v>519</v>
      </c>
      <c r="G645" s="4" t="s">
        <v>1</v>
      </c>
      <c r="H645" s="25">
        <v>6.6</v>
      </c>
      <c r="I645" s="8">
        <v>222544.7788</v>
      </c>
      <c r="J645" s="9">
        <v>38700</v>
      </c>
      <c r="K645" s="7">
        <v>-183844.7788</v>
      </c>
      <c r="L645" s="24">
        <f>+Tabla2[[#This Row],[Stock Inventario]]*Tabla2[[#This Row],[Coste LÃ­nea]]</f>
        <v>255420</v>
      </c>
      <c r="M645" s="24">
        <f>+Tabla2[[#This Row],[Variación Stock]]*Tabla2[[#This Row],[Coste LÃ­nea]]</f>
        <v>-1213375.5400799999</v>
      </c>
      <c r="N645" s="22" t="str">
        <f>+IF(Tabla2[[#This Row],[Variación Stock]]&gt;0,"Sobrante",IF(Tabla2[[#This Row],[Variación Stock]]&lt;0,"Faltante","Sin novedad"))</f>
        <v>Faltante</v>
      </c>
    </row>
    <row r="646" spans="1:14" hidden="1" x14ac:dyDescent="0.25">
      <c r="A646" s="11">
        <v>46053</v>
      </c>
      <c r="B646" s="5" t="s">
        <v>972</v>
      </c>
      <c r="C646" s="3" t="s">
        <v>213</v>
      </c>
      <c r="D646" s="5" t="s">
        <v>471</v>
      </c>
      <c r="E646" s="5" t="s">
        <v>117</v>
      </c>
      <c r="F646" s="6" t="s">
        <v>520</v>
      </c>
      <c r="G646" s="4" t="s">
        <v>1</v>
      </c>
      <c r="H646" s="25">
        <v>4.5</v>
      </c>
      <c r="I646" s="8">
        <v>201200</v>
      </c>
      <c r="J646" s="9">
        <v>0</v>
      </c>
      <c r="K646" s="7">
        <v>-201200</v>
      </c>
      <c r="L646" s="24">
        <f>+Tabla2[[#This Row],[Stock Inventario]]*Tabla2[[#This Row],[Coste LÃ­nea]]</f>
        <v>0</v>
      </c>
      <c r="M646" s="24">
        <f>+Tabla2[[#This Row],[Variación Stock]]*Tabla2[[#This Row],[Coste LÃ­nea]]</f>
        <v>-905400</v>
      </c>
      <c r="N646" s="22" t="str">
        <f>+IF(Tabla2[[#This Row],[Variación Stock]]&gt;0,"Sobrante",IF(Tabla2[[#This Row],[Variación Stock]]&lt;0,"Faltante","Sin novedad"))</f>
        <v>Faltante</v>
      </c>
    </row>
    <row r="647" spans="1:14" hidden="1" x14ac:dyDescent="0.25">
      <c r="A647" s="11">
        <v>46053</v>
      </c>
      <c r="B647" s="5" t="s">
        <v>972</v>
      </c>
      <c r="C647" s="3" t="s">
        <v>213</v>
      </c>
      <c r="D647" s="5" t="s">
        <v>396</v>
      </c>
      <c r="E647" s="5" t="s">
        <v>117</v>
      </c>
      <c r="F647" s="6" t="s">
        <v>446</v>
      </c>
      <c r="G647" s="4" t="s">
        <v>1</v>
      </c>
      <c r="H647" s="25">
        <v>14.678414099999999</v>
      </c>
      <c r="I647" s="8">
        <v>11170</v>
      </c>
      <c r="J647" s="9">
        <v>0</v>
      </c>
      <c r="K647" s="7">
        <v>-11170</v>
      </c>
      <c r="L647" s="24">
        <f>+Tabla2[[#This Row],[Stock Inventario]]*Tabla2[[#This Row],[Coste LÃ­nea]]</f>
        <v>0</v>
      </c>
      <c r="M647" s="24">
        <f>+Tabla2[[#This Row],[Variación Stock]]*Tabla2[[#This Row],[Coste LÃ­nea]]</f>
        <v>-163957.88549699998</v>
      </c>
      <c r="N647" s="22" t="str">
        <f>+IF(Tabla2[[#This Row],[Variación Stock]]&gt;0,"Sobrante",IF(Tabla2[[#This Row],[Variación Stock]]&lt;0,"Faltante","Sin novedad"))</f>
        <v>Faltante</v>
      </c>
    </row>
    <row r="648" spans="1:14" hidden="1" x14ac:dyDescent="0.25">
      <c r="A648" s="11">
        <v>46053</v>
      </c>
      <c r="B648" s="5" t="s">
        <v>972</v>
      </c>
      <c r="C648" s="3" t="s">
        <v>213</v>
      </c>
      <c r="D648" s="5" t="s">
        <v>471</v>
      </c>
      <c r="E648" s="5" t="s">
        <v>117</v>
      </c>
      <c r="F648" s="6" t="s">
        <v>521</v>
      </c>
      <c r="G648" s="4" t="s">
        <v>1</v>
      </c>
      <c r="H648" s="25">
        <v>6.5</v>
      </c>
      <c r="I648" s="8">
        <v>3100</v>
      </c>
      <c r="J648" s="9">
        <v>0</v>
      </c>
      <c r="K648" s="7">
        <v>-3100</v>
      </c>
      <c r="L648" s="24">
        <f>+Tabla2[[#This Row],[Stock Inventario]]*Tabla2[[#This Row],[Coste LÃ­nea]]</f>
        <v>0</v>
      </c>
      <c r="M648" s="24">
        <f>+Tabla2[[#This Row],[Variación Stock]]*Tabla2[[#This Row],[Coste LÃ­nea]]</f>
        <v>-20150</v>
      </c>
      <c r="N648" s="22" t="str">
        <f>+IF(Tabla2[[#This Row],[Variación Stock]]&gt;0,"Sobrante",IF(Tabla2[[#This Row],[Variación Stock]]&lt;0,"Faltante","Sin novedad"))</f>
        <v>Faltante</v>
      </c>
    </row>
    <row r="649" spans="1:14" hidden="1" x14ac:dyDescent="0.25">
      <c r="A649" s="11">
        <v>46053</v>
      </c>
      <c r="B649" s="5" t="s">
        <v>972</v>
      </c>
      <c r="C649" s="3" t="s">
        <v>213</v>
      </c>
      <c r="D649" s="5" t="s">
        <v>559</v>
      </c>
      <c r="E649" s="5" t="s">
        <v>1080</v>
      </c>
      <c r="F649" s="6" t="s">
        <v>883</v>
      </c>
      <c r="G649" s="4" t="s">
        <v>2</v>
      </c>
      <c r="H649" s="25">
        <v>35649.980000000003</v>
      </c>
      <c r="I649" s="8">
        <v>0</v>
      </c>
      <c r="J649" s="9">
        <v>0</v>
      </c>
      <c r="K649" s="7">
        <v>0</v>
      </c>
      <c r="L649" s="24">
        <f>+Tabla2[[#This Row],[Stock Inventario]]*Tabla2[[#This Row],[Coste LÃ­nea]]</f>
        <v>0</v>
      </c>
      <c r="M649" s="24">
        <f>+Tabla2[[#This Row],[Variación Stock]]*Tabla2[[#This Row],[Coste LÃ­nea]]</f>
        <v>0</v>
      </c>
      <c r="N649" s="22" t="str">
        <f>+IF(Tabla2[[#This Row],[Variación Stock]]&gt;0,"Sobrante",IF(Tabla2[[#This Row],[Variación Stock]]&lt;0,"Faltante","Sin novedad"))</f>
        <v>Sin novedad</v>
      </c>
    </row>
    <row r="650" spans="1:14" hidden="1" x14ac:dyDescent="0.25">
      <c r="A650" s="11">
        <v>46053</v>
      </c>
      <c r="B650" s="5" t="s">
        <v>972</v>
      </c>
      <c r="C650" s="3" t="s">
        <v>213</v>
      </c>
      <c r="D650" s="5" t="s">
        <v>803</v>
      </c>
      <c r="E650" s="5" t="s">
        <v>117</v>
      </c>
      <c r="F650" s="6" t="s">
        <v>810</v>
      </c>
      <c r="G650" s="4" t="s">
        <v>1</v>
      </c>
      <c r="H650" s="25">
        <v>17.410252100000001</v>
      </c>
      <c r="I650" s="8">
        <v>5526.9335000000001</v>
      </c>
      <c r="J650" s="9">
        <v>10000</v>
      </c>
      <c r="K650" s="7">
        <v>4473.0665049999998</v>
      </c>
      <c r="L650" s="24">
        <f>+Tabla2[[#This Row],[Stock Inventario]]*Tabla2[[#This Row],[Coste LÃ­nea]]</f>
        <v>174102.52100000001</v>
      </c>
      <c r="M650" s="24">
        <f>+Tabla2[[#This Row],[Variación Stock]]*Tabla2[[#This Row],[Coste LÃ­nea]]</f>
        <v>77877.215512115916</v>
      </c>
      <c r="N650" s="22" t="str">
        <f>+IF(Tabla2[[#This Row],[Variación Stock]]&gt;0,"Sobrante",IF(Tabla2[[#This Row],[Variación Stock]]&lt;0,"Faltante","Sin novedad"))</f>
        <v>Sobrante</v>
      </c>
    </row>
    <row r="651" spans="1:14" hidden="1" x14ac:dyDescent="0.25">
      <c r="A651" s="11">
        <v>46053</v>
      </c>
      <c r="B651" s="5" t="s">
        <v>972</v>
      </c>
      <c r="C651" s="3" t="s">
        <v>213</v>
      </c>
      <c r="D651" s="5" t="s">
        <v>396</v>
      </c>
      <c r="E651" s="5" t="s">
        <v>117</v>
      </c>
      <c r="F651" s="6" t="s">
        <v>447</v>
      </c>
      <c r="G651" s="4" t="s">
        <v>1</v>
      </c>
      <c r="H651" s="25">
        <v>26.683</v>
      </c>
      <c r="I651" s="8">
        <v>3000</v>
      </c>
      <c r="J651" s="9">
        <v>0</v>
      </c>
      <c r="K651" s="7">
        <v>-3000</v>
      </c>
      <c r="L651" s="24">
        <f>+Tabla2[[#This Row],[Stock Inventario]]*Tabla2[[#This Row],[Coste LÃ­nea]]</f>
        <v>0</v>
      </c>
      <c r="M651" s="24">
        <f>+Tabla2[[#This Row],[Variación Stock]]*Tabla2[[#This Row],[Coste LÃ­nea]]</f>
        <v>-80049</v>
      </c>
      <c r="N651" s="22" t="str">
        <f>+IF(Tabla2[[#This Row],[Variación Stock]]&gt;0,"Sobrante",IF(Tabla2[[#This Row],[Variación Stock]]&lt;0,"Faltante","Sin novedad"))</f>
        <v>Faltante</v>
      </c>
    </row>
    <row r="652" spans="1:14" hidden="1" x14ac:dyDescent="0.25">
      <c r="A652" s="11">
        <v>46053</v>
      </c>
      <c r="B652" s="5" t="s">
        <v>972</v>
      </c>
      <c r="C652" s="3" t="s">
        <v>213</v>
      </c>
      <c r="D652" s="5" t="s">
        <v>396</v>
      </c>
      <c r="E652" s="5" t="s">
        <v>117</v>
      </c>
      <c r="F652" s="6" t="s">
        <v>861</v>
      </c>
      <c r="G652" s="4" t="s">
        <v>2</v>
      </c>
      <c r="H652" s="25">
        <v>500</v>
      </c>
      <c r="I652" s="8">
        <v>-2</v>
      </c>
      <c r="J652" s="9">
        <v>0</v>
      </c>
      <c r="K652" s="7">
        <v>2</v>
      </c>
      <c r="L652" s="24">
        <f>+Tabla2[[#This Row],[Stock Inventario]]*Tabla2[[#This Row],[Coste LÃ­nea]]</f>
        <v>0</v>
      </c>
      <c r="M652" s="24">
        <f>+Tabla2[[#This Row],[Variación Stock]]*Tabla2[[#This Row],[Coste LÃ­nea]]</f>
        <v>1000</v>
      </c>
      <c r="N652" s="22" t="str">
        <f>+IF(Tabla2[[#This Row],[Variación Stock]]&gt;0,"Sobrante",IF(Tabla2[[#This Row],[Variación Stock]]&lt;0,"Faltante","Sin novedad"))</f>
        <v>Sobrante</v>
      </c>
    </row>
    <row r="653" spans="1:14" hidden="1" x14ac:dyDescent="0.25">
      <c r="A653" s="11">
        <v>46053</v>
      </c>
      <c r="B653" s="5" t="s">
        <v>972</v>
      </c>
      <c r="C653" s="3" t="s">
        <v>213</v>
      </c>
      <c r="D653" s="5" t="s">
        <v>116</v>
      </c>
      <c r="E653" s="5" t="s">
        <v>117</v>
      </c>
      <c r="F653" s="6" t="s">
        <v>255</v>
      </c>
      <c r="G653" s="4" t="s">
        <v>1</v>
      </c>
      <c r="H653" s="25">
        <v>32</v>
      </c>
      <c r="I653" s="8">
        <v>5140</v>
      </c>
      <c r="J653" s="9">
        <v>0</v>
      </c>
      <c r="K653" s="7">
        <v>-5140</v>
      </c>
      <c r="L653" s="24">
        <f>+Tabla2[[#This Row],[Stock Inventario]]*Tabla2[[#This Row],[Coste LÃ­nea]]</f>
        <v>0</v>
      </c>
      <c r="M653" s="24">
        <f>+Tabla2[[#This Row],[Variación Stock]]*Tabla2[[#This Row],[Coste LÃ­nea]]</f>
        <v>-164480</v>
      </c>
      <c r="N653" s="22" t="str">
        <f>+IF(Tabla2[[#This Row],[Variación Stock]]&gt;0,"Sobrante",IF(Tabla2[[#This Row],[Variación Stock]]&lt;0,"Faltante","Sin novedad"))</f>
        <v>Faltante</v>
      </c>
    </row>
    <row r="654" spans="1:14" hidden="1" x14ac:dyDescent="0.25">
      <c r="A654" s="11">
        <v>46053</v>
      </c>
      <c r="B654" s="5" t="s">
        <v>972</v>
      </c>
      <c r="C654" s="3" t="s">
        <v>213</v>
      </c>
      <c r="D654" s="5" t="s">
        <v>116</v>
      </c>
      <c r="E654" s="5" t="s">
        <v>117</v>
      </c>
      <c r="F654" s="6" t="s">
        <v>5</v>
      </c>
      <c r="G654" s="4" t="s">
        <v>1</v>
      </c>
      <c r="H654" s="25">
        <v>23</v>
      </c>
      <c r="I654" s="8">
        <v>2155</v>
      </c>
      <c r="J654" s="9">
        <v>0</v>
      </c>
      <c r="K654" s="7">
        <v>-2155</v>
      </c>
      <c r="L654" s="24">
        <f>+Tabla2[[#This Row],[Stock Inventario]]*Tabla2[[#This Row],[Coste LÃ­nea]]</f>
        <v>0</v>
      </c>
      <c r="M654" s="24">
        <f>+Tabla2[[#This Row],[Variación Stock]]*Tabla2[[#This Row],[Coste LÃ­nea]]</f>
        <v>-49565</v>
      </c>
      <c r="N654" s="22" t="str">
        <f>+IF(Tabla2[[#This Row],[Variación Stock]]&gt;0,"Sobrante",IF(Tabla2[[#This Row],[Variación Stock]]&lt;0,"Faltante","Sin novedad"))</f>
        <v>Faltante</v>
      </c>
    </row>
    <row r="655" spans="1:14" hidden="1" x14ac:dyDescent="0.25">
      <c r="A655" s="11">
        <v>46053</v>
      </c>
      <c r="B655" s="5" t="s">
        <v>972</v>
      </c>
      <c r="C655" s="3" t="s">
        <v>213</v>
      </c>
      <c r="D655" s="5" t="s">
        <v>559</v>
      </c>
      <c r="E655" s="5" t="s">
        <v>1080</v>
      </c>
      <c r="F655" s="6" t="s">
        <v>592</v>
      </c>
      <c r="G655" s="4" t="s">
        <v>2</v>
      </c>
      <c r="H655" s="25">
        <v>105046</v>
      </c>
      <c r="I655" s="8">
        <v>1</v>
      </c>
      <c r="J655" s="9">
        <v>700</v>
      </c>
      <c r="K655" s="7">
        <v>699</v>
      </c>
      <c r="L655" s="24">
        <f>+Tabla2[[#This Row],[Stock Inventario]]*Tabla2[[#This Row],[Coste LÃ­nea]]</f>
        <v>73532200</v>
      </c>
      <c r="M655" s="24">
        <f>+Tabla2[[#This Row],[Variación Stock]]*Tabla2[[#This Row],[Coste LÃ­nea]]</f>
        <v>73427154</v>
      </c>
      <c r="N655" s="22" t="str">
        <f>+IF(Tabla2[[#This Row],[Variación Stock]]&gt;0,"Sobrante",IF(Tabla2[[#This Row],[Variación Stock]]&lt;0,"Faltante","Sin novedad"))</f>
        <v>Sobrante</v>
      </c>
    </row>
    <row r="656" spans="1:14" hidden="1" x14ac:dyDescent="0.25">
      <c r="A656" s="11">
        <v>46053</v>
      </c>
      <c r="B656" s="5" t="s">
        <v>972</v>
      </c>
      <c r="C656" s="3" t="s">
        <v>213</v>
      </c>
      <c r="D656" s="5" t="s">
        <v>396</v>
      </c>
      <c r="E656" s="5" t="s">
        <v>117</v>
      </c>
      <c r="F656" s="6" t="s">
        <v>985</v>
      </c>
      <c r="G656" s="4" t="s">
        <v>1</v>
      </c>
      <c r="H656" s="25">
        <v>22.314666670000001</v>
      </c>
      <c r="I656" s="8">
        <v>4930</v>
      </c>
      <c r="J656" s="9">
        <v>2500</v>
      </c>
      <c r="K656" s="7">
        <v>-2430</v>
      </c>
      <c r="L656" s="24">
        <f>+Tabla2[[#This Row],[Stock Inventario]]*Tabla2[[#This Row],[Coste LÃ­nea]]</f>
        <v>55786.666675</v>
      </c>
      <c r="M656" s="24">
        <f>+Tabla2[[#This Row],[Variación Stock]]*Tabla2[[#This Row],[Coste LÃ­nea]]</f>
        <v>-54224.640008100003</v>
      </c>
      <c r="N656" s="22" t="str">
        <f>+IF(Tabla2[[#This Row],[Variación Stock]]&gt;0,"Sobrante",IF(Tabla2[[#This Row],[Variación Stock]]&lt;0,"Faltante","Sin novedad"))</f>
        <v>Faltante</v>
      </c>
    </row>
    <row r="657" spans="1:14" hidden="1" x14ac:dyDescent="0.25">
      <c r="A657" s="11">
        <v>46053</v>
      </c>
      <c r="B657" s="5" t="s">
        <v>972</v>
      </c>
      <c r="C657" s="3" t="s">
        <v>213</v>
      </c>
      <c r="D657" s="5" t="s">
        <v>471</v>
      </c>
      <c r="E657" s="5" t="s">
        <v>117</v>
      </c>
      <c r="F657" s="6" t="s">
        <v>522</v>
      </c>
      <c r="G657" s="4" t="s">
        <v>1</v>
      </c>
      <c r="H657" s="25">
        <v>5.5</v>
      </c>
      <c r="I657" s="8">
        <v>0</v>
      </c>
      <c r="J657" s="9">
        <v>0</v>
      </c>
      <c r="K657" s="7">
        <v>0</v>
      </c>
      <c r="L657" s="24">
        <f>+Tabla2[[#This Row],[Stock Inventario]]*Tabla2[[#This Row],[Coste LÃ­nea]]</f>
        <v>0</v>
      </c>
      <c r="M657" s="24">
        <f>+Tabla2[[#This Row],[Variación Stock]]*Tabla2[[#This Row],[Coste LÃ­nea]]</f>
        <v>0</v>
      </c>
      <c r="N657" s="22" t="str">
        <f>+IF(Tabla2[[#This Row],[Variación Stock]]&gt;0,"Sobrante",IF(Tabla2[[#This Row],[Variación Stock]]&lt;0,"Faltante","Sin novedad"))</f>
        <v>Sin novedad</v>
      </c>
    </row>
    <row r="658" spans="1:14" hidden="1" x14ac:dyDescent="0.25">
      <c r="A658" s="11">
        <v>46053</v>
      </c>
      <c r="B658" s="5" t="s">
        <v>972</v>
      </c>
      <c r="C658" s="3" t="s">
        <v>213</v>
      </c>
      <c r="D658" s="5" t="s">
        <v>471</v>
      </c>
      <c r="E658" s="5" t="s">
        <v>117</v>
      </c>
      <c r="F658" s="6" t="s">
        <v>523</v>
      </c>
      <c r="G658" s="4" t="s">
        <v>1</v>
      </c>
      <c r="H658" s="25">
        <v>8</v>
      </c>
      <c r="I658" s="8">
        <v>-153.04429999999999</v>
      </c>
      <c r="J658" s="9">
        <v>200</v>
      </c>
      <c r="K658" s="7">
        <v>353.04431</v>
      </c>
      <c r="L658" s="24">
        <f>+Tabla2[[#This Row],[Stock Inventario]]*Tabla2[[#This Row],[Coste LÃ­nea]]</f>
        <v>1600</v>
      </c>
      <c r="M658" s="24">
        <f>+Tabla2[[#This Row],[Variación Stock]]*Tabla2[[#This Row],[Coste LÃ­nea]]</f>
        <v>2824.35448</v>
      </c>
      <c r="N658" s="22" t="str">
        <f>+IF(Tabla2[[#This Row],[Variación Stock]]&gt;0,"Sobrante",IF(Tabla2[[#This Row],[Variación Stock]]&lt;0,"Faltante","Sin novedad"))</f>
        <v>Sobrante</v>
      </c>
    </row>
    <row r="659" spans="1:14" hidden="1" x14ac:dyDescent="0.25">
      <c r="A659" s="11">
        <v>46053</v>
      </c>
      <c r="B659" s="5" t="s">
        <v>972</v>
      </c>
      <c r="C659" s="3" t="s">
        <v>213</v>
      </c>
      <c r="D659" s="5" t="s">
        <v>626</v>
      </c>
      <c r="E659" s="5" t="s">
        <v>1079</v>
      </c>
      <c r="F659" s="6" t="s">
        <v>662</v>
      </c>
      <c r="G659" s="4" t="s">
        <v>2</v>
      </c>
      <c r="H659" s="25">
        <v>42865</v>
      </c>
      <c r="I659" s="8">
        <v>6</v>
      </c>
      <c r="J659" s="9">
        <v>5</v>
      </c>
      <c r="K659" s="7">
        <v>-1</v>
      </c>
      <c r="L659" s="24">
        <f>+Tabla2[[#This Row],[Stock Inventario]]*Tabla2[[#This Row],[Coste LÃ­nea]]</f>
        <v>214325</v>
      </c>
      <c r="M659" s="24">
        <f>+Tabla2[[#This Row],[Variación Stock]]*Tabla2[[#This Row],[Coste LÃ­nea]]</f>
        <v>-42865</v>
      </c>
      <c r="N659" s="22" t="str">
        <f>+IF(Tabla2[[#This Row],[Variación Stock]]&gt;0,"Sobrante",IF(Tabla2[[#This Row],[Variación Stock]]&lt;0,"Faltante","Sin novedad"))</f>
        <v>Faltante</v>
      </c>
    </row>
    <row r="660" spans="1:14" x14ac:dyDescent="0.25">
      <c r="A660" s="11">
        <v>46037</v>
      </c>
      <c r="B660" s="5" t="s">
        <v>212</v>
      </c>
      <c r="C660" s="3" t="s">
        <v>213</v>
      </c>
      <c r="D660" s="5" t="s">
        <v>122</v>
      </c>
      <c r="E660" s="5" t="s">
        <v>112</v>
      </c>
      <c r="F660" s="6" t="s">
        <v>104</v>
      </c>
      <c r="G660" s="4" t="s">
        <v>2</v>
      </c>
      <c r="H660" s="24">
        <v>3458.25</v>
      </c>
      <c r="I660" s="8">
        <v>2</v>
      </c>
      <c r="J660" s="9">
        <v>8</v>
      </c>
      <c r="K660" s="7">
        <v>6</v>
      </c>
      <c r="L660" s="24">
        <f>+Tabla2[[#This Row],[Stock Inventario]]*Tabla2[[#This Row],[Coste LÃ­nea]]</f>
        <v>27666</v>
      </c>
      <c r="M660" s="24">
        <f>+Tabla2[[#This Row],[Variación Stock]]*Tabla2[[#This Row],[Coste LÃ­nea]]</f>
        <v>20749.5</v>
      </c>
      <c r="N660" s="22" t="str">
        <f>+IF(Tabla2[[#This Row],[Variación Stock]]&gt;0,"Sobrante",IF(Tabla2[[#This Row],[Variación Stock]]&lt;0,"Faltante","Sin novedad"))</f>
        <v>Sobrante</v>
      </c>
    </row>
    <row r="661" spans="1:14" hidden="1" x14ac:dyDescent="0.25">
      <c r="A661" s="11">
        <v>46053</v>
      </c>
      <c r="B661" s="5" t="s">
        <v>972</v>
      </c>
      <c r="C661" s="3" t="s">
        <v>213</v>
      </c>
      <c r="D661" s="5" t="s">
        <v>471</v>
      </c>
      <c r="E661" s="5" t="s">
        <v>117</v>
      </c>
      <c r="F661" s="6" t="s">
        <v>525</v>
      </c>
      <c r="G661" s="4" t="s">
        <v>1</v>
      </c>
      <c r="H661" s="25">
        <v>5.2</v>
      </c>
      <c r="I661" s="8">
        <v>25500</v>
      </c>
      <c r="J661" s="9">
        <v>2000</v>
      </c>
      <c r="K661" s="7">
        <v>-23500.000004000001</v>
      </c>
      <c r="L661" s="24">
        <f>+Tabla2[[#This Row],[Stock Inventario]]*Tabla2[[#This Row],[Coste LÃ­nea]]</f>
        <v>10400</v>
      </c>
      <c r="M661" s="24">
        <f>+Tabla2[[#This Row],[Variación Stock]]*Tabla2[[#This Row],[Coste LÃ­nea]]</f>
        <v>-122200.00002080001</v>
      </c>
      <c r="N661" s="22" t="str">
        <f>+IF(Tabla2[[#This Row],[Variación Stock]]&gt;0,"Sobrante",IF(Tabla2[[#This Row],[Variación Stock]]&lt;0,"Faltante","Sin novedad"))</f>
        <v>Faltante</v>
      </c>
    </row>
    <row r="662" spans="1:14" hidden="1" x14ac:dyDescent="0.25">
      <c r="A662" s="11">
        <v>46053</v>
      </c>
      <c r="B662" s="5" t="s">
        <v>972</v>
      </c>
      <c r="C662" s="3" t="s">
        <v>213</v>
      </c>
      <c r="D662" s="5" t="s">
        <v>116</v>
      </c>
      <c r="E662" s="5" t="s">
        <v>117</v>
      </c>
      <c r="F662" s="6" t="s">
        <v>369</v>
      </c>
      <c r="G662" s="4" t="s">
        <v>2</v>
      </c>
      <c r="H662" s="25">
        <v>2552.9411764699998</v>
      </c>
      <c r="I662" s="8">
        <v>0</v>
      </c>
      <c r="J662" s="9">
        <v>0</v>
      </c>
      <c r="K662" s="7">
        <v>0</v>
      </c>
      <c r="L662" s="24">
        <f>+Tabla2[[#This Row],[Stock Inventario]]*Tabla2[[#This Row],[Coste LÃ­nea]]</f>
        <v>0</v>
      </c>
      <c r="M662" s="24">
        <f>+Tabla2[[#This Row],[Variación Stock]]*Tabla2[[#This Row],[Coste LÃ­nea]]</f>
        <v>0</v>
      </c>
      <c r="N662" s="22" t="str">
        <f>+IF(Tabla2[[#This Row],[Variación Stock]]&gt;0,"Sobrante",IF(Tabla2[[#This Row],[Variación Stock]]&lt;0,"Faltante","Sin novedad"))</f>
        <v>Sin novedad</v>
      </c>
    </row>
    <row r="663" spans="1:14" hidden="1" x14ac:dyDescent="0.25">
      <c r="A663" s="11">
        <v>46053</v>
      </c>
      <c r="B663" s="5" t="s">
        <v>972</v>
      </c>
      <c r="C663" s="3" t="s">
        <v>213</v>
      </c>
      <c r="D663" s="5" t="s">
        <v>471</v>
      </c>
      <c r="E663" s="5" t="s">
        <v>117</v>
      </c>
      <c r="F663" s="6" t="s">
        <v>524</v>
      </c>
      <c r="G663" s="4" t="s">
        <v>1</v>
      </c>
      <c r="H663" s="25">
        <v>5.5</v>
      </c>
      <c r="I663" s="8">
        <v>12248.170599999999</v>
      </c>
      <c r="J663" s="9">
        <v>7000</v>
      </c>
      <c r="K663" s="7">
        <v>-5248.1705510000002</v>
      </c>
      <c r="L663" s="24">
        <f>+Tabla2[[#This Row],[Stock Inventario]]*Tabla2[[#This Row],[Coste LÃ­nea]]</f>
        <v>38500</v>
      </c>
      <c r="M663" s="24">
        <f>+Tabla2[[#This Row],[Variación Stock]]*Tabla2[[#This Row],[Coste LÃ­nea]]</f>
        <v>-28864.938030500001</v>
      </c>
      <c r="N663" s="22" t="str">
        <f>+IF(Tabla2[[#This Row],[Variación Stock]]&gt;0,"Sobrante",IF(Tabla2[[#This Row],[Variación Stock]]&lt;0,"Faltante","Sin novedad"))</f>
        <v>Faltante</v>
      </c>
    </row>
    <row r="664" spans="1:14" hidden="1" x14ac:dyDescent="0.25">
      <c r="A664" s="11">
        <v>46053</v>
      </c>
      <c r="B664" s="5" t="s">
        <v>972</v>
      </c>
      <c r="C664" s="3" t="s">
        <v>213</v>
      </c>
      <c r="D664" s="5" t="s">
        <v>396</v>
      </c>
      <c r="E664" s="5" t="s">
        <v>117</v>
      </c>
      <c r="F664" s="6" t="s">
        <v>416</v>
      </c>
      <c r="G664" s="4" t="s">
        <v>1</v>
      </c>
      <c r="H664" s="25">
        <v>101.6566</v>
      </c>
      <c r="I664" s="8">
        <v>-3.5400000000000001E-2</v>
      </c>
      <c r="J664" s="9">
        <v>250</v>
      </c>
      <c r="K664" s="7">
        <v>250.03538499999999</v>
      </c>
      <c r="L664" s="24">
        <f>+Tabla2[[#This Row],[Stock Inventario]]*Tabla2[[#This Row],[Coste LÃ­nea]]</f>
        <v>25414.149999999998</v>
      </c>
      <c r="M664" s="24">
        <f>+Tabla2[[#This Row],[Variación Stock]]*Tabla2[[#This Row],[Coste LÃ­nea]]</f>
        <v>25417.747118790998</v>
      </c>
      <c r="N664" s="22" t="str">
        <f>+IF(Tabla2[[#This Row],[Variación Stock]]&gt;0,"Sobrante",IF(Tabla2[[#This Row],[Variación Stock]]&lt;0,"Faltante","Sin novedad"))</f>
        <v>Sobrante</v>
      </c>
    </row>
    <row r="665" spans="1:14" hidden="1" x14ac:dyDescent="0.25">
      <c r="A665" s="11">
        <v>46053</v>
      </c>
      <c r="B665" s="5" t="s">
        <v>972</v>
      </c>
      <c r="C665" s="3" t="s">
        <v>213</v>
      </c>
      <c r="D665" s="5" t="s">
        <v>396</v>
      </c>
      <c r="E665" s="5" t="s">
        <v>117</v>
      </c>
      <c r="F665" s="6" t="s">
        <v>448</v>
      </c>
      <c r="G665" s="4" t="s">
        <v>1</v>
      </c>
      <c r="H665" s="25">
        <v>59.538105729999998</v>
      </c>
      <c r="I665" s="8">
        <v>152.166</v>
      </c>
      <c r="J665" s="9">
        <v>1000</v>
      </c>
      <c r="K665" s="7">
        <v>847.83398499999998</v>
      </c>
      <c r="L665" s="24">
        <f>+Tabla2[[#This Row],[Stock Inventario]]*Tabla2[[#This Row],[Coste LÃ­nea]]</f>
        <v>59538.105729999996</v>
      </c>
      <c r="M665" s="24">
        <f>+Tabla2[[#This Row],[Variación Stock]]*Tabla2[[#This Row],[Coste LÃ­nea]]</f>
        <v>50478.429440417232</v>
      </c>
      <c r="N665" s="22" t="str">
        <f>+IF(Tabla2[[#This Row],[Variación Stock]]&gt;0,"Sobrante",IF(Tabla2[[#This Row],[Variación Stock]]&lt;0,"Faltante","Sin novedad"))</f>
        <v>Sobrante</v>
      </c>
    </row>
    <row r="666" spans="1:14" hidden="1" x14ac:dyDescent="0.25">
      <c r="A666" s="11">
        <v>46053</v>
      </c>
      <c r="B666" s="5" t="s">
        <v>972</v>
      </c>
      <c r="C666" s="3" t="s">
        <v>213</v>
      </c>
      <c r="D666" s="5" t="s">
        <v>396</v>
      </c>
      <c r="E666" s="5" t="s">
        <v>117</v>
      </c>
      <c r="F666" s="6" t="s">
        <v>419</v>
      </c>
      <c r="G666" s="4" t="s">
        <v>1</v>
      </c>
      <c r="H666" s="25">
        <v>104</v>
      </c>
      <c r="I666" s="8">
        <v>50</v>
      </c>
      <c r="J666" s="9">
        <v>0</v>
      </c>
      <c r="K666" s="7">
        <v>-50</v>
      </c>
      <c r="L666" s="24">
        <f>+Tabla2[[#This Row],[Stock Inventario]]*Tabla2[[#This Row],[Coste LÃ­nea]]</f>
        <v>0</v>
      </c>
      <c r="M666" s="24">
        <f>+Tabla2[[#This Row],[Variación Stock]]*Tabla2[[#This Row],[Coste LÃ­nea]]</f>
        <v>-5200</v>
      </c>
      <c r="N666" s="22" t="str">
        <f>+IF(Tabla2[[#This Row],[Variación Stock]]&gt;0,"Sobrante",IF(Tabla2[[#This Row],[Variación Stock]]&lt;0,"Faltante","Sin novedad"))</f>
        <v>Faltante</v>
      </c>
    </row>
    <row r="667" spans="1:14" hidden="1" x14ac:dyDescent="0.25">
      <c r="A667" s="11">
        <v>46053</v>
      </c>
      <c r="B667" s="5" t="s">
        <v>972</v>
      </c>
      <c r="C667" s="3" t="s">
        <v>213</v>
      </c>
      <c r="D667" s="5" t="s">
        <v>559</v>
      </c>
      <c r="E667" s="5" t="s">
        <v>1080</v>
      </c>
      <c r="F667" s="6" t="s">
        <v>568</v>
      </c>
      <c r="G667" s="4" t="s">
        <v>2</v>
      </c>
      <c r="H667" s="25">
        <v>146.72403</v>
      </c>
      <c r="I667" s="8">
        <v>2200</v>
      </c>
      <c r="J667" s="9">
        <v>300</v>
      </c>
      <c r="K667" s="7">
        <v>-1900</v>
      </c>
      <c r="L667" s="24">
        <f>+Tabla2[[#This Row],[Stock Inventario]]*Tabla2[[#This Row],[Coste LÃ­nea]]</f>
        <v>44017.209000000003</v>
      </c>
      <c r="M667" s="24">
        <f>+Tabla2[[#This Row],[Variación Stock]]*Tabla2[[#This Row],[Coste LÃ­nea]]</f>
        <v>-278775.65700000001</v>
      </c>
      <c r="N667" s="22" t="str">
        <f>+IF(Tabla2[[#This Row],[Variación Stock]]&gt;0,"Sobrante",IF(Tabla2[[#This Row],[Variación Stock]]&lt;0,"Faltante","Sin novedad"))</f>
        <v>Faltante</v>
      </c>
    </row>
    <row r="668" spans="1:14" x14ac:dyDescent="0.25">
      <c r="A668" s="11">
        <v>46044</v>
      </c>
      <c r="B668" s="5" t="s">
        <v>383</v>
      </c>
      <c r="C668" s="3" t="s">
        <v>213</v>
      </c>
      <c r="D668" s="5" t="s">
        <v>122</v>
      </c>
      <c r="E668" s="5" t="s">
        <v>112</v>
      </c>
      <c r="F668" s="6" t="s">
        <v>104</v>
      </c>
      <c r="G668" s="4" t="s">
        <v>2</v>
      </c>
      <c r="H668" s="25">
        <v>3458.25</v>
      </c>
      <c r="I668" s="8">
        <v>18</v>
      </c>
      <c r="J668" s="9">
        <v>18</v>
      </c>
      <c r="K668" s="7">
        <v>0</v>
      </c>
      <c r="L668" s="24">
        <f>+Tabla2[[#This Row],[Stock Inventario]]*Tabla2[[#This Row],[Coste LÃ­nea]]</f>
        <v>62248.5</v>
      </c>
      <c r="M668" s="24">
        <f>+Tabla2[[#This Row],[Variación Stock]]*Tabla2[[#This Row],[Coste LÃ­nea]]</f>
        <v>0</v>
      </c>
      <c r="N668" s="22" t="str">
        <f>+IF(Tabla2[[#This Row],[Variación Stock]]&gt;0,"Sobrante",IF(Tabla2[[#This Row],[Variación Stock]]&lt;0,"Faltante","Sin novedad"))</f>
        <v>Sin novedad</v>
      </c>
    </row>
    <row r="669" spans="1:14" x14ac:dyDescent="0.25">
      <c r="A669" s="11">
        <v>46053</v>
      </c>
      <c r="B669" s="5" t="s">
        <v>972</v>
      </c>
      <c r="C669" s="3" t="s">
        <v>213</v>
      </c>
      <c r="D669" s="5" t="s">
        <v>122</v>
      </c>
      <c r="E669" s="5" t="s">
        <v>112</v>
      </c>
      <c r="F669" s="6" t="s">
        <v>104</v>
      </c>
      <c r="G669" s="4" t="s">
        <v>2</v>
      </c>
      <c r="H669" s="25">
        <v>3458.25</v>
      </c>
      <c r="I669" s="8">
        <v>15</v>
      </c>
      <c r="J669" s="9">
        <v>14</v>
      </c>
      <c r="K669" s="7">
        <v>-1</v>
      </c>
      <c r="L669" s="24">
        <f>+Tabla2[[#This Row],[Stock Inventario]]*Tabla2[[#This Row],[Coste LÃ­nea]]</f>
        <v>48415.5</v>
      </c>
      <c r="M669" s="24">
        <f>+Tabla2[[#This Row],[Variación Stock]]*Tabla2[[#This Row],[Coste LÃ­nea]]</f>
        <v>-3458.25</v>
      </c>
      <c r="N669" s="22" t="str">
        <f>+IF(Tabla2[[#This Row],[Variación Stock]]&gt;0,"Sobrante",IF(Tabla2[[#This Row],[Variación Stock]]&lt;0,"Faltante","Sin novedad"))</f>
        <v>Faltante</v>
      </c>
    </row>
    <row r="670" spans="1:14" x14ac:dyDescent="0.25">
      <c r="A670" s="11">
        <v>46037</v>
      </c>
      <c r="B670" s="5" t="s">
        <v>212</v>
      </c>
      <c r="C670" s="3" t="s">
        <v>213</v>
      </c>
      <c r="D670" s="5" t="s">
        <v>122</v>
      </c>
      <c r="E670" s="5" t="s">
        <v>112</v>
      </c>
      <c r="F670" s="6" t="s">
        <v>105</v>
      </c>
      <c r="G670" s="4" t="s">
        <v>2</v>
      </c>
      <c r="H670" s="24">
        <v>3458.25</v>
      </c>
      <c r="I670" s="8">
        <v>11</v>
      </c>
      <c r="J670" s="9">
        <v>17</v>
      </c>
      <c r="K670" s="7">
        <v>6</v>
      </c>
      <c r="L670" s="24">
        <f>+Tabla2[[#This Row],[Stock Inventario]]*Tabla2[[#This Row],[Coste LÃ­nea]]</f>
        <v>58790.25</v>
      </c>
      <c r="M670" s="24">
        <f>+Tabla2[[#This Row],[Variación Stock]]*Tabla2[[#This Row],[Coste LÃ­nea]]</f>
        <v>20749.5</v>
      </c>
      <c r="N670" s="22" t="str">
        <f>+IF(Tabla2[[#This Row],[Variación Stock]]&gt;0,"Sobrante",IF(Tabla2[[#This Row],[Variación Stock]]&lt;0,"Faltante","Sin novedad"))</f>
        <v>Sobrante</v>
      </c>
    </row>
    <row r="671" spans="1:14" hidden="1" x14ac:dyDescent="0.25">
      <c r="A671" s="11">
        <v>46053</v>
      </c>
      <c r="B671" s="5" t="s">
        <v>972</v>
      </c>
      <c r="C671" s="3" t="s">
        <v>213</v>
      </c>
      <c r="D671" s="5" t="s">
        <v>559</v>
      </c>
      <c r="E671" s="5" t="s">
        <v>1080</v>
      </c>
      <c r="F671" s="6" t="s">
        <v>580</v>
      </c>
      <c r="G671" s="4" t="s">
        <v>2</v>
      </c>
      <c r="H671" s="25">
        <v>71.420168070000003</v>
      </c>
      <c r="I671" s="8">
        <v>8200</v>
      </c>
      <c r="J671" s="9">
        <v>6800</v>
      </c>
      <c r="K671" s="7">
        <v>-1400</v>
      </c>
      <c r="L671" s="24">
        <f>+Tabla2[[#This Row],[Stock Inventario]]*Tabla2[[#This Row],[Coste LÃ­nea]]</f>
        <v>485657.14287600003</v>
      </c>
      <c r="M671" s="24">
        <f>+Tabla2[[#This Row],[Variación Stock]]*Tabla2[[#This Row],[Coste LÃ­nea]]</f>
        <v>-99988.235298</v>
      </c>
      <c r="N671" s="22" t="str">
        <f>+IF(Tabla2[[#This Row],[Variación Stock]]&gt;0,"Sobrante",IF(Tabla2[[#This Row],[Variación Stock]]&lt;0,"Faltante","Sin novedad"))</f>
        <v>Faltante</v>
      </c>
    </row>
    <row r="672" spans="1:14" hidden="1" x14ac:dyDescent="0.25">
      <c r="A672" s="11">
        <v>46053</v>
      </c>
      <c r="B672" s="5" t="s">
        <v>972</v>
      </c>
      <c r="C672" s="3" t="s">
        <v>213</v>
      </c>
      <c r="D672" s="5" t="s">
        <v>471</v>
      </c>
      <c r="E672" s="5" t="s">
        <v>117</v>
      </c>
      <c r="F672" s="6" t="s">
        <v>526</v>
      </c>
      <c r="G672" s="4" t="s">
        <v>1</v>
      </c>
      <c r="H672" s="25">
        <v>3.5</v>
      </c>
      <c r="I672" s="8">
        <v>0</v>
      </c>
      <c r="J672" s="9">
        <v>0</v>
      </c>
      <c r="K672" s="7">
        <v>0</v>
      </c>
      <c r="L672" s="24">
        <f>+Tabla2[[#This Row],[Stock Inventario]]*Tabla2[[#This Row],[Coste LÃ­nea]]</f>
        <v>0</v>
      </c>
      <c r="M672" s="24">
        <f>+Tabla2[[#This Row],[Variación Stock]]*Tabla2[[#This Row],[Coste LÃ­nea]]</f>
        <v>0</v>
      </c>
      <c r="N672" s="22" t="str">
        <f>+IF(Tabla2[[#This Row],[Variación Stock]]&gt;0,"Sobrante",IF(Tabla2[[#This Row],[Variación Stock]]&lt;0,"Faltante","Sin novedad"))</f>
        <v>Sin novedad</v>
      </c>
    </row>
    <row r="673" spans="1:14" hidden="1" x14ac:dyDescent="0.25">
      <c r="A673" s="11">
        <v>46053</v>
      </c>
      <c r="B673" s="5" t="s">
        <v>972</v>
      </c>
      <c r="C673" s="3" t="s">
        <v>213</v>
      </c>
      <c r="D673" s="5" t="s">
        <v>471</v>
      </c>
      <c r="E673" s="5" t="s">
        <v>117</v>
      </c>
      <c r="F673" s="6" t="s">
        <v>527</v>
      </c>
      <c r="G673" s="4" t="s">
        <v>1</v>
      </c>
      <c r="H673" s="25">
        <v>3.3</v>
      </c>
      <c r="I673" s="8">
        <v>1000</v>
      </c>
      <c r="J673" s="9">
        <v>0</v>
      </c>
      <c r="K673" s="7">
        <v>-1000</v>
      </c>
      <c r="L673" s="24">
        <f>+Tabla2[[#This Row],[Stock Inventario]]*Tabla2[[#This Row],[Coste LÃ­nea]]</f>
        <v>0</v>
      </c>
      <c r="M673" s="24">
        <f>+Tabla2[[#This Row],[Variación Stock]]*Tabla2[[#This Row],[Coste LÃ­nea]]</f>
        <v>-3300</v>
      </c>
      <c r="N673" s="22" t="str">
        <f>+IF(Tabla2[[#This Row],[Variación Stock]]&gt;0,"Sobrante",IF(Tabla2[[#This Row],[Variación Stock]]&lt;0,"Faltante","Sin novedad"))</f>
        <v>Faltante</v>
      </c>
    </row>
    <row r="674" spans="1:14" hidden="1" x14ac:dyDescent="0.25">
      <c r="A674" s="11">
        <v>46053</v>
      </c>
      <c r="B674" s="5" t="s">
        <v>972</v>
      </c>
      <c r="C674" s="3" t="s">
        <v>213</v>
      </c>
      <c r="D674" s="5" t="s">
        <v>559</v>
      </c>
      <c r="E674" s="5" t="s">
        <v>1080</v>
      </c>
      <c r="F674" s="6" t="s">
        <v>1017</v>
      </c>
      <c r="G674" s="4" t="s">
        <v>2</v>
      </c>
      <c r="H674" s="25">
        <v>123</v>
      </c>
      <c r="I674" s="8">
        <v>6400</v>
      </c>
      <c r="J674" s="9">
        <v>0</v>
      </c>
      <c r="K674" s="7">
        <v>-6400</v>
      </c>
      <c r="L674" s="24">
        <f>+Tabla2[[#This Row],[Stock Inventario]]*Tabla2[[#This Row],[Coste LÃ­nea]]</f>
        <v>0</v>
      </c>
      <c r="M674" s="24">
        <f>+Tabla2[[#This Row],[Variación Stock]]*Tabla2[[#This Row],[Coste LÃ­nea]]</f>
        <v>-787200</v>
      </c>
      <c r="N674" s="22" t="str">
        <f>+IF(Tabla2[[#This Row],[Variación Stock]]&gt;0,"Sobrante",IF(Tabla2[[#This Row],[Variación Stock]]&lt;0,"Faltante","Sin novedad"))</f>
        <v>Faltante</v>
      </c>
    </row>
    <row r="675" spans="1:14" hidden="1" x14ac:dyDescent="0.25">
      <c r="A675" s="11">
        <v>46053</v>
      </c>
      <c r="B675" s="5" t="s">
        <v>972</v>
      </c>
      <c r="C675" s="3" t="s">
        <v>213</v>
      </c>
      <c r="D675" s="5" t="s">
        <v>803</v>
      </c>
      <c r="E675" s="5" t="s">
        <v>117</v>
      </c>
      <c r="F675" s="6" t="s">
        <v>1063</v>
      </c>
      <c r="G675" s="4" t="s">
        <v>1</v>
      </c>
      <c r="H675" s="25">
        <v>6.9930000000000003</v>
      </c>
      <c r="I675" s="8">
        <v>363</v>
      </c>
      <c r="J675" s="9">
        <v>4800</v>
      </c>
      <c r="K675" s="7">
        <v>4437</v>
      </c>
      <c r="L675" s="24">
        <f>+Tabla2[[#This Row],[Stock Inventario]]*Tabla2[[#This Row],[Coste LÃ­nea]]</f>
        <v>33566.400000000001</v>
      </c>
      <c r="M675" s="24">
        <f>+Tabla2[[#This Row],[Variación Stock]]*Tabla2[[#This Row],[Coste LÃ­nea]]</f>
        <v>31027.941000000003</v>
      </c>
      <c r="N675" s="22" t="str">
        <f>+IF(Tabla2[[#This Row],[Variación Stock]]&gt;0,"Sobrante",IF(Tabla2[[#This Row],[Variación Stock]]&lt;0,"Faltante","Sin novedad"))</f>
        <v>Sobrante</v>
      </c>
    </row>
    <row r="676" spans="1:14" hidden="1" x14ac:dyDescent="0.25">
      <c r="A676" s="11">
        <v>46053</v>
      </c>
      <c r="B676" s="5" t="s">
        <v>972</v>
      </c>
      <c r="C676" s="3" t="s">
        <v>213</v>
      </c>
      <c r="D676" s="5" t="s">
        <v>396</v>
      </c>
      <c r="E676" s="5" t="s">
        <v>117</v>
      </c>
      <c r="F676" s="6" t="s">
        <v>855</v>
      </c>
      <c r="G676" s="4" t="s">
        <v>1</v>
      </c>
      <c r="H676" s="25">
        <v>8.8172437000000006</v>
      </c>
      <c r="I676" s="8">
        <v>401</v>
      </c>
      <c r="J676" s="9">
        <v>0</v>
      </c>
      <c r="K676" s="7">
        <v>-401</v>
      </c>
      <c r="L676" s="24">
        <f>+Tabla2[[#This Row],[Stock Inventario]]*Tabla2[[#This Row],[Coste LÃ­nea]]</f>
        <v>0</v>
      </c>
      <c r="M676" s="24">
        <f>+Tabla2[[#This Row],[Variación Stock]]*Tabla2[[#This Row],[Coste LÃ­nea]]</f>
        <v>-3535.7147237000004</v>
      </c>
      <c r="N676" s="22" t="str">
        <f>+IF(Tabla2[[#This Row],[Variación Stock]]&gt;0,"Sobrante",IF(Tabla2[[#This Row],[Variación Stock]]&lt;0,"Faltante","Sin novedad"))</f>
        <v>Faltante</v>
      </c>
    </row>
    <row r="677" spans="1:14" hidden="1" x14ac:dyDescent="0.25">
      <c r="A677" s="11">
        <v>46053</v>
      </c>
      <c r="B677" s="5" t="s">
        <v>972</v>
      </c>
      <c r="C677" s="3" t="s">
        <v>213</v>
      </c>
      <c r="D677" s="5" t="s">
        <v>559</v>
      </c>
      <c r="E677" s="5" t="s">
        <v>1080</v>
      </c>
      <c r="F677" s="6" t="s">
        <v>1014</v>
      </c>
      <c r="G677" s="4" t="s">
        <v>2</v>
      </c>
      <c r="H677" s="25">
        <v>876.05042015000004</v>
      </c>
      <c r="I677" s="8">
        <v>9</v>
      </c>
      <c r="J677" s="9">
        <v>0</v>
      </c>
      <c r="K677" s="7">
        <v>-9</v>
      </c>
      <c r="L677" s="24">
        <f>+Tabla2[[#This Row],[Stock Inventario]]*Tabla2[[#This Row],[Coste LÃ­nea]]</f>
        <v>0</v>
      </c>
      <c r="M677" s="24">
        <f>+Tabla2[[#This Row],[Variación Stock]]*Tabla2[[#This Row],[Coste LÃ­nea]]</f>
        <v>-7884.4537813500001</v>
      </c>
      <c r="N677" s="22" t="str">
        <f>+IF(Tabla2[[#This Row],[Variación Stock]]&gt;0,"Sobrante",IF(Tabla2[[#This Row],[Variación Stock]]&lt;0,"Faltante","Sin novedad"))</f>
        <v>Faltante</v>
      </c>
    </row>
    <row r="678" spans="1:14" hidden="1" x14ac:dyDescent="0.25">
      <c r="A678" s="11">
        <v>46053</v>
      </c>
      <c r="B678" s="5" t="s">
        <v>972</v>
      </c>
      <c r="C678" s="3" t="s">
        <v>213</v>
      </c>
      <c r="D678" s="5" t="s">
        <v>116</v>
      </c>
      <c r="E678" s="5" t="s">
        <v>117</v>
      </c>
      <c r="F678" s="6" t="s">
        <v>161</v>
      </c>
      <c r="G678" s="4" t="s">
        <v>2</v>
      </c>
      <c r="H678" s="25">
        <v>10810</v>
      </c>
      <c r="I678" s="8">
        <v>0</v>
      </c>
      <c r="J678" s="9">
        <v>0</v>
      </c>
      <c r="K678" s="7">
        <v>0</v>
      </c>
      <c r="L678" s="24">
        <f>+Tabla2[[#This Row],[Stock Inventario]]*Tabla2[[#This Row],[Coste LÃ­nea]]</f>
        <v>0</v>
      </c>
      <c r="M678" s="24">
        <f>+Tabla2[[#This Row],[Variación Stock]]*Tabla2[[#This Row],[Coste LÃ­nea]]</f>
        <v>0</v>
      </c>
      <c r="N678" s="22" t="str">
        <f>+IF(Tabla2[[#This Row],[Variación Stock]]&gt;0,"Sobrante",IF(Tabla2[[#This Row],[Variación Stock]]&lt;0,"Faltante","Sin novedad"))</f>
        <v>Sin novedad</v>
      </c>
    </row>
    <row r="679" spans="1:14" hidden="1" x14ac:dyDescent="0.25">
      <c r="A679" s="11">
        <v>46053</v>
      </c>
      <c r="B679" s="5" t="s">
        <v>972</v>
      </c>
      <c r="C679" s="3" t="s">
        <v>213</v>
      </c>
      <c r="D679" s="5" t="s">
        <v>396</v>
      </c>
      <c r="E679" s="5" t="s">
        <v>117</v>
      </c>
      <c r="F679" s="6" t="s">
        <v>975</v>
      </c>
      <c r="G679" s="4" t="s">
        <v>1</v>
      </c>
      <c r="H679" s="25">
        <v>16.065000000000001</v>
      </c>
      <c r="I679" s="8">
        <v>0</v>
      </c>
      <c r="J679" s="9">
        <v>0</v>
      </c>
      <c r="K679" s="7">
        <v>0</v>
      </c>
      <c r="L679" s="24">
        <f>+Tabla2[[#This Row],[Stock Inventario]]*Tabla2[[#This Row],[Coste LÃ­nea]]</f>
        <v>0</v>
      </c>
      <c r="M679" s="24">
        <f>+Tabla2[[#This Row],[Variación Stock]]*Tabla2[[#This Row],[Coste LÃ­nea]]</f>
        <v>0</v>
      </c>
      <c r="N679" s="22" t="str">
        <f>+IF(Tabla2[[#This Row],[Variación Stock]]&gt;0,"Sobrante",IF(Tabla2[[#This Row],[Variación Stock]]&lt;0,"Faltante","Sin novedad"))</f>
        <v>Sin novedad</v>
      </c>
    </row>
    <row r="680" spans="1:14" x14ac:dyDescent="0.25">
      <c r="A680" s="11">
        <v>46044</v>
      </c>
      <c r="B680" s="5" t="s">
        <v>383</v>
      </c>
      <c r="C680" s="3" t="s">
        <v>213</v>
      </c>
      <c r="D680" s="5" t="s">
        <v>122</v>
      </c>
      <c r="E680" s="5" t="s">
        <v>112</v>
      </c>
      <c r="F680" s="6" t="s">
        <v>105</v>
      </c>
      <c r="G680" s="4" t="s">
        <v>2</v>
      </c>
      <c r="H680" s="25">
        <v>3458.25</v>
      </c>
      <c r="I680" s="8">
        <v>15</v>
      </c>
      <c r="J680" s="9">
        <v>14</v>
      </c>
      <c r="K680" s="7">
        <v>-1</v>
      </c>
      <c r="L680" s="24">
        <f>+Tabla2[[#This Row],[Stock Inventario]]*Tabla2[[#This Row],[Coste LÃ­nea]]</f>
        <v>48415.5</v>
      </c>
      <c r="M680" s="24">
        <f>+Tabla2[[#This Row],[Variación Stock]]*Tabla2[[#This Row],[Coste LÃ­nea]]</f>
        <v>-3458.25</v>
      </c>
      <c r="N680" s="22" t="str">
        <f>+IF(Tabla2[[#This Row],[Variación Stock]]&gt;0,"Sobrante",IF(Tabla2[[#This Row],[Variación Stock]]&lt;0,"Faltante","Sin novedad"))</f>
        <v>Faltante</v>
      </c>
    </row>
    <row r="681" spans="1:14" x14ac:dyDescent="0.25">
      <c r="A681" s="11">
        <v>46053</v>
      </c>
      <c r="B681" s="5" t="s">
        <v>972</v>
      </c>
      <c r="C681" s="3" t="s">
        <v>213</v>
      </c>
      <c r="D681" s="5" t="s">
        <v>122</v>
      </c>
      <c r="E681" s="5" t="s">
        <v>112</v>
      </c>
      <c r="F681" s="6" t="s">
        <v>105</v>
      </c>
      <c r="G681" s="4" t="s">
        <v>2</v>
      </c>
      <c r="H681" s="25">
        <v>3458.25</v>
      </c>
      <c r="I681" s="8">
        <v>13</v>
      </c>
      <c r="J681" s="9">
        <v>13</v>
      </c>
      <c r="K681" s="7">
        <v>0</v>
      </c>
      <c r="L681" s="24">
        <f>+Tabla2[[#This Row],[Stock Inventario]]*Tabla2[[#This Row],[Coste LÃ­nea]]</f>
        <v>44957.25</v>
      </c>
      <c r="M681" s="24">
        <f>+Tabla2[[#This Row],[Variación Stock]]*Tabla2[[#This Row],[Coste LÃ­nea]]</f>
        <v>0</v>
      </c>
      <c r="N681" s="22" t="str">
        <f>+IF(Tabla2[[#This Row],[Variación Stock]]&gt;0,"Sobrante",IF(Tabla2[[#This Row],[Variación Stock]]&lt;0,"Faltante","Sin novedad"))</f>
        <v>Sin novedad</v>
      </c>
    </row>
    <row r="682" spans="1:14" x14ac:dyDescent="0.25">
      <c r="A682" s="11">
        <v>46037</v>
      </c>
      <c r="B682" s="5" t="s">
        <v>212</v>
      </c>
      <c r="C682" s="3" t="s">
        <v>213</v>
      </c>
      <c r="D682" s="5" t="s">
        <v>122</v>
      </c>
      <c r="E682" s="5" t="s">
        <v>112</v>
      </c>
      <c r="F682" s="6" t="s">
        <v>106</v>
      </c>
      <c r="G682" s="4" t="s">
        <v>2</v>
      </c>
      <c r="H682" s="24">
        <v>3458.25</v>
      </c>
      <c r="I682" s="8">
        <v>12</v>
      </c>
      <c r="J682" s="9">
        <v>18</v>
      </c>
      <c r="K682" s="7">
        <v>6</v>
      </c>
      <c r="L682" s="24">
        <f>+Tabla2[[#This Row],[Stock Inventario]]*Tabla2[[#This Row],[Coste LÃ­nea]]</f>
        <v>62248.5</v>
      </c>
      <c r="M682" s="24">
        <f>+Tabla2[[#This Row],[Variación Stock]]*Tabla2[[#This Row],[Coste LÃ­nea]]</f>
        <v>20749.5</v>
      </c>
      <c r="N682" s="22" t="str">
        <f>+IF(Tabla2[[#This Row],[Variación Stock]]&gt;0,"Sobrante",IF(Tabla2[[#This Row],[Variación Stock]]&lt;0,"Faltante","Sin novedad"))</f>
        <v>Sobrante</v>
      </c>
    </row>
    <row r="683" spans="1:14" x14ac:dyDescent="0.25">
      <c r="A683" s="11">
        <v>46044</v>
      </c>
      <c r="B683" s="5" t="s">
        <v>383</v>
      </c>
      <c r="C683" s="3" t="s">
        <v>213</v>
      </c>
      <c r="D683" s="5" t="s">
        <v>122</v>
      </c>
      <c r="E683" s="5" t="s">
        <v>112</v>
      </c>
      <c r="F683" s="6" t="s">
        <v>106</v>
      </c>
      <c r="G683" s="4" t="s">
        <v>2</v>
      </c>
      <c r="H683" s="25">
        <v>3458.25</v>
      </c>
      <c r="I683" s="8">
        <v>17</v>
      </c>
      <c r="J683" s="9">
        <v>12</v>
      </c>
      <c r="K683" s="7">
        <v>-5</v>
      </c>
      <c r="L683" s="24">
        <f>+Tabla2[[#This Row],[Stock Inventario]]*Tabla2[[#This Row],[Coste LÃ­nea]]</f>
        <v>41499</v>
      </c>
      <c r="M683" s="24">
        <f>+Tabla2[[#This Row],[Variación Stock]]*Tabla2[[#This Row],[Coste LÃ­nea]]</f>
        <v>-17291.25</v>
      </c>
      <c r="N683" s="22" t="str">
        <f>+IF(Tabla2[[#This Row],[Variación Stock]]&gt;0,"Sobrante",IF(Tabla2[[#This Row],[Variación Stock]]&lt;0,"Faltante","Sin novedad"))</f>
        <v>Faltante</v>
      </c>
    </row>
    <row r="684" spans="1:14" hidden="1" x14ac:dyDescent="0.25">
      <c r="A684" s="11">
        <v>46053</v>
      </c>
      <c r="B684" s="5" t="s">
        <v>972</v>
      </c>
      <c r="C684" s="3" t="s">
        <v>213</v>
      </c>
      <c r="D684" s="5" t="s">
        <v>116</v>
      </c>
      <c r="E684" s="5" t="s">
        <v>117</v>
      </c>
      <c r="F684" s="6" t="s">
        <v>162</v>
      </c>
      <c r="G684" s="4" t="s">
        <v>2</v>
      </c>
      <c r="H684" s="25">
        <v>15233.33333333</v>
      </c>
      <c r="I684" s="8">
        <v>19</v>
      </c>
      <c r="J684" s="9">
        <v>0</v>
      </c>
      <c r="K684" s="7">
        <v>-19</v>
      </c>
      <c r="L684" s="24">
        <f>+Tabla2[[#This Row],[Stock Inventario]]*Tabla2[[#This Row],[Coste LÃ­nea]]</f>
        <v>0</v>
      </c>
      <c r="M684" s="24">
        <f>+Tabla2[[#This Row],[Variación Stock]]*Tabla2[[#This Row],[Coste LÃ­nea]]</f>
        <v>-289433.33333326998</v>
      </c>
      <c r="N684" s="22" t="str">
        <f>+IF(Tabla2[[#This Row],[Variación Stock]]&gt;0,"Sobrante",IF(Tabla2[[#This Row],[Variación Stock]]&lt;0,"Faltante","Sin novedad"))</f>
        <v>Faltante</v>
      </c>
    </row>
    <row r="685" spans="1:14" hidden="1" x14ac:dyDescent="0.25">
      <c r="A685" s="11">
        <v>46053</v>
      </c>
      <c r="B685" s="5" t="s">
        <v>972</v>
      </c>
      <c r="C685" s="3" t="s">
        <v>213</v>
      </c>
      <c r="D685" s="5" t="s">
        <v>547</v>
      </c>
      <c r="E685" s="5" t="s">
        <v>117</v>
      </c>
      <c r="F685" s="6" t="s">
        <v>874</v>
      </c>
      <c r="G685" s="4" t="s">
        <v>1</v>
      </c>
      <c r="H685" s="25">
        <v>76.952582879999994</v>
      </c>
      <c r="I685" s="8">
        <v>1248.9016999999999</v>
      </c>
      <c r="J685" s="9">
        <v>1050</v>
      </c>
      <c r="K685" s="7">
        <v>-198.90172000000001</v>
      </c>
      <c r="L685" s="24">
        <f>+Tabla2[[#This Row],[Stock Inventario]]*Tabla2[[#This Row],[Coste LÃ­nea]]</f>
        <v>80800.212023999993</v>
      </c>
      <c r="M685" s="24">
        <f>+Tabla2[[#This Row],[Variación Stock]]*Tabla2[[#This Row],[Coste LÃ­nea]]</f>
        <v>-15306.001093274554</v>
      </c>
      <c r="N685" s="22" t="str">
        <f>+IF(Tabla2[[#This Row],[Variación Stock]]&gt;0,"Sobrante",IF(Tabla2[[#This Row],[Variación Stock]]&lt;0,"Faltante","Sin novedad"))</f>
        <v>Faltante</v>
      </c>
    </row>
    <row r="686" spans="1:14" hidden="1" x14ac:dyDescent="0.25">
      <c r="A686" s="11">
        <v>46053</v>
      </c>
      <c r="B686" s="5" t="s">
        <v>972</v>
      </c>
      <c r="C686" s="3" t="s">
        <v>213</v>
      </c>
      <c r="D686" s="5" t="s">
        <v>547</v>
      </c>
      <c r="E686" s="5" t="s">
        <v>117</v>
      </c>
      <c r="F686" s="6" t="s">
        <v>549</v>
      </c>
      <c r="G686" s="4" t="s">
        <v>1</v>
      </c>
      <c r="H686" s="25">
        <v>54.495833330000004</v>
      </c>
      <c r="I686" s="8">
        <v>1077</v>
      </c>
      <c r="J686" s="9">
        <v>5000</v>
      </c>
      <c r="K686" s="7">
        <v>3923</v>
      </c>
      <c r="L686" s="24">
        <f>+Tabla2[[#This Row],[Stock Inventario]]*Tabla2[[#This Row],[Coste LÃ­nea]]</f>
        <v>272479.16665000003</v>
      </c>
      <c r="M686" s="24">
        <f>+Tabla2[[#This Row],[Variación Stock]]*Tabla2[[#This Row],[Coste LÃ­nea]]</f>
        <v>213787.15415359</v>
      </c>
      <c r="N686" s="22" t="str">
        <f>+IF(Tabla2[[#This Row],[Variación Stock]]&gt;0,"Sobrante",IF(Tabla2[[#This Row],[Variación Stock]]&lt;0,"Faltante","Sin novedad"))</f>
        <v>Sobrante</v>
      </c>
    </row>
    <row r="687" spans="1:14" hidden="1" x14ac:dyDescent="0.25">
      <c r="A687" s="11">
        <v>46053</v>
      </c>
      <c r="B687" s="5" t="s">
        <v>972</v>
      </c>
      <c r="C687" s="3" t="s">
        <v>213</v>
      </c>
      <c r="D687" s="5" t="s">
        <v>547</v>
      </c>
      <c r="E687" s="5" t="s">
        <v>117</v>
      </c>
      <c r="F687" s="6" t="s">
        <v>879</v>
      </c>
      <c r="G687" s="4" t="s">
        <v>1</v>
      </c>
      <c r="H687" s="25">
        <v>32.29</v>
      </c>
      <c r="I687" s="8">
        <v>0</v>
      </c>
      <c r="J687" s="9">
        <v>0</v>
      </c>
      <c r="K687" s="7">
        <v>0</v>
      </c>
      <c r="L687" s="24">
        <f>+Tabla2[[#This Row],[Stock Inventario]]*Tabla2[[#This Row],[Coste LÃ­nea]]</f>
        <v>0</v>
      </c>
      <c r="M687" s="24">
        <f>+Tabla2[[#This Row],[Variación Stock]]*Tabla2[[#This Row],[Coste LÃ­nea]]</f>
        <v>0</v>
      </c>
      <c r="N687" s="22" t="str">
        <f>+IF(Tabla2[[#This Row],[Variación Stock]]&gt;0,"Sobrante",IF(Tabla2[[#This Row],[Variación Stock]]&lt;0,"Faltante","Sin novedad"))</f>
        <v>Sin novedad</v>
      </c>
    </row>
    <row r="688" spans="1:14" hidden="1" x14ac:dyDescent="0.25">
      <c r="A688" s="11">
        <v>46053</v>
      </c>
      <c r="B688" s="5" t="s">
        <v>972</v>
      </c>
      <c r="C688" s="3" t="s">
        <v>213</v>
      </c>
      <c r="D688" s="5" t="s">
        <v>547</v>
      </c>
      <c r="E688" s="5" t="s">
        <v>117</v>
      </c>
      <c r="F688" s="6" t="s">
        <v>557</v>
      </c>
      <c r="G688" s="4" t="s">
        <v>1</v>
      </c>
      <c r="H688" s="25">
        <v>19.747499999999999</v>
      </c>
      <c r="I688" s="8">
        <v>10095</v>
      </c>
      <c r="J688" s="9">
        <v>6840</v>
      </c>
      <c r="K688" s="7">
        <v>-3255</v>
      </c>
      <c r="L688" s="24">
        <f>+Tabla2[[#This Row],[Stock Inventario]]*Tabla2[[#This Row],[Coste LÃ­nea]]</f>
        <v>135072.9</v>
      </c>
      <c r="M688" s="24">
        <f>+Tabla2[[#This Row],[Variación Stock]]*Tabla2[[#This Row],[Coste LÃ­nea]]</f>
        <v>-64278.112499999996</v>
      </c>
      <c r="N688" s="22" t="str">
        <f>+IF(Tabla2[[#This Row],[Variación Stock]]&gt;0,"Sobrante",IF(Tabla2[[#This Row],[Variación Stock]]&lt;0,"Faltante","Sin novedad"))</f>
        <v>Faltante</v>
      </c>
    </row>
    <row r="689" spans="1:14" hidden="1" x14ac:dyDescent="0.25">
      <c r="A689" s="11">
        <v>46053</v>
      </c>
      <c r="B689" s="5" t="s">
        <v>972</v>
      </c>
      <c r="C689" s="3" t="s">
        <v>213</v>
      </c>
      <c r="D689" s="5" t="s">
        <v>547</v>
      </c>
      <c r="E689" s="5" t="s">
        <v>117</v>
      </c>
      <c r="F689" s="6" t="s">
        <v>876</v>
      </c>
      <c r="G689" s="4" t="s">
        <v>1</v>
      </c>
      <c r="H689" s="25">
        <v>35.819000000000003</v>
      </c>
      <c r="I689" s="8">
        <v>43004</v>
      </c>
      <c r="J689" s="9">
        <v>20200</v>
      </c>
      <c r="K689" s="7">
        <v>-27804</v>
      </c>
      <c r="L689" s="24">
        <f>+Tabla2[[#This Row],[Stock Inventario]]*Tabla2[[#This Row],[Coste LÃ­nea]]</f>
        <v>723543.8</v>
      </c>
      <c r="M689" s="24">
        <f>+Tabla2[[#This Row],[Variación Stock]]*Tabla2[[#This Row],[Coste LÃ­nea]]</f>
        <v>-995911.47600000002</v>
      </c>
      <c r="N689" s="22" t="str">
        <f>+IF(Tabla2[[#This Row],[Variación Stock]]&gt;0,"Sobrante",IF(Tabla2[[#This Row],[Variación Stock]]&lt;0,"Faltante","Sin novedad"))</f>
        <v>Faltante</v>
      </c>
    </row>
    <row r="690" spans="1:14" hidden="1" x14ac:dyDescent="0.25">
      <c r="A690" s="11">
        <v>46053</v>
      </c>
      <c r="B690" s="5" t="s">
        <v>972</v>
      </c>
      <c r="C690" s="3" t="s">
        <v>213</v>
      </c>
      <c r="D690" s="5" t="s">
        <v>547</v>
      </c>
      <c r="E690" s="5" t="s">
        <v>117</v>
      </c>
      <c r="F690" s="6" t="s">
        <v>551</v>
      </c>
      <c r="G690" s="4" t="s">
        <v>1</v>
      </c>
      <c r="H690" s="25">
        <v>42.318518519999998</v>
      </c>
      <c r="I690" s="8">
        <v>-3400</v>
      </c>
      <c r="J690" s="9">
        <v>0</v>
      </c>
      <c r="K690" s="7">
        <v>3400</v>
      </c>
      <c r="L690" s="24">
        <f>+Tabla2[[#This Row],[Stock Inventario]]*Tabla2[[#This Row],[Coste LÃ­nea]]</f>
        <v>0</v>
      </c>
      <c r="M690" s="24">
        <f>+Tabla2[[#This Row],[Variación Stock]]*Tabla2[[#This Row],[Coste LÃ­nea]]</f>
        <v>143882.96296799998</v>
      </c>
      <c r="N690" s="22" t="str">
        <f>+IF(Tabla2[[#This Row],[Variación Stock]]&gt;0,"Sobrante",IF(Tabla2[[#This Row],[Variación Stock]]&lt;0,"Faltante","Sin novedad"))</f>
        <v>Sobrante</v>
      </c>
    </row>
    <row r="691" spans="1:14" hidden="1" x14ac:dyDescent="0.25">
      <c r="A691" s="11">
        <v>46053</v>
      </c>
      <c r="B691" s="5" t="s">
        <v>972</v>
      </c>
      <c r="C691" s="3" t="s">
        <v>213</v>
      </c>
      <c r="D691" s="5" t="s">
        <v>116</v>
      </c>
      <c r="E691" s="5" t="s">
        <v>117</v>
      </c>
      <c r="F691" s="6" t="s">
        <v>389</v>
      </c>
      <c r="G691" s="4" t="s">
        <v>1</v>
      </c>
      <c r="H691" s="25">
        <v>9.5</v>
      </c>
      <c r="I691" s="8">
        <v>0</v>
      </c>
      <c r="J691" s="9">
        <v>0</v>
      </c>
      <c r="K691" s="7">
        <v>0</v>
      </c>
      <c r="L691" s="24">
        <f>+Tabla2[[#This Row],[Stock Inventario]]*Tabla2[[#This Row],[Coste LÃ­nea]]</f>
        <v>0</v>
      </c>
      <c r="M691" s="24">
        <f>+Tabla2[[#This Row],[Variación Stock]]*Tabla2[[#This Row],[Coste LÃ­nea]]</f>
        <v>0</v>
      </c>
      <c r="N691" s="22" t="str">
        <f>+IF(Tabla2[[#This Row],[Variación Stock]]&gt;0,"Sobrante",IF(Tabla2[[#This Row],[Variación Stock]]&lt;0,"Faltante","Sin novedad"))</f>
        <v>Sin novedad</v>
      </c>
    </row>
    <row r="692" spans="1:14" hidden="1" x14ac:dyDescent="0.25">
      <c r="A692" s="11">
        <v>46053</v>
      </c>
      <c r="B692" s="5" t="s">
        <v>972</v>
      </c>
      <c r="C692" s="3" t="s">
        <v>213</v>
      </c>
      <c r="D692" s="5" t="s">
        <v>471</v>
      </c>
      <c r="E692" s="5" t="s">
        <v>117</v>
      </c>
      <c r="F692" s="6" t="s">
        <v>528</v>
      </c>
      <c r="G692" s="4" t="s">
        <v>1</v>
      </c>
      <c r="H692" s="25">
        <v>2.8</v>
      </c>
      <c r="I692" s="8">
        <v>950.37440000000004</v>
      </c>
      <c r="J692" s="9">
        <v>500</v>
      </c>
      <c r="K692" s="7">
        <v>-450.37439999999998</v>
      </c>
      <c r="L692" s="24">
        <f>+Tabla2[[#This Row],[Stock Inventario]]*Tabla2[[#This Row],[Coste LÃ­nea]]</f>
        <v>1400</v>
      </c>
      <c r="M692" s="24">
        <f>+Tabla2[[#This Row],[Variación Stock]]*Tabla2[[#This Row],[Coste LÃ­nea]]</f>
        <v>-1261.0483199999999</v>
      </c>
      <c r="N692" s="22" t="str">
        <f>+IF(Tabla2[[#This Row],[Variación Stock]]&gt;0,"Sobrante",IF(Tabla2[[#This Row],[Variación Stock]]&lt;0,"Faltante","Sin novedad"))</f>
        <v>Faltante</v>
      </c>
    </row>
    <row r="693" spans="1:14" hidden="1" x14ac:dyDescent="0.25">
      <c r="A693" s="11">
        <v>46053</v>
      </c>
      <c r="B693" s="5" t="s">
        <v>972</v>
      </c>
      <c r="C693" s="3" t="s">
        <v>213</v>
      </c>
      <c r="D693" s="5" t="s">
        <v>471</v>
      </c>
      <c r="E693" s="5" t="s">
        <v>117</v>
      </c>
      <c r="F693" s="6" t="s">
        <v>1002</v>
      </c>
      <c r="G693" s="4" t="s">
        <v>1</v>
      </c>
      <c r="H693" s="25">
        <v>1.4</v>
      </c>
      <c r="I693" s="8">
        <v>3821.2505000000001</v>
      </c>
      <c r="J693" s="9">
        <v>1800</v>
      </c>
      <c r="K693" s="7">
        <v>-2021.25046</v>
      </c>
      <c r="L693" s="24">
        <f>+Tabla2[[#This Row],[Stock Inventario]]*Tabla2[[#This Row],[Coste LÃ­nea]]</f>
        <v>2520</v>
      </c>
      <c r="M693" s="24">
        <f>+Tabla2[[#This Row],[Variación Stock]]*Tabla2[[#This Row],[Coste LÃ­nea]]</f>
        <v>-2829.7506439999997</v>
      </c>
      <c r="N693" s="22" t="str">
        <f>+IF(Tabla2[[#This Row],[Variación Stock]]&gt;0,"Sobrante",IF(Tabla2[[#This Row],[Variación Stock]]&lt;0,"Faltante","Sin novedad"))</f>
        <v>Faltante</v>
      </c>
    </row>
    <row r="694" spans="1:14" hidden="1" x14ac:dyDescent="0.25">
      <c r="A694" s="11">
        <v>46053</v>
      </c>
      <c r="B694" s="5" t="s">
        <v>972</v>
      </c>
      <c r="C694" s="3" t="s">
        <v>213</v>
      </c>
      <c r="D694" s="5" t="s">
        <v>471</v>
      </c>
      <c r="E694" s="5" t="s">
        <v>117</v>
      </c>
      <c r="F694" s="6" t="s">
        <v>529</v>
      </c>
      <c r="G694" s="4" t="s">
        <v>1</v>
      </c>
      <c r="H694" s="25">
        <v>2.8</v>
      </c>
      <c r="I694" s="8">
        <v>3736.2505000000001</v>
      </c>
      <c r="J694" s="9">
        <v>2100</v>
      </c>
      <c r="K694" s="7">
        <v>-1636.25046</v>
      </c>
      <c r="L694" s="24">
        <f>+Tabla2[[#This Row],[Stock Inventario]]*Tabla2[[#This Row],[Coste LÃ­nea]]</f>
        <v>5880</v>
      </c>
      <c r="M694" s="24">
        <f>+Tabla2[[#This Row],[Variación Stock]]*Tabla2[[#This Row],[Coste LÃ­nea]]</f>
        <v>-4581.5012879999995</v>
      </c>
      <c r="N694" s="22" t="str">
        <f>+IF(Tabla2[[#This Row],[Variación Stock]]&gt;0,"Sobrante",IF(Tabla2[[#This Row],[Variación Stock]]&lt;0,"Faltante","Sin novedad"))</f>
        <v>Faltante</v>
      </c>
    </row>
    <row r="695" spans="1:14" hidden="1" x14ac:dyDescent="0.25">
      <c r="A695" s="11">
        <v>46053</v>
      </c>
      <c r="B695" s="5" t="s">
        <v>972</v>
      </c>
      <c r="C695" s="3" t="s">
        <v>213</v>
      </c>
      <c r="D695" s="5" t="s">
        <v>626</v>
      </c>
      <c r="E695" s="5" t="s">
        <v>1079</v>
      </c>
      <c r="F695" s="6" t="s">
        <v>1026</v>
      </c>
      <c r="G695" s="4" t="s">
        <v>2</v>
      </c>
      <c r="H695" s="25">
        <v>19224.962185</v>
      </c>
      <c r="I695" s="8">
        <v>2</v>
      </c>
      <c r="J695" s="9">
        <v>0</v>
      </c>
      <c r="K695" s="7">
        <v>-2</v>
      </c>
      <c r="L695" s="24">
        <f>+Tabla2[[#This Row],[Stock Inventario]]*Tabla2[[#This Row],[Coste LÃ­nea]]</f>
        <v>0</v>
      </c>
      <c r="M695" s="24">
        <f>+Tabla2[[#This Row],[Variación Stock]]*Tabla2[[#This Row],[Coste LÃ­nea]]</f>
        <v>-38449.924370000001</v>
      </c>
      <c r="N695" s="22" t="str">
        <f>+IF(Tabla2[[#This Row],[Variación Stock]]&gt;0,"Sobrante",IF(Tabla2[[#This Row],[Variación Stock]]&lt;0,"Faltante","Sin novedad"))</f>
        <v>Faltante</v>
      </c>
    </row>
    <row r="696" spans="1:14" hidden="1" x14ac:dyDescent="0.25">
      <c r="A696" s="11">
        <v>46053</v>
      </c>
      <c r="B696" s="5" t="s">
        <v>972</v>
      </c>
      <c r="C696" s="3" t="s">
        <v>213</v>
      </c>
      <c r="D696" s="5" t="s">
        <v>626</v>
      </c>
      <c r="E696" s="5" t="s">
        <v>1079</v>
      </c>
      <c r="F696" s="6" t="s">
        <v>634</v>
      </c>
      <c r="G696" s="4" t="s">
        <v>1</v>
      </c>
      <c r="H696" s="25">
        <v>169.75</v>
      </c>
      <c r="I696" s="8">
        <v>19930</v>
      </c>
      <c r="J696" s="9">
        <v>0</v>
      </c>
      <c r="K696" s="7">
        <v>-19930</v>
      </c>
      <c r="L696" s="24">
        <f>+Tabla2[[#This Row],[Stock Inventario]]*Tabla2[[#This Row],[Coste LÃ­nea]]</f>
        <v>0</v>
      </c>
      <c r="M696" s="24">
        <f>+Tabla2[[#This Row],[Variación Stock]]*Tabla2[[#This Row],[Coste LÃ­nea]]</f>
        <v>-3383117.5</v>
      </c>
      <c r="N696" s="22" t="str">
        <f>+IF(Tabla2[[#This Row],[Variación Stock]]&gt;0,"Sobrante",IF(Tabla2[[#This Row],[Variación Stock]]&lt;0,"Faltante","Sin novedad"))</f>
        <v>Faltante</v>
      </c>
    </row>
    <row r="697" spans="1:14" hidden="1" x14ac:dyDescent="0.25">
      <c r="A697" s="11">
        <v>46053</v>
      </c>
      <c r="B697" s="5" t="s">
        <v>972</v>
      </c>
      <c r="C697" s="3" t="s">
        <v>213</v>
      </c>
      <c r="D697" s="5" t="s">
        <v>559</v>
      </c>
      <c r="E697" s="5" t="s">
        <v>1080</v>
      </c>
      <c r="F697" s="6" t="s">
        <v>564</v>
      </c>
      <c r="G697" s="4" t="s">
        <v>2</v>
      </c>
      <c r="H697" s="25">
        <v>59.5</v>
      </c>
      <c r="I697" s="8">
        <v>15000</v>
      </c>
      <c r="J697" s="9">
        <v>0</v>
      </c>
      <c r="K697" s="7">
        <v>-15000</v>
      </c>
      <c r="L697" s="24">
        <f>+Tabla2[[#This Row],[Stock Inventario]]*Tabla2[[#This Row],[Coste LÃ­nea]]</f>
        <v>0</v>
      </c>
      <c r="M697" s="24">
        <f>+Tabla2[[#This Row],[Variación Stock]]*Tabla2[[#This Row],[Coste LÃ­nea]]</f>
        <v>-892500</v>
      </c>
      <c r="N697" s="22" t="str">
        <f>+IF(Tabla2[[#This Row],[Variación Stock]]&gt;0,"Sobrante",IF(Tabla2[[#This Row],[Variación Stock]]&lt;0,"Faltante","Sin novedad"))</f>
        <v>Faltante</v>
      </c>
    </row>
    <row r="698" spans="1:14" hidden="1" x14ac:dyDescent="0.25">
      <c r="A698" s="11">
        <v>46053</v>
      </c>
      <c r="B698" s="5" t="s">
        <v>972</v>
      </c>
      <c r="C698" s="3" t="s">
        <v>213</v>
      </c>
      <c r="D698" s="5" t="s">
        <v>559</v>
      </c>
      <c r="E698" s="5" t="s">
        <v>1080</v>
      </c>
      <c r="F698" s="6" t="s">
        <v>593</v>
      </c>
      <c r="G698" s="4" t="s">
        <v>2</v>
      </c>
      <c r="H698" s="25">
        <v>77631.134453999999</v>
      </c>
      <c r="I698" s="8">
        <v>1</v>
      </c>
      <c r="J698" s="9">
        <v>0</v>
      </c>
      <c r="K698" s="7">
        <v>-1</v>
      </c>
      <c r="L698" s="24">
        <f>+Tabla2[[#This Row],[Stock Inventario]]*Tabla2[[#This Row],[Coste LÃ­nea]]</f>
        <v>0</v>
      </c>
      <c r="M698" s="24">
        <f>+Tabla2[[#This Row],[Variación Stock]]*Tabla2[[#This Row],[Coste LÃ­nea]]</f>
        <v>-77631.134453999999</v>
      </c>
      <c r="N698" s="22" t="str">
        <f>+IF(Tabla2[[#This Row],[Variación Stock]]&gt;0,"Sobrante",IF(Tabla2[[#This Row],[Variación Stock]]&lt;0,"Faltante","Sin novedad"))</f>
        <v>Faltante</v>
      </c>
    </row>
    <row r="699" spans="1:14" hidden="1" x14ac:dyDescent="0.25">
      <c r="A699" s="11">
        <v>46053</v>
      </c>
      <c r="B699" s="5" t="s">
        <v>972</v>
      </c>
      <c r="C699" s="3" t="s">
        <v>213</v>
      </c>
      <c r="D699" s="5" t="s">
        <v>559</v>
      </c>
      <c r="E699" s="5" t="s">
        <v>1080</v>
      </c>
      <c r="F699" s="6" t="s">
        <v>594</v>
      </c>
      <c r="G699" s="4" t="s">
        <v>2</v>
      </c>
      <c r="H699" s="25">
        <v>4498.8</v>
      </c>
      <c r="I699" s="8">
        <v>2</v>
      </c>
      <c r="J699" s="9">
        <v>0</v>
      </c>
      <c r="K699" s="7">
        <v>-2</v>
      </c>
      <c r="L699" s="24">
        <f>+Tabla2[[#This Row],[Stock Inventario]]*Tabla2[[#This Row],[Coste LÃ­nea]]</f>
        <v>0</v>
      </c>
      <c r="M699" s="24">
        <f>+Tabla2[[#This Row],[Variación Stock]]*Tabla2[[#This Row],[Coste LÃ­nea]]</f>
        <v>-8997.6</v>
      </c>
      <c r="N699" s="22" t="str">
        <f>+IF(Tabla2[[#This Row],[Variación Stock]]&gt;0,"Sobrante",IF(Tabla2[[#This Row],[Variación Stock]]&lt;0,"Faltante","Sin novedad"))</f>
        <v>Faltante</v>
      </c>
    </row>
    <row r="700" spans="1:14" hidden="1" x14ac:dyDescent="0.25">
      <c r="A700" s="11">
        <v>46053</v>
      </c>
      <c r="B700" s="5" t="s">
        <v>972</v>
      </c>
      <c r="C700" s="3" t="s">
        <v>213</v>
      </c>
      <c r="D700" s="5" t="s">
        <v>471</v>
      </c>
      <c r="E700" s="5" t="s">
        <v>117</v>
      </c>
      <c r="F700" s="6" t="s">
        <v>530</v>
      </c>
      <c r="G700" s="4" t="s">
        <v>1</v>
      </c>
      <c r="H700" s="25">
        <v>9.5</v>
      </c>
      <c r="I700" s="8">
        <v>195</v>
      </c>
      <c r="J700" s="9">
        <v>0</v>
      </c>
      <c r="K700" s="7">
        <v>-195</v>
      </c>
      <c r="L700" s="24">
        <f>+Tabla2[[#This Row],[Stock Inventario]]*Tabla2[[#This Row],[Coste LÃ­nea]]</f>
        <v>0</v>
      </c>
      <c r="M700" s="24">
        <f>+Tabla2[[#This Row],[Variación Stock]]*Tabla2[[#This Row],[Coste LÃ­nea]]</f>
        <v>-1852.5</v>
      </c>
      <c r="N700" s="22" t="str">
        <f>+IF(Tabla2[[#This Row],[Variación Stock]]&gt;0,"Sobrante",IF(Tabla2[[#This Row],[Variación Stock]]&lt;0,"Faltante","Sin novedad"))</f>
        <v>Faltante</v>
      </c>
    </row>
    <row r="701" spans="1:14" x14ac:dyDescent="0.25">
      <c r="A701" s="11">
        <v>46053</v>
      </c>
      <c r="B701" s="5" t="s">
        <v>972</v>
      </c>
      <c r="C701" s="3" t="s">
        <v>213</v>
      </c>
      <c r="D701" s="5" t="s">
        <v>122</v>
      </c>
      <c r="E701" s="5" t="s">
        <v>112</v>
      </c>
      <c r="F701" s="6" t="s">
        <v>106</v>
      </c>
      <c r="G701" s="4" t="s">
        <v>2</v>
      </c>
      <c r="H701" s="25">
        <v>3458.25</v>
      </c>
      <c r="I701" s="8">
        <v>8</v>
      </c>
      <c r="J701" s="9">
        <v>14</v>
      </c>
      <c r="K701" s="7">
        <v>6</v>
      </c>
      <c r="L701" s="24">
        <f>+Tabla2[[#This Row],[Stock Inventario]]*Tabla2[[#This Row],[Coste LÃ­nea]]</f>
        <v>48415.5</v>
      </c>
      <c r="M701" s="24">
        <f>+Tabla2[[#This Row],[Variación Stock]]*Tabla2[[#This Row],[Coste LÃ­nea]]</f>
        <v>20749.5</v>
      </c>
      <c r="N701" s="22" t="str">
        <f>+IF(Tabla2[[#This Row],[Variación Stock]]&gt;0,"Sobrante",IF(Tabla2[[#This Row],[Variación Stock]]&lt;0,"Faltante","Sin novedad"))</f>
        <v>Sobrante</v>
      </c>
    </row>
    <row r="702" spans="1:14" x14ac:dyDescent="0.25">
      <c r="A702" s="11">
        <v>46037</v>
      </c>
      <c r="B702" s="5" t="s">
        <v>212</v>
      </c>
      <c r="C702" s="3" t="s">
        <v>213</v>
      </c>
      <c r="D702" s="5" t="s">
        <v>122</v>
      </c>
      <c r="E702" s="5" t="s">
        <v>112</v>
      </c>
      <c r="F702" s="6" t="s">
        <v>107</v>
      </c>
      <c r="G702" s="4" t="s">
        <v>2</v>
      </c>
      <c r="H702" s="24">
        <v>2766.5</v>
      </c>
      <c r="I702" s="8">
        <v>18</v>
      </c>
      <c r="J702" s="9">
        <v>19</v>
      </c>
      <c r="K702" s="7">
        <v>1</v>
      </c>
      <c r="L702" s="24">
        <f>+Tabla2[[#This Row],[Stock Inventario]]*Tabla2[[#This Row],[Coste LÃ­nea]]</f>
        <v>52563.5</v>
      </c>
      <c r="M702" s="24">
        <f>+Tabla2[[#This Row],[Variación Stock]]*Tabla2[[#This Row],[Coste LÃ­nea]]</f>
        <v>2766.5</v>
      </c>
      <c r="N702" s="22" t="str">
        <f>+IF(Tabla2[[#This Row],[Variación Stock]]&gt;0,"Sobrante",IF(Tabla2[[#This Row],[Variación Stock]]&lt;0,"Faltante","Sin novedad"))</f>
        <v>Sobrante</v>
      </c>
    </row>
    <row r="703" spans="1:14" x14ac:dyDescent="0.25">
      <c r="A703" s="11">
        <v>46044</v>
      </c>
      <c r="B703" s="5" t="s">
        <v>383</v>
      </c>
      <c r="C703" s="3" t="s">
        <v>213</v>
      </c>
      <c r="D703" s="5" t="s">
        <v>122</v>
      </c>
      <c r="E703" s="5" t="s">
        <v>112</v>
      </c>
      <c r="F703" s="6" t="s">
        <v>107</v>
      </c>
      <c r="G703" s="4" t="s">
        <v>2</v>
      </c>
      <c r="H703" s="25">
        <v>2766.5</v>
      </c>
      <c r="I703" s="8">
        <v>18</v>
      </c>
      <c r="J703" s="9">
        <v>18</v>
      </c>
      <c r="K703" s="7">
        <v>0</v>
      </c>
      <c r="L703" s="24">
        <f>+Tabla2[[#This Row],[Stock Inventario]]*Tabla2[[#This Row],[Coste LÃ­nea]]</f>
        <v>49797</v>
      </c>
      <c r="M703" s="24">
        <f>+Tabla2[[#This Row],[Variación Stock]]*Tabla2[[#This Row],[Coste LÃ­nea]]</f>
        <v>0</v>
      </c>
      <c r="N703" s="22" t="str">
        <f>+IF(Tabla2[[#This Row],[Variación Stock]]&gt;0,"Sobrante",IF(Tabla2[[#This Row],[Variación Stock]]&lt;0,"Faltante","Sin novedad"))</f>
        <v>Sin novedad</v>
      </c>
    </row>
    <row r="704" spans="1:14" x14ac:dyDescent="0.25">
      <c r="A704" s="11">
        <v>46053</v>
      </c>
      <c r="B704" s="5" t="s">
        <v>972</v>
      </c>
      <c r="C704" s="3" t="s">
        <v>213</v>
      </c>
      <c r="D704" s="5" t="s">
        <v>122</v>
      </c>
      <c r="E704" s="5" t="s">
        <v>112</v>
      </c>
      <c r="F704" s="6" t="s">
        <v>107</v>
      </c>
      <c r="G704" s="4" t="s">
        <v>2</v>
      </c>
      <c r="H704" s="25">
        <v>3458.25</v>
      </c>
      <c r="I704" s="8">
        <v>18</v>
      </c>
      <c r="J704" s="9">
        <v>18</v>
      </c>
      <c r="K704" s="7">
        <v>0</v>
      </c>
      <c r="L704" s="24">
        <f>+Tabla2[[#This Row],[Stock Inventario]]*Tabla2[[#This Row],[Coste LÃ­nea]]</f>
        <v>62248.5</v>
      </c>
      <c r="M704" s="24">
        <f>+Tabla2[[#This Row],[Variación Stock]]*Tabla2[[#This Row],[Coste LÃ­nea]]</f>
        <v>0</v>
      </c>
      <c r="N704" s="22" t="str">
        <f>+IF(Tabla2[[#This Row],[Variación Stock]]&gt;0,"Sobrante",IF(Tabla2[[#This Row],[Variación Stock]]&lt;0,"Faltante","Sin novedad"))</f>
        <v>Sin novedad</v>
      </c>
    </row>
    <row r="705" spans="1:14" x14ac:dyDescent="0.25">
      <c r="A705" s="11">
        <v>46037</v>
      </c>
      <c r="B705" s="5" t="s">
        <v>212</v>
      </c>
      <c r="C705" s="3" t="s">
        <v>213</v>
      </c>
      <c r="D705" s="5" t="s">
        <v>122</v>
      </c>
      <c r="E705" s="5" t="s">
        <v>112</v>
      </c>
      <c r="F705" s="6" t="s">
        <v>109</v>
      </c>
      <c r="G705" s="4" t="s">
        <v>2</v>
      </c>
      <c r="H705" s="24">
        <v>2766.6799719999999</v>
      </c>
      <c r="I705" s="8">
        <v>8</v>
      </c>
      <c r="J705" s="9">
        <v>15</v>
      </c>
      <c r="K705" s="7">
        <v>7</v>
      </c>
      <c r="L705" s="24">
        <f>+Tabla2[[#This Row],[Stock Inventario]]*Tabla2[[#This Row],[Coste LÃ­nea]]</f>
        <v>41500.19958</v>
      </c>
      <c r="M705" s="24">
        <f>+Tabla2[[#This Row],[Variación Stock]]*Tabla2[[#This Row],[Coste LÃ­nea]]</f>
        <v>19366.759804000001</v>
      </c>
      <c r="N705" s="22" t="str">
        <f>+IF(Tabla2[[#This Row],[Variación Stock]]&gt;0,"Sobrante",IF(Tabla2[[#This Row],[Variación Stock]]&lt;0,"Faltante","Sin novedad"))</f>
        <v>Sobrante</v>
      </c>
    </row>
    <row r="706" spans="1:14" x14ac:dyDescent="0.25">
      <c r="A706" s="11">
        <v>46044</v>
      </c>
      <c r="B706" s="5" t="s">
        <v>383</v>
      </c>
      <c r="C706" s="3" t="s">
        <v>213</v>
      </c>
      <c r="D706" s="5" t="s">
        <v>122</v>
      </c>
      <c r="E706" s="5" t="s">
        <v>112</v>
      </c>
      <c r="F706" s="6" t="s">
        <v>109</v>
      </c>
      <c r="G706" s="4" t="s">
        <v>2</v>
      </c>
      <c r="H706" s="25">
        <v>2766.6799719999999</v>
      </c>
      <c r="I706" s="8">
        <v>14</v>
      </c>
      <c r="J706" s="9">
        <v>14</v>
      </c>
      <c r="K706" s="7">
        <v>0</v>
      </c>
      <c r="L706" s="24">
        <f>+Tabla2[[#This Row],[Stock Inventario]]*Tabla2[[#This Row],[Coste LÃ­nea]]</f>
        <v>38733.519608000002</v>
      </c>
      <c r="M706" s="24">
        <f>+Tabla2[[#This Row],[Variación Stock]]*Tabla2[[#This Row],[Coste LÃ­nea]]</f>
        <v>0</v>
      </c>
      <c r="N706" s="22" t="str">
        <f>+IF(Tabla2[[#This Row],[Variación Stock]]&gt;0,"Sobrante",IF(Tabla2[[#This Row],[Variación Stock]]&lt;0,"Faltante","Sin novedad"))</f>
        <v>Sin novedad</v>
      </c>
    </row>
    <row r="707" spans="1:14" x14ac:dyDescent="0.25">
      <c r="A707" s="11">
        <v>46053</v>
      </c>
      <c r="B707" s="5" t="s">
        <v>972</v>
      </c>
      <c r="C707" s="3" t="s">
        <v>213</v>
      </c>
      <c r="D707" s="5" t="s">
        <v>122</v>
      </c>
      <c r="E707" s="5" t="s">
        <v>112</v>
      </c>
      <c r="F707" s="6" t="s">
        <v>109</v>
      </c>
      <c r="G707" s="4" t="s">
        <v>2</v>
      </c>
      <c r="H707" s="25">
        <v>3458.25</v>
      </c>
      <c r="I707" s="8">
        <v>7</v>
      </c>
      <c r="J707" s="9">
        <v>8</v>
      </c>
      <c r="K707" s="7">
        <v>1</v>
      </c>
      <c r="L707" s="24">
        <f>+Tabla2[[#This Row],[Stock Inventario]]*Tabla2[[#This Row],[Coste LÃ­nea]]</f>
        <v>27666</v>
      </c>
      <c r="M707" s="24">
        <f>+Tabla2[[#This Row],[Variación Stock]]*Tabla2[[#This Row],[Coste LÃ­nea]]</f>
        <v>3458.25</v>
      </c>
      <c r="N707" s="22" t="str">
        <f>+IF(Tabla2[[#This Row],[Variación Stock]]&gt;0,"Sobrante",IF(Tabla2[[#This Row],[Variación Stock]]&lt;0,"Faltante","Sin novedad"))</f>
        <v>Sobrante</v>
      </c>
    </row>
    <row r="708" spans="1:14" x14ac:dyDescent="0.25">
      <c r="A708" s="11">
        <v>46037</v>
      </c>
      <c r="B708" s="5" t="s">
        <v>212</v>
      </c>
      <c r="C708" s="3" t="s">
        <v>213</v>
      </c>
      <c r="D708" s="5" t="s">
        <v>111</v>
      </c>
      <c r="E708" s="5" t="s">
        <v>112</v>
      </c>
      <c r="F708" s="6" t="s">
        <v>217</v>
      </c>
      <c r="G708" s="4" t="s">
        <v>0</v>
      </c>
      <c r="H708" s="24">
        <v>0</v>
      </c>
      <c r="I708" s="8">
        <v>0</v>
      </c>
      <c r="J708" s="9">
        <v>0</v>
      </c>
      <c r="K708" s="7">
        <v>0</v>
      </c>
      <c r="L708" s="24">
        <f>+Tabla2[[#This Row],[Stock Inventario]]*Tabla2[[#This Row],[Coste LÃ­nea]]</f>
        <v>0</v>
      </c>
      <c r="M708" s="24">
        <f>+Tabla2[[#This Row],[Variación Stock]]*Tabla2[[#This Row],[Coste LÃ­nea]]</f>
        <v>0</v>
      </c>
      <c r="N708" s="22" t="str">
        <f>+IF(Tabla2[[#This Row],[Variación Stock]]&gt;0,"Sobrante",IF(Tabla2[[#This Row],[Variación Stock]]&lt;0,"Faltante","Sin novedad"))</f>
        <v>Sin novedad</v>
      </c>
    </row>
    <row r="709" spans="1:14" x14ac:dyDescent="0.25">
      <c r="A709" s="11">
        <v>46044</v>
      </c>
      <c r="B709" s="5" t="s">
        <v>383</v>
      </c>
      <c r="C709" s="3" t="s">
        <v>213</v>
      </c>
      <c r="D709" s="5" t="s">
        <v>111</v>
      </c>
      <c r="E709" s="5" t="s">
        <v>112</v>
      </c>
      <c r="F709" s="6" t="s">
        <v>217</v>
      </c>
      <c r="G709" s="4" t="s">
        <v>0</v>
      </c>
      <c r="H709" s="25">
        <v>0</v>
      </c>
      <c r="I709" s="8">
        <v>0</v>
      </c>
      <c r="J709" s="9">
        <v>0</v>
      </c>
      <c r="K709" s="7">
        <v>0</v>
      </c>
      <c r="L709" s="24">
        <f>+Tabla2[[#This Row],[Stock Inventario]]*Tabla2[[#This Row],[Coste LÃ­nea]]</f>
        <v>0</v>
      </c>
      <c r="M709" s="24">
        <f>+Tabla2[[#This Row],[Variación Stock]]*Tabla2[[#This Row],[Coste LÃ­nea]]</f>
        <v>0</v>
      </c>
      <c r="N709" s="22" t="str">
        <f>+IF(Tabla2[[#This Row],[Variación Stock]]&gt;0,"Sobrante",IF(Tabla2[[#This Row],[Variación Stock]]&lt;0,"Faltante","Sin novedad"))</f>
        <v>Sin novedad</v>
      </c>
    </row>
    <row r="710" spans="1:14" x14ac:dyDescent="0.25">
      <c r="A710" s="11">
        <v>46053</v>
      </c>
      <c r="B710" s="5" t="s">
        <v>972</v>
      </c>
      <c r="C710" s="3" t="s">
        <v>213</v>
      </c>
      <c r="D710" s="5" t="s">
        <v>111</v>
      </c>
      <c r="E710" s="5" t="s">
        <v>112</v>
      </c>
      <c r="F710" s="6" t="s">
        <v>217</v>
      </c>
      <c r="G710" s="4" t="s">
        <v>0</v>
      </c>
      <c r="H710" s="25">
        <v>8500</v>
      </c>
      <c r="I710" s="8">
        <v>0</v>
      </c>
      <c r="J710" s="9">
        <v>0</v>
      </c>
      <c r="K710" s="7">
        <v>0</v>
      </c>
      <c r="L710" s="24">
        <f>+Tabla2[[#This Row],[Stock Inventario]]*Tabla2[[#This Row],[Coste LÃ­nea]]</f>
        <v>0</v>
      </c>
      <c r="M710" s="24">
        <f>+Tabla2[[#This Row],[Variación Stock]]*Tabla2[[#This Row],[Coste LÃ­nea]]</f>
        <v>0</v>
      </c>
      <c r="N710" s="22" t="str">
        <f>+IF(Tabla2[[#This Row],[Variación Stock]]&gt;0,"Sobrante",IF(Tabla2[[#This Row],[Variación Stock]]&lt;0,"Faltante","Sin novedad"))</f>
        <v>Sin novedad</v>
      </c>
    </row>
    <row r="711" spans="1:14" x14ac:dyDescent="0.25">
      <c r="A711" s="11">
        <v>46037</v>
      </c>
      <c r="B711" s="5" t="s">
        <v>212</v>
      </c>
      <c r="C711" s="3" t="s">
        <v>213</v>
      </c>
      <c r="D711" s="5" t="s">
        <v>111</v>
      </c>
      <c r="E711" s="5" t="s">
        <v>112</v>
      </c>
      <c r="F711" s="6" t="s">
        <v>218</v>
      </c>
      <c r="G711" s="4" t="s">
        <v>0</v>
      </c>
      <c r="H711" s="24">
        <v>0</v>
      </c>
      <c r="I711" s="8">
        <v>0</v>
      </c>
      <c r="J711" s="9">
        <v>0</v>
      </c>
      <c r="K711" s="7">
        <v>0</v>
      </c>
      <c r="L711" s="24">
        <f>+Tabla2[[#This Row],[Stock Inventario]]*Tabla2[[#This Row],[Coste LÃ­nea]]</f>
        <v>0</v>
      </c>
      <c r="M711" s="24">
        <f>+Tabla2[[#This Row],[Variación Stock]]*Tabla2[[#This Row],[Coste LÃ­nea]]</f>
        <v>0</v>
      </c>
      <c r="N711" s="22" t="str">
        <f>+IF(Tabla2[[#This Row],[Variación Stock]]&gt;0,"Sobrante",IF(Tabla2[[#This Row],[Variación Stock]]&lt;0,"Faltante","Sin novedad"))</f>
        <v>Sin novedad</v>
      </c>
    </row>
    <row r="712" spans="1:14" x14ac:dyDescent="0.25">
      <c r="A712" s="11">
        <v>46044</v>
      </c>
      <c r="B712" s="5" t="s">
        <v>383</v>
      </c>
      <c r="C712" s="3" t="s">
        <v>213</v>
      </c>
      <c r="D712" s="5" t="s">
        <v>111</v>
      </c>
      <c r="E712" s="5" t="s">
        <v>112</v>
      </c>
      <c r="F712" s="6" t="s">
        <v>218</v>
      </c>
      <c r="G712" s="4" t="s">
        <v>0</v>
      </c>
      <c r="H712" s="25">
        <v>0</v>
      </c>
      <c r="I712" s="8">
        <v>0</v>
      </c>
      <c r="J712" s="9">
        <v>0</v>
      </c>
      <c r="K712" s="7">
        <v>0</v>
      </c>
      <c r="L712" s="24">
        <f>+Tabla2[[#This Row],[Stock Inventario]]*Tabla2[[#This Row],[Coste LÃ­nea]]</f>
        <v>0</v>
      </c>
      <c r="M712" s="24">
        <f>+Tabla2[[#This Row],[Variación Stock]]*Tabla2[[#This Row],[Coste LÃ­nea]]</f>
        <v>0</v>
      </c>
      <c r="N712" s="22" t="str">
        <f>+IF(Tabla2[[#This Row],[Variación Stock]]&gt;0,"Sobrante",IF(Tabla2[[#This Row],[Variación Stock]]&lt;0,"Faltante","Sin novedad"))</f>
        <v>Sin novedad</v>
      </c>
    </row>
    <row r="713" spans="1:14" x14ac:dyDescent="0.25">
      <c r="A713" s="11">
        <v>46053</v>
      </c>
      <c r="B713" s="5" t="s">
        <v>972</v>
      </c>
      <c r="C713" s="3" t="s">
        <v>213</v>
      </c>
      <c r="D713" s="5" t="s">
        <v>111</v>
      </c>
      <c r="E713" s="5" t="s">
        <v>112</v>
      </c>
      <c r="F713" s="6" t="s">
        <v>218</v>
      </c>
      <c r="G713" s="4" t="s">
        <v>0</v>
      </c>
      <c r="H713" s="25">
        <v>8500</v>
      </c>
      <c r="I713" s="8">
        <v>0</v>
      </c>
      <c r="J713" s="9">
        <v>0</v>
      </c>
      <c r="K713" s="7">
        <v>0</v>
      </c>
      <c r="L713" s="24">
        <f>+Tabla2[[#This Row],[Stock Inventario]]*Tabla2[[#This Row],[Coste LÃ­nea]]</f>
        <v>0</v>
      </c>
      <c r="M713" s="24">
        <f>+Tabla2[[#This Row],[Variación Stock]]*Tabla2[[#This Row],[Coste LÃ­nea]]</f>
        <v>0</v>
      </c>
      <c r="N713" s="22" t="str">
        <f>+IF(Tabla2[[#This Row],[Variación Stock]]&gt;0,"Sobrante",IF(Tabla2[[#This Row],[Variación Stock]]&lt;0,"Faltante","Sin novedad"))</f>
        <v>Sin novedad</v>
      </c>
    </row>
    <row r="714" spans="1:14" x14ac:dyDescent="0.25">
      <c r="A714" s="11">
        <v>46037</v>
      </c>
      <c r="B714" s="5" t="s">
        <v>212</v>
      </c>
      <c r="C714" s="3" t="s">
        <v>213</v>
      </c>
      <c r="D714" s="5" t="s">
        <v>111</v>
      </c>
      <c r="E714" s="5" t="s">
        <v>112</v>
      </c>
      <c r="F714" s="6" t="s">
        <v>33</v>
      </c>
      <c r="G714" s="4" t="s">
        <v>0</v>
      </c>
      <c r="H714" s="24">
        <v>3754.15625</v>
      </c>
      <c r="I714" s="8">
        <v>57</v>
      </c>
      <c r="J714" s="9">
        <v>52</v>
      </c>
      <c r="K714" s="7">
        <v>-5</v>
      </c>
      <c r="L714" s="24">
        <f>+Tabla2[[#This Row],[Stock Inventario]]*Tabla2[[#This Row],[Coste LÃ­nea]]</f>
        <v>195216.125</v>
      </c>
      <c r="M714" s="24">
        <f>+Tabla2[[#This Row],[Variación Stock]]*Tabla2[[#This Row],[Coste LÃ­nea]]</f>
        <v>-18770.78125</v>
      </c>
      <c r="N714" s="22" t="str">
        <f>+IF(Tabla2[[#This Row],[Variación Stock]]&gt;0,"Sobrante",IF(Tabla2[[#This Row],[Variación Stock]]&lt;0,"Faltante","Sin novedad"))</f>
        <v>Faltante</v>
      </c>
    </row>
    <row r="715" spans="1:14" hidden="1" x14ac:dyDescent="0.25">
      <c r="A715" s="11">
        <v>46053</v>
      </c>
      <c r="B715" s="5" t="s">
        <v>972</v>
      </c>
      <c r="C715" s="3" t="s">
        <v>213</v>
      </c>
      <c r="D715" s="5" t="s">
        <v>396</v>
      </c>
      <c r="E715" s="5" t="s">
        <v>117</v>
      </c>
      <c r="F715" s="6" t="s">
        <v>995</v>
      </c>
      <c r="G715" s="4" t="s">
        <v>1</v>
      </c>
      <c r="H715" s="25">
        <v>1.0229999999999999</v>
      </c>
      <c r="I715" s="8">
        <v>2940</v>
      </c>
      <c r="J715" s="9">
        <v>4200</v>
      </c>
      <c r="K715" s="7">
        <v>1260</v>
      </c>
      <c r="L715" s="24">
        <f>+Tabla2[[#This Row],[Stock Inventario]]*Tabla2[[#This Row],[Coste LÃ­nea]]</f>
        <v>4296.5999999999995</v>
      </c>
      <c r="M715" s="24">
        <f>+Tabla2[[#This Row],[Variación Stock]]*Tabla2[[#This Row],[Coste LÃ­nea]]</f>
        <v>1288.9799999999998</v>
      </c>
      <c r="N715" s="22" t="str">
        <f>+IF(Tabla2[[#This Row],[Variación Stock]]&gt;0,"Sobrante",IF(Tabla2[[#This Row],[Variación Stock]]&lt;0,"Faltante","Sin novedad"))</f>
        <v>Sobrante</v>
      </c>
    </row>
    <row r="716" spans="1:14" hidden="1" x14ac:dyDescent="0.25">
      <c r="A716" s="11">
        <v>46053</v>
      </c>
      <c r="B716" s="5" t="s">
        <v>972</v>
      </c>
      <c r="C716" s="3" t="s">
        <v>213</v>
      </c>
      <c r="D716" s="5" t="s">
        <v>396</v>
      </c>
      <c r="E716" s="5" t="s">
        <v>117</v>
      </c>
      <c r="F716" s="6" t="s">
        <v>845</v>
      </c>
      <c r="G716" s="4" t="s">
        <v>1</v>
      </c>
      <c r="H716" s="25">
        <v>19.178414100000001</v>
      </c>
      <c r="I716" s="8">
        <v>350</v>
      </c>
      <c r="J716" s="9">
        <v>300</v>
      </c>
      <c r="K716" s="7">
        <v>-50</v>
      </c>
      <c r="L716" s="24">
        <f>+Tabla2[[#This Row],[Stock Inventario]]*Tabla2[[#This Row],[Coste LÃ­nea]]</f>
        <v>5753.52423</v>
      </c>
      <c r="M716" s="24">
        <f>+Tabla2[[#This Row],[Variación Stock]]*Tabla2[[#This Row],[Coste LÃ­nea]]</f>
        <v>-958.92070500000011</v>
      </c>
      <c r="N716" s="22" t="str">
        <f>+IF(Tabla2[[#This Row],[Variación Stock]]&gt;0,"Sobrante",IF(Tabla2[[#This Row],[Variación Stock]]&lt;0,"Faltante","Sin novedad"))</f>
        <v>Faltante</v>
      </c>
    </row>
    <row r="717" spans="1:14" hidden="1" x14ac:dyDescent="0.25">
      <c r="A717" s="11">
        <v>46053</v>
      </c>
      <c r="B717" s="5" t="s">
        <v>972</v>
      </c>
      <c r="C717" s="3" t="s">
        <v>213</v>
      </c>
      <c r="D717" s="5" t="s">
        <v>396</v>
      </c>
      <c r="E717" s="5" t="s">
        <v>117</v>
      </c>
      <c r="F717" s="6" t="s">
        <v>450</v>
      </c>
      <c r="G717" s="4" t="s">
        <v>1</v>
      </c>
      <c r="H717" s="25">
        <v>2.4009999999999998</v>
      </c>
      <c r="I717" s="8">
        <v>8270.7677999999996</v>
      </c>
      <c r="J717" s="9">
        <v>4000</v>
      </c>
      <c r="K717" s="7">
        <v>-4270.7678150000002</v>
      </c>
      <c r="L717" s="24">
        <f>+Tabla2[[#This Row],[Stock Inventario]]*Tabla2[[#This Row],[Coste LÃ­nea]]</f>
        <v>9604</v>
      </c>
      <c r="M717" s="24">
        <f>+Tabla2[[#This Row],[Variación Stock]]*Tabla2[[#This Row],[Coste LÃ­nea]]</f>
        <v>-10254.113523815</v>
      </c>
      <c r="N717" s="22" t="str">
        <f>+IF(Tabla2[[#This Row],[Variación Stock]]&gt;0,"Sobrante",IF(Tabla2[[#This Row],[Variación Stock]]&lt;0,"Faltante","Sin novedad"))</f>
        <v>Faltante</v>
      </c>
    </row>
    <row r="718" spans="1:14" hidden="1" x14ac:dyDescent="0.25">
      <c r="A718" s="11">
        <v>46053</v>
      </c>
      <c r="B718" s="5" t="s">
        <v>972</v>
      </c>
      <c r="C718" s="3" t="s">
        <v>213</v>
      </c>
      <c r="D718" s="5" t="s">
        <v>396</v>
      </c>
      <c r="E718" s="5" t="s">
        <v>117</v>
      </c>
      <c r="F718" s="6" t="s">
        <v>420</v>
      </c>
      <c r="G718" s="4" t="s">
        <v>1</v>
      </c>
      <c r="H718" s="25">
        <v>24.8</v>
      </c>
      <c r="I718" s="8">
        <v>-0.30769999999999997</v>
      </c>
      <c r="J718" s="9">
        <v>0</v>
      </c>
      <c r="K718" s="7">
        <v>0.30769200000000002</v>
      </c>
      <c r="L718" s="24">
        <f>+Tabla2[[#This Row],[Stock Inventario]]*Tabla2[[#This Row],[Coste LÃ­nea]]</f>
        <v>0</v>
      </c>
      <c r="M718" s="24">
        <f>+Tabla2[[#This Row],[Variación Stock]]*Tabla2[[#This Row],[Coste LÃ­nea]]</f>
        <v>7.6307616000000005</v>
      </c>
      <c r="N718" s="22" t="str">
        <f>+IF(Tabla2[[#This Row],[Variación Stock]]&gt;0,"Sobrante",IF(Tabla2[[#This Row],[Variación Stock]]&lt;0,"Faltante","Sin novedad"))</f>
        <v>Sobrante</v>
      </c>
    </row>
    <row r="719" spans="1:14" hidden="1" x14ac:dyDescent="0.25">
      <c r="A719" s="11">
        <v>46053</v>
      </c>
      <c r="B719" s="5" t="s">
        <v>972</v>
      </c>
      <c r="C719" s="3" t="s">
        <v>213</v>
      </c>
      <c r="D719" s="5" t="s">
        <v>396</v>
      </c>
      <c r="E719" s="5" t="s">
        <v>117</v>
      </c>
      <c r="F719" s="6" t="s">
        <v>996</v>
      </c>
      <c r="G719" s="4" t="s">
        <v>1</v>
      </c>
      <c r="H719" s="25">
        <v>17</v>
      </c>
      <c r="I719" s="8">
        <v>-621.4</v>
      </c>
      <c r="J719" s="9">
        <v>4100</v>
      </c>
      <c r="K719" s="7">
        <v>4721.3999999999996</v>
      </c>
      <c r="L719" s="24">
        <f>+Tabla2[[#This Row],[Stock Inventario]]*Tabla2[[#This Row],[Coste LÃ­nea]]</f>
        <v>69700</v>
      </c>
      <c r="M719" s="24">
        <f>+Tabla2[[#This Row],[Variación Stock]]*Tabla2[[#This Row],[Coste LÃ­nea]]</f>
        <v>80263.799999999988</v>
      </c>
      <c r="N719" s="22" t="str">
        <f>+IF(Tabla2[[#This Row],[Variación Stock]]&gt;0,"Sobrante",IF(Tabla2[[#This Row],[Variación Stock]]&lt;0,"Faltante","Sin novedad"))</f>
        <v>Sobrante</v>
      </c>
    </row>
    <row r="720" spans="1:14" hidden="1" x14ac:dyDescent="0.25">
      <c r="A720" s="11">
        <v>46053</v>
      </c>
      <c r="B720" s="5" t="s">
        <v>972</v>
      </c>
      <c r="C720" s="3" t="s">
        <v>213</v>
      </c>
      <c r="D720" s="5" t="s">
        <v>396</v>
      </c>
      <c r="E720" s="5" t="s">
        <v>117</v>
      </c>
      <c r="F720" s="6" t="s">
        <v>990</v>
      </c>
      <c r="G720" s="4" t="s">
        <v>1</v>
      </c>
      <c r="H720" s="25">
        <v>14.83825</v>
      </c>
      <c r="I720" s="8">
        <v>15989.2693</v>
      </c>
      <c r="J720" s="9">
        <v>12000</v>
      </c>
      <c r="K720" s="7">
        <v>-3989.2692999999999</v>
      </c>
      <c r="L720" s="24">
        <f>+Tabla2[[#This Row],[Stock Inventario]]*Tabla2[[#This Row],[Coste LÃ­nea]]</f>
        <v>178059</v>
      </c>
      <c r="M720" s="24">
        <f>+Tabla2[[#This Row],[Variación Stock]]*Tabla2[[#This Row],[Coste LÃ­nea]]</f>
        <v>-59193.775190724999</v>
      </c>
      <c r="N720" s="22" t="str">
        <f>+IF(Tabla2[[#This Row],[Variación Stock]]&gt;0,"Sobrante",IF(Tabla2[[#This Row],[Variación Stock]]&lt;0,"Faltante","Sin novedad"))</f>
        <v>Faltante</v>
      </c>
    </row>
    <row r="721" spans="1:14" hidden="1" x14ac:dyDescent="0.25">
      <c r="A721" s="11">
        <v>46053</v>
      </c>
      <c r="B721" s="5" t="s">
        <v>972</v>
      </c>
      <c r="C721" s="3" t="s">
        <v>213</v>
      </c>
      <c r="D721" s="5" t="s">
        <v>803</v>
      </c>
      <c r="E721" s="5" t="s">
        <v>117</v>
      </c>
      <c r="F721" s="6" t="s">
        <v>1065</v>
      </c>
      <c r="G721" s="4" t="s">
        <v>1</v>
      </c>
      <c r="H721" s="25">
        <v>16.028142859999999</v>
      </c>
      <c r="I721" s="8">
        <v>9769.9912000000004</v>
      </c>
      <c r="J721" s="9">
        <v>8400</v>
      </c>
      <c r="K721" s="7">
        <v>-1369.9911999999999</v>
      </c>
      <c r="L721" s="24">
        <f>+Tabla2[[#This Row],[Stock Inventario]]*Tabla2[[#This Row],[Coste LÃ­nea]]</f>
        <v>134636.400024</v>
      </c>
      <c r="M721" s="24">
        <f>+Tabla2[[#This Row],[Variación Stock]]*Tabla2[[#This Row],[Coste LÃ­nea]]</f>
        <v>-21958.414670542828</v>
      </c>
      <c r="N721" s="22" t="str">
        <f>+IF(Tabla2[[#This Row],[Variación Stock]]&gt;0,"Sobrante",IF(Tabla2[[#This Row],[Variación Stock]]&lt;0,"Faltante","Sin novedad"))</f>
        <v>Faltante</v>
      </c>
    </row>
    <row r="722" spans="1:14" x14ac:dyDescent="0.25">
      <c r="A722" s="11">
        <v>46044</v>
      </c>
      <c r="B722" s="5" t="s">
        <v>383</v>
      </c>
      <c r="C722" s="3" t="s">
        <v>213</v>
      </c>
      <c r="D722" s="5" t="s">
        <v>111</v>
      </c>
      <c r="E722" s="5" t="s">
        <v>112</v>
      </c>
      <c r="F722" s="6" t="s">
        <v>33</v>
      </c>
      <c r="G722" s="4" t="s">
        <v>0</v>
      </c>
      <c r="H722" s="25">
        <v>3708.2361111099999</v>
      </c>
      <c r="I722" s="8">
        <v>34</v>
      </c>
      <c r="J722" s="9">
        <v>39</v>
      </c>
      <c r="K722" s="7">
        <v>5</v>
      </c>
      <c r="L722" s="24">
        <f>+Tabla2[[#This Row],[Stock Inventario]]*Tabla2[[#This Row],[Coste LÃ­nea]]</f>
        <v>144621.20833329001</v>
      </c>
      <c r="M722" s="24">
        <f>+Tabla2[[#This Row],[Variación Stock]]*Tabla2[[#This Row],[Coste LÃ­nea]]</f>
        <v>18541.18055555</v>
      </c>
      <c r="N722" s="22" t="str">
        <f>+IF(Tabla2[[#This Row],[Variación Stock]]&gt;0,"Sobrante",IF(Tabla2[[#This Row],[Variación Stock]]&lt;0,"Faltante","Sin novedad"))</f>
        <v>Sobrante</v>
      </c>
    </row>
    <row r="723" spans="1:14" hidden="1" x14ac:dyDescent="0.25">
      <c r="A723" s="11">
        <v>46053</v>
      </c>
      <c r="B723" s="5" t="s">
        <v>972</v>
      </c>
      <c r="C723" s="3" t="s">
        <v>213</v>
      </c>
      <c r="D723" s="5" t="s">
        <v>396</v>
      </c>
      <c r="E723" s="5" t="s">
        <v>117</v>
      </c>
      <c r="F723" s="6" t="s">
        <v>991</v>
      </c>
      <c r="G723" s="4" t="s">
        <v>1</v>
      </c>
      <c r="H723" s="25">
        <v>33.581463409999998</v>
      </c>
      <c r="I723" s="8">
        <v>11250</v>
      </c>
      <c r="J723" s="9">
        <v>7000</v>
      </c>
      <c r="K723" s="7">
        <v>-4250</v>
      </c>
      <c r="L723" s="24">
        <f>+Tabla2[[#This Row],[Stock Inventario]]*Tabla2[[#This Row],[Coste LÃ­nea]]</f>
        <v>235070.24386999998</v>
      </c>
      <c r="M723" s="24">
        <f>+Tabla2[[#This Row],[Variación Stock]]*Tabla2[[#This Row],[Coste LÃ­nea]]</f>
        <v>-142721.21949249998</v>
      </c>
      <c r="N723" s="22" t="str">
        <f>+IF(Tabla2[[#This Row],[Variación Stock]]&gt;0,"Sobrante",IF(Tabla2[[#This Row],[Variación Stock]]&lt;0,"Faltante","Sin novedad"))</f>
        <v>Faltante</v>
      </c>
    </row>
    <row r="724" spans="1:14" hidden="1" x14ac:dyDescent="0.25">
      <c r="A724" s="11">
        <v>46053</v>
      </c>
      <c r="B724" s="5" t="s">
        <v>972</v>
      </c>
      <c r="C724" s="3" t="s">
        <v>213</v>
      </c>
      <c r="D724" s="5" t="s">
        <v>396</v>
      </c>
      <c r="E724" s="5" t="s">
        <v>117</v>
      </c>
      <c r="F724" s="6" t="s">
        <v>463</v>
      </c>
      <c r="G724" s="4" t="s">
        <v>1</v>
      </c>
      <c r="H724" s="25">
        <v>10.749943330000001</v>
      </c>
      <c r="I724" s="8">
        <v>170</v>
      </c>
      <c r="J724" s="9">
        <v>0</v>
      </c>
      <c r="K724" s="7">
        <v>-170</v>
      </c>
      <c r="L724" s="24">
        <f>+Tabla2[[#This Row],[Stock Inventario]]*Tabla2[[#This Row],[Coste LÃ­nea]]</f>
        <v>0</v>
      </c>
      <c r="M724" s="24">
        <f>+Tabla2[[#This Row],[Variación Stock]]*Tabla2[[#This Row],[Coste LÃ­nea]]</f>
        <v>-1827.4903661000001</v>
      </c>
      <c r="N724" s="22" t="str">
        <f>+IF(Tabla2[[#This Row],[Variación Stock]]&gt;0,"Sobrante",IF(Tabla2[[#This Row],[Variación Stock]]&lt;0,"Faltante","Sin novedad"))</f>
        <v>Faltante</v>
      </c>
    </row>
    <row r="725" spans="1:14" hidden="1" x14ac:dyDescent="0.25">
      <c r="A725" s="11">
        <v>46053</v>
      </c>
      <c r="B725" s="5" t="s">
        <v>972</v>
      </c>
      <c r="C725" s="3" t="s">
        <v>213</v>
      </c>
      <c r="D725" s="5" t="s">
        <v>396</v>
      </c>
      <c r="E725" s="5" t="s">
        <v>117</v>
      </c>
      <c r="F725" s="6" t="s">
        <v>468</v>
      </c>
      <c r="G725" s="4" t="s">
        <v>1</v>
      </c>
      <c r="H725" s="25">
        <v>8.9250000000000007</v>
      </c>
      <c r="I725" s="8">
        <v>19600</v>
      </c>
      <c r="J725" s="9">
        <v>9000</v>
      </c>
      <c r="K725" s="7">
        <v>-10600</v>
      </c>
      <c r="L725" s="24">
        <f>+Tabla2[[#This Row],[Stock Inventario]]*Tabla2[[#This Row],[Coste LÃ­nea]]</f>
        <v>80325</v>
      </c>
      <c r="M725" s="24">
        <f>+Tabla2[[#This Row],[Variación Stock]]*Tabla2[[#This Row],[Coste LÃ­nea]]</f>
        <v>-94605.000000000015</v>
      </c>
      <c r="N725" s="22" t="str">
        <f>+IF(Tabla2[[#This Row],[Variación Stock]]&gt;0,"Sobrante",IF(Tabla2[[#This Row],[Variación Stock]]&lt;0,"Faltante","Sin novedad"))</f>
        <v>Faltante</v>
      </c>
    </row>
    <row r="726" spans="1:14" hidden="1" x14ac:dyDescent="0.25">
      <c r="A726" s="11">
        <v>46053</v>
      </c>
      <c r="B726" s="5" t="s">
        <v>972</v>
      </c>
      <c r="C726" s="3" t="s">
        <v>213</v>
      </c>
      <c r="D726" s="5" t="s">
        <v>396</v>
      </c>
      <c r="E726" s="5" t="s">
        <v>117</v>
      </c>
      <c r="F726" s="6" t="s">
        <v>451</v>
      </c>
      <c r="G726" s="4" t="s">
        <v>1</v>
      </c>
      <c r="H726" s="25">
        <v>18.828045979999999</v>
      </c>
      <c r="I726" s="8">
        <v>19585</v>
      </c>
      <c r="J726" s="9">
        <v>4300</v>
      </c>
      <c r="K726" s="7">
        <v>-15285</v>
      </c>
      <c r="L726" s="24">
        <f>+Tabla2[[#This Row],[Stock Inventario]]*Tabla2[[#This Row],[Coste LÃ­nea]]</f>
        <v>80960.597713999989</v>
      </c>
      <c r="M726" s="24">
        <f>+Tabla2[[#This Row],[Variación Stock]]*Tabla2[[#This Row],[Coste LÃ­nea]]</f>
        <v>-287786.68280429998</v>
      </c>
      <c r="N726" s="22" t="str">
        <f>+IF(Tabla2[[#This Row],[Variación Stock]]&gt;0,"Sobrante",IF(Tabla2[[#This Row],[Variación Stock]]&lt;0,"Faltante","Sin novedad"))</f>
        <v>Faltante</v>
      </c>
    </row>
    <row r="727" spans="1:14" hidden="1" x14ac:dyDescent="0.25">
      <c r="A727" s="11">
        <v>46053</v>
      </c>
      <c r="B727" s="5" t="s">
        <v>972</v>
      </c>
      <c r="C727" s="3" t="s">
        <v>213</v>
      </c>
      <c r="D727" s="5" t="s">
        <v>396</v>
      </c>
      <c r="E727" s="5" t="s">
        <v>117</v>
      </c>
      <c r="F727" s="6" t="s">
        <v>409</v>
      </c>
      <c r="G727" s="4" t="s">
        <v>1</v>
      </c>
      <c r="H727" s="25">
        <v>61.682499999999997</v>
      </c>
      <c r="I727" s="8">
        <v>292</v>
      </c>
      <c r="J727" s="9">
        <v>500</v>
      </c>
      <c r="K727" s="7">
        <v>208</v>
      </c>
      <c r="L727" s="24">
        <f>+Tabla2[[#This Row],[Stock Inventario]]*Tabla2[[#This Row],[Coste LÃ­nea]]</f>
        <v>30841.25</v>
      </c>
      <c r="M727" s="24">
        <f>+Tabla2[[#This Row],[Variación Stock]]*Tabla2[[#This Row],[Coste LÃ­nea]]</f>
        <v>12829.96</v>
      </c>
      <c r="N727" s="22" t="str">
        <f>+IF(Tabla2[[#This Row],[Variación Stock]]&gt;0,"Sobrante",IF(Tabla2[[#This Row],[Variación Stock]]&lt;0,"Faltante","Sin novedad"))</f>
        <v>Sobrante</v>
      </c>
    </row>
    <row r="728" spans="1:14" hidden="1" x14ac:dyDescent="0.25">
      <c r="A728" s="11">
        <v>46053</v>
      </c>
      <c r="B728" s="5" t="s">
        <v>972</v>
      </c>
      <c r="C728" s="3" t="s">
        <v>213</v>
      </c>
      <c r="D728" s="5" t="s">
        <v>396</v>
      </c>
      <c r="E728" s="5" t="s">
        <v>117</v>
      </c>
      <c r="F728" s="6" t="s">
        <v>977</v>
      </c>
      <c r="G728" s="4" t="s">
        <v>2</v>
      </c>
      <c r="H728" s="25">
        <v>1058.8459383700001</v>
      </c>
      <c r="I728" s="8">
        <v>75</v>
      </c>
      <c r="J728" s="9">
        <v>0</v>
      </c>
      <c r="K728" s="7">
        <v>-75</v>
      </c>
      <c r="L728" s="24">
        <f>+Tabla2[[#This Row],[Stock Inventario]]*Tabla2[[#This Row],[Coste LÃ­nea]]</f>
        <v>0</v>
      </c>
      <c r="M728" s="24">
        <f>+Tabla2[[#This Row],[Variación Stock]]*Tabla2[[#This Row],[Coste LÃ­nea]]</f>
        <v>-79413.445377750002</v>
      </c>
      <c r="N728" s="22" t="str">
        <f>+IF(Tabla2[[#This Row],[Variación Stock]]&gt;0,"Sobrante",IF(Tabla2[[#This Row],[Variación Stock]]&lt;0,"Faltante","Sin novedad"))</f>
        <v>Faltante</v>
      </c>
    </row>
    <row r="729" spans="1:14" hidden="1" x14ac:dyDescent="0.25">
      <c r="A729" s="11">
        <v>46053</v>
      </c>
      <c r="B729" s="5" t="s">
        <v>972</v>
      </c>
      <c r="C729" s="3" t="s">
        <v>213</v>
      </c>
      <c r="D729" s="5" t="s">
        <v>803</v>
      </c>
      <c r="E729" s="5" t="s">
        <v>117</v>
      </c>
      <c r="F729" s="6" t="s">
        <v>1066</v>
      </c>
      <c r="G729" s="4" t="s">
        <v>1</v>
      </c>
      <c r="H729" s="25">
        <v>13.935</v>
      </c>
      <c r="I729" s="8">
        <v>3089.9502000000002</v>
      </c>
      <c r="J729" s="9">
        <v>2870</v>
      </c>
      <c r="K729" s="7">
        <v>-219.95024900000001</v>
      </c>
      <c r="L729" s="24">
        <f>+Tabla2[[#This Row],[Stock Inventario]]*Tabla2[[#This Row],[Coste LÃ­nea]]</f>
        <v>39993.450000000004</v>
      </c>
      <c r="M729" s="24">
        <f>+Tabla2[[#This Row],[Variación Stock]]*Tabla2[[#This Row],[Coste LÃ­nea]]</f>
        <v>-3065.0067198150005</v>
      </c>
      <c r="N729" s="22" t="str">
        <f>+IF(Tabla2[[#This Row],[Variación Stock]]&gt;0,"Sobrante",IF(Tabla2[[#This Row],[Variación Stock]]&lt;0,"Faltante","Sin novedad"))</f>
        <v>Faltante</v>
      </c>
    </row>
    <row r="730" spans="1:14" hidden="1" x14ac:dyDescent="0.25">
      <c r="A730" s="11">
        <v>46053</v>
      </c>
      <c r="B730" s="5" t="s">
        <v>972</v>
      </c>
      <c r="C730" s="3" t="s">
        <v>213</v>
      </c>
      <c r="D730" s="5" t="s">
        <v>396</v>
      </c>
      <c r="E730" s="5" t="s">
        <v>117</v>
      </c>
      <c r="F730" s="6" t="s">
        <v>992</v>
      </c>
      <c r="G730" s="4" t="s">
        <v>1</v>
      </c>
      <c r="H730" s="25">
        <v>16.5928</v>
      </c>
      <c r="I730" s="8">
        <v>47520</v>
      </c>
      <c r="J730" s="9">
        <v>17100</v>
      </c>
      <c r="K730" s="7">
        <v>-30420</v>
      </c>
      <c r="L730" s="24">
        <f>+Tabla2[[#This Row],[Stock Inventario]]*Tabla2[[#This Row],[Coste LÃ­nea]]</f>
        <v>283736.88</v>
      </c>
      <c r="M730" s="24">
        <f>+Tabla2[[#This Row],[Variación Stock]]*Tabla2[[#This Row],[Coste LÃ­nea]]</f>
        <v>-504752.97600000002</v>
      </c>
      <c r="N730" s="22" t="str">
        <f>+IF(Tabla2[[#This Row],[Variación Stock]]&gt;0,"Sobrante",IF(Tabla2[[#This Row],[Variación Stock]]&lt;0,"Faltante","Sin novedad"))</f>
        <v>Faltante</v>
      </c>
    </row>
    <row r="731" spans="1:14" hidden="1" x14ac:dyDescent="0.25">
      <c r="A731" s="11">
        <v>46053</v>
      </c>
      <c r="B731" s="5" t="s">
        <v>972</v>
      </c>
      <c r="C731" s="3" t="s">
        <v>213</v>
      </c>
      <c r="D731" s="5" t="s">
        <v>559</v>
      </c>
      <c r="E731" s="5" t="s">
        <v>1080</v>
      </c>
      <c r="F731" s="6" t="s">
        <v>595</v>
      </c>
      <c r="G731" s="4" t="s">
        <v>2</v>
      </c>
      <c r="H731" s="25">
        <v>51.29</v>
      </c>
      <c r="I731" s="8">
        <v>1920</v>
      </c>
      <c r="J731" s="9">
        <v>200</v>
      </c>
      <c r="K731" s="7">
        <v>-1720</v>
      </c>
      <c r="L731" s="24">
        <f>+Tabla2[[#This Row],[Stock Inventario]]*Tabla2[[#This Row],[Coste LÃ­nea]]</f>
        <v>10258</v>
      </c>
      <c r="M731" s="24">
        <f>+Tabla2[[#This Row],[Variación Stock]]*Tabla2[[#This Row],[Coste LÃ­nea]]</f>
        <v>-88218.8</v>
      </c>
      <c r="N731" s="22" t="str">
        <f>+IF(Tabla2[[#This Row],[Variación Stock]]&gt;0,"Sobrante",IF(Tabla2[[#This Row],[Variación Stock]]&lt;0,"Faltante","Sin novedad"))</f>
        <v>Faltante</v>
      </c>
    </row>
    <row r="732" spans="1:14" hidden="1" x14ac:dyDescent="0.25">
      <c r="A732" s="11">
        <v>46053</v>
      </c>
      <c r="B732" s="5" t="s">
        <v>972</v>
      </c>
      <c r="C732" s="3" t="s">
        <v>213</v>
      </c>
      <c r="D732" s="5" t="s">
        <v>471</v>
      </c>
      <c r="E732" s="5" t="s">
        <v>117</v>
      </c>
      <c r="F732" s="6" t="s">
        <v>531</v>
      </c>
      <c r="G732" s="4" t="s">
        <v>1</v>
      </c>
      <c r="H732" s="25">
        <v>1.9</v>
      </c>
      <c r="I732" s="8">
        <v>34200.000200000002</v>
      </c>
      <c r="J732" s="9">
        <v>5050</v>
      </c>
      <c r="K732" s="7">
        <v>-29150.000164000001</v>
      </c>
      <c r="L732" s="24">
        <f>+Tabla2[[#This Row],[Stock Inventario]]*Tabla2[[#This Row],[Coste LÃ­nea]]</f>
        <v>9595</v>
      </c>
      <c r="M732" s="24">
        <f>+Tabla2[[#This Row],[Variación Stock]]*Tabla2[[#This Row],[Coste LÃ­nea]]</f>
        <v>-55385.000311600001</v>
      </c>
      <c r="N732" s="22" t="str">
        <f>+IF(Tabla2[[#This Row],[Variación Stock]]&gt;0,"Sobrante",IF(Tabla2[[#This Row],[Variación Stock]]&lt;0,"Faltante","Sin novedad"))</f>
        <v>Faltante</v>
      </c>
    </row>
    <row r="733" spans="1:14" x14ac:dyDescent="0.25">
      <c r="A733" s="11">
        <v>46053</v>
      </c>
      <c r="B733" s="5" t="s">
        <v>972</v>
      </c>
      <c r="C733" s="3" t="s">
        <v>213</v>
      </c>
      <c r="D733" s="5" t="s">
        <v>111</v>
      </c>
      <c r="E733" s="5" t="s">
        <v>112</v>
      </c>
      <c r="F733" s="6" t="s">
        <v>33</v>
      </c>
      <c r="G733" s="4" t="s">
        <v>0</v>
      </c>
      <c r="H733" s="25">
        <v>4004.4333333300001</v>
      </c>
      <c r="I733" s="8">
        <v>59</v>
      </c>
      <c r="J733" s="9">
        <v>71</v>
      </c>
      <c r="K733" s="7">
        <v>12</v>
      </c>
      <c r="L733" s="24">
        <f>+Tabla2[[#This Row],[Stock Inventario]]*Tabla2[[#This Row],[Coste LÃ­nea]]</f>
        <v>284314.76666642999</v>
      </c>
      <c r="M733" s="24">
        <f>+Tabla2[[#This Row],[Variación Stock]]*Tabla2[[#This Row],[Coste LÃ­nea]]</f>
        <v>48053.199999960001</v>
      </c>
      <c r="N733" s="22" t="str">
        <f>+IF(Tabla2[[#This Row],[Variación Stock]]&gt;0,"Sobrante",IF(Tabla2[[#This Row],[Variación Stock]]&lt;0,"Faltante","Sin novedad"))</f>
        <v>Sobrante</v>
      </c>
    </row>
    <row r="734" spans="1:14" hidden="1" x14ac:dyDescent="0.25">
      <c r="A734" s="11">
        <v>46053</v>
      </c>
      <c r="B734" s="5" t="s">
        <v>972</v>
      </c>
      <c r="C734" s="3" t="s">
        <v>213</v>
      </c>
      <c r="D734" s="5" t="s">
        <v>559</v>
      </c>
      <c r="E734" s="5" t="s">
        <v>1080</v>
      </c>
      <c r="F734" s="6" t="s">
        <v>885</v>
      </c>
      <c r="G734" s="4" t="s">
        <v>2</v>
      </c>
      <c r="H734" s="25">
        <v>792</v>
      </c>
      <c r="I734" s="8">
        <v>400</v>
      </c>
      <c r="J734" s="9">
        <v>150</v>
      </c>
      <c r="K734" s="7">
        <v>-250</v>
      </c>
      <c r="L734" s="24">
        <f>+Tabla2[[#This Row],[Stock Inventario]]*Tabla2[[#This Row],[Coste LÃ­nea]]</f>
        <v>118800</v>
      </c>
      <c r="M734" s="24">
        <f>+Tabla2[[#This Row],[Variación Stock]]*Tabla2[[#This Row],[Coste LÃ­nea]]</f>
        <v>-198000</v>
      </c>
      <c r="N734" s="22" t="str">
        <f>+IF(Tabla2[[#This Row],[Variación Stock]]&gt;0,"Sobrante",IF(Tabla2[[#This Row],[Variación Stock]]&lt;0,"Faltante","Sin novedad"))</f>
        <v>Faltante</v>
      </c>
    </row>
    <row r="735" spans="1:14" hidden="1" x14ac:dyDescent="0.25">
      <c r="A735" s="11">
        <v>46053</v>
      </c>
      <c r="B735" s="5" t="s">
        <v>972</v>
      </c>
      <c r="C735" s="3" t="s">
        <v>213</v>
      </c>
      <c r="D735" s="5" t="s">
        <v>559</v>
      </c>
      <c r="E735" s="5" t="s">
        <v>1080</v>
      </c>
      <c r="F735" s="6" t="s">
        <v>596</v>
      </c>
      <c r="G735" s="4" t="s">
        <v>2</v>
      </c>
      <c r="H735" s="25">
        <v>105.8625</v>
      </c>
      <c r="I735" s="8">
        <v>2400</v>
      </c>
      <c r="J735" s="9">
        <v>0</v>
      </c>
      <c r="K735" s="7">
        <v>-2400</v>
      </c>
      <c r="L735" s="24">
        <f>+Tabla2[[#This Row],[Stock Inventario]]*Tabla2[[#This Row],[Coste LÃ­nea]]</f>
        <v>0</v>
      </c>
      <c r="M735" s="24">
        <f>+Tabla2[[#This Row],[Variación Stock]]*Tabla2[[#This Row],[Coste LÃ­nea]]</f>
        <v>-254070</v>
      </c>
      <c r="N735" s="22" t="str">
        <f>+IF(Tabla2[[#This Row],[Variación Stock]]&gt;0,"Sobrante",IF(Tabla2[[#This Row],[Variación Stock]]&lt;0,"Faltante","Sin novedad"))</f>
        <v>Faltante</v>
      </c>
    </row>
    <row r="736" spans="1:14" hidden="1" x14ac:dyDescent="0.25">
      <c r="A736" s="11">
        <v>46053</v>
      </c>
      <c r="B736" s="5" t="s">
        <v>972</v>
      </c>
      <c r="C736" s="3" t="s">
        <v>213</v>
      </c>
      <c r="D736" s="5" t="s">
        <v>396</v>
      </c>
      <c r="E736" s="5" t="s">
        <v>117</v>
      </c>
      <c r="F736" s="6" t="s">
        <v>978</v>
      </c>
      <c r="G736" s="4" t="s">
        <v>0</v>
      </c>
      <c r="H736" s="25">
        <v>150</v>
      </c>
      <c r="I736" s="8">
        <v>22.5</v>
      </c>
      <c r="J736" s="9">
        <v>8</v>
      </c>
      <c r="K736" s="7">
        <v>-14.5</v>
      </c>
      <c r="L736" s="24">
        <f>+Tabla2[[#This Row],[Stock Inventario]]*Tabla2[[#This Row],[Coste LÃ­nea]]</f>
        <v>1200</v>
      </c>
      <c r="M736" s="24">
        <f>+Tabla2[[#This Row],[Variación Stock]]*Tabla2[[#This Row],[Coste LÃ­nea]]</f>
        <v>-2175</v>
      </c>
      <c r="N736" s="22" t="str">
        <f>+IF(Tabla2[[#This Row],[Variación Stock]]&gt;0,"Sobrante",IF(Tabla2[[#This Row],[Variación Stock]]&lt;0,"Faltante","Sin novedad"))</f>
        <v>Faltante</v>
      </c>
    </row>
    <row r="737" spans="1:14" x14ac:dyDescent="0.25">
      <c r="A737" s="11">
        <v>46053</v>
      </c>
      <c r="B737" s="5" t="s">
        <v>972</v>
      </c>
      <c r="C737" s="3" t="s">
        <v>213</v>
      </c>
      <c r="D737" s="5" t="s">
        <v>111</v>
      </c>
      <c r="E737" s="5" t="s">
        <v>112</v>
      </c>
      <c r="F737" s="6" t="s">
        <v>973</v>
      </c>
      <c r="G737" s="4" t="s">
        <v>0</v>
      </c>
      <c r="H737" s="25">
        <v>3662.7083333300002</v>
      </c>
      <c r="I737" s="8">
        <v>48</v>
      </c>
      <c r="J737" s="9">
        <v>48</v>
      </c>
      <c r="K737" s="7">
        <v>0</v>
      </c>
      <c r="L737" s="24">
        <f>+Tabla2[[#This Row],[Stock Inventario]]*Tabla2[[#This Row],[Coste LÃ­nea]]</f>
        <v>175809.99999984002</v>
      </c>
      <c r="M737" s="24">
        <f>+Tabla2[[#This Row],[Variación Stock]]*Tabla2[[#This Row],[Coste LÃ­nea]]</f>
        <v>0</v>
      </c>
      <c r="N737" s="22" t="str">
        <f>+IF(Tabla2[[#This Row],[Variación Stock]]&gt;0,"Sobrante",IF(Tabla2[[#This Row],[Variación Stock]]&lt;0,"Faltante","Sin novedad"))</f>
        <v>Sin novedad</v>
      </c>
    </row>
    <row r="738" spans="1:14" x14ac:dyDescent="0.25">
      <c r="A738" s="11">
        <v>46037</v>
      </c>
      <c r="B738" s="5" t="s">
        <v>212</v>
      </c>
      <c r="C738" s="3" t="s">
        <v>213</v>
      </c>
      <c r="D738" s="5" t="s">
        <v>111</v>
      </c>
      <c r="E738" s="5" t="s">
        <v>112</v>
      </c>
      <c r="F738" s="6" t="s">
        <v>222</v>
      </c>
      <c r="G738" s="4" t="s">
        <v>0</v>
      </c>
      <c r="H738" s="24">
        <v>10667.40909091</v>
      </c>
      <c r="I738" s="8">
        <v>0</v>
      </c>
      <c r="J738" s="9">
        <v>0</v>
      </c>
      <c r="K738" s="7">
        <v>0</v>
      </c>
      <c r="L738" s="24">
        <f>+Tabla2[[#This Row],[Stock Inventario]]*Tabla2[[#This Row],[Coste LÃ­nea]]</f>
        <v>0</v>
      </c>
      <c r="M738" s="24">
        <f>+Tabla2[[#This Row],[Variación Stock]]*Tabla2[[#This Row],[Coste LÃ­nea]]</f>
        <v>0</v>
      </c>
      <c r="N738" s="22" t="str">
        <f>+IF(Tabla2[[#This Row],[Variación Stock]]&gt;0,"Sobrante",IF(Tabla2[[#This Row],[Variación Stock]]&lt;0,"Faltante","Sin novedad"))</f>
        <v>Sin novedad</v>
      </c>
    </row>
    <row r="739" spans="1:14" x14ac:dyDescent="0.25">
      <c r="A739" s="11">
        <v>46044</v>
      </c>
      <c r="B739" s="5" t="s">
        <v>383</v>
      </c>
      <c r="C739" s="3" t="s">
        <v>213</v>
      </c>
      <c r="D739" s="5" t="s">
        <v>111</v>
      </c>
      <c r="E739" s="5" t="s">
        <v>112</v>
      </c>
      <c r="F739" s="6" t="s">
        <v>380</v>
      </c>
      <c r="G739" s="4" t="s">
        <v>0</v>
      </c>
      <c r="H739" s="25">
        <v>10667.40909091</v>
      </c>
      <c r="I739" s="8">
        <v>0</v>
      </c>
      <c r="J739" s="9">
        <v>0</v>
      </c>
      <c r="K739" s="7">
        <v>0</v>
      </c>
      <c r="L739" s="24">
        <f>+Tabla2[[#This Row],[Stock Inventario]]*Tabla2[[#This Row],[Coste LÃ­nea]]</f>
        <v>0</v>
      </c>
      <c r="M739" s="24">
        <f>+Tabla2[[#This Row],[Variación Stock]]*Tabla2[[#This Row],[Coste LÃ­nea]]</f>
        <v>0</v>
      </c>
      <c r="N739" s="22" t="str">
        <f>+IF(Tabla2[[#This Row],[Variación Stock]]&gt;0,"Sobrante",IF(Tabla2[[#This Row],[Variación Stock]]&lt;0,"Faltante","Sin novedad"))</f>
        <v>Sin novedad</v>
      </c>
    </row>
    <row r="740" spans="1:14" hidden="1" x14ac:dyDescent="0.25">
      <c r="A740" s="11">
        <v>46053</v>
      </c>
      <c r="B740" s="5" t="s">
        <v>972</v>
      </c>
      <c r="C740" s="3" t="s">
        <v>213</v>
      </c>
      <c r="D740" s="5" t="s">
        <v>116</v>
      </c>
      <c r="E740" s="5" t="s">
        <v>117</v>
      </c>
      <c r="F740" s="6" t="s">
        <v>164</v>
      </c>
      <c r="G740" s="4" t="s">
        <v>2</v>
      </c>
      <c r="H740" s="25">
        <v>11535</v>
      </c>
      <c r="I740" s="8">
        <v>-2</v>
      </c>
      <c r="J740" s="9">
        <v>0</v>
      </c>
      <c r="K740" s="7">
        <v>2</v>
      </c>
      <c r="L740" s="24">
        <f>+Tabla2[[#This Row],[Stock Inventario]]*Tabla2[[#This Row],[Coste LÃ­nea]]</f>
        <v>0</v>
      </c>
      <c r="M740" s="24">
        <f>+Tabla2[[#This Row],[Variación Stock]]*Tabla2[[#This Row],[Coste LÃ­nea]]</f>
        <v>23070</v>
      </c>
      <c r="N740" s="22" t="str">
        <f>+IF(Tabla2[[#This Row],[Variación Stock]]&gt;0,"Sobrante",IF(Tabla2[[#This Row],[Variación Stock]]&lt;0,"Faltante","Sin novedad"))</f>
        <v>Sobrante</v>
      </c>
    </row>
    <row r="741" spans="1:14" hidden="1" x14ac:dyDescent="0.25">
      <c r="A741" s="11">
        <v>46053</v>
      </c>
      <c r="B741" s="5" t="s">
        <v>972</v>
      </c>
      <c r="C741" s="3" t="s">
        <v>213</v>
      </c>
      <c r="D741" s="5" t="s">
        <v>396</v>
      </c>
      <c r="E741" s="5" t="s">
        <v>117</v>
      </c>
      <c r="F741" s="6" t="s">
        <v>453</v>
      </c>
      <c r="G741" s="4" t="s">
        <v>2</v>
      </c>
      <c r="H741" s="25">
        <v>54.415714289999997</v>
      </c>
      <c r="I741" s="8">
        <v>350</v>
      </c>
      <c r="J741" s="9">
        <v>0</v>
      </c>
      <c r="K741" s="7">
        <v>-350</v>
      </c>
      <c r="L741" s="24">
        <f>+Tabla2[[#This Row],[Stock Inventario]]*Tabla2[[#This Row],[Coste LÃ­nea]]</f>
        <v>0</v>
      </c>
      <c r="M741" s="24">
        <f>+Tabla2[[#This Row],[Variación Stock]]*Tabla2[[#This Row],[Coste LÃ­nea]]</f>
        <v>-19045.500001500001</v>
      </c>
      <c r="N741" s="22" t="str">
        <f>+IF(Tabla2[[#This Row],[Variación Stock]]&gt;0,"Sobrante",IF(Tabla2[[#This Row],[Variación Stock]]&lt;0,"Faltante","Sin novedad"))</f>
        <v>Faltante</v>
      </c>
    </row>
    <row r="742" spans="1:14" hidden="1" x14ac:dyDescent="0.25">
      <c r="A742" s="11">
        <v>46053</v>
      </c>
      <c r="B742" s="5" t="s">
        <v>972</v>
      </c>
      <c r="C742" s="3" t="s">
        <v>213</v>
      </c>
      <c r="D742" s="5" t="s">
        <v>396</v>
      </c>
      <c r="E742" s="5" t="s">
        <v>117</v>
      </c>
      <c r="F742" s="6" t="s">
        <v>406</v>
      </c>
      <c r="G742" s="4" t="s">
        <v>2</v>
      </c>
      <c r="H742" s="25">
        <v>709.24</v>
      </c>
      <c r="I742" s="8">
        <v>50</v>
      </c>
      <c r="J742" s="9">
        <v>0</v>
      </c>
      <c r="K742" s="7">
        <v>-50</v>
      </c>
      <c r="L742" s="24">
        <f>+Tabla2[[#This Row],[Stock Inventario]]*Tabla2[[#This Row],[Coste LÃ­nea]]</f>
        <v>0</v>
      </c>
      <c r="M742" s="24">
        <f>+Tabla2[[#This Row],[Variación Stock]]*Tabla2[[#This Row],[Coste LÃ­nea]]</f>
        <v>-35462</v>
      </c>
      <c r="N742" s="22" t="str">
        <f>+IF(Tabla2[[#This Row],[Variación Stock]]&gt;0,"Sobrante",IF(Tabla2[[#This Row],[Variación Stock]]&lt;0,"Faltante","Sin novedad"))</f>
        <v>Faltante</v>
      </c>
    </row>
    <row r="743" spans="1:14" x14ac:dyDescent="0.25">
      <c r="A743" s="11">
        <v>46053</v>
      </c>
      <c r="B743" s="5" t="s">
        <v>972</v>
      </c>
      <c r="C743" s="3" t="s">
        <v>213</v>
      </c>
      <c r="D743" s="5" t="s">
        <v>111</v>
      </c>
      <c r="E743" s="5" t="s">
        <v>112</v>
      </c>
      <c r="F743" s="6" t="s">
        <v>380</v>
      </c>
      <c r="G743" s="4" t="s">
        <v>0</v>
      </c>
      <c r="H743" s="25">
        <v>10667.40909091</v>
      </c>
      <c r="I743" s="8">
        <v>0</v>
      </c>
      <c r="J743" s="9">
        <v>0</v>
      </c>
      <c r="K743" s="7">
        <v>0</v>
      </c>
      <c r="L743" s="24">
        <f>+Tabla2[[#This Row],[Stock Inventario]]*Tabla2[[#This Row],[Coste LÃ­nea]]</f>
        <v>0</v>
      </c>
      <c r="M743" s="24">
        <f>+Tabla2[[#This Row],[Variación Stock]]*Tabla2[[#This Row],[Coste LÃ­nea]]</f>
        <v>0</v>
      </c>
      <c r="N743" s="22" t="str">
        <f>+IF(Tabla2[[#This Row],[Variación Stock]]&gt;0,"Sobrante",IF(Tabla2[[#This Row],[Variación Stock]]&lt;0,"Faltante","Sin novedad"))</f>
        <v>Sin novedad</v>
      </c>
    </row>
    <row r="744" spans="1:14" hidden="1" x14ac:dyDescent="0.25">
      <c r="A744" s="11">
        <v>46053</v>
      </c>
      <c r="B744" s="5" t="s">
        <v>972</v>
      </c>
      <c r="C744" s="3" t="s">
        <v>213</v>
      </c>
      <c r="D744" s="5" t="s">
        <v>396</v>
      </c>
      <c r="E744" s="5" t="s">
        <v>117</v>
      </c>
      <c r="F744" s="6" t="s">
        <v>407</v>
      </c>
      <c r="G744" s="4" t="s">
        <v>1</v>
      </c>
      <c r="H744" s="25">
        <v>39.31131019</v>
      </c>
      <c r="I744" s="8">
        <v>1608</v>
      </c>
      <c r="J744" s="9">
        <v>500</v>
      </c>
      <c r="K744" s="7">
        <v>-1108</v>
      </c>
      <c r="L744" s="24">
        <f>+Tabla2[[#This Row],[Stock Inventario]]*Tabla2[[#This Row],[Coste LÃ­nea]]</f>
        <v>19655.655095000002</v>
      </c>
      <c r="M744" s="24">
        <f>+Tabla2[[#This Row],[Variación Stock]]*Tabla2[[#This Row],[Coste LÃ­nea]]</f>
        <v>-43556.931690520003</v>
      </c>
      <c r="N744" s="22" t="str">
        <f>+IF(Tabla2[[#This Row],[Variación Stock]]&gt;0,"Sobrante",IF(Tabla2[[#This Row],[Variación Stock]]&lt;0,"Faltante","Sin novedad"))</f>
        <v>Faltante</v>
      </c>
    </row>
    <row r="745" spans="1:14" hidden="1" x14ac:dyDescent="0.25">
      <c r="A745" s="11">
        <v>46053</v>
      </c>
      <c r="B745" s="5" t="s">
        <v>972</v>
      </c>
      <c r="C745" s="3" t="s">
        <v>213</v>
      </c>
      <c r="D745" s="5" t="s">
        <v>120</v>
      </c>
      <c r="E745" s="5" t="s">
        <v>117</v>
      </c>
      <c r="F745" s="6" t="s">
        <v>678</v>
      </c>
      <c r="G745" s="4" t="s">
        <v>1</v>
      </c>
      <c r="H745" s="25">
        <v>21.75140914</v>
      </c>
      <c r="I745" s="8">
        <v>-1520</v>
      </c>
      <c r="J745" s="9">
        <v>150</v>
      </c>
      <c r="K745" s="7">
        <v>1670</v>
      </c>
      <c r="L745" s="24">
        <f>+Tabla2[[#This Row],[Stock Inventario]]*Tabla2[[#This Row],[Coste LÃ­nea]]</f>
        <v>3262.7113709999999</v>
      </c>
      <c r="M745" s="24">
        <f>+Tabla2[[#This Row],[Variación Stock]]*Tabla2[[#This Row],[Coste LÃ­nea]]</f>
        <v>36324.853263799996</v>
      </c>
      <c r="N745" s="22" t="str">
        <f>+IF(Tabla2[[#This Row],[Variación Stock]]&gt;0,"Sobrante",IF(Tabla2[[#This Row],[Variación Stock]]&lt;0,"Faltante","Sin novedad"))</f>
        <v>Sobrante</v>
      </c>
    </row>
    <row r="746" spans="1:14" hidden="1" x14ac:dyDescent="0.25">
      <c r="A746" s="11">
        <v>46053</v>
      </c>
      <c r="B746" s="5" t="s">
        <v>972</v>
      </c>
      <c r="C746" s="3" t="s">
        <v>213</v>
      </c>
      <c r="D746" s="5" t="s">
        <v>120</v>
      </c>
      <c r="E746" s="5" t="s">
        <v>117</v>
      </c>
      <c r="F746" s="6" t="s">
        <v>1032</v>
      </c>
      <c r="G746" s="4" t="s">
        <v>1</v>
      </c>
      <c r="H746" s="25">
        <v>85.958556479999999</v>
      </c>
      <c r="I746" s="8">
        <v>3735</v>
      </c>
      <c r="J746" s="9">
        <v>1925</v>
      </c>
      <c r="K746" s="7">
        <v>-1810</v>
      </c>
      <c r="L746" s="24">
        <f>+Tabla2[[#This Row],[Stock Inventario]]*Tabla2[[#This Row],[Coste LÃ­nea]]</f>
        <v>165470.22122400001</v>
      </c>
      <c r="M746" s="24">
        <f>+Tabla2[[#This Row],[Variación Stock]]*Tabla2[[#This Row],[Coste LÃ­nea]]</f>
        <v>-155584.98722879999</v>
      </c>
      <c r="N746" s="22" t="str">
        <f>+IF(Tabla2[[#This Row],[Variación Stock]]&gt;0,"Sobrante",IF(Tabla2[[#This Row],[Variación Stock]]&lt;0,"Faltante","Sin novedad"))</f>
        <v>Faltante</v>
      </c>
    </row>
    <row r="747" spans="1:14" hidden="1" x14ac:dyDescent="0.25">
      <c r="A747" s="11">
        <v>46053</v>
      </c>
      <c r="B747" s="5" t="s">
        <v>972</v>
      </c>
      <c r="C747" s="3" t="s">
        <v>213</v>
      </c>
      <c r="D747" s="5" t="s">
        <v>120</v>
      </c>
      <c r="E747" s="5" t="s">
        <v>117</v>
      </c>
      <c r="F747" s="6" t="s">
        <v>681</v>
      </c>
      <c r="G747" s="4" t="s">
        <v>1</v>
      </c>
      <c r="H747" s="25">
        <v>25</v>
      </c>
      <c r="I747" s="8">
        <v>0</v>
      </c>
      <c r="J747" s="9">
        <v>0</v>
      </c>
      <c r="K747" s="7">
        <v>0</v>
      </c>
      <c r="L747" s="24">
        <f>+Tabla2[[#This Row],[Stock Inventario]]*Tabla2[[#This Row],[Coste LÃ­nea]]</f>
        <v>0</v>
      </c>
      <c r="M747" s="24">
        <f>+Tabla2[[#This Row],[Variación Stock]]*Tabla2[[#This Row],[Coste LÃ­nea]]</f>
        <v>0</v>
      </c>
      <c r="N747" s="22" t="str">
        <f>+IF(Tabla2[[#This Row],[Variación Stock]]&gt;0,"Sobrante",IF(Tabla2[[#This Row],[Variación Stock]]&lt;0,"Faltante","Sin novedad"))</f>
        <v>Sin novedad</v>
      </c>
    </row>
    <row r="748" spans="1:14" hidden="1" x14ac:dyDescent="0.25">
      <c r="A748" s="11">
        <v>46053</v>
      </c>
      <c r="B748" s="5" t="s">
        <v>972</v>
      </c>
      <c r="C748" s="3" t="s">
        <v>213</v>
      </c>
      <c r="D748" s="5" t="s">
        <v>120</v>
      </c>
      <c r="E748" s="5" t="s">
        <v>117</v>
      </c>
      <c r="F748" s="6" t="s">
        <v>682</v>
      </c>
      <c r="G748" s="4" t="s">
        <v>1</v>
      </c>
      <c r="H748" s="25">
        <v>27.358149999999998</v>
      </c>
      <c r="I748" s="8">
        <v>-31998.682000000001</v>
      </c>
      <c r="J748" s="9">
        <v>11250</v>
      </c>
      <c r="K748" s="7">
        <v>43248.681980000001</v>
      </c>
      <c r="L748" s="24">
        <f>+Tabla2[[#This Row],[Stock Inventario]]*Tabla2[[#This Row],[Coste LÃ­nea]]</f>
        <v>307779.1875</v>
      </c>
      <c r="M748" s="24">
        <f>+Tabla2[[#This Row],[Variación Stock]]*Tabla2[[#This Row],[Coste LÃ­nea]]</f>
        <v>1183203.9289111369</v>
      </c>
      <c r="N748" s="22" t="str">
        <f>+IF(Tabla2[[#This Row],[Variación Stock]]&gt;0,"Sobrante",IF(Tabla2[[#This Row],[Variación Stock]]&lt;0,"Faltante","Sin novedad"))</f>
        <v>Sobrante</v>
      </c>
    </row>
    <row r="749" spans="1:14" hidden="1" x14ac:dyDescent="0.25">
      <c r="A749" s="11">
        <v>46053</v>
      </c>
      <c r="B749" s="5" t="s">
        <v>972</v>
      </c>
      <c r="C749" s="3" t="s">
        <v>213</v>
      </c>
      <c r="D749" s="5" t="s">
        <v>120</v>
      </c>
      <c r="E749" s="5" t="s">
        <v>117</v>
      </c>
      <c r="F749" s="6" t="s">
        <v>257</v>
      </c>
      <c r="G749" s="4" t="s">
        <v>1</v>
      </c>
      <c r="H749" s="25">
        <v>11.371278200000001</v>
      </c>
      <c r="I749" s="8">
        <v>-314045</v>
      </c>
      <c r="J749" s="9">
        <v>0</v>
      </c>
      <c r="K749" s="7">
        <v>314045</v>
      </c>
      <c r="L749" s="24">
        <f>+Tabla2[[#This Row],[Stock Inventario]]*Tabla2[[#This Row],[Coste LÃ­nea]]</f>
        <v>0</v>
      </c>
      <c r="M749" s="24">
        <f>+Tabla2[[#This Row],[Variación Stock]]*Tabla2[[#This Row],[Coste LÃ­nea]]</f>
        <v>3571093.0623190003</v>
      </c>
      <c r="N749" s="22" t="str">
        <f>+IF(Tabla2[[#This Row],[Variación Stock]]&gt;0,"Sobrante",IF(Tabla2[[#This Row],[Variación Stock]]&lt;0,"Faltante","Sin novedad"))</f>
        <v>Sobrante</v>
      </c>
    </row>
    <row r="750" spans="1:14" x14ac:dyDescent="0.25">
      <c r="A750" s="11">
        <v>46053</v>
      </c>
      <c r="B750" s="5" t="s">
        <v>972</v>
      </c>
      <c r="C750" s="3" t="s">
        <v>213</v>
      </c>
      <c r="D750" s="5" t="s">
        <v>111</v>
      </c>
      <c r="E750" s="5" t="s">
        <v>112</v>
      </c>
      <c r="F750" s="6" t="s">
        <v>381</v>
      </c>
      <c r="G750" s="4" t="s">
        <v>0</v>
      </c>
      <c r="H750" s="25">
        <v>8874.3181818199992</v>
      </c>
      <c r="I750" s="8">
        <v>88</v>
      </c>
      <c r="J750" s="9">
        <v>96</v>
      </c>
      <c r="K750" s="7">
        <v>8</v>
      </c>
      <c r="L750" s="24">
        <f>+Tabla2[[#This Row],[Stock Inventario]]*Tabla2[[#This Row],[Coste LÃ­nea]]</f>
        <v>851934.54545471992</v>
      </c>
      <c r="M750" s="24">
        <f>+Tabla2[[#This Row],[Variación Stock]]*Tabla2[[#This Row],[Coste LÃ­nea]]</f>
        <v>70994.545454559993</v>
      </c>
      <c r="N750" s="22" t="str">
        <f>+IF(Tabla2[[#This Row],[Variación Stock]]&gt;0,"Sobrante",IF(Tabla2[[#This Row],[Variación Stock]]&lt;0,"Faltante","Sin novedad"))</f>
        <v>Sobrante</v>
      </c>
    </row>
    <row r="751" spans="1:14" x14ac:dyDescent="0.25">
      <c r="A751" s="11">
        <v>46037</v>
      </c>
      <c r="B751" s="5" t="s">
        <v>212</v>
      </c>
      <c r="C751" s="3" t="s">
        <v>213</v>
      </c>
      <c r="D751" s="5" t="s">
        <v>111</v>
      </c>
      <c r="E751" s="5" t="s">
        <v>112</v>
      </c>
      <c r="F751" s="6" t="s">
        <v>42</v>
      </c>
      <c r="G751" s="4" t="s">
        <v>0</v>
      </c>
      <c r="H751" s="24">
        <v>4587.75</v>
      </c>
      <c r="I751" s="8">
        <v>24</v>
      </c>
      <c r="J751" s="9">
        <v>24</v>
      </c>
      <c r="K751" s="7">
        <v>0</v>
      </c>
      <c r="L751" s="24">
        <f>+Tabla2[[#This Row],[Stock Inventario]]*Tabla2[[#This Row],[Coste LÃ­nea]]</f>
        <v>110106</v>
      </c>
      <c r="M751" s="24">
        <f>+Tabla2[[#This Row],[Variación Stock]]*Tabla2[[#This Row],[Coste LÃ­nea]]</f>
        <v>0</v>
      </c>
      <c r="N751" s="22" t="str">
        <f>+IF(Tabla2[[#This Row],[Variación Stock]]&gt;0,"Sobrante",IF(Tabla2[[#This Row],[Variación Stock]]&lt;0,"Faltante","Sin novedad"))</f>
        <v>Sin novedad</v>
      </c>
    </row>
    <row r="752" spans="1:14" x14ac:dyDescent="0.25">
      <c r="A752" s="11">
        <v>46044</v>
      </c>
      <c r="B752" s="5" t="s">
        <v>383</v>
      </c>
      <c r="C752" s="3" t="s">
        <v>213</v>
      </c>
      <c r="D752" s="5" t="s">
        <v>111</v>
      </c>
      <c r="E752" s="5" t="s">
        <v>112</v>
      </c>
      <c r="F752" s="6" t="s">
        <v>42</v>
      </c>
      <c r="G752" s="4" t="s">
        <v>0</v>
      </c>
      <c r="H752" s="25">
        <v>4587.75</v>
      </c>
      <c r="I752" s="8">
        <v>24</v>
      </c>
      <c r="J752" s="9">
        <v>0</v>
      </c>
      <c r="K752" s="7">
        <v>-24</v>
      </c>
      <c r="L752" s="24">
        <f>+Tabla2[[#This Row],[Stock Inventario]]*Tabla2[[#This Row],[Coste LÃ­nea]]</f>
        <v>0</v>
      </c>
      <c r="M752" s="24">
        <f>+Tabla2[[#This Row],[Variación Stock]]*Tabla2[[#This Row],[Coste LÃ­nea]]</f>
        <v>-110106</v>
      </c>
      <c r="N752" s="22" t="str">
        <f>+IF(Tabla2[[#This Row],[Variación Stock]]&gt;0,"Sobrante",IF(Tabla2[[#This Row],[Variación Stock]]&lt;0,"Faltante","Sin novedad"))</f>
        <v>Faltante</v>
      </c>
    </row>
    <row r="753" spans="1:14" x14ac:dyDescent="0.25">
      <c r="A753" s="11">
        <v>46053</v>
      </c>
      <c r="B753" s="5" t="s">
        <v>972</v>
      </c>
      <c r="C753" s="3" t="s">
        <v>213</v>
      </c>
      <c r="D753" s="5" t="s">
        <v>111</v>
      </c>
      <c r="E753" s="5" t="s">
        <v>112</v>
      </c>
      <c r="F753" s="6" t="s">
        <v>42</v>
      </c>
      <c r="G753" s="4" t="s">
        <v>0</v>
      </c>
      <c r="H753" s="25">
        <v>4587.75</v>
      </c>
      <c r="I753" s="8">
        <v>0</v>
      </c>
      <c r="J753" s="9">
        <v>24</v>
      </c>
      <c r="K753" s="7">
        <v>24</v>
      </c>
      <c r="L753" s="24">
        <f>+Tabla2[[#This Row],[Stock Inventario]]*Tabla2[[#This Row],[Coste LÃ­nea]]</f>
        <v>110106</v>
      </c>
      <c r="M753" s="24">
        <f>+Tabla2[[#This Row],[Variación Stock]]*Tabla2[[#This Row],[Coste LÃ­nea]]</f>
        <v>110106</v>
      </c>
      <c r="N753" s="22" t="str">
        <f>+IF(Tabla2[[#This Row],[Variación Stock]]&gt;0,"Sobrante",IF(Tabla2[[#This Row],[Variación Stock]]&lt;0,"Faltante","Sin novedad"))</f>
        <v>Sobrante</v>
      </c>
    </row>
    <row r="754" spans="1:14" hidden="1" x14ac:dyDescent="0.25">
      <c r="A754" s="11">
        <v>46053</v>
      </c>
      <c r="B754" s="5" t="s">
        <v>972</v>
      </c>
      <c r="C754" s="3" t="s">
        <v>213</v>
      </c>
      <c r="D754" s="5" t="s">
        <v>120</v>
      </c>
      <c r="E754" s="5" t="s">
        <v>117</v>
      </c>
      <c r="F754" s="6" t="s">
        <v>684</v>
      </c>
      <c r="G754" s="4" t="s">
        <v>2</v>
      </c>
      <c r="H754" s="25">
        <v>288.93391802999997</v>
      </c>
      <c r="I754" s="8">
        <v>-153</v>
      </c>
      <c r="J754" s="9">
        <v>46</v>
      </c>
      <c r="K754" s="7">
        <v>199</v>
      </c>
      <c r="L754" s="24">
        <f>+Tabla2[[#This Row],[Stock Inventario]]*Tabla2[[#This Row],[Coste LÃ­nea]]</f>
        <v>13290.960229379998</v>
      </c>
      <c r="M754" s="24">
        <f>+Tabla2[[#This Row],[Variación Stock]]*Tabla2[[#This Row],[Coste LÃ­nea]]</f>
        <v>57497.849687969996</v>
      </c>
      <c r="N754" s="22" t="str">
        <f>+IF(Tabla2[[#This Row],[Variación Stock]]&gt;0,"Sobrante",IF(Tabla2[[#This Row],[Variación Stock]]&lt;0,"Faltante","Sin novedad"))</f>
        <v>Sobrante</v>
      </c>
    </row>
    <row r="755" spans="1:14" hidden="1" x14ac:dyDescent="0.25">
      <c r="A755" s="11">
        <v>46053</v>
      </c>
      <c r="B755" s="5" t="s">
        <v>972</v>
      </c>
      <c r="C755" s="3" t="s">
        <v>213</v>
      </c>
      <c r="D755" s="5" t="s">
        <v>120</v>
      </c>
      <c r="E755" s="5" t="s">
        <v>117</v>
      </c>
      <c r="F755" s="6" t="s">
        <v>685</v>
      </c>
      <c r="G755" s="4" t="s">
        <v>1</v>
      </c>
      <c r="H755" s="25">
        <v>4.8418512600000003</v>
      </c>
      <c r="I755" s="8">
        <v>-150</v>
      </c>
      <c r="J755" s="9">
        <v>0</v>
      </c>
      <c r="K755" s="7">
        <v>150</v>
      </c>
      <c r="L755" s="24">
        <f>+Tabla2[[#This Row],[Stock Inventario]]*Tabla2[[#This Row],[Coste LÃ­nea]]</f>
        <v>0</v>
      </c>
      <c r="M755" s="24">
        <f>+Tabla2[[#This Row],[Variación Stock]]*Tabla2[[#This Row],[Coste LÃ­nea]]</f>
        <v>726.27768900000001</v>
      </c>
      <c r="N755" s="22" t="str">
        <f>+IF(Tabla2[[#This Row],[Variación Stock]]&gt;0,"Sobrante",IF(Tabla2[[#This Row],[Variación Stock]]&lt;0,"Faltante","Sin novedad"))</f>
        <v>Sobrante</v>
      </c>
    </row>
    <row r="756" spans="1:14" hidden="1" x14ac:dyDescent="0.25">
      <c r="A756" s="11">
        <v>46053</v>
      </c>
      <c r="B756" s="5" t="s">
        <v>972</v>
      </c>
      <c r="C756" s="3" t="s">
        <v>213</v>
      </c>
      <c r="D756" s="5" t="s">
        <v>120</v>
      </c>
      <c r="E756" s="5" t="s">
        <v>117</v>
      </c>
      <c r="F756" s="6" t="s">
        <v>687</v>
      </c>
      <c r="G756" s="4" t="s">
        <v>1</v>
      </c>
      <c r="H756" s="25">
        <v>5.3377320900000003</v>
      </c>
      <c r="I756" s="8">
        <v>0</v>
      </c>
      <c r="J756" s="9">
        <v>0</v>
      </c>
      <c r="K756" s="7">
        <v>0</v>
      </c>
      <c r="L756" s="24">
        <f>+Tabla2[[#This Row],[Stock Inventario]]*Tabla2[[#This Row],[Coste LÃ­nea]]</f>
        <v>0</v>
      </c>
      <c r="M756" s="24">
        <f>+Tabla2[[#This Row],[Variación Stock]]*Tabla2[[#This Row],[Coste LÃ­nea]]</f>
        <v>0</v>
      </c>
      <c r="N756" s="22" t="str">
        <f>+IF(Tabla2[[#This Row],[Variación Stock]]&gt;0,"Sobrante",IF(Tabla2[[#This Row],[Variación Stock]]&lt;0,"Faltante","Sin novedad"))</f>
        <v>Sin novedad</v>
      </c>
    </row>
    <row r="757" spans="1:14" hidden="1" x14ac:dyDescent="0.25">
      <c r="A757" s="11">
        <v>46053</v>
      </c>
      <c r="B757" s="5" t="s">
        <v>972</v>
      </c>
      <c r="C757" s="3" t="s">
        <v>213</v>
      </c>
      <c r="D757" s="5" t="s">
        <v>120</v>
      </c>
      <c r="E757" s="5" t="s">
        <v>117</v>
      </c>
      <c r="F757" s="6" t="s">
        <v>688</v>
      </c>
      <c r="G757" s="4" t="s">
        <v>1</v>
      </c>
      <c r="H757" s="25">
        <v>7.7230266700000003</v>
      </c>
      <c r="I757" s="8">
        <v>0</v>
      </c>
      <c r="J757" s="9">
        <v>0</v>
      </c>
      <c r="K757" s="7">
        <v>0</v>
      </c>
      <c r="L757" s="24">
        <f>+Tabla2[[#This Row],[Stock Inventario]]*Tabla2[[#This Row],[Coste LÃ­nea]]</f>
        <v>0</v>
      </c>
      <c r="M757" s="24">
        <f>+Tabla2[[#This Row],[Variación Stock]]*Tabla2[[#This Row],[Coste LÃ­nea]]</f>
        <v>0</v>
      </c>
      <c r="N757" s="22" t="str">
        <f>+IF(Tabla2[[#This Row],[Variación Stock]]&gt;0,"Sobrante",IF(Tabla2[[#This Row],[Variación Stock]]&lt;0,"Faltante","Sin novedad"))</f>
        <v>Sin novedad</v>
      </c>
    </row>
    <row r="758" spans="1:14" hidden="1" x14ac:dyDescent="0.25">
      <c r="A758" s="11">
        <v>46053</v>
      </c>
      <c r="B758" s="5" t="s">
        <v>972</v>
      </c>
      <c r="C758" s="3" t="s">
        <v>213</v>
      </c>
      <c r="D758" s="5" t="s">
        <v>120</v>
      </c>
      <c r="E758" s="5" t="s">
        <v>117</v>
      </c>
      <c r="F758" s="6" t="s">
        <v>1033</v>
      </c>
      <c r="G758" s="4" t="s">
        <v>1</v>
      </c>
      <c r="H758" s="25">
        <v>29.56694946</v>
      </c>
      <c r="I758" s="8">
        <v>5871</v>
      </c>
      <c r="J758" s="9">
        <v>0</v>
      </c>
      <c r="K758" s="7">
        <v>-5871</v>
      </c>
      <c r="L758" s="24">
        <f>+Tabla2[[#This Row],[Stock Inventario]]*Tabla2[[#This Row],[Coste LÃ­nea]]</f>
        <v>0</v>
      </c>
      <c r="M758" s="24">
        <f>+Tabla2[[#This Row],[Variación Stock]]*Tabla2[[#This Row],[Coste LÃ­nea]]</f>
        <v>-173587.56027966001</v>
      </c>
      <c r="N758" s="22" t="str">
        <f>+IF(Tabla2[[#This Row],[Variación Stock]]&gt;0,"Sobrante",IF(Tabla2[[#This Row],[Variación Stock]]&lt;0,"Faltante","Sin novedad"))</f>
        <v>Faltante</v>
      </c>
    </row>
    <row r="759" spans="1:14" hidden="1" x14ac:dyDescent="0.25">
      <c r="A759" s="11">
        <v>46053</v>
      </c>
      <c r="B759" s="5" t="s">
        <v>972</v>
      </c>
      <c r="C759" s="3" t="s">
        <v>213</v>
      </c>
      <c r="D759" s="5" t="s">
        <v>120</v>
      </c>
      <c r="E759" s="5" t="s">
        <v>117</v>
      </c>
      <c r="F759" s="6" t="s">
        <v>1034</v>
      </c>
      <c r="G759" s="4" t="s">
        <v>1</v>
      </c>
      <c r="H759" s="25">
        <v>14.5089893</v>
      </c>
      <c r="I759" s="8">
        <v>-440</v>
      </c>
      <c r="J759" s="9">
        <v>480</v>
      </c>
      <c r="K759" s="7">
        <v>920</v>
      </c>
      <c r="L759" s="24">
        <f>+Tabla2[[#This Row],[Stock Inventario]]*Tabla2[[#This Row],[Coste LÃ­nea]]</f>
        <v>6964.3148639999999</v>
      </c>
      <c r="M759" s="24">
        <f>+Tabla2[[#This Row],[Variación Stock]]*Tabla2[[#This Row],[Coste LÃ­nea]]</f>
        <v>13348.270156</v>
      </c>
      <c r="N759" s="22" t="str">
        <f>+IF(Tabla2[[#This Row],[Variación Stock]]&gt;0,"Sobrante",IF(Tabla2[[#This Row],[Variación Stock]]&lt;0,"Faltante","Sin novedad"))</f>
        <v>Sobrante</v>
      </c>
    </row>
    <row r="760" spans="1:14" hidden="1" x14ac:dyDescent="0.25">
      <c r="A760" s="11">
        <v>46053</v>
      </c>
      <c r="B760" s="5" t="s">
        <v>972</v>
      </c>
      <c r="C760" s="3" t="s">
        <v>213</v>
      </c>
      <c r="D760" s="5" t="s">
        <v>120</v>
      </c>
      <c r="E760" s="5" t="s">
        <v>117</v>
      </c>
      <c r="F760" s="6" t="s">
        <v>1035</v>
      </c>
      <c r="G760" s="4" t="s">
        <v>1</v>
      </c>
      <c r="H760" s="25">
        <v>55</v>
      </c>
      <c r="I760" s="8">
        <v>-3000</v>
      </c>
      <c r="J760" s="9">
        <v>0</v>
      </c>
      <c r="K760" s="7">
        <v>3000</v>
      </c>
      <c r="L760" s="24">
        <f>+Tabla2[[#This Row],[Stock Inventario]]*Tabla2[[#This Row],[Coste LÃ­nea]]</f>
        <v>0</v>
      </c>
      <c r="M760" s="24">
        <f>+Tabla2[[#This Row],[Variación Stock]]*Tabla2[[#This Row],[Coste LÃ­nea]]</f>
        <v>165000</v>
      </c>
      <c r="N760" s="22" t="str">
        <f>+IF(Tabla2[[#This Row],[Variación Stock]]&gt;0,"Sobrante",IF(Tabla2[[#This Row],[Variación Stock]]&lt;0,"Faltante","Sin novedad"))</f>
        <v>Sobrante</v>
      </c>
    </row>
    <row r="761" spans="1:14" hidden="1" x14ac:dyDescent="0.25">
      <c r="A761" s="11">
        <v>46053</v>
      </c>
      <c r="B761" s="5" t="s">
        <v>972</v>
      </c>
      <c r="C761" s="3" t="s">
        <v>213</v>
      </c>
      <c r="D761" s="5" t="s">
        <v>120</v>
      </c>
      <c r="E761" s="5" t="s">
        <v>117</v>
      </c>
      <c r="F761" s="6" t="s">
        <v>258</v>
      </c>
      <c r="G761" s="4" t="s">
        <v>1</v>
      </c>
      <c r="H761" s="25">
        <v>49.739212930000001</v>
      </c>
      <c r="I761" s="8">
        <v>5275</v>
      </c>
      <c r="J761" s="9">
        <v>7355</v>
      </c>
      <c r="K761" s="7">
        <v>2080</v>
      </c>
      <c r="L761" s="24">
        <f>+Tabla2[[#This Row],[Stock Inventario]]*Tabla2[[#This Row],[Coste LÃ­nea]]</f>
        <v>365831.91110015003</v>
      </c>
      <c r="M761" s="24">
        <f>+Tabla2[[#This Row],[Variación Stock]]*Tabla2[[#This Row],[Coste LÃ­nea]]</f>
        <v>103457.56289440001</v>
      </c>
      <c r="N761" s="22" t="str">
        <f>+IF(Tabla2[[#This Row],[Variación Stock]]&gt;0,"Sobrante",IF(Tabla2[[#This Row],[Variación Stock]]&lt;0,"Faltante","Sin novedad"))</f>
        <v>Sobrante</v>
      </c>
    </row>
    <row r="762" spans="1:14" hidden="1" x14ac:dyDescent="0.25">
      <c r="A762" s="11">
        <v>46053</v>
      </c>
      <c r="B762" s="5" t="s">
        <v>972</v>
      </c>
      <c r="C762" s="3" t="s">
        <v>213</v>
      </c>
      <c r="D762" s="5" t="s">
        <v>120</v>
      </c>
      <c r="E762" s="5" t="s">
        <v>117</v>
      </c>
      <c r="F762" s="6" t="s">
        <v>259</v>
      </c>
      <c r="G762" s="4" t="s">
        <v>2</v>
      </c>
      <c r="H762" s="25">
        <v>4169.9242607899996</v>
      </c>
      <c r="I762" s="8">
        <v>5</v>
      </c>
      <c r="J762" s="9">
        <v>5</v>
      </c>
      <c r="K762" s="7">
        <v>0</v>
      </c>
      <c r="L762" s="24">
        <f>+Tabla2[[#This Row],[Stock Inventario]]*Tabla2[[#This Row],[Coste LÃ­nea]]</f>
        <v>20849.62130395</v>
      </c>
      <c r="M762" s="24">
        <f>+Tabla2[[#This Row],[Variación Stock]]*Tabla2[[#This Row],[Coste LÃ­nea]]</f>
        <v>0</v>
      </c>
      <c r="N762" s="22" t="str">
        <f>+IF(Tabla2[[#This Row],[Variación Stock]]&gt;0,"Sobrante",IF(Tabla2[[#This Row],[Variación Stock]]&lt;0,"Faltante","Sin novedad"))</f>
        <v>Sin novedad</v>
      </c>
    </row>
    <row r="763" spans="1:14" hidden="1" x14ac:dyDescent="0.25">
      <c r="A763" s="11">
        <v>46053</v>
      </c>
      <c r="B763" s="5" t="s">
        <v>972</v>
      </c>
      <c r="C763" s="3" t="s">
        <v>213</v>
      </c>
      <c r="D763" s="5" t="s">
        <v>120</v>
      </c>
      <c r="E763" s="5" t="s">
        <v>117</v>
      </c>
      <c r="F763" s="6" t="s">
        <v>260</v>
      </c>
      <c r="G763" s="4" t="s">
        <v>2</v>
      </c>
      <c r="H763" s="25">
        <v>1547.4664831699999</v>
      </c>
      <c r="I763" s="8">
        <v>-5</v>
      </c>
      <c r="J763" s="9">
        <v>0</v>
      </c>
      <c r="K763" s="7">
        <v>5</v>
      </c>
      <c r="L763" s="24">
        <f>+Tabla2[[#This Row],[Stock Inventario]]*Tabla2[[#This Row],[Coste LÃ­nea]]</f>
        <v>0</v>
      </c>
      <c r="M763" s="24">
        <f>+Tabla2[[#This Row],[Variación Stock]]*Tabla2[[#This Row],[Coste LÃ­nea]]</f>
        <v>7737.33241585</v>
      </c>
      <c r="N763" s="22" t="str">
        <f>+IF(Tabla2[[#This Row],[Variación Stock]]&gt;0,"Sobrante",IF(Tabla2[[#This Row],[Variación Stock]]&lt;0,"Faltante","Sin novedad"))</f>
        <v>Sobrante</v>
      </c>
    </row>
    <row r="764" spans="1:14" hidden="1" x14ac:dyDescent="0.25">
      <c r="A764" s="11">
        <v>46053</v>
      </c>
      <c r="B764" s="5" t="s">
        <v>972</v>
      </c>
      <c r="C764" s="3" t="s">
        <v>213</v>
      </c>
      <c r="D764" s="5" t="s">
        <v>120</v>
      </c>
      <c r="E764" s="5" t="s">
        <v>117</v>
      </c>
      <c r="F764" s="6" t="s">
        <v>1036</v>
      </c>
      <c r="G764" s="4" t="s">
        <v>1</v>
      </c>
      <c r="H764" s="25">
        <v>11.30527504</v>
      </c>
      <c r="I764" s="8">
        <v>-2015</v>
      </c>
      <c r="J764" s="9">
        <v>345</v>
      </c>
      <c r="K764" s="7">
        <v>2360</v>
      </c>
      <c r="L764" s="24">
        <f>+Tabla2[[#This Row],[Stock Inventario]]*Tabla2[[#This Row],[Coste LÃ­nea]]</f>
        <v>3900.3198887999997</v>
      </c>
      <c r="M764" s="24">
        <f>+Tabla2[[#This Row],[Variación Stock]]*Tabla2[[#This Row],[Coste LÃ­nea]]</f>
        <v>26680.449094399999</v>
      </c>
      <c r="N764" s="22" t="str">
        <f>+IF(Tabla2[[#This Row],[Variación Stock]]&gt;0,"Sobrante",IF(Tabla2[[#This Row],[Variación Stock]]&lt;0,"Faltante","Sin novedad"))</f>
        <v>Sobrante</v>
      </c>
    </row>
    <row r="765" spans="1:14" hidden="1" x14ac:dyDescent="0.25">
      <c r="A765" s="11">
        <v>46053</v>
      </c>
      <c r="B765" s="5" t="s">
        <v>972</v>
      </c>
      <c r="C765" s="3" t="s">
        <v>213</v>
      </c>
      <c r="D765" s="5" t="s">
        <v>120</v>
      </c>
      <c r="E765" s="5" t="s">
        <v>117</v>
      </c>
      <c r="F765" s="6" t="s">
        <v>692</v>
      </c>
      <c r="G765" s="4" t="s">
        <v>1</v>
      </c>
      <c r="H765" s="25">
        <v>13.61953087</v>
      </c>
      <c r="I765" s="8">
        <v>-462</v>
      </c>
      <c r="J765" s="9">
        <v>200</v>
      </c>
      <c r="K765" s="7">
        <v>662</v>
      </c>
      <c r="L765" s="24">
        <f>+Tabla2[[#This Row],[Stock Inventario]]*Tabla2[[#This Row],[Coste LÃ­nea]]</f>
        <v>2723.9061740000002</v>
      </c>
      <c r="M765" s="24">
        <f>+Tabla2[[#This Row],[Variación Stock]]*Tabla2[[#This Row],[Coste LÃ­nea]]</f>
        <v>9016.1294359399999</v>
      </c>
      <c r="N765" s="22" t="str">
        <f>+IF(Tabla2[[#This Row],[Variación Stock]]&gt;0,"Sobrante",IF(Tabla2[[#This Row],[Variación Stock]]&lt;0,"Faltante","Sin novedad"))</f>
        <v>Sobrante</v>
      </c>
    </row>
    <row r="766" spans="1:14" hidden="1" x14ac:dyDescent="0.25">
      <c r="A766" s="11">
        <v>46053</v>
      </c>
      <c r="B766" s="5" t="s">
        <v>972</v>
      </c>
      <c r="C766" s="3" t="s">
        <v>213</v>
      </c>
      <c r="D766" s="5" t="s">
        <v>120</v>
      </c>
      <c r="E766" s="5" t="s">
        <v>117</v>
      </c>
      <c r="F766" s="6" t="s">
        <v>904</v>
      </c>
      <c r="G766" s="4" t="s">
        <v>1</v>
      </c>
      <c r="H766" s="25">
        <v>75</v>
      </c>
      <c r="I766" s="8">
        <v>0</v>
      </c>
      <c r="J766" s="9">
        <v>0</v>
      </c>
      <c r="K766" s="7">
        <v>0</v>
      </c>
      <c r="L766" s="24">
        <f>+Tabla2[[#This Row],[Stock Inventario]]*Tabla2[[#This Row],[Coste LÃ­nea]]</f>
        <v>0</v>
      </c>
      <c r="M766" s="24">
        <f>+Tabla2[[#This Row],[Variación Stock]]*Tabla2[[#This Row],[Coste LÃ­nea]]</f>
        <v>0</v>
      </c>
      <c r="N766" s="22" t="str">
        <f>+IF(Tabla2[[#This Row],[Variación Stock]]&gt;0,"Sobrante",IF(Tabla2[[#This Row],[Variación Stock]]&lt;0,"Faltante","Sin novedad"))</f>
        <v>Sin novedad</v>
      </c>
    </row>
    <row r="767" spans="1:14" hidden="1" x14ac:dyDescent="0.25">
      <c r="A767" s="11">
        <v>46053</v>
      </c>
      <c r="B767" s="5" t="s">
        <v>972</v>
      </c>
      <c r="C767" s="3" t="s">
        <v>213</v>
      </c>
      <c r="D767" s="5" t="s">
        <v>120</v>
      </c>
      <c r="E767" s="5" t="s">
        <v>117</v>
      </c>
      <c r="F767" s="6" t="s">
        <v>261</v>
      </c>
      <c r="G767" s="4" t="s">
        <v>2</v>
      </c>
      <c r="H767" s="25">
        <v>3537.0346611300001</v>
      </c>
      <c r="I767" s="8">
        <v>14</v>
      </c>
      <c r="J767" s="9">
        <v>6</v>
      </c>
      <c r="K767" s="7">
        <v>-8</v>
      </c>
      <c r="L767" s="24">
        <f>+Tabla2[[#This Row],[Stock Inventario]]*Tabla2[[#This Row],[Coste LÃ­nea]]</f>
        <v>21222.207966779999</v>
      </c>
      <c r="M767" s="24">
        <f>+Tabla2[[#This Row],[Variación Stock]]*Tabla2[[#This Row],[Coste LÃ­nea]]</f>
        <v>-28296.277289040001</v>
      </c>
      <c r="N767" s="22" t="str">
        <f>+IF(Tabla2[[#This Row],[Variación Stock]]&gt;0,"Sobrante",IF(Tabla2[[#This Row],[Variación Stock]]&lt;0,"Faltante","Sin novedad"))</f>
        <v>Faltante</v>
      </c>
    </row>
    <row r="768" spans="1:14" hidden="1" x14ac:dyDescent="0.25">
      <c r="A768" s="11">
        <v>46053</v>
      </c>
      <c r="B768" s="5" t="s">
        <v>972</v>
      </c>
      <c r="C768" s="3" t="s">
        <v>213</v>
      </c>
      <c r="D768" s="5" t="s">
        <v>120</v>
      </c>
      <c r="E768" s="5" t="s">
        <v>117</v>
      </c>
      <c r="F768" s="6" t="s">
        <v>262</v>
      </c>
      <c r="G768" s="4" t="s">
        <v>1</v>
      </c>
      <c r="H768" s="25">
        <v>32.481371340000003</v>
      </c>
      <c r="I768" s="8">
        <v>585</v>
      </c>
      <c r="J768" s="9">
        <v>1000</v>
      </c>
      <c r="K768" s="7">
        <v>415</v>
      </c>
      <c r="L768" s="24">
        <f>+Tabla2[[#This Row],[Stock Inventario]]*Tabla2[[#This Row],[Coste LÃ­nea]]</f>
        <v>32481.371340000002</v>
      </c>
      <c r="M768" s="24">
        <f>+Tabla2[[#This Row],[Variación Stock]]*Tabla2[[#This Row],[Coste LÃ­nea]]</f>
        <v>13479.7691061</v>
      </c>
      <c r="N768" s="22" t="str">
        <f>+IF(Tabla2[[#This Row],[Variación Stock]]&gt;0,"Sobrante",IF(Tabla2[[#This Row],[Variación Stock]]&lt;0,"Faltante","Sin novedad"))</f>
        <v>Sobrante</v>
      </c>
    </row>
    <row r="769" spans="1:14" hidden="1" x14ac:dyDescent="0.25">
      <c r="A769" s="11">
        <v>46053</v>
      </c>
      <c r="B769" s="5" t="s">
        <v>972</v>
      </c>
      <c r="C769" s="3" t="s">
        <v>213</v>
      </c>
      <c r="D769" s="5" t="s">
        <v>120</v>
      </c>
      <c r="E769" s="5" t="s">
        <v>117</v>
      </c>
      <c r="F769" s="6" t="s">
        <v>908</v>
      </c>
      <c r="G769" s="4" t="s">
        <v>1</v>
      </c>
      <c r="H769" s="25">
        <v>12.964252480000001</v>
      </c>
      <c r="I769" s="8">
        <v>20</v>
      </c>
      <c r="J769" s="9">
        <v>270</v>
      </c>
      <c r="K769" s="7">
        <v>250</v>
      </c>
      <c r="L769" s="24">
        <f>+Tabla2[[#This Row],[Stock Inventario]]*Tabla2[[#This Row],[Coste LÃ­nea]]</f>
        <v>3500.3481696000003</v>
      </c>
      <c r="M769" s="24">
        <f>+Tabla2[[#This Row],[Variación Stock]]*Tabla2[[#This Row],[Coste LÃ­nea]]</f>
        <v>3241.0631200000003</v>
      </c>
      <c r="N769" s="22" t="str">
        <f>+IF(Tabla2[[#This Row],[Variación Stock]]&gt;0,"Sobrante",IF(Tabla2[[#This Row],[Variación Stock]]&lt;0,"Faltante","Sin novedad"))</f>
        <v>Sobrante</v>
      </c>
    </row>
    <row r="770" spans="1:14" hidden="1" x14ac:dyDescent="0.25">
      <c r="A770" s="11">
        <v>46053</v>
      </c>
      <c r="B770" s="5" t="s">
        <v>972</v>
      </c>
      <c r="C770" s="3" t="s">
        <v>213</v>
      </c>
      <c r="D770" s="5" t="s">
        <v>120</v>
      </c>
      <c r="E770" s="5" t="s">
        <v>117</v>
      </c>
      <c r="F770" s="6" t="s">
        <v>909</v>
      </c>
      <c r="G770" s="4" t="s">
        <v>1</v>
      </c>
      <c r="H770" s="25">
        <v>7.28507836</v>
      </c>
      <c r="I770" s="8">
        <v>-760</v>
      </c>
      <c r="J770" s="9">
        <v>0</v>
      </c>
      <c r="K770" s="7">
        <v>760</v>
      </c>
      <c r="L770" s="24">
        <f>+Tabla2[[#This Row],[Stock Inventario]]*Tabla2[[#This Row],[Coste LÃ­nea]]</f>
        <v>0</v>
      </c>
      <c r="M770" s="24">
        <f>+Tabla2[[#This Row],[Variación Stock]]*Tabla2[[#This Row],[Coste LÃ­nea]]</f>
        <v>5536.6595536000004</v>
      </c>
      <c r="N770" s="22" t="str">
        <f>+IF(Tabla2[[#This Row],[Variación Stock]]&gt;0,"Sobrante",IF(Tabla2[[#This Row],[Variación Stock]]&lt;0,"Faltante","Sin novedad"))</f>
        <v>Sobrante</v>
      </c>
    </row>
    <row r="771" spans="1:14" x14ac:dyDescent="0.25">
      <c r="A771" s="11">
        <v>46037</v>
      </c>
      <c r="B771" s="5" t="s">
        <v>212</v>
      </c>
      <c r="C771" s="3" t="s">
        <v>213</v>
      </c>
      <c r="D771" s="5" t="s">
        <v>118</v>
      </c>
      <c r="E771" s="5" t="s">
        <v>112</v>
      </c>
      <c r="F771" s="6" t="s">
        <v>83</v>
      </c>
      <c r="G771" s="4" t="s">
        <v>2</v>
      </c>
      <c r="H771" s="24">
        <v>37607.75</v>
      </c>
      <c r="I771" s="8">
        <v>4</v>
      </c>
      <c r="J771" s="9">
        <v>4</v>
      </c>
      <c r="K771" s="7">
        <v>0</v>
      </c>
      <c r="L771" s="24">
        <f>+Tabla2[[#This Row],[Stock Inventario]]*Tabla2[[#This Row],[Coste LÃ­nea]]</f>
        <v>150431</v>
      </c>
      <c r="M771" s="24">
        <f>+Tabla2[[#This Row],[Variación Stock]]*Tabla2[[#This Row],[Coste LÃ­nea]]</f>
        <v>0</v>
      </c>
      <c r="N771" s="22" t="str">
        <f>+IF(Tabla2[[#This Row],[Variación Stock]]&gt;0,"Sobrante",IF(Tabla2[[#This Row],[Variación Stock]]&lt;0,"Faltante","Sin novedad"))</f>
        <v>Sin novedad</v>
      </c>
    </row>
    <row r="772" spans="1:14" hidden="1" x14ac:dyDescent="0.25">
      <c r="A772" s="11">
        <v>46053</v>
      </c>
      <c r="B772" s="5" t="s">
        <v>972</v>
      </c>
      <c r="C772" s="3" t="s">
        <v>213</v>
      </c>
      <c r="D772" s="5" t="s">
        <v>120</v>
      </c>
      <c r="E772" s="5" t="s">
        <v>117</v>
      </c>
      <c r="F772" s="6" t="s">
        <v>1037</v>
      </c>
      <c r="G772" s="4" t="s">
        <v>1</v>
      </c>
      <c r="H772" s="25">
        <v>25.248057660000001</v>
      </c>
      <c r="I772" s="8">
        <v>3415</v>
      </c>
      <c r="J772" s="9">
        <v>0</v>
      </c>
      <c r="K772" s="7">
        <v>-3415</v>
      </c>
      <c r="L772" s="24">
        <f>+Tabla2[[#This Row],[Stock Inventario]]*Tabla2[[#This Row],[Coste LÃ­nea]]</f>
        <v>0</v>
      </c>
      <c r="M772" s="24">
        <f>+Tabla2[[#This Row],[Variación Stock]]*Tabla2[[#This Row],[Coste LÃ­nea]]</f>
        <v>-86222.116908900003</v>
      </c>
      <c r="N772" s="22" t="str">
        <f>+IF(Tabla2[[#This Row],[Variación Stock]]&gt;0,"Sobrante",IF(Tabla2[[#This Row],[Variación Stock]]&lt;0,"Faltante","Sin novedad"))</f>
        <v>Faltante</v>
      </c>
    </row>
    <row r="773" spans="1:14" hidden="1" x14ac:dyDescent="0.25">
      <c r="A773" s="11">
        <v>46053</v>
      </c>
      <c r="B773" s="5" t="s">
        <v>972</v>
      </c>
      <c r="C773" s="3" t="s">
        <v>213</v>
      </c>
      <c r="D773" s="5" t="s">
        <v>120</v>
      </c>
      <c r="E773" s="5" t="s">
        <v>117</v>
      </c>
      <c r="F773" s="6" t="s">
        <v>263</v>
      </c>
      <c r="G773" s="4" t="s">
        <v>2</v>
      </c>
      <c r="H773" s="25">
        <v>8474.0353664300001</v>
      </c>
      <c r="I773" s="8">
        <v>14</v>
      </c>
      <c r="J773" s="9">
        <v>6</v>
      </c>
      <c r="K773" s="7">
        <v>-8</v>
      </c>
      <c r="L773" s="24">
        <f>+Tabla2[[#This Row],[Stock Inventario]]*Tabla2[[#This Row],[Coste LÃ­nea]]</f>
        <v>50844.212198580004</v>
      </c>
      <c r="M773" s="24">
        <f>+Tabla2[[#This Row],[Variación Stock]]*Tabla2[[#This Row],[Coste LÃ­nea]]</f>
        <v>-67792.282931440001</v>
      </c>
      <c r="N773" s="22" t="str">
        <f>+IF(Tabla2[[#This Row],[Variación Stock]]&gt;0,"Sobrante",IF(Tabla2[[#This Row],[Variación Stock]]&lt;0,"Faltante","Sin novedad"))</f>
        <v>Faltante</v>
      </c>
    </row>
    <row r="774" spans="1:14" hidden="1" x14ac:dyDescent="0.25">
      <c r="A774" s="11">
        <v>46053</v>
      </c>
      <c r="B774" s="5" t="s">
        <v>972</v>
      </c>
      <c r="C774" s="3" t="s">
        <v>213</v>
      </c>
      <c r="D774" s="5" t="s">
        <v>120</v>
      </c>
      <c r="E774" s="5" t="s">
        <v>117</v>
      </c>
      <c r="F774" s="6" t="s">
        <v>264</v>
      </c>
      <c r="G774" s="4" t="s">
        <v>2</v>
      </c>
      <c r="H774" s="25">
        <v>13098.656684289999</v>
      </c>
      <c r="I774" s="8">
        <v>5.8</v>
      </c>
      <c r="J774" s="9">
        <v>6</v>
      </c>
      <c r="K774" s="7">
        <v>0.2</v>
      </c>
      <c r="L774" s="24">
        <f>+Tabla2[[#This Row],[Stock Inventario]]*Tabla2[[#This Row],[Coste LÃ­nea]]</f>
        <v>78591.940105739995</v>
      </c>
      <c r="M774" s="24">
        <f>+Tabla2[[#This Row],[Variación Stock]]*Tabla2[[#This Row],[Coste LÃ­nea]]</f>
        <v>2619.7313368579998</v>
      </c>
      <c r="N774" s="22" t="str">
        <f>+IF(Tabla2[[#This Row],[Variación Stock]]&gt;0,"Sobrante",IF(Tabla2[[#This Row],[Variación Stock]]&lt;0,"Faltante","Sin novedad"))</f>
        <v>Sobrante</v>
      </c>
    </row>
    <row r="775" spans="1:14" hidden="1" x14ac:dyDescent="0.25">
      <c r="A775" s="11">
        <v>46053</v>
      </c>
      <c r="B775" s="5" t="s">
        <v>972</v>
      </c>
      <c r="C775" s="3" t="s">
        <v>213</v>
      </c>
      <c r="D775" s="5" t="s">
        <v>120</v>
      </c>
      <c r="E775" s="5" t="s">
        <v>117</v>
      </c>
      <c r="F775" s="6" t="s">
        <v>265</v>
      </c>
      <c r="G775" s="4" t="s">
        <v>2</v>
      </c>
      <c r="H775" s="25">
        <v>13876</v>
      </c>
      <c r="I775" s="8">
        <v>15</v>
      </c>
      <c r="J775" s="9">
        <v>0</v>
      </c>
      <c r="K775" s="7">
        <v>-15</v>
      </c>
      <c r="L775" s="24">
        <f>+Tabla2[[#This Row],[Stock Inventario]]*Tabla2[[#This Row],[Coste LÃ­nea]]</f>
        <v>0</v>
      </c>
      <c r="M775" s="24">
        <f>+Tabla2[[#This Row],[Variación Stock]]*Tabla2[[#This Row],[Coste LÃ­nea]]</f>
        <v>-208140</v>
      </c>
      <c r="N775" s="22" t="str">
        <f>+IF(Tabla2[[#This Row],[Variación Stock]]&gt;0,"Sobrante",IF(Tabla2[[#This Row],[Variación Stock]]&lt;0,"Faltante","Sin novedad"))</f>
        <v>Faltante</v>
      </c>
    </row>
    <row r="776" spans="1:14" hidden="1" x14ac:dyDescent="0.25">
      <c r="A776" s="11">
        <v>46053</v>
      </c>
      <c r="B776" s="5" t="s">
        <v>972</v>
      </c>
      <c r="C776" s="3" t="s">
        <v>213</v>
      </c>
      <c r="D776" s="5" t="s">
        <v>120</v>
      </c>
      <c r="E776" s="5" t="s">
        <v>117</v>
      </c>
      <c r="F776" s="6" t="s">
        <v>266</v>
      </c>
      <c r="G776" s="4" t="s">
        <v>1</v>
      </c>
      <c r="H776" s="25">
        <v>28.81340088</v>
      </c>
      <c r="I776" s="8">
        <v>7455</v>
      </c>
      <c r="J776" s="9">
        <v>6935</v>
      </c>
      <c r="K776" s="7">
        <v>-520</v>
      </c>
      <c r="L776" s="24">
        <f>+Tabla2[[#This Row],[Stock Inventario]]*Tabla2[[#This Row],[Coste LÃ­nea]]</f>
        <v>199820.93510279999</v>
      </c>
      <c r="M776" s="24">
        <f>+Tabla2[[#This Row],[Variación Stock]]*Tabla2[[#This Row],[Coste LÃ­nea]]</f>
        <v>-14982.9684576</v>
      </c>
      <c r="N776" s="22" t="str">
        <f>+IF(Tabla2[[#This Row],[Variación Stock]]&gt;0,"Sobrante",IF(Tabla2[[#This Row],[Variación Stock]]&lt;0,"Faltante","Sin novedad"))</f>
        <v>Faltante</v>
      </c>
    </row>
    <row r="777" spans="1:14" hidden="1" x14ac:dyDescent="0.25">
      <c r="A777" s="11">
        <v>46053</v>
      </c>
      <c r="B777" s="5" t="s">
        <v>972</v>
      </c>
      <c r="C777" s="3" t="s">
        <v>213</v>
      </c>
      <c r="D777" s="5" t="s">
        <v>120</v>
      </c>
      <c r="E777" s="5" t="s">
        <v>117</v>
      </c>
      <c r="F777" s="6" t="s">
        <v>913</v>
      </c>
      <c r="G777" s="4" t="s">
        <v>1</v>
      </c>
      <c r="H777" s="25">
        <v>42.265071390000003</v>
      </c>
      <c r="I777" s="8">
        <v>60</v>
      </c>
      <c r="J777" s="9">
        <v>0</v>
      </c>
      <c r="K777" s="7">
        <v>-60</v>
      </c>
      <c r="L777" s="24">
        <f>+Tabla2[[#This Row],[Stock Inventario]]*Tabla2[[#This Row],[Coste LÃ­nea]]</f>
        <v>0</v>
      </c>
      <c r="M777" s="24">
        <f>+Tabla2[[#This Row],[Variación Stock]]*Tabla2[[#This Row],[Coste LÃ­nea]]</f>
        <v>-2535.9042834000002</v>
      </c>
      <c r="N777" s="22" t="str">
        <f>+IF(Tabla2[[#This Row],[Variación Stock]]&gt;0,"Sobrante",IF(Tabla2[[#This Row],[Variación Stock]]&lt;0,"Faltante","Sin novedad"))</f>
        <v>Faltante</v>
      </c>
    </row>
    <row r="778" spans="1:14" hidden="1" x14ac:dyDescent="0.25">
      <c r="A778" s="11">
        <v>46053</v>
      </c>
      <c r="B778" s="5" t="s">
        <v>972</v>
      </c>
      <c r="C778" s="3" t="s">
        <v>213</v>
      </c>
      <c r="D778" s="5" t="s">
        <v>120</v>
      </c>
      <c r="E778" s="5" t="s">
        <v>117</v>
      </c>
      <c r="F778" s="6" t="s">
        <v>267</v>
      </c>
      <c r="G778" s="4" t="s">
        <v>2</v>
      </c>
      <c r="H778" s="25">
        <v>1129.3206087000001</v>
      </c>
      <c r="I778" s="8">
        <v>11</v>
      </c>
      <c r="J778" s="9">
        <v>32</v>
      </c>
      <c r="K778" s="7">
        <v>21</v>
      </c>
      <c r="L778" s="24">
        <f>+Tabla2[[#This Row],[Stock Inventario]]*Tabla2[[#This Row],[Coste LÃ­nea]]</f>
        <v>36138.259478400003</v>
      </c>
      <c r="M778" s="24">
        <f>+Tabla2[[#This Row],[Variación Stock]]*Tabla2[[#This Row],[Coste LÃ­nea]]</f>
        <v>23715.732782700001</v>
      </c>
      <c r="N778" s="22" t="str">
        <f>+IF(Tabla2[[#This Row],[Variación Stock]]&gt;0,"Sobrante",IF(Tabla2[[#This Row],[Variación Stock]]&lt;0,"Faltante","Sin novedad"))</f>
        <v>Sobrante</v>
      </c>
    </row>
    <row r="779" spans="1:14" hidden="1" x14ac:dyDescent="0.25">
      <c r="A779" s="11">
        <v>46053</v>
      </c>
      <c r="B779" s="5" t="s">
        <v>972</v>
      </c>
      <c r="C779" s="3" t="s">
        <v>213</v>
      </c>
      <c r="D779" s="5" t="s">
        <v>120</v>
      </c>
      <c r="E779" s="5" t="s">
        <v>117</v>
      </c>
      <c r="F779" s="6" t="s">
        <v>392</v>
      </c>
      <c r="G779" s="4" t="s">
        <v>2</v>
      </c>
      <c r="H779" s="25">
        <v>3833.3333333300002</v>
      </c>
      <c r="I779" s="8">
        <v>-48</v>
      </c>
      <c r="J779" s="9">
        <v>13</v>
      </c>
      <c r="K779" s="7">
        <v>61</v>
      </c>
      <c r="L779" s="24">
        <f>+Tabla2[[#This Row],[Stock Inventario]]*Tabla2[[#This Row],[Coste LÃ­nea]]</f>
        <v>49833.33333329</v>
      </c>
      <c r="M779" s="24">
        <f>+Tabla2[[#This Row],[Variación Stock]]*Tabla2[[#This Row],[Coste LÃ­nea]]</f>
        <v>233833.33333313002</v>
      </c>
      <c r="N779" s="22" t="str">
        <f>+IF(Tabla2[[#This Row],[Variación Stock]]&gt;0,"Sobrante",IF(Tabla2[[#This Row],[Variación Stock]]&lt;0,"Faltante","Sin novedad"))</f>
        <v>Sobrante</v>
      </c>
    </row>
    <row r="780" spans="1:14" hidden="1" x14ac:dyDescent="0.25">
      <c r="A780" s="11">
        <v>46053</v>
      </c>
      <c r="B780" s="5" t="s">
        <v>972</v>
      </c>
      <c r="C780" s="3" t="s">
        <v>213</v>
      </c>
      <c r="D780" s="5" t="s">
        <v>120</v>
      </c>
      <c r="E780" s="5" t="s">
        <v>117</v>
      </c>
      <c r="F780" s="6" t="s">
        <v>704</v>
      </c>
      <c r="G780" s="4" t="s">
        <v>1</v>
      </c>
      <c r="H780" s="25">
        <v>18.415007580000001</v>
      </c>
      <c r="I780" s="8">
        <v>0</v>
      </c>
      <c r="J780" s="9">
        <v>0</v>
      </c>
      <c r="K780" s="7">
        <v>0</v>
      </c>
      <c r="L780" s="24">
        <f>+Tabla2[[#This Row],[Stock Inventario]]*Tabla2[[#This Row],[Coste LÃ­nea]]</f>
        <v>0</v>
      </c>
      <c r="M780" s="24">
        <f>+Tabla2[[#This Row],[Variación Stock]]*Tabla2[[#This Row],[Coste LÃ­nea]]</f>
        <v>0</v>
      </c>
      <c r="N780" s="22" t="str">
        <f>+IF(Tabla2[[#This Row],[Variación Stock]]&gt;0,"Sobrante",IF(Tabla2[[#This Row],[Variación Stock]]&lt;0,"Faltante","Sin novedad"))</f>
        <v>Sin novedad</v>
      </c>
    </row>
    <row r="781" spans="1:14" hidden="1" x14ac:dyDescent="0.25">
      <c r="A781" s="11">
        <v>46053</v>
      </c>
      <c r="B781" s="5" t="s">
        <v>972</v>
      </c>
      <c r="C781" s="3" t="s">
        <v>213</v>
      </c>
      <c r="D781" s="5" t="s">
        <v>120</v>
      </c>
      <c r="E781" s="5" t="s">
        <v>117</v>
      </c>
      <c r="F781" s="6" t="s">
        <v>914</v>
      </c>
      <c r="G781" s="4" t="s">
        <v>1</v>
      </c>
      <c r="H781" s="25">
        <v>4.9411069599999999</v>
      </c>
      <c r="I781" s="8">
        <v>-220</v>
      </c>
      <c r="J781" s="9">
        <v>700</v>
      </c>
      <c r="K781" s="7">
        <v>920</v>
      </c>
      <c r="L781" s="24">
        <f>+Tabla2[[#This Row],[Stock Inventario]]*Tabla2[[#This Row],[Coste LÃ­nea]]</f>
        <v>3458.774872</v>
      </c>
      <c r="M781" s="24">
        <f>+Tabla2[[#This Row],[Variación Stock]]*Tabla2[[#This Row],[Coste LÃ­nea]]</f>
        <v>4545.8184031999999</v>
      </c>
      <c r="N781" s="22" t="str">
        <f>+IF(Tabla2[[#This Row],[Variación Stock]]&gt;0,"Sobrante",IF(Tabla2[[#This Row],[Variación Stock]]&lt;0,"Faltante","Sin novedad"))</f>
        <v>Sobrante</v>
      </c>
    </row>
    <row r="782" spans="1:14" x14ac:dyDescent="0.25">
      <c r="A782" s="11">
        <v>46044</v>
      </c>
      <c r="B782" s="5" t="s">
        <v>383</v>
      </c>
      <c r="C782" s="3" t="s">
        <v>213</v>
      </c>
      <c r="D782" s="5" t="s">
        <v>118</v>
      </c>
      <c r="E782" s="5" t="s">
        <v>112</v>
      </c>
      <c r="F782" s="6" t="s">
        <v>83</v>
      </c>
      <c r="G782" s="4" t="s">
        <v>2</v>
      </c>
      <c r="H782" s="25">
        <v>37608</v>
      </c>
      <c r="I782" s="8">
        <v>4</v>
      </c>
      <c r="J782" s="9">
        <v>4</v>
      </c>
      <c r="K782" s="7">
        <v>0</v>
      </c>
      <c r="L782" s="24">
        <f>+Tabla2[[#This Row],[Stock Inventario]]*Tabla2[[#This Row],[Coste LÃ­nea]]</f>
        <v>150432</v>
      </c>
      <c r="M782" s="24">
        <f>+Tabla2[[#This Row],[Variación Stock]]*Tabla2[[#This Row],[Coste LÃ­nea]]</f>
        <v>0</v>
      </c>
      <c r="N782" s="22" t="str">
        <f>+IF(Tabla2[[#This Row],[Variación Stock]]&gt;0,"Sobrante",IF(Tabla2[[#This Row],[Variación Stock]]&lt;0,"Faltante","Sin novedad"))</f>
        <v>Sin novedad</v>
      </c>
    </row>
    <row r="783" spans="1:14" x14ac:dyDescent="0.25">
      <c r="A783" s="11">
        <v>46053</v>
      </c>
      <c r="B783" s="5" t="s">
        <v>972</v>
      </c>
      <c r="C783" s="3" t="s">
        <v>213</v>
      </c>
      <c r="D783" s="5" t="s">
        <v>118</v>
      </c>
      <c r="E783" s="5" t="s">
        <v>112</v>
      </c>
      <c r="F783" s="6" t="s">
        <v>83</v>
      </c>
      <c r="G783" s="4" t="s">
        <v>2</v>
      </c>
      <c r="H783" s="25">
        <v>37607.75</v>
      </c>
      <c r="I783" s="8">
        <v>4</v>
      </c>
      <c r="J783" s="9">
        <v>4</v>
      </c>
      <c r="K783" s="7">
        <v>0</v>
      </c>
      <c r="L783" s="24">
        <f>+Tabla2[[#This Row],[Stock Inventario]]*Tabla2[[#This Row],[Coste LÃ­nea]]</f>
        <v>150431</v>
      </c>
      <c r="M783" s="24">
        <f>+Tabla2[[#This Row],[Variación Stock]]*Tabla2[[#This Row],[Coste LÃ­nea]]</f>
        <v>0</v>
      </c>
      <c r="N783" s="22" t="str">
        <f>+IF(Tabla2[[#This Row],[Variación Stock]]&gt;0,"Sobrante",IF(Tabla2[[#This Row],[Variación Stock]]&lt;0,"Faltante","Sin novedad"))</f>
        <v>Sin novedad</v>
      </c>
    </row>
    <row r="784" spans="1:14" hidden="1" x14ac:dyDescent="0.25">
      <c r="A784" s="11">
        <v>46053</v>
      </c>
      <c r="B784" s="5" t="s">
        <v>972</v>
      </c>
      <c r="C784" s="3" t="s">
        <v>213</v>
      </c>
      <c r="D784" s="5" t="s">
        <v>120</v>
      </c>
      <c r="E784" s="5" t="s">
        <v>117</v>
      </c>
      <c r="F784" s="6" t="s">
        <v>766</v>
      </c>
      <c r="G784" s="4" t="s">
        <v>2</v>
      </c>
      <c r="H784" s="25">
        <v>58.468808330000002</v>
      </c>
      <c r="I784" s="8">
        <v>7</v>
      </c>
      <c r="J784" s="9">
        <v>0</v>
      </c>
      <c r="K784" s="7">
        <v>-7</v>
      </c>
      <c r="L784" s="24">
        <f>+Tabla2[[#This Row],[Stock Inventario]]*Tabla2[[#This Row],[Coste LÃ­nea]]</f>
        <v>0</v>
      </c>
      <c r="M784" s="24">
        <f>+Tabla2[[#This Row],[Variación Stock]]*Tabla2[[#This Row],[Coste LÃ­nea]]</f>
        <v>-409.28165831000001</v>
      </c>
      <c r="N784" s="22" t="str">
        <f>+IF(Tabla2[[#This Row],[Variación Stock]]&gt;0,"Sobrante",IF(Tabla2[[#This Row],[Variación Stock]]&lt;0,"Faltante","Sin novedad"))</f>
        <v>Faltante</v>
      </c>
    </row>
    <row r="785" spans="1:14" hidden="1" x14ac:dyDescent="0.25">
      <c r="A785" s="11">
        <v>46053</v>
      </c>
      <c r="B785" s="5" t="s">
        <v>972</v>
      </c>
      <c r="C785" s="3" t="s">
        <v>213</v>
      </c>
      <c r="D785" s="5" t="s">
        <v>120</v>
      </c>
      <c r="E785" s="5" t="s">
        <v>117</v>
      </c>
      <c r="F785" s="6" t="s">
        <v>707</v>
      </c>
      <c r="G785" s="4" t="s">
        <v>1</v>
      </c>
      <c r="H785" s="25">
        <v>12.07174532</v>
      </c>
      <c r="I785" s="8">
        <v>-4778</v>
      </c>
      <c r="J785" s="9">
        <v>175</v>
      </c>
      <c r="K785" s="7">
        <v>4953</v>
      </c>
      <c r="L785" s="24">
        <f>+Tabla2[[#This Row],[Stock Inventario]]*Tabla2[[#This Row],[Coste LÃ­nea]]</f>
        <v>2112.5554309999998</v>
      </c>
      <c r="M785" s="24">
        <f>+Tabla2[[#This Row],[Variación Stock]]*Tabla2[[#This Row],[Coste LÃ­nea]]</f>
        <v>59791.35456996</v>
      </c>
      <c r="N785" s="22" t="str">
        <f>+IF(Tabla2[[#This Row],[Variación Stock]]&gt;0,"Sobrante",IF(Tabla2[[#This Row],[Variación Stock]]&lt;0,"Faltante","Sin novedad"))</f>
        <v>Sobrante</v>
      </c>
    </row>
    <row r="786" spans="1:14" hidden="1" x14ac:dyDescent="0.25">
      <c r="A786" s="11">
        <v>46053</v>
      </c>
      <c r="B786" s="5" t="s">
        <v>972</v>
      </c>
      <c r="C786" s="3" t="s">
        <v>213</v>
      </c>
      <c r="D786" s="5" t="s">
        <v>120</v>
      </c>
      <c r="E786" s="5" t="s">
        <v>117</v>
      </c>
      <c r="F786" s="6" t="s">
        <v>711</v>
      </c>
      <c r="G786" s="4" t="s">
        <v>1</v>
      </c>
      <c r="H786" s="25">
        <v>18.956521739999999</v>
      </c>
      <c r="I786" s="8">
        <v>-13003.625</v>
      </c>
      <c r="J786" s="9">
        <v>0</v>
      </c>
      <c r="K786" s="7">
        <v>13003.625</v>
      </c>
      <c r="L786" s="24">
        <f>+Tabla2[[#This Row],[Stock Inventario]]*Tabla2[[#This Row],[Coste LÃ­nea]]</f>
        <v>0</v>
      </c>
      <c r="M786" s="24">
        <f>+Tabla2[[#This Row],[Variación Stock]]*Tabla2[[#This Row],[Coste LÃ­nea]]</f>
        <v>246503.50001130748</v>
      </c>
      <c r="N786" s="22" t="str">
        <f>+IF(Tabla2[[#This Row],[Variación Stock]]&gt;0,"Sobrante",IF(Tabla2[[#This Row],[Variación Stock]]&lt;0,"Faltante","Sin novedad"))</f>
        <v>Sobrante</v>
      </c>
    </row>
    <row r="787" spans="1:14" x14ac:dyDescent="0.25">
      <c r="A787" s="11">
        <v>46037</v>
      </c>
      <c r="B787" s="5" t="s">
        <v>212</v>
      </c>
      <c r="C787" s="3" t="s">
        <v>213</v>
      </c>
      <c r="D787" s="5" t="s">
        <v>118</v>
      </c>
      <c r="E787" s="5" t="s">
        <v>112</v>
      </c>
      <c r="F787" s="6" t="s">
        <v>85</v>
      </c>
      <c r="G787" s="4" t="s">
        <v>81</v>
      </c>
      <c r="H787" s="24">
        <v>10875.1</v>
      </c>
      <c r="I787" s="8">
        <v>12</v>
      </c>
      <c r="J787" s="9">
        <v>10</v>
      </c>
      <c r="K787" s="7">
        <v>-2</v>
      </c>
      <c r="L787" s="24">
        <f>+Tabla2[[#This Row],[Stock Inventario]]*Tabla2[[#This Row],[Coste LÃ­nea]]</f>
        <v>108751</v>
      </c>
      <c r="M787" s="24">
        <f>+Tabla2[[#This Row],[Variación Stock]]*Tabla2[[#This Row],[Coste LÃ­nea]]</f>
        <v>-21750.2</v>
      </c>
      <c r="N787" s="22" t="str">
        <f>+IF(Tabla2[[#This Row],[Variación Stock]]&gt;0,"Sobrante",IF(Tabla2[[#This Row],[Variación Stock]]&lt;0,"Faltante","Sin novedad"))</f>
        <v>Faltante</v>
      </c>
    </row>
    <row r="788" spans="1:14" hidden="1" x14ac:dyDescent="0.25">
      <c r="A788" s="11">
        <v>46053</v>
      </c>
      <c r="B788" s="5" t="s">
        <v>972</v>
      </c>
      <c r="C788" s="3" t="s">
        <v>213</v>
      </c>
      <c r="D788" s="5" t="s">
        <v>120</v>
      </c>
      <c r="E788" s="5" t="s">
        <v>117</v>
      </c>
      <c r="F788" s="6" t="s">
        <v>1038</v>
      </c>
      <c r="G788" s="4" t="s">
        <v>2</v>
      </c>
      <c r="H788" s="25">
        <v>164.05703704000001</v>
      </c>
      <c r="I788" s="8">
        <v>-6451</v>
      </c>
      <c r="J788" s="9">
        <v>0</v>
      </c>
      <c r="K788" s="7">
        <v>6451</v>
      </c>
      <c r="L788" s="24">
        <f>+Tabla2[[#This Row],[Stock Inventario]]*Tabla2[[#This Row],[Coste LÃ­nea]]</f>
        <v>0</v>
      </c>
      <c r="M788" s="24">
        <f>+Tabla2[[#This Row],[Variación Stock]]*Tabla2[[#This Row],[Coste LÃ­nea]]</f>
        <v>1058331.9459450401</v>
      </c>
      <c r="N788" s="22" t="str">
        <f>+IF(Tabla2[[#This Row],[Variación Stock]]&gt;0,"Sobrante",IF(Tabla2[[#This Row],[Variación Stock]]&lt;0,"Faltante","Sin novedad"))</f>
        <v>Sobrante</v>
      </c>
    </row>
    <row r="789" spans="1:14" x14ac:dyDescent="0.25">
      <c r="A789" s="11">
        <v>46044</v>
      </c>
      <c r="B789" s="5" t="s">
        <v>383</v>
      </c>
      <c r="C789" s="3" t="s">
        <v>213</v>
      </c>
      <c r="D789" s="5" t="s">
        <v>118</v>
      </c>
      <c r="E789" s="5" t="s">
        <v>112</v>
      </c>
      <c r="F789" s="6" t="s">
        <v>85</v>
      </c>
      <c r="G789" s="4" t="s">
        <v>81</v>
      </c>
      <c r="H789" s="25">
        <v>10875.1</v>
      </c>
      <c r="I789" s="8">
        <v>10</v>
      </c>
      <c r="J789" s="9">
        <v>0</v>
      </c>
      <c r="K789" s="15">
        <v>-10</v>
      </c>
      <c r="L789" s="24">
        <f>+Tabla2[[#This Row],[Stock Inventario]]*Tabla2[[#This Row],[Coste LÃ­nea]]</f>
        <v>0</v>
      </c>
      <c r="M789" s="24">
        <f>+Tabla2[[#This Row],[Variación Stock]]*Tabla2[[#This Row],[Coste LÃ­nea]]</f>
        <v>-108751</v>
      </c>
      <c r="N789" s="22" t="str">
        <f>+IF(Tabla2[[#This Row],[Variación Stock]]&gt;0,"Sobrante",IF(Tabla2[[#This Row],[Variación Stock]]&lt;0,"Faltante","Sin novedad"))</f>
        <v>Faltante</v>
      </c>
    </row>
    <row r="790" spans="1:14" hidden="1" x14ac:dyDescent="0.25">
      <c r="A790" s="11">
        <v>46053</v>
      </c>
      <c r="B790" s="5" t="s">
        <v>972</v>
      </c>
      <c r="C790" s="3" t="s">
        <v>213</v>
      </c>
      <c r="D790" s="5" t="s">
        <v>120</v>
      </c>
      <c r="E790" s="5" t="s">
        <v>117</v>
      </c>
      <c r="F790" s="6" t="s">
        <v>1039</v>
      </c>
      <c r="G790" s="4" t="s">
        <v>2</v>
      </c>
      <c r="H790" s="25">
        <v>878.16711582999994</v>
      </c>
      <c r="I790" s="8">
        <v>-220</v>
      </c>
      <c r="J790" s="9">
        <v>0</v>
      </c>
      <c r="K790" s="7">
        <v>220</v>
      </c>
      <c r="L790" s="24">
        <f>+Tabla2[[#This Row],[Stock Inventario]]*Tabla2[[#This Row],[Coste LÃ­nea]]</f>
        <v>0</v>
      </c>
      <c r="M790" s="24">
        <f>+Tabla2[[#This Row],[Variación Stock]]*Tabla2[[#This Row],[Coste LÃ­nea]]</f>
        <v>193196.76548259999</v>
      </c>
      <c r="N790" s="22" t="str">
        <f>+IF(Tabla2[[#This Row],[Variación Stock]]&gt;0,"Sobrante",IF(Tabla2[[#This Row],[Variación Stock]]&lt;0,"Faltante","Sin novedad"))</f>
        <v>Sobrante</v>
      </c>
    </row>
    <row r="791" spans="1:14" hidden="1" x14ac:dyDescent="0.25">
      <c r="A791" s="11">
        <v>46053</v>
      </c>
      <c r="B791" s="5" t="s">
        <v>972</v>
      </c>
      <c r="C791" s="3" t="s">
        <v>213</v>
      </c>
      <c r="D791" s="5" t="s">
        <v>120</v>
      </c>
      <c r="E791" s="5" t="s">
        <v>117</v>
      </c>
      <c r="F791" s="6" t="s">
        <v>714</v>
      </c>
      <c r="G791" s="4" t="s">
        <v>1</v>
      </c>
      <c r="H791" s="25">
        <v>21.94962533</v>
      </c>
      <c r="I791" s="8">
        <v>-120</v>
      </c>
      <c r="J791" s="9">
        <v>0</v>
      </c>
      <c r="K791" s="7">
        <v>120</v>
      </c>
      <c r="L791" s="24">
        <f>+Tabla2[[#This Row],[Stock Inventario]]*Tabla2[[#This Row],[Coste LÃ­nea]]</f>
        <v>0</v>
      </c>
      <c r="M791" s="24">
        <f>+Tabla2[[#This Row],[Variación Stock]]*Tabla2[[#This Row],[Coste LÃ­nea]]</f>
        <v>2633.9550396</v>
      </c>
      <c r="N791" s="22" t="str">
        <f>+IF(Tabla2[[#This Row],[Variación Stock]]&gt;0,"Sobrante",IF(Tabla2[[#This Row],[Variación Stock]]&lt;0,"Faltante","Sin novedad"))</f>
        <v>Sobrante</v>
      </c>
    </row>
    <row r="792" spans="1:14" x14ac:dyDescent="0.25">
      <c r="A792" s="11">
        <v>46053</v>
      </c>
      <c r="B792" s="5" t="s">
        <v>972</v>
      </c>
      <c r="C792" s="3" t="s">
        <v>213</v>
      </c>
      <c r="D792" s="5" t="s">
        <v>118</v>
      </c>
      <c r="E792" s="5" t="s">
        <v>112</v>
      </c>
      <c r="F792" s="6" t="s">
        <v>85</v>
      </c>
      <c r="G792" s="4" t="s">
        <v>81</v>
      </c>
      <c r="H792" s="25">
        <v>10875.1</v>
      </c>
      <c r="I792" s="8">
        <v>-10</v>
      </c>
      <c r="J792" s="9">
        <v>0</v>
      </c>
      <c r="K792" s="7">
        <v>10</v>
      </c>
      <c r="L792" s="24">
        <f>+Tabla2[[#This Row],[Stock Inventario]]*Tabla2[[#This Row],[Coste LÃ­nea]]</f>
        <v>0</v>
      </c>
      <c r="M792" s="24">
        <f>+Tabla2[[#This Row],[Variación Stock]]*Tabla2[[#This Row],[Coste LÃ­nea]]</f>
        <v>108751</v>
      </c>
      <c r="N792" s="22" t="str">
        <f>+IF(Tabla2[[#This Row],[Variación Stock]]&gt;0,"Sobrante",IF(Tabla2[[#This Row],[Variación Stock]]&lt;0,"Faltante","Sin novedad"))</f>
        <v>Sobrante</v>
      </c>
    </row>
    <row r="793" spans="1:14" x14ac:dyDescent="0.25">
      <c r="A793" s="11">
        <v>46037</v>
      </c>
      <c r="B793" s="5" t="s">
        <v>212</v>
      </c>
      <c r="C793" s="3" t="s">
        <v>213</v>
      </c>
      <c r="D793" s="5" t="s">
        <v>118</v>
      </c>
      <c r="E793" s="5" t="s">
        <v>112</v>
      </c>
      <c r="F793" s="6" t="s">
        <v>86</v>
      </c>
      <c r="G793" s="4" t="s">
        <v>81</v>
      </c>
      <c r="H793" s="24">
        <v>10889.4</v>
      </c>
      <c r="I793" s="8">
        <v>-2</v>
      </c>
      <c r="J793" s="9">
        <v>0</v>
      </c>
      <c r="K793" s="7">
        <v>2</v>
      </c>
      <c r="L793" s="24">
        <f>+Tabla2[[#This Row],[Stock Inventario]]*Tabla2[[#This Row],[Coste LÃ­nea]]</f>
        <v>0</v>
      </c>
      <c r="M793" s="24">
        <f>+Tabla2[[#This Row],[Variación Stock]]*Tabla2[[#This Row],[Coste LÃ­nea]]</f>
        <v>21778.799999999999</v>
      </c>
      <c r="N793" s="22" t="str">
        <f>+IF(Tabla2[[#This Row],[Variación Stock]]&gt;0,"Sobrante",IF(Tabla2[[#This Row],[Variación Stock]]&lt;0,"Faltante","Sin novedad"))</f>
        <v>Sobrante</v>
      </c>
    </row>
    <row r="794" spans="1:14" hidden="1" x14ac:dyDescent="0.25">
      <c r="A794" s="11">
        <v>46053</v>
      </c>
      <c r="B794" s="5" t="s">
        <v>972</v>
      </c>
      <c r="C794" s="3" t="s">
        <v>213</v>
      </c>
      <c r="D794" s="5" t="s">
        <v>120</v>
      </c>
      <c r="E794" s="5" t="s">
        <v>117</v>
      </c>
      <c r="F794" s="6" t="s">
        <v>925</v>
      </c>
      <c r="G794" s="4" t="s">
        <v>2</v>
      </c>
      <c r="H794" s="25">
        <v>388.58357143000001</v>
      </c>
      <c r="I794" s="8">
        <v>-147</v>
      </c>
      <c r="J794" s="9">
        <v>0</v>
      </c>
      <c r="K794" s="7">
        <v>147</v>
      </c>
      <c r="L794" s="24">
        <f>+Tabla2[[#This Row],[Stock Inventario]]*Tabla2[[#This Row],[Coste LÃ­nea]]</f>
        <v>0</v>
      </c>
      <c r="M794" s="24">
        <f>+Tabla2[[#This Row],[Variación Stock]]*Tabla2[[#This Row],[Coste LÃ­nea]]</f>
        <v>57121.785000210002</v>
      </c>
      <c r="N794" s="22" t="str">
        <f>+IF(Tabla2[[#This Row],[Variación Stock]]&gt;0,"Sobrante",IF(Tabla2[[#This Row],[Variación Stock]]&lt;0,"Faltante","Sin novedad"))</f>
        <v>Sobrante</v>
      </c>
    </row>
    <row r="795" spans="1:14" hidden="1" x14ac:dyDescent="0.25">
      <c r="A795" s="11">
        <v>46053</v>
      </c>
      <c r="B795" s="5" t="s">
        <v>972</v>
      </c>
      <c r="C795" s="3" t="s">
        <v>213</v>
      </c>
      <c r="D795" s="5" t="s">
        <v>120</v>
      </c>
      <c r="E795" s="5" t="s">
        <v>117</v>
      </c>
      <c r="F795" s="6" t="s">
        <v>722</v>
      </c>
      <c r="G795" s="4" t="s">
        <v>1</v>
      </c>
      <c r="H795" s="25">
        <v>2.47125423</v>
      </c>
      <c r="I795" s="8">
        <v>-68755</v>
      </c>
      <c r="J795" s="9">
        <v>7000</v>
      </c>
      <c r="K795" s="7">
        <v>75755</v>
      </c>
      <c r="L795" s="24">
        <f>+Tabla2[[#This Row],[Stock Inventario]]*Tabla2[[#This Row],[Coste LÃ­nea]]</f>
        <v>17298.779610000001</v>
      </c>
      <c r="M795" s="24">
        <f>+Tabla2[[#This Row],[Variación Stock]]*Tabla2[[#This Row],[Coste LÃ­nea]]</f>
        <v>187209.86419364999</v>
      </c>
      <c r="N795" s="22" t="str">
        <f>+IF(Tabla2[[#This Row],[Variación Stock]]&gt;0,"Sobrante",IF(Tabla2[[#This Row],[Variación Stock]]&lt;0,"Faltante","Sin novedad"))</f>
        <v>Sobrante</v>
      </c>
    </row>
    <row r="796" spans="1:14" hidden="1" x14ac:dyDescent="0.25">
      <c r="A796" s="11">
        <v>46053</v>
      </c>
      <c r="B796" s="5" t="s">
        <v>972</v>
      </c>
      <c r="C796" s="3" t="s">
        <v>213</v>
      </c>
      <c r="D796" s="5" t="s">
        <v>120</v>
      </c>
      <c r="E796" s="5" t="s">
        <v>117</v>
      </c>
      <c r="F796" s="6" t="s">
        <v>1040</v>
      </c>
      <c r="G796" s="4" t="s">
        <v>1</v>
      </c>
      <c r="H796" s="25">
        <v>8.1436709</v>
      </c>
      <c r="I796" s="8">
        <v>-2625</v>
      </c>
      <c r="J796" s="9">
        <v>90</v>
      </c>
      <c r="K796" s="7">
        <v>2715</v>
      </c>
      <c r="L796" s="24">
        <f>+Tabla2[[#This Row],[Stock Inventario]]*Tabla2[[#This Row],[Coste LÃ­nea]]</f>
        <v>732.93038100000001</v>
      </c>
      <c r="M796" s="24">
        <f>+Tabla2[[#This Row],[Variación Stock]]*Tabla2[[#This Row],[Coste LÃ­nea]]</f>
        <v>22110.066493499999</v>
      </c>
      <c r="N796" s="22" t="str">
        <f>+IF(Tabla2[[#This Row],[Variación Stock]]&gt;0,"Sobrante",IF(Tabla2[[#This Row],[Variación Stock]]&lt;0,"Faltante","Sin novedad"))</f>
        <v>Sobrante</v>
      </c>
    </row>
    <row r="797" spans="1:14" hidden="1" x14ac:dyDescent="0.25">
      <c r="A797" s="11">
        <v>46053</v>
      </c>
      <c r="B797" s="5" t="s">
        <v>972</v>
      </c>
      <c r="C797" s="3" t="s">
        <v>213</v>
      </c>
      <c r="D797" s="5" t="s">
        <v>323</v>
      </c>
      <c r="E797" s="5" t="s">
        <v>117</v>
      </c>
      <c r="F797" s="6" t="s">
        <v>326</v>
      </c>
      <c r="G797" s="4" t="s">
        <v>1</v>
      </c>
      <c r="H797" s="25">
        <v>22.97446806</v>
      </c>
      <c r="I797" s="8">
        <v>0</v>
      </c>
      <c r="J797" s="9">
        <v>0</v>
      </c>
      <c r="K797" s="7">
        <v>0</v>
      </c>
      <c r="L797" s="24">
        <f>+Tabla2[[#This Row],[Stock Inventario]]*Tabla2[[#This Row],[Coste LÃ­nea]]</f>
        <v>0</v>
      </c>
      <c r="M797" s="24">
        <f>+Tabla2[[#This Row],[Variación Stock]]*Tabla2[[#This Row],[Coste LÃ­nea]]</f>
        <v>0</v>
      </c>
      <c r="N797" s="22" t="str">
        <f>+IF(Tabla2[[#This Row],[Variación Stock]]&gt;0,"Sobrante",IF(Tabla2[[#This Row],[Variación Stock]]&lt;0,"Faltante","Sin novedad"))</f>
        <v>Sin novedad</v>
      </c>
    </row>
    <row r="798" spans="1:14" hidden="1" x14ac:dyDescent="0.25">
      <c r="A798" s="11">
        <v>46053</v>
      </c>
      <c r="B798" s="5" t="s">
        <v>972</v>
      </c>
      <c r="C798" s="3" t="s">
        <v>213</v>
      </c>
      <c r="D798" s="5" t="s">
        <v>120</v>
      </c>
      <c r="E798" s="5" t="s">
        <v>117</v>
      </c>
      <c r="F798" s="6" t="s">
        <v>724</v>
      </c>
      <c r="G798" s="4" t="s">
        <v>1</v>
      </c>
      <c r="H798" s="25">
        <v>14.702989970000001</v>
      </c>
      <c r="I798" s="8">
        <v>770</v>
      </c>
      <c r="J798" s="9">
        <v>250</v>
      </c>
      <c r="K798" s="7">
        <v>-520</v>
      </c>
      <c r="L798" s="24">
        <f>+Tabla2[[#This Row],[Stock Inventario]]*Tabla2[[#This Row],[Coste LÃ­nea]]</f>
        <v>3675.7474925000001</v>
      </c>
      <c r="M798" s="24">
        <f>+Tabla2[[#This Row],[Variación Stock]]*Tabla2[[#This Row],[Coste LÃ­nea]]</f>
        <v>-7645.5547844000002</v>
      </c>
      <c r="N798" s="22" t="str">
        <f>+IF(Tabla2[[#This Row],[Variación Stock]]&gt;0,"Sobrante",IF(Tabla2[[#This Row],[Variación Stock]]&lt;0,"Faltante","Sin novedad"))</f>
        <v>Faltante</v>
      </c>
    </row>
    <row r="799" spans="1:14" hidden="1" x14ac:dyDescent="0.25">
      <c r="A799" s="11">
        <v>46053</v>
      </c>
      <c r="B799" s="5" t="s">
        <v>972</v>
      </c>
      <c r="C799" s="3" t="s">
        <v>213</v>
      </c>
      <c r="D799" s="5" t="s">
        <v>120</v>
      </c>
      <c r="E799" s="5" t="s">
        <v>117</v>
      </c>
      <c r="F799" s="6" t="s">
        <v>727</v>
      </c>
      <c r="G799" s="4" t="s">
        <v>1</v>
      </c>
      <c r="H799" s="25">
        <v>15</v>
      </c>
      <c r="I799" s="8">
        <v>880</v>
      </c>
      <c r="J799" s="9">
        <v>0</v>
      </c>
      <c r="K799" s="7">
        <v>-880</v>
      </c>
      <c r="L799" s="24">
        <f>+Tabla2[[#This Row],[Stock Inventario]]*Tabla2[[#This Row],[Coste LÃ­nea]]</f>
        <v>0</v>
      </c>
      <c r="M799" s="24">
        <f>+Tabla2[[#This Row],[Variación Stock]]*Tabla2[[#This Row],[Coste LÃ­nea]]</f>
        <v>-13200</v>
      </c>
      <c r="N799" s="22" t="str">
        <f>+IF(Tabla2[[#This Row],[Variación Stock]]&gt;0,"Sobrante",IF(Tabla2[[#This Row],[Variación Stock]]&lt;0,"Faltante","Sin novedad"))</f>
        <v>Faltante</v>
      </c>
    </row>
    <row r="800" spans="1:14" x14ac:dyDescent="0.25">
      <c r="A800" s="11">
        <v>46044</v>
      </c>
      <c r="B800" s="5" t="s">
        <v>383</v>
      </c>
      <c r="C800" s="3" t="s">
        <v>213</v>
      </c>
      <c r="D800" s="5" t="s">
        <v>118</v>
      </c>
      <c r="E800" s="5" t="s">
        <v>112</v>
      </c>
      <c r="F800" s="6" t="s">
        <v>86</v>
      </c>
      <c r="G800" s="4" t="s">
        <v>81</v>
      </c>
      <c r="H800" s="25">
        <v>10889.4</v>
      </c>
      <c r="I800" s="8">
        <v>-1</v>
      </c>
      <c r="J800" s="9">
        <v>0</v>
      </c>
      <c r="K800" s="7">
        <v>1</v>
      </c>
      <c r="L800" s="24">
        <f>+Tabla2[[#This Row],[Stock Inventario]]*Tabla2[[#This Row],[Coste LÃ­nea]]</f>
        <v>0</v>
      </c>
      <c r="M800" s="24">
        <f>+Tabla2[[#This Row],[Variación Stock]]*Tabla2[[#This Row],[Coste LÃ­nea]]</f>
        <v>10889.4</v>
      </c>
      <c r="N800" s="22" t="str">
        <f>+IF(Tabla2[[#This Row],[Variación Stock]]&gt;0,"Sobrante",IF(Tabla2[[#This Row],[Variación Stock]]&lt;0,"Faltante","Sin novedad"))</f>
        <v>Sobrante</v>
      </c>
    </row>
    <row r="801" spans="1:14" x14ac:dyDescent="0.25">
      <c r="A801" s="11">
        <v>46053</v>
      </c>
      <c r="B801" s="5" t="s">
        <v>972</v>
      </c>
      <c r="C801" s="3" t="s">
        <v>213</v>
      </c>
      <c r="D801" s="5" t="s">
        <v>118</v>
      </c>
      <c r="E801" s="5" t="s">
        <v>112</v>
      </c>
      <c r="F801" s="6" t="s">
        <v>86</v>
      </c>
      <c r="G801" s="4" t="s">
        <v>81</v>
      </c>
      <c r="H801" s="25">
        <v>10889.4</v>
      </c>
      <c r="I801" s="8">
        <v>-1</v>
      </c>
      <c r="J801" s="9">
        <v>0</v>
      </c>
      <c r="K801" s="7">
        <v>1</v>
      </c>
      <c r="L801" s="24">
        <f>+Tabla2[[#This Row],[Stock Inventario]]*Tabla2[[#This Row],[Coste LÃ­nea]]</f>
        <v>0</v>
      </c>
      <c r="M801" s="24">
        <f>+Tabla2[[#This Row],[Variación Stock]]*Tabla2[[#This Row],[Coste LÃ­nea]]</f>
        <v>10889.4</v>
      </c>
      <c r="N801" s="22" t="str">
        <f>+IF(Tabla2[[#This Row],[Variación Stock]]&gt;0,"Sobrante",IF(Tabla2[[#This Row],[Variación Stock]]&lt;0,"Faltante","Sin novedad"))</f>
        <v>Sobrante</v>
      </c>
    </row>
    <row r="802" spans="1:14" hidden="1" x14ac:dyDescent="0.25">
      <c r="A802" s="11">
        <v>46053</v>
      </c>
      <c r="B802" s="5" t="s">
        <v>972</v>
      </c>
      <c r="C802" s="3" t="s">
        <v>213</v>
      </c>
      <c r="D802" s="5" t="s">
        <v>120</v>
      </c>
      <c r="E802" s="5" t="s">
        <v>117</v>
      </c>
      <c r="F802" s="6" t="s">
        <v>927</v>
      </c>
      <c r="G802" s="4" t="s">
        <v>1</v>
      </c>
      <c r="H802" s="25">
        <v>7.2870914000000004</v>
      </c>
      <c r="I802" s="8">
        <v>-60</v>
      </c>
      <c r="J802" s="9">
        <v>0</v>
      </c>
      <c r="K802" s="7">
        <v>60</v>
      </c>
      <c r="L802" s="24">
        <f>+Tabla2[[#This Row],[Stock Inventario]]*Tabla2[[#This Row],[Coste LÃ­nea]]</f>
        <v>0</v>
      </c>
      <c r="M802" s="24">
        <f>+Tabla2[[#This Row],[Variación Stock]]*Tabla2[[#This Row],[Coste LÃ­nea]]</f>
        <v>437.22548400000005</v>
      </c>
      <c r="N802" s="22" t="str">
        <f>+IF(Tabla2[[#This Row],[Variación Stock]]&gt;0,"Sobrante",IF(Tabla2[[#This Row],[Variación Stock]]&lt;0,"Faltante","Sin novedad"))</f>
        <v>Sobrante</v>
      </c>
    </row>
    <row r="803" spans="1:14" hidden="1" x14ac:dyDescent="0.25">
      <c r="A803" s="11">
        <v>46053</v>
      </c>
      <c r="B803" s="5" t="s">
        <v>972</v>
      </c>
      <c r="C803" s="3" t="s">
        <v>213</v>
      </c>
      <c r="D803" s="5" t="s">
        <v>120</v>
      </c>
      <c r="E803" s="5" t="s">
        <v>117</v>
      </c>
      <c r="F803" s="6" t="s">
        <v>1041</v>
      </c>
      <c r="G803" s="4" t="s">
        <v>1</v>
      </c>
      <c r="H803" s="25">
        <v>8.3377369100000003</v>
      </c>
      <c r="I803" s="8">
        <v>-4060</v>
      </c>
      <c r="J803" s="9">
        <v>0</v>
      </c>
      <c r="K803" s="7">
        <v>4060</v>
      </c>
      <c r="L803" s="24">
        <f>+Tabla2[[#This Row],[Stock Inventario]]*Tabla2[[#This Row],[Coste LÃ­nea]]</f>
        <v>0</v>
      </c>
      <c r="M803" s="24">
        <f>+Tabla2[[#This Row],[Variación Stock]]*Tabla2[[#This Row],[Coste LÃ­nea]]</f>
        <v>33851.211854599998</v>
      </c>
      <c r="N803" s="22" t="str">
        <f>+IF(Tabla2[[#This Row],[Variación Stock]]&gt;0,"Sobrante",IF(Tabla2[[#This Row],[Variación Stock]]&lt;0,"Faltante","Sin novedad"))</f>
        <v>Sobrante</v>
      </c>
    </row>
    <row r="804" spans="1:14" hidden="1" x14ac:dyDescent="0.25">
      <c r="A804" s="11">
        <v>46053</v>
      </c>
      <c r="B804" s="5" t="s">
        <v>972</v>
      </c>
      <c r="C804" s="3" t="s">
        <v>213</v>
      </c>
      <c r="D804" s="5" t="s">
        <v>120</v>
      </c>
      <c r="E804" s="5" t="s">
        <v>117</v>
      </c>
      <c r="F804" s="6" t="s">
        <v>1042</v>
      </c>
      <c r="G804" s="4" t="s">
        <v>1</v>
      </c>
      <c r="H804" s="25">
        <v>6180.1759560500004</v>
      </c>
      <c r="I804" s="8">
        <v>-6981</v>
      </c>
      <c r="J804" s="9">
        <v>0</v>
      </c>
      <c r="K804" s="7">
        <v>6981</v>
      </c>
      <c r="L804" s="24">
        <f>+Tabla2[[#This Row],[Stock Inventario]]*Tabla2[[#This Row],[Coste LÃ­nea]]</f>
        <v>0</v>
      </c>
      <c r="M804" s="24">
        <f>+Tabla2[[#This Row],[Variación Stock]]*Tabla2[[#This Row],[Coste LÃ­nea]]</f>
        <v>43143808.34918505</v>
      </c>
      <c r="N804" s="22" t="str">
        <f>+IF(Tabla2[[#This Row],[Variación Stock]]&gt;0,"Sobrante",IF(Tabla2[[#This Row],[Variación Stock]]&lt;0,"Faltante","Sin novedad"))</f>
        <v>Sobrante</v>
      </c>
    </row>
    <row r="805" spans="1:14" hidden="1" x14ac:dyDescent="0.25">
      <c r="A805" s="11">
        <v>46053</v>
      </c>
      <c r="B805" s="5" t="s">
        <v>972</v>
      </c>
      <c r="C805" s="3" t="s">
        <v>213</v>
      </c>
      <c r="D805" s="5" t="s">
        <v>120</v>
      </c>
      <c r="E805" s="5" t="s">
        <v>117</v>
      </c>
      <c r="F805" s="6" t="s">
        <v>319</v>
      </c>
      <c r="G805" s="4" t="s">
        <v>2</v>
      </c>
      <c r="H805" s="25">
        <v>3446.7327218800001</v>
      </c>
      <c r="I805" s="8">
        <v>12</v>
      </c>
      <c r="J805" s="9">
        <v>0</v>
      </c>
      <c r="K805" s="7">
        <v>-12</v>
      </c>
      <c r="L805" s="24">
        <f>+Tabla2[[#This Row],[Stock Inventario]]*Tabla2[[#This Row],[Coste LÃ­nea]]</f>
        <v>0</v>
      </c>
      <c r="M805" s="24">
        <f>+Tabla2[[#This Row],[Variación Stock]]*Tabla2[[#This Row],[Coste LÃ­nea]]</f>
        <v>-41360.792662560001</v>
      </c>
      <c r="N805" s="22" t="str">
        <f>+IF(Tabla2[[#This Row],[Variación Stock]]&gt;0,"Sobrante",IF(Tabla2[[#This Row],[Variación Stock]]&lt;0,"Faltante","Sin novedad"))</f>
        <v>Faltante</v>
      </c>
    </row>
    <row r="806" spans="1:14" hidden="1" x14ac:dyDescent="0.25">
      <c r="A806" s="11">
        <v>46053</v>
      </c>
      <c r="B806" s="5" t="s">
        <v>972</v>
      </c>
      <c r="C806" s="3" t="s">
        <v>213</v>
      </c>
      <c r="D806" s="5" t="s">
        <v>120</v>
      </c>
      <c r="E806" s="5" t="s">
        <v>117</v>
      </c>
      <c r="F806" s="6" t="s">
        <v>734</v>
      </c>
      <c r="G806" s="4" t="s">
        <v>1</v>
      </c>
      <c r="H806" s="25">
        <v>20.925407740000001</v>
      </c>
      <c r="I806" s="8">
        <v>999</v>
      </c>
      <c r="J806" s="9">
        <v>0</v>
      </c>
      <c r="K806" s="7">
        <v>-999</v>
      </c>
      <c r="L806" s="24">
        <f>+Tabla2[[#This Row],[Stock Inventario]]*Tabla2[[#This Row],[Coste LÃ­nea]]</f>
        <v>0</v>
      </c>
      <c r="M806" s="24">
        <f>+Tabla2[[#This Row],[Variación Stock]]*Tabla2[[#This Row],[Coste LÃ­nea]]</f>
        <v>-20904.482332260002</v>
      </c>
      <c r="N806" s="22" t="str">
        <f>+IF(Tabla2[[#This Row],[Variación Stock]]&gt;0,"Sobrante",IF(Tabla2[[#This Row],[Variación Stock]]&lt;0,"Faltante","Sin novedad"))</f>
        <v>Faltante</v>
      </c>
    </row>
    <row r="807" spans="1:14" hidden="1" x14ac:dyDescent="0.25">
      <c r="A807" s="11">
        <v>46053</v>
      </c>
      <c r="B807" s="5" t="s">
        <v>972</v>
      </c>
      <c r="C807" s="3" t="s">
        <v>213</v>
      </c>
      <c r="D807" s="5" t="s">
        <v>120</v>
      </c>
      <c r="E807" s="5" t="s">
        <v>117</v>
      </c>
      <c r="F807" s="6" t="s">
        <v>929</v>
      </c>
      <c r="G807" s="4" t="s">
        <v>1</v>
      </c>
      <c r="H807" s="25">
        <v>21.427531779999999</v>
      </c>
      <c r="I807" s="8">
        <v>-80</v>
      </c>
      <c r="J807" s="9">
        <v>450</v>
      </c>
      <c r="K807" s="7">
        <v>530</v>
      </c>
      <c r="L807" s="24">
        <f>+Tabla2[[#This Row],[Stock Inventario]]*Tabla2[[#This Row],[Coste LÃ­nea]]</f>
        <v>9642.3893009999993</v>
      </c>
      <c r="M807" s="24">
        <f>+Tabla2[[#This Row],[Variación Stock]]*Tabla2[[#This Row],[Coste LÃ­nea]]</f>
        <v>11356.5918434</v>
      </c>
      <c r="N807" s="22" t="str">
        <f>+IF(Tabla2[[#This Row],[Variación Stock]]&gt;0,"Sobrante",IF(Tabla2[[#This Row],[Variación Stock]]&lt;0,"Faltante","Sin novedad"))</f>
        <v>Sobrante</v>
      </c>
    </row>
    <row r="808" spans="1:14" hidden="1" x14ac:dyDescent="0.25">
      <c r="A808" s="11">
        <v>46053</v>
      </c>
      <c r="B808" s="5" t="s">
        <v>972</v>
      </c>
      <c r="C808" s="3" t="s">
        <v>213</v>
      </c>
      <c r="D808" s="5" t="s">
        <v>120</v>
      </c>
      <c r="E808" s="5" t="s">
        <v>117</v>
      </c>
      <c r="F808" s="6" t="s">
        <v>930</v>
      </c>
      <c r="G808" s="4" t="s">
        <v>1</v>
      </c>
      <c r="H808" s="25">
        <v>12.742341140000001</v>
      </c>
      <c r="I808" s="8">
        <v>-360</v>
      </c>
      <c r="J808" s="9">
        <v>0</v>
      </c>
      <c r="K808" s="7">
        <v>360</v>
      </c>
      <c r="L808" s="24">
        <f>+Tabla2[[#This Row],[Stock Inventario]]*Tabla2[[#This Row],[Coste LÃ­nea]]</f>
        <v>0</v>
      </c>
      <c r="M808" s="24">
        <f>+Tabla2[[#This Row],[Variación Stock]]*Tabla2[[#This Row],[Coste LÃ­nea]]</f>
        <v>4587.2428104000001</v>
      </c>
      <c r="N808" s="22" t="str">
        <f>+IF(Tabla2[[#This Row],[Variación Stock]]&gt;0,"Sobrante",IF(Tabla2[[#This Row],[Variación Stock]]&lt;0,"Faltante","Sin novedad"))</f>
        <v>Sobrante</v>
      </c>
    </row>
    <row r="809" spans="1:14" hidden="1" x14ac:dyDescent="0.25">
      <c r="A809" s="11">
        <v>46053</v>
      </c>
      <c r="B809" s="5" t="s">
        <v>972</v>
      </c>
      <c r="C809" s="3" t="s">
        <v>213</v>
      </c>
      <c r="D809" s="5" t="s">
        <v>120</v>
      </c>
      <c r="E809" s="5" t="s">
        <v>117</v>
      </c>
      <c r="F809" s="6" t="s">
        <v>1043</v>
      </c>
      <c r="G809" s="4" t="s">
        <v>2</v>
      </c>
      <c r="H809" s="25">
        <v>1993.4875724000001</v>
      </c>
      <c r="I809" s="8">
        <v>10</v>
      </c>
      <c r="J809" s="9">
        <v>0</v>
      </c>
      <c r="K809" s="7">
        <v>-10</v>
      </c>
      <c r="L809" s="24">
        <f>+Tabla2[[#This Row],[Stock Inventario]]*Tabla2[[#This Row],[Coste LÃ­nea]]</f>
        <v>0</v>
      </c>
      <c r="M809" s="24">
        <f>+Tabla2[[#This Row],[Variación Stock]]*Tabla2[[#This Row],[Coste LÃ­nea]]</f>
        <v>-19934.875724000001</v>
      </c>
      <c r="N809" s="22" t="str">
        <f>+IF(Tabla2[[#This Row],[Variación Stock]]&gt;0,"Sobrante",IF(Tabla2[[#This Row],[Variación Stock]]&lt;0,"Faltante","Sin novedad"))</f>
        <v>Faltante</v>
      </c>
    </row>
    <row r="810" spans="1:14" hidden="1" x14ac:dyDescent="0.25">
      <c r="A810" s="11">
        <v>46053</v>
      </c>
      <c r="B810" s="5" t="s">
        <v>972</v>
      </c>
      <c r="C810" s="3" t="s">
        <v>213</v>
      </c>
      <c r="D810" s="5" t="s">
        <v>120</v>
      </c>
      <c r="E810" s="5" t="s">
        <v>117</v>
      </c>
      <c r="F810" s="6" t="s">
        <v>1044</v>
      </c>
      <c r="G810" s="4" t="s">
        <v>1</v>
      </c>
      <c r="H810" s="25">
        <v>285.69737237999999</v>
      </c>
      <c r="I810" s="8">
        <v>240</v>
      </c>
      <c r="J810" s="9">
        <v>0</v>
      </c>
      <c r="K810" s="7">
        <v>-240</v>
      </c>
      <c r="L810" s="24">
        <f>+Tabla2[[#This Row],[Stock Inventario]]*Tabla2[[#This Row],[Coste LÃ­nea]]</f>
        <v>0</v>
      </c>
      <c r="M810" s="24">
        <f>+Tabla2[[#This Row],[Variación Stock]]*Tabla2[[#This Row],[Coste LÃ­nea]]</f>
        <v>-68567.369371199995</v>
      </c>
      <c r="N810" s="22" t="str">
        <f>+IF(Tabla2[[#This Row],[Variación Stock]]&gt;0,"Sobrante",IF(Tabla2[[#This Row],[Variación Stock]]&lt;0,"Faltante","Sin novedad"))</f>
        <v>Faltante</v>
      </c>
    </row>
    <row r="811" spans="1:14" x14ac:dyDescent="0.25">
      <c r="A811" s="11">
        <v>46037</v>
      </c>
      <c r="B811" s="5" t="s">
        <v>212</v>
      </c>
      <c r="C811" s="3" t="s">
        <v>213</v>
      </c>
      <c r="D811" s="5" t="s">
        <v>118</v>
      </c>
      <c r="E811" s="5" t="s">
        <v>112</v>
      </c>
      <c r="F811" s="6" t="s">
        <v>184</v>
      </c>
      <c r="G811" s="4" t="s">
        <v>81</v>
      </c>
      <c r="H811" s="24">
        <v>10880.4</v>
      </c>
      <c r="I811" s="8">
        <v>19</v>
      </c>
      <c r="J811" s="9">
        <v>0</v>
      </c>
      <c r="K811" s="7">
        <v>-19</v>
      </c>
      <c r="L811" s="24">
        <f>+Tabla2[[#This Row],[Stock Inventario]]*Tabla2[[#This Row],[Coste LÃ­nea]]</f>
        <v>0</v>
      </c>
      <c r="M811" s="24">
        <f>+Tabla2[[#This Row],[Variación Stock]]*Tabla2[[#This Row],[Coste LÃ­nea]]</f>
        <v>-206727.6</v>
      </c>
      <c r="N811" s="22" t="str">
        <f>+IF(Tabla2[[#This Row],[Variación Stock]]&gt;0,"Sobrante",IF(Tabla2[[#This Row],[Variación Stock]]&lt;0,"Faltante","Sin novedad"))</f>
        <v>Faltante</v>
      </c>
    </row>
    <row r="812" spans="1:14" x14ac:dyDescent="0.25">
      <c r="A812" s="11">
        <v>46044</v>
      </c>
      <c r="B812" s="5" t="s">
        <v>383</v>
      </c>
      <c r="C812" s="3" t="s">
        <v>213</v>
      </c>
      <c r="D812" s="5" t="s">
        <v>118</v>
      </c>
      <c r="E812" s="5" t="s">
        <v>112</v>
      </c>
      <c r="F812" s="6" t="s">
        <v>184</v>
      </c>
      <c r="G812" s="4" t="s">
        <v>81</v>
      </c>
      <c r="H812" s="25">
        <v>10880.4</v>
      </c>
      <c r="I812" s="8">
        <v>0</v>
      </c>
      <c r="J812" s="9">
        <v>0</v>
      </c>
      <c r="K812" s="7">
        <v>0</v>
      </c>
      <c r="L812" s="24">
        <f>+Tabla2[[#This Row],[Stock Inventario]]*Tabla2[[#This Row],[Coste LÃ­nea]]</f>
        <v>0</v>
      </c>
      <c r="M812" s="24">
        <f>+Tabla2[[#This Row],[Variación Stock]]*Tabla2[[#This Row],[Coste LÃ­nea]]</f>
        <v>0</v>
      </c>
      <c r="N812" s="22" t="str">
        <f>+IF(Tabla2[[#This Row],[Variación Stock]]&gt;0,"Sobrante",IF(Tabla2[[#This Row],[Variación Stock]]&lt;0,"Faltante","Sin novedad"))</f>
        <v>Sin novedad</v>
      </c>
    </row>
    <row r="813" spans="1:14" hidden="1" x14ac:dyDescent="0.25">
      <c r="A813" s="11">
        <v>46053</v>
      </c>
      <c r="B813" s="5" t="s">
        <v>972</v>
      </c>
      <c r="C813" s="3" t="s">
        <v>213</v>
      </c>
      <c r="D813" s="5" t="s">
        <v>120</v>
      </c>
      <c r="E813" s="5" t="s">
        <v>117</v>
      </c>
      <c r="F813" s="6" t="s">
        <v>1045</v>
      </c>
      <c r="G813" s="4" t="s">
        <v>1</v>
      </c>
      <c r="H813" s="25">
        <v>41.821801880000002</v>
      </c>
      <c r="I813" s="8">
        <v>1270</v>
      </c>
      <c r="J813" s="9">
        <v>1845</v>
      </c>
      <c r="K813" s="7">
        <v>575</v>
      </c>
      <c r="L813" s="24">
        <f>+Tabla2[[#This Row],[Stock Inventario]]*Tabla2[[#This Row],[Coste LÃ­nea]]</f>
        <v>77161.224468600005</v>
      </c>
      <c r="M813" s="24">
        <f>+Tabla2[[#This Row],[Variación Stock]]*Tabla2[[#This Row],[Coste LÃ­nea]]</f>
        <v>24047.536081000002</v>
      </c>
      <c r="N813" s="22" t="str">
        <f>+IF(Tabla2[[#This Row],[Variación Stock]]&gt;0,"Sobrante",IF(Tabla2[[#This Row],[Variación Stock]]&lt;0,"Faltante","Sin novedad"))</f>
        <v>Sobrante</v>
      </c>
    </row>
    <row r="814" spans="1:14" hidden="1" x14ac:dyDescent="0.25">
      <c r="A814" s="11">
        <v>46053</v>
      </c>
      <c r="B814" s="5" t="s">
        <v>972</v>
      </c>
      <c r="C814" s="3" t="s">
        <v>213</v>
      </c>
      <c r="D814" s="5" t="s">
        <v>120</v>
      </c>
      <c r="E814" s="5" t="s">
        <v>117</v>
      </c>
      <c r="F814" s="6" t="s">
        <v>742</v>
      </c>
      <c r="G814" s="4" t="s">
        <v>1</v>
      </c>
      <c r="H814" s="25">
        <v>14.631905789999999</v>
      </c>
      <c r="I814" s="8">
        <v>41790.758399999999</v>
      </c>
      <c r="J814" s="9">
        <v>19260</v>
      </c>
      <c r="K814" s="7">
        <v>-22530.758399999999</v>
      </c>
      <c r="L814" s="24">
        <f>+Tabla2[[#This Row],[Stock Inventario]]*Tabla2[[#This Row],[Coste LÃ­nea]]</f>
        <v>281810.50551539997</v>
      </c>
      <c r="M814" s="24">
        <f>+Tabla2[[#This Row],[Variación Stock]]*Tabla2[[#This Row],[Coste LÃ­nea]]</f>
        <v>-329667.93428605108</v>
      </c>
      <c r="N814" s="22" t="str">
        <f>+IF(Tabla2[[#This Row],[Variación Stock]]&gt;0,"Sobrante",IF(Tabla2[[#This Row],[Variación Stock]]&lt;0,"Faltante","Sin novedad"))</f>
        <v>Faltante</v>
      </c>
    </row>
    <row r="815" spans="1:14" hidden="1" x14ac:dyDescent="0.25">
      <c r="A815" s="11">
        <v>46053</v>
      </c>
      <c r="B815" s="5" t="s">
        <v>972</v>
      </c>
      <c r="C815" s="3" t="s">
        <v>213</v>
      </c>
      <c r="D815" s="5" t="s">
        <v>120</v>
      </c>
      <c r="E815" s="5" t="s">
        <v>117</v>
      </c>
      <c r="F815" s="6" t="s">
        <v>268</v>
      </c>
      <c r="G815" s="4" t="s">
        <v>1</v>
      </c>
      <c r="H815" s="25">
        <v>13.58919964</v>
      </c>
      <c r="I815" s="8">
        <v>22830</v>
      </c>
      <c r="J815" s="9">
        <v>4350</v>
      </c>
      <c r="K815" s="7">
        <v>-18480</v>
      </c>
      <c r="L815" s="24">
        <f>+Tabla2[[#This Row],[Stock Inventario]]*Tabla2[[#This Row],[Coste LÃ­nea]]</f>
        <v>59113.018434000005</v>
      </c>
      <c r="M815" s="24">
        <f>+Tabla2[[#This Row],[Variación Stock]]*Tabla2[[#This Row],[Coste LÃ­nea]]</f>
        <v>-251128.40934720001</v>
      </c>
      <c r="N815" s="22" t="str">
        <f>+IF(Tabla2[[#This Row],[Variación Stock]]&gt;0,"Sobrante",IF(Tabla2[[#This Row],[Variación Stock]]&lt;0,"Faltante","Sin novedad"))</f>
        <v>Faltante</v>
      </c>
    </row>
    <row r="816" spans="1:14" hidden="1" x14ac:dyDescent="0.25">
      <c r="A816" s="11">
        <v>46053</v>
      </c>
      <c r="B816" s="5" t="s">
        <v>972</v>
      </c>
      <c r="C816" s="3" t="s">
        <v>213</v>
      </c>
      <c r="D816" s="5" t="s">
        <v>120</v>
      </c>
      <c r="E816" s="5" t="s">
        <v>117</v>
      </c>
      <c r="F816" s="6" t="s">
        <v>1046</v>
      </c>
      <c r="G816" s="4" t="s">
        <v>1</v>
      </c>
      <c r="H816" s="25">
        <v>14.537090389999999</v>
      </c>
      <c r="I816" s="8">
        <v>7940</v>
      </c>
      <c r="J816" s="9">
        <v>8685</v>
      </c>
      <c r="K816" s="7">
        <v>745</v>
      </c>
      <c r="L816" s="24">
        <f>+Tabla2[[#This Row],[Stock Inventario]]*Tabla2[[#This Row],[Coste LÃ­nea]]</f>
        <v>126254.63003715</v>
      </c>
      <c r="M816" s="24">
        <f>+Tabla2[[#This Row],[Variación Stock]]*Tabla2[[#This Row],[Coste LÃ­nea]]</f>
        <v>10830.132340549999</v>
      </c>
      <c r="N816" s="22" t="str">
        <f>+IF(Tabla2[[#This Row],[Variación Stock]]&gt;0,"Sobrante",IF(Tabla2[[#This Row],[Variación Stock]]&lt;0,"Faltante","Sin novedad"))</f>
        <v>Sobrante</v>
      </c>
    </row>
    <row r="817" spans="1:14" hidden="1" x14ac:dyDescent="0.25">
      <c r="A817" s="11">
        <v>46053</v>
      </c>
      <c r="B817" s="5" t="s">
        <v>972</v>
      </c>
      <c r="C817" s="3" t="s">
        <v>213</v>
      </c>
      <c r="D817" s="5" t="s">
        <v>120</v>
      </c>
      <c r="E817" s="5" t="s">
        <v>117</v>
      </c>
      <c r="F817" s="6" t="s">
        <v>1047</v>
      </c>
      <c r="G817" s="4" t="s">
        <v>1</v>
      </c>
      <c r="H817" s="25">
        <v>13.58859842</v>
      </c>
      <c r="I817" s="8">
        <v>11600</v>
      </c>
      <c r="J817" s="9">
        <v>6265</v>
      </c>
      <c r="K817" s="7">
        <v>-5335</v>
      </c>
      <c r="L817" s="24">
        <f>+Tabla2[[#This Row],[Stock Inventario]]*Tabla2[[#This Row],[Coste LÃ­nea]]</f>
        <v>85132.569101300003</v>
      </c>
      <c r="M817" s="24">
        <f>+Tabla2[[#This Row],[Variación Stock]]*Tabla2[[#This Row],[Coste LÃ­nea]]</f>
        <v>-72495.172570700001</v>
      </c>
      <c r="N817" s="22" t="str">
        <f>+IF(Tabla2[[#This Row],[Variación Stock]]&gt;0,"Sobrante",IF(Tabla2[[#This Row],[Variación Stock]]&lt;0,"Faltante","Sin novedad"))</f>
        <v>Faltante</v>
      </c>
    </row>
    <row r="818" spans="1:14" hidden="1" x14ac:dyDescent="0.25">
      <c r="A818" s="11">
        <v>46053</v>
      </c>
      <c r="B818" s="5" t="s">
        <v>972</v>
      </c>
      <c r="C818" s="3" t="s">
        <v>213</v>
      </c>
      <c r="D818" s="5" t="s">
        <v>120</v>
      </c>
      <c r="E818" s="5" t="s">
        <v>117</v>
      </c>
      <c r="F818" s="6" t="s">
        <v>1048</v>
      </c>
      <c r="G818" s="4" t="s">
        <v>1</v>
      </c>
      <c r="H818" s="25">
        <v>10.16830581</v>
      </c>
      <c r="I818" s="8">
        <v>7025</v>
      </c>
      <c r="J818" s="9">
        <v>9205</v>
      </c>
      <c r="K818" s="7">
        <v>2180</v>
      </c>
      <c r="L818" s="24">
        <f>+Tabla2[[#This Row],[Stock Inventario]]*Tabla2[[#This Row],[Coste LÃ­nea]]</f>
        <v>93599.254981049991</v>
      </c>
      <c r="M818" s="24">
        <f>+Tabla2[[#This Row],[Variación Stock]]*Tabla2[[#This Row],[Coste LÃ­nea]]</f>
        <v>22166.906665800001</v>
      </c>
      <c r="N818" s="22" t="str">
        <f>+IF(Tabla2[[#This Row],[Variación Stock]]&gt;0,"Sobrante",IF(Tabla2[[#This Row],[Variación Stock]]&lt;0,"Faltante","Sin novedad"))</f>
        <v>Sobrante</v>
      </c>
    </row>
    <row r="819" spans="1:14" hidden="1" x14ac:dyDescent="0.25">
      <c r="A819" s="11">
        <v>46053</v>
      </c>
      <c r="B819" s="5" t="s">
        <v>972</v>
      </c>
      <c r="C819" s="3" t="s">
        <v>213</v>
      </c>
      <c r="D819" s="5" t="s">
        <v>120</v>
      </c>
      <c r="E819" s="5" t="s">
        <v>117</v>
      </c>
      <c r="F819" s="6" t="s">
        <v>1049</v>
      </c>
      <c r="G819" s="4" t="s">
        <v>1</v>
      </c>
      <c r="H819" s="25">
        <v>29.524981820000001</v>
      </c>
      <c r="I819" s="8">
        <v>-2814</v>
      </c>
      <c r="J819" s="9">
        <v>3200</v>
      </c>
      <c r="K819" s="7">
        <v>6014</v>
      </c>
      <c r="L819" s="24">
        <f>+Tabla2[[#This Row],[Stock Inventario]]*Tabla2[[#This Row],[Coste LÃ­nea]]</f>
        <v>94479.941824000009</v>
      </c>
      <c r="M819" s="24">
        <f>+Tabla2[[#This Row],[Variación Stock]]*Tabla2[[#This Row],[Coste LÃ­nea]]</f>
        <v>177563.24066548</v>
      </c>
      <c r="N819" s="22" t="str">
        <f>+IF(Tabla2[[#This Row],[Variación Stock]]&gt;0,"Sobrante",IF(Tabla2[[#This Row],[Variación Stock]]&lt;0,"Faltante","Sin novedad"))</f>
        <v>Sobrante</v>
      </c>
    </row>
    <row r="820" spans="1:14" hidden="1" x14ac:dyDescent="0.25">
      <c r="A820" s="11">
        <v>46053</v>
      </c>
      <c r="B820" s="5" t="s">
        <v>972</v>
      </c>
      <c r="C820" s="3" t="s">
        <v>213</v>
      </c>
      <c r="D820" s="5" t="s">
        <v>120</v>
      </c>
      <c r="E820" s="5" t="s">
        <v>117</v>
      </c>
      <c r="F820" s="6" t="s">
        <v>1050</v>
      </c>
      <c r="G820" s="4" t="s">
        <v>1</v>
      </c>
      <c r="H820" s="25">
        <v>6.5583939200000003</v>
      </c>
      <c r="I820" s="8">
        <v>4975</v>
      </c>
      <c r="J820" s="9">
        <v>10255</v>
      </c>
      <c r="K820" s="7">
        <v>5280</v>
      </c>
      <c r="L820" s="24">
        <f>+Tabla2[[#This Row],[Stock Inventario]]*Tabla2[[#This Row],[Coste LÃ­nea]]</f>
        <v>67256.329649599997</v>
      </c>
      <c r="M820" s="24">
        <f>+Tabla2[[#This Row],[Variación Stock]]*Tabla2[[#This Row],[Coste LÃ­nea]]</f>
        <v>34628.319897599999</v>
      </c>
      <c r="N820" s="22" t="str">
        <f>+IF(Tabla2[[#This Row],[Variación Stock]]&gt;0,"Sobrante",IF(Tabla2[[#This Row],[Variación Stock]]&lt;0,"Faltante","Sin novedad"))</f>
        <v>Sobrante</v>
      </c>
    </row>
    <row r="821" spans="1:14" hidden="1" x14ac:dyDescent="0.25">
      <c r="A821" s="11">
        <v>46053</v>
      </c>
      <c r="B821" s="5" t="s">
        <v>972</v>
      </c>
      <c r="C821" s="3" t="s">
        <v>213</v>
      </c>
      <c r="D821" s="5" t="s">
        <v>120</v>
      </c>
      <c r="E821" s="5" t="s">
        <v>117</v>
      </c>
      <c r="F821" s="6" t="s">
        <v>1051</v>
      </c>
      <c r="G821" s="4" t="s">
        <v>1</v>
      </c>
      <c r="H821" s="25">
        <v>22.097305479999999</v>
      </c>
      <c r="I821" s="8">
        <v>-370</v>
      </c>
      <c r="J821" s="9">
        <v>60</v>
      </c>
      <c r="K821" s="7">
        <v>430</v>
      </c>
      <c r="L821" s="24">
        <f>+Tabla2[[#This Row],[Stock Inventario]]*Tabla2[[#This Row],[Coste LÃ­nea]]</f>
        <v>1325.8383288</v>
      </c>
      <c r="M821" s="24">
        <f>+Tabla2[[#This Row],[Variación Stock]]*Tabla2[[#This Row],[Coste LÃ­nea]]</f>
        <v>9501.8413564000002</v>
      </c>
      <c r="N821" s="22" t="str">
        <f>+IF(Tabla2[[#This Row],[Variación Stock]]&gt;0,"Sobrante",IF(Tabla2[[#This Row],[Variación Stock]]&lt;0,"Faltante","Sin novedad"))</f>
        <v>Sobrante</v>
      </c>
    </row>
    <row r="822" spans="1:14" hidden="1" x14ac:dyDescent="0.25">
      <c r="A822" s="11">
        <v>46053</v>
      </c>
      <c r="B822" s="5" t="s">
        <v>972</v>
      </c>
      <c r="C822" s="3" t="s">
        <v>213</v>
      </c>
      <c r="D822" s="5" t="s">
        <v>120</v>
      </c>
      <c r="E822" s="5" t="s">
        <v>117</v>
      </c>
      <c r="F822" s="6" t="s">
        <v>936</v>
      </c>
      <c r="G822" s="4" t="s">
        <v>1</v>
      </c>
      <c r="H822" s="25">
        <v>13.213938410000001</v>
      </c>
      <c r="I822" s="8">
        <v>120</v>
      </c>
      <c r="J822" s="9">
        <v>0</v>
      </c>
      <c r="K822" s="7">
        <v>-120</v>
      </c>
      <c r="L822" s="24">
        <f>+Tabla2[[#This Row],[Stock Inventario]]*Tabla2[[#This Row],[Coste LÃ­nea]]</f>
        <v>0</v>
      </c>
      <c r="M822" s="24">
        <f>+Tabla2[[#This Row],[Variación Stock]]*Tabla2[[#This Row],[Coste LÃ­nea]]</f>
        <v>-1585.6726092000001</v>
      </c>
      <c r="N822" s="22" t="str">
        <f>+IF(Tabla2[[#This Row],[Variación Stock]]&gt;0,"Sobrante",IF(Tabla2[[#This Row],[Variación Stock]]&lt;0,"Faltante","Sin novedad"))</f>
        <v>Faltante</v>
      </c>
    </row>
    <row r="823" spans="1:14" hidden="1" x14ac:dyDescent="0.25">
      <c r="A823" s="11">
        <v>46053</v>
      </c>
      <c r="B823" s="5" t="s">
        <v>972</v>
      </c>
      <c r="C823" s="3" t="s">
        <v>213</v>
      </c>
      <c r="D823" s="5" t="s">
        <v>120</v>
      </c>
      <c r="E823" s="5" t="s">
        <v>117</v>
      </c>
      <c r="F823" s="6" t="s">
        <v>1052</v>
      </c>
      <c r="G823" s="4" t="s">
        <v>1</v>
      </c>
      <c r="H823" s="25">
        <v>23.971897139999999</v>
      </c>
      <c r="I823" s="8">
        <v>-8900</v>
      </c>
      <c r="J823" s="9">
        <v>500</v>
      </c>
      <c r="K823" s="7">
        <v>9400</v>
      </c>
      <c r="L823" s="24">
        <f>+Tabla2[[#This Row],[Stock Inventario]]*Tabla2[[#This Row],[Coste LÃ­nea]]</f>
        <v>11985.94857</v>
      </c>
      <c r="M823" s="24">
        <f>+Tabla2[[#This Row],[Variación Stock]]*Tabla2[[#This Row],[Coste LÃ­nea]]</f>
        <v>225335.83311599999</v>
      </c>
      <c r="N823" s="22" t="str">
        <f>+IF(Tabla2[[#This Row],[Variación Stock]]&gt;0,"Sobrante",IF(Tabla2[[#This Row],[Variación Stock]]&lt;0,"Faltante","Sin novedad"))</f>
        <v>Sobrante</v>
      </c>
    </row>
    <row r="824" spans="1:14" hidden="1" x14ac:dyDescent="0.25">
      <c r="A824" s="11">
        <v>46053</v>
      </c>
      <c r="B824" s="5" t="s">
        <v>972</v>
      </c>
      <c r="C824" s="3" t="s">
        <v>213</v>
      </c>
      <c r="D824" s="5" t="s">
        <v>120</v>
      </c>
      <c r="E824" s="5" t="s">
        <v>117</v>
      </c>
      <c r="F824" s="6" t="s">
        <v>1053</v>
      </c>
      <c r="G824" s="4" t="s">
        <v>1</v>
      </c>
      <c r="H824" s="25">
        <v>25.747974599999999</v>
      </c>
      <c r="I824" s="8">
        <v>1845</v>
      </c>
      <c r="J824" s="9">
        <v>1100</v>
      </c>
      <c r="K824" s="7">
        <v>-745</v>
      </c>
      <c r="L824" s="24">
        <f>+Tabla2[[#This Row],[Stock Inventario]]*Tabla2[[#This Row],[Coste LÃ­nea]]</f>
        <v>28322.772059999999</v>
      </c>
      <c r="M824" s="24">
        <f>+Tabla2[[#This Row],[Variación Stock]]*Tabla2[[#This Row],[Coste LÃ­nea]]</f>
        <v>-19182.241076999999</v>
      </c>
      <c r="N824" s="22" t="str">
        <f>+IF(Tabla2[[#This Row],[Variación Stock]]&gt;0,"Sobrante",IF(Tabla2[[#This Row],[Variación Stock]]&lt;0,"Faltante","Sin novedad"))</f>
        <v>Faltante</v>
      </c>
    </row>
    <row r="825" spans="1:14" hidden="1" x14ac:dyDescent="0.25">
      <c r="A825" s="11">
        <v>46053</v>
      </c>
      <c r="B825" s="5" t="s">
        <v>972</v>
      </c>
      <c r="C825" s="3" t="s">
        <v>213</v>
      </c>
      <c r="D825" s="5" t="s">
        <v>120</v>
      </c>
      <c r="E825" s="5" t="s">
        <v>117</v>
      </c>
      <c r="F825" s="6" t="s">
        <v>1054</v>
      </c>
      <c r="G825" s="4" t="s">
        <v>1</v>
      </c>
      <c r="H825" s="25">
        <v>33.522300000000001</v>
      </c>
      <c r="I825" s="8">
        <v>5710</v>
      </c>
      <c r="J825" s="9">
        <v>8305</v>
      </c>
      <c r="K825" s="7">
        <v>2595</v>
      </c>
      <c r="L825" s="24">
        <f>+Tabla2[[#This Row],[Stock Inventario]]*Tabla2[[#This Row],[Coste LÃ­nea]]</f>
        <v>278402.70150000002</v>
      </c>
      <c r="M825" s="24">
        <f>+Tabla2[[#This Row],[Variación Stock]]*Tabla2[[#This Row],[Coste LÃ­nea]]</f>
        <v>86990.368499999997</v>
      </c>
      <c r="N825" s="22" t="str">
        <f>+IF(Tabla2[[#This Row],[Variación Stock]]&gt;0,"Sobrante",IF(Tabla2[[#This Row],[Variación Stock]]&lt;0,"Faltante","Sin novedad"))</f>
        <v>Sobrante</v>
      </c>
    </row>
    <row r="826" spans="1:14" hidden="1" x14ac:dyDescent="0.25">
      <c r="A826" s="11">
        <v>46053</v>
      </c>
      <c r="B826" s="5" t="s">
        <v>972</v>
      </c>
      <c r="C826" s="3" t="s">
        <v>213</v>
      </c>
      <c r="D826" s="5" t="s">
        <v>120</v>
      </c>
      <c r="E826" s="5" t="s">
        <v>117</v>
      </c>
      <c r="F826" s="6" t="s">
        <v>1055</v>
      </c>
      <c r="G826" s="4" t="s">
        <v>1</v>
      </c>
      <c r="H826" s="25">
        <v>24.665455489999999</v>
      </c>
      <c r="I826" s="8">
        <v>-19015</v>
      </c>
      <c r="J826" s="9">
        <v>4100</v>
      </c>
      <c r="K826" s="7">
        <v>23115</v>
      </c>
      <c r="L826" s="24">
        <f>+Tabla2[[#This Row],[Stock Inventario]]*Tabla2[[#This Row],[Coste LÃ­nea]]</f>
        <v>101128.367509</v>
      </c>
      <c r="M826" s="24">
        <f>+Tabla2[[#This Row],[Variación Stock]]*Tabla2[[#This Row],[Coste LÃ­nea]]</f>
        <v>570142.00365135004</v>
      </c>
      <c r="N826" s="22" t="str">
        <f>+IF(Tabla2[[#This Row],[Variación Stock]]&gt;0,"Sobrante",IF(Tabla2[[#This Row],[Variación Stock]]&lt;0,"Faltante","Sin novedad"))</f>
        <v>Sobrante</v>
      </c>
    </row>
    <row r="827" spans="1:14" hidden="1" x14ac:dyDescent="0.25">
      <c r="A827" s="11">
        <v>46053</v>
      </c>
      <c r="B827" s="5" t="s">
        <v>972</v>
      </c>
      <c r="C827" s="3" t="s">
        <v>213</v>
      </c>
      <c r="D827" s="5" t="s">
        <v>120</v>
      </c>
      <c r="E827" s="5" t="s">
        <v>117</v>
      </c>
      <c r="F827" s="6" t="s">
        <v>1056</v>
      </c>
      <c r="G827" s="4" t="s">
        <v>1</v>
      </c>
      <c r="H827" s="25">
        <v>49.018521620000001</v>
      </c>
      <c r="I827" s="8">
        <v>5505</v>
      </c>
      <c r="J827" s="9">
        <v>5410</v>
      </c>
      <c r="K827" s="7">
        <v>-95</v>
      </c>
      <c r="L827" s="24">
        <f>+Tabla2[[#This Row],[Stock Inventario]]*Tabla2[[#This Row],[Coste LÃ­nea]]</f>
        <v>265190.20196420001</v>
      </c>
      <c r="M827" s="24">
        <f>+Tabla2[[#This Row],[Variación Stock]]*Tabla2[[#This Row],[Coste LÃ­nea]]</f>
        <v>-4656.7595539000004</v>
      </c>
      <c r="N827" s="22" t="str">
        <f>+IF(Tabla2[[#This Row],[Variación Stock]]&gt;0,"Sobrante",IF(Tabla2[[#This Row],[Variación Stock]]&lt;0,"Faltante","Sin novedad"))</f>
        <v>Faltante</v>
      </c>
    </row>
    <row r="828" spans="1:14" hidden="1" x14ac:dyDescent="0.25">
      <c r="A828" s="11">
        <v>46053</v>
      </c>
      <c r="B828" s="5" t="s">
        <v>972</v>
      </c>
      <c r="C828" s="3" t="s">
        <v>213</v>
      </c>
      <c r="D828" s="5" t="s">
        <v>120</v>
      </c>
      <c r="E828" s="5" t="s">
        <v>117</v>
      </c>
      <c r="F828" s="6" t="s">
        <v>1057</v>
      </c>
      <c r="G828" s="4" t="s">
        <v>1</v>
      </c>
      <c r="H828" s="25">
        <v>32.680133069999997</v>
      </c>
      <c r="I828" s="8">
        <v>-780</v>
      </c>
      <c r="J828" s="9">
        <v>200</v>
      </c>
      <c r="K828" s="7">
        <v>980</v>
      </c>
      <c r="L828" s="24">
        <f>+Tabla2[[#This Row],[Stock Inventario]]*Tabla2[[#This Row],[Coste LÃ­nea]]</f>
        <v>6536.0266139999994</v>
      </c>
      <c r="M828" s="24">
        <f>+Tabla2[[#This Row],[Variación Stock]]*Tabla2[[#This Row],[Coste LÃ­nea]]</f>
        <v>32026.530408599996</v>
      </c>
      <c r="N828" s="22" t="str">
        <f>+IF(Tabla2[[#This Row],[Variación Stock]]&gt;0,"Sobrante",IF(Tabla2[[#This Row],[Variación Stock]]&lt;0,"Faltante","Sin novedad"))</f>
        <v>Sobrante</v>
      </c>
    </row>
    <row r="829" spans="1:14" hidden="1" x14ac:dyDescent="0.25">
      <c r="A829" s="11">
        <v>46053</v>
      </c>
      <c r="B829" s="5" t="s">
        <v>972</v>
      </c>
      <c r="C829" s="3" t="s">
        <v>213</v>
      </c>
      <c r="D829" s="5" t="s">
        <v>120</v>
      </c>
      <c r="E829" s="5" t="s">
        <v>117</v>
      </c>
      <c r="F829" s="6" t="s">
        <v>1058</v>
      </c>
      <c r="G829" s="4" t="s">
        <v>1</v>
      </c>
      <c r="H829" s="25">
        <v>24.53559396</v>
      </c>
      <c r="I829" s="8">
        <v>0</v>
      </c>
      <c r="J829" s="9">
        <v>0</v>
      </c>
      <c r="K829" s="7">
        <v>0</v>
      </c>
      <c r="L829" s="24">
        <f>+Tabla2[[#This Row],[Stock Inventario]]*Tabla2[[#This Row],[Coste LÃ­nea]]</f>
        <v>0</v>
      </c>
      <c r="M829" s="24">
        <f>+Tabla2[[#This Row],[Variación Stock]]*Tabla2[[#This Row],[Coste LÃ­nea]]</f>
        <v>0</v>
      </c>
      <c r="N829" s="22" t="str">
        <f>+IF(Tabla2[[#This Row],[Variación Stock]]&gt;0,"Sobrante",IF(Tabla2[[#This Row],[Variación Stock]]&lt;0,"Faltante","Sin novedad"))</f>
        <v>Sin novedad</v>
      </c>
    </row>
    <row r="830" spans="1:14" hidden="1" x14ac:dyDescent="0.25">
      <c r="A830" s="11">
        <v>46053</v>
      </c>
      <c r="B830" s="5" t="s">
        <v>972</v>
      </c>
      <c r="C830" s="3" t="s">
        <v>213</v>
      </c>
      <c r="D830" s="5" t="s">
        <v>120</v>
      </c>
      <c r="E830" s="5" t="s">
        <v>117</v>
      </c>
      <c r="F830" s="6" t="s">
        <v>1059</v>
      </c>
      <c r="G830" s="4" t="s">
        <v>1</v>
      </c>
      <c r="H830" s="25">
        <v>64.89388434</v>
      </c>
      <c r="I830" s="8">
        <v>-4675</v>
      </c>
      <c r="J830" s="9">
        <v>900</v>
      </c>
      <c r="K830" s="7">
        <v>5575</v>
      </c>
      <c r="L830" s="24">
        <f>+Tabla2[[#This Row],[Stock Inventario]]*Tabla2[[#This Row],[Coste LÃ­nea]]</f>
        <v>58404.495905999996</v>
      </c>
      <c r="M830" s="24">
        <f>+Tabla2[[#This Row],[Variación Stock]]*Tabla2[[#This Row],[Coste LÃ­nea]]</f>
        <v>361783.4051955</v>
      </c>
      <c r="N830" s="22" t="str">
        <f>+IF(Tabla2[[#This Row],[Variación Stock]]&gt;0,"Sobrante",IF(Tabla2[[#This Row],[Variación Stock]]&lt;0,"Faltante","Sin novedad"))</f>
        <v>Sobrante</v>
      </c>
    </row>
    <row r="831" spans="1:14" x14ac:dyDescent="0.25">
      <c r="A831" s="11">
        <v>46053</v>
      </c>
      <c r="B831" s="5" t="s">
        <v>972</v>
      </c>
      <c r="C831" s="3" t="s">
        <v>213</v>
      </c>
      <c r="D831" s="5" t="s">
        <v>118</v>
      </c>
      <c r="E831" s="5" t="s">
        <v>112</v>
      </c>
      <c r="F831" s="6" t="s">
        <v>184</v>
      </c>
      <c r="G831" s="4" t="s">
        <v>81</v>
      </c>
      <c r="H831" s="25">
        <v>10880.4</v>
      </c>
      <c r="I831" s="8">
        <v>0</v>
      </c>
      <c r="J831" s="9">
        <v>0</v>
      </c>
      <c r="K831" s="7">
        <v>0</v>
      </c>
      <c r="L831" s="24">
        <f>+Tabla2[[#This Row],[Stock Inventario]]*Tabla2[[#This Row],[Coste LÃ­nea]]</f>
        <v>0</v>
      </c>
      <c r="M831" s="24">
        <f>+Tabla2[[#This Row],[Variación Stock]]*Tabla2[[#This Row],[Coste LÃ­nea]]</f>
        <v>0</v>
      </c>
      <c r="N831" s="22" t="str">
        <f>+IF(Tabla2[[#This Row],[Variación Stock]]&gt;0,"Sobrante",IF(Tabla2[[#This Row],[Variación Stock]]&lt;0,"Faltante","Sin novedad"))</f>
        <v>Sin novedad</v>
      </c>
    </row>
    <row r="832" spans="1:14" x14ac:dyDescent="0.25">
      <c r="A832" s="11">
        <v>46037</v>
      </c>
      <c r="B832" s="5" t="s">
        <v>212</v>
      </c>
      <c r="C832" s="3" t="s">
        <v>213</v>
      </c>
      <c r="D832" s="5" t="s">
        <v>118</v>
      </c>
      <c r="E832" s="5" t="s">
        <v>112</v>
      </c>
      <c r="F832" s="6" t="s">
        <v>87</v>
      </c>
      <c r="G832" s="4" t="s">
        <v>2</v>
      </c>
      <c r="H832" s="24">
        <v>37612</v>
      </c>
      <c r="I832" s="8">
        <v>4</v>
      </c>
      <c r="J832" s="9">
        <v>4</v>
      </c>
      <c r="K832" s="7">
        <v>0</v>
      </c>
      <c r="L832" s="24">
        <f>+Tabla2[[#This Row],[Stock Inventario]]*Tabla2[[#This Row],[Coste LÃ­nea]]</f>
        <v>150448</v>
      </c>
      <c r="M832" s="24">
        <f>+Tabla2[[#This Row],[Variación Stock]]*Tabla2[[#This Row],[Coste LÃ­nea]]</f>
        <v>0</v>
      </c>
      <c r="N832" s="22" t="str">
        <f>+IF(Tabla2[[#This Row],[Variación Stock]]&gt;0,"Sobrante",IF(Tabla2[[#This Row],[Variación Stock]]&lt;0,"Faltante","Sin novedad"))</f>
        <v>Sin novedad</v>
      </c>
    </row>
    <row r="833" spans="1:14" x14ac:dyDescent="0.25">
      <c r="A833" s="11">
        <v>46044</v>
      </c>
      <c r="B833" s="5" t="s">
        <v>383</v>
      </c>
      <c r="C833" s="3" t="s">
        <v>213</v>
      </c>
      <c r="D833" s="5" t="s">
        <v>118</v>
      </c>
      <c r="E833" s="5" t="s">
        <v>112</v>
      </c>
      <c r="F833" s="6" t="s">
        <v>87</v>
      </c>
      <c r="G833" s="4" t="s">
        <v>2</v>
      </c>
      <c r="H833" s="25">
        <v>37611.916666669997</v>
      </c>
      <c r="I833" s="8">
        <v>4</v>
      </c>
      <c r="J833" s="9">
        <v>4</v>
      </c>
      <c r="K833" s="7">
        <v>0</v>
      </c>
      <c r="L833" s="24">
        <f>+Tabla2[[#This Row],[Stock Inventario]]*Tabla2[[#This Row],[Coste LÃ­nea]]</f>
        <v>150447.66666667999</v>
      </c>
      <c r="M833" s="24">
        <f>+Tabla2[[#This Row],[Variación Stock]]*Tabla2[[#This Row],[Coste LÃ­nea]]</f>
        <v>0</v>
      </c>
      <c r="N833" s="22" t="str">
        <f>+IF(Tabla2[[#This Row],[Variación Stock]]&gt;0,"Sobrante",IF(Tabla2[[#This Row],[Variación Stock]]&lt;0,"Faltante","Sin novedad"))</f>
        <v>Sin novedad</v>
      </c>
    </row>
    <row r="834" spans="1:14" hidden="1" x14ac:dyDescent="0.25">
      <c r="A834" s="11">
        <v>46053</v>
      </c>
      <c r="B834" s="5" t="s">
        <v>972</v>
      </c>
      <c r="C834" s="3" t="s">
        <v>213</v>
      </c>
      <c r="D834" s="5" t="s">
        <v>120</v>
      </c>
      <c r="E834" s="5" t="s">
        <v>117</v>
      </c>
      <c r="F834" s="6" t="s">
        <v>1060</v>
      </c>
      <c r="G834" s="4" t="s">
        <v>2</v>
      </c>
      <c r="H834" s="25">
        <v>26920.721332100002</v>
      </c>
      <c r="I834" s="8">
        <v>0</v>
      </c>
      <c r="J834" s="9">
        <v>0</v>
      </c>
      <c r="K834" s="7">
        <v>0</v>
      </c>
      <c r="L834" s="24">
        <f>+Tabla2[[#This Row],[Stock Inventario]]*Tabla2[[#This Row],[Coste LÃ­nea]]</f>
        <v>0</v>
      </c>
      <c r="M834" s="24">
        <f>+Tabla2[[#This Row],[Variación Stock]]*Tabla2[[#This Row],[Coste LÃ­nea]]</f>
        <v>0</v>
      </c>
      <c r="N834" s="22" t="str">
        <f>+IF(Tabla2[[#This Row],[Variación Stock]]&gt;0,"Sobrante",IF(Tabla2[[#This Row],[Variación Stock]]&lt;0,"Faltante","Sin novedad"))</f>
        <v>Sin novedad</v>
      </c>
    </row>
    <row r="835" spans="1:14" hidden="1" x14ac:dyDescent="0.25">
      <c r="A835" s="11">
        <v>46053</v>
      </c>
      <c r="B835" s="5" t="s">
        <v>972</v>
      </c>
      <c r="C835" s="3" t="s">
        <v>213</v>
      </c>
      <c r="D835" s="5" t="s">
        <v>120</v>
      </c>
      <c r="E835" s="5" t="s">
        <v>117</v>
      </c>
      <c r="F835" s="6" t="s">
        <v>96</v>
      </c>
      <c r="G835" s="4" t="s">
        <v>2</v>
      </c>
      <c r="H835" s="25">
        <v>3052.6708074500002</v>
      </c>
      <c r="I835" s="8">
        <v>0</v>
      </c>
      <c r="J835" s="9">
        <v>0</v>
      </c>
      <c r="K835" s="7">
        <v>0</v>
      </c>
      <c r="L835" s="24">
        <f>+Tabla2[[#This Row],[Stock Inventario]]*Tabla2[[#This Row],[Coste LÃ­nea]]</f>
        <v>0</v>
      </c>
      <c r="M835" s="24">
        <f>+Tabla2[[#This Row],[Variación Stock]]*Tabla2[[#This Row],[Coste LÃ­nea]]</f>
        <v>0</v>
      </c>
      <c r="N835" s="22" t="str">
        <f>+IF(Tabla2[[#This Row],[Variación Stock]]&gt;0,"Sobrante",IF(Tabla2[[#This Row],[Variación Stock]]&lt;0,"Faltante","Sin novedad"))</f>
        <v>Sin novedad</v>
      </c>
    </row>
    <row r="836" spans="1:14" x14ac:dyDescent="0.25">
      <c r="A836" s="11">
        <v>46053</v>
      </c>
      <c r="B836" s="5" t="s">
        <v>972</v>
      </c>
      <c r="C836" s="3" t="s">
        <v>213</v>
      </c>
      <c r="D836" s="5" t="s">
        <v>118</v>
      </c>
      <c r="E836" s="5" t="s">
        <v>112</v>
      </c>
      <c r="F836" s="6" t="s">
        <v>87</v>
      </c>
      <c r="G836" s="4" t="s">
        <v>2</v>
      </c>
      <c r="H836" s="25">
        <v>37612</v>
      </c>
      <c r="I836" s="8">
        <v>4</v>
      </c>
      <c r="J836" s="9">
        <v>4</v>
      </c>
      <c r="K836" s="7">
        <v>0</v>
      </c>
      <c r="L836" s="24">
        <f>+Tabla2[[#This Row],[Stock Inventario]]*Tabla2[[#This Row],[Coste LÃ­nea]]</f>
        <v>150448</v>
      </c>
      <c r="M836" s="24">
        <f>+Tabla2[[#This Row],[Variación Stock]]*Tabla2[[#This Row],[Coste LÃ­nea]]</f>
        <v>0</v>
      </c>
      <c r="N836" s="22" t="str">
        <f>+IF(Tabla2[[#This Row],[Variación Stock]]&gt;0,"Sobrante",IF(Tabla2[[#This Row],[Variación Stock]]&lt;0,"Faltante","Sin novedad"))</f>
        <v>Sin novedad</v>
      </c>
    </row>
    <row r="837" spans="1:14" hidden="1" x14ac:dyDescent="0.25">
      <c r="A837" s="11">
        <v>46053</v>
      </c>
      <c r="B837" s="5" t="s">
        <v>972</v>
      </c>
      <c r="C837" s="3" t="s">
        <v>213</v>
      </c>
      <c r="D837" s="5" t="s">
        <v>120</v>
      </c>
      <c r="E837" s="5" t="s">
        <v>117</v>
      </c>
      <c r="F837" s="6" t="s">
        <v>1061</v>
      </c>
      <c r="G837" s="4" t="s">
        <v>1</v>
      </c>
      <c r="H837" s="25">
        <v>8.1147619100000004</v>
      </c>
      <c r="I837" s="8">
        <v>500</v>
      </c>
      <c r="J837" s="9">
        <v>450</v>
      </c>
      <c r="K837" s="7">
        <v>-50</v>
      </c>
      <c r="L837" s="24">
        <f>+Tabla2[[#This Row],[Stock Inventario]]*Tabla2[[#This Row],[Coste LÃ­nea]]</f>
        <v>3651.6428595000002</v>
      </c>
      <c r="M837" s="24">
        <f>+Tabla2[[#This Row],[Variación Stock]]*Tabla2[[#This Row],[Coste LÃ­nea]]</f>
        <v>-405.73809550000004</v>
      </c>
      <c r="N837" s="22" t="str">
        <f>+IF(Tabla2[[#This Row],[Variación Stock]]&gt;0,"Sobrante",IF(Tabla2[[#This Row],[Variación Stock]]&lt;0,"Faltante","Sin novedad"))</f>
        <v>Faltante</v>
      </c>
    </row>
    <row r="838" spans="1:14" x14ac:dyDescent="0.25">
      <c r="A838" s="11">
        <v>46037</v>
      </c>
      <c r="B838" s="5" t="s">
        <v>212</v>
      </c>
      <c r="C838" s="3" t="s">
        <v>213</v>
      </c>
      <c r="D838" s="5" t="s">
        <v>118</v>
      </c>
      <c r="E838" s="5" t="s">
        <v>112</v>
      </c>
      <c r="F838" s="6" t="s">
        <v>88</v>
      </c>
      <c r="G838" s="4" t="s">
        <v>81</v>
      </c>
      <c r="H838" s="24">
        <v>4385.6000000000004</v>
      </c>
      <c r="I838" s="8">
        <v>-51</v>
      </c>
      <c r="J838" s="9">
        <v>0</v>
      </c>
      <c r="K838" s="7">
        <v>51</v>
      </c>
      <c r="L838" s="24">
        <f>+Tabla2[[#This Row],[Stock Inventario]]*Tabla2[[#This Row],[Coste LÃ­nea]]</f>
        <v>0</v>
      </c>
      <c r="M838" s="24">
        <f>+Tabla2[[#This Row],[Variación Stock]]*Tabla2[[#This Row],[Coste LÃ­nea]]</f>
        <v>223665.6</v>
      </c>
      <c r="N838" s="22" t="str">
        <f>+IF(Tabla2[[#This Row],[Variación Stock]]&gt;0,"Sobrante",IF(Tabla2[[#This Row],[Variación Stock]]&lt;0,"Faltante","Sin novedad"))</f>
        <v>Sobrante</v>
      </c>
    </row>
    <row r="839" spans="1:14" x14ac:dyDescent="0.25">
      <c r="A839" s="11">
        <v>46044</v>
      </c>
      <c r="B839" s="5" t="s">
        <v>383</v>
      </c>
      <c r="C839" s="3" t="s">
        <v>213</v>
      </c>
      <c r="D839" s="5" t="s">
        <v>118</v>
      </c>
      <c r="E839" s="5" t="s">
        <v>112</v>
      </c>
      <c r="F839" s="6" t="s">
        <v>88</v>
      </c>
      <c r="G839" s="4" t="s">
        <v>81</v>
      </c>
      <c r="H839" s="25">
        <v>4385.6000000000004</v>
      </c>
      <c r="I839" s="8">
        <v>0</v>
      </c>
      <c r="J839" s="9">
        <v>0</v>
      </c>
      <c r="K839" s="7">
        <v>0</v>
      </c>
      <c r="L839" s="24">
        <f>+Tabla2[[#This Row],[Stock Inventario]]*Tabla2[[#This Row],[Coste LÃ­nea]]</f>
        <v>0</v>
      </c>
      <c r="M839" s="24">
        <f>+Tabla2[[#This Row],[Variación Stock]]*Tabla2[[#This Row],[Coste LÃ­nea]]</f>
        <v>0</v>
      </c>
      <c r="N839" s="22" t="str">
        <f>+IF(Tabla2[[#This Row],[Variación Stock]]&gt;0,"Sobrante",IF(Tabla2[[#This Row],[Variación Stock]]&lt;0,"Faltante","Sin novedad"))</f>
        <v>Sin novedad</v>
      </c>
    </row>
    <row r="840" spans="1:14" hidden="1" x14ac:dyDescent="0.25">
      <c r="A840" s="11">
        <v>46053</v>
      </c>
      <c r="B840" s="5" t="s">
        <v>972</v>
      </c>
      <c r="C840" s="3" t="s">
        <v>213</v>
      </c>
      <c r="D840" s="5" t="s">
        <v>396</v>
      </c>
      <c r="E840" s="5" t="s">
        <v>117</v>
      </c>
      <c r="F840" s="6" t="s">
        <v>454</v>
      </c>
      <c r="G840" s="4" t="s">
        <v>0</v>
      </c>
      <c r="H840" s="25">
        <v>1594</v>
      </c>
      <c r="I840" s="8">
        <v>4</v>
      </c>
      <c r="J840" s="9">
        <v>7</v>
      </c>
      <c r="K840" s="7">
        <v>3</v>
      </c>
      <c r="L840" s="24">
        <f>+Tabla2[[#This Row],[Stock Inventario]]*Tabla2[[#This Row],[Coste LÃ­nea]]</f>
        <v>11158</v>
      </c>
      <c r="M840" s="24">
        <f>+Tabla2[[#This Row],[Variación Stock]]*Tabla2[[#This Row],[Coste LÃ­nea]]</f>
        <v>4782</v>
      </c>
      <c r="N840" s="22" t="str">
        <f>+IF(Tabla2[[#This Row],[Variación Stock]]&gt;0,"Sobrante",IF(Tabla2[[#This Row],[Variación Stock]]&lt;0,"Faltante","Sin novedad"))</f>
        <v>Sobrante</v>
      </c>
    </row>
    <row r="841" spans="1:14" hidden="1" x14ac:dyDescent="0.25">
      <c r="A841" s="11">
        <v>46053</v>
      </c>
      <c r="B841" s="5" t="s">
        <v>972</v>
      </c>
      <c r="C841" s="3" t="s">
        <v>213</v>
      </c>
      <c r="D841" s="5" t="s">
        <v>626</v>
      </c>
      <c r="E841" s="5" t="s">
        <v>1079</v>
      </c>
      <c r="F841" s="6" t="s">
        <v>663</v>
      </c>
      <c r="G841" s="4" t="s">
        <v>1</v>
      </c>
      <c r="H841" s="25">
        <v>9.68065</v>
      </c>
      <c r="I841" s="8">
        <v>269340</v>
      </c>
      <c r="J841" s="9">
        <v>17000</v>
      </c>
      <c r="K841" s="7">
        <v>-252340</v>
      </c>
      <c r="L841" s="24">
        <f>+Tabla2[[#This Row],[Stock Inventario]]*Tabla2[[#This Row],[Coste LÃ­nea]]</f>
        <v>164571.04999999999</v>
      </c>
      <c r="M841" s="24">
        <f>+Tabla2[[#This Row],[Variación Stock]]*Tabla2[[#This Row],[Coste LÃ­nea]]</f>
        <v>-2442815.2209999999</v>
      </c>
      <c r="N841" s="22" t="str">
        <f>+IF(Tabla2[[#This Row],[Variación Stock]]&gt;0,"Sobrante",IF(Tabla2[[#This Row],[Variación Stock]]&lt;0,"Faltante","Sin novedad"))</f>
        <v>Faltante</v>
      </c>
    </row>
    <row r="842" spans="1:14" hidden="1" x14ac:dyDescent="0.25">
      <c r="A842" s="11">
        <v>46053</v>
      </c>
      <c r="B842" s="5" t="s">
        <v>972</v>
      </c>
      <c r="C842" s="3" t="s">
        <v>213</v>
      </c>
      <c r="D842" s="5" t="s">
        <v>626</v>
      </c>
      <c r="E842" s="5" t="s">
        <v>1079</v>
      </c>
      <c r="F842" s="6" t="s">
        <v>665</v>
      </c>
      <c r="G842" s="4" t="s">
        <v>1</v>
      </c>
      <c r="H842" s="25">
        <v>22.645399999999999</v>
      </c>
      <c r="I842" s="8">
        <v>0</v>
      </c>
      <c r="J842" s="9">
        <v>0</v>
      </c>
      <c r="K842" s="7">
        <v>0</v>
      </c>
      <c r="L842" s="24">
        <f>+Tabla2[[#This Row],[Stock Inventario]]*Tabla2[[#This Row],[Coste LÃ­nea]]</f>
        <v>0</v>
      </c>
      <c r="M842" s="24">
        <f>+Tabla2[[#This Row],[Variación Stock]]*Tabla2[[#This Row],[Coste LÃ­nea]]</f>
        <v>0</v>
      </c>
      <c r="N842" s="22" t="str">
        <f>+IF(Tabla2[[#This Row],[Variación Stock]]&gt;0,"Sobrante",IF(Tabla2[[#This Row],[Variación Stock]]&lt;0,"Faltante","Sin novedad"))</f>
        <v>Sin novedad</v>
      </c>
    </row>
    <row r="843" spans="1:14" hidden="1" x14ac:dyDescent="0.25">
      <c r="A843" s="11">
        <v>46053</v>
      </c>
      <c r="B843" s="5" t="s">
        <v>972</v>
      </c>
      <c r="C843" s="3" t="s">
        <v>213</v>
      </c>
      <c r="D843" s="5" t="s">
        <v>626</v>
      </c>
      <c r="E843" s="5" t="s">
        <v>1079</v>
      </c>
      <c r="F843" s="6" t="s">
        <v>1028</v>
      </c>
      <c r="G843" s="4" t="s">
        <v>1029</v>
      </c>
      <c r="H843" s="25">
        <v>27153</v>
      </c>
      <c r="I843" s="8">
        <v>3</v>
      </c>
      <c r="J843" s="9">
        <v>0.5</v>
      </c>
      <c r="K843" s="7">
        <v>497</v>
      </c>
      <c r="L843" s="24">
        <f>+Tabla2[[#This Row],[Stock Inventario]]*Tabla2[[#This Row],[Coste LÃ­nea]]</f>
        <v>13576.5</v>
      </c>
      <c r="M843" s="24">
        <f>+Tabla2[[#This Row],[Variación Stock]]*Tabla2[[#This Row],[Coste LÃ­nea]]</f>
        <v>13495041</v>
      </c>
      <c r="N843" s="22" t="str">
        <f>+IF(Tabla2[[#This Row],[Variación Stock]]&gt;0,"Sobrante",IF(Tabla2[[#This Row],[Variación Stock]]&lt;0,"Faltante","Sin novedad"))</f>
        <v>Sobrante</v>
      </c>
    </row>
    <row r="844" spans="1:14" hidden="1" x14ac:dyDescent="0.25">
      <c r="A844" s="11">
        <v>46053</v>
      </c>
      <c r="B844" s="5" t="s">
        <v>972</v>
      </c>
      <c r="C844" s="3" t="s">
        <v>213</v>
      </c>
      <c r="D844" s="5" t="s">
        <v>396</v>
      </c>
      <c r="E844" s="5" t="s">
        <v>117</v>
      </c>
      <c r="F844" s="6" t="s">
        <v>840</v>
      </c>
      <c r="G844" s="4" t="s">
        <v>0</v>
      </c>
      <c r="H844" s="25">
        <v>2093.9545454499998</v>
      </c>
      <c r="I844" s="8">
        <v>0</v>
      </c>
      <c r="J844" s="9">
        <v>0</v>
      </c>
      <c r="K844" s="7">
        <v>0</v>
      </c>
      <c r="L844" s="24">
        <f>+Tabla2[[#This Row],[Stock Inventario]]*Tabla2[[#This Row],[Coste LÃ­nea]]</f>
        <v>0</v>
      </c>
      <c r="M844" s="24">
        <f>+Tabla2[[#This Row],[Variación Stock]]*Tabla2[[#This Row],[Coste LÃ­nea]]</f>
        <v>0</v>
      </c>
      <c r="N844" s="22" t="str">
        <f>+IF(Tabla2[[#This Row],[Variación Stock]]&gt;0,"Sobrante",IF(Tabla2[[#This Row],[Variación Stock]]&lt;0,"Faltante","Sin novedad"))</f>
        <v>Sin novedad</v>
      </c>
    </row>
    <row r="845" spans="1:14" hidden="1" x14ac:dyDescent="0.25">
      <c r="A845" s="11">
        <v>46053</v>
      </c>
      <c r="B845" s="5" t="s">
        <v>972</v>
      </c>
      <c r="C845" s="3" t="s">
        <v>213</v>
      </c>
      <c r="D845" s="5" t="s">
        <v>396</v>
      </c>
      <c r="E845" s="5" t="s">
        <v>117</v>
      </c>
      <c r="F845" s="6" t="s">
        <v>846</v>
      </c>
      <c r="G845" s="4" t="s">
        <v>1</v>
      </c>
      <c r="H845" s="25">
        <v>100.04</v>
      </c>
      <c r="I845" s="8">
        <v>95.228200000000001</v>
      </c>
      <c r="J845" s="9">
        <v>150</v>
      </c>
      <c r="K845" s="7">
        <v>54.771794999999997</v>
      </c>
      <c r="L845" s="24">
        <f>+Tabla2[[#This Row],[Stock Inventario]]*Tabla2[[#This Row],[Coste LÃ­nea]]</f>
        <v>15006.000000000002</v>
      </c>
      <c r="M845" s="24">
        <f>+Tabla2[[#This Row],[Variación Stock]]*Tabla2[[#This Row],[Coste LÃ­nea]]</f>
        <v>5479.3703717999997</v>
      </c>
      <c r="N845" s="22" t="str">
        <f>+IF(Tabla2[[#This Row],[Variación Stock]]&gt;0,"Sobrante",IF(Tabla2[[#This Row],[Variación Stock]]&lt;0,"Faltante","Sin novedad"))</f>
        <v>Sobrante</v>
      </c>
    </row>
    <row r="846" spans="1:14" hidden="1" x14ac:dyDescent="0.25">
      <c r="A846" s="11">
        <v>46053</v>
      </c>
      <c r="B846" s="5" t="s">
        <v>972</v>
      </c>
      <c r="C846" s="3" t="s">
        <v>213</v>
      </c>
      <c r="D846" s="5" t="s">
        <v>559</v>
      </c>
      <c r="E846" s="5" t="s">
        <v>1080</v>
      </c>
      <c r="F846" s="6" t="s">
        <v>1021</v>
      </c>
      <c r="G846" s="4" t="s">
        <v>2</v>
      </c>
      <c r="H846" s="25">
        <v>2100.75</v>
      </c>
      <c r="I846" s="8">
        <v>4</v>
      </c>
      <c r="J846" s="9">
        <v>0</v>
      </c>
      <c r="K846" s="7">
        <v>-4</v>
      </c>
      <c r="L846" s="24">
        <f>+Tabla2[[#This Row],[Stock Inventario]]*Tabla2[[#This Row],[Coste LÃ­nea]]</f>
        <v>0</v>
      </c>
      <c r="M846" s="24">
        <f>+Tabla2[[#This Row],[Variación Stock]]*Tabla2[[#This Row],[Coste LÃ­nea]]</f>
        <v>-8403</v>
      </c>
      <c r="N846" s="22" t="str">
        <f>+IF(Tabla2[[#This Row],[Variación Stock]]&gt;0,"Sobrante",IF(Tabla2[[#This Row],[Variación Stock]]&lt;0,"Faltante","Sin novedad"))</f>
        <v>Faltante</v>
      </c>
    </row>
    <row r="847" spans="1:14" x14ac:dyDescent="0.25">
      <c r="A847" s="11">
        <v>46053</v>
      </c>
      <c r="B847" s="5" t="s">
        <v>972</v>
      </c>
      <c r="C847" s="3" t="s">
        <v>213</v>
      </c>
      <c r="D847" s="5" t="s">
        <v>118</v>
      </c>
      <c r="E847" s="5" t="s">
        <v>112</v>
      </c>
      <c r="F847" s="6" t="s">
        <v>88</v>
      </c>
      <c r="G847" s="4" t="s">
        <v>81</v>
      </c>
      <c r="H847" s="25">
        <v>4385.6000000000004</v>
      </c>
      <c r="I847" s="8">
        <v>0</v>
      </c>
      <c r="J847" s="9">
        <v>0</v>
      </c>
      <c r="K847" s="7">
        <v>0</v>
      </c>
      <c r="L847" s="24">
        <f>+Tabla2[[#This Row],[Stock Inventario]]*Tabla2[[#This Row],[Coste LÃ­nea]]</f>
        <v>0</v>
      </c>
      <c r="M847" s="24">
        <f>+Tabla2[[#This Row],[Variación Stock]]*Tabla2[[#This Row],[Coste LÃ­nea]]</f>
        <v>0</v>
      </c>
      <c r="N847" s="22" t="str">
        <f>+IF(Tabla2[[#This Row],[Variación Stock]]&gt;0,"Sobrante",IF(Tabla2[[#This Row],[Variación Stock]]&lt;0,"Faltante","Sin novedad"))</f>
        <v>Sin novedad</v>
      </c>
    </row>
    <row r="848" spans="1:14" hidden="1" x14ac:dyDescent="0.25">
      <c r="A848" s="11">
        <v>46053</v>
      </c>
      <c r="B848" s="5" t="s">
        <v>972</v>
      </c>
      <c r="C848" s="3" t="s">
        <v>213</v>
      </c>
      <c r="D848" s="5" t="s">
        <v>559</v>
      </c>
      <c r="E848" s="5" t="s">
        <v>1080</v>
      </c>
      <c r="F848" s="6" t="s">
        <v>598</v>
      </c>
      <c r="G848" s="4" t="s">
        <v>2</v>
      </c>
      <c r="H848" s="25">
        <v>62.83</v>
      </c>
      <c r="I848" s="8">
        <v>1850</v>
      </c>
      <c r="J848" s="9">
        <v>200</v>
      </c>
      <c r="K848" s="7">
        <v>-1650</v>
      </c>
      <c r="L848" s="24">
        <f>+Tabla2[[#This Row],[Stock Inventario]]*Tabla2[[#This Row],[Coste LÃ­nea]]</f>
        <v>12566</v>
      </c>
      <c r="M848" s="24">
        <f>+Tabla2[[#This Row],[Variación Stock]]*Tabla2[[#This Row],[Coste LÃ­nea]]</f>
        <v>-103669.5</v>
      </c>
      <c r="N848" s="22" t="str">
        <f>+IF(Tabla2[[#This Row],[Variación Stock]]&gt;0,"Sobrante",IF(Tabla2[[#This Row],[Variación Stock]]&lt;0,"Faltante","Sin novedad"))</f>
        <v>Faltante</v>
      </c>
    </row>
    <row r="849" spans="1:14" hidden="1" x14ac:dyDescent="0.25">
      <c r="A849" s="11">
        <v>46053</v>
      </c>
      <c r="B849" s="5" t="s">
        <v>972</v>
      </c>
      <c r="C849" s="3" t="s">
        <v>213</v>
      </c>
      <c r="D849" s="5" t="s">
        <v>559</v>
      </c>
      <c r="E849" s="5" t="s">
        <v>1080</v>
      </c>
      <c r="F849" s="6" t="s">
        <v>599</v>
      </c>
      <c r="G849" s="4" t="s">
        <v>2</v>
      </c>
      <c r="H849" s="25">
        <v>77</v>
      </c>
      <c r="I849" s="8">
        <v>-400</v>
      </c>
      <c r="J849" s="9">
        <v>0</v>
      </c>
      <c r="K849" s="7">
        <v>400</v>
      </c>
      <c r="L849" s="24">
        <f>+Tabla2[[#This Row],[Stock Inventario]]*Tabla2[[#This Row],[Coste LÃ­nea]]</f>
        <v>0</v>
      </c>
      <c r="M849" s="24">
        <f>+Tabla2[[#This Row],[Variación Stock]]*Tabla2[[#This Row],[Coste LÃ­nea]]</f>
        <v>30800</v>
      </c>
      <c r="N849" s="22" t="str">
        <f>+IF(Tabla2[[#This Row],[Variación Stock]]&gt;0,"Sobrante",IF(Tabla2[[#This Row],[Variación Stock]]&lt;0,"Faltante","Sin novedad"))</f>
        <v>Sobrante</v>
      </c>
    </row>
    <row r="850" spans="1:14" hidden="1" x14ac:dyDescent="0.25">
      <c r="A850" s="11">
        <v>46053</v>
      </c>
      <c r="B850" s="5" t="s">
        <v>972</v>
      </c>
      <c r="C850" s="3" t="s">
        <v>213</v>
      </c>
      <c r="D850" s="5" t="s">
        <v>559</v>
      </c>
      <c r="E850" s="5" t="s">
        <v>1080</v>
      </c>
      <c r="F850" s="6" t="s">
        <v>600</v>
      </c>
      <c r="G850" s="4" t="s">
        <v>2</v>
      </c>
      <c r="H850" s="25">
        <v>3748.5</v>
      </c>
      <c r="I850" s="8">
        <v>77</v>
      </c>
      <c r="J850" s="9">
        <v>50</v>
      </c>
      <c r="K850" s="7">
        <v>-27</v>
      </c>
      <c r="L850" s="24">
        <f>+Tabla2[[#This Row],[Stock Inventario]]*Tabla2[[#This Row],[Coste LÃ­nea]]</f>
        <v>187425</v>
      </c>
      <c r="M850" s="24">
        <f>+Tabla2[[#This Row],[Variación Stock]]*Tabla2[[#This Row],[Coste LÃ­nea]]</f>
        <v>-101209.5</v>
      </c>
      <c r="N850" s="22" t="str">
        <f>+IF(Tabla2[[#This Row],[Variación Stock]]&gt;0,"Sobrante",IF(Tabla2[[#This Row],[Variación Stock]]&lt;0,"Faltante","Sin novedad"))</f>
        <v>Faltante</v>
      </c>
    </row>
    <row r="851" spans="1:14" x14ac:dyDescent="0.25">
      <c r="A851" s="11">
        <v>46044</v>
      </c>
      <c r="B851" s="5" t="s">
        <v>383</v>
      </c>
      <c r="C851" s="3" t="s">
        <v>213</v>
      </c>
      <c r="D851" s="5" t="s">
        <v>118</v>
      </c>
      <c r="E851" s="5" t="s">
        <v>112</v>
      </c>
      <c r="F851" s="6" t="s">
        <v>90</v>
      </c>
      <c r="G851" s="4" t="s">
        <v>81</v>
      </c>
      <c r="H851" s="25">
        <v>4385.1400000000003</v>
      </c>
      <c r="I851" s="8">
        <v>19</v>
      </c>
      <c r="J851" s="9">
        <v>19</v>
      </c>
      <c r="K851" s="7">
        <v>0</v>
      </c>
      <c r="L851" s="24">
        <f>+Tabla2[[#This Row],[Stock Inventario]]*Tabla2[[#This Row],[Coste LÃ­nea]]</f>
        <v>83317.66</v>
      </c>
      <c r="M851" s="24">
        <f>+Tabla2[[#This Row],[Variación Stock]]*Tabla2[[#This Row],[Coste LÃ­nea]]</f>
        <v>0</v>
      </c>
      <c r="N851" s="22" t="str">
        <f>+IF(Tabla2[[#This Row],[Variación Stock]]&gt;0,"Sobrante",IF(Tabla2[[#This Row],[Variación Stock]]&lt;0,"Faltante","Sin novedad"))</f>
        <v>Sin novedad</v>
      </c>
    </row>
    <row r="852" spans="1:14" x14ac:dyDescent="0.25">
      <c r="A852" s="11">
        <v>46037</v>
      </c>
      <c r="B852" s="5" t="s">
        <v>212</v>
      </c>
      <c r="C852" s="3" t="s">
        <v>213</v>
      </c>
      <c r="D852" s="5" t="s">
        <v>118</v>
      </c>
      <c r="E852" s="5" t="s">
        <v>112</v>
      </c>
      <c r="F852" s="6" t="s">
        <v>90</v>
      </c>
      <c r="G852" s="4" t="s">
        <v>81</v>
      </c>
      <c r="H852" s="24">
        <v>4385.1400000000003</v>
      </c>
      <c r="I852" s="8">
        <v>20</v>
      </c>
      <c r="J852" s="9">
        <v>19</v>
      </c>
      <c r="K852" s="7">
        <v>-1</v>
      </c>
      <c r="L852" s="24">
        <f>+Tabla2[[#This Row],[Stock Inventario]]*Tabla2[[#This Row],[Coste LÃ­nea]]</f>
        <v>83317.66</v>
      </c>
      <c r="M852" s="24">
        <f>+Tabla2[[#This Row],[Variación Stock]]*Tabla2[[#This Row],[Coste LÃ­nea]]</f>
        <v>-4385.1400000000003</v>
      </c>
      <c r="N852" s="22" t="str">
        <f>+IF(Tabla2[[#This Row],[Variación Stock]]&gt;0,"Sobrante",IF(Tabla2[[#This Row],[Variación Stock]]&lt;0,"Faltante","Sin novedad"))</f>
        <v>Faltante</v>
      </c>
    </row>
    <row r="853" spans="1:14" x14ac:dyDescent="0.25">
      <c r="A853" s="11">
        <v>46053</v>
      </c>
      <c r="B853" s="5" t="s">
        <v>972</v>
      </c>
      <c r="C853" s="3" t="s">
        <v>213</v>
      </c>
      <c r="D853" s="5" t="s">
        <v>118</v>
      </c>
      <c r="E853" s="5" t="s">
        <v>112</v>
      </c>
      <c r="F853" s="6" t="s">
        <v>90</v>
      </c>
      <c r="G853" s="4" t="s">
        <v>81</v>
      </c>
      <c r="H853" s="25">
        <v>4385.1400000000003</v>
      </c>
      <c r="I853" s="8">
        <v>19</v>
      </c>
      <c r="J853" s="9">
        <v>18</v>
      </c>
      <c r="K853" s="7">
        <v>-1</v>
      </c>
      <c r="L853" s="24">
        <f>+Tabla2[[#This Row],[Stock Inventario]]*Tabla2[[#This Row],[Coste LÃ­nea]]</f>
        <v>78932.52</v>
      </c>
      <c r="M853" s="24">
        <f>+Tabla2[[#This Row],[Variación Stock]]*Tabla2[[#This Row],[Coste LÃ­nea]]</f>
        <v>-4385.1400000000003</v>
      </c>
      <c r="N853" s="22" t="str">
        <f>+IF(Tabla2[[#This Row],[Variación Stock]]&gt;0,"Sobrante",IF(Tabla2[[#This Row],[Variación Stock]]&lt;0,"Faltante","Sin novedad"))</f>
        <v>Faltante</v>
      </c>
    </row>
    <row r="854" spans="1:14" x14ac:dyDescent="0.25">
      <c r="A854" s="11">
        <v>46037</v>
      </c>
      <c r="B854" s="5" t="s">
        <v>212</v>
      </c>
      <c r="C854" s="3" t="s">
        <v>213</v>
      </c>
      <c r="D854" s="5" t="s">
        <v>111</v>
      </c>
      <c r="E854" s="5" t="s">
        <v>112</v>
      </c>
      <c r="F854" s="6" t="s">
        <v>219</v>
      </c>
      <c r="G854" s="4" t="s">
        <v>0</v>
      </c>
      <c r="H854" s="24">
        <v>3365.9583333300002</v>
      </c>
      <c r="I854" s="8">
        <v>0</v>
      </c>
      <c r="J854" s="9">
        <v>0</v>
      </c>
      <c r="K854" s="7">
        <v>0</v>
      </c>
      <c r="L854" s="24">
        <f>+Tabla2[[#This Row],[Stock Inventario]]*Tabla2[[#This Row],[Coste LÃ­nea]]</f>
        <v>0</v>
      </c>
      <c r="M854" s="24">
        <f>+Tabla2[[#This Row],[Variación Stock]]*Tabla2[[#This Row],[Coste LÃ­nea]]</f>
        <v>0</v>
      </c>
      <c r="N854" s="22" t="str">
        <f>+IF(Tabla2[[#This Row],[Variación Stock]]&gt;0,"Sobrante",IF(Tabla2[[#This Row],[Variación Stock]]&lt;0,"Faltante","Sin novedad"))</f>
        <v>Sin novedad</v>
      </c>
    </row>
    <row r="855" spans="1:14" x14ac:dyDescent="0.25">
      <c r="A855" s="11">
        <v>46044</v>
      </c>
      <c r="B855" s="5" t="s">
        <v>383</v>
      </c>
      <c r="C855" s="3" t="s">
        <v>213</v>
      </c>
      <c r="D855" s="5" t="s">
        <v>111</v>
      </c>
      <c r="E855" s="5" t="s">
        <v>112</v>
      </c>
      <c r="F855" s="6" t="s">
        <v>219</v>
      </c>
      <c r="G855" s="4" t="s">
        <v>0</v>
      </c>
      <c r="H855" s="25">
        <v>3365.9583333300002</v>
      </c>
      <c r="I855" s="8">
        <v>0</v>
      </c>
      <c r="J855" s="9">
        <v>0</v>
      </c>
      <c r="K855" s="7">
        <v>0</v>
      </c>
      <c r="L855" s="24">
        <f>+Tabla2[[#This Row],[Stock Inventario]]*Tabla2[[#This Row],[Coste LÃ­nea]]</f>
        <v>0</v>
      </c>
      <c r="M855" s="24">
        <f>+Tabla2[[#This Row],[Variación Stock]]*Tabla2[[#This Row],[Coste LÃ­nea]]</f>
        <v>0</v>
      </c>
      <c r="N855" s="22" t="str">
        <f>+IF(Tabla2[[#This Row],[Variación Stock]]&gt;0,"Sobrante",IF(Tabla2[[#This Row],[Variación Stock]]&lt;0,"Faltante","Sin novedad"))</f>
        <v>Sin novedad</v>
      </c>
    </row>
    <row r="856" spans="1:14" x14ac:dyDescent="0.25">
      <c r="A856" s="11">
        <v>46053</v>
      </c>
      <c r="B856" s="5" t="s">
        <v>972</v>
      </c>
      <c r="C856" s="3" t="s">
        <v>213</v>
      </c>
      <c r="D856" s="5" t="s">
        <v>111</v>
      </c>
      <c r="E856" s="5" t="s">
        <v>112</v>
      </c>
      <c r="F856" s="6" t="s">
        <v>219</v>
      </c>
      <c r="G856" s="4" t="s">
        <v>0</v>
      </c>
      <c r="H856" s="25">
        <v>3365.9583333300002</v>
      </c>
      <c r="I856" s="8">
        <v>0</v>
      </c>
      <c r="J856" s="9">
        <v>0</v>
      </c>
      <c r="K856" s="7">
        <v>0</v>
      </c>
      <c r="L856" s="24">
        <f>+Tabla2[[#This Row],[Stock Inventario]]*Tabla2[[#This Row],[Coste LÃ­nea]]</f>
        <v>0</v>
      </c>
      <c r="M856" s="24">
        <f>+Tabla2[[#This Row],[Variación Stock]]*Tabla2[[#This Row],[Coste LÃ­nea]]</f>
        <v>0</v>
      </c>
      <c r="N856" s="22" t="str">
        <f>+IF(Tabla2[[#This Row],[Variación Stock]]&gt;0,"Sobrante",IF(Tabla2[[#This Row],[Variación Stock]]&lt;0,"Faltante","Sin novedad"))</f>
        <v>Sin novedad</v>
      </c>
    </row>
    <row r="857" spans="1:14" x14ac:dyDescent="0.25">
      <c r="A857" s="11">
        <v>46053</v>
      </c>
      <c r="B857" s="5" t="s">
        <v>972</v>
      </c>
      <c r="C857" s="3" t="s">
        <v>213</v>
      </c>
      <c r="D857" s="5" t="s">
        <v>111</v>
      </c>
      <c r="E857" s="5" t="s">
        <v>112</v>
      </c>
      <c r="F857" s="6" t="s">
        <v>395</v>
      </c>
      <c r="G857" s="4" t="s">
        <v>0</v>
      </c>
      <c r="H857" s="25">
        <v>1794</v>
      </c>
      <c r="I857" s="8">
        <v>22</v>
      </c>
      <c r="J857" s="9">
        <v>24</v>
      </c>
      <c r="K857" s="7">
        <v>2</v>
      </c>
      <c r="L857" s="24">
        <f>+Tabla2[[#This Row],[Stock Inventario]]*Tabla2[[#This Row],[Coste LÃ­nea]]</f>
        <v>43056</v>
      </c>
      <c r="M857" s="24">
        <f>+Tabla2[[#This Row],[Variación Stock]]*Tabla2[[#This Row],[Coste LÃ­nea]]</f>
        <v>3588</v>
      </c>
      <c r="N857" s="22" t="str">
        <f>+IF(Tabla2[[#This Row],[Variación Stock]]&gt;0,"Sobrante",IF(Tabla2[[#This Row],[Variación Stock]]&lt;0,"Faltante","Sin novedad"))</f>
        <v>Sobrante</v>
      </c>
    </row>
    <row r="858" spans="1:14" hidden="1" x14ac:dyDescent="0.25">
      <c r="A858" s="11">
        <v>46053</v>
      </c>
      <c r="B858" s="5" t="s">
        <v>972</v>
      </c>
      <c r="C858" s="3" t="s">
        <v>213</v>
      </c>
      <c r="D858" s="5" t="s">
        <v>559</v>
      </c>
      <c r="E858" s="5" t="s">
        <v>1080</v>
      </c>
      <c r="F858" s="6" t="s">
        <v>601</v>
      </c>
      <c r="G858" s="4" t="s">
        <v>2</v>
      </c>
      <c r="H858" s="25">
        <v>135.84</v>
      </c>
      <c r="I858" s="8">
        <v>200</v>
      </c>
      <c r="J858" s="9">
        <v>0</v>
      </c>
      <c r="K858" s="7">
        <v>-200</v>
      </c>
      <c r="L858" s="24">
        <f>+Tabla2[[#This Row],[Stock Inventario]]*Tabla2[[#This Row],[Coste LÃ­nea]]</f>
        <v>0</v>
      </c>
      <c r="M858" s="24">
        <f>+Tabla2[[#This Row],[Variación Stock]]*Tabla2[[#This Row],[Coste LÃ­nea]]</f>
        <v>-27168</v>
      </c>
      <c r="N858" s="22" t="str">
        <f>+IF(Tabla2[[#This Row],[Variación Stock]]&gt;0,"Sobrante",IF(Tabla2[[#This Row],[Variación Stock]]&lt;0,"Faltante","Sin novedad"))</f>
        <v>Faltante</v>
      </c>
    </row>
    <row r="859" spans="1:14" x14ac:dyDescent="0.25">
      <c r="A859" s="11">
        <v>46037</v>
      </c>
      <c r="B859" s="5" t="s">
        <v>212</v>
      </c>
      <c r="C859" s="3" t="s">
        <v>213</v>
      </c>
      <c r="D859" s="5" t="s">
        <v>111</v>
      </c>
      <c r="E859" s="5" t="s">
        <v>112</v>
      </c>
      <c r="F859" s="6" t="s">
        <v>43</v>
      </c>
      <c r="G859" s="4" t="s">
        <v>0</v>
      </c>
      <c r="H859" s="24">
        <v>2796.5</v>
      </c>
      <c r="I859" s="8">
        <v>44</v>
      </c>
      <c r="J859" s="9">
        <v>59</v>
      </c>
      <c r="K859" s="7">
        <v>15</v>
      </c>
      <c r="L859" s="24">
        <f>+Tabla2[[#This Row],[Stock Inventario]]*Tabla2[[#This Row],[Coste LÃ­nea]]</f>
        <v>164993.5</v>
      </c>
      <c r="M859" s="24">
        <f>+Tabla2[[#This Row],[Variación Stock]]*Tabla2[[#This Row],[Coste LÃ­nea]]</f>
        <v>41947.5</v>
      </c>
      <c r="N859" s="22" t="str">
        <f>+IF(Tabla2[[#This Row],[Variación Stock]]&gt;0,"Sobrante",IF(Tabla2[[#This Row],[Variación Stock]]&lt;0,"Faltante","Sin novedad"))</f>
        <v>Sobrante</v>
      </c>
    </row>
    <row r="860" spans="1:14" x14ac:dyDescent="0.25">
      <c r="A860" s="11">
        <v>46044</v>
      </c>
      <c r="B860" s="5" t="s">
        <v>383</v>
      </c>
      <c r="C860" s="3" t="s">
        <v>213</v>
      </c>
      <c r="D860" s="5" t="s">
        <v>111</v>
      </c>
      <c r="E860" s="5" t="s">
        <v>112</v>
      </c>
      <c r="F860" s="6" t="s">
        <v>43</v>
      </c>
      <c r="G860" s="4" t="s">
        <v>0</v>
      </c>
      <c r="H860" s="25">
        <v>2796.5</v>
      </c>
      <c r="I860" s="8">
        <v>38</v>
      </c>
      <c r="J860" s="9">
        <v>42</v>
      </c>
      <c r="K860" s="7">
        <v>4</v>
      </c>
      <c r="L860" s="24">
        <f>+Tabla2[[#This Row],[Stock Inventario]]*Tabla2[[#This Row],[Coste LÃ­nea]]</f>
        <v>117453</v>
      </c>
      <c r="M860" s="24">
        <f>+Tabla2[[#This Row],[Variación Stock]]*Tabla2[[#This Row],[Coste LÃ­nea]]</f>
        <v>11186</v>
      </c>
      <c r="N860" s="22" t="str">
        <f>+IF(Tabla2[[#This Row],[Variación Stock]]&gt;0,"Sobrante",IF(Tabla2[[#This Row],[Variación Stock]]&lt;0,"Faltante","Sin novedad"))</f>
        <v>Sobrante</v>
      </c>
    </row>
    <row r="861" spans="1:14" x14ac:dyDescent="0.25">
      <c r="A861" s="11">
        <v>46053</v>
      </c>
      <c r="B861" s="5" t="s">
        <v>972</v>
      </c>
      <c r="C861" s="3" t="s">
        <v>213</v>
      </c>
      <c r="D861" s="5" t="s">
        <v>111</v>
      </c>
      <c r="E861" s="5" t="s">
        <v>112</v>
      </c>
      <c r="F861" s="6" t="s">
        <v>43</v>
      </c>
      <c r="G861" s="4" t="s">
        <v>0</v>
      </c>
      <c r="H861" s="25">
        <v>2722.7272727300001</v>
      </c>
      <c r="I861" s="8">
        <v>1</v>
      </c>
      <c r="J861" s="9">
        <v>72</v>
      </c>
      <c r="K861" s="7">
        <v>5</v>
      </c>
      <c r="L861" s="24">
        <f>+Tabla2[[#This Row],[Stock Inventario]]*Tabla2[[#This Row],[Coste LÃ­nea]]</f>
        <v>196036.36363656001</v>
      </c>
      <c r="M861" s="24">
        <f>+Tabla2[[#This Row],[Variación Stock]]*Tabla2[[#This Row],[Coste LÃ­nea]]</f>
        <v>13613.636363650001</v>
      </c>
      <c r="N861" s="22" t="str">
        <f>+IF(Tabla2[[#This Row],[Variación Stock]]&gt;0,"Sobrante",IF(Tabla2[[#This Row],[Variación Stock]]&lt;0,"Faltante","Sin novedad"))</f>
        <v>Sobrante</v>
      </c>
    </row>
    <row r="862" spans="1:14" x14ac:dyDescent="0.25">
      <c r="A862" s="11">
        <v>46037</v>
      </c>
      <c r="B862" s="5" t="s">
        <v>212</v>
      </c>
      <c r="C862" s="3" t="s">
        <v>213</v>
      </c>
      <c r="D862" s="5" t="s">
        <v>111</v>
      </c>
      <c r="E862" s="5" t="s">
        <v>112</v>
      </c>
      <c r="F862" s="6" t="s">
        <v>230</v>
      </c>
      <c r="G862" s="4" t="s">
        <v>0</v>
      </c>
      <c r="H862" s="24">
        <v>7004.1666666700003</v>
      </c>
      <c r="I862" s="8">
        <v>55</v>
      </c>
      <c r="J862" s="9">
        <v>55</v>
      </c>
      <c r="K862" s="7">
        <v>0</v>
      </c>
      <c r="L862" s="24">
        <f>+Tabla2[[#This Row],[Stock Inventario]]*Tabla2[[#This Row],[Coste LÃ­nea]]</f>
        <v>385229.16666685004</v>
      </c>
      <c r="M862" s="24">
        <f>+Tabla2[[#This Row],[Variación Stock]]*Tabla2[[#This Row],[Coste LÃ­nea]]</f>
        <v>0</v>
      </c>
      <c r="N862" s="22" t="str">
        <f>+IF(Tabla2[[#This Row],[Variación Stock]]&gt;0,"Sobrante",IF(Tabla2[[#This Row],[Variación Stock]]&lt;0,"Faltante","Sin novedad"))</f>
        <v>Sin novedad</v>
      </c>
    </row>
    <row r="863" spans="1:14" x14ac:dyDescent="0.25">
      <c r="A863" s="11">
        <v>46044</v>
      </c>
      <c r="B863" s="5" t="s">
        <v>383</v>
      </c>
      <c r="C863" s="3" t="s">
        <v>213</v>
      </c>
      <c r="D863" s="5" t="s">
        <v>111</v>
      </c>
      <c r="E863" s="5" t="s">
        <v>112</v>
      </c>
      <c r="F863" s="6" t="s">
        <v>230</v>
      </c>
      <c r="G863" s="4" t="s">
        <v>0</v>
      </c>
      <c r="H863" s="25">
        <v>7004.1666666700003</v>
      </c>
      <c r="I863" s="8">
        <v>55</v>
      </c>
      <c r="J863" s="9">
        <v>55</v>
      </c>
      <c r="K863" s="7">
        <v>0</v>
      </c>
      <c r="L863" s="24">
        <f>+Tabla2[[#This Row],[Stock Inventario]]*Tabla2[[#This Row],[Coste LÃ­nea]]</f>
        <v>385229.16666685004</v>
      </c>
      <c r="M863" s="24">
        <f>+Tabla2[[#This Row],[Variación Stock]]*Tabla2[[#This Row],[Coste LÃ­nea]]</f>
        <v>0</v>
      </c>
      <c r="N863" s="22" t="str">
        <f>+IF(Tabla2[[#This Row],[Variación Stock]]&gt;0,"Sobrante",IF(Tabla2[[#This Row],[Variación Stock]]&lt;0,"Faltante","Sin novedad"))</f>
        <v>Sin novedad</v>
      </c>
    </row>
    <row r="864" spans="1:14" x14ac:dyDescent="0.25">
      <c r="A864" s="11">
        <v>46053</v>
      </c>
      <c r="B864" s="5" t="s">
        <v>972</v>
      </c>
      <c r="C864" s="3" t="s">
        <v>213</v>
      </c>
      <c r="D864" s="5" t="s">
        <v>111</v>
      </c>
      <c r="E864" s="5" t="s">
        <v>112</v>
      </c>
      <c r="F864" s="6" t="s">
        <v>230</v>
      </c>
      <c r="G864" s="4" t="s">
        <v>0</v>
      </c>
      <c r="H864" s="25">
        <v>7004.1666666700003</v>
      </c>
      <c r="I864" s="8">
        <v>55</v>
      </c>
      <c r="J864" s="9">
        <v>54</v>
      </c>
      <c r="K864" s="7">
        <v>-1</v>
      </c>
      <c r="L864" s="24">
        <f>+Tabla2[[#This Row],[Stock Inventario]]*Tabla2[[#This Row],[Coste LÃ­nea]]</f>
        <v>378225.00000018004</v>
      </c>
      <c r="M864" s="24">
        <f>+Tabla2[[#This Row],[Variación Stock]]*Tabla2[[#This Row],[Coste LÃ­nea]]</f>
        <v>-7004.1666666700003</v>
      </c>
      <c r="N864" s="22" t="str">
        <f>+IF(Tabla2[[#This Row],[Variación Stock]]&gt;0,"Sobrante",IF(Tabla2[[#This Row],[Variación Stock]]&lt;0,"Faltante","Sin novedad"))</f>
        <v>Faltante</v>
      </c>
    </row>
    <row r="865" spans="1:14" hidden="1" x14ac:dyDescent="0.25">
      <c r="A865" s="11">
        <v>46053</v>
      </c>
      <c r="B865" s="5" t="s">
        <v>972</v>
      </c>
      <c r="C865" s="3" t="s">
        <v>213</v>
      </c>
      <c r="D865" s="5" t="s">
        <v>626</v>
      </c>
      <c r="E865" s="5" t="s">
        <v>1079</v>
      </c>
      <c r="F865" s="6" t="s">
        <v>666</v>
      </c>
      <c r="G865" s="4" t="s">
        <v>2</v>
      </c>
      <c r="H865" s="25">
        <v>45452</v>
      </c>
      <c r="I865" s="8">
        <v>0</v>
      </c>
      <c r="J865" s="9">
        <v>0</v>
      </c>
      <c r="K865" s="7">
        <v>0</v>
      </c>
      <c r="L865" s="24">
        <f>+Tabla2[[#This Row],[Stock Inventario]]*Tabla2[[#This Row],[Coste LÃ­nea]]</f>
        <v>0</v>
      </c>
      <c r="M865" s="24">
        <f>+Tabla2[[#This Row],[Variación Stock]]*Tabla2[[#This Row],[Coste LÃ­nea]]</f>
        <v>0</v>
      </c>
      <c r="N865" s="22" t="str">
        <f>+IF(Tabla2[[#This Row],[Variación Stock]]&gt;0,"Sobrante",IF(Tabla2[[#This Row],[Variación Stock]]&lt;0,"Faltante","Sin novedad"))</f>
        <v>Sin novedad</v>
      </c>
    </row>
    <row r="866" spans="1:14" hidden="1" x14ac:dyDescent="0.25">
      <c r="A866" s="11">
        <v>46053</v>
      </c>
      <c r="B866" s="5" t="s">
        <v>972</v>
      </c>
      <c r="C866" s="3" t="s">
        <v>213</v>
      </c>
      <c r="D866" s="5" t="s">
        <v>626</v>
      </c>
      <c r="E866" s="5" t="s">
        <v>1079</v>
      </c>
      <c r="F866" s="6" t="s">
        <v>667</v>
      </c>
      <c r="G866" s="4" t="s">
        <v>2</v>
      </c>
      <c r="H866" s="25">
        <v>56142</v>
      </c>
      <c r="I866" s="8">
        <v>0</v>
      </c>
      <c r="J866" s="9">
        <v>0</v>
      </c>
      <c r="K866" s="7">
        <v>0</v>
      </c>
      <c r="L866" s="24">
        <f>+Tabla2[[#This Row],[Stock Inventario]]*Tabla2[[#This Row],[Coste LÃ­nea]]</f>
        <v>0</v>
      </c>
      <c r="M866" s="24">
        <f>+Tabla2[[#This Row],[Variación Stock]]*Tabla2[[#This Row],[Coste LÃ­nea]]</f>
        <v>0</v>
      </c>
      <c r="N866" s="22" t="str">
        <f>+IF(Tabla2[[#This Row],[Variación Stock]]&gt;0,"Sobrante",IF(Tabla2[[#This Row],[Variación Stock]]&lt;0,"Faltante","Sin novedad"))</f>
        <v>Sin novedad</v>
      </c>
    </row>
    <row r="867" spans="1:14" hidden="1" x14ac:dyDescent="0.25">
      <c r="A867" s="11">
        <v>46053</v>
      </c>
      <c r="B867" s="5" t="s">
        <v>972</v>
      </c>
      <c r="C867" s="3" t="s">
        <v>213</v>
      </c>
      <c r="D867" s="5" t="s">
        <v>626</v>
      </c>
      <c r="E867" s="5" t="s">
        <v>1079</v>
      </c>
      <c r="F867" s="6" t="s">
        <v>668</v>
      </c>
      <c r="G867" s="4" t="s">
        <v>2</v>
      </c>
      <c r="H867" s="25">
        <v>40422</v>
      </c>
      <c r="I867" s="8">
        <v>0</v>
      </c>
      <c r="J867" s="9">
        <v>0</v>
      </c>
      <c r="K867" s="7">
        <v>0</v>
      </c>
      <c r="L867" s="24">
        <f>+Tabla2[[#This Row],[Stock Inventario]]*Tabla2[[#This Row],[Coste LÃ­nea]]</f>
        <v>0</v>
      </c>
      <c r="M867" s="24">
        <f>+Tabla2[[#This Row],[Variación Stock]]*Tabla2[[#This Row],[Coste LÃ­nea]]</f>
        <v>0</v>
      </c>
      <c r="N867" s="22" t="str">
        <f>+IF(Tabla2[[#This Row],[Variación Stock]]&gt;0,"Sobrante",IF(Tabla2[[#This Row],[Variación Stock]]&lt;0,"Faltante","Sin novedad"))</f>
        <v>Sin novedad</v>
      </c>
    </row>
    <row r="868" spans="1:14" hidden="1" x14ac:dyDescent="0.25">
      <c r="A868" s="11">
        <v>46053</v>
      </c>
      <c r="B868" s="5" t="s">
        <v>972</v>
      </c>
      <c r="C868" s="3" t="s">
        <v>213</v>
      </c>
      <c r="D868" s="5" t="s">
        <v>626</v>
      </c>
      <c r="E868" s="5" t="s">
        <v>1079</v>
      </c>
      <c r="F868" s="6" t="s">
        <v>669</v>
      </c>
      <c r="G868" s="4" t="s">
        <v>2</v>
      </c>
      <c r="H868" s="25">
        <v>8771.5</v>
      </c>
      <c r="I868" s="8">
        <v>11</v>
      </c>
      <c r="J868" s="9">
        <v>3</v>
      </c>
      <c r="K868" s="7">
        <v>-8</v>
      </c>
      <c r="L868" s="24">
        <f>+Tabla2[[#This Row],[Stock Inventario]]*Tabla2[[#This Row],[Coste LÃ­nea]]</f>
        <v>26314.5</v>
      </c>
      <c r="M868" s="24">
        <f>+Tabla2[[#This Row],[Variación Stock]]*Tabla2[[#This Row],[Coste LÃ­nea]]</f>
        <v>-70172</v>
      </c>
      <c r="N868" s="22" t="str">
        <f>+IF(Tabla2[[#This Row],[Variación Stock]]&gt;0,"Sobrante",IF(Tabla2[[#This Row],[Variación Stock]]&lt;0,"Faltante","Sin novedad"))</f>
        <v>Faltante</v>
      </c>
    </row>
    <row r="869" spans="1:14" hidden="1" x14ac:dyDescent="0.25">
      <c r="A869" s="11">
        <v>46053</v>
      </c>
      <c r="B869" s="5" t="s">
        <v>972</v>
      </c>
      <c r="C869" s="3" t="s">
        <v>213</v>
      </c>
      <c r="D869" s="5" t="s">
        <v>626</v>
      </c>
      <c r="E869" s="5" t="s">
        <v>1079</v>
      </c>
      <c r="F869" s="6" t="s">
        <v>676</v>
      </c>
      <c r="G869" s="4" t="s">
        <v>2</v>
      </c>
      <c r="H869" s="25">
        <v>6759</v>
      </c>
      <c r="I869" s="8">
        <v>14</v>
      </c>
      <c r="J869" s="9">
        <v>10</v>
      </c>
      <c r="K869" s="7">
        <v>-4</v>
      </c>
      <c r="L869" s="24">
        <f>+Tabla2[[#This Row],[Stock Inventario]]*Tabla2[[#This Row],[Coste LÃ­nea]]</f>
        <v>67590</v>
      </c>
      <c r="M869" s="24">
        <f>+Tabla2[[#This Row],[Variación Stock]]*Tabla2[[#This Row],[Coste LÃ­nea]]</f>
        <v>-27036</v>
      </c>
      <c r="N869" s="22" t="str">
        <f>+IF(Tabla2[[#This Row],[Variación Stock]]&gt;0,"Sobrante",IF(Tabla2[[#This Row],[Variación Stock]]&lt;0,"Faltante","Sin novedad"))</f>
        <v>Faltante</v>
      </c>
    </row>
    <row r="870" spans="1:14" hidden="1" x14ac:dyDescent="0.25">
      <c r="A870" s="11">
        <v>46053</v>
      </c>
      <c r="B870" s="5" t="s">
        <v>972</v>
      </c>
      <c r="C870" s="3" t="s">
        <v>213</v>
      </c>
      <c r="D870" s="5" t="s">
        <v>116</v>
      </c>
      <c r="E870" s="5" t="s">
        <v>117</v>
      </c>
      <c r="F870" s="6" t="s">
        <v>156</v>
      </c>
      <c r="G870" s="4" t="s">
        <v>1</v>
      </c>
      <c r="H870" s="25">
        <v>32.5</v>
      </c>
      <c r="I870" s="8">
        <v>9019.4447</v>
      </c>
      <c r="J870" s="9">
        <v>0</v>
      </c>
      <c r="K870" s="7">
        <v>-9019.4446609999995</v>
      </c>
      <c r="L870" s="24">
        <f>+Tabla2[[#This Row],[Stock Inventario]]*Tabla2[[#This Row],[Coste LÃ­nea]]</f>
        <v>0</v>
      </c>
      <c r="M870" s="24">
        <f>+Tabla2[[#This Row],[Variación Stock]]*Tabla2[[#This Row],[Coste LÃ­nea]]</f>
        <v>-293131.95148250001</v>
      </c>
      <c r="N870" s="22" t="str">
        <f>+IF(Tabla2[[#This Row],[Variación Stock]]&gt;0,"Sobrante",IF(Tabla2[[#This Row],[Variación Stock]]&lt;0,"Faltante","Sin novedad"))</f>
        <v>Faltante</v>
      </c>
    </row>
    <row r="871" spans="1:14" hidden="1" x14ac:dyDescent="0.25">
      <c r="A871" s="11">
        <v>46053</v>
      </c>
      <c r="B871" s="5" t="s">
        <v>972</v>
      </c>
      <c r="C871" s="3" t="s">
        <v>213</v>
      </c>
      <c r="D871" s="5" t="s">
        <v>471</v>
      </c>
      <c r="E871" s="5" t="s">
        <v>117</v>
      </c>
      <c r="F871" s="6" t="s">
        <v>532</v>
      </c>
      <c r="G871" s="4" t="s">
        <v>1</v>
      </c>
      <c r="H871" s="25">
        <v>12</v>
      </c>
      <c r="I871" s="8">
        <v>1000</v>
      </c>
      <c r="J871" s="9">
        <v>0</v>
      </c>
      <c r="K871" s="7">
        <v>-1000</v>
      </c>
      <c r="L871" s="24">
        <f>+Tabla2[[#This Row],[Stock Inventario]]*Tabla2[[#This Row],[Coste LÃ­nea]]</f>
        <v>0</v>
      </c>
      <c r="M871" s="24">
        <f>+Tabla2[[#This Row],[Variación Stock]]*Tabla2[[#This Row],[Coste LÃ­nea]]</f>
        <v>-12000</v>
      </c>
      <c r="N871" s="22" t="str">
        <f>+IF(Tabla2[[#This Row],[Variación Stock]]&gt;0,"Sobrante",IF(Tabla2[[#This Row],[Variación Stock]]&lt;0,"Faltante","Sin novedad"))</f>
        <v>Faltante</v>
      </c>
    </row>
    <row r="872" spans="1:14" hidden="1" x14ac:dyDescent="0.25">
      <c r="A872" s="11">
        <v>46053</v>
      </c>
      <c r="B872" s="5" t="s">
        <v>972</v>
      </c>
      <c r="C872" s="3" t="s">
        <v>213</v>
      </c>
      <c r="D872" s="5" t="s">
        <v>471</v>
      </c>
      <c r="E872" s="5" t="s">
        <v>117</v>
      </c>
      <c r="F872" s="6" t="s">
        <v>533</v>
      </c>
      <c r="G872" s="4" t="s">
        <v>1</v>
      </c>
      <c r="H872" s="25">
        <v>5</v>
      </c>
      <c r="I872" s="8">
        <v>-6004.9803000000002</v>
      </c>
      <c r="J872" s="9">
        <v>0</v>
      </c>
      <c r="K872" s="7">
        <v>6004.9803229999998</v>
      </c>
      <c r="L872" s="24">
        <f>+Tabla2[[#This Row],[Stock Inventario]]*Tabla2[[#This Row],[Coste LÃ­nea]]</f>
        <v>0</v>
      </c>
      <c r="M872" s="24">
        <f>+Tabla2[[#This Row],[Variación Stock]]*Tabla2[[#This Row],[Coste LÃ­nea]]</f>
        <v>30024.901614999999</v>
      </c>
      <c r="N872" s="22" t="str">
        <f>+IF(Tabla2[[#This Row],[Variación Stock]]&gt;0,"Sobrante",IF(Tabla2[[#This Row],[Variación Stock]]&lt;0,"Faltante","Sin novedad"))</f>
        <v>Sobrante</v>
      </c>
    </row>
    <row r="873" spans="1:14" hidden="1" x14ac:dyDescent="0.25">
      <c r="A873" s="11">
        <v>46053</v>
      </c>
      <c r="B873" s="5" t="s">
        <v>972</v>
      </c>
      <c r="C873" s="3" t="s">
        <v>213</v>
      </c>
      <c r="D873" s="5" t="s">
        <v>471</v>
      </c>
      <c r="E873" s="5" t="s">
        <v>117</v>
      </c>
      <c r="F873" s="6" t="s">
        <v>1003</v>
      </c>
      <c r="G873" s="4" t="s">
        <v>1</v>
      </c>
      <c r="H873" s="25">
        <v>7</v>
      </c>
      <c r="I873" s="8">
        <v>27361.111400000002</v>
      </c>
      <c r="J873" s="9">
        <v>1300</v>
      </c>
      <c r="K873" s="7">
        <v>-26061.111374</v>
      </c>
      <c r="L873" s="24">
        <f>+Tabla2[[#This Row],[Stock Inventario]]*Tabla2[[#This Row],[Coste LÃ­nea]]</f>
        <v>9100</v>
      </c>
      <c r="M873" s="24">
        <f>+Tabla2[[#This Row],[Variación Stock]]*Tabla2[[#This Row],[Coste LÃ­nea]]</f>
        <v>-182427.779618</v>
      </c>
      <c r="N873" s="22" t="str">
        <f>+IF(Tabla2[[#This Row],[Variación Stock]]&gt;0,"Sobrante",IF(Tabla2[[#This Row],[Variación Stock]]&lt;0,"Faltante","Sin novedad"))</f>
        <v>Faltante</v>
      </c>
    </row>
    <row r="874" spans="1:14" hidden="1" x14ac:dyDescent="0.25">
      <c r="A874" s="11">
        <v>46053</v>
      </c>
      <c r="B874" s="5" t="s">
        <v>972</v>
      </c>
      <c r="C874" s="3" t="s">
        <v>213</v>
      </c>
      <c r="D874" s="5" t="s">
        <v>471</v>
      </c>
      <c r="E874" s="5" t="s">
        <v>117</v>
      </c>
      <c r="F874" s="6" t="s">
        <v>535</v>
      </c>
      <c r="G874" s="4" t="s">
        <v>1</v>
      </c>
      <c r="H874" s="25">
        <v>15.5</v>
      </c>
      <c r="I874" s="8">
        <v>100</v>
      </c>
      <c r="J874" s="9">
        <v>0</v>
      </c>
      <c r="K874" s="7">
        <v>-100</v>
      </c>
      <c r="L874" s="24">
        <f>+Tabla2[[#This Row],[Stock Inventario]]*Tabla2[[#This Row],[Coste LÃ­nea]]</f>
        <v>0</v>
      </c>
      <c r="M874" s="24">
        <f>+Tabla2[[#This Row],[Variación Stock]]*Tabla2[[#This Row],[Coste LÃ­nea]]</f>
        <v>-1550</v>
      </c>
      <c r="N874" s="22" t="str">
        <f>+IF(Tabla2[[#This Row],[Variación Stock]]&gt;0,"Sobrante",IF(Tabla2[[#This Row],[Variación Stock]]&lt;0,"Faltante","Sin novedad"))</f>
        <v>Faltante</v>
      </c>
    </row>
    <row r="875" spans="1:14" hidden="1" x14ac:dyDescent="0.25">
      <c r="A875" s="11">
        <v>46053</v>
      </c>
      <c r="B875" s="5" t="s">
        <v>972</v>
      </c>
      <c r="C875" s="3" t="s">
        <v>213</v>
      </c>
      <c r="D875" s="5" t="s">
        <v>471</v>
      </c>
      <c r="E875" s="5" t="s">
        <v>117</v>
      </c>
      <c r="F875" s="6" t="s">
        <v>536</v>
      </c>
      <c r="G875" s="4" t="s">
        <v>1</v>
      </c>
      <c r="H875" s="25">
        <v>6</v>
      </c>
      <c r="I875" s="8">
        <v>2875</v>
      </c>
      <c r="J875" s="9">
        <v>1000</v>
      </c>
      <c r="K875" s="7">
        <v>-1875</v>
      </c>
      <c r="L875" s="24">
        <f>+Tabla2[[#This Row],[Stock Inventario]]*Tabla2[[#This Row],[Coste LÃ­nea]]</f>
        <v>6000</v>
      </c>
      <c r="M875" s="24">
        <f>+Tabla2[[#This Row],[Variación Stock]]*Tabla2[[#This Row],[Coste LÃ­nea]]</f>
        <v>-11250</v>
      </c>
      <c r="N875" s="22" t="str">
        <f>+IF(Tabla2[[#This Row],[Variación Stock]]&gt;0,"Sobrante",IF(Tabla2[[#This Row],[Variación Stock]]&lt;0,"Faltante","Sin novedad"))</f>
        <v>Faltante</v>
      </c>
    </row>
    <row r="876" spans="1:14" hidden="1" x14ac:dyDescent="0.25">
      <c r="A876" s="11">
        <v>46053</v>
      </c>
      <c r="B876" s="5" t="s">
        <v>972</v>
      </c>
      <c r="C876" s="3" t="s">
        <v>213</v>
      </c>
      <c r="D876" s="5" t="s">
        <v>396</v>
      </c>
      <c r="E876" s="5" t="s">
        <v>117</v>
      </c>
      <c r="F876" s="6" t="s">
        <v>976</v>
      </c>
      <c r="G876" s="4" t="s">
        <v>2</v>
      </c>
      <c r="H876" s="25">
        <v>850</v>
      </c>
      <c r="I876" s="8">
        <v>-50</v>
      </c>
      <c r="J876" s="9">
        <v>0</v>
      </c>
      <c r="K876" s="7">
        <v>50</v>
      </c>
      <c r="L876" s="24">
        <f>+Tabla2[[#This Row],[Stock Inventario]]*Tabla2[[#This Row],[Coste LÃ­nea]]</f>
        <v>0</v>
      </c>
      <c r="M876" s="24">
        <f>+Tabla2[[#This Row],[Variación Stock]]*Tabla2[[#This Row],[Coste LÃ­nea]]</f>
        <v>42500</v>
      </c>
      <c r="N876" s="22" t="str">
        <f>+IF(Tabla2[[#This Row],[Variación Stock]]&gt;0,"Sobrante",IF(Tabla2[[#This Row],[Variación Stock]]&lt;0,"Faltante","Sin novedad"))</f>
        <v>Sobrante</v>
      </c>
    </row>
    <row r="877" spans="1:14" hidden="1" x14ac:dyDescent="0.25">
      <c r="A877" s="11">
        <v>46053</v>
      </c>
      <c r="B877" s="5" t="s">
        <v>972</v>
      </c>
      <c r="C877" s="3" t="s">
        <v>213</v>
      </c>
      <c r="D877" s="5" t="s">
        <v>396</v>
      </c>
      <c r="E877" s="5" t="s">
        <v>117</v>
      </c>
      <c r="F877" s="6" t="s">
        <v>847</v>
      </c>
      <c r="G877" s="4" t="s">
        <v>2</v>
      </c>
      <c r="H877" s="25">
        <v>451.95</v>
      </c>
      <c r="I877" s="8">
        <v>348</v>
      </c>
      <c r="J877" s="9">
        <v>10</v>
      </c>
      <c r="K877" s="7">
        <v>-338</v>
      </c>
      <c r="L877" s="24">
        <f>+Tabla2[[#This Row],[Stock Inventario]]*Tabla2[[#This Row],[Coste LÃ­nea]]</f>
        <v>4519.5</v>
      </c>
      <c r="M877" s="24">
        <f>+Tabla2[[#This Row],[Variación Stock]]*Tabla2[[#This Row],[Coste LÃ­nea]]</f>
        <v>-152759.1</v>
      </c>
      <c r="N877" s="22" t="str">
        <f>+IF(Tabla2[[#This Row],[Variación Stock]]&gt;0,"Sobrante",IF(Tabla2[[#This Row],[Variación Stock]]&lt;0,"Faltante","Sin novedad"))</f>
        <v>Faltante</v>
      </c>
    </row>
    <row r="878" spans="1:14" hidden="1" x14ac:dyDescent="0.25">
      <c r="A878" s="11">
        <v>46053</v>
      </c>
      <c r="B878" s="5" t="s">
        <v>972</v>
      </c>
      <c r="C878" s="3" t="s">
        <v>213</v>
      </c>
      <c r="D878" s="5" t="s">
        <v>626</v>
      </c>
      <c r="E878" s="5" t="s">
        <v>1079</v>
      </c>
      <c r="F878" s="6" t="s">
        <v>671</v>
      </c>
      <c r="G878" s="4" t="s">
        <v>1</v>
      </c>
      <c r="H878" s="25">
        <v>20.623699999999999</v>
      </c>
      <c r="I878" s="8">
        <v>61004</v>
      </c>
      <c r="J878" s="9">
        <v>0</v>
      </c>
      <c r="K878" s="7">
        <v>-61004</v>
      </c>
      <c r="L878" s="24">
        <f>+Tabla2[[#This Row],[Stock Inventario]]*Tabla2[[#This Row],[Coste LÃ­nea]]</f>
        <v>0</v>
      </c>
      <c r="M878" s="24">
        <f>+Tabla2[[#This Row],[Variación Stock]]*Tabla2[[#This Row],[Coste LÃ­nea]]</f>
        <v>-1258128.1947999999</v>
      </c>
      <c r="N878" s="22" t="str">
        <f>+IF(Tabla2[[#This Row],[Variación Stock]]&gt;0,"Sobrante",IF(Tabla2[[#This Row],[Variación Stock]]&lt;0,"Faltante","Sin novedad"))</f>
        <v>Faltante</v>
      </c>
    </row>
    <row r="879" spans="1:14" hidden="1" x14ac:dyDescent="0.25">
      <c r="A879" s="11">
        <v>46053</v>
      </c>
      <c r="B879" s="5" t="s">
        <v>972</v>
      </c>
      <c r="C879" s="3" t="s">
        <v>213</v>
      </c>
      <c r="D879" s="5" t="s">
        <v>471</v>
      </c>
      <c r="E879" s="5" t="s">
        <v>117</v>
      </c>
      <c r="F879" s="6" t="s">
        <v>537</v>
      </c>
      <c r="G879" s="4" t="s">
        <v>1</v>
      </c>
      <c r="H879" s="25">
        <v>30</v>
      </c>
      <c r="I879" s="8">
        <v>0</v>
      </c>
      <c r="J879" s="9">
        <v>0</v>
      </c>
      <c r="K879" s="7">
        <v>0</v>
      </c>
      <c r="L879" s="24">
        <f>+Tabla2[[#This Row],[Stock Inventario]]*Tabla2[[#This Row],[Coste LÃ­nea]]</f>
        <v>0</v>
      </c>
      <c r="M879" s="24">
        <f>+Tabla2[[#This Row],[Variación Stock]]*Tabla2[[#This Row],[Coste LÃ­nea]]</f>
        <v>0</v>
      </c>
      <c r="N879" s="22" t="str">
        <f>+IF(Tabla2[[#This Row],[Variación Stock]]&gt;0,"Sobrante",IF(Tabla2[[#This Row],[Variación Stock]]&lt;0,"Faltante","Sin novedad"))</f>
        <v>Sin novedad</v>
      </c>
    </row>
    <row r="880" spans="1:14" hidden="1" x14ac:dyDescent="0.25">
      <c r="A880" s="11">
        <v>46053</v>
      </c>
      <c r="B880" s="5" t="s">
        <v>972</v>
      </c>
      <c r="C880" s="3" t="s">
        <v>213</v>
      </c>
      <c r="D880" s="5" t="s">
        <v>559</v>
      </c>
      <c r="E880" s="5" t="s">
        <v>1080</v>
      </c>
      <c r="F880" s="6" t="s">
        <v>582</v>
      </c>
      <c r="G880" s="4" t="s">
        <v>2</v>
      </c>
      <c r="H880" s="25">
        <v>4600</v>
      </c>
      <c r="I880" s="8">
        <v>7</v>
      </c>
      <c r="J880" s="9">
        <v>0</v>
      </c>
      <c r="K880" s="7">
        <v>-7</v>
      </c>
      <c r="L880" s="24">
        <f>+Tabla2[[#This Row],[Stock Inventario]]*Tabla2[[#This Row],[Coste LÃ­nea]]</f>
        <v>0</v>
      </c>
      <c r="M880" s="24">
        <f>+Tabla2[[#This Row],[Variación Stock]]*Tabla2[[#This Row],[Coste LÃ­nea]]</f>
        <v>-32200</v>
      </c>
      <c r="N880" s="22" t="str">
        <f>+IF(Tabla2[[#This Row],[Variación Stock]]&gt;0,"Sobrante",IF(Tabla2[[#This Row],[Variación Stock]]&lt;0,"Faltante","Sin novedad"))</f>
        <v>Faltante</v>
      </c>
    </row>
    <row r="881" spans="1:14" x14ac:dyDescent="0.25">
      <c r="A881" s="11">
        <v>46037</v>
      </c>
      <c r="B881" s="5" t="s">
        <v>212</v>
      </c>
      <c r="C881" s="3" t="s">
        <v>213</v>
      </c>
      <c r="D881" s="5" t="s">
        <v>111</v>
      </c>
      <c r="E881" s="5" t="s">
        <v>112</v>
      </c>
      <c r="F881" s="6" t="s">
        <v>223</v>
      </c>
      <c r="G881" s="4" t="s">
        <v>0</v>
      </c>
      <c r="H881" s="24">
        <v>2566.2447257499998</v>
      </c>
      <c r="I881" s="8">
        <v>74</v>
      </c>
      <c r="J881" s="9">
        <v>74</v>
      </c>
      <c r="K881" s="7">
        <v>0</v>
      </c>
      <c r="L881" s="24">
        <f>+Tabla2[[#This Row],[Stock Inventario]]*Tabla2[[#This Row],[Coste LÃ­nea]]</f>
        <v>189902.10970549998</v>
      </c>
      <c r="M881" s="24">
        <f>+Tabla2[[#This Row],[Variación Stock]]*Tabla2[[#This Row],[Coste LÃ­nea]]</f>
        <v>0</v>
      </c>
      <c r="N881" s="22" t="str">
        <f>+IF(Tabla2[[#This Row],[Variación Stock]]&gt;0,"Sobrante",IF(Tabla2[[#This Row],[Variación Stock]]&lt;0,"Faltante","Sin novedad"))</f>
        <v>Sin novedad</v>
      </c>
    </row>
    <row r="882" spans="1:14" hidden="1" x14ac:dyDescent="0.25">
      <c r="A882" s="11">
        <v>46053</v>
      </c>
      <c r="B882" s="5" t="s">
        <v>972</v>
      </c>
      <c r="C882" s="3" t="s">
        <v>213</v>
      </c>
      <c r="D882" s="5" t="s">
        <v>396</v>
      </c>
      <c r="E882" s="5" t="s">
        <v>117</v>
      </c>
      <c r="F882" s="6" t="s">
        <v>848</v>
      </c>
      <c r="G882" s="4" t="s">
        <v>1</v>
      </c>
      <c r="H882" s="25">
        <v>14.979749999999999</v>
      </c>
      <c r="I882" s="8">
        <v>3087.4391999999998</v>
      </c>
      <c r="J882" s="9">
        <v>3400</v>
      </c>
      <c r="K882" s="7">
        <v>312.56085000000002</v>
      </c>
      <c r="L882" s="24">
        <f>+Tabla2[[#This Row],[Stock Inventario]]*Tabla2[[#This Row],[Coste LÃ­nea]]</f>
        <v>50931.149999999994</v>
      </c>
      <c r="M882" s="24">
        <f>+Tabla2[[#This Row],[Variación Stock]]*Tabla2[[#This Row],[Coste LÃ­nea]]</f>
        <v>4682.0833927875001</v>
      </c>
      <c r="N882" s="22" t="str">
        <f>+IF(Tabla2[[#This Row],[Variación Stock]]&gt;0,"Sobrante",IF(Tabla2[[#This Row],[Variación Stock]]&lt;0,"Faltante","Sin novedad"))</f>
        <v>Sobrante</v>
      </c>
    </row>
    <row r="883" spans="1:14" hidden="1" x14ac:dyDescent="0.25">
      <c r="A883" s="11">
        <v>46053</v>
      </c>
      <c r="B883" s="5" t="s">
        <v>972</v>
      </c>
      <c r="C883" s="3" t="s">
        <v>213</v>
      </c>
      <c r="D883" s="5" t="s">
        <v>829</v>
      </c>
      <c r="E883" s="5" t="s">
        <v>117</v>
      </c>
      <c r="F883" s="6" t="s">
        <v>834</v>
      </c>
      <c r="G883" s="4" t="s">
        <v>1</v>
      </c>
      <c r="H883" s="25">
        <v>10.193954250000001</v>
      </c>
      <c r="I883" s="8">
        <v>5421.2791999999999</v>
      </c>
      <c r="J883" s="9">
        <v>3650</v>
      </c>
      <c r="K883" s="7">
        <v>-1771.2792400000001</v>
      </c>
      <c r="L883" s="24">
        <f>+Tabla2[[#This Row],[Stock Inventario]]*Tabla2[[#This Row],[Coste LÃ­nea]]</f>
        <v>37207.933012500005</v>
      </c>
      <c r="M883" s="24">
        <f>+Tabla2[[#This Row],[Variación Stock]]*Tabla2[[#This Row],[Coste LÃ­nea]]</f>
        <v>-18056.339536534771</v>
      </c>
      <c r="N883" s="22" t="str">
        <f>+IF(Tabla2[[#This Row],[Variación Stock]]&gt;0,"Sobrante",IF(Tabla2[[#This Row],[Variación Stock]]&lt;0,"Faltante","Sin novedad"))</f>
        <v>Faltante</v>
      </c>
    </row>
    <row r="884" spans="1:14" hidden="1" x14ac:dyDescent="0.25">
      <c r="A884" s="11">
        <v>46053</v>
      </c>
      <c r="B884" s="5" t="s">
        <v>972</v>
      </c>
      <c r="C884" s="3" t="s">
        <v>213</v>
      </c>
      <c r="D884" s="5" t="s">
        <v>396</v>
      </c>
      <c r="E884" s="5" t="s">
        <v>117</v>
      </c>
      <c r="F884" s="6" t="s">
        <v>993</v>
      </c>
      <c r="G884" s="4" t="s">
        <v>1</v>
      </c>
      <c r="H884" s="25">
        <v>15.64818182</v>
      </c>
      <c r="I884" s="8">
        <v>0</v>
      </c>
      <c r="J884" s="9">
        <v>0</v>
      </c>
      <c r="K884" s="7">
        <v>0</v>
      </c>
      <c r="L884" s="24">
        <f>+Tabla2[[#This Row],[Stock Inventario]]*Tabla2[[#This Row],[Coste LÃ­nea]]</f>
        <v>0</v>
      </c>
      <c r="M884" s="24">
        <f>+Tabla2[[#This Row],[Variación Stock]]*Tabla2[[#This Row],[Coste LÃ­nea]]</f>
        <v>0</v>
      </c>
      <c r="N884" s="22" t="str">
        <f>+IF(Tabla2[[#This Row],[Variación Stock]]&gt;0,"Sobrante",IF(Tabla2[[#This Row],[Variación Stock]]&lt;0,"Faltante","Sin novedad"))</f>
        <v>Sin novedad</v>
      </c>
    </row>
    <row r="885" spans="1:14" hidden="1" x14ac:dyDescent="0.25">
      <c r="A885" s="11">
        <v>46053</v>
      </c>
      <c r="B885" s="5" t="s">
        <v>972</v>
      </c>
      <c r="C885" s="3" t="s">
        <v>213</v>
      </c>
      <c r="D885" s="5" t="s">
        <v>396</v>
      </c>
      <c r="E885" s="5" t="s">
        <v>117</v>
      </c>
      <c r="F885" s="6" t="s">
        <v>455</v>
      </c>
      <c r="G885" s="4" t="s">
        <v>1</v>
      </c>
      <c r="H885" s="25">
        <v>27.595099999999999</v>
      </c>
      <c r="I885" s="8">
        <v>877</v>
      </c>
      <c r="J885" s="9">
        <v>1</v>
      </c>
      <c r="K885" s="7">
        <v>-876</v>
      </c>
      <c r="L885" s="24">
        <f>+Tabla2[[#This Row],[Stock Inventario]]*Tabla2[[#This Row],[Coste LÃ­nea]]</f>
        <v>27.595099999999999</v>
      </c>
      <c r="M885" s="24">
        <f>+Tabla2[[#This Row],[Variación Stock]]*Tabla2[[#This Row],[Coste LÃ­nea]]</f>
        <v>-24173.3076</v>
      </c>
      <c r="N885" s="22" t="str">
        <f>+IF(Tabla2[[#This Row],[Variación Stock]]&gt;0,"Sobrante",IF(Tabla2[[#This Row],[Variación Stock]]&lt;0,"Faltante","Sin novedad"))</f>
        <v>Faltante</v>
      </c>
    </row>
    <row r="886" spans="1:14" x14ac:dyDescent="0.25">
      <c r="A886" s="11">
        <v>46044</v>
      </c>
      <c r="B886" s="5" t="s">
        <v>383</v>
      </c>
      <c r="C886" s="3" t="s">
        <v>213</v>
      </c>
      <c r="D886" s="5" t="s">
        <v>111</v>
      </c>
      <c r="E886" s="5" t="s">
        <v>112</v>
      </c>
      <c r="F886" s="6" t="s">
        <v>223</v>
      </c>
      <c r="G886" s="4" t="s">
        <v>0</v>
      </c>
      <c r="H886" s="25">
        <v>2566.2447257499998</v>
      </c>
      <c r="I886" s="8">
        <v>74</v>
      </c>
      <c r="J886" s="9">
        <v>79.8</v>
      </c>
      <c r="K886" s="7">
        <v>5.8</v>
      </c>
      <c r="L886" s="24">
        <f>+Tabla2[[#This Row],[Stock Inventario]]*Tabla2[[#This Row],[Coste LÃ­nea]]</f>
        <v>204786.32911484997</v>
      </c>
      <c r="M886" s="24">
        <f>+Tabla2[[#This Row],[Variación Stock]]*Tabla2[[#This Row],[Coste LÃ­nea]]</f>
        <v>14884.219409349998</v>
      </c>
      <c r="N886" s="22" t="str">
        <f>+IF(Tabla2[[#This Row],[Variación Stock]]&gt;0,"Sobrante",IF(Tabla2[[#This Row],[Variación Stock]]&lt;0,"Faltante","Sin novedad"))</f>
        <v>Sobrante</v>
      </c>
    </row>
    <row r="887" spans="1:14" x14ac:dyDescent="0.25">
      <c r="A887" s="11">
        <v>46053</v>
      </c>
      <c r="B887" s="5" t="s">
        <v>972</v>
      </c>
      <c r="C887" s="3" t="s">
        <v>213</v>
      </c>
      <c r="D887" s="5" t="s">
        <v>111</v>
      </c>
      <c r="E887" s="5" t="s">
        <v>112</v>
      </c>
      <c r="F887" s="6" t="s">
        <v>223</v>
      </c>
      <c r="G887" s="4" t="s">
        <v>0</v>
      </c>
      <c r="H887" s="25">
        <v>2566.2447257499998</v>
      </c>
      <c r="I887" s="8">
        <v>79.8</v>
      </c>
      <c r="J887" s="9">
        <v>80</v>
      </c>
      <c r="K887" s="7">
        <v>0.2</v>
      </c>
      <c r="L887" s="24">
        <f>+Tabla2[[#This Row],[Stock Inventario]]*Tabla2[[#This Row],[Coste LÃ­nea]]</f>
        <v>205299.57805999997</v>
      </c>
      <c r="M887" s="24">
        <f>+Tabla2[[#This Row],[Variación Stock]]*Tabla2[[#This Row],[Coste LÃ­nea]]</f>
        <v>513.24894514999994</v>
      </c>
      <c r="N887" s="22" t="str">
        <f>+IF(Tabla2[[#This Row],[Variación Stock]]&gt;0,"Sobrante",IF(Tabla2[[#This Row],[Variación Stock]]&lt;0,"Faltante","Sin novedad"))</f>
        <v>Sobrante</v>
      </c>
    </row>
    <row r="888" spans="1:14" x14ac:dyDescent="0.25">
      <c r="A888" s="11">
        <v>46044</v>
      </c>
      <c r="B888" s="5" t="s">
        <v>383</v>
      </c>
      <c r="C888" s="3" t="s">
        <v>213</v>
      </c>
      <c r="D888" s="5" t="s">
        <v>111</v>
      </c>
      <c r="E888" s="5" t="s">
        <v>112</v>
      </c>
      <c r="F888" s="6" t="s">
        <v>130</v>
      </c>
      <c r="G888" s="4" t="s">
        <v>0</v>
      </c>
      <c r="H888" s="25">
        <v>1997.7272727300001</v>
      </c>
      <c r="I888" s="8">
        <v>54</v>
      </c>
      <c r="J888" s="9">
        <v>48</v>
      </c>
      <c r="K888" s="7">
        <v>-6</v>
      </c>
      <c r="L888" s="24">
        <f>+Tabla2[[#This Row],[Stock Inventario]]*Tabla2[[#This Row],[Coste LÃ­nea]]</f>
        <v>95890.909091039997</v>
      </c>
      <c r="M888" s="24">
        <f>+Tabla2[[#This Row],[Variación Stock]]*Tabla2[[#This Row],[Coste LÃ­nea]]</f>
        <v>-11986.36363638</v>
      </c>
      <c r="N888" s="22" t="str">
        <f>+IF(Tabla2[[#This Row],[Variación Stock]]&gt;0,"Sobrante",IF(Tabla2[[#This Row],[Variación Stock]]&lt;0,"Faltante","Sin novedad"))</f>
        <v>Faltante</v>
      </c>
    </row>
    <row r="889" spans="1:14" x14ac:dyDescent="0.25">
      <c r="A889" s="11">
        <v>46037</v>
      </c>
      <c r="B889" s="5" t="s">
        <v>212</v>
      </c>
      <c r="C889" s="3" t="s">
        <v>213</v>
      </c>
      <c r="D889" s="5" t="s">
        <v>111</v>
      </c>
      <c r="E889" s="5" t="s">
        <v>112</v>
      </c>
      <c r="F889" s="6" t="s">
        <v>130</v>
      </c>
      <c r="G889" s="4" t="s">
        <v>0</v>
      </c>
      <c r="H889" s="24">
        <v>1997.7272727300001</v>
      </c>
      <c r="I889" s="8">
        <v>7.1235999999999997</v>
      </c>
      <c r="J889" s="9">
        <v>14</v>
      </c>
      <c r="K889" s="7">
        <v>6.8764399999999997</v>
      </c>
      <c r="L889" s="24">
        <f>+Tabla2[[#This Row],[Stock Inventario]]*Tabla2[[#This Row],[Coste LÃ­nea]]</f>
        <v>27968.18181822</v>
      </c>
      <c r="M889" s="24">
        <f>+Tabla2[[#This Row],[Variación Stock]]*Tabla2[[#This Row],[Coste LÃ­nea]]</f>
        <v>13737.251727291481</v>
      </c>
      <c r="N889" s="22" t="str">
        <f>+IF(Tabla2[[#This Row],[Variación Stock]]&gt;0,"Sobrante",IF(Tabla2[[#This Row],[Variación Stock]]&lt;0,"Faltante","Sin novedad"))</f>
        <v>Sobrante</v>
      </c>
    </row>
    <row r="890" spans="1:14" x14ac:dyDescent="0.25">
      <c r="A890" s="11">
        <v>46053</v>
      </c>
      <c r="B890" s="5" t="s">
        <v>972</v>
      </c>
      <c r="C890" s="3" t="s">
        <v>213</v>
      </c>
      <c r="D890" s="5" t="s">
        <v>111</v>
      </c>
      <c r="E890" s="5" t="s">
        <v>112</v>
      </c>
      <c r="F890" s="6" t="s">
        <v>130</v>
      </c>
      <c r="G890" s="4" t="s">
        <v>0</v>
      </c>
      <c r="H890" s="25">
        <v>1997.7272727300001</v>
      </c>
      <c r="I890" s="8">
        <v>35.316899999999997</v>
      </c>
      <c r="J890" s="9">
        <v>0</v>
      </c>
      <c r="K890" s="7">
        <v>-35.316924999999998</v>
      </c>
      <c r="L890" s="24">
        <f>+Tabla2[[#This Row],[Stock Inventario]]*Tabla2[[#This Row],[Coste LÃ­nea]]</f>
        <v>0</v>
      </c>
      <c r="M890" s="24">
        <f>+Tabla2[[#This Row],[Variación Stock]]*Tabla2[[#This Row],[Coste LÃ­nea]]</f>
        <v>-70553.584261459953</v>
      </c>
      <c r="N890" s="22" t="str">
        <f>+IF(Tabla2[[#This Row],[Variación Stock]]&gt;0,"Sobrante",IF(Tabla2[[#This Row],[Variación Stock]]&lt;0,"Faltante","Sin novedad"))</f>
        <v>Faltante</v>
      </c>
    </row>
    <row r="891" spans="1:14" x14ac:dyDescent="0.25">
      <c r="A891" s="11">
        <v>46037</v>
      </c>
      <c r="B891" s="5" t="s">
        <v>212</v>
      </c>
      <c r="C891" s="3" t="s">
        <v>213</v>
      </c>
      <c r="D891" s="5" t="s">
        <v>111</v>
      </c>
      <c r="E891" s="5" t="s">
        <v>112</v>
      </c>
      <c r="F891" s="6" t="s">
        <v>224</v>
      </c>
      <c r="G891" s="4" t="s">
        <v>0</v>
      </c>
      <c r="H891" s="24">
        <v>3195.4545454499998</v>
      </c>
      <c r="I891" s="8">
        <v>62</v>
      </c>
      <c r="J891" s="9">
        <v>65</v>
      </c>
      <c r="K891" s="7">
        <v>3</v>
      </c>
      <c r="L891" s="24">
        <f>+Tabla2[[#This Row],[Stock Inventario]]*Tabla2[[#This Row],[Coste LÃ­nea]]</f>
        <v>207704.54545424998</v>
      </c>
      <c r="M891" s="24">
        <f>+Tabla2[[#This Row],[Variación Stock]]*Tabla2[[#This Row],[Coste LÃ­nea]]</f>
        <v>9586.3636363499991</v>
      </c>
      <c r="N891" s="22" t="str">
        <f>+IF(Tabla2[[#This Row],[Variación Stock]]&gt;0,"Sobrante",IF(Tabla2[[#This Row],[Variación Stock]]&lt;0,"Faltante","Sin novedad"))</f>
        <v>Sobrante</v>
      </c>
    </row>
    <row r="892" spans="1:14" x14ac:dyDescent="0.25">
      <c r="A892" s="11">
        <v>46044</v>
      </c>
      <c r="B892" s="5" t="s">
        <v>383</v>
      </c>
      <c r="C892" s="3" t="s">
        <v>213</v>
      </c>
      <c r="D892" s="5" t="s">
        <v>111</v>
      </c>
      <c r="E892" s="5" t="s">
        <v>112</v>
      </c>
      <c r="F892" s="6" t="s">
        <v>224</v>
      </c>
      <c r="G892" s="4" t="s">
        <v>0</v>
      </c>
      <c r="H892" s="25">
        <v>3195.4545454499998</v>
      </c>
      <c r="I892" s="8">
        <v>61</v>
      </c>
      <c r="J892" s="9">
        <v>59</v>
      </c>
      <c r="K892" s="7">
        <v>-2</v>
      </c>
      <c r="L892" s="24">
        <f>+Tabla2[[#This Row],[Stock Inventario]]*Tabla2[[#This Row],[Coste LÃ­nea]]</f>
        <v>188531.81818154998</v>
      </c>
      <c r="M892" s="24">
        <f>+Tabla2[[#This Row],[Variación Stock]]*Tabla2[[#This Row],[Coste LÃ­nea]]</f>
        <v>-6390.9090908999997</v>
      </c>
      <c r="N892" s="22" t="str">
        <f>+IF(Tabla2[[#This Row],[Variación Stock]]&gt;0,"Sobrante",IF(Tabla2[[#This Row],[Variación Stock]]&lt;0,"Faltante","Sin novedad"))</f>
        <v>Faltante</v>
      </c>
    </row>
    <row r="893" spans="1:14" hidden="1" x14ac:dyDescent="0.25">
      <c r="A893" s="11">
        <v>46053</v>
      </c>
      <c r="B893" s="5" t="s">
        <v>972</v>
      </c>
      <c r="C893" s="3" t="s">
        <v>213</v>
      </c>
      <c r="D893" s="5" t="s">
        <v>396</v>
      </c>
      <c r="E893" s="5" t="s">
        <v>117</v>
      </c>
      <c r="F893" s="6" t="s">
        <v>456</v>
      </c>
      <c r="G893" s="4" t="s">
        <v>1</v>
      </c>
      <c r="H893" s="25">
        <v>28.478000000000002</v>
      </c>
      <c r="I893" s="8">
        <v>-3851.2190999999998</v>
      </c>
      <c r="J893" s="9">
        <v>0</v>
      </c>
      <c r="K893" s="7">
        <v>3851.2190599999999</v>
      </c>
      <c r="L893" s="24">
        <f>+Tabla2[[#This Row],[Stock Inventario]]*Tabla2[[#This Row],[Coste LÃ­nea]]</f>
        <v>0</v>
      </c>
      <c r="M893" s="24">
        <f>+Tabla2[[#This Row],[Variación Stock]]*Tabla2[[#This Row],[Coste LÃ­nea]]</f>
        <v>109675.01639068</v>
      </c>
      <c r="N893" s="22" t="str">
        <f>+IF(Tabla2[[#This Row],[Variación Stock]]&gt;0,"Sobrante",IF(Tabla2[[#This Row],[Variación Stock]]&lt;0,"Faltante","Sin novedad"))</f>
        <v>Sobrante</v>
      </c>
    </row>
    <row r="894" spans="1:14" x14ac:dyDescent="0.25">
      <c r="A894" s="11">
        <v>46053</v>
      </c>
      <c r="B894" s="5" t="s">
        <v>972</v>
      </c>
      <c r="C894" s="3" t="s">
        <v>213</v>
      </c>
      <c r="D894" s="5" t="s">
        <v>111</v>
      </c>
      <c r="E894" s="5" t="s">
        <v>112</v>
      </c>
      <c r="F894" s="6" t="s">
        <v>224</v>
      </c>
      <c r="G894" s="4" t="s">
        <v>0</v>
      </c>
      <c r="H894" s="25">
        <v>3195.4545454499998</v>
      </c>
      <c r="I894" s="8">
        <v>53</v>
      </c>
      <c r="J894" s="9">
        <v>61</v>
      </c>
      <c r="K894" s="7">
        <v>8</v>
      </c>
      <c r="L894" s="24">
        <f>+Tabla2[[#This Row],[Stock Inventario]]*Tabla2[[#This Row],[Coste LÃ­nea]]</f>
        <v>194922.72727244999</v>
      </c>
      <c r="M894" s="24">
        <f>+Tabla2[[#This Row],[Variación Stock]]*Tabla2[[#This Row],[Coste LÃ­nea]]</f>
        <v>25563.636363599999</v>
      </c>
      <c r="N894" s="22" t="str">
        <f>+IF(Tabla2[[#This Row],[Variación Stock]]&gt;0,"Sobrante",IF(Tabla2[[#This Row],[Variación Stock]]&lt;0,"Faltante","Sin novedad"))</f>
        <v>Sobrante</v>
      </c>
    </row>
    <row r="895" spans="1:14" x14ac:dyDescent="0.25">
      <c r="A895" s="11">
        <v>46037</v>
      </c>
      <c r="B895" s="5" t="s">
        <v>212</v>
      </c>
      <c r="C895" s="3" t="s">
        <v>213</v>
      </c>
      <c r="D895" s="5" t="s">
        <v>111</v>
      </c>
      <c r="E895" s="5" t="s">
        <v>112</v>
      </c>
      <c r="F895" s="6" t="s">
        <v>231</v>
      </c>
      <c r="G895" s="4" t="s">
        <v>0</v>
      </c>
      <c r="H895" s="24">
        <v>5316.6818181799999</v>
      </c>
      <c r="I895" s="8">
        <v>46</v>
      </c>
      <c r="J895" s="9">
        <v>50</v>
      </c>
      <c r="K895" s="7">
        <v>4</v>
      </c>
      <c r="L895" s="24">
        <f>+Tabla2[[#This Row],[Stock Inventario]]*Tabla2[[#This Row],[Coste LÃ­nea]]</f>
        <v>265834.09090900002</v>
      </c>
      <c r="M895" s="24">
        <f>+Tabla2[[#This Row],[Variación Stock]]*Tabla2[[#This Row],[Coste LÃ­nea]]</f>
        <v>21266.72727272</v>
      </c>
      <c r="N895" s="22" t="str">
        <f>+IF(Tabla2[[#This Row],[Variación Stock]]&gt;0,"Sobrante",IF(Tabla2[[#This Row],[Variación Stock]]&lt;0,"Faltante","Sin novedad"))</f>
        <v>Sobrante</v>
      </c>
    </row>
    <row r="896" spans="1:14" x14ac:dyDescent="0.25">
      <c r="A896" s="11">
        <v>46044</v>
      </c>
      <c r="B896" s="5" t="s">
        <v>383</v>
      </c>
      <c r="C896" s="3" t="s">
        <v>213</v>
      </c>
      <c r="D896" s="5" t="s">
        <v>111</v>
      </c>
      <c r="E896" s="5" t="s">
        <v>112</v>
      </c>
      <c r="F896" s="6" t="s">
        <v>386</v>
      </c>
      <c r="G896" s="4" t="s">
        <v>0</v>
      </c>
      <c r="H896" s="25">
        <v>5316.6818181799999</v>
      </c>
      <c r="I896" s="8">
        <v>50</v>
      </c>
      <c r="J896" s="9">
        <v>50.7</v>
      </c>
      <c r="K896" s="7">
        <v>0.7</v>
      </c>
      <c r="L896" s="24">
        <f>+Tabla2[[#This Row],[Stock Inventario]]*Tabla2[[#This Row],[Coste LÃ­nea]]</f>
        <v>269555.76818172599</v>
      </c>
      <c r="M896" s="24">
        <f>+Tabla2[[#This Row],[Variación Stock]]*Tabla2[[#This Row],[Coste LÃ­nea]]</f>
        <v>3721.6772727259995</v>
      </c>
      <c r="N896" s="22" t="str">
        <f>+IF(Tabla2[[#This Row],[Variación Stock]]&gt;0,"Sobrante",IF(Tabla2[[#This Row],[Variación Stock]]&lt;0,"Faltante","Sin novedad"))</f>
        <v>Sobrante</v>
      </c>
    </row>
    <row r="897" spans="1:14" hidden="1" x14ac:dyDescent="0.25">
      <c r="A897" s="11">
        <v>46053</v>
      </c>
      <c r="B897" s="5" t="s">
        <v>972</v>
      </c>
      <c r="C897" s="3" t="s">
        <v>213</v>
      </c>
      <c r="D897" s="5" t="s">
        <v>396</v>
      </c>
      <c r="E897" s="5" t="s">
        <v>117</v>
      </c>
      <c r="F897" s="6" t="s">
        <v>464</v>
      </c>
      <c r="G897" s="4" t="s">
        <v>1</v>
      </c>
      <c r="H897" s="25">
        <v>22.750050000000002</v>
      </c>
      <c r="I897" s="8">
        <v>2000</v>
      </c>
      <c r="J897" s="9">
        <v>0</v>
      </c>
      <c r="K897" s="7">
        <v>-2000</v>
      </c>
      <c r="L897" s="24">
        <f>+Tabla2[[#This Row],[Stock Inventario]]*Tabla2[[#This Row],[Coste LÃ­nea]]</f>
        <v>0</v>
      </c>
      <c r="M897" s="24">
        <f>+Tabla2[[#This Row],[Variación Stock]]*Tabla2[[#This Row],[Coste LÃ­nea]]</f>
        <v>-45500.100000000006</v>
      </c>
      <c r="N897" s="22" t="str">
        <f>+IF(Tabla2[[#This Row],[Variación Stock]]&gt;0,"Sobrante",IF(Tabla2[[#This Row],[Variación Stock]]&lt;0,"Faltante","Sin novedad"))</f>
        <v>Faltante</v>
      </c>
    </row>
    <row r="898" spans="1:14" x14ac:dyDescent="0.25">
      <c r="A898" s="11">
        <v>46053</v>
      </c>
      <c r="B898" s="5" t="s">
        <v>972</v>
      </c>
      <c r="C898" s="3" t="s">
        <v>213</v>
      </c>
      <c r="D898" s="5" t="s">
        <v>111</v>
      </c>
      <c r="E898" s="5" t="s">
        <v>112</v>
      </c>
      <c r="F898" s="6" t="s">
        <v>386</v>
      </c>
      <c r="G898" s="4" t="s">
        <v>0</v>
      </c>
      <c r="H898" s="25">
        <v>5316.6818181799999</v>
      </c>
      <c r="I898" s="8">
        <v>50.7</v>
      </c>
      <c r="J898" s="9">
        <v>51</v>
      </c>
      <c r="K898" s="7">
        <v>0.3</v>
      </c>
      <c r="L898" s="24">
        <f>+Tabla2[[#This Row],[Stock Inventario]]*Tabla2[[#This Row],[Coste LÃ­nea]]</f>
        <v>271150.77272717998</v>
      </c>
      <c r="M898" s="24">
        <f>+Tabla2[[#This Row],[Variación Stock]]*Tabla2[[#This Row],[Coste LÃ­nea]]</f>
        <v>1595.004545454</v>
      </c>
      <c r="N898" s="22" t="str">
        <f>+IF(Tabla2[[#This Row],[Variación Stock]]&gt;0,"Sobrante",IF(Tabla2[[#This Row],[Variación Stock]]&lt;0,"Faltante","Sin novedad"))</f>
        <v>Sobrante</v>
      </c>
    </row>
    <row r="899" spans="1:14" x14ac:dyDescent="0.25">
      <c r="A899" s="11">
        <v>46037</v>
      </c>
      <c r="B899" s="5" t="s">
        <v>212</v>
      </c>
      <c r="C899" s="3" t="s">
        <v>213</v>
      </c>
      <c r="D899" s="5" t="s">
        <v>111</v>
      </c>
      <c r="E899" s="5" t="s">
        <v>112</v>
      </c>
      <c r="F899" s="6" t="s">
        <v>113</v>
      </c>
      <c r="G899" s="4" t="s">
        <v>0</v>
      </c>
      <c r="H899" s="24">
        <v>13494.60416667</v>
      </c>
      <c r="I899" s="8">
        <v>49</v>
      </c>
      <c r="J899" s="9">
        <v>49</v>
      </c>
      <c r="K899" s="7">
        <v>0</v>
      </c>
      <c r="L899" s="24">
        <f>+Tabla2[[#This Row],[Stock Inventario]]*Tabla2[[#This Row],[Coste LÃ­nea]]</f>
        <v>661235.60416682996</v>
      </c>
      <c r="M899" s="24">
        <f>+Tabla2[[#This Row],[Variación Stock]]*Tabla2[[#This Row],[Coste LÃ­nea]]</f>
        <v>0</v>
      </c>
      <c r="N899" s="22" t="str">
        <f>+IF(Tabla2[[#This Row],[Variación Stock]]&gt;0,"Sobrante",IF(Tabla2[[#This Row],[Variación Stock]]&lt;0,"Faltante","Sin novedad"))</f>
        <v>Sin novedad</v>
      </c>
    </row>
    <row r="900" spans="1:14" x14ac:dyDescent="0.25">
      <c r="A900" s="11">
        <v>46044</v>
      </c>
      <c r="B900" s="5" t="s">
        <v>383</v>
      </c>
      <c r="C900" s="3" t="s">
        <v>213</v>
      </c>
      <c r="D900" s="5" t="s">
        <v>111</v>
      </c>
      <c r="E900" s="5" t="s">
        <v>112</v>
      </c>
      <c r="F900" s="6" t="s">
        <v>113</v>
      </c>
      <c r="G900" s="4" t="s">
        <v>0</v>
      </c>
      <c r="H900" s="25">
        <v>13494.60416667</v>
      </c>
      <c r="I900" s="8">
        <v>49</v>
      </c>
      <c r="J900" s="9">
        <v>0</v>
      </c>
      <c r="K900" s="7">
        <v>-49</v>
      </c>
      <c r="L900" s="24">
        <f>+Tabla2[[#This Row],[Stock Inventario]]*Tabla2[[#This Row],[Coste LÃ­nea]]</f>
        <v>0</v>
      </c>
      <c r="M900" s="24">
        <f>+Tabla2[[#This Row],[Variación Stock]]*Tabla2[[#This Row],[Coste LÃ­nea]]</f>
        <v>-661235.60416682996</v>
      </c>
      <c r="N900" s="22" t="str">
        <f>+IF(Tabla2[[#This Row],[Variación Stock]]&gt;0,"Sobrante",IF(Tabla2[[#This Row],[Variación Stock]]&lt;0,"Faltante","Sin novedad"))</f>
        <v>Faltante</v>
      </c>
    </row>
    <row r="901" spans="1:14" x14ac:dyDescent="0.25">
      <c r="A901" s="11">
        <v>46053</v>
      </c>
      <c r="B901" s="5" t="s">
        <v>972</v>
      </c>
      <c r="C901" s="3" t="s">
        <v>213</v>
      </c>
      <c r="D901" s="5" t="s">
        <v>111</v>
      </c>
      <c r="E901" s="5" t="s">
        <v>112</v>
      </c>
      <c r="F901" s="6" t="s">
        <v>113</v>
      </c>
      <c r="G901" s="4" t="s">
        <v>0</v>
      </c>
      <c r="H901" s="25">
        <v>20566.318181819999</v>
      </c>
      <c r="I901" s="8">
        <v>0</v>
      </c>
      <c r="J901" s="9">
        <v>49</v>
      </c>
      <c r="K901" s="7">
        <v>49</v>
      </c>
      <c r="L901" s="24">
        <f>+Tabla2[[#This Row],[Stock Inventario]]*Tabla2[[#This Row],[Coste LÃ­nea]]</f>
        <v>1007749.59090918</v>
      </c>
      <c r="M901" s="24">
        <f>+Tabla2[[#This Row],[Variación Stock]]*Tabla2[[#This Row],[Coste LÃ­nea]]</f>
        <v>1007749.59090918</v>
      </c>
      <c r="N901" s="22" t="str">
        <f>+IF(Tabla2[[#This Row],[Variación Stock]]&gt;0,"Sobrante",IF(Tabla2[[#This Row],[Variación Stock]]&lt;0,"Faltante","Sin novedad"))</f>
        <v>Sobrante</v>
      </c>
    </row>
    <row r="902" spans="1:14" x14ac:dyDescent="0.25">
      <c r="A902" s="11">
        <v>46037</v>
      </c>
      <c r="B902" s="5" t="s">
        <v>212</v>
      </c>
      <c r="C902" s="3" t="s">
        <v>213</v>
      </c>
      <c r="D902" s="5" t="s">
        <v>111</v>
      </c>
      <c r="E902" s="5" t="s">
        <v>112</v>
      </c>
      <c r="F902" s="6" t="s">
        <v>34</v>
      </c>
      <c r="G902" s="4" t="s">
        <v>0</v>
      </c>
      <c r="H902" s="24">
        <v>5562.5</v>
      </c>
      <c r="I902" s="8">
        <v>47</v>
      </c>
      <c r="J902" s="9">
        <v>51</v>
      </c>
      <c r="K902" s="7">
        <v>4</v>
      </c>
      <c r="L902" s="24">
        <f>+Tabla2[[#This Row],[Stock Inventario]]*Tabla2[[#This Row],[Coste LÃ­nea]]</f>
        <v>283687.5</v>
      </c>
      <c r="M902" s="24">
        <f>+Tabla2[[#This Row],[Variación Stock]]*Tabla2[[#This Row],[Coste LÃ­nea]]</f>
        <v>22250</v>
      </c>
      <c r="N902" s="22" t="str">
        <f>+IF(Tabla2[[#This Row],[Variación Stock]]&gt;0,"Sobrante",IF(Tabla2[[#This Row],[Variación Stock]]&lt;0,"Faltante","Sin novedad"))</f>
        <v>Sobrante</v>
      </c>
    </row>
    <row r="903" spans="1:14" x14ac:dyDescent="0.25">
      <c r="A903" s="11">
        <v>46044</v>
      </c>
      <c r="B903" s="5" t="s">
        <v>383</v>
      </c>
      <c r="C903" s="3" t="s">
        <v>213</v>
      </c>
      <c r="D903" s="5" t="s">
        <v>111</v>
      </c>
      <c r="E903" s="5" t="s">
        <v>112</v>
      </c>
      <c r="F903" s="6" t="s">
        <v>34</v>
      </c>
      <c r="G903" s="4" t="s">
        <v>0</v>
      </c>
      <c r="H903" s="25">
        <v>5562.5</v>
      </c>
      <c r="I903" s="8">
        <v>51</v>
      </c>
      <c r="J903" s="9">
        <v>72</v>
      </c>
      <c r="K903" s="7">
        <v>21</v>
      </c>
      <c r="L903" s="24">
        <f>+Tabla2[[#This Row],[Stock Inventario]]*Tabla2[[#This Row],[Coste LÃ­nea]]</f>
        <v>400500</v>
      </c>
      <c r="M903" s="24">
        <f>+Tabla2[[#This Row],[Variación Stock]]*Tabla2[[#This Row],[Coste LÃ­nea]]</f>
        <v>116812.5</v>
      </c>
      <c r="N903" s="22" t="str">
        <f>+IF(Tabla2[[#This Row],[Variación Stock]]&gt;0,"Sobrante",IF(Tabla2[[#This Row],[Variación Stock]]&lt;0,"Faltante","Sin novedad"))</f>
        <v>Sobrante</v>
      </c>
    </row>
    <row r="904" spans="1:14" x14ac:dyDescent="0.25">
      <c r="A904" s="11">
        <v>46053</v>
      </c>
      <c r="B904" s="5" t="s">
        <v>972</v>
      </c>
      <c r="C904" s="3" t="s">
        <v>213</v>
      </c>
      <c r="D904" s="5" t="s">
        <v>111</v>
      </c>
      <c r="E904" s="5" t="s">
        <v>112</v>
      </c>
      <c r="F904" s="6" t="s">
        <v>34</v>
      </c>
      <c r="G904" s="4" t="s">
        <v>0</v>
      </c>
      <c r="H904" s="25">
        <v>6433.0454545499997</v>
      </c>
      <c r="I904" s="8">
        <v>72</v>
      </c>
      <c r="J904" s="9">
        <v>48</v>
      </c>
      <c r="K904" s="7">
        <v>-24</v>
      </c>
      <c r="L904" s="24">
        <f>+Tabla2[[#This Row],[Stock Inventario]]*Tabla2[[#This Row],[Coste LÃ­nea]]</f>
        <v>308786.18181839999</v>
      </c>
      <c r="M904" s="24">
        <f>+Tabla2[[#This Row],[Variación Stock]]*Tabla2[[#This Row],[Coste LÃ­nea]]</f>
        <v>-154393.09090919999</v>
      </c>
      <c r="N904" s="22" t="str">
        <f>+IF(Tabla2[[#This Row],[Variación Stock]]&gt;0,"Sobrante",IF(Tabla2[[#This Row],[Variación Stock]]&lt;0,"Faltante","Sin novedad"))</f>
        <v>Faltante</v>
      </c>
    </row>
    <row r="905" spans="1:14" hidden="1" x14ac:dyDescent="0.25">
      <c r="A905" s="11">
        <v>46053</v>
      </c>
      <c r="B905" s="5" t="s">
        <v>972</v>
      </c>
      <c r="C905" s="3" t="s">
        <v>213</v>
      </c>
      <c r="D905" s="5" t="s">
        <v>559</v>
      </c>
      <c r="E905" s="5" t="s">
        <v>1080</v>
      </c>
      <c r="F905" s="6" t="s">
        <v>884</v>
      </c>
      <c r="G905" s="4" t="s">
        <v>2</v>
      </c>
      <c r="H905" s="25">
        <v>206</v>
      </c>
      <c r="I905" s="8">
        <v>16340</v>
      </c>
      <c r="J905" s="9">
        <v>11300</v>
      </c>
      <c r="K905" s="7">
        <v>-5040</v>
      </c>
      <c r="L905" s="24">
        <f>+Tabla2[[#This Row],[Stock Inventario]]*Tabla2[[#This Row],[Coste LÃ­nea]]</f>
        <v>2327800</v>
      </c>
      <c r="M905" s="24">
        <f>+Tabla2[[#This Row],[Variación Stock]]*Tabla2[[#This Row],[Coste LÃ­nea]]</f>
        <v>-1038240</v>
      </c>
      <c r="N905" s="22" t="str">
        <f>+IF(Tabla2[[#This Row],[Variación Stock]]&gt;0,"Sobrante",IF(Tabla2[[#This Row],[Variación Stock]]&lt;0,"Faltante","Sin novedad"))</f>
        <v>Faltante</v>
      </c>
    </row>
    <row r="906" spans="1:14" hidden="1" x14ac:dyDescent="0.25">
      <c r="A906" s="11">
        <v>46053</v>
      </c>
      <c r="B906" s="5" t="s">
        <v>972</v>
      </c>
      <c r="C906" s="3" t="s">
        <v>213</v>
      </c>
      <c r="D906" s="5" t="s">
        <v>559</v>
      </c>
      <c r="E906" s="5" t="s">
        <v>1080</v>
      </c>
      <c r="F906" s="6" t="s">
        <v>1018</v>
      </c>
      <c r="G906" s="4" t="s">
        <v>2</v>
      </c>
      <c r="H906" s="25">
        <v>206</v>
      </c>
      <c r="I906" s="8">
        <v>11210</v>
      </c>
      <c r="J906" s="9">
        <v>15200</v>
      </c>
      <c r="K906" s="7">
        <v>3990</v>
      </c>
      <c r="L906" s="24">
        <f>+Tabla2[[#This Row],[Stock Inventario]]*Tabla2[[#This Row],[Coste LÃ­nea]]</f>
        <v>3131200</v>
      </c>
      <c r="M906" s="24">
        <f>+Tabla2[[#This Row],[Variación Stock]]*Tabla2[[#This Row],[Coste LÃ­nea]]</f>
        <v>821940</v>
      </c>
      <c r="N906" s="22" t="str">
        <f>+IF(Tabla2[[#This Row],[Variación Stock]]&gt;0,"Sobrante",IF(Tabla2[[#This Row],[Variación Stock]]&lt;0,"Faltante","Sin novedad"))</f>
        <v>Sobrante</v>
      </c>
    </row>
    <row r="907" spans="1:14" hidden="1" x14ac:dyDescent="0.25">
      <c r="A907" s="11">
        <v>46053</v>
      </c>
      <c r="B907" s="5" t="s">
        <v>972</v>
      </c>
      <c r="C907" s="3" t="s">
        <v>213</v>
      </c>
      <c r="D907" s="5" t="s">
        <v>559</v>
      </c>
      <c r="E907" s="5" t="s">
        <v>1080</v>
      </c>
      <c r="F907" s="6" t="s">
        <v>1019</v>
      </c>
      <c r="G907" s="4" t="s">
        <v>2</v>
      </c>
      <c r="H907" s="25">
        <v>206</v>
      </c>
      <c r="I907" s="8">
        <v>13150</v>
      </c>
      <c r="J907" s="9">
        <v>7200</v>
      </c>
      <c r="K907" s="7">
        <v>-5950</v>
      </c>
      <c r="L907" s="24">
        <f>+Tabla2[[#This Row],[Stock Inventario]]*Tabla2[[#This Row],[Coste LÃ­nea]]</f>
        <v>1483200</v>
      </c>
      <c r="M907" s="24">
        <f>+Tabla2[[#This Row],[Variación Stock]]*Tabla2[[#This Row],[Coste LÃ­nea]]</f>
        <v>-1225700</v>
      </c>
      <c r="N907" s="22" t="str">
        <f>+IF(Tabla2[[#This Row],[Variación Stock]]&gt;0,"Sobrante",IF(Tabla2[[#This Row],[Variación Stock]]&lt;0,"Faltante","Sin novedad"))</f>
        <v>Faltante</v>
      </c>
    </row>
    <row r="908" spans="1:14" hidden="1" x14ac:dyDescent="0.25">
      <c r="A908" s="11">
        <v>46053</v>
      </c>
      <c r="B908" s="5" t="s">
        <v>972</v>
      </c>
      <c r="C908" s="3" t="s">
        <v>213</v>
      </c>
      <c r="D908" s="5" t="s">
        <v>471</v>
      </c>
      <c r="E908" s="5" t="s">
        <v>117</v>
      </c>
      <c r="F908" s="6" t="s">
        <v>538</v>
      </c>
      <c r="G908" s="4" t="s">
        <v>1</v>
      </c>
      <c r="H908" s="25">
        <v>4.2</v>
      </c>
      <c r="I908" s="8">
        <v>2200</v>
      </c>
      <c r="J908" s="9">
        <v>0</v>
      </c>
      <c r="K908" s="7">
        <v>-2200</v>
      </c>
      <c r="L908" s="24">
        <f>+Tabla2[[#This Row],[Stock Inventario]]*Tabla2[[#This Row],[Coste LÃ­nea]]</f>
        <v>0</v>
      </c>
      <c r="M908" s="24">
        <f>+Tabla2[[#This Row],[Variación Stock]]*Tabla2[[#This Row],[Coste LÃ­nea]]</f>
        <v>-9240</v>
      </c>
      <c r="N908" s="22" t="str">
        <f>+IF(Tabla2[[#This Row],[Variación Stock]]&gt;0,"Sobrante",IF(Tabla2[[#This Row],[Variación Stock]]&lt;0,"Faltante","Sin novedad"))</f>
        <v>Faltante</v>
      </c>
    </row>
    <row r="909" spans="1:14" hidden="1" x14ac:dyDescent="0.25">
      <c r="A909" s="11">
        <v>46053</v>
      </c>
      <c r="B909" s="5" t="s">
        <v>972</v>
      </c>
      <c r="C909" s="3" t="s">
        <v>213</v>
      </c>
      <c r="D909" s="5" t="s">
        <v>471</v>
      </c>
      <c r="E909" s="5" t="s">
        <v>117</v>
      </c>
      <c r="F909" s="6" t="s">
        <v>539</v>
      </c>
      <c r="G909" s="4" t="s">
        <v>1</v>
      </c>
      <c r="H909" s="25">
        <v>1.6</v>
      </c>
      <c r="I909" s="8">
        <v>7096.1828999999998</v>
      </c>
      <c r="J909" s="9">
        <v>7800</v>
      </c>
      <c r="K909" s="7">
        <v>703.81714399999998</v>
      </c>
      <c r="L909" s="24">
        <f>+Tabla2[[#This Row],[Stock Inventario]]*Tabla2[[#This Row],[Coste LÃ­nea]]</f>
        <v>12480</v>
      </c>
      <c r="M909" s="24">
        <f>+Tabla2[[#This Row],[Variación Stock]]*Tabla2[[#This Row],[Coste LÃ­nea]]</f>
        <v>1126.1074304000001</v>
      </c>
      <c r="N909" s="22" t="str">
        <f>+IF(Tabla2[[#This Row],[Variación Stock]]&gt;0,"Sobrante",IF(Tabla2[[#This Row],[Variación Stock]]&lt;0,"Faltante","Sin novedad"))</f>
        <v>Sobrante</v>
      </c>
    </row>
    <row r="910" spans="1:14" hidden="1" x14ac:dyDescent="0.25">
      <c r="A910" s="11">
        <v>46053</v>
      </c>
      <c r="B910" s="5" t="s">
        <v>972</v>
      </c>
      <c r="C910" s="3" t="s">
        <v>213</v>
      </c>
      <c r="D910" s="5" t="s">
        <v>471</v>
      </c>
      <c r="E910" s="5" t="s">
        <v>117</v>
      </c>
      <c r="F910" s="6" t="s">
        <v>872</v>
      </c>
      <c r="G910" s="4" t="s">
        <v>1</v>
      </c>
      <c r="H910" s="25">
        <v>3.5</v>
      </c>
      <c r="I910" s="8">
        <v>700</v>
      </c>
      <c r="J910" s="9">
        <v>0</v>
      </c>
      <c r="K910" s="7">
        <v>-700</v>
      </c>
      <c r="L910" s="24">
        <f>+Tabla2[[#This Row],[Stock Inventario]]*Tabla2[[#This Row],[Coste LÃ­nea]]</f>
        <v>0</v>
      </c>
      <c r="M910" s="24">
        <f>+Tabla2[[#This Row],[Variación Stock]]*Tabla2[[#This Row],[Coste LÃ­nea]]</f>
        <v>-2450</v>
      </c>
      <c r="N910" s="22" t="str">
        <f>+IF(Tabla2[[#This Row],[Variación Stock]]&gt;0,"Sobrante",IF(Tabla2[[#This Row],[Variación Stock]]&lt;0,"Faltante","Sin novedad"))</f>
        <v>Faltante</v>
      </c>
    </row>
    <row r="911" spans="1:14" x14ac:dyDescent="0.25">
      <c r="A911" s="11">
        <v>46037</v>
      </c>
      <c r="B911" s="5" t="s">
        <v>127</v>
      </c>
      <c r="C911" s="3" t="s">
        <v>128</v>
      </c>
      <c r="D911" s="5" t="s">
        <v>111</v>
      </c>
      <c r="E911" s="5" t="s">
        <v>112</v>
      </c>
      <c r="F911" s="6" t="s">
        <v>137</v>
      </c>
      <c r="G911" s="4" t="s">
        <v>0</v>
      </c>
      <c r="H911" s="24">
        <v>1919.45833333</v>
      </c>
      <c r="I911" s="8">
        <v>-245</v>
      </c>
      <c r="J911" s="9">
        <v>34</v>
      </c>
      <c r="K911" s="7">
        <v>279</v>
      </c>
      <c r="L911" s="24">
        <f>+Tabla2[[#This Row],[Stock Inventario]]*Tabla2[[#This Row],[Coste LÃ­nea]]</f>
        <v>65261.583333219998</v>
      </c>
      <c r="M911" s="24">
        <f>+Tabla2[[#This Row],[Variación Stock]]*Tabla2[[#This Row],[Coste LÃ­nea]]</f>
        <v>535528.87499906996</v>
      </c>
      <c r="N911" s="22" t="str">
        <f>+IF(Tabla2[[#This Row],[Variación Stock]]&gt;0,"Sobrante",IF(Tabla2[[#This Row],[Variación Stock]]&lt;0,"Faltante","Sin novedad"))</f>
        <v>Sobrante</v>
      </c>
    </row>
    <row r="912" spans="1:14" x14ac:dyDescent="0.25">
      <c r="A912" s="11">
        <v>46037</v>
      </c>
      <c r="B912" s="5" t="s">
        <v>127</v>
      </c>
      <c r="C912" s="3" t="s">
        <v>128</v>
      </c>
      <c r="D912" s="5" t="s">
        <v>114</v>
      </c>
      <c r="E912" s="5" t="s">
        <v>112</v>
      </c>
      <c r="F912" s="6" t="s">
        <v>3</v>
      </c>
      <c r="G912" s="4" t="s">
        <v>2</v>
      </c>
      <c r="H912" s="24">
        <v>1497.59166667</v>
      </c>
      <c r="I912" s="8">
        <v>90.85</v>
      </c>
      <c r="J912" s="9">
        <v>174</v>
      </c>
      <c r="K912" s="7">
        <v>83.15</v>
      </c>
      <c r="L912" s="24">
        <f>+Tabla2[[#This Row],[Stock Inventario]]*Tabla2[[#This Row],[Coste LÃ­nea]]</f>
        <v>260580.95000057999</v>
      </c>
      <c r="M912" s="24">
        <f>+Tabla2[[#This Row],[Variación Stock]]*Tabla2[[#This Row],[Coste LÃ­nea]]</f>
        <v>124524.74708361051</v>
      </c>
      <c r="N912" s="22" t="str">
        <f>+IF(Tabla2[[#This Row],[Variación Stock]]&gt;0,"Sobrante",IF(Tabla2[[#This Row],[Variación Stock]]&lt;0,"Faltante","Sin novedad"))</f>
        <v>Sobrante</v>
      </c>
    </row>
    <row r="913" spans="1:14" x14ac:dyDescent="0.25">
      <c r="A913" s="11">
        <v>46037</v>
      </c>
      <c r="B913" s="5" t="s">
        <v>127</v>
      </c>
      <c r="C913" s="3" t="s">
        <v>128</v>
      </c>
      <c r="D913" s="5" t="s">
        <v>111</v>
      </c>
      <c r="E913" s="5" t="s">
        <v>112</v>
      </c>
      <c r="F913" s="6" t="s">
        <v>17</v>
      </c>
      <c r="G913" s="4" t="s">
        <v>0</v>
      </c>
      <c r="H913" s="24">
        <v>14896.95833333</v>
      </c>
      <c r="I913" s="8">
        <v>34</v>
      </c>
      <c r="J913" s="9">
        <v>34</v>
      </c>
      <c r="K913" s="7">
        <v>0</v>
      </c>
      <c r="L913" s="24">
        <f>+Tabla2[[#This Row],[Stock Inventario]]*Tabla2[[#This Row],[Coste LÃ­nea]]</f>
        <v>506496.58333321998</v>
      </c>
      <c r="M913" s="24">
        <f>+Tabla2[[#This Row],[Variación Stock]]*Tabla2[[#This Row],[Coste LÃ­nea]]</f>
        <v>0</v>
      </c>
      <c r="N913" s="22" t="str">
        <f>+IF(Tabla2[[#This Row],[Variación Stock]]&gt;0,"Sobrante",IF(Tabla2[[#This Row],[Variación Stock]]&lt;0,"Faltante","Sin novedad"))</f>
        <v>Sin novedad</v>
      </c>
    </row>
    <row r="914" spans="1:14" x14ac:dyDescent="0.25">
      <c r="A914" s="11">
        <v>46037</v>
      </c>
      <c r="B914" s="5" t="s">
        <v>127</v>
      </c>
      <c r="C914" s="3" t="s">
        <v>128</v>
      </c>
      <c r="D914" s="5" t="s">
        <v>111</v>
      </c>
      <c r="E914" s="5" t="s">
        <v>112</v>
      </c>
      <c r="F914" s="6" t="s">
        <v>18</v>
      </c>
      <c r="G914" s="4" t="s">
        <v>2</v>
      </c>
      <c r="H914" s="24">
        <v>86743</v>
      </c>
      <c r="I914" s="8">
        <v>0</v>
      </c>
      <c r="J914" s="9">
        <v>0</v>
      </c>
      <c r="K914" s="7">
        <v>0</v>
      </c>
      <c r="L914" s="24">
        <f>+Tabla2[[#This Row],[Stock Inventario]]*Tabla2[[#This Row],[Coste LÃ­nea]]</f>
        <v>0</v>
      </c>
      <c r="M914" s="24">
        <f>+Tabla2[[#This Row],[Variación Stock]]*Tabla2[[#This Row],[Coste LÃ­nea]]</f>
        <v>0</v>
      </c>
      <c r="N914" s="22" t="str">
        <f>+IF(Tabla2[[#This Row],[Variación Stock]]&gt;0,"Sobrante",IF(Tabla2[[#This Row],[Variación Stock]]&lt;0,"Faltante","Sin novedad"))</f>
        <v>Sin novedad</v>
      </c>
    </row>
    <row r="915" spans="1:14" x14ac:dyDescent="0.25">
      <c r="A915" s="11">
        <v>46037</v>
      </c>
      <c r="B915" s="5" t="s">
        <v>127</v>
      </c>
      <c r="C915" s="3" t="s">
        <v>128</v>
      </c>
      <c r="D915" s="5" t="s">
        <v>111</v>
      </c>
      <c r="E915" s="5" t="s">
        <v>112</v>
      </c>
      <c r="F915" s="6" t="s">
        <v>51</v>
      </c>
      <c r="G915" s="4" t="s">
        <v>0</v>
      </c>
      <c r="H915" s="24">
        <v>9738.2016806699994</v>
      </c>
      <c r="I915" s="8">
        <v>35</v>
      </c>
      <c r="J915" s="9">
        <v>35</v>
      </c>
      <c r="K915" s="7">
        <v>0</v>
      </c>
      <c r="L915" s="24">
        <f>+Tabla2[[#This Row],[Stock Inventario]]*Tabla2[[#This Row],[Coste LÃ­nea]]</f>
        <v>340837.05882345</v>
      </c>
      <c r="M915" s="24">
        <f>+Tabla2[[#This Row],[Variación Stock]]*Tabla2[[#This Row],[Coste LÃ­nea]]</f>
        <v>0</v>
      </c>
      <c r="N915" s="22" t="str">
        <f>+IF(Tabla2[[#This Row],[Variación Stock]]&gt;0,"Sobrante",IF(Tabla2[[#This Row],[Variación Stock]]&lt;0,"Faltante","Sin novedad"))</f>
        <v>Sin novedad</v>
      </c>
    </row>
    <row r="916" spans="1:14" x14ac:dyDescent="0.25">
      <c r="A916" s="11">
        <v>46037</v>
      </c>
      <c r="B916" s="5" t="s">
        <v>127</v>
      </c>
      <c r="C916" s="3" t="s">
        <v>128</v>
      </c>
      <c r="D916" s="5" t="s">
        <v>118</v>
      </c>
      <c r="E916" s="5" t="s">
        <v>112</v>
      </c>
      <c r="F916" s="6" t="s">
        <v>174</v>
      </c>
      <c r="G916" s="4" t="s">
        <v>0</v>
      </c>
      <c r="H916" s="24">
        <v>1395.1416666699999</v>
      </c>
      <c r="I916" s="8">
        <v>123</v>
      </c>
      <c r="J916" s="9">
        <v>149</v>
      </c>
      <c r="K916" s="7">
        <v>26</v>
      </c>
      <c r="L916" s="24">
        <f>+Tabla2[[#This Row],[Stock Inventario]]*Tabla2[[#This Row],[Coste LÃ­nea]]</f>
        <v>207876.10833382999</v>
      </c>
      <c r="M916" s="24">
        <f>+Tabla2[[#This Row],[Variación Stock]]*Tabla2[[#This Row],[Coste LÃ­nea]]</f>
        <v>36273.683333419998</v>
      </c>
      <c r="N916" s="22" t="str">
        <f>+IF(Tabla2[[#This Row],[Variación Stock]]&gt;0,"Sobrante",IF(Tabla2[[#This Row],[Variación Stock]]&lt;0,"Faltante","Sin novedad"))</f>
        <v>Sobrante</v>
      </c>
    </row>
    <row r="917" spans="1:14" x14ac:dyDescent="0.25">
      <c r="A917" s="11">
        <v>46037</v>
      </c>
      <c r="B917" s="5" t="s">
        <v>127</v>
      </c>
      <c r="C917" s="3" t="s">
        <v>128</v>
      </c>
      <c r="D917" s="5" t="s">
        <v>111</v>
      </c>
      <c r="E917" s="5" t="s">
        <v>112</v>
      </c>
      <c r="F917" s="6" t="s">
        <v>15</v>
      </c>
      <c r="G917" s="4" t="s">
        <v>0</v>
      </c>
      <c r="H917" s="24">
        <v>12833.33333333</v>
      </c>
      <c r="I917" s="8">
        <v>15</v>
      </c>
      <c r="J917" s="9">
        <v>15</v>
      </c>
      <c r="K917" s="7">
        <v>0</v>
      </c>
      <c r="L917" s="24">
        <f>+Tabla2[[#This Row],[Stock Inventario]]*Tabla2[[#This Row],[Coste LÃ­nea]]</f>
        <v>192499.99999995</v>
      </c>
      <c r="M917" s="24">
        <f>+Tabla2[[#This Row],[Variación Stock]]*Tabla2[[#This Row],[Coste LÃ­nea]]</f>
        <v>0</v>
      </c>
      <c r="N917" s="22" t="str">
        <f>+IF(Tabla2[[#This Row],[Variación Stock]]&gt;0,"Sobrante",IF(Tabla2[[#This Row],[Variación Stock]]&lt;0,"Faltante","Sin novedad"))</f>
        <v>Sin novedad</v>
      </c>
    </row>
    <row r="918" spans="1:14" x14ac:dyDescent="0.25">
      <c r="A918" s="11">
        <v>46037</v>
      </c>
      <c r="B918" s="5" t="s">
        <v>127</v>
      </c>
      <c r="C918" s="3" t="s">
        <v>128</v>
      </c>
      <c r="D918" s="5" t="s">
        <v>111</v>
      </c>
      <c r="E918" s="5" t="s">
        <v>112</v>
      </c>
      <c r="F918" s="6" t="s">
        <v>21</v>
      </c>
      <c r="G918" s="4" t="s">
        <v>0</v>
      </c>
      <c r="H918" s="24">
        <v>15769.5</v>
      </c>
      <c r="I918" s="8">
        <v>29</v>
      </c>
      <c r="J918" s="9">
        <v>29</v>
      </c>
      <c r="K918" s="7">
        <v>0</v>
      </c>
      <c r="L918" s="24">
        <f>+Tabla2[[#This Row],[Stock Inventario]]*Tabla2[[#This Row],[Coste LÃ­nea]]</f>
        <v>457315.5</v>
      </c>
      <c r="M918" s="24">
        <f>+Tabla2[[#This Row],[Variación Stock]]*Tabla2[[#This Row],[Coste LÃ­nea]]</f>
        <v>0</v>
      </c>
      <c r="N918" s="22" t="str">
        <f>+IF(Tabla2[[#This Row],[Variación Stock]]&gt;0,"Sobrante",IF(Tabla2[[#This Row],[Variación Stock]]&lt;0,"Faltante","Sin novedad"))</f>
        <v>Sin novedad</v>
      </c>
    </row>
    <row r="919" spans="1:14" x14ac:dyDescent="0.25">
      <c r="A919" s="11">
        <v>46044</v>
      </c>
      <c r="B919" s="5" t="s">
        <v>358</v>
      </c>
      <c r="C919" s="3" t="s">
        <v>128</v>
      </c>
      <c r="D919" s="5" t="s">
        <v>111</v>
      </c>
      <c r="E919" s="5" t="s">
        <v>112</v>
      </c>
      <c r="F919" s="6" t="s">
        <v>144</v>
      </c>
      <c r="G919" s="4" t="s">
        <v>0</v>
      </c>
      <c r="H919" s="25">
        <v>2120.6896551700002</v>
      </c>
      <c r="I919" s="8">
        <v>65</v>
      </c>
      <c r="J919" s="9">
        <v>130</v>
      </c>
      <c r="K919" s="7">
        <v>65</v>
      </c>
      <c r="L919" s="24">
        <f>+Tabla2[[#This Row],[Stock Inventario]]*Tabla2[[#This Row],[Coste LÃ­nea]]</f>
        <v>275689.6551721</v>
      </c>
      <c r="M919" s="24">
        <f>+Tabla2[[#This Row],[Variación Stock]]*Tabla2[[#This Row],[Coste LÃ­nea]]</f>
        <v>137844.82758605</v>
      </c>
      <c r="N919" s="22" t="str">
        <f>+IF(Tabla2[[#This Row],[Variación Stock]]&gt;0,"Sobrante",IF(Tabla2[[#This Row],[Variación Stock]]&lt;0,"Faltante","Sin novedad"))</f>
        <v>Sobrante</v>
      </c>
    </row>
    <row r="920" spans="1:14" x14ac:dyDescent="0.25">
      <c r="A920" s="11">
        <v>46037</v>
      </c>
      <c r="B920" s="5" t="s">
        <v>127</v>
      </c>
      <c r="C920" s="3" t="s">
        <v>128</v>
      </c>
      <c r="D920" s="5" t="s">
        <v>111</v>
      </c>
      <c r="E920" s="5" t="s">
        <v>112</v>
      </c>
      <c r="F920" s="6" t="s">
        <v>126</v>
      </c>
      <c r="G920" s="4" t="s">
        <v>0</v>
      </c>
      <c r="H920" s="24">
        <v>11532.86363636</v>
      </c>
      <c r="I920" s="8">
        <v>27</v>
      </c>
      <c r="J920" s="9">
        <v>27</v>
      </c>
      <c r="K920" s="7">
        <v>0</v>
      </c>
      <c r="L920" s="24">
        <f>+Tabla2[[#This Row],[Stock Inventario]]*Tabla2[[#This Row],[Coste LÃ­nea]]</f>
        <v>311387.31818171998</v>
      </c>
      <c r="M920" s="24">
        <f>+Tabla2[[#This Row],[Variación Stock]]*Tabla2[[#This Row],[Coste LÃ­nea]]</f>
        <v>0</v>
      </c>
      <c r="N920" s="22" t="str">
        <f>+IF(Tabla2[[#This Row],[Variación Stock]]&gt;0,"Sobrante",IF(Tabla2[[#This Row],[Variación Stock]]&lt;0,"Faltante","Sin novedad"))</f>
        <v>Sin novedad</v>
      </c>
    </row>
    <row r="921" spans="1:14" x14ac:dyDescent="0.25">
      <c r="A921" s="11">
        <v>46037</v>
      </c>
      <c r="B921" s="5" t="s">
        <v>127</v>
      </c>
      <c r="C921" s="3" t="s">
        <v>128</v>
      </c>
      <c r="D921" s="5" t="s">
        <v>114</v>
      </c>
      <c r="E921" s="5" t="s">
        <v>112</v>
      </c>
      <c r="F921" s="6" t="s">
        <v>150</v>
      </c>
      <c r="G921" s="4" t="s">
        <v>2</v>
      </c>
      <c r="H921" s="24">
        <v>3750</v>
      </c>
      <c r="I921" s="8">
        <v>9.9600000000000009</v>
      </c>
      <c r="J921" s="9">
        <v>9</v>
      </c>
      <c r="K921" s="7">
        <v>0</v>
      </c>
      <c r="L921" s="24">
        <f>+Tabla2[[#This Row],[Stock Inventario]]*Tabla2[[#This Row],[Coste LÃ­nea]]</f>
        <v>33750</v>
      </c>
      <c r="M921" s="24">
        <f>+Tabla2[[#This Row],[Variación Stock]]*Tabla2[[#This Row],[Coste LÃ­nea]]</f>
        <v>0</v>
      </c>
      <c r="N921" s="22" t="str">
        <f>+IF(Tabla2[[#This Row],[Variación Stock]]&gt;0,"Sobrante",IF(Tabla2[[#This Row],[Variación Stock]]&lt;0,"Faltante","Sin novedad"))</f>
        <v>Sin novedad</v>
      </c>
    </row>
    <row r="922" spans="1:14" x14ac:dyDescent="0.25">
      <c r="A922" s="11">
        <v>46037</v>
      </c>
      <c r="B922" s="5" t="s">
        <v>127</v>
      </c>
      <c r="C922" s="3" t="s">
        <v>128</v>
      </c>
      <c r="D922" s="5" t="s">
        <v>111</v>
      </c>
      <c r="E922" s="5" t="s">
        <v>112</v>
      </c>
      <c r="F922" s="6" t="s">
        <v>130</v>
      </c>
      <c r="G922" s="4" t="s">
        <v>0</v>
      </c>
      <c r="H922" s="24">
        <v>1997.7272727300001</v>
      </c>
      <c r="I922" s="8">
        <v>-20.8018</v>
      </c>
      <c r="J922" s="9">
        <v>0</v>
      </c>
      <c r="K922" s="7">
        <v>20.801835000000001</v>
      </c>
      <c r="L922" s="24">
        <f>+Tabla2[[#This Row],[Stock Inventario]]*Tabla2[[#This Row],[Coste LÃ­nea]]</f>
        <v>0</v>
      </c>
      <c r="M922" s="24">
        <f>+Tabla2[[#This Row],[Variación Stock]]*Tabla2[[#This Row],[Coste LÃ­nea]]</f>
        <v>41556.393102329464</v>
      </c>
      <c r="N922" s="22" t="str">
        <f>+IF(Tabla2[[#This Row],[Variación Stock]]&gt;0,"Sobrante",IF(Tabla2[[#This Row],[Variación Stock]]&lt;0,"Faltante","Sin novedad"))</f>
        <v>Sobrante</v>
      </c>
    </row>
    <row r="923" spans="1:14" x14ac:dyDescent="0.25">
      <c r="A923" s="11">
        <v>46037</v>
      </c>
      <c r="B923" s="5" t="s">
        <v>127</v>
      </c>
      <c r="C923" s="3" t="s">
        <v>128</v>
      </c>
      <c r="D923" s="5" t="s">
        <v>111</v>
      </c>
      <c r="E923" s="5" t="s">
        <v>112</v>
      </c>
      <c r="F923" s="6" t="s">
        <v>48</v>
      </c>
      <c r="G923" s="4" t="s">
        <v>0</v>
      </c>
      <c r="H923" s="24">
        <v>1729.16666667</v>
      </c>
      <c r="I923" s="8">
        <v>25</v>
      </c>
      <c r="J923" s="9">
        <v>40</v>
      </c>
      <c r="K923" s="7">
        <v>15</v>
      </c>
      <c r="L923" s="24">
        <f>+Tabla2[[#This Row],[Stock Inventario]]*Tabla2[[#This Row],[Coste LÃ­nea]]</f>
        <v>69166.666666799996</v>
      </c>
      <c r="M923" s="24">
        <f>+Tabla2[[#This Row],[Variación Stock]]*Tabla2[[#This Row],[Coste LÃ­nea]]</f>
        <v>25937.50000005</v>
      </c>
      <c r="N923" s="22" t="str">
        <f>+IF(Tabla2[[#This Row],[Variación Stock]]&gt;0,"Sobrante",IF(Tabla2[[#This Row],[Variación Stock]]&lt;0,"Faltante","Sin novedad"))</f>
        <v>Sobrante</v>
      </c>
    </row>
    <row r="924" spans="1:14" x14ac:dyDescent="0.25">
      <c r="A924" s="11">
        <v>46037</v>
      </c>
      <c r="B924" s="5" t="s">
        <v>127</v>
      </c>
      <c r="C924" s="3" t="s">
        <v>128</v>
      </c>
      <c r="D924" s="5" t="s">
        <v>111</v>
      </c>
      <c r="E924" s="5" t="s">
        <v>112</v>
      </c>
      <c r="F924" s="6" t="s">
        <v>133</v>
      </c>
      <c r="G924" s="4" t="s">
        <v>0</v>
      </c>
      <c r="H924" s="24">
        <v>6134.2727272700004</v>
      </c>
      <c r="I924" s="8">
        <v>30</v>
      </c>
      <c r="J924" s="9">
        <v>30</v>
      </c>
      <c r="K924" s="7">
        <v>0</v>
      </c>
      <c r="L924" s="24">
        <f>+Tabla2[[#This Row],[Stock Inventario]]*Tabla2[[#This Row],[Coste LÃ­nea]]</f>
        <v>184028.18181810001</v>
      </c>
      <c r="M924" s="24">
        <f>+Tabla2[[#This Row],[Variación Stock]]*Tabla2[[#This Row],[Coste LÃ­nea]]</f>
        <v>0</v>
      </c>
      <c r="N924" s="22" t="str">
        <f>+IF(Tabla2[[#This Row],[Variación Stock]]&gt;0,"Sobrante",IF(Tabla2[[#This Row],[Variación Stock]]&lt;0,"Faltante","Sin novedad"))</f>
        <v>Sin novedad</v>
      </c>
    </row>
    <row r="925" spans="1:14" x14ac:dyDescent="0.25">
      <c r="A925" s="11">
        <v>46037</v>
      </c>
      <c r="B925" s="5" t="s">
        <v>127</v>
      </c>
      <c r="C925" s="3" t="s">
        <v>128</v>
      </c>
      <c r="D925" s="5" t="s">
        <v>111</v>
      </c>
      <c r="E925" s="5" t="s">
        <v>112</v>
      </c>
      <c r="F925" s="6" t="s">
        <v>134</v>
      </c>
      <c r="G925" s="4" t="s">
        <v>0</v>
      </c>
      <c r="H925" s="24">
        <v>2902.5454545500002</v>
      </c>
      <c r="I925" s="8">
        <v>26</v>
      </c>
      <c r="J925" s="9">
        <v>26</v>
      </c>
      <c r="K925" s="7">
        <v>0</v>
      </c>
      <c r="L925" s="24">
        <f>+Tabla2[[#This Row],[Stock Inventario]]*Tabla2[[#This Row],[Coste LÃ­nea]]</f>
        <v>75466.1818183</v>
      </c>
      <c r="M925" s="24">
        <f>+Tabla2[[#This Row],[Variación Stock]]*Tabla2[[#This Row],[Coste LÃ­nea]]</f>
        <v>0</v>
      </c>
      <c r="N925" s="22" t="str">
        <f>+IF(Tabla2[[#This Row],[Variación Stock]]&gt;0,"Sobrante",IF(Tabla2[[#This Row],[Variación Stock]]&lt;0,"Faltante","Sin novedad"))</f>
        <v>Sin novedad</v>
      </c>
    </row>
    <row r="926" spans="1:14" x14ac:dyDescent="0.25">
      <c r="A926" s="11">
        <v>46037</v>
      </c>
      <c r="B926" s="5" t="s">
        <v>127</v>
      </c>
      <c r="C926" s="3" t="s">
        <v>128</v>
      </c>
      <c r="D926" s="5" t="s">
        <v>111</v>
      </c>
      <c r="E926" s="5" t="s">
        <v>112</v>
      </c>
      <c r="F926" s="6" t="s">
        <v>25</v>
      </c>
      <c r="G926" s="4" t="s">
        <v>0</v>
      </c>
      <c r="H926" s="24">
        <v>5465.125</v>
      </c>
      <c r="I926" s="8">
        <v>22</v>
      </c>
      <c r="J926" s="9">
        <v>22</v>
      </c>
      <c r="K926" s="7">
        <v>0</v>
      </c>
      <c r="L926" s="24">
        <f>+Tabla2[[#This Row],[Stock Inventario]]*Tabla2[[#This Row],[Coste LÃ­nea]]</f>
        <v>120232.75</v>
      </c>
      <c r="M926" s="24">
        <f>+Tabla2[[#This Row],[Variación Stock]]*Tabla2[[#This Row],[Coste LÃ­nea]]</f>
        <v>0</v>
      </c>
      <c r="N926" s="22" t="str">
        <f>+IF(Tabla2[[#This Row],[Variación Stock]]&gt;0,"Sobrante",IF(Tabla2[[#This Row],[Variación Stock]]&lt;0,"Faltante","Sin novedad"))</f>
        <v>Sin novedad</v>
      </c>
    </row>
    <row r="927" spans="1:14" x14ac:dyDescent="0.25">
      <c r="A927" s="11">
        <v>46044</v>
      </c>
      <c r="B927" s="5" t="s">
        <v>358</v>
      </c>
      <c r="C927" s="3" t="s">
        <v>128</v>
      </c>
      <c r="D927" s="5" t="s">
        <v>111</v>
      </c>
      <c r="E927" s="5" t="s">
        <v>112</v>
      </c>
      <c r="F927" s="6" t="s">
        <v>24</v>
      </c>
      <c r="G927" s="4" t="s">
        <v>0</v>
      </c>
      <c r="H927" s="25">
        <v>3359.40909091</v>
      </c>
      <c r="I927" s="8">
        <v>33</v>
      </c>
      <c r="J927" s="9">
        <v>47</v>
      </c>
      <c r="K927" s="7">
        <v>14</v>
      </c>
      <c r="L927" s="24">
        <f>+Tabla2[[#This Row],[Stock Inventario]]*Tabla2[[#This Row],[Coste LÃ­nea]]</f>
        <v>157892.22727276999</v>
      </c>
      <c r="M927" s="24">
        <f>+Tabla2[[#This Row],[Variación Stock]]*Tabla2[[#This Row],[Coste LÃ­nea]]</f>
        <v>47031.727272739998</v>
      </c>
      <c r="N927" s="22" t="str">
        <f>+IF(Tabla2[[#This Row],[Variación Stock]]&gt;0,"Sobrante",IF(Tabla2[[#This Row],[Variación Stock]]&lt;0,"Faltante","Sin novedad"))</f>
        <v>Sobrante</v>
      </c>
    </row>
    <row r="928" spans="1:14" x14ac:dyDescent="0.25">
      <c r="A928" s="11">
        <v>46037</v>
      </c>
      <c r="B928" s="5" t="s">
        <v>127</v>
      </c>
      <c r="C928" s="3" t="s">
        <v>128</v>
      </c>
      <c r="D928" s="5" t="s">
        <v>114</v>
      </c>
      <c r="E928" s="5" t="s">
        <v>112</v>
      </c>
      <c r="F928" s="6" t="s">
        <v>69</v>
      </c>
      <c r="G928" s="4" t="s">
        <v>2</v>
      </c>
      <c r="H928" s="24">
        <v>5133.6000000000004</v>
      </c>
      <c r="I928" s="8">
        <v>15.11</v>
      </c>
      <c r="J928" s="9">
        <v>25</v>
      </c>
      <c r="K928" s="7">
        <v>9.89</v>
      </c>
      <c r="L928" s="24">
        <f>+Tabla2[[#This Row],[Stock Inventario]]*Tabla2[[#This Row],[Coste LÃ­nea]]</f>
        <v>128340.00000000001</v>
      </c>
      <c r="M928" s="24">
        <f>+Tabla2[[#This Row],[Variación Stock]]*Tabla2[[#This Row],[Coste LÃ­nea]]</f>
        <v>50771.304000000004</v>
      </c>
      <c r="N928" s="22" t="str">
        <f>+IF(Tabla2[[#This Row],[Variación Stock]]&gt;0,"Sobrante",IF(Tabla2[[#This Row],[Variación Stock]]&lt;0,"Faltante","Sin novedad"))</f>
        <v>Sobrante</v>
      </c>
    </row>
    <row r="929" spans="1:14" x14ac:dyDescent="0.25">
      <c r="A929" s="11">
        <v>46037</v>
      </c>
      <c r="B929" s="5" t="s">
        <v>127</v>
      </c>
      <c r="C929" s="3" t="s">
        <v>128</v>
      </c>
      <c r="D929" s="5" t="s">
        <v>111</v>
      </c>
      <c r="E929" s="5" t="s">
        <v>112</v>
      </c>
      <c r="F929" s="6" t="s">
        <v>28</v>
      </c>
      <c r="G929" s="4" t="s">
        <v>2</v>
      </c>
      <c r="H929" s="24">
        <v>93956</v>
      </c>
      <c r="I929" s="8">
        <v>2</v>
      </c>
      <c r="J929" s="9">
        <v>2</v>
      </c>
      <c r="K929" s="7">
        <v>0</v>
      </c>
      <c r="L929" s="24">
        <f>+Tabla2[[#This Row],[Stock Inventario]]*Tabla2[[#This Row],[Coste LÃ­nea]]</f>
        <v>187912</v>
      </c>
      <c r="M929" s="24">
        <f>+Tabla2[[#This Row],[Variación Stock]]*Tabla2[[#This Row],[Coste LÃ­nea]]</f>
        <v>0</v>
      </c>
      <c r="N929" s="22" t="str">
        <f>+IF(Tabla2[[#This Row],[Variación Stock]]&gt;0,"Sobrante",IF(Tabla2[[#This Row],[Variación Stock]]&lt;0,"Faltante","Sin novedad"))</f>
        <v>Sin novedad</v>
      </c>
    </row>
    <row r="930" spans="1:14" x14ac:dyDescent="0.25">
      <c r="A930" s="11">
        <v>46037</v>
      </c>
      <c r="B930" s="5" t="s">
        <v>127</v>
      </c>
      <c r="C930" s="3" t="s">
        <v>128</v>
      </c>
      <c r="D930" s="5" t="s">
        <v>111</v>
      </c>
      <c r="E930" s="5" t="s">
        <v>112</v>
      </c>
      <c r="F930" s="6" t="s">
        <v>124</v>
      </c>
      <c r="G930" s="4" t="s">
        <v>0</v>
      </c>
      <c r="H930" s="24">
        <v>10178.95454545</v>
      </c>
      <c r="I930" s="8">
        <v>42</v>
      </c>
      <c r="J930" s="9">
        <v>42</v>
      </c>
      <c r="K930" s="7">
        <v>0</v>
      </c>
      <c r="L930" s="24">
        <f>+Tabla2[[#This Row],[Stock Inventario]]*Tabla2[[#This Row],[Coste LÃ­nea]]</f>
        <v>427516.09090890002</v>
      </c>
      <c r="M930" s="24">
        <f>+Tabla2[[#This Row],[Variación Stock]]*Tabla2[[#This Row],[Coste LÃ­nea]]</f>
        <v>0</v>
      </c>
      <c r="N930" s="22" t="str">
        <f>+IF(Tabla2[[#This Row],[Variación Stock]]&gt;0,"Sobrante",IF(Tabla2[[#This Row],[Variación Stock]]&lt;0,"Faltante","Sin novedad"))</f>
        <v>Sin novedad</v>
      </c>
    </row>
    <row r="931" spans="1:14" x14ac:dyDescent="0.25">
      <c r="A931" s="11">
        <v>46037</v>
      </c>
      <c r="B931" s="5" t="s">
        <v>127</v>
      </c>
      <c r="C931" s="3" t="s">
        <v>128</v>
      </c>
      <c r="D931" s="5" t="s">
        <v>111</v>
      </c>
      <c r="E931" s="5" t="s">
        <v>112</v>
      </c>
      <c r="F931" s="6" t="s">
        <v>29</v>
      </c>
      <c r="G931" s="4" t="s">
        <v>0</v>
      </c>
      <c r="H931" s="24">
        <v>0</v>
      </c>
      <c r="I931" s="8">
        <v>52</v>
      </c>
      <c r="J931" s="9">
        <v>52</v>
      </c>
      <c r="K931" s="7">
        <v>0</v>
      </c>
      <c r="L931" s="24">
        <f>+Tabla2[[#This Row],[Stock Inventario]]*Tabla2[[#This Row],[Coste LÃ­nea]]</f>
        <v>0</v>
      </c>
      <c r="M931" s="24">
        <f>+Tabla2[[#This Row],[Variación Stock]]*Tabla2[[#This Row],[Coste LÃ­nea]]</f>
        <v>0</v>
      </c>
      <c r="N931" s="22" t="str">
        <f>+IF(Tabla2[[#This Row],[Variación Stock]]&gt;0,"Sobrante",IF(Tabla2[[#This Row],[Variación Stock]]&lt;0,"Faltante","Sin novedad"))</f>
        <v>Sin novedad</v>
      </c>
    </row>
    <row r="932" spans="1:14" x14ac:dyDescent="0.25">
      <c r="A932" s="11">
        <v>46037</v>
      </c>
      <c r="B932" s="5" t="s">
        <v>127</v>
      </c>
      <c r="C932" s="3" t="s">
        <v>128</v>
      </c>
      <c r="D932" s="5" t="s">
        <v>114</v>
      </c>
      <c r="E932" s="5" t="s">
        <v>112</v>
      </c>
      <c r="F932" s="6" t="s">
        <v>65</v>
      </c>
      <c r="G932" s="4" t="s">
        <v>2</v>
      </c>
      <c r="H932" s="24">
        <v>5132.5</v>
      </c>
      <c r="I932" s="8">
        <v>20</v>
      </c>
      <c r="J932" s="9">
        <v>29</v>
      </c>
      <c r="K932" s="7">
        <v>9</v>
      </c>
      <c r="L932" s="24">
        <f>+Tabla2[[#This Row],[Stock Inventario]]*Tabla2[[#This Row],[Coste LÃ­nea]]</f>
        <v>148842.5</v>
      </c>
      <c r="M932" s="24">
        <f>+Tabla2[[#This Row],[Variación Stock]]*Tabla2[[#This Row],[Coste LÃ­nea]]</f>
        <v>46192.5</v>
      </c>
      <c r="N932" s="22" t="str">
        <f>+IF(Tabla2[[#This Row],[Variación Stock]]&gt;0,"Sobrante",IF(Tabla2[[#This Row],[Variación Stock]]&lt;0,"Faltante","Sin novedad"))</f>
        <v>Sobrante</v>
      </c>
    </row>
    <row r="933" spans="1:14" x14ac:dyDescent="0.25">
      <c r="A933" s="11">
        <v>46037</v>
      </c>
      <c r="B933" s="5" t="s">
        <v>127</v>
      </c>
      <c r="C933" s="3" t="s">
        <v>128</v>
      </c>
      <c r="D933" s="5" t="s">
        <v>111</v>
      </c>
      <c r="E933" s="5" t="s">
        <v>112</v>
      </c>
      <c r="F933" s="6" t="s">
        <v>24</v>
      </c>
      <c r="G933" s="4" t="s">
        <v>0</v>
      </c>
      <c r="H933" s="24">
        <v>3359.40909091</v>
      </c>
      <c r="I933" s="8">
        <v>59</v>
      </c>
      <c r="J933" s="9">
        <v>72</v>
      </c>
      <c r="K933" s="7">
        <v>13</v>
      </c>
      <c r="L933" s="24">
        <f>+Tabla2[[#This Row],[Stock Inventario]]*Tabla2[[#This Row],[Coste LÃ­nea]]</f>
        <v>241877.45454552001</v>
      </c>
      <c r="M933" s="24">
        <f>+Tabla2[[#This Row],[Variación Stock]]*Tabla2[[#This Row],[Coste LÃ­nea]]</f>
        <v>43672.31818183</v>
      </c>
      <c r="N933" s="22" t="str">
        <f>+IF(Tabla2[[#This Row],[Variación Stock]]&gt;0,"Sobrante",IF(Tabla2[[#This Row],[Variación Stock]]&lt;0,"Faltante","Sin novedad"))</f>
        <v>Sobrante</v>
      </c>
    </row>
    <row r="934" spans="1:14" x14ac:dyDescent="0.25">
      <c r="A934" s="11">
        <v>46037</v>
      </c>
      <c r="B934" s="5" t="s">
        <v>127</v>
      </c>
      <c r="C934" s="3" t="s">
        <v>128</v>
      </c>
      <c r="D934" s="5" t="s">
        <v>111</v>
      </c>
      <c r="E934" s="5" t="s">
        <v>112</v>
      </c>
      <c r="F934" s="6" t="s">
        <v>32</v>
      </c>
      <c r="G934" s="4" t="s">
        <v>0</v>
      </c>
      <c r="H934" s="24">
        <v>8308.1111111099999</v>
      </c>
      <c r="I934" s="8">
        <v>30</v>
      </c>
      <c r="J934" s="9">
        <v>30</v>
      </c>
      <c r="K934" s="7">
        <v>0</v>
      </c>
      <c r="L934" s="24">
        <f>+Tabla2[[#This Row],[Stock Inventario]]*Tabla2[[#This Row],[Coste LÃ­nea]]</f>
        <v>249243.33333329999</v>
      </c>
      <c r="M934" s="24">
        <f>+Tabla2[[#This Row],[Variación Stock]]*Tabla2[[#This Row],[Coste LÃ­nea]]</f>
        <v>0</v>
      </c>
      <c r="N934" s="22" t="str">
        <f>+IF(Tabla2[[#This Row],[Variación Stock]]&gt;0,"Sobrante",IF(Tabla2[[#This Row],[Variación Stock]]&lt;0,"Faltante","Sin novedad"))</f>
        <v>Sin novedad</v>
      </c>
    </row>
    <row r="935" spans="1:14" x14ac:dyDescent="0.25">
      <c r="A935" s="11">
        <v>46037</v>
      </c>
      <c r="B935" s="5" t="s">
        <v>127</v>
      </c>
      <c r="C935" s="3" t="s">
        <v>128</v>
      </c>
      <c r="D935" s="5" t="s">
        <v>111</v>
      </c>
      <c r="E935" s="5" t="s">
        <v>112</v>
      </c>
      <c r="F935" s="6" t="s">
        <v>57</v>
      </c>
      <c r="G935" s="4" t="s">
        <v>0</v>
      </c>
      <c r="H935" s="24">
        <v>2012.98701299</v>
      </c>
      <c r="I935" s="8">
        <v>22</v>
      </c>
      <c r="J935" s="9">
        <v>32</v>
      </c>
      <c r="K935" s="7">
        <v>10</v>
      </c>
      <c r="L935" s="24">
        <f>+Tabla2[[#This Row],[Stock Inventario]]*Tabla2[[#This Row],[Coste LÃ­nea]]</f>
        <v>64415.584415680001</v>
      </c>
      <c r="M935" s="24">
        <f>+Tabla2[[#This Row],[Variación Stock]]*Tabla2[[#This Row],[Coste LÃ­nea]]</f>
        <v>20129.870129900002</v>
      </c>
      <c r="N935" s="22" t="str">
        <f>+IF(Tabla2[[#This Row],[Variación Stock]]&gt;0,"Sobrante",IF(Tabla2[[#This Row],[Variación Stock]]&lt;0,"Faltante","Sin novedad"))</f>
        <v>Sobrante</v>
      </c>
    </row>
    <row r="936" spans="1:14" x14ac:dyDescent="0.25">
      <c r="A936" s="11">
        <v>46037</v>
      </c>
      <c r="B936" s="5" t="s">
        <v>127</v>
      </c>
      <c r="C936" s="3" t="s">
        <v>128</v>
      </c>
      <c r="D936" s="5" t="s">
        <v>111</v>
      </c>
      <c r="E936" s="5" t="s">
        <v>112</v>
      </c>
      <c r="F936" s="6" t="s">
        <v>135</v>
      </c>
      <c r="G936" s="4" t="s">
        <v>0</v>
      </c>
      <c r="H936" s="24">
        <v>4505.9166666700003</v>
      </c>
      <c r="I936" s="8">
        <v>10</v>
      </c>
      <c r="J936" s="9">
        <v>10</v>
      </c>
      <c r="K936" s="7">
        <v>0</v>
      </c>
      <c r="L936" s="24">
        <f>+Tabla2[[#This Row],[Stock Inventario]]*Tabla2[[#This Row],[Coste LÃ­nea]]</f>
        <v>45059.166666700003</v>
      </c>
      <c r="M936" s="24">
        <f>+Tabla2[[#This Row],[Variación Stock]]*Tabla2[[#This Row],[Coste LÃ­nea]]</f>
        <v>0</v>
      </c>
      <c r="N936" s="22" t="str">
        <f>+IF(Tabla2[[#This Row],[Variación Stock]]&gt;0,"Sobrante",IF(Tabla2[[#This Row],[Variación Stock]]&lt;0,"Faltante","Sin novedad"))</f>
        <v>Sin novedad</v>
      </c>
    </row>
    <row r="937" spans="1:14" x14ac:dyDescent="0.25">
      <c r="A937" s="11">
        <v>46037</v>
      </c>
      <c r="B937" s="5" t="s">
        <v>127</v>
      </c>
      <c r="C937" s="3" t="s">
        <v>128</v>
      </c>
      <c r="D937" s="5" t="s">
        <v>111</v>
      </c>
      <c r="E937" s="5" t="s">
        <v>112</v>
      </c>
      <c r="F937" s="6" t="s">
        <v>42</v>
      </c>
      <c r="G937" s="4" t="s">
        <v>0</v>
      </c>
      <c r="H937" s="24">
        <v>4587.75</v>
      </c>
      <c r="I937" s="8">
        <v>0</v>
      </c>
      <c r="J937" s="9">
        <v>0</v>
      </c>
      <c r="K937" s="7">
        <v>0</v>
      </c>
      <c r="L937" s="24">
        <f>+Tabla2[[#This Row],[Stock Inventario]]*Tabla2[[#This Row],[Coste LÃ­nea]]</f>
        <v>0</v>
      </c>
      <c r="M937" s="24">
        <f>+Tabla2[[#This Row],[Variación Stock]]*Tabla2[[#This Row],[Coste LÃ­nea]]</f>
        <v>0</v>
      </c>
      <c r="N937" s="22" t="str">
        <f>+IF(Tabla2[[#This Row],[Variación Stock]]&gt;0,"Sobrante",IF(Tabla2[[#This Row],[Variación Stock]]&lt;0,"Faltante","Sin novedad"))</f>
        <v>Sin novedad</v>
      </c>
    </row>
    <row r="938" spans="1:14" x14ac:dyDescent="0.25">
      <c r="A938" s="11">
        <v>46044</v>
      </c>
      <c r="B938" s="5" t="s">
        <v>358</v>
      </c>
      <c r="C938" s="3" t="s">
        <v>128</v>
      </c>
      <c r="D938" s="5" t="s">
        <v>111</v>
      </c>
      <c r="E938" s="5" t="s">
        <v>112</v>
      </c>
      <c r="F938" s="6" t="s">
        <v>142</v>
      </c>
      <c r="G938" s="4" t="s">
        <v>0</v>
      </c>
      <c r="H938" s="25">
        <v>2961.2083333300002</v>
      </c>
      <c r="I938" s="8">
        <v>50</v>
      </c>
      <c r="J938" s="9">
        <v>58</v>
      </c>
      <c r="K938" s="7">
        <v>8</v>
      </c>
      <c r="L938" s="24">
        <f>+Tabla2[[#This Row],[Stock Inventario]]*Tabla2[[#This Row],[Coste LÃ­nea]]</f>
        <v>171750.08333314001</v>
      </c>
      <c r="M938" s="24">
        <f>+Tabla2[[#This Row],[Variación Stock]]*Tabla2[[#This Row],[Coste LÃ­nea]]</f>
        <v>23689.666666640001</v>
      </c>
      <c r="N938" s="22" t="str">
        <f>+IF(Tabla2[[#This Row],[Variación Stock]]&gt;0,"Sobrante",IF(Tabla2[[#This Row],[Variación Stock]]&lt;0,"Faltante","Sin novedad"))</f>
        <v>Sobrante</v>
      </c>
    </row>
    <row r="939" spans="1:14" x14ac:dyDescent="0.25">
      <c r="A939" s="11">
        <v>46037</v>
      </c>
      <c r="B939" s="5" t="s">
        <v>127</v>
      </c>
      <c r="C939" s="3" t="s">
        <v>128</v>
      </c>
      <c r="D939" s="5" t="s">
        <v>111</v>
      </c>
      <c r="E939" s="5" t="s">
        <v>112</v>
      </c>
      <c r="F939" s="6" t="s">
        <v>33</v>
      </c>
      <c r="G939" s="4" t="s">
        <v>0</v>
      </c>
      <c r="H939" s="24">
        <v>3754.15625</v>
      </c>
      <c r="I939" s="8">
        <v>41</v>
      </c>
      <c r="J939" s="9">
        <v>48</v>
      </c>
      <c r="K939" s="7">
        <v>7</v>
      </c>
      <c r="L939" s="24">
        <f>+Tabla2[[#This Row],[Stock Inventario]]*Tabla2[[#This Row],[Coste LÃ­nea]]</f>
        <v>180199.5</v>
      </c>
      <c r="M939" s="24">
        <f>+Tabla2[[#This Row],[Variación Stock]]*Tabla2[[#This Row],[Coste LÃ­nea]]</f>
        <v>26279.09375</v>
      </c>
      <c r="N939" s="22" t="str">
        <f>+IF(Tabla2[[#This Row],[Variación Stock]]&gt;0,"Sobrante",IF(Tabla2[[#This Row],[Variación Stock]]&lt;0,"Faltante","Sin novedad"))</f>
        <v>Sobrante</v>
      </c>
    </row>
    <row r="940" spans="1:14" x14ac:dyDescent="0.25">
      <c r="A940" s="11">
        <v>46037</v>
      </c>
      <c r="B940" s="5" t="s">
        <v>127</v>
      </c>
      <c r="C940" s="3" t="s">
        <v>128</v>
      </c>
      <c r="D940" s="5" t="s">
        <v>122</v>
      </c>
      <c r="E940" s="5" t="s">
        <v>112</v>
      </c>
      <c r="F940" s="6" t="s">
        <v>97</v>
      </c>
      <c r="G940" s="4" t="s">
        <v>2</v>
      </c>
      <c r="H940" s="24">
        <v>1234.3916666699999</v>
      </c>
      <c r="I940" s="8">
        <v>90</v>
      </c>
      <c r="J940" s="9">
        <v>94</v>
      </c>
      <c r="K940" s="7">
        <v>4</v>
      </c>
      <c r="L940" s="24">
        <f>+Tabla2[[#This Row],[Stock Inventario]]*Tabla2[[#This Row],[Coste LÃ­nea]]</f>
        <v>116032.81666698</v>
      </c>
      <c r="M940" s="24">
        <f>+Tabla2[[#This Row],[Variación Stock]]*Tabla2[[#This Row],[Coste LÃ­nea]]</f>
        <v>4937.5666666799998</v>
      </c>
      <c r="N940" s="22" t="str">
        <f>+IF(Tabla2[[#This Row],[Variación Stock]]&gt;0,"Sobrante",IF(Tabla2[[#This Row],[Variación Stock]]&lt;0,"Faltante","Sin novedad"))</f>
        <v>Sobrante</v>
      </c>
    </row>
    <row r="941" spans="1:14" x14ac:dyDescent="0.25">
      <c r="A941" s="11">
        <v>46044</v>
      </c>
      <c r="B941" s="5" t="s">
        <v>358</v>
      </c>
      <c r="C941" s="3" t="s">
        <v>128</v>
      </c>
      <c r="D941" s="5" t="s">
        <v>111</v>
      </c>
      <c r="E941" s="5" t="s">
        <v>112</v>
      </c>
      <c r="F941" s="6" t="s">
        <v>31</v>
      </c>
      <c r="G941" s="4" t="s">
        <v>0</v>
      </c>
      <c r="H941" s="25">
        <v>6774.5454545499997</v>
      </c>
      <c r="I941" s="8">
        <v>27.36</v>
      </c>
      <c r="J941" s="9">
        <v>33</v>
      </c>
      <c r="K941" s="7">
        <v>5.64</v>
      </c>
      <c r="L941" s="24">
        <f>+Tabla2[[#This Row],[Stock Inventario]]*Tabla2[[#This Row],[Coste LÃ­nea]]</f>
        <v>223560.00000015</v>
      </c>
      <c r="M941" s="24">
        <f>+Tabla2[[#This Row],[Variación Stock]]*Tabla2[[#This Row],[Coste LÃ­nea]]</f>
        <v>38208.436363661996</v>
      </c>
      <c r="N941" s="22" t="str">
        <f>+IF(Tabla2[[#This Row],[Variación Stock]]&gt;0,"Sobrante",IF(Tabla2[[#This Row],[Variación Stock]]&lt;0,"Faltante","Sin novedad"))</f>
        <v>Sobrante</v>
      </c>
    </row>
    <row r="942" spans="1:14" x14ac:dyDescent="0.25">
      <c r="A942" s="11">
        <v>46037</v>
      </c>
      <c r="B942" s="5" t="s">
        <v>127</v>
      </c>
      <c r="C942" s="3" t="s">
        <v>128</v>
      </c>
      <c r="D942" s="5" t="s">
        <v>111</v>
      </c>
      <c r="E942" s="5" t="s">
        <v>112</v>
      </c>
      <c r="F942" s="6" t="s">
        <v>38</v>
      </c>
      <c r="G942" s="4" t="s">
        <v>0</v>
      </c>
      <c r="H942" s="24">
        <v>2244.5833333300002</v>
      </c>
      <c r="I942" s="8">
        <v>30</v>
      </c>
      <c r="J942" s="9">
        <v>35</v>
      </c>
      <c r="K942" s="7">
        <v>5</v>
      </c>
      <c r="L942" s="24">
        <f>+Tabla2[[#This Row],[Stock Inventario]]*Tabla2[[#This Row],[Coste LÃ­nea]]</f>
        <v>78560.416666550009</v>
      </c>
      <c r="M942" s="24">
        <f>+Tabla2[[#This Row],[Variación Stock]]*Tabla2[[#This Row],[Coste LÃ­nea]]</f>
        <v>11222.91666665</v>
      </c>
      <c r="N942" s="22" t="str">
        <f>+IF(Tabla2[[#This Row],[Variación Stock]]&gt;0,"Sobrante",IF(Tabla2[[#This Row],[Variación Stock]]&lt;0,"Faltante","Sin novedad"))</f>
        <v>Sobrante</v>
      </c>
    </row>
    <row r="943" spans="1:14" x14ac:dyDescent="0.25">
      <c r="A943" s="11">
        <v>46037</v>
      </c>
      <c r="B943" s="5" t="s">
        <v>127</v>
      </c>
      <c r="C943" s="3" t="s">
        <v>128</v>
      </c>
      <c r="D943" s="5" t="s">
        <v>111</v>
      </c>
      <c r="E943" s="5" t="s">
        <v>112</v>
      </c>
      <c r="F943" s="6" t="s">
        <v>138</v>
      </c>
      <c r="G943" s="4" t="s">
        <v>0</v>
      </c>
      <c r="H943" s="24">
        <v>4504.1666666700003</v>
      </c>
      <c r="I943" s="8">
        <v>30</v>
      </c>
      <c r="J943" s="9">
        <v>30</v>
      </c>
      <c r="K943" s="7">
        <v>0</v>
      </c>
      <c r="L943" s="24">
        <f>+Tabla2[[#This Row],[Stock Inventario]]*Tabla2[[#This Row],[Coste LÃ­nea]]</f>
        <v>135125.0000001</v>
      </c>
      <c r="M943" s="24">
        <f>+Tabla2[[#This Row],[Variación Stock]]*Tabla2[[#This Row],[Coste LÃ­nea]]</f>
        <v>0</v>
      </c>
      <c r="N943" s="22" t="str">
        <f>+IF(Tabla2[[#This Row],[Variación Stock]]&gt;0,"Sobrante",IF(Tabla2[[#This Row],[Variación Stock]]&lt;0,"Faltante","Sin novedad"))</f>
        <v>Sin novedad</v>
      </c>
    </row>
    <row r="944" spans="1:14" x14ac:dyDescent="0.25">
      <c r="A944" s="11">
        <v>46037</v>
      </c>
      <c r="B944" s="5" t="s">
        <v>127</v>
      </c>
      <c r="C944" s="3" t="s">
        <v>128</v>
      </c>
      <c r="D944" s="5" t="s">
        <v>111</v>
      </c>
      <c r="E944" s="5" t="s">
        <v>112</v>
      </c>
      <c r="F944" s="6" t="s">
        <v>43</v>
      </c>
      <c r="G944" s="4" t="s">
        <v>0</v>
      </c>
      <c r="H944" s="24">
        <v>2796.5</v>
      </c>
      <c r="I944" s="8">
        <v>61</v>
      </c>
      <c r="J944" s="9">
        <v>66</v>
      </c>
      <c r="K944" s="7">
        <v>5</v>
      </c>
      <c r="L944" s="24">
        <f>+Tabla2[[#This Row],[Stock Inventario]]*Tabla2[[#This Row],[Coste LÃ­nea]]</f>
        <v>184569</v>
      </c>
      <c r="M944" s="24">
        <f>+Tabla2[[#This Row],[Variación Stock]]*Tabla2[[#This Row],[Coste LÃ­nea]]</f>
        <v>13982.5</v>
      </c>
      <c r="N944" s="22" t="str">
        <f>+IF(Tabla2[[#This Row],[Variación Stock]]&gt;0,"Sobrante",IF(Tabla2[[#This Row],[Variación Stock]]&lt;0,"Faltante","Sin novedad"))</f>
        <v>Sobrante</v>
      </c>
    </row>
    <row r="945" spans="1:14" hidden="1" x14ac:dyDescent="0.25">
      <c r="A945" s="11">
        <v>46044</v>
      </c>
      <c r="B945" s="5" t="s">
        <v>358</v>
      </c>
      <c r="C945" s="3" t="s">
        <v>128</v>
      </c>
      <c r="D945" s="5" t="s">
        <v>119</v>
      </c>
      <c r="E945" s="5" t="s">
        <v>117</v>
      </c>
      <c r="F945" s="6" t="s">
        <v>192</v>
      </c>
      <c r="G945" s="4" t="s">
        <v>2</v>
      </c>
      <c r="H945" s="25">
        <v>8233.3333333299997</v>
      </c>
      <c r="I945" s="8">
        <v>24</v>
      </c>
      <c r="J945" s="9">
        <v>25</v>
      </c>
      <c r="K945" s="7">
        <v>1</v>
      </c>
      <c r="L945" s="24">
        <f>+Tabla2[[#This Row],[Stock Inventario]]*Tabla2[[#This Row],[Coste LÃ­nea]]</f>
        <v>205833.33333324999</v>
      </c>
      <c r="M945" s="24">
        <f>+Tabla2[[#This Row],[Variación Stock]]*Tabla2[[#This Row],[Coste LÃ­nea]]</f>
        <v>8233.3333333299997</v>
      </c>
      <c r="N945" s="22" t="str">
        <f>+IF(Tabla2[[#This Row],[Variación Stock]]&gt;0,"Sobrante",IF(Tabla2[[#This Row],[Variación Stock]]&lt;0,"Faltante","Sin novedad"))</f>
        <v>Sobrante</v>
      </c>
    </row>
    <row r="946" spans="1:14" x14ac:dyDescent="0.25">
      <c r="A946" s="11">
        <v>46037</v>
      </c>
      <c r="B946" s="5" t="s">
        <v>127</v>
      </c>
      <c r="C946" s="3" t="s">
        <v>128</v>
      </c>
      <c r="D946" s="5" t="s">
        <v>111</v>
      </c>
      <c r="E946" s="5" t="s">
        <v>112</v>
      </c>
      <c r="F946" s="6" t="s">
        <v>46</v>
      </c>
      <c r="G946" s="4" t="s">
        <v>0</v>
      </c>
      <c r="H946" s="24">
        <v>2056.3333333300002</v>
      </c>
      <c r="I946" s="8">
        <v>26</v>
      </c>
      <c r="J946" s="9">
        <v>31</v>
      </c>
      <c r="K946" s="7">
        <v>5</v>
      </c>
      <c r="L946" s="24">
        <f>+Tabla2[[#This Row],[Stock Inventario]]*Tabla2[[#This Row],[Coste LÃ­nea]]</f>
        <v>63746.333333230003</v>
      </c>
      <c r="M946" s="24">
        <f>+Tabla2[[#This Row],[Variación Stock]]*Tabla2[[#This Row],[Coste LÃ­nea]]</f>
        <v>10281.66666665</v>
      </c>
      <c r="N946" s="22" t="str">
        <f>+IF(Tabla2[[#This Row],[Variación Stock]]&gt;0,"Sobrante",IF(Tabla2[[#This Row],[Variación Stock]]&lt;0,"Faltante","Sin novedad"))</f>
        <v>Sobrante</v>
      </c>
    </row>
    <row r="947" spans="1:14" x14ac:dyDescent="0.25">
      <c r="A947" s="11">
        <v>46037</v>
      </c>
      <c r="B947" s="5" t="s">
        <v>127</v>
      </c>
      <c r="C947" s="3" t="s">
        <v>128</v>
      </c>
      <c r="D947" s="5" t="s">
        <v>111</v>
      </c>
      <c r="E947" s="5" t="s">
        <v>112</v>
      </c>
      <c r="F947" s="6" t="s">
        <v>41</v>
      </c>
      <c r="G947" s="4" t="s">
        <v>0</v>
      </c>
      <c r="H947" s="24">
        <v>0</v>
      </c>
      <c r="I947" s="8">
        <v>0</v>
      </c>
      <c r="J947" s="9">
        <v>0</v>
      </c>
      <c r="K947" s="7">
        <v>0</v>
      </c>
      <c r="L947" s="24">
        <f>+Tabla2[[#This Row],[Stock Inventario]]*Tabla2[[#This Row],[Coste LÃ­nea]]</f>
        <v>0</v>
      </c>
      <c r="M947" s="24">
        <f>+Tabla2[[#This Row],[Variación Stock]]*Tabla2[[#This Row],[Coste LÃ­nea]]</f>
        <v>0</v>
      </c>
      <c r="N947" s="22" t="str">
        <f>+IF(Tabla2[[#This Row],[Variación Stock]]&gt;0,"Sobrante",IF(Tabla2[[#This Row],[Variación Stock]]&lt;0,"Faltante","Sin novedad"))</f>
        <v>Sin novedad</v>
      </c>
    </row>
    <row r="948" spans="1:14" x14ac:dyDescent="0.25">
      <c r="A948" s="11">
        <v>46044</v>
      </c>
      <c r="B948" s="5" t="s">
        <v>358</v>
      </c>
      <c r="C948" s="3" t="s">
        <v>128</v>
      </c>
      <c r="D948" s="5" t="s">
        <v>111</v>
      </c>
      <c r="E948" s="5" t="s">
        <v>112</v>
      </c>
      <c r="F948" s="6" t="s">
        <v>33</v>
      </c>
      <c r="G948" s="4" t="s">
        <v>0</v>
      </c>
      <c r="H948" s="25">
        <v>3708.2361111099999</v>
      </c>
      <c r="I948" s="8">
        <v>78</v>
      </c>
      <c r="J948" s="9">
        <v>82</v>
      </c>
      <c r="K948" s="7">
        <v>4</v>
      </c>
      <c r="L948" s="24">
        <f>+Tabla2[[#This Row],[Stock Inventario]]*Tabla2[[#This Row],[Coste LÃ­nea]]</f>
        <v>304075.36111101997</v>
      </c>
      <c r="M948" s="24">
        <f>+Tabla2[[#This Row],[Variación Stock]]*Tabla2[[#This Row],[Coste LÃ­nea]]</f>
        <v>14832.94444444</v>
      </c>
      <c r="N948" s="22" t="str">
        <f>+IF(Tabla2[[#This Row],[Variación Stock]]&gt;0,"Sobrante",IF(Tabla2[[#This Row],[Variación Stock]]&lt;0,"Faltante","Sin novedad"))</f>
        <v>Sobrante</v>
      </c>
    </row>
    <row r="949" spans="1:14" x14ac:dyDescent="0.25">
      <c r="A949" s="11">
        <v>46037</v>
      </c>
      <c r="B949" s="5" t="s">
        <v>127</v>
      </c>
      <c r="C949" s="3" t="s">
        <v>128</v>
      </c>
      <c r="D949" s="5" t="s">
        <v>111</v>
      </c>
      <c r="E949" s="5" t="s">
        <v>112</v>
      </c>
      <c r="F949" s="6" t="s">
        <v>132</v>
      </c>
      <c r="G949" s="4" t="s">
        <v>0</v>
      </c>
      <c r="H949" s="24">
        <v>0</v>
      </c>
      <c r="I949" s="8">
        <v>61</v>
      </c>
      <c r="J949" s="9">
        <v>64</v>
      </c>
      <c r="K949" s="7">
        <v>3</v>
      </c>
      <c r="L949" s="24">
        <f>+Tabla2[[#This Row],[Stock Inventario]]*Tabla2[[#This Row],[Coste LÃ­nea]]</f>
        <v>0</v>
      </c>
      <c r="M949" s="24">
        <f>+Tabla2[[#This Row],[Variación Stock]]*Tabla2[[#This Row],[Coste LÃ­nea]]</f>
        <v>0</v>
      </c>
      <c r="N949" s="22" t="str">
        <f>+IF(Tabla2[[#This Row],[Variación Stock]]&gt;0,"Sobrante",IF(Tabla2[[#This Row],[Variación Stock]]&lt;0,"Faltante","Sin novedad"))</f>
        <v>Sobrante</v>
      </c>
    </row>
    <row r="950" spans="1:14" x14ac:dyDescent="0.25">
      <c r="A950" s="11">
        <v>46037</v>
      </c>
      <c r="B950" s="5" t="s">
        <v>127</v>
      </c>
      <c r="C950" s="3" t="s">
        <v>128</v>
      </c>
      <c r="D950" s="5" t="s">
        <v>111</v>
      </c>
      <c r="E950" s="5" t="s">
        <v>112</v>
      </c>
      <c r="F950" s="6" t="s">
        <v>45</v>
      </c>
      <c r="G950" s="4" t="s">
        <v>2</v>
      </c>
      <c r="H950" s="24">
        <v>26517</v>
      </c>
      <c r="I950" s="8">
        <v>10</v>
      </c>
      <c r="J950" s="9">
        <v>10</v>
      </c>
      <c r="K950" s="7">
        <v>0</v>
      </c>
      <c r="L950" s="24">
        <f>+Tabla2[[#This Row],[Stock Inventario]]*Tabla2[[#This Row],[Coste LÃ­nea]]</f>
        <v>265170</v>
      </c>
      <c r="M950" s="24">
        <f>+Tabla2[[#This Row],[Variación Stock]]*Tabla2[[#This Row],[Coste LÃ­nea]]</f>
        <v>0</v>
      </c>
      <c r="N950" s="22" t="str">
        <f>+IF(Tabla2[[#This Row],[Variación Stock]]&gt;0,"Sobrante",IF(Tabla2[[#This Row],[Variación Stock]]&lt;0,"Faltante","Sin novedad"))</f>
        <v>Sin novedad</v>
      </c>
    </row>
    <row r="951" spans="1:14" x14ac:dyDescent="0.25">
      <c r="A951" s="11">
        <v>46037</v>
      </c>
      <c r="B951" s="5" t="s">
        <v>127</v>
      </c>
      <c r="C951" s="3" t="s">
        <v>128</v>
      </c>
      <c r="D951" s="5" t="s">
        <v>111</v>
      </c>
      <c r="E951" s="5" t="s">
        <v>112</v>
      </c>
      <c r="F951" s="6" t="s">
        <v>36</v>
      </c>
      <c r="G951" s="4" t="s">
        <v>0</v>
      </c>
      <c r="H951" s="24">
        <v>4075.1666666699998</v>
      </c>
      <c r="I951" s="8">
        <v>42</v>
      </c>
      <c r="J951" s="9">
        <v>45</v>
      </c>
      <c r="K951" s="7">
        <v>3</v>
      </c>
      <c r="L951" s="24">
        <f>+Tabla2[[#This Row],[Stock Inventario]]*Tabla2[[#This Row],[Coste LÃ­nea]]</f>
        <v>183382.50000015</v>
      </c>
      <c r="M951" s="24">
        <f>+Tabla2[[#This Row],[Variación Stock]]*Tabla2[[#This Row],[Coste LÃ­nea]]</f>
        <v>12225.500000009999</v>
      </c>
      <c r="N951" s="22" t="str">
        <f>+IF(Tabla2[[#This Row],[Variación Stock]]&gt;0,"Sobrante",IF(Tabla2[[#This Row],[Variación Stock]]&lt;0,"Faltante","Sin novedad"))</f>
        <v>Sobrante</v>
      </c>
    </row>
    <row r="952" spans="1:14" x14ac:dyDescent="0.25">
      <c r="A952" s="11">
        <v>46037</v>
      </c>
      <c r="B952" s="5" t="s">
        <v>127</v>
      </c>
      <c r="C952" s="3" t="s">
        <v>128</v>
      </c>
      <c r="D952" s="5" t="s">
        <v>111</v>
      </c>
      <c r="E952" s="5" t="s">
        <v>112</v>
      </c>
      <c r="F952" s="6" t="s">
        <v>47</v>
      </c>
      <c r="G952" s="4" t="s">
        <v>2</v>
      </c>
      <c r="H952" s="24">
        <v>22770</v>
      </c>
      <c r="I952" s="8">
        <v>4</v>
      </c>
      <c r="J952" s="9">
        <v>4</v>
      </c>
      <c r="K952" s="7">
        <v>0</v>
      </c>
      <c r="L952" s="24">
        <f>+Tabla2[[#This Row],[Stock Inventario]]*Tabla2[[#This Row],[Coste LÃ­nea]]</f>
        <v>91080</v>
      </c>
      <c r="M952" s="24">
        <f>+Tabla2[[#This Row],[Variación Stock]]*Tabla2[[#This Row],[Coste LÃ­nea]]</f>
        <v>0</v>
      </c>
      <c r="N952" s="22" t="str">
        <f>+IF(Tabla2[[#This Row],[Variación Stock]]&gt;0,"Sobrante",IF(Tabla2[[#This Row],[Variación Stock]]&lt;0,"Faltante","Sin novedad"))</f>
        <v>Sin novedad</v>
      </c>
    </row>
    <row r="953" spans="1:14" x14ac:dyDescent="0.25">
      <c r="A953" s="11">
        <v>46037</v>
      </c>
      <c r="B953" s="5" t="s">
        <v>127</v>
      </c>
      <c r="C953" s="3" t="s">
        <v>128</v>
      </c>
      <c r="D953" s="5" t="s">
        <v>111</v>
      </c>
      <c r="E953" s="5" t="s">
        <v>112</v>
      </c>
      <c r="F953" s="6" t="s">
        <v>50</v>
      </c>
      <c r="G953" s="4" t="s">
        <v>0</v>
      </c>
      <c r="H953" s="24">
        <v>1798.58333333</v>
      </c>
      <c r="I953" s="8">
        <v>33</v>
      </c>
      <c r="J953" s="9">
        <v>36</v>
      </c>
      <c r="K953" s="7">
        <v>3</v>
      </c>
      <c r="L953" s="24">
        <f>+Tabla2[[#This Row],[Stock Inventario]]*Tabla2[[#This Row],[Coste LÃ­nea]]</f>
        <v>64748.999999879998</v>
      </c>
      <c r="M953" s="24">
        <f>+Tabla2[[#This Row],[Variación Stock]]*Tabla2[[#This Row],[Coste LÃ­nea]]</f>
        <v>5395.7499999900001</v>
      </c>
      <c r="N953" s="22" t="str">
        <f>+IF(Tabla2[[#This Row],[Variación Stock]]&gt;0,"Sobrante",IF(Tabla2[[#This Row],[Variación Stock]]&lt;0,"Faltante","Sin novedad"))</f>
        <v>Sobrante</v>
      </c>
    </row>
    <row r="954" spans="1:14" x14ac:dyDescent="0.25">
      <c r="A954" s="11">
        <v>46037</v>
      </c>
      <c r="B954" s="5" t="s">
        <v>127</v>
      </c>
      <c r="C954" s="3" t="s">
        <v>128</v>
      </c>
      <c r="D954" s="5" t="s">
        <v>111</v>
      </c>
      <c r="E954" s="5" t="s">
        <v>112</v>
      </c>
      <c r="F954" s="6" t="s">
        <v>49</v>
      </c>
      <c r="G954" s="4" t="s">
        <v>2</v>
      </c>
      <c r="H954" s="24">
        <v>21478</v>
      </c>
      <c r="I954" s="8">
        <v>2</v>
      </c>
      <c r="J954" s="9">
        <v>2</v>
      </c>
      <c r="K954" s="7">
        <v>0</v>
      </c>
      <c r="L954" s="24">
        <f>+Tabla2[[#This Row],[Stock Inventario]]*Tabla2[[#This Row],[Coste LÃ­nea]]</f>
        <v>42956</v>
      </c>
      <c r="M954" s="24">
        <f>+Tabla2[[#This Row],[Variación Stock]]*Tabla2[[#This Row],[Coste LÃ­nea]]</f>
        <v>0</v>
      </c>
      <c r="N954" s="22" t="str">
        <f>+IF(Tabla2[[#This Row],[Variación Stock]]&gt;0,"Sobrante",IF(Tabla2[[#This Row],[Variación Stock]]&lt;0,"Faltante","Sin novedad"))</f>
        <v>Sin novedad</v>
      </c>
    </row>
    <row r="955" spans="1:14" x14ac:dyDescent="0.25">
      <c r="A955" s="11">
        <v>46037</v>
      </c>
      <c r="B955" s="5" t="s">
        <v>127</v>
      </c>
      <c r="C955" s="3" t="s">
        <v>128</v>
      </c>
      <c r="D955" s="5" t="s">
        <v>111</v>
      </c>
      <c r="E955" s="5" t="s">
        <v>112</v>
      </c>
      <c r="F955" s="6" t="s">
        <v>59</v>
      </c>
      <c r="G955" s="4" t="s">
        <v>0</v>
      </c>
      <c r="H955" s="24">
        <v>3103.4482758600002</v>
      </c>
      <c r="I955" s="8">
        <v>136</v>
      </c>
      <c r="J955" s="9">
        <v>139</v>
      </c>
      <c r="K955" s="7">
        <v>3</v>
      </c>
      <c r="L955" s="24">
        <f>+Tabla2[[#This Row],[Stock Inventario]]*Tabla2[[#This Row],[Coste LÃ­nea]]</f>
        <v>431379.31034454005</v>
      </c>
      <c r="M955" s="24">
        <f>+Tabla2[[#This Row],[Variación Stock]]*Tabla2[[#This Row],[Coste LÃ­nea]]</f>
        <v>9310.3448275800001</v>
      </c>
      <c r="N955" s="22" t="str">
        <f>+IF(Tabla2[[#This Row],[Variación Stock]]&gt;0,"Sobrante",IF(Tabla2[[#This Row],[Variación Stock]]&lt;0,"Faltante","Sin novedad"))</f>
        <v>Sobrante</v>
      </c>
    </row>
    <row r="956" spans="1:14" x14ac:dyDescent="0.25">
      <c r="A956" s="11">
        <v>46044</v>
      </c>
      <c r="B956" s="5" t="s">
        <v>358</v>
      </c>
      <c r="C956" s="3" t="s">
        <v>128</v>
      </c>
      <c r="D956" s="5" t="s">
        <v>111</v>
      </c>
      <c r="E956" s="5" t="s">
        <v>112</v>
      </c>
      <c r="F956" s="6" t="s">
        <v>36</v>
      </c>
      <c r="G956" s="4" t="s">
        <v>0</v>
      </c>
      <c r="H956" s="25">
        <v>4075.1666666699998</v>
      </c>
      <c r="I956" s="8">
        <v>23</v>
      </c>
      <c r="J956" s="9">
        <v>26</v>
      </c>
      <c r="K956" s="7">
        <v>3</v>
      </c>
      <c r="L956" s="24">
        <f>+Tabla2[[#This Row],[Stock Inventario]]*Tabla2[[#This Row],[Coste LÃ­nea]]</f>
        <v>105954.33333342</v>
      </c>
      <c r="M956" s="24">
        <f>+Tabla2[[#This Row],[Variación Stock]]*Tabla2[[#This Row],[Coste LÃ­nea]]</f>
        <v>12225.500000009999</v>
      </c>
      <c r="N956" s="22" t="str">
        <f>+IF(Tabla2[[#This Row],[Variación Stock]]&gt;0,"Sobrante",IF(Tabla2[[#This Row],[Variación Stock]]&lt;0,"Faltante","Sin novedad"))</f>
        <v>Sobrante</v>
      </c>
    </row>
    <row r="957" spans="1:14" x14ac:dyDescent="0.25">
      <c r="A957" s="11">
        <v>46037</v>
      </c>
      <c r="B957" s="5" t="s">
        <v>127</v>
      </c>
      <c r="C957" s="3" t="s">
        <v>128</v>
      </c>
      <c r="D957" s="5" t="s">
        <v>111</v>
      </c>
      <c r="E957" s="5" t="s">
        <v>112</v>
      </c>
      <c r="F957" s="6" t="s">
        <v>37</v>
      </c>
      <c r="G957" s="4" t="s">
        <v>0</v>
      </c>
      <c r="H957" s="24">
        <v>4469.0833333299997</v>
      </c>
      <c r="I957" s="8">
        <v>12</v>
      </c>
      <c r="J957" s="9">
        <v>12</v>
      </c>
      <c r="K957" s="7">
        <v>0</v>
      </c>
      <c r="L957" s="24">
        <f>+Tabla2[[#This Row],[Stock Inventario]]*Tabla2[[#This Row],[Coste LÃ­nea]]</f>
        <v>53628.999999959997</v>
      </c>
      <c r="M957" s="24">
        <f>+Tabla2[[#This Row],[Variación Stock]]*Tabla2[[#This Row],[Coste LÃ­nea]]</f>
        <v>0</v>
      </c>
      <c r="N957" s="22" t="str">
        <f>+IF(Tabla2[[#This Row],[Variación Stock]]&gt;0,"Sobrante",IF(Tabla2[[#This Row],[Variación Stock]]&lt;0,"Faltante","Sin novedad"))</f>
        <v>Sin novedad</v>
      </c>
    </row>
    <row r="958" spans="1:14" x14ac:dyDescent="0.25">
      <c r="A958" s="11">
        <v>46037</v>
      </c>
      <c r="B958" s="5" t="s">
        <v>127</v>
      </c>
      <c r="C958" s="3" t="s">
        <v>128</v>
      </c>
      <c r="D958" s="5" t="s">
        <v>111</v>
      </c>
      <c r="E958" s="5" t="s">
        <v>112</v>
      </c>
      <c r="F958" s="6" t="s">
        <v>141</v>
      </c>
      <c r="G958" s="4" t="s">
        <v>0</v>
      </c>
      <c r="H958" s="24">
        <v>0</v>
      </c>
      <c r="I958" s="8">
        <v>0</v>
      </c>
      <c r="J958" s="9">
        <v>0</v>
      </c>
      <c r="K958" s="7">
        <v>0</v>
      </c>
      <c r="L958" s="24">
        <f>+Tabla2[[#This Row],[Stock Inventario]]*Tabla2[[#This Row],[Coste LÃ­nea]]</f>
        <v>0</v>
      </c>
      <c r="M958" s="24">
        <f>+Tabla2[[#This Row],[Variación Stock]]*Tabla2[[#This Row],[Coste LÃ­nea]]</f>
        <v>0</v>
      </c>
      <c r="N958" s="22" t="str">
        <f>+IF(Tabla2[[#This Row],[Variación Stock]]&gt;0,"Sobrante",IF(Tabla2[[#This Row],[Variación Stock]]&lt;0,"Faltante","Sin novedad"))</f>
        <v>Sin novedad</v>
      </c>
    </row>
    <row r="959" spans="1:14" x14ac:dyDescent="0.25">
      <c r="A959" s="11">
        <v>46037</v>
      </c>
      <c r="B959" s="5" t="s">
        <v>127</v>
      </c>
      <c r="C959" s="3" t="s">
        <v>128</v>
      </c>
      <c r="D959" s="5" t="s">
        <v>111</v>
      </c>
      <c r="E959" s="5" t="s">
        <v>112</v>
      </c>
      <c r="F959" s="6" t="s">
        <v>20</v>
      </c>
      <c r="G959" s="4" t="s">
        <v>0</v>
      </c>
      <c r="H959" s="24">
        <v>6839.9166666700003</v>
      </c>
      <c r="I959" s="8">
        <v>14.56</v>
      </c>
      <c r="J959" s="9">
        <v>17</v>
      </c>
      <c r="K959" s="7">
        <v>2.44</v>
      </c>
      <c r="L959" s="24">
        <f>+Tabla2[[#This Row],[Stock Inventario]]*Tabla2[[#This Row],[Coste LÃ­nea]]</f>
        <v>116278.58333339001</v>
      </c>
      <c r="M959" s="24">
        <f>+Tabla2[[#This Row],[Variación Stock]]*Tabla2[[#This Row],[Coste LÃ­nea]]</f>
        <v>16689.396666674802</v>
      </c>
      <c r="N959" s="22" t="str">
        <f>+IF(Tabla2[[#This Row],[Variación Stock]]&gt;0,"Sobrante",IF(Tabla2[[#This Row],[Variación Stock]]&lt;0,"Faltante","Sin novedad"))</f>
        <v>Sobrante</v>
      </c>
    </row>
    <row r="960" spans="1:14" x14ac:dyDescent="0.25">
      <c r="A960" s="11">
        <v>46037</v>
      </c>
      <c r="B960" s="5" t="s">
        <v>127</v>
      </c>
      <c r="C960" s="3" t="s">
        <v>128</v>
      </c>
      <c r="D960" s="5" t="s">
        <v>114</v>
      </c>
      <c r="E960" s="5" t="s">
        <v>112</v>
      </c>
      <c r="F960" s="6" t="s">
        <v>64</v>
      </c>
      <c r="G960" s="4" t="s">
        <v>2</v>
      </c>
      <c r="H960" s="24">
        <v>5132.5</v>
      </c>
      <c r="I960" s="8">
        <v>22</v>
      </c>
      <c r="J960" s="9">
        <v>24</v>
      </c>
      <c r="K960" s="7">
        <v>2</v>
      </c>
      <c r="L960" s="24">
        <f>+Tabla2[[#This Row],[Stock Inventario]]*Tabla2[[#This Row],[Coste LÃ­nea]]</f>
        <v>123180</v>
      </c>
      <c r="M960" s="24">
        <f>+Tabla2[[#This Row],[Variación Stock]]*Tabla2[[#This Row],[Coste LÃ­nea]]</f>
        <v>10265</v>
      </c>
      <c r="N960" s="22" t="str">
        <f>+IF(Tabla2[[#This Row],[Variación Stock]]&gt;0,"Sobrante",IF(Tabla2[[#This Row],[Variación Stock]]&lt;0,"Faltante","Sin novedad"))</f>
        <v>Sobrante</v>
      </c>
    </row>
    <row r="961" spans="1:14" x14ac:dyDescent="0.25">
      <c r="A961" s="11">
        <v>46037</v>
      </c>
      <c r="B961" s="5" t="s">
        <v>127</v>
      </c>
      <c r="C961" s="3" t="s">
        <v>128</v>
      </c>
      <c r="D961" s="5" t="s">
        <v>111</v>
      </c>
      <c r="E961" s="5" t="s">
        <v>112</v>
      </c>
      <c r="F961" s="6" t="s">
        <v>53</v>
      </c>
      <c r="G961" s="4" t="s">
        <v>2</v>
      </c>
      <c r="H961" s="24">
        <v>41250</v>
      </c>
      <c r="I961" s="8">
        <v>2</v>
      </c>
      <c r="J961" s="9">
        <v>2</v>
      </c>
      <c r="K961" s="7">
        <v>0</v>
      </c>
      <c r="L961" s="24">
        <f>+Tabla2[[#This Row],[Stock Inventario]]*Tabla2[[#This Row],[Coste LÃ­nea]]</f>
        <v>82500</v>
      </c>
      <c r="M961" s="24">
        <f>+Tabla2[[#This Row],[Variación Stock]]*Tabla2[[#This Row],[Coste LÃ­nea]]</f>
        <v>0</v>
      </c>
      <c r="N961" s="22" t="str">
        <f>+IF(Tabla2[[#This Row],[Variación Stock]]&gt;0,"Sobrante",IF(Tabla2[[#This Row],[Variación Stock]]&lt;0,"Faltante","Sin novedad"))</f>
        <v>Sin novedad</v>
      </c>
    </row>
    <row r="962" spans="1:14" x14ac:dyDescent="0.25">
      <c r="A962" s="11">
        <v>46037</v>
      </c>
      <c r="B962" s="5" t="s">
        <v>127</v>
      </c>
      <c r="C962" s="3" t="s">
        <v>128</v>
      </c>
      <c r="D962" s="5" t="s">
        <v>111</v>
      </c>
      <c r="E962" s="5" t="s">
        <v>112</v>
      </c>
      <c r="F962" s="6" t="s">
        <v>143</v>
      </c>
      <c r="G962" s="4" t="s">
        <v>2</v>
      </c>
      <c r="H962" s="24">
        <v>24583</v>
      </c>
      <c r="I962" s="8">
        <v>2</v>
      </c>
      <c r="J962" s="9">
        <v>2</v>
      </c>
      <c r="K962" s="7">
        <v>0</v>
      </c>
      <c r="L962" s="24">
        <f>+Tabla2[[#This Row],[Stock Inventario]]*Tabla2[[#This Row],[Coste LÃ­nea]]</f>
        <v>49166</v>
      </c>
      <c r="M962" s="24">
        <f>+Tabla2[[#This Row],[Variación Stock]]*Tabla2[[#This Row],[Coste LÃ­nea]]</f>
        <v>0</v>
      </c>
      <c r="N962" s="22" t="str">
        <f>+IF(Tabla2[[#This Row],[Variación Stock]]&gt;0,"Sobrante",IF(Tabla2[[#This Row],[Variación Stock]]&lt;0,"Faltante","Sin novedad"))</f>
        <v>Sin novedad</v>
      </c>
    </row>
    <row r="963" spans="1:14" x14ac:dyDescent="0.25">
      <c r="A963" s="11">
        <v>46044</v>
      </c>
      <c r="B963" s="5" t="s">
        <v>358</v>
      </c>
      <c r="C963" s="3" t="s">
        <v>128</v>
      </c>
      <c r="D963" s="5" t="s">
        <v>118</v>
      </c>
      <c r="E963" s="5" t="s">
        <v>112</v>
      </c>
      <c r="F963" s="6" t="s">
        <v>174</v>
      </c>
      <c r="G963" s="4" t="s">
        <v>0</v>
      </c>
      <c r="H963" s="25">
        <v>1540.1111111099999</v>
      </c>
      <c r="I963" s="8">
        <v>164</v>
      </c>
      <c r="J963" s="9">
        <v>180</v>
      </c>
      <c r="K963" s="7">
        <v>16</v>
      </c>
      <c r="L963" s="24">
        <f>+Tabla2[[#This Row],[Stock Inventario]]*Tabla2[[#This Row],[Coste LÃ­nea]]</f>
        <v>277219.9999998</v>
      </c>
      <c r="M963" s="24">
        <f>+Tabla2[[#This Row],[Variación Stock]]*Tabla2[[#This Row],[Coste LÃ­nea]]</f>
        <v>24641.777777759999</v>
      </c>
      <c r="N963" s="22" t="str">
        <f>+IF(Tabla2[[#This Row],[Variación Stock]]&gt;0,"Sobrante",IF(Tabla2[[#This Row],[Variación Stock]]&lt;0,"Faltante","Sin novedad"))</f>
        <v>Sobrante</v>
      </c>
    </row>
    <row r="964" spans="1:14" x14ac:dyDescent="0.25">
      <c r="A964" s="11">
        <v>46037</v>
      </c>
      <c r="B964" s="5" t="s">
        <v>127</v>
      </c>
      <c r="C964" s="3" t="s">
        <v>128</v>
      </c>
      <c r="D964" s="5" t="s">
        <v>114</v>
      </c>
      <c r="E964" s="5" t="s">
        <v>112</v>
      </c>
      <c r="F964" s="6" t="s">
        <v>110</v>
      </c>
      <c r="G964" s="4" t="s">
        <v>2</v>
      </c>
      <c r="H964" s="24">
        <v>4126.8333333299997</v>
      </c>
      <c r="I964" s="8">
        <v>4.05</v>
      </c>
      <c r="J964" s="9">
        <v>6</v>
      </c>
      <c r="K964" s="7">
        <v>1.95</v>
      </c>
      <c r="L964" s="24">
        <f>+Tabla2[[#This Row],[Stock Inventario]]*Tabla2[[#This Row],[Coste LÃ­nea]]</f>
        <v>24760.999999979998</v>
      </c>
      <c r="M964" s="24">
        <f>+Tabla2[[#This Row],[Variación Stock]]*Tabla2[[#This Row],[Coste LÃ­nea]]</f>
        <v>8047.3249999934997</v>
      </c>
      <c r="N964" s="22" t="str">
        <f>+IF(Tabla2[[#This Row],[Variación Stock]]&gt;0,"Sobrante",IF(Tabla2[[#This Row],[Variación Stock]]&lt;0,"Faltante","Sin novedad"))</f>
        <v>Sobrante</v>
      </c>
    </row>
    <row r="965" spans="1:14" x14ac:dyDescent="0.25">
      <c r="A965" s="11">
        <v>46037</v>
      </c>
      <c r="B965" s="5" t="s">
        <v>127</v>
      </c>
      <c r="C965" s="3" t="s">
        <v>128</v>
      </c>
      <c r="D965" s="5" t="s">
        <v>114</v>
      </c>
      <c r="E965" s="5" t="s">
        <v>112</v>
      </c>
      <c r="F965" s="6" t="s">
        <v>151</v>
      </c>
      <c r="G965" s="4" t="s">
        <v>2</v>
      </c>
      <c r="H965" s="24">
        <v>40936</v>
      </c>
      <c r="I965" s="8">
        <v>4.05</v>
      </c>
      <c r="J965" s="9">
        <v>6</v>
      </c>
      <c r="K965" s="7">
        <v>1.95</v>
      </c>
      <c r="L965" s="24">
        <f>+Tabla2[[#This Row],[Stock Inventario]]*Tabla2[[#This Row],[Coste LÃ­nea]]</f>
        <v>245616</v>
      </c>
      <c r="M965" s="24">
        <f>+Tabla2[[#This Row],[Variación Stock]]*Tabla2[[#This Row],[Coste LÃ­nea]]</f>
        <v>79825.2</v>
      </c>
      <c r="N965" s="22" t="str">
        <f>+IF(Tabla2[[#This Row],[Variación Stock]]&gt;0,"Sobrante",IF(Tabla2[[#This Row],[Variación Stock]]&lt;0,"Faltante","Sin novedad"))</f>
        <v>Sobrante</v>
      </c>
    </row>
    <row r="966" spans="1:14" x14ac:dyDescent="0.25">
      <c r="A966" s="11">
        <v>46037</v>
      </c>
      <c r="B966" s="5" t="s">
        <v>127</v>
      </c>
      <c r="C966" s="3" t="s">
        <v>128</v>
      </c>
      <c r="D966" s="5" t="s">
        <v>111</v>
      </c>
      <c r="E966" s="5" t="s">
        <v>112</v>
      </c>
      <c r="F966" s="6" t="s">
        <v>56</v>
      </c>
      <c r="G966" s="4" t="s">
        <v>0</v>
      </c>
      <c r="H966" s="24">
        <v>0</v>
      </c>
      <c r="I966" s="8">
        <v>44</v>
      </c>
      <c r="J966" s="9">
        <v>44</v>
      </c>
      <c r="K966" s="7">
        <v>0</v>
      </c>
      <c r="L966" s="24">
        <f>+Tabla2[[#This Row],[Stock Inventario]]*Tabla2[[#This Row],[Coste LÃ­nea]]</f>
        <v>0</v>
      </c>
      <c r="M966" s="24">
        <f>+Tabla2[[#This Row],[Variación Stock]]*Tabla2[[#This Row],[Coste LÃ­nea]]</f>
        <v>0</v>
      </c>
      <c r="N966" s="22" t="str">
        <f>+IF(Tabla2[[#This Row],[Variación Stock]]&gt;0,"Sobrante",IF(Tabla2[[#This Row],[Variación Stock]]&lt;0,"Faltante","Sin novedad"))</f>
        <v>Sin novedad</v>
      </c>
    </row>
    <row r="967" spans="1:14" hidden="1" x14ac:dyDescent="0.25">
      <c r="A967" s="11">
        <v>46037</v>
      </c>
      <c r="B967" s="5" t="s">
        <v>127</v>
      </c>
      <c r="C967" s="3" t="s">
        <v>128</v>
      </c>
      <c r="D967" s="5" t="s">
        <v>119</v>
      </c>
      <c r="E967" s="5" t="s">
        <v>117</v>
      </c>
      <c r="F967" s="6" t="s">
        <v>192</v>
      </c>
      <c r="G967" s="4" t="s">
        <v>2</v>
      </c>
      <c r="H967" s="24">
        <v>7600</v>
      </c>
      <c r="I967" s="8">
        <v>21</v>
      </c>
      <c r="J967" s="9">
        <v>21</v>
      </c>
      <c r="K967" s="7">
        <v>0</v>
      </c>
      <c r="L967" s="24">
        <f>+Tabla2[[#This Row],[Stock Inventario]]*Tabla2[[#This Row],[Coste LÃ­nea]]</f>
        <v>159600</v>
      </c>
      <c r="M967" s="24">
        <f>+Tabla2[[#This Row],[Variación Stock]]*Tabla2[[#This Row],[Coste LÃ­nea]]</f>
        <v>0</v>
      </c>
      <c r="N967" s="22" t="str">
        <f>+IF(Tabla2[[#This Row],[Variación Stock]]&gt;0,"Sobrante",IF(Tabla2[[#This Row],[Variación Stock]]&lt;0,"Faltante","Sin novedad"))</f>
        <v>Sin novedad</v>
      </c>
    </row>
    <row r="968" spans="1:14" hidden="1" x14ac:dyDescent="0.25">
      <c r="A968" s="11">
        <v>46037</v>
      </c>
      <c r="B968" s="5" t="s">
        <v>127</v>
      </c>
      <c r="C968" s="3" t="s">
        <v>128</v>
      </c>
      <c r="D968" s="5" t="s">
        <v>119</v>
      </c>
      <c r="E968" s="5" t="s">
        <v>117</v>
      </c>
      <c r="F968" s="6" t="s">
        <v>201</v>
      </c>
      <c r="G968" s="4" t="s">
        <v>1</v>
      </c>
      <c r="H968" s="24">
        <v>10.00913242</v>
      </c>
      <c r="I968" s="8">
        <v>0</v>
      </c>
      <c r="J968" s="9">
        <v>0</v>
      </c>
      <c r="K968" s="7">
        <v>0</v>
      </c>
      <c r="L968" s="24">
        <f>+Tabla2[[#This Row],[Stock Inventario]]*Tabla2[[#This Row],[Coste LÃ­nea]]</f>
        <v>0</v>
      </c>
      <c r="M968" s="24">
        <f>+Tabla2[[#This Row],[Variación Stock]]*Tabla2[[#This Row],[Coste LÃ­nea]]</f>
        <v>0</v>
      </c>
      <c r="N968" s="22" t="str">
        <f>+IF(Tabla2[[#This Row],[Variación Stock]]&gt;0,"Sobrante",IF(Tabla2[[#This Row],[Variación Stock]]&lt;0,"Faltante","Sin novedad"))</f>
        <v>Sin novedad</v>
      </c>
    </row>
    <row r="969" spans="1:14" x14ac:dyDescent="0.25">
      <c r="A969" s="11">
        <v>46037</v>
      </c>
      <c r="B969" s="5" t="s">
        <v>127</v>
      </c>
      <c r="C969" s="3" t="s">
        <v>128</v>
      </c>
      <c r="D969" s="5" t="s">
        <v>111</v>
      </c>
      <c r="E969" s="5" t="s">
        <v>112</v>
      </c>
      <c r="F969" s="6" t="s">
        <v>129</v>
      </c>
      <c r="G969" s="4" t="s">
        <v>0</v>
      </c>
      <c r="H969" s="24">
        <v>0</v>
      </c>
      <c r="I969" s="8">
        <v>22</v>
      </c>
      <c r="J969" s="9">
        <v>24</v>
      </c>
      <c r="K969" s="7">
        <v>2</v>
      </c>
      <c r="L969" s="24">
        <f>+Tabla2[[#This Row],[Stock Inventario]]*Tabla2[[#This Row],[Coste LÃ­nea]]</f>
        <v>0</v>
      </c>
      <c r="M969" s="24">
        <f>+Tabla2[[#This Row],[Variación Stock]]*Tabla2[[#This Row],[Coste LÃ­nea]]</f>
        <v>0</v>
      </c>
      <c r="N969" s="22" t="str">
        <f>+IF(Tabla2[[#This Row],[Variación Stock]]&gt;0,"Sobrante",IF(Tabla2[[#This Row],[Variación Stock]]&lt;0,"Faltante","Sin novedad"))</f>
        <v>Sobrante</v>
      </c>
    </row>
    <row r="970" spans="1:14" x14ac:dyDescent="0.25">
      <c r="A970" s="11">
        <v>46037</v>
      </c>
      <c r="B970" s="5" t="s">
        <v>127</v>
      </c>
      <c r="C970" s="3" t="s">
        <v>128</v>
      </c>
      <c r="D970" s="5" t="s">
        <v>111</v>
      </c>
      <c r="E970" s="5" t="s">
        <v>112</v>
      </c>
      <c r="F970" s="6" t="s">
        <v>58</v>
      </c>
      <c r="G970" s="4" t="s">
        <v>0</v>
      </c>
      <c r="H970" s="24">
        <v>0</v>
      </c>
      <c r="I970" s="8">
        <v>0</v>
      </c>
      <c r="J970" s="9">
        <v>0</v>
      </c>
      <c r="K970" s="7">
        <v>0</v>
      </c>
      <c r="L970" s="24">
        <f>+Tabla2[[#This Row],[Stock Inventario]]*Tabla2[[#This Row],[Coste LÃ­nea]]</f>
        <v>0</v>
      </c>
      <c r="M970" s="24">
        <f>+Tabla2[[#This Row],[Variación Stock]]*Tabla2[[#This Row],[Coste LÃ­nea]]</f>
        <v>0</v>
      </c>
      <c r="N970" s="22" t="str">
        <f>+IF(Tabla2[[#This Row],[Variación Stock]]&gt;0,"Sobrante",IF(Tabla2[[#This Row],[Variación Stock]]&lt;0,"Faltante","Sin novedad"))</f>
        <v>Sin novedad</v>
      </c>
    </row>
    <row r="971" spans="1:14" x14ac:dyDescent="0.25">
      <c r="A971" s="11">
        <v>46037</v>
      </c>
      <c r="B971" s="5" t="s">
        <v>127</v>
      </c>
      <c r="C971" s="3" t="s">
        <v>128</v>
      </c>
      <c r="D971" s="5" t="s">
        <v>111</v>
      </c>
      <c r="E971" s="5" t="s">
        <v>112</v>
      </c>
      <c r="F971" s="6" t="s">
        <v>16</v>
      </c>
      <c r="G971" s="4" t="s">
        <v>0</v>
      </c>
      <c r="H971" s="24">
        <v>3362.90625</v>
      </c>
      <c r="I971" s="8">
        <v>40</v>
      </c>
      <c r="J971" s="9">
        <v>42</v>
      </c>
      <c r="K971" s="7">
        <v>2</v>
      </c>
      <c r="L971" s="24">
        <f>+Tabla2[[#This Row],[Stock Inventario]]*Tabla2[[#This Row],[Coste LÃ­nea]]</f>
        <v>141242.0625</v>
      </c>
      <c r="M971" s="24">
        <f>+Tabla2[[#This Row],[Variación Stock]]*Tabla2[[#This Row],[Coste LÃ­nea]]</f>
        <v>6725.8125</v>
      </c>
      <c r="N971" s="22" t="str">
        <f>+IF(Tabla2[[#This Row],[Variación Stock]]&gt;0,"Sobrante",IF(Tabla2[[#This Row],[Variación Stock]]&lt;0,"Faltante","Sin novedad"))</f>
        <v>Sobrante</v>
      </c>
    </row>
    <row r="972" spans="1:14" hidden="1" x14ac:dyDescent="0.25">
      <c r="A972" s="11">
        <v>46037</v>
      </c>
      <c r="B972" s="5" t="s">
        <v>127</v>
      </c>
      <c r="C972" s="3" t="s">
        <v>128</v>
      </c>
      <c r="D972" s="5" t="s">
        <v>119</v>
      </c>
      <c r="E972" s="5" t="s">
        <v>117</v>
      </c>
      <c r="F972" s="6" t="s">
        <v>9</v>
      </c>
      <c r="G972" s="4" t="s">
        <v>2</v>
      </c>
      <c r="H972" s="24">
        <v>0</v>
      </c>
      <c r="I972" s="8">
        <v>1577</v>
      </c>
      <c r="J972" s="9">
        <v>1760</v>
      </c>
      <c r="K972" s="7">
        <v>183</v>
      </c>
      <c r="L972" s="24">
        <f>+Tabla2[[#This Row],[Stock Inventario]]*Tabla2[[#This Row],[Coste LÃ­nea]]</f>
        <v>0</v>
      </c>
      <c r="M972" s="24">
        <f>+Tabla2[[#This Row],[Variación Stock]]*Tabla2[[#This Row],[Coste LÃ­nea]]</f>
        <v>0</v>
      </c>
      <c r="N972" s="22" t="str">
        <f>+IF(Tabla2[[#This Row],[Variación Stock]]&gt;0,"Sobrante",IF(Tabla2[[#This Row],[Variación Stock]]&lt;0,"Faltante","Sin novedad"))</f>
        <v>Sobrante</v>
      </c>
    </row>
    <row r="973" spans="1:14" x14ac:dyDescent="0.25">
      <c r="A973" s="11">
        <v>46037</v>
      </c>
      <c r="B973" s="5" t="s">
        <v>127</v>
      </c>
      <c r="C973" s="3" t="s">
        <v>128</v>
      </c>
      <c r="D973" s="5" t="s">
        <v>114</v>
      </c>
      <c r="E973" s="5" t="s">
        <v>112</v>
      </c>
      <c r="F973" s="6" t="s">
        <v>147</v>
      </c>
      <c r="G973" s="4" t="s">
        <v>2</v>
      </c>
      <c r="H973" s="24">
        <v>1944.4444444000001</v>
      </c>
      <c r="I973" s="8">
        <v>0</v>
      </c>
      <c r="J973" s="9">
        <v>0</v>
      </c>
      <c r="K973" s="7">
        <v>0</v>
      </c>
      <c r="L973" s="24">
        <f>+Tabla2[[#This Row],[Stock Inventario]]*Tabla2[[#This Row],[Coste LÃ­nea]]</f>
        <v>0</v>
      </c>
      <c r="M973" s="24">
        <f>+Tabla2[[#This Row],[Variación Stock]]*Tabla2[[#This Row],[Coste LÃ­nea]]</f>
        <v>0</v>
      </c>
      <c r="N973" s="22" t="str">
        <f>+IF(Tabla2[[#This Row],[Variación Stock]]&gt;0,"Sobrante",IF(Tabla2[[#This Row],[Variación Stock]]&lt;0,"Faltante","Sin novedad"))</f>
        <v>Sin novedad</v>
      </c>
    </row>
    <row r="974" spans="1:14" hidden="1" x14ac:dyDescent="0.25">
      <c r="A974" s="11">
        <v>46044</v>
      </c>
      <c r="B974" s="5" t="s">
        <v>358</v>
      </c>
      <c r="C974" s="3" t="s">
        <v>128</v>
      </c>
      <c r="D974" s="5" t="s">
        <v>119</v>
      </c>
      <c r="E974" s="5" t="s">
        <v>117</v>
      </c>
      <c r="F974" s="6" t="s">
        <v>9</v>
      </c>
      <c r="G974" s="4" t="s">
        <v>2</v>
      </c>
      <c r="H974" s="25">
        <v>485.71428571000001</v>
      </c>
      <c r="I974" s="8">
        <v>2137</v>
      </c>
      <c r="J974" s="9">
        <v>2155</v>
      </c>
      <c r="K974" s="7">
        <v>18</v>
      </c>
      <c r="L974" s="24">
        <f>+Tabla2[[#This Row],[Stock Inventario]]*Tabla2[[#This Row],[Coste LÃ­nea]]</f>
        <v>1046714.28570505</v>
      </c>
      <c r="M974" s="24">
        <f>+Tabla2[[#This Row],[Variación Stock]]*Tabla2[[#This Row],[Coste LÃ­nea]]</f>
        <v>8742.8571427799998</v>
      </c>
      <c r="N974" s="22" t="str">
        <f>+IF(Tabla2[[#This Row],[Variación Stock]]&gt;0,"Sobrante",IF(Tabla2[[#This Row],[Variación Stock]]&lt;0,"Faltante","Sin novedad"))</f>
        <v>Sobrante</v>
      </c>
    </row>
    <row r="975" spans="1:14" x14ac:dyDescent="0.25">
      <c r="A975" s="11">
        <v>46037</v>
      </c>
      <c r="B975" s="5" t="s">
        <v>127</v>
      </c>
      <c r="C975" s="3" t="s">
        <v>128</v>
      </c>
      <c r="D975" s="5" t="s">
        <v>114</v>
      </c>
      <c r="E975" s="5" t="s">
        <v>112</v>
      </c>
      <c r="F975" s="6" t="s">
        <v>60</v>
      </c>
      <c r="G975" s="4" t="s">
        <v>2</v>
      </c>
      <c r="H975" s="24">
        <v>2323.74029982</v>
      </c>
      <c r="I975" s="8">
        <v>88</v>
      </c>
      <c r="J975" s="9">
        <v>88</v>
      </c>
      <c r="K975" s="7">
        <v>0</v>
      </c>
      <c r="L975" s="24">
        <f>+Tabla2[[#This Row],[Stock Inventario]]*Tabla2[[#This Row],[Coste LÃ­nea]]</f>
        <v>204489.14638416001</v>
      </c>
      <c r="M975" s="24">
        <f>+Tabla2[[#This Row],[Variación Stock]]*Tabla2[[#This Row],[Coste LÃ­nea]]</f>
        <v>0</v>
      </c>
      <c r="N975" s="22" t="str">
        <f>+IF(Tabla2[[#This Row],[Variación Stock]]&gt;0,"Sobrante",IF(Tabla2[[#This Row],[Variación Stock]]&lt;0,"Faltante","Sin novedad"))</f>
        <v>Sin novedad</v>
      </c>
    </row>
    <row r="976" spans="1:14" x14ac:dyDescent="0.25">
      <c r="A976" s="11">
        <v>46037</v>
      </c>
      <c r="B976" s="5" t="s">
        <v>127</v>
      </c>
      <c r="C976" s="3" t="s">
        <v>128</v>
      </c>
      <c r="D976" s="5" t="s">
        <v>114</v>
      </c>
      <c r="E976" s="5" t="s">
        <v>112</v>
      </c>
      <c r="F976" s="6" t="s">
        <v>61</v>
      </c>
      <c r="G976" s="4" t="s">
        <v>2</v>
      </c>
      <c r="H976" s="24">
        <v>2119.75</v>
      </c>
      <c r="I976" s="8">
        <v>85</v>
      </c>
      <c r="J976" s="9">
        <v>85</v>
      </c>
      <c r="K976" s="7">
        <v>0</v>
      </c>
      <c r="L976" s="24">
        <f>+Tabla2[[#This Row],[Stock Inventario]]*Tabla2[[#This Row],[Coste LÃ­nea]]</f>
        <v>180178.75</v>
      </c>
      <c r="M976" s="24">
        <f>+Tabla2[[#This Row],[Variación Stock]]*Tabla2[[#This Row],[Coste LÃ­nea]]</f>
        <v>0</v>
      </c>
      <c r="N976" s="22" t="str">
        <f>+IF(Tabla2[[#This Row],[Variación Stock]]&gt;0,"Sobrante",IF(Tabla2[[#This Row],[Variación Stock]]&lt;0,"Faltante","Sin novedad"))</f>
        <v>Sin novedad</v>
      </c>
    </row>
    <row r="977" spans="1:14" hidden="1" x14ac:dyDescent="0.25">
      <c r="A977" s="11">
        <v>46037</v>
      </c>
      <c r="B977" s="5" t="s">
        <v>127</v>
      </c>
      <c r="C977" s="3" t="s">
        <v>128</v>
      </c>
      <c r="D977" s="5" t="s">
        <v>119</v>
      </c>
      <c r="E977" s="5" t="s">
        <v>117</v>
      </c>
      <c r="F977" s="6" t="s">
        <v>193</v>
      </c>
      <c r="G977" s="4" t="s">
        <v>1</v>
      </c>
      <c r="H977" s="24">
        <v>59</v>
      </c>
      <c r="I977" s="8">
        <v>-100</v>
      </c>
      <c r="J977" s="9">
        <v>27</v>
      </c>
      <c r="K977" s="7">
        <v>-1074</v>
      </c>
      <c r="L977" s="24">
        <f>+Tabla2[[#This Row],[Stock Inventario]]*Tabla2[[#This Row],[Coste LÃ­nea]]</f>
        <v>1593</v>
      </c>
      <c r="M977" s="24">
        <f>+Tabla2[[#This Row],[Variación Stock]]*Tabla2[[#This Row],[Coste LÃ­nea]]</f>
        <v>-63366</v>
      </c>
      <c r="N977" s="22" t="str">
        <f>+IF(Tabla2[[#This Row],[Variación Stock]]&gt;0,"Sobrante",IF(Tabla2[[#This Row],[Variación Stock]]&lt;0,"Faltante","Sin novedad"))</f>
        <v>Faltante</v>
      </c>
    </row>
    <row r="978" spans="1:14" x14ac:dyDescent="0.25">
      <c r="A978" s="11">
        <v>46037</v>
      </c>
      <c r="B978" s="5" t="s">
        <v>127</v>
      </c>
      <c r="C978" s="3" t="s">
        <v>128</v>
      </c>
      <c r="D978" s="5" t="s">
        <v>114</v>
      </c>
      <c r="E978" s="5" t="s">
        <v>112</v>
      </c>
      <c r="F978" s="6" t="s">
        <v>63</v>
      </c>
      <c r="G978" s="4" t="s">
        <v>2</v>
      </c>
      <c r="H978" s="24">
        <v>1395.83333333</v>
      </c>
      <c r="I978" s="8">
        <v>17</v>
      </c>
      <c r="J978" s="9">
        <v>17</v>
      </c>
      <c r="K978" s="7">
        <v>0</v>
      </c>
      <c r="L978" s="24">
        <f>+Tabla2[[#This Row],[Stock Inventario]]*Tabla2[[#This Row],[Coste LÃ­nea]]</f>
        <v>23729.166666609999</v>
      </c>
      <c r="M978" s="24">
        <f>+Tabla2[[#This Row],[Variación Stock]]*Tabla2[[#This Row],[Coste LÃ­nea]]</f>
        <v>0</v>
      </c>
      <c r="N978" s="22" t="str">
        <f>+IF(Tabla2[[#This Row],[Variación Stock]]&gt;0,"Sobrante",IF(Tabla2[[#This Row],[Variación Stock]]&lt;0,"Faltante","Sin novedad"))</f>
        <v>Sin novedad</v>
      </c>
    </row>
    <row r="979" spans="1:14" hidden="1" x14ac:dyDescent="0.25">
      <c r="A979" s="11">
        <v>46044</v>
      </c>
      <c r="B979" s="5" t="s">
        <v>358</v>
      </c>
      <c r="C979" s="3" t="s">
        <v>128</v>
      </c>
      <c r="D979" s="5" t="s">
        <v>119</v>
      </c>
      <c r="E979" s="5" t="s">
        <v>117</v>
      </c>
      <c r="F979" s="6" t="s">
        <v>193</v>
      </c>
      <c r="G979" s="4" t="s">
        <v>1</v>
      </c>
      <c r="H979" s="25">
        <v>62.6</v>
      </c>
      <c r="I979" s="8">
        <v>1302</v>
      </c>
      <c r="J979" s="9">
        <v>31.3</v>
      </c>
      <c r="K979" s="7">
        <v>-1270.7</v>
      </c>
      <c r="L979" s="24">
        <f>+Tabla2[[#This Row],[Stock Inventario]]*Tabla2[[#This Row],[Coste LÃ­nea]]</f>
        <v>1959.38</v>
      </c>
      <c r="M979" s="24">
        <f>+Tabla2[[#This Row],[Variación Stock]]*Tabla2[[#This Row],[Coste LÃ­nea]]</f>
        <v>-79545.820000000007</v>
      </c>
      <c r="N979" s="22" t="str">
        <f>+IF(Tabla2[[#This Row],[Variación Stock]]&gt;0,"Sobrante",IF(Tabla2[[#This Row],[Variación Stock]]&lt;0,"Faltante","Sin novedad"))</f>
        <v>Faltante</v>
      </c>
    </row>
    <row r="980" spans="1:14" x14ac:dyDescent="0.25">
      <c r="A980" s="11">
        <v>46037</v>
      </c>
      <c r="B980" s="5" t="s">
        <v>127</v>
      </c>
      <c r="C980" s="3" t="s">
        <v>128</v>
      </c>
      <c r="D980" s="5" t="s">
        <v>114</v>
      </c>
      <c r="E980" s="5" t="s">
        <v>112</v>
      </c>
      <c r="F980" s="6" t="s">
        <v>66</v>
      </c>
      <c r="G980" s="4" t="s">
        <v>2</v>
      </c>
      <c r="H980" s="24">
        <v>4986.0833333299997</v>
      </c>
      <c r="I980" s="8">
        <v>23</v>
      </c>
      <c r="J980" s="9">
        <v>23</v>
      </c>
      <c r="K980" s="7">
        <v>0</v>
      </c>
      <c r="L980" s="24">
        <f>+Tabla2[[#This Row],[Stock Inventario]]*Tabla2[[#This Row],[Coste LÃ­nea]]</f>
        <v>114679.91666659</v>
      </c>
      <c r="M980" s="24">
        <f>+Tabla2[[#This Row],[Variación Stock]]*Tabla2[[#This Row],[Coste LÃ­nea]]</f>
        <v>0</v>
      </c>
      <c r="N980" s="22" t="str">
        <f>+IF(Tabla2[[#This Row],[Variación Stock]]&gt;0,"Sobrante",IF(Tabla2[[#This Row],[Variación Stock]]&lt;0,"Faltante","Sin novedad"))</f>
        <v>Sin novedad</v>
      </c>
    </row>
    <row r="981" spans="1:14" x14ac:dyDescent="0.25">
      <c r="A981" s="11">
        <v>46037</v>
      </c>
      <c r="B981" s="5" t="s">
        <v>127</v>
      </c>
      <c r="C981" s="3" t="s">
        <v>128</v>
      </c>
      <c r="D981" s="5" t="s">
        <v>114</v>
      </c>
      <c r="E981" s="5" t="s">
        <v>112</v>
      </c>
      <c r="F981" s="6" t="s">
        <v>68</v>
      </c>
      <c r="G981" s="4" t="s">
        <v>2</v>
      </c>
      <c r="H981" s="24">
        <v>4986.1393557499996</v>
      </c>
      <c r="I981" s="8">
        <v>5</v>
      </c>
      <c r="J981" s="9">
        <v>5</v>
      </c>
      <c r="K981" s="7">
        <v>0</v>
      </c>
      <c r="L981" s="24">
        <f>+Tabla2[[#This Row],[Stock Inventario]]*Tabla2[[#This Row],[Coste LÃ­nea]]</f>
        <v>24930.696778749996</v>
      </c>
      <c r="M981" s="24">
        <f>+Tabla2[[#This Row],[Variación Stock]]*Tabla2[[#This Row],[Coste LÃ­nea]]</f>
        <v>0</v>
      </c>
      <c r="N981" s="22" t="str">
        <f>+IF(Tabla2[[#This Row],[Variación Stock]]&gt;0,"Sobrante",IF(Tabla2[[#This Row],[Variación Stock]]&lt;0,"Faltante","Sin novedad"))</f>
        <v>Sin novedad</v>
      </c>
    </row>
    <row r="982" spans="1:14" hidden="1" x14ac:dyDescent="0.25">
      <c r="A982" s="11">
        <v>46037</v>
      </c>
      <c r="B982" s="5" t="s">
        <v>127</v>
      </c>
      <c r="C982" s="3" t="s">
        <v>128</v>
      </c>
      <c r="D982" s="5" t="s">
        <v>116</v>
      </c>
      <c r="E982" s="5" t="s">
        <v>117</v>
      </c>
      <c r="F982" s="6" t="s">
        <v>157</v>
      </c>
      <c r="G982" s="4" t="s">
        <v>1</v>
      </c>
      <c r="H982" s="24">
        <v>34</v>
      </c>
      <c r="I982" s="8">
        <v>-1599.9983999999999</v>
      </c>
      <c r="J982" s="9">
        <v>0</v>
      </c>
      <c r="K982" s="7">
        <v>1599.9983999999999</v>
      </c>
      <c r="L982" s="24">
        <f>+Tabla2[[#This Row],[Stock Inventario]]*Tabla2[[#This Row],[Coste LÃ­nea]]</f>
        <v>0</v>
      </c>
      <c r="M982" s="24">
        <f>+Tabla2[[#This Row],[Variación Stock]]*Tabla2[[#This Row],[Coste LÃ­nea]]</f>
        <v>54399.945599999999</v>
      </c>
      <c r="N982" s="22" t="str">
        <f>+IF(Tabla2[[#This Row],[Variación Stock]]&gt;0,"Sobrante",IF(Tabla2[[#This Row],[Variación Stock]]&lt;0,"Faltante","Sin novedad"))</f>
        <v>Sobrante</v>
      </c>
    </row>
    <row r="983" spans="1:14" x14ac:dyDescent="0.25">
      <c r="A983" s="11">
        <v>46037</v>
      </c>
      <c r="B983" s="5" t="s">
        <v>127</v>
      </c>
      <c r="C983" s="3" t="s">
        <v>128</v>
      </c>
      <c r="D983" s="5" t="s">
        <v>114</v>
      </c>
      <c r="E983" s="5" t="s">
        <v>112</v>
      </c>
      <c r="F983" s="6" t="s">
        <v>148</v>
      </c>
      <c r="G983" s="4" t="s">
        <v>2</v>
      </c>
      <c r="H983" s="24">
        <v>4986.1810224199999</v>
      </c>
      <c r="I983" s="8">
        <v>0</v>
      </c>
      <c r="J983" s="9">
        <v>0</v>
      </c>
      <c r="K983" s="7">
        <v>0</v>
      </c>
      <c r="L983" s="24">
        <f>+Tabla2[[#This Row],[Stock Inventario]]*Tabla2[[#This Row],[Coste LÃ­nea]]</f>
        <v>0</v>
      </c>
      <c r="M983" s="24">
        <f>+Tabla2[[#This Row],[Variación Stock]]*Tabla2[[#This Row],[Coste LÃ­nea]]</f>
        <v>0</v>
      </c>
      <c r="N983" s="22" t="str">
        <f>+IF(Tabla2[[#This Row],[Variación Stock]]&gt;0,"Sobrante",IF(Tabla2[[#This Row],[Variación Stock]]&lt;0,"Faltante","Sin novedad"))</f>
        <v>Sin novedad</v>
      </c>
    </row>
    <row r="984" spans="1:14" x14ac:dyDescent="0.25">
      <c r="A984" s="11">
        <v>46037</v>
      </c>
      <c r="B984" s="5" t="s">
        <v>127</v>
      </c>
      <c r="C984" s="3" t="s">
        <v>128</v>
      </c>
      <c r="D984" s="5" t="s">
        <v>114</v>
      </c>
      <c r="E984" s="5" t="s">
        <v>112</v>
      </c>
      <c r="F984" s="6" t="s">
        <v>149</v>
      </c>
      <c r="G984" s="4" t="s">
        <v>2</v>
      </c>
      <c r="H984" s="24">
        <v>4986.0833333299997</v>
      </c>
      <c r="I984" s="8">
        <v>0</v>
      </c>
      <c r="J984" s="9">
        <v>0</v>
      </c>
      <c r="K984" s="7">
        <v>0</v>
      </c>
      <c r="L984" s="24">
        <f>+Tabla2[[#This Row],[Stock Inventario]]*Tabla2[[#This Row],[Coste LÃ­nea]]</f>
        <v>0</v>
      </c>
      <c r="M984" s="24">
        <f>+Tabla2[[#This Row],[Variación Stock]]*Tabla2[[#This Row],[Coste LÃ­nea]]</f>
        <v>0</v>
      </c>
      <c r="N984" s="22" t="str">
        <f>+IF(Tabla2[[#This Row],[Variación Stock]]&gt;0,"Sobrante",IF(Tabla2[[#This Row],[Variación Stock]]&lt;0,"Faltante","Sin novedad"))</f>
        <v>Sin novedad</v>
      </c>
    </row>
    <row r="985" spans="1:14" hidden="1" x14ac:dyDescent="0.25">
      <c r="A985" s="11">
        <v>46044</v>
      </c>
      <c r="B985" s="5" t="s">
        <v>358</v>
      </c>
      <c r="C985" s="3" t="s">
        <v>128</v>
      </c>
      <c r="D985" s="5" t="s">
        <v>116</v>
      </c>
      <c r="E985" s="5" t="s">
        <v>117</v>
      </c>
      <c r="F985" s="6" t="s">
        <v>157</v>
      </c>
      <c r="G985" s="4" t="s">
        <v>1</v>
      </c>
      <c r="H985" s="25">
        <v>34</v>
      </c>
      <c r="I985" s="8">
        <v>0</v>
      </c>
      <c r="J985" s="9">
        <v>0</v>
      </c>
      <c r="K985" s="7">
        <v>0</v>
      </c>
      <c r="L985" s="24">
        <f>+Tabla2[[#This Row],[Stock Inventario]]*Tabla2[[#This Row],[Coste LÃ­nea]]</f>
        <v>0</v>
      </c>
      <c r="M985" s="24">
        <f>+Tabla2[[#This Row],[Variación Stock]]*Tabla2[[#This Row],[Coste LÃ­nea]]</f>
        <v>0</v>
      </c>
      <c r="N985" s="22" t="str">
        <f>+IF(Tabla2[[#This Row],[Variación Stock]]&gt;0,"Sobrante",IF(Tabla2[[#This Row],[Variación Stock]]&lt;0,"Faltante","Sin novedad"))</f>
        <v>Sin novedad</v>
      </c>
    </row>
    <row r="986" spans="1:14" x14ac:dyDescent="0.25">
      <c r="A986" s="11">
        <v>46037</v>
      </c>
      <c r="B986" s="5" t="s">
        <v>127</v>
      </c>
      <c r="C986" s="3" t="s">
        <v>128</v>
      </c>
      <c r="D986" s="5" t="s">
        <v>111</v>
      </c>
      <c r="E986" s="5" t="s">
        <v>112</v>
      </c>
      <c r="F986" s="6" t="s">
        <v>30</v>
      </c>
      <c r="G986" s="4" t="s">
        <v>0</v>
      </c>
      <c r="H986" s="24">
        <v>4008.2727272699999</v>
      </c>
      <c r="I986" s="8">
        <v>12</v>
      </c>
      <c r="J986" s="9">
        <v>14</v>
      </c>
      <c r="K986" s="7">
        <v>2</v>
      </c>
      <c r="L986" s="24">
        <f>+Tabla2[[#This Row],[Stock Inventario]]*Tabla2[[#This Row],[Coste LÃ­nea]]</f>
        <v>56115.81818178</v>
      </c>
      <c r="M986" s="24">
        <f>+Tabla2[[#This Row],[Variación Stock]]*Tabla2[[#This Row],[Coste LÃ­nea]]</f>
        <v>8016.5454545399998</v>
      </c>
      <c r="N986" s="22" t="str">
        <f>+IF(Tabla2[[#This Row],[Variación Stock]]&gt;0,"Sobrante",IF(Tabla2[[#This Row],[Variación Stock]]&lt;0,"Faltante","Sin novedad"))</f>
        <v>Sobrante</v>
      </c>
    </row>
    <row r="987" spans="1:14" x14ac:dyDescent="0.25">
      <c r="A987" s="11">
        <v>46037</v>
      </c>
      <c r="B987" s="5" t="s">
        <v>127</v>
      </c>
      <c r="C987" s="3" t="s">
        <v>128</v>
      </c>
      <c r="D987" s="5" t="s">
        <v>114</v>
      </c>
      <c r="E987" s="5" t="s">
        <v>112</v>
      </c>
      <c r="F987" s="6" t="s">
        <v>70</v>
      </c>
      <c r="G987" s="4" t="s">
        <v>2</v>
      </c>
      <c r="H987" s="24">
        <v>983.33333332999996</v>
      </c>
      <c r="I987" s="8">
        <v>0</v>
      </c>
      <c r="J987" s="9">
        <v>0</v>
      </c>
      <c r="K987" s="7">
        <v>0</v>
      </c>
      <c r="L987" s="24">
        <f>+Tabla2[[#This Row],[Stock Inventario]]*Tabla2[[#This Row],[Coste LÃ­nea]]</f>
        <v>0</v>
      </c>
      <c r="M987" s="24">
        <f>+Tabla2[[#This Row],[Variación Stock]]*Tabla2[[#This Row],[Coste LÃ­nea]]</f>
        <v>0</v>
      </c>
      <c r="N987" s="22" t="str">
        <f>+IF(Tabla2[[#This Row],[Variación Stock]]&gt;0,"Sobrante",IF(Tabla2[[#This Row],[Variación Stock]]&lt;0,"Faltante","Sin novedad"))</f>
        <v>Sin novedad</v>
      </c>
    </row>
    <row r="988" spans="1:14" x14ac:dyDescent="0.25">
      <c r="A988" s="11">
        <v>46037</v>
      </c>
      <c r="B988" s="5" t="s">
        <v>127</v>
      </c>
      <c r="C988" s="3" t="s">
        <v>128</v>
      </c>
      <c r="D988" s="5" t="s">
        <v>111</v>
      </c>
      <c r="E988" s="5" t="s">
        <v>112</v>
      </c>
      <c r="F988" s="6" t="s">
        <v>139</v>
      </c>
      <c r="G988" s="4" t="s">
        <v>0</v>
      </c>
      <c r="H988" s="24">
        <v>3647.9545454499998</v>
      </c>
      <c r="I988" s="8">
        <v>63</v>
      </c>
      <c r="J988" s="9">
        <v>65</v>
      </c>
      <c r="K988" s="7">
        <v>2</v>
      </c>
      <c r="L988" s="24">
        <f>+Tabla2[[#This Row],[Stock Inventario]]*Tabla2[[#This Row],[Coste LÃ­nea]]</f>
        <v>237117.04545424998</v>
      </c>
      <c r="M988" s="24">
        <f>+Tabla2[[#This Row],[Variación Stock]]*Tabla2[[#This Row],[Coste LÃ­nea]]</f>
        <v>7295.9090908999997</v>
      </c>
      <c r="N988" s="22" t="str">
        <f>+IF(Tabla2[[#This Row],[Variación Stock]]&gt;0,"Sobrante",IF(Tabla2[[#This Row],[Variación Stock]]&lt;0,"Faltante","Sin novedad"))</f>
        <v>Sobrante</v>
      </c>
    </row>
    <row r="989" spans="1:14" hidden="1" x14ac:dyDescent="0.25">
      <c r="A989" s="11">
        <v>46037</v>
      </c>
      <c r="B989" s="5" t="s">
        <v>127</v>
      </c>
      <c r="C989" s="3" t="s">
        <v>128</v>
      </c>
      <c r="D989" s="5" t="s">
        <v>119</v>
      </c>
      <c r="E989" s="5" t="s">
        <v>117</v>
      </c>
      <c r="F989" s="6" t="s">
        <v>194</v>
      </c>
      <c r="G989" s="4" t="s">
        <v>1</v>
      </c>
      <c r="H989" s="24">
        <v>0</v>
      </c>
      <c r="I989" s="8">
        <v>-7659.8243000000002</v>
      </c>
      <c r="J989" s="9">
        <v>0</v>
      </c>
      <c r="K989" s="7">
        <v>7659.8242970000001</v>
      </c>
      <c r="L989" s="24">
        <f>+Tabla2[[#This Row],[Stock Inventario]]*Tabla2[[#This Row],[Coste LÃ­nea]]</f>
        <v>0</v>
      </c>
      <c r="M989" s="24">
        <f>+Tabla2[[#This Row],[Variación Stock]]*Tabla2[[#This Row],[Coste LÃ­nea]]</f>
        <v>0</v>
      </c>
      <c r="N989" s="22" t="str">
        <f>+IF(Tabla2[[#This Row],[Variación Stock]]&gt;0,"Sobrante",IF(Tabla2[[#This Row],[Variación Stock]]&lt;0,"Faltante","Sin novedad"))</f>
        <v>Sobrante</v>
      </c>
    </row>
    <row r="990" spans="1:14" hidden="1" x14ac:dyDescent="0.25">
      <c r="A990" s="11">
        <v>46044</v>
      </c>
      <c r="B990" s="5" t="s">
        <v>358</v>
      </c>
      <c r="C990" s="3" t="s">
        <v>128</v>
      </c>
      <c r="D990" s="5" t="s">
        <v>119</v>
      </c>
      <c r="E990" s="5" t="s">
        <v>117</v>
      </c>
      <c r="F990" s="6" t="s">
        <v>194</v>
      </c>
      <c r="G990" s="4" t="s">
        <v>1</v>
      </c>
      <c r="H990" s="25">
        <v>0</v>
      </c>
      <c r="I990" s="8">
        <v>-2000</v>
      </c>
      <c r="J990" s="9">
        <v>0</v>
      </c>
      <c r="K990" s="7">
        <v>2000</v>
      </c>
      <c r="L990" s="24">
        <f>+Tabla2[[#This Row],[Stock Inventario]]*Tabla2[[#This Row],[Coste LÃ­nea]]</f>
        <v>0</v>
      </c>
      <c r="M990" s="24">
        <f>+Tabla2[[#This Row],[Variación Stock]]*Tabla2[[#This Row],[Coste LÃ­nea]]</f>
        <v>0</v>
      </c>
      <c r="N990" s="22" t="str">
        <f>+IF(Tabla2[[#This Row],[Variación Stock]]&gt;0,"Sobrante",IF(Tabla2[[#This Row],[Variación Stock]]&lt;0,"Faltante","Sin novedad"))</f>
        <v>Sobrante</v>
      </c>
    </row>
    <row r="991" spans="1:14" x14ac:dyDescent="0.25">
      <c r="A991" s="11">
        <v>46037</v>
      </c>
      <c r="B991" s="5" t="s">
        <v>127</v>
      </c>
      <c r="C991" s="3" t="s">
        <v>128</v>
      </c>
      <c r="D991" s="5" t="s">
        <v>115</v>
      </c>
      <c r="E991" s="5" t="s">
        <v>112</v>
      </c>
      <c r="F991" s="6" t="s">
        <v>71</v>
      </c>
      <c r="G991" s="4" t="s">
        <v>2</v>
      </c>
      <c r="H991" s="24">
        <v>2335.03333333</v>
      </c>
      <c r="I991" s="8">
        <v>38</v>
      </c>
      <c r="J991" s="9">
        <v>38</v>
      </c>
      <c r="K991" s="7">
        <v>0</v>
      </c>
      <c r="L991" s="24">
        <f>+Tabla2[[#This Row],[Stock Inventario]]*Tabla2[[#This Row],[Coste LÃ­nea]]</f>
        <v>88731.266666540003</v>
      </c>
      <c r="M991" s="24">
        <f>+Tabla2[[#This Row],[Variación Stock]]*Tabla2[[#This Row],[Coste LÃ­nea]]</f>
        <v>0</v>
      </c>
      <c r="N991" s="22" t="str">
        <f>+IF(Tabla2[[#This Row],[Variación Stock]]&gt;0,"Sobrante",IF(Tabla2[[#This Row],[Variación Stock]]&lt;0,"Faltante","Sin novedad"))</f>
        <v>Sin novedad</v>
      </c>
    </row>
    <row r="992" spans="1:14" x14ac:dyDescent="0.25">
      <c r="A992" s="11">
        <v>46044</v>
      </c>
      <c r="B992" s="5" t="s">
        <v>358</v>
      </c>
      <c r="C992" s="3" t="s">
        <v>128</v>
      </c>
      <c r="D992" s="5" t="s">
        <v>115</v>
      </c>
      <c r="E992" s="5" t="s">
        <v>112</v>
      </c>
      <c r="F992" s="6" t="s">
        <v>71</v>
      </c>
      <c r="G992" s="4" t="s">
        <v>2</v>
      </c>
      <c r="H992" s="25">
        <v>2379.9986666700001</v>
      </c>
      <c r="I992" s="8">
        <v>62</v>
      </c>
      <c r="J992" s="9">
        <v>94</v>
      </c>
      <c r="K992" s="7">
        <v>32</v>
      </c>
      <c r="L992" s="24">
        <f>+Tabla2[[#This Row],[Stock Inventario]]*Tabla2[[#This Row],[Coste LÃ­nea]]</f>
        <v>223719.87466698</v>
      </c>
      <c r="M992" s="24">
        <f>+Tabla2[[#This Row],[Variación Stock]]*Tabla2[[#This Row],[Coste LÃ­nea]]</f>
        <v>76159.957333440005</v>
      </c>
      <c r="N992" s="22" t="str">
        <f>+IF(Tabla2[[#This Row],[Variación Stock]]&gt;0,"Sobrante",IF(Tabla2[[#This Row],[Variación Stock]]&lt;0,"Faltante","Sin novedad"))</f>
        <v>Sobrante</v>
      </c>
    </row>
    <row r="993" spans="1:14" x14ac:dyDescent="0.25">
      <c r="A993" s="11">
        <v>46037</v>
      </c>
      <c r="B993" s="5" t="s">
        <v>127</v>
      </c>
      <c r="C993" s="3" t="s">
        <v>128</v>
      </c>
      <c r="D993" s="5" t="s">
        <v>115</v>
      </c>
      <c r="E993" s="5" t="s">
        <v>112</v>
      </c>
      <c r="F993" s="6" t="s">
        <v>72</v>
      </c>
      <c r="G993" s="4" t="s">
        <v>2</v>
      </c>
      <c r="H993" s="24">
        <v>2319</v>
      </c>
      <c r="I993" s="8">
        <v>88</v>
      </c>
      <c r="J993" s="9">
        <v>87</v>
      </c>
      <c r="K993" s="7">
        <v>-1</v>
      </c>
      <c r="L993" s="24">
        <f>+Tabla2[[#This Row],[Stock Inventario]]*Tabla2[[#This Row],[Coste LÃ­nea]]</f>
        <v>201753</v>
      </c>
      <c r="M993" s="24">
        <f>+Tabla2[[#This Row],[Variación Stock]]*Tabla2[[#This Row],[Coste LÃ­nea]]</f>
        <v>-2319</v>
      </c>
      <c r="N993" s="22" t="str">
        <f>+IF(Tabla2[[#This Row],[Variación Stock]]&gt;0,"Sobrante",IF(Tabla2[[#This Row],[Variación Stock]]&lt;0,"Faltante","Sin novedad"))</f>
        <v>Faltante</v>
      </c>
    </row>
    <row r="994" spans="1:14" x14ac:dyDescent="0.25">
      <c r="A994" s="11">
        <v>46044</v>
      </c>
      <c r="B994" s="5" t="s">
        <v>358</v>
      </c>
      <c r="C994" s="3" t="s">
        <v>128</v>
      </c>
      <c r="D994" s="5" t="s">
        <v>115</v>
      </c>
      <c r="E994" s="5" t="s">
        <v>112</v>
      </c>
      <c r="F994" s="6" t="s">
        <v>72</v>
      </c>
      <c r="G994" s="4" t="s">
        <v>2</v>
      </c>
      <c r="H994" s="25">
        <v>2319</v>
      </c>
      <c r="I994" s="8">
        <v>68</v>
      </c>
      <c r="J994" s="9">
        <v>67</v>
      </c>
      <c r="K994" s="7">
        <v>-1</v>
      </c>
      <c r="L994" s="24">
        <f>+Tabla2[[#This Row],[Stock Inventario]]*Tabla2[[#This Row],[Coste LÃ­nea]]</f>
        <v>155373</v>
      </c>
      <c r="M994" s="24">
        <f>+Tabla2[[#This Row],[Variación Stock]]*Tabla2[[#This Row],[Coste LÃ­nea]]</f>
        <v>-2319</v>
      </c>
      <c r="N994" s="22" t="str">
        <f>+IF(Tabla2[[#This Row],[Variación Stock]]&gt;0,"Sobrante",IF(Tabla2[[#This Row],[Variación Stock]]&lt;0,"Faltante","Sin novedad"))</f>
        <v>Faltante</v>
      </c>
    </row>
    <row r="995" spans="1:14" x14ac:dyDescent="0.25">
      <c r="A995" s="11">
        <v>46037</v>
      </c>
      <c r="B995" s="5" t="s">
        <v>127</v>
      </c>
      <c r="C995" s="3" t="s">
        <v>128</v>
      </c>
      <c r="D995" s="5" t="s">
        <v>115</v>
      </c>
      <c r="E995" s="5" t="s">
        <v>112</v>
      </c>
      <c r="F995" s="6" t="s">
        <v>73</v>
      </c>
      <c r="G995" s="4" t="s">
        <v>2</v>
      </c>
      <c r="H995" s="24">
        <v>2725.4166666699998</v>
      </c>
      <c r="I995" s="8">
        <v>103</v>
      </c>
      <c r="J995" s="9">
        <v>104</v>
      </c>
      <c r="K995" s="7">
        <v>1</v>
      </c>
      <c r="L995" s="24">
        <f>+Tabla2[[#This Row],[Stock Inventario]]*Tabla2[[#This Row],[Coste LÃ­nea]]</f>
        <v>283443.33333368</v>
      </c>
      <c r="M995" s="24">
        <f>+Tabla2[[#This Row],[Variación Stock]]*Tabla2[[#This Row],[Coste LÃ­nea]]</f>
        <v>2725.4166666699998</v>
      </c>
      <c r="N995" s="22" t="str">
        <f>+IF(Tabla2[[#This Row],[Variación Stock]]&gt;0,"Sobrante",IF(Tabla2[[#This Row],[Variación Stock]]&lt;0,"Faltante","Sin novedad"))</f>
        <v>Sobrante</v>
      </c>
    </row>
    <row r="996" spans="1:14" hidden="1" x14ac:dyDescent="0.25">
      <c r="A996" s="11">
        <v>46037</v>
      </c>
      <c r="B996" s="5" t="s">
        <v>127</v>
      </c>
      <c r="C996" s="3" t="s">
        <v>128</v>
      </c>
      <c r="D996" s="5" t="s">
        <v>116</v>
      </c>
      <c r="E996" s="5" t="s">
        <v>117</v>
      </c>
      <c r="F996" s="6" t="s">
        <v>6</v>
      </c>
      <c r="G996" s="4" t="s">
        <v>2</v>
      </c>
      <c r="H996" s="24">
        <v>8634</v>
      </c>
      <c r="I996" s="8">
        <v>30</v>
      </c>
      <c r="J996" s="9">
        <v>0</v>
      </c>
      <c r="K996" s="7">
        <v>-30</v>
      </c>
      <c r="L996" s="24">
        <f>+Tabla2[[#This Row],[Stock Inventario]]*Tabla2[[#This Row],[Coste LÃ­nea]]</f>
        <v>0</v>
      </c>
      <c r="M996" s="24">
        <f>+Tabla2[[#This Row],[Variación Stock]]*Tabla2[[#This Row],[Coste LÃ­nea]]</f>
        <v>-259020</v>
      </c>
      <c r="N996" s="22" t="str">
        <f>+IF(Tabla2[[#This Row],[Variación Stock]]&gt;0,"Sobrante",IF(Tabla2[[#This Row],[Variación Stock]]&lt;0,"Faltante","Sin novedad"))</f>
        <v>Faltante</v>
      </c>
    </row>
    <row r="997" spans="1:14" x14ac:dyDescent="0.25">
      <c r="A997" s="11">
        <v>46037</v>
      </c>
      <c r="B997" s="5" t="s">
        <v>127</v>
      </c>
      <c r="C997" s="3" t="s">
        <v>128</v>
      </c>
      <c r="D997" s="5" t="s">
        <v>114</v>
      </c>
      <c r="E997" s="5" t="s">
        <v>112</v>
      </c>
      <c r="F997" s="6" t="s">
        <v>146</v>
      </c>
      <c r="G997" s="4" t="s">
        <v>2</v>
      </c>
      <c r="H997" s="24">
        <v>4900</v>
      </c>
      <c r="I997" s="8">
        <v>-1</v>
      </c>
      <c r="J997" s="9">
        <v>0</v>
      </c>
      <c r="K997" s="7">
        <v>1</v>
      </c>
      <c r="L997" s="24">
        <f>+Tabla2[[#This Row],[Stock Inventario]]*Tabla2[[#This Row],[Coste LÃ­nea]]</f>
        <v>0</v>
      </c>
      <c r="M997" s="24">
        <f>+Tabla2[[#This Row],[Variación Stock]]*Tabla2[[#This Row],[Coste LÃ­nea]]</f>
        <v>4900</v>
      </c>
      <c r="N997" s="22" t="str">
        <f>+IF(Tabla2[[#This Row],[Variación Stock]]&gt;0,"Sobrante",IF(Tabla2[[#This Row],[Variación Stock]]&lt;0,"Faltante","Sin novedad"))</f>
        <v>Sobrante</v>
      </c>
    </row>
    <row r="998" spans="1:14" hidden="1" x14ac:dyDescent="0.25">
      <c r="A998" s="11">
        <v>46044</v>
      </c>
      <c r="B998" s="5" t="s">
        <v>358</v>
      </c>
      <c r="C998" s="3" t="s">
        <v>128</v>
      </c>
      <c r="D998" s="5" t="s">
        <v>116</v>
      </c>
      <c r="E998" s="5" t="s">
        <v>117</v>
      </c>
      <c r="F998" s="6" t="s">
        <v>6</v>
      </c>
      <c r="G998" s="4" t="s">
        <v>2</v>
      </c>
      <c r="H998" s="25">
        <v>8557.4074074100008</v>
      </c>
      <c r="I998" s="8">
        <v>0</v>
      </c>
      <c r="J998" s="9">
        <v>0</v>
      </c>
      <c r="K998" s="7">
        <v>0</v>
      </c>
      <c r="L998" s="24">
        <f>+Tabla2[[#This Row],[Stock Inventario]]*Tabla2[[#This Row],[Coste LÃ­nea]]</f>
        <v>0</v>
      </c>
      <c r="M998" s="24">
        <f>+Tabla2[[#This Row],[Variación Stock]]*Tabla2[[#This Row],[Coste LÃ­nea]]</f>
        <v>0</v>
      </c>
      <c r="N998" s="22" t="str">
        <f>+IF(Tabla2[[#This Row],[Variación Stock]]&gt;0,"Sobrante",IF(Tabla2[[#This Row],[Variación Stock]]&lt;0,"Faltante","Sin novedad"))</f>
        <v>Sin novedad</v>
      </c>
    </row>
    <row r="999" spans="1:14" hidden="1" x14ac:dyDescent="0.25">
      <c r="A999" s="11">
        <v>46037</v>
      </c>
      <c r="B999" s="5" t="s">
        <v>127</v>
      </c>
      <c r="C999" s="3" t="s">
        <v>128</v>
      </c>
      <c r="D999" s="5" t="s">
        <v>116</v>
      </c>
      <c r="E999" s="5" t="s">
        <v>117</v>
      </c>
      <c r="F999" s="6" t="s">
        <v>158</v>
      </c>
      <c r="G999" s="4" t="s">
        <v>2</v>
      </c>
      <c r="H999" s="24">
        <v>2000</v>
      </c>
      <c r="I999" s="8">
        <v>8</v>
      </c>
      <c r="J999" s="9">
        <v>5</v>
      </c>
      <c r="K999" s="15">
        <v>1.5</v>
      </c>
      <c r="L999" s="24">
        <f>+Tabla2[[#This Row],[Stock Inventario]]*Tabla2[[#This Row],[Coste LÃ­nea]]</f>
        <v>10000</v>
      </c>
      <c r="M999" s="24">
        <f>+Tabla2[[#This Row],[Variación Stock]]*Tabla2[[#This Row],[Coste LÃ­nea]]</f>
        <v>3000</v>
      </c>
      <c r="N999" s="22" t="str">
        <f>+IF(Tabla2[[#This Row],[Variación Stock]]&gt;0,"Sobrante",IF(Tabla2[[#This Row],[Variación Stock]]&lt;0,"Faltante","Sin novedad"))</f>
        <v>Sobrante</v>
      </c>
    </row>
    <row r="1000" spans="1:14" hidden="1" x14ac:dyDescent="0.25">
      <c r="A1000" s="11">
        <v>46044</v>
      </c>
      <c r="B1000" s="5" t="s">
        <v>358</v>
      </c>
      <c r="C1000" s="3" t="s">
        <v>128</v>
      </c>
      <c r="D1000" s="5" t="s">
        <v>116</v>
      </c>
      <c r="E1000" s="5" t="s">
        <v>117</v>
      </c>
      <c r="F1000" s="6" t="s">
        <v>158</v>
      </c>
      <c r="G1000" s="4" t="s">
        <v>2</v>
      </c>
      <c r="H1000" s="25">
        <v>2000</v>
      </c>
      <c r="I1000" s="8">
        <v>8</v>
      </c>
      <c r="J1000" s="9">
        <v>8</v>
      </c>
      <c r="K1000" s="7">
        <v>0</v>
      </c>
      <c r="L1000" s="24">
        <f>+Tabla2[[#This Row],[Stock Inventario]]*Tabla2[[#This Row],[Coste LÃ­nea]]</f>
        <v>16000</v>
      </c>
      <c r="M1000" s="24">
        <f>+Tabla2[[#This Row],[Variación Stock]]*Tabla2[[#This Row],[Coste LÃ­nea]]</f>
        <v>0</v>
      </c>
      <c r="N1000" s="22" t="str">
        <f>+IF(Tabla2[[#This Row],[Variación Stock]]&gt;0,"Sobrante",IF(Tabla2[[#This Row],[Variación Stock]]&lt;0,"Faltante","Sin novedad"))</f>
        <v>Sin novedad</v>
      </c>
    </row>
    <row r="1001" spans="1:14" hidden="1" x14ac:dyDescent="0.25">
      <c r="A1001" s="11">
        <v>46037</v>
      </c>
      <c r="B1001" s="5" t="s">
        <v>127</v>
      </c>
      <c r="C1001" s="3" t="s">
        <v>128</v>
      </c>
      <c r="D1001" s="5" t="s">
        <v>119</v>
      </c>
      <c r="E1001" s="5" t="s">
        <v>117</v>
      </c>
      <c r="F1001" s="6" t="s">
        <v>10</v>
      </c>
      <c r="G1001" s="4" t="s">
        <v>2</v>
      </c>
      <c r="H1001" s="24">
        <v>17250</v>
      </c>
      <c r="I1001" s="8">
        <v>8</v>
      </c>
      <c r="J1001" s="9">
        <v>8</v>
      </c>
      <c r="K1001" s="7">
        <v>0</v>
      </c>
      <c r="L1001" s="24">
        <f>+Tabla2[[#This Row],[Stock Inventario]]*Tabla2[[#This Row],[Coste LÃ­nea]]</f>
        <v>138000</v>
      </c>
      <c r="M1001" s="24">
        <f>+Tabla2[[#This Row],[Variación Stock]]*Tabla2[[#This Row],[Coste LÃ­nea]]</f>
        <v>0</v>
      </c>
      <c r="N1001" s="22" t="str">
        <f>+IF(Tabla2[[#This Row],[Variación Stock]]&gt;0,"Sobrante",IF(Tabla2[[#This Row],[Variación Stock]]&lt;0,"Faltante","Sin novedad"))</f>
        <v>Sin novedad</v>
      </c>
    </row>
    <row r="1002" spans="1:14" hidden="1" x14ac:dyDescent="0.25">
      <c r="A1002" s="11">
        <v>46044</v>
      </c>
      <c r="B1002" s="5" t="s">
        <v>358</v>
      </c>
      <c r="C1002" s="3" t="s">
        <v>128</v>
      </c>
      <c r="D1002" s="5" t="s">
        <v>119</v>
      </c>
      <c r="E1002" s="5" t="s">
        <v>117</v>
      </c>
      <c r="F1002" s="6" t="s">
        <v>10</v>
      </c>
      <c r="G1002" s="4" t="s">
        <v>2</v>
      </c>
      <c r="H1002" s="25">
        <v>17250</v>
      </c>
      <c r="I1002" s="8">
        <v>8</v>
      </c>
      <c r="J1002" s="9">
        <v>8</v>
      </c>
      <c r="K1002" s="7">
        <v>0</v>
      </c>
      <c r="L1002" s="24">
        <f>+Tabla2[[#This Row],[Stock Inventario]]*Tabla2[[#This Row],[Coste LÃ­nea]]</f>
        <v>138000</v>
      </c>
      <c r="M1002" s="24">
        <f>+Tabla2[[#This Row],[Variación Stock]]*Tabla2[[#This Row],[Coste LÃ­nea]]</f>
        <v>0</v>
      </c>
      <c r="N1002" s="22" t="str">
        <f>+IF(Tabla2[[#This Row],[Variación Stock]]&gt;0,"Sobrante",IF(Tabla2[[#This Row],[Variación Stock]]&lt;0,"Faltante","Sin novedad"))</f>
        <v>Sin novedad</v>
      </c>
    </row>
    <row r="1003" spans="1:14" hidden="1" x14ac:dyDescent="0.25">
      <c r="A1003" s="11">
        <v>46037</v>
      </c>
      <c r="B1003" s="5" t="s">
        <v>127</v>
      </c>
      <c r="C1003" s="3" t="s">
        <v>128</v>
      </c>
      <c r="D1003" s="5" t="s">
        <v>116</v>
      </c>
      <c r="E1003" s="5" t="s">
        <v>117</v>
      </c>
      <c r="F1003" s="6" t="s">
        <v>159</v>
      </c>
      <c r="G1003" s="4" t="s">
        <v>2</v>
      </c>
      <c r="H1003" s="24">
        <v>13810</v>
      </c>
      <c r="I1003" s="8">
        <v>20</v>
      </c>
      <c r="J1003" s="9">
        <v>0</v>
      </c>
      <c r="K1003" s="7">
        <v>-20</v>
      </c>
      <c r="L1003" s="24">
        <f>+Tabla2[[#This Row],[Stock Inventario]]*Tabla2[[#This Row],[Coste LÃ­nea]]</f>
        <v>0</v>
      </c>
      <c r="M1003" s="24">
        <f>+Tabla2[[#This Row],[Variación Stock]]*Tabla2[[#This Row],[Coste LÃ­nea]]</f>
        <v>-276200</v>
      </c>
      <c r="N1003" s="22" t="str">
        <f>+IF(Tabla2[[#This Row],[Variación Stock]]&gt;0,"Sobrante",IF(Tabla2[[#This Row],[Variación Stock]]&lt;0,"Faltante","Sin novedad"))</f>
        <v>Faltante</v>
      </c>
    </row>
    <row r="1004" spans="1:14" x14ac:dyDescent="0.25">
      <c r="A1004" s="11">
        <v>46044</v>
      </c>
      <c r="B1004" s="5" t="s">
        <v>358</v>
      </c>
      <c r="C1004" s="3" t="s">
        <v>128</v>
      </c>
      <c r="D1004" s="5" t="s">
        <v>115</v>
      </c>
      <c r="E1004" s="5" t="s">
        <v>112</v>
      </c>
      <c r="F1004" s="6" t="s">
        <v>73</v>
      </c>
      <c r="G1004" s="4" t="s">
        <v>2</v>
      </c>
      <c r="H1004" s="25">
        <v>2773.5</v>
      </c>
      <c r="I1004" s="8">
        <v>89</v>
      </c>
      <c r="J1004" s="9">
        <v>89</v>
      </c>
      <c r="K1004" s="7">
        <v>0</v>
      </c>
      <c r="L1004" s="24">
        <f>+Tabla2[[#This Row],[Stock Inventario]]*Tabla2[[#This Row],[Coste LÃ­nea]]</f>
        <v>246841.5</v>
      </c>
      <c r="M1004" s="24">
        <f>+Tabla2[[#This Row],[Variación Stock]]*Tabla2[[#This Row],[Coste LÃ­nea]]</f>
        <v>0</v>
      </c>
      <c r="N1004" s="22" t="str">
        <f>+IF(Tabla2[[#This Row],[Variación Stock]]&gt;0,"Sobrante",IF(Tabla2[[#This Row],[Variación Stock]]&lt;0,"Faltante","Sin novedad"))</f>
        <v>Sin novedad</v>
      </c>
    </row>
    <row r="1005" spans="1:14" x14ac:dyDescent="0.25">
      <c r="A1005" s="11">
        <v>46037</v>
      </c>
      <c r="B1005" s="5" t="s">
        <v>127</v>
      </c>
      <c r="C1005" s="3" t="s">
        <v>128</v>
      </c>
      <c r="D1005" s="5" t="s">
        <v>118</v>
      </c>
      <c r="E1005" s="5" t="s">
        <v>112</v>
      </c>
      <c r="F1005" s="6" t="s">
        <v>165</v>
      </c>
      <c r="G1005" s="4" t="s">
        <v>2</v>
      </c>
      <c r="H1005" s="24">
        <v>0</v>
      </c>
      <c r="I1005" s="8">
        <v>0</v>
      </c>
      <c r="J1005" s="9">
        <v>0</v>
      </c>
      <c r="K1005" s="7">
        <v>0</v>
      </c>
      <c r="L1005" s="24">
        <f>+Tabla2[[#This Row],[Stock Inventario]]*Tabla2[[#This Row],[Coste LÃ­nea]]</f>
        <v>0</v>
      </c>
      <c r="M1005" s="24">
        <f>+Tabla2[[#This Row],[Variación Stock]]*Tabla2[[#This Row],[Coste LÃ­nea]]</f>
        <v>0</v>
      </c>
      <c r="N1005" s="22" t="str">
        <f>+IF(Tabla2[[#This Row],[Variación Stock]]&gt;0,"Sobrante",IF(Tabla2[[#This Row],[Variación Stock]]&lt;0,"Faltante","Sin novedad"))</f>
        <v>Sin novedad</v>
      </c>
    </row>
    <row r="1006" spans="1:14" x14ac:dyDescent="0.25">
      <c r="A1006" s="11">
        <v>46037</v>
      </c>
      <c r="B1006" s="5" t="s">
        <v>127</v>
      </c>
      <c r="C1006" s="3" t="s">
        <v>128</v>
      </c>
      <c r="D1006" s="5" t="s">
        <v>118</v>
      </c>
      <c r="E1006" s="5" t="s">
        <v>112</v>
      </c>
      <c r="F1006" s="6" t="s">
        <v>166</v>
      </c>
      <c r="G1006" s="4" t="s">
        <v>2</v>
      </c>
      <c r="H1006" s="24">
        <v>0</v>
      </c>
      <c r="I1006" s="8">
        <v>1</v>
      </c>
      <c r="J1006" s="9">
        <v>1</v>
      </c>
      <c r="K1006" s="7">
        <v>0</v>
      </c>
      <c r="L1006" s="24">
        <f>+Tabla2[[#This Row],[Stock Inventario]]*Tabla2[[#This Row],[Coste LÃ­nea]]</f>
        <v>0</v>
      </c>
      <c r="M1006" s="24">
        <f>+Tabla2[[#This Row],[Variación Stock]]*Tabla2[[#This Row],[Coste LÃ­nea]]</f>
        <v>0</v>
      </c>
      <c r="N1006" s="22" t="str">
        <f>+IF(Tabla2[[#This Row],[Variación Stock]]&gt;0,"Sobrante",IF(Tabla2[[#This Row],[Variación Stock]]&lt;0,"Faltante","Sin novedad"))</f>
        <v>Sin novedad</v>
      </c>
    </row>
    <row r="1007" spans="1:14" x14ac:dyDescent="0.25">
      <c r="A1007" s="11">
        <v>46037</v>
      </c>
      <c r="B1007" s="5" t="s">
        <v>127</v>
      </c>
      <c r="C1007" s="3" t="s">
        <v>128</v>
      </c>
      <c r="D1007" s="5" t="s">
        <v>118</v>
      </c>
      <c r="E1007" s="5" t="s">
        <v>112</v>
      </c>
      <c r="F1007" s="6" t="s">
        <v>167</v>
      </c>
      <c r="G1007" s="4" t="s">
        <v>2</v>
      </c>
      <c r="H1007" s="24">
        <v>0</v>
      </c>
      <c r="I1007" s="8">
        <v>0</v>
      </c>
      <c r="J1007" s="9">
        <v>0</v>
      </c>
      <c r="K1007" s="7">
        <v>0</v>
      </c>
      <c r="L1007" s="24">
        <f>+Tabla2[[#This Row],[Stock Inventario]]*Tabla2[[#This Row],[Coste LÃ­nea]]</f>
        <v>0</v>
      </c>
      <c r="M1007" s="24">
        <f>+Tabla2[[#This Row],[Variación Stock]]*Tabla2[[#This Row],[Coste LÃ­nea]]</f>
        <v>0</v>
      </c>
      <c r="N1007" s="22" t="str">
        <f>+IF(Tabla2[[#This Row],[Variación Stock]]&gt;0,"Sobrante",IF(Tabla2[[#This Row],[Variación Stock]]&lt;0,"Faltante","Sin novedad"))</f>
        <v>Sin novedad</v>
      </c>
    </row>
    <row r="1008" spans="1:14" x14ac:dyDescent="0.25">
      <c r="A1008" s="11">
        <v>46037</v>
      </c>
      <c r="B1008" s="5" t="s">
        <v>127</v>
      </c>
      <c r="C1008" s="3" t="s">
        <v>128</v>
      </c>
      <c r="D1008" s="5" t="s">
        <v>118</v>
      </c>
      <c r="E1008" s="5" t="s">
        <v>112</v>
      </c>
      <c r="F1008" s="6" t="s">
        <v>168</v>
      </c>
      <c r="G1008" s="4" t="s">
        <v>2</v>
      </c>
      <c r="H1008" s="24">
        <v>0</v>
      </c>
      <c r="I1008" s="8">
        <v>2</v>
      </c>
      <c r="J1008" s="9">
        <v>2</v>
      </c>
      <c r="K1008" s="7">
        <v>0</v>
      </c>
      <c r="L1008" s="24">
        <f>+Tabla2[[#This Row],[Stock Inventario]]*Tabla2[[#This Row],[Coste LÃ­nea]]</f>
        <v>0</v>
      </c>
      <c r="M1008" s="24">
        <f>+Tabla2[[#This Row],[Variación Stock]]*Tabla2[[#This Row],[Coste LÃ­nea]]</f>
        <v>0</v>
      </c>
      <c r="N1008" s="22" t="str">
        <f>+IF(Tabla2[[#This Row],[Variación Stock]]&gt;0,"Sobrante",IF(Tabla2[[#This Row],[Variación Stock]]&lt;0,"Faltante","Sin novedad"))</f>
        <v>Sin novedad</v>
      </c>
    </row>
    <row r="1009" spans="1:14" x14ac:dyDescent="0.25">
      <c r="A1009" s="11">
        <v>46037</v>
      </c>
      <c r="B1009" s="5" t="s">
        <v>127</v>
      </c>
      <c r="C1009" s="3" t="s">
        <v>128</v>
      </c>
      <c r="D1009" s="5" t="s">
        <v>118</v>
      </c>
      <c r="E1009" s="5" t="s">
        <v>112</v>
      </c>
      <c r="F1009" s="6" t="s">
        <v>169</v>
      </c>
      <c r="G1009" s="4" t="s">
        <v>2</v>
      </c>
      <c r="H1009" s="24">
        <v>0</v>
      </c>
      <c r="I1009" s="8">
        <v>0</v>
      </c>
      <c r="J1009" s="9">
        <v>0</v>
      </c>
      <c r="K1009" s="7">
        <v>0</v>
      </c>
      <c r="L1009" s="24">
        <f>+Tabla2[[#This Row],[Stock Inventario]]*Tabla2[[#This Row],[Coste LÃ­nea]]</f>
        <v>0</v>
      </c>
      <c r="M1009" s="24">
        <f>+Tabla2[[#This Row],[Variación Stock]]*Tabla2[[#This Row],[Coste LÃ­nea]]</f>
        <v>0</v>
      </c>
      <c r="N1009" s="22" t="str">
        <f>+IF(Tabla2[[#This Row],[Variación Stock]]&gt;0,"Sobrante",IF(Tabla2[[#This Row],[Variación Stock]]&lt;0,"Faltante","Sin novedad"))</f>
        <v>Sin novedad</v>
      </c>
    </row>
    <row r="1010" spans="1:14" x14ac:dyDescent="0.25">
      <c r="A1010" s="11">
        <v>46037</v>
      </c>
      <c r="B1010" s="5" t="s">
        <v>127</v>
      </c>
      <c r="C1010" s="3" t="s">
        <v>128</v>
      </c>
      <c r="D1010" s="5" t="s">
        <v>118</v>
      </c>
      <c r="E1010" s="5" t="s">
        <v>112</v>
      </c>
      <c r="F1010" s="6" t="s">
        <v>170</v>
      </c>
      <c r="G1010" s="4" t="s">
        <v>2</v>
      </c>
      <c r="H1010" s="24">
        <v>0</v>
      </c>
      <c r="I1010" s="8">
        <v>0</v>
      </c>
      <c r="J1010" s="9">
        <v>0</v>
      </c>
      <c r="K1010" s="7">
        <v>0</v>
      </c>
      <c r="L1010" s="24">
        <f>+Tabla2[[#This Row],[Stock Inventario]]*Tabla2[[#This Row],[Coste LÃ­nea]]</f>
        <v>0</v>
      </c>
      <c r="M1010" s="24">
        <f>+Tabla2[[#This Row],[Variación Stock]]*Tabla2[[#This Row],[Coste LÃ­nea]]</f>
        <v>0</v>
      </c>
      <c r="N1010" s="22" t="str">
        <f>+IF(Tabla2[[#This Row],[Variación Stock]]&gt;0,"Sobrante",IF(Tabla2[[#This Row],[Variación Stock]]&lt;0,"Faltante","Sin novedad"))</f>
        <v>Sin novedad</v>
      </c>
    </row>
    <row r="1011" spans="1:14" x14ac:dyDescent="0.25">
      <c r="A1011" s="11">
        <v>46037</v>
      </c>
      <c r="B1011" s="5" t="s">
        <v>127</v>
      </c>
      <c r="C1011" s="3" t="s">
        <v>128</v>
      </c>
      <c r="D1011" s="5" t="s">
        <v>118</v>
      </c>
      <c r="E1011" s="5" t="s">
        <v>112</v>
      </c>
      <c r="F1011" s="6" t="s">
        <v>171</v>
      </c>
      <c r="G1011" s="4" t="s">
        <v>2</v>
      </c>
      <c r="H1011" s="24">
        <v>113953</v>
      </c>
      <c r="I1011" s="8">
        <v>2</v>
      </c>
      <c r="J1011" s="9">
        <v>2</v>
      </c>
      <c r="K1011" s="7">
        <v>0</v>
      </c>
      <c r="L1011" s="24">
        <f>+Tabla2[[#This Row],[Stock Inventario]]*Tabla2[[#This Row],[Coste LÃ­nea]]</f>
        <v>227906</v>
      </c>
      <c r="M1011" s="24">
        <f>+Tabla2[[#This Row],[Variación Stock]]*Tabla2[[#This Row],[Coste LÃ­nea]]</f>
        <v>0</v>
      </c>
      <c r="N1011" s="22" t="str">
        <f>+IF(Tabla2[[#This Row],[Variación Stock]]&gt;0,"Sobrante",IF(Tabla2[[#This Row],[Variación Stock]]&lt;0,"Faltante","Sin novedad"))</f>
        <v>Sin novedad</v>
      </c>
    </row>
    <row r="1012" spans="1:14" x14ac:dyDescent="0.25">
      <c r="A1012" s="11">
        <v>46037</v>
      </c>
      <c r="B1012" s="5" t="s">
        <v>127</v>
      </c>
      <c r="C1012" s="3" t="s">
        <v>128</v>
      </c>
      <c r="D1012" s="5" t="s">
        <v>118</v>
      </c>
      <c r="E1012" s="5" t="s">
        <v>112</v>
      </c>
      <c r="F1012" s="6" t="s">
        <v>172</v>
      </c>
      <c r="G1012" s="4" t="s">
        <v>2</v>
      </c>
      <c r="H1012" s="24">
        <v>55000</v>
      </c>
      <c r="I1012" s="8">
        <v>0</v>
      </c>
      <c r="J1012" s="9">
        <v>0</v>
      </c>
      <c r="K1012" s="7">
        <v>0</v>
      </c>
      <c r="L1012" s="24">
        <f>+Tabla2[[#This Row],[Stock Inventario]]*Tabla2[[#This Row],[Coste LÃ­nea]]</f>
        <v>0</v>
      </c>
      <c r="M1012" s="24">
        <f>+Tabla2[[#This Row],[Variación Stock]]*Tabla2[[#This Row],[Coste LÃ­nea]]</f>
        <v>0</v>
      </c>
      <c r="N1012" s="22" t="str">
        <f>+IF(Tabla2[[#This Row],[Variación Stock]]&gt;0,"Sobrante",IF(Tabla2[[#This Row],[Variación Stock]]&lt;0,"Faltante","Sin novedad"))</f>
        <v>Sin novedad</v>
      </c>
    </row>
    <row r="1013" spans="1:14" x14ac:dyDescent="0.25">
      <c r="A1013" s="11">
        <v>46037</v>
      </c>
      <c r="B1013" s="5" t="s">
        <v>127</v>
      </c>
      <c r="C1013" s="3" t="s">
        <v>128</v>
      </c>
      <c r="D1013" s="5" t="s">
        <v>118</v>
      </c>
      <c r="E1013" s="5" t="s">
        <v>112</v>
      </c>
      <c r="F1013" s="6" t="s">
        <v>173</v>
      </c>
      <c r="G1013" s="4" t="s">
        <v>2</v>
      </c>
      <c r="H1013" s="24">
        <v>90057</v>
      </c>
      <c r="I1013" s="8">
        <v>1</v>
      </c>
      <c r="J1013" s="9">
        <v>1</v>
      </c>
      <c r="K1013" s="7">
        <v>0</v>
      </c>
      <c r="L1013" s="24">
        <f>+Tabla2[[#This Row],[Stock Inventario]]*Tabla2[[#This Row],[Coste LÃ­nea]]</f>
        <v>90057</v>
      </c>
      <c r="M1013" s="24">
        <f>+Tabla2[[#This Row],[Variación Stock]]*Tabla2[[#This Row],[Coste LÃ­nea]]</f>
        <v>0</v>
      </c>
      <c r="N1013" s="22" t="str">
        <f>+IF(Tabla2[[#This Row],[Variación Stock]]&gt;0,"Sobrante",IF(Tabla2[[#This Row],[Variación Stock]]&lt;0,"Faltante","Sin novedad"))</f>
        <v>Sin novedad</v>
      </c>
    </row>
    <row r="1014" spans="1:14" x14ac:dyDescent="0.25">
      <c r="A1014" s="11">
        <v>46037</v>
      </c>
      <c r="B1014" s="5" t="s">
        <v>127</v>
      </c>
      <c r="C1014" s="3" t="s">
        <v>128</v>
      </c>
      <c r="D1014" s="5" t="s">
        <v>115</v>
      </c>
      <c r="E1014" s="5" t="s">
        <v>112</v>
      </c>
      <c r="F1014" s="6" t="s">
        <v>153</v>
      </c>
      <c r="G1014" s="4" t="s">
        <v>2</v>
      </c>
      <c r="H1014" s="24">
        <v>2699.6666666699998</v>
      </c>
      <c r="I1014" s="8">
        <v>0</v>
      </c>
      <c r="J1014" s="9">
        <v>0</v>
      </c>
      <c r="K1014" s="7">
        <v>0</v>
      </c>
      <c r="L1014" s="24">
        <f>+Tabla2[[#This Row],[Stock Inventario]]*Tabla2[[#This Row],[Coste LÃ­nea]]</f>
        <v>0</v>
      </c>
      <c r="M1014" s="24">
        <f>+Tabla2[[#This Row],[Variación Stock]]*Tabla2[[#This Row],[Coste LÃ­nea]]</f>
        <v>0</v>
      </c>
      <c r="N1014" s="22" t="str">
        <f>+IF(Tabla2[[#This Row],[Variación Stock]]&gt;0,"Sobrante",IF(Tabla2[[#This Row],[Variación Stock]]&lt;0,"Faltante","Sin novedad"))</f>
        <v>Sin novedad</v>
      </c>
    </row>
    <row r="1015" spans="1:14" x14ac:dyDescent="0.25">
      <c r="A1015" s="11">
        <v>46037</v>
      </c>
      <c r="B1015" s="5" t="s">
        <v>127</v>
      </c>
      <c r="C1015" s="3" t="s">
        <v>128</v>
      </c>
      <c r="D1015" s="5" t="s">
        <v>115</v>
      </c>
      <c r="E1015" s="5" t="s">
        <v>112</v>
      </c>
      <c r="F1015" s="6" t="s">
        <v>152</v>
      </c>
      <c r="G1015" s="4" t="s">
        <v>2</v>
      </c>
      <c r="H1015" s="24">
        <v>2298.1166666700001</v>
      </c>
      <c r="I1015" s="8">
        <v>0</v>
      </c>
      <c r="J1015" s="9">
        <v>1</v>
      </c>
      <c r="K1015" s="7">
        <v>1</v>
      </c>
      <c r="L1015" s="24">
        <f>+Tabla2[[#This Row],[Stock Inventario]]*Tabla2[[#This Row],[Coste LÃ­nea]]</f>
        <v>2298.1166666700001</v>
      </c>
      <c r="M1015" s="24">
        <f>+Tabla2[[#This Row],[Variación Stock]]*Tabla2[[#This Row],[Coste LÃ­nea]]</f>
        <v>2298.1166666700001</v>
      </c>
      <c r="N1015" s="22" t="str">
        <f>+IF(Tabla2[[#This Row],[Variación Stock]]&gt;0,"Sobrante",IF(Tabla2[[#This Row],[Variación Stock]]&lt;0,"Faltante","Sin novedad"))</f>
        <v>Sobrante</v>
      </c>
    </row>
    <row r="1016" spans="1:14" x14ac:dyDescent="0.25">
      <c r="A1016" s="11">
        <v>46037</v>
      </c>
      <c r="B1016" s="5" t="s">
        <v>127</v>
      </c>
      <c r="C1016" s="3" t="s">
        <v>128</v>
      </c>
      <c r="D1016" s="5" t="s">
        <v>118</v>
      </c>
      <c r="E1016" s="5" t="s">
        <v>112</v>
      </c>
      <c r="F1016" s="6" t="s">
        <v>80</v>
      </c>
      <c r="G1016" s="4" t="s">
        <v>2</v>
      </c>
      <c r="H1016" s="24">
        <v>95860</v>
      </c>
      <c r="I1016" s="8">
        <v>2</v>
      </c>
      <c r="J1016" s="9">
        <v>2</v>
      </c>
      <c r="K1016" s="7">
        <v>0</v>
      </c>
      <c r="L1016" s="24">
        <f>+Tabla2[[#This Row],[Stock Inventario]]*Tabla2[[#This Row],[Coste LÃ­nea]]</f>
        <v>191720</v>
      </c>
      <c r="M1016" s="24">
        <f>+Tabla2[[#This Row],[Variación Stock]]*Tabla2[[#This Row],[Coste LÃ­nea]]</f>
        <v>0</v>
      </c>
      <c r="N1016" s="22" t="str">
        <f>+IF(Tabla2[[#This Row],[Variación Stock]]&gt;0,"Sobrante",IF(Tabla2[[#This Row],[Variación Stock]]&lt;0,"Faltante","Sin novedad"))</f>
        <v>Sin novedad</v>
      </c>
    </row>
    <row r="1017" spans="1:14" x14ac:dyDescent="0.25">
      <c r="A1017" s="11">
        <v>46037</v>
      </c>
      <c r="B1017" s="5" t="s">
        <v>127</v>
      </c>
      <c r="C1017" s="3" t="s">
        <v>128</v>
      </c>
      <c r="D1017" s="5" t="s">
        <v>118</v>
      </c>
      <c r="E1017" s="5" t="s">
        <v>112</v>
      </c>
      <c r="F1017" s="6" t="s">
        <v>176</v>
      </c>
      <c r="G1017" s="4" t="s">
        <v>2</v>
      </c>
      <c r="H1017" s="24">
        <v>66850</v>
      </c>
      <c r="I1017" s="8">
        <v>0</v>
      </c>
      <c r="J1017" s="9">
        <v>0</v>
      </c>
      <c r="K1017" s="7">
        <v>0</v>
      </c>
      <c r="L1017" s="24">
        <f>+Tabla2[[#This Row],[Stock Inventario]]*Tabla2[[#This Row],[Coste LÃ­nea]]</f>
        <v>0</v>
      </c>
      <c r="M1017" s="24">
        <f>+Tabla2[[#This Row],[Variación Stock]]*Tabla2[[#This Row],[Coste LÃ­nea]]</f>
        <v>0</v>
      </c>
      <c r="N1017" s="22" t="str">
        <f>+IF(Tabla2[[#This Row],[Variación Stock]]&gt;0,"Sobrante",IF(Tabla2[[#This Row],[Variación Stock]]&lt;0,"Faltante","Sin novedad"))</f>
        <v>Sin novedad</v>
      </c>
    </row>
    <row r="1018" spans="1:14" x14ac:dyDescent="0.25">
      <c r="A1018" s="11">
        <v>46044</v>
      </c>
      <c r="B1018" s="5" t="s">
        <v>358</v>
      </c>
      <c r="C1018" s="3" t="s">
        <v>128</v>
      </c>
      <c r="D1018" s="5" t="s">
        <v>118</v>
      </c>
      <c r="E1018" s="5" t="s">
        <v>112</v>
      </c>
      <c r="F1018" s="6" t="s">
        <v>88</v>
      </c>
      <c r="G1018" s="4" t="s">
        <v>81</v>
      </c>
      <c r="H1018" s="25">
        <v>4385.6000000000004</v>
      </c>
      <c r="I1018" s="8">
        <v>55.8</v>
      </c>
      <c r="J1018" s="9">
        <v>61</v>
      </c>
      <c r="K1018" s="7">
        <v>5.2</v>
      </c>
      <c r="L1018" s="24">
        <f>+Tabla2[[#This Row],[Stock Inventario]]*Tabla2[[#This Row],[Coste LÃ­nea]]</f>
        <v>267521.60000000003</v>
      </c>
      <c r="M1018" s="24">
        <f>+Tabla2[[#This Row],[Variación Stock]]*Tabla2[[#This Row],[Coste LÃ­nea]]</f>
        <v>22805.120000000003</v>
      </c>
      <c r="N1018" s="22" t="str">
        <f>+IF(Tabla2[[#This Row],[Variación Stock]]&gt;0,"Sobrante",IF(Tabla2[[#This Row],[Variación Stock]]&lt;0,"Faltante","Sin novedad"))</f>
        <v>Sobrante</v>
      </c>
    </row>
    <row r="1019" spans="1:14" x14ac:dyDescent="0.25">
      <c r="A1019" s="11">
        <v>46037</v>
      </c>
      <c r="B1019" s="5" t="s">
        <v>127</v>
      </c>
      <c r="C1019" s="3" t="s">
        <v>128</v>
      </c>
      <c r="D1019" s="5" t="s">
        <v>118</v>
      </c>
      <c r="E1019" s="5" t="s">
        <v>112</v>
      </c>
      <c r="F1019" s="6" t="s">
        <v>178</v>
      </c>
      <c r="G1019" s="4" t="s">
        <v>2</v>
      </c>
      <c r="H1019" s="24">
        <v>80870</v>
      </c>
      <c r="I1019" s="8">
        <v>2</v>
      </c>
      <c r="J1019" s="9">
        <v>2</v>
      </c>
      <c r="K1019" s="7">
        <v>0</v>
      </c>
      <c r="L1019" s="24">
        <f>+Tabla2[[#This Row],[Stock Inventario]]*Tabla2[[#This Row],[Coste LÃ­nea]]</f>
        <v>161740</v>
      </c>
      <c r="M1019" s="24">
        <f>+Tabla2[[#This Row],[Variación Stock]]*Tabla2[[#This Row],[Coste LÃ­nea]]</f>
        <v>0</v>
      </c>
      <c r="N1019" s="22" t="str">
        <f>+IF(Tabla2[[#This Row],[Variación Stock]]&gt;0,"Sobrante",IF(Tabla2[[#This Row],[Variación Stock]]&lt;0,"Faltante","Sin novedad"))</f>
        <v>Sin novedad</v>
      </c>
    </row>
    <row r="1020" spans="1:14" x14ac:dyDescent="0.25">
      <c r="A1020" s="11">
        <v>46037</v>
      </c>
      <c r="B1020" s="5" t="s">
        <v>127</v>
      </c>
      <c r="C1020" s="3" t="s">
        <v>128</v>
      </c>
      <c r="D1020" s="5" t="s">
        <v>118</v>
      </c>
      <c r="E1020" s="5" t="s">
        <v>112</v>
      </c>
      <c r="F1020" s="6" t="s">
        <v>179</v>
      </c>
      <c r="G1020" s="4" t="s">
        <v>2</v>
      </c>
      <c r="H1020" s="24">
        <v>80870</v>
      </c>
      <c r="I1020" s="8">
        <v>0</v>
      </c>
      <c r="J1020" s="9">
        <v>0</v>
      </c>
      <c r="K1020" s="7">
        <v>0</v>
      </c>
      <c r="L1020" s="24">
        <f>+Tabla2[[#This Row],[Stock Inventario]]*Tabla2[[#This Row],[Coste LÃ­nea]]</f>
        <v>0</v>
      </c>
      <c r="M1020" s="24">
        <f>+Tabla2[[#This Row],[Variación Stock]]*Tabla2[[#This Row],[Coste LÃ­nea]]</f>
        <v>0</v>
      </c>
      <c r="N1020" s="22" t="str">
        <f>+IF(Tabla2[[#This Row],[Variación Stock]]&gt;0,"Sobrante",IF(Tabla2[[#This Row],[Variación Stock]]&lt;0,"Faltante","Sin novedad"))</f>
        <v>Sin novedad</v>
      </c>
    </row>
    <row r="1021" spans="1:14" x14ac:dyDescent="0.25">
      <c r="A1021" s="11">
        <v>46037</v>
      </c>
      <c r="B1021" s="5" t="s">
        <v>127</v>
      </c>
      <c r="C1021" s="3" t="s">
        <v>128</v>
      </c>
      <c r="D1021" s="5" t="s">
        <v>118</v>
      </c>
      <c r="E1021" s="5" t="s">
        <v>112</v>
      </c>
      <c r="F1021" s="6" t="s">
        <v>180</v>
      </c>
      <c r="G1021" s="4" t="s">
        <v>2</v>
      </c>
      <c r="H1021" s="24">
        <v>80870</v>
      </c>
      <c r="I1021" s="8">
        <v>2</v>
      </c>
      <c r="J1021" s="9">
        <v>2</v>
      </c>
      <c r="K1021" s="7">
        <v>0</v>
      </c>
      <c r="L1021" s="24">
        <f>+Tabla2[[#This Row],[Stock Inventario]]*Tabla2[[#This Row],[Coste LÃ­nea]]</f>
        <v>161740</v>
      </c>
      <c r="M1021" s="24">
        <f>+Tabla2[[#This Row],[Variación Stock]]*Tabla2[[#This Row],[Coste LÃ­nea]]</f>
        <v>0</v>
      </c>
      <c r="N1021" s="22" t="str">
        <f>+IF(Tabla2[[#This Row],[Variación Stock]]&gt;0,"Sobrante",IF(Tabla2[[#This Row],[Variación Stock]]&lt;0,"Faltante","Sin novedad"))</f>
        <v>Sin novedad</v>
      </c>
    </row>
    <row r="1022" spans="1:14" x14ac:dyDescent="0.25">
      <c r="A1022" s="11">
        <v>46037</v>
      </c>
      <c r="B1022" s="5" t="s">
        <v>127</v>
      </c>
      <c r="C1022" s="3" t="s">
        <v>128</v>
      </c>
      <c r="D1022" s="5" t="s">
        <v>118</v>
      </c>
      <c r="E1022" s="5" t="s">
        <v>112</v>
      </c>
      <c r="F1022" s="6" t="s">
        <v>181</v>
      </c>
      <c r="G1022" s="4" t="s">
        <v>2</v>
      </c>
      <c r="H1022" s="24">
        <v>62806</v>
      </c>
      <c r="I1022" s="8">
        <v>2</v>
      </c>
      <c r="J1022" s="9">
        <v>2</v>
      </c>
      <c r="K1022" s="7">
        <v>0</v>
      </c>
      <c r="L1022" s="24">
        <f>+Tabla2[[#This Row],[Stock Inventario]]*Tabla2[[#This Row],[Coste LÃ­nea]]</f>
        <v>125612</v>
      </c>
      <c r="M1022" s="24">
        <f>+Tabla2[[#This Row],[Variación Stock]]*Tabla2[[#This Row],[Coste LÃ­nea]]</f>
        <v>0</v>
      </c>
      <c r="N1022" s="22" t="str">
        <f>+IF(Tabla2[[#This Row],[Variación Stock]]&gt;0,"Sobrante",IF(Tabla2[[#This Row],[Variación Stock]]&lt;0,"Faltante","Sin novedad"))</f>
        <v>Sin novedad</v>
      </c>
    </row>
    <row r="1023" spans="1:14" x14ac:dyDescent="0.25">
      <c r="A1023" s="11">
        <v>46037</v>
      </c>
      <c r="B1023" s="5" t="s">
        <v>127</v>
      </c>
      <c r="C1023" s="3" t="s">
        <v>128</v>
      </c>
      <c r="D1023" s="5" t="s">
        <v>118</v>
      </c>
      <c r="E1023" s="5" t="s">
        <v>112</v>
      </c>
      <c r="F1023" s="6" t="s">
        <v>182</v>
      </c>
      <c r="G1023" s="4" t="s">
        <v>2</v>
      </c>
      <c r="H1023" s="24">
        <v>66111.5</v>
      </c>
      <c r="I1023" s="8">
        <v>2</v>
      </c>
      <c r="J1023" s="9">
        <v>2</v>
      </c>
      <c r="K1023" s="7">
        <v>0</v>
      </c>
      <c r="L1023" s="24">
        <f>+Tabla2[[#This Row],[Stock Inventario]]*Tabla2[[#This Row],[Coste LÃ­nea]]</f>
        <v>132223</v>
      </c>
      <c r="M1023" s="24">
        <f>+Tabla2[[#This Row],[Variación Stock]]*Tabla2[[#This Row],[Coste LÃ­nea]]</f>
        <v>0</v>
      </c>
      <c r="N1023" s="22" t="str">
        <f>+IF(Tabla2[[#This Row],[Variación Stock]]&gt;0,"Sobrante",IF(Tabla2[[#This Row],[Variación Stock]]&lt;0,"Faltante","Sin novedad"))</f>
        <v>Sin novedad</v>
      </c>
    </row>
    <row r="1024" spans="1:14" x14ac:dyDescent="0.25">
      <c r="A1024" s="11">
        <v>46037</v>
      </c>
      <c r="B1024" s="5" t="s">
        <v>127</v>
      </c>
      <c r="C1024" s="3" t="s">
        <v>128</v>
      </c>
      <c r="D1024" s="5" t="s">
        <v>118</v>
      </c>
      <c r="E1024" s="5" t="s">
        <v>112</v>
      </c>
      <c r="F1024" s="6" t="s">
        <v>82</v>
      </c>
      <c r="G1024" s="4" t="s">
        <v>2</v>
      </c>
      <c r="H1024" s="24">
        <v>63372.5</v>
      </c>
      <c r="I1024" s="8">
        <v>2</v>
      </c>
      <c r="J1024" s="9">
        <v>2</v>
      </c>
      <c r="K1024" s="7">
        <v>0</v>
      </c>
      <c r="L1024" s="24">
        <f>+Tabla2[[#This Row],[Stock Inventario]]*Tabla2[[#This Row],[Coste LÃ­nea]]</f>
        <v>126745</v>
      </c>
      <c r="M1024" s="24">
        <f>+Tabla2[[#This Row],[Variación Stock]]*Tabla2[[#This Row],[Coste LÃ­nea]]</f>
        <v>0</v>
      </c>
      <c r="N1024" s="22" t="str">
        <f>+IF(Tabla2[[#This Row],[Variación Stock]]&gt;0,"Sobrante",IF(Tabla2[[#This Row],[Variación Stock]]&lt;0,"Faltante","Sin novedad"))</f>
        <v>Sin novedad</v>
      </c>
    </row>
    <row r="1025" spans="1:14" x14ac:dyDescent="0.25">
      <c r="A1025" s="11">
        <v>46037</v>
      </c>
      <c r="B1025" s="5" t="s">
        <v>127</v>
      </c>
      <c r="C1025" s="3" t="s">
        <v>128</v>
      </c>
      <c r="D1025" s="5" t="s">
        <v>118</v>
      </c>
      <c r="E1025" s="5" t="s">
        <v>112</v>
      </c>
      <c r="F1025" s="6" t="s">
        <v>183</v>
      </c>
      <c r="G1025" s="4" t="s">
        <v>2</v>
      </c>
      <c r="H1025" s="24">
        <v>93809</v>
      </c>
      <c r="I1025" s="8">
        <v>0</v>
      </c>
      <c r="J1025" s="9">
        <v>0</v>
      </c>
      <c r="K1025" s="7">
        <v>0</v>
      </c>
      <c r="L1025" s="24">
        <f>+Tabla2[[#This Row],[Stock Inventario]]*Tabla2[[#This Row],[Coste LÃ­nea]]</f>
        <v>0</v>
      </c>
      <c r="M1025" s="24">
        <f>+Tabla2[[#This Row],[Variación Stock]]*Tabla2[[#This Row],[Coste LÃ­nea]]</f>
        <v>0</v>
      </c>
      <c r="N1025" s="22" t="str">
        <f>+IF(Tabla2[[#This Row],[Variación Stock]]&gt;0,"Sobrante",IF(Tabla2[[#This Row],[Variación Stock]]&lt;0,"Faltante","Sin novedad"))</f>
        <v>Sin novedad</v>
      </c>
    </row>
    <row r="1026" spans="1:14" x14ac:dyDescent="0.25">
      <c r="A1026" s="11">
        <v>46037</v>
      </c>
      <c r="B1026" s="5" t="s">
        <v>127</v>
      </c>
      <c r="C1026" s="3" t="s">
        <v>128</v>
      </c>
      <c r="D1026" s="5" t="s">
        <v>118</v>
      </c>
      <c r="E1026" s="5" t="s">
        <v>112</v>
      </c>
      <c r="F1026" s="6" t="s">
        <v>83</v>
      </c>
      <c r="G1026" s="4" t="s">
        <v>2</v>
      </c>
      <c r="H1026" s="24">
        <v>37607.75</v>
      </c>
      <c r="I1026" s="8">
        <v>10</v>
      </c>
      <c r="J1026" s="9">
        <v>10</v>
      </c>
      <c r="K1026" s="7">
        <v>0</v>
      </c>
      <c r="L1026" s="24">
        <f>+Tabla2[[#This Row],[Stock Inventario]]*Tabla2[[#This Row],[Coste LÃ­nea]]</f>
        <v>376077.5</v>
      </c>
      <c r="M1026" s="24">
        <f>+Tabla2[[#This Row],[Variación Stock]]*Tabla2[[#This Row],[Coste LÃ­nea]]</f>
        <v>0</v>
      </c>
      <c r="N1026" s="22" t="str">
        <f>+IF(Tabla2[[#This Row],[Variación Stock]]&gt;0,"Sobrante",IF(Tabla2[[#This Row],[Variación Stock]]&lt;0,"Faltante","Sin novedad"))</f>
        <v>Sin novedad</v>
      </c>
    </row>
    <row r="1027" spans="1:14" x14ac:dyDescent="0.25">
      <c r="A1027" s="11">
        <v>46037</v>
      </c>
      <c r="B1027" s="5" t="s">
        <v>127</v>
      </c>
      <c r="C1027" s="3" t="s">
        <v>128</v>
      </c>
      <c r="D1027" s="5" t="s">
        <v>111</v>
      </c>
      <c r="E1027" s="5" t="s">
        <v>112</v>
      </c>
      <c r="F1027" s="6" t="s">
        <v>140</v>
      </c>
      <c r="G1027" s="4" t="s">
        <v>0</v>
      </c>
      <c r="H1027" s="24">
        <v>0</v>
      </c>
      <c r="I1027" s="8">
        <v>15</v>
      </c>
      <c r="J1027" s="9">
        <v>17</v>
      </c>
      <c r="K1027" s="7">
        <v>2</v>
      </c>
      <c r="L1027" s="24">
        <f>+Tabla2[[#This Row],[Stock Inventario]]*Tabla2[[#This Row],[Coste LÃ­nea]]</f>
        <v>0</v>
      </c>
      <c r="M1027" s="24">
        <f>+Tabla2[[#This Row],[Variación Stock]]*Tabla2[[#This Row],[Coste LÃ­nea]]</f>
        <v>0</v>
      </c>
      <c r="N1027" s="22" t="str">
        <f>+IF(Tabla2[[#This Row],[Variación Stock]]&gt;0,"Sobrante",IF(Tabla2[[#This Row],[Variación Stock]]&lt;0,"Faltante","Sin novedad"))</f>
        <v>Sobrante</v>
      </c>
    </row>
    <row r="1028" spans="1:14" x14ac:dyDescent="0.25">
      <c r="A1028" s="11">
        <v>46037</v>
      </c>
      <c r="B1028" s="5" t="s">
        <v>127</v>
      </c>
      <c r="C1028" s="3" t="s">
        <v>128</v>
      </c>
      <c r="D1028" s="5" t="s">
        <v>118</v>
      </c>
      <c r="E1028" s="5" t="s">
        <v>112</v>
      </c>
      <c r="F1028" s="6" t="s">
        <v>86</v>
      </c>
      <c r="G1028" s="4" t="s">
        <v>81</v>
      </c>
      <c r="H1028" s="24">
        <v>10889.4</v>
      </c>
      <c r="I1028" s="8">
        <v>15</v>
      </c>
      <c r="J1028" s="9">
        <v>15</v>
      </c>
      <c r="K1028" s="7">
        <v>0</v>
      </c>
      <c r="L1028" s="24">
        <f>+Tabla2[[#This Row],[Stock Inventario]]*Tabla2[[#This Row],[Coste LÃ­nea]]</f>
        <v>163341</v>
      </c>
      <c r="M1028" s="24">
        <f>+Tabla2[[#This Row],[Variación Stock]]*Tabla2[[#This Row],[Coste LÃ­nea]]</f>
        <v>0</v>
      </c>
      <c r="N1028" s="22" t="str">
        <f>+IF(Tabla2[[#This Row],[Variación Stock]]&gt;0,"Sobrante",IF(Tabla2[[#This Row],[Variación Stock]]&lt;0,"Faltante","Sin novedad"))</f>
        <v>Sin novedad</v>
      </c>
    </row>
    <row r="1029" spans="1:14" x14ac:dyDescent="0.25">
      <c r="A1029" s="11">
        <v>46037</v>
      </c>
      <c r="B1029" s="5" t="s">
        <v>127</v>
      </c>
      <c r="C1029" s="3" t="s">
        <v>128</v>
      </c>
      <c r="D1029" s="5" t="s">
        <v>111</v>
      </c>
      <c r="E1029" s="5" t="s">
        <v>112</v>
      </c>
      <c r="F1029" s="6" t="s">
        <v>55</v>
      </c>
      <c r="G1029" s="4" t="s">
        <v>0</v>
      </c>
      <c r="H1029" s="24">
        <v>2919.9166666699998</v>
      </c>
      <c r="I1029" s="8">
        <v>39</v>
      </c>
      <c r="J1029" s="9">
        <v>41</v>
      </c>
      <c r="K1029" s="7">
        <v>2</v>
      </c>
      <c r="L1029" s="24">
        <f>+Tabla2[[#This Row],[Stock Inventario]]*Tabla2[[#This Row],[Coste LÃ­nea]]</f>
        <v>119716.58333346999</v>
      </c>
      <c r="M1029" s="24">
        <f>+Tabla2[[#This Row],[Variación Stock]]*Tabla2[[#This Row],[Coste LÃ­nea]]</f>
        <v>5839.8333333399996</v>
      </c>
      <c r="N1029" s="22" t="str">
        <f>+IF(Tabla2[[#This Row],[Variación Stock]]&gt;0,"Sobrante",IF(Tabla2[[#This Row],[Variación Stock]]&lt;0,"Faltante","Sin novedad"))</f>
        <v>Sobrante</v>
      </c>
    </row>
    <row r="1030" spans="1:14" x14ac:dyDescent="0.25">
      <c r="A1030" s="11">
        <v>46037</v>
      </c>
      <c r="B1030" s="5" t="s">
        <v>127</v>
      </c>
      <c r="C1030" s="3" t="s">
        <v>128</v>
      </c>
      <c r="D1030" s="5" t="s">
        <v>118</v>
      </c>
      <c r="E1030" s="5" t="s">
        <v>112</v>
      </c>
      <c r="F1030" s="6" t="s">
        <v>87</v>
      </c>
      <c r="G1030" s="4" t="s">
        <v>2</v>
      </c>
      <c r="H1030" s="24">
        <v>37612</v>
      </c>
      <c r="I1030" s="8">
        <v>4</v>
      </c>
      <c r="J1030" s="9">
        <v>4</v>
      </c>
      <c r="K1030" s="7">
        <v>0</v>
      </c>
      <c r="L1030" s="24">
        <f>+Tabla2[[#This Row],[Stock Inventario]]*Tabla2[[#This Row],[Coste LÃ­nea]]</f>
        <v>150448</v>
      </c>
      <c r="M1030" s="24">
        <f>+Tabla2[[#This Row],[Variación Stock]]*Tabla2[[#This Row],[Coste LÃ­nea]]</f>
        <v>0</v>
      </c>
      <c r="N1030" s="22" t="str">
        <f>+IF(Tabla2[[#This Row],[Variación Stock]]&gt;0,"Sobrante",IF(Tabla2[[#This Row],[Variación Stock]]&lt;0,"Faltante","Sin novedad"))</f>
        <v>Sin novedad</v>
      </c>
    </row>
    <row r="1031" spans="1:14" x14ac:dyDescent="0.25">
      <c r="A1031" s="11">
        <v>46044</v>
      </c>
      <c r="B1031" s="5" t="s">
        <v>358</v>
      </c>
      <c r="C1031" s="3" t="s">
        <v>128</v>
      </c>
      <c r="D1031" s="5" t="s">
        <v>111</v>
      </c>
      <c r="E1031" s="5" t="s">
        <v>112</v>
      </c>
      <c r="F1031" s="6" t="s">
        <v>30</v>
      </c>
      <c r="G1031" s="4" t="s">
        <v>0</v>
      </c>
      <c r="H1031" s="25">
        <v>4008.2727272699999</v>
      </c>
      <c r="I1031" s="8">
        <v>-2</v>
      </c>
      <c r="J1031" s="9">
        <v>0</v>
      </c>
      <c r="K1031" s="7">
        <v>2</v>
      </c>
      <c r="L1031" s="24">
        <f>+Tabla2[[#This Row],[Stock Inventario]]*Tabla2[[#This Row],[Coste LÃ­nea]]</f>
        <v>0</v>
      </c>
      <c r="M1031" s="24">
        <f>+Tabla2[[#This Row],[Variación Stock]]*Tabla2[[#This Row],[Coste LÃ­nea]]</f>
        <v>8016.5454545399998</v>
      </c>
      <c r="N1031" s="22" t="str">
        <f>+IF(Tabla2[[#This Row],[Variación Stock]]&gt;0,"Sobrante",IF(Tabla2[[#This Row],[Variación Stock]]&lt;0,"Faltante","Sin novedad"))</f>
        <v>Sobrante</v>
      </c>
    </row>
    <row r="1032" spans="1:14" x14ac:dyDescent="0.25">
      <c r="A1032" s="11">
        <v>46037</v>
      </c>
      <c r="B1032" s="5" t="s">
        <v>127</v>
      </c>
      <c r="C1032" s="3" t="s">
        <v>128</v>
      </c>
      <c r="D1032" s="5" t="s">
        <v>118</v>
      </c>
      <c r="E1032" s="5" t="s">
        <v>112</v>
      </c>
      <c r="F1032" s="6" t="s">
        <v>89</v>
      </c>
      <c r="G1032" s="4" t="s">
        <v>81</v>
      </c>
      <c r="H1032" s="24">
        <v>4002.6</v>
      </c>
      <c r="I1032" s="8">
        <v>41</v>
      </c>
      <c r="J1032" s="9">
        <v>41</v>
      </c>
      <c r="K1032" s="7">
        <v>0</v>
      </c>
      <c r="L1032" s="24">
        <f>+Tabla2[[#This Row],[Stock Inventario]]*Tabla2[[#This Row],[Coste LÃ­nea]]</f>
        <v>164106.6</v>
      </c>
      <c r="M1032" s="24">
        <f>+Tabla2[[#This Row],[Variación Stock]]*Tabla2[[#This Row],[Coste LÃ­nea]]</f>
        <v>0</v>
      </c>
      <c r="N1032" s="22" t="str">
        <f>+IF(Tabla2[[#This Row],[Variación Stock]]&gt;0,"Sobrante",IF(Tabla2[[#This Row],[Variación Stock]]&lt;0,"Faltante","Sin novedad"))</f>
        <v>Sin novedad</v>
      </c>
    </row>
    <row r="1033" spans="1:14" x14ac:dyDescent="0.25">
      <c r="A1033" s="11">
        <v>46037</v>
      </c>
      <c r="B1033" s="5" t="s">
        <v>127</v>
      </c>
      <c r="C1033" s="3" t="s">
        <v>128</v>
      </c>
      <c r="D1033" s="5" t="s">
        <v>118</v>
      </c>
      <c r="E1033" s="5" t="s">
        <v>112</v>
      </c>
      <c r="F1033" s="6" t="s">
        <v>91</v>
      </c>
      <c r="G1033" s="4" t="s">
        <v>2</v>
      </c>
      <c r="H1033" s="24">
        <v>56095</v>
      </c>
      <c r="I1033" s="8">
        <v>0</v>
      </c>
      <c r="J1033" s="9">
        <v>0</v>
      </c>
      <c r="K1033" s="7">
        <v>0</v>
      </c>
      <c r="L1033" s="24">
        <f>+Tabla2[[#This Row],[Stock Inventario]]*Tabla2[[#This Row],[Coste LÃ­nea]]</f>
        <v>0</v>
      </c>
      <c r="M1033" s="24">
        <f>+Tabla2[[#This Row],[Variación Stock]]*Tabla2[[#This Row],[Coste LÃ­nea]]</f>
        <v>0</v>
      </c>
      <c r="N1033" s="22" t="str">
        <f>+IF(Tabla2[[#This Row],[Variación Stock]]&gt;0,"Sobrante",IF(Tabla2[[#This Row],[Variación Stock]]&lt;0,"Faltante","Sin novedad"))</f>
        <v>Sin novedad</v>
      </c>
    </row>
    <row r="1034" spans="1:14" x14ac:dyDescent="0.25">
      <c r="A1034" s="11">
        <v>46037</v>
      </c>
      <c r="B1034" s="5" t="s">
        <v>127</v>
      </c>
      <c r="C1034" s="3" t="s">
        <v>128</v>
      </c>
      <c r="D1034" s="5" t="s">
        <v>118</v>
      </c>
      <c r="E1034" s="5" t="s">
        <v>112</v>
      </c>
      <c r="F1034" s="6" t="s">
        <v>92</v>
      </c>
      <c r="G1034" s="4" t="s">
        <v>81</v>
      </c>
      <c r="H1034" s="24">
        <v>9481.9714285699993</v>
      </c>
      <c r="I1034" s="8">
        <v>0</v>
      </c>
      <c r="J1034" s="9">
        <v>0</v>
      </c>
      <c r="K1034" s="7">
        <v>0</v>
      </c>
      <c r="L1034" s="24">
        <f>+Tabla2[[#This Row],[Stock Inventario]]*Tabla2[[#This Row],[Coste LÃ­nea]]</f>
        <v>0</v>
      </c>
      <c r="M1034" s="24">
        <f>+Tabla2[[#This Row],[Variación Stock]]*Tabla2[[#This Row],[Coste LÃ­nea]]</f>
        <v>0</v>
      </c>
      <c r="N1034" s="22" t="str">
        <f>+IF(Tabla2[[#This Row],[Variación Stock]]&gt;0,"Sobrante",IF(Tabla2[[#This Row],[Variación Stock]]&lt;0,"Faltante","Sin novedad"))</f>
        <v>Sin novedad</v>
      </c>
    </row>
    <row r="1035" spans="1:14" x14ac:dyDescent="0.25">
      <c r="A1035" s="11">
        <v>46037</v>
      </c>
      <c r="B1035" s="5" t="s">
        <v>127</v>
      </c>
      <c r="C1035" s="3" t="s">
        <v>128</v>
      </c>
      <c r="D1035" s="5" t="s">
        <v>118</v>
      </c>
      <c r="E1035" s="5" t="s">
        <v>112</v>
      </c>
      <c r="F1035" s="6" t="s">
        <v>185</v>
      </c>
      <c r="G1035" s="4" t="s">
        <v>2</v>
      </c>
      <c r="H1035" s="24">
        <v>48142</v>
      </c>
      <c r="I1035" s="8">
        <v>2</v>
      </c>
      <c r="J1035" s="9">
        <v>2</v>
      </c>
      <c r="K1035" s="7">
        <v>0</v>
      </c>
      <c r="L1035" s="24">
        <f>+Tabla2[[#This Row],[Stock Inventario]]*Tabla2[[#This Row],[Coste LÃ­nea]]</f>
        <v>96284</v>
      </c>
      <c r="M1035" s="24">
        <f>+Tabla2[[#This Row],[Variación Stock]]*Tabla2[[#This Row],[Coste LÃ­nea]]</f>
        <v>0</v>
      </c>
      <c r="N1035" s="22" t="str">
        <f>+IF(Tabla2[[#This Row],[Variación Stock]]&gt;0,"Sobrante",IF(Tabla2[[#This Row],[Variación Stock]]&lt;0,"Faltante","Sin novedad"))</f>
        <v>Sin novedad</v>
      </c>
    </row>
    <row r="1036" spans="1:14" x14ac:dyDescent="0.25">
      <c r="A1036" s="11">
        <v>46037</v>
      </c>
      <c r="B1036" s="5" t="s">
        <v>127</v>
      </c>
      <c r="C1036" s="3" t="s">
        <v>128</v>
      </c>
      <c r="D1036" s="5" t="s">
        <v>118</v>
      </c>
      <c r="E1036" s="5" t="s">
        <v>112</v>
      </c>
      <c r="F1036" s="6" t="s">
        <v>186</v>
      </c>
      <c r="G1036" s="4" t="s">
        <v>2</v>
      </c>
      <c r="H1036" s="24">
        <v>53140</v>
      </c>
      <c r="I1036" s="8">
        <v>2</v>
      </c>
      <c r="J1036" s="9">
        <v>2</v>
      </c>
      <c r="K1036" s="7">
        <v>0</v>
      </c>
      <c r="L1036" s="24">
        <f>+Tabla2[[#This Row],[Stock Inventario]]*Tabla2[[#This Row],[Coste LÃ­nea]]</f>
        <v>106280</v>
      </c>
      <c r="M1036" s="24">
        <f>+Tabla2[[#This Row],[Variación Stock]]*Tabla2[[#This Row],[Coste LÃ­nea]]</f>
        <v>0</v>
      </c>
      <c r="N1036" s="22" t="str">
        <f>+IF(Tabla2[[#This Row],[Variación Stock]]&gt;0,"Sobrante",IF(Tabla2[[#This Row],[Variación Stock]]&lt;0,"Faltante","Sin novedad"))</f>
        <v>Sin novedad</v>
      </c>
    </row>
    <row r="1037" spans="1:14" x14ac:dyDescent="0.25">
      <c r="A1037" s="11">
        <v>46037</v>
      </c>
      <c r="B1037" s="5" t="s">
        <v>127</v>
      </c>
      <c r="C1037" s="3" t="s">
        <v>128</v>
      </c>
      <c r="D1037" s="5" t="s">
        <v>118</v>
      </c>
      <c r="E1037" s="5" t="s">
        <v>112</v>
      </c>
      <c r="F1037" s="6" t="s">
        <v>187</v>
      </c>
      <c r="G1037" s="4" t="s">
        <v>2</v>
      </c>
      <c r="H1037" s="24">
        <v>0</v>
      </c>
      <c r="I1037" s="8">
        <v>1</v>
      </c>
      <c r="J1037" s="9">
        <v>1</v>
      </c>
      <c r="K1037" s="7">
        <v>0</v>
      </c>
      <c r="L1037" s="24">
        <f>+Tabla2[[#This Row],[Stock Inventario]]*Tabla2[[#This Row],[Coste LÃ­nea]]</f>
        <v>0</v>
      </c>
      <c r="M1037" s="24">
        <f>+Tabla2[[#This Row],[Variación Stock]]*Tabla2[[#This Row],[Coste LÃ­nea]]</f>
        <v>0</v>
      </c>
      <c r="N1037" s="22" t="str">
        <f>+IF(Tabla2[[#This Row],[Variación Stock]]&gt;0,"Sobrante",IF(Tabla2[[#This Row],[Variación Stock]]&lt;0,"Faltante","Sin novedad"))</f>
        <v>Sin novedad</v>
      </c>
    </row>
    <row r="1038" spans="1:14" x14ac:dyDescent="0.25">
      <c r="A1038" s="11">
        <v>46037</v>
      </c>
      <c r="B1038" s="5" t="s">
        <v>127</v>
      </c>
      <c r="C1038" s="3" t="s">
        <v>128</v>
      </c>
      <c r="D1038" s="5" t="s">
        <v>118</v>
      </c>
      <c r="E1038" s="5" t="s">
        <v>112</v>
      </c>
      <c r="F1038" s="6" t="s">
        <v>188</v>
      </c>
      <c r="G1038" s="4" t="s">
        <v>2</v>
      </c>
      <c r="H1038" s="24">
        <v>176006.72268899999</v>
      </c>
      <c r="I1038" s="8">
        <v>2</v>
      </c>
      <c r="J1038" s="9">
        <v>2</v>
      </c>
      <c r="K1038" s="7">
        <v>0</v>
      </c>
      <c r="L1038" s="24">
        <f>+Tabla2[[#This Row],[Stock Inventario]]*Tabla2[[#This Row],[Coste LÃ­nea]]</f>
        <v>352013.44537799997</v>
      </c>
      <c r="M1038" s="24">
        <f>+Tabla2[[#This Row],[Variación Stock]]*Tabla2[[#This Row],[Coste LÃ­nea]]</f>
        <v>0</v>
      </c>
      <c r="N1038" s="22" t="str">
        <f>+IF(Tabla2[[#This Row],[Variación Stock]]&gt;0,"Sobrante",IF(Tabla2[[#This Row],[Variación Stock]]&lt;0,"Faltante","Sin novedad"))</f>
        <v>Sin novedad</v>
      </c>
    </row>
    <row r="1039" spans="1:14" x14ac:dyDescent="0.25">
      <c r="A1039" s="11">
        <v>46037</v>
      </c>
      <c r="B1039" s="5" t="s">
        <v>127</v>
      </c>
      <c r="C1039" s="3" t="s">
        <v>128</v>
      </c>
      <c r="D1039" s="5" t="s">
        <v>118</v>
      </c>
      <c r="E1039" s="5" t="s">
        <v>112</v>
      </c>
      <c r="F1039" s="6" t="s">
        <v>189</v>
      </c>
      <c r="G1039" s="4" t="s">
        <v>2</v>
      </c>
      <c r="H1039" s="24">
        <v>97685.185184999995</v>
      </c>
      <c r="I1039" s="8">
        <v>2</v>
      </c>
      <c r="J1039" s="9">
        <v>2</v>
      </c>
      <c r="K1039" s="7">
        <v>0</v>
      </c>
      <c r="L1039" s="24">
        <f>+Tabla2[[#This Row],[Stock Inventario]]*Tabla2[[#This Row],[Coste LÃ­nea]]</f>
        <v>195370.37036999999</v>
      </c>
      <c r="M1039" s="24">
        <f>+Tabla2[[#This Row],[Variación Stock]]*Tabla2[[#This Row],[Coste LÃ­nea]]</f>
        <v>0</v>
      </c>
      <c r="N1039" s="22" t="str">
        <f>+IF(Tabla2[[#This Row],[Variación Stock]]&gt;0,"Sobrante",IF(Tabla2[[#This Row],[Variación Stock]]&lt;0,"Faltante","Sin novedad"))</f>
        <v>Sin novedad</v>
      </c>
    </row>
    <row r="1040" spans="1:14" x14ac:dyDescent="0.25">
      <c r="A1040" s="11">
        <v>46037</v>
      </c>
      <c r="B1040" s="5" t="s">
        <v>127</v>
      </c>
      <c r="C1040" s="3" t="s">
        <v>128</v>
      </c>
      <c r="D1040" s="5" t="s">
        <v>118</v>
      </c>
      <c r="E1040" s="5" t="s">
        <v>112</v>
      </c>
      <c r="F1040" s="6" t="s">
        <v>190</v>
      </c>
      <c r="G1040" s="4" t="s">
        <v>2</v>
      </c>
      <c r="H1040" s="24">
        <v>98892</v>
      </c>
      <c r="I1040" s="8">
        <v>2</v>
      </c>
      <c r="J1040" s="9">
        <v>2</v>
      </c>
      <c r="K1040" s="7">
        <v>0</v>
      </c>
      <c r="L1040" s="24">
        <f>+Tabla2[[#This Row],[Stock Inventario]]*Tabla2[[#This Row],[Coste LÃ­nea]]</f>
        <v>197784</v>
      </c>
      <c r="M1040" s="24">
        <f>+Tabla2[[#This Row],[Variación Stock]]*Tabla2[[#This Row],[Coste LÃ­nea]]</f>
        <v>0</v>
      </c>
      <c r="N1040" s="22" t="str">
        <f>+IF(Tabla2[[#This Row],[Variación Stock]]&gt;0,"Sobrante",IF(Tabla2[[#This Row],[Variación Stock]]&lt;0,"Faltante","Sin novedad"))</f>
        <v>Sin novedad</v>
      </c>
    </row>
    <row r="1041" spans="1:14" hidden="1" x14ac:dyDescent="0.25">
      <c r="A1041" s="11">
        <v>46044</v>
      </c>
      <c r="B1041" s="5" t="s">
        <v>358</v>
      </c>
      <c r="C1041" s="3" t="s">
        <v>128</v>
      </c>
      <c r="D1041" s="5" t="s">
        <v>116</v>
      </c>
      <c r="E1041" s="5" t="s">
        <v>117</v>
      </c>
      <c r="F1041" s="6" t="s">
        <v>159</v>
      </c>
      <c r="G1041" s="4" t="s">
        <v>2</v>
      </c>
      <c r="H1041" s="25">
        <v>14488.88888889</v>
      </c>
      <c r="I1041" s="8">
        <v>13</v>
      </c>
      <c r="J1041" s="9">
        <v>19</v>
      </c>
      <c r="K1041" s="7">
        <v>6</v>
      </c>
      <c r="L1041" s="24">
        <f>+Tabla2[[#This Row],[Stock Inventario]]*Tabla2[[#This Row],[Coste LÃ­nea]]</f>
        <v>275288.88888891001</v>
      </c>
      <c r="M1041" s="24">
        <f>+Tabla2[[#This Row],[Variación Stock]]*Tabla2[[#This Row],[Coste LÃ­nea]]</f>
        <v>86933.333333340008</v>
      </c>
      <c r="N1041" s="22" t="str">
        <f>+IF(Tabla2[[#This Row],[Variación Stock]]&gt;0,"Sobrante",IF(Tabla2[[#This Row],[Variación Stock]]&lt;0,"Faltante","Sin novedad"))</f>
        <v>Sobrante</v>
      </c>
    </row>
    <row r="1042" spans="1:14" x14ac:dyDescent="0.25">
      <c r="A1042" s="11">
        <v>46037</v>
      </c>
      <c r="B1042" s="5" t="s">
        <v>127</v>
      </c>
      <c r="C1042" s="3" t="s">
        <v>128</v>
      </c>
      <c r="D1042" s="5" t="s">
        <v>118</v>
      </c>
      <c r="E1042" s="5" t="s">
        <v>112</v>
      </c>
      <c r="F1042" s="6" t="s">
        <v>88</v>
      </c>
      <c r="G1042" s="4" t="s">
        <v>81</v>
      </c>
      <c r="H1042" s="24">
        <v>4385.6000000000004</v>
      </c>
      <c r="I1042" s="8">
        <v>66</v>
      </c>
      <c r="J1042" s="9">
        <v>68</v>
      </c>
      <c r="K1042" s="7">
        <v>2</v>
      </c>
      <c r="L1042" s="24">
        <f>+Tabla2[[#This Row],[Stock Inventario]]*Tabla2[[#This Row],[Coste LÃ­nea]]</f>
        <v>298220.80000000005</v>
      </c>
      <c r="M1042" s="24">
        <f>+Tabla2[[#This Row],[Variación Stock]]*Tabla2[[#This Row],[Coste LÃ­nea]]</f>
        <v>8771.2000000000007</v>
      </c>
      <c r="N1042" s="22" t="str">
        <f>+IF(Tabla2[[#This Row],[Variación Stock]]&gt;0,"Sobrante",IF(Tabla2[[#This Row],[Variación Stock]]&lt;0,"Faltante","Sin novedad"))</f>
        <v>Sobrante</v>
      </c>
    </row>
    <row r="1043" spans="1:14" hidden="1" x14ac:dyDescent="0.25">
      <c r="A1043" s="11">
        <v>46037</v>
      </c>
      <c r="B1043" s="5" t="s">
        <v>127</v>
      </c>
      <c r="C1043" s="3" t="s">
        <v>128</v>
      </c>
      <c r="D1043" s="5" t="s">
        <v>119</v>
      </c>
      <c r="E1043" s="5" t="s">
        <v>117</v>
      </c>
      <c r="F1043" s="6" t="s">
        <v>8</v>
      </c>
      <c r="G1043" s="4" t="s">
        <v>1</v>
      </c>
      <c r="H1043" s="24">
        <v>57</v>
      </c>
      <c r="I1043" s="8">
        <v>0</v>
      </c>
      <c r="J1043" s="9">
        <v>0</v>
      </c>
      <c r="K1043" s="7">
        <v>0</v>
      </c>
      <c r="L1043" s="24">
        <f>+Tabla2[[#This Row],[Stock Inventario]]*Tabla2[[#This Row],[Coste LÃ­nea]]</f>
        <v>0</v>
      </c>
      <c r="M1043" s="24">
        <f>+Tabla2[[#This Row],[Variación Stock]]*Tabla2[[#This Row],[Coste LÃ­nea]]</f>
        <v>0</v>
      </c>
      <c r="N1043" s="22" t="str">
        <f>+IF(Tabla2[[#This Row],[Variación Stock]]&gt;0,"Sobrante",IF(Tabla2[[#This Row],[Variación Stock]]&lt;0,"Faltante","Sin novedad"))</f>
        <v>Sin novedad</v>
      </c>
    </row>
    <row r="1044" spans="1:14" x14ac:dyDescent="0.25">
      <c r="A1044" s="11">
        <v>46037</v>
      </c>
      <c r="B1044" s="5" t="s">
        <v>127</v>
      </c>
      <c r="C1044" s="3" t="s">
        <v>128</v>
      </c>
      <c r="D1044" s="5" t="s">
        <v>118</v>
      </c>
      <c r="E1044" s="5" t="s">
        <v>112</v>
      </c>
      <c r="F1044" s="6" t="s">
        <v>177</v>
      </c>
      <c r="G1044" s="4" t="s">
        <v>2</v>
      </c>
      <c r="H1044" s="24">
        <v>49268.9</v>
      </c>
      <c r="I1044" s="8">
        <v>1</v>
      </c>
      <c r="J1044" s="9">
        <v>2</v>
      </c>
      <c r="K1044" s="7">
        <v>1</v>
      </c>
      <c r="L1044" s="24">
        <f>+Tabla2[[#This Row],[Stock Inventario]]*Tabla2[[#This Row],[Coste LÃ­nea]]</f>
        <v>98537.8</v>
      </c>
      <c r="M1044" s="24">
        <f>+Tabla2[[#This Row],[Variación Stock]]*Tabla2[[#This Row],[Coste LÃ­nea]]</f>
        <v>49268.9</v>
      </c>
      <c r="N1044" s="22" t="str">
        <f>+IF(Tabla2[[#This Row],[Variación Stock]]&gt;0,"Sobrante",IF(Tabla2[[#This Row],[Variación Stock]]&lt;0,"Faltante","Sin novedad"))</f>
        <v>Sobrante</v>
      </c>
    </row>
    <row r="1045" spans="1:14" hidden="1" x14ac:dyDescent="0.25">
      <c r="A1045" s="11">
        <v>46044</v>
      </c>
      <c r="B1045" s="5" t="s">
        <v>358</v>
      </c>
      <c r="C1045" s="3" t="s">
        <v>128</v>
      </c>
      <c r="D1045" s="5" t="s">
        <v>119</v>
      </c>
      <c r="E1045" s="5" t="s">
        <v>117</v>
      </c>
      <c r="F1045" s="6" t="s">
        <v>8</v>
      </c>
      <c r="G1045" s="4" t="s">
        <v>1</v>
      </c>
      <c r="H1045" s="25">
        <v>57</v>
      </c>
      <c r="I1045" s="8">
        <v>0</v>
      </c>
      <c r="J1045" s="9">
        <v>0</v>
      </c>
      <c r="K1045" s="7">
        <v>0</v>
      </c>
      <c r="L1045" s="24">
        <f>+Tabla2[[#This Row],[Stock Inventario]]*Tabla2[[#This Row],[Coste LÃ­nea]]</f>
        <v>0</v>
      </c>
      <c r="M1045" s="24">
        <f>+Tabla2[[#This Row],[Variación Stock]]*Tabla2[[#This Row],[Coste LÃ­nea]]</f>
        <v>0</v>
      </c>
      <c r="N1045" s="22" t="str">
        <f>+IF(Tabla2[[#This Row],[Variación Stock]]&gt;0,"Sobrante",IF(Tabla2[[#This Row],[Variación Stock]]&lt;0,"Faltante","Sin novedad"))</f>
        <v>Sin novedad</v>
      </c>
    </row>
    <row r="1046" spans="1:14" hidden="1" x14ac:dyDescent="0.25">
      <c r="A1046" s="11">
        <v>46037</v>
      </c>
      <c r="B1046" s="5" t="s">
        <v>127</v>
      </c>
      <c r="C1046" s="3" t="s">
        <v>128</v>
      </c>
      <c r="D1046" s="5" t="s">
        <v>119</v>
      </c>
      <c r="E1046" s="5" t="s">
        <v>117</v>
      </c>
      <c r="F1046" s="6" t="s">
        <v>195</v>
      </c>
      <c r="G1046" s="4" t="s">
        <v>2</v>
      </c>
      <c r="H1046" s="24">
        <v>7500</v>
      </c>
      <c r="I1046" s="8">
        <v>0</v>
      </c>
      <c r="J1046" s="9">
        <v>0</v>
      </c>
      <c r="K1046" s="7">
        <v>0</v>
      </c>
      <c r="L1046" s="24">
        <f>+Tabla2[[#This Row],[Stock Inventario]]*Tabla2[[#This Row],[Coste LÃ­nea]]</f>
        <v>0</v>
      </c>
      <c r="M1046" s="24">
        <f>+Tabla2[[#This Row],[Variación Stock]]*Tabla2[[#This Row],[Coste LÃ­nea]]</f>
        <v>0</v>
      </c>
      <c r="N1046" s="22" t="str">
        <f>+IF(Tabla2[[#This Row],[Variación Stock]]&gt;0,"Sobrante",IF(Tabla2[[#This Row],[Variación Stock]]&lt;0,"Faltante","Sin novedad"))</f>
        <v>Sin novedad</v>
      </c>
    </row>
    <row r="1047" spans="1:14" hidden="1" x14ac:dyDescent="0.25">
      <c r="A1047" s="11">
        <v>46044</v>
      </c>
      <c r="B1047" s="5" t="s">
        <v>358</v>
      </c>
      <c r="C1047" s="3" t="s">
        <v>128</v>
      </c>
      <c r="D1047" s="5" t="s">
        <v>119</v>
      </c>
      <c r="E1047" s="5" t="s">
        <v>117</v>
      </c>
      <c r="F1047" s="6" t="s">
        <v>195</v>
      </c>
      <c r="G1047" s="4" t="s">
        <v>2</v>
      </c>
      <c r="H1047" s="25">
        <v>7500</v>
      </c>
      <c r="I1047" s="8">
        <v>0</v>
      </c>
      <c r="J1047" s="9">
        <v>0</v>
      </c>
      <c r="K1047" s="7">
        <v>0</v>
      </c>
      <c r="L1047" s="24">
        <f>+Tabla2[[#This Row],[Stock Inventario]]*Tabla2[[#This Row],[Coste LÃ­nea]]</f>
        <v>0</v>
      </c>
      <c r="M1047" s="24">
        <f>+Tabla2[[#This Row],[Variación Stock]]*Tabla2[[#This Row],[Coste LÃ­nea]]</f>
        <v>0</v>
      </c>
      <c r="N1047" s="22" t="str">
        <f>+IF(Tabla2[[#This Row],[Variación Stock]]&gt;0,"Sobrante",IF(Tabla2[[#This Row],[Variación Stock]]&lt;0,"Faltante","Sin novedad"))</f>
        <v>Sin novedad</v>
      </c>
    </row>
    <row r="1048" spans="1:14" hidden="1" x14ac:dyDescent="0.25">
      <c r="A1048" s="11">
        <v>46037</v>
      </c>
      <c r="B1048" s="5" t="s">
        <v>127</v>
      </c>
      <c r="C1048" s="3" t="s">
        <v>128</v>
      </c>
      <c r="D1048" s="5" t="s">
        <v>116</v>
      </c>
      <c r="E1048" s="5" t="s">
        <v>117</v>
      </c>
      <c r="F1048" s="6" t="s">
        <v>4</v>
      </c>
      <c r="G1048" s="4" t="s">
        <v>2</v>
      </c>
      <c r="H1048" s="24">
        <v>3206.6666666699998</v>
      </c>
      <c r="I1048" s="8">
        <v>37</v>
      </c>
      <c r="J1048" s="9">
        <v>41</v>
      </c>
      <c r="K1048" s="7">
        <v>4</v>
      </c>
      <c r="L1048" s="24">
        <f>+Tabla2[[#This Row],[Stock Inventario]]*Tabla2[[#This Row],[Coste LÃ­nea]]</f>
        <v>131473.33333346999</v>
      </c>
      <c r="M1048" s="24">
        <f>+Tabla2[[#This Row],[Variación Stock]]*Tabla2[[#This Row],[Coste LÃ­nea]]</f>
        <v>12826.666666679999</v>
      </c>
      <c r="N1048" s="22" t="str">
        <f>+IF(Tabla2[[#This Row],[Variación Stock]]&gt;0,"Sobrante",IF(Tabla2[[#This Row],[Variación Stock]]&lt;0,"Faltante","Sin novedad"))</f>
        <v>Sobrante</v>
      </c>
    </row>
    <row r="1049" spans="1:14" x14ac:dyDescent="0.25">
      <c r="A1049" s="11">
        <v>46044</v>
      </c>
      <c r="B1049" s="5" t="s">
        <v>358</v>
      </c>
      <c r="C1049" s="3" t="s">
        <v>128</v>
      </c>
      <c r="D1049" s="5" t="s">
        <v>118</v>
      </c>
      <c r="E1049" s="5" t="s">
        <v>112</v>
      </c>
      <c r="F1049" s="6" t="s">
        <v>84</v>
      </c>
      <c r="G1049" s="4" t="s">
        <v>81</v>
      </c>
      <c r="H1049" s="25">
        <v>10879.03333333</v>
      </c>
      <c r="I1049" s="8">
        <v>59</v>
      </c>
      <c r="J1049" s="9">
        <v>60</v>
      </c>
      <c r="K1049" s="7">
        <v>1</v>
      </c>
      <c r="L1049" s="24">
        <f>+Tabla2[[#This Row],[Stock Inventario]]*Tabla2[[#This Row],[Coste LÃ­nea]]</f>
        <v>652741.9999998</v>
      </c>
      <c r="M1049" s="24">
        <f>+Tabla2[[#This Row],[Variación Stock]]*Tabla2[[#This Row],[Coste LÃ­nea]]</f>
        <v>10879.03333333</v>
      </c>
      <c r="N1049" s="22" t="str">
        <f>+IF(Tabla2[[#This Row],[Variación Stock]]&gt;0,"Sobrante",IF(Tabla2[[#This Row],[Variación Stock]]&lt;0,"Faltante","Sin novedad"))</f>
        <v>Sobrante</v>
      </c>
    </row>
    <row r="1050" spans="1:14" hidden="1" x14ac:dyDescent="0.25">
      <c r="A1050" s="11">
        <v>46044</v>
      </c>
      <c r="B1050" s="5" t="s">
        <v>358</v>
      </c>
      <c r="C1050" s="3" t="s">
        <v>128</v>
      </c>
      <c r="D1050" s="5" t="s">
        <v>116</v>
      </c>
      <c r="E1050" s="5" t="s">
        <v>117</v>
      </c>
      <c r="F1050" s="6" t="s">
        <v>4</v>
      </c>
      <c r="G1050" s="4" t="s">
        <v>2</v>
      </c>
      <c r="H1050" s="25">
        <v>3120</v>
      </c>
      <c r="I1050" s="8">
        <v>53</v>
      </c>
      <c r="J1050" s="9">
        <v>53</v>
      </c>
      <c r="K1050" s="7">
        <v>0</v>
      </c>
      <c r="L1050" s="24">
        <f>+Tabla2[[#This Row],[Stock Inventario]]*Tabla2[[#This Row],[Coste LÃ­nea]]</f>
        <v>165360</v>
      </c>
      <c r="M1050" s="24">
        <f>+Tabla2[[#This Row],[Variación Stock]]*Tabla2[[#This Row],[Coste LÃ­nea]]</f>
        <v>0</v>
      </c>
      <c r="N1050" s="22" t="str">
        <f>+IF(Tabla2[[#This Row],[Variación Stock]]&gt;0,"Sobrante",IF(Tabla2[[#This Row],[Variación Stock]]&lt;0,"Faltante","Sin novedad"))</f>
        <v>Sin novedad</v>
      </c>
    </row>
    <row r="1051" spans="1:14" x14ac:dyDescent="0.25">
      <c r="A1051" s="11">
        <v>46037</v>
      </c>
      <c r="B1051" s="5" t="s">
        <v>127</v>
      </c>
      <c r="C1051" s="3" t="s">
        <v>128</v>
      </c>
      <c r="D1051" s="5" t="s">
        <v>118</v>
      </c>
      <c r="E1051" s="5" t="s">
        <v>112</v>
      </c>
      <c r="F1051" s="6" t="s">
        <v>84</v>
      </c>
      <c r="G1051" s="4" t="s">
        <v>81</v>
      </c>
      <c r="H1051" s="24">
        <v>10879.03333333</v>
      </c>
      <c r="I1051" s="8">
        <v>46</v>
      </c>
      <c r="J1051" s="9">
        <v>45</v>
      </c>
      <c r="K1051" s="7">
        <v>-1</v>
      </c>
      <c r="L1051" s="24">
        <f>+Tabla2[[#This Row],[Stock Inventario]]*Tabla2[[#This Row],[Coste LÃ­nea]]</f>
        <v>489556.49999985</v>
      </c>
      <c r="M1051" s="24">
        <f>+Tabla2[[#This Row],[Variación Stock]]*Tabla2[[#This Row],[Coste LÃ­nea]]</f>
        <v>-10879.03333333</v>
      </c>
      <c r="N1051" s="22" t="str">
        <f>+IF(Tabla2[[#This Row],[Variación Stock]]&gt;0,"Sobrante",IF(Tabla2[[#This Row],[Variación Stock]]&lt;0,"Faltante","Sin novedad"))</f>
        <v>Faltante</v>
      </c>
    </row>
    <row r="1052" spans="1:14" x14ac:dyDescent="0.25">
      <c r="A1052" s="11">
        <v>46037</v>
      </c>
      <c r="B1052" s="5" t="s">
        <v>127</v>
      </c>
      <c r="C1052" s="3" t="s">
        <v>128</v>
      </c>
      <c r="D1052" s="5" t="s">
        <v>118</v>
      </c>
      <c r="E1052" s="5" t="s">
        <v>112</v>
      </c>
      <c r="F1052" s="6" t="s">
        <v>184</v>
      </c>
      <c r="G1052" s="4" t="s">
        <v>81</v>
      </c>
      <c r="H1052" s="24">
        <v>10880.4</v>
      </c>
      <c r="I1052" s="8">
        <v>59</v>
      </c>
      <c r="J1052" s="9">
        <v>58</v>
      </c>
      <c r="K1052" s="7">
        <v>-1</v>
      </c>
      <c r="L1052" s="24">
        <f>+Tabla2[[#This Row],[Stock Inventario]]*Tabla2[[#This Row],[Coste LÃ­nea]]</f>
        <v>631063.19999999995</v>
      </c>
      <c r="M1052" s="24">
        <f>+Tabla2[[#This Row],[Variación Stock]]*Tabla2[[#This Row],[Coste LÃ­nea]]</f>
        <v>-10880.4</v>
      </c>
      <c r="N1052" s="22" t="str">
        <f>+IF(Tabla2[[#This Row],[Variación Stock]]&gt;0,"Sobrante",IF(Tabla2[[#This Row],[Variación Stock]]&lt;0,"Faltante","Sin novedad"))</f>
        <v>Faltante</v>
      </c>
    </row>
    <row r="1053" spans="1:14" x14ac:dyDescent="0.25">
      <c r="A1053" s="11">
        <v>46044</v>
      </c>
      <c r="B1053" s="5" t="s">
        <v>358</v>
      </c>
      <c r="C1053" s="3" t="s">
        <v>128</v>
      </c>
      <c r="D1053" s="5" t="s">
        <v>122</v>
      </c>
      <c r="E1053" s="5" t="s">
        <v>112</v>
      </c>
      <c r="F1053" s="6" t="s">
        <v>108</v>
      </c>
      <c r="G1053" s="4" t="s">
        <v>2</v>
      </c>
      <c r="H1053" s="25">
        <v>3458.3291316700002</v>
      </c>
      <c r="I1053" s="8">
        <v>0</v>
      </c>
      <c r="J1053" s="9">
        <v>2</v>
      </c>
      <c r="K1053" s="7">
        <v>2</v>
      </c>
      <c r="L1053" s="24">
        <f>+Tabla2[[#This Row],[Stock Inventario]]*Tabla2[[#This Row],[Coste LÃ­nea]]</f>
        <v>6916.6582633400003</v>
      </c>
      <c r="M1053" s="24">
        <f>+Tabla2[[#This Row],[Variación Stock]]*Tabla2[[#This Row],[Coste LÃ­nea]]</f>
        <v>6916.6582633400003</v>
      </c>
      <c r="N1053" s="22" t="str">
        <f>+IF(Tabla2[[#This Row],[Variación Stock]]&gt;0,"Sobrante",IF(Tabla2[[#This Row],[Variación Stock]]&lt;0,"Faltante","Sin novedad"))</f>
        <v>Sobrante</v>
      </c>
    </row>
    <row r="1054" spans="1:14" x14ac:dyDescent="0.25">
      <c r="A1054" s="11">
        <v>46044</v>
      </c>
      <c r="B1054" s="5" t="s">
        <v>358</v>
      </c>
      <c r="C1054" s="3" t="s">
        <v>128</v>
      </c>
      <c r="D1054" s="5" t="s">
        <v>115</v>
      </c>
      <c r="E1054" s="5" t="s">
        <v>112</v>
      </c>
      <c r="F1054" s="6" t="s">
        <v>153</v>
      </c>
      <c r="G1054" s="4" t="s">
        <v>2</v>
      </c>
      <c r="H1054" s="25">
        <v>2699.6666666699998</v>
      </c>
      <c r="I1054" s="8">
        <v>0</v>
      </c>
      <c r="J1054" s="9">
        <v>0</v>
      </c>
      <c r="K1054" s="7">
        <v>0</v>
      </c>
      <c r="L1054" s="24">
        <f>+Tabla2[[#This Row],[Stock Inventario]]*Tabla2[[#This Row],[Coste LÃ­nea]]</f>
        <v>0</v>
      </c>
      <c r="M1054" s="24">
        <f>+Tabla2[[#This Row],[Variación Stock]]*Tabla2[[#This Row],[Coste LÃ­nea]]</f>
        <v>0</v>
      </c>
      <c r="N1054" s="22" t="str">
        <f>+IF(Tabla2[[#This Row],[Variación Stock]]&gt;0,"Sobrante",IF(Tabla2[[#This Row],[Variación Stock]]&lt;0,"Faltante","Sin novedad"))</f>
        <v>Sin novedad</v>
      </c>
    </row>
    <row r="1055" spans="1:14" x14ac:dyDescent="0.25">
      <c r="A1055" s="11">
        <v>46044</v>
      </c>
      <c r="B1055" s="5" t="s">
        <v>358</v>
      </c>
      <c r="C1055" s="3" t="s">
        <v>128</v>
      </c>
      <c r="D1055" s="5" t="s">
        <v>111</v>
      </c>
      <c r="E1055" s="5" t="s">
        <v>112</v>
      </c>
      <c r="F1055" s="6" t="s">
        <v>20</v>
      </c>
      <c r="G1055" s="4" t="s">
        <v>0</v>
      </c>
      <c r="H1055" s="25">
        <v>6839.9166666700003</v>
      </c>
      <c r="I1055" s="8">
        <v>7.68</v>
      </c>
      <c r="J1055" s="9">
        <v>9</v>
      </c>
      <c r="K1055" s="7">
        <v>1.32</v>
      </c>
      <c r="L1055" s="24">
        <f>+Tabla2[[#This Row],[Stock Inventario]]*Tabla2[[#This Row],[Coste LÃ­nea]]</f>
        <v>61559.250000030006</v>
      </c>
      <c r="M1055" s="24">
        <f>+Tabla2[[#This Row],[Variación Stock]]*Tabla2[[#This Row],[Coste LÃ­nea]]</f>
        <v>9028.6900000044006</v>
      </c>
      <c r="N1055" s="22" t="str">
        <f>+IF(Tabla2[[#This Row],[Variación Stock]]&gt;0,"Sobrante",IF(Tabla2[[#This Row],[Variación Stock]]&lt;0,"Faltante","Sin novedad"))</f>
        <v>Sobrante</v>
      </c>
    </row>
    <row r="1056" spans="1:14" hidden="1" x14ac:dyDescent="0.25">
      <c r="A1056" s="11">
        <v>46037</v>
      </c>
      <c r="B1056" s="5" t="s">
        <v>127</v>
      </c>
      <c r="C1056" s="3" t="s">
        <v>128</v>
      </c>
      <c r="D1056" s="5" t="s">
        <v>116</v>
      </c>
      <c r="E1056" s="5" t="s">
        <v>117</v>
      </c>
      <c r="F1056" s="6" t="s">
        <v>79</v>
      </c>
      <c r="G1056" s="4" t="s">
        <v>2</v>
      </c>
      <c r="H1056" s="24">
        <v>0</v>
      </c>
      <c r="I1056" s="8">
        <v>0</v>
      </c>
      <c r="J1056" s="9">
        <v>0</v>
      </c>
      <c r="K1056" s="7">
        <v>0</v>
      </c>
      <c r="L1056" s="24">
        <f>+Tabla2[[#This Row],[Stock Inventario]]*Tabla2[[#This Row],[Coste LÃ­nea]]</f>
        <v>0</v>
      </c>
      <c r="M1056" s="24">
        <f>+Tabla2[[#This Row],[Variación Stock]]*Tabla2[[#This Row],[Coste LÃ­nea]]</f>
        <v>0</v>
      </c>
      <c r="N1056" s="22" t="str">
        <f>+IF(Tabla2[[#This Row],[Variación Stock]]&gt;0,"Sobrante",IF(Tabla2[[#This Row],[Variación Stock]]&lt;0,"Faltante","Sin novedad"))</f>
        <v>Sin novedad</v>
      </c>
    </row>
    <row r="1057" spans="1:14" hidden="1" x14ac:dyDescent="0.25">
      <c r="A1057" s="11">
        <v>46044</v>
      </c>
      <c r="B1057" s="5" t="s">
        <v>358</v>
      </c>
      <c r="C1057" s="3" t="s">
        <v>128</v>
      </c>
      <c r="D1057" s="5" t="s">
        <v>116</v>
      </c>
      <c r="E1057" s="5" t="s">
        <v>117</v>
      </c>
      <c r="F1057" s="6" t="s">
        <v>79</v>
      </c>
      <c r="G1057" s="4" t="s">
        <v>2</v>
      </c>
      <c r="H1057" s="25">
        <v>0</v>
      </c>
      <c r="I1057" s="8">
        <v>0</v>
      </c>
      <c r="J1057" s="9">
        <v>0</v>
      </c>
      <c r="K1057" s="7">
        <v>0</v>
      </c>
      <c r="L1057" s="24">
        <f>+Tabla2[[#This Row],[Stock Inventario]]*Tabla2[[#This Row],[Coste LÃ­nea]]</f>
        <v>0</v>
      </c>
      <c r="M1057" s="24">
        <f>+Tabla2[[#This Row],[Variación Stock]]*Tabla2[[#This Row],[Coste LÃ­nea]]</f>
        <v>0</v>
      </c>
      <c r="N1057" s="22" t="str">
        <f>+IF(Tabla2[[#This Row],[Variación Stock]]&gt;0,"Sobrante",IF(Tabla2[[#This Row],[Variación Stock]]&lt;0,"Faltante","Sin novedad"))</f>
        <v>Sin novedad</v>
      </c>
    </row>
    <row r="1058" spans="1:14" x14ac:dyDescent="0.25">
      <c r="A1058" s="11">
        <v>46037</v>
      </c>
      <c r="B1058" s="5" t="s">
        <v>127</v>
      </c>
      <c r="C1058" s="3" t="s">
        <v>128</v>
      </c>
      <c r="D1058" s="5" t="s">
        <v>111</v>
      </c>
      <c r="E1058" s="5" t="s">
        <v>112</v>
      </c>
      <c r="F1058" s="6" t="s">
        <v>22</v>
      </c>
      <c r="G1058" s="4" t="s">
        <v>0</v>
      </c>
      <c r="H1058" s="24">
        <v>11532.86363636</v>
      </c>
      <c r="I1058" s="8">
        <v>28</v>
      </c>
      <c r="J1058" s="9">
        <v>29</v>
      </c>
      <c r="K1058" s="7">
        <v>1</v>
      </c>
      <c r="L1058" s="24">
        <f>+Tabla2[[#This Row],[Stock Inventario]]*Tabla2[[#This Row],[Coste LÃ­nea]]</f>
        <v>334453.04545444</v>
      </c>
      <c r="M1058" s="24">
        <f>+Tabla2[[#This Row],[Variación Stock]]*Tabla2[[#This Row],[Coste LÃ­nea]]</f>
        <v>11532.86363636</v>
      </c>
      <c r="N1058" s="22" t="str">
        <f>+IF(Tabla2[[#This Row],[Variación Stock]]&gt;0,"Sobrante",IF(Tabla2[[#This Row],[Variación Stock]]&lt;0,"Faltante","Sin novedad"))</f>
        <v>Sobrante</v>
      </c>
    </row>
    <row r="1059" spans="1:14" hidden="1" x14ac:dyDescent="0.25">
      <c r="A1059" s="11">
        <v>46037</v>
      </c>
      <c r="B1059" s="5" t="s">
        <v>127</v>
      </c>
      <c r="C1059" s="3" t="s">
        <v>128</v>
      </c>
      <c r="D1059" s="5" t="s">
        <v>119</v>
      </c>
      <c r="E1059" s="5" t="s">
        <v>117</v>
      </c>
      <c r="F1059" s="6" t="s">
        <v>196</v>
      </c>
      <c r="G1059" s="4" t="s">
        <v>2</v>
      </c>
      <c r="H1059" s="24">
        <v>11500</v>
      </c>
      <c r="I1059" s="8">
        <v>63</v>
      </c>
      <c r="J1059" s="9">
        <v>63</v>
      </c>
      <c r="K1059" s="7">
        <v>0</v>
      </c>
      <c r="L1059" s="24">
        <f>+Tabla2[[#This Row],[Stock Inventario]]*Tabla2[[#This Row],[Coste LÃ­nea]]</f>
        <v>724500</v>
      </c>
      <c r="M1059" s="24">
        <f>+Tabla2[[#This Row],[Variación Stock]]*Tabla2[[#This Row],[Coste LÃ­nea]]</f>
        <v>0</v>
      </c>
      <c r="N1059" s="22" t="str">
        <f>+IF(Tabla2[[#This Row],[Variación Stock]]&gt;0,"Sobrante",IF(Tabla2[[#This Row],[Variación Stock]]&lt;0,"Faltante","Sin novedad"))</f>
        <v>Sin novedad</v>
      </c>
    </row>
    <row r="1060" spans="1:14" x14ac:dyDescent="0.25">
      <c r="A1060" s="11">
        <v>46037</v>
      </c>
      <c r="B1060" s="5" t="s">
        <v>127</v>
      </c>
      <c r="C1060" s="3" t="s">
        <v>128</v>
      </c>
      <c r="D1060" s="5" t="s">
        <v>111</v>
      </c>
      <c r="E1060" s="5" t="s">
        <v>112</v>
      </c>
      <c r="F1060" s="6" t="s">
        <v>26</v>
      </c>
      <c r="G1060" s="4" t="s">
        <v>0</v>
      </c>
      <c r="H1060" s="24">
        <v>9217.1666666700003</v>
      </c>
      <c r="I1060" s="8">
        <v>37</v>
      </c>
      <c r="J1060" s="9">
        <v>38</v>
      </c>
      <c r="K1060" s="7">
        <v>1</v>
      </c>
      <c r="L1060" s="24">
        <f>+Tabla2[[#This Row],[Stock Inventario]]*Tabla2[[#This Row],[Coste LÃ­nea]]</f>
        <v>350252.33333346003</v>
      </c>
      <c r="M1060" s="24">
        <f>+Tabla2[[#This Row],[Variación Stock]]*Tabla2[[#This Row],[Coste LÃ­nea]]</f>
        <v>9217.1666666700003</v>
      </c>
      <c r="N1060" s="22" t="str">
        <f>+IF(Tabla2[[#This Row],[Variación Stock]]&gt;0,"Sobrante",IF(Tabla2[[#This Row],[Variación Stock]]&lt;0,"Faltante","Sin novedad"))</f>
        <v>Sobrante</v>
      </c>
    </row>
    <row r="1061" spans="1:14" x14ac:dyDescent="0.25">
      <c r="A1061" s="11">
        <v>46037</v>
      </c>
      <c r="B1061" s="5" t="s">
        <v>127</v>
      </c>
      <c r="C1061" s="3" t="s">
        <v>128</v>
      </c>
      <c r="D1061" s="5" t="s">
        <v>111</v>
      </c>
      <c r="E1061" s="5" t="s">
        <v>112</v>
      </c>
      <c r="F1061" s="6" t="s">
        <v>34</v>
      </c>
      <c r="G1061" s="4" t="s">
        <v>0</v>
      </c>
      <c r="H1061" s="24">
        <v>5658.3333333299997</v>
      </c>
      <c r="I1061" s="8">
        <v>51</v>
      </c>
      <c r="J1061" s="9">
        <v>52</v>
      </c>
      <c r="K1061" s="7">
        <v>1</v>
      </c>
      <c r="L1061" s="24">
        <f>+Tabla2[[#This Row],[Stock Inventario]]*Tabla2[[#This Row],[Coste LÃ­nea]]</f>
        <v>294233.33333315997</v>
      </c>
      <c r="M1061" s="24">
        <f>+Tabla2[[#This Row],[Variación Stock]]*Tabla2[[#This Row],[Coste LÃ­nea]]</f>
        <v>5658.3333333299997</v>
      </c>
      <c r="N1061" s="22" t="str">
        <f>+IF(Tabla2[[#This Row],[Variación Stock]]&gt;0,"Sobrante",IF(Tabla2[[#This Row],[Variación Stock]]&lt;0,"Faltante","Sin novedad"))</f>
        <v>Sobrante</v>
      </c>
    </row>
    <row r="1062" spans="1:14" hidden="1" x14ac:dyDescent="0.25">
      <c r="A1062" s="11">
        <v>46044</v>
      </c>
      <c r="B1062" s="5" t="s">
        <v>358</v>
      </c>
      <c r="C1062" s="3" t="s">
        <v>128</v>
      </c>
      <c r="D1062" s="5" t="s">
        <v>119</v>
      </c>
      <c r="E1062" s="5" t="s">
        <v>117</v>
      </c>
      <c r="F1062" s="6" t="s">
        <v>196</v>
      </c>
      <c r="G1062" s="4" t="s">
        <v>2</v>
      </c>
      <c r="H1062" s="25">
        <v>11500</v>
      </c>
      <c r="I1062" s="8">
        <v>71</v>
      </c>
      <c r="J1062" s="9">
        <v>71</v>
      </c>
      <c r="K1062" s="7">
        <v>0</v>
      </c>
      <c r="L1062" s="24">
        <f>+Tabla2[[#This Row],[Stock Inventario]]*Tabla2[[#This Row],[Coste LÃ­nea]]</f>
        <v>816500</v>
      </c>
      <c r="M1062" s="24">
        <f>+Tabla2[[#This Row],[Variación Stock]]*Tabla2[[#This Row],[Coste LÃ­nea]]</f>
        <v>0</v>
      </c>
      <c r="N1062" s="22" t="str">
        <f>+IF(Tabla2[[#This Row],[Variación Stock]]&gt;0,"Sobrante",IF(Tabla2[[#This Row],[Variación Stock]]&lt;0,"Faltante","Sin novedad"))</f>
        <v>Sin novedad</v>
      </c>
    </row>
    <row r="1063" spans="1:14" hidden="1" x14ac:dyDescent="0.25">
      <c r="A1063" s="11">
        <v>46037</v>
      </c>
      <c r="B1063" s="5" t="s">
        <v>127</v>
      </c>
      <c r="C1063" s="3" t="s">
        <v>128</v>
      </c>
      <c r="D1063" s="5" t="s">
        <v>119</v>
      </c>
      <c r="E1063" s="5" t="s">
        <v>117</v>
      </c>
      <c r="F1063" s="6" t="s">
        <v>191</v>
      </c>
      <c r="G1063" s="4" t="s">
        <v>2</v>
      </c>
      <c r="H1063" s="24">
        <v>10565.67692308</v>
      </c>
      <c r="I1063" s="8">
        <v>57</v>
      </c>
      <c r="J1063" s="9">
        <v>67</v>
      </c>
      <c r="K1063" s="7">
        <v>10</v>
      </c>
      <c r="L1063" s="24">
        <f>+Tabla2[[#This Row],[Stock Inventario]]*Tabla2[[#This Row],[Coste LÃ­nea]]</f>
        <v>707900.35384636</v>
      </c>
      <c r="M1063" s="24">
        <f>+Tabla2[[#This Row],[Variación Stock]]*Tabla2[[#This Row],[Coste LÃ­nea]]</f>
        <v>105656.7692308</v>
      </c>
      <c r="N1063" s="22" t="str">
        <f>+IF(Tabla2[[#This Row],[Variación Stock]]&gt;0,"Sobrante",IF(Tabla2[[#This Row],[Variación Stock]]&lt;0,"Faltante","Sin novedad"))</f>
        <v>Sobrante</v>
      </c>
    </row>
    <row r="1064" spans="1:14" hidden="1" x14ac:dyDescent="0.25">
      <c r="A1064" s="11">
        <v>46044</v>
      </c>
      <c r="B1064" s="5" t="s">
        <v>358</v>
      </c>
      <c r="C1064" s="3" t="s">
        <v>128</v>
      </c>
      <c r="D1064" s="5" t="s">
        <v>119</v>
      </c>
      <c r="E1064" s="5" t="s">
        <v>117</v>
      </c>
      <c r="F1064" s="6" t="s">
        <v>191</v>
      </c>
      <c r="G1064" s="4" t="s">
        <v>2</v>
      </c>
      <c r="H1064" s="25">
        <v>10312.5</v>
      </c>
      <c r="I1064" s="8">
        <v>37</v>
      </c>
      <c r="J1064" s="9">
        <v>81</v>
      </c>
      <c r="K1064" s="7">
        <v>0</v>
      </c>
      <c r="L1064" s="24">
        <f>+Tabla2[[#This Row],[Stock Inventario]]*Tabla2[[#This Row],[Coste LÃ­nea]]</f>
        <v>835312.5</v>
      </c>
      <c r="M1064" s="24">
        <f>+Tabla2[[#This Row],[Variación Stock]]*Tabla2[[#This Row],[Coste LÃ­nea]]</f>
        <v>0</v>
      </c>
      <c r="N1064" s="22" t="str">
        <f>+IF(Tabla2[[#This Row],[Variación Stock]]&gt;0,"Sobrante",IF(Tabla2[[#This Row],[Variación Stock]]&lt;0,"Faltante","Sin novedad"))</f>
        <v>Sin novedad</v>
      </c>
    </row>
    <row r="1065" spans="1:14" hidden="1" x14ac:dyDescent="0.25">
      <c r="A1065" s="11">
        <v>46037</v>
      </c>
      <c r="B1065" s="5" t="s">
        <v>127</v>
      </c>
      <c r="C1065" s="3" t="s">
        <v>128</v>
      </c>
      <c r="D1065" s="5" t="s">
        <v>119</v>
      </c>
      <c r="E1065" s="5" t="s">
        <v>117</v>
      </c>
      <c r="F1065" s="6" t="s">
        <v>95</v>
      </c>
      <c r="G1065" s="4" t="s">
        <v>1</v>
      </c>
      <c r="H1065" s="24">
        <v>0</v>
      </c>
      <c r="I1065" s="8">
        <v>16004.6664</v>
      </c>
      <c r="J1065" s="9">
        <v>14250</v>
      </c>
      <c r="K1065" s="7">
        <v>-1754.666356</v>
      </c>
      <c r="L1065" s="24">
        <f>+Tabla2[[#This Row],[Stock Inventario]]*Tabla2[[#This Row],[Coste LÃ­nea]]</f>
        <v>0</v>
      </c>
      <c r="M1065" s="24">
        <f>+Tabla2[[#This Row],[Variación Stock]]*Tabla2[[#This Row],[Coste LÃ­nea]]</f>
        <v>0</v>
      </c>
      <c r="N1065" s="22" t="str">
        <f>+IF(Tabla2[[#This Row],[Variación Stock]]&gt;0,"Sobrante",IF(Tabla2[[#This Row],[Variación Stock]]&lt;0,"Faltante","Sin novedad"))</f>
        <v>Faltante</v>
      </c>
    </row>
    <row r="1066" spans="1:14" hidden="1" x14ac:dyDescent="0.25">
      <c r="A1066" s="11">
        <v>46044</v>
      </c>
      <c r="B1066" s="5" t="s">
        <v>358</v>
      </c>
      <c r="C1066" s="3" t="s">
        <v>128</v>
      </c>
      <c r="D1066" s="5" t="s">
        <v>119</v>
      </c>
      <c r="E1066" s="5" t="s">
        <v>117</v>
      </c>
      <c r="F1066" s="6" t="s">
        <v>95</v>
      </c>
      <c r="G1066" s="4" t="s">
        <v>1</v>
      </c>
      <c r="H1066" s="25">
        <v>39</v>
      </c>
      <c r="I1066" s="8">
        <v>12678.8887</v>
      </c>
      <c r="J1066" s="9">
        <v>11950</v>
      </c>
      <c r="K1066" s="7">
        <v>-728.88873899999999</v>
      </c>
      <c r="L1066" s="24">
        <f>+Tabla2[[#This Row],[Stock Inventario]]*Tabla2[[#This Row],[Coste LÃ­nea]]</f>
        <v>466050</v>
      </c>
      <c r="M1066" s="24">
        <f>+Tabla2[[#This Row],[Variación Stock]]*Tabla2[[#This Row],[Coste LÃ­nea]]</f>
        <v>-28426.660820999998</v>
      </c>
      <c r="N1066" s="22" t="str">
        <f>+IF(Tabla2[[#This Row],[Variación Stock]]&gt;0,"Sobrante",IF(Tabla2[[#This Row],[Variación Stock]]&lt;0,"Faltante","Sin novedad"))</f>
        <v>Faltante</v>
      </c>
    </row>
    <row r="1067" spans="1:14" hidden="1" x14ac:dyDescent="0.25">
      <c r="A1067" s="11">
        <v>46037</v>
      </c>
      <c r="B1067" s="5" t="s">
        <v>127</v>
      </c>
      <c r="C1067" s="3" t="s">
        <v>128</v>
      </c>
      <c r="D1067" s="5" t="s">
        <v>119</v>
      </c>
      <c r="E1067" s="5" t="s">
        <v>117</v>
      </c>
      <c r="F1067" s="6" t="s">
        <v>197</v>
      </c>
      <c r="G1067" s="4" t="s">
        <v>1</v>
      </c>
      <c r="H1067" s="24">
        <v>9.5</v>
      </c>
      <c r="I1067" s="8">
        <v>500</v>
      </c>
      <c r="J1067" s="9">
        <v>0</v>
      </c>
      <c r="K1067" s="7">
        <v>-500</v>
      </c>
      <c r="L1067" s="24">
        <f>+Tabla2[[#This Row],[Stock Inventario]]*Tabla2[[#This Row],[Coste LÃ­nea]]</f>
        <v>0</v>
      </c>
      <c r="M1067" s="24">
        <f>+Tabla2[[#This Row],[Variación Stock]]*Tabla2[[#This Row],[Coste LÃ­nea]]</f>
        <v>-4750</v>
      </c>
      <c r="N1067" s="22" t="str">
        <f>+IF(Tabla2[[#This Row],[Variación Stock]]&gt;0,"Sobrante",IF(Tabla2[[#This Row],[Variación Stock]]&lt;0,"Faltante","Sin novedad"))</f>
        <v>Faltante</v>
      </c>
    </row>
    <row r="1068" spans="1:14" x14ac:dyDescent="0.25">
      <c r="A1068" s="11">
        <v>46037</v>
      </c>
      <c r="B1068" s="5" t="s">
        <v>127</v>
      </c>
      <c r="C1068" s="3" t="s">
        <v>128</v>
      </c>
      <c r="D1068" s="5" t="s">
        <v>111</v>
      </c>
      <c r="E1068" s="5" t="s">
        <v>112</v>
      </c>
      <c r="F1068" s="6" t="s">
        <v>35</v>
      </c>
      <c r="G1068" s="4" t="s">
        <v>0</v>
      </c>
      <c r="H1068" s="24">
        <v>1665.04166667</v>
      </c>
      <c r="I1068" s="8">
        <v>18</v>
      </c>
      <c r="J1068" s="9">
        <v>19</v>
      </c>
      <c r="K1068" s="7">
        <v>1</v>
      </c>
      <c r="L1068" s="24">
        <f>+Tabla2[[#This Row],[Stock Inventario]]*Tabla2[[#This Row],[Coste LÃ­nea]]</f>
        <v>31635.791666730001</v>
      </c>
      <c r="M1068" s="24">
        <f>+Tabla2[[#This Row],[Variación Stock]]*Tabla2[[#This Row],[Coste LÃ­nea]]</f>
        <v>1665.04166667</v>
      </c>
      <c r="N1068" s="22" t="str">
        <f>+IF(Tabla2[[#This Row],[Variación Stock]]&gt;0,"Sobrante",IF(Tabla2[[#This Row],[Variación Stock]]&lt;0,"Faltante","Sin novedad"))</f>
        <v>Sobrante</v>
      </c>
    </row>
    <row r="1069" spans="1:14" x14ac:dyDescent="0.25">
      <c r="A1069" s="11">
        <v>46037</v>
      </c>
      <c r="B1069" s="5" t="s">
        <v>127</v>
      </c>
      <c r="C1069" s="3" t="s">
        <v>128</v>
      </c>
      <c r="D1069" s="5" t="s">
        <v>118</v>
      </c>
      <c r="E1069" s="5" t="s">
        <v>112</v>
      </c>
      <c r="F1069" s="6" t="s">
        <v>90</v>
      </c>
      <c r="G1069" s="4" t="s">
        <v>81</v>
      </c>
      <c r="H1069" s="24">
        <v>4385.1400000000003</v>
      </c>
      <c r="I1069" s="8">
        <v>64</v>
      </c>
      <c r="J1069" s="9">
        <v>63</v>
      </c>
      <c r="K1069" s="7">
        <v>-1</v>
      </c>
      <c r="L1069" s="24">
        <f>+Tabla2[[#This Row],[Stock Inventario]]*Tabla2[[#This Row],[Coste LÃ­nea]]</f>
        <v>276263.82</v>
      </c>
      <c r="M1069" s="24">
        <f>+Tabla2[[#This Row],[Variación Stock]]*Tabla2[[#This Row],[Coste LÃ­nea]]</f>
        <v>-4385.1400000000003</v>
      </c>
      <c r="N1069" s="22" t="str">
        <f>+IF(Tabla2[[#This Row],[Variación Stock]]&gt;0,"Sobrante",IF(Tabla2[[#This Row],[Variación Stock]]&lt;0,"Faltante","Sin novedad"))</f>
        <v>Faltante</v>
      </c>
    </row>
    <row r="1070" spans="1:14" x14ac:dyDescent="0.25">
      <c r="A1070" s="11">
        <v>46037</v>
      </c>
      <c r="B1070" s="5" t="s">
        <v>127</v>
      </c>
      <c r="C1070" s="3" t="s">
        <v>128</v>
      </c>
      <c r="D1070" s="5" t="s">
        <v>115</v>
      </c>
      <c r="E1070" s="5" t="s">
        <v>112</v>
      </c>
      <c r="F1070" s="6" t="s">
        <v>77</v>
      </c>
      <c r="G1070" s="4" t="s">
        <v>2</v>
      </c>
      <c r="H1070" s="24">
        <v>2965.8</v>
      </c>
      <c r="I1070" s="8">
        <v>0</v>
      </c>
      <c r="J1070" s="9">
        <v>0</v>
      </c>
      <c r="K1070" s="7">
        <v>0</v>
      </c>
      <c r="L1070" s="24">
        <f>+Tabla2[[#This Row],[Stock Inventario]]*Tabla2[[#This Row],[Coste LÃ­nea]]</f>
        <v>0</v>
      </c>
      <c r="M1070" s="24">
        <f>+Tabla2[[#This Row],[Variación Stock]]*Tabla2[[#This Row],[Coste LÃ­nea]]</f>
        <v>0</v>
      </c>
      <c r="N1070" s="22" t="str">
        <f>+IF(Tabla2[[#This Row],[Variación Stock]]&gt;0,"Sobrante",IF(Tabla2[[#This Row],[Variación Stock]]&lt;0,"Faltante","Sin novedad"))</f>
        <v>Sin novedad</v>
      </c>
    </row>
    <row r="1071" spans="1:14" hidden="1" x14ac:dyDescent="0.25">
      <c r="A1071" s="11">
        <v>46044</v>
      </c>
      <c r="B1071" s="5" t="s">
        <v>358</v>
      </c>
      <c r="C1071" s="3" t="s">
        <v>128</v>
      </c>
      <c r="D1071" s="5" t="s">
        <v>119</v>
      </c>
      <c r="E1071" s="5" t="s">
        <v>117</v>
      </c>
      <c r="F1071" s="6" t="s">
        <v>197</v>
      </c>
      <c r="G1071" s="4" t="s">
        <v>1</v>
      </c>
      <c r="H1071" s="25">
        <v>9.5</v>
      </c>
      <c r="I1071" s="8">
        <v>1050</v>
      </c>
      <c r="J1071" s="9">
        <v>888</v>
      </c>
      <c r="K1071" s="7">
        <v>-162</v>
      </c>
      <c r="L1071" s="24">
        <f>+Tabla2[[#This Row],[Stock Inventario]]*Tabla2[[#This Row],[Coste LÃ­nea]]</f>
        <v>8436</v>
      </c>
      <c r="M1071" s="24">
        <f>+Tabla2[[#This Row],[Variación Stock]]*Tabla2[[#This Row],[Coste LÃ­nea]]</f>
        <v>-1539</v>
      </c>
      <c r="N1071" s="22" t="str">
        <f>+IF(Tabla2[[#This Row],[Variación Stock]]&gt;0,"Sobrante",IF(Tabla2[[#This Row],[Variación Stock]]&lt;0,"Faltante","Sin novedad"))</f>
        <v>Faltante</v>
      </c>
    </row>
    <row r="1072" spans="1:14" x14ac:dyDescent="0.25">
      <c r="A1072" s="11">
        <v>46037</v>
      </c>
      <c r="B1072" s="5" t="s">
        <v>127</v>
      </c>
      <c r="C1072" s="3" t="s">
        <v>128</v>
      </c>
      <c r="D1072" s="5" t="s">
        <v>122</v>
      </c>
      <c r="E1072" s="5" t="s">
        <v>112</v>
      </c>
      <c r="F1072" s="6" t="s">
        <v>99</v>
      </c>
      <c r="G1072" s="4" t="s">
        <v>2</v>
      </c>
      <c r="H1072" s="24">
        <v>7330</v>
      </c>
      <c r="I1072" s="8">
        <v>31</v>
      </c>
      <c r="J1072" s="9">
        <v>31</v>
      </c>
      <c r="K1072" s="7">
        <v>0</v>
      </c>
      <c r="L1072" s="24">
        <f>+Tabla2[[#This Row],[Stock Inventario]]*Tabla2[[#This Row],[Coste LÃ­nea]]</f>
        <v>227230</v>
      </c>
      <c r="M1072" s="24">
        <f>+Tabla2[[#This Row],[Variación Stock]]*Tabla2[[#This Row],[Coste LÃ­nea]]</f>
        <v>0</v>
      </c>
      <c r="N1072" s="22" t="str">
        <f>+IF(Tabla2[[#This Row],[Variación Stock]]&gt;0,"Sobrante",IF(Tabla2[[#This Row],[Variación Stock]]&lt;0,"Faltante","Sin novedad"))</f>
        <v>Sin novedad</v>
      </c>
    </row>
    <row r="1073" spans="1:14" x14ac:dyDescent="0.25">
      <c r="A1073" s="11">
        <v>46037</v>
      </c>
      <c r="B1073" s="5" t="s">
        <v>127</v>
      </c>
      <c r="C1073" s="3" t="s">
        <v>128</v>
      </c>
      <c r="D1073" s="5" t="s">
        <v>122</v>
      </c>
      <c r="E1073" s="5" t="s">
        <v>112</v>
      </c>
      <c r="F1073" s="6" t="s">
        <v>100</v>
      </c>
      <c r="G1073" s="4" t="s">
        <v>2</v>
      </c>
      <c r="H1073" s="24">
        <v>7857</v>
      </c>
      <c r="I1073" s="8">
        <v>19</v>
      </c>
      <c r="J1073" s="9">
        <v>19</v>
      </c>
      <c r="K1073" s="7">
        <v>0</v>
      </c>
      <c r="L1073" s="24">
        <f>+Tabla2[[#This Row],[Stock Inventario]]*Tabla2[[#This Row],[Coste LÃ­nea]]</f>
        <v>149283</v>
      </c>
      <c r="M1073" s="24">
        <f>+Tabla2[[#This Row],[Variación Stock]]*Tabla2[[#This Row],[Coste LÃ­nea]]</f>
        <v>0</v>
      </c>
      <c r="N1073" s="22" t="str">
        <f>+IF(Tabla2[[#This Row],[Variación Stock]]&gt;0,"Sobrante",IF(Tabla2[[#This Row],[Variación Stock]]&lt;0,"Faltante","Sin novedad"))</f>
        <v>Sin novedad</v>
      </c>
    </row>
    <row r="1074" spans="1:14" x14ac:dyDescent="0.25">
      <c r="A1074" s="11">
        <v>46037</v>
      </c>
      <c r="B1074" s="5" t="s">
        <v>127</v>
      </c>
      <c r="C1074" s="3" t="s">
        <v>128</v>
      </c>
      <c r="D1074" s="5" t="s">
        <v>122</v>
      </c>
      <c r="E1074" s="5" t="s">
        <v>112</v>
      </c>
      <c r="F1074" s="6" t="s">
        <v>101</v>
      </c>
      <c r="G1074" s="4" t="s">
        <v>2</v>
      </c>
      <c r="H1074" s="24">
        <v>1408.33333333</v>
      </c>
      <c r="I1074" s="8">
        <v>0</v>
      </c>
      <c r="J1074" s="9">
        <v>0</v>
      </c>
      <c r="K1074" s="7">
        <v>0</v>
      </c>
      <c r="L1074" s="24">
        <f>+Tabla2[[#This Row],[Stock Inventario]]*Tabla2[[#This Row],[Coste LÃ­nea]]</f>
        <v>0</v>
      </c>
      <c r="M1074" s="24">
        <f>+Tabla2[[#This Row],[Variación Stock]]*Tabla2[[#This Row],[Coste LÃ­nea]]</f>
        <v>0</v>
      </c>
      <c r="N1074" s="22" t="str">
        <f>+IF(Tabla2[[#This Row],[Variación Stock]]&gt;0,"Sobrante",IF(Tabla2[[#This Row],[Variación Stock]]&lt;0,"Faltante","Sin novedad"))</f>
        <v>Sin novedad</v>
      </c>
    </row>
    <row r="1075" spans="1:14" x14ac:dyDescent="0.25">
      <c r="A1075" s="11">
        <v>46037</v>
      </c>
      <c r="B1075" s="5" t="s">
        <v>127</v>
      </c>
      <c r="C1075" s="3" t="s">
        <v>128</v>
      </c>
      <c r="D1075" s="5" t="s">
        <v>122</v>
      </c>
      <c r="E1075" s="5" t="s">
        <v>112</v>
      </c>
      <c r="F1075" s="6" t="s">
        <v>102</v>
      </c>
      <c r="G1075" s="4" t="s">
        <v>2</v>
      </c>
      <c r="H1075" s="24">
        <v>3458.25</v>
      </c>
      <c r="I1075" s="8">
        <v>27</v>
      </c>
      <c r="J1075" s="9">
        <v>27</v>
      </c>
      <c r="K1075" s="7">
        <v>0</v>
      </c>
      <c r="L1075" s="24">
        <f>+Tabla2[[#This Row],[Stock Inventario]]*Tabla2[[#This Row],[Coste LÃ­nea]]</f>
        <v>93372.75</v>
      </c>
      <c r="M1075" s="24">
        <f>+Tabla2[[#This Row],[Variación Stock]]*Tabla2[[#This Row],[Coste LÃ­nea]]</f>
        <v>0</v>
      </c>
      <c r="N1075" s="22" t="str">
        <f>+IF(Tabla2[[#This Row],[Variación Stock]]&gt;0,"Sobrante",IF(Tabla2[[#This Row],[Variación Stock]]&lt;0,"Faltante","Sin novedad"))</f>
        <v>Sin novedad</v>
      </c>
    </row>
    <row r="1076" spans="1:14" x14ac:dyDescent="0.25">
      <c r="A1076" s="11">
        <v>46037</v>
      </c>
      <c r="B1076" s="5" t="s">
        <v>127</v>
      </c>
      <c r="C1076" s="3" t="s">
        <v>128</v>
      </c>
      <c r="D1076" s="5" t="s">
        <v>122</v>
      </c>
      <c r="E1076" s="5" t="s">
        <v>112</v>
      </c>
      <c r="F1076" s="6" t="s">
        <v>103</v>
      </c>
      <c r="G1076" s="4" t="s">
        <v>2</v>
      </c>
      <c r="H1076" s="24">
        <v>3458.3283333300001</v>
      </c>
      <c r="I1076" s="8">
        <v>6</v>
      </c>
      <c r="J1076" s="9">
        <v>6</v>
      </c>
      <c r="K1076" s="7">
        <v>0</v>
      </c>
      <c r="L1076" s="24">
        <f>+Tabla2[[#This Row],[Stock Inventario]]*Tabla2[[#This Row],[Coste LÃ­nea]]</f>
        <v>20749.96999998</v>
      </c>
      <c r="M1076" s="24">
        <f>+Tabla2[[#This Row],[Variación Stock]]*Tabla2[[#This Row],[Coste LÃ­nea]]</f>
        <v>0</v>
      </c>
      <c r="N1076" s="22" t="str">
        <f>+IF(Tabla2[[#This Row],[Variación Stock]]&gt;0,"Sobrante",IF(Tabla2[[#This Row],[Variación Stock]]&lt;0,"Faltante","Sin novedad"))</f>
        <v>Sin novedad</v>
      </c>
    </row>
    <row r="1077" spans="1:14" x14ac:dyDescent="0.25">
      <c r="A1077" s="11">
        <v>46037</v>
      </c>
      <c r="B1077" s="5" t="s">
        <v>127</v>
      </c>
      <c r="C1077" s="3" t="s">
        <v>128</v>
      </c>
      <c r="D1077" s="5" t="s">
        <v>122</v>
      </c>
      <c r="E1077" s="5" t="s">
        <v>112</v>
      </c>
      <c r="F1077" s="6" t="s">
        <v>104</v>
      </c>
      <c r="G1077" s="4" t="s">
        <v>2</v>
      </c>
      <c r="H1077" s="24">
        <v>3458.25</v>
      </c>
      <c r="I1077" s="8">
        <v>15</v>
      </c>
      <c r="J1077" s="9">
        <v>15</v>
      </c>
      <c r="K1077" s="7">
        <v>0</v>
      </c>
      <c r="L1077" s="24">
        <f>+Tabla2[[#This Row],[Stock Inventario]]*Tabla2[[#This Row],[Coste LÃ­nea]]</f>
        <v>51873.75</v>
      </c>
      <c r="M1077" s="24">
        <f>+Tabla2[[#This Row],[Variación Stock]]*Tabla2[[#This Row],[Coste LÃ­nea]]</f>
        <v>0</v>
      </c>
      <c r="N1077" s="22" t="str">
        <f>+IF(Tabla2[[#This Row],[Variación Stock]]&gt;0,"Sobrante",IF(Tabla2[[#This Row],[Variación Stock]]&lt;0,"Faltante","Sin novedad"))</f>
        <v>Sin novedad</v>
      </c>
    </row>
    <row r="1078" spans="1:14" x14ac:dyDescent="0.25">
      <c r="A1078" s="11">
        <v>46037</v>
      </c>
      <c r="B1078" s="5" t="s">
        <v>127</v>
      </c>
      <c r="C1078" s="3" t="s">
        <v>128</v>
      </c>
      <c r="D1078" s="5" t="s">
        <v>122</v>
      </c>
      <c r="E1078" s="5" t="s">
        <v>112</v>
      </c>
      <c r="F1078" s="6" t="s">
        <v>105</v>
      </c>
      <c r="G1078" s="4" t="s">
        <v>2</v>
      </c>
      <c r="H1078" s="24">
        <v>3458.25</v>
      </c>
      <c r="I1078" s="8">
        <v>10</v>
      </c>
      <c r="J1078" s="9">
        <v>10</v>
      </c>
      <c r="K1078" s="7">
        <v>0</v>
      </c>
      <c r="L1078" s="24">
        <f>+Tabla2[[#This Row],[Stock Inventario]]*Tabla2[[#This Row],[Coste LÃ­nea]]</f>
        <v>34582.5</v>
      </c>
      <c r="M1078" s="24">
        <f>+Tabla2[[#This Row],[Variación Stock]]*Tabla2[[#This Row],[Coste LÃ­nea]]</f>
        <v>0</v>
      </c>
      <c r="N1078" s="22" t="str">
        <f>+IF(Tabla2[[#This Row],[Variación Stock]]&gt;0,"Sobrante",IF(Tabla2[[#This Row],[Variación Stock]]&lt;0,"Faltante","Sin novedad"))</f>
        <v>Sin novedad</v>
      </c>
    </row>
    <row r="1079" spans="1:14" x14ac:dyDescent="0.25">
      <c r="A1079" s="11">
        <v>46037</v>
      </c>
      <c r="B1079" s="5" t="s">
        <v>127</v>
      </c>
      <c r="C1079" s="3" t="s">
        <v>128</v>
      </c>
      <c r="D1079" s="5" t="s">
        <v>122</v>
      </c>
      <c r="E1079" s="5" t="s">
        <v>112</v>
      </c>
      <c r="F1079" s="6" t="s">
        <v>107</v>
      </c>
      <c r="G1079" s="4" t="s">
        <v>2</v>
      </c>
      <c r="H1079" s="24">
        <v>2766.5</v>
      </c>
      <c r="I1079" s="8">
        <v>2</v>
      </c>
      <c r="J1079" s="9">
        <v>2</v>
      </c>
      <c r="K1079" s="7">
        <v>0</v>
      </c>
      <c r="L1079" s="24">
        <f>+Tabla2[[#This Row],[Stock Inventario]]*Tabla2[[#This Row],[Coste LÃ­nea]]</f>
        <v>5533</v>
      </c>
      <c r="M1079" s="24">
        <f>+Tabla2[[#This Row],[Variación Stock]]*Tabla2[[#This Row],[Coste LÃ­nea]]</f>
        <v>0</v>
      </c>
      <c r="N1079" s="22" t="str">
        <f>+IF(Tabla2[[#This Row],[Variación Stock]]&gt;0,"Sobrante",IF(Tabla2[[#This Row],[Variación Stock]]&lt;0,"Faltante","Sin novedad"))</f>
        <v>Sin novedad</v>
      </c>
    </row>
    <row r="1080" spans="1:14" x14ac:dyDescent="0.25">
      <c r="A1080" s="11">
        <v>46037</v>
      </c>
      <c r="B1080" s="5" t="s">
        <v>127</v>
      </c>
      <c r="C1080" s="3" t="s">
        <v>128</v>
      </c>
      <c r="D1080" s="5" t="s">
        <v>122</v>
      </c>
      <c r="E1080" s="5" t="s">
        <v>112</v>
      </c>
      <c r="F1080" s="6" t="s">
        <v>108</v>
      </c>
      <c r="G1080" s="4" t="s">
        <v>2</v>
      </c>
      <c r="H1080" s="24">
        <v>3458.3291316700002</v>
      </c>
      <c r="I1080" s="8">
        <v>0</v>
      </c>
      <c r="J1080" s="9">
        <v>0</v>
      </c>
      <c r="K1080" s="7">
        <v>0</v>
      </c>
      <c r="L1080" s="24">
        <f>+Tabla2[[#This Row],[Stock Inventario]]*Tabla2[[#This Row],[Coste LÃ­nea]]</f>
        <v>0</v>
      </c>
      <c r="M1080" s="24">
        <f>+Tabla2[[#This Row],[Variación Stock]]*Tabla2[[#This Row],[Coste LÃ­nea]]</f>
        <v>0</v>
      </c>
      <c r="N1080" s="22" t="str">
        <f>+IF(Tabla2[[#This Row],[Variación Stock]]&gt;0,"Sobrante",IF(Tabla2[[#This Row],[Variación Stock]]&lt;0,"Faltante","Sin novedad"))</f>
        <v>Sin novedad</v>
      </c>
    </row>
    <row r="1081" spans="1:14" x14ac:dyDescent="0.25">
      <c r="A1081" s="11">
        <v>46037</v>
      </c>
      <c r="B1081" s="5" t="s">
        <v>127</v>
      </c>
      <c r="C1081" s="3" t="s">
        <v>128</v>
      </c>
      <c r="D1081" s="5" t="s">
        <v>122</v>
      </c>
      <c r="E1081" s="5" t="s">
        <v>112</v>
      </c>
      <c r="F1081" s="6" t="s">
        <v>109</v>
      </c>
      <c r="G1081" s="4" t="s">
        <v>2</v>
      </c>
      <c r="H1081" s="24">
        <v>2766.6799719999999</v>
      </c>
      <c r="I1081" s="8">
        <v>2</v>
      </c>
      <c r="J1081" s="9">
        <v>2</v>
      </c>
      <c r="K1081" s="7">
        <v>0</v>
      </c>
      <c r="L1081" s="24">
        <f>+Tabla2[[#This Row],[Stock Inventario]]*Tabla2[[#This Row],[Coste LÃ­nea]]</f>
        <v>5533.3599439999998</v>
      </c>
      <c r="M1081" s="24">
        <f>+Tabla2[[#This Row],[Variación Stock]]*Tabla2[[#This Row],[Coste LÃ­nea]]</f>
        <v>0</v>
      </c>
      <c r="N1081" s="22" t="str">
        <f>+IF(Tabla2[[#This Row],[Variación Stock]]&gt;0,"Sobrante",IF(Tabla2[[#This Row],[Variación Stock]]&lt;0,"Faltante","Sin novedad"))</f>
        <v>Sin novedad</v>
      </c>
    </row>
    <row r="1082" spans="1:14" x14ac:dyDescent="0.25">
      <c r="A1082" s="11">
        <v>46037</v>
      </c>
      <c r="B1082" s="5" t="s">
        <v>127</v>
      </c>
      <c r="C1082" s="3" t="s">
        <v>128</v>
      </c>
      <c r="D1082" s="5" t="s">
        <v>115</v>
      </c>
      <c r="E1082" s="5" t="s">
        <v>112</v>
      </c>
      <c r="F1082" s="6" t="s">
        <v>154</v>
      </c>
      <c r="G1082" s="4" t="s">
        <v>2</v>
      </c>
      <c r="H1082" s="24">
        <v>3601.6666666699998</v>
      </c>
      <c r="I1082" s="8">
        <v>94</v>
      </c>
      <c r="J1082" s="9">
        <v>88</v>
      </c>
      <c r="K1082" s="7">
        <v>-6</v>
      </c>
      <c r="L1082" s="24">
        <f>+Tabla2[[#This Row],[Stock Inventario]]*Tabla2[[#This Row],[Coste LÃ­nea]]</f>
        <v>316946.66666695999</v>
      </c>
      <c r="M1082" s="24">
        <f>+Tabla2[[#This Row],[Variación Stock]]*Tabla2[[#This Row],[Coste LÃ­nea]]</f>
        <v>-21610.000000019998</v>
      </c>
      <c r="N1082" s="22" t="str">
        <f>+IF(Tabla2[[#This Row],[Variación Stock]]&gt;0,"Sobrante",IF(Tabla2[[#This Row],[Variación Stock]]&lt;0,"Faltante","Sin novedad"))</f>
        <v>Faltante</v>
      </c>
    </row>
    <row r="1083" spans="1:14" x14ac:dyDescent="0.25">
      <c r="A1083" s="11">
        <v>46037</v>
      </c>
      <c r="B1083" s="5" t="s">
        <v>127</v>
      </c>
      <c r="C1083" s="3" t="s">
        <v>128</v>
      </c>
      <c r="D1083" s="5" t="s">
        <v>114</v>
      </c>
      <c r="E1083" s="5" t="s">
        <v>112</v>
      </c>
      <c r="F1083" s="6" t="s">
        <v>67</v>
      </c>
      <c r="G1083" s="4" t="s">
        <v>2</v>
      </c>
      <c r="H1083" s="24">
        <v>4986.0833333299997</v>
      </c>
      <c r="I1083" s="8">
        <v>43.07</v>
      </c>
      <c r="J1083" s="9">
        <v>37</v>
      </c>
      <c r="K1083" s="7">
        <v>-6.07</v>
      </c>
      <c r="L1083" s="24">
        <f>+Tabla2[[#This Row],[Stock Inventario]]*Tabla2[[#This Row],[Coste LÃ­nea]]</f>
        <v>184485.08333321</v>
      </c>
      <c r="M1083" s="24">
        <f>+Tabla2[[#This Row],[Variación Stock]]*Tabla2[[#This Row],[Coste LÃ­nea]]</f>
        <v>-30265.525833313099</v>
      </c>
      <c r="N1083" s="22" t="str">
        <f>+IF(Tabla2[[#This Row],[Variación Stock]]&gt;0,"Sobrante",IF(Tabla2[[#This Row],[Variación Stock]]&lt;0,"Faltante","Sin novedad"))</f>
        <v>Faltante</v>
      </c>
    </row>
    <row r="1084" spans="1:14" hidden="1" x14ac:dyDescent="0.25">
      <c r="A1084" s="11">
        <v>46037</v>
      </c>
      <c r="B1084" s="5" t="s">
        <v>127</v>
      </c>
      <c r="C1084" s="3" t="s">
        <v>128</v>
      </c>
      <c r="D1084" s="5" t="s">
        <v>116</v>
      </c>
      <c r="E1084" s="5" t="s">
        <v>117</v>
      </c>
      <c r="F1084" s="6" t="s">
        <v>155</v>
      </c>
      <c r="G1084" s="4" t="s">
        <v>1</v>
      </c>
      <c r="H1084" s="24">
        <v>7970</v>
      </c>
      <c r="I1084" s="8">
        <v>1</v>
      </c>
      <c r="J1084" s="9">
        <v>58</v>
      </c>
      <c r="K1084" s="7">
        <v>57</v>
      </c>
      <c r="L1084" s="24">
        <f>+Tabla2[[#This Row],[Stock Inventario]]*Tabla2[[#This Row],[Coste LÃ­nea]]</f>
        <v>462260</v>
      </c>
      <c r="M1084" s="24">
        <f>+Tabla2[[#This Row],[Variación Stock]]*Tabla2[[#This Row],[Coste LÃ­nea]]</f>
        <v>454290</v>
      </c>
      <c r="N1084" s="22" t="str">
        <f>+IF(Tabla2[[#This Row],[Variación Stock]]&gt;0,"Sobrante",IF(Tabla2[[#This Row],[Variación Stock]]&lt;0,"Faltante","Sin novedad"))</f>
        <v>Sobrante</v>
      </c>
    </row>
    <row r="1085" spans="1:14" x14ac:dyDescent="0.25">
      <c r="A1085" s="11">
        <v>46044</v>
      </c>
      <c r="B1085" s="5" t="s">
        <v>358</v>
      </c>
      <c r="C1085" s="3" t="s">
        <v>128</v>
      </c>
      <c r="D1085" s="5" t="s">
        <v>111</v>
      </c>
      <c r="E1085" s="5" t="s">
        <v>112</v>
      </c>
      <c r="F1085" s="6" t="s">
        <v>37</v>
      </c>
      <c r="G1085" s="4" t="s">
        <v>0</v>
      </c>
      <c r="H1085" s="25">
        <v>4469.0833333299997</v>
      </c>
      <c r="I1085" s="8">
        <v>10</v>
      </c>
      <c r="J1085" s="9">
        <v>11</v>
      </c>
      <c r="K1085" s="7">
        <v>1</v>
      </c>
      <c r="L1085" s="24">
        <f>+Tabla2[[#This Row],[Stock Inventario]]*Tabla2[[#This Row],[Coste LÃ­nea]]</f>
        <v>49159.916666630001</v>
      </c>
      <c r="M1085" s="24">
        <f>+Tabla2[[#This Row],[Variación Stock]]*Tabla2[[#This Row],[Coste LÃ­nea]]</f>
        <v>4469.0833333299997</v>
      </c>
      <c r="N1085" s="22" t="str">
        <f>+IF(Tabla2[[#This Row],[Variación Stock]]&gt;0,"Sobrante",IF(Tabla2[[#This Row],[Variación Stock]]&lt;0,"Faltante","Sin novedad"))</f>
        <v>Sobrante</v>
      </c>
    </row>
    <row r="1086" spans="1:14" x14ac:dyDescent="0.25">
      <c r="A1086" s="11">
        <v>46044</v>
      </c>
      <c r="B1086" s="5" t="s">
        <v>358</v>
      </c>
      <c r="C1086" s="3" t="s">
        <v>128</v>
      </c>
      <c r="D1086" s="5" t="s">
        <v>122</v>
      </c>
      <c r="E1086" s="5" t="s">
        <v>112</v>
      </c>
      <c r="F1086" s="6" t="s">
        <v>104</v>
      </c>
      <c r="G1086" s="4" t="s">
        <v>2</v>
      </c>
      <c r="H1086" s="25">
        <v>3458.25</v>
      </c>
      <c r="I1086" s="8">
        <v>9</v>
      </c>
      <c r="J1086" s="9">
        <v>10</v>
      </c>
      <c r="K1086" s="7">
        <v>1</v>
      </c>
      <c r="L1086" s="24">
        <f>+Tabla2[[#This Row],[Stock Inventario]]*Tabla2[[#This Row],[Coste LÃ­nea]]</f>
        <v>34582.5</v>
      </c>
      <c r="M1086" s="24">
        <f>+Tabla2[[#This Row],[Variación Stock]]*Tabla2[[#This Row],[Coste LÃ­nea]]</f>
        <v>3458.25</v>
      </c>
      <c r="N1086" s="22" t="str">
        <f>+IF(Tabla2[[#This Row],[Variación Stock]]&gt;0,"Sobrante",IF(Tabla2[[#This Row],[Variación Stock]]&lt;0,"Faltante","Sin novedad"))</f>
        <v>Sobrante</v>
      </c>
    </row>
    <row r="1087" spans="1:14" x14ac:dyDescent="0.25">
      <c r="A1087" s="11">
        <v>46044</v>
      </c>
      <c r="B1087" s="5" t="s">
        <v>358</v>
      </c>
      <c r="C1087" s="3" t="s">
        <v>128</v>
      </c>
      <c r="D1087" s="5" t="s">
        <v>111</v>
      </c>
      <c r="E1087" s="5" t="s">
        <v>112</v>
      </c>
      <c r="F1087" s="6" t="s">
        <v>365</v>
      </c>
      <c r="G1087" s="4" t="s">
        <v>0</v>
      </c>
      <c r="H1087" s="25">
        <v>11532.86363636</v>
      </c>
      <c r="I1087" s="8">
        <v>23</v>
      </c>
      <c r="J1087" s="9">
        <v>24</v>
      </c>
      <c r="K1087" s="7">
        <v>1</v>
      </c>
      <c r="L1087" s="24">
        <f>+Tabla2[[#This Row],[Stock Inventario]]*Tabla2[[#This Row],[Coste LÃ­nea]]</f>
        <v>276788.72727263998</v>
      </c>
      <c r="M1087" s="24">
        <f>+Tabla2[[#This Row],[Variación Stock]]*Tabla2[[#This Row],[Coste LÃ­nea]]</f>
        <v>11532.86363636</v>
      </c>
      <c r="N1087" s="22" t="str">
        <f>+IF(Tabla2[[#This Row],[Variación Stock]]&gt;0,"Sobrante",IF(Tabla2[[#This Row],[Variación Stock]]&lt;0,"Faltante","Sin novedad"))</f>
        <v>Sobrante</v>
      </c>
    </row>
    <row r="1088" spans="1:14" x14ac:dyDescent="0.25">
      <c r="A1088" s="11">
        <v>46044</v>
      </c>
      <c r="B1088" s="5" t="s">
        <v>358</v>
      </c>
      <c r="C1088" s="3" t="s">
        <v>128</v>
      </c>
      <c r="D1088" s="5" t="s">
        <v>111</v>
      </c>
      <c r="E1088" s="5" t="s">
        <v>112</v>
      </c>
      <c r="F1088" s="6" t="s">
        <v>133</v>
      </c>
      <c r="G1088" s="4" t="s">
        <v>0</v>
      </c>
      <c r="H1088" s="25">
        <v>6134.2727272700004</v>
      </c>
      <c r="I1088" s="8">
        <v>30</v>
      </c>
      <c r="J1088" s="9">
        <v>31</v>
      </c>
      <c r="K1088" s="7">
        <v>1</v>
      </c>
      <c r="L1088" s="24">
        <f>+Tabla2[[#This Row],[Stock Inventario]]*Tabla2[[#This Row],[Coste LÃ­nea]]</f>
        <v>190162.45454537001</v>
      </c>
      <c r="M1088" s="24">
        <f>+Tabla2[[#This Row],[Variación Stock]]*Tabla2[[#This Row],[Coste LÃ­nea]]</f>
        <v>6134.2727272700004</v>
      </c>
      <c r="N1088" s="22" t="str">
        <f>+IF(Tabla2[[#This Row],[Variación Stock]]&gt;0,"Sobrante",IF(Tabla2[[#This Row],[Variación Stock]]&lt;0,"Faltante","Sin novedad"))</f>
        <v>Sobrante</v>
      </c>
    </row>
    <row r="1089" spans="1:14" hidden="1" x14ac:dyDescent="0.25">
      <c r="A1089" s="11">
        <v>46044</v>
      </c>
      <c r="B1089" s="5" t="s">
        <v>358</v>
      </c>
      <c r="C1089" s="3" t="s">
        <v>128</v>
      </c>
      <c r="D1089" s="5" t="s">
        <v>116</v>
      </c>
      <c r="E1089" s="5" t="s">
        <v>117</v>
      </c>
      <c r="F1089" s="6" t="s">
        <v>155</v>
      </c>
      <c r="G1089" s="4" t="s">
        <v>1</v>
      </c>
      <c r="H1089" s="25">
        <v>7970</v>
      </c>
      <c r="I1089" s="8">
        <v>43</v>
      </c>
      <c r="J1089" s="9">
        <v>88</v>
      </c>
      <c r="K1089" s="7">
        <v>45</v>
      </c>
      <c r="L1089" s="24">
        <f>+Tabla2[[#This Row],[Stock Inventario]]*Tabla2[[#This Row],[Coste LÃ­nea]]</f>
        <v>701360</v>
      </c>
      <c r="M1089" s="24">
        <f>+Tabla2[[#This Row],[Variación Stock]]*Tabla2[[#This Row],[Coste LÃ­nea]]</f>
        <v>358650</v>
      </c>
      <c r="N1089" s="22" t="str">
        <f>+IF(Tabla2[[#This Row],[Variación Stock]]&gt;0,"Sobrante",IF(Tabla2[[#This Row],[Variación Stock]]&lt;0,"Faltante","Sin novedad"))</f>
        <v>Sobrante</v>
      </c>
    </row>
    <row r="1090" spans="1:14" x14ac:dyDescent="0.25">
      <c r="A1090" s="11">
        <v>46044</v>
      </c>
      <c r="B1090" s="5" t="s">
        <v>358</v>
      </c>
      <c r="C1090" s="3" t="s">
        <v>128</v>
      </c>
      <c r="D1090" s="5" t="s">
        <v>111</v>
      </c>
      <c r="E1090" s="5" t="s">
        <v>112</v>
      </c>
      <c r="F1090" s="6" t="s">
        <v>26</v>
      </c>
      <c r="G1090" s="4" t="s">
        <v>0</v>
      </c>
      <c r="H1090" s="25">
        <v>9217.1666666700003</v>
      </c>
      <c r="I1090" s="8">
        <v>36</v>
      </c>
      <c r="J1090" s="9">
        <v>37</v>
      </c>
      <c r="K1090" s="7">
        <v>1</v>
      </c>
      <c r="L1090" s="24">
        <f>+Tabla2[[#This Row],[Stock Inventario]]*Tabla2[[#This Row],[Coste LÃ­nea]]</f>
        <v>341035.16666679003</v>
      </c>
      <c r="M1090" s="24">
        <f>+Tabla2[[#This Row],[Variación Stock]]*Tabla2[[#This Row],[Coste LÃ­nea]]</f>
        <v>9217.1666666700003</v>
      </c>
      <c r="N1090" s="22" t="str">
        <f>+IF(Tabla2[[#This Row],[Variación Stock]]&gt;0,"Sobrante",IF(Tabla2[[#This Row],[Variación Stock]]&lt;0,"Faltante","Sin novedad"))</f>
        <v>Sobrante</v>
      </c>
    </row>
    <row r="1091" spans="1:14" hidden="1" x14ac:dyDescent="0.25">
      <c r="A1091" s="11">
        <v>46037</v>
      </c>
      <c r="B1091" s="5" t="s">
        <v>127</v>
      </c>
      <c r="C1091" s="3" t="s">
        <v>128</v>
      </c>
      <c r="D1091" s="5" t="s">
        <v>119</v>
      </c>
      <c r="E1091" s="5" t="s">
        <v>117</v>
      </c>
      <c r="F1091" s="6" t="s">
        <v>94</v>
      </c>
      <c r="G1091" s="4" t="s">
        <v>2</v>
      </c>
      <c r="H1091" s="24">
        <v>1600</v>
      </c>
      <c r="I1091" s="8">
        <v>271</v>
      </c>
      <c r="J1091" s="9">
        <v>268</v>
      </c>
      <c r="K1091" s="15">
        <v>-3</v>
      </c>
      <c r="L1091" s="24">
        <f>+Tabla2[[#This Row],[Stock Inventario]]*Tabla2[[#This Row],[Coste LÃ­nea]]</f>
        <v>428800</v>
      </c>
      <c r="M1091" s="24">
        <f>+Tabla2[[#This Row],[Variación Stock]]*Tabla2[[#This Row],[Coste LÃ­nea]]</f>
        <v>-4800</v>
      </c>
      <c r="N1091" s="22" t="str">
        <f>+IF(Tabla2[[#This Row],[Variación Stock]]&gt;0,"Sobrante",IF(Tabla2[[#This Row],[Variación Stock]]&lt;0,"Faltante","Sin novedad"))</f>
        <v>Faltante</v>
      </c>
    </row>
    <row r="1092" spans="1:14" hidden="1" x14ac:dyDescent="0.25">
      <c r="A1092" s="11">
        <v>46044</v>
      </c>
      <c r="B1092" s="5" t="s">
        <v>358</v>
      </c>
      <c r="C1092" s="3" t="s">
        <v>128</v>
      </c>
      <c r="D1092" s="5" t="s">
        <v>119</v>
      </c>
      <c r="E1092" s="5" t="s">
        <v>117</v>
      </c>
      <c r="F1092" s="6" t="s">
        <v>94</v>
      </c>
      <c r="G1092" s="4" t="s">
        <v>2</v>
      </c>
      <c r="H1092" s="25">
        <v>1600</v>
      </c>
      <c r="I1092" s="8">
        <v>221</v>
      </c>
      <c r="J1092" s="9">
        <v>208</v>
      </c>
      <c r="K1092" s="15">
        <v>-13</v>
      </c>
      <c r="L1092" s="24">
        <f>+Tabla2[[#This Row],[Stock Inventario]]*Tabla2[[#This Row],[Coste LÃ­nea]]</f>
        <v>332800</v>
      </c>
      <c r="M1092" s="24">
        <f>+Tabla2[[#This Row],[Variación Stock]]*Tabla2[[#This Row],[Coste LÃ­nea]]</f>
        <v>-20800</v>
      </c>
      <c r="N1092" s="22" t="str">
        <f>+IF(Tabla2[[#This Row],[Variación Stock]]&gt;0,"Sobrante",IF(Tabla2[[#This Row],[Variación Stock]]&lt;0,"Faltante","Sin novedad"))</f>
        <v>Faltante</v>
      </c>
    </row>
    <row r="1093" spans="1:14" x14ac:dyDescent="0.25">
      <c r="A1093" s="11">
        <v>46044</v>
      </c>
      <c r="B1093" s="5" t="s">
        <v>358</v>
      </c>
      <c r="C1093" s="3" t="s">
        <v>128</v>
      </c>
      <c r="D1093" s="5" t="s">
        <v>111</v>
      </c>
      <c r="E1093" s="5" t="s">
        <v>112</v>
      </c>
      <c r="F1093" s="6" t="s">
        <v>52</v>
      </c>
      <c r="G1093" s="4" t="s">
        <v>0</v>
      </c>
      <c r="H1093" s="25">
        <v>6800.3640183199996</v>
      </c>
      <c r="I1093" s="8">
        <v>41.34</v>
      </c>
      <c r="J1093" s="9">
        <v>42</v>
      </c>
      <c r="K1093" s="7">
        <v>0.66</v>
      </c>
      <c r="L1093" s="24">
        <f>+Tabla2[[#This Row],[Stock Inventario]]*Tabla2[[#This Row],[Coste LÃ­nea]]</f>
        <v>285615.28876943997</v>
      </c>
      <c r="M1093" s="24">
        <f>+Tabla2[[#This Row],[Variación Stock]]*Tabla2[[#This Row],[Coste LÃ­nea]]</f>
        <v>4488.2402520912001</v>
      </c>
      <c r="N1093" s="22" t="str">
        <f>+IF(Tabla2[[#This Row],[Variación Stock]]&gt;0,"Sobrante",IF(Tabla2[[#This Row],[Variación Stock]]&lt;0,"Faltante","Sin novedad"))</f>
        <v>Sobrante</v>
      </c>
    </row>
    <row r="1094" spans="1:14" hidden="1" x14ac:dyDescent="0.25">
      <c r="A1094" s="11">
        <v>46037</v>
      </c>
      <c r="B1094" s="5" t="s">
        <v>127</v>
      </c>
      <c r="C1094" s="3" t="s">
        <v>128</v>
      </c>
      <c r="D1094" s="5" t="s">
        <v>119</v>
      </c>
      <c r="E1094" s="5" t="s">
        <v>117</v>
      </c>
      <c r="F1094" s="6" t="s">
        <v>11</v>
      </c>
      <c r="G1094" s="4" t="s">
        <v>2</v>
      </c>
      <c r="H1094" s="24">
        <v>415.98</v>
      </c>
      <c r="I1094" s="8">
        <v>155</v>
      </c>
      <c r="J1094" s="9">
        <v>150</v>
      </c>
      <c r="K1094" s="7">
        <v>-5</v>
      </c>
      <c r="L1094" s="24">
        <f>+Tabla2[[#This Row],[Stock Inventario]]*Tabla2[[#This Row],[Coste LÃ­nea]]</f>
        <v>62397</v>
      </c>
      <c r="M1094" s="24">
        <f>+Tabla2[[#This Row],[Variación Stock]]*Tabla2[[#This Row],[Coste LÃ­nea]]</f>
        <v>-2079.9</v>
      </c>
      <c r="N1094" s="22" t="str">
        <f>+IF(Tabla2[[#This Row],[Variación Stock]]&gt;0,"Sobrante",IF(Tabla2[[#This Row],[Variación Stock]]&lt;0,"Faltante","Sin novedad"))</f>
        <v>Faltante</v>
      </c>
    </row>
    <row r="1095" spans="1:14" hidden="1" x14ac:dyDescent="0.25">
      <c r="A1095" s="11">
        <v>46044</v>
      </c>
      <c r="B1095" s="5" t="s">
        <v>358</v>
      </c>
      <c r="C1095" s="3" t="s">
        <v>128</v>
      </c>
      <c r="D1095" s="5" t="s">
        <v>119</v>
      </c>
      <c r="E1095" s="5" t="s">
        <v>117</v>
      </c>
      <c r="F1095" s="6" t="s">
        <v>11</v>
      </c>
      <c r="G1095" s="4" t="s">
        <v>2</v>
      </c>
      <c r="H1095" s="25">
        <v>415.98</v>
      </c>
      <c r="I1095" s="8">
        <v>74</v>
      </c>
      <c r="J1095" s="9">
        <v>88</v>
      </c>
      <c r="K1095" s="7">
        <v>14</v>
      </c>
      <c r="L1095" s="24">
        <f>+Tabla2[[#This Row],[Stock Inventario]]*Tabla2[[#This Row],[Coste LÃ­nea]]</f>
        <v>36606.240000000005</v>
      </c>
      <c r="M1095" s="24">
        <f>+Tabla2[[#This Row],[Variación Stock]]*Tabla2[[#This Row],[Coste LÃ­nea]]</f>
        <v>5823.72</v>
      </c>
      <c r="N1095" s="22" t="str">
        <f>+IF(Tabla2[[#This Row],[Variación Stock]]&gt;0,"Sobrante",IF(Tabla2[[#This Row],[Variación Stock]]&lt;0,"Faltante","Sin novedad"))</f>
        <v>Sobrante</v>
      </c>
    </row>
    <row r="1096" spans="1:14" hidden="1" x14ac:dyDescent="0.25">
      <c r="A1096" s="11">
        <v>46037</v>
      </c>
      <c r="B1096" s="5" t="s">
        <v>127</v>
      </c>
      <c r="C1096" s="3" t="s">
        <v>128</v>
      </c>
      <c r="D1096" s="5" t="s">
        <v>119</v>
      </c>
      <c r="E1096" s="5" t="s">
        <v>117</v>
      </c>
      <c r="F1096" s="6" t="s">
        <v>198</v>
      </c>
      <c r="G1096" s="4" t="s">
        <v>2</v>
      </c>
      <c r="H1096" s="24">
        <v>453.09375</v>
      </c>
      <c r="I1096" s="8">
        <v>48</v>
      </c>
      <c r="J1096" s="9">
        <v>48</v>
      </c>
      <c r="K1096" s="7">
        <v>0</v>
      </c>
      <c r="L1096" s="24">
        <f>+Tabla2[[#This Row],[Stock Inventario]]*Tabla2[[#This Row],[Coste LÃ­nea]]</f>
        <v>21748.5</v>
      </c>
      <c r="M1096" s="24">
        <f>+Tabla2[[#This Row],[Variación Stock]]*Tabla2[[#This Row],[Coste LÃ­nea]]</f>
        <v>0</v>
      </c>
      <c r="N1096" s="22" t="str">
        <f>+IF(Tabla2[[#This Row],[Variación Stock]]&gt;0,"Sobrante",IF(Tabla2[[#This Row],[Variación Stock]]&lt;0,"Faltante","Sin novedad"))</f>
        <v>Sin novedad</v>
      </c>
    </row>
    <row r="1097" spans="1:14" hidden="1" x14ac:dyDescent="0.25">
      <c r="A1097" s="11">
        <v>46044</v>
      </c>
      <c r="B1097" s="5" t="s">
        <v>358</v>
      </c>
      <c r="C1097" s="3" t="s">
        <v>128</v>
      </c>
      <c r="D1097" s="5" t="s">
        <v>119</v>
      </c>
      <c r="E1097" s="5" t="s">
        <v>117</v>
      </c>
      <c r="F1097" s="6" t="s">
        <v>198</v>
      </c>
      <c r="G1097" s="4" t="s">
        <v>2</v>
      </c>
      <c r="H1097" s="25">
        <v>453.09375</v>
      </c>
      <c r="I1097" s="8">
        <v>48</v>
      </c>
      <c r="J1097" s="9">
        <v>48</v>
      </c>
      <c r="K1097" s="7">
        <v>0</v>
      </c>
      <c r="L1097" s="24">
        <f>+Tabla2[[#This Row],[Stock Inventario]]*Tabla2[[#This Row],[Coste LÃ­nea]]</f>
        <v>21748.5</v>
      </c>
      <c r="M1097" s="24">
        <f>+Tabla2[[#This Row],[Variación Stock]]*Tabla2[[#This Row],[Coste LÃ­nea]]</f>
        <v>0</v>
      </c>
      <c r="N1097" s="22" t="str">
        <f>+IF(Tabla2[[#This Row],[Variación Stock]]&gt;0,"Sobrante",IF(Tabla2[[#This Row],[Variación Stock]]&lt;0,"Faltante","Sin novedad"))</f>
        <v>Sin novedad</v>
      </c>
    </row>
    <row r="1098" spans="1:14" hidden="1" x14ac:dyDescent="0.25">
      <c r="A1098" s="11">
        <v>46037</v>
      </c>
      <c r="B1098" s="5" t="s">
        <v>127</v>
      </c>
      <c r="C1098" s="3" t="s">
        <v>128</v>
      </c>
      <c r="D1098" s="5" t="s">
        <v>119</v>
      </c>
      <c r="E1098" s="5" t="s">
        <v>117</v>
      </c>
      <c r="F1098" s="6" t="s">
        <v>12</v>
      </c>
      <c r="G1098" s="4" t="s">
        <v>2</v>
      </c>
      <c r="H1098" s="24">
        <v>773.5</v>
      </c>
      <c r="I1098" s="8">
        <v>116</v>
      </c>
      <c r="J1098" s="9">
        <v>87</v>
      </c>
      <c r="K1098" s="7">
        <v>-29</v>
      </c>
      <c r="L1098" s="24">
        <f>+Tabla2[[#This Row],[Stock Inventario]]*Tabla2[[#This Row],[Coste LÃ­nea]]</f>
        <v>67294.5</v>
      </c>
      <c r="M1098" s="24">
        <f>+Tabla2[[#This Row],[Variación Stock]]*Tabla2[[#This Row],[Coste LÃ­nea]]</f>
        <v>-22431.5</v>
      </c>
      <c r="N1098" s="22" t="str">
        <f>+IF(Tabla2[[#This Row],[Variación Stock]]&gt;0,"Sobrante",IF(Tabla2[[#This Row],[Variación Stock]]&lt;0,"Faltante","Sin novedad"))</f>
        <v>Faltante</v>
      </c>
    </row>
    <row r="1099" spans="1:14" hidden="1" x14ac:dyDescent="0.25">
      <c r="A1099" s="11">
        <v>46044</v>
      </c>
      <c r="B1099" s="5" t="s">
        <v>358</v>
      </c>
      <c r="C1099" s="3" t="s">
        <v>128</v>
      </c>
      <c r="D1099" s="5" t="s">
        <v>119</v>
      </c>
      <c r="E1099" s="5" t="s">
        <v>117</v>
      </c>
      <c r="F1099" s="6" t="s">
        <v>12</v>
      </c>
      <c r="G1099" s="4" t="s">
        <v>2</v>
      </c>
      <c r="H1099" s="25">
        <v>773.5</v>
      </c>
      <c r="I1099" s="8">
        <v>60</v>
      </c>
      <c r="J1099" s="9">
        <v>87</v>
      </c>
      <c r="K1099" s="7">
        <v>27</v>
      </c>
      <c r="L1099" s="24">
        <f>+Tabla2[[#This Row],[Stock Inventario]]*Tabla2[[#This Row],[Coste LÃ­nea]]</f>
        <v>67294.5</v>
      </c>
      <c r="M1099" s="24">
        <f>+Tabla2[[#This Row],[Variación Stock]]*Tabla2[[#This Row],[Coste LÃ­nea]]</f>
        <v>20884.5</v>
      </c>
      <c r="N1099" s="22" t="str">
        <f>+IF(Tabla2[[#This Row],[Variación Stock]]&gt;0,"Sobrante",IF(Tabla2[[#This Row],[Variación Stock]]&lt;0,"Faltante","Sin novedad"))</f>
        <v>Sobrante</v>
      </c>
    </row>
    <row r="1100" spans="1:14" hidden="1" x14ac:dyDescent="0.25">
      <c r="A1100" s="11">
        <v>46037</v>
      </c>
      <c r="B1100" s="5" t="s">
        <v>127</v>
      </c>
      <c r="C1100" s="3" t="s">
        <v>128</v>
      </c>
      <c r="D1100" s="5" t="s">
        <v>116</v>
      </c>
      <c r="E1100" s="5" t="s">
        <v>117</v>
      </c>
      <c r="F1100" s="6" t="s">
        <v>5</v>
      </c>
      <c r="G1100" s="4" t="s">
        <v>1</v>
      </c>
      <c r="H1100" s="24">
        <v>22</v>
      </c>
      <c r="I1100" s="8">
        <v>-8001.6666999999998</v>
      </c>
      <c r="J1100" s="9">
        <v>0</v>
      </c>
      <c r="K1100" s="7">
        <v>8001.6666699999996</v>
      </c>
      <c r="L1100" s="24">
        <f>+Tabla2[[#This Row],[Stock Inventario]]*Tabla2[[#This Row],[Coste LÃ­nea]]</f>
        <v>0</v>
      </c>
      <c r="M1100" s="24">
        <f>+Tabla2[[#This Row],[Variación Stock]]*Tabla2[[#This Row],[Coste LÃ­nea]]</f>
        <v>176036.66673999999</v>
      </c>
      <c r="N1100" s="22" t="str">
        <f>+IF(Tabla2[[#This Row],[Variación Stock]]&gt;0,"Sobrante",IF(Tabla2[[#This Row],[Variación Stock]]&lt;0,"Faltante","Sin novedad"))</f>
        <v>Sobrante</v>
      </c>
    </row>
    <row r="1101" spans="1:14" hidden="1" x14ac:dyDescent="0.25">
      <c r="A1101" s="11">
        <v>46044</v>
      </c>
      <c r="B1101" s="5" t="s">
        <v>358</v>
      </c>
      <c r="C1101" s="3" t="s">
        <v>128</v>
      </c>
      <c r="D1101" s="5" t="s">
        <v>116</v>
      </c>
      <c r="E1101" s="5" t="s">
        <v>117</v>
      </c>
      <c r="F1101" s="6" t="s">
        <v>5</v>
      </c>
      <c r="G1101" s="4" t="s">
        <v>1</v>
      </c>
      <c r="H1101" s="25">
        <v>22</v>
      </c>
      <c r="I1101" s="8">
        <v>0</v>
      </c>
      <c r="J1101" s="9">
        <v>0</v>
      </c>
      <c r="K1101" s="7">
        <v>0</v>
      </c>
      <c r="L1101" s="24">
        <f>+Tabla2[[#This Row],[Stock Inventario]]*Tabla2[[#This Row],[Coste LÃ­nea]]</f>
        <v>0</v>
      </c>
      <c r="M1101" s="24">
        <f>+Tabla2[[#This Row],[Variación Stock]]*Tabla2[[#This Row],[Coste LÃ­nea]]</f>
        <v>0</v>
      </c>
      <c r="N1101" s="22" t="str">
        <f>+IF(Tabla2[[#This Row],[Variación Stock]]&gt;0,"Sobrante",IF(Tabla2[[#This Row],[Variación Stock]]&lt;0,"Faltante","Sin novedad"))</f>
        <v>Sin novedad</v>
      </c>
    </row>
    <row r="1102" spans="1:14" x14ac:dyDescent="0.25">
      <c r="A1102" s="11">
        <v>46044</v>
      </c>
      <c r="B1102" s="5" t="s">
        <v>358</v>
      </c>
      <c r="C1102" s="3" t="s">
        <v>128</v>
      </c>
      <c r="D1102" s="5" t="s">
        <v>114</v>
      </c>
      <c r="E1102" s="5" t="s">
        <v>112</v>
      </c>
      <c r="F1102" s="6" t="s">
        <v>65</v>
      </c>
      <c r="G1102" s="4" t="s">
        <v>2</v>
      </c>
      <c r="H1102" s="25">
        <v>5132.5</v>
      </c>
      <c r="I1102" s="8">
        <v>19</v>
      </c>
      <c r="J1102" s="9">
        <v>23</v>
      </c>
      <c r="K1102" s="7">
        <v>4</v>
      </c>
      <c r="L1102" s="24">
        <f>+Tabla2[[#This Row],[Stock Inventario]]*Tabla2[[#This Row],[Coste LÃ­nea]]</f>
        <v>118047.5</v>
      </c>
      <c r="M1102" s="24">
        <f>+Tabla2[[#This Row],[Variación Stock]]*Tabla2[[#This Row],[Coste LÃ­nea]]</f>
        <v>20530</v>
      </c>
      <c r="N1102" s="22" t="str">
        <f>+IF(Tabla2[[#This Row],[Variación Stock]]&gt;0,"Sobrante",IF(Tabla2[[#This Row],[Variación Stock]]&lt;0,"Faltante","Sin novedad"))</f>
        <v>Sobrante</v>
      </c>
    </row>
    <row r="1103" spans="1:14" hidden="1" x14ac:dyDescent="0.25">
      <c r="A1103" s="11">
        <v>46044</v>
      </c>
      <c r="B1103" s="5" t="s">
        <v>358</v>
      </c>
      <c r="C1103" s="3" t="s">
        <v>128</v>
      </c>
      <c r="D1103" s="5" t="s">
        <v>116</v>
      </c>
      <c r="E1103" s="5" t="s">
        <v>117</v>
      </c>
      <c r="F1103" s="6" t="s">
        <v>369</v>
      </c>
      <c r="G1103" s="4" t="s">
        <v>2</v>
      </c>
      <c r="H1103" s="25">
        <v>2552.9411764699998</v>
      </c>
      <c r="I1103" s="8">
        <v>0</v>
      </c>
      <c r="J1103" s="9">
        <v>0</v>
      </c>
      <c r="K1103" s="7">
        <v>0</v>
      </c>
      <c r="L1103" s="24">
        <f>+Tabla2[[#This Row],[Stock Inventario]]*Tabla2[[#This Row],[Coste LÃ­nea]]</f>
        <v>0</v>
      </c>
      <c r="M1103" s="24">
        <f>+Tabla2[[#This Row],[Variación Stock]]*Tabla2[[#This Row],[Coste LÃ­nea]]</f>
        <v>0</v>
      </c>
      <c r="N1103" s="22" t="str">
        <f>+IF(Tabla2[[#This Row],[Variación Stock]]&gt;0,"Sobrante",IF(Tabla2[[#This Row],[Variación Stock]]&lt;0,"Faltante","Sin novedad"))</f>
        <v>Sin novedad</v>
      </c>
    </row>
    <row r="1104" spans="1:14" hidden="1" x14ac:dyDescent="0.25">
      <c r="A1104" s="11">
        <v>46037</v>
      </c>
      <c r="B1104" s="5" t="s">
        <v>127</v>
      </c>
      <c r="C1104" s="3" t="s">
        <v>128</v>
      </c>
      <c r="D1104" s="5" t="s">
        <v>116</v>
      </c>
      <c r="E1104" s="5" t="s">
        <v>117</v>
      </c>
      <c r="F1104" s="6" t="s">
        <v>160</v>
      </c>
      <c r="G1104" s="4" t="s">
        <v>2</v>
      </c>
      <c r="H1104" s="24">
        <v>2552.9411764699998</v>
      </c>
      <c r="I1104" s="8">
        <v>0</v>
      </c>
      <c r="J1104" s="9">
        <v>0</v>
      </c>
      <c r="K1104" s="7">
        <v>0</v>
      </c>
      <c r="L1104" s="24">
        <f>+Tabla2[[#This Row],[Stock Inventario]]*Tabla2[[#This Row],[Coste LÃ­nea]]</f>
        <v>0</v>
      </c>
      <c r="M1104" s="24">
        <f>+Tabla2[[#This Row],[Variación Stock]]*Tabla2[[#This Row],[Coste LÃ­nea]]</f>
        <v>0</v>
      </c>
      <c r="N1104" s="22" t="str">
        <f>+IF(Tabla2[[#This Row],[Variación Stock]]&gt;0,"Sobrante",IF(Tabla2[[#This Row],[Variación Stock]]&lt;0,"Faltante","Sin novedad"))</f>
        <v>Sin novedad</v>
      </c>
    </row>
    <row r="1105" spans="1:14" hidden="1" x14ac:dyDescent="0.25">
      <c r="A1105" s="11">
        <v>46037</v>
      </c>
      <c r="B1105" s="5" t="s">
        <v>127</v>
      </c>
      <c r="C1105" s="3" t="s">
        <v>128</v>
      </c>
      <c r="D1105" s="5" t="s">
        <v>116</v>
      </c>
      <c r="E1105" s="5" t="s">
        <v>117</v>
      </c>
      <c r="F1105" s="6" t="s">
        <v>161</v>
      </c>
      <c r="G1105" s="4" t="s">
        <v>2</v>
      </c>
      <c r="H1105" s="24">
        <v>10430</v>
      </c>
      <c r="I1105" s="8">
        <v>0</v>
      </c>
      <c r="J1105" s="9">
        <v>0</v>
      </c>
      <c r="K1105" s="7">
        <v>0</v>
      </c>
      <c r="L1105" s="24">
        <f>+Tabla2[[#This Row],[Stock Inventario]]*Tabla2[[#This Row],[Coste LÃ­nea]]</f>
        <v>0</v>
      </c>
      <c r="M1105" s="24">
        <f>+Tabla2[[#This Row],[Variación Stock]]*Tabla2[[#This Row],[Coste LÃ­nea]]</f>
        <v>0</v>
      </c>
      <c r="N1105" s="22" t="str">
        <f>+IF(Tabla2[[#This Row],[Variación Stock]]&gt;0,"Sobrante",IF(Tabla2[[#This Row],[Variación Stock]]&lt;0,"Faltante","Sin novedad"))</f>
        <v>Sin novedad</v>
      </c>
    </row>
    <row r="1106" spans="1:14" hidden="1" x14ac:dyDescent="0.25">
      <c r="A1106" s="11">
        <v>46044</v>
      </c>
      <c r="B1106" s="5" t="s">
        <v>358</v>
      </c>
      <c r="C1106" s="3" t="s">
        <v>128</v>
      </c>
      <c r="D1106" s="5" t="s">
        <v>116</v>
      </c>
      <c r="E1106" s="5" t="s">
        <v>117</v>
      </c>
      <c r="F1106" s="6" t="s">
        <v>161</v>
      </c>
      <c r="G1106" s="4" t="s">
        <v>2</v>
      </c>
      <c r="H1106" s="25">
        <v>11025</v>
      </c>
      <c r="I1106" s="8">
        <v>20</v>
      </c>
      <c r="J1106" s="9">
        <v>20</v>
      </c>
      <c r="K1106" s="7">
        <v>0</v>
      </c>
      <c r="L1106" s="24">
        <f>+Tabla2[[#This Row],[Stock Inventario]]*Tabla2[[#This Row],[Coste LÃ­nea]]</f>
        <v>220500</v>
      </c>
      <c r="M1106" s="24">
        <f>+Tabla2[[#This Row],[Variación Stock]]*Tabla2[[#This Row],[Coste LÃ­nea]]</f>
        <v>0</v>
      </c>
      <c r="N1106" s="22" t="str">
        <f>+IF(Tabla2[[#This Row],[Variación Stock]]&gt;0,"Sobrante",IF(Tabla2[[#This Row],[Variación Stock]]&lt;0,"Faltante","Sin novedad"))</f>
        <v>Sin novedad</v>
      </c>
    </row>
    <row r="1107" spans="1:14" x14ac:dyDescent="0.25">
      <c r="A1107" s="11">
        <v>46044</v>
      </c>
      <c r="B1107" s="5" t="s">
        <v>358</v>
      </c>
      <c r="C1107" s="3" t="s">
        <v>128</v>
      </c>
      <c r="D1107" s="5" t="s">
        <v>111</v>
      </c>
      <c r="E1107" s="5" t="s">
        <v>112</v>
      </c>
      <c r="F1107" s="6" t="s">
        <v>57</v>
      </c>
      <c r="G1107" s="4" t="s">
        <v>0</v>
      </c>
      <c r="H1107" s="25">
        <v>2012.98701299</v>
      </c>
      <c r="I1107" s="8">
        <v>10.5</v>
      </c>
      <c r="J1107" s="9">
        <v>11</v>
      </c>
      <c r="K1107" s="7">
        <v>0.5</v>
      </c>
      <c r="L1107" s="24">
        <f>+Tabla2[[#This Row],[Stock Inventario]]*Tabla2[[#This Row],[Coste LÃ­nea]]</f>
        <v>22142.85714289</v>
      </c>
      <c r="M1107" s="24">
        <f>+Tabla2[[#This Row],[Variación Stock]]*Tabla2[[#This Row],[Coste LÃ­nea]]</f>
        <v>1006.493506495</v>
      </c>
      <c r="N1107" s="22" t="str">
        <f>+IF(Tabla2[[#This Row],[Variación Stock]]&gt;0,"Sobrante",IF(Tabla2[[#This Row],[Variación Stock]]&lt;0,"Faltante","Sin novedad"))</f>
        <v>Sobrante</v>
      </c>
    </row>
    <row r="1108" spans="1:14" hidden="1" x14ac:dyDescent="0.25">
      <c r="A1108" s="11">
        <v>46037</v>
      </c>
      <c r="B1108" s="5" t="s">
        <v>127</v>
      </c>
      <c r="C1108" s="3" t="s">
        <v>128</v>
      </c>
      <c r="D1108" s="5" t="s">
        <v>119</v>
      </c>
      <c r="E1108" s="5" t="s">
        <v>117</v>
      </c>
      <c r="F1108" s="6" t="s">
        <v>200</v>
      </c>
      <c r="G1108" s="4" t="s">
        <v>1</v>
      </c>
      <c r="H1108" s="24">
        <v>64.855090910000001</v>
      </c>
      <c r="I1108" s="8">
        <v>6400</v>
      </c>
      <c r="J1108" s="9">
        <v>5000</v>
      </c>
      <c r="K1108" s="7">
        <v>-1400</v>
      </c>
      <c r="L1108" s="24">
        <f>+Tabla2[[#This Row],[Stock Inventario]]*Tabla2[[#This Row],[Coste LÃ­nea]]</f>
        <v>324275.45455000002</v>
      </c>
      <c r="M1108" s="24">
        <f>+Tabla2[[#This Row],[Variación Stock]]*Tabla2[[#This Row],[Coste LÃ­nea]]</f>
        <v>-90797.127273999999</v>
      </c>
      <c r="N1108" s="22" t="str">
        <f>+IF(Tabla2[[#This Row],[Variación Stock]]&gt;0,"Sobrante",IF(Tabla2[[#This Row],[Variación Stock]]&lt;0,"Faltante","Sin novedad"))</f>
        <v>Faltante</v>
      </c>
    </row>
    <row r="1109" spans="1:14" hidden="1" x14ac:dyDescent="0.25">
      <c r="A1109" s="11">
        <v>46044</v>
      </c>
      <c r="B1109" s="5" t="s">
        <v>358</v>
      </c>
      <c r="C1109" s="3" t="s">
        <v>128</v>
      </c>
      <c r="D1109" s="5" t="s">
        <v>119</v>
      </c>
      <c r="E1109" s="5" t="s">
        <v>117</v>
      </c>
      <c r="F1109" s="6" t="s">
        <v>200</v>
      </c>
      <c r="G1109" s="4" t="s">
        <v>1</v>
      </c>
      <c r="H1109" s="25">
        <v>64.855090910000001</v>
      </c>
      <c r="I1109" s="8">
        <v>0</v>
      </c>
      <c r="J1109" s="9">
        <v>0</v>
      </c>
      <c r="K1109" s="7">
        <v>0</v>
      </c>
      <c r="L1109" s="24">
        <f>+Tabla2[[#This Row],[Stock Inventario]]*Tabla2[[#This Row],[Coste LÃ­nea]]</f>
        <v>0</v>
      </c>
      <c r="M1109" s="24">
        <f>+Tabla2[[#This Row],[Variación Stock]]*Tabla2[[#This Row],[Coste LÃ­nea]]</f>
        <v>0</v>
      </c>
      <c r="N1109" s="22" t="str">
        <f>+IF(Tabla2[[#This Row],[Variación Stock]]&gt;0,"Sobrante",IF(Tabla2[[#This Row],[Variación Stock]]&lt;0,"Faltante","Sin novedad"))</f>
        <v>Sin novedad</v>
      </c>
    </row>
    <row r="1110" spans="1:14" x14ac:dyDescent="0.25">
      <c r="A1110" s="11">
        <v>46044</v>
      </c>
      <c r="B1110" s="5" t="s">
        <v>358</v>
      </c>
      <c r="C1110" s="3" t="s">
        <v>128</v>
      </c>
      <c r="D1110" s="5" t="s">
        <v>118</v>
      </c>
      <c r="E1110" s="5" t="s">
        <v>112</v>
      </c>
      <c r="F1110" s="6" t="s">
        <v>184</v>
      </c>
      <c r="G1110" s="4" t="s">
        <v>81</v>
      </c>
      <c r="H1110" s="25">
        <v>10880.4</v>
      </c>
      <c r="I1110" s="8">
        <v>49</v>
      </c>
      <c r="J1110" s="9">
        <v>49</v>
      </c>
      <c r="K1110" s="7">
        <v>0</v>
      </c>
      <c r="L1110" s="24">
        <f>+Tabla2[[#This Row],[Stock Inventario]]*Tabla2[[#This Row],[Coste LÃ­nea]]</f>
        <v>533139.6</v>
      </c>
      <c r="M1110" s="24">
        <f>+Tabla2[[#This Row],[Variación Stock]]*Tabla2[[#This Row],[Coste LÃ­nea]]</f>
        <v>0</v>
      </c>
      <c r="N1110" s="22" t="str">
        <f>+IF(Tabla2[[#This Row],[Variación Stock]]&gt;0,"Sobrante",IF(Tabla2[[#This Row],[Variación Stock]]&lt;0,"Faltante","Sin novedad"))</f>
        <v>Sin novedad</v>
      </c>
    </row>
    <row r="1111" spans="1:14" x14ac:dyDescent="0.25">
      <c r="A1111" s="11">
        <v>46044</v>
      </c>
      <c r="B1111" s="5" t="s">
        <v>358</v>
      </c>
      <c r="C1111" s="3" t="s">
        <v>128</v>
      </c>
      <c r="D1111" s="5" t="s">
        <v>111</v>
      </c>
      <c r="E1111" s="5" t="s">
        <v>112</v>
      </c>
      <c r="F1111" s="6" t="s">
        <v>17</v>
      </c>
      <c r="G1111" s="4" t="s">
        <v>0</v>
      </c>
      <c r="H1111" s="25">
        <v>14896.95833333</v>
      </c>
      <c r="I1111" s="8">
        <v>34</v>
      </c>
      <c r="J1111" s="9">
        <v>34</v>
      </c>
      <c r="K1111" s="7">
        <v>0</v>
      </c>
      <c r="L1111" s="24">
        <f>+Tabla2[[#This Row],[Stock Inventario]]*Tabla2[[#This Row],[Coste LÃ­nea]]</f>
        <v>506496.58333321998</v>
      </c>
      <c r="M1111" s="24">
        <f>+Tabla2[[#This Row],[Variación Stock]]*Tabla2[[#This Row],[Coste LÃ­nea]]</f>
        <v>0</v>
      </c>
      <c r="N1111" s="22" t="str">
        <f>+IF(Tabla2[[#This Row],[Variación Stock]]&gt;0,"Sobrante",IF(Tabla2[[#This Row],[Variación Stock]]&lt;0,"Faltante","Sin novedad"))</f>
        <v>Sin novedad</v>
      </c>
    </row>
    <row r="1112" spans="1:14" x14ac:dyDescent="0.25">
      <c r="A1112" s="11">
        <v>46037</v>
      </c>
      <c r="B1112" s="5" t="s">
        <v>127</v>
      </c>
      <c r="C1112" s="3" t="s">
        <v>128</v>
      </c>
      <c r="D1112" s="5" t="s">
        <v>118</v>
      </c>
      <c r="E1112" s="5" t="s">
        <v>112</v>
      </c>
      <c r="F1112" s="6" t="s">
        <v>123</v>
      </c>
      <c r="G1112" s="4" t="s">
        <v>0</v>
      </c>
      <c r="H1112" s="24">
        <v>2137.5</v>
      </c>
      <c r="I1112" s="8">
        <v>23</v>
      </c>
      <c r="J1112" s="9">
        <v>22</v>
      </c>
      <c r="K1112" s="7">
        <v>-1</v>
      </c>
      <c r="L1112" s="24">
        <f>+Tabla2[[#This Row],[Stock Inventario]]*Tabla2[[#This Row],[Coste LÃ­nea]]</f>
        <v>47025</v>
      </c>
      <c r="M1112" s="24">
        <f>+Tabla2[[#This Row],[Variación Stock]]*Tabla2[[#This Row],[Coste LÃ­nea]]</f>
        <v>-2137.5</v>
      </c>
      <c r="N1112" s="22" t="str">
        <f>+IF(Tabla2[[#This Row],[Variación Stock]]&gt;0,"Sobrante",IF(Tabla2[[#This Row],[Variación Stock]]&lt;0,"Faltante","Sin novedad"))</f>
        <v>Faltante</v>
      </c>
    </row>
    <row r="1113" spans="1:14" x14ac:dyDescent="0.25">
      <c r="A1113" s="11">
        <v>46044</v>
      </c>
      <c r="B1113" s="5" t="s">
        <v>358</v>
      </c>
      <c r="C1113" s="3" t="s">
        <v>128</v>
      </c>
      <c r="D1113" s="5" t="s">
        <v>118</v>
      </c>
      <c r="E1113" s="5" t="s">
        <v>112</v>
      </c>
      <c r="F1113" s="6" t="s">
        <v>87</v>
      </c>
      <c r="G1113" s="4" t="s">
        <v>2</v>
      </c>
      <c r="H1113" s="25">
        <v>37611.916666669997</v>
      </c>
      <c r="I1113" s="8">
        <v>13</v>
      </c>
      <c r="J1113" s="9">
        <v>13</v>
      </c>
      <c r="K1113" s="7">
        <v>0</v>
      </c>
      <c r="L1113" s="24">
        <f>+Tabla2[[#This Row],[Stock Inventario]]*Tabla2[[#This Row],[Coste LÃ­nea]]</f>
        <v>488954.91666670993</v>
      </c>
      <c r="M1113" s="24">
        <f>+Tabla2[[#This Row],[Variación Stock]]*Tabla2[[#This Row],[Coste LÃ­nea]]</f>
        <v>0</v>
      </c>
      <c r="N1113" s="22" t="str">
        <f>+IF(Tabla2[[#This Row],[Variación Stock]]&gt;0,"Sobrante",IF(Tabla2[[#This Row],[Variación Stock]]&lt;0,"Faltante","Sin novedad"))</f>
        <v>Sin novedad</v>
      </c>
    </row>
    <row r="1114" spans="1:14" hidden="1" x14ac:dyDescent="0.25">
      <c r="A1114" s="11">
        <v>46037</v>
      </c>
      <c r="B1114" s="5" t="s">
        <v>127</v>
      </c>
      <c r="C1114" s="3" t="s">
        <v>128</v>
      </c>
      <c r="D1114" s="5" t="s">
        <v>116</v>
      </c>
      <c r="E1114" s="5" t="s">
        <v>117</v>
      </c>
      <c r="F1114" s="6" t="s">
        <v>162</v>
      </c>
      <c r="G1114" s="4" t="s">
        <v>2</v>
      </c>
      <c r="H1114" s="24">
        <v>17053.33333333</v>
      </c>
      <c r="I1114" s="8">
        <v>0</v>
      </c>
      <c r="J1114" s="9">
        <v>0</v>
      </c>
      <c r="K1114" s="7">
        <v>0</v>
      </c>
      <c r="L1114" s="24">
        <f>+Tabla2[[#This Row],[Stock Inventario]]*Tabla2[[#This Row],[Coste LÃ­nea]]</f>
        <v>0</v>
      </c>
      <c r="M1114" s="24">
        <f>+Tabla2[[#This Row],[Variación Stock]]*Tabla2[[#This Row],[Coste LÃ­nea]]</f>
        <v>0</v>
      </c>
      <c r="N1114" s="22" t="str">
        <f>+IF(Tabla2[[#This Row],[Variación Stock]]&gt;0,"Sobrante",IF(Tabla2[[#This Row],[Variación Stock]]&lt;0,"Faltante","Sin novedad"))</f>
        <v>Sin novedad</v>
      </c>
    </row>
    <row r="1115" spans="1:14" x14ac:dyDescent="0.25">
      <c r="A1115" s="11">
        <v>46044</v>
      </c>
      <c r="B1115" s="5" t="s">
        <v>358</v>
      </c>
      <c r="C1115" s="3" t="s">
        <v>128</v>
      </c>
      <c r="D1115" s="5" t="s">
        <v>111</v>
      </c>
      <c r="E1115" s="5" t="s">
        <v>112</v>
      </c>
      <c r="F1115" s="6" t="s">
        <v>21</v>
      </c>
      <c r="G1115" s="4" t="s">
        <v>0</v>
      </c>
      <c r="H1115" s="25">
        <v>15769.5</v>
      </c>
      <c r="I1115" s="8">
        <v>29</v>
      </c>
      <c r="J1115" s="9">
        <v>29</v>
      </c>
      <c r="K1115" s="7">
        <v>0</v>
      </c>
      <c r="L1115" s="24">
        <f>+Tabla2[[#This Row],[Stock Inventario]]*Tabla2[[#This Row],[Coste LÃ­nea]]</f>
        <v>457315.5</v>
      </c>
      <c r="M1115" s="24">
        <f>+Tabla2[[#This Row],[Variación Stock]]*Tabla2[[#This Row],[Coste LÃ­nea]]</f>
        <v>0</v>
      </c>
      <c r="N1115" s="22" t="str">
        <f>+IF(Tabla2[[#This Row],[Variación Stock]]&gt;0,"Sobrante",IF(Tabla2[[#This Row],[Variación Stock]]&lt;0,"Faltante","Sin novedad"))</f>
        <v>Sin novedad</v>
      </c>
    </row>
    <row r="1116" spans="1:14" x14ac:dyDescent="0.25">
      <c r="A1116" s="11">
        <v>46044</v>
      </c>
      <c r="B1116" s="5" t="s">
        <v>358</v>
      </c>
      <c r="C1116" s="3" t="s">
        <v>128</v>
      </c>
      <c r="D1116" s="5" t="s">
        <v>111</v>
      </c>
      <c r="E1116" s="5" t="s">
        <v>112</v>
      </c>
      <c r="F1116" s="6" t="s">
        <v>364</v>
      </c>
      <c r="G1116" s="4" t="s">
        <v>0</v>
      </c>
      <c r="H1116" s="25">
        <v>10178.95454545</v>
      </c>
      <c r="I1116" s="8">
        <v>42</v>
      </c>
      <c r="J1116" s="9">
        <v>42</v>
      </c>
      <c r="K1116" s="7">
        <v>0</v>
      </c>
      <c r="L1116" s="24">
        <f>+Tabla2[[#This Row],[Stock Inventario]]*Tabla2[[#This Row],[Coste LÃ­nea]]</f>
        <v>427516.09090890002</v>
      </c>
      <c r="M1116" s="24">
        <f>+Tabla2[[#This Row],[Variación Stock]]*Tabla2[[#This Row],[Coste LÃ­nea]]</f>
        <v>0</v>
      </c>
      <c r="N1116" s="22" t="str">
        <f>+IF(Tabla2[[#This Row],[Variación Stock]]&gt;0,"Sobrante",IF(Tabla2[[#This Row],[Variación Stock]]&lt;0,"Faltante","Sin novedad"))</f>
        <v>Sin novedad</v>
      </c>
    </row>
    <row r="1117" spans="1:14" x14ac:dyDescent="0.25">
      <c r="A1117" s="11">
        <v>46044</v>
      </c>
      <c r="B1117" s="5" t="s">
        <v>358</v>
      </c>
      <c r="C1117" s="3" t="s">
        <v>128</v>
      </c>
      <c r="D1117" s="5" t="s">
        <v>118</v>
      </c>
      <c r="E1117" s="5" t="s">
        <v>112</v>
      </c>
      <c r="F1117" s="6" t="s">
        <v>83</v>
      </c>
      <c r="G1117" s="4" t="s">
        <v>2</v>
      </c>
      <c r="H1117" s="25">
        <v>37608</v>
      </c>
      <c r="I1117" s="8">
        <v>11</v>
      </c>
      <c r="J1117" s="9">
        <v>11</v>
      </c>
      <c r="K1117" s="7">
        <v>0</v>
      </c>
      <c r="L1117" s="24">
        <f>+Tabla2[[#This Row],[Stock Inventario]]*Tabla2[[#This Row],[Coste LÃ­nea]]</f>
        <v>413688</v>
      </c>
      <c r="M1117" s="24">
        <f>+Tabla2[[#This Row],[Variación Stock]]*Tabla2[[#This Row],[Coste LÃ­nea]]</f>
        <v>0</v>
      </c>
      <c r="N1117" s="22" t="str">
        <f>+IF(Tabla2[[#This Row],[Variación Stock]]&gt;0,"Sobrante",IF(Tabla2[[#This Row],[Variación Stock]]&lt;0,"Faltante","Sin novedad"))</f>
        <v>Sin novedad</v>
      </c>
    </row>
    <row r="1118" spans="1:14" x14ac:dyDescent="0.25">
      <c r="A1118" s="11">
        <v>46044</v>
      </c>
      <c r="B1118" s="5" t="s">
        <v>358</v>
      </c>
      <c r="C1118" s="3" t="s">
        <v>128</v>
      </c>
      <c r="D1118" s="5" t="s">
        <v>111</v>
      </c>
      <c r="E1118" s="5" t="s">
        <v>112</v>
      </c>
      <c r="F1118" s="6" t="s">
        <v>19</v>
      </c>
      <c r="G1118" s="4" t="s">
        <v>0</v>
      </c>
      <c r="H1118" s="25">
        <v>6154.6666666700003</v>
      </c>
      <c r="I1118" s="8">
        <v>67</v>
      </c>
      <c r="J1118" s="9">
        <v>67</v>
      </c>
      <c r="K1118" s="7">
        <v>0</v>
      </c>
      <c r="L1118" s="24">
        <f>+Tabla2[[#This Row],[Stock Inventario]]*Tabla2[[#This Row],[Coste LÃ­nea]]</f>
        <v>412362.66666689003</v>
      </c>
      <c r="M1118" s="24">
        <f>+Tabla2[[#This Row],[Variación Stock]]*Tabla2[[#This Row],[Coste LÃ­nea]]</f>
        <v>0</v>
      </c>
      <c r="N1118" s="22" t="str">
        <f>+IF(Tabla2[[#This Row],[Variación Stock]]&gt;0,"Sobrante",IF(Tabla2[[#This Row],[Variación Stock]]&lt;0,"Faltante","Sin novedad"))</f>
        <v>Sin novedad</v>
      </c>
    </row>
    <row r="1119" spans="1:14" hidden="1" x14ac:dyDescent="0.25">
      <c r="A1119" s="11">
        <v>46044</v>
      </c>
      <c r="B1119" s="5" t="s">
        <v>358</v>
      </c>
      <c r="C1119" s="3" t="s">
        <v>128</v>
      </c>
      <c r="D1119" s="5" t="s">
        <v>116</v>
      </c>
      <c r="E1119" s="5" t="s">
        <v>117</v>
      </c>
      <c r="F1119" s="6" t="s">
        <v>162</v>
      </c>
      <c r="G1119" s="4" t="s">
        <v>2</v>
      </c>
      <c r="H1119" s="25">
        <v>16550</v>
      </c>
      <c r="I1119" s="8">
        <v>0</v>
      </c>
      <c r="J1119" s="9">
        <v>0</v>
      </c>
      <c r="K1119" s="7">
        <v>0</v>
      </c>
      <c r="L1119" s="24">
        <f>+Tabla2[[#This Row],[Stock Inventario]]*Tabla2[[#This Row],[Coste LÃ­nea]]</f>
        <v>0</v>
      </c>
      <c r="M1119" s="24">
        <f>+Tabla2[[#This Row],[Variación Stock]]*Tabla2[[#This Row],[Coste LÃ­nea]]</f>
        <v>0</v>
      </c>
      <c r="N1119" s="22" t="str">
        <f>+IF(Tabla2[[#This Row],[Variación Stock]]&gt;0,"Sobrante",IF(Tabla2[[#This Row],[Variación Stock]]&lt;0,"Faltante","Sin novedad"))</f>
        <v>Sin novedad</v>
      </c>
    </row>
    <row r="1120" spans="1:14" x14ac:dyDescent="0.25">
      <c r="A1120" s="11">
        <v>46037</v>
      </c>
      <c r="B1120" s="5" t="s">
        <v>127</v>
      </c>
      <c r="C1120" s="3" t="s">
        <v>128</v>
      </c>
      <c r="D1120" s="5" t="s">
        <v>111</v>
      </c>
      <c r="E1120" s="5" t="s">
        <v>112</v>
      </c>
      <c r="F1120" s="6" t="s">
        <v>19</v>
      </c>
      <c r="G1120" s="4" t="s">
        <v>0</v>
      </c>
      <c r="H1120" s="24">
        <v>6154.6666666700003</v>
      </c>
      <c r="I1120" s="8">
        <v>68</v>
      </c>
      <c r="J1120" s="9">
        <v>67</v>
      </c>
      <c r="K1120" s="7">
        <v>-1</v>
      </c>
      <c r="L1120" s="24">
        <f>+Tabla2[[#This Row],[Stock Inventario]]*Tabla2[[#This Row],[Coste LÃ­nea]]</f>
        <v>412362.66666689003</v>
      </c>
      <c r="M1120" s="24">
        <f>+Tabla2[[#This Row],[Variación Stock]]*Tabla2[[#This Row],[Coste LÃ­nea]]</f>
        <v>-6154.6666666700003</v>
      </c>
      <c r="N1120" s="22" t="str">
        <f>+IF(Tabla2[[#This Row],[Variación Stock]]&gt;0,"Sobrante",IF(Tabla2[[#This Row],[Variación Stock]]&lt;0,"Faltante","Sin novedad"))</f>
        <v>Faltante</v>
      </c>
    </row>
    <row r="1121" spans="1:14" hidden="1" x14ac:dyDescent="0.25">
      <c r="A1121" s="11">
        <v>46037</v>
      </c>
      <c r="B1121" s="5" t="s">
        <v>127</v>
      </c>
      <c r="C1121" s="3" t="s">
        <v>128</v>
      </c>
      <c r="D1121" s="5" t="s">
        <v>119</v>
      </c>
      <c r="E1121" s="5" t="s">
        <v>117</v>
      </c>
      <c r="F1121" s="6" t="s">
        <v>93</v>
      </c>
      <c r="G1121" s="4" t="s">
        <v>1</v>
      </c>
      <c r="H1121" s="24">
        <v>49.53</v>
      </c>
      <c r="I1121" s="8">
        <v>0</v>
      </c>
      <c r="J1121" s="9">
        <v>0</v>
      </c>
      <c r="K1121" s="7">
        <v>0</v>
      </c>
      <c r="L1121" s="24">
        <f>+Tabla2[[#This Row],[Stock Inventario]]*Tabla2[[#This Row],[Coste LÃ­nea]]</f>
        <v>0</v>
      </c>
      <c r="M1121" s="24">
        <f>+Tabla2[[#This Row],[Variación Stock]]*Tabla2[[#This Row],[Coste LÃ­nea]]</f>
        <v>0</v>
      </c>
      <c r="N1121" s="22" t="str">
        <f>+IF(Tabla2[[#This Row],[Variación Stock]]&gt;0,"Sobrante",IF(Tabla2[[#This Row],[Variación Stock]]&lt;0,"Faltante","Sin novedad"))</f>
        <v>Sin novedad</v>
      </c>
    </row>
    <row r="1122" spans="1:14" x14ac:dyDescent="0.25">
      <c r="A1122" s="11">
        <v>46044</v>
      </c>
      <c r="B1122" s="5" t="s">
        <v>358</v>
      </c>
      <c r="C1122" s="3" t="s">
        <v>128</v>
      </c>
      <c r="D1122" s="5" t="s">
        <v>118</v>
      </c>
      <c r="E1122" s="5" t="s">
        <v>112</v>
      </c>
      <c r="F1122" s="6" t="s">
        <v>188</v>
      </c>
      <c r="G1122" s="4" t="s">
        <v>2</v>
      </c>
      <c r="H1122" s="25">
        <v>176006.72268899999</v>
      </c>
      <c r="I1122" s="8">
        <v>2</v>
      </c>
      <c r="J1122" s="9">
        <v>2</v>
      </c>
      <c r="K1122" s="7">
        <v>0</v>
      </c>
      <c r="L1122" s="24">
        <f>+Tabla2[[#This Row],[Stock Inventario]]*Tabla2[[#This Row],[Coste LÃ­nea]]</f>
        <v>352013.44537799997</v>
      </c>
      <c r="M1122" s="24">
        <f>+Tabla2[[#This Row],[Variación Stock]]*Tabla2[[#This Row],[Coste LÃ­nea]]</f>
        <v>0</v>
      </c>
      <c r="N1122" s="22" t="str">
        <f>+IF(Tabla2[[#This Row],[Variación Stock]]&gt;0,"Sobrante",IF(Tabla2[[#This Row],[Variación Stock]]&lt;0,"Faltante","Sin novedad"))</f>
        <v>Sin novedad</v>
      </c>
    </row>
    <row r="1123" spans="1:14" hidden="1" x14ac:dyDescent="0.25">
      <c r="A1123" s="11">
        <v>46044</v>
      </c>
      <c r="B1123" s="5" t="s">
        <v>358</v>
      </c>
      <c r="C1123" s="3" t="s">
        <v>128</v>
      </c>
      <c r="D1123" s="5" t="s">
        <v>119</v>
      </c>
      <c r="E1123" s="5" t="s">
        <v>117</v>
      </c>
      <c r="F1123" s="6" t="s">
        <v>93</v>
      </c>
      <c r="G1123" s="4" t="s">
        <v>1</v>
      </c>
      <c r="H1123" s="25">
        <v>49.53</v>
      </c>
      <c r="I1123" s="8">
        <v>8250</v>
      </c>
      <c r="J1123" s="9">
        <v>0</v>
      </c>
      <c r="K1123" s="7">
        <v>0</v>
      </c>
      <c r="L1123" s="24">
        <f>+Tabla2[[#This Row],[Stock Inventario]]*Tabla2[[#This Row],[Coste LÃ­nea]]</f>
        <v>0</v>
      </c>
      <c r="M1123" s="24">
        <f>+Tabla2[[#This Row],[Variación Stock]]*Tabla2[[#This Row],[Coste LÃ­nea]]</f>
        <v>0</v>
      </c>
      <c r="N1123" s="22" t="str">
        <f>+IF(Tabla2[[#This Row],[Variación Stock]]&gt;0,"Sobrante",IF(Tabla2[[#This Row],[Variación Stock]]&lt;0,"Faltante","Sin novedad"))</f>
        <v>Sin novedad</v>
      </c>
    </row>
    <row r="1124" spans="1:14" x14ac:dyDescent="0.25">
      <c r="A1124" s="11">
        <v>46044</v>
      </c>
      <c r="B1124" s="5" t="s">
        <v>358</v>
      </c>
      <c r="C1124" s="3" t="s">
        <v>128</v>
      </c>
      <c r="D1124" s="5" t="s">
        <v>111</v>
      </c>
      <c r="E1124" s="5" t="s">
        <v>112</v>
      </c>
      <c r="F1124" s="6" t="s">
        <v>51</v>
      </c>
      <c r="G1124" s="4" t="s">
        <v>0</v>
      </c>
      <c r="H1124" s="25">
        <v>9738.2016806699994</v>
      </c>
      <c r="I1124" s="8">
        <v>35</v>
      </c>
      <c r="J1124" s="9">
        <v>35</v>
      </c>
      <c r="K1124" s="7">
        <v>0</v>
      </c>
      <c r="L1124" s="24">
        <f>+Tabla2[[#This Row],[Stock Inventario]]*Tabla2[[#This Row],[Coste LÃ­nea]]</f>
        <v>340837.05882345</v>
      </c>
      <c r="M1124" s="24">
        <f>+Tabla2[[#This Row],[Variación Stock]]*Tabla2[[#This Row],[Coste LÃ­nea]]</f>
        <v>0</v>
      </c>
      <c r="N1124" s="22" t="str">
        <f>+IF(Tabla2[[#This Row],[Variación Stock]]&gt;0,"Sobrante",IF(Tabla2[[#This Row],[Variación Stock]]&lt;0,"Faltante","Sin novedad"))</f>
        <v>Sin novedad</v>
      </c>
    </row>
    <row r="1125" spans="1:14" x14ac:dyDescent="0.25">
      <c r="A1125" s="11">
        <v>46044</v>
      </c>
      <c r="B1125" s="5" t="s">
        <v>358</v>
      </c>
      <c r="C1125" s="3" t="s">
        <v>128</v>
      </c>
      <c r="D1125" s="5" t="s">
        <v>111</v>
      </c>
      <c r="E1125" s="5" t="s">
        <v>112</v>
      </c>
      <c r="F1125" s="6" t="s">
        <v>22</v>
      </c>
      <c r="G1125" s="4" t="s">
        <v>0</v>
      </c>
      <c r="H1125" s="25">
        <v>11532.86363636</v>
      </c>
      <c r="I1125" s="8">
        <v>29</v>
      </c>
      <c r="J1125" s="9">
        <v>29</v>
      </c>
      <c r="K1125" s="7">
        <v>0</v>
      </c>
      <c r="L1125" s="24">
        <f>+Tabla2[[#This Row],[Stock Inventario]]*Tabla2[[#This Row],[Coste LÃ­nea]]</f>
        <v>334453.04545444</v>
      </c>
      <c r="M1125" s="24">
        <f>+Tabla2[[#This Row],[Variación Stock]]*Tabla2[[#This Row],[Coste LÃ­nea]]</f>
        <v>0</v>
      </c>
      <c r="N1125" s="22" t="str">
        <f>+IF(Tabla2[[#This Row],[Variación Stock]]&gt;0,"Sobrante",IF(Tabla2[[#This Row],[Variación Stock]]&lt;0,"Faltante","Sin novedad"))</f>
        <v>Sin novedad</v>
      </c>
    </row>
    <row r="1126" spans="1:14" hidden="1" x14ac:dyDescent="0.25">
      <c r="A1126" s="11">
        <v>46037</v>
      </c>
      <c r="B1126" s="5" t="s">
        <v>127</v>
      </c>
      <c r="C1126" s="3" t="s">
        <v>128</v>
      </c>
      <c r="D1126" s="5" t="s">
        <v>116</v>
      </c>
      <c r="E1126" s="5" t="s">
        <v>117</v>
      </c>
      <c r="F1126" s="6" t="s">
        <v>163</v>
      </c>
      <c r="G1126" s="4" t="s">
        <v>1</v>
      </c>
      <c r="H1126" s="24">
        <v>32</v>
      </c>
      <c r="I1126" s="8">
        <v>4295</v>
      </c>
      <c r="J1126" s="9">
        <v>4285</v>
      </c>
      <c r="K1126" s="7">
        <v>-10</v>
      </c>
      <c r="L1126" s="24">
        <f>+Tabla2[[#This Row],[Stock Inventario]]*Tabla2[[#This Row],[Coste LÃ­nea]]</f>
        <v>137120</v>
      </c>
      <c r="M1126" s="24">
        <f>+Tabla2[[#This Row],[Variación Stock]]*Tabla2[[#This Row],[Coste LÃ­nea]]</f>
        <v>-320</v>
      </c>
      <c r="N1126" s="22" t="str">
        <f>+IF(Tabla2[[#This Row],[Variación Stock]]&gt;0,"Sobrante",IF(Tabla2[[#This Row],[Variación Stock]]&lt;0,"Faltante","Sin novedad"))</f>
        <v>Faltante</v>
      </c>
    </row>
    <row r="1127" spans="1:14" hidden="1" x14ac:dyDescent="0.25">
      <c r="A1127" s="11">
        <v>46044</v>
      </c>
      <c r="B1127" s="5" t="s">
        <v>358</v>
      </c>
      <c r="C1127" s="3" t="s">
        <v>128</v>
      </c>
      <c r="D1127" s="5" t="s">
        <v>116</v>
      </c>
      <c r="E1127" s="5" t="s">
        <v>117</v>
      </c>
      <c r="F1127" s="6" t="s">
        <v>163</v>
      </c>
      <c r="G1127" s="4" t="s">
        <v>1</v>
      </c>
      <c r="H1127" s="25">
        <v>32</v>
      </c>
      <c r="I1127" s="8">
        <v>4330</v>
      </c>
      <c r="J1127" s="9">
        <v>4338</v>
      </c>
      <c r="K1127" s="7">
        <v>8</v>
      </c>
      <c r="L1127" s="24">
        <f>+Tabla2[[#This Row],[Stock Inventario]]*Tabla2[[#This Row],[Coste LÃ­nea]]</f>
        <v>138816</v>
      </c>
      <c r="M1127" s="24">
        <f>+Tabla2[[#This Row],[Variación Stock]]*Tabla2[[#This Row],[Coste LÃ­nea]]</f>
        <v>256</v>
      </c>
      <c r="N1127" s="22" t="str">
        <f>+IF(Tabla2[[#This Row],[Variación Stock]]&gt;0,"Sobrante",IF(Tabla2[[#This Row],[Variación Stock]]&lt;0,"Faltante","Sin novedad"))</f>
        <v>Sobrante</v>
      </c>
    </row>
    <row r="1128" spans="1:14" x14ac:dyDescent="0.25">
      <c r="A1128" s="11">
        <v>46037</v>
      </c>
      <c r="B1128" s="5" t="s">
        <v>127</v>
      </c>
      <c r="C1128" s="3" t="s">
        <v>128</v>
      </c>
      <c r="D1128" s="5" t="s">
        <v>118</v>
      </c>
      <c r="E1128" s="5" t="s">
        <v>112</v>
      </c>
      <c r="F1128" s="6" t="s">
        <v>175</v>
      </c>
      <c r="G1128" s="4" t="s">
        <v>2</v>
      </c>
      <c r="H1128" s="24">
        <v>75606</v>
      </c>
      <c r="I1128" s="8">
        <v>3</v>
      </c>
      <c r="J1128" s="9">
        <v>2</v>
      </c>
      <c r="K1128" s="7">
        <v>-1</v>
      </c>
      <c r="L1128" s="24">
        <f>+Tabla2[[#This Row],[Stock Inventario]]*Tabla2[[#This Row],[Coste LÃ­nea]]</f>
        <v>151212</v>
      </c>
      <c r="M1128" s="24">
        <f>+Tabla2[[#This Row],[Variación Stock]]*Tabla2[[#This Row],[Coste LÃ­nea]]</f>
        <v>-75606</v>
      </c>
      <c r="N1128" s="22" t="str">
        <f>+IF(Tabla2[[#This Row],[Variación Stock]]&gt;0,"Sobrante",IF(Tabla2[[#This Row],[Variación Stock]]&lt;0,"Faltante","Sin novedad"))</f>
        <v>Faltante</v>
      </c>
    </row>
    <row r="1129" spans="1:14" hidden="1" x14ac:dyDescent="0.25">
      <c r="A1129" s="11">
        <v>46037</v>
      </c>
      <c r="B1129" s="5" t="s">
        <v>127</v>
      </c>
      <c r="C1129" s="3" t="s">
        <v>128</v>
      </c>
      <c r="D1129" s="5" t="s">
        <v>116</v>
      </c>
      <c r="E1129" s="5" t="s">
        <v>117</v>
      </c>
      <c r="F1129" s="6" t="s">
        <v>164</v>
      </c>
      <c r="G1129" s="4" t="s">
        <v>2</v>
      </c>
      <c r="H1129" s="24">
        <v>11459.77011494</v>
      </c>
      <c r="I1129" s="8">
        <v>62.5</v>
      </c>
      <c r="J1129" s="9">
        <v>120.5</v>
      </c>
      <c r="K1129" s="7">
        <v>58</v>
      </c>
      <c r="L1129" s="24">
        <f>+Tabla2[[#This Row],[Stock Inventario]]*Tabla2[[#This Row],[Coste LÃ­nea]]</f>
        <v>1380902.29885027</v>
      </c>
      <c r="M1129" s="24">
        <f>+Tabla2[[#This Row],[Variación Stock]]*Tabla2[[#This Row],[Coste LÃ­nea]]</f>
        <v>664666.66666651994</v>
      </c>
      <c r="N1129" s="22" t="str">
        <f>+IF(Tabla2[[#This Row],[Variación Stock]]&gt;0,"Sobrante",IF(Tabla2[[#This Row],[Variación Stock]]&lt;0,"Faltante","Sin novedad"))</f>
        <v>Sobrante</v>
      </c>
    </row>
    <row r="1130" spans="1:14" x14ac:dyDescent="0.25">
      <c r="A1130" s="11">
        <v>46037</v>
      </c>
      <c r="B1130" s="5" t="s">
        <v>127</v>
      </c>
      <c r="C1130" s="3" t="s">
        <v>128</v>
      </c>
      <c r="D1130" s="5" t="s">
        <v>111</v>
      </c>
      <c r="E1130" s="5" t="s">
        <v>112</v>
      </c>
      <c r="F1130" s="6" t="s">
        <v>131</v>
      </c>
      <c r="G1130" s="4" t="s">
        <v>0</v>
      </c>
      <c r="H1130" s="24">
        <v>7147.1666666700003</v>
      </c>
      <c r="I1130" s="8">
        <v>38</v>
      </c>
      <c r="J1130" s="9">
        <v>37</v>
      </c>
      <c r="K1130" s="7">
        <v>-1</v>
      </c>
      <c r="L1130" s="24">
        <f>+Tabla2[[#This Row],[Stock Inventario]]*Tabla2[[#This Row],[Coste LÃ­nea]]</f>
        <v>264445.16666679003</v>
      </c>
      <c r="M1130" s="24">
        <f>+Tabla2[[#This Row],[Variación Stock]]*Tabla2[[#This Row],[Coste LÃ­nea]]</f>
        <v>-7147.1666666700003</v>
      </c>
      <c r="N1130" s="22" t="str">
        <f>+IF(Tabla2[[#This Row],[Variación Stock]]&gt;0,"Sobrante",IF(Tabla2[[#This Row],[Variación Stock]]&lt;0,"Faltante","Sin novedad"))</f>
        <v>Faltante</v>
      </c>
    </row>
    <row r="1131" spans="1:14" x14ac:dyDescent="0.25">
      <c r="A1131" s="11">
        <v>46037</v>
      </c>
      <c r="B1131" s="5" t="s">
        <v>127</v>
      </c>
      <c r="C1131" s="3" t="s">
        <v>128</v>
      </c>
      <c r="D1131" s="5" t="s">
        <v>111</v>
      </c>
      <c r="E1131" s="5" t="s">
        <v>112</v>
      </c>
      <c r="F1131" s="6" t="s">
        <v>44</v>
      </c>
      <c r="G1131" s="4" t="s">
        <v>0</v>
      </c>
      <c r="H1131" s="24">
        <v>3804.2272727300001</v>
      </c>
      <c r="I1131" s="8">
        <v>23</v>
      </c>
      <c r="J1131" s="9">
        <v>22</v>
      </c>
      <c r="K1131" s="7">
        <v>-1</v>
      </c>
      <c r="L1131" s="24">
        <f>+Tabla2[[#This Row],[Stock Inventario]]*Tabla2[[#This Row],[Coste LÃ­nea]]</f>
        <v>83693.000000059998</v>
      </c>
      <c r="M1131" s="24">
        <f>+Tabla2[[#This Row],[Variación Stock]]*Tabla2[[#This Row],[Coste LÃ­nea]]</f>
        <v>-3804.2272727300001</v>
      </c>
      <c r="N1131" s="22" t="str">
        <f>+IF(Tabla2[[#This Row],[Variación Stock]]&gt;0,"Sobrante",IF(Tabla2[[#This Row],[Variación Stock]]&lt;0,"Faltante","Sin novedad"))</f>
        <v>Faltante</v>
      </c>
    </row>
    <row r="1132" spans="1:14" x14ac:dyDescent="0.25">
      <c r="A1132" s="11">
        <v>46044</v>
      </c>
      <c r="B1132" s="5" t="s">
        <v>358</v>
      </c>
      <c r="C1132" s="3" t="s">
        <v>128</v>
      </c>
      <c r="D1132" s="5" t="s">
        <v>118</v>
      </c>
      <c r="E1132" s="5" t="s">
        <v>112</v>
      </c>
      <c r="F1132" s="6" t="s">
        <v>172</v>
      </c>
      <c r="G1132" s="4" t="s">
        <v>2</v>
      </c>
      <c r="H1132" s="25">
        <v>95880</v>
      </c>
      <c r="I1132" s="8">
        <v>3</v>
      </c>
      <c r="J1132" s="9">
        <v>3</v>
      </c>
      <c r="K1132" s="7">
        <v>0</v>
      </c>
      <c r="L1132" s="24">
        <f>+Tabla2[[#This Row],[Stock Inventario]]*Tabla2[[#This Row],[Coste LÃ­nea]]</f>
        <v>287640</v>
      </c>
      <c r="M1132" s="24">
        <f>+Tabla2[[#This Row],[Variación Stock]]*Tabla2[[#This Row],[Coste LÃ­nea]]</f>
        <v>0</v>
      </c>
      <c r="N1132" s="22" t="str">
        <f>+IF(Tabla2[[#This Row],[Variación Stock]]&gt;0,"Sobrante",IF(Tabla2[[#This Row],[Variación Stock]]&lt;0,"Faltante","Sin novedad"))</f>
        <v>Sin novedad</v>
      </c>
    </row>
    <row r="1133" spans="1:14" hidden="1" x14ac:dyDescent="0.25">
      <c r="A1133" s="11">
        <v>46044</v>
      </c>
      <c r="B1133" s="5" t="s">
        <v>358</v>
      </c>
      <c r="C1133" s="3" t="s">
        <v>128</v>
      </c>
      <c r="D1133" s="5" t="s">
        <v>116</v>
      </c>
      <c r="E1133" s="5" t="s">
        <v>117</v>
      </c>
      <c r="F1133" s="6" t="s">
        <v>164</v>
      </c>
      <c r="G1133" s="4" t="s">
        <v>2</v>
      </c>
      <c r="H1133" s="25">
        <v>11532.5</v>
      </c>
      <c r="I1133" s="8">
        <v>121.5</v>
      </c>
      <c r="J1133" s="9">
        <v>142.69999999999999</v>
      </c>
      <c r="K1133" s="7">
        <v>21.2</v>
      </c>
      <c r="L1133" s="24">
        <f>+Tabla2[[#This Row],[Stock Inventario]]*Tabla2[[#This Row],[Coste LÃ­nea]]</f>
        <v>1645687.7499999998</v>
      </c>
      <c r="M1133" s="24">
        <f>+Tabla2[[#This Row],[Variación Stock]]*Tabla2[[#This Row],[Coste LÃ­nea]]</f>
        <v>244489</v>
      </c>
      <c r="N1133" s="22" t="str">
        <f>+IF(Tabla2[[#This Row],[Variación Stock]]&gt;0,"Sobrante",IF(Tabla2[[#This Row],[Variación Stock]]&lt;0,"Faltante","Sin novedad"))</f>
        <v>Sobrante</v>
      </c>
    </row>
    <row r="1134" spans="1:14" x14ac:dyDescent="0.25">
      <c r="A1134" s="11">
        <v>46044</v>
      </c>
      <c r="B1134" s="5" t="s">
        <v>358</v>
      </c>
      <c r="C1134" s="3" t="s">
        <v>128</v>
      </c>
      <c r="D1134" s="5" t="s">
        <v>111</v>
      </c>
      <c r="E1134" s="5" t="s">
        <v>112</v>
      </c>
      <c r="F1134" s="6" t="s">
        <v>59</v>
      </c>
      <c r="G1134" s="4" t="s">
        <v>0</v>
      </c>
      <c r="H1134" s="25">
        <v>3103.4482758600002</v>
      </c>
      <c r="I1134" s="8">
        <v>117</v>
      </c>
      <c r="J1134" s="9">
        <v>116</v>
      </c>
      <c r="K1134" s="7">
        <v>-1</v>
      </c>
      <c r="L1134" s="24">
        <f>+Tabla2[[#This Row],[Stock Inventario]]*Tabla2[[#This Row],[Coste LÃ­nea]]</f>
        <v>359999.99999976001</v>
      </c>
      <c r="M1134" s="24">
        <f>+Tabla2[[#This Row],[Variación Stock]]*Tabla2[[#This Row],[Coste LÃ­nea]]</f>
        <v>-3103.4482758600002</v>
      </c>
      <c r="N1134" s="22" t="str">
        <f>+IF(Tabla2[[#This Row],[Variación Stock]]&gt;0,"Sobrante",IF(Tabla2[[#This Row],[Variación Stock]]&lt;0,"Faltante","Sin novedad"))</f>
        <v>Faltante</v>
      </c>
    </row>
    <row r="1135" spans="1:14" x14ac:dyDescent="0.25">
      <c r="A1135" s="11">
        <v>46044</v>
      </c>
      <c r="B1135" s="5" t="s">
        <v>358</v>
      </c>
      <c r="C1135" s="3" t="s">
        <v>128</v>
      </c>
      <c r="D1135" s="5" t="s">
        <v>111</v>
      </c>
      <c r="E1135" s="5" t="s">
        <v>112</v>
      </c>
      <c r="F1135" s="6" t="s">
        <v>55</v>
      </c>
      <c r="G1135" s="4" t="s">
        <v>0</v>
      </c>
      <c r="H1135" s="25">
        <v>3171.7083333300002</v>
      </c>
      <c r="I1135" s="8">
        <v>89</v>
      </c>
      <c r="J1135" s="9">
        <v>89</v>
      </c>
      <c r="K1135" s="7">
        <v>0</v>
      </c>
      <c r="L1135" s="24">
        <f>+Tabla2[[#This Row],[Stock Inventario]]*Tabla2[[#This Row],[Coste LÃ­nea]]</f>
        <v>282282.04166637</v>
      </c>
      <c r="M1135" s="24">
        <f>+Tabla2[[#This Row],[Variación Stock]]*Tabla2[[#This Row],[Coste LÃ­nea]]</f>
        <v>0</v>
      </c>
      <c r="N1135" s="22" t="str">
        <f>+IF(Tabla2[[#This Row],[Variación Stock]]&gt;0,"Sobrante",IF(Tabla2[[#This Row],[Variación Stock]]&lt;0,"Faltante","Sin novedad"))</f>
        <v>Sin novedad</v>
      </c>
    </row>
    <row r="1136" spans="1:14" x14ac:dyDescent="0.25">
      <c r="A1136" s="11">
        <v>46044</v>
      </c>
      <c r="B1136" s="5" t="s">
        <v>358</v>
      </c>
      <c r="C1136" s="3" t="s">
        <v>128</v>
      </c>
      <c r="D1136" s="5" t="s">
        <v>115</v>
      </c>
      <c r="E1136" s="5" t="s">
        <v>112</v>
      </c>
      <c r="F1136" s="6" t="s">
        <v>154</v>
      </c>
      <c r="G1136" s="4" t="s">
        <v>2</v>
      </c>
      <c r="H1136" s="25">
        <v>3601.6666666699998</v>
      </c>
      <c r="I1136" s="8">
        <v>79</v>
      </c>
      <c r="J1136" s="9">
        <v>78</v>
      </c>
      <c r="K1136" s="7">
        <v>-1</v>
      </c>
      <c r="L1136" s="24">
        <f>+Tabla2[[#This Row],[Stock Inventario]]*Tabla2[[#This Row],[Coste LÃ­nea]]</f>
        <v>280930.00000026001</v>
      </c>
      <c r="M1136" s="24">
        <f>+Tabla2[[#This Row],[Variación Stock]]*Tabla2[[#This Row],[Coste LÃ­nea]]</f>
        <v>-3601.6666666699998</v>
      </c>
      <c r="N1136" s="22" t="str">
        <f>+IF(Tabla2[[#This Row],[Variación Stock]]&gt;0,"Sobrante",IF(Tabla2[[#This Row],[Variación Stock]]&lt;0,"Faltante","Sin novedad"))</f>
        <v>Faltante</v>
      </c>
    </row>
    <row r="1137" spans="1:14" x14ac:dyDescent="0.25">
      <c r="A1137" s="11">
        <v>46044</v>
      </c>
      <c r="B1137" s="5" t="s">
        <v>358</v>
      </c>
      <c r="C1137" s="3" t="s">
        <v>128</v>
      </c>
      <c r="D1137" s="5" t="s">
        <v>111</v>
      </c>
      <c r="E1137" s="5" t="s">
        <v>112</v>
      </c>
      <c r="F1137" s="6" t="s">
        <v>139</v>
      </c>
      <c r="G1137" s="4" t="s">
        <v>0</v>
      </c>
      <c r="H1137" s="25">
        <v>3884.5</v>
      </c>
      <c r="I1137" s="8">
        <v>68</v>
      </c>
      <c r="J1137" s="9">
        <v>67</v>
      </c>
      <c r="K1137" s="7">
        <v>-1</v>
      </c>
      <c r="L1137" s="24">
        <f>+Tabla2[[#This Row],[Stock Inventario]]*Tabla2[[#This Row],[Coste LÃ­nea]]</f>
        <v>260261.5</v>
      </c>
      <c r="M1137" s="24">
        <f>+Tabla2[[#This Row],[Variación Stock]]*Tabla2[[#This Row],[Coste LÃ­nea]]</f>
        <v>-3884.5</v>
      </c>
      <c r="N1137" s="22" t="str">
        <f>+IF(Tabla2[[#This Row],[Variación Stock]]&gt;0,"Sobrante",IF(Tabla2[[#This Row],[Variación Stock]]&lt;0,"Faltante","Sin novedad"))</f>
        <v>Faltante</v>
      </c>
    </row>
    <row r="1138" spans="1:14" hidden="1" x14ac:dyDescent="0.25">
      <c r="A1138" s="11">
        <v>46037</v>
      </c>
      <c r="B1138" s="5" t="s">
        <v>127</v>
      </c>
      <c r="C1138" s="3" t="s">
        <v>128</v>
      </c>
      <c r="D1138" s="5" t="s">
        <v>120</v>
      </c>
      <c r="E1138" s="5" t="s">
        <v>117</v>
      </c>
      <c r="F1138" s="6" t="s">
        <v>202</v>
      </c>
      <c r="G1138" s="4" t="s">
        <v>2</v>
      </c>
      <c r="H1138" s="24">
        <v>6718.4716519100002</v>
      </c>
      <c r="I1138" s="8">
        <v>18</v>
      </c>
      <c r="J1138" s="9">
        <v>41</v>
      </c>
      <c r="K1138" s="7">
        <v>23</v>
      </c>
      <c r="L1138" s="24">
        <f>+Tabla2[[#This Row],[Stock Inventario]]*Tabla2[[#This Row],[Coste LÃ­nea]]</f>
        <v>275457.33772831003</v>
      </c>
      <c r="M1138" s="24">
        <f>+Tabla2[[#This Row],[Variación Stock]]*Tabla2[[#This Row],[Coste LÃ­nea]]</f>
        <v>154524.84799393002</v>
      </c>
      <c r="N1138" s="22" t="str">
        <f>+IF(Tabla2[[#This Row],[Variación Stock]]&gt;0,"Sobrante",IF(Tabla2[[#This Row],[Variación Stock]]&lt;0,"Faltante","Sin novedad"))</f>
        <v>Sobrante</v>
      </c>
    </row>
    <row r="1139" spans="1:14" x14ac:dyDescent="0.25">
      <c r="A1139" s="11">
        <v>46044</v>
      </c>
      <c r="B1139" s="5" t="s">
        <v>358</v>
      </c>
      <c r="C1139" s="3" t="s">
        <v>128</v>
      </c>
      <c r="D1139" s="5" t="s">
        <v>115</v>
      </c>
      <c r="E1139" s="5" t="s">
        <v>112</v>
      </c>
      <c r="F1139" s="6" t="s">
        <v>77</v>
      </c>
      <c r="G1139" s="4" t="s">
        <v>2</v>
      </c>
      <c r="H1139" s="25">
        <v>3200</v>
      </c>
      <c r="I1139" s="8">
        <v>22</v>
      </c>
      <c r="J1139" s="9">
        <v>22</v>
      </c>
      <c r="K1139" s="7">
        <v>0</v>
      </c>
      <c r="L1139" s="24">
        <f>+Tabla2[[#This Row],[Stock Inventario]]*Tabla2[[#This Row],[Coste LÃ­nea]]</f>
        <v>70400</v>
      </c>
      <c r="M1139" s="24">
        <f>+Tabla2[[#This Row],[Variación Stock]]*Tabla2[[#This Row],[Coste LÃ­nea]]</f>
        <v>0</v>
      </c>
      <c r="N1139" s="22" t="str">
        <f>+IF(Tabla2[[#This Row],[Variación Stock]]&gt;0,"Sobrante",IF(Tabla2[[#This Row],[Variación Stock]]&lt;0,"Faltante","Sin novedad"))</f>
        <v>Sin novedad</v>
      </c>
    </row>
    <row r="1140" spans="1:14" hidden="1" x14ac:dyDescent="0.25">
      <c r="A1140" s="11">
        <v>46044</v>
      </c>
      <c r="B1140" s="5" t="s">
        <v>358</v>
      </c>
      <c r="C1140" s="3" t="s">
        <v>128</v>
      </c>
      <c r="D1140" s="5" t="s">
        <v>120</v>
      </c>
      <c r="E1140" s="5" t="s">
        <v>117</v>
      </c>
      <c r="F1140" s="6" t="s">
        <v>202</v>
      </c>
      <c r="G1140" s="4" t="s">
        <v>2</v>
      </c>
      <c r="H1140" s="25">
        <v>2123.3616128600002</v>
      </c>
      <c r="I1140" s="8">
        <v>34</v>
      </c>
      <c r="J1140" s="9">
        <v>33</v>
      </c>
      <c r="K1140" s="15">
        <v>-1</v>
      </c>
      <c r="L1140" s="24">
        <f>+Tabla2[[#This Row],[Stock Inventario]]*Tabla2[[#This Row],[Coste LÃ­nea]]</f>
        <v>70070.933224380002</v>
      </c>
      <c r="M1140" s="24">
        <f>+Tabla2[[#This Row],[Variación Stock]]*Tabla2[[#This Row],[Coste LÃ­nea]]</f>
        <v>-2123.3616128600002</v>
      </c>
      <c r="N1140" s="22" t="str">
        <f>+IF(Tabla2[[#This Row],[Variación Stock]]&gt;0,"Sobrante",IF(Tabla2[[#This Row],[Variación Stock]]&lt;0,"Faltante","Sin novedad"))</f>
        <v>Faltante</v>
      </c>
    </row>
    <row r="1141" spans="1:14" x14ac:dyDescent="0.25">
      <c r="A1141" s="11">
        <v>46037</v>
      </c>
      <c r="B1141" s="5" t="s">
        <v>127</v>
      </c>
      <c r="C1141" s="3" t="s">
        <v>128</v>
      </c>
      <c r="D1141" s="5" t="s">
        <v>115</v>
      </c>
      <c r="E1141" s="5" t="s">
        <v>112</v>
      </c>
      <c r="F1141" s="6" t="s">
        <v>74</v>
      </c>
      <c r="G1141" s="4" t="s">
        <v>2</v>
      </c>
      <c r="H1141" s="24">
        <v>3465.2083333300002</v>
      </c>
      <c r="I1141" s="8">
        <v>64</v>
      </c>
      <c r="J1141" s="9">
        <v>64</v>
      </c>
      <c r="K1141" s="7">
        <v>0</v>
      </c>
      <c r="L1141" s="24">
        <f>+Tabla2[[#This Row],[Stock Inventario]]*Tabla2[[#This Row],[Coste LÃ­nea]]</f>
        <v>221773.33333312001</v>
      </c>
      <c r="M1141" s="24">
        <f>+Tabla2[[#This Row],[Variación Stock]]*Tabla2[[#This Row],[Coste LÃ­nea]]</f>
        <v>0</v>
      </c>
      <c r="N1141" s="22" t="str">
        <f>+IF(Tabla2[[#This Row],[Variación Stock]]&gt;0,"Sobrante",IF(Tabla2[[#This Row],[Variación Stock]]&lt;0,"Faltante","Sin novedad"))</f>
        <v>Sin novedad</v>
      </c>
    </row>
    <row r="1142" spans="1:14" x14ac:dyDescent="0.25">
      <c r="A1142" s="11">
        <v>46044</v>
      </c>
      <c r="B1142" s="5" t="s">
        <v>358</v>
      </c>
      <c r="C1142" s="3" t="s">
        <v>128</v>
      </c>
      <c r="D1142" s="5" t="s">
        <v>111</v>
      </c>
      <c r="E1142" s="5" t="s">
        <v>112</v>
      </c>
      <c r="F1142" s="6" t="s">
        <v>131</v>
      </c>
      <c r="G1142" s="4" t="s">
        <v>0</v>
      </c>
      <c r="H1142" s="25">
        <v>7147.1666666700003</v>
      </c>
      <c r="I1142" s="8">
        <v>37</v>
      </c>
      <c r="J1142" s="9">
        <v>37</v>
      </c>
      <c r="K1142" s="7">
        <v>0</v>
      </c>
      <c r="L1142" s="24">
        <f>+Tabla2[[#This Row],[Stock Inventario]]*Tabla2[[#This Row],[Coste LÃ­nea]]</f>
        <v>264445.16666679003</v>
      </c>
      <c r="M1142" s="24">
        <f>+Tabla2[[#This Row],[Variación Stock]]*Tabla2[[#This Row],[Coste LÃ­nea]]</f>
        <v>0</v>
      </c>
      <c r="N1142" s="22" t="str">
        <f>+IF(Tabla2[[#This Row],[Variación Stock]]&gt;0,"Sobrante",IF(Tabla2[[#This Row],[Variación Stock]]&lt;0,"Faltante","Sin novedad"))</f>
        <v>Sin novedad</v>
      </c>
    </row>
    <row r="1143" spans="1:14" x14ac:dyDescent="0.25">
      <c r="A1143" s="11">
        <v>46044</v>
      </c>
      <c r="B1143" s="5" t="s">
        <v>358</v>
      </c>
      <c r="C1143" s="3" t="s">
        <v>128</v>
      </c>
      <c r="D1143" s="5" t="s">
        <v>111</v>
      </c>
      <c r="E1143" s="5" t="s">
        <v>112</v>
      </c>
      <c r="F1143" s="6" t="s">
        <v>54</v>
      </c>
      <c r="G1143" s="4" t="s">
        <v>0</v>
      </c>
      <c r="H1143" s="25">
        <v>2134.5416666699998</v>
      </c>
      <c r="I1143" s="8">
        <v>45</v>
      </c>
      <c r="J1143" s="9">
        <v>44</v>
      </c>
      <c r="K1143" s="7">
        <v>-1</v>
      </c>
      <c r="L1143" s="24">
        <f>+Tabla2[[#This Row],[Stock Inventario]]*Tabla2[[#This Row],[Coste LÃ­nea]]</f>
        <v>93919.833333479997</v>
      </c>
      <c r="M1143" s="24">
        <f>+Tabla2[[#This Row],[Variación Stock]]*Tabla2[[#This Row],[Coste LÃ­nea]]</f>
        <v>-2134.5416666699998</v>
      </c>
      <c r="N1143" s="22" t="str">
        <f>+IF(Tabla2[[#This Row],[Variación Stock]]&gt;0,"Sobrante",IF(Tabla2[[#This Row],[Variación Stock]]&lt;0,"Faltante","Sin novedad"))</f>
        <v>Faltante</v>
      </c>
    </row>
    <row r="1144" spans="1:14" x14ac:dyDescent="0.25">
      <c r="A1144" s="11">
        <v>46044</v>
      </c>
      <c r="B1144" s="5" t="s">
        <v>358</v>
      </c>
      <c r="C1144" s="3" t="s">
        <v>128</v>
      </c>
      <c r="D1144" s="5" t="s">
        <v>114</v>
      </c>
      <c r="E1144" s="5" t="s">
        <v>112</v>
      </c>
      <c r="F1144" s="6" t="s">
        <v>150</v>
      </c>
      <c r="G1144" s="4" t="s">
        <v>2</v>
      </c>
      <c r="H1144" s="25">
        <v>3750</v>
      </c>
      <c r="I1144" s="8">
        <v>7.96</v>
      </c>
      <c r="J1144" s="9">
        <v>8.5</v>
      </c>
      <c r="K1144" s="7">
        <v>0.54</v>
      </c>
      <c r="L1144" s="24">
        <f>+Tabla2[[#This Row],[Stock Inventario]]*Tabla2[[#This Row],[Coste LÃ­nea]]</f>
        <v>31875</v>
      </c>
      <c r="M1144" s="24">
        <f>+Tabla2[[#This Row],[Variación Stock]]*Tabla2[[#This Row],[Coste LÃ­nea]]</f>
        <v>2025.0000000000002</v>
      </c>
      <c r="N1144" s="22" t="str">
        <f>+IF(Tabla2[[#This Row],[Variación Stock]]&gt;0,"Sobrante",IF(Tabla2[[#This Row],[Variación Stock]]&lt;0,"Faltante","Sin novedad"))</f>
        <v>Sobrante</v>
      </c>
    </row>
    <row r="1145" spans="1:14" x14ac:dyDescent="0.25">
      <c r="A1145" s="11">
        <v>46044</v>
      </c>
      <c r="B1145" s="5" t="s">
        <v>358</v>
      </c>
      <c r="C1145" s="3" t="s">
        <v>128</v>
      </c>
      <c r="D1145" s="5" t="s">
        <v>111</v>
      </c>
      <c r="E1145" s="5" t="s">
        <v>112</v>
      </c>
      <c r="F1145" s="6" t="s">
        <v>32</v>
      </c>
      <c r="G1145" s="4" t="s">
        <v>0</v>
      </c>
      <c r="H1145" s="25">
        <v>8308.1111111099999</v>
      </c>
      <c r="I1145" s="8">
        <v>30</v>
      </c>
      <c r="J1145" s="9">
        <v>30</v>
      </c>
      <c r="K1145" s="7">
        <v>0</v>
      </c>
      <c r="L1145" s="24">
        <f>+Tabla2[[#This Row],[Stock Inventario]]*Tabla2[[#This Row],[Coste LÃ­nea]]</f>
        <v>249243.33333329999</v>
      </c>
      <c r="M1145" s="24">
        <f>+Tabla2[[#This Row],[Variación Stock]]*Tabla2[[#This Row],[Coste LÃ­nea]]</f>
        <v>0</v>
      </c>
      <c r="N1145" s="22" t="str">
        <f>+IF(Tabla2[[#This Row],[Variación Stock]]&gt;0,"Sobrante",IF(Tabla2[[#This Row],[Variación Stock]]&lt;0,"Faltante","Sin novedad"))</f>
        <v>Sin novedad</v>
      </c>
    </row>
    <row r="1146" spans="1:14" x14ac:dyDescent="0.25">
      <c r="A1146" s="11">
        <v>46044</v>
      </c>
      <c r="B1146" s="5" t="s">
        <v>358</v>
      </c>
      <c r="C1146" s="3" t="s">
        <v>128</v>
      </c>
      <c r="D1146" s="5" t="s">
        <v>118</v>
      </c>
      <c r="E1146" s="5" t="s">
        <v>112</v>
      </c>
      <c r="F1146" s="6" t="s">
        <v>173</v>
      </c>
      <c r="G1146" s="4" t="s">
        <v>2</v>
      </c>
      <c r="H1146" s="25">
        <v>82575</v>
      </c>
      <c r="I1146" s="8">
        <v>3</v>
      </c>
      <c r="J1146" s="9">
        <v>3</v>
      </c>
      <c r="K1146" s="7">
        <v>0</v>
      </c>
      <c r="L1146" s="24">
        <f>+Tabla2[[#This Row],[Stock Inventario]]*Tabla2[[#This Row],[Coste LÃ­nea]]</f>
        <v>247725</v>
      </c>
      <c r="M1146" s="24">
        <f>+Tabla2[[#This Row],[Variación Stock]]*Tabla2[[#This Row],[Coste LÃ­nea]]</f>
        <v>0</v>
      </c>
      <c r="N1146" s="22" t="str">
        <f>+IF(Tabla2[[#This Row],[Variación Stock]]&gt;0,"Sobrante",IF(Tabla2[[#This Row],[Variación Stock]]&lt;0,"Faltante","Sin novedad"))</f>
        <v>Sin novedad</v>
      </c>
    </row>
    <row r="1147" spans="1:14" x14ac:dyDescent="0.25">
      <c r="A1147" s="11">
        <v>46044</v>
      </c>
      <c r="B1147" s="5" t="s">
        <v>358</v>
      </c>
      <c r="C1147" s="3" t="s">
        <v>128</v>
      </c>
      <c r="D1147" s="5" t="s">
        <v>115</v>
      </c>
      <c r="E1147" s="5" t="s">
        <v>112</v>
      </c>
      <c r="F1147" s="6" t="s">
        <v>74</v>
      </c>
      <c r="G1147" s="4" t="s">
        <v>2</v>
      </c>
      <c r="H1147" s="25">
        <v>3465.1666666699998</v>
      </c>
      <c r="I1147" s="8">
        <v>71</v>
      </c>
      <c r="J1147" s="9">
        <v>71</v>
      </c>
      <c r="K1147" s="7">
        <v>0</v>
      </c>
      <c r="L1147" s="24">
        <f>+Tabla2[[#This Row],[Stock Inventario]]*Tabla2[[#This Row],[Coste LÃ­nea]]</f>
        <v>246026.83333356999</v>
      </c>
      <c r="M1147" s="24">
        <f>+Tabla2[[#This Row],[Variación Stock]]*Tabla2[[#This Row],[Coste LÃ­nea]]</f>
        <v>0</v>
      </c>
      <c r="N1147" s="22" t="str">
        <f>+IF(Tabla2[[#This Row],[Variación Stock]]&gt;0,"Sobrante",IF(Tabla2[[#This Row],[Variación Stock]]&lt;0,"Faltante","Sin novedad"))</f>
        <v>Sin novedad</v>
      </c>
    </row>
    <row r="1148" spans="1:14" x14ac:dyDescent="0.25">
      <c r="A1148" s="11">
        <v>46037</v>
      </c>
      <c r="B1148" s="5" t="s">
        <v>127</v>
      </c>
      <c r="C1148" s="3" t="s">
        <v>128</v>
      </c>
      <c r="D1148" s="5" t="s">
        <v>115</v>
      </c>
      <c r="E1148" s="5" t="s">
        <v>112</v>
      </c>
      <c r="F1148" s="6" t="s">
        <v>78</v>
      </c>
      <c r="G1148" s="4" t="s">
        <v>2</v>
      </c>
      <c r="H1148" s="24">
        <v>3416.64355742</v>
      </c>
      <c r="I1148" s="8">
        <v>-1</v>
      </c>
      <c r="J1148" s="9">
        <v>0</v>
      </c>
      <c r="K1148" s="7">
        <v>1</v>
      </c>
      <c r="L1148" s="24">
        <f>+Tabla2[[#This Row],[Stock Inventario]]*Tabla2[[#This Row],[Coste LÃ­nea]]</f>
        <v>0</v>
      </c>
      <c r="M1148" s="24">
        <f>+Tabla2[[#This Row],[Variación Stock]]*Tabla2[[#This Row],[Coste LÃ­nea]]</f>
        <v>3416.64355742</v>
      </c>
      <c r="N1148" s="22" t="str">
        <f>+IF(Tabla2[[#This Row],[Variación Stock]]&gt;0,"Sobrante",IF(Tabla2[[#This Row],[Variación Stock]]&lt;0,"Faltante","Sin novedad"))</f>
        <v>Sobrante</v>
      </c>
    </row>
    <row r="1149" spans="1:14" x14ac:dyDescent="0.25">
      <c r="A1149" s="11">
        <v>46044</v>
      </c>
      <c r="B1149" s="5" t="s">
        <v>358</v>
      </c>
      <c r="C1149" s="3" t="s">
        <v>128</v>
      </c>
      <c r="D1149" s="5" t="s">
        <v>111</v>
      </c>
      <c r="E1149" s="5" t="s">
        <v>112</v>
      </c>
      <c r="F1149" s="6" t="s">
        <v>45</v>
      </c>
      <c r="G1149" s="4" t="s">
        <v>2</v>
      </c>
      <c r="H1149" s="25">
        <v>26517</v>
      </c>
      <c r="I1149" s="8">
        <v>9</v>
      </c>
      <c r="J1149" s="9">
        <v>9</v>
      </c>
      <c r="K1149" s="7">
        <v>0</v>
      </c>
      <c r="L1149" s="24">
        <f>+Tabla2[[#This Row],[Stock Inventario]]*Tabla2[[#This Row],[Coste LÃ­nea]]</f>
        <v>238653</v>
      </c>
      <c r="M1149" s="24">
        <f>+Tabla2[[#This Row],[Variación Stock]]*Tabla2[[#This Row],[Coste LÃ­nea]]</f>
        <v>0</v>
      </c>
      <c r="N1149" s="22" t="str">
        <f>+IF(Tabla2[[#This Row],[Variación Stock]]&gt;0,"Sobrante",IF(Tabla2[[#This Row],[Variación Stock]]&lt;0,"Faltante","Sin novedad"))</f>
        <v>Sin novedad</v>
      </c>
    </row>
    <row r="1150" spans="1:14" x14ac:dyDescent="0.25">
      <c r="A1150" s="11">
        <v>46044</v>
      </c>
      <c r="B1150" s="5" t="s">
        <v>358</v>
      </c>
      <c r="C1150" s="3" t="s">
        <v>128</v>
      </c>
      <c r="D1150" s="5" t="s">
        <v>114</v>
      </c>
      <c r="E1150" s="5" t="s">
        <v>112</v>
      </c>
      <c r="F1150" s="6" t="s">
        <v>61</v>
      </c>
      <c r="G1150" s="4" t="s">
        <v>2</v>
      </c>
      <c r="H1150" s="25">
        <v>2307.25</v>
      </c>
      <c r="I1150" s="8">
        <v>101</v>
      </c>
      <c r="J1150" s="9">
        <v>101</v>
      </c>
      <c r="K1150" s="7">
        <v>0</v>
      </c>
      <c r="L1150" s="24">
        <f>+Tabla2[[#This Row],[Stock Inventario]]*Tabla2[[#This Row],[Coste LÃ­nea]]</f>
        <v>233032.25</v>
      </c>
      <c r="M1150" s="24">
        <f>+Tabla2[[#This Row],[Variación Stock]]*Tabla2[[#This Row],[Coste LÃ­nea]]</f>
        <v>0</v>
      </c>
      <c r="N1150" s="22" t="str">
        <f>+IF(Tabla2[[#This Row],[Variación Stock]]&gt;0,"Sobrante",IF(Tabla2[[#This Row],[Variación Stock]]&lt;0,"Faltante","Sin novedad"))</f>
        <v>Sin novedad</v>
      </c>
    </row>
    <row r="1151" spans="1:14" x14ac:dyDescent="0.25">
      <c r="A1151" s="11">
        <v>46044</v>
      </c>
      <c r="B1151" s="5" t="s">
        <v>358</v>
      </c>
      <c r="C1151" s="3" t="s">
        <v>128</v>
      </c>
      <c r="D1151" s="5" t="s">
        <v>118</v>
      </c>
      <c r="E1151" s="5" t="s">
        <v>112</v>
      </c>
      <c r="F1151" s="6" t="s">
        <v>171</v>
      </c>
      <c r="G1151" s="4" t="s">
        <v>2</v>
      </c>
      <c r="H1151" s="25">
        <v>113953</v>
      </c>
      <c r="I1151" s="8">
        <v>2</v>
      </c>
      <c r="J1151" s="9">
        <v>2</v>
      </c>
      <c r="K1151" s="7">
        <v>0</v>
      </c>
      <c r="L1151" s="24">
        <f>+Tabla2[[#This Row],[Stock Inventario]]*Tabla2[[#This Row],[Coste LÃ­nea]]</f>
        <v>227906</v>
      </c>
      <c r="M1151" s="24">
        <f>+Tabla2[[#This Row],[Variación Stock]]*Tabla2[[#This Row],[Coste LÃ­nea]]</f>
        <v>0</v>
      </c>
      <c r="N1151" s="22" t="str">
        <f>+IF(Tabla2[[#This Row],[Variación Stock]]&gt;0,"Sobrante",IF(Tabla2[[#This Row],[Variación Stock]]&lt;0,"Faltante","Sin novedad"))</f>
        <v>Sin novedad</v>
      </c>
    </row>
    <row r="1152" spans="1:14" x14ac:dyDescent="0.25">
      <c r="A1152" s="11">
        <v>46044</v>
      </c>
      <c r="B1152" s="5" t="s">
        <v>358</v>
      </c>
      <c r="C1152" s="3" t="s">
        <v>128</v>
      </c>
      <c r="D1152" s="5" t="s">
        <v>111</v>
      </c>
      <c r="E1152" s="5" t="s">
        <v>112</v>
      </c>
      <c r="F1152" s="6" t="s">
        <v>134</v>
      </c>
      <c r="G1152" s="4" t="s">
        <v>0</v>
      </c>
      <c r="H1152" s="25">
        <v>2902.5454545500002</v>
      </c>
      <c r="I1152" s="8">
        <v>26</v>
      </c>
      <c r="J1152" s="9">
        <v>25</v>
      </c>
      <c r="K1152" s="7">
        <v>-1</v>
      </c>
      <c r="L1152" s="24">
        <f>+Tabla2[[#This Row],[Stock Inventario]]*Tabla2[[#This Row],[Coste LÃ­nea]]</f>
        <v>72563.636363750004</v>
      </c>
      <c r="M1152" s="24">
        <f>+Tabla2[[#This Row],[Variación Stock]]*Tabla2[[#This Row],[Coste LÃ­nea]]</f>
        <v>-2902.5454545500002</v>
      </c>
      <c r="N1152" s="22" t="str">
        <f>+IF(Tabla2[[#This Row],[Variación Stock]]&gt;0,"Sobrante",IF(Tabla2[[#This Row],[Variación Stock]]&lt;0,"Faltante","Sin novedad"))</f>
        <v>Faltante</v>
      </c>
    </row>
    <row r="1153" spans="1:14" x14ac:dyDescent="0.25">
      <c r="A1153" s="11">
        <v>46044</v>
      </c>
      <c r="B1153" s="5" t="s">
        <v>358</v>
      </c>
      <c r="C1153" s="3" t="s">
        <v>128</v>
      </c>
      <c r="D1153" s="5" t="s">
        <v>118</v>
      </c>
      <c r="E1153" s="5" t="s">
        <v>112</v>
      </c>
      <c r="F1153" s="6" t="s">
        <v>90</v>
      </c>
      <c r="G1153" s="4" t="s">
        <v>81</v>
      </c>
      <c r="H1153" s="25">
        <v>4385.1400000000003</v>
      </c>
      <c r="I1153" s="8">
        <v>77</v>
      </c>
      <c r="J1153" s="9">
        <v>75</v>
      </c>
      <c r="K1153" s="7">
        <v>-2</v>
      </c>
      <c r="L1153" s="24">
        <f>+Tabla2[[#This Row],[Stock Inventario]]*Tabla2[[#This Row],[Coste LÃ­nea]]</f>
        <v>328885.5</v>
      </c>
      <c r="M1153" s="24">
        <f>+Tabla2[[#This Row],[Variación Stock]]*Tabla2[[#This Row],[Coste LÃ­nea]]</f>
        <v>-8770.2800000000007</v>
      </c>
      <c r="N1153" s="22" t="str">
        <f>+IF(Tabla2[[#This Row],[Variación Stock]]&gt;0,"Sobrante",IF(Tabla2[[#This Row],[Variación Stock]]&lt;0,"Faltante","Sin novedad"))</f>
        <v>Faltante</v>
      </c>
    </row>
    <row r="1154" spans="1:14" hidden="1" x14ac:dyDescent="0.25">
      <c r="A1154" s="11">
        <v>46037</v>
      </c>
      <c r="B1154" s="5" t="s">
        <v>127</v>
      </c>
      <c r="C1154" s="3" t="s">
        <v>128</v>
      </c>
      <c r="D1154" s="5" t="s">
        <v>120</v>
      </c>
      <c r="E1154" s="5" t="s">
        <v>117</v>
      </c>
      <c r="F1154" s="6" t="s">
        <v>203</v>
      </c>
      <c r="G1154" s="4" t="s">
        <v>2</v>
      </c>
      <c r="H1154" s="24">
        <v>1208.23675927</v>
      </c>
      <c r="I1154" s="8">
        <v>39</v>
      </c>
      <c r="J1154" s="9">
        <v>36</v>
      </c>
      <c r="K1154" s="15">
        <v>-3</v>
      </c>
      <c r="L1154" s="24">
        <f>+Tabla2[[#This Row],[Stock Inventario]]*Tabla2[[#This Row],[Coste LÃ­nea]]</f>
        <v>43496.523333719997</v>
      </c>
      <c r="M1154" s="24">
        <f>+Tabla2[[#This Row],[Variación Stock]]*Tabla2[[#This Row],[Coste LÃ­nea]]</f>
        <v>-3624.7102778099998</v>
      </c>
      <c r="N1154" s="22" t="str">
        <f>+IF(Tabla2[[#This Row],[Variación Stock]]&gt;0,"Sobrante",IF(Tabla2[[#This Row],[Variación Stock]]&lt;0,"Faltante","Sin novedad"))</f>
        <v>Faltante</v>
      </c>
    </row>
    <row r="1155" spans="1:14" hidden="1" x14ac:dyDescent="0.25">
      <c r="A1155" s="11">
        <v>46044</v>
      </c>
      <c r="B1155" s="5" t="s">
        <v>358</v>
      </c>
      <c r="C1155" s="3" t="s">
        <v>128</v>
      </c>
      <c r="D1155" s="5" t="s">
        <v>120</v>
      </c>
      <c r="E1155" s="5" t="s">
        <v>117</v>
      </c>
      <c r="F1155" s="6" t="s">
        <v>203</v>
      </c>
      <c r="G1155" s="4" t="s">
        <v>2</v>
      </c>
      <c r="H1155" s="25">
        <v>2521.1089014300001</v>
      </c>
      <c r="I1155" s="8">
        <v>29</v>
      </c>
      <c r="J1155" s="9">
        <v>27</v>
      </c>
      <c r="K1155" s="15">
        <v>-2</v>
      </c>
      <c r="L1155" s="24">
        <f>+Tabla2[[#This Row],[Stock Inventario]]*Tabla2[[#This Row],[Coste LÃ­nea]]</f>
        <v>68069.940338610002</v>
      </c>
      <c r="M1155" s="24">
        <f>+Tabla2[[#This Row],[Variación Stock]]*Tabla2[[#This Row],[Coste LÃ­nea]]</f>
        <v>-5042.2178028600001</v>
      </c>
      <c r="N1155" s="22" t="str">
        <f>+IF(Tabla2[[#This Row],[Variación Stock]]&gt;0,"Sobrante",IF(Tabla2[[#This Row],[Variación Stock]]&lt;0,"Faltante","Sin novedad"))</f>
        <v>Faltante</v>
      </c>
    </row>
    <row r="1156" spans="1:14" x14ac:dyDescent="0.25">
      <c r="A1156" s="11">
        <v>46044</v>
      </c>
      <c r="B1156" s="5" t="s">
        <v>358</v>
      </c>
      <c r="C1156" s="3" t="s">
        <v>128</v>
      </c>
      <c r="D1156" s="5" t="s">
        <v>111</v>
      </c>
      <c r="E1156" s="5" t="s">
        <v>112</v>
      </c>
      <c r="F1156" s="6" t="s">
        <v>46</v>
      </c>
      <c r="G1156" s="4" t="s">
        <v>0</v>
      </c>
      <c r="H1156" s="25">
        <v>2056.3333333300002</v>
      </c>
      <c r="I1156" s="8">
        <v>31</v>
      </c>
      <c r="J1156" s="9">
        <v>30</v>
      </c>
      <c r="K1156" s="7">
        <v>-1</v>
      </c>
      <c r="L1156" s="24">
        <f>+Tabla2[[#This Row],[Stock Inventario]]*Tabla2[[#This Row],[Coste LÃ­nea]]</f>
        <v>61689.999999900007</v>
      </c>
      <c r="M1156" s="24">
        <f>+Tabla2[[#This Row],[Variación Stock]]*Tabla2[[#This Row],[Coste LÃ­nea]]</f>
        <v>-2056.3333333300002</v>
      </c>
      <c r="N1156" s="22" t="str">
        <f>+IF(Tabla2[[#This Row],[Variación Stock]]&gt;0,"Sobrante",IF(Tabla2[[#This Row],[Variación Stock]]&lt;0,"Faltante","Sin novedad"))</f>
        <v>Faltante</v>
      </c>
    </row>
    <row r="1157" spans="1:14" x14ac:dyDescent="0.25">
      <c r="A1157" s="11">
        <v>46044</v>
      </c>
      <c r="B1157" s="5" t="s">
        <v>358</v>
      </c>
      <c r="C1157" s="3" t="s">
        <v>128</v>
      </c>
      <c r="D1157" s="5" t="s">
        <v>114</v>
      </c>
      <c r="E1157" s="5" t="s">
        <v>112</v>
      </c>
      <c r="F1157" s="6" t="s">
        <v>151</v>
      </c>
      <c r="G1157" s="4" t="s">
        <v>2</v>
      </c>
      <c r="H1157" s="25">
        <v>40936</v>
      </c>
      <c r="I1157" s="8">
        <v>6</v>
      </c>
      <c r="J1157" s="9">
        <v>5</v>
      </c>
      <c r="K1157" s="7">
        <v>-1</v>
      </c>
      <c r="L1157" s="24">
        <f>+Tabla2[[#This Row],[Stock Inventario]]*Tabla2[[#This Row],[Coste LÃ­nea]]</f>
        <v>204680</v>
      </c>
      <c r="M1157" s="24">
        <f>+Tabla2[[#This Row],[Variación Stock]]*Tabla2[[#This Row],[Coste LÃ­nea]]</f>
        <v>-40936</v>
      </c>
      <c r="N1157" s="22" t="str">
        <f>+IF(Tabla2[[#This Row],[Variación Stock]]&gt;0,"Sobrante",IF(Tabla2[[#This Row],[Variación Stock]]&lt;0,"Faltante","Sin novedad"))</f>
        <v>Faltante</v>
      </c>
    </row>
    <row r="1158" spans="1:14" x14ac:dyDescent="0.25">
      <c r="A1158" s="11">
        <v>46044</v>
      </c>
      <c r="B1158" s="5" t="s">
        <v>358</v>
      </c>
      <c r="C1158" s="3" t="s">
        <v>128</v>
      </c>
      <c r="D1158" s="5" t="s">
        <v>118</v>
      </c>
      <c r="E1158" s="5" t="s">
        <v>112</v>
      </c>
      <c r="F1158" s="6" t="s">
        <v>189</v>
      </c>
      <c r="G1158" s="4" t="s">
        <v>2</v>
      </c>
      <c r="H1158" s="25">
        <v>97685.185184999995</v>
      </c>
      <c r="I1158" s="8">
        <v>2</v>
      </c>
      <c r="J1158" s="9">
        <v>2</v>
      </c>
      <c r="K1158" s="7">
        <v>0</v>
      </c>
      <c r="L1158" s="24">
        <f>+Tabla2[[#This Row],[Stock Inventario]]*Tabla2[[#This Row],[Coste LÃ­nea]]</f>
        <v>195370.37036999999</v>
      </c>
      <c r="M1158" s="24">
        <f>+Tabla2[[#This Row],[Variación Stock]]*Tabla2[[#This Row],[Coste LÃ­nea]]</f>
        <v>0</v>
      </c>
      <c r="N1158" s="22" t="str">
        <f>+IF(Tabla2[[#This Row],[Variación Stock]]&gt;0,"Sobrante",IF(Tabla2[[#This Row],[Variación Stock]]&lt;0,"Faltante","Sin novedad"))</f>
        <v>Sin novedad</v>
      </c>
    </row>
    <row r="1159" spans="1:14" x14ac:dyDescent="0.25">
      <c r="A1159" s="11">
        <v>46044</v>
      </c>
      <c r="B1159" s="5" t="s">
        <v>358</v>
      </c>
      <c r="C1159" s="3" t="s">
        <v>128</v>
      </c>
      <c r="D1159" s="5" t="s">
        <v>118</v>
      </c>
      <c r="E1159" s="5" t="s">
        <v>112</v>
      </c>
      <c r="F1159" s="6" t="s">
        <v>80</v>
      </c>
      <c r="G1159" s="4" t="s">
        <v>2</v>
      </c>
      <c r="H1159" s="25">
        <v>95860</v>
      </c>
      <c r="I1159" s="8">
        <v>2</v>
      </c>
      <c r="J1159" s="9">
        <v>2</v>
      </c>
      <c r="K1159" s="7">
        <v>0</v>
      </c>
      <c r="L1159" s="24">
        <f>+Tabla2[[#This Row],[Stock Inventario]]*Tabla2[[#This Row],[Coste LÃ­nea]]</f>
        <v>191720</v>
      </c>
      <c r="M1159" s="24">
        <f>+Tabla2[[#This Row],[Variación Stock]]*Tabla2[[#This Row],[Coste LÃ­nea]]</f>
        <v>0</v>
      </c>
      <c r="N1159" s="22" t="str">
        <f>+IF(Tabla2[[#This Row],[Variación Stock]]&gt;0,"Sobrante",IF(Tabla2[[#This Row],[Variación Stock]]&lt;0,"Faltante","Sin novedad"))</f>
        <v>Sin novedad</v>
      </c>
    </row>
    <row r="1160" spans="1:14" x14ac:dyDescent="0.25">
      <c r="A1160" s="11">
        <v>46044</v>
      </c>
      <c r="B1160" s="5" t="s">
        <v>358</v>
      </c>
      <c r="C1160" s="3" t="s">
        <v>128</v>
      </c>
      <c r="D1160" s="5" t="s">
        <v>114</v>
      </c>
      <c r="E1160" s="5" t="s">
        <v>112</v>
      </c>
      <c r="F1160" s="6" t="s">
        <v>69</v>
      </c>
      <c r="G1160" s="4" t="s">
        <v>2</v>
      </c>
      <c r="H1160" s="25">
        <v>5133.6666666700003</v>
      </c>
      <c r="I1160" s="8">
        <v>4.7</v>
      </c>
      <c r="J1160" s="9">
        <v>18</v>
      </c>
      <c r="K1160" s="7">
        <v>1.3</v>
      </c>
      <c r="L1160" s="24">
        <f>+Tabla2[[#This Row],[Stock Inventario]]*Tabla2[[#This Row],[Coste LÃ­nea]]</f>
        <v>92406.000000060012</v>
      </c>
      <c r="M1160" s="24">
        <f>+Tabla2[[#This Row],[Variación Stock]]*Tabla2[[#This Row],[Coste LÃ­nea]]</f>
        <v>6673.7666666710002</v>
      </c>
      <c r="N1160" s="22" t="str">
        <f>+IF(Tabla2[[#This Row],[Variación Stock]]&gt;0,"Sobrante",IF(Tabla2[[#This Row],[Variación Stock]]&lt;0,"Faltante","Sin novedad"))</f>
        <v>Sobrante</v>
      </c>
    </row>
    <row r="1161" spans="1:14" x14ac:dyDescent="0.25">
      <c r="A1161" s="11">
        <v>46044</v>
      </c>
      <c r="B1161" s="5" t="s">
        <v>358</v>
      </c>
      <c r="C1161" s="3" t="s">
        <v>128</v>
      </c>
      <c r="D1161" s="5" t="s">
        <v>118</v>
      </c>
      <c r="E1161" s="5" t="s">
        <v>112</v>
      </c>
      <c r="F1161" s="6" t="s">
        <v>82</v>
      </c>
      <c r="G1161" s="4" t="s">
        <v>2</v>
      </c>
      <c r="H1161" s="25">
        <v>63372.666666669997</v>
      </c>
      <c r="I1161" s="8">
        <v>3</v>
      </c>
      <c r="J1161" s="9">
        <v>3</v>
      </c>
      <c r="K1161" s="7">
        <v>0</v>
      </c>
      <c r="L1161" s="24">
        <f>+Tabla2[[#This Row],[Stock Inventario]]*Tabla2[[#This Row],[Coste LÃ­nea]]</f>
        <v>190118.00000000998</v>
      </c>
      <c r="M1161" s="24">
        <f>+Tabla2[[#This Row],[Variación Stock]]*Tabla2[[#This Row],[Coste LÃ­nea]]</f>
        <v>0</v>
      </c>
      <c r="N1161" s="22" t="str">
        <f>+IF(Tabla2[[#This Row],[Variación Stock]]&gt;0,"Sobrante",IF(Tabla2[[#This Row],[Variación Stock]]&lt;0,"Faltante","Sin novedad"))</f>
        <v>Sin novedad</v>
      </c>
    </row>
    <row r="1162" spans="1:14" x14ac:dyDescent="0.25">
      <c r="A1162" s="11">
        <v>46044</v>
      </c>
      <c r="B1162" s="5" t="s">
        <v>358</v>
      </c>
      <c r="C1162" s="3" t="s">
        <v>128</v>
      </c>
      <c r="D1162" s="5" t="s">
        <v>111</v>
      </c>
      <c r="E1162" s="5" t="s">
        <v>112</v>
      </c>
      <c r="F1162" s="6" t="s">
        <v>28</v>
      </c>
      <c r="G1162" s="4" t="s">
        <v>2</v>
      </c>
      <c r="H1162" s="25">
        <v>93956</v>
      </c>
      <c r="I1162" s="8">
        <v>2</v>
      </c>
      <c r="J1162" s="9">
        <v>2</v>
      </c>
      <c r="K1162" s="7">
        <v>0</v>
      </c>
      <c r="L1162" s="24">
        <f>+Tabla2[[#This Row],[Stock Inventario]]*Tabla2[[#This Row],[Coste LÃ­nea]]</f>
        <v>187912</v>
      </c>
      <c r="M1162" s="24">
        <f>+Tabla2[[#This Row],[Variación Stock]]*Tabla2[[#This Row],[Coste LÃ­nea]]</f>
        <v>0</v>
      </c>
      <c r="N1162" s="22" t="str">
        <f>+IF(Tabla2[[#This Row],[Variación Stock]]&gt;0,"Sobrante",IF(Tabla2[[#This Row],[Variación Stock]]&lt;0,"Faltante","Sin novedad"))</f>
        <v>Sin novedad</v>
      </c>
    </row>
    <row r="1163" spans="1:14" x14ac:dyDescent="0.25">
      <c r="A1163" s="11">
        <v>46044</v>
      </c>
      <c r="B1163" s="5" t="s">
        <v>358</v>
      </c>
      <c r="C1163" s="3" t="s">
        <v>128</v>
      </c>
      <c r="D1163" s="5" t="s">
        <v>122</v>
      </c>
      <c r="E1163" s="5" t="s">
        <v>112</v>
      </c>
      <c r="F1163" s="6" t="s">
        <v>99</v>
      </c>
      <c r="G1163" s="4" t="s">
        <v>2</v>
      </c>
      <c r="H1163" s="25">
        <v>7330</v>
      </c>
      <c r="I1163" s="8">
        <v>24</v>
      </c>
      <c r="J1163" s="9">
        <v>24</v>
      </c>
      <c r="K1163" s="7">
        <v>0</v>
      </c>
      <c r="L1163" s="24">
        <f>+Tabla2[[#This Row],[Stock Inventario]]*Tabla2[[#This Row],[Coste LÃ­nea]]</f>
        <v>175920</v>
      </c>
      <c r="M1163" s="24">
        <f>+Tabla2[[#This Row],[Variación Stock]]*Tabla2[[#This Row],[Coste LÃ­nea]]</f>
        <v>0</v>
      </c>
      <c r="N1163" s="22" t="str">
        <f>+IF(Tabla2[[#This Row],[Variación Stock]]&gt;0,"Sobrante",IF(Tabla2[[#This Row],[Variación Stock]]&lt;0,"Faltante","Sin novedad"))</f>
        <v>Sin novedad</v>
      </c>
    </row>
    <row r="1164" spans="1:14" x14ac:dyDescent="0.25">
      <c r="A1164" s="11">
        <v>46044</v>
      </c>
      <c r="B1164" s="5" t="s">
        <v>358</v>
      </c>
      <c r="C1164" s="3" t="s">
        <v>128</v>
      </c>
      <c r="D1164" s="5" t="s">
        <v>114</v>
      </c>
      <c r="E1164" s="5" t="s">
        <v>112</v>
      </c>
      <c r="F1164" s="6" t="s">
        <v>60</v>
      </c>
      <c r="G1164" s="4" t="s">
        <v>2</v>
      </c>
      <c r="H1164" s="25">
        <v>2136.7111111099998</v>
      </c>
      <c r="I1164" s="8">
        <v>106</v>
      </c>
      <c r="J1164" s="9">
        <v>101</v>
      </c>
      <c r="K1164" s="7">
        <f>+Tabla2[[#This Row],[Stock Inventario]]-Tabla2[[#This Row],[Stock a Fecha]]</f>
        <v>-5</v>
      </c>
      <c r="L1164" s="24">
        <f>+Tabla2[[#This Row],[Stock Inventario]]*Tabla2[[#This Row],[Coste LÃ­nea]]</f>
        <v>215807.82222210997</v>
      </c>
      <c r="M1164" s="24">
        <f>+Tabla2[[#This Row],[Variación Stock]]*Tabla2[[#This Row],[Coste LÃ­nea]]</f>
        <v>-10683.55555555</v>
      </c>
      <c r="N1164" s="22" t="str">
        <f>+IF(Tabla2[[#This Row],[Variación Stock]]&gt;0,"Sobrante",IF(Tabla2[[#This Row],[Variación Stock]]&lt;0,"Faltante","Sin novedad"))</f>
        <v>Faltante</v>
      </c>
    </row>
    <row r="1165" spans="1:14" x14ac:dyDescent="0.25">
      <c r="A1165" s="11">
        <v>46044</v>
      </c>
      <c r="B1165" s="5" t="s">
        <v>358</v>
      </c>
      <c r="C1165" s="3" t="s">
        <v>128</v>
      </c>
      <c r="D1165" s="5" t="s">
        <v>118</v>
      </c>
      <c r="E1165" s="5" t="s">
        <v>112</v>
      </c>
      <c r="F1165" s="6" t="s">
        <v>165</v>
      </c>
      <c r="G1165" s="4" t="s">
        <v>2</v>
      </c>
      <c r="H1165" s="25">
        <v>87226.89</v>
      </c>
      <c r="I1165" s="8">
        <v>2</v>
      </c>
      <c r="J1165" s="9">
        <v>2</v>
      </c>
      <c r="K1165" s="7">
        <v>0</v>
      </c>
      <c r="L1165" s="24">
        <f>+Tabla2[[#This Row],[Stock Inventario]]*Tabla2[[#This Row],[Coste LÃ­nea]]</f>
        <v>174453.78</v>
      </c>
      <c r="M1165" s="24">
        <f>+Tabla2[[#This Row],[Variación Stock]]*Tabla2[[#This Row],[Coste LÃ­nea]]</f>
        <v>0</v>
      </c>
      <c r="N1165" s="22" t="str">
        <f>+IF(Tabla2[[#This Row],[Variación Stock]]&gt;0,"Sobrante",IF(Tabla2[[#This Row],[Variación Stock]]&lt;0,"Faltante","Sin novedad"))</f>
        <v>Sin novedad</v>
      </c>
    </row>
    <row r="1166" spans="1:14" x14ac:dyDescent="0.25">
      <c r="A1166" s="11">
        <v>46044</v>
      </c>
      <c r="B1166" s="5" t="s">
        <v>358</v>
      </c>
      <c r="C1166" s="3" t="s">
        <v>128</v>
      </c>
      <c r="D1166" s="5" t="s">
        <v>111</v>
      </c>
      <c r="E1166" s="5" t="s">
        <v>112</v>
      </c>
      <c r="F1166" s="6" t="s">
        <v>38</v>
      </c>
      <c r="G1166" s="4" t="s">
        <v>0</v>
      </c>
      <c r="H1166" s="25">
        <v>2244.5833333300002</v>
      </c>
      <c r="I1166" s="8">
        <v>5</v>
      </c>
      <c r="J1166" s="9">
        <v>4</v>
      </c>
      <c r="K1166" s="7">
        <v>-1</v>
      </c>
      <c r="L1166" s="24">
        <f>+Tabla2[[#This Row],[Stock Inventario]]*Tabla2[[#This Row],[Coste LÃ­nea]]</f>
        <v>8978.3333333200007</v>
      </c>
      <c r="M1166" s="24">
        <f>+Tabla2[[#This Row],[Variación Stock]]*Tabla2[[#This Row],[Coste LÃ­nea]]</f>
        <v>-2244.5833333300002</v>
      </c>
      <c r="N1166" s="22" t="str">
        <f>+IF(Tabla2[[#This Row],[Variación Stock]]&gt;0,"Sobrante",IF(Tabla2[[#This Row],[Variación Stock]]&lt;0,"Faltante","Sin novedad"))</f>
        <v>Faltante</v>
      </c>
    </row>
    <row r="1167" spans="1:14" x14ac:dyDescent="0.25">
      <c r="A1167" s="11">
        <v>46044</v>
      </c>
      <c r="B1167" s="5" t="s">
        <v>358</v>
      </c>
      <c r="C1167" s="3" t="s">
        <v>128</v>
      </c>
      <c r="D1167" s="5" t="s">
        <v>111</v>
      </c>
      <c r="E1167" s="5" t="s">
        <v>112</v>
      </c>
      <c r="F1167" s="6" t="s">
        <v>27</v>
      </c>
      <c r="G1167" s="4" t="s">
        <v>0</v>
      </c>
      <c r="H1167" s="25">
        <v>6500</v>
      </c>
      <c r="I1167" s="8">
        <v>26.34</v>
      </c>
      <c r="J1167" s="9">
        <v>26</v>
      </c>
      <c r="K1167" s="7">
        <v>-0.34</v>
      </c>
      <c r="L1167" s="24">
        <f>+Tabla2[[#This Row],[Stock Inventario]]*Tabla2[[#This Row],[Coste LÃ­nea]]</f>
        <v>169000</v>
      </c>
      <c r="M1167" s="24">
        <f>+Tabla2[[#This Row],[Variación Stock]]*Tabla2[[#This Row],[Coste LÃ­nea]]</f>
        <v>-2210</v>
      </c>
      <c r="N1167" s="22" t="str">
        <f>+IF(Tabla2[[#This Row],[Variación Stock]]&gt;0,"Sobrante",IF(Tabla2[[#This Row],[Variación Stock]]&lt;0,"Faltante","Sin novedad"))</f>
        <v>Faltante</v>
      </c>
    </row>
    <row r="1168" spans="1:14" x14ac:dyDescent="0.25">
      <c r="A1168" s="11">
        <v>46037</v>
      </c>
      <c r="B1168" s="5" t="s">
        <v>127</v>
      </c>
      <c r="C1168" s="3" t="s">
        <v>128</v>
      </c>
      <c r="D1168" s="5" t="s">
        <v>122</v>
      </c>
      <c r="E1168" s="5" t="s">
        <v>112</v>
      </c>
      <c r="F1168" s="6" t="s">
        <v>106</v>
      </c>
      <c r="G1168" s="4" t="s">
        <v>2</v>
      </c>
      <c r="H1168" s="24">
        <v>3458.25</v>
      </c>
      <c r="I1168" s="8">
        <v>12</v>
      </c>
      <c r="J1168" s="9">
        <v>11</v>
      </c>
      <c r="K1168" s="29">
        <v>-1</v>
      </c>
      <c r="L1168" s="24">
        <f>+Tabla2[[#This Row],[Stock Inventario]]*Tabla2[[#This Row],[Coste LÃ­nea]]</f>
        <v>38040.75</v>
      </c>
      <c r="M1168" s="24">
        <f>+Tabla2[[#This Row],[Variación Stock]]*Tabla2[[#This Row],[Coste LÃ­nea]]</f>
        <v>-3458.25</v>
      </c>
      <c r="N1168" s="22" t="str">
        <f>+IF(Tabla2[[#This Row],[Variación Stock]]&gt;0,"Sobrante",IF(Tabla2[[#This Row],[Variación Stock]]&lt;0,"Faltante","Sin novedad"))</f>
        <v>Faltante</v>
      </c>
    </row>
    <row r="1169" spans="1:14" hidden="1" x14ac:dyDescent="0.25">
      <c r="A1169" s="11">
        <v>46044</v>
      </c>
      <c r="B1169" s="5" t="s">
        <v>358</v>
      </c>
      <c r="C1169" s="3" t="s">
        <v>128</v>
      </c>
      <c r="D1169" s="5" t="s">
        <v>120</v>
      </c>
      <c r="E1169" s="5" t="s">
        <v>117</v>
      </c>
      <c r="F1169" s="6" t="s">
        <v>371</v>
      </c>
      <c r="G1169" s="4" t="s">
        <v>2</v>
      </c>
      <c r="H1169" s="25">
        <v>1617.07339121</v>
      </c>
      <c r="I1169" s="8">
        <v>30</v>
      </c>
      <c r="J1169" s="9">
        <v>31</v>
      </c>
      <c r="K1169" s="7">
        <v>1</v>
      </c>
      <c r="L1169" s="24">
        <f>+Tabla2[[#This Row],[Stock Inventario]]*Tabla2[[#This Row],[Coste LÃ­nea]]</f>
        <v>50129.275127510002</v>
      </c>
      <c r="M1169" s="24">
        <f>+Tabla2[[#This Row],[Variación Stock]]*Tabla2[[#This Row],[Coste LÃ­nea]]</f>
        <v>1617.07339121</v>
      </c>
      <c r="N1169" s="22" t="str">
        <f>+IF(Tabla2[[#This Row],[Variación Stock]]&gt;0,"Sobrante",IF(Tabla2[[#This Row],[Variación Stock]]&lt;0,"Faltante","Sin novedad"))</f>
        <v>Sobrante</v>
      </c>
    </row>
    <row r="1170" spans="1:14" x14ac:dyDescent="0.25">
      <c r="A1170" s="11">
        <v>46044</v>
      </c>
      <c r="B1170" s="5" t="s">
        <v>358</v>
      </c>
      <c r="C1170" s="3" t="s">
        <v>128</v>
      </c>
      <c r="D1170" s="5" t="s">
        <v>118</v>
      </c>
      <c r="E1170" s="5" t="s">
        <v>112</v>
      </c>
      <c r="F1170" s="6" t="s">
        <v>89</v>
      </c>
      <c r="G1170" s="4" t="s">
        <v>81</v>
      </c>
      <c r="H1170" s="25">
        <v>4002.6</v>
      </c>
      <c r="I1170" s="8">
        <v>41</v>
      </c>
      <c r="J1170" s="9">
        <v>41</v>
      </c>
      <c r="K1170" s="7">
        <v>0</v>
      </c>
      <c r="L1170" s="24">
        <f>+Tabla2[[#This Row],[Stock Inventario]]*Tabla2[[#This Row],[Coste LÃ­nea]]</f>
        <v>164106.6</v>
      </c>
      <c r="M1170" s="24">
        <f>+Tabla2[[#This Row],[Variación Stock]]*Tabla2[[#This Row],[Coste LÃ­nea]]</f>
        <v>0</v>
      </c>
      <c r="N1170" s="22" t="str">
        <f>+IF(Tabla2[[#This Row],[Variación Stock]]&gt;0,"Sobrante",IF(Tabla2[[#This Row],[Variación Stock]]&lt;0,"Faltante","Sin novedad"))</f>
        <v>Sin novedad</v>
      </c>
    </row>
    <row r="1171" spans="1:14" x14ac:dyDescent="0.25">
      <c r="A1171" s="11">
        <v>46044</v>
      </c>
      <c r="B1171" s="5" t="s">
        <v>358</v>
      </c>
      <c r="C1171" s="3" t="s">
        <v>128</v>
      </c>
      <c r="D1171" s="5" t="s">
        <v>118</v>
      </c>
      <c r="E1171" s="5" t="s">
        <v>112</v>
      </c>
      <c r="F1171" s="6" t="s">
        <v>178</v>
      </c>
      <c r="G1171" s="4" t="s">
        <v>2</v>
      </c>
      <c r="H1171" s="25">
        <v>80870</v>
      </c>
      <c r="I1171" s="8">
        <v>2</v>
      </c>
      <c r="J1171" s="9">
        <v>2</v>
      </c>
      <c r="K1171" s="7">
        <v>0</v>
      </c>
      <c r="L1171" s="24">
        <f>+Tabla2[[#This Row],[Stock Inventario]]*Tabla2[[#This Row],[Coste LÃ­nea]]</f>
        <v>161740</v>
      </c>
      <c r="M1171" s="24">
        <f>+Tabla2[[#This Row],[Variación Stock]]*Tabla2[[#This Row],[Coste LÃ­nea]]</f>
        <v>0</v>
      </c>
      <c r="N1171" s="22" t="str">
        <f>+IF(Tabla2[[#This Row],[Variación Stock]]&gt;0,"Sobrante",IF(Tabla2[[#This Row],[Variación Stock]]&lt;0,"Faltante","Sin novedad"))</f>
        <v>Sin novedad</v>
      </c>
    </row>
    <row r="1172" spans="1:14" x14ac:dyDescent="0.25">
      <c r="A1172" s="11">
        <v>46044</v>
      </c>
      <c r="B1172" s="5" t="s">
        <v>358</v>
      </c>
      <c r="C1172" s="3" t="s">
        <v>128</v>
      </c>
      <c r="D1172" s="5" t="s">
        <v>118</v>
      </c>
      <c r="E1172" s="5" t="s">
        <v>112</v>
      </c>
      <c r="F1172" s="6" t="s">
        <v>180</v>
      </c>
      <c r="G1172" s="4" t="s">
        <v>2</v>
      </c>
      <c r="H1172" s="25">
        <v>80870</v>
      </c>
      <c r="I1172" s="8">
        <v>2</v>
      </c>
      <c r="J1172" s="9">
        <v>2</v>
      </c>
      <c r="K1172" s="7">
        <v>0</v>
      </c>
      <c r="L1172" s="24">
        <f>+Tabla2[[#This Row],[Stock Inventario]]*Tabla2[[#This Row],[Coste LÃ­nea]]</f>
        <v>161740</v>
      </c>
      <c r="M1172" s="24">
        <f>+Tabla2[[#This Row],[Variación Stock]]*Tabla2[[#This Row],[Coste LÃ­nea]]</f>
        <v>0</v>
      </c>
      <c r="N1172" s="22" t="str">
        <f>+IF(Tabla2[[#This Row],[Variación Stock]]&gt;0,"Sobrante",IF(Tabla2[[#This Row],[Variación Stock]]&lt;0,"Faltante","Sin novedad"))</f>
        <v>Sin novedad</v>
      </c>
    </row>
    <row r="1173" spans="1:14" x14ac:dyDescent="0.25">
      <c r="A1173" s="11">
        <v>46037</v>
      </c>
      <c r="B1173" s="5" t="s">
        <v>127</v>
      </c>
      <c r="C1173" s="3" t="s">
        <v>128</v>
      </c>
      <c r="D1173" s="5" t="s">
        <v>111</v>
      </c>
      <c r="E1173" s="5" t="s">
        <v>112</v>
      </c>
      <c r="F1173" s="6" t="s">
        <v>27</v>
      </c>
      <c r="G1173" s="4" t="s">
        <v>0</v>
      </c>
      <c r="H1173" s="24">
        <v>6500</v>
      </c>
      <c r="I1173" s="8">
        <v>42.35</v>
      </c>
      <c r="J1173" s="9">
        <v>41</v>
      </c>
      <c r="K1173" s="7">
        <v>-1.35</v>
      </c>
      <c r="L1173" s="24">
        <f>+Tabla2[[#This Row],[Stock Inventario]]*Tabla2[[#This Row],[Coste LÃ­nea]]</f>
        <v>266500</v>
      </c>
      <c r="M1173" s="24">
        <f>+Tabla2[[#This Row],[Variación Stock]]*Tabla2[[#This Row],[Coste LÃ­nea]]</f>
        <v>-8775</v>
      </c>
      <c r="N1173" s="22" t="str">
        <f>+IF(Tabla2[[#This Row],[Variación Stock]]&gt;0,"Sobrante",IF(Tabla2[[#This Row],[Variación Stock]]&lt;0,"Faltante","Sin novedad"))</f>
        <v>Faltante</v>
      </c>
    </row>
    <row r="1174" spans="1:14" x14ac:dyDescent="0.25">
      <c r="A1174" s="11">
        <v>46044</v>
      </c>
      <c r="B1174" s="5" t="s">
        <v>358</v>
      </c>
      <c r="C1174" s="3" t="s">
        <v>128</v>
      </c>
      <c r="D1174" s="5" t="s">
        <v>115</v>
      </c>
      <c r="E1174" s="5" t="s">
        <v>112</v>
      </c>
      <c r="F1174" s="6" t="s">
        <v>78</v>
      </c>
      <c r="G1174" s="4" t="s">
        <v>2</v>
      </c>
      <c r="H1174" s="25">
        <v>3416.64355742</v>
      </c>
      <c r="I1174" s="8">
        <v>0</v>
      </c>
      <c r="J1174" s="9">
        <v>0</v>
      </c>
      <c r="K1174" s="7">
        <v>0</v>
      </c>
      <c r="L1174" s="24">
        <f>+Tabla2[[#This Row],[Stock Inventario]]*Tabla2[[#This Row],[Coste LÃ­nea]]</f>
        <v>0</v>
      </c>
      <c r="M1174" s="24">
        <f>+Tabla2[[#This Row],[Variación Stock]]*Tabla2[[#This Row],[Coste LÃ­nea]]</f>
        <v>0</v>
      </c>
      <c r="N1174" s="22" t="str">
        <f>+IF(Tabla2[[#This Row],[Variación Stock]]&gt;0,"Sobrante",IF(Tabla2[[#This Row],[Variación Stock]]&lt;0,"Faltante","Sin novedad"))</f>
        <v>Sin novedad</v>
      </c>
    </row>
    <row r="1175" spans="1:14" x14ac:dyDescent="0.25">
      <c r="A1175" s="11">
        <v>46037</v>
      </c>
      <c r="B1175" s="5" t="s">
        <v>127</v>
      </c>
      <c r="C1175" s="3" t="s">
        <v>128</v>
      </c>
      <c r="D1175" s="5" t="s">
        <v>111</v>
      </c>
      <c r="E1175" s="5" t="s">
        <v>112</v>
      </c>
      <c r="F1175" s="6" t="s">
        <v>31</v>
      </c>
      <c r="G1175" s="4" t="s">
        <v>0</v>
      </c>
      <c r="H1175" s="24">
        <v>6774.5454545499997</v>
      </c>
      <c r="I1175" s="8">
        <v>37.36</v>
      </c>
      <c r="J1175" s="9">
        <v>36</v>
      </c>
      <c r="K1175" s="7">
        <v>-1.36</v>
      </c>
      <c r="L1175" s="24">
        <f>+Tabla2[[#This Row],[Stock Inventario]]*Tabla2[[#This Row],[Coste LÃ­nea]]</f>
        <v>243883.63636379997</v>
      </c>
      <c r="M1175" s="24">
        <f>+Tabla2[[#This Row],[Variación Stock]]*Tabla2[[#This Row],[Coste LÃ­nea]]</f>
        <v>-9213.3818181879997</v>
      </c>
      <c r="N1175" s="22" t="str">
        <f>+IF(Tabla2[[#This Row],[Variación Stock]]&gt;0,"Sobrante",IF(Tabla2[[#This Row],[Variación Stock]]&lt;0,"Faltante","Sin novedad"))</f>
        <v>Faltante</v>
      </c>
    </row>
    <row r="1176" spans="1:14" x14ac:dyDescent="0.25">
      <c r="A1176" s="11">
        <v>46044</v>
      </c>
      <c r="B1176" s="5" t="s">
        <v>358</v>
      </c>
      <c r="C1176" s="3" t="s">
        <v>128</v>
      </c>
      <c r="D1176" s="5" t="s">
        <v>118</v>
      </c>
      <c r="E1176" s="5" t="s">
        <v>112</v>
      </c>
      <c r="F1176" s="6" t="s">
        <v>175</v>
      </c>
      <c r="G1176" s="4" t="s">
        <v>2</v>
      </c>
      <c r="H1176" s="25">
        <v>75606</v>
      </c>
      <c r="I1176" s="8">
        <v>2</v>
      </c>
      <c r="J1176" s="9">
        <v>2</v>
      </c>
      <c r="K1176" s="7">
        <v>0</v>
      </c>
      <c r="L1176" s="24">
        <f>+Tabla2[[#This Row],[Stock Inventario]]*Tabla2[[#This Row],[Coste LÃ­nea]]</f>
        <v>151212</v>
      </c>
      <c r="M1176" s="24">
        <f>+Tabla2[[#This Row],[Variación Stock]]*Tabla2[[#This Row],[Coste LÃ­nea]]</f>
        <v>0</v>
      </c>
      <c r="N1176" s="22" t="str">
        <f>+IF(Tabla2[[#This Row],[Variación Stock]]&gt;0,"Sobrante",IF(Tabla2[[#This Row],[Variación Stock]]&lt;0,"Faltante","Sin novedad"))</f>
        <v>Sin novedad</v>
      </c>
    </row>
    <row r="1177" spans="1:14" x14ac:dyDescent="0.25">
      <c r="A1177" s="11">
        <v>46044</v>
      </c>
      <c r="B1177" s="5" t="s">
        <v>358</v>
      </c>
      <c r="C1177" s="3" t="s">
        <v>128</v>
      </c>
      <c r="D1177" s="5" t="s">
        <v>122</v>
      </c>
      <c r="E1177" s="5" t="s">
        <v>112</v>
      </c>
      <c r="F1177" s="6" t="s">
        <v>97</v>
      </c>
      <c r="G1177" s="4" t="s">
        <v>2</v>
      </c>
      <c r="H1177" s="25">
        <v>1234.3916666699999</v>
      </c>
      <c r="I1177" s="8">
        <v>122</v>
      </c>
      <c r="J1177" s="9">
        <v>122</v>
      </c>
      <c r="K1177" s="7">
        <v>0</v>
      </c>
      <c r="L1177" s="24">
        <f>+Tabla2[[#This Row],[Stock Inventario]]*Tabla2[[#This Row],[Coste LÃ­nea]]</f>
        <v>150595.78333373999</v>
      </c>
      <c r="M1177" s="24">
        <f>+Tabla2[[#This Row],[Variación Stock]]*Tabla2[[#This Row],[Coste LÃ­nea]]</f>
        <v>0</v>
      </c>
      <c r="N1177" s="22" t="str">
        <f>+IF(Tabla2[[#This Row],[Variación Stock]]&gt;0,"Sobrante",IF(Tabla2[[#This Row],[Variación Stock]]&lt;0,"Faltante","Sin novedad"))</f>
        <v>Sin novedad</v>
      </c>
    </row>
    <row r="1178" spans="1:14" x14ac:dyDescent="0.25">
      <c r="A1178" s="11">
        <v>46044</v>
      </c>
      <c r="B1178" s="5" t="s">
        <v>358</v>
      </c>
      <c r="C1178" s="3" t="s">
        <v>128</v>
      </c>
      <c r="D1178" s="5" t="s">
        <v>111</v>
      </c>
      <c r="E1178" s="5" t="s">
        <v>112</v>
      </c>
      <c r="F1178" s="6" t="s">
        <v>49</v>
      </c>
      <c r="G1178" s="4" t="s">
        <v>2</v>
      </c>
      <c r="H1178" s="25">
        <v>23367</v>
      </c>
      <c r="I1178" s="8">
        <v>6</v>
      </c>
      <c r="J1178" s="9">
        <v>6</v>
      </c>
      <c r="K1178" s="7">
        <v>0</v>
      </c>
      <c r="L1178" s="24">
        <f>+Tabla2[[#This Row],[Stock Inventario]]*Tabla2[[#This Row],[Coste LÃ­nea]]</f>
        <v>140202</v>
      </c>
      <c r="M1178" s="24">
        <f>+Tabla2[[#This Row],[Variación Stock]]*Tabla2[[#This Row],[Coste LÃ­nea]]</f>
        <v>0</v>
      </c>
      <c r="N1178" s="22" t="str">
        <f>+IF(Tabla2[[#This Row],[Variación Stock]]&gt;0,"Sobrante",IF(Tabla2[[#This Row],[Variación Stock]]&lt;0,"Faltante","Sin novedad"))</f>
        <v>Sin novedad</v>
      </c>
    </row>
    <row r="1179" spans="1:14" hidden="1" x14ac:dyDescent="0.25">
      <c r="A1179" s="11">
        <v>46037</v>
      </c>
      <c r="B1179" s="5" t="s">
        <v>127</v>
      </c>
      <c r="C1179" s="3" t="s">
        <v>128</v>
      </c>
      <c r="D1179" s="5" t="s">
        <v>120</v>
      </c>
      <c r="E1179" s="5" t="s">
        <v>117</v>
      </c>
      <c r="F1179" s="6" t="s">
        <v>204</v>
      </c>
      <c r="G1179" s="4" t="s">
        <v>2</v>
      </c>
      <c r="H1179" s="24">
        <v>9012.5149443999999</v>
      </c>
      <c r="I1179" s="8">
        <v>65.05</v>
      </c>
      <c r="J1179" s="9">
        <v>95</v>
      </c>
      <c r="K1179" s="7">
        <v>29.95</v>
      </c>
      <c r="L1179" s="24">
        <f>+Tabla2[[#This Row],[Stock Inventario]]*Tabla2[[#This Row],[Coste LÃ­nea]]</f>
        <v>856188.91971799999</v>
      </c>
      <c r="M1179" s="24">
        <f>+Tabla2[[#This Row],[Variación Stock]]*Tabla2[[#This Row],[Coste LÃ­nea]]</f>
        <v>269924.82258477999</v>
      </c>
      <c r="N1179" s="22" t="str">
        <f>+IF(Tabla2[[#This Row],[Variación Stock]]&gt;0,"Sobrante",IF(Tabla2[[#This Row],[Variación Stock]]&lt;0,"Faltante","Sin novedad"))</f>
        <v>Sobrante</v>
      </c>
    </row>
    <row r="1180" spans="1:14" hidden="1" x14ac:dyDescent="0.25">
      <c r="A1180" s="11">
        <v>46044</v>
      </c>
      <c r="B1180" s="5" t="s">
        <v>358</v>
      </c>
      <c r="C1180" s="3" t="s">
        <v>128</v>
      </c>
      <c r="D1180" s="5" t="s">
        <v>120</v>
      </c>
      <c r="E1180" s="5" t="s">
        <v>117</v>
      </c>
      <c r="F1180" s="6" t="s">
        <v>204</v>
      </c>
      <c r="G1180" s="4" t="s">
        <v>2</v>
      </c>
      <c r="H1180" s="25">
        <v>8916.9214673299994</v>
      </c>
      <c r="I1180" s="8">
        <v>63.9</v>
      </c>
      <c r="J1180" s="9">
        <v>63</v>
      </c>
      <c r="K1180" s="15">
        <v>-0.9</v>
      </c>
      <c r="L1180" s="24">
        <f>+Tabla2[[#This Row],[Stock Inventario]]*Tabla2[[#This Row],[Coste LÃ­nea]]</f>
        <v>561766.05244179</v>
      </c>
      <c r="M1180" s="24">
        <f>+Tabla2[[#This Row],[Variación Stock]]*Tabla2[[#This Row],[Coste LÃ­nea]]</f>
        <v>-8025.229320597</v>
      </c>
      <c r="N1180" s="22" t="str">
        <f>+IF(Tabla2[[#This Row],[Variación Stock]]&gt;0,"Sobrante",IF(Tabla2[[#This Row],[Variación Stock]]&lt;0,"Faltante","Sin novedad"))</f>
        <v>Faltante</v>
      </c>
    </row>
    <row r="1181" spans="1:14" x14ac:dyDescent="0.25">
      <c r="A1181" s="11">
        <v>46044</v>
      </c>
      <c r="B1181" s="5" t="s">
        <v>358</v>
      </c>
      <c r="C1181" s="3" t="s">
        <v>128</v>
      </c>
      <c r="D1181" s="5" t="s">
        <v>111</v>
      </c>
      <c r="E1181" s="5" t="s">
        <v>112</v>
      </c>
      <c r="F1181" s="6" t="s">
        <v>16</v>
      </c>
      <c r="G1181" s="4" t="s">
        <v>0</v>
      </c>
      <c r="H1181" s="25">
        <v>3362.90625</v>
      </c>
      <c r="I1181" s="8">
        <v>41</v>
      </c>
      <c r="J1181" s="9">
        <v>41</v>
      </c>
      <c r="K1181" s="7">
        <v>0</v>
      </c>
      <c r="L1181" s="24">
        <f>+Tabla2[[#This Row],[Stock Inventario]]*Tabla2[[#This Row],[Coste LÃ­nea]]</f>
        <v>137879.15625</v>
      </c>
      <c r="M1181" s="24">
        <f>+Tabla2[[#This Row],[Variación Stock]]*Tabla2[[#This Row],[Coste LÃ­nea]]</f>
        <v>0</v>
      </c>
      <c r="N1181" s="22" t="str">
        <f>+IF(Tabla2[[#This Row],[Variación Stock]]&gt;0,"Sobrante",IF(Tabla2[[#This Row],[Variación Stock]]&lt;0,"Faltante","Sin novedad"))</f>
        <v>Sin novedad</v>
      </c>
    </row>
    <row r="1182" spans="1:14" x14ac:dyDescent="0.25">
      <c r="A1182" s="11">
        <v>46044</v>
      </c>
      <c r="B1182" s="5" t="s">
        <v>358</v>
      </c>
      <c r="C1182" s="3" t="s">
        <v>128</v>
      </c>
      <c r="D1182" s="5" t="s">
        <v>111</v>
      </c>
      <c r="E1182" s="5" t="s">
        <v>112</v>
      </c>
      <c r="F1182" s="6" t="s">
        <v>138</v>
      </c>
      <c r="G1182" s="4" t="s">
        <v>0</v>
      </c>
      <c r="H1182" s="25">
        <v>4504.1666666700003</v>
      </c>
      <c r="I1182" s="8">
        <v>30</v>
      </c>
      <c r="J1182" s="9">
        <v>30</v>
      </c>
      <c r="K1182" s="7">
        <v>0</v>
      </c>
      <c r="L1182" s="24">
        <f>+Tabla2[[#This Row],[Stock Inventario]]*Tabla2[[#This Row],[Coste LÃ­nea]]</f>
        <v>135125.0000001</v>
      </c>
      <c r="M1182" s="24">
        <f>+Tabla2[[#This Row],[Variación Stock]]*Tabla2[[#This Row],[Coste LÃ­nea]]</f>
        <v>0</v>
      </c>
      <c r="N1182" s="22" t="str">
        <f>+IF(Tabla2[[#This Row],[Variación Stock]]&gt;0,"Sobrante",IF(Tabla2[[#This Row],[Variación Stock]]&lt;0,"Faltante","Sin novedad"))</f>
        <v>Sin novedad</v>
      </c>
    </row>
    <row r="1183" spans="1:14" x14ac:dyDescent="0.25">
      <c r="A1183" s="11">
        <v>46044</v>
      </c>
      <c r="B1183" s="5" t="s">
        <v>358</v>
      </c>
      <c r="C1183" s="3" t="s">
        <v>128</v>
      </c>
      <c r="D1183" s="5" t="s">
        <v>122</v>
      </c>
      <c r="E1183" s="5" t="s">
        <v>112</v>
      </c>
      <c r="F1183" s="6" t="s">
        <v>100</v>
      </c>
      <c r="G1183" s="4" t="s">
        <v>2</v>
      </c>
      <c r="H1183" s="25">
        <v>7857</v>
      </c>
      <c r="I1183" s="8">
        <v>17</v>
      </c>
      <c r="J1183" s="9">
        <v>17</v>
      </c>
      <c r="K1183" s="7">
        <v>0</v>
      </c>
      <c r="L1183" s="24">
        <f>+Tabla2[[#This Row],[Stock Inventario]]*Tabla2[[#This Row],[Coste LÃ­nea]]</f>
        <v>133569</v>
      </c>
      <c r="M1183" s="24">
        <f>+Tabla2[[#This Row],[Variación Stock]]*Tabla2[[#This Row],[Coste LÃ­nea]]</f>
        <v>0</v>
      </c>
      <c r="N1183" s="22" t="str">
        <f>+IF(Tabla2[[#This Row],[Variación Stock]]&gt;0,"Sobrante",IF(Tabla2[[#This Row],[Variación Stock]]&lt;0,"Faltante","Sin novedad"))</f>
        <v>Sin novedad</v>
      </c>
    </row>
    <row r="1184" spans="1:14" x14ac:dyDescent="0.25">
      <c r="A1184" s="11">
        <v>46044</v>
      </c>
      <c r="B1184" s="5" t="s">
        <v>358</v>
      </c>
      <c r="C1184" s="3" t="s">
        <v>128</v>
      </c>
      <c r="D1184" s="5" t="s">
        <v>118</v>
      </c>
      <c r="E1184" s="5" t="s">
        <v>112</v>
      </c>
      <c r="F1184" s="6" t="s">
        <v>182</v>
      </c>
      <c r="G1184" s="4" t="s">
        <v>2</v>
      </c>
      <c r="H1184" s="25">
        <v>66111.5</v>
      </c>
      <c r="I1184" s="8">
        <v>2</v>
      </c>
      <c r="J1184" s="9">
        <v>2</v>
      </c>
      <c r="K1184" s="7">
        <v>0</v>
      </c>
      <c r="L1184" s="24">
        <f>+Tabla2[[#This Row],[Stock Inventario]]*Tabla2[[#This Row],[Coste LÃ­nea]]</f>
        <v>132223</v>
      </c>
      <c r="M1184" s="24">
        <f>+Tabla2[[#This Row],[Variación Stock]]*Tabla2[[#This Row],[Coste LÃ­nea]]</f>
        <v>0</v>
      </c>
      <c r="N1184" s="22" t="str">
        <f>+IF(Tabla2[[#This Row],[Variación Stock]]&gt;0,"Sobrante",IF(Tabla2[[#This Row],[Variación Stock]]&lt;0,"Faltante","Sin novedad"))</f>
        <v>Sin novedad</v>
      </c>
    </row>
    <row r="1185" spans="1:14" hidden="1" x14ac:dyDescent="0.25">
      <c r="A1185" s="11">
        <v>46037</v>
      </c>
      <c r="B1185" s="5" t="s">
        <v>127</v>
      </c>
      <c r="C1185" s="3" t="s">
        <v>128</v>
      </c>
      <c r="D1185" s="5" t="s">
        <v>120</v>
      </c>
      <c r="E1185" s="5" t="s">
        <v>117</v>
      </c>
      <c r="F1185" s="6" t="s">
        <v>205</v>
      </c>
      <c r="G1185" s="4" t="s">
        <v>2</v>
      </c>
      <c r="H1185" s="24">
        <v>14163.03254846</v>
      </c>
      <c r="I1185" s="8">
        <v>13.34</v>
      </c>
      <c r="J1185" s="9">
        <v>38</v>
      </c>
      <c r="K1185" s="7">
        <v>24.66</v>
      </c>
      <c r="L1185" s="24">
        <f>+Tabla2[[#This Row],[Stock Inventario]]*Tabla2[[#This Row],[Coste LÃ­nea]]</f>
        <v>538195.23684148001</v>
      </c>
      <c r="M1185" s="24">
        <f>+Tabla2[[#This Row],[Variación Stock]]*Tabla2[[#This Row],[Coste LÃ­nea]]</f>
        <v>349260.38264502358</v>
      </c>
      <c r="N1185" s="22" t="str">
        <f>+IF(Tabla2[[#This Row],[Variación Stock]]&gt;0,"Sobrante",IF(Tabla2[[#This Row],[Variación Stock]]&lt;0,"Faltante","Sin novedad"))</f>
        <v>Sobrante</v>
      </c>
    </row>
    <row r="1186" spans="1:14" x14ac:dyDescent="0.25">
      <c r="A1186" s="11">
        <v>46044</v>
      </c>
      <c r="B1186" s="5" t="s">
        <v>358</v>
      </c>
      <c r="C1186" s="3" t="s">
        <v>128</v>
      </c>
      <c r="D1186" s="5" t="s">
        <v>118</v>
      </c>
      <c r="E1186" s="5" t="s">
        <v>112</v>
      </c>
      <c r="F1186" s="6" t="s">
        <v>181</v>
      </c>
      <c r="G1186" s="4" t="s">
        <v>2</v>
      </c>
      <c r="H1186" s="25">
        <v>62806</v>
      </c>
      <c r="I1186" s="8">
        <v>2</v>
      </c>
      <c r="J1186" s="9">
        <v>2</v>
      </c>
      <c r="K1186" s="7">
        <v>0</v>
      </c>
      <c r="L1186" s="24">
        <f>+Tabla2[[#This Row],[Stock Inventario]]*Tabla2[[#This Row],[Coste LÃ­nea]]</f>
        <v>125612</v>
      </c>
      <c r="M1186" s="24">
        <f>+Tabla2[[#This Row],[Variación Stock]]*Tabla2[[#This Row],[Coste LÃ­nea]]</f>
        <v>0</v>
      </c>
      <c r="N1186" s="22" t="str">
        <f>+IF(Tabla2[[#This Row],[Variación Stock]]&gt;0,"Sobrante",IF(Tabla2[[#This Row],[Variación Stock]]&lt;0,"Faltante","Sin novedad"))</f>
        <v>Sin novedad</v>
      </c>
    </row>
    <row r="1187" spans="1:14" x14ac:dyDescent="0.25">
      <c r="A1187" s="11">
        <v>46044</v>
      </c>
      <c r="B1187" s="5" t="s">
        <v>358</v>
      </c>
      <c r="C1187" s="3" t="s">
        <v>128</v>
      </c>
      <c r="D1187" s="5" t="s">
        <v>111</v>
      </c>
      <c r="E1187" s="5" t="s">
        <v>112</v>
      </c>
      <c r="F1187" s="6" t="s">
        <v>25</v>
      </c>
      <c r="G1187" s="4" t="s">
        <v>0</v>
      </c>
      <c r="H1187" s="25">
        <v>5465.125</v>
      </c>
      <c r="I1187" s="8">
        <v>22</v>
      </c>
      <c r="J1187" s="9">
        <v>22</v>
      </c>
      <c r="K1187" s="7">
        <v>0</v>
      </c>
      <c r="L1187" s="24">
        <f>+Tabla2[[#This Row],[Stock Inventario]]*Tabla2[[#This Row],[Coste LÃ­nea]]</f>
        <v>120232.75</v>
      </c>
      <c r="M1187" s="24">
        <f>+Tabla2[[#This Row],[Variación Stock]]*Tabla2[[#This Row],[Coste LÃ­nea]]</f>
        <v>0</v>
      </c>
      <c r="N1187" s="22" t="str">
        <f>+IF(Tabla2[[#This Row],[Variación Stock]]&gt;0,"Sobrante",IF(Tabla2[[#This Row],[Variación Stock]]&lt;0,"Faltante","Sin novedad"))</f>
        <v>Sin novedad</v>
      </c>
    </row>
    <row r="1188" spans="1:14" x14ac:dyDescent="0.25">
      <c r="A1188" s="11">
        <v>46044</v>
      </c>
      <c r="B1188" s="5" t="s">
        <v>358</v>
      </c>
      <c r="C1188" s="3" t="s">
        <v>128</v>
      </c>
      <c r="D1188" s="5" t="s">
        <v>114</v>
      </c>
      <c r="E1188" s="5" t="s">
        <v>112</v>
      </c>
      <c r="F1188" s="6" t="s">
        <v>67</v>
      </c>
      <c r="G1188" s="4" t="s">
        <v>2</v>
      </c>
      <c r="H1188" s="25">
        <v>4986.0833333299997</v>
      </c>
      <c r="I1188" s="8">
        <v>19.170000000000002</v>
      </c>
      <c r="J1188" s="9">
        <v>24</v>
      </c>
      <c r="K1188" s="7">
        <v>-7.17</v>
      </c>
      <c r="L1188" s="24">
        <f>+Tabla2[[#This Row],[Stock Inventario]]*Tabla2[[#This Row],[Coste LÃ­nea]]</f>
        <v>119665.99999991999</v>
      </c>
      <c r="M1188" s="24">
        <f>+Tabla2[[#This Row],[Variación Stock]]*Tabla2[[#This Row],[Coste LÃ­nea]]</f>
        <v>-35750.217499976097</v>
      </c>
      <c r="N1188" s="22" t="str">
        <f>+IF(Tabla2[[#This Row],[Variación Stock]]&gt;0,"Sobrante",IF(Tabla2[[#This Row],[Variación Stock]]&lt;0,"Faltante","Sin novedad"))</f>
        <v>Faltante</v>
      </c>
    </row>
    <row r="1189" spans="1:14" x14ac:dyDescent="0.25">
      <c r="A1189" s="11">
        <v>46044</v>
      </c>
      <c r="B1189" s="5" t="s">
        <v>358</v>
      </c>
      <c r="C1189" s="3" t="s">
        <v>128</v>
      </c>
      <c r="D1189" s="5" t="s">
        <v>114</v>
      </c>
      <c r="E1189" s="5" t="s">
        <v>112</v>
      </c>
      <c r="F1189" s="6" t="s">
        <v>64</v>
      </c>
      <c r="G1189" s="4" t="s">
        <v>2</v>
      </c>
      <c r="H1189" s="25">
        <v>5132.5</v>
      </c>
      <c r="I1189" s="8">
        <v>20</v>
      </c>
      <c r="J1189" s="9">
        <v>23</v>
      </c>
      <c r="K1189" s="7">
        <v>3</v>
      </c>
      <c r="L1189" s="24">
        <f>+Tabla2[[#This Row],[Stock Inventario]]*Tabla2[[#This Row],[Coste LÃ­nea]]</f>
        <v>118047.5</v>
      </c>
      <c r="M1189" s="24">
        <f>+Tabla2[[#This Row],[Variación Stock]]*Tabla2[[#This Row],[Coste LÃ­nea]]</f>
        <v>15397.5</v>
      </c>
      <c r="N1189" s="22" t="str">
        <f>+IF(Tabla2[[#This Row],[Variación Stock]]&gt;0,"Sobrante",IF(Tabla2[[#This Row],[Variación Stock]]&lt;0,"Faltante","Sin novedad"))</f>
        <v>Sobrante</v>
      </c>
    </row>
    <row r="1190" spans="1:14" x14ac:dyDescent="0.25">
      <c r="A1190" s="11">
        <v>46037</v>
      </c>
      <c r="B1190" s="5" t="s">
        <v>127</v>
      </c>
      <c r="C1190" s="3" t="s">
        <v>128</v>
      </c>
      <c r="D1190" s="5" t="s">
        <v>111</v>
      </c>
      <c r="E1190" s="5" t="s">
        <v>112</v>
      </c>
      <c r="F1190" s="6" t="s">
        <v>54</v>
      </c>
      <c r="G1190" s="4" t="s">
        <v>0</v>
      </c>
      <c r="H1190" s="24">
        <v>2134.5416666699998</v>
      </c>
      <c r="I1190" s="8">
        <v>54</v>
      </c>
      <c r="J1190" s="9">
        <v>52</v>
      </c>
      <c r="K1190" s="7">
        <v>-2</v>
      </c>
      <c r="L1190" s="24">
        <f>+Tabla2[[#This Row],[Stock Inventario]]*Tabla2[[#This Row],[Coste LÃ­nea]]</f>
        <v>110996.16666683998</v>
      </c>
      <c r="M1190" s="24">
        <f>+Tabla2[[#This Row],[Variación Stock]]*Tabla2[[#This Row],[Coste LÃ­nea]]</f>
        <v>-4269.0833333399996</v>
      </c>
      <c r="N1190" s="22" t="str">
        <f>+IF(Tabla2[[#This Row],[Variación Stock]]&gt;0,"Sobrante",IF(Tabla2[[#This Row],[Variación Stock]]&lt;0,"Faltante","Sin novedad"))</f>
        <v>Faltante</v>
      </c>
    </row>
    <row r="1191" spans="1:14" hidden="1" x14ac:dyDescent="0.25">
      <c r="A1191" s="11">
        <v>46044</v>
      </c>
      <c r="B1191" s="5" t="s">
        <v>358</v>
      </c>
      <c r="C1191" s="3" t="s">
        <v>128</v>
      </c>
      <c r="D1191" s="5" t="s">
        <v>120</v>
      </c>
      <c r="E1191" s="5" t="s">
        <v>117</v>
      </c>
      <c r="F1191" s="6" t="s">
        <v>205</v>
      </c>
      <c r="G1191" s="4" t="s">
        <v>2</v>
      </c>
      <c r="H1191" s="25">
        <v>14758.96001665</v>
      </c>
      <c r="I1191" s="8">
        <v>30</v>
      </c>
      <c r="J1191" s="9">
        <v>24</v>
      </c>
      <c r="K1191" s="7">
        <v>-6</v>
      </c>
      <c r="L1191" s="24">
        <f>+Tabla2[[#This Row],[Stock Inventario]]*Tabla2[[#This Row],[Coste LÃ­nea]]</f>
        <v>354215.04039959999</v>
      </c>
      <c r="M1191" s="24">
        <f>+Tabla2[[#This Row],[Variación Stock]]*Tabla2[[#This Row],[Coste LÃ­nea]]</f>
        <v>-88553.760099899999</v>
      </c>
      <c r="N1191" s="22" t="str">
        <f>+IF(Tabla2[[#This Row],[Variación Stock]]&gt;0,"Sobrante",IF(Tabla2[[#This Row],[Variación Stock]]&lt;0,"Faltante","Sin novedad"))</f>
        <v>Faltante</v>
      </c>
    </row>
    <row r="1192" spans="1:14" x14ac:dyDescent="0.25">
      <c r="A1192" s="11">
        <v>46037</v>
      </c>
      <c r="B1192" s="5" t="s">
        <v>127</v>
      </c>
      <c r="C1192" s="3" t="s">
        <v>128</v>
      </c>
      <c r="D1192" s="5" t="s">
        <v>115</v>
      </c>
      <c r="E1192" s="5" t="s">
        <v>112</v>
      </c>
      <c r="F1192" s="6" t="s">
        <v>75</v>
      </c>
      <c r="G1192" s="4" t="s">
        <v>2</v>
      </c>
      <c r="H1192" s="24">
        <v>2298</v>
      </c>
      <c r="I1192" s="8">
        <v>5</v>
      </c>
      <c r="J1192" s="9">
        <v>0</v>
      </c>
      <c r="K1192" s="7">
        <v>-5</v>
      </c>
      <c r="L1192" s="24">
        <f>+Tabla2[[#This Row],[Stock Inventario]]*Tabla2[[#This Row],[Coste LÃ­nea]]</f>
        <v>0</v>
      </c>
      <c r="M1192" s="24">
        <f>+Tabla2[[#This Row],[Variación Stock]]*Tabla2[[#This Row],[Coste LÃ­nea]]</f>
        <v>-11490</v>
      </c>
      <c r="N1192" s="22" t="str">
        <f>+IF(Tabla2[[#This Row],[Variación Stock]]&gt;0,"Sobrante",IF(Tabla2[[#This Row],[Variación Stock]]&lt;0,"Faltante","Sin novedad"))</f>
        <v>Faltante</v>
      </c>
    </row>
    <row r="1193" spans="1:14" hidden="1" x14ac:dyDescent="0.25">
      <c r="A1193" s="11">
        <v>46037</v>
      </c>
      <c r="B1193" s="5" t="s">
        <v>127</v>
      </c>
      <c r="C1193" s="3" t="s">
        <v>128</v>
      </c>
      <c r="D1193" s="5" t="s">
        <v>120</v>
      </c>
      <c r="E1193" s="5" t="s">
        <v>117</v>
      </c>
      <c r="F1193" s="6" t="s">
        <v>206</v>
      </c>
      <c r="G1193" s="4" t="s">
        <v>2</v>
      </c>
      <c r="H1193" s="24">
        <v>268044.56898272998</v>
      </c>
      <c r="I1193" s="8">
        <v>37</v>
      </c>
      <c r="J1193" s="9">
        <v>58</v>
      </c>
      <c r="K1193" s="7">
        <v>21</v>
      </c>
      <c r="L1193" s="24">
        <f>+Tabla2[[#This Row],[Stock Inventario]]*Tabla2[[#This Row],[Coste LÃ­nea]]</f>
        <v>15546585.000998339</v>
      </c>
      <c r="M1193" s="24">
        <f>+Tabla2[[#This Row],[Variación Stock]]*Tabla2[[#This Row],[Coste LÃ­nea]]</f>
        <v>5628935.94863733</v>
      </c>
      <c r="N1193" s="22" t="str">
        <f>+IF(Tabla2[[#This Row],[Variación Stock]]&gt;0,"Sobrante",IF(Tabla2[[#This Row],[Variación Stock]]&lt;0,"Faltante","Sin novedad"))</f>
        <v>Sobrante</v>
      </c>
    </row>
    <row r="1194" spans="1:14" x14ac:dyDescent="0.25">
      <c r="A1194" s="11">
        <v>46044</v>
      </c>
      <c r="B1194" s="5" t="s">
        <v>358</v>
      </c>
      <c r="C1194" s="3" t="s">
        <v>128</v>
      </c>
      <c r="D1194" s="5" t="s">
        <v>111</v>
      </c>
      <c r="E1194" s="5" t="s">
        <v>112</v>
      </c>
      <c r="F1194" s="6" t="s">
        <v>34</v>
      </c>
      <c r="G1194" s="4" t="s">
        <v>0</v>
      </c>
      <c r="H1194" s="25">
        <v>5658.3333333299997</v>
      </c>
      <c r="I1194" s="8">
        <v>52</v>
      </c>
      <c r="J1194" s="9">
        <v>50</v>
      </c>
      <c r="K1194" s="7">
        <v>-2</v>
      </c>
      <c r="L1194" s="24">
        <f>+Tabla2[[#This Row],[Stock Inventario]]*Tabla2[[#This Row],[Coste LÃ­nea]]</f>
        <v>282916.66666649998</v>
      </c>
      <c r="M1194" s="24">
        <f>+Tabla2[[#This Row],[Variación Stock]]*Tabla2[[#This Row],[Coste LÃ­nea]]</f>
        <v>-11316.666666659999</v>
      </c>
      <c r="N1194" s="22" t="str">
        <f>+IF(Tabla2[[#This Row],[Variación Stock]]&gt;0,"Sobrante",IF(Tabla2[[#This Row],[Variación Stock]]&lt;0,"Faltante","Sin novedad"))</f>
        <v>Faltante</v>
      </c>
    </row>
    <row r="1195" spans="1:14" x14ac:dyDescent="0.25">
      <c r="A1195" s="11">
        <v>46044</v>
      </c>
      <c r="B1195" s="5" t="s">
        <v>358</v>
      </c>
      <c r="C1195" s="3" t="s">
        <v>128</v>
      </c>
      <c r="D1195" s="5" t="s">
        <v>118</v>
      </c>
      <c r="E1195" s="5" t="s">
        <v>112</v>
      </c>
      <c r="F1195" s="6" t="s">
        <v>186</v>
      </c>
      <c r="G1195" s="4" t="s">
        <v>2</v>
      </c>
      <c r="H1195" s="25">
        <v>53140</v>
      </c>
      <c r="I1195" s="8">
        <v>2</v>
      </c>
      <c r="J1195" s="9">
        <v>2</v>
      </c>
      <c r="K1195" s="7">
        <v>0</v>
      </c>
      <c r="L1195" s="24">
        <f>+Tabla2[[#This Row],[Stock Inventario]]*Tabla2[[#This Row],[Coste LÃ­nea]]</f>
        <v>106280</v>
      </c>
      <c r="M1195" s="24">
        <f>+Tabla2[[#This Row],[Variación Stock]]*Tabla2[[#This Row],[Coste LÃ­nea]]</f>
        <v>0</v>
      </c>
      <c r="N1195" s="22" t="str">
        <f>+IF(Tabla2[[#This Row],[Variación Stock]]&gt;0,"Sobrante",IF(Tabla2[[#This Row],[Variación Stock]]&lt;0,"Faltante","Sin novedad"))</f>
        <v>Sin novedad</v>
      </c>
    </row>
    <row r="1196" spans="1:14" hidden="1" x14ac:dyDescent="0.25">
      <c r="A1196" s="11">
        <v>46044</v>
      </c>
      <c r="B1196" s="5" t="s">
        <v>358</v>
      </c>
      <c r="C1196" s="3" t="s">
        <v>128</v>
      </c>
      <c r="D1196" s="5" t="s">
        <v>120</v>
      </c>
      <c r="E1196" s="5" t="s">
        <v>117</v>
      </c>
      <c r="F1196" s="6" t="s">
        <v>206</v>
      </c>
      <c r="G1196" s="4" t="s">
        <v>2</v>
      </c>
      <c r="H1196" s="25">
        <v>521.75395301000003</v>
      </c>
      <c r="I1196" s="8">
        <v>51</v>
      </c>
      <c r="J1196" s="9">
        <v>1500</v>
      </c>
      <c r="K1196" s="7">
        <v>1449</v>
      </c>
      <c r="L1196" s="24">
        <f>+Tabla2[[#This Row],[Stock Inventario]]*Tabla2[[#This Row],[Coste LÃ­nea]]</f>
        <v>782630.92951500008</v>
      </c>
      <c r="M1196" s="24">
        <f>+Tabla2[[#This Row],[Variación Stock]]*Tabla2[[#This Row],[Coste LÃ­nea]]</f>
        <v>756021.47791149002</v>
      </c>
      <c r="N1196" s="22" t="str">
        <f>+IF(Tabla2[[#This Row],[Variación Stock]]&gt;0,"Sobrante",IF(Tabla2[[#This Row],[Variación Stock]]&lt;0,"Faltante","Sin novedad"))</f>
        <v>Sobrante</v>
      </c>
    </row>
    <row r="1197" spans="1:14" x14ac:dyDescent="0.25">
      <c r="A1197" s="11">
        <v>46044</v>
      </c>
      <c r="B1197" s="5" t="s">
        <v>358</v>
      </c>
      <c r="C1197" s="3" t="s">
        <v>128</v>
      </c>
      <c r="D1197" s="5" t="s">
        <v>111</v>
      </c>
      <c r="E1197" s="5" t="s">
        <v>112</v>
      </c>
      <c r="F1197" s="6" t="s">
        <v>18</v>
      </c>
      <c r="G1197" s="4" t="s">
        <v>2</v>
      </c>
      <c r="H1197" s="25">
        <v>100385</v>
      </c>
      <c r="I1197" s="8">
        <v>1</v>
      </c>
      <c r="J1197" s="9">
        <v>1</v>
      </c>
      <c r="K1197" s="7">
        <v>0</v>
      </c>
      <c r="L1197" s="24">
        <f>+Tabla2[[#This Row],[Stock Inventario]]*Tabla2[[#This Row],[Coste LÃ­nea]]</f>
        <v>100385</v>
      </c>
      <c r="M1197" s="24">
        <f>+Tabla2[[#This Row],[Variación Stock]]*Tabla2[[#This Row],[Coste LÃ­nea]]</f>
        <v>0</v>
      </c>
      <c r="N1197" s="22" t="str">
        <f>+IF(Tabla2[[#This Row],[Variación Stock]]&gt;0,"Sobrante",IF(Tabla2[[#This Row],[Variación Stock]]&lt;0,"Faltante","Sin novedad"))</f>
        <v>Sin novedad</v>
      </c>
    </row>
    <row r="1198" spans="1:14" x14ac:dyDescent="0.25">
      <c r="A1198" s="11">
        <v>46044</v>
      </c>
      <c r="B1198" s="5" t="s">
        <v>358</v>
      </c>
      <c r="C1198" s="3" t="s">
        <v>128</v>
      </c>
      <c r="D1198" s="5" t="s">
        <v>118</v>
      </c>
      <c r="E1198" s="5" t="s">
        <v>112</v>
      </c>
      <c r="F1198" s="6" t="s">
        <v>190</v>
      </c>
      <c r="G1198" s="4" t="s">
        <v>2</v>
      </c>
      <c r="H1198" s="25">
        <v>98892</v>
      </c>
      <c r="I1198" s="8">
        <v>1</v>
      </c>
      <c r="J1198" s="9">
        <v>1</v>
      </c>
      <c r="K1198" s="7">
        <v>0</v>
      </c>
      <c r="L1198" s="24">
        <f>+Tabla2[[#This Row],[Stock Inventario]]*Tabla2[[#This Row],[Coste LÃ­nea]]</f>
        <v>98892</v>
      </c>
      <c r="M1198" s="24">
        <f>+Tabla2[[#This Row],[Variación Stock]]*Tabla2[[#This Row],[Coste LÃ­nea]]</f>
        <v>0</v>
      </c>
      <c r="N1198" s="22" t="str">
        <f>+IF(Tabla2[[#This Row],[Variación Stock]]&gt;0,"Sobrante",IF(Tabla2[[#This Row],[Variación Stock]]&lt;0,"Faltante","Sin novedad"))</f>
        <v>Sin novedad</v>
      </c>
    </row>
    <row r="1199" spans="1:14" x14ac:dyDescent="0.25">
      <c r="A1199" s="11">
        <v>46044</v>
      </c>
      <c r="B1199" s="5" t="s">
        <v>358</v>
      </c>
      <c r="C1199" s="3" t="s">
        <v>128</v>
      </c>
      <c r="D1199" s="5" t="s">
        <v>118</v>
      </c>
      <c r="E1199" s="5" t="s">
        <v>112</v>
      </c>
      <c r="F1199" s="6" t="s">
        <v>177</v>
      </c>
      <c r="G1199" s="4" t="s">
        <v>2</v>
      </c>
      <c r="H1199" s="25">
        <v>49268.9</v>
      </c>
      <c r="I1199" s="8">
        <v>2</v>
      </c>
      <c r="J1199" s="9">
        <v>2</v>
      </c>
      <c r="K1199" s="7">
        <v>0</v>
      </c>
      <c r="L1199" s="24">
        <f>+Tabla2[[#This Row],[Stock Inventario]]*Tabla2[[#This Row],[Coste LÃ­nea]]</f>
        <v>98537.8</v>
      </c>
      <c r="M1199" s="24">
        <f>+Tabla2[[#This Row],[Variación Stock]]*Tabla2[[#This Row],[Coste LÃ­nea]]</f>
        <v>0</v>
      </c>
      <c r="N1199" s="22" t="str">
        <f>+IF(Tabla2[[#This Row],[Variación Stock]]&gt;0,"Sobrante",IF(Tabla2[[#This Row],[Variación Stock]]&lt;0,"Faltante","Sin novedad"))</f>
        <v>Sin novedad</v>
      </c>
    </row>
    <row r="1200" spans="1:14" x14ac:dyDescent="0.25">
      <c r="A1200" s="11">
        <v>46044</v>
      </c>
      <c r="B1200" s="5" t="s">
        <v>358</v>
      </c>
      <c r="C1200" s="3" t="s">
        <v>128</v>
      </c>
      <c r="D1200" s="5" t="s">
        <v>118</v>
      </c>
      <c r="E1200" s="5" t="s">
        <v>112</v>
      </c>
      <c r="F1200" s="6" t="s">
        <v>185</v>
      </c>
      <c r="G1200" s="4" t="s">
        <v>2</v>
      </c>
      <c r="H1200" s="25">
        <v>48142</v>
      </c>
      <c r="I1200" s="8">
        <v>2</v>
      </c>
      <c r="J1200" s="9">
        <v>2</v>
      </c>
      <c r="K1200" s="7">
        <v>0</v>
      </c>
      <c r="L1200" s="24">
        <f>+Tabla2[[#This Row],[Stock Inventario]]*Tabla2[[#This Row],[Coste LÃ­nea]]</f>
        <v>96284</v>
      </c>
      <c r="M1200" s="24">
        <f>+Tabla2[[#This Row],[Variación Stock]]*Tabla2[[#This Row],[Coste LÃ­nea]]</f>
        <v>0</v>
      </c>
      <c r="N1200" s="22" t="str">
        <f>+IF(Tabla2[[#This Row],[Variación Stock]]&gt;0,"Sobrante",IF(Tabla2[[#This Row],[Variación Stock]]&lt;0,"Faltante","Sin novedad"))</f>
        <v>Sin novedad</v>
      </c>
    </row>
    <row r="1201" spans="1:14" x14ac:dyDescent="0.25">
      <c r="A1201" s="11">
        <v>46044</v>
      </c>
      <c r="B1201" s="5" t="s">
        <v>358</v>
      </c>
      <c r="C1201" s="3" t="s">
        <v>128</v>
      </c>
      <c r="D1201" s="5" t="s">
        <v>114</v>
      </c>
      <c r="E1201" s="5" t="s">
        <v>112</v>
      </c>
      <c r="F1201" s="6" t="s">
        <v>66</v>
      </c>
      <c r="G1201" s="4" t="s">
        <v>2</v>
      </c>
      <c r="H1201" s="25">
        <v>4986.0833333299997</v>
      </c>
      <c r="I1201" s="8">
        <v>21</v>
      </c>
      <c r="J1201" s="9">
        <v>19</v>
      </c>
      <c r="K1201" s="7">
        <v>-2</v>
      </c>
      <c r="L1201" s="24">
        <f>+Tabla2[[#This Row],[Stock Inventario]]*Tabla2[[#This Row],[Coste LÃ­nea]]</f>
        <v>94735.583333269999</v>
      </c>
      <c r="M1201" s="24">
        <f>+Tabla2[[#This Row],[Variación Stock]]*Tabla2[[#This Row],[Coste LÃ­nea]]</f>
        <v>-9972.1666666599995</v>
      </c>
      <c r="N1201" s="22" t="str">
        <f>+IF(Tabla2[[#This Row],[Variación Stock]]&gt;0,"Sobrante",IF(Tabla2[[#This Row],[Variación Stock]]&lt;0,"Faltante","Sin novedad"))</f>
        <v>Faltante</v>
      </c>
    </row>
    <row r="1202" spans="1:14" x14ac:dyDescent="0.25">
      <c r="A1202" s="11">
        <v>46044</v>
      </c>
      <c r="B1202" s="5" t="s">
        <v>358</v>
      </c>
      <c r="C1202" s="3" t="s">
        <v>128</v>
      </c>
      <c r="D1202" s="5" t="s">
        <v>111</v>
      </c>
      <c r="E1202" s="5" t="s">
        <v>112</v>
      </c>
      <c r="F1202" s="6" t="s">
        <v>129</v>
      </c>
      <c r="G1202" s="4" t="s">
        <v>0</v>
      </c>
      <c r="H1202" s="25">
        <v>0</v>
      </c>
      <c r="I1202" s="8">
        <v>24</v>
      </c>
      <c r="J1202" s="9">
        <v>22</v>
      </c>
      <c r="K1202" s="7">
        <v>-2</v>
      </c>
      <c r="L1202" s="24">
        <f>+Tabla2[[#This Row],[Stock Inventario]]*Tabla2[[#This Row],[Coste LÃ­nea]]</f>
        <v>0</v>
      </c>
      <c r="M1202" s="24">
        <f>+Tabla2[[#This Row],[Variación Stock]]*Tabla2[[#This Row],[Coste LÃ­nea]]</f>
        <v>0</v>
      </c>
      <c r="N1202" s="22" t="str">
        <f>+IF(Tabla2[[#This Row],[Variación Stock]]&gt;0,"Sobrante",IF(Tabla2[[#This Row],[Variación Stock]]&lt;0,"Faltante","Sin novedad"))</f>
        <v>Faltante</v>
      </c>
    </row>
    <row r="1203" spans="1:14" x14ac:dyDescent="0.25">
      <c r="A1203" s="11">
        <v>46037</v>
      </c>
      <c r="B1203" s="5" t="s">
        <v>127</v>
      </c>
      <c r="C1203" s="3" t="s">
        <v>128</v>
      </c>
      <c r="D1203" s="5" t="s">
        <v>111</v>
      </c>
      <c r="E1203" s="5" t="s">
        <v>112</v>
      </c>
      <c r="F1203" s="6" t="s">
        <v>52</v>
      </c>
      <c r="G1203" s="4" t="s">
        <v>0</v>
      </c>
      <c r="H1203" s="24">
        <v>6800.3640183199996</v>
      </c>
      <c r="I1203" s="8">
        <v>45.34</v>
      </c>
      <c r="J1203" s="9">
        <v>43</v>
      </c>
      <c r="K1203" s="7">
        <v>-2.34</v>
      </c>
      <c r="L1203" s="24">
        <f>+Tabla2[[#This Row],[Stock Inventario]]*Tabla2[[#This Row],[Coste LÃ­nea]]</f>
        <v>292415.65278775996</v>
      </c>
      <c r="M1203" s="24">
        <f>+Tabla2[[#This Row],[Variación Stock]]*Tabla2[[#This Row],[Coste LÃ­nea]]</f>
        <v>-15912.851802868798</v>
      </c>
      <c r="N1203" s="22" t="str">
        <f>+IF(Tabla2[[#This Row],[Variación Stock]]&gt;0,"Sobrante",IF(Tabla2[[#This Row],[Variación Stock]]&lt;0,"Faltante","Sin novedad"))</f>
        <v>Faltante</v>
      </c>
    </row>
    <row r="1204" spans="1:14" x14ac:dyDescent="0.25">
      <c r="A1204" s="11">
        <v>46044</v>
      </c>
      <c r="B1204" s="5" t="s">
        <v>358</v>
      </c>
      <c r="C1204" s="3" t="s">
        <v>128</v>
      </c>
      <c r="D1204" s="5" t="s">
        <v>111</v>
      </c>
      <c r="E1204" s="5" t="s">
        <v>112</v>
      </c>
      <c r="F1204" s="6" t="s">
        <v>47</v>
      </c>
      <c r="G1204" s="4" t="s">
        <v>2</v>
      </c>
      <c r="H1204" s="25">
        <v>22770</v>
      </c>
      <c r="I1204" s="8">
        <v>4</v>
      </c>
      <c r="J1204" s="9">
        <v>4</v>
      </c>
      <c r="K1204" s="7">
        <v>0</v>
      </c>
      <c r="L1204" s="24">
        <f>+Tabla2[[#This Row],[Stock Inventario]]*Tabla2[[#This Row],[Coste LÃ­nea]]</f>
        <v>91080</v>
      </c>
      <c r="M1204" s="24">
        <f>+Tabla2[[#This Row],[Variación Stock]]*Tabla2[[#This Row],[Coste LÃ­nea]]</f>
        <v>0</v>
      </c>
      <c r="N1204" s="22" t="str">
        <f>+IF(Tabla2[[#This Row],[Variación Stock]]&gt;0,"Sobrante",IF(Tabla2[[#This Row],[Variación Stock]]&lt;0,"Faltante","Sin novedad"))</f>
        <v>Sin novedad</v>
      </c>
    </row>
    <row r="1205" spans="1:14" x14ac:dyDescent="0.25">
      <c r="A1205" s="11">
        <v>46044</v>
      </c>
      <c r="B1205" s="5" t="s">
        <v>358</v>
      </c>
      <c r="C1205" s="3" t="s">
        <v>128</v>
      </c>
      <c r="D1205" s="5" t="s">
        <v>111</v>
      </c>
      <c r="E1205" s="5" t="s">
        <v>112</v>
      </c>
      <c r="F1205" s="6" t="s">
        <v>53</v>
      </c>
      <c r="G1205" s="4" t="s">
        <v>2</v>
      </c>
      <c r="H1205" s="25">
        <v>41250</v>
      </c>
      <c r="I1205" s="8">
        <v>2</v>
      </c>
      <c r="J1205" s="9">
        <v>2</v>
      </c>
      <c r="K1205" s="7">
        <v>0</v>
      </c>
      <c r="L1205" s="24">
        <f>+Tabla2[[#This Row],[Stock Inventario]]*Tabla2[[#This Row],[Coste LÃ­nea]]</f>
        <v>82500</v>
      </c>
      <c r="M1205" s="24">
        <f>+Tabla2[[#This Row],[Variación Stock]]*Tabla2[[#This Row],[Coste LÃ­nea]]</f>
        <v>0</v>
      </c>
      <c r="N1205" s="22" t="str">
        <f>+IF(Tabla2[[#This Row],[Variación Stock]]&gt;0,"Sobrante",IF(Tabla2[[#This Row],[Variación Stock]]&lt;0,"Faltante","Sin novedad"))</f>
        <v>Sin novedad</v>
      </c>
    </row>
    <row r="1206" spans="1:14" x14ac:dyDescent="0.25">
      <c r="A1206" s="11">
        <v>46037</v>
      </c>
      <c r="B1206" s="5" t="s">
        <v>127</v>
      </c>
      <c r="C1206" s="3" t="s">
        <v>128</v>
      </c>
      <c r="D1206" s="5" t="s">
        <v>111</v>
      </c>
      <c r="E1206" s="5" t="s">
        <v>112</v>
      </c>
      <c r="F1206" s="6" t="s">
        <v>145</v>
      </c>
      <c r="G1206" s="4" t="s">
        <v>0</v>
      </c>
      <c r="H1206" s="24">
        <v>1500</v>
      </c>
      <c r="I1206" s="8">
        <v>22</v>
      </c>
      <c r="J1206" s="9">
        <v>19</v>
      </c>
      <c r="K1206" s="7">
        <v>-3</v>
      </c>
      <c r="L1206" s="24">
        <f>+Tabla2[[#This Row],[Stock Inventario]]*Tabla2[[#This Row],[Coste LÃ­nea]]</f>
        <v>28500</v>
      </c>
      <c r="M1206" s="24">
        <f>+Tabla2[[#This Row],[Variación Stock]]*Tabla2[[#This Row],[Coste LÃ­nea]]</f>
        <v>-4500</v>
      </c>
      <c r="N1206" s="22" t="str">
        <f>+IF(Tabla2[[#This Row],[Variación Stock]]&gt;0,"Sobrante",IF(Tabla2[[#This Row],[Variación Stock]]&lt;0,"Faltante","Sin novedad"))</f>
        <v>Faltante</v>
      </c>
    </row>
    <row r="1207" spans="1:14" x14ac:dyDescent="0.25">
      <c r="A1207" s="11">
        <v>46044</v>
      </c>
      <c r="B1207" s="5" t="s">
        <v>358</v>
      </c>
      <c r="C1207" s="3" t="s">
        <v>128</v>
      </c>
      <c r="D1207" s="5" t="s">
        <v>111</v>
      </c>
      <c r="E1207" s="5" t="s">
        <v>112</v>
      </c>
      <c r="F1207" s="6" t="s">
        <v>43</v>
      </c>
      <c r="G1207" s="4" t="s">
        <v>0</v>
      </c>
      <c r="H1207" s="25">
        <v>2796.5</v>
      </c>
      <c r="I1207" s="8">
        <v>58</v>
      </c>
      <c r="J1207" s="9">
        <v>55</v>
      </c>
      <c r="K1207" s="7">
        <v>-3</v>
      </c>
      <c r="L1207" s="24">
        <f>+Tabla2[[#This Row],[Stock Inventario]]*Tabla2[[#This Row],[Coste LÃ­nea]]</f>
        <v>153807.5</v>
      </c>
      <c r="M1207" s="24">
        <f>+Tabla2[[#This Row],[Variación Stock]]*Tabla2[[#This Row],[Coste LÃ­nea]]</f>
        <v>-8389.5</v>
      </c>
      <c r="N1207" s="22" t="str">
        <f>+IF(Tabla2[[#This Row],[Variación Stock]]&gt;0,"Sobrante",IF(Tabla2[[#This Row],[Variación Stock]]&lt;0,"Faltante","Sin novedad"))</f>
        <v>Faltante</v>
      </c>
    </row>
    <row r="1208" spans="1:14" x14ac:dyDescent="0.25">
      <c r="A1208" s="11">
        <v>46044</v>
      </c>
      <c r="B1208" s="5" t="s">
        <v>358</v>
      </c>
      <c r="C1208" s="3" t="s">
        <v>128</v>
      </c>
      <c r="D1208" s="5" t="s">
        <v>122</v>
      </c>
      <c r="E1208" s="5" t="s">
        <v>112</v>
      </c>
      <c r="F1208" s="6" t="s">
        <v>102</v>
      </c>
      <c r="G1208" s="4" t="s">
        <v>2</v>
      </c>
      <c r="H1208" s="25">
        <v>3458.25</v>
      </c>
      <c r="I1208" s="8">
        <v>22</v>
      </c>
      <c r="J1208" s="9">
        <v>21</v>
      </c>
      <c r="K1208" s="15">
        <v>-1</v>
      </c>
      <c r="L1208" s="24">
        <f>+Tabla2[[#This Row],[Stock Inventario]]*Tabla2[[#This Row],[Coste LÃ­nea]]</f>
        <v>72623.25</v>
      </c>
      <c r="M1208" s="24">
        <f>+Tabla2[[#This Row],[Variación Stock]]*Tabla2[[#This Row],[Coste LÃ­nea]]</f>
        <v>-3458.25</v>
      </c>
      <c r="N1208" s="22" t="str">
        <f>+IF(Tabla2[[#This Row],[Variación Stock]]&gt;0,"Sobrante",IF(Tabla2[[#This Row],[Variación Stock]]&lt;0,"Faltante","Sin novedad"))</f>
        <v>Faltante</v>
      </c>
    </row>
    <row r="1209" spans="1:14" x14ac:dyDescent="0.25">
      <c r="A1209" s="11">
        <v>46044</v>
      </c>
      <c r="B1209" s="5" t="s">
        <v>358</v>
      </c>
      <c r="C1209" s="3" t="s">
        <v>128</v>
      </c>
      <c r="D1209" s="5" t="s">
        <v>111</v>
      </c>
      <c r="E1209" s="5" t="s">
        <v>112</v>
      </c>
      <c r="F1209" s="6" t="s">
        <v>40</v>
      </c>
      <c r="G1209" s="4" t="s">
        <v>0</v>
      </c>
      <c r="H1209" s="25">
        <v>1278.5862069</v>
      </c>
      <c r="I1209" s="8">
        <v>61</v>
      </c>
      <c r="J1209" s="9">
        <v>57</v>
      </c>
      <c r="K1209" s="7">
        <v>-4</v>
      </c>
      <c r="L1209" s="24">
        <f>+Tabla2[[#This Row],[Stock Inventario]]*Tabla2[[#This Row],[Coste LÃ­nea]]</f>
        <v>72879.413793300002</v>
      </c>
      <c r="M1209" s="24">
        <f>+Tabla2[[#This Row],[Variación Stock]]*Tabla2[[#This Row],[Coste LÃ­nea]]</f>
        <v>-5114.3448275999999</v>
      </c>
      <c r="N1209" s="22" t="str">
        <f>+IF(Tabla2[[#This Row],[Variación Stock]]&gt;0,"Sobrante",IF(Tabla2[[#This Row],[Variación Stock]]&lt;0,"Faltante","Sin novedad"))</f>
        <v>Faltante</v>
      </c>
    </row>
    <row r="1210" spans="1:14" x14ac:dyDescent="0.25">
      <c r="A1210" s="11">
        <v>46044</v>
      </c>
      <c r="B1210" s="5" t="s">
        <v>358</v>
      </c>
      <c r="C1210" s="3" t="s">
        <v>128</v>
      </c>
      <c r="D1210" s="5" t="s">
        <v>115</v>
      </c>
      <c r="E1210" s="5" t="s">
        <v>112</v>
      </c>
      <c r="F1210" s="6" t="s">
        <v>367</v>
      </c>
      <c r="G1210" s="4" t="s">
        <v>2</v>
      </c>
      <c r="H1210" s="25">
        <v>2298.1333333299999</v>
      </c>
      <c r="I1210" s="8">
        <v>29</v>
      </c>
      <c r="J1210" s="9">
        <v>0</v>
      </c>
      <c r="K1210" s="7">
        <v>-29</v>
      </c>
      <c r="L1210" s="24">
        <f>+Tabla2[[#This Row],[Stock Inventario]]*Tabla2[[#This Row],[Coste LÃ­nea]]</f>
        <v>0</v>
      </c>
      <c r="M1210" s="24">
        <f>+Tabla2[[#This Row],[Variación Stock]]*Tabla2[[#This Row],[Coste LÃ­nea]]</f>
        <v>-66645.86666657</v>
      </c>
      <c r="N1210" s="22" t="str">
        <f>+IF(Tabla2[[#This Row],[Variación Stock]]&gt;0,"Sobrante",IF(Tabla2[[#This Row],[Variación Stock]]&lt;0,"Faltante","Sin novedad"))</f>
        <v>Faltante</v>
      </c>
    </row>
    <row r="1211" spans="1:14" hidden="1" x14ac:dyDescent="0.25">
      <c r="A1211" s="11">
        <v>46037</v>
      </c>
      <c r="B1211" s="5" t="s">
        <v>127</v>
      </c>
      <c r="C1211" s="3" t="s">
        <v>128</v>
      </c>
      <c r="D1211" s="5" t="s">
        <v>120</v>
      </c>
      <c r="E1211" s="5" t="s">
        <v>117</v>
      </c>
      <c r="F1211" s="6" t="s">
        <v>207</v>
      </c>
      <c r="G1211" s="4" t="s">
        <v>2</v>
      </c>
      <c r="H1211" s="24">
        <v>653.55833338000002</v>
      </c>
      <c r="I1211" s="8">
        <v>144</v>
      </c>
      <c r="J1211" s="9">
        <v>185</v>
      </c>
      <c r="K1211" s="7">
        <v>41</v>
      </c>
      <c r="L1211" s="24">
        <f>+Tabla2[[#This Row],[Stock Inventario]]*Tabla2[[#This Row],[Coste LÃ­nea]]</f>
        <v>120908.2916753</v>
      </c>
      <c r="M1211" s="24">
        <f>+Tabla2[[#This Row],[Variación Stock]]*Tabla2[[#This Row],[Coste LÃ­nea]]</f>
        <v>26795.89166858</v>
      </c>
      <c r="N1211" s="22" t="str">
        <f>+IF(Tabla2[[#This Row],[Variación Stock]]&gt;0,"Sobrante",IF(Tabla2[[#This Row],[Variación Stock]]&lt;0,"Faltante","Sin novedad"))</f>
        <v>Sobrante</v>
      </c>
    </row>
    <row r="1212" spans="1:14" hidden="1" x14ac:dyDescent="0.25">
      <c r="A1212" s="11">
        <v>46044</v>
      </c>
      <c r="B1212" s="5" t="s">
        <v>358</v>
      </c>
      <c r="C1212" s="3" t="s">
        <v>128</v>
      </c>
      <c r="D1212" s="5" t="s">
        <v>120</v>
      </c>
      <c r="E1212" s="5" t="s">
        <v>117</v>
      </c>
      <c r="F1212" s="6" t="s">
        <v>207</v>
      </c>
      <c r="G1212" s="4" t="s">
        <v>2</v>
      </c>
      <c r="H1212" s="25">
        <v>534.92572500000006</v>
      </c>
      <c r="I1212" s="8">
        <v>155</v>
      </c>
      <c r="J1212" s="9">
        <v>90</v>
      </c>
      <c r="K1212" s="7">
        <v>-65</v>
      </c>
      <c r="L1212" s="24">
        <f>+Tabla2[[#This Row],[Stock Inventario]]*Tabla2[[#This Row],[Coste LÃ­nea]]</f>
        <v>48143.315250000007</v>
      </c>
      <c r="M1212" s="24">
        <f>+Tabla2[[#This Row],[Variación Stock]]*Tabla2[[#This Row],[Coste LÃ­nea]]</f>
        <v>-34770.172125000005</v>
      </c>
      <c r="N1212" s="22" t="str">
        <f>+IF(Tabla2[[#This Row],[Variación Stock]]&gt;0,"Sobrante",IF(Tabla2[[#This Row],[Variación Stock]]&lt;0,"Faltante","Sin novedad"))</f>
        <v>Faltante</v>
      </c>
    </row>
    <row r="1213" spans="1:14" hidden="1" x14ac:dyDescent="0.25">
      <c r="A1213" s="11">
        <v>46037</v>
      </c>
      <c r="B1213" s="5" t="s">
        <v>127</v>
      </c>
      <c r="C1213" s="3" t="s">
        <v>128</v>
      </c>
      <c r="D1213" s="5" t="s">
        <v>120</v>
      </c>
      <c r="E1213" s="5" t="s">
        <v>117</v>
      </c>
      <c r="F1213" s="6" t="s">
        <v>208</v>
      </c>
      <c r="G1213" s="4" t="s">
        <v>2</v>
      </c>
      <c r="H1213" s="24">
        <v>12374.74886879</v>
      </c>
      <c r="I1213" s="8">
        <v>66.599999999999994</v>
      </c>
      <c r="J1213" s="9">
        <v>64.5</v>
      </c>
      <c r="K1213" s="15">
        <v>-2.1</v>
      </c>
      <c r="L1213" s="24">
        <f>+Tabla2[[#This Row],[Stock Inventario]]*Tabla2[[#This Row],[Coste LÃ­nea]]</f>
        <v>798171.30203695502</v>
      </c>
      <c r="M1213" s="24">
        <f>+Tabla2[[#This Row],[Variación Stock]]*Tabla2[[#This Row],[Coste LÃ­nea]]</f>
        <v>-25986.972624459002</v>
      </c>
      <c r="N1213" s="22" t="str">
        <f>+IF(Tabla2[[#This Row],[Variación Stock]]&gt;0,"Sobrante",IF(Tabla2[[#This Row],[Variación Stock]]&lt;0,"Faltante","Sin novedad"))</f>
        <v>Faltante</v>
      </c>
    </row>
    <row r="1214" spans="1:14" x14ac:dyDescent="0.25">
      <c r="A1214" s="11">
        <v>46044</v>
      </c>
      <c r="B1214" s="5" t="s">
        <v>358</v>
      </c>
      <c r="C1214" s="3" t="s">
        <v>128</v>
      </c>
      <c r="D1214" s="5" t="s">
        <v>111</v>
      </c>
      <c r="E1214" s="5" t="s">
        <v>112</v>
      </c>
      <c r="F1214" s="6" t="s">
        <v>15</v>
      </c>
      <c r="G1214" s="4" t="s">
        <v>0</v>
      </c>
      <c r="H1214" s="25">
        <v>12833.33333333</v>
      </c>
      <c r="I1214" s="8">
        <v>15</v>
      </c>
      <c r="J1214" s="9">
        <v>6</v>
      </c>
      <c r="K1214" s="7">
        <v>-9</v>
      </c>
      <c r="L1214" s="24">
        <f>+Tabla2[[#This Row],[Stock Inventario]]*Tabla2[[#This Row],[Coste LÃ­nea]]</f>
        <v>76999.999999980006</v>
      </c>
      <c r="M1214" s="24">
        <f>+Tabla2[[#This Row],[Variación Stock]]*Tabla2[[#This Row],[Coste LÃ­nea]]</f>
        <v>-115499.99999996999</v>
      </c>
      <c r="N1214" s="22" t="str">
        <f>+IF(Tabla2[[#This Row],[Variación Stock]]&gt;0,"Sobrante",IF(Tabla2[[#This Row],[Variación Stock]]&lt;0,"Faltante","Sin novedad"))</f>
        <v>Faltante</v>
      </c>
    </row>
    <row r="1215" spans="1:14" x14ac:dyDescent="0.25">
      <c r="A1215" s="11">
        <v>46044</v>
      </c>
      <c r="B1215" s="5" t="s">
        <v>358</v>
      </c>
      <c r="C1215" s="3" t="s">
        <v>128</v>
      </c>
      <c r="D1215" s="5" t="s">
        <v>111</v>
      </c>
      <c r="E1215" s="5" t="s">
        <v>112</v>
      </c>
      <c r="F1215" s="6" t="s">
        <v>50</v>
      </c>
      <c r="G1215" s="4" t="s">
        <v>0</v>
      </c>
      <c r="H1215" s="25">
        <v>1798.66666667</v>
      </c>
      <c r="I1215" s="8">
        <v>36</v>
      </c>
      <c r="J1215" s="9">
        <v>36</v>
      </c>
      <c r="K1215" s="7">
        <v>0</v>
      </c>
      <c r="L1215" s="24">
        <f>+Tabla2[[#This Row],[Stock Inventario]]*Tabla2[[#This Row],[Coste LÃ­nea]]</f>
        <v>64752.000000120002</v>
      </c>
      <c r="M1215" s="24">
        <f>+Tabla2[[#This Row],[Variación Stock]]*Tabla2[[#This Row],[Coste LÃ­nea]]</f>
        <v>0</v>
      </c>
      <c r="N1215" s="22" t="str">
        <f>+IF(Tabla2[[#This Row],[Variación Stock]]&gt;0,"Sobrante",IF(Tabla2[[#This Row],[Variación Stock]]&lt;0,"Faltante","Sin novedad"))</f>
        <v>Sin novedad</v>
      </c>
    </row>
    <row r="1216" spans="1:14" x14ac:dyDescent="0.25">
      <c r="A1216" s="11">
        <v>46044</v>
      </c>
      <c r="B1216" s="5" t="s">
        <v>358</v>
      </c>
      <c r="C1216" s="3" t="s">
        <v>128</v>
      </c>
      <c r="D1216" s="5" t="s">
        <v>111</v>
      </c>
      <c r="E1216" s="5" t="s">
        <v>112</v>
      </c>
      <c r="F1216" s="6" t="s">
        <v>136</v>
      </c>
      <c r="G1216" s="4" t="s">
        <v>0</v>
      </c>
      <c r="H1216" s="25">
        <v>1425.6293103400001</v>
      </c>
      <c r="I1216" s="8">
        <v>85</v>
      </c>
      <c r="J1216" s="9">
        <v>75</v>
      </c>
      <c r="K1216" s="7">
        <v>-10</v>
      </c>
      <c r="L1216" s="24">
        <f>+Tabla2[[#This Row],[Stock Inventario]]*Tabla2[[#This Row],[Coste LÃ­nea]]</f>
        <v>106922.19827550001</v>
      </c>
      <c r="M1216" s="24">
        <f>+Tabla2[[#This Row],[Variación Stock]]*Tabla2[[#This Row],[Coste LÃ­nea]]</f>
        <v>-14256.293103400001</v>
      </c>
      <c r="N1216" s="22" t="str">
        <f>+IF(Tabla2[[#This Row],[Variación Stock]]&gt;0,"Sobrante",IF(Tabla2[[#This Row],[Variación Stock]]&lt;0,"Faltante","Sin novedad"))</f>
        <v>Faltante</v>
      </c>
    </row>
    <row r="1217" spans="1:14" x14ac:dyDescent="0.25">
      <c r="A1217" s="11">
        <v>46037</v>
      </c>
      <c r="B1217" s="5" t="s">
        <v>127</v>
      </c>
      <c r="C1217" s="3" t="s">
        <v>128</v>
      </c>
      <c r="D1217" s="5" t="s">
        <v>111</v>
      </c>
      <c r="E1217" s="5" t="s">
        <v>112</v>
      </c>
      <c r="F1217" s="6" t="s">
        <v>23</v>
      </c>
      <c r="G1217" s="4" t="s">
        <v>0</v>
      </c>
      <c r="H1217" s="24">
        <v>4320.1818181799999</v>
      </c>
      <c r="I1217" s="8">
        <v>46</v>
      </c>
      <c r="J1217" s="9">
        <v>35</v>
      </c>
      <c r="K1217" s="15">
        <v>-11</v>
      </c>
      <c r="L1217" s="24">
        <f>+Tabla2[[#This Row],[Stock Inventario]]*Tabla2[[#This Row],[Coste LÃ­nea]]</f>
        <v>151206.3636363</v>
      </c>
      <c r="M1217" s="24">
        <f>+Tabla2[[#This Row],[Variación Stock]]*Tabla2[[#This Row],[Coste LÃ­nea]]</f>
        <v>-47521.999999979998</v>
      </c>
      <c r="N1217" s="22" t="str">
        <f>+IF(Tabla2[[#This Row],[Variación Stock]]&gt;0,"Sobrante",IF(Tabla2[[#This Row],[Variación Stock]]&lt;0,"Faltante","Sin novedad"))</f>
        <v>Faltante</v>
      </c>
    </row>
    <row r="1218" spans="1:14" x14ac:dyDescent="0.25">
      <c r="A1218" s="11">
        <v>46044</v>
      </c>
      <c r="B1218" s="5" t="s">
        <v>358</v>
      </c>
      <c r="C1218" s="3" t="s">
        <v>128</v>
      </c>
      <c r="D1218" s="5" t="s">
        <v>111</v>
      </c>
      <c r="E1218" s="5" t="s">
        <v>112</v>
      </c>
      <c r="F1218" s="6" t="s">
        <v>44</v>
      </c>
      <c r="G1218" s="4" t="s">
        <v>0</v>
      </c>
      <c r="H1218" s="25">
        <v>3804.2272727300001</v>
      </c>
      <c r="I1218" s="8">
        <v>16</v>
      </c>
      <c r="J1218" s="9">
        <v>16</v>
      </c>
      <c r="K1218" s="7">
        <v>0</v>
      </c>
      <c r="L1218" s="24">
        <f>+Tabla2[[#This Row],[Stock Inventario]]*Tabla2[[#This Row],[Coste LÃ­nea]]</f>
        <v>60867.636363680002</v>
      </c>
      <c r="M1218" s="24">
        <f>+Tabla2[[#This Row],[Variación Stock]]*Tabla2[[#This Row],[Coste LÃ­nea]]</f>
        <v>0</v>
      </c>
      <c r="N1218" s="22" t="str">
        <f>+IF(Tabla2[[#This Row],[Variación Stock]]&gt;0,"Sobrante",IF(Tabla2[[#This Row],[Variación Stock]]&lt;0,"Faltante","Sin novedad"))</f>
        <v>Sin novedad</v>
      </c>
    </row>
    <row r="1219" spans="1:14" x14ac:dyDescent="0.25">
      <c r="A1219" s="11">
        <v>46044</v>
      </c>
      <c r="B1219" s="5" t="s">
        <v>358</v>
      </c>
      <c r="C1219" s="3" t="s">
        <v>128</v>
      </c>
      <c r="D1219" s="5" t="s">
        <v>118</v>
      </c>
      <c r="E1219" s="5" t="s">
        <v>112</v>
      </c>
      <c r="F1219" s="6" t="s">
        <v>86</v>
      </c>
      <c r="G1219" s="4" t="s">
        <v>81</v>
      </c>
      <c r="H1219" s="25">
        <v>10889.4</v>
      </c>
      <c r="I1219" s="8">
        <v>5</v>
      </c>
      <c r="J1219" s="9">
        <v>5</v>
      </c>
      <c r="K1219" s="7">
        <v>0</v>
      </c>
      <c r="L1219" s="24">
        <f>+Tabla2[[#This Row],[Stock Inventario]]*Tabla2[[#This Row],[Coste LÃ­nea]]</f>
        <v>54447</v>
      </c>
      <c r="M1219" s="24">
        <f>+Tabla2[[#This Row],[Variación Stock]]*Tabla2[[#This Row],[Coste LÃ­nea]]</f>
        <v>0</v>
      </c>
      <c r="N1219" s="22" t="str">
        <f>+IF(Tabla2[[#This Row],[Variación Stock]]&gt;0,"Sobrante",IF(Tabla2[[#This Row],[Variación Stock]]&lt;0,"Faltante","Sin novedad"))</f>
        <v>Sin novedad</v>
      </c>
    </row>
    <row r="1220" spans="1:14" hidden="1" x14ac:dyDescent="0.25">
      <c r="A1220" s="11">
        <v>46044</v>
      </c>
      <c r="B1220" s="5" t="s">
        <v>358</v>
      </c>
      <c r="C1220" s="3" t="s">
        <v>128</v>
      </c>
      <c r="D1220" s="5" t="s">
        <v>120</v>
      </c>
      <c r="E1220" s="5" t="s">
        <v>117</v>
      </c>
      <c r="F1220" s="6" t="s">
        <v>208</v>
      </c>
      <c r="G1220" s="4" t="s">
        <v>2</v>
      </c>
      <c r="H1220" s="25">
        <v>14657.172340589999</v>
      </c>
      <c r="I1220" s="8">
        <v>23.31</v>
      </c>
      <c r="J1220" s="9">
        <v>22.5</v>
      </c>
      <c r="K1220" s="15">
        <v>-0.81</v>
      </c>
      <c r="L1220" s="24">
        <f>+Tabla2[[#This Row],[Stock Inventario]]*Tabla2[[#This Row],[Coste LÃ­nea]]</f>
        <v>329786.37766327499</v>
      </c>
      <c r="M1220" s="24">
        <f>+Tabla2[[#This Row],[Variación Stock]]*Tabla2[[#This Row],[Coste LÃ­nea]]</f>
        <v>-11872.309595877899</v>
      </c>
      <c r="N1220" s="22" t="str">
        <f>+IF(Tabla2[[#This Row],[Variación Stock]]&gt;0,"Sobrante",IF(Tabla2[[#This Row],[Variación Stock]]&lt;0,"Faltante","Sin novedad"))</f>
        <v>Faltante</v>
      </c>
    </row>
    <row r="1221" spans="1:14" x14ac:dyDescent="0.25">
      <c r="A1221" s="11">
        <v>46044</v>
      </c>
      <c r="B1221" s="5" t="s">
        <v>358</v>
      </c>
      <c r="C1221" s="3" t="s">
        <v>128</v>
      </c>
      <c r="D1221" s="5" t="s">
        <v>111</v>
      </c>
      <c r="E1221" s="5" t="s">
        <v>112</v>
      </c>
      <c r="F1221" s="6" t="s">
        <v>143</v>
      </c>
      <c r="G1221" s="4" t="s">
        <v>2</v>
      </c>
      <c r="H1221" s="25">
        <v>24583</v>
      </c>
      <c r="I1221" s="8">
        <v>2</v>
      </c>
      <c r="J1221" s="9">
        <v>2</v>
      </c>
      <c r="K1221" s="7">
        <v>0</v>
      </c>
      <c r="L1221" s="24">
        <f>+Tabla2[[#This Row],[Stock Inventario]]*Tabla2[[#This Row],[Coste LÃ­nea]]</f>
        <v>49166</v>
      </c>
      <c r="M1221" s="24">
        <f>+Tabla2[[#This Row],[Variación Stock]]*Tabla2[[#This Row],[Coste LÃ­nea]]</f>
        <v>0</v>
      </c>
      <c r="N1221" s="22" t="str">
        <f>+IF(Tabla2[[#This Row],[Variación Stock]]&gt;0,"Sobrante",IF(Tabla2[[#This Row],[Variación Stock]]&lt;0,"Faltante","Sin novedad"))</f>
        <v>Sin novedad</v>
      </c>
    </row>
    <row r="1222" spans="1:14" x14ac:dyDescent="0.25">
      <c r="A1222" s="11">
        <v>46044</v>
      </c>
      <c r="B1222" s="5" t="s">
        <v>358</v>
      </c>
      <c r="C1222" s="3" t="s">
        <v>128</v>
      </c>
      <c r="D1222" s="5" t="s">
        <v>114</v>
      </c>
      <c r="E1222" s="5" t="s">
        <v>112</v>
      </c>
      <c r="F1222" s="6" t="s">
        <v>3</v>
      </c>
      <c r="G1222" s="4" t="s">
        <v>2</v>
      </c>
      <c r="H1222" s="25">
        <v>1497.59166667</v>
      </c>
      <c r="I1222" s="8">
        <v>98.2</v>
      </c>
      <c r="J1222" s="9">
        <v>149</v>
      </c>
      <c r="K1222" s="7">
        <f>+Tabla2[[#This Row],[Stock a Fecha]]-Tabla2[[#This Row],[Stock Inventario]]</f>
        <v>-50.8</v>
      </c>
      <c r="L1222" s="24">
        <f>+Tabla2[[#This Row],[Stock Inventario]]*Tabla2[[#This Row],[Coste LÃ­nea]]</f>
        <v>223141.15833383001</v>
      </c>
      <c r="M1222" s="24">
        <f>+Tabla2[[#This Row],[Variación Stock]]*Tabla2[[#This Row],[Coste LÃ­nea]]</f>
        <v>-76077.656666835988</v>
      </c>
      <c r="N1222" s="22" t="str">
        <f>+IF(Tabla2[[#This Row],[Variación Stock]]&gt;0,"Sobrante",IF(Tabla2[[#This Row],[Variación Stock]]&lt;0,"Faltante","Sin novedad"))</f>
        <v>Faltante</v>
      </c>
    </row>
    <row r="1223" spans="1:14" hidden="1" x14ac:dyDescent="0.25">
      <c r="A1223" s="11">
        <v>46037</v>
      </c>
      <c r="B1223" s="5" t="s">
        <v>127</v>
      </c>
      <c r="C1223" s="3" t="s">
        <v>128</v>
      </c>
      <c r="D1223" s="5" t="s">
        <v>120</v>
      </c>
      <c r="E1223" s="5" t="s">
        <v>117</v>
      </c>
      <c r="F1223" s="6" t="s">
        <v>209</v>
      </c>
      <c r="G1223" s="4" t="s">
        <v>2</v>
      </c>
      <c r="H1223" s="24">
        <v>12176.468749719999</v>
      </c>
      <c r="I1223" s="8">
        <v>24</v>
      </c>
      <c r="J1223" s="9">
        <v>23</v>
      </c>
      <c r="K1223" s="7">
        <v>-1</v>
      </c>
      <c r="L1223" s="24">
        <f>+Tabla2[[#This Row],[Stock Inventario]]*Tabla2[[#This Row],[Coste LÃ­nea]]</f>
        <v>280058.78124355996</v>
      </c>
      <c r="M1223" s="24">
        <f>+Tabla2[[#This Row],[Variación Stock]]*Tabla2[[#This Row],[Coste LÃ­nea]]</f>
        <v>-12176.468749719999</v>
      </c>
      <c r="N1223" s="22" t="str">
        <f>+IF(Tabla2[[#This Row],[Variación Stock]]&gt;0,"Sobrante",IF(Tabla2[[#This Row],[Variación Stock]]&lt;0,"Faltante","Sin novedad"))</f>
        <v>Faltante</v>
      </c>
    </row>
    <row r="1224" spans="1:14" x14ac:dyDescent="0.25">
      <c r="A1224" s="11">
        <v>46044</v>
      </c>
      <c r="B1224" s="5" t="s">
        <v>358</v>
      </c>
      <c r="C1224" s="3" t="s">
        <v>128</v>
      </c>
      <c r="D1224" s="5" t="s">
        <v>111</v>
      </c>
      <c r="E1224" s="5" t="s">
        <v>112</v>
      </c>
      <c r="F1224" s="6" t="s">
        <v>135</v>
      </c>
      <c r="G1224" s="4" t="s">
        <v>0</v>
      </c>
      <c r="H1224" s="25">
        <v>4505.9166666700003</v>
      </c>
      <c r="I1224" s="8">
        <v>10</v>
      </c>
      <c r="J1224" s="9">
        <v>10</v>
      </c>
      <c r="K1224" s="7">
        <v>0</v>
      </c>
      <c r="L1224" s="24">
        <f>+Tabla2[[#This Row],[Stock Inventario]]*Tabla2[[#This Row],[Coste LÃ­nea]]</f>
        <v>45059.166666700003</v>
      </c>
      <c r="M1224" s="24">
        <f>+Tabla2[[#This Row],[Variación Stock]]*Tabla2[[#This Row],[Coste LÃ­nea]]</f>
        <v>0</v>
      </c>
      <c r="N1224" s="22" t="str">
        <f>+IF(Tabla2[[#This Row],[Variación Stock]]&gt;0,"Sobrante",IF(Tabla2[[#This Row],[Variación Stock]]&lt;0,"Faltante","Sin novedad"))</f>
        <v>Sin novedad</v>
      </c>
    </row>
    <row r="1225" spans="1:14" x14ac:dyDescent="0.25">
      <c r="A1225" s="11">
        <v>46044</v>
      </c>
      <c r="B1225" s="5" t="s">
        <v>358</v>
      </c>
      <c r="C1225" s="3" t="s">
        <v>128</v>
      </c>
      <c r="D1225" s="5" t="s">
        <v>111</v>
      </c>
      <c r="E1225" s="5" t="s">
        <v>112</v>
      </c>
      <c r="F1225" s="6" t="s">
        <v>23</v>
      </c>
      <c r="G1225" s="4" t="s">
        <v>0</v>
      </c>
      <c r="H1225" s="25">
        <v>4724.9090909099996</v>
      </c>
      <c r="I1225" s="8">
        <v>77.34</v>
      </c>
      <c r="J1225" s="9">
        <v>66</v>
      </c>
      <c r="K1225" s="15">
        <v>-11.34</v>
      </c>
      <c r="L1225" s="24">
        <f>+Tabla2[[#This Row],[Stock Inventario]]*Tabla2[[#This Row],[Coste LÃ­nea]]</f>
        <v>311844.00000005995</v>
      </c>
      <c r="M1225" s="24">
        <f>+Tabla2[[#This Row],[Variación Stock]]*Tabla2[[#This Row],[Coste LÃ­nea]]</f>
        <v>-53580.469090919396</v>
      </c>
      <c r="N1225" s="22" t="str">
        <f>+IF(Tabla2[[#This Row],[Variación Stock]]&gt;0,"Sobrante",IF(Tabla2[[#This Row],[Variación Stock]]&lt;0,"Faltante","Sin novedad"))</f>
        <v>Faltante</v>
      </c>
    </row>
    <row r="1226" spans="1:14" x14ac:dyDescent="0.25">
      <c r="A1226" s="11">
        <v>46044</v>
      </c>
      <c r="B1226" s="5" t="s">
        <v>358</v>
      </c>
      <c r="C1226" s="3" t="s">
        <v>128</v>
      </c>
      <c r="D1226" s="5" t="s">
        <v>118</v>
      </c>
      <c r="E1226" s="5" t="s">
        <v>112</v>
      </c>
      <c r="F1226" s="6" t="s">
        <v>370</v>
      </c>
      <c r="G1226" s="4" t="s">
        <v>0</v>
      </c>
      <c r="H1226" s="25">
        <v>2137.5</v>
      </c>
      <c r="I1226" s="8">
        <v>20</v>
      </c>
      <c r="J1226" s="9">
        <v>20</v>
      </c>
      <c r="K1226" s="7">
        <v>0</v>
      </c>
      <c r="L1226" s="24">
        <f>+Tabla2[[#This Row],[Stock Inventario]]*Tabla2[[#This Row],[Coste LÃ­nea]]</f>
        <v>42750</v>
      </c>
      <c r="M1226" s="24">
        <f>+Tabla2[[#This Row],[Variación Stock]]*Tabla2[[#This Row],[Coste LÃ­nea]]</f>
        <v>0</v>
      </c>
      <c r="N1226" s="22" t="str">
        <f>+IF(Tabla2[[#This Row],[Variación Stock]]&gt;0,"Sobrante",IF(Tabla2[[#This Row],[Variación Stock]]&lt;0,"Faltante","Sin novedad"))</f>
        <v>Sin novedad</v>
      </c>
    </row>
    <row r="1227" spans="1:14" x14ac:dyDescent="0.25">
      <c r="A1227" s="11">
        <v>46037</v>
      </c>
      <c r="B1227" s="5" t="s">
        <v>127</v>
      </c>
      <c r="C1227" s="3" t="s">
        <v>128</v>
      </c>
      <c r="D1227" s="5" t="s">
        <v>111</v>
      </c>
      <c r="E1227" s="5" t="s">
        <v>112</v>
      </c>
      <c r="F1227" s="6" t="s">
        <v>40</v>
      </c>
      <c r="G1227" s="4" t="s">
        <v>0</v>
      </c>
      <c r="H1227" s="24">
        <v>2077.8620689700001</v>
      </c>
      <c r="I1227" s="8">
        <v>93</v>
      </c>
      <c r="J1227" s="9">
        <v>79</v>
      </c>
      <c r="K1227" s="7">
        <v>-14</v>
      </c>
      <c r="L1227" s="24">
        <f>+Tabla2[[#This Row],[Stock Inventario]]*Tabla2[[#This Row],[Coste LÃ­nea]]</f>
        <v>164151.10344863002</v>
      </c>
      <c r="M1227" s="24">
        <f>+Tabla2[[#This Row],[Variación Stock]]*Tabla2[[#This Row],[Coste LÃ­nea]]</f>
        <v>-29090.068965580002</v>
      </c>
      <c r="N1227" s="22" t="str">
        <f>+IF(Tabla2[[#This Row],[Variación Stock]]&gt;0,"Sobrante",IF(Tabla2[[#This Row],[Variación Stock]]&lt;0,"Faltante","Sin novedad"))</f>
        <v>Faltante</v>
      </c>
    </row>
    <row r="1228" spans="1:14" x14ac:dyDescent="0.25">
      <c r="A1228" s="11">
        <v>46044</v>
      </c>
      <c r="B1228" s="5" t="s">
        <v>358</v>
      </c>
      <c r="C1228" s="3" t="s">
        <v>128</v>
      </c>
      <c r="D1228" s="5" t="s">
        <v>114</v>
      </c>
      <c r="E1228" s="5" t="s">
        <v>112</v>
      </c>
      <c r="F1228" s="6" t="s">
        <v>63</v>
      </c>
      <c r="G1228" s="4" t="s">
        <v>2</v>
      </c>
      <c r="H1228" s="25">
        <v>1395.83333333</v>
      </c>
      <c r="I1228" s="8">
        <v>26</v>
      </c>
      <c r="J1228" s="9">
        <v>26</v>
      </c>
      <c r="K1228" s="7">
        <v>0</v>
      </c>
      <c r="L1228" s="24">
        <f>+Tabla2[[#This Row],[Stock Inventario]]*Tabla2[[#This Row],[Coste LÃ­nea]]</f>
        <v>36291.66666658</v>
      </c>
      <c r="M1228" s="24">
        <f>+Tabla2[[#This Row],[Variación Stock]]*Tabla2[[#This Row],[Coste LÃ­nea]]</f>
        <v>0</v>
      </c>
      <c r="N1228" s="22" t="str">
        <f>+IF(Tabla2[[#This Row],[Variación Stock]]&gt;0,"Sobrante",IF(Tabla2[[#This Row],[Variación Stock]]&lt;0,"Faltante","Sin novedad"))</f>
        <v>Sin novedad</v>
      </c>
    </row>
    <row r="1229" spans="1:14" x14ac:dyDescent="0.25">
      <c r="A1229" s="11">
        <v>46044</v>
      </c>
      <c r="B1229" s="5" t="s">
        <v>358</v>
      </c>
      <c r="C1229" s="3" t="s">
        <v>128</v>
      </c>
      <c r="D1229" s="5" t="s">
        <v>111</v>
      </c>
      <c r="E1229" s="5" t="s">
        <v>112</v>
      </c>
      <c r="F1229" s="6" t="s">
        <v>137</v>
      </c>
      <c r="G1229" s="4" t="s">
        <v>0</v>
      </c>
      <c r="H1229" s="25">
        <v>1919.45833333</v>
      </c>
      <c r="I1229" s="8">
        <v>14</v>
      </c>
      <c r="J1229" s="9">
        <v>0</v>
      </c>
      <c r="K1229" s="7">
        <v>-14</v>
      </c>
      <c r="L1229" s="24">
        <f>+Tabla2[[#This Row],[Stock Inventario]]*Tabla2[[#This Row],[Coste LÃ­nea]]</f>
        <v>0</v>
      </c>
      <c r="M1229" s="24">
        <f>+Tabla2[[#This Row],[Variación Stock]]*Tabla2[[#This Row],[Coste LÃ­nea]]</f>
        <v>-26872.41666662</v>
      </c>
      <c r="N1229" s="22" t="str">
        <f>+IF(Tabla2[[#This Row],[Variación Stock]]&gt;0,"Sobrante",IF(Tabla2[[#This Row],[Variación Stock]]&lt;0,"Faltante","Sin novedad"))</f>
        <v>Faltante</v>
      </c>
    </row>
    <row r="1230" spans="1:14" x14ac:dyDescent="0.25">
      <c r="A1230" s="11">
        <v>46044</v>
      </c>
      <c r="B1230" s="5" t="s">
        <v>358</v>
      </c>
      <c r="C1230" s="3" t="s">
        <v>128</v>
      </c>
      <c r="D1230" s="5" t="s">
        <v>122</v>
      </c>
      <c r="E1230" s="5" t="s">
        <v>112</v>
      </c>
      <c r="F1230" s="6" t="s">
        <v>106</v>
      </c>
      <c r="G1230" s="4" t="s">
        <v>2</v>
      </c>
      <c r="H1230" s="25">
        <v>3458.25</v>
      </c>
      <c r="I1230" s="8">
        <v>10</v>
      </c>
      <c r="J1230" s="9">
        <v>10</v>
      </c>
      <c r="K1230" s="7">
        <v>0</v>
      </c>
      <c r="L1230" s="24">
        <f>+Tabla2[[#This Row],[Stock Inventario]]*Tabla2[[#This Row],[Coste LÃ­nea]]</f>
        <v>34582.5</v>
      </c>
      <c r="M1230" s="24">
        <f>+Tabla2[[#This Row],[Variación Stock]]*Tabla2[[#This Row],[Coste LÃ­nea]]</f>
        <v>0</v>
      </c>
      <c r="N1230" s="22" t="str">
        <f>+IF(Tabla2[[#This Row],[Variación Stock]]&gt;0,"Sobrante",IF(Tabla2[[#This Row],[Variación Stock]]&lt;0,"Faltante","Sin novedad"))</f>
        <v>Sin novedad</v>
      </c>
    </row>
    <row r="1231" spans="1:14" x14ac:dyDescent="0.25">
      <c r="A1231" s="11">
        <v>46044</v>
      </c>
      <c r="B1231" s="5" t="s">
        <v>358</v>
      </c>
      <c r="C1231" s="3" t="s">
        <v>128</v>
      </c>
      <c r="D1231" s="5" t="s">
        <v>122</v>
      </c>
      <c r="E1231" s="5" t="s">
        <v>112</v>
      </c>
      <c r="F1231" s="6" t="s">
        <v>109</v>
      </c>
      <c r="G1231" s="4" t="s">
        <v>2</v>
      </c>
      <c r="H1231" s="25">
        <v>2766.6799719999999</v>
      </c>
      <c r="I1231" s="8">
        <v>2</v>
      </c>
      <c r="J1231" s="9">
        <v>0</v>
      </c>
      <c r="K1231" s="15">
        <v>-2</v>
      </c>
      <c r="L1231" s="24">
        <f>+Tabla2[[#This Row],[Stock Inventario]]*Tabla2[[#This Row],[Coste LÃ­nea]]</f>
        <v>0</v>
      </c>
      <c r="M1231" s="24">
        <f>+Tabla2[[#This Row],[Variación Stock]]*Tabla2[[#This Row],[Coste LÃ­nea]]</f>
        <v>-5533.3599439999998</v>
      </c>
      <c r="N1231" s="22" t="str">
        <f>+IF(Tabla2[[#This Row],[Variación Stock]]&gt;0,"Sobrante",IF(Tabla2[[#This Row],[Variación Stock]]&lt;0,"Faltante","Sin novedad"))</f>
        <v>Faltante</v>
      </c>
    </row>
    <row r="1232" spans="1:14" x14ac:dyDescent="0.25">
      <c r="A1232" s="11">
        <v>46044</v>
      </c>
      <c r="B1232" s="5" t="s">
        <v>358</v>
      </c>
      <c r="C1232" s="3" t="s">
        <v>128</v>
      </c>
      <c r="D1232" s="5" t="s">
        <v>111</v>
      </c>
      <c r="E1232" s="5" t="s">
        <v>112</v>
      </c>
      <c r="F1232" s="6" t="s">
        <v>35</v>
      </c>
      <c r="G1232" s="4" t="s">
        <v>0</v>
      </c>
      <c r="H1232" s="25">
        <v>1665.04166667</v>
      </c>
      <c r="I1232" s="8">
        <v>19</v>
      </c>
      <c r="J1232" s="9">
        <v>19</v>
      </c>
      <c r="K1232" s="7">
        <v>0</v>
      </c>
      <c r="L1232" s="24">
        <f>+Tabla2[[#This Row],[Stock Inventario]]*Tabla2[[#This Row],[Coste LÃ­nea]]</f>
        <v>31635.791666730001</v>
      </c>
      <c r="M1232" s="24">
        <f>+Tabla2[[#This Row],[Variación Stock]]*Tabla2[[#This Row],[Coste LÃ­nea]]</f>
        <v>0</v>
      </c>
      <c r="N1232" s="22" t="str">
        <f>+IF(Tabla2[[#This Row],[Variación Stock]]&gt;0,"Sobrante",IF(Tabla2[[#This Row],[Variación Stock]]&lt;0,"Faltante","Sin novedad"))</f>
        <v>Sin novedad</v>
      </c>
    </row>
    <row r="1233" spans="1:14" x14ac:dyDescent="0.25">
      <c r="A1233" s="11">
        <v>46044</v>
      </c>
      <c r="B1233" s="5" t="s">
        <v>358</v>
      </c>
      <c r="C1233" s="3" t="s">
        <v>128</v>
      </c>
      <c r="D1233" s="5" t="s">
        <v>122</v>
      </c>
      <c r="E1233" s="5" t="s">
        <v>112</v>
      </c>
      <c r="F1233" s="6" t="s">
        <v>105</v>
      </c>
      <c r="G1233" s="4" t="s">
        <v>2</v>
      </c>
      <c r="H1233" s="25">
        <v>3458.25</v>
      </c>
      <c r="I1233" s="8">
        <v>8</v>
      </c>
      <c r="J1233" s="9">
        <v>8</v>
      </c>
      <c r="K1233" s="7">
        <v>0</v>
      </c>
      <c r="L1233" s="24">
        <f>+Tabla2[[#This Row],[Stock Inventario]]*Tabla2[[#This Row],[Coste LÃ­nea]]</f>
        <v>27666</v>
      </c>
      <c r="M1233" s="24">
        <f>+Tabla2[[#This Row],[Variación Stock]]*Tabla2[[#This Row],[Coste LÃ­nea]]</f>
        <v>0</v>
      </c>
      <c r="N1233" s="22" t="str">
        <f>+IF(Tabla2[[#This Row],[Variación Stock]]&gt;0,"Sobrante",IF(Tabla2[[#This Row],[Variación Stock]]&lt;0,"Faltante","Sin novedad"))</f>
        <v>Sin novedad</v>
      </c>
    </row>
    <row r="1234" spans="1:14" x14ac:dyDescent="0.25">
      <c r="A1234" s="11">
        <v>46037</v>
      </c>
      <c r="B1234" s="5" t="s">
        <v>127</v>
      </c>
      <c r="C1234" s="3" t="s">
        <v>128</v>
      </c>
      <c r="D1234" s="5" t="s">
        <v>122</v>
      </c>
      <c r="E1234" s="5" t="s">
        <v>112</v>
      </c>
      <c r="F1234" s="6" t="s">
        <v>98</v>
      </c>
      <c r="G1234" s="4" t="s">
        <v>2</v>
      </c>
      <c r="H1234" s="24">
        <v>1654.27083333</v>
      </c>
      <c r="I1234" s="8">
        <v>119</v>
      </c>
      <c r="J1234" s="9">
        <v>108</v>
      </c>
      <c r="K1234" s="15">
        <v>-11</v>
      </c>
      <c r="L1234" s="24">
        <f>+Tabla2[[#This Row],[Stock Inventario]]*Tabla2[[#This Row],[Coste LÃ­nea]]</f>
        <v>178661.24999963999</v>
      </c>
      <c r="M1234" s="24">
        <f>+Tabla2[[#This Row],[Variación Stock]]*Tabla2[[#This Row],[Coste LÃ­nea]]</f>
        <v>-18196.979166630001</v>
      </c>
      <c r="N1234" s="22" t="str">
        <f>+IF(Tabla2[[#This Row],[Variación Stock]]&gt;0,"Sobrante",IF(Tabla2[[#This Row],[Variación Stock]]&lt;0,"Faltante","Sin novedad"))</f>
        <v>Faltante</v>
      </c>
    </row>
    <row r="1235" spans="1:14" hidden="1" x14ac:dyDescent="0.25">
      <c r="A1235" s="11">
        <v>46044</v>
      </c>
      <c r="B1235" s="5" t="s">
        <v>358</v>
      </c>
      <c r="C1235" s="3" t="s">
        <v>128</v>
      </c>
      <c r="D1235" s="5" t="s">
        <v>120</v>
      </c>
      <c r="E1235" s="5" t="s">
        <v>117</v>
      </c>
      <c r="F1235" s="6" t="s">
        <v>209</v>
      </c>
      <c r="G1235" s="4" t="s">
        <v>2</v>
      </c>
      <c r="H1235" s="25">
        <v>12037.43350241</v>
      </c>
      <c r="I1235" s="8">
        <v>35.5</v>
      </c>
      <c r="J1235" s="9">
        <v>27</v>
      </c>
      <c r="K1235" s="7">
        <v>-8.5</v>
      </c>
      <c r="L1235" s="24">
        <f>+Tabla2[[#This Row],[Stock Inventario]]*Tabla2[[#This Row],[Coste LÃ­nea]]</f>
        <v>325010.70456506999</v>
      </c>
      <c r="M1235" s="24">
        <f>+Tabla2[[#This Row],[Variación Stock]]*Tabla2[[#This Row],[Coste LÃ­nea]]</f>
        <v>-102318.18477048501</v>
      </c>
      <c r="N1235" s="22" t="str">
        <f>+IF(Tabla2[[#This Row],[Variación Stock]]&gt;0,"Sobrante",IF(Tabla2[[#This Row],[Variación Stock]]&lt;0,"Faltante","Sin novedad"))</f>
        <v>Faltante</v>
      </c>
    </row>
    <row r="1236" spans="1:14" x14ac:dyDescent="0.25">
      <c r="A1236" s="11">
        <v>46044</v>
      </c>
      <c r="B1236" s="5" t="s">
        <v>358</v>
      </c>
      <c r="C1236" s="3" t="s">
        <v>128</v>
      </c>
      <c r="D1236" s="5" t="s">
        <v>122</v>
      </c>
      <c r="E1236" s="5" t="s">
        <v>112</v>
      </c>
      <c r="F1236" s="6" t="s">
        <v>103</v>
      </c>
      <c r="G1236" s="4" t="s">
        <v>2</v>
      </c>
      <c r="H1236" s="25">
        <v>3458.3283333300001</v>
      </c>
      <c r="I1236" s="8">
        <v>6</v>
      </c>
      <c r="J1236" s="9">
        <v>6</v>
      </c>
      <c r="K1236" s="7">
        <v>0</v>
      </c>
      <c r="L1236" s="24">
        <f>+Tabla2[[#This Row],[Stock Inventario]]*Tabla2[[#This Row],[Coste LÃ­nea]]</f>
        <v>20749.96999998</v>
      </c>
      <c r="M1236" s="24">
        <f>+Tabla2[[#This Row],[Variación Stock]]*Tabla2[[#This Row],[Coste LÃ­nea]]</f>
        <v>0</v>
      </c>
      <c r="N1236" s="22" t="str">
        <f>+IF(Tabla2[[#This Row],[Variación Stock]]&gt;0,"Sobrante",IF(Tabla2[[#This Row],[Variación Stock]]&lt;0,"Faltante","Sin novedad"))</f>
        <v>Sin novedad</v>
      </c>
    </row>
    <row r="1237" spans="1:14" x14ac:dyDescent="0.25">
      <c r="A1237" s="11">
        <v>46044</v>
      </c>
      <c r="B1237" s="5" t="s">
        <v>358</v>
      </c>
      <c r="C1237" s="3" t="s">
        <v>128</v>
      </c>
      <c r="D1237" s="5" t="s">
        <v>114</v>
      </c>
      <c r="E1237" s="5" t="s">
        <v>112</v>
      </c>
      <c r="F1237" s="6" t="s">
        <v>110</v>
      </c>
      <c r="G1237" s="4" t="s">
        <v>2</v>
      </c>
      <c r="H1237" s="25">
        <v>4126.8333333299997</v>
      </c>
      <c r="I1237" s="8">
        <v>6</v>
      </c>
      <c r="J1237" s="9">
        <v>5</v>
      </c>
      <c r="K1237" s="7">
        <v>-1</v>
      </c>
      <c r="L1237" s="24">
        <f>+Tabla2[[#This Row],[Stock Inventario]]*Tabla2[[#This Row],[Coste LÃ­nea]]</f>
        <v>20634.166666649999</v>
      </c>
      <c r="M1237" s="24">
        <f>+Tabla2[[#This Row],[Variación Stock]]*Tabla2[[#This Row],[Coste LÃ­nea]]</f>
        <v>-4126.8333333299997</v>
      </c>
      <c r="N1237" s="22" t="str">
        <f>+IF(Tabla2[[#This Row],[Variación Stock]]&gt;0,"Sobrante",IF(Tabla2[[#This Row],[Variación Stock]]&lt;0,"Faltante","Sin novedad"))</f>
        <v>Faltante</v>
      </c>
    </row>
    <row r="1238" spans="1:14" hidden="1" x14ac:dyDescent="0.25">
      <c r="A1238" s="11">
        <v>46037</v>
      </c>
      <c r="B1238" s="5" t="s">
        <v>127</v>
      </c>
      <c r="C1238" s="3" t="s">
        <v>128</v>
      </c>
      <c r="D1238" s="5" t="s">
        <v>120</v>
      </c>
      <c r="E1238" s="5" t="s">
        <v>117</v>
      </c>
      <c r="F1238" s="6" t="s">
        <v>210</v>
      </c>
      <c r="G1238" s="4" t="s">
        <v>2</v>
      </c>
      <c r="H1238" s="24">
        <v>3626.8235500000001</v>
      </c>
      <c r="I1238" s="8">
        <v>36</v>
      </c>
      <c r="J1238" s="9">
        <v>36</v>
      </c>
      <c r="K1238" s="7">
        <v>0</v>
      </c>
      <c r="L1238" s="24">
        <f>+Tabla2[[#This Row],[Stock Inventario]]*Tabla2[[#This Row],[Coste LÃ­nea]]</f>
        <v>130565.64780000001</v>
      </c>
      <c r="M1238" s="24">
        <f>+Tabla2[[#This Row],[Variación Stock]]*Tabla2[[#This Row],[Coste LÃ­nea]]</f>
        <v>0</v>
      </c>
      <c r="N1238" s="22" t="str">
        <f>+IF(Tabla2[[#This Row],[Variación Stock]]&gt;0,"Sobrante",IF(Tabla2[[#This Row],[Variación Stock]]&lt;0,"Faltante","Sin novedad"))</f>
        <v>Sin novedad</v>
      </c>
    </row>
    <row r="1239" spans="1:14" x14ac:dyDescent="0.25">
      <c r="A1239" s="11">
        <v>46044</v>
      </c>
      <c r="B1239" s="5" t="s">
        <v>358</v>
      </c>
      <c r="C1239" s="3" t="s">
        <v>128</v>
      </c>
      <c r="D1239" s="5" t="s">
        <v>114</v>
      </c>
      <c r="E1239" s="5" t="s">
        <v>112</v>
      </c>
      <c r="F1239" s="6" t="s">
        <v>68</v>
      </c>
      <c r="G1239" s="4" t="s">
        <v>2</v>
      </c>
      <c r="H1239" s="25">
        <v>4986.1393557499996</v>
      </c>
      <c r="I1239" s="8">
        <v>5</v>
      </c>
      <c r="J1239" s="9">
        <v>3</v>
      </c>
      <c r="K1239" s="7">
        <v>-2</v>
      </c>
      <c r="L1239" s="24">
        <f>+Tabla2[[#This Row],[Stock Inventario]]*Tabla2[[#This Row],[Coste LÃ­nea]]</f>
        <v>14958.418067249999</v>
      </c>
      <c r="M1239" s="24">
        <f>+Tabla2[[#This Row],[Variación Stock]]*Tabla2[[#This Row],[Coste LÃ­nea]]</f>
        <v>-9972.2787114999992</v>
      </c>
      <c r="N1239" s="22" t="str">
        <f>+IF(Tabla2[[#This Row],[Variación Stock]]&gt;0,"Sobrante",IF(Tabla2[[#This Row],[Variación Stock]]&lt;0,"Faltante","Sin novedad"))</f>
        <v>Faltante</v>
      </c>
    </row>
    <row r="1240" spans="1:14" x14ac:dyDescent="0.25">
      <c r="A1240" s="11">
        <v>46044</v>
      </c>
      <c r="B1240" s="5" t="s">
        <v>358</v>
      </c>
      <c r="C1240" s="3" t="s">
        <v>128</v>
      </c>
      <c r="D1240" s="5" t="s">
        <v>111</v>
      </c>
      <c r="E1240" s="5" t="s">
        <v>112</v>
      </c>
      <c r="F1240" s="6" t="s">
        <v>145</v>
      </c>
      <c r="G1240" s="4" t="s">
        <v>0</v>
      </c>
      <c r="H1240" s="25">
        <v>1500</v>
      </c>
      <c r="I1240" s="8">
        <v>9</v>
      </c>
      <c r="J1240" s="9">
        <v>9</v>
      </c>
      <c r="K1240" s="7">
        <v>0</v>
      </c>
      <c r="L1240" s="24">
        <f>+Tabla2[[#This Row],[Stock Inventario]]*Tabla2[[#This Row],[Coste LÃ­nea]]</f>
        <v>13500</v>
      </c>
      <c r="M1240" s="24">
        <f>+Tabla2[[#This Row],[Variación Stock]]*Tabla2[[#This Row],[Coste LÃ­nea]]</f>
        <v>0</v>
      </c>
      <c r="N1240" s="22" t="str">
        <f>+IF(Tabla2[[#This Row],[Variación Stock]]&gt;0,"Sobrante",IF(Tabla2[[#This Row],[Variación Stock]]&lt;0,"Faltante","Sin novedad"))</f>
        <v>Sin novedad</v>
      </c>
    </row>
    <row r="1241" spans="1:14" x14ac:dyDescent="0.25">
      <c r="A1241" s="11">
        <v>46044</v>
      </c>
      <c r="B1241" s="5" t="s">
        <v>358</v>
      </c>
      <c r="C1241" s="3" t="s">
        <v>128</v>
      </c>
      <c r="D1241" s="5" t="s">
        <v>111</v>
      </c>
      <c r="E1241" s="5" t="s">
        <v>112</v>
      </c>
      <c r="F1241" s="6" t="s">
        <v>48</v>
      </c>
      <c r="G1241" s="4" t="s">
        <v>0</v>
      </c>
      <c r="H1241" s="25">
        <v>1729.16666667</v>
      </c>
      <c r="I1241" s="8">
        <v>40</v>
      </c>
      <c r="J1241" s="9">
        <v>25</v>
      </c>
      <c r="K1241" s="7">
        <v>-15</v>
      </c>
      <c r="L1241" s="24">
        <f>+Tabla2[[#This Row],[Stock Inventario]]*Tabla2[[#This Row],[Coste LÃ­nea]]</f>
        <v>43229.166666750003</v>
      </c>
      <c r="M1241" s="24">
        <f>+Tabla2[[#This Row],[Variación Stock]]*Tabla2[[#This Row],[Coste LÃ­nea]]</f>
        <v>-25937.50000005</v>
      </c>
      <c r="N1241" s="22" t="str">
        <f>+IF(Tabla2[[#This Row],[Variación Stock]]&gt;0,"Sobrante",IF(Tabla2[[#This Row],[Variación Stock]]&lt;0,"Faltante","Sin novedad"))</f>
        <v>Faltante</v>
      </c>
    </row>
    <row r="1242" spans="1:14" hidden="1" x14ac:dyDescent="0.25">
      <c r="A1242" s="11">
        <v>46044</v>
      </c>
      <c r="B1242" s="5" t="s">
        <v>358</v>
      </c>
      <c r="C1242" s="3" t="s">
        <v>128</v>
      </c>
      <c r="D1242" s="5" t="s">
        <v>120</v>
      </c>
      <c r="E1242" s="5" t="s">
        <v>117</v>
      </c>
      <c r="F1242" s="6" t="s">
        <v>210</v>
      </c>
      <c r="G1242" s="4" t="s">
        <v>2</v>
      </c>
      <c r="H1242" s="25">
        <v>3637.5542850000002</v>
      </c>
      <c r="I1242" s="8">
        <v>58</v>
      </c>
      <c r="J1242" s="9">
        <v>58</v>
      </c>
      <c r="K1242" s="7">
        <v>0</v>
      </c>
      <c r="L1242" s="24">
        <f>+Tabla2[[#This Row],[Stock Inventario]]*Tabla2[[#This Row],[Coste LÃ­nea]]</f>
        <v>210978.14853000001</v>
      </c>
      <c r="M1242" s="24">
        <f>+Tabla2[[#This Row],[Variación Stock]]*Tabla2[[#This Row],[Coste LÃ­nea]]</f>
        <v>0</v>
      </c>
      <c r="N1242" s="22" t="str">
        <f>+IF(Tabla2[[#This Row],[Variación Stock]]&gt;0,"Sobrante",IF(Tabla2[[#This Row],[Variación Stock]]&lt;0,"Faltante","Sin novedad"))</f>
        <v>Sin novedad</v>
      </c>
    </row>
    <row r="1243" spans="1:14" x14ac:dyDescent="0.25">
      <c r="A1243" s="11">
        <v>46037</v>
      </c>
      <c r="B1243" s="5" t="s">
        <v>127</v>
      </c>
      <c r="C1243" s="3" t="s">
        <v>128</v>
      </c>
      <c r="D1243" s="5" t="s">
        <v>111</v>
      </c>
      <c r="E1243" s="5" t="s">
        <v>112</v>
      </c>
      <c r="F1243" s="6" t="s">
        <v>136</v>
      </c>
      <c r="G1243" s="4" t="s">
        <v>0</v>
      </c>
      <c r="H1243" s="24">
        <v>1425.6293103400001</v>
      </c>
      <c r="I1243" s="8">
        <v>114</v>
      </c>
      <c r="J1243" s="9">
        <v>94</v>
      </c>
      <c r="K1243" s="7">
        <v>-20</v>
      </c>
      <c r="L1243" s="24">
        <f>+Tabla2[[#This Row],[Stock Inventario]]*Tabla2[[#This Row],[Coste LÃ­nea]]</f>
        <v>134009.15517196001</v>
      </c>
      <c r="M1243" s="24">
        <f>+Tabla2[[#This Row],[Variación Stock]]*Tabla2[[#This Row],[Coste LÃ­nea]]</f>
        <v>-28512.586206800002</v>
      </c>
      <c r="N1243" s="22" t="str">
        <f>+IF(Tabla2[[#This Row],[Variación Stock]]&gt;0,"Sobrante",IF(Tabla2[[#This Row],[Variación Stock]]&lt;0,"Faltante","Sin novedad"))</f>
        <v>Faltante</v>
      </c>
    </row>
    <row r="1244" spans="1:14" x14ac:dyDescent="0.25">
      <c r="A1244" s="11">
        <v>46044</v>
      </c>
      <c r="B1244" s="5" t="s">
        <v>358</v>
      </c>
      <c r="C1244" s="3" t="s">
        <v>128</v>
      </c>
      <c r="D1244" s="5" t="s">
        <v>122</v>
      </c>
      <c r="E1244" s="5" t="s">
        <v>112</v>
      </c>
      <c r="F1244" s="6" t="s">
        <v>107</v>
      </c>
      <c r="G1244" s="4" t="s">
        <v>2</v>
      </c>
      <c r="H1244" s="25">
        <v>2766.5</v>
      </c>
      <c r="I1244" s="8">
        <v>2</v>
      </c>
      <c r="J1244" s="9">
        <v>2</v>
      </c>
      <c r="K1244" s="7">
        <v>0</v>
      </c>
      <c r="L1244" s="24">
        <f>+Tabla2[[#This Row],[Stock Inventario]]*Tabla2[[#This Row],[Coste LÃ­nea]]</f>
        <v>5533</v>
      </c>
      <c r="M1244" s="24">
        <f>+Tabla2[[#This Row],[Variación Stock]]*Tabla2[[#This Row],[Coste LÃ­nea]]</f>
        <v>0</v>
      </c>
      <c r="N1244" s="22" t="str">
        <f>+IF(Tabla2[[#This Row],[Variación Stock]]&gt;0,"Sobrante",IF(Tabla2[[#This Row],[Variación Stock]]&lt;0,"Faltante","Sin novedad"))</f>
        <v>Sin novedad</v>
      </c>
    </row>
    <row r="1245" spans="1:14" hidden="1" x14ac:dyDescent="0.25">
      <c r="A1245" s="11">
        <v>46037</v>
      </c>
      <c r="B1245" s="5" t="s">
        <v>127</v>
      </c>
      <c r="C1245" s="3" t="s">
        <v>128</v>
      </c>
      <c r="D1245" s="5" t="s">
        <v>120</v>
      </c>
      <c r="E1245" s="5" t="s">
        <v>117</v>
      </c>
      <c r="F1245" s="6" t="s">
        <v>211</v>
      </c>
      <c r="G1245" s="4" t="s">
        <v>2</v>
      </c>
      <c r="H1245" s="24">
        <v>4459.9375</v>
      </c>
      <c r="I1245" s="8">
        <v>10</v>
      </c>
      <c r="J1245" s="9">
        <v>10</v>
      </c>
      <c r="K1245" s="7">
        <v>0</v>
      </c>
      <c r="L1245" s="24">
        <f>+Tabla2[[#This Row],[Stock Inventario]]*Tabla2[[#This Row],[Coste LÃ­nea]]</f>
        <v>44599.375</v>
      </c>
      <c r="M1245" s="24">
        <f>+Tabla2[[#This Row],[Variación Stock]]*Tabla2[[#This Row],[Coste LÃ­nea]]</f>
        <v>0</v>
      </c>
      <c r="N1245" s="22" t="str">
        <f>+IF(Tabla2[[#This Row],[Variación Stock]]&gt;0,"Sobrante",IF(Tabla2[[#This Row],[Variación Stock]]&lt;0,"Faltante","Sin novedad"))</f>
        <v>Sin novedad</v>
      </c>
    </row>
    <row r="1246" spans="1:14" x14ac:dyDescent="0.25">
      <c r="A1246" s="11">
        <v>46044</v>
      </c>
      <c r="B1246" s="5" t="s">
        <v>358</v>
      </c>
      <c r="C1246" s="3" t="s">
        <v>128</v>
      </c>
      <c r="D1246" s="5" t="s">
        <v>111</v>
      </c>
      <c r="E1246" s="5" t="s">
        <v>112</v>
      </c>
      <c r="F1246" s="6" t="s">
        <v>359</v>
      </c>
      <c r="G1246" s="4" t="s">
        <v>0</v>
      </c>
      <c r="H1246" s="25">
        <v>0</v>
      </c>
      <c r="I1246" s="8">
        <v>44</v>
      </c>
      <c r="J1246" s="9">
        <v>44</v>
      </c>
      <c r="K1246" s="7">
        <v>0</v>
      </c>
      <c r="L1246" s="24">
        <f>+Tabla2[[#This Row],[Stock Inventario]]*Tabla2[[#This Row],[Coste LÃ­nea]]</f>
        <v>0</v>
      </c>
      <c r="M1246" s="24">
        <f>+Tabla2[[#This Row],[Variación Stock]]*Tabla2[[#This Row],[Coste LÃ­nea]]</f>
        <v>0</v>
      </c>
      <c r="N1246" s="22" t="str">
        <f>+IF(Tabla2[[#This Row],[Variación Stock]]&gt;0,"Sobrante",IF(Tabla2[[#This Row],[Variación Stock]]&lt;0,"Faltante","Sin novedad"))</f>
        <v>Sin novedad</v>
      </c>
    </row>
    <row r="1247" spans="1:14" x14ac:dyDescent="0.25">
      <c r="A1247" s="11">
        <v>46044</v>
      </c>
      <c r="B1247" s="5" t="s">
        <v>358</v>
      </c>
      <c r="C1247" s="3" t="s">
        <v>128</v>
      </c>
      <c r="D1247" s="5" t="s">
        <v>111</v>
      </c>
      <c r="E1247" s="5" t="s">
        <v>112</v>
      </c>
      <c r="F1247" s="6" t="s">
        <v>360</v>
      </c>
      <c r="G1247" s="4" t="s">
        <v>0</v>
      </c>
      <c r="H1247" s="25">
        <v>0</v>
      </c>
      <c r="I1247" s="8">
        <v>44</v>
      </c>
      <c r="J1247" s="9">
        <v>44</v>
      </c>
      <c r="K1247" s="7">
        <v>0</v>
      </c>
      <c r="L1247" s="24">
        <f>+Tabla2[[#This Row],[Stock Inventario]]*Tabla2[[#This Row],[Coste LÃ­nea]]</f>
        <v>0</v>
      </c>
      <c r="M1247" s="24">
        <f>+Tabla2[[#This Row],[Variación Stock]]*Tabla2[[#This Row],[Coste LÃ­nea]]</f>
        <v>0</v>
      </c>
      <c r="N1247" s="22" t="str">
        <f>+IF(Tabla2[[#This Row],[Variación Stock]]&gt;0,"Sobrante",IF(Tabla2[[#This Row],[Variación Stock]]&lt;0,"Faltante","Sin novedad"))</f>
        <v>Sin novedad</v>
      </c>
    </row>
    <row r="1248" spans="1:14" x14ac:dyDescent="0.25">
      <c r="A1248" s="11">
        <v>46044</v>
      </c>
      <c r="B1248" s="5" t="s">
        <v>358</v>
      </c>
      <c r="C1248" s="3" t="s">
        <v>128</v>
      </c>
      <c r="D1248" s="5" t="s">
        <v>111</v>
      </c>
      <c r="E1248" s="5" t="s">
        <v>112</v>
      </c>
      <c r="F1248" s="6" t="s">
        <v>361</v>
      </c>
      <c r="G1248" s="4" t="s">
        <v>0</v>
      </c>
      <c r="H1248" s="25">
        <v>0</v>
      </c>
      <c r="I1248" s="8">
        <v>0</v>
      </c>
      <c r="J1248" s="9">
        <v>0</v>
      </c>
      <c r="K1248" s="7">
        <v>0</v>
      </c>
      <c r="L1248" s="24">
        <f>+Tabla2[[#This Row],[Stock Inventario]]*Tabla2[[#This Row],[Coste LÃ­nea]]</f>
        <v>0</v>
      </c>
      <c r="M1248" s="24">
        <f>+Tabla2[[#This Row],[Variación Stock]]*Tabla2[[#This Row],[Coste LÃ­nea]]</f>
        <v>0</v>
      </c>
      <c r="N1248" s="22" t="str">
        <f>+IF(Tabla2[[#This Row],[Variación Stock]]&gt;0,"Sobrante",IF(Tabla2[[#This Row],[Variación Stock]]&lt;0,"Faltante","Sin novedad"))</f>
        <v>Sin novedad</v>
      </c>
    </row>
    <row r="1249" spans="1:14" x14ac:dyDescent="0.25">
      <c r="A1249" s="11">
        <v>46044</v>
      </c>
      <c r="B1249" s="5" t="s">
        <v>358</v>
      </c>
      <c r="C1249" s="3" t="s">
        <v>128</v>
      </c>
      <c r="D1249" s="5" t="s">
        <v>111</v>
      </c>
      <c r="E1249" s="5" t="s">
        <v>112</v>
      </c>
      <c r="F1249" s="6" t="s">
        <v>362</v>
      </c>
      <c r="G1249" s="4" t="s">
        <v>0</v>
      </c>
      <c r="H1249" s="25">
        <v>0</v>
      </c>
      <c r="I1249" s="8">
        <v>0</v>
      </c>
      <c r="J1249" s="9">
        <v>0</v>
      </c>
      <c r="K1249" s="7">
        <v>0</v>
      </c>
      <c r="L1249" s="24">
        <f>+Tabla2[[#This Row],[Stock Inventario]]*Tabla2[[#This Row],[Coste LÃ­nea]]</f>
        <v>0</v>
      </c>
      <c r="M1249" s="24">
        <f>+Tabla2[[#This Row],[Variación Stock]]*Tabla2[[#This Row],[Coste LÃ­nea]]</f>
        <v>0</v>
      </c>
      <c r="N1249" s="22" t="str">
        <f>+IF(Tabla2[[#This Row],[Variación Stock]]&gt;0,"Sobrante",IF(Tabla2[[#This Row],[Variación Stock]]&lt;0,"Faltante","Sin novedad"))</f>
        <v>Sin novedad</v>
      </c>
    </row>
    <row r="1250" spans="1:14" x14ac:dyDescent="0.25">
      <c r="A1250" s="11">
        <v>46044</v>
      </c>
      <c r="B1250" s="5" t="s">
        <v>358</v>
      </c>
      <c r="C1250" s="3" t="s">
        <v>128</v>
      </c>
      <c r="D1250" s="5" t="s">
        <v>111</v>
      </c>
      <c r="E1250" s="5" t="s">
        <v>112</v>
      </c>
      <c r="F1250" s="6" t="s">
        <v>363</v>
      </c>
      <c r="G1250" s="4" t="s">
        <v>0</v>
      </c>
      <c r="H1250" s="25">
        <v>0</v>
      </c>
      <c r="I1250" s="8">
        <v>15</v>
      </c>
      <c r="J1250" s="9">
        <v>15</v>
      </c>
      <c r="K1250" s="7">
        <v>0</v>
      </c>
      <c r="L1250" s="24">
        <f>+Tabla2[[#This Row],[Stock Inventario]]*Tabla2[[#This Row],[Coste LÃ­nea]]</f>
        <v>0</v>
      </c>
      <c r="M1250" s="24">
        <f>+Tabla2[[#This Row],[Variación Stock]]*Tabla2[[#This Row],[Coste LÃ­nea]]</f>
        <v>0</v>
      </c>
      <c r="N1250" s="22" t="str">
        <f>+IF(Tabla2[[#This Row],[Variación Stock]]&gt;0,"Sobrante",IF(Tabla2[[#This Row],[Variación Stock]]&lt;0,"Faltante","Sin novedad"))</f>
        <v>Sin novedad</v>
      </c>
    </row>
    <row r="1251" spans="1:14" x14ac:dyDescent="0.25">
      <c r="A1251" s="11">
        <v>46044</v>
      </c>
      <c r="B1251" s="5" t="s">
        <v>358</v>
      </c>
      <c r="C1251" s="3" t="s">
        <v>128</v>
      </c>
      <c r="D1251" s="5" t="s">
        <v>111</v>
      </c>
      <c r="E1251" s="5" t="s">
        <v>112</v>
      </c>
      <c r="F1251" s="6" t="s">
        <v>286</v>
      </c>
      <c r="G1251" s="4" t="s">
        <v>0</v>
      </c>
      <c r="H1251" s="25">
        <v>0</v>
      </c>
      <c r="I1251" s="8">
        <v>36</v>
      </c>
      <c r="J1251" s="9">
        <v>36</v>
      </c>
      <c r="K1251" s="7">
        <v>0</v>
      </c>
      <c r="L1251" s="24">
        <f>+Tabla2[[#This Row],[Stock Inventario]]*Tabla2[[#This Row],[Coste LÃ­nea]]</f>
        <v>0</v>
      </c>
      <c r="M1251" s="24">
        <f>+Tabla2[[#This Row],[Variación Stock]]*Tabla2[[#This Row],[Coste LÃ­nea]]</f>
        <v>0</v>
      </c>
      <c r="N1251" s="22" t="str">
        <f>+IF(Tabla2[[#This Row],[Variación Stock]]&gt;0,"Sobrante",IF(Tabla2[[#This Row],[Variación Stock]]&lt;0,"Faltante","Sin novedad"))</f>
        <v>Sin novedad</v>
      </c>
    </row>
    <row r="1252" spans="1:14" x14ac:dyDescent="0.25">
      <c r="A1252" s="11">
        <v>46037</v>
      </c>
      <c r="B1252" s="5" t="s">
        <v>127</v>
      </c>
      <c r="C1252" s="3" t="s">
        <v>128</v>
      </c>
      <c r="D1252" s="5" t="s">
        <v>111</v>
      </c>
      <c r="E1252" s="5" t="s">
        <v>112</v>
      </c>
      <c r="F1252" s="6" t="s">
        <v>142</v>
      </c>
      <c r="G1252" s="4" t="s">
        <v>0</v>
      </c>
      <c r="H1252" s="24">
        <v>2457.3333333300002</v>
      </c>
      <c r="I1252" s="8">
        <v>85</v>
      </c>
      <c r="J1252" s="9">
        <v>59</v>
      </c>
      <c r="K1252" s="7">
        <v>-26</v>
      </c>
      <c r="L1252" s="24">
        <f>+Tabla2[[#This Row],[Stock Inventario]]*Tabla2[[#This Row],[Coste LÃ­nea]]</f>
        <v>144982.66666647</v>
      </c>
      <c r="M1252" s="24">
        <f>+Tabla2[[#This Row],[Variación Stock]]*Tabla2[[#This Row],[Coste LÃ­nea]]</f>
        <v>-63890.666666580008</v>
      </c>
      <c r="N1252" s="22" t="str">
        <f>+IF(Tabla2[[#This Row],[Variación Stock]]&gt;0,"Sobrante",IF(Tabla2[[#This Row],[Variación Stock]]&lt;0,"Faltante","Sin novedad"))</f>
        <v>Faltante</v>
      </c>
    </row>
    <row r="1253" spans="1:14" x14ac:dyDescent="0.25">
      <c r="A1253" s="11">
        <v>46044</v>
      </c>
      <c r="B1253" s="5" t="s">
        <v>358</v>
      </c>
      <c r="C1253" s="3" t="s">
        <v>128</v>
      </c>
      <c r="D1253" s="5" t="s">
        <v>111</v>
      </c>
      <c r="E1253" s="5" t="s">
        <v>112</v>
      </c>
      <c r="F1253" s="6" t="s">
        <v>130</v>
      </c>
      <c r="G1253" s="4" t="s">
        <v>0</v>
      </c>
      <c r="H1253" s="25">
        <v>1997.7272727300001</v>
      </c>
      <c r="I1253" s="8">
        <v>0</v>
      </c>
      <c r="J1253" s="9">
        <v>0</v>
      </c>
      <c r="K1253" s="7">
        <v>0</v>
      </c>
      <c r="L1253" s="24">
        <f>+Tabla2[[#This Row],[Stock Inventario]]*Tabla2[[#This Row],[Coste LÃ­nea]]</f>
        <v>0</v>
      </c>
      <c r="M1253" s="24">
        <f>+Tabla2[[#This Row],[Variación Stock]]*Tabla2[[#This Row],[Coste LÃ­nea]]</f>
        <v>0</v>
      </c>
      <c r="N1253" s="22" t="str">
        <f>+IF(Tabla2[[#This Row],[Variación Stock]]&gt;0,"Sobrante",IF(Tabla2[[#This Row],[Variación Stock]]&lt;0,"Faltante","Sin novedad"))</f>
        <v>Sin novedad</v>
      </c>
    </row>
    <row r="1254" spans="1:14" x14ac:dyDescent="0.25">
      <c r="A1254" s="11">
        <v>46044</v>
      </c>
      <c r="B1254" s="5" t="s">
        <v>358</v>
      </c>
      <c r="C1254" s="3" t="s">
        <v>128</v>
      </c>
      <c r="D1254" s="5" t="s">
        <v>111</v>
      </c>
      <c r="E1254" s="5" t="s">
        <v>112</v>
      </c>
      <c r="F1254" s="6" t="s">
        <v>132</v>
      </c>
      <c r="G1254" s="4" t="s">
        <v>0</v>
      </c>
      <c r="H1254" s="25">
        <v>0</v>
      </c>
      <c r="I1254" s="8">
        <v>64</v>
      </c>
      <c r="J1254" s="9">
        <v>64</v>
      </c>
      <c r="K1254" s="7">
        <v>0</v>
      </c>
      <c r="L1254" s="24">
        <f>+Tabla2[[#This Row],[Stock Inventario]]*Tabla2[[#This Row],[Coste LÃ­nea]]</f>
        <v>0</v>
      </c>
      <c r="M1254" s="24">
        <f>+Tabla2[[#This Row],[Variación Stock]]*Tabla2[[#This Row],[Coste LÃ­nea]]</f>
        <v>0</v>
      </c>
      <c r="N1254" s="22" t="str">
        <f>+IF(Tabla2[[#This Row],[Variación Stock]]&gt;0,"Sobrante",IF(Tabla2[[#This Row],[Variación Stock]]&lt;0,"Faltante","Sin novedad"))</f>
        <v>Sin novedad</v>
      </c>
    </row>
    <row r="1255" spans="1:14" x14ac:dyDescent="0.25">
      <c r="A1255" s="11">
        <v>46044</v>
      </c>
      <c r="B1255" s="5" t="s">
        <v>358</v>
      </c>
      <c r="C1255" s="3" t="s">
        <v>128</v>
      </c>
      <c r="D1255" s="5" t="s">
        <v>111</v>
      </c>
      <c r="E1255" s="5" t="s">
        <v>112</v>
      </c>
      <c r="F1255" s="6" t="s">
        <v>29</v>
      </c>
      <c r="G1255" s="4" t="s">
        <v>0</v>
      </c>
      <c r="H1255" s="25">
        <v>0</v>
      </c>
      <c r="I1255" s="8">
        <v>52</v>
      </c>
      <c r="J1255" s="9">
        <v>52</v>
      </c>
      <c r="K1255" s="7">
        <v>0</v>
      </c>
      <c r="L1255" s="24">
        <f>+Tabla2[[#This Row],[Stock Inventario]]*Tabla2[[#This Row],[Coste LÃ­nea]]</f>
        <v>0</v>
      </c>
      <c r="M1255" s="24">
        <f>+Tabla2[[#This Row],[Variación Stock]]*Tabla2[[#This Row],[Coste LÃ­nea]]</f>
        <v>0</v>
      </c>
      <c r="N1255" s="22" t="str">
        <f>+IF(Tabla2[[#This Row],[Variación Stock]]&gt;0,"Sobrante",IF(Tabla2[[#This Row],[Variación Stock]]&lt;0,"Faltante","Sin novedad"))</f>
        <v>Sin novedad</v>
      </c>
    </row>
    <row r="1256" spans="1:14" x14ac:dyDescent="0.25">
      <c r="A1256" s="11">
        <v>46037</v>
      </c>
      <c r="B1256" s="5" t="s">
        <v>127</v>
      </c>
      <c r="C1256" s="3" t="s">
        <v>128</v>
      </c>
      <c r="D1256" s="5" t="s">
        <v>118</v>
      </c>
      <c r="E1256" s="5" t="s">
        <v>112</v>
      </c>
      <c r="F1256" s="6" t="s">
        <v>85</v>
      </c>
      <c r="G1256" s="4" t="s">
        <v>81</v>
      </c>
      <c r="H1256" s="24">
        <v>10875.1</v>
      </c>
      <c r="I1256" s="8">
        <v>43</v>
      </c>
      <c r="J1256" s="9">
        <v>38</v>
      </c>
      <c r="K1256" s="15">
        <v>-5</v>
      </c>
      <c r="L1256" s="24">
        <f>+Tabla2[[#This Row],[Stock Inventario]]*Tabla2[[#This Row],[Coste LÃ­nea]]</f>
        <v>413253.8</v>
      </c>
      <c r="M1256" s="24">
        <f>+Tabla2[[#This Row],[Variación Stock]]*Tabla2[[#This Row],[Coste LÃ­nea]]</f>
        <v>-54375.5</v>
      </c>
      <c r="N1256" s="22" t="str">
        <f>+IF(Tabla2[[#This Row],[Variación Stock]]&gt;0,"Sobrante",IF(Tabla2[[#This Row],[Variación Stock]]&lt;0,"Faltante","Sin novedad"))</f>
        <v>Faltante</v>
      </c>
    </row>
    <row r="1257" spans="1:14" x14ac:dyDescent="0.25">
      <c r="A1257" s="11">
        <v>46044</v>
      </c>
      <c r="B1257" s="5" t="s">
        <v>358</v>
      </c>
      <c r="C1257" s="3" t="s">
        <v>128</v>
      </c>
      <c r="D1257" s="5" t="s">
        <v>111</v>
      </c>
      <c r="E1257" s="5" t="s">
        <v>112</v>
      </c>
      <c r="F1257" s="6" t="s">
        <v>41</v>
      </c>
      <c r="G1257" s="4" t="s">
        <v>0</v>
      </c>
      <c r="H1257" s="25">
        <v>0</v>
      </c>
      <c r="I1257" s="8">
        <v>0</v>
      </c>
      <c r="J1257" s="9">
        <v>0</v>
      </c>
      <c r="K1257" s="7">
        <v>0</v>
      </c>
      <c r="L1257" s="24">
        <f>+Tabla2[[#This Row],[Stock Inventario]]*Tabla2[[#This Row],[Coste LÃ­nea]]</f>
        <v>0</v>
      </c>
      <c r="M1257" s="24">
        <f>+Tabla2[[#This Row],[Variación Stock]]*Tabla2[[#This Row],[Coste LÃ­nea]]</f>
        <v>0</v>
      </c>
      <c r="N1257" s="22" t="str">
        <f>+IF(Tabla2[[#This Row],[Variación Stock]]&gt;0,"Sobrante",IF(Tabla2[[#This Row],[Variación Stock]]&lt;0,"Faltante","Sin novedad"))</f>
        <v>Sin novedad</v>
      </c>
    </row>
    <row r="1258" spans="1:14" x14ac:dyDescent="0.25">
      <c r="A1258" s="11">
        <v>46044</v>
      </c>
      <c r="B1258" s="5" t="s">
        <v>358</v>
      </c>
      <c r="C1258" s="3" t="s">
        <v>128</v>
      </c>
      <c r="D1258" s="5" t="s">
        <v>111</v>
      </c>
      <c r="E1258" s="5" t="s">
        <v>112</v>
      </c>
      <c r="F1258" s="6" t="s">
        <v>42</v>
      </c>
      <c r="G1258" s="4" t="s">
        <v>0</v>
      </c>
      <c r="H1258" s="25">
        <v>4587.75</v>
      </c>
      <c r="I1258" s="8">
        <v>0</v>
      </c>
      <c r="J1258" s="9">
        <v>0</v>
      </c>
      <c r="K1258" s="7">
        <v>0</v>
      </c>
      <c r="L1258" s="24">
        <f>+Tabla2[[#This Row],[Stock Inventario]]*Tabla2[[#This Row],[Coste LÃ­nea]]</f>
        <v>0</v>
      </c>
      <c r="M1258" s="24">
        <f>+Tabla2[[#This Row],[Variación Stock]]*Tabla2[[#This Row],[Coste LÃ­nea]]</f>
        <v>0</v>
      </c>
      <c r="N1258" s="22" t="str">
        <f>+IF(Tabla2[[#This Row],[Variación Stock]]&gt;0,"Sobrante",IF(Tabla2[[#This Row],[Variación Stock]]&lt;0,"Faltante","Sin novedad"))</f>
        <v>Sin novedad</v>
      </c>
    </row>
    <row r="1259" spans="1:14" x14ac:dyDescent="0.25">
      <c r="A1259" s="11">
        <v>46037</v>
      </c>
      <c r="B1259" s="5" t="s">
        <v>127</v>
      </c>
      <c r="C1259" s="3" t="s">
        <v>128</v>
      </c>
      <c r="D1259" s="5" t="s">
        <v>111</v>
      </c>
      <c r="E1259" s="5" t="s">
        <v>112</v>
      </c>
      <c r="F1259" s="6" t="s">
        <v>144</v>
      </c>
      <c r="G1259" s="4" t="s">
        <v>0</v>
      </c>
      <c r="H1259" s="24">
        <v>2120.6896551700002</v>
      </c>
      <c r="I1259" s="8">
        <v>113</v>
      </c>
      <c r="J1259" s="9">
        <v>52</v>
      </c>
      <c r="K1259" s="7">
        <v>-61</v>
      </c>
      <c r="L1259" s="24">
        <f>+Tabla2[[#This Row],[Stock Inventario]]*Tabla2[[#This Row],[Coste LÃ­nea]]</f>
        <v>110275.86206884001</v>
      </c>
      <c r="M1259" s="24">
        <f>+Tabla2[[#This Row],[Variación Stock]]*Tabla2[[#This Row],[Coste LÃ­nea]]</f>
        <v>-129362.06896537001</v>
      </c>
      <c r="N1259" s="22" t="str">
        <f>+IF(Tabla2[[#This Row],[Variación Stock]]&gt;0,"Sobrante",IF(Tabla2[[#This Row],[Variación Stock]]&lt;0,"Faltante","Sin novedad"))</f>
        <v>Faltante</v>
      </c>
    </row>
    <row r="1260" spans="1:14" x14ac:dyDescent="0.25">
      <c r="A1260" s="11">
        <v>46044</v>
      </c>
      <c r="B1260" s="5" t="s">
        <v>358</v>
      </c>
      <c r="C1260" s="3" t="s">
        <v>128</v>
      </c>
      <c r="D1260" s="5" t="s">
        <v>111</v>
      </c>
      <c r="E1260" s="5" t="s">
        <v>112</v>
      </c>
      <c r="F1260" s="6" t="s">
        <v>140</v>
      </c>
      <c r="G1260" s="4" t="s">
        <v>0</v>
      </c>
      <c r="H1260" s="25">
        <v>0</v>
      </c>
      <c r="I1260" s="8">
        <v>17</v>
      </c>
      <c r="J1260" s="9">
        <v>17</v>
      </c>
      <c r="K1260" s="7">
        <v>0</v>
      </c>
      <c r="L1260" s="24">
        <f>+Tabla2[[#This Row],[Stock Inventario]]*Tabla2[[#This Row],[Coste LÃ­nea]]</f>
        <v>0</v>
      </c>
      <c r="M1260" s="24">
        <f>+Tabla2[[#This Row],[Variación Stock]]*Tabla2[[#This Row],[Coste LÃ­nea]]</f>
        <v>0</v>
      </c>
      <c r="N1260" s="22" t="str">
        <f>+IF(Tabla2[[#This Row],[Variación Stock]]&gt;0,"Sobrante",IF(Tabla2[[#This Row],[Variación Stock]]&lt;0,"Faltante","Sin novedad"))</f>
        <v>Sin novedad</v>
      </c>
    </row>
    <row r="1261" spans="1:14" x14ac:dyDescent="0.25">
      <c r="A1261" s="11">
        <v>46044</v>
      </c>
      <c r="B1261" s="5" t="s">
        <v>358</v>
      </c>
      <c r="C1261" s="3" t="s">
        <v>128</v>
      </c>
      <c r="D1261" s="5" t="s">
        <v>111</v>
      </c>
      <c r="E1261" s="5" t="s">
        <v>112</v>
      </c>
      <c r="F1261" s="6" t="s">
        <v>56</v>
      </c>
      <c r="G1261" s="4" t="s">
        <v>0</v>
      </c>
      <c r="H1261" s="25">
        <v>0</v>
      </c>
      <c r="I1261" s="8">
        <v>44</v>
      </c>
      <c r="J1261" s="9">
        <v>44</v>
      </c>
      <c r="K1261" s="7">
        <v>0</v>
      </c>
      <c r="L1261" s="24">
        <f>+Tabla2[[#This Row],[Stock Inventario]]*Tabla2[[#This Row],[Coste LÃ­nea]]</f>
        <v>0</v>
      </c>
      <c r="M1261" s="24">
        <f>+Tabla2[[#This Row],[Variación Stock]]*Tabla2[[#This Row],[Coste LÃ­nea]]</f>
        <v>0</v>
      </c>
      <c r="N1261" s="22" t="str">
        <f>+IF(Tabla2[[#This Row],[Variación Stock]]&gt;0,"Sobrante",IF(Tabla2[[#This Row],[Variación Stock]]&lt;0,"Faltante","Sin novedad"))</f>
        <v>Sin novedad</v>
      </c>
    </row>
    <row r="1262" spans="1:14" x14ac:dyDescent="0.25">
      <c r="A1262" s="11">
        <v>46044</v>
      </c>
      <c r="B1262" s="5" t="s">
        <v>358</v>
      </c>
      <c r="C1262" s="3" t="s">
        <v>128</v>
      </c>
      <c r="D1262" s="5" t="s">
        <v>111</v>
      </c>
      <c r="E1262" s="5" t="s">
        <v>112</v>
      </c>
      <c r="F1262" s="6" t="s">
        <v>58</v>
      </c>
      <c r="G1262" s="4" t="s">
        <v>0</v>
      </c>
      <c r="H1262" s="25">
        <v>6303.0416666700003</v>
      </c>
      <c r="I1262" s="8">
        <v>0</v>
      </c>
      <c r="J1262" s="9">
        <v>0</v>
      </c>
      <c r="K1262" s="7">
        <v>0</v>
      </c>
      <c r="L1262" s="24">
        <f>+Tabla2[[#This Row],[Stock Inventario]]*Tabla2[[#This Row],[Coste LÃ­nea]]</f>
        <v>0</v>
      </c>
      <c r="M1262" s="24">
        <f>+Tabla2[[#This Row],[Variación Stock]]*Tabla2[[#This Row],[Coste LÃ­nea]]</f>
        <v>0</v>
      </c>
      <c r="N1262" s="22" t="str">
        <f>+IF(Tabla2[[#This Row],[Variación Stock]]&gt;0,"Sobrante",IF(Tabla2[[#This Row],[Variación Stock]]&lt;0,"Faltante","Sin novedad"))</f>
        <v>Sin novedad</v>
      </c>
    </row>
    <row r="1263" spans="1:14" x14ac:dyDescent="0.25">
      <c r="A1263" s="11">
        <v>46044</v>
      </c>
      <c r="B1263" s="5" t="s">
        <v>358</v>
      </c>
      <c r="C1263" s="3" t="s">
        <v>128</v>
      </c>
      <c r="D1263" s="5" t="s">
        <v>111</v>
      </c>
      <c r="E1263" s="5" t="s">
        <v>112</v>
      </c>
      <c r="F1263" s="6" t="s">
        <v>366</v>
      </c>
      <c r="G1263" s="4" t="s">
        <v>0</v>
      </c>
      <c r="H1263" s="25">
        <v>1661.1111110899999</v>
      </c>
      <c r="I1263" s="8">
        <v>0</v>
      </c>
      <c r="J1263" s="9">
        <v>0</v>
      </c>
      <c r="K1263" s="7">
        <v>0</v>
      </c>
      <c r="L1263" s="24">
        <f>+Tabla2[[#This Row],[Stock Inventario]]*Tabla2[[#This Row],[Coste LÃ­nea]]</f>
        <v>0</v>
      </c>
      <c r="M1263" s="24">
        <f>+Tabla2[[#This Row],[Variación Stock]]*Tabla2[[#This Row],[Coste LÃ­nea]]</f>
        <v>0</v>
      </c>
      <c r="N1263" s="22" t="str">
        <f>+IF(Tabla2[[#This Row],[Variación Stock]]&gt;0,"Sobrante",IF(Tabla2[[#This Row],[Variación Stock]]&lt;0,"Faltante","Sin novedad"))</f>
        <v>Sin novedad</v>
      </c>
    </row>
    <row r="1264" spans="1:14" x14ac:dyDescent="0.25">
      <c r="A1264" s="11">
        <v>46044</v>
      </c>
      <c r="B1264" s="5" t="s">
        <v>358</v>
      </c>
      <c r="C1264" s="3" t="s">
        <v>128</v>
      </c>
      <c r="D1264" s="5" t="s">
        <v>114</v>
      </c>
      <c r="E1264" s="5" t="s">
        <v>112</v>
      </c>
      <c r="F1264" s="6" t="s">
        <v>146</v>
      </c>
      <c r="G1264" s="4" t="s">
        <v>2</v>
      </c>
      <c r="H1264" s="25">
        <v>4900</v>
      </c>
      <c r="I1264" s="8">
        <v>0</v>
      </c>
      <c r="J1264" s="9">
        <v>0</v>
      </c>
      <c r="K1264" s="7">
        <v>0</v>
      </c>
      <c r="L1264" s="24">
        <f>+Tabla2[[#This Row],[Stock Inventario]]*Tabla2[[#This Row],[Coste LÃ­nea]]</f>
        <v>0</v>
      </c>
      <c r="M1264" s="24">
        <f>+Tabla2[[#This Row],[Variación Stock]]*Tabla2[[#This Row],[Coste LÃ­nea]]</f>
        <v>0</v>
      </c>
      <c r="N1264" s="22" t="str">
        <f>+IF(Tabla2[[#This Row],[Variación Stock]]&gt;0,"Sobrante",IF(Tabla2[[#This Row],[Variación Stock]]&lt;0,"Faltante","Sin novedad"))</f>
        <v>Sin novedad</v>
      </c>
    </row>
    <row r="1265" spans="1:14" x14ac:dyDescent="0.25">
      <c r="A1265" s="11">
        <v>46044</v>
      </c>
      <c r="B1265" s="5" t="s">
        <v>358</v>
      </c>
      <c r="C1265" s="3" t="s">
        <v>128</v>
      </c>
      <c r="D1265" s="5" t="s">
        <v>114</v>
      </c>
      <c r="E1265" s="5" t="s">
        <v>112</v>
      </c>
      <c r="F1265" s="6" t="s">
        <v>147</v>
      </c>
      <c r="G1265" s="4" t="s">
        <v>2</v>
      </c>
      <c r="H1265" s="25">
        <v>1944.4444444000001</v>
      </c>
      <c r="I1265" s="8">
        <v>0</v>
      </c>
      <c r="J1265" s="9">
        <v>0</v>
      </c>
      <c r="K1265" s="7">
        <v>0</v>
      </c>
      <c r="L1265" s="24">
        <f>+Tabla2[[#This Row],[Stock Inventario]]*Tabla2[[#This Row],[Coste LÃ­nea]]</f>
        <v>0</v>
      </c>
      <c r="M1265" s="24">
        <f>+Tabla2[[#This Row],[Variación Stock]]*Tabla2[[#This Row],[Coste LÃ­nea]]</f>
        <v>0</v>
      </c>
      <c r="N1265" s="22" t="str">
        <f>+IF(Tabla2[[#This Row],[Variación Stock]]&gt;0,"Sobrante",IF(Tabla2[[#This Row],[Variación Stock]]&lt;0,"Faltante","Sin novedad"))</f>
        <v>Sin novedad</v>
      </c>
    </row>
    <row r="1266" spans="1:14" x14ac:dyDescent="0.25">
      <c r="A1266" s="11">
        <v>46044</v>
      </c>
      <c r="B1266" s="5" t="s">
        <v>358</v>
      </c>
      <c r="C1266" s="3" t="s">
        <v>128</v>
      </c>
      <c r="D1266" s="5" t="s">
        <v>114</v>
      </c>
      <c r="E1266" s="5" t="s">
        <v>112</v>
      </c>
      <c r="F1266" s="6" t="s">
        <v>148</v>
      </c>
      <c r="G1266" s="4" t="s">
        <v>2</v>
      </c>
      <c r="H1266" s="25">
        <v>4986.1810224199999</v>
      </c>
      <c r="I1266" s="8">
        <v>0</v>
      </c>
      <c r="J1266" s="9">
        <v>0</v>
      </c>
      <c r="K1266" s="7">
        <v>0</v>
      </c>
      <c r="L1266" s="24">
        <f>+Tabla2[[#This Row],[Stock Inventario]]*Tabla2[[#This Row],[Coste LÃ­nea]]</f>
        <v>0</v>
      </c>
      <c r="M1266" s="24">
        <f>+Tabla2[[#This Row],[Variación Stock]]*Tabla2[[#This Row],[Coste LÃ­nea]]</f>
        <v>0</v>
      </c>
      <c r="N1266" s="22" t="str">
        <f>+IF(Tabla2[[#This Row],[Variación Stock]]&gt;0,"Sobrante",IF(Tabla2[[#This Row],[Variación Stock]]&lt;0,"Faltante","Sin novedad"))</f>
        <v>Sin novedad</v>
      </c>
    </row>
    <row r="1267" spans="1:14" x14ac:dyDescent="0.25">
      <c r="A1267" s="11">
        <v>46044</v>
      </c>
      <c r="B1267" s="5" t="s">
        <v>358</v>
      </c>
      <c r="C1267" s="3" t="s">
        <v>128</v>
      </c>
      <c r="D1267" s="5" t="s">
        <v>114</v>
      </c>
      <c r="E1267" s="5" t="s">
        <v>112</v>
      </c>
      <c r="F1267" s="6" t="s">
        <v>149</v>
      </c>
      <c r="G1267" s="4" t="s">
        <v>2</v>
      </c>
      <c r="H1267" s="25">
        <v>4986.0833333299997</v>
      </c>
      <c r="I1267" s="8">
        <v>0</v>
      </c>
      <c r="J1267" s="9">
        <v>0</v>
      </c>
      <c r="K1267" s="7">
        <v>0</v>
      </c>
      <c r="L1267" s="24">
        <f>+Tabla2[[#This Row],[Stock Inventario]]*Tabla2[[#This Row],[Coste LÃ­nea]]</f>
        <v>0</v>
      </c>
      <c r="M1267" s="24">
        <f>+Tabla2[[#This Row],[Variación Stock]]*Tabla2[[#This Row],[Coste LÃ­nea]]</f>
        <v>0</v>
      </c>
      <c r="N1267" s="22" t="str">
        <f>+IF(Tabla2[[#This Row],[Variación Stock]]&gt;0,"Sobrante",IF(Tabla2[[#This Row],[Variación Stock]]&lt;0,"Faltante","Sin novedad"))</f>
        <v>Sin novedad</v>
      </c>
    </row>
    <row r="1268" spans="1:14" x14ac:dyDescent="0.25">
      <c r="A1268" s="11">
        <v>46044</v>
      </c>
      <c r="B1268" s="5" t="s">
        <v>358</v>
      </c>
      <c r="C1268" s="3" t="s">
        <v>128</v>
      </c>
      <c r="D1268" s="5" t="s">
        <v>114</v>
      </c>
      <c r="E1268" s="5" t="s">
        <v>112</v>
      </c>
      <c r="F1268" s="6" t="s">
        <v>70</v>
      </c>
      <c r="G1268" s="4" t="s">
        <v>2</v>
      </c>
      <c r="H1268" s="25">
        <v>983.33333332999996</v>
      </c>
      <c r="I1268" s="8">
        <v>0</v>
      </c>
      <c r="J1268" s="9">
        <v>0</v>
      </c>
      <c r="K1268" s="7">
        <v>0</v>
      </c>
      <c r="L1268" s="24">
        <f>+Tabla2[[#This Row],[Stock Inventario]]*Tabla2[[#This Row],[Coste LÃ­nea]]</f>
        <v>0</v>
      </c>
      <c r="M1268" s="24">
        <f>+Tabla2[[#This Row],[Variación Stock]]*Tabla2[[#This Row],[Coste LÃ­nea]]</f>
        <v>0</v>
      </c>
      <c r="N1268" s="22" t="str">
        <f>+IF(Tabla2[[#This Row],[Variación Stock]]&gt;0,"Sobrante",IF(Tabla2[[#This Row],[Variación Stock]]&lt;0,"Faltante","Sin novedad"))</f>
        <v>Sin novedad</v>
      </c>
    </row>
    <row r="1269" spans="1:14" x14ac:dyDescent="0.25">
      <c r="A1269" s="11">
        <v>46044</v>
      </c>
      <c r="B1269" s="5" t="s">
        <v>358</v>
      </c>
      <c r="C1269" s="3" t="s">
        <v>128</v>
      </c>
      <c r="D1269" s="5" t="s">
        <v>115</v>
      </c>
      <c r="E1269" s="5" t="s">
        <v>112</v>
      </c>
      <c r="F1269" s="6" t="s">
        <v>368</v>
      </c>
      <c r="G1269" s="4" t="s">
        <v>2</v>
      </c>
      <c r="H1269" s="25">
        <v>2298.1166666700001</v>
      </c>
      <c r="I1269" s="8">
        <v>1</v>
      </c>
      <c r="J1269" s="9">
        <v>29</v>
      </c>
      <c r="K1269" s="7">
        <v>28</v>
      </c>
      <c r="L1269" s="24">
        <f>+Tabla2[[#This Row],[Stock Inventario]]*Tabla2[[#This Row],[Coste LÃ­nea]]</f>
        <v>66645.38333343</v>
      </c>
      <c r="M1269" s="24">
        <f>+Tabla2[[#This Row],[Variación Stock]]*Tabla2[[#This Row],[Coste LÃ­nea]]</f>
        <v>64347.266666759999</v>
      </c>
      <c r="N1269" s="22" t="str">
        <f>+IF(Tabla2[[#This Row],[Variación Stock]]&gt;0,"Sobrante",IF(Tabla2[[#This Row],[Variación Stock]]&lt;0,"Faltante","Sin novedad"))</f>
        <v>Sobrante</v>
      </c>
    </row>
    <row r="1270" spans="1:14" x14ac:dyDescent="0.25">
      <c r="A1270" s="11">
        <v>46037</v>
      </c>
      <c r="B1270" s="5" t="s">
        <v>127</v>
      </c>
      <c r="C1270" s="3" t="s">
        <v>128</v>
      </c>
      <c r="D1270" s="5" t="s">
        <v>115</v>
      </c>
      <c r="E1270" s="5" t="s">
        <v>112</v>
      </c>
      <c r="F1270" s="6" t="s">
        <v>76</v>
      </c>
      <c r="G1270" s="4" t="s">
        <v>2</v>
      </c>
      <c r="H1270" s="24">
        <v>3179.6666666699998</v>
      </c>
      <c r="I1270" s="8">
        <v>51</v>
      </c>
      <c r="J1270" s="9">
        <v>52</v>
      </c>
      <c r="K1270" s="7">
        <v>1</v>
      </c>
      <c r="L1270" s="24">
        <f>+Tabla2[[#This Row],[Stock Inventario]]*Tabla2[[#This Row],[Coste LÃ­nea]]</f>
        <v>165342.66666684</v>
      </c>
      <c r="M1270" s="24">
        <f>+Tabla2[[#This Row],[Variación Stock]]*Tabla2[[#This Row],[Coste LÃ­nea]]</f>
        <v>3179.6666666699998</v>
      </c>
      <c r="N1270" s="22" t="str">
        <f>+IF(Tabla2[[#This Row],[Variación Stock]]&gt;0,"Sobrante",IF(Tabla2[[#This Row],[Variación Stock]]&lt;0,"Faltante","Sin novedad"))</f>
        <v>Sobrante</v>
      </c>
    </row>
    <row r="1271" spans="1:14" x14ac:dyDescent="0.25">
      <c r="A1271" s="11">
        <v>46044</v>
      </c>
      <c r="B1271" s="5" t="s">
        <v>358</v>
      </c>
      <c r="C1271" s="3" t="s">
        <v>128</v>
      </c>
      <c r="D1271" s="5" t="s">
        <v>115</v>
      </c>
      <c r="E1271" s="5" t="s">
        <v>112</v>
      </c>
      <c r="F1271" s="6" t="s">
        <v>76</v>
      </c>
      <c r="G1271" s="4" t="s">
        <v>2</v>
      </c>
      <c r="H1271" s="25">
        <v>3244.25</v>
      </c>
      <c r="I1271" s="8">
        <v>59</v>
      </c>
      <c r="J1271" s="9">
        <v>35</v>
      </c>
      <c r="K1271" s="15">
        <v>-24</v>
      </c>
      <c r="L1271" s="24">
        <f>+Tabla2[[#This Row],[Stock Inventario]]*Tabla2[[#This Row],[Coste LÃ­nea]]</f>
        <v>113548.75</v>
      </c>
      <c r="M1271" s="24">
        <f>+Tabla2[[#This Row],[Variación Stock]]*Tabla2[[#This Row],[Coste LÃ­nea]]</f>
        <v>-77862</v>
      </c>
      <c r="N1271" s="22" t="str">
        <f>+IF(Tabla2[[#This Row],[Variación Stock]]&gt;0,"Sobrante",IF(Tabla2[[#This Row],[Variación Stock]]&lt;0,"Faltante","Sin novedad"))</f>
        <v>Faltante</v>
      </c>
    </row>
    <row r="1272" spans="1:14" hidden="1" x14ac:dyDescent="0.25">
      <c r="A1272" s="11">
        <v>46044</v>
      </c>
      <c r="B1272" s="5" t="s">
        <v>358</v>
      </c>
      <c r="C1272" s="3" t="s">
        <v>128</v>
      </c>
      <c r="D1272" s="5" t="s">
        <v>120</v>
      </c>
      <c r="E1272" s="5" t="s">
        <v>117</v>
      </c>
      <c r="F1272" s="6" t="s">
        <v>211</v>
      </c>
      <c r="G1272" s="4" t="s">
        <v>2</v>
      </c>
      <c r="H1272" s="25">
        <v>4733.1649655000001</v>
      </c>
      <c r="I1272" s="8">
        <v>23</v>
      </c>
      <c r="J1272" s="9">
        <v>24</v>
      </c>
      <c r="K1272" s="7">
        <v>1</v>
      </c>
      <c r="L1272" s="24">
        <f>+Tabla2[[#This Row],[Stock Inventario]]*Tabla2[[#This Row],[Coste LÃ­nea]]</f>
        <v>113595.959172</v>
      </c>
      <c r="M1272" s="24">
        <f>+Tabla2[[#This Row],[Variación Stock]]*Tabla2[[#This Row],[Coste LÃ­nea]]</f>
        <v>4733.1649655000001</v>
      </c>
      <c r="N1272" s="22" t="str">
        <f>+IF(Tabla2[[#This Row],[Variación Stock]]&gt;0,"Sobrante",IF(Tabla2[[#This Row],[Variación Stock]]&lt;0,"Faltante","Sin novedad"))</f>
        <v>Sobrante</v>
      </c>
    </row>
    <row r="1273" spans="1:14" hidden="1" x14ac:dyDescent="0.25">
      <c r="A1273" s="11">
        <v>46037</v>
      </c>
      <c r="B1273" s="5" t="s">
        <v>127</v>
      </c>
      <c r="C1273" s="3" t="s">
        <v>128</v>
      </c>
      <c r="D1273" s="5" t="s">
        <v>120</v>
      </c>
      <c r="E1273" s="5" t="s">
        <v>117</v>
      </c>
      <c r="F1273" s="6" t="s">
        <v>96</v>
      </c>
      <c r="G1273" s="4" t="s">
        <v>2</v>
      </c>
      <c r="H1273" s="24">
        <v>3543.1578948199999</v>
      </c>
      <c r="I1273" s="8">
        <v>112.5</v>
      </c>
      <c r="J1273" s="9">
        <v>190</v>
      </c>
      <c r="K1273" s="7">
        <v>77.5</v>
      </c>
      <c r="L1273" s="24">
        <f>+Tabla2[[#This Row],[Stock Inventario]]*Tabla2[[#This Row],[Coste LÃ­nea]]</f>
        <v>673200.0000158</v>
      </c>
      <c r="M1273" s="24">
        <f>+Tabla2[[#This Row],[Variación Stock]]*Tabla2[[#This Row],[Coste LÃ­nea]]</f>
        <v>274594.73684854998</v>
      </c>
      <c r="N1273" s="22" t="str">
        <f>+IF(Tabla2[[#This Row],[Variación Stock]]&gt;0,"Sobrante",IF(Tabla2[[#This Row],[Variación Stock]]&lt;0,"Faltante","Sin novedad"))</f>
        <v>Sobrante</v>
      </c>
    </row>
    <row r="1274" spans="1:14" hidden="1" x14ac:dyDescent="0.25">
      <c r="A1274" s="11">
        <v>46044</v>
      </c>
      <c r="B1274" s="5" t="s">
        <v>358</v>
      </c>
      <c r="C1274" s="3" t="s">
        <v>128</v>
      </c>
      <c r="D1274" s="5" t="s">
        <v>120</v>
      </c>
      <c r="E1274" s="5" t="s">
        <v>117</v>
      </c>
      <c r="F1274" s="6" t="s">
        <v>96</v>
      </c>
      <c r="G1274" s="4" t="s">
        <v>2</v>
      </c>
      <c r="H1274" s="25">
        <v>3976.7088607300002</v>
      </c>
      <c r="I1274" s="8">
        <v>159.5</v>
      </c>
      <c r="J1274" s="9">
        <v>162</v>
      </c>
      <c r="K1274" s="7">
        <v>2.5</v>
      </c>
      <c r="L1274" s="24">
        <f>+Tabla2[[#This Row],[Stock Inventario]]*Tabla2[[#This Row],[Coste LÃ­nea]]</f>
        <v>644226.83543825999</v>
      </c>
      <c r="M1274" s="24">
        <f>+Tabla2[[#This Row],[Variación Stock]]*Tabla2[[#This Row],[Coste LÃ­nea]]</f>
        <v>9941.772151825</v>
      </c>
      <c r="N1274" s="22" t="str">
        <f>+IF(Tabla2[[#This Row],[Variación Stock]]&gt;0,"Sobrante",IF(Tabla2[[#This Row],[Variación Stock]]&lt;0,"Faltante","Sin novedad"))</f>
        <v>Sobrante</v>
      </c>
    </row>
    <row r="1275" spans="1:14" hidden="1" x14ac:dyDescent="0.25">
      <c r="A1275" s="11">
        <v>46044</v>
      </c>
      <c r="B1275" s="5" t="s">
        <v>358</v>
      </c>
      <c r="C1275" s="3" t="s">
        <v>128</v>
      </c>
      <c r="D1275" s="5" t="s">
        <v>119</v>
      </c>
      <c r="E1275" s="5" t="s">
        <v>117</v>
      </c>
      <c r="F1275" s="6" t="s">
        <v>13</v>
      </c>
      <c r="G1275" s="4" t="s">
        <v>2</v>
      </c>
      <c r="H1275" s="25">
        <v>9800</v>
      </c>
      <c r="I1275" s="8">
        <v>11</v>
      </c>
      <c r="J1275" s="9">
        <v>11</v>
      </c>
      <c r="K1275" s="7">
        <v>0</v>
      </c>
      <c r="L1275" s="24">
        <f>+Tabla2[[#This Row],[Stock Inventario]]*Tabla2[[#This Row],[Coste LÃ­nea]]</f>
        <v>107800</v>
      </c>
      <c r="M1275" s="24">
        <f>+Tabla2[[#This Row],[Variación Stock]]*Tabla2[[#This Row],[Coste LÃ­nea]]</f>
        <v>0</v>
      </c>
      <c r="N1275" s="22" t="str">
        <f>+IF(Tabla2[[#This Row],[Variación Stock]]&gt;0,"Sobrante",IF(Tabla2[[#This Row],[Variación Stock]]&lt;0,"Faltante","Sin novedad"))</f>
        <v>Sin novedad</v>
      </c>
    </row>
    <row r="1276" spans="1:14" hidden="1" x14ac:dyDescent="0.25">
      <c r="A1276" s="11">
        <v>46037</v>
      </c>
      <c r="B1276" s="5" t="s">
        <v>127</v>
      </c>
      <c r="C1276" s="3" t="s">
        <v>128</v>
      </c>
      <c r="D1276" s="5" t="s">
        <v>119</v>
      </c>
      <c r="E1276" s="5" t="s">
        <v>117</v>
      </c>
      <c r="F1276" s="6" t="s">
        <v>13</v>
      </c>
      <c r="G1276" s="4" t="s">
        <v>2</v>
      </c>
      <c r="H1276" s="24">
        <v>19600</v>
      </c>
      <c r="I1276" s="8">
        <v>12</v>
      </c>
      <c r="J1276" s="9">
        <v>17</v>
      </c>
      <c r="K1276" s="7">
        <v>5</v>
      </c>
      <c r="L1276" s="24">
        <f>+Tabla2[[#This Row],[Stock Inventario]]*Tabla2[[#This Row],[Coste LÃ­nea]]</f>
        <v>333200</v>
      </c>
      <c r="M1276" s="24">
        <f>+Tabla2[[#This Row],[Variación Stock]]*Tabla2[[#This Row],[Coste LÃ­nea]]</f>
        <v>98000</v>
      </c>
      <c r="N1276" s="22" t="str">
        <f>+IF(Tabla2[[#This Row],[Variación Stock]]&gt;0,"Sobrante",IF(Tabla2[[#This Row],[Variación Stock]]&lt;0,"Faltante","Sin novedad"))</f>
        <v>Sobrante</v>
      </c>
    </row>
    <row r="1277" spans="1:14" hidden="1" x14ac:dyDescent="0.25">
      <c r="A1277" s="11">
        <v>46037</v>
      </c>
      <c r="B1277" s="5" t="s">
        <v>127</v>
      </c>
      <c r="C1277" s="3" t="s">
        <v>128</v>
      </c>
      <c r="D1277" s="5" t="s">
        <v>119</v>
      </c>
      <c r="E1277" s="5" t="s">
        <v>117</v>
      </c>
      <c r="F1277" s="6" t="s">
        <v>199</v>
      </c>
      <c r="G1277" s="4" t="s">
        <v>1</v>
      </c>
      <c r="H1277" s="24">
        <v>355.6</v>
      </c>
      <c r="I1277" s="8">
        <v>1728.9474</v>
      </c>
      <c r="J1277" s="9">
        <v>1406</v>
      </c>
      <c r="K1277" s="7">
        <v>-322.9473605</v>
      </c>
      <c r="L1277" s="24">
        <f>+Tabla2[[#This Row],[Stock Inventario]]*Tabla2[[#This Row],[Coste LÃ­nea]]</f>
        <v>499973.60000000003</v>
      </c>
      <c r="M1277" s="24">
        <f>+Tabla2[[#This Row],[Variación Stock]]*Tabla2[[#This Row],[Coste LÃ­nea]]</f>
        <v>-114840.08139380001</v>
      </c>
      <c r="N1277" s="22" t="str">
        <f>+IF(Tabla2[[#This Row],[Variación Stock]]&gt;0,"Sobrante",IF(Tabla2[[#This Row],[Variación Stock]]&lt;0,"Faltante","Sin novedad"))</f>
        <v>Faltante</v>
      </c>
    </row>
    <row r="1278" spans="1:14" x14ac:dyDescent="0.25">
      <c r="A1278" s="11">
        <v>46044</v>
      </c>
      <c r="B1278" s="5" t="s">
        <v>358</v>
      </c>
      <c r="C1278" s="3" t="s">
        <v>128</v>
      </c>
      <c r="D1278" s="5" t="s">
        <v>118</v>
      </c>
      <c r="E1278" s="5" t="s">
        <v>112</v>
      </c>
      <c r="F1278" s="6" t="s">
        <v>166</v>
      </c>
      <c r="G1278" s="4" t="s">
        <v>2</v>
      </c>
      <c r="H1278" s="25">
        <v>0</v>
      </c>
      <c r="I1278" s="8">
        <v>1</v>
      </c>
      <c r="J1278" s="9">
        <v>1</v>
      </c>
      <c r="K1278" s="7">
        <v>0</v>
      </c>
      <c r="L1278" s="24">
        <f>+Tabla2[[#This Row],[Stock Inventario]]*Tabla2[[#This Row],[Coste LÃ­nea]]</f>
        <v>0</v>
      </c>
      <c r="M1278" s="24">
        <f>+Tabla2[[#This Row],[Variación Stock]]*Tabla2[[#This Row],[Coste LÃ­nea]]</f>
        <v>0</v>
      </c>
      <c r="N1278" s="22" t="str">
        <f>+IF(Tabla2[[#This Row],[Variación Stock]]&gt;0,"Sobrante",IF(Tabla2[[#This Row],[Variación Stock]]&lt;0,"Faltante","Sin novedad"))</f>
        <v>Sin novedad</v>
      </c>
    </row>
    <row r="1279" spans="1:14" x14ac:dyDescent="0.25">
      <c r="A1279" s="11">
        <v>46044</v>
      </c>
      <c r="B1279" s="5" t="s">
        <v>358</v>
      </c>
      <c r="C1279" s="3" t="s">
        <v>128</v>
      </c>
      <c r="D1279" s="5" t="s">
        <v>118</v>
      </c>
      <c r="E1279" s="5" t="s">
        <v>112</v>
      </c>
      <c r="F1279" s="6" t="s">
        <v>167</v>
      </c>
      <c r="G1279" s="4" t="s">
        <v>2</v>
      </c>
      <c r="H1279" s="25">
        <v>0</v>
      </c>
      <c r="I1279" s="8">
        <v>0</v>
      </c>
      <c r="J1279" s="9">
        <v>0</v>
      </c>
      <c r="K1279" s="7">
        <v>0</v>
      </c>
      <c r="L1279" s="24">
        <f>+Tabla2[[#This Row],[Stock Inventario]]*Tabla2[[#This Row],[Coste LÃ­nea]]</f>
        <v>0</v>
      </c>
      <c r="M1279" s="24">
        <f>+Tabla2[[#This Row],[Variación Stock]]*Tabla2[[#This Row],[Coste LÃ­nea]]</f>
        <v>0</v>
      </c>
      <c r="N1279" s="22" t="str">
        <f>+IF(Tabla2[[#This Row],[Variación Stock]]&gt;0,"Sobrante",IF(Tabla2[[#This Row],[Variación Stock]]&lt;0,"Faltante","Sin novedad"))</f>
        <v>Sin novedad</v>
      </c>
    </row>
    <row r="1280" spans="1:14" x14ac:dyDescent="0.25">
      <c r="A1280" s="11">
        <v>46044</v>
      </c>
      <c r="B1280" s="5" t="s">
        <v>358</v>
      </c>
      <c r="C1280" s="3" t="s">
        <v>128</v>
      </c>
      <c r="D1280" s="5" t="s">
        <v>118</v>
      </c>
      <c r="E1280" s="5" t="s">
        <v>112</v>
      </c>
      <c r="F1280" s="6" t="s">
        <v>168</v>
      </c>
      <c r="G1280" s="4" t="s">
        <v>2</v>
      </c>
      <c r="H1280" s="25">
        <v>0</v>
      </c>
      <c r="I1280" s="8">
        <v>2</v>
      </c>
      <c r="J1280" s="9">
        <v>2</v>
      </c>
      <c r="K1280" s="7">
        <v>0</v>
      </c>
      <c r="L1280" s="24">
        <f>+Tabla2[[#This Row],[Stock Inventario]]*Tabla2[[#This Row],[Coste LÃ­nea]]</f>
        <v>0</v>
      </c>
      <c r="M1280" s="24">
        <f>+Tabla2[[#This Row],[Variación Stock]]*Tabla2[[#This Row],[Coste LÃ­nea]]</f>
        <v>0</v>
      </c>
      <c r="N1280" s="22" t="str">
        <f>+IF(Tabla2[[#This Row],[Variación Stock]]&gt;0,"Sobrante",IF(Tabla2[[#This Row],[Variación Stock]]&lt;0,"Faltante","Sin novedad"))</f>
        <v>Sin novedad</v>
      </c>
    </row>
    <row r="1281" spans="1:14" x14ac:dyDescent="0.25">
      <c r="A1281" s="11">
        <v>46044</v>
      </c>
      <c r="B1281" s="5" t="s">
        <v>358</v>
      </c>
      <c r="C1281" s="3" t="s">
        <v>128</v>
      </c>
      <c r="D1281" s="5" t="s">
        <v>118</v>
      </c>
      <c r="E1281" s="5" t="s">
        <v>112</v>
      </c>
      <c r="F1281" s="6" t="s">
        <v>169</v>
      </c>
      <c r="G1281" s="4" t="s">
        <v>2</v>
      </c>
      <c r="H1281" s="25">
        <v>0</v>
      </c>
      <c r="I1281" s="8">
        <v>0</v>
      </c>
      <c r="J1281" s="9">
        <v>0</v>
      </c>
      <c r="K1281" s="7">
        <v>0</v>
      </c>
      <c r="L1281" s="24">
        <f>+Tabla2[[#This Row],[Stock Inventario]]*Tabla2[[#This Row],[Coste LÃ­nea]]</f>
        <v>0</v>
      </c>
      <c r="M1281" s="24">
        <f>+Tabla2[[#This Row],[Variación Stock]]*Tabla2[[#This Row],[Coste LÃ­nea]]</f>
        <v>0</v>
      </c>
      <c r="N1281" s="22" t="str">
        <f>+IF(Tabla2[[#This Row],[Variación Stock]]&gt;0,"Sobrante",IF(Tabla2[[#This Row],[Variación Stock]]&lt;0,"Faltante","Sin novedad"))</f>
        <v>Sin novedad</v>
      </c>
    </row>
    <row r="1282" spans="1:14" x14ac:dyDescent="0.25">
      <c r="A1282" s="11">
        <v>46044</v>
      </c>
      <c r="B1282" s="5" t="s">
        <v>358</v>
      </c>
      <c r="C1282" s="3" t="s">
        <v>128</v>
      </c>
      <c r="D1282" s="5" t="s">
        <v>118</v>
      </c>
      <c r="E1282" s="5" t="s">
        <v>112</v>
      </c>
      <c r="F1282" s="6" t="s">
        <v>170</v>
      </c>
      <c r="G1282" s="4" t="s">
        <v>2</v>
      </c>
      <c r="H1282" s="25">
        <v>0</v>
      </c>
      <c r="I1282" s="8">
        <v>0</v>
      </c>
      <c r="J1282" s="9">
        <v>0</v>
      </c>
      <c r="K1282" s="7">
        <v>0</v>
      </c>
      <c r="L1282" s="24">
        <f>+Tabla2[[#This Row],[Stock Inventario]]*Tabla2[[#This Row],[Coste LÃ­nea]]</f>
        <v>0</v>
      </c>
      <c r="M1282" s="24">
        <f>+Tabla2[[#This Row],[Variación Stock]]*Tabla2[[#This Row],[Coste LÃ­nea]]</f>
        <v>0</v>
      </c>
      <c r="N1282" s="22" t="str">
        <f>+IF(Tabla2[[#This Row],[Variación Stock]]&gt;0,"Sobrante",IF(Tabla2[[#This Row],[Variación Stock]]&lt;0,"Faltante","Sin novedad"))</f>
        <v>Sin novedad</v>
      </c>
    </row>
    <row r="1283" spans="1:14" x14ac:dyDescent="0.25">
      <c r="A1283" s="11">
        <v>46044</v>
      </c>
      <c r="B1283" s="5" t="s">
        <v>358</v>
      </c>
      <c r="C1283" s="3" t="s">
        <v>128</v>
      </c>
      <c r="D1283" s="5" t="s">
        <v>118</v>
      </c>
      <c r="E1283" s="5" t="s">
        <v>112</v>
      </c>
      <c r="F1283" s="6" t="s">
        <v>176</v>
      </c>
      <c r="G1283" s="4" t="s">
        <v>2</v>
      </c>
      <c r="H1283" s="25">
        <v>66850</v>
      </c>
      <c r="I1283" s="8">
        <v>0</v>
      </c>
      <c r="J1283" s="9">
        <v>0</v>
      </c>
      <c r="K1283" s="7">
        <v>0</v>
      </c>
      <c r="L1283" s="24">
        <f>+Tabla2[[#This Row],[Stock Inventario]]*Tabla2[[#This Row],[Coste LÃ­nea]]</f>
        <v>0</v>
      </c>
      <c r="M1283" s="24">
        <f>+Tabla2[[#This Row],[Variación Stock]]*Tabla2[[#This Row],[Coste LÃ­nea]]</f>
        <v>0</v>
      </c>
      <c r="N1283" s="22" t="str">
        <f>+IF(Tabla2[[#This Row],[Variación Stock]]&gt;0,"Sobrante",IF(Tabla2[[#This Row],[Variación Stock]]&lt;0,"Faltante","Sin novedad"))</f>
        <v>Sin novedad</v>
      </c>
    </row>
    <row r="1284" spans="1:14" x14ac:dyDescent="0.25">
      <c r="A1284" s="11">
        <v>46044</v>
      </c>
      <c r="B1284" s="5" t="s">
        <v>358</v>
      </c>
      <c r="C1284" s="3" t="s">
        <v>128</v>
      </c>
      <c r="D1284" s="5" t="s">
        <v>118</v>
      </c>
      <c r="E1284" s="5" t="s">
        <v>112</v>
      </c>
      <c r="F1284" s="6" t="s">
        <v>179</v>
      </c>
      <c r="G1284" s="4" t="s">
        <v>2</v>
      </c>
      <c r="H1284" s="25">
        <v>91785</v>
      </c>
      <c r="I1284" s="8">
        <v>0</v>
      </c>
      <c r="J1284" s="9">
        <v>0</v>
      </c>
      <c r="K1284" s="7">
        <v>0</v>
      </c>
      <c r="L1284" s="24">
        <f>+Tabla2[[#This Row],[Stock Inventario]]*Tabla2[[#This Row],[Coste LÃ­nea]]</f>
        <v>0</v>
      </c>
      <c r="M1284" s="24">
        <f>+Tabla2[[#This Row],[Variación Stock]]*Tabla2[[#This Row],[Coste LÃ­nea]]</f>
        <v>0</v>
      </c>
      <c r="N1284" s="22" t="str">
        <f>+IF(Tabla2[[#This Row],[Variación Stock]]&gt;0,"Sobrante",IF(Tabla2[[#This Row],[Variación Stock]]&lt;0,"Faltante","Sin novedad"))</f>
        <v>Sin novedad</v>
      </c>
    </row>
    <row r="1285" spans="1:14" x14ac:dyDescent="0.25">
      <c r="A1285" s="11">
        <v>46044</v>
      </c>
      <c r="B1285" s="5" t="s">
        <v>358</v>
      </c>
      <c r="C1285" s="3" t="s">
        <v>128</v>
      </c>
      <c r="D1285" s="5" t="s">
        <v>118</v>
      </c>
      <c r="E1285" s="5" t="s">
        <v>112</v>
      </c>
      <c r="F1285" s="6" t="s">
        <v>183</v>
      </c>
      <c r="G1285" s="4" t="s">
        <v>2</v>
      </c>
      <c r="H1285" s="25">
        <v>93809</v>
      </c>
      <c r="I1285" s="8">
        <v>0</v>
      </c>
      <c r="J1285" s="9">
        <v>0</v>
      </c>
      <c r="K1285" s="7">
        <v>0</v>
      </c>
      <c r="L1285" s="24">
        <f>+Tabla2[[#This Row],[Stock Inventario]]*Tabla2[[#This Row],[Coste LÃ­nea]]</f>
        <v>0</v>
      </c>
      <c r="M1285" s="24">
        <f>+Tabla2[[#This Row],[Variación Stock]]*Tabla2[[#This Row],[Coste LÃ­nea]]</f>
        <v>0</v>
      </c>
      <c r="N1285" s="22" t="str">
        <f>+IF(Tabla2[[#This Row],[Variación Stock]]&gt;0,"Sobrante",IF(Tabla2[[#This Row],[Variación Stock]]&lt;0,"Faltante","Sin novedad"))</f>
        <v>Sin novedad</v>
      </c>
    </row>
    <row r="1286" spans="1:14" x14ac:dyDescent="0.25">
      <c r="A1286" s="11">
        <v>46044</v>
      </c>
      <c r="B1286" s="5" t="s">
        <v>358</v>
      </c>
      <c r="C1286" s="3" t="s">
        <v>128</v>
      </c>
      <c r="D1286" s="5" t="s">
        <v>118</v>
      </c>
      <c r="E1286" s="5" t="s">
        <v>112</v>
      </c>
      <c r="F1286" s="6" t="s">
        <v>91</v>
      </c>
      <c r="G1286" s="4" t="s">
        <v>2</v>
      </c>
      <c r="H1286" s="25">
        <v>56095</v>
      </c>
      <c r="I1286" s="8">
        <v>0</v>
      </c>
      <c r="J1286" s="9">
        <v>0</v>
      </c>
      <c r="K1286" s="7">
        <v>0</v>
      </c>
      <c r="L1286" s="24">
        <f>+Tabla2[[#This Row],[Stock Inventario]]*Tabla2[[#This Row],[Coste LÃ­nea]]</f>
        <v>0</v>
      </c>
      <c r="M1286" s="24">
        <f>+Tabla2[[#This Row],[Variación Stock]]*Tabla2[[#This Row],[Coste LÃ­nea]]</f>
        <v>0</v>
      </c>
      <c r="N1286" s="22" t="str">
        <f>+IF(Tabla2[[#This Row],[Variación Stock]]&gt;0,"Sobrante",IF(Tabla2[[#This Row],[Variación Stock]]&lt;0,"Faltante","Sin novedad"))</f>
        <v>Sin novedad</v>
      </c>
    </row>
    <row r="1287" spans="1:14" x14ac:dyDescent="0.25">
      <c r="A1287" s="11">
        <v>46044</v>
      </c>
      <c r="B1287" s="5" t="s">
        <v>358</v>
      </c>
      <c r="C1287" s="3" t="s">
        <v>128</v>
      </c>
      <c r="D1287" s="5" t="s">
        <v>118</v>
      </c>
      <c r="E1287" s="5" t="s">
        <v>112</v>
      </c>
      <c r="F1287" s="6" t="s">
        <v>92</v>
      </c>
      <c r="G1287" s="4" t="s">
        <v>81</v>
      </c>
      <c r="H1287" s="25">
        <v>9481.9714285699993</v>
      </c>
      <c r="I1287" s="8">
        <v>0</v>
      </c>
      <c r="J1287" s="9">
        <v>0</v>
      </c>
      <c r="K1287" s="7">
        <v>0</v>
      </c>
      <c r="L1287" s="24">
        <f>+Tabla2[[#This Row],[Stock Inventario]]*Tabla2[[#This Row],[Coste LÃ­nea]]</f>
        <v>0</v>
      </c>
      <c r="M1287" s="24">
        <f>+Tabla2[[#This Row],[Variación Stock]]*Tabla2[[#This Row],[Coste LÃ­nea]]</f>
        <v>0</v>
      </c>
      <c r="N1287" s="22" t="str">
        <f>+IF(Tabla2[[#This Row],[Variación Stock]]&gt;0,"Sobrante",IF(Tabla2[[#This Row],[Variación Stock]]&lt;0,"Faltante","Sin novedad"))</f>
        <v>Sin novedad</v>
      </c>
    </row>
    <row r="1288" spans="1:14" x14ac:dyDescent="0.25">
      <c r="A1288" s="11">
        <v>46044</v>
      </c>
      <c r="B1288" s="5" t="s">
        <v>358</v>
      </c>
      <c r="C1288" s="3" t="s">
        <v>128</v>
      </c>
      <c r="D1288" s="5" t="s">
        <v>118</v>
      </c>
      <c r="E1288" s="5" t="s">
        <v>112</v>
      </c>
      <c r="F1288" s="6" t="s">
        <v>187</v>
      </c>
      <c r="G1288" s="4" t="s">
        <v>2</v>
      </c>
      <c r="H1288" s="25">
        <v>0</v>
      </c>
      <c r="I1288" s="8">
        <v>1</v>
      </c>
      <c r="J1288" s="9">
        <v>1</v>
      </c>
      <c r="K1288" s="7">
        <v>0</v>
      </c>
      <c r="L1288" s="24">
        <f>+Tabla2[[#This Row],[Stock Inventario]]*Tabla2[[#This Row],[Coste LÃ­nea]]</f>
        <v>0</v>
      </c>
      <c r="M1288" s="24">
        <f>+Tabla2[[#This Row],[Variación Stock]]*Tabla2[[#This Row],[Coste LÃ­nea]]</f>
        <v>0</v>
      </c>
      <c r="N1288" s="22" t="str">
        <f>+IF(Tabla2[[#This Row],[Variación Stock]]&gt;0,"Sobrante",IF(Tabla2[[#This Row],[Variación Stock]]&lt;0,"Faltante","Sin novedad"))</f>
        <v>Sin novedad</v>
      </c>
    </row>
    <row r="1289" spans="1:14" hidden="1" x14ac:dyDescent="0.25">
      <c r="A1289" s="11">
        <v>46044</v>
      </c>
      <c r="B1289" s="5" t="s">
        <v>358</v>
      </c>
      <c r="C1289" s="3" t="s">
        <v>128</v>
      </c>
      <c r="D1289" s="5" t="s">
        <v>119</v>
      </c>
      <c r="E1289" s="5" t="s">
        <v>117</v>
      </c>
      <c r="F1289" s="6" t="s">
        <v>199</v>
      </c>
      <c r="G1289" s="4" t="s">
        <v>1</v>
      </c>
      <c r="H1289" s="25">
        <v>355.6</v>
      </c>
      <c r="I1289" s="8">
        <v>1317.5789</v>
      </c>
      <c r="J1289" s="9">
        <v>1100</v>
      </c>
      <c r="K1289" s="7">
        <v>-217.5789442</v>
      </c>
      <c r="L1289" s="24">
        <f>+Tabla2[[#This Row],[Stock Inventario]]*Tabla2[[#This Row],[Coste LÃ­nea]]</f>
        <v>391160</v>
      </c>
      <c r="M1289" s="24">
        <f>+Tabla2[[#This Row],[Variación Stock]]*Tabla2[[#This Row],[Coste LÃ­nea]]</f>
        <v>-77371.072557520005</v>
      </c>
      <c r="N1289" s="22" t="str">
        <f>+IF(Tabla2[[#This Row],[Variación Stock]]&gt;0,"Sobrante",IF(Tabla2[[#This Row],[Variación Stock]]&lt;0,"Faltante","Sin novedad"))</f>
        <v>Faltante</v>
      </c>
    </row>
    <row r="1290" spans="1:14" hidden="1" x14ac:dyDescent="0.25">
      <c r="A1290" s="11">
        <v>46037</v>
      </c>
      <c r="B1290" s="5" t="s">
        <v>127</v>
      </c>
      <c r="C1290" s="3" t="s">
        <v>128</v>
      </c>
      <c r="D1290" s="5" t="s">
        <v>116</v>
      </c>
      <c r="E1290" s="5" t="s">
        <v>117</v>
      </c>
      <c r="F1290" s="6" t="s">
        <v>156</v>
      </c>
      <c r="G1290" s="4" t="s">
        <v>1</v>
      </c>
      <c r="H1290" s="24">
        <v>32.5</v>
      </c>
      <c r="I1290" s="8">
        <v>11130.9298</v>
      </c>
      <c r="J1290" s="9">
        <v>9845</v>
      </c>
      <c r="K1290" s="7">
        <v>-1285.929819</v>
      </c>
      <c r="L1290" s="24">
        <f>+Tabla2[[#This Row],[Stock Inventario]]*Tabla2[[#This Row],[Coste LÃ­nea]]</f>
        <v>319962.5</v>
      </c>
      <c r="M1290" s="24">
        <f>+Tabla2[[#This Row],[Variación Stock]]*Tabla2[[#This Row],[Coste LÃ­nea]]</f>
        <v>-41792.719117499997</v>
      </c>
      <c r="N1290" s="22" t="str">
        <f>+IF(Tabla2[[#This Row],[Variación Stock]]&gt;0,"Sobrante",IF(Tabla2[[#This Row],[Variación Stock]]&lt;0,"Faltante","Sin novedad"))</f>
        <v>Faltante</v>
      </c>
    </row>
    <row r="1291" spans="1:14" x14ac:dyDescent="0.25">
      <c r="A1291" s="11">
        <v>46044</v>
      </c>
      <c r="B1291" s="5" t="s">
        <v>358</v>
      </c>
      <c r="C1291" s="3" t="s">
        <v>128</v>
      </c>
      <c r="D1291" s="5" t="s">
        <v>118</v>
      </c>
      <c r="E1291" s="5" t="s">
        <v>112</v>
      </c>
      <c r="F1291" s="6" t="s">
        <v>85</v>
      </c>
      <c r="G1291" s="4" t="s">
        <v>81</v>
      </c>
      <c r="H1291" s="25">
        <v>10875.1</v>
      </c>
      <c r="I1291" s="8">
        <v>50</v>
      </c>
      <c r="J1291" s="9">
        <v>45</v>
      </c>
      <c r="K1291" s="15">
        <v>-5</v>
      </c>
      <c r="L1291" s="24">
        <f>+Tabla2[[#This Row],[Stock Inventario]]*Tabla2[[#This Row],[Coste LÃ­nea]]</f>
        <v>489379.5</v>
      </c>
      <c r="M1291" s="24">
        <f>+Tabla2[[#This Row],[Variación Stock]]*Tabla2[[#This Row],[Coste LÃ­nea]]</f>
        <v>-54375.5</v>
      </c>
      <c r="N1291" s="22" t="str">
        <f>+IF(Tabla2[[#This Row],[Variación Stock]]&gt;0,"Sobrante",IF(Tabla2[[#This Row],[Variación Stock]]&lt;0,"Faltante","Sin novedad"))</f>
        <v>Faltante</v>
      </c>
    </row>
    <row r="1292" spans="1:14" hidden="1" x14ac:dyDescent="0.25">
      <c r="A1292" s="11">
        <v>46044</v>
      </c>
      <c r="B1292" s="5" t="s">
        <v>358</v>
      </c>
      <c r="C1292" s="3" t="s">
        <v>128</v>
      </c>
      <c r="D1292" s="5" t="s">
        <v>116</v>
      </c>
      <c r="E1292" s="5" t="s">
        <v>117</v>
      </c>
      <c r="F1292" s="6" t="s">
        <v>156</v>
      </c>
      <c r="G1292" s="4" t="s">
        <v>1</v>
      </c>
      <c r="H1292" s="25">
        <v>32.5</v>
      </c>
      <c r="I1292" s="8">
        <v>5889.7367999999997</v>
      </c>
      <c r="J1292" s="9">
        <v>3920</v>
      </c>
      <c r="K1292" s="7">
        <v>-1969.7368349999999</v>
      </c>
      <c r="L1292" s="24">
        <f>+Tabla2[[#This Row],[Stock Inventario]]*Tabla2[[#This Row],[Coste LÃ­nea]]</f>
        <v>127400</v>
      </c>
      <c r="M1292" s="24">
        <f>+Tabla2[[#This Row],[Variación Stock]]*Tabla2[[#This Row],[Coste LÃ­nea]]</f>
        <v>-64016.447137499999</v>
      </c>
      <c r="N1292" s="22" t="str">
        <f>+IF(Tabla2[[#This Row],[Variación Stock]]&gt;0,"Sobrante",IF(Tabla2[[#This Row],[Variación Stock]]&lt;0,"Faltante","Sin novedad"))</f>
        <v>Faltante</v>
      </c>
    </row>
    <row r="1293" spans="1:14" hidden="1" x14ac:dyDescent="0.25">
      <c r="A1293" s="11">
        <v>46037</v>
      </c>
      <c r="B1293" s="5" t="s">
        <v>127</v>
      </c>
      <c r="C1293" s="3" t="s">
        <v>128</v>
      </c>
      <c r="D1293" s="5" t="s">
        <v>119</v>
      </c>
      <c r="E1293" s="5" t="s">
        <v>117</v>
      </c>
      <c r="F1293" s="6" t="s">
        <v>14</v>
      </c>
      <c r="G1293" s="4" t="s">
        <v>1</v>
      </c>
      <c r="H1293" s="24">
        <v>31.416</v>
      </c>
      <c r="I1293" s="8">
        <v>20000</v>
      </c>
      <c r="J1293" s="9">
        <v>10000</v>
      </c>
      <c r="K1293" s="7">
        <v>-10000</v>
      </c>
      <c r="L1293" s="24">
        <f>+Tabla2[[#This Row],[Stock Inventario]]*Tabla2[[#This Row],[Coste LÃ­nea]]</f>
        <v>314160</v>
      </c>
      <c r="M1293" s="24">
        <f>+Tabla2[[#This Row],[Variación Stock]]*Tabla2[[#This Row],[Coste LÃ­nea]]</f>
        <v>-314160</v>
      </c>
      <c r="N1293" s="22" t="str">
        <f>+IF(Tabla2[[#This Row],[Variación Stock]]&gt;0,"Sobrante",IF(Tabla2[[#This Row],[Variación Stock]]&lt;0,"Faltante","Sin novedad"))</f>
        <v>Faltante</v>
      </c>
    </row>
    <row r="1294" spans="1:14" hidden="1" x14ac:dyDescent="0.25">
      <c r="A1294" s="11">
        <v>46044</v>
      </c>
      <c r="B1294" s="5" t="s">
        <v>358</v>
      </c>
      <c r="C1294" s="3" t="s">
        <v>128</v>
      </c>
      <c r="D1294" s="5" t="s">
        <v>119</v>
      </c>
      <c r="E1294" s="5" t="s">
        <v>117</v>
      </c>
      <c r="F1294" s="6" t="s">
        <v>14</v>
      </c>
      <c r="G1294" s="4" t="s">
        <v>1</v>
      </c>
      <c r="H1294" s="25">
        <v>31.416</v>
      </c>
      <c r="I1294" s="8">
        <v>0</v>
      </c>
      <c r="J1294" s="9">
        <v>0</v>
      </c>
      <c r="K1294" s="7">
        <v>0</v>
      </c>
      <c r="L1294" s="24">
        <f>+Tabla2[[#This Row],[Stock Inventario]]*Tabla2[[#This Row],[Coste LÃ­nea]]</f>
        <v>0</v>
      </c>
      <c r="M1294" s="24">
        <f>+Tabla2[[#This Row],[Variación Stock]]*Tabla2[[#This Row],[Coste LÃ­nea]]</f>
        <v>0</v>
      </c>
      <c r="N1294" s="22" t="str">
        <f>+IF(Tabla2[[#This Row],[Variación Stock]]&gt;0,"Sobrante",IF(Tabla2[[#This Row],[Variación Stock]]&lt;0,"Faltante","Sin novedad"))</f>
        <v>Sin novedad</v>
      </c>
    </row>
    <row r="1295" spans="1:14" x14ac:dyDescent="0.25">
      <c r="A1295" s="11">
        <v>46044</v>
      </c>
      <c r="B1295" s="5" t="s">
        <v>358</v>
      </c>
      <c r="C1295" s="3" t="s">
        <v>128</v>
      </c>
      <c r="D1295" s="5" t="s">
        <v>122</v>
      </c>
      <c r="E1295" s="5" t="s">
        <v>112</v>
      </c>
      <c r="F1295" s="6" t="s">
        <v>101</v>
      </c>
      <c r="G1295" s="4" t="s">
        <v>2</v>
      </c>
      <c r="H1295" s="25">
        <v>1408.33333333</v>
      </c>
      <c r="I1295" s="8">
        <v>0</v>
      </c>
      <c r="J1295" s="9">
        <v>0</v>
      </c>
      <c r="K1295" s="7">
        <v>0</v>
      </c>
      <c r="L1295" s="24">
        <f>+Tabla2[[#This Row],[Stock Inventario]]*Tabla2[[#This Row],[Coste LÃ­nea]]</f>
        <v>0</v>
      </c>
      <c r="M1295" s="24">
        <f>+Tabla2[[#This Row],[Variación Stock]]*Tabla2[[#This Row],[Coste LÃ­nea]]</f>
        <v>0</v>
      </c>
      <c r="N1295" s="22" t="str">
        <f>+IF(Tabla2[[#This Row],[Variación Stock]]&gt;0,"Sobrante",IF(Tabla2[[#This Row],[Variación Stock]]&lt;0,"Faltante","Sin novedad"))</f>
        <v>Sin novedad</v>
      </c>
    </row>
    <row r="1296" spans="1:14" x14ac:dyDescent="0.25">
      <c r="A1296" s="11">
        <v>46044</v>
      </c>
      <c r="B1296" s="5" t="s">
        <v>358</v>
      </c>
      <c r="C1296" s="3" t="s">
        <v>128</v>
      </c>
      <c r="D1296" s="5" t="s">
        <v>122</v>
      </c>
      <c r="E1296" s="5" t="s">
        <v>112</v>
      </c>
      <c r="F1296" s="6" t="s">
        <v>98</v>
      </c>
      <c r="G1296" s="4" t="s">
        <v>2</v>
      </c>
      <c r="H1296" s="25">
        <v>1654.27777778</v>
      </c>
      <c r="I1296" s="8">
        <v>129</v>
      </c>
      <c r="J1296" s="9">
        <v>102</v>
      </c>
      <c r="K1296" s="15">
        <v>-27</v>
      </c>
      <c r="L1296" s="24">
        <f>+Tabla2[[#This Row],[Stock Inventario]]*Tabla2[[#This Row],[Coste LÃ­nea]]</f>
        <v>168736.33333356</v>
      </c>
      <c r="M1296" s="24">
        <f>+Tabla2[[#This Row],[Variación Stock]]*Tabla2[[#This Row],[Coste LÃ­nea]]</f>
        <v>-44665.500000059998</v>
      </c>
      <c r="N1296" s="22" t="str">
        <f>+IF(Tabla2[[#This Row],[Variación Stock]]&gt;0,"Sobrante",IF(Tabla2[[#This Row],[Variación Stock]]&lt;0,"Faltante","Sin novedad"))</f>
        <v>Faltante</v>
      </c>
    </row>
    <row r="1297" spans="1:14" x14ac:dyDescent="0.25">
      <c r="A1297" s="11">
        <v>46053</v>
      </c>
      <c r="B1297" s="5" t="s">
        <v>836</v>
      </c>
      <c r="C1297" s="3" t="s">
        <v>128</v>
      </c>
      <c r="D1297" s="5" t="s">
        <v>111</v>
      </c>
      <c r="E1297" s="5" t="s">
        <v>112</v>
      </c>
      <c r="F1297" s="6" t="s">
        <v>44</v>
      </c>
      <c r="G1297" s="4" t="s">
        <v>0</v>
      </c>
      <c r="H1297" s="25">
        <v>3804.2272727300001</v>
      </c>
      <c r="I1297" s="8">
        <v>2</v>
      </c>
      <c r="J1297" s="9">
        <v>3</v>
      </c>
      <c r="K1297" s="7">
        <v>1</v>
      </c>
      <c r="L1297" s="24">
        <f>+Tabla2[[#This Row],[Stock Inventario]]*Tabla2[[#This Row],[Coste LÃ­nea]]</f>
        <v>11412.68181819</v>
      </c>
      <c r="M1297" s="24">
        <f>+Tabla2[[#This Row],[Variación Stock]]*Tabla2[[#This Row],[Coste LÃ­nea]]</f>
        <v>3804.2272727300001</v>
      </c>
      <c r="N1297" s="22" t="str">
        <f>+IF(Tabla2[[#This Row],[Variación Stock]]&gt;0,"Sobrante",IF(Tabla2[[#This Row],[Variación Stock]]&lt;0,"Faltante","Sin novedad"))</f>
        <v>Sobrante</v>
      </c>
    </row>
    <row r="1298" spans="1:14" hidden="1" x14ac:dyDescent="0.25">
      <c r="A1298" s="11">
        <v>46053</v>
      </c>
      <c r="B1298" s="5" t="s">
        <v>836</v>
      </c>
      <c r="C1298" s="3" t="s">
        <v>128</v>
      </c>
      <c r="D1298" s="5" t="s">
        <v>829</v>
      </c>
      <c r="E1298" s="5" t="s">
        <v>117</v>
      </c>
      <c r="F1298" s="6" t="s">
        <v>831</v>
      </c>
      <c r="G1298" s="4" t="s">
        <v>1</v>
      </c>
      <c r="H1298" s="25">
        <v>86.679012349999994</v>
      </c>
      <c r="I1298" s="8">
        <v>3830</v>
      </c>
      <c r="J1298" s="9">
        <v>1500</v>
      </c>
      <c r="K1298" s="7">
        <v>-2330</v>
      </c>
      <c r="L1298" s="24">
        <f>+Tabla2[[#This Row],[Stock Inventario]]*Tabla2[[#This Row],[Coste LÃ­nea]]</f>
        <v>130018.51852499999</v>
      </c>
      <c r="M1298" s="24">
        <f>+Tabla2[[#This Row],[Variación Stock]]*Tabla2[[#This Row],[Coste LÃ­nea]]</f>
        <v>-201962.0987755</v>
      </c>
      <c r="N1298" s="22" t="str">
        <f>+IF(Tabla2[[#This Row],[Variación Stock]]&gt;0,"Sobrante",IF(Tabla2[[#This Row],[Variación Stock]]&lt;0,"Faltante","Sin novedad"))</f>
        <v>Faltante</v>
      </c>
    </row>
    <row r="1299" spans="1:14" hidden="1" x14ac:dyDescent="0.25">
      <c r="A1299" s="11">
        <v>46053</v>
      </c>
      <c r="B1299" s="5" t="s">
        <v>836</v>
      </c>
      <c r="C1299" s="3" t="s">
        <v>128</v>
      </c>
      <c r="D1299" s="5" t="s">
        <v>829</v>
      </c>
      <c r="E1299" s="5" t="s">
        <v>117</v>
      </c>
      <c r="F1299" s="6" t="s">
        <v>833</v>
      </c>
      <c r="G1299" s="4" t="s">
        <v>1</v>
      </c>
      <c r="H1299" s="25">
        <v>18.85916667</v>
      </c>
      <c r="I1299" s="8">
        <v>21042.857199999999</v>
      </c>
      <c r="J1299" s="9">
        <v>2000</v>
      </c>
      <c r="K1299" s="7">
        <v>-19042.857156999999</v>
      </c>
      <c r="L1299" s="24">
        <f>+Tabla2[[#This Row],[Stock Inventario]]*Tabla2[[#This Row],[Coste LÃ­nea]]</f>
        <v>37718.333339999997</v>
      </c>
      <c r="M1299" s="24">
        <f>+Tabla2[[#This Row],[Variación Stock]]*Tabla2[[#This Row],[Coste LÃ­nea]]</f>
        <v>-359132.41699686536</v>
      </c>
      <c r="N1299" s="22" t="str">
        <f>+IF(Tabla2[[#This Row],[Variación Stock]]&gt;0,"Sobrante",IF(Tabla2[[#This Row],[Variación Stock]]&lt;0,"Faltante","Sin novedad"))</f>
        <v>Faltante</v>
      </c>
    </row>
    <row r="1300" spans="1:14" hidden="1" x14ac:dyDescent="0.25">
      <c r="A1300" s="11">
        <v>46053</v>
      </c>
      <c r="B1300" s="5" t="s">
        <v>836</v>
      </c>
      <c r="C1300" s="3" t="s">
        <v>128</v>
      </c>
      <c r="D1300" s="5" t="s">
        <v>829</v>
      </c>
      <c r="E1300" s="5" t="s">
        <v>117</v>
      </c>
      <c r="F1300" s="6" t="s">
        <v>970</v>
      </c>
      <c r="G1300" s="4" t="s">
        <v>1</v>
      </c>
      <c r="H1300" s="25">
        <v>135.6</v>
      </c>
      <c r="I1300" s="8">
        <v>354</v>
      </c>
      <c r="J1300" s="9">
        <v>320</v>
      </c>
      <c r="K1300" s="7">
        <v>-34</v>
      </c>
      <c r="L1300" s="24">
        <f>+Tabla2[[#This Row],[Stock Inventario]]*Tabla2[[#This Row],[Coste LÃ­nea]]</f>
        <v>43392</v>
      </c>
      <c r="M1300" s="24">
        <f>+Tabla2[[#This Row],[Variación Stock]]*Tabla2[[#This Row],[Coste LÃ­nea]]</f>
        <v>-4610.3999999999996</v>
      </c>
      <c r="N1300" s="22" t="str">
        <f>+IF(Tabla2[[#This Row],[Variación Stock]]&gt;0,"Sobrante",IF(Tabla2[[#This Row],[Variación Stock]]&lt;0,"Faltante","Sin novedad"))</f>
        <v>Faltante</v>
      </c>
    </row>
    <row r="1301" spans="1:14" hidden="1" x14ac:dyDescent="0.25">
      <c r="A1301" s="11">
        <v>46053</v>
      </c>
      <c r="B1301" s="5" t="s">
        <v>836</v>
      </c>
      <c r="C1301" s="3" t="s">
        <v>128</v>
      </c>
      <c r="D1301" s="5" t="s">
        <v>829</v>
      </c>
      <c r="E1301" s="5" t="s">
        <v>117</v>
      </c>
      <c r="F1301" s="6" t="s">
        <v>830</v>
      </c>
      <c r="G1301" s="4" t="s">
        <v>1</v>
      </c>
      <c r="H1301" s="25">
        <v>8.2499666699999992</v>
      </c>
      <c r="I1301" s="8">
        <v>331311</v>
      </c>
      <c r="J1301" s="9">
        <v>80000</v>
      </c>
      <c r="K1301" s="7">
        <v>-251311</v>
      </c>
      <c r="L1301" s="24">
        <f>+Tabla2[[#This Row],[Stock Inventario]]*Tabla2[[#This Row],[Coste LÃ­nea]]</f>
        <v>659997.3335999999</v>
      </c>
      <c r="M1301" s="24">
        <f>+Tabla2[[#This Row],[Variación Stock]]*Tabla2[[#This Row],[Coste LÃ­nea]]</f>
        <v>-2073307.3738043697</v>
      </c>
      <c r="N1301" s="22" t="str">
        <f>+IF(Tabla2[[#This Row],[Variación Stock]]&gt;0,"Sobrante",IF(Tabla2[[#This Row],[Variación Stock]]&lt;0,"Faltante","Sin novedad"))</f>
        <v>Faltante</v>
      </c>
    </row>
    <row r="1302" spans="1:14" hidden="1" x14ac:dyDescent="0.25">
      <c r="A1302" s="11">
        <v>46053</v>
      </c>
      <c r="B1302" s="5" t="s">
        <v>836</v>
      </c>
      <c r="C1302" s="3" t="s">
        <v>128</v>
      </c>
      <c r="D1302" s="5" t="s">
        <v>803</v>
      </c>
      <c r="E1302" s="5" t="s">
        <v>117</v>
      </c>
      <c r="F1302" s="6" t="s">
        <v>805</v>
      </c>
      <c r="G1302" s="4" t="s">
        <v>1</v>
      </c>
      <c r="H1302" s="25">
        <v>18.52965</v>
      </c>
      <c r="I1302" s="8">
        <v>4207</v>
      </c>
      <c r="J1302" s="9">
        <v>2000</v>
      </c>
      <c r="K1302" s="7">
        <v>-2207</v>
      </c>
      <c r="L1302" s="24">
        <f>+Tabla2[[#This Row],[Stock Inventario]]*Tabla2[[#This Row],[Coste LÃ­nea]]</f>
        <v>37059.300000000003</v>
      </c>
      <c r="M1302" s="24">
        <f>+Tabla2[[#This Row],[Variación Stock]]*Tabla2[[#This Row],[Coste LÃ­nea]]</f>
        <v>-40894.937550000002</v>
      </c>
      <c r="N1302" s="22" t="str">
        <f>+IF(Tabla2[[#This Row],[Variación Stock]]&gt;0,"Sobrante",IF(Tabla2[[#This Row],[Variación Stock]]&lt;0,"Faltante","Sin novedad"))</f>
        <v>Faltante</v>
      </c>
    </row>
    <row r="1303" spans="1:14" x14ac:dyDescent="0.25">
      <c r="A1303" s="11">
        <v>46053</v>
      </c>
      <c r="B1303" s="5" t="s">
        <v>836</v>
      </c>
      <c r="C1303" s="3" t="s">
        <v>128</v>
      </c>
      <c r="D1303" s="5" t="s">
        <v>122</v>
      </c>
      <c r="E1303" s="5" t="s">
        <v>112</v>
      </c>
      <c r="F1303" s="6" t="s">
        <v>99</v>
      </c>
      <c r="G1303" s="4" t="s">
        <v>2</v>
      </c>
      <c r="H1303" s="25">
        <v>7330</v>
      </c>
      <c r="I1303" s="8">
        <v>12</v>
      </c>
      <c r="J1303" s="9">
        <v>12</v>
      </c>
      <c r="K1303" s="7">
        <v>0</v>
      </c>
      <c r="L1303" s="24">
        <f>+Tabla2[[#This Row],[Stock Inventario]]*Tabla2[[#This Row],[Coste LÃ­nea]]</f>
        <v>87960</v>
      </c>
      <c r="M1303" s="24">
        <f>+Tabla2[[#This Row],[Variación Stock]]*Tabla2[[#This Row],[Coste LÃ­nea]]</f>
        <v>0</v>
      </c>
      <c r="N1303" s="22" t="str">
        <f>+IF(Tabla2[[#This Row],[Variación Stock]]&gt;0,"Sobrante",IF(Tabla2[[#This Row],[Variación Stock]]&lt;0,"Faltante","Sin novedad"))</f>
        <v>Sin novedad</v>
      </c>
    </row>
    <row r="1304" spans="1:14" x14ac:dyDescent="0.25">
      <c r="A1304" s="11">
        <v>46053</v>
      </c>
      <c r="B1304" s="5" t="s">
        <v>836</v>
      </c>
      <c r="C1304" s="3" t="s">
        <v>128</v>
      </c>
      <c r="D1304" s="5" t="s">
        <v>122</v>
      </c>
      <c r="E1304" s="5" t="s">
        <v>112</v>
      </c>
      <c r="F1304" s="6" t="s">
        <v>100</v>
      </c>
      <c r="G1304" s="4" t="s">
        <v>2</v>
      </c>
      <c r="H1304" s="25">
        <v>7857</v>
      </c>
      <c r="I1304" s="8">
        <v>9</v>
      </c>
      <c r="J1304" s="9">
        <v>9</v>
      </c>
      <c r="K1304" s="7">
        <v>0</v>
      </c>
      <c r="L1304" s="24">
        <f>+Tabla2[[#This Row],[Stock Inventario]]*Tabla2[[#This Row],[Coste LÃ­nea]]</f>
        <v>70713</v>
      </c>
      <c r="M1304" s="24">
        <f>+Tabla2[[#This Row],[Variación Stock]]*Tabla2[[#This Row],[Coste LÃ­nea]]</f>
        <v>0</v>
      </c>
      <c r="N1304" s="22" t="str">
        <f>+IF(Tabla2[[#This Row],[Variación Stock]]&gt;0,"Sobrante",IF(Tabla2[[#This Row],[Variación Stock]]&lt;0,"Faltante","Sin novedad"))</f>
        <v>Sin novedad</v>
      </c>
    </row>
    <row r="1305" spans="1:14" x14ac:dyDescent="0.25">
      <c r="A1305" s="11">
        <v>46053</v>
      </c>
      <c r="B1305" s="5" t="s">
        <v>836</v>
      </c>
      <c r="C1305" s="3" t="s">
        <v>128</v>
      </c>
      <c r="D1305" s="5" t="s">
        <v>114</v>
      </c>
      <c r="E1305" s="5" t="s">
        <v>112</v>
      </c>
      <c r="F1305" s="6" t="s">
        <v>65</v>
      </c>
      <c r="G1305" s="4" t="s">
        <v>2</v>
      </c>
      <c r="H1305" s="25">
        <v>5132.5</v>
      </c>
      <c r="I1305" s="8">
        <v>4</v>
      </c>
      <c r="J1305" s="9">
        <v>9</v>
      </c>
      <c r="K1305" s="7">
        <v>5</v>
      </c>
      <c r="L1305" s="24">
        <f>+Tabla2[[#This Row],[Stock Inventario]]*Tabla2[[#This Row],[Coste LÃ­nea]]</f>
        <v>46192.5</v>
      </c>
      <c r="M1305" s="24">
        <f>+Tabla2[[#This Row],[Variación Stock]]*Tabla2[[#This Row],[Coste LÃ­nea]]</f>
        <v>25662.5</v>
      </c>
      <c r="N1305" s="22" t="str">
        <f>+IF(Tabla2[[#This Row],[Variación Stock]]&gt;0,"Sobrante",IF(Tabla2[[#This Row],[Variación Stock]]&lt;0,"Faltante","Sin novedad"))</f>
        <v>Sobrante</v>
      </c>
    </row>
    <row r="1306" spans="1:14" hidden="1" x14ac:dyDescent="0.25">
      <c r="A1306" s="11">
        <v>46053</v>
      </c>
      <c r="B1306" s="5" t="s">
        <v>836</v>
      </c>
      <c r="C1306" s="3" t="s">
        <v>128</v>
      </c>
      <c r="D1306" s="5" t="s">
        <v>471</v>
      </c>
      <c r="E1306" s="5" t="s">
        <v>117</v>
      </c>
      <c r="F1306" s="6" t="s">
        <v>542</v>
      </c>
      <c r="G1306" s="4" t="s">
        <v>1</v>
      </c>
      <c r="H1306" s="25">
        <v>8.5</v>
      </c>
      <c r="I1306" s="8">
        <v>108709.7643</v>
      </c>
      <c r="J1306" s="9">
        <v>12786</v>
      </c>
      <c r="K1306" s="7">
        <v>-95923.764316999994</v>
      </c>
      <c r="L1306" s="24">
        <f>+Tabla2[[#This Row],[Stock Inventario]]*Tabla2[[#This Row],[Coste LÃ­nea]]</f>
        <v>108681</v>
      </c>
      <c r="M1306" s="24">
        <f>+Tabla2[[#This Row],[Variación Stock]]*Tabla2[[#This Row],[Coste LÃ­nea]]</f>
        <v>-815351.99669449998</v>
      </c>
      <c r="N1306" s="22" t="str">
        <f>+IF(Tabla2[[#This Row],[Variación Stock]]&gt;0,"Sobrante",IF(Tabla2[[#This Row],[Variación Stock]]&lt;0,"Faltante","Sin novedad"))</f>
        <v>Faltante</v>
      </c>
    </row>
    <row r="1307" spans="1:14" x14ac:dyDescent="0.25">
      <c r="A1307" s="11">
        <v>46053</v>
      </c>
      <c r="B1307" s="5" t="s">
        <v>836</v>
      </c>
      <c r="C1307" s="3" t="s">
        <v>128</v>
      </c>
      <c r="D1307" s="5" t="s">
        <v>111</v>
      </c>
      <c r="E1307" s="5" t="s">
        <v>112</v>
      </c>
      <c r="F1307" s="6" t="s">
        <v>45</v>
      </c>
      <c r="G1307" s="4" t="s">
        <v>2</v>
      </c>
      <c r="H1307" s="25">
        <v>26517</v>
      </c>
      <c r="I1307" s="8">
        <v>9</v>
      </c>
      <c r="J1307" s="9">
        <v>8</v>
      </c>
      <c r="K1307" s="7">
        <v>-1</v>
      </c>
      <c r="L1307" s="24">
        <f>+Tabla2[[#This Row],[Stock Inventario]]*Tabla2[[#This Row],[Coste LÃ­nea]]</f>
        <v>212136</v>
      </c>
      <c r="M1307" s="24">
        <f>+Tabla2[[#This Row],[Variación Stock]]*Tabla2[[#This Row],[Coste LÃ­nea]]</f>
        <v>-26517</v>
      </c>
      <c r="N1307" s="22" t="str">
        <f>+IF(Tabla2[[#This Row],[Variación Stock]]&gt;0,"Sobrante",IF(Tabla2[[#This Row],[Variación Stock]]&lt;0,"Faltante","Sin novedad"))</f>
        <v>Faltante</v>
      </c>
    </row>
    <row r="1308" spans="1:14" x14ac:dyDescent="0.25">
      <c r="A1308" s="11">
        <v>46053</v>
      </c>
      <c r="B1308" s="5" t="s">
        <v>836</v>
      </c>
      <c r="C1308" s="3" t="s">
        <v>128</v>
      </c>
      <c r="D1308" s="5" t="s">
        <v>111</v>
      </c>
      <c r="E1308" s="5" t="s">
        <v>112</v>
      </c>
      <c r="F1308" s="6" t="s">
        <v>46</v>
      </c>
      <c r="G1308" s="4" t="s">
        <v>0</v>
      </c>
      <c r="H1308" s="25">
        <v>2056.3333333300002</v>
      </c>
      <c r="I1308" s="8">
        <v>30</v>
      </c>
      <c r="J1308" s="9">
        <v>30</v>
      </c>
      <c r="K1308" s="7">
        <v>0</v>
      </c>
      <c r="L1308" s="24">
        <f>+Tabla2[[#This Row],[Stock Inventario]]*Tabla2[[#This Row],[Coste LÃ­nea]]</f>
        <v>61689.999999900007</v>
      </c>
      <c r="M1308" s="24">
        <f>+Tabla2[[#This Row],[Variación Stock]]*Tabla2[[#This Row],[Coste LÃ­nea]]</f>
        <v>0</v>
      </c>
      <c r="N1308" s="22" t="str">
        <f>+IF(Tabla2[[#This Row],[Variación Stock]]&gt;0,"Sobrante",IF(Tabla2[[#This Row],[Variación Stock]]&lt;0,"Faltante","Sin novedad"))</f>
        <v>Sin novedad</v>
      </c>
    </row>
    <row r="1309" spans="1:14" x14ac:dyDescent="0.25">
      <c r="A1309" s="11">
        <v>46053</v>
      </c>
      <c r="B1309" s="5" t="s">
        <v>836</v>
      </c>
      <c r="C1309" s="3" t="s">
        <v>128</v>
      </c>
      <c r="D1309" s="5" t="s">
        <v>111</v>
      </c>
      <c r="E1309" s="5" t="s">
        <v>112</v>
      </c>
      <c r="F1309" s="6" t="s">
        <v>47</v>
      </c>
      <c r="G1309" s="4" t="s">
        <v>2</v>
      </c>
      <c r="H1309" s="25">
        <v>22770</v>
      </c>
      <c r="I1309" s="8">
        <v>4</v>
      </c>
      <c r="J1309" s="9">
        <v>4</v>
      </c>
      <c r="K1309" s="7">
        <v>0</v>
      </c>
      <c r="L1309" s="24">
        <f>+Tabla2[[#This Row],[Stock Inventario]]*Tabla2[[#This Row],[Coste LÃ­nea]]</f>
        <v>91080</v>
      </c>
      <c r="M1309" s="24">
        <f>+Tabla2[[#This Row],[Variación Stock]]*Tabla2[[#This Row],[Coste LÃ­nea]]</f>
        <v>0</v>
      </c>
      <c r="N1309" s="22" t="str">
        <f>+IF(Tabla2[[#This Row],[Variación Stock]]&gt;0,"Sobrante",IF(Tabla2[[#This Row],[Variación Stock]]&lt;0,"Faltante","Sin novedad"))</f>
        <v>Sin novedad</v>
      </c>
    </row>
    <row r="1310" spans="1:14" x14ac:dyDescent="0.25">
      <c r="A1310" s="11">
        <v>46053</v>
      </c>
      <c r="B1310" s="5" t="s">
        <v>836</v>
      </c>
      <c r="C1310" s="3" t="s">
        <v>128</v>
      </c>
      <c r="D1310" s="5" t="s">
        <v>111</v>
      </c>
      <c r="E1310" s="5" t="s">
        <v>112</v>
      </c>
      <c r="F1310" s="6" t="s">
        <v>48</v>
      </c>
      <c r="G1310" s="4" t="s">
        <v>0</v>
      </c>
      <c r="H1310" s="25">
        <v>1729.16666667</v>
      </c>
      <c r="I1310" s="8">
        <v>23</v>
      </c>
      <c r="J1310" s="9">
        <v>25</v>
      </c>
      <c r="K1310" s="7">
        <v>2</v>
      </c>
      <c r="L1310" s="24">
        <f>+Tabla2[[#This Row],[Stock Inventario]]*Tabla2[[#This Row],[Coste LÃ­nea]]</f>
        <v>43229.166666750003</v>
      </c>
      <c r="M1310" s="24">
        <f>+Tabla2[[#This Row],[Variación Stock]]*Tabla2[[#This Row],[Coste LÃ­nea]]</f>
        <v>3458.3333333400001</v>
      </c>
      <c r="N1310" s="22" t="str">
        <f>+IF(Tabla2[[#This Row],[Variación Stock]]&gt;0,"Sobrante",IF(Tabla2[[#This Row],[Variación Stock]]&lt;0,"Faltante","Sin novedad"))</f>
        <v>Sobrante</v>
      </c>
    </row>
    <row r="1311" spans="1:14" x14ac:dyDescent="0.25">
      <c r="A1311" s="11">
        <v>46053</v>
      </c>
      <c r="B1311" s="5" t="s">
        <v>836</v>
      </c>
      <c r="C1311" s="3" t="s">
        <v>128</v>
      </c>
      <c r="D1311" s="5" t="s">
        <v>111</v>
      </c>
      <c r="E1311" s="5" t="s">
        <v>112</v>
      </c>
      <c r="F1311" s="6" t="s">
        <v>49</v>
      </c>
      <c r="G1311" s="4" t="s">
        <v>2</v>
      </c>
      <c r="H1311" s="25">
        <v>23367</v>
      </c>
      <c r="I1311" s="8">
        <v>6</v>
      </c>
      <c r="J1311" s="9">
        <v>6</v>
      </c>
      <c r="K1311" s="7">
        <v>0</v>
      </c>
      <c r="L1311" s="24">
        <f>+Tabla2[[#This Row],[Stock Inventario]]*Tabla2[[#This Row],[Coste LÃ­nea]]</f>
        <v>140202</v>
      </c>
      <c r="M1311" s="24">
        <f>+Tabla2[[#This Row],[Variación Stock]]*Tabla2[[#This Row],[Coste LÃ­nea]]</f>
        <v>0</v>
      </c>
      <c r="N1311" s="22" t="str">
        <f>+IF(Tabla2[[#This Row],[Variación Stock]]&gt;0,"Sobrante",IF(Tabla2[[#This Row],[Variación Stock]]&lt;0,"Faltante","Sin novedad"))</f>
        <v>Sin novedad</v>
      </c>
    </row>
    <row r="1312" spans="1:14" x14ac:dyDescent="0.25">
      <c r="A1312" s="11">
        <v>46053</v>
      </c>
      <c r="B1312" s="5" t="s">
        <v>836</v>
      </c>
      <c r="C1312" s="3" t="s">
        <v>128</v>
      </c>
      <c r="D1312" s="5" t="s">
        <v>111</v>
      </c>
      <c r="E1312" s="5" t="s">
        <v>112</v>
      </c>
      <c r="F1312" s="6" t="s">
        <v>50</v>
      </c>
      <c r="G1312" s="4" t="s">
        <v>0</v>
      </c>
      <c r="H1312" s="25">
        <v>1798.66666667</v>
      </c>
      <c r="I1312" s="8">
        <v>34</v>
      </c>
      <c r="J1312" s="9">
        <v>35</v>
      </c>
      <c r="K1312" s="7">
        <v>1</v>
      </c>
      <c r="L1312" s="24">
        <f>+Tabla2[[#This Row],[Stock Inventario]]*Tabla2[[#This Row],[Coste LÃ­nea]]</f>
        <v>62953.333333449998</v>
      </c>
      <c r="M1312" s="24">
        <f>+Tabla2[[#This Row],[Variación Stock]]*Tabla2[[#This Row],[Coste LÃ­nea]]</f>
        <v>1798.66666667</v>
      </c>
      <c r="N1312" s="22" t="str">
        <f>+IF(Tabla2[[#This Row],[Variación Stock]]&gt;0,"Sobrante",IF(Tabla2[[#This Row],[Variación Stock]]&lt;0,"Faltante","Sin novedad"))</f>
        <v>Sobrante</v>
      </c>
    </row>
    <row r="1313" spans="1:14" hidden="1" x14ac:dyDescent="0.25">
      <c r="A1313" s="11">
        <v>46053</v>
      </c>
      <c r="B1313" s="5" t="s">
        <v>836</v>
      </c>
      <c r="C1313" s="3" t="s">
        <v>128</v>
      </c>
      <c r="D1313" s="5" t="s">
        <v>803</v>
      </c>
      <c r="E1313" s="5" t="s">
        <v>117</v>
      </c>
      <c r="F1313" s="6" t="s">
        <v>958</v>
      </c>
      <c r="G1313" s="4" t="s">
        <v>1</v>
      </c>
      <c r="H1313" s="25">
        <v>10.5</v>
      </c>
      <c r="I1313" s="8">
        <v>-2170</v>
      </c>
      <c r="J1313" s="9">
        <v>0</v>
      </c>
      <c r="K1313" s="7">
        <v>2170</v>
      </c>
      <c r="L1313" s="24">
        <f>+Tabla2[[#This Row],[Stock Inventario]]*Tabla2[[#This Row],[Coste LÃ­nea]]</f>
        <v>0</v>
      </c>
      <c r="M1313" s="24">
        <f>+Tabla2[[#This Row],[Variación Stock]]*Tabla2[[#This Row],[Coste LÃ­nea]]</f>
        <v>22785</v>
      </c>
      <c r="N1313" s="22" t="str">
        <f>+IF(Tabla2[[#This Row],[Variación Stock]]&gt;0,"Sobrante",IF(Tabla2[[#This Row],[Variación Stock]]&lt;0,"Faltante","Sin novedad"))</f>
        <v>Sobrante</v>
      </c>
    </row>
    <row r="1314" spans="1:14" hidden="1" x14ac:dyDescent="0.25">
      <c r="A1314" s="11">
        <v>46053</v>
      </c>
      <c r="B1314" s="5" t="s">
        <v>836</v>
      </c>
      <c r="C1314" s="3" t="s">
        <v>128</v>
      </c>
      <c r="D1314" s="5" t="s">
        <v>471</v>
      </c>
      <c r="E1314" s="5" t="s">
        <v>117</v>
      </c>
      <c r="F1314" s="6" t="s">
        <v>478</v>
      </c>
      <c r="G1314" s="4" t="s">
        <v>1</v>
      </c>
      <c r="H1314" s="25">
        <v>14</v>
      </c>
      <c r="I1314" s="8">
        <v>22799.999199999998</v>
      </c>
      <c r="J1314" s="9">
        <v>8000</v>
      </c>
      <c r="K1314" s="7">
        <v>-14799.9992</v>
      </c>
      <c r="L1314" s="24">
        <f>+Tabla2[[#This Row],[Stock Inventario]]*Tabla2[[#This Row],[Coste LÃ­nea]]</f>
        <v>112000</v>
      </c>
      <c r="M1314" s="24">
        <f>+Tabla2[[#This Row],[Variación Stock]]*Tabla2[[#This Row],[Coste LÃ­nea]]</f>
        <v>-207199.98879999999</v>
      </c>
      <c r="N1314" s="22" t="str">
        <f>+IF(Tabla2[[#This Row],[Variación Stock]]&gt;0,"Sobrante",IF(Tabla2[[#This Row],[Variación Stock]]&lt;0,"Faltante","Sin novedad"))</f>
        <v>Faltante</v>
      </c>
    </row>
    <row r="1315" spans="1:14" hidden="1" x14ac:dyDescent="0.25">
      <c r="A1315" s="11">
        <v>46053</v>
      </c>
      <c r="B1315" s="5" t="s">
        <v>836</v>
      </c>
      <c r="C1315" s="3" t="s">
        <v>128</v>
      </c>
      <c r="D1315" s="5" t="s">
        <v>471</v>
      </c>
      <c r="E1315" s="5" t="s">
        <v>117</v>
      </c>
      <c r="F1315" s="6" t="s">
        <v>480</v>
      </c>
      <c r="G1315" s="4" t="s">
        <v>1</v>
      </c>
      <c r="H1315" s="25">
        <v>10</v>
      </c>
      <c r="I1315" s="8">
        <v>-5552.1370999999999</v>
      </c>
      <c r="J1315" s="9">
        <v>2404</v>
      </c>
      <c r="K1315" s="7">
        <v>7956.1370784999999</v>
      </c>
      <c r="L1315" s="24">
        <f>+Tabla2[[#This Row],[Stock Inventario]]*Tabla2[[#This Row],[Coste LÃ­nea]]</f>
        <v>24040</v>
      </c>
      <c r="M1315" s="24">
        <f>+Tabla2[[#This Row],[Variación Stock]]*Tabla2[[#This Row],[Coste LÃ­nea]]</f>
        <v>79561.370785000006</v>
      </c>
      <c r="N1315" s="22" t="str">
        <f>+IF(Tabla2[[#This Row],[Variación Stock]]&gt;0,"Sobrante",IF(Tabla2[[#This Row],[Variación Stock]]&lt;0,"Faltante","Sin novedad"))</f>
        <v>Sobrante</v>
      </c>
    </row>
    <row r="1316" spans="1:14" hidden="1" x14ac:dyDescent="0.25">
      <c r="A1316" s="11">
        <v>46053</v>
      </c>
      <c r="B1316" s="5" t="s">
        <v>836</v>
      </c>
      <c r="C1316" s="3" t="s">
        <v>128</v>
      </c>
      <c r="D1316" s="5" t="s">
        <v>471</v>
      </c>
      <c r="E1316" s="5" t="s">
        <v>117</v>
      </c>
      <c r="F1316" s="6" t="s">
        <v>863</v>
      </c>
      <c r="G1316" s="4" t="s">
        <v>1</v>
      </c>
      <c r="H1316" s="25">
        <v>11.8</v>
      </c>
      <c r="I1316" s="8">
        <v>0</v>
      </c>
      <c r="J1316" s="9">
        <v>0</v>
      </c>
      <c r="K1316" s="7">
        <v>0</v>
      </c>
      <c r="L1316" s="24">
        <f>+Tabla2[[#This Row],[Stock Inventario]]*Tabla2[[#This Row],[Coste LÃ­nea]]</f>
        <v>0</v>
      </c>
      <c r="M1316" s="24">
        <f>+Tabla2[[#This Row],[Variación Stock]]*Tabla2[[#This Row],[Coste LÃ­nea]]</f>
        <v>0</v>
      </c>
      <c r="N1316" s="22" t="str">
        <f>+IF(Tabla2[[#This Row],[Variación Stock]]&gt;0,"Sobrante",IF(Tabla2[[#This Row],[Variación Stock]]&lt;0,"Faltante","Sin novedad"))</f>
        <v>Sin novedad</v>
      </c>
    </row>
    <row r="1317" spans="1:14" hidden="1" x14ac:dyDescent="0.25">
      <c r="A1317" s="11">
        <v>46053</v>
      </c>
      <c r="B1317" s="5" t="s">
        <v>836</v>
      </c>
      <c r="C1317" s="3" t="s">
        <v>128</v>
      </c>
      <c r="D1317" s="5" t="s">
        <v>471</v>
      </c>
      <c r="E1317" s="5" t="s">
        <v>117</v>
      </c>
      <c r="F1317" s="6" t="s">
        <v>481</v>
      </c>
      <c r="G1317" s="4" t="s">
        <v>1</v>
      </c>
      <c r="H1317" s="25">
        <v>28</v>
      </c>
      <c r="I1317" s="8">
        <v>37359</v>
      </c>
      <c r="J1317" s="9">
        <v>10000</v>
      </c>
      <c r="K1317" s="7">
        <v>-27359</v>
      </c>
      <c r="L1317" s="24">
        <f>+Tabla2[[#This Row],[Stock Inventario]]*Tabla2[[#This Row],[Coste LÃ­nea]]</f>
        <v>280000</v>
      </c>
      <c r="M1317" s="24">
        <f>+Tabla2[[#This Row],[Variación Stock]]*Tabla2[[#This Row],[Coste LÃ­nea]]</f>
        <v>-766052</v>
      </c>
      <c r="N1317" s="22" t="str">
        <f>+IF(Tabla2[[#This Row],[Variación Stock]]&gt;0,"Sobrante",IF(Tabla2[[#This Row],[Variación Stock]]&lt;0,"Faltante","Sin novedad"))</f>
        <v>Faltante</v>
      </c>
    </row>
    <row r="1318" spans="1:14" hidden="1" x14ac:dyDescent="0.25">
      <c r="A1318" s="11">
        <v>46053</v>
      </c>
      <c r="B1318" s="5" t="s">
        <v>836</v>
      </c>
      <c r="C1318" s="3" t="s">
        <v>128</v>
      </c>
      <c r="D1318" s="5" t="s">
        <v>803</v>
      </c>
      <c r="E1318" s="5" t="s">
        <v>117</v>
      </c>
      <c r="F1318" s="6" t="s">
        <v>806</v>
      </c>
      <c r="G1318" s="4" t="s">
        <v>1</v>
      </c>
      <c r="H1318" s="25">
        <v>13.68465</v>
      </c>
      <c r="I1318" s="8">
        <v>3332</v>
      </c>
      <c r="J1318" s="9">
        <v>3000</v>
      </c>
      <c r="K1318" s="7">
        <v>-332</v>
      </c>
      <c r="L1318" s="24">
        <f>+Tabla2[[#This Row],[Stock Inventario]]*Tabla2[[#This Row],[Coste LÃ­nea]]</f>
        <v>41053.949999999997</v>
      </c>
      <c r="M1318" s="24">
        <f>+Tabla2[[#This Row],[Variación Stock]]*Tabla2[[#This Row],[Coste LÃ­nea]]</f>
        <v>-4543.3037999999997</v>
      </c>
      <c r="N1318" s="22" t="str">
        <f>+IF(Tabla2[[#This Row],[Variación Stock]]&gt;0,"Sobrante",IF(Tabla2[[#This Row],[Variación Stock]]&lt;0,"Faltante","Sin novedad"))</f>
        <v>Faltante</v>
      </c>
    </row>
    <row r="1319" spans="1:14" hidden="1" x14ac:dyDescent="0.25">
      <c r="A1319" s="11">
        <v>46053</v>
      </c>
      <c r="B1319" s="5" t="s">
        <v>836</v>
      </c>
      <c r="C1319" s="3" t="s">
        <v>128</v>
      </c>
      <c r="D1319" s="5" t="s">
        <v>471</v>
      </c>
      <c r="E1319" s="5" t="s">
        <v>117</v>
      </c>
      <c r="F1319" s="6" t="s">
        <v>482</v>
      </c>
      <c r="G1319" s="4" t="s">
        <v>1</v>
      </c>
      <c r="H1319" s="25">
        <v>19.5</v>
      </c>
      <c r="I1319" s="8">
        <v>1019.5901</v>
      </c>
      <c r="J1319" s="9">
        <v>2488</v>
      </c>
      <c r="K1319" s="7">
        <v>1468.409946</v>
      </c>
      <c r="L1319" s="24">
        <f>+Tabla2[[#This Row],[Stock Inventario]]*Tabla2[[#This Row],[Coste LÃ­nea]]</f>
        <v>48516</v>
      </c>
      <c r="M1319" s="24">
        <f>+Tabla2[[#This Row],[Variación Stock]]*Tabla2[[#This Row],[Coste LÃ­nea]]</f>
        <v>28633.993946999999</v>
      </c>
      <c r="N1319" s="22" t="str">
        <f>+IF(Tabla2[[#This Row],[Variación Stock]]&gt;0,"Sobrante",IF(Tabla2[[#This Row],[Variación Stock]]&lt;0,"Faltante","Sin novedad"))</f>
        <v>Sobrante</v>
      </c>
    </row>
    <row r="1320" spans="1:14" hidden="1" x14ac:dyDescent="0.25">
      <c r="A1320" s="11">
        <v>46053</v>
      </c>
      <c r="B1320" s="5" t="s">
        <v>836</v>
      </c>
      <c r="C1320" s="3" t="s">
        <v>128</v>
      </c>
      <c r="D1320" s="5" t="s">
        <v>396</v>
      </c>
      <c r="E1320" s="5" t="s">
        <v>117</v>
      </c>
      <c r="F1320" s="6" t="s">
        <v>412</v>
      </c>
      <c r="G1320" s="4" t="s">
        <v>1</v>
      </c>
      <c r="H1320" s="25">
        <v>20.9</v>
      </c>
      <c r="I1320" s="8">
        <v>-10</v>
      </c>
      <c r="J1320" s="9">
        <v>1000</v>
      </c>
      <c r="K1320" s="7">
        <v>1010</v>
      </c>
      <c r="L1320" s="24">
        <f>+Tabla2[[#This Row],[Stock Inventario]]*Tabla2[[#This Row],[Coste LÃ­nea]]</f>
        <v>20900</v>
      </c>
      <c r="M1320" s="24">
        <f>+Tabla2[[#This Row],[Variación Stock]]*Tabla2[[#This Row],[Coste LÃ­nea]]</f>
        <v>21109</v>
      </c>
      <c r="N1320" s="22" t="str">
        <f>+IF(Tabla2[[#This Row],[Variación Stock]]&gt;0,"Sobrante",IF(Tabla2[[#This Row],[Variación Stock]]&lt;0,"Faltante","Sin novedad"))</f>
        <v>Sobrante</v>
      </c>
    </row>
    <row r="1321" spans="1:14" hidden="1" x14ac:dyDescent="0.25">
      <c r="A1321" s="11">
        <v>46053</v>
      </c>
      <c r="B1321" s="5" t="s">
        <v>836</v>
      </c>
      <c r="C1321" s="3" t="s">
        <v>128</v>
      </c>
      <c r="D1321" s="5" t="s">
        <v>803</v>
      </c>
      <c r="E1321" s="5" t="s">
        <v>117</v>
      </c>
      <c r="F1321" s="6" t="s">
        <v>807</v>
      </c>
      <c r="G1321" s="4" t="s">
        <v>1</v>
      </c>
      <c r="H1321" s="25">
        <v>73.78</v>
      </c>
      <c r="I1321" s="8">
        <v>1090</v>
      </c>
      <c r="J1321" s="9">
        <v>2000</v>
      </c>
      <c r="K1321" s="7">
        <v>910</v>
      </c>
      <c r="L1321" s="24">
        <f>+Tabla2[[#This Row],[Stock Inventario]]*Tabla2[[#This Row],[Coste LÃ­nea]]</f>
        <v>147560</v>
      </c>
      <c r="M1321" s="24">
        <f>+Tabla2[[#This Row],[Variación Stock]]*Tabla2[[#This Row],[Coste LÃ­nea]]</f>
        <v>67139.8</v>
      </c>
      <c r="N1321" s="22" t="str">
        <f>+IF(Tabla2[[#This Row],[Variación Stock]]&gt;0,"Sobrante",IF(Tabla2[[#This Row],[Variación Stock]]&lt;0,"Faltante","Sin novedad"))</f>
        <v>Sobrante</v>
      </c>
    </row>
    <row r="1322" spans="1:14" hidden="1" x14ac:dyDescent="0.25">
      <c r="A1322" s="11">
        <v>46053</v>
      </c>
      <c r="B1322" s="5" t="s">
        <v>836</v>
      </c>
      <c r="C1322" s="3" t="s">
        <v>128</v>
      </c>
      <c r="D1322" s="5" t="s">
        <v>471</v>
      </c>
      <c r="E1322" s="5" t="s">
        <v>117</v>
      </c>
      <c r="F1322" s="6" t="s">
        <v>483</v>
      </c>
      <c r="G1322" s="4" t="s">
        <v>1</v>
      </c>
      <c r="H1322" s="25">
        <v>13</v>
      </c>
      <c r="I1322" s="8">
        <v>6230</v>
      </c>
      <c r="J1322" s="9">
        <v>160</v>
      </c>
      <c r="K1322" s="7">
        <v>-6070</v>
      </c>
      <c r="L1322" s="24">
        <f>+Tabla2[[#This Row],[Stock Inventario]]*Tabla2[[#This Row],[Coste LÃ­nea]]</f>
        <v>2080</v>
      </c>
      <c r="M1322" s="24">
        <f>+Tabla2[[#This Row],[Variación Stock]]*Tabla2[[#This Row],[Coste LÃ­nea]]</f>
        <v>-78910</v>
      </c>
      <c r="N1322" s="22" t="str">
        <f>+IF(Tabla2[[#This Row],[Variación Stock]]&gt;0,"Sobrante",IF(Tabla2[[#This Row],[Variación Stock]]&lt;0,"Faltante","Sin novedad"))</f>
        <v>Faltante</v>
      </c>
    </row>
    <row r="1323" spans="1:14" hidden="1" x14ac:dyDescent="0.25">
      <c r="A1323" s="11">
        <v>46053</v>
      </c>
      <c r="B1323" s="5" t="s">
        <v>836</v>
      </c>
      <c r="C1323" s="3" t="s">
        <v>128</v>
      </c>
      <c r="D1323" s="5" t="s">
        <v>803</v>
      </c>
      <c r="E1323" s="5" t="s">
        <v>117</v>
      </c>
      <c r="F1323" s="6" t="s">
        <v>959</v>
      </c>
      <c r="G1323" s="4" t="s">
        <v>1</v>
      </c>
      <c r="H1323" s="25">
        <v>27.146000000000001</v>
      </c>
      <c r="I1323" s="8">
        <v>1613</v>
      </c>
      <c r="J1323" s="9">
        <v>1060</v>
      </c>
      <c r="K1323" s="7">
        <v>-553</v>
      </c>
      <c r="L1323" s="24">
        <f>+Tabla2[[#This Row],[Stock Inventario]]*Tabla2[[#This Row],[Coste LÃ­nea]]</f>
        <v>28774.760000000002</v>
      </c>
      <c r="M1323" s="24">
        <f>+Tabla2[[#This Row],[Variación Stock]]*Tabla2[[#This Row],[Coste LÃ­nea]]</f>
        <v>-15011.738000000001</v>
      </c>
      <c r="N1323" s="22" t="str">
        <f>+IF(Tabla2[[#This Row],[Variación Stock]]&gt;0,"Sobrante",IF(Tabla2[[#This Row],[Variación Stock]]&lt;0,"Faltante","Sin novedad"))</f>
        <v>Faltante</v>
      </c>
    </row>
    <row r="1324" spans="1:14" hidden="1" x14ac:dyDescent="0.25">
      <c r="A1324" s="11">
        <v>46053</v>
      </c>
      <c r="B1324" s="5" t="s">
        <v>836</v>
      </c>
      <c r="C1324" s="3" t="s">
        <v>128</v>
      </c>
      <c r="D1324" s="5" t="s">
        <v>626</v>
      </c>
      <c r="E1324" s="5" t="s">
        <v>1079</v>
      </c>
      <c r="F1324" s="6" t="s">
        <v>635</v>
      </c>
      <c r="G1324" s="4" t="s">
        <v>1</v>
      </c>
      <c r="H1324" s="25">
        <v>6.5141</v>
      </c>
      <c r="I1324" s="8">
        <v>32000</v>
      </c>
      <c r="J1324" s="9">
        <v>15</v>
      </c>
      <c r="K1324" s="7">
        <v>-31985</v>
      </c>
      <c r="L1324" s="24">
        <f>+Tabla2[[#This Row],[Stock Inventario]]*Tabla2[[#This Row],[Coste LÃ­nea]]</f>
        <v>97.711500000000001</v>
      </c>
      <c r="M1324" s="24">
        <f>+Tabla2[[#This Row],[Variación Stock]]*Tabla2[[#This Row],[Coste LÃ­nea]]</f>
        <v>-208353.48850000001</v>
      </c>
      <c r="N1324" s="22" t="str">
        <f>+IF(Tabla2[[#This Row],[Variación Stock]]&gt;0,"Sobrante",IF(Tabla2[[#This Row],[Variación Stock]]&lt;0,"Faltante","Sin novedad"))</f>
        <v>Faltante</v>
      </c>
    </row>
    <row r="1325" spans="1:14" hidden="1" x14ac:dyDescent="0.25">
      <c r="A1325" s="11">
        <v>46053</v>
      </c>
      <c r="B1325" s="5" t="s">
        <v>836</v>
      </c>
      <c r="C1325" s="3" t="s">
        <v>128</v>
      </c>
      <c r="D1325" s="5" t="s">
        <v>824</v>
      </c>
      <c r="E1325" s="5" t="s">
        <v>117</v>
      </c>
      <c r="F1325" s="6" t="s">
        <v>825</v>
      </c>
      <c r="G1325" s="4" t="s">
        <v>1</v>
      </c>
      <c r="H1325" s="25">
        <v>173.386</v>
      </c>
      <c r="I1325" s="8">
        <v>730</v>
      </c>
      <c r="J1325" s="9">
        <v>860</v>
      </c>
      <c r="K1325" s="7">
        <v>130</v>
      </c>
      <c r="L1325" s="24">
        <f>+Tabla2[[#This Row],[Stock Inventario]]*Tabla2[[#This Row],[Coste LÃ­nea]]</f>
        <v>149111.96</v>
      </c>
      <c r="M1325" s="24">
        <f>+Tabla2[[#This Row],[Variación Stock]]*Tabla2[[#This Row],[Coste LÃ­nea]]</f>
        <v>22540.18</v>
      </c>
      <c r="N1325" s="22" t="str">
        <f>+IF(Tabla2[[#This Row],[Variación Stock]]&gt;0,"Sobrante",IF(Tabla2[[#This Row],[Variación Stock]]&lt;0,"Faltante","Sin novedad"))</f>
        <v>Sobrante</v>
      </c>
    </row>
    <row r="1326" spans="1:14" hidden="1" x14ac:dyDescent="0.25">
      <c r="A1326" s="11">
        <v>46053</v>
      </c>
      <c r="B1326" s="5" t="s">
        <v>836</v>
      </c>
      <c r="C1326" s="3" t="s">
        <v>128</v>
      </c>
      <c r="D1326" s="5" t="s">
        <v>396</v>
      </c>
      <c r="E1326" s="5" t="s">
        <v>117</v>
      </c>
      <c r="F1326" s="6" t="s">
        <v>849</v>
      </c>
      <c r="G1326" s="4" t="s">
        <v>1</v>
      </c>
      <c r="H1326" s="25">
        <v>12.150080000000001</v>
      </c>
      <c r="I1326" s="8">
        <v>1305.1033</v>
      </c>
      <c r="J1326" s="9">
        <v>4192</v>
      </c>
      <c r="K1326" s="7">
        <v>2886.8966999999998</v>
      </c>
      <c r="L1326" s="24">
        <f>+Tabla2[[#This Row],[Stock Inventario]]*Tabla2[[#This Row],[Coste LÃ­nea]]</f>
        <v>50933.13536</v>
      </c>
      <c r="M1326" s="24">
        <f>+Tabla2[[#This Row],[Variación Stock]]*Tabla2[[#This Row],[Coste LÃ­nea]]</f>
        <v>35076.025856736</v>
      </c>
      <c r="N1326" s="22" t="str">
        <f>+IF(Tabla2[[#This Row],[Variación Stock]]&gt;0,"Sobrante",IF(Tabla2[[#This Row],[Variación Stock]]&lt;0,"Faltante","Sin novedad"))</f>
        <v>Sobrante</v>
      </c>
    </row>
    <row r="1327" spans="1:14" hidden="1" x14ac:dyDescent="0.25">
      <c r="A1327" s="11">
        <v>46053</v>
      </c>
      <c r="B1327" s="5" t="s">
        <v>836</v>
      </c>
      <c r="C1327" s="3" t="s">
        <v>128</v>
      </c>
      <c r="D1327" s="5" t="s">
        <v>396</v>
      </c>
      <c r="E1327" s="5" t="s">
        <v>117</v>
      </c>
      <c r="F1327" s="6" t="s">
        <v>458</v>
      </c>
      <c r="G1327" s="4" t="s">
        <v>1</v>
      </c>
      <c r="H1327" s="25">
        <v>12.150080000000001</v>
      </c>
      <c r="I1327" s="8">
        <v>28348.2016</v>
      </c>
      <c r="J1327" s="9">
        <v>24000</v>
      </c>
      <c r="K1327" s="7">
        <v>-4348.2016299999996</v>
      </c>
      <c r="L1327" s="24">
        <f>+Tabla2[[#This Row],[Stock Inventario]]*Tabla2[[#This Row],[Coste LÃ­nea]]</f>
        <v>291601.92000000004</v>
      </c>
      <c r="M1327" s="24">
        <f>+Tabla2[[#This Row],[Variación Stock]]*Tabla2[[#This Row],[Coste LÃ­nea]]</f>
        <v>-52830.997660630397</v>
      </c>
      <c r="N1327" s="22" t="str">
        <f>+IF(Tabla2[[#This Row],[Variación Stock]]&gt;0,"Sobrante",IF(Tabla2[[#This Row],[Variación Stock]]&lt;0,"Faltante","Sin novedad"))</f>
        <v>Faltante</v>
      </c>
    </row>
    <row r="1328" spans="1:14" x14ac:dyDescent="0.25">
      <c r="A1328" s="11">
        <v>46053</v>
      </c>
      <c r="B1328" s="5" t="s">
        <v>836</v>
      </c>
      <c r="C1328" s="3" t="s">
        <v>128</v>
      </c>
      <c r="D1328" s="5" t="s">
        <v>111</v>
      </c>
      <c r="E1328" s="5" t="s">
        <v>112</v>
      </c>
      <c r="F1328" s="6" t="s">
        <v>35</v>
      </c>
      <c r="G1328" s="4" t="s">
        <v>0</v>
      </c>
      <c r="H1328" s="25">
        <v>1665.04166667</v>
      </c>
      <c r="I1328" s="8">
        <v>19</v>
      </c>
      <c r="J1328" s="9">
        <v>19</v>
      </c>
      <c r="K1328" s="7">
        <v>0</v>
      </c>
      <c r="L1328" s="24">
        <f>+Tabla2[[#This Row],[Stock Inventario]]*Tabla2[[#This Row],[Coste LÃ­nea]]</f>
        <v>31635.791666730001</v>
      </c>
      <c r="M1328" s="24">
        <f>+Tabla2[[#This Row],[Variación Stock]]*Tabla2[[#This Row],[Coste LÃ­nea]]</f>
        <v>0</v>
      </c>
      <c r="N1328" s="22" t="str">
        <f>+IF(Tabla2[[#This Row],[Variación Stock]]&gt;0,"Sobrante",IF(Tabla2[[#This Row],[Variación Stock]]&lt;0,"Faltante","Sin novedad"))</f>
        <v>Sin novedad</v>
      </c>
    </row>
    <row r="1329" spans="1:14" hidden="1" x14ac:dyDescent="0.25">
      <c r="A1329" s="11">
        <v>46053</v>
      </c>
      <c r="B1329" s="5" t="s">
        <v>836</v>
      </c>
      <c r="C1329" s="3" t="s">
        <v>128</v>
      </c>
      <c r="D1329" s="5" t="s">
        <v>803</v>
      </c>
      <c r="E1329" s="5" t="s">
        <v>117</v>
      </c>
      <c r="F1329" s="6" t="s">
        <v>804</v>
      </c>
      <c r="G1329" s="4" t="s">
        <v>1</v>
      </c>
      <c r="H1329" s="25">
        <v>120</v>
      </c>
      <c r="I1329" s="8">
        <v>91</v>
      </c>
      <c r="J1329" s="9">
        <v>340</v>
      </c>
      <c r="K1329" s="7">
        <v>249</v>
      </c>
      <c r="L1329" s="24">
        <f>+Tabla2[[#This Row],[Stock Inventario]]*Tabla2[[#This Row],[Coste LÃ­nea]]</f>
        <v>40800</v>
      </c>
      <c r="M1329" s="24">
        <f>+Tabla2[[#This Row],[Variación Stock]]*Tabla2[[#This Row],[Coste LÃ­nea]]</f>
        <v>29880</v>
      </c>
      <c r="N1329" s="22" t="str">
        <f>+IF(Tabla2[[#This Row],[Variación Stock]]&gt;0,"Sobrante",IF(Tabla2[[#This Row],[Variación Stock]]&lt;0,"Faltante","Sin novedad"))</f>
        <v>Sobrante</v>
      </c>
    </row>
    <row r="1330" spans="1:14" x14ac:dyDescent="0.25">
      <c r="A1330" s="11">
        <v>46053</v>
      </c>
      <c r="B1330" s="5" t="s">
        <v>836</v>
      </c>
      <c r="C1330" s="3" t="s">
        <v>128</v>
      </c>
      <c r="D1330" s="5" t="s">
        <v>111</v>
      </c>
      <c r="E1330" s="5" t="s">
        <v>112</v>
      </c>
      <c r="F1330" s="6" t="s">
        <v>36</v>
      </c>
      <c r="G1330" s="4" t="s">
        <v>0</v>
      </c>
      <c r="H1330" s="25">
        <v>3313.8958333300002</v>
      </c>
      <c r="I1330" s="8">
        <v>38</v>
      </c>
      <c r="J1330" s="9">
        <v>42</v>
      </c>
      <c r="K1330" s="7">
        <v>4</v>
      </c>
      <c r="L1330" s="24">
        <f>+Tabla2[[#This Row],[Stock Inventario]]*Tabla2[[#This Row],[Coste LÃ­nea]]</f>
        <v>139183.62499986001</v>
      </c>
      <c r="M1330" s="24">
        <f>+Tabla2[[#This Row],[Variación Stock]]*Tabla2[[#This Row],[Coste LÃ­nea]]</f>
        <v>13255.583333320001</v>
      </c>
      <c r="N1330" s="22" t="str">
        <f>+IF(Tabla2[[#This Row],[Variación Stock]]&gt;0,"Sobrante",IF(Tabla2[[#This Row],[Variación Stock]]&lt;0,"Faltante","Sin novedad"))</f>
        <v>Sobrante</v>
      </c>
    </row>
    <row r="1331" spans="1:14" hidden="1" x14ac:dyDescent="0.25">
      <c r="A1331" s="11">
        <v>46053</v>
      </c>
      <c r="B1331" s="5" t="s">
        <v>836</v>
      </c>
      <c r="C1331" s="3" t="s">
        <v>128</v>
      </c>
      <c r="D1331" s="5" t="s">
        <v>471</v>
      </c>
      <c r="E1331" s="5" t="s">
        <v>117</v>
      </c>
      <c r="F1331" s="6" t="s">
        <v>484</v>
      </c>
      <c r="G1331" s="4" t="s">
        <v>1</v>
      </c>
      <c r="H1331" s="25">
        <v>2200</v>
      </c>
      <c r="I1331" s="8">
        <v>1750</v>
      </c>
      <c r="J1331" s="9">
        <v>0</v>
      </c>
      <c r="K1331" s="7">
        <v>-1750</v>
      </c>
      <c r="L1331" s="24">
        <f>+Tabla2[[#This Row],[Stock Inventario]]*Tabla2[[#This Row],[Coste LÃ­nea]]</f>
        <v>0</v>
      </c>
      <c r="M1331" s="24">
        <f>+Tabla2[[#This Row],[Variación Stock]]*Tabla2[[#This Row],[Coste LÃ­nea]]</f>
        <v>-3850000</v>
      </c>
      <c r="N1331" s="22" t="str">
        <f>+IF(Tabla2[[#This Row],[Variación Stock]]&gt;0,"Sobrante",IF(Tabla2[[#This Row],[Variación Stock]]&lt;0,"Faltante","Sin novedad"))</f>
        <v>Faltante</v>
      </c>
    </row>
    <row r="1332" spans="1:14" hidden="1" x14ac:dyDescent="0.25">
      <c r="A1332" s="11">
        <v>46053</v>
      </c>
      <c r="B1332" s="5" t="s">
        <v>836</v>
      </c>
      <c r="C1332" s="3" t="s">
        <v>128</v>
      </c>
      <c r="D1332" s="5" t="s">
        <v>471</v>
      </c>
      <c r="E1332" s="5" t="s">
        <v>117</v>
      </c>
      <c r="F1332" s="6" t="s">
        <v>485</v>
      </c>
      <c r="G1332" s="4" t="s">
        <v>1</v>
      </c>
      <c r="H1332" s="25">
        <v>60</v>
      </c>
      <c r="I1332" s="8">
        <v>1377</v>
      </c>
      <c r="J1332" s="9">
        <v>300</v>
      </c>
      <c r="K1332" s="7">
        <v>-1077</v>
      </c>
      <c r="L1332" s="24">
        <f>+Tabla2[[#This Row],[Stock Inventario]]*Tabla2[[#This Row],[Coste LÃ­nea]]</f>
        <v>18000</v>
      </c>
      <c r="M1332" s="24">
        <f>+Tabla2[[#This Row],[Variación Stock]]*Tabla2[[#This Row],[Coste LÃ­nea]]</f>
        <v>-64620</v>
      </c>
      <c r="N1332" s="22" t="str">
        <f>+IF(Tabla2[[#This Row],[Variación Stock]]&gt;0,"Sobrante",IF(Tabla2[[#This Row],[Variación Stock]]&lt;0,"Faltante","Sin novedad"))</f>
        <v>Faltante</v>
      </c>
    </row>
    <row r="1333" spans="1:14" hidden="1" x14ac:dyDescent="0.25">
      <c r="A1333" s="11">
        <v>46053</v>
      </c>
      <c r="B1333" s="5" t="s">
        <v>836</v>
      </c>
      <c r="C1333" s="3" t="s">
        <v>128</v>
      </c>
      <c r="D1333" s="5" t="s">
        <v>547</v>
      </c>
      <c r="E1333" s="5" t="s">
        <v>117</v>
      </c>
      <c r="F1333" s="6" t="s">
        <v>552</v>
      </c>
      <c r="G1333" s="4" t="s">
        <v>1</v>
      </c>
      <c r="H1333" s="25">
        <v>16.915926049999999</v>
      </c>
      <c r="I1333" s="8">
        <v>12700</v>
      </c>
      <c r="J1333" s="9">
        <v>9000</v>
      </c>
      <c r="K1333" s="7">
        <v>-3700</v>
      </c>
      <c r="L1333" s="24">
        <f>+Tabla2[[#This Row],[Stock Inventario]]*Tabla2[[#This Row],[Coste LÃ­nea]]</f>
        <v>152243.33444999999</v>
      </c>
      <c r="M1333" s="24">
        <f>+Tabla2[[#This Row],[Variación Stock]]*Tabla2[[#This Row],[Coste LÃ­nea]]</f>
        <v>-62588.926384999999</v>
      </c>
      <c r="N1333" s="22" t="str">
        <f>+IF(Tabla2[[#This Row],[Variación Stock]]&gt;0,"Sobrante",IF(Tabla2[[#This Row],[Variación Stock]]&lt;0,"Faltante","Sin novedad"))</f>
        <v>Faltante</v>
      </c>
    </row>
    <row r="1334" spans="1:14" hidden="1" x14ac:dyDescent="0.25">
      <c r="A1334" s="11">
        <v>46053</v>
      </c>
      <c r="B1334" s="5" t="s">
        <v>836</v>
      </c>
      <c r="C1334" s="3" t="s">
        <v>128</v>
      </c>
      <c r="D1334" s="5" t="s">
        <v>396</v>
      </c>
      <c r="E1334" s="5" t="s">
        <v>117</v>
      </c>
      <c r="F1334" s="6" t="s">
        <v>403</v>
      </c>
      <c r="G1334" s="4" t="s">
        <v>1</v>
      </c>
      <c r="H1334" s="25">
        <v>202.15</v>
      </c>
      <c r="I1334" s="8">
        <v>3400</v>
      </c>
      <c r="J1334" s="9">
        <v>1850</v>
      </c>
      <c r="K1334" s="7">
        <v>-1550</v>
      </c>
      <c r="L1334" s="24">
        <f>+Tabla2[[#This Row],[Stock Inventario]]*Tabla2[[#This Row],[Coste LÃ­nea]]</f>
        <v>373977.5</v>
      </c>
      <c r="M1334" s="24">
        <f>+Tabla2[[#This Row],[Variación Stock]]*Tabla2[[#This Row],[Coste LÃ­nea]]</f>
        <v>-313332.5</v>
      </c>
      <c r="N1334" s="22" t="str">
        <f>+IF(Tabla2[[#This Row],[Variación Stock]]&gt;0,"Sobrante",IF(Tabla2[[#This Row],[Variación Stock]]&lt;0,"Faltante","Sin novedad"))</f>
        <v>Faltante</v>
      </c>
    </row>
    <row r="1335" spans="1:14" hidden="1" x14ac:dyDescent="0.25">
      <c r="A1335" s="11">
        <v>46053</v>
      </c>
      <c r="B1335" s="5" t="s">
        <v>836</v>
      </c>
      <c r="C1335" s="3" t="s">
        <v>128</v>
      </c>
      <c r="D1335" s="5" t="s">
        <v>396</v>
      </c>
      <c r="E1335" s="5" t="s">
        <v>117</v>
      </c>
      <c r="F1335" s="6" t="s">
        <v>429</v>
      </c>
      <c r="G1335" s="4" t="s">
        <v>1</v>
      </c>
      <c r="H1335" s="25">
        <v>10.616</v>
      </c>
      <c r="I1335" s="8">
        <v>45900</v>
      </c>
      <c r="J1335" s="9">
        <v>39000</v>
      </c>
      <c r="K1335" s="7">
        <v>-6900</v>
      </c>
      <c r="L1335" s="24">
        <f>+Tabla2[[#This Row],[Stock Inventario]]*Tabla2[[#This Row],[Coste LÃ­nea]]</f>
        <v>414024</v>
      </c>
      <c r="M1335" s="24">
        <f>+Tabla2[[#This Row],[Variación Stock]]*Tabla2[[#This Row],[Coste LÃ­nea]]</f>
        <v>-73250.399999999994</v>
      </c>
      <c r="N1335" s="22" t="str">
        <f>+IF(Tabla2[[#This Row],[Variación Stock]]&gt;0,"Sobrante",IF(Tabla2[[#This Row],[Variación Stock]]&lt;0,"Faltante","Sin novedad"))</f>
        <v>Faltante</v>
      </c>
    </row>
    <row r="1336" spans="1:14" hidden="1" x14ac:dyDescent="0.25">
      <c r="A1336" s="11">
        <v>46053</v>
      </c>
      <c r="B1336" s="5" t="s">
        <v>836</v>
      </c>
      <c r="C1336" s="3" t="s">
        <v>128</v>
      </c>
      <c r="D1336" s="5" t="s">
        <v>396</v>
      </c>
      <c r="E1336" s="5" t="s">
        <v>117</v>
      </c>
      <c r="F1336" s="6" t="s">
        <v>860</v>
      </c>
      <c r="G1336" s="4" t="s">
        <v>1</v>
      </c>
      <c r="H1336" s="25">
        <v>29</v>
      </c>
      <c r="I1336" s="8">
        <v>5000</v>
      </c>
      <c r="J1336" s="9">
        <v>3000</v>
      </c>
      <c r="K1336" s="7">
        <v>-2000</v>
      </c>
      <c r="L1336" s="24">
        <f>+Tabla2[[#This Row],[Stock Inventario]]*Tabla2[[#This Row],[Coste LÃ­nea]]</f>
        <v>87000</v>
      </c>
      <c r="M1336" s="24">
        <f>+Tabla2[[#This Row],[Variación Stock]]*Tabla2[[#This Row],[Coste LÃ­nea]]</f>
        <v>-58000</v>
      </c>
      <c r="N1336" s="22" t="str">
        <f>+IF(Tabla2[[#This Row],[Variación Stock]]&gt;0,"Sobrante",IF(Tabla2[[#This Row],[Variación Stock]]&lt;0,"Faltante","Sin novedad"))</f>
        <v>Faltante</v>
      </c>
    </row>
    <row r="1337" spans="1:14" hidden="1" x14ac:dyDescent="0.25">
      <c r="A1337" s="11">
        <v>46053</v>
      </c>
      <c r="B1337" s="5" t="s">
        <v>836</v>
      </c>
      <c r="C1337" s="3" t="s">
        <v>128</v>
      </c>
      <c r="D1337" s="5" t="s">
        <v>471</v>
      </c>
      <c r="E1337" s="5" t="s">
        <v>117</v>
      </c>
      <c r="F1337" s="6" t="s">
        <v>486</v>
      </c>
      <c r="G1337" s="4" t="s">
        <v>1</v>
      </c>
      <c r="H1337" s="25">
        <v>22</v>
      </c>
      <c r="I1337" s="8">
        <v>2000</v>
      </c>
      <c r="J1337" s="9">
        <v>0</v>
      </c>
      <c r="K1337" s="7">
        <v>-2000</v>
      </c>
      <c r="L1337" s="24">
        <f>+Tabla2[[#This Row],[Stock Inventario]]*Tabla2[[#This Row],[Coste LÃ­nea]]</f>
        <v>0</v>
      </c>
      <c r="M1337" s="24">
        <f>+Tabla2[[#This Row],[Variación Stock]]*Tabla2[[#This Row],[Coste LÃ­nea]]</f>
        <v>-44000</v>
      </c>
      <c r="N1337" s="22" t="str">
        <f>+IF(Tabla2[[#This Row],[Variación Stock]]&gt;0,"Sobrante",IF(Tabla2[[#This Row],[Variación Stock]]&lt;0,"Faltante","Sin novedad"))</f>
        <v>Faltante</v>
      </c>
    </row>
    <row r="1338" spans="1:14" hidden="1" x14ac:dyDescent="0.25">
      <c r="A1338" s="11">
        <v>46053</v>
      </c>
      <c r="B1338" s="5" t="s">
        <v>836</v>
      </c>
      <c r="C1338" s="3" t="s">
        <v>128</v>
      </c>
      <c r="D1338" s="5" t="s">
        <v>119</v>
      </c>
      <c r="E1338" s="5" t="s">
        <v>117</v>
      </c>
      <c r="F1338" s="6" t="s">
        <v>192</v>
      </c>
      <c r="G1338" s="4" t="s">
        <v>2</v>
      </c>
      <c r="H1338" s="25">
        <v>8233.3333333299997</v>
      </c>
      <c r="I1338" s="8">
        <v>9</v>
      </c>
      <c r="J1338" s="9">
        <v>19</v>
      </c>
      <c r="K1338" s="7">
        <v>10</v>
      </c>
      <c r="L1338" s="24">
        <f>+Tabla2[[#This Row],[Stock Inventario]]*Tabla2[[#This Row],[Coste LÃ­nea]]</f>
        <v>156433.33333326998</v>
      </c>
      <c r="M1338" s="24">
        <f>+Tabla2[[#This Row],[Variación Stock]]*Tabla2[[#This Row],[Coste LÃ­nea]]</f>
        <v>82333.33333329999</v>
      </c>
      <c r="N1338" s="22" t="str">
        <f>+IF(Tabla2[[#This Row],[Variación Stock]]&gt;0,"Sobrante",IF(Tabla2[[#This Row],[Variación Stock]]&lt;0,"Faltante","Sin novedad"))</f>
        <v>Sobrante</v>
      </c>
    </row>
    <row r="1339" spans="1:14" hidden="1" x14ac:dyDescent="0.25">
      <c r="A1339" s="11">
        <v>46053</v>
      </c>
      <c r="B1339" s="5" t="s">
        <v>836</v>
      </c>
      <c r="C1339" s="3" t="s">
        <v>128</v>
      </c>
      <c r="D1339" s="5" t="s">
        <v>396</v>
      </c>
      <c r="E1339" s="5" t="s">
        <v>117</v>
      </c>
      <c r="F1339" s="6" t="s">
        <v>431</v>
      </c>
      <c r="G1339" s="4" t="s">
        <v>1</v>
      </c>
      <c r="H1339" s="25">
        <v>4.8816600000000001</v>
      </c>
      <c r="I1339" s="8">
        <v>135885.052</v>
      </c>
      <c r="J1339" s="9">
        <v>44414</v>
      </c>
      <c r="K1339" s="7">
        <v>-91471.052041999996</v>
      </c>
      <c r="L1339" s="24">
        <f>+Tabla2[[#This Row],[Stock Inventario]]*Tabla2[[#This Row],[Coste LÃ­nea]]</f>
        <v>216814.04724000001</v>
      </c>
      <c r="M1339" s="24">
        <f>+Tabla2[[#This Row],[Variación Stock]]*Tabla2[[#This Row],[Coste LÃ­nea]]</f>
        <v>-446530.57591134973</v>
      </c>
      <c r="N1339" s="22" t="str">
        <f>+IF(Tabla2[[#This Row],[Variación Stock]]&gt;0,"Sobrante",IF(Tabla2[[#This Row],[Variación Stock]]&lt;0,"Faltante","Sin novedad"))</f>
        <v>Faltante</v>
      </c>
    </row>
    <row r="1340" spans="1:14" hidden="1" x14ac:dyDescent="0.25">
      <c r="A1340" s="11">
        <v>46053</v>
      </c>
      <c r="B1340" s="5" t="s">
        <v>836</v>
      </c>
      <c r="C1340" s="3" t="s">
        <v>128</v>
      </c>
      <c r="D1340" s="5" t="s">
        <v>396</v>
      </c>
      <c r="E1340" s="5" t="s">
        <v>117</v>
      </c>
      <c r="F1340" s="6" t="s">
        <v>850</v>
      </c>
      <c r="G1340" s="4" t="s">
        <v>1</v>
      </c>
      <c r="H1340" s="25">
        <v>7.7007000000000003</v>
      </c>
      <c r="I1340" s="8">
        <v>1405</v>
      </c>
      <c r="J1340" s="9">
        <v>2800</v>
      </c>
      <c r="K1340" s="7">
        <v>1395</v>
      </c>
      <c r="L1340" s="24">
        <f>+Tabla2[[#This Row],[Stock Inventario]]*Tabla2[[#This Row],[Coste LÃ­nea]]</f>
        <v>21561.96</v>
      </c>
      <c r="M1340" s="24">
        <f>+Tabla2[[#This Row],[Variación Stock]]*Tabla2[[#This Row],[Coste LÃ­nea]]</f>
        <v>10742.476500000001</v>
      </c>
      <c r="N1340" s="22" t="str">
        <f>+IF(Tabla2[[#This Row],[Variación Stock]]&gt;0,"Sobrante",IF(Tabla2[[#This Row],[Variación Stock]]&lt;0,"Faltante","Sin novedad"))</f>
        <v>Sobrante</v>
      </c>
    </row>
    <row r="1341" spans="1:14" hidden="1" x14ac:dyDescent="0.25">
      <c r="A1341" s="11">
        <v>46053</v>
      </c>
      <c r="B1341" s="5" t="s">
        <v>836</v>
      </c>
      <c r="C1341" s="3" t="s">
        <v>128</v>
      </c>
      <c r="D1341" s="5" t="s">
        <v>396</v>
      </c>
      <c r="E1341" s="5" t="s">
        <v>117</v>
      </c>
      <c r="F1341" s="6" t="s">
        <v>432</v>
      </c>
      <c r="G1341" s="4" t="s">
        <v>2</v>
      </c>
      <c r="H1341" s="25">
        <v>32.9375</v>
      </c>
      <c r="I1341" s="8">
        <v>800</v>
      </c>
      <c r="J1341" s="9">
        <v>800</v>
      </c>
      <c r="K1341" s="7">
        <v>0</v>
      </c>
      <c r="L1341" s="24">
        <f>+Tabla2[[#This Row],[Stock Inventario]]*Tabla2[[#This Row],[Coste LÃ­nea]]</f>
        <v>26350</v>
      </c>
      <c r="M1341" s="24">
        <f>+Tabla2[[#This Row],[Variación Stock]]*Tabla2[[#This Row],[Coste LÃ­nea]]</f>
        <v>0</v>
      </c>
      <c r="N1341" s="22" t="str">
        <f>+IF(Tabla2[[#This Row],[Variación Stock]]&gt;0,"Sobrante",IF(Tabla2[[#This Row],[Variación Stock]]&lt;0,"Faltante","Sin novedad"))</f>
        <v>Sin novedad</v>
      </c>
    </row>
    <row r="1342" spans="1:14" hidden="1" x14ac:dyDescent="0.25">
      <c r="A1342" s="11">
        <v>46053</v>
      </c>
      <c r="B1342" s="5" t="s">
        <v>836</v>
      </c>
      <c r="C1342" s="3" t="s">
        <v>128</v>
      </c>
      <c r="D1342" s="5" t="s">
        <v>815</v>
      </c>
      <c r="E1342" s="5" t="s">
        <v>117</v>
      </c>
      <c r="F1342" s="6" t="s">
        <v>963</v>
      </c>
      <c r="G1342" s="4" t="s">
        <v>2</v>
      </c>
      <c r="H1342" s="25">
        <v>2840</v>
      </c>
      <c r="I1342" s="8">
        <v>-6</v>
      </c>
      <c r="J1342" s="9">
        <v>0</v>
      </c>
      <c r="K1342" s="7">
        <v>6</v>
      </c>
      <c r="L1342" s="24">
        <f>+Tabla2[[#This Row],[Stock Inventario]]*Tabla2[[#This Row],[Coste LÃ­nea]]</f>
        <v>0</v>
      </c>
      <c r="M1342" s="24">
        <f>+Tabla2[[#This Row],[Variación Stock]]*Tabla2[[#This Row],[Coste LÃ­nea]]</f>
        <v>17040</v>
      </c>
      <c r="N1342" s="22" t="str">
        <f>+IF(Tabla2[[#This Row],[Variación Stock]]&gt;0,"Sobrante",IF(Tabla2[[#This Row],[Variación Stock]]&lt;0,"Faltante","Sin novedad"))</f>
        <v>Sobrante</v>
      </c>
    </row>
    <row r="1343" spans="1:14" x14ac:dyDescent="0.25">
      <c r="A1343" s="11">
        <v>46053</v>
      </c>
      <c r="B1343" s="5" t="s">
        <v>836</v>
      </c>
      <c r="C1343" s="3" t="s">
        <v>128</v>
      </c>
      <c r="D1343" s="5" t="s">
        <v>111</v>
      </c>
      <c r="E1343" s="5" t="s">
        <v>112</v>
      </c>
      <c r="F1343" s="6" t="s">
        <v>16</v>
      </c>
      <c r="G1343" s="4" t="s">
        <v>0</v>
      </c>
      <c r="H1343" s="25">
        <v>3362.90625</v>
      </c>
      <c r="I1343" s="8">
        <v>38</v>
      </c>
      <c r="J1343" s="9">
        <v>36</v>
      </c>
      <c r="K1343" s="7">
        <v>-2</v>
      </c>
      <c r="L1343" s="24">
        <f>+Tabla2[[#This Row],[Stock Inventario]]*Tabla2[[#This Row],[Coste LÃ­nea]]</f>
        <v>121064.625</v>
      </c>
      <c r="M1343" s="24">
        <f>+Tabla2[[#This Row],[Variación Stock]]*Tabla2[[#This Row],[Coste LÃ­nea]]</f>
        <v>-6725.8125</v>
      </c>
      <c r="N1343" s="22" t="str">
        <f>+IF(Tabla2[[#This Row],[Variación Stock]]&gt;0,"Sobrante",IF(Tabla2[[#This Row],[Variación Stock]]&lt;0,"Faltante","Sin novedad"))</f>
        <v>Faltante</v>
      </c>
    </row>
    <row r="1344" spans="1:14" hidden="1" x14ac:dyDescent="0.25">
      <c r="A1344" s="11">
        <v>46053</v>
      </c>
      <c r="B1344" s="5" t="s">
        <v>836</v>
      </c>
      <c r="C1344" s="3" t="s">
        <v>128</v>
      </c>
      <c r="D1344" s="5" t="s">
        <v>471</v>
      </c>
      <c r="E1344" s="5" t="s">
        <v>117</v>
      </c>
      <c r="F1344" s="6" t="s">
        <v>864</v>
      </c>
      <c r="G1344" s="4" t="s">
        <v>1</v>
      </c>
      <c r="H1344" s="25">
        <v>2.5</v>
      </c>
      <c r="I1344" s="8">
        <v>6072.8572000000004</v>
      </c>
      <c r="J1344" s="9">
        <v>790</v>
      </c>
      <c r="K1344" s="7">
        <v>-5282.8571899999997</v>
      </c>
      <c r="L1344" s="24">
        <f>+Tabla2[[#This Row],[Stock Inventario]]*Tabla2[[#This Row],[Coste LÃ­nea]]</f>
        <v>1975</v>
      </c>
      <c r="M1344" s="24">
        <f>+Tabla2[[#This Row],[Variación Stock]]*Tabla2[[#This Row],[Coste LÃ­nea]]</f>
        <v>-13207.142974999999</v>
      </c>
      <c r="N1344" s="22" t="str">
        <f>+IF(Tabla2[[#This Row],[Variación Stock]]&gt;0,"Sobrante",IF(Tabla2[[#This Row],[Variación Stock]]&lt;0,"Faltante","Sin novedad"))</f>
        <v>Faltante</v>
      </c>
    </row>
    <row r="1345" spans="1:14" hidden="1" x14ac:dyDescent="0.25">
      <c r="A1345" s="11">
        <v>46053</v>
      </c>
      <c r="B1345" s="5" t="s">
        <v>836</v>
      </c>
      <c r="C1345" s="3" t="s">
        <v>128</v>
      </c>
      <c r="D1345" s="5" t="s">
        <v>471</v>
      </c>
      <c r="E1345" s="5" t="s">
        <v>117</v>
      </c>
      <c r="F1345" s="6" t="s">
        <v>487</v>
      </c>
      <c r="G1345" s="4" t="s">
        <v>1</v>
      </c>
      <c r="H1345" s="25">
        <v>7</v>
      </c>
      <c r="I1345" s="8">
        <v>8749</v>
      </c>
      <c r="J1345" s="9">
        <v>0</v>
      </c>
      <c r="K1345" s="7">
        <v>-8749</v>
      </c>
      <c r="L1345" s="24">
        <f>+Tabla2[[#This Row],[Stock Inventario]]*Tabla2[[#This Row],[Coste LÃ­nea]]</f>
        <v>0</v>
      </c>
      <c r="M1345" s="24">
        <f>+Tabla2[[#This Row],[Variación Stock]]*Tabla2[[#This Row],[Coste LÃ­nea]]</f>
        <v>-61243</v>
      </c>
      <c r="N1345" s="22" t="str">
        <f>+IF(Tabla2[[#This Row],[Variación Stock]]&gt;0,"Sobrante",IF(Tabla2[[#This Row],[Variación Stock]]&lt;0,"Faltante","Sin novedad"))</f>
        <v>Faltante</v>
      </c>
    </row>
    <row r="1346" spans="1:14" hidden="1" x14ac:dyDescent="0.25">
      <c r="A1346" s="11">
        <v>46053</v>
      </c>
      <c r="B1346" s="5" t="s">
        <v>836</v>
      </c>
      <c r="C1346" s="3" t="s">
        <v>128</v>
      </c>
      <c r="D1346" s="5" t="s">
        <v>803</v>
      </c>
      <c r="E1346" s="5" t="s">
        <v>117</v>
      </c>
      <c r="F1346" s="6" t="s">
        <v>957</v>
      </c>
      <c r="G1346" s="4" t="s">
        <v>1</v>
      </c>
      <c r="H1346" s="25">
        <f>60288/5000</f>
        <v>12.057600000000001</v>
      </c>
      <c r="I1346" s="8">
        <v>-2750</v>
      </c>
      <c r="J1346" s="9">
        <v>3500</v>
      </c>
      <c r="K1346" s="7">
        <v>6250</v>
      </c>
      <c r="L1346" s="24">
        <f>+Tabla2[[#This Row],[Stock Inventario]]*Tabla2[[#This Row],[Coste LÃ­nea]]</f>
        <v>42201.600000000006</v>
      </c>
      <c r="M1346" s="24">
        <f>+Tabla2[[#This Row],[Variación Stock]]*Tabla2[[#This Row],[Coste LÃ­nea]]</f>
        <v>75360</v>
      </c>
      <c r="N1346" s="22" t="str">
        <f>+IF(Tabla2[[#This Row],[Variación Stock]]&gt;0,"Sobrante",IF(Tabla2[[#This Row],[Variación Stock]]&lt;0,"Faltante","Sin novedad"))</f>
        <v>Sobrante</v>
      </c>
    </row>
    <row r="1347" spans="1:14" hidden="1" x14ac:dyDescent="0.25">
      <c r="A1347" s="11">
        <v>46053</v>
      </c>
      <c r="B1347" s="5" t="s">
        <v>836</v>
      </c>
      <c r="C1347" s="3" t="s">
        <v>128</v>
      </c>
      <c r="D1347" s="5" t="s">
        <v>827</v>
      </c>
      <c r="E1347" s="5" t="s">
        <v>117</v>
      </c>
      <c r="F1347" s="6" t="s">
        <v>968</v>
      </c>
      <c r="G1347" s="4" t="s">
        <v>1</v>
      </c>
      <c r="H1347" s="25">
        <v>6.3</v>
      </c>
      <c r="I1347" s="8">
        <v>-3</v>
      </c>
      <c r="J1347" s="9">
        <v>0</v>
      </c>
      <c r="K1347" s="7">
        <v>3.0000040000000001</v>
      </c>
      <c r="L1347" s="24">
        <f>+Tabla2[[#This Row],[Stock Inventario]]*Tabla2[[#This Row],[Coste LÃ­nea]]</f>
        <v>0</v>
      </c>
      <c r="M1347" s="24">
        <f>+Tabla2[[#This Row],[Variación Stock]]*Tabla2[[#This Row],[Coste LÃ­nea]]</f>
        <v>18.900025200000002</v>
      </c>
      <c r="N1347" s="22" t="str">
        <f>+IF(Tabla2[[#This Row],[Variación Stock]]&gt;0,"Sobrante",IF(Tabla2[[#This Row],[Variación Stock]]&lt;0,"Faltante","Sin novedad"))</f>
        <v>Sobrante</v>
      </c>
    </row>
    <row r="1348" spans="1:14" hidden="1" x14ac:dyDescent="0.25">
      <c r="A1348" s="11">
        <v>46053</v>
      </c>
      <c r="B1348" s="5" t="s">
        <v>836</v>
      </c>
      <c r="C1348" s="3" t="s">
        <v>128</v>
      </c>
      <c r="D1348" s="5" t="s">
        <v>396</v>
      </c>
      <c r="E1348" s="5" t="s">
        <v>117</v>
      </c>
      <c r="F1348" s="6" t="s">
        <v>841</v>
      </c>
      <c r="G1348" s="4" t="s">
        <v>1</v>
      </c>
      <c r="H1348" s="25">
        <v>14.656000000000001</v>
      </c>
      <c r="I1348" s="8">
        <v>1210</v>
      </c>
      <c r="J1348" s="9">
        <v>1500</v>
      </c>
      <c r="K1348" s="7">
        <v>290</v>
      </c>
      <c r="L1348" s="24">
        <f>+Tabla2[[#This Row],[Stock Inventario]]*Tabla2[[#This Row],[Coste LÃ­nea]]</f>
        <v>21984</v>
      </c>
      <c r="M1348" s="24">
        <f>+Tabla2[[#This Row],[Variación Stock]]*Tabla2[[#This Row],[Coste LÃ­nea]]</f>
        <v>4250.24</v>
      </c>
      <c r="N1348" s="22" t="str">
        <f>+IF(Tabla2[[#This Row],[Variación Stock]]&gt;0,"Sobrante",IF(Tabla2[[#This Row],[Variación Stock]]&lt;0,"Faltante","Sin novedad"))</f>
        <v>Sobrante</v>
      </c>
    </row>
    <row r="1349" spans="1:14" hidden="1" x14ac:dyDescent="0.25">
      <c r="A1349" s="11">
        <v>46053</v>
      </c>
      <c r="B1349" s="5" t="s">
        <v>836</v>
      </c>
      <c r="C1349" s="3" t="s">
        <v>128</v>
      </c>
      <c r="D1349" s="5" t="s">
        <v>559</v>
      </c>
      <c r="E1349" s="5" t="s">
        <v>1080</v>
      </c>
      <c r="F1349" s="6" t="s">
        <v>587</v>
      </c>
      <c r="G1349" s="4" t="s">
        <v>2</v>
      </c>
      <c r="H1349" s="25">
        <v>320</v>
      </c>
      <c r="I1349" s="8">
        <v>652</v>
      </c>
      <c r="J1349" s="9">
        <v>1000</v>
      </c>
      <c r="K1349" s="7">
        <v>348</v>
      </c>
      <c r="L1349" s="24">
        <f>+Tabla2[[#This Row],[Stock Inventario]]*Tabla2[[#This Row],[Coste LÃ­nea]]</f>
        <v>320000</v>
      </c>
      <c r="M1349" s="24">
        <f>+Tabla2[[#This Row],[Variación Stock]]*Tabla2[[#This Row],[Coste LÃ­nea]]</f>
        <v>111360</v>
      </c>
      <c r="N1349" s="22" t="str">
        <f>+IF(Tabla2[[#This Row],[Variación Stock]]&gt;0,"Sobrante",IF(Tabla2[[#This Row],[Variación Stock]]&lt;0,"Faltante","Sin novedad"))</f>
        <v>Sobrante</v>
      </c>
    </row>
    <row r="1350" spans="1:14" hidden="1" x14ac:dyDescent="0.25">
      <c r="A1350" s="11">
        <v>46053</v>
      </c>
      <c r="B1350" s="5" t="s">
        <v>836</v>
      </c>
      <c r="C1350" s="3" t="s">
        <v>128</v>
      </c>
      <c r="D1350" s="5" t="s">
        <v>626</v>
      </c>
      <c r="E1350" s="5" t="s">
        <v>1079</v>
      </c>
      <c r="F1350" s="6" t="s">
        <v>639</v>
      </c>
      <c r="G1350" s="4" t="s">
        <v>2</v>
      </c>
      <c r="H1350" s="25">
        <v>68.3</v>
      </c>
      <c r="I1350" s="8">
        <v>400</v>
      </c>
      <c r="J1350" s="9">
        <v>0</v>
      </c>
      <c r="K1350" s="7">
        <v>-400</v>
      </c>
      <c r="L1350" s="24">
        <f>+Tabla2[[#This Row],[Stock Inventario]]*Tabla2[[#This Row],[Coste LÃ­nea]]</f>
        <v>0</v>
      </c>
      <c r="M1350" s="24">
        <f>+Tabla2[[#This Row],[Variación Stock]]*Tabla2[[#This Row],[Coste LÃ­nea]]</f>
        <v>-27320</v>
      </c>
      <c r="N1350" s="22" t="str">
        <f>+IF(Tabla2[[#This Row],[Variación Stock]]&gt;0,"Sobrante",IF(Tabla2[[#This Row],[Variación Stock]]&lt;0,"Faltante","Sin novedad"))</f>
        <v>Faltante</v>
      </c>
    </row>
    <row r="1351" spans="1:14" hidden="1" x14ac:dyDescent="0.25">
      <c r="A1351" s="11">
        <v>46053</v>
      </c>
      <c r="B1351" s="5" t="s">
        <v>836</v>
      </c>
      <c r="C1351" s="3" t="s">
        <v>128</v>
      </c>
      <c r="D1351" s="5" t="s">
        <v>626</v>
      </c>
      <c r="E1351" s="5" t="s">
        <v>1079</v>
      </c>
      <c r="F1351" s="6" t="s">
        <v>630</v>
      </c>
      <c r="G1351" s="4" t="s">
        <v>2</v>
      </c>
      <c r="H1351" s="25">
        <v>672.26666666999995</v>
      </c>
      <c r="I1351" s="8">
        <v>350</v>
      </c>
      <c r="J1351" s="9">
        <v>50</v>
      </c>
      <c r="K1351" s="7">
        <v>-300</v>
      </c>
      <c r="L1351" s="24">
        <f>+Tabla2[[#This Row],[Stock Inventario]]*Tabla2[[#This Row],[Coste LÃ­nea]]</f>
        <v>33613.333333499999</v>
      </c>
      <c r="M1351" s="24">
        <f>+Tabla2[[#This Row],[Variación Stock]]*Tabla2[[#This Row],[Coste LÃ­nea]]</f>
        <v>-201680.00000099998</v>
      </c>
      <c r="N1351" s="22" t="str">
        <f>+IF(Tabla2[[#This Row],[Variación Stock]]&gt;0,"Sobrante",IF(Tabla2[[#This Row],[Variación Stock]]&lt;0,"Faltante","Sin novedad"))</f>
        <v>Faltante</v>
      </c>
    </row>
    <row r="1352" spans="1:14" hidden="1" x14ac:dyDescent="0.25">
      <c r="A1352" s="11">
        <v>46053</v>
      </c>
      <c r="B1352" s="5" t="s">
        <v>836</v>
      </c>
      <c r="C1352" s="3" t="s">
        <v>128</v>
      </c>
      <c r="D1352" s="5" t="s">
        <v>626</v>
      </c>
      <c r="E1352" s="5" t="s">
        <v>1079</v>
      </c>
      <c r="F1352" s="6" t="s">
        <v>631</v>
      </c>
      <c r="G1352" s="4" t="s">
        <v>2</v>
      </c>
      <c r="H1352" s="25">
        <v>877</v>
      </c>
      <c r="I1352" s="8">
        <v>210</v>
      </c>
      <c r="J1352" s="9">
        <v>6</v>
      </c>
      <c r="K1352" s="7">
        <v>-204</v>
      </c>
      <c r="L1352" s="24">
        <f>+Tabla2[[#This Row],[Stock Inventario]]*Tabla2[[#This Row],[Coste LÃ­nea]]</f>
        <v>5262</v>
      </c>
      <c r="M1352" s="24">
        <f>+Tabla2[[#This Row],[Variación Stock]]*Tabla2[[#This Row],[Coste LÃ­nea]]</f>
        <v>-178908</v>
      </c>
      <c r="N1352" s="22" t="str">
        <f>+IF(Tabla2[[#This Row],[Variación Stock]]&gt;0,"Sobrante",IF(Tabla2[[#This Row],[Variación Stock]]&lt;0,"Faltante","Sin novedad"))</f>
        <v>Faltante</v>
      </c>
    </row>
    <row r="1353" spans="1:14" hidden="1" x14ac:dyDescent="0.25">
      <c r="A1353" s="11">
        <v>46053</v>
      </c>
      <c r="B1353" s="5" t="s">
        <v>836</v>
      </c>
      <c r="C1353" s="3" t="s">
        <v>128</v>
      </c>
      <c r="D1353" s="5" t="s">
        <v>559</v>
      </c>
      <c r="E1353" s="5" t="s">
        <v>1080</v>
      </c>
      <c r="F1353" s="6" t="s">
        <v>565</v>
      </c>
      <c r="G1353" s="4" t="s">
        <v>2</v>
      </c>
      <c r="H1353" s="25">
        <v>302</v>
      </c>
      <c r="I1353" s="8">
        <v>-101</v>
      </c>
      <c r="J1353" s="9">
        <v>253</v>
      </c>
      <c r="K1353" s="7">
        <v>354</v>
      </c>
      <c r="L1353" s="24">
        <f>+Tabla2[[#This Row],[Stock Inventario]]*Tabla2[[#This Row],[Coste LÃ­nea]]</f>
        <v>76406</v>
      </c>
      <c r="M1353" s="24">
        <f>+Tabla2[[#This Row],[Variación Stock]]*Tabla2[[#This Row],[Coste LÃ­nea]]</f>
        <v>106908</v>
      </c>
      <c r="N1353" s="22" t="str">
        <f>+IF(Tabla2[[#This Row],[Variación Stock]]&gt;0,"Sobrante",IF(Tabla2[[#This Row],[Variación Stock]]&lt;0,"Faltante","Sin novedad"))</f>
        <v>Sobrante</v>
      </c>
    </row>
    <row r="1354" spans="1:14" hidden="1" x14ac:dyDescent="0.25">
      <c r="A1354" s="11">
        <v>46053</v>
      </c>
      <c r="B1354" s="5" t="s">
        <v>836</v>
      </c>
      <c r="C1354" s="3" t="s">
        <v>128</v>
      </c>
      <c r="D1354" s="5" t="s">
        <v>559</v>
      </c>
      <c r="E1354" s="5" t="s">
        <v>1080</v>
      </c>
      <c r="F1354" s="6" t="s">
        <v>586</v>
      </c>
      <c r="G1354" s="4" t="s">
        <v>2</v>
      </c>
      <c r="H1354" s="25">
        <v>11</v>
      </c>
      <c r="I1354" s="8">
        <v>100</v>
      </c>
      <c r="J1354" s="9">
        <v>7</v>
      </c>
      <c r="K1354" s="7">
        <v>-93</v>
      </c>
      <c r="L1354" s="24">
        <f>+Tabla2[[#This Row],[Stock Inventario]]*Tabla2[[#This Row],[Coste LÃ­nea]]</f>
        <v>77</v>
      </c>
      <c r="M1354" s="24">
        <f>+Tabla2[[#This Row],[Variación Stock]]*Tabla2[[#This Row],[Coste LÃ­nea]]</f>
        <v>-1023</v>
      </c>
      <c r="N1354" s="22" t="str">
        <f>+IF(Tabla2[[#This Row],[Variación Stock]]&gt;0,"Sobrante",IF(Tabla2[[#This Row],[Variación Stock]]&lt;0,"Faltante","Sin novedad"))</f>
        <v>Faltante</v>
      </c>
    </row>
    <row r="1355" spans="1:14" hidden="1" x14ac:dyDescent="0.25">
      <c r="A1355" s="11">
        <v>46053</v>
      </c>
      <c r="B1355" s="5" t="s">
        <v>836</v>
      </c>
      <c r="C1355" s="3" t="s">
        <v>128</v>
      </c>
      <c r="D1355" s="5" t="s">
        <v>626</v>
      </c>
      <c r="E1355" s="5" t="s">
        <v>1079</v>
      </c>
      <c r="F1355" s="6" t="s">
        <v>633</v>
      </c>
      <c r="G1355" s="4" t="s">
        <v>2</v>
      </c>
      <c r="H1355" s="25">
        <v>714.28666667000005</v>
      </c>
      <c r="I1355" s="8">
        <v>300</v>
      </c>
      <c r="J1355" s="9">
        <v>50</v>
      </c>
      <c r="K1355" s="7">
        <v>-250</v>
      </c>
      <c r="L1355" s="24">
        <f>+Tabla2[[#This Row],[Stock Inventario]]*Tabla2[[#This Row],[Coste LÃ­nea]]</f>
        <v>35714.333333499999</v>
      </c>
      <c r="M1355" s="24">
        <f>+Tabla2[[#This Row],[Variación Stock]]*Tabla2[[#This Row],[Coste LÃ­nea]]</f>
        <v>-178571.66666750002</v>
      </c>
      <c r="N1355" s="22" t="str">
        <f>+IF(Tabla2[[#This Row],[Variación Stock]]&gt;0,"Sobrante",IF(Tabla2[[#This Row],[Variación Stock]]&lt;0,"Faltante","Sin novedad"))</f>
        <v>Faltante</v>
      </c>
    </row>
    <row r="1356" spans="1:14" hidden="1" x14ac:dyDescent="0.25">
      <c r="A1356" s="11">
        <v>46053</v>
      </c>
      <c r="B1356" s="5" t="s">
        <v>836</v>
      </c>
      <c r="C1356" s="3" t="s">
        <v>128</v>
      </c>
      <c r="D1356" s="5" t="s">
        <v>559</v>
      </c>
      <c r="E1356" s="5" t="s">
        <v>1080</v>
      </c>
      <c r="F1356" s="6" t="s">
        <v>589</v>
      </c>
      <c r="G1356" s="4" t="s">
        <v>2</v>
      </c>
      <c r="H1356" s="25">
        <v>348.29199999999997</v>
      </c>
      <c r="I1356" s="8">
        <v>0</v>
      </c>
      <c r="J1356" s="9">
        <v>0</v>
      </c>
      <c r="K1356" s="7">
        <v>0</v>
      </c>
      <c r="L1356" s="24">
        <f>+Tabla2[[#This Row],[Stock Inventario]]*Tabla2[[#This Row],[Coste LÃ­nea]]</f>
        <v>0</v>
      </c>
      <c r="M1356" s="24">
        <f>+Tabla2[[#This Row],[Variación Stock]]*Tabla2[[#This Row],[Coste LÃ­nea]]</f>
        <v>0</v>
      </c>
      <c r="N1356" s="22" t="str">
        <f>+IF(Tabla2[[#This Row],[Variación Stock]]&gt;0,"Sobrante",IF(Tabla2[[#This Row],[Variación Stock]]&lt;0,"Faltante","Sin novedad"))</f>
        <v>Sin novedad</v>
      </c>
    </row>
    <row r="1357" spans="1:14" x14ac:dyDescent="0.25">
      <c r="A1357" s="11">
        <v>46053</v>
      </c>
      <c r="B1357" s="5" t="s">
        <v>836</v>
      </c>
      <c r="C1357" s="3" t="s">
        <v>128</v>
      </c>
      <c r="D1357" s="5" t="s">
        <v>111</v>
      </c>
      <c r="E1357" s="5" t="s">
        <v>112</v>
      </c>
      <c r="F1357" s="6" t="s">
        <v>140</v>
      </c>
      <c r="G1357" s="4" t="s">
        <v>0</v>
      </c>
      <c r="H1357" s="25">
        <v>5958.3333333299997</v>
      </c>
      <c r="I1357" s="8">
        <v>17</v>
      </c>
      <c r="J1357" s="9">
        <v>17</v>
      </c>
      <c r="K1357" s="7">
        <v>0</v>
      </c>
      <c r="L1357" s="24">
        <f>+Tabla2[[#This Row],[Stock Inventario]]*Tabla2[[#This Row],[Coste LÃ­nea]]</f>
        <v>101291.66666660999</v>
      </c>
      <c r="M1357" s="24">
        <f>+Tabla2[[#This Row],[Variación Stock]]*Tabla2[[#This Row],[Coste LÃ­nea]]</f>
        <v>0</v>
      </c>
      <c r="N1357" s="22" t="str">
        <f>+IF(Tabla2[[#This Row],[Variación Stock]]&gt;0,"Sobrante",IF(Tabla2[[#This Row],[Variación Stock]]&lt;0,"Faltante","Sin novedad"))</f>
        <v>Sin novedad</v>
      </c>
    </row>
    <row r="1358" spans="1:14" hidden="1" x14ac:dyDescent="0.25">
      <c r="A1358" s="11">
        <v>46053</v>
      </c>
      <c r="B1358" s="5" t="s">
        <v>836</v>
      </c>
      <c r="C1358" s="3" t="s">
        <v>128</v>
      </c>
      <c r="D1358" s="5" t="s">
        <v>471</v>
      </c>
      <c r="E1358" s="5" t="s">
        <v>117</v>
      </c>
      <c r="F1358" s="6" t="s">
        <v>473</v>
      </c>
      <c r="G1358" s="4" t="s">
        <v>1</v>
      </c>
      <c r="H1358" s="25">
        <v>350</v>
      </c>
      <c r="I1358" s="8">
        <v>-13</v>
      </c>
      <c r="J1358" s="9">
        <v>0</v>
      </c>
      <c r="K1358" s="7">
        <v>13</v>
      </c>
      <c r="L1358" s="24">
        <f>+Tabla2[[#This Row],[Stock Inventario]]*Tabla2[[#This Row],[Coste LÃ­nea]]</f>
        <v>0</v>
      </c>
      <c r="M1358" s="24">
        <f>+Tabla2[[#This Row],[Variación Stock]]*Tabla2[[#This Row],[Coste LÃ­nea]]</f>
        <v>4550</v>
      </c>
      <c r="N1358" s="22" t="str">
        <f>+IF(Tabla2[[#This Row],[Variación Stock]]&gt;0,"Sobrante",IF(Tabla2[[#This Row],[Variación Stock]]&lt;0,"Faltante","Sin novedad"))</f>
        <v>Sobrante</v>
      </c>
    </row>
    <row r="1359" spans="1:14" hidden="1" x14ac:dyDescent="0.25">
      <c r="A1359" s="11">
        <v>46053</v>
      </c>
      <c r="B1359" s="5" t="s">
        <v>836</v>
      </c>
      <c r="C1359" s="3" t="s">
        <v>128</v>
      </c>
      <c r="D1359" s="5" t="s">
        <v>471</v>
      </c>
      <c r="E1359" s="5" t="s">
        <v>117</v>
      </c>
      <c r="F1359" s="6" t="s">
        <v>474</v>
      </c>
      <c r="G1359" s="4" t="s">
        <v>1</v>
      </c>
      <c r="H1359" s="25">
        <v>6.5</v>
      </c>
      <c r="I1359" s="8">
        <v>7330.9151000000002</v>
      </c>
      <c r="J1359" s="9">
        <v>1780</v>
      </c>
      <c r="K1359" s="7">
        <v>-5550.9151250000004</v>
      </c>
      <c r="L1359" s="24">
        <f>+Tabla2[[#This Row],[Stock Inventario]]*Tabla2[[#This Row],[Coste LÃ­nea]]</f>
        <v>11570</v>
      </c>
      <c r="M1359" s="24">
        <f>+Tabla2[[#This Row],[Variación Stock]]*Tabla2[[#This Row],[Coste LÃ­nea]]</f>
        <v>-36080.948312500004</v>
      </c>
      <c r="N1359" s="22" t="str">
        <f>+IF(Tabla2[[#This Row],[Variación Stock]]&gt;0,"Sobrante",IF(Tabla2[[#This Row],[Variación Stock]]&lt;0,"Faltante","Sin novedad"))</f>
        <v>Faltante</v>
      </c>
    </row>
    <row r="1360" spans="1:14" hidden="1" x14ac:dyDescent="0.25">
      <c r="A1360" s="11">
        <v>46053</v>
      </c>
      <c r="B1360" s="5" t="s">
        <v>836</v>
      </c>
      <c r="C1360" s="3" t="s">
        <v>128</v>
      </c>
      <c r="D1360" s="5" t="s">
        <v>471</v>
      </c>
      <c r="E1360" s="5" t="s">
        <v>117</v>
      </c>
      <c r="F1360" s="6" t="s">
        <v>540</v>
      </c>
      <c r="G1360" s="4" t="s">
        <v>1</v>
      </c>
      <c r="H1360" s="25">
        <v>310</v>
      </c>
      <c r="I1360" s="8">
        <v>-381</v>
      </c>
      <c r="J1360" s="9">
        <v>200</v>
      </c>
      <c r="K1360" s="7">
        <v>581</v>
      </c>
      <c r="L1360" s="24">
        <f>+Tabla2[[#This Row],[Stock Inventario]]*Tabla2[[#This Row],[Coste LÃ­nea]]</f>
        <v>62000</v>
      </c>
      <c r="M1360" s="24">
        <f>+Tabla2[[#This Row],[Variación Stock]]*Tabla2[[#This Row],[Coste LÃ­nea]]</f>
        <v>180110</v>
      </c>
      <c r="N1360" s="22" t="str">
        <f>+IF(Tabla2[[#This Row],[Variación Stock]]&gt;0,"Sobrante",IF(Tabla2[[#This Row],[Variación Stock]]&lt;0,"Faltante","Sin novedad"))</f>
        <v>Sobrante</v>
      </c>
    </row>
    <row r="1361" spans="1:14" x14ac:dyDescent="0.25">
      <c r="A1361" s="11">
        <v>46053</v>
      </c>
      <c r="B1361" s="5" t="s">
        <v>836</v>
      </c>
      <c r="C1361" s="3" t="s">
        <v>128</v>
      </c>
      <c r="D1361" s="5" t="s">
        <v>111</v>
      </c>
      <c r="E1361" s="5" t="s">
        <v>112</v>
      </c>
      <c r="F1361" s="6" t="s">
        <v>17</v>
      </c>
      <c r="G1361" s="4" t="s">
        <v>0</v>
      </c>
      <c r="H1361" s="25">
        <v>14896.95833333</v>
      </c>
      <c r="I1361" s="8">
        <v>34</v>
      </c>
      <c r="J1361" s="9">
        <v>34</v>
      </c>
      <c r="K1361" s="7">
        <v>0</v>
      </c>
      <c r="L1361" s="24">
        <f>+Tabla2[[#This Row],[Stock Inventario]]*Tabla2[[#This Row],[Coste LÃ­nea]]</f>
        <v>506496.58333321998</v>
      </c>
      <c r="M1361" s="24">
        <f>+Tabla2[[#This Row],[Variación Stock]]*Tabla2[[#This Row],[Coste LÃ­nea]]</f>
        <v>0</v>
      </c>
      <c r="N1361" s="22" t="str">
        <f>+IF(Tabla2[[#This Row],[Variación Stock]]&gt;0,"Sobrante",IF(Tabla2[[#This Row],[Variación Stock]]&lt;0,"Faltante","Sin novedad"))</f>
        <v>Sin novedad</v>
      </c>
    </row>
    <row r="1362" spans="1:14" x14ac:dyDescent="0.25">
      <c r="A1362" s="11">
        <v>46053</v>
      </c>
      <c r="B1362" s="5" t="s">
        <v>836</v>
      </c>
      <c r="C1362" s="3" t="s">
        <v>128</v>
      </c>
      <c r="D1362" s="5" t="s">
        <v>111</v>
      </c>
      <c r="E1362" s="5" t="s">
        <v>112</v>
      </c>
      <c r="F1362" s="6" t="s">
        <v>18</v>
      </c>
      <c r="G1362" s="4" t="s">
        <v>2</v>
      </c>
      <c r="H1362" s="25">
        <v>100385</v>
      </c>
      <c r="I1362" s="8">
        <v>0</v>
      </c>
      <c r="J1362" s="9">
        <v>0</v>
      </c>
      <c r="K1362" s="7">
        <v>0</v>
      </c>
      <c r="L1362" s="24">
        <f>+Tabla2[[#This Row],[Stock Inventario]]*Tabla2[[#This Row],[Coste LÃ­nea]]</f>
        <v>0</v>
      </c>
      <c r="M1362" s="24">
        <f>+Tabla2[[#This Row],[Variación Stock]]*Tabla2[[#This Row],[Coste LÃ­nea]]</f>
        <v>0</v>
      </c>
      <c r="N1362" s="22" t="str">
        <f>+IF(Tabla2[[#This Row],[Variación Stock]]&gt;0,"Sobrante",IF(Tabla2[[#This Row],[Variación Stock]]&lt;0,"Faltante","Sin novedad"))</f>
        <v>Sin novedad</v>
      </c>
    </row>
    <row r="1363" spans="1:14" x14ac:dyDescent="0.25">
      <c r="A1363" s="11">
        <v>46053</v>
      </c>
      <c r="B1363" s="5" t="s">
        <v>836</v>
      </c>
      <c r="C1363" s="3" t="s">
        <v>128</v>
      </c>
      <c r="D1363" s="5" t="s">
        <v>111</v>
      </c>
      <c r="E1363" s="5" t="s">
        <v>112</v>
      </c>
      <c r="F1363" s="6" t="s">
        <v>19</v>
      </c>
      <c r="G1363" s="4" t="s">
        <v>0</v>
      </c>
      <c r="H1363" s="25">
        <v>6154.6666666700003</v>
      </c>
      <c r="I1363" s="8">
        <v>19</v>
      </c>
      <c r="J1363" s="9">
        <v>18</v>
      </c>
      <c r="K1363" s="7">
        <v>-1</v>
      </c>
      <c r="L1363" s="24">
        <f>+Tabla2[[#This Row],[Stock Inventario]]*Tabla2[[#This Row],[Coste LÃ­nea]]</f>
        <v>110784.00000006001</v>
      </c>
      <c r="M1363" s="24">
        <f>+Tabla2[[#This Row],[Variación Stock]]*Tabla2[[#This Row],[Coste LÃ­nea]]</f>
        <v>-6154.6666666700003</v>
      </c>
      <c r="N1363" s="22" t="str">
        <f>+IF(Tabla2[[#This Row],[Variación Stock]]&gt;0,"Sobrante",IF(Tabla2[[#This Row],[Variación Stock]]&lt;0,"Faltante","Sin novedad"))</f>
        <v>Faltante</v>
      </c>
    </row>
    <row r="1364" spans="1:14" x14ac:dyDescent="0.25">
      <c r="A1364" s="11">
        <v>46053</v>
      </c>
      <c r="B1364" s="5" t="s">
        <v>836</v>
      </c>
      <c r="C1364" s="3" t="s">
        <v>128</v>
      </c>
      <c r="D1364" s="5" t="s">
        <v>111</v>
      </c>
      <c r="E1364" s="5" t="s">
        <v>112</v>
      </c>
      <c r="F1364" s="6" t="s">
        <v>131</v>
      </c>
      <c r="G1364" s="4" t="s">
        <v>0</v>
      </c>
      <c r="H1364" s="25">
        <v>7147.1666666700003</v>
      </c>
      <c r="I1364" s="8">
        <v>37</v>
      </c>
      <c r="J1364" s="9">
        <v>38</v>
      </c>
      <c r="K1364" s="7">
        <v>1</v>
      </c>
      <c r="L1364" s="24">
        <f>+Tabla2[[#This Row],[Stock Inventario]]*Tabla2[[#This Row],[Coste LÃ­nea]]</f>
        <v>271592.33333346003</v>
      </c>
      <c r="M1364" s="24">
        <f>+Tabla2[[#This Row],[Variación Stock]]*Tabla2[[#This Row],[Coste LÃ­nea]]</f>
        <v>7147.1666666700003</v>
      </c>
      <c r="N1364" s="22" t="str">
        <f>+IF(Tabla2[[#This Row],[Variación Stock]]&gt;0,"Sobrante",IF(Tabla2[[#This Row],[Variación Stock]]&lt;0,"Faltante","Sin novedad"))</f>
        <v>Sobrante</v>
      </c>
    </row>
    <row r="1365" spans="1:14" x14ac:dyDescent="0.25">
      <c r="A1365" s="11">
        <v>46053</v>
      </c>
      <c r="B1365" s="5" t="s">
        <v>836</v>
      </c>
      <c r="C1365" s="3" t="s">
        <v>128</v>
      </c>
      <c r="D1365" s="5" t="s">
        <v>111</v>
      </c>
      <c r="E1365" s="5" t="s">
        <v>112</v>
      </c>
      <c r="F1365" s="6" t="s">
        <v>138</v>
      </c>
      <c r="G1365" s="4" t="s">
        <v>0</v>
      </c>
      <c r="H1365" s="25">
        <v>4504.1666666700003</v>
      </c>
      <c r="I1365" s="8">
        <v>30</v>
      </c>
      <c r="J1365" s="9">
        <v>30</v>
      </c>
      <c r="K1365" s="7">
        <v>0</v>
      </c>
      <c r="L1365" s="24">
        <f>+Tabla2[[#This Row],[Stock Inventario]]*Tabla2[[#This Row],[Coste LÃ­nea]]</f>
        <v>135125.0000001</v>
      </c>
      <c r="M1365" s="24">
        <f>+Tabla2[[#This Row],[Variación Stock]]*Tabla2[[#This Row],[Coste LÃ­nea]]</f>
        <v>0</v>
      </c>
      <c r="N1365" s="22" t="str">
        <f>+IF(Tabla2[[#This Row],[Variación Stock]]&gt;0,"Sobrante",IF(Tabla2[[#This Row],[Variación Stock]]&lt;0,"Faltante","Sin novedad"))</f>
        <v>Sin novedad</v>
      </c>
    </row>
    <row r="1366" spans="1:14" x14ac:dyDescent="0.25">
      <c r="A1366" s="11">
        <v>46053</v>
      </c>
      <c r="B1366" s="5" t="s">
        <v>836</v>
      </c>
      <c r="C1366" s="3" t="s">
        <v>128</v>
      </c>
      <c r="D1366" s="5" t="s">
        <v>111</v>
      </c>
      <c r="E1366" s="5" t="s">
        <v>112</v>
      </c>
      <c r="F1366" s="6" t="s">
        <v>20</v>
      </c>
      <c r="G1366" s="4" t="s">
        <v>0</v>
      </c>
      <c r="H1366" s="25">
        <v>6839.9166666700003</v>
      </c>
      <c r="I1366" s="8">
        <v>21.68</v>
      </c>
      <c r="J1366" s="9">
        <v>22</v>
      </c>
      <c r="K1366" s="7">
        <v>0.32</v>
      </c>
      <c r="L1366" s="24">
        <f>+Tabla2[[#This Row],[Stock Inventario]]*Tabla2[[#This Row],[Coste LÃ­nea]]</f>
        <v>150478.16666674</v>
      </c>
      <c r="M1366" s="24">
        <f>+Tabla2[[#This Row],[Variación Stock]]*Tabla2[[#This Row],[Coste LÃ­nea]]</f>
        <v>2188.7733333343999</v>
      </c>
      <c r="N1366" s="22" t="str">
        <f>+IF(Tabla2[[#This Row],[Variación Stock]]&gt;0,"Sobrante",IF(Tabla2[[#This Row],[Variación Stock]]&lt;0,"Faltante","Sin novedad"))</f>
        <v>Sobrante</v>
      </c>
    </row>
    <row r="1367" spans="1:14" hidden="1" x14ac:dyDescent="0.25">
      <c r="A1367" s="11">
        <v>46053</v>
      </c>
      <c r="B1367" s="5" t="s">
        <v>836</v>
      </c>
      <c r="C1367" s="3" t="s">
        <v>128</v>
      </c>
      <c r="D1367" s="5" t="s">
        <v>547</v>
      </c>
      <c r="E1367" s="5" t="s">
        <v>117</v>
      </c>
      <c r="F1367" s="6" t="s">
        <v>875</v>
      </c>
      <c r="G1367" s="4" t="s">
        <v>2</v>
      </c>
      <c r="H1367" s="25">
        <v>8666.6666666700003</v>
      </c>
      <c r="I1367" s="8">
        <v>3</v>
      </c>
      <c r="J1367" s="9">
        <v>4</v>
      </c>
      <c r="K1367" s="7">
        <v>1</v>
      </c>
      <c r="L1367" s="24">
        <f>+Tabla2[[#This Row],[Stock Inventario]]*Tabla2[[#This Row],[Coste LÃ­nea]]</f>
        <v>34666.666666680001</v>
      </c>
      <c r="M1367" s="24">
        <f>+Tabla2[[#This Row],[Variación Stock]]*Tabla2[[#This Row],[Coste LÃ­nea]]</f>
        <v>8666.6666666700003</v>
      </c>
      <c r="N1367" s="22" t="str">
        <f>+IF(Tabla2[[#This Row],[Variación Stock]]&gt;0,"Sobrante",IF(Tabla2[[#This Row],[Variación Stock]]&lt;0,"Faltante","Sin novedad"))</f>
        <v>Sobrante</v>
      </c>
    </row>
    <row r="1368" spans="1:14" x14ac:dyDescent="0.25">
      <c r="A1368" s="11">
        <v>46053</v>
      </c>
      <c r="B1368" s="5" t="s">
        <v>836</v>
      </c>
      <c r="C1368" s="3" t="s">
        <v>128</v>
      </c>
      <c r="D1368" s="5" t="s">
        <v>111</v>
      </c>
      <c r="E1368" s="5" t="s">
        <v>112</v>
      </c>
      <c r="F1368" s="6" t="s">
        <v>145</v>
      </c>
      <c r="G1368" s="4" t="s">
        <v>0</v>
      </c>
      <c r="H1368" s="25">
        <v>1590.84375</v>
      </c>
      <c r="I1368" s="8">
        <v>29</v>
      </c>
      <c r="J1368" s="9">
        <v>31</v>
      </c>
      <c r="K1368" s="7">
        <v>2</v>
      </c>
      <c r="L1368" s="24">
        <f>+Tabla2[[#This Row],[Stock Inventario]]*Tabla2[[#This Row],[Coste LÃ­nea]]</f>
        <v>49316.15625</v>
      </c>
      <c r="M1368" s="24">
        <f>+Tabla2[[#This Row],[Variación Stock]]*Tabla2[[#This Row],[Coste LÃ­nea]]</f>
        <v>3181.6875</v>
      </c>
      <c r="N1368" s="22" t="str">
        <f>+IF(Tabla2[[#This Row],[Variación Stock]]&gt;0,"Sobrante",IF(Tabla2[[#This Row],[Variación Stock]]&lt;0,"Faltante","Sin novedad"))</f>
        <v>Sobrante</v>
      </c>
    </row>
    <row r="1369" spans="1:14" x14ac:dyDescent="0.25">
      <c r="A1369" s="11">
        <v>46053</v>
      </c>
      <c r="B1369" s="5" t="s">
        <v>836</v>
      </c>
      <c r="C1369" s="3" t="s">
        <v>128</v>
      </c>
      <c r="D1369" s="5" t="s">
        <v>603</v>
      </c>
      <c r="E1369" s="5" t="s">
        <v>112</v>
      </c>
      <c r="F1369" s="6" t="s">
        <v>612</v>
      </c>
      <c r="G1369" s="4" t="s">
        <v>1</v>
      </c>
      <c r="H1369" s="25">
        <v>68.432671080000006</v>
      </c>
      <c r="I1369" s="8">
        <v>-426</v>
      </c>
      <c r="J1369" s="9">
        <v>1500</v>
      </c>
      <c r="K1369" s="7">
        <v>1926</v>
      </c>
      <c r="L1369" s="24">
        <f>+Tabla2[[#This Row],[Stock Inventario]]*Tabla2[[#This Row],[Coste LÃ­nea]]</f>
        <v>102649.00662000001</v>
      </c>
      <c r="M1369" s="24">
        <f>+Tabla2[[#This Row],[Variación Stock]]*Tabla2[[#This Row],[Coste LÃ­nea]]</f>
        <v>131801.32450008002</v>
      </c>
      <c r="N1369" s="22" t="str">
        <f>+IF(Tabla2[[#This Row],[Variación Stock]]&gt;0,"Sobrante",IF(Tabla2[[#This Row],[Variación Stock]]&lt;0,"Faltante","Sin novedad"))</f>
        <v>Sobrante</v>
      </c>
    </row>
    <row r="1370" spans="1:14" hidden="1" x14ac:dyDescent="0.25">
      <c r="A1370" s="11">
        <v>46053</v>
      </c>
      <c r="B1370" s="5" t="s">
        <v>836</v>
      </c>
      <c r="C1370" s="3" t="s">
        <v>128</v>
      </c>
      <c r="D1370" s="5" t="s">
        <v>547</v>
      </c>
      <c r="E1370" s="5" t="s">
        <v>117</v>
      </c>
      <c r="F1370" s="6" t="s">
        <v>558</v>
      </c>
      <c r="G1370" s="4" t="s">
        <v>1</v>
      </c>
      <c r="H1370" s="25">
        <v>8.2562499999999996</v>
      </c>
      <c r="I1370" s="8">
        <v>8830</v>
      </c>
      <c r="J1370" s="9">
        <v>3000</v>
      </c>
      <c r="K1370" s="7">
        <v>-5830</v>
      </c>
      <c r="L1370" s="24">
        <f>+Tabla2[[#This Row],[Stock Inventario]]*Tabla2[[#This Row],[Coste LÃ­nea]]</f>
        <v>24768.75</v>
      </c>
      <c r="M1370" s="24">
        <f>+Tabla2[[#This Row],[Variación Stock]]*Tabla2[[#This Row],[Coste LÃ­nea]]</f>
        <v>-48133.9375</v>
      </c>
      <c r="N1370" s="22" t="str">
        <f>+IF(Tabla2[[#This Row],[Variación Stock]]&gt;0,"Sobrante",IF(Tabla2[[#This Row],[Variación Stock]]&lt;0,"Faltante","Sin novedad"))</f>
        <v>Faltante</v>
      </c>
    </row>
    <row r="1371" spans="1:14" x14ac:dyDescent="0.25">
      <c r="A1371" s="11">
        <v>46053</v>
      </c>
      <c r="B1371" s="5" t="s">
        <v>836</v>
      </c>
      <c r="C1371" s="3" t="s">
        <v>128</v>
      </c>
      <c r="D1371" s="5" t="s">
        <v>603</v>
      </c>
      <c r="E1371" s="5" t="s">
        <v>112</v>
      </c>
      <c r="F1371" s="6" t="s">
        <v>605</v>
      </c>
      <c r="G1371" s="4" t="s">
        <v>2</v>
      </c>
      <c r="H1371" s="25">
        <v>1222.2222222222222</v>
      </c>
      <c r="I1371" s="8">
        <v>17</v>
      </c>
      <c r="J1371" s="9">
        <v>36</v>
      </c>
      <c r="K1371" s="7">
        <v>19</v>
      </c>
      <c r="L1371" s="24">
        <f>+Tabla2[[#This Row],[Stock Inventario]]*Tabla2[[#This Row],[Coste LÃ­nea]]</f>
        <v>44000</v>
      </c>
      <c r="M1371" s="24">
        <f>+Tabla2[[#This Row],[Variación Stock]]*Tabla2[[#This Row],[Coste LÃ­nea]]</f>
        <v>23222.222222222223</v>
      </c>
      <c r="N1371" s="22" t="str">
        <f>+IF(Tabla2[[#This Row],[Variación Stock]]&gt;0,"Sobrante",IF(Tabla2[[#This Row],[Variación Stock]]&lt;0,"Faltante","Sin novedad"))</f>
        <v>Sobrante</v>
      </c>
    </row>
    <row r="1372" spans="1:14" hidden="1" x14ac:dyDescent="0.25">
      <c r="A1372" s="11">
        <v>46053</v>
      </c>
      <c r="B1372" s="5" t="s">
        <v>836</v>
      </c>
      <c r="C1372" s="3" t="s">
        <v>128</v>
      </c>
      <c r="D1372" s="5" t="s">
        <v>119</v>
      </c>
      <c r="E1372" s="5" t="s">
        <v>117</v>
      </c>
      <c r="F1372" s="6" t="s">
        <v>9</v>
      </c>
      <c r="G1372" s="4" t="s">
        <v>2</v>
      </c>
      <c r="H1372" s="25">
        <v>514.28571428999999</v>
      </c>
      <c r="I1372" s="8">
        <v>2447</v>
      </c>
      <c r="J1372" s="9">
        <v>2494</v>
      </c>
      <c r="K1372" s="7">
        <v>47</v>
      </c>
      <c r="L1372" s="24">
        <f>+Tabla2[[#This Row],[Stock Inventario]]*Tabla2[[#This Row],[Coste LÃ­nea]]</f>
        <v>1282628.5714392599</v>
      </c>
      <c r="M1372" s="24">
        <f>+Tabla2[[#This Row],[Variación Stock]]*Tabla2[[#This Row],[Coste LÃ­nea]]</f>
        <v>24171.42857163</v>
      </c>
      <c r="N1372" s="22" t="str">
        <f>+IF(Tabla2[[#This Row],[Variación Stock]]&gt;0,"Sobrante",IF(Tabla2[[#This Row],[Variación Stock]]&lt;0,"Faltante","Sin novedad"))</f>
        <v>Sobrante</v>
      </c>
    </row>
    <row r="1373" spans="1:14" hidden="1" x14ac:dyDescent="0.25">
      <c r="A1373" s="11">
        <v>46053</v>
      </c>
      <c r="B1373" s="5" t="s">
        <v>836</v>
      </c>
      <c r="C1373" s="3" t="s">
        <v>128</v>
      </c>
      <c r="D1373" s="5" t="s">
        <v>471</v>
      </c>
      <c r="E1373" s="5" t="s">
        <v>117</v>
      </c>
      <c r="F1373" s="6" t="s">
        <v>488</v>
      </c>
      <c r="G1373" s="4" t="s">
        <v>1</v>
      </c>
      <c r="H1373" s="25">
        <v>6.5</v>
      </c>
      <c r="I1373" s="8">
        <v>4580</v>
      </c>
      <c r="J1373" s="9">
        <v>1722</v>
      </c>
      <c r="K1373" s="7">
        <v>-2858</v>
      </c>
      <c r="L1373" s="24">
        <f>+Tabla2[[#This Row],[Stock Inventario]]*Tabla2[[#This Row],[Coste LÃ­nea]]</f>
        <v>11193</v>
      </c>
      <c r="M1373" s="24">
        <f>+Tabla2[[#This Row],[Variación Stock]]*Tabla2[[#This Row],[Coste LÃ­nea]]</f>
        <v>-18577</v>
      </c>
      <c r="N1373" s="22" t="str">
        <f>+IF(Tabla2[[#This Row],[Variación Stock]]&gt;0,"Sobrante",IF(Tabla2[[#This Row],[Variación Stock]]&lt;0,"Faltante","Sin novedad"))</f>
        <v>Faltante</v>
      </c>
    </row>
    <row r="1374" spans="1:14" x14ac:dyDescent="0.25">
      <c r="A1374" s="11">
        <v>46053</v>
      </c>
      <c r="B1374" s="5" t="s">
        <v>836</v>
      </c>
      <c r="C1374" s="3" t="s">
        <v>128</v>
      </c>
      <c r="D1374" s="5" t="s">
        <v>111</v>
      </c>
      <c r="E1374" s="5" t="s">
        <v>112</v>
      </c>
      <c r="F1374" s="6" t="s">
        <v>37</v>
      </c>
      <c r="G1374" s="4" t="s">
        <v>0</v>
      </c>
      <c r="H1374" s="25">
        <v>4469.0833333299997</v>
      </c>
      <c r="I1374" s="8">
        <v>8</v>
      </c>
      <c r="J1374" s="9">
        <v>7</v>
      </c>
      <c r="K1374" s="7">
        <v>-1</v>
      </c>
      <c r="L1374" s="24">
        <f>+Tabla2[[#This Row],[Stock Inventario]]*Tabla2[[#This Row],[Coste LÃ­nea]]</f>
        <v>31283.583333309998</v>
      </c>
      <c r="M1374" s="24">
        <f>+Tabla2[[#This Row],[Variación Stock]]*Tabla2[[#This Row],[Coste LÃ­nea]]</f>
        <v>-4469.0833333299997</v>
      </c>
      <c r="N1374" s="22" t="str">
        <f>+IF(Tabla2[[#This Row],[Variación Stock]]&gt;0,"Sobrante",IF(Tabla2[[#This Row],[Variación Stock]]&lt;0,"Faltante","Sin novedad"))</f>
        <v>Faltante</v>
      </c>
    </row>
    <row r="1375" spans="1:14" hidden="1" x14ac:dyDescent="0.25">
      <c r="A1375" s="11">
        <v>46053</v>
      </c>
      <c r="B1375" s="5" t="s">
        <v>836</v>
      </c>
      <c r="C1375" s="3" t="s">
        <v>128</v>
      </c>
      <c r="D1375" s="5" t="s">
        <v>803</v>
      </c>
      <c r="E1375" s="5" t="s">
        <v>117</v>
      </c>
      <c r="F1375" s="6" t="s">
        <v>811</v>
      </c>
      <c r="G1375" s="4" t="s">
        <v>1</v>
      </c>
      <c r="H1375" s="25">
        <v>233.07427392</v>
      </c>
      <c r="I1375" s="8">
        <v>-210</v>
      </c>
      <c r="J1375" s="9">
        <v>0</v>
      </c>
      <c r="K1375" s="7">
        <v>210</v>
      </c>
      <c r="L1375" s="24">
        <f>+Tabla2[[#This Row],[Stock Inventario]]*Tabla2[[#This Row],[Coste LÃ­nea]]</f>
        <v>0</v>
      </c>
      <c r="M1375" s="24">
        <f>+Tabla2[[#This Row],[Variación Stock]]*Tabla2[[#This Row],[Coste LÃ­nea]]</f>
        <v>48945.597523199998</v>
      </c>
      <c r="N1375" s="22" t="str">
        <f>+IF(Tabla2[[#This Row],[Variación Stock]]&gt;0,"Sobrante",IF(Tabla2[[#This Row],[Variación Stock]]&lt;0,"Faltante","Sin novedad"))</f>
        <v>Sobrante</v>
      </c>
    </row>
    <row r="1376" spans="1:14" hidden="1" x14ac:dyDescent="0.25">
      <c r="A1376" s="11">
        <v>46053</v>
      </c>
      <c r="B1376" s="5" t="s">
        <v>836</v>
      </c>
      <c r="C1376" s="3" t="s">
        <v>128</v>
      </c>
      <c r="D1376" s="5" t="s">
        <v>396</v>
      </c>
      <c r="E1376" s="5" t="s">
        <v>117</v>
      </c>
      <c r="F1376" s="6" t="s">
        <v>433</v>
      </c>
      <c r="G1376" s="4" t="s">
        <v>1</v>
      </c>
      <c r="H1376" s="25">
        <v>57.990152889999997</v>
      </c>
      <c r="I1376" s="8">
        <v>35</v>
      </c>
      <c r="J1376" s="9">
        <v>15</v>
      </c>
      <c r="K1376" s="7">
        <v>-20</v>
      </c>
      <c r="L1376" s="24">
        <f>+Tabla2[[#This Row],[Stock Inventario]]*Tabla2[[#This Row],[Coste LÃ­nea]]</f>
        <v>869.85229334999997</v>
      </c>
      <c r="M1376" s="24">
        <f>+Tabla2[[#This Row],[Variación Stock]]*Tabla2[[#This Row],[Coste LÃ­nea]]</f>
        <v>-1159.8030578</v>
      </c>
      <c r="N1376" s="22" t="str">
        <f>+IF(Tabla2[[#This Row],[Variación Stock]]&gt;0,"Sobrante",IF(Tabla2[[#This Row],[Variación Stock]]&lt;0,"Faltante","Sin novedad"))</f>
        <v>Faltante</v>
      </c>
    </row>
    <row r="1377" spans="1:14" hidden="1" x14ac:dyDescent="0.25">
      <c r="A1377" s="11">
        <v>46053</v>
      </c>
      <c r="B1377" s="5" t="s">
        <v>836</v>
      </c>
      <c r="C1377" s="3" t="s">
        <v>128</v>
      </c>
      <c r="D1377" s="5" t="s">
        <v>955</v>
      </c>
      <c r="E1377" s="5" t="s">
        <v>117</v>
      </c>
      <c r="F1377" s="6" t="s">
        <v>956</v>
      </c>
      <c r="G1377" s="4" t="s">
        <v>2</v>
      </c>
      <c r="H1377" s="25">
        <v>3493.7</v>
      </c>
      <c r="I1377" s="8">
        <v>25</v>
      </c>
      <c r="J1377" s="9">
        <v>7</v>
      </c>
      <c r="K1377" s="7">
        <v>-18</v>
      </c>
      <c r="L1377" s="24">
        <f>+Tabla2[[#This Row],[Stock Inventario]]*Tabla2[[#This Row],[Coste LÃ­nea]]</f>
        <v>24455.899999999998</v>
      </c>
      <c r="M1377" s="24">
        <f>+Tabla2[[#This Row],[Variación Stock]]*Tabla2[[#This Row],[Coste LÃ­nea]]</f>
        <v>-62886.6</v>
      </c>
      <c r="N1377" s="22" t="str">
        <f>+IF(Tabla2[[#This Row],[Variación Stock]]&gt;0,"Sobrante",IF(Tabla2[[#This Row],[Variación Stock]]&lt;0,"Faltante","Sin novedad"))</f>
        <v>Faltante</v>
      </c>
    </row>
    <row r="1378" spans="1:14" hidden="1" x14ac:dyDescent="0.25">
      <c r="A1378" s="11">
        <v>46053</v>
      </c>
      <c r="B1378" s="5" t="s">
        <v>836</v>
      </c>
      <c r="C1378" s="3" t="s">
        <v>128</v>
      </c>
      <c r="D1378" s="5" t="s">
        <v>471</v>
      </c>
      <c r="E1378" s="5" t="s">
        <v>117</v>
      </c>
      <c r="F1378" s="6" t="s">
        <v>865</v>
      </c>
      <c r="G1378" s="4" t="s">
        <v>1</v>
      </c>
      <c r="H1378" s="25">
        <v>12</v>
      </c>
      <c r="I1378" s="8">
        <v>12720</v>
      </c>
      <c r="J1378" s="9">
        <v>0</v>
      </c>
      <c r="K1378" s="7">
        <v>-12720</v>
      </c>
      <c r="L1378" s="24">
        <f>+Tabla2[[#This Row],[Stock Inventario]]*Tabla2[[#This Row],[Coste LÃ­nea]]</f>
        <v>0</v>
      </c>
      <c r="M1378" s="24">
        <f>+Tabla2[[#This Row],[Variación Stock]]*Tabla2[[#This Row],[Coste LÃ­nea]]</f>
        <v>-152640</v>
      </c>
      <c r="N1378" s="22" t="str">
        <f>+IF(Tabla2[[#This Row],[Variación Stock]]&gt;0,"Sobrante",IF(Tabla2[[#This Row],[Variación Stock]]&lt;0,"Faltante","Sin novedad"))</f>
        <v>Faltante</v>
      </c>
    </row>
    <row r="1379" spans="1:14" hidden="1" x14ac:dyDescent="0.25">
      <c r="A1379" s="11">
        <v>46053</v>
      </c>
      <c r="B1379" s="5" t="s">
        <v>836</v>
      </c>
      <c r="C1379" s="3" t="s">
        <v>128</v>
      </c>
      <c r="D1379" s="5" t="s">
        <v>119</v>
      </c>
      <c r="E1379" s="5" t="s">
        <v>117</v>
      </c>
      <c r="F1379" s="6" t="s">
        <v>193</v>
      </c>
      <c r="G1379" s="4" t="s">
        <v>1</v>
      </c>
      <c r="H1379" s="25">
        <v>62.6</v>
      </c>
      <c r="I1379" s="8">
        <v>2031.3</v>
      </c>
      <c r="J1379" s="9">
        <v>1250</v>
      </c>
      <c r="K1379" s="7">
        <v>-781.3</v>
      </c>
      <c r="L1379" s="24">
        <f>+Tabla2[[#This Row],[Stock Inventario]]*Tabla2[[#This Row],[Coste LÃ­nea]]</f>
        <v>78250</v>
      </c>
      <c r="M1379" s="24">
        <f>+Tabla2[[#This Row],[Variación Stock]]*Tabla2[[#This Row],[Coste LÃ­nea]]</f>
        <v>-48909.38</v>
      </c>
      <c r="N1379" s="22" t="str">
        <f>+IF(Tabla2[[#This Row],[Variación Stock]]&gt;0,"Sobrante",IF(Tabla2[[#This Row],[Variación Stock]]&lt;0,"Faltante","Sin novedad"))</f>
        <v>Faltante</v>
      </c>
    </row>
    <row r="1380" spans="1:14" hidden="1" x14ac:dyDescent="0.25">
      <c r="A1380" s="11">
        <v>46053</v>
      </c>
      <c r="B1380" s="5" t="s">
        <v>836</v>
      </c>
      <c r="C1380" s="3" t="s">
        <v>128</v>
      </c>
      <c r="D1380" s="5" t="s">
        <v>471</v>
      </c>
      <c r="E1380" s="5" t="s">
        <v>117</v>
      </c>
      <c r="F1380" s="6" t="s">
        <v>489</v>
      </c>
      <c r="G1380" s="4" t="s">
        <v>1</v>
      </c>
      <c r="H1380" s="25">
        <v>2.8</v>
      </c>
      <c r="I1380" s="8">
        <v>-2898.8454999999999</v>
      </c>
      <c r="J1380" s="9">
        <v>4310</v>
      </c>
      <c r="K1380" s="7">
        <v>7208.845542</v>
      </c>
      <c r="L1380" s="24">
        <f>+Tabla2[[#This Row],[Stock Inventario]]*Tabla2[[#This Row],[Coste LÃ­nea]]</f>
        <v>12068</v>
      </c>
      <c r="M1380" s="24">
        <f>+Tabla2[[#This Row],[Variación Stock]]*Tabla2[[#This Row],[Coste LÃ­nea]]</f>
        <v>20184.767517599998</v>
      </c>
      <c r="N1380" s="22" t="str">
        <f>+IF(Tabla2[[#This Row],[Variación Stock]]&gt;0,"Sobrante",IF(Tabla2[[#This Row],[Variación Stock]]&lt;0,"Faltante","Sin novedad"))</f>
        <v>Sobrante</v>
      </c>
    </row>
    <row r="1381" spans="1:14" hidden="1" x14ac:dyDescent="0.25">
      <c r="A1381" s="11">
        <v>46053</v>
      </c>
      <c r="B1381" s="5" t="s">
        <v>836</v>
      </c>
      <c r="C1381" s="3" t="s">
        <v>128</v>
      </c>
      <c r="D1381" s="5" t="s">
        <v>471</v>
      </c>
      <c r="E1381" s="5" t="s">
        <v>117</v>
      </c>
      <c r="F1381" s="6" t="s">
        <v>490</v>
      </c>
      <c r="G1381" s="4" t="s">
        <v>1</v>
      </c>
      <c r="H1381" s="25">
        <v>4.8</v>
      </c>
      <c r="I1381" s="8">
        <v>35726.242400000003</v>
      </c>
      <c r="J1381" s="9">
        <v>8310</v>
      </c>
      <c r="K1381" s="7">
        <v>-27416.2423633</v>
      </c>
      <c r="L1381" s="24">
        <f>+Tabla2[[#This Row],[Stock Inventario]]*Tabla2[[#This Row],[Coste LÃ­nea]]</f>
        <v>39888</v>
      </c>
      <c r="M1381" s="24">
        <f>+Tabla2[[#This Row],[Variación Stock]]*Tabla2[[#This Row],[Coste LÃ­nea]]</f>
        <v>-131597.96334384001</v>
      </c>
      <c r="N1381" s="22" t="str">
        <f>+IF(Tabla2[[#This Row],[Variación Stock]]&gt;0,"Sobrante",IF(Tabla2[[#This Row],[Variación Stock]]&lt;0,"Faltante","Sin novedad"))</f>
        <v>Faltante</v>
      </c>
    </row>
    <row r="1382" spans="1:14" hidden="1" x14ac:dyDescent="0.25">
      <c r="A1382" s="11">
        <v>46053</v>
      </c>
      <c r="B1382" s="5" t="s">
        <v>836</v>
      </c>
      <c r="C1382" s="3" t="s">
        <v>128</v>
      </c>
      <c r="D1382" s="5" t="s">
        <v>471</v>
      </c>
      <c r="E1382" s="5" t="s">
        <v>117</v>
      </c>
      <c r="F1382" s="6" t="s">
        <v>491</v>
      </c>
      <c r="G1382" s="4" t="s">
        <v>1</v>
      </c>
      <c r="H1382" s="25">
        <v>7.15</v>
      </c>
      <c r="I1382" s="8">
        <v>18488.888999999999</v>
      </c>
      <c r="J1382" s="9">
        <v>5790</v>
      </c>
      <c r="K1382" s="7">
        <v>-12698.888951999999</v>
      </c>
      <c r="L1382" s="24">
        <f>+Tabla2[[#This Row],[Stock Inventario]]*Tabla2[[#This Row],[Coste LÃ­nea]]</f>
        <v>41398.5</v>
      </c>
      <c r="M1382" s="24">
        <f>+Tabla2[[#This Row],[Variación Stock]]*Tabla2[[#This Row],[Coste LÃ­nea]]</f>
        <v>-90797.056006800005</v>
      </c>
      <c r="N1382" s="22" t="str">
        <f>+IF(Tabla2[[#This Row],[Variación Stock]]&gt;0,"Sobrante",IF(Tabla2[[#This Row],[Variación Stock]]&lt;0,"Faltante","Sin novedad"))</f>
        <v>Faltante</v>
      </c>
    </row>
    <row r="1383" spans="1:14" hidden="1" x14ac:dyDescent="0.25">
      <c r="A1383" s="11">
        <v>46053</v>
      </c>
      <c r="B1383" s="5" t="s">
        <v>836</v>
      </c>
      <c r="C1383" s="3" t="s">
        <v>128</v>
      </c>
      <c r="D1383" s="5" t="s">
        <v>471</v>
      </c>
      <c r="E1383" s="5" t="s">
        <v>117</v>
      </c>
      <c r="F1383" s="6" t="s">
        <v>492</v>
      </c>
      <c r="G1383" s="4" t="s">
        <v>1</v>
      </c>
      <c r="H1383" s="25">
        <v>5.2</v>
      </c>
      <c r="I1383" s="8">
        <v>9749.4285</v>
      </c>
      <c r="J1383" s="9">
        <v>1934</v>
      </c>
      <c r="K1383" s="7">
        <v>-7815.4285399999999</v>
      </c>
      <c r="L1383" s="24">
        <f>+Tabla2[[#This Row],[Stock Inventario]]*Tabla2[[#This Row],[Coste LÃ­nea]]</f>
        <v>10056.800000000001</v>
      </c>
      <c r="M1383" s="24">
        <f>+Tabla2[[#This Row],[Variación Stock]]*Tabla2[[#This Row],[Coste LÃ­nea]]</f>
        <v>-40640.228408000003</v>
      </c>
      <c r="N1383" s="22" t="str">
        <f>+IF(Tabla2[[#This Row],[Variación Stock]]&gt;0,"Sobrante",IF(Tabla2[[#This Row],[Variación Stock]]&lt;0,"Faltante","Sin novedad"))</f>
        <v>Faltante</v>
      </c>
    </row>
    <row r="1384" spans="1:14" hidden="1" x14ac:dyDescent="0.25">
      <c r="A1384" s="11">
        <v>46053</v>
      </c>
      <c r="B1384" s="5" t="s">
        <v>836</v>
      </c>
      <c r="C1384" s="3" t="s">
        <v>128</v>
      </c>
      <c r="D1384" s="5" t="s">
        <v>471</v>
      </c>
      <c r="E1384" s="5" t="s">
        <v>117</v>
      </c>
      <c r="F1384" s="6" t="s">
        <v>493</v>
      </c>
      <c r="G1384" s="4" t="s">
        <v>1</v>
      </c>
      <c r="H1384" s="25">
        <v>16</v>
      </c>
      <c r="I1384" s="8">
        <v>50</v>
      </c>
      <c r="J1384" s="9">
        <v>0</v>
      </c>
      <c r="K1384" s="7">
        <v>-50</v>
      </c>
      <c r="L1384" s="24">
        <f>+Tabla2[[#This Row],[Stock Inventario]]*Tabla2[[#This Row],[Coste LÃ­nea]]</f>
        <v>0</v>
      </c>
      <c r="M1384" s="24">
        <f>+Tabla2[[#This Row],[Variación Stock]]*Tabla2[[#This Row],[Coste LÃ­nea]]</f>
        <v>-800</v>
      </c>
      <c r="N1384" s="22" t="str">
        <f>+IF(Tabla2[[#This Row],[Variación Stock]]&gt;0,"Sobrante",IF(Tabla2[[#This Row],[Variación Stock]]&lt;0,"Faltante","Sin novedad"))</f>
        <v>Faltante</v>
      </c>
    </row>
    <row r="1385" spans="1:14" hidden="1" x14ac:dyDescent="0.25">
      <c r="A1385" s="11">
        <v>46053</v>
      </c>
      <c r="B1385" s="5" t="s">
        <v>836</v>
      </c>
      <c r="C1385" s="3" t="s">
        <v>128</v>
      </c>
      <c r="D1385" s="5" t="s">
        <v>818</v>
      </c>
      <c r="E1385" s="5" t="s">
        <v>117</v>
      </c>
      <c r="F1385" s="6" t="s">
        <v>821</v>
      </c>
      <c r="G1385" s="4" t="s">
        <v>1</v>
      </c>
      <c r="H1385" s="25">
        <v>30.4755</v>
      </c>
      <c r="I1385" s="8">
        <v>1672</v>
      </c>
      <c r="J1385" s="9">
        <v>0</v>
      </c>
      <c r="K1385" s="7">
        <v>-1672</v>
      </c>
      <c r="L1385" s="24">
        <f>+Tabla2[[#This Row],[Stock Inventario]]*Tabla2[[#This Row],[Coste LÃ­nea]]</f>
        <v>0</v>
      </c>
      <c r="M1385" s="24">
        <f>+Tabla2[[#This Row],[Variación Stock]]*Tabla2[[#This Row],[Coste LÃ­nea]]</f>
        <v>-50955.036</v>
      </c>
      <c r="N1385" s="22" t="str">
        <f>+IF(Tabla2[[#This Row],[Variación Stock]]&gt;0,"Sobrante",IF(Tabla2[[#This Row],[Variación Stock]]&lt;0,"Faltante","Sin novedad"))</f>
        <v>Faltante</v>
      </c>
    </row>
    <row r="1386" spans="1:14" x14ac:dyDescent="0.25">
      <c r="A1386" s="11">
        <v>46053</v>
      </c>
      <c r="B1386" s="5" t="s">
        <v>836</v>
      </c>
      <c r="C1386" s="3" t="s">
        <v>128</v>
      </c>
      <c r="D1386" s="5" t="s">
        <v>115</v>
      </c>
      <c r="E1386" s="5" t="s">
        <v>112</v>
      </c>
      <c r="F1386" s="6" t="s">
        <v>71</v>
      </c>
      <c r="G1386" s="4" t="s">
        <v>2</v>
      </c>
      <c r="H1386" s="25">
        <v>2335.0666666699999</v>
      </c>
      <c r="I1386" s="8">
        <v>78</v>
      </c>
      <c r="J1386" s="9">
        <v>48</v>
      </c>
      <c r="K1386" s="7">
        <v>-30</v>
      </c>
      <c r="L1386" s="24">
        <f>+Tabla2[[#This Row],[Stock Inventario]]*Tabla2[[#This Row],[Coste LÃ­nea]]</f>
        <v>112083.20000016</v>
      </c>
      <c r="M1386" s="24">
        <f>+Tabla2[[#This Row],[Variación Stock]]*Tabla2[[#This Row],[Coste LÃ­nea]]</f>
        <v>-70052.000000100001</v>
      </c>
      <c r="N1386" s="22" t="str">
        <f>+IF(Tabla2[[#This Row],[Variación Stock]]&gt;0,"Sobrante",IF(Tabla2[[#This Row],[Variación Stock]]&lt;0,"Faltante","Sin novedad"))</f>
        <v>Faltante</v>
      </c>
    </row>
    <row r="1387" spans="1:14" x14ac:dyDescent="0.25">
      <c r="A1387" s="11">
        <v>46053</v>
      </c>
      <c r="B1387" s="5" t="s">
        <v>836</v>
      </c>
      <c r="C1387" s="3" t="s">
        <v>128</v>
      </c>
      <c r="D1387" s="5" t="s">
        <v>115</v>
      </c>
      <c r="E1387" s="5" t="s">
        <v>112</v>
      </c>
      <c r="F1387" s="6" t="s">
        <v>72</v>
      </c>
      <c r="G1387" s="4" t="s">
        <v>2</v>
      </c>
      <c r="H1387" s="25">
        <v>2359.5666666699999</v>
      </c>
      <c r="I1387" s="8">
        <v>61</v>
      </c>
      <c r="J1387" s="9">
        <v>61</v>
      </c>
      <c r="K1387" s="7">
        <v>0</v>
      </c>
      <c r="L1387" s="24">
        <f>+Tabla2[[#This Row],[Stock Inventario]]*Tabla2[[#This Row],[Coste LÃ­nea]]</f>
        <v>143933.56666687</v>
      </c>
      <c r="M1387" s="24">
        <f>+Tabla2[[#This Row],[Variación Stock]]*Tabla2[[#This Row],[Coste LÃ­nea]]</f>
        <v>0</v>
      </c>
      <c r="N1387" s="22" t="str">
        <f>+IF(Tabla2[[#This Row],[Variación Stock]]&gt;0,"Sobrante",IF(Tabla2[[#This Row],[Variación Stock]]&lt;0,"Faltante","Sin novedad"))</f>
        <v>Sin novedad</v>
      </c>
    </row>
    <row r="1388" spans="1:14" x14ac:dyDescent="0.25">
      <c r="A1388" s="11">
        <v>46053</v>
      </c>
      <c r="B1388" s="5" t="s">
        <v>836</v>
      </c>
      <c r="C1388" s="3" t="s">
        <v>128</v>
      </c>
      <c r="D1388" s="5" t="s">
        <v>115</v>
      </c>
      <c r="E1388" s="5" t="s">
        <v>112</v>
      </c>
      <c r="F1388" s="6" t="s">
        <v>73</v>
      </c>
      <c r="G1388" s="4" t="s">
        <v>2</v>
      </c>
      <c r="H1388" s="25">
        <v>3080.03333333</v>
      </c>
      <c r="I1388" s="8">
        <v>67</v>
      </c>
      <c r="J1388" s="9">
        <v>67</v>
      </c>
      <c r="K1388" s="7">
        <v>0</v>
      </c>
      <c r="L1388" s="24">
        <f>+Tabla2[[#This Row],[Stock Inventario]]*Tabla2[[#This Row],[Coste LÃ­nea]]</f>
        <v>206362.23333310999</v>
      </c>
      <c r="M1388" s="24">
        <f>+Tabla2[[#This Row],[Variación Stock]]*Tabla2[[#This Row],[Coste LÃ­nea]]</f>
        <v>0</v>
      </c>
      <c r="N1388" s="22" t="str">
        <f>+IF(Tabla2[[#This Row],[Variación Stock]]&gt;0,"Sobrante",IF(Tabla2[[#This Row],[Variación Stock]]&lt;0,"Faltante","Sin novedad"))</f>
        <v>Sin novedad</v>
      </c>
    </row>
    <row r="1389" spans="1:14" x14ac:dyDescent="0.25">
      <c r="A1389" s="11">
        <v>46053</v>
      </c>
      <c r="B1389" s="5" t="s">
        <v>836</v>
      </c>
      <c r="C1389" s="3" t="s">
        <v>128</v>
      </c>
      <c r="D1389" s="5" t="s">
        <v>115</v>
      </c>
      <c r="E1389" s="5" t="s">
        <v>112</v>
      </c>
      <c r="F1389" s="6" t="s">
        <v>77</v>
      </c>
      <c r="G1389" s="4" t="s">
        <v>2</v>
      </c>
      <c r="H1389" s="25">
        <v>3080.03333333</v>
      </c>
      <c r="I1389" s="8">
        <v>30</v>
      </c>
      <c r="J1389" s="9">
        <v>29</v>
      </c>
      <c r="K1389" s="7">
        <v>-1</v>
      </c>
      <c r="L1389" s="24">
        <f>+Tabla2[[#This Row],[Stock Inventario]]*Tabla2[[#This Row],[Coste LÃ­nea]]</f>
        <v>89320.966666570006</v>
      </c>
      <c r="M1389" s="24">
        <f>+Tabla2[[#This Row],[Variación Stock]]*Tabla2[[#This Row],[Coste LÃ­nea]]</f>
        <v>-3080.03333333</v>
      </c>
      <c r="N1389" s="22" t="str">
        <f>+IF(Tabla2[[#This Row],[Variación Stock]]&gt;0,"Sobrante",IF(Tabla2[[#This Row],[Variación Stock]]&lt;0,"Faltante","Sin novedad"))</f>
        <v>Faltante</v>
      </c>
    </row>
    <row r="1390" spans="1:14" x14ac:dyDescent="0.25">
      <c r="A1390" s="11">
        <v>46053</v>
      </c>
      <c r="B1390" s="5" t="s">
        <v>836</v>
      </c>
      <c r="C1390" s="3" t="s">
        <v>128</v>
      </c>
      <c r="D1390" s="5" t="s">
        <v>115</v>
      </c>
      <c r="E1390" s="5" t="s">
        <v>112</v>
      </c>
      <c r="F1390" s="6" t="s">
        <v>74</v>
      </c>
      <c r="G1390" s="4" t="s">
        <v>2</v>
      </c>
      <c r="H1390" s="25">
        <v>3465.2291666699998</v>
      </c>
      <c r="I1390" s="8">
        <v>24</v>
      </c>
      <c r="J1390" s="9">
        <v>24</v>
      </c>
      <c r="K1390" s="7">
        <v>0</v>
      </c>
      <c r="L1390" s="24">
        <f>+Tabla2[[#This Row],[Stock Inventario]]*Tabla2[[#This Row],[Coste LÃ­nea]]</f>
        <v>83165.500000079992</v>
      </c>
      <c r="M1390" s="24">
        <f>+Tabla2[[#This Row],[Variación Stock]]*Tabla2[[#This Row],[Coste LÃ­nea]]</f>
        <v>0</v>
      </c>
      <c r="N1390" s="22" t="str">
        <f>+IF(Tabla2[[#This Row],[Variación Stock]]&gt;0,"Sobrante",IF(Tabla2[[#This Row],[Variación Stock]]&lt;0,"Faltante","Sin novedad"))</f>
        <v>Sin novedad</v>
      </c>
    </row>
    <row r="1391" spans="1:14" x14ac:dyDescent="0.25">
      <c r="A1391" s="11">
        <v>46053</v>
      </c>
      <c r="B1391" s="5" t="s">
        <v>836</v>
      </c>
      <c r="C1391" s="3" t="s">
        <v>128</v>
      </c>
      <c r="D1391" s="5" t="s">
        <v>115</v>
      </c>
      <c r="E1391" s="5" t="s">
        <v>112</v>
      </c>
      <c r="F1391" s="6" t="s">
        <v>78</v>
      </c>
      <c r="G1391" s="4" t="s">
        <v>2</v>
      </c>
      <c r="H1391" s="25">
        <v>2683.3333333300002</v>
      </c>
      <c r="I1391" s="8">
        <v>0</v>
      </c>
      <c r="J1391" s="9">
        <v>0</v>
      </c>
      <c r="K1391" s="7">
        <v>0</v>
      </c>
      <c r="L1391" s="24">
        <f>+Tabla2[[#This Row],[Stock Inventario]]*Tabla2[[#This Row],[Coste LÃ­nea]]</f>
        <v>0</v>
      </c>
      <c r="M1391" s="24">
        <f>+Tabla2[[#This Row],[Variación Stock]]*Tabla2[[#This Row],[Coste LÃ­nea]]</f>
        <v>0</v>
      </c>
      <c r="N1391" s="22" t="str">
        <f>+IF(Tabla2[[#This Row],[Variación Stock]]&gt;0,"Sobrante",IF(Tabla2[[#This Row],[Variación Stock]]&lt;0,"Faltante","Sin novedad"))</f>
        <v>Sin novedad</v>
      </c>
    </row>
    <row r="1392" spans="1:14" x14ac:dyDescent="0.25">
      <c r="A1392" s="11">
        <v>46053</v>
      </c>
      <c r="B1392" s="5" t="s">
        <v>836</v>
      </c>
      <c r="C1392" s="3" t="s">
        <v>128</v>
      </c>
      <c r="D1392" s="5" t="s">
        <v>115</v>
      </c>
      <c r="E1392" s="5" t="s">
        <v>112</v>
      </c>
      <c r="F1392" s="6" t="s">
        <v>367</v>
      </c>
      <c r="G1392" s="4" t="s">
        <v>2</v>
      </c>
      <c r="H1392" s="25">
        <v>2298.1333333299999</v>
      </c>
      <c r="I1392" s="8">
        <v>-1</v>
      </c>
      <c r="J1392" s="9">
        <v>22</v>
      </c>
      <c r="K1392" s="7">
        <v>23</v>
      </c>
      <c r="L1392" s="24">
        <f>+Tabla2[[#This Row],[Stock Inventario]]*Tabla2[[#This Row],[Coste LÃ­nea]]</f>
        <v>50558.93333326</v>
      </c>
      <c r="M1392" s="24">
        <f>+Tabla2[[#This Row],[Variación Stock]]*Tabla2[[#This Row],[Coste LÃ­nea]]</f>
        <v>52857.066666589999</v>
      </c>
      <c r="N1392" s="22" t="str">
        <f>+IF(Tabla2[[#This Row],[Variación Stock]]&gt;0,"Sobrante",IF(Tabla2[[#This Row],[Variación Stock]]&lt;0,"Faltante","Sin novedad"))</f>
        <v>Sobrante</v>
      </c>
    </row>
    <row r="1393" spans="1:14" x14ac:dyDescent="0.25">
      <c r="A1393" s="11">
        <v>46053</v>
      </c>
      <c r="B1393" s="5" t="s">
        <v>836</v>
      </c>
      <c r="C1393" s="3" t="s">
        <v>128</v>
      </c>
      <c r="D1393" s="5" t="s">
        <v>115</v>
      </c>
      <c r="E1393" s="5" t="s">
        <v>112</v>
      </c>
      <c r="F1393" s="6" t="s">
        <v>76</v>
      </c>
      <c r="G1393" s="4" t="s">
        <v>2</v>
      </c>
      <c r="H1393" s="25">
        <v>3747.9166666699998</v>
      </c>
      <c r="I1393" s="8">
        <v>-18</v>
      </c>
      <c r="J1393" s="9">
        <v>7</v>
      </c>
      <c r="K1393" s="7">
        <v>25</v>
      </c>
      <c r="L1393" s="24">
        <f>+Tabla2[[#This Row],[Stock Inventario]]*Tabla2[[#This Row],[Coste LÃ­nea]]</f>
        <v>26235.416666689998</v>
      </c>
      <c r="M1393" s="24">
        <f>+Tabla2[[#This Row],[Variación Stock]]*Tabla2[[#This Row],[Coste LÃ­nea]]</f>
        <v>93697.916666749996</v>
      </c>
      <c r="N1393" s="22" t="str">
        <f>+IF(Tabla2[[#This Row],[Variación Stock]]&gt;0,"Sobrante",IF(Tabla2[[#This Row],[Variación Stock]]&lt;0,"Faltante","Sin novedad"))</f>
        <v>Sobrante</v>
      </c>
    </row>
    <row r="1394" spans="1:14" hidden="1" x14ac:dyDescent="0.25">
      <c r="A1394" s="11">
        <v>46053</v>
      </c>
      <c r="B1394" s="5" t="s">
        <v>836</v>
      </c>
      <c r="C1394" s="3" t="s">
        <v>128</v>
      </c>
      <c r="D1394" s="5" t="s">
        <v>471</v>
      </c>
      <c r="E1394" s="5" t="s">
        <v>117</v>
      </c>
      <c r="F1394" s="6" t="s">
        <v>866</v>
      </c>
      <c r="G1394" s="4" t="s">
        <v>1</v>
      </c>
      <c r="H1394" s="25">
        <v>14</v>
      </c>
      <c r="I1394" s="8">
        <v>8802.4210000000003</v>
      </c>
      <c r="J1394" s="9">
        <v>448</v>
      </c>
      <c r="K1394" s="7">
        <v>-8354.4210199999998</v>
      </c>
      <c r="L1394" s="24">
        <f>+Tabla2[[#This Row],[Stock Inventario]]*Tabla2[[#This Row],[Coste LÃ­nea]]</f>
        <v>6272</v>
      </c>
      <c r="M1394" s="24">
        <f>+Tabla2[[#This Row],[Variación Stock]]*Tabla2[[#This Row],[Coste LÃ­nea]]</f>
        <v>-116961.89427999999</v>
      </c>
      <c r="N1394" s="22" t="str">
        <f>+IF(Tabla2[[#This Row],[Variación Stock]]&gt;0,"Sobrante",IF(Tabla2[[#This Row],[Variación Stock]]&lt;0,"Faltante","Sin novedad"))</f>
        <v>Faltante</v>
      </c>
    </row>
    <row r="1395" spans="1:14" hidden="1" x14ac:dyDescent="0.25">
      <c r="A1395" s="11">
        <v>46053</v>
      </c>
      <c r="B1395" s="5" t="s">
        <v>836</v>
      </c>
      <c r="C1395" s="3" t="s">
        <v>128</v>
      </c>
      <c r="D1395" s="5" t="s">
        <v>471</v>
      </c>
      <c r="E1395" s="5" t="s">
        <v>117</v>
      </c>
      <c r="F1395" s="6" t="s">
        <v>494</v>
      </c>
      <c r="G1395" s="4" t="s">
        <v>1</v>
      </c>
      <c r="H1395" s="25">
        <v>30</v>
      </c>
      <c r="I1395" s="8">
        <v>521.89469999999994</v>
      </c>
      <c r="J1395" s="9">
        <v>756</v>
      </c>
      <c r="K1395" s="7">
        <v>234.105298</v>
      </c>
      <c r="L1395" s="24">
        <f>+Tabla2[[#This Row],[Stock Inventario]]*Tabla2[[#This Row],[Coste LÃ­nea]]</f>
        <v>22680</v>
      </c>
      <c r="M1395" s="24">
        <f>+Tabla2[[#This Row],[Variación Stock]]*Tabla2[[#This Row],[Coste LÃ­nea]]</f>
        <v>7023.1589400000003</v>
      </c>
      <c r="N1395" s="22" t="str">
        <f>+IF(Tabla2[[#This Row],[Variación Stock]]&gt;0,"Sobrante",IF(Tabla2[[#This Row],[Variación Stock]]&lt;0,"Faltante","Sin novedad"))</f>
        <v>Sobrante</v>
      </c>
    </row>
    <row r="1396" spans="1:14" hidden="1" x14ac:dyDescent="0.25">
      <c r="A1396" s="11">
        <v>46053</v>
      </c>
      <c r="B1396" s="5" t="s">
        <v>836</v>
      </c>
      <c r="C1396" s="3" t="s">
        <v>128</v>
      </c>
      <c r="D1396" s="5" t="s">
        <v>471</v>
      </c>
      <c r="E1396" s="5" t="s">
        <v>117</v>
      </c>
      <c r="F1396" s="6" t="s">
        <v>495</v>
      </c>
      <c r="G1396" s="4" t="s">
        <v>1</v>
      </c>
      <c r="H1396" s="25">
        <v>29</v>
      </c>
      <c r="I1396" s="8">
        <v>24557.0527</v>
      </c>
      <c r="J1396" s="9">
        <v>7458</v>
      </c>
      <c r="K1396" s="7">
        <v>-17099.052685999999</v>
      </c>
      <c r="L1396" s="24">
        <f>+Tabla2[[#This Row],[Stock Inventario]]*Tabla2[[#This Row],[Coste LÃ­nea]]</f>
        <v>216282</v>
      </c>
      <c r="M1396" s="24">
        <f>+Tabla2[[#This Row],[Variación Stock]]*Tabla2[[#This Row],[Coste LÃ­nea]]</f>
        <v>-495872.527894</v>
      </c>
      <c r="N1396" s="22" t="str">
        <f>+IF(Tabla2[[#This Row],[Variación Stock]]&gt;0,"Sobrante",IF(Tabla2[[#This Row],[Variación Stock]]&lt;0,"Faltante","Sin novedad"))</f>
        <v>Faltante</v>
      </c>
    </row>
    <row r="1397" spans="1:14" hidden="1" x14ac:dyDescent="0.25">
      <c r="A1397" s="11">
        <v>46053</v>
      </c>
      <c r="B1397" s="5" t="s">
        <v>836</v>
      </c>
      <c r="C1397" s="3" t="s">
        <v>128</v>
      </c>
      <c r="D1397" s="5" t="s">
        <v>116</v>
      </c>
      <c r="E1397" s="5" t="s">
        <v>117</v>
      </c>
      <c r="F1397" s="6" t="s">
        <v>6</v>
      </c>
      <c r="G1397" s="4" t="s">
        <v>2</v>
      </c>
      <c r="H1397" s="25">
        <v>8627.5</v>
      </c>
      <c r="I1397" s="8">
        <v>40</v>
      </c>
      <c r="J1397" s="9">
        <v>0</v>
      </c>
      <c r="K1397" s="7">
        <v>-40</v>
      </c>
      <c r="L1397" s="24">
        <f>+Tabla2[[#This Row],[Stock Inventario]]*Tabla2[[#This Row],[Coste LÃ­nea]]</f>
        <v>0</v>
      </c>
      <c r="M1397" s="24">
        <f>+Tabla2[[#This Row],[Variación Stock]]*Tabla2[[#This Row],[Coste LÃ­nea]]</f>
        <v>-345100</v>
      </c>
      <c r="N1397" s="22" t="str">
        <f>+IF(Tabla2[[#This Row],[Variación Stock]]&gt;0,"Sobrante",IF(Tabla2[[#This Row],[Variación Stock]]&lt;0,"Faltante","Sin novedad"))</f>
        <v>Faltante</v>
      </c>
    </row>
    <row r="1398" spans="1:14" hidden="1" x14ac:dyDescent="0.25">
      <c r="A1398" s="11">
        <v>46053</v>
      </c>
      <c r="B1398" s="5" t="s">
        <v>836</v>
      </c>
      <c r="C1398" s="3" t="s">
        <v>128</v>
      </c>
      <c r="D1398" s="5" t="s">
        <v>827</v>
      </c>
      <c r="E1398" s="5" t="s">
        <v>117</v>
      </c>
      <c r="F1398" s="6" t="s">
        <v>967</v>
      </c>
      <c r="G1398" s="4" t="s">
        <v>1</v>
      </c>
      <c r="H1398" s="25">
        <v>33.200159659999997</v>
      </c>
      <c r="I1398" s="8">
        <v>448</v>
      </c>
      <c r="J1398" s="9">
        <v>780</v>
      </c>
      <c r="K1398" s="7">
        <v>332</v>
      </c>
      <c r="L1398" s="24">
        <f>+Tabla2[[#This Row],[Stock Inventario]]*Tabla2[[#This Row],[Coste LÃ­nea]]</f>
        <v>25896.124534799997</v>
      </c>
      <c r="M1398" s="24">
        <f>+Tabla2[[#This Row],[Variación Stock]]*Tabla2[[#This Row],[Coste LÃ­nea]]</f>
        <v>11022.453007119999</v>
      </c>
      <c r="N1398" s="22" t="str">
        <f>+IF(Tabla2[[#This Row],[Variación Stock]]&gt;0,"Sobrante",IF(Tabla2[[#This Row],[Variación Stock]]&lt;0,"Faltante","Sin novedad"))</f>
        <v>Sobrante</v>
      </c>
    </row>
    <row r="1399" spans="1:14" hidden="1" x14ac:dyDescent="0.25">
      <c r="A1399" s="11">
        <v>46053</v>
      </c>
      <c r="B1399" s="5" t="s">
        <v>836</v>
      </c>
      <c r="C1399" s="3" t="s">
        <v>128</v>
      </c>
      <c r="D1399" s="5" t="s">
        <v>116</v>
      </c>
      <c r="E1399" s="5" t="s">
        <v>117</v>
      </c>
      <c r="F1399" s="6" t="s">
        <v>158</v>
      </c>
      <c r="G1399" s="4" t="s">
        <v>2</v>
      </c>
      <c r="H1399" s="25">
        <v>2000</v>
      </c>
      <c r="I1399" s="8">
        <v>10</v>
      </c>
      <c r="J1399" s="9">
        <v>10</v>
      </c>
      <c r="K1399" s="7">
        <v>0</v>
      </c>
      <c r="L1399" s="24">
        <f>+Tabla2[[#This Row],[Stock Inventario]]*Tabla2[[#This Row],[Coste LÃ­nea]]</f>
        <v>20000</v>
      </c>
      <c r="M1399" s="24">
        <f>+Tabla2[[#This Row],[Variación Stock]]*Tabla2[[#This Row],[Coste LÃ­nea]]</f>
        <v>0</v>
      </c>
      <c r="N1399" s="22" t="str">
        <f>+IF(Tabla2[[#This Row],[Variación Stock]]&gt;0,"Sobrante",IF(Tabla2[[#This Row],[Variación Stock]]&lt;0,"Faltante","Sin novedad"))</f>
        <v>Sin novedad</v>
      </c>
    </row>
    <row r="1400" spans="1:14" x14ac:dyDescent="0.25">
      <c r="A1400" s="11">
        <v>46053</v>
      </c>
      <c r="B1400" s="5" t="s">
        <v>836</v>
      </c>
      <c r="C1400" s="3" t="s">
        <v>128</v>
      </c>
      <c r="D1400" s="5" t="s">
        <v>114</v>
      </c>
      <c r="E1400" s="5" t="s">
        <v>112</v>
      </c>
      <c r="F1400" s="6" t="s">
        <v>66</v>
      </c>
      <c r="G1400" s="4" t="s">
        <v>2</v>
      </c>
      <c r="H1400" s="25">
        <v>4986.0833333299997</v>
      </c>
      <c r="I1400" s="8">
        <v>12</v>
      </c>
      <c r="J1400" s="9">
        <v>13</v>
      </c>
      <c r="K1400" s="7">
        <v>1</v>
      </c>
      <c r="L1400" s="24">
        <f>+Tabla2[[#This Row],[Stock Inventario]]*Tabla2[[#This Row],[Coste LÃ­nea]]</f>
        <v>64819.083333289993</v>
      </c>
      <c r="M1400" s="24">
        <f>+Tabla2[[#This Row],[Variación Stock]]*Tabla2[[#This Row],[Coste LÃ­nea]]</f>
        <v>4986.0833333299997</v>
      </c>
      <c r="N1400" s="22" t="str">
        <f>+IF(Tabla2[[#This Row],[Variación Stock]]&gt;0,"Sobrante",IF(Tabla2[[#This Row],[Variación Stock]]&lt;0,"Faltante","Sin novedad"))</f>
        <v>Sobrante</v>
      </c>
    </row>
    <row r="1401" spans="1:14" hidden="1" x14ac:dyDescent="0.25">
      <c r="A1401" s="11">
        <v>46053</v>
      </c>
      <c r="B1401" s="5" t="s">
        <v>836</v>
      </c>
      <c r="C1401" s="3" t="s">
        <v>128</v>
      </c>
      <c r="D1401" s="5" t="s">
        <v>471</v>
      </c>
      <c r="E1401" s="5" t="s">
        <v>117</v>
      </c>
      <c r="F1401" s="6" t="s">
        <v>496</v>
      </c>
      <c r="G1401" s="4" t="s">
        <v>1</v>
      </c>
      <c r="H1401" s="25">
        <v>6</v>
      </c>
      <c r="I1401" s="8">
        <v>9760.0002000000004</v>
      </c>
      <c r="J1401" s="9">
        <v>1662</v>
      </c>
      <c r="K1401" s="7">
        <v>-8098.0002098000004</v>
      </c>
      <c r="L1401" s="24">
        <f>+Tabla2[[#This Row],[Stock Inventario]]*Tabla2[[#This Row],[Coste LÃ­nea]]</f>
        <v>9972</v>
      </c>
      <c r="M1401" s="24">
        <f>+Tabla2[[#This Row],[Variación Stock]]*Tabla2[[#This Row],[Coste LÃ­nea]]</f>
        <v>-48588.001258800003</v>
      </c>
      <c r="N1401" s="22" t="str">
        <f>+IF(Tabla2[[#This Row],[Variación Stock]]&gt;0,"Sobrante",IF(Tabla2[[#This Row],[Variación Stock]]&lt;0,"Faltante","Sin novedad"))</f>
        <v>Faltante</v>
      </c>
    </row>
    <row r="1402" spans="1:14" x14ac:dyDescent="0.25">
      <c r="A1402" s="11">
        <v>46053</v>
      </c>
      <c r="B1402" s="5" t="s">
        <v>836</v>
      </c>
      <c r="C1402" s="3" t="s">
        <v>128</v>
      </c>
      <c r="D1402" s="5" t="s">
        <v>111</v>
      </c>
      <c r="E1402" s="5" t="s">
        <v>112</v>
      </c>
      <c r="F1402" s="6" t="s">
        <v>38</v>
      </c>
      <c r="G1402" s="4" t="s">
        <v>0</v>
      </c>
      <c r="H1402" s="25">
        <v>3005.8333333300002</v>
      </c>
      <c r="I1402" s="8">
        <v>4</v>
      </c>
      <c r="J1402" s="9">
        <v>24</v>
      </c>
      <c r="K1402" s="7">
        <v>20</v>
      </c>
      <c r="L1402" s="24">
        <f>+Tabla2[[#This Row],[Stock Inventario]]*Tabla2[[#This Row],[Coste LÃ­nea]]</f>
        <v>72139.999999920008</v>
      </c>
      <c r="M1402" s="24">
        <f>+Tabla2[[#This Row],[Variación Stock]]*Tabla2[[#This Row],[Coste LÃ­nea]]</f>
        <v>60116.666666600002</v>
      </c>
      <c r="N1402" s="22" t="str">
        <f>+IF(Tabla2[[#This Row],[Variación Stock]]&gt;0,"Sobrante",IF(Tabla2[[#This Row],[Variación Stock]]&lt;0,"Faltante","Sin novedad"))</f>
        <v>Sobrante</v>
      </c>
    </row>
    <row r="1403" spans="1:14" hidden="1" x14ac:dyDescent="0.25">
      <c r="A1403" s="11">
        <v>46053</v>
      </c>
      <c r="B1403" s="5" t="s">
        <v>836</v>
      </c>
      <c r="C1403" s="3" t="s">
        <v>128</v>
      </c>
      <c r="D1403" s="5" t="s">
        <v>396</v>
      </c>
      <c r="E1403" s="5" t="s">
        <v>117</v>
      </c>
      <c r="F1403" s="6" t="s">
        <v>842</v>
      </c>
      <c r="G1403" s="4" t="s">
        <v>1</v>
      </c>
      <c r="H1403" s="25">
        <v>24.513999999999999</v>
      </c>
      <c r="I1403" s="8">
        <v>1480</v>
      </c>
      <c r="J1403" s="9">
        <v>0</v>
      </c>
      <c r="K1403" s="7">
        <v>-1480</v>
      </c>
      <c r="L1403" s="24">
        <f>+Tabla2[[#This Row],[Stock Inventario]]*Tabla2[[#This Row],[Coste LÃ­nea]]</f>
        <v>0</v>
      </c>
      <c r="M1403" s="24">
        <f>+Tabla2[[#This Row],[Variación Stock]]*Tabla2[[#This Row],[Coste LÃ­nea]]</f>
        <v>-36280.720000000001</v>
      </c>
      <c r="N1403" s="22" t="str">
        <f>+IF(Tabla2[[#This Row],[Variación Stock]]&gt;0,"Sobrante",IF(Tabla2[[#This Row],[Variación Stock]]&lt;0,"Faltante","Sin novedad"))</f>
        <v>Faltante</v>
      </c>
    </row>
    <row r="1404" spans="1:14" hidden="1" x14ac:dyDescent="0.25">
      <c r="A1404" s="11">
        <v>46053</v>
      </c>
      <c r="B1404" s="5" t="s">
        <v>836</v>
      </c>
      <c r="C1404" s="3" t="s">
        <v>128</v>
      </c>
      <c r="D1404" s="5" t="s">
        <v>803</v>
      </c>
      <c r="E1404" s="5" t="s">
        <v>117</v>
      </c>
      <c r="F1404" s="6" t="s">
        <v>809</v>
      </c>
      <c r="G1404" s="4" t="s">
        <v>1</v>
      </c>
      <c r="H1404" s="25">
        <v>178.06399999999999</v>
      </c>
      <c r="I1404" s="8">
        <v>346</v>
      </c>
      <c r="J1404" s="9">
        <v>300</v>
      </c>
      <c r="K1404" s="7">
        <v>-46</v>
      </c>
      <c r="L1404" s="24">
        <f>+Tabla2[[#This Row],[Stock Inventario]]*Tabla2[[#This Row],[Coste LÃ­nea]]</f>
        <v>53419.199999999997</v>
      </c>
      <c r="M1404" s="24">
        <f>+Tabla2[[#This Row],[Variación Stock]]*Tabla2[[#This Row],[Coste LÃ­nea]]</f>
        <v>-8190.9439999999995</v>
      </c>
      <c r="N1404" s="22" t="str">
        <f>+IF(Tabla2[[#This Row],[Variación Stock]]&gt;0,"Sobrante",IF(Tabla2[[#This Row],[Variación Stock]]&lt;0,"Faltante","Sin novedad"))</f>
        <v>Faltante</v>
      </c>
    </row>
    <row r="1405" spans="1:14" hidden="1" x14ac:dyDescent="0.25">
      <c r="A1405" s="11">
        <v>46053</v>
      </c>
      <c r="B1405" s="5" t="s">
        <v>836</v>
      </c>
      <c r="C1405" s="3" t="s">
        <v>128</v>
      </c>
      <c r="D1405" s="5" t="s">
        <v>396</v>
      </c>
      <c r="E1405" s="5" t="s">
        <v>117</v>
      </c>
      <c r="F1405" s="6" t="s">
        <v>851</v>
      </c>
      <c r="G1405" s="4" t="s">
        <v>1</v>
      </c>
      <c r="H1405" s="25">
        <v>49.977947020000002</v>
      </c>
      <c r="I1405" s="8">
        <v>9650</v>
      </c>
      <c r="J1405" s="9">
        <v>6210</v>
      </c>
      <c r="K1405" s="7">
        <v>-3440.000016</v>
      </c>
      <c r="L1405" s="24">
        <f>+Tabla2[[#This Row],[Stock Inventario]]*Tabla2[[#This Row],[Coste LÃ­nea]]</f>
        <v>310363.05099419999</v>
      </c>
      <c r="M1405" s="24">
        <f>+Tabla2[[#This Row],[Variación Stock]]*Tabla2[[#This Row],[Coste LÃ­nea]]</f>
        <v>-171924.13854844717</v>
      </c>
      <c r="N1405" s="22" t="str">
        <f>+IF(Tabla2[[#This Row],[Variación Stock]]&gt;0,"Sobrante",IF(Tabla2[[#This Row],[Variación Stock]]&lt;0,"Faltante","Sin novedad"))</f>
        <v>Faltante</v>
      </c>
    </row>
    <row r="1406" spans="1:14" hidden="1" x14ac:dyDescent="0.25">
      <c r="A1406" s="11">
        <v>46053</v>
      </c>
      <c r="B1406" s="5" t="s">
        <v>836</v>
      </c>
      <c r="C1406" s="3" t="s">
        <v>128</v>
      </c>
      <c r="D1406" s="5" t="s">
        <v>396</v>
      </c>
      <c r="E1406" s="5" t="s">
        <v>117</v>
      </c>
      <c r="F1406" s="6" t="s">
        <v>459</v>
      </c>
      <c r="G1406" s="4" t="s">
        <v>1</v>
      </c>
      <c r="H1406" s="25">
        <v>39.22731126</v>
      </c>
      <c r="I1406" s="8">
        <v>6930</v>
      </c>
      <c r="J1406" s="9">
        <v>7884</v>
      </c>
      <c r="K1406" s="7">
        <v>954.00000799999998</v>
      </c>
      <c r="L1406" s="24">
        <f>+Tabla2[[#This Row],[Stock Inventario]]*Tabla2[[#This Row],[Coste LÃ­nea]]</f>
        <v>309268.12197384</v>
      </c>
      <c r="M1406" s="24">
        <f>+Tabla2[[#This Row],[Variación Stock]]*Tabla2[[#This Row],[Coste LÃ­nea]]</f>
        <v>37422.855255858492</v>
      </c>
      <c r="N1406" s="22" t="str">
        <f>+IF(Tabla2[[#This Row],[Variación Stock]]&gt;0,"Sobrante",IF(Tabla2[[#This Row],[Variación Stock]]&lt;0,"Faltante","Sin novedad"))</f>
        <v>Sobrante</v>
      </c>
    </row>
    <row r="1407" spans="1:14" x14ac:dyDescent="0.25">
      <c r="A1407" s="11">
        <v>46053</v>
      </c>
      <c r="B1407" s="5" t="s">
        <v>836</v>
      </c>
      <c r="C1407" s="3" t="s">
        <v>128</v>
      </c>
      <c r="D1407" s="5" t="s">
        <v>114</v>
      </c>
      <c r="E1407" s="5" t="s">
        <v>112</v>
      </c>
      <c r="F1407" s="6" t="s">
        <v>110</v>
      </c>
      <c r="G1407" s="4" t="s">
        <v>2</v>
      </c>
      <c r="H1407" s="25">
        <v>4126.8333333299997</v>
      </c>
      <c r="I1407" s="8">
        <v>1</v>
      </c>
      <c r="J1407" s="9">
        <v>3</v>
      </c>
      <c r="K1407" s="7">
        <v>2</v>
      </c>
      <c r="L1407" s="24">
        <f>+Tabla2[[#This Row],[Stock Inventario]]*Tabla2[[#This Row],[Coste LÃ­nea]]</f>
        <v>12380.499999989999</v>
      </c>
      <c r="M1407" s="24">
        <f>+Tabla2[[#This Row],[Variación Stock]]*Tabla2[[#This Row],[Coste LÃ­nea]]</f>
        <v>8253.6666666599995</v>
      </c>
      <c r="N1407" s="22" t="str">
        <f>+IF(Tabla2[[#This Row],[Variación Stock]]&gt;0,"Sobrante",IF(Tabla2[[#This Row],[Variación Stock]]&lt;0,"Faltante","Sin novedad"))</f>
        <v>Sobrante</v>
      </c>
    </row>
    <row r="1408" spans="1:14" x14ac:dyDescent="0.25">
      <c r="A1408" s="11">
        <v>46053</v>
      </c>
      <c r="B1408" s="5" t="s">
        <v>836</v>
      </c>
      <c r="C1408" s="3" t="s">
        <v>128</v>
      </c>
      <c r="D1408" s="5" t="s">
        <v>114</v>
      </c>
      <c r="E1408" s="5" t="s">
        <v>112</v>
      </c>
      <c r="F1408" s="6" t="s">
        <v>60</v>
      </c>
      <c r="G1408" s="4" t="s">
        <v>2</v>
      </c>
      <c r="H1408" s="25">
        <v>2318.6893004200001</v>
      </c>
      <c r="I1408" s="8">
        <v>79</v>
      </c>
      <c r="J1408" s="9">
        <v>79</v>
      </c>
      <c r="K1408" s="7">
        <v>0</v>
      </c>
      <c r="L1408" s="24">
        <f>+Tabla2[[#This Row],[Stock Inventario]]*Tabla2[[#This Row],[Coste LÃ­nea]]</f>
        <v>183176.45473318</v>
      </c>
      <c r="M1408" s="24">
        <f>+Tabla2[[#This Row],[Variación Stock]]*Tabla2[[#This Row],[Coste LÃ­nea]]</f>
        <v>0</v>
      </c>
      <c r="N1408" s="22" t="str">
        <f>+IF(Tabla2[[#This Row],[Variación Stock]]&gt;0,"Sobrante",IF(Tabla2[[#This Row],[Variación Stock]]&lt;0,"Faltante","Sin novedad"))</f>
        <v>Sin novedad</v>
      </c>
    </row>
    <row r="1409" spans="1:14" x14ac:dyDescent="0.25">
      <c r="A1409" s="11">
        <v>46053</v>
      </c>
      <c r="B1409" s="5" t="s">
        <v>836</v>
      </c>
      <c r="C1409" s="3" t="s">
        <v>128</v>
      </c>
      <c r="D1409" s="5" t="s">
        <v>114</v>
      </c>
      <c r="E1409" s="5" t="s">
        <v>112</v>
      </c>
      <c r="F1409" s="6" t="s">
        <v>61</v>
      </c>
      <c r="G1409" s="4" t="s">
        <v>2</v>
      </c>
      <c r="H1409" s="25">
        <v>2119.75</v>
      </c>
      <c r="I1409" s="8">
        <v>78</v>
      </c>
      <c r="J1409" s="9">
        <v>78</v>
      </c>
      <c r="K1409" s="7">
        <v>0</v>
      </c>
      <c r="L1409" s="24">
        <f>+Tabla2[[#This Row],[Stock Inventario]]*Tabla2[[#This Row],[Coste LÃ­nea]]</f>
        <v>165340.5</v>
      </c>
      <c r="M1409" s="24">
        <f>+Tabla2[[#This Row],[Variación Stock]]*Tabla2[[#This Row],[Coste LÃ­nea]]</f>
        <v>0</v>
      </c>
      <c r="N1409" s="22" t="str">
        <f>+IF(Tabla2[[#This Row],[Variación Stock]]&gt;0,"Sobrante",IF(Tabla2[[#This Row],[Variación Stock]]&lt;0,"Faltante","Sin novedad"))</f>
        <v>Sin novedad</v>
      </c>
    </row>
    <row r="1410" spans="1:14" hidden="1" x14ac:dyDescent="0.25">
      <c r="A1410" s="11">
        <v>46053</v>
      </c>
      <c r="B1410" s="5" t="s">
        <v>836</v>
      </c>
      <c r="C1410" s="3" t="s">
        <v>128</v>
      </c>
      <c r="D1410" s="5" t="s">
        <v>824</v>
      </c>
      <c r="E1410" s="5" t="s">
        <v>117</v>
      </c>
      <c r="F1410" s="6" t="s">
        <v>826</v>
      </c>
      <c r="G1410" s="4" t="s">
        <v>1</v>
      </c>
      <c r="H1410" s="25">
        <v>37.630249999999997</v>
      </c>
      <c r="I1410" s="8">
        <v>19032</v>
      </c>
      <c r="J1410" s="9">
        <v>7000</v>
      </c>
      <c r="K1410" s="7">
        <v>-12032</v>
      </c>
      <c r="L1410" s="24">
        <f>+Tabla2[[#This Row],[Stock Inventario]]*Tabla2[[#This Row],[Coste LÃ­nea]]</f>
        <v>263411.75</v>
      </c>
      <c r="M1410" s="24">
        <f>+Tabla2[[#This Row],[Variación Stock]]*Tabla2[[#This Row],[Coste LÃ­nea]]</f>
        <v>-452767.16799999995</v>
      </c>
      <c r="N1410" s="22" t="str">
        <f>+IF(Tabla2[[#This Row],[Variación Stock]]&gt;0,"Sobrante",IF(Tabla2[[#This Row],[Variación Stock]]&lt;0,"Faltante","Sin novedad"))</f>
        <v>Faltante</v>
      </c>
    </row>
    <row r="1411" spans="1:14" hidden="1" x14ac:dyDescent="0.25">
      <c r="A1411" s="11">
        <v>46053</v>
      </c>
      <c r="B1411" s="5" t="s">
        <v>836</v>
      </c>
      <c r="C1411" s="3" t="s">
        <v>128</v>
      </c>
      <c r="D1411" s="5" t="s">
        <v>471</v>
      </c>
      <c r="E1411" s="5" t="s">
        <v>117</v>
      </c>
      <c r="F1411" s="6" t="s">
        <v>497</v>
      </c>
      <c r="G1411" s="4" t="s">
        <v>1</v>
      </c>
      <c r="H1411" s="25">
        <v>8.1999999999999993</v>
      </c>
      <c r="I1411" s="8">
        <v>23410</v>
      </c>
      <c r="J1411" s="9">
        <v>4000</v>
      </c>
      <c r="K1411" s="7">
        <v>-19410</v>
      </c>
      <c r="L1411" s="24">
        <f>+Tabla2[[#This Row],[Stock Inventario]]*Tabla2[[#This Row],[Coste LÃ­nea]]</f>
        <v>32800</v>
      </c>
      <c r="M1411" s="24">
        <f>+Tabla2[[#This Row],[Variación Stock]]*Tabla2[[#This Row],[Coste LÃ­nea]]</f>
        <v>-159162</v>
      </c>
      <c r="N1411" s="22" t="str">
        <f>+IF(Tabla2[[#This Row],[Variación Stock]]&gt;0,"Sobrante",IF(Tabla2[[#This Row],[Variación Stock]]&lt;0,"Faltante","Sin novedad"))</f>
        <v>Faltante</v>
      </c>
    </row>
    <row r="1412" spans="1:14" hidden="1" x14ac:dyDescent="0.25">
      <c r="A1412" s="11">
        <v>46053</v>
      </c>
      <c r="B1412" s="5" t="s">
        <v>836</v>
      </c>
      <c r="C1412" s="3" t="s">
        <v>128</v>
      </c>
      <c r="D1412" s="5" t="s">
        <v>396</v>
      </c>
      <c r="E1412" s="5" t="s">
        <v>117</v>
      </c>
      <c r="F1412" s="6" t="s">
        <v>843</v>
      </c>
      <c r="G1412" s="4" t="s">
        <v>1</v>
      </c>
      <c r="H1412" s="25">
        <v>74.750129999999999</v>
      </c>
      <c r="I1412" s="8">
        <v>1762</v>
      </c>
      <c r="J1412" s="9">
        <v>1632</v>
      </c>
      <c r="K1412" s="7">
        <v>-130</v>
      </c>
      <c r="L1412" s="24">
        <f>+Tabla2[[#This Row],[Stock Inventario]]*Tabla2[[#This Row],[Coste LÃ­nea]]</f>
        <v>121992.21216</v>
      </c>
      <c r="M1412" s="24">
        <f>+Tabla2[[#This Row],[Variación Stock]]*Tabla2[[#This Row],[Coste LÃ­nea]]</f>
        <v>-9717.5169000000005</v>
      </c>
      <c r="N1412" s="22" t="str">
        <f>+IF(Tabla2[[#This Row],[Variación Stock]]&gt;0,"Sobrante",IF(Tabla2[[#This Row],[Variación Stock]]&lt;0,"Faltante","Sin novedad"))</f>
        <v>Faltante</v>
      </c>
    </row>
    <row r="1413" spans="1:14" x14ac:dyDescent="0.25">
      <c r="A1413" s="11">
        <v>46053</v>
      </c>
      <c r="B1413" s="5" t="s">
        <v>836</v>
      </c>
      <c r="C1413" s="3" t="s">
        <v>128</v>
      </c>
      <c r="D1413" s="5" t="s">
        <v>114</v>
      </c>
      <c r="E1413" s="5" t="s">
        <v>112</v>
      </c>
      <c r="F1413" s="6" t="s">
        <v>67</v>
      </c>
      <c r="G1413" s="4" t="s">
        <v>2</v>
      </c>
      <c r="H1413" s="25">
        <v>5291.7303921700004</v>
      </c>
      <c r="I1413" s="8">
        <v>28.42</v>
      </c>
      <c r="J1413" s="9">
        <v>25</v>
      </c>
      <c r="K1413" s="7">
        <v>-3.42</v>
      </c>
      <c r="L1413" s="24">
        <f>+Tabla2[[#This Row],[Stock Inventario]]*Tabla2[[#This Row],[Coste LÃ­nea]]</f>
        <v>132293.25980425</v>
      </c>
      <c r="M1413" s="24">
        <f>+Tabla2[[#This Row],[Variación Stock]]*Tabla2[[#This Row],[Coste LÃ­nea]]</f>
        <v>-18097.717941221403</v>
      </c>
      <c r="N1413" s="22" t="str">
        <f>+IF(Tabla2[[#This Row],[Variación Stock]]&gt;0,"Sobrante",IF(Tabla2[[#This Row],[Variación Stock]]&lt;0,"Faltante","Sin novedad"))</f>
        <v>Faltante</v>
      </c>
    </row>
    <row r="1414" spans="1:14" hidden="1" x14ac:dyDescent="0.25">
      <c r="A1414" s="11">
        <v>46053</v>
      </c>
      <c r="B1414" s="5" t="s">
        <v>836</v>
      </c>
      <c r="C1414" s="3" t="s">
        <v>128</v>
      </c>
      <c r="D1414" s="5" t="s">
        <v>471</v>
      </c>
      <c r="E1414" s="5" t="s">
        <v>117</v>
      </c>
      <c r="F1414" s="6" t="s">
        <v>498</v>
      </c>
      <c r="G1414" s="4" t="s">
        <v>1</v>
      </c>
      <c r="H1414" s="25">
        <v>24</v>
      </c>
      <c r="I1414" s="8">
        <v>12250</v>
      </c>
      <c r="J1414" s="9">
        <v>0</v>
      </c>
      <c r="K1414" s="7">
        <v>-12250</v>
      </c>
      <c r="L1414" s="24">
        <f>+Tabla2[[#This Row],[Stock Inventario]]*Tabla2[[#This Row],[Coste LÃ­nea]]</f>
        <v>0</v>
      </c>
      <c r="M1414" s="24">
        <f>+Tabla2[[#This Row],[Variación Stock]]*Tabla2[[#This Row],[Coste LÃ­nea]]</f>
        <v>-294000</v>
      </c>
      <c r="N1414" s="22" t="str">
        <f>+IF(Tabla2[[#This Row],[Variación Stock]]&gt;0,"Sobrante",IF(Tabla2[[#This Row],[Variación Stock]]&lt;0,"Faltante","Sin novedad"))</f>
        <v>Faltante</v>
      </c>
    </row>
    <row r="1415" spans="1:14" hidden="1" x14ac:dyDescent="0.25">
      <c r="A1415" s="11">
        <v>46053</v>
      </c>
      <c r="B1415" s="5" t="s">
        <v>836</v>
      </c>
      <c r="C1415" s="3" t="s">
        <v>128</v>
      </c>
      <c r="D1415" s="5" t="s">
        <v>119</v>
      </c>
      <c r="E1415" s="5" t="s">
        <v>117</v>
      </c>
      <c r="F1415" s="6" t="s">
        <v>10</v>
      </c>
      <c r="G1415" s="4" t="s">
        <v>2</v>
      </c>
      <c r="H1415" s="25">
        <v>18999.886554500001</v>
      </c>
      <c r="I1415" s="8">
        <v>4</v>
      </c>
      <c r="J1415" s="9">
        <v>8</v>
      </c>
      <c r="K1415" s="7">
        <v>4</v>
      </c>
      <c r="L1415" s="24">
        <f>+Tabla2[[#This Row],[Stock Inventario]]*Tabla2[[#This Row],[Coste LÃ­nea]]</f>
        <v>151999.09243600001</v>
      </c>
      <c r="M1415" s="24">
        <f>+Tabla2[[#This Row],[Variación Stock]]*Tabla2[[#This Row],[Coste LÃ­nea]]</f>
        <v>75999.546218000003</v>
      </c>
      <c r="N1415" s="22" t="str">
        <f>+IF(Tabla2[[#This Row],[Variación Stock]]&gt;0,"Sobrante",IF(Tabla2[[#This Row],[Variación Stock]]&lt;0,"Faltante","Sin novedad"))</f>
        <v>Sobrante</v>
      </c>
    </row>
    <row r="1416" spans="1:14" x14ac:dyDescent="0.25">
      <c r="A1416" s="11">
        <v>46053</v>
      </c>
      <c r="B1416" s="5" t="s">
        <v>836</v>
      </c>
      <c r="C1416" s="3" t="s">
        <v>128</v>
      </c>
      <c r="D1416" s="5" t="s">
        <v>114</v>
      </c>
      <c r="E1416" s="5" t="s">
        <v>112</v>
      </c>
      <c r="F1416" s="6" t="s">
        <v>150</v>
      </c>
      <c r="G1416" s="4" t="s">
        <v>2</v>
      </c>
      <c r="H1416" s="25">
        <v>3750</v>
      </c>
      <c r="I1416" s="8">
        <v>5.9</v>
      </c>
      <c r="J1416" s="9">
        <v>5</v>
      </c>
      <c r="K1416" s="7">
        <v>-0.9</v>
      </c>
      <c r="L1416" s="24">
        <f>+Tabla2[[#This Row],[Stock Inventario]]*Tabla2[[#This Row],[Coste LÃ­nea]]</f>
        <v>18750</v>
      </c>
      <c r="M1416" s="24">
        <f>+Tabla2[[#This Row],[Variación Stock]]*Tabla2[[#This Row],[Coste LÃ­nea]]</f>
        <v>-3375</v>
      </c>
      <c r="N1416" s="22" t="str">
        <f>+IF(Tabla2[[#This Row],[Variación Stock]]&gt;0,"Sobrante",IF(Tabla2[[#This Row],[Variación Stock]]&lt;0,"Faltante","Sin novedad"))</f>
        <v>Faltante</v>
      </c>
    </row>
    <row r="1417" spans="1:14" hidden="1" x14ac:dyDescent="0.25">
      <c r="A1417" s="11">
        <v>46053</v>
      </c>
      <c r="B1417" s="5" t="s">
        <v>836</v>
      </c>
      <c r="C1417" s="3" t="s">
        <v>128</v>
      </c>
      <c r="D1417" s="5" t="s">
        <v>396</v>
      </c>
      <c r="E1417" s="5" t="s">
        <v>117</v>
      </c>
      <c r="F1417" s="6" t="s">
        <v>852</v>
      </c>
      <c r="G1417" s="4" t="s">
        <v>1</v>
      </c>
      <c r="H1417" s="25">
        <v>350.00099999999998</v>
      </c>
      <c r="I1417" s="8">
        <v>39</v>
      </c>
      <c r="J1417" s="9">
        <v>95</v>
      </c>
      <c r="K1417" s="7">
        <v>56</v>
      </c>
      <c r="L1417" s="24">
        <f>+Tabla2[[#This Row],[Stock Inventario]]*Tabla2[[#This Row],[Coste LÃ­nea]]</f>
        <v>33250.095000000001</v>
      </c>
      <c r="M1417" s="24">
        <f>+Tabla2[[#This Row],[Variación Stock]]*Tabla2[[#This Row],[Coste LÃ­nea]]</f>
        <v>19600.055999999997</v>
      </c>
      <c r="N1417" s="22" t="str">
        <f>+IF(Tabla2[[#This Row],[Variación Stock]]&gt;0,"Sobrante",IF(Tabla2[[#This Row],[Variación Stock]]&lt;0,"Faltante","Sin novedad"))</f>
        <v>Sobrante</v>
      </c>
    </row>
    <row r="1418" spans="1:14" hidden="1" x14ac:dyDescent="0.25">
      <c r="A1418" s="11">
        <v>46053</v>
      </c>
      <c r="B1418" s="5" t="s">
        <v>836</v>
      </c>
      <c r="C1418" s="3" t="s">
        <v>128</v>
      </c>
      <c r="D1418" s="5" t="s">
        <v>803</v>
      </c>
      <c r="E1418" s="5" t="s">
        <v>117</v>
      </c>
      <c r="F1418" s="6" t="s">
        <v>960</v>
      </c>
      <c r="G1418" s="4" t="s">
        <v>1</v>
      </c>
      <c r="H1418" s="25">
        <v>350.0009804</v>
      </c>
      <c r="I1418" s="8">
        <v>58</v>
      </c>
      <c r="J1418" s="9">
        <v>60</v>
      </c>
      <c r="K1418" s="7">
        <v>2</v>
      </c>
      <c r="L1418" s="24">
        <f>+Tabla2[[#This Row],[Stock Inventario]]*Tabla2[[#This Row],[Coste LÃ­nea]]</f>
        <v>21000.058824</v>
      </c>
      <c r="M1418" s="24">
        <f>+Tabla2[[#This Row],[Variación Stock]]*Tabla2[[#This Row],[Coste LÃ­nea]]</f>
        <v>700.00196080000001</v>
      </c>
      <c r="N1418" s="22" t="str">
        <f>+IF(Tabla2[[#This Row],[Variación Stock]]&gt;0,"Sobrante",IF(Tabla2[[#This Row],[Variación Stock]]&lt;0,"Faltante","Sin novedad"))</f>
        <v>Sobrante</v>
      </c>
    </row>
    <row r="1419" spans="1:14" hidden="1" x14ac:dyDescent="0.25">
      <c r="A1419" s="11">
        <v>46053</v>
      </c>
      <c r="B1419" s="5" t="s">
        <v>836</v>
      </c>
      <c r="C1419" s="3" t="s">
        <v>128</v>
      </c>
      <c r="D1419" s="5" t="s">
        <v>815</v>
      </c>
      <c r="E1419" s="5" t="s">
        <v>117</v>
      </c>
      <c r="F1419" s="6" t="s">
        <v>817</v>
      </c>
      <c r="G1419" s="4" t="s">
        <v>2</v>
      </c>
      <c r="H1419" s="25">
        <v>2730</v>
      </c>
      <c r="I1419" s="8">
        <v>13.22</v>
      </c>
      <c r="J1419" s="9">
        <v>40</v>
      </c>
      <c r="K1419" s="7">
        <v>26.78</v>
      </c>
      <c r="L1419" s="24">
        <f>+Tabla2[[#This Row],[Stock Inventario]]*Tabla2[[#This Row],[Coste LÃ­nea]]</f>
        <v>109200</v>
      </c>
      <c r="M1419" s="24">
        <f>+Tabla2[[#This Row],[Variación Stock]]*Tabla2[[#This Row],[Coste LÃ­nea]]</f>
        <v>73109.400000000009</v>
      </c>
      <c r="N1419" s="22" t="str">
        <f>+IF(Tabla2[[#This Row],[Variación Stock]]&gt;0,"Sobrante",IF(Tabla2[[#This Row],[Variación Stock]]&lt;0,"Faltante","Sin novedad"))</f>
        <v>Sobrante</v>
      </c>
    </row>
    <row r="1420" spans="1:14" hidden="1" x14ac:dyDescent="0.25">
      <c r="A1420" s="11">
        <v>46053</v>
      </c>
      <c r="B1420" s="5" t="s">
        <v>836</v>
      </c>
      <c r="C1420" s="3" t="s">
        <v>128</v>
      </c>
      <c r="D1420" s="5" t="s">
        <v>803</v>
      </c>
      <c r="E1420" s="5" t="s">
        <v>117</v>
      </c>
      <c r="F1420" s="6" t="s">
        <v>813</v>
      </c>
      <c r="G1420" s="4" t="s">
        <v>1</v>
      </c>
      <c r="H1420" s="25">
        <v>60.010800000000003</v>
      </c>
      <c r="I1420" s="8">
        <v>973.60850000000005</v>
      </c>
      <c r="J1420" s="9">
        <v>130</v>
      </c>
      <c r="K1420" s="7">
        <v>-843.60853799999995</v>
      </c>
      <c r="L1420" s="24">
        <f>+Tabla2[[#This Row],[Stock Inventario]]*Tabla2[[#This Row],[Coste LÃ­nea]]</f>
        <v>7801.4040000000005</v>
      </c>
      <c r="M1420" s="24">
        <f>+Tabla2[[#This Row],[Variación Stock]]*Tabla2[[#This Row],[Coste LÃ­nea]]</f>
        <v>-50625.623252210396</v>
      </c>
      <c r="N1420" s="22" t="str">
        <f>+IF(Tabla2[[#This Row],[Variación Stock]]&gt;0,"Sobrante",IF(Tabla2[[#This Row],[Variación Stock]]&lt;0,"Faltante","Sin novedad"))</f>
        <v>Faltante</v>
      </c>
    </row>
    <row r="1421" spans="1:14" hidden="1" x14ac:dyDescent="0.25">
      <c r="A1421" s="11">
        <v>46053</v>
      </c>
      <c r="B1421" s="5" t="s">
        <v>836</v>
      </c>
      <c r="C1421" s="3" t="s">
        <v>128</v>
      </c>
      <c r="D1421" s="5" t="s">
        <v>471</v>
      </c>
      <c r="E1421" s="5" t="s">
        <v>117</v>
      </c>
      <c r="F1421" s="6" t="s">
        <v>867</v>
      </c>
      <c r="G1421" s="4" t="s">
        <v>1</v>
      </c>
      <c r="H1421" s="25">
        <v>10</v>
      </c>
      <c r="I1421" s="8">
        <v>2675</v>
      </c>
      <c r="J1421" s="9">
        <v>0</v>
      </c>
      <c r="K1421" s="7">
        <v>-2675</v>
      </c>
      <c r="L1421" s="24">
        <f>+Tabla2[[#This Row],[Stock Inventario]]*Tabla2[[#This Row],[Coste LÃ­nea]]</f>
        <v>0</v>
      </c>
      <c r="M1421" s="24">
        <f>+Tabla2[[#This Row],[Variación Stock]]*Tabla2[[#This Row],[Coste LÃ­nea]]</f>
        <v>-26750</v>
      </c>
      <c r="N1421" s="22" t="str">
        <f>+IF(Tabla2[[#This Row],[Variación Stock]]&gt;0,"Sobrante",IF(Tabla2[[#This Row],[Variación Stock]]&lt;0,"Faltante","Sin novedad"))</f>
        <v>Faltante</v>
      </c>
    </row>
    <row r="1422" spans="1:14" hidden="1" x14ac:dyDescent="0.25">
      <c r="A1422" s="11">
        <v>46053</v>
      </c>
      <c r="B1422" s="5" t="s">
        <v>836</v>
      </c>
      <c r="C1422" s="3" t="s">
        <v>128</v>
      </c>
      <c r="D1422" s="5" t="s">
        <v>116</v>
      </c>
      <c r="E1422" s="5" t="s">
        <v>117</v>
      </c>
      <c r="F1422" s="6" t="s">
        <v>159</v>
      </c>
      <c r="G1422" s="4" t="s">
        <v>2</v>
      </c>
      <c r="H1422" s="25">
        <v>12850</v>
      </c>
      <c r="I1422" s="8">
        <v>-3</v>
      </c>
      <c r="J1422" s="9">
        <v>0</v>
      </c>
      <c r="K1422" s="7">
        <v>3</v>
      </c>
      <c r="L1422" s="24">
        <f>+Tabla2[[#This Row],[Stock Inventario]]*Tabla2[[#This Row],[Coste LÃ­nea]]</f>
        <v>0</v>
      </c>
      <c r="M1422" s="24">
        <f>+Tabla2[[#This Row],[Variación Stock]]*Tabla2[[#This Row],[Coste LÃ­nea]]</f>
        <v>38550</v>
      </c>
      <c r="N1422" s="22" t="str">
        <f>+IF(Tabla2[[#This Row],[Variación Stock]]&gt;0,"Sobrante",IF(Tabla2[[#This Row],[Variación Stock]]&lt;0,"Faltante","Sin novedad"))</f>
        <v>Sobrante</v>
      </c>
    </row>
    <row r="1423" spans="1:14" hidden="1" x14ac:dyDescent="0.25">
      <c r="A1423" s="11">
        <v>46053</v>
      </c>
      <c r="B1423" s="5" t="s">
        <v>836</v>
      </c>
      <c r="C1423" s="3" t="s">
        <v>128</v>
      </c>
      <c r="D1423" s="5" t="s">
        <v>396</v>
      </c>
      <c r="E1423" s="5" t="s">
        <v>117</v>
      </c>
      <c r="F1423" s="6" t="s">
        <v>435</v>
      </c>
      <c r="G1423" s="4" t="s">
        <v>1</v>
      </c>
      <c r="H1423" s="25">
        <v>64.0505</v>
      </c>
      <c r="I1423" s="8">
        <v>1000</v>
      </c>
      <c r="J1423" s="9">
        <v>1000</v>
      </c>
      <c r="K1423" s="7">
        <v>0</v>
      </c>
      <c r="L1423" s="24">
        <f>+Tabla2[[#This Row],[Stock Inventario]]*Tabla2[[#This Row],[Coste LÃ­nea]]</f>
        <v>64050.5</v>
      </c>
      <c r="M1423" s="24">
        <f>+Tabla2[[#This Row],[Variación Stock]]*Tabla2[[#This Row],[Coste LÃ­nea]]</f>
        <v>0</v>
      </c>
      <c r="N1423" s="22" t="str">
        <f>+IF(Tabla2[[#This Row],[Variación Stock]]&gt;0,"Sobrante",IF(Tabla2[[#This Row],[Variación Stock]]&lt;0,"Faltante","Sin novedad"))</f>
        <v>Sin novedad</v>
      </c>
    </row>
    <row r="1424" spans="1:14" hidden="1" x14ac:dyDescent="0.25">
      <c r="A1424" s="11">
        <v>46053</v>
      </c>
      <c r="B1424" s="5" t="s">
        <v>836</v>
      </c>
      <c r="C1424" s="3" t="s">
        <v>128</v>
      </c>
      <c r="D1424" s="5" t="s">
        <v>396</v>
      </c>
      <c r="E1424" s="5" t="s">
        <v>117</v>
      </c>
      <c r="F1424" s="6" t="s">
        <v>436</v>
      </c>
      <c r="G1424" s="4" t="s">
        <v>1</v>
      </c>
      <c r="H1424" s="25">
        <v>39.071874999999999</v>
      </c>
      <c r="I1424" s="8">
        <v>16100</v>
      </c>
      <c r="J1424" s="9">
        <v>6940</v>
      </c>
      <c r="K1424" s="7">
        <v>-9160</v>
      </c>
      <c r="L1424" s="24">
        <f>+Tabla2[[#This Row],[Stock Inventario]]*Tabla2[[#This Row],[Coste LÃ­nea]]</f>
        <v>271158.8125</v>
      </c>
      <c r="M1424" s="24">
        <f>+Tabla2[[#This Row],[Variación Stock]]*Tabla2[[#This Row],[Coste LÃ­nea]]</f>
        <v>-357898.375</v>
      </c>
      <c r="N1424" s="22" t="str">
        <f>+IF(Tabla2[[#This Row],[Variación Stock]]&gt;0,"Sobrante",IF(Tabla2[[#This Row],[Variación Stock]]&lt;0,"Faltante","Sin novedad"))</f>
        <v>Faltante</v>
      </c>
    </row>
    <row r="1425" spans="1:14" hidden="1" x14ac:dyDescent="0.25">
      <c r="A1425" s="11">
        <v>46053</v>
      </c>
      <c r="B1425" s="5" t="s">
        <v>836</v>
      </c>
      <c r="C1425" s="3" t="s">
        <v>128</v>
      </c>
      <c r="D1425" s="5" t="s">
        <v>547</v>
      </c>
      <c r="E1425" s="5" t="s">
        <v>117</v>
      </c>
      <c r="F1425" s="6" t="s">
        <v>553</v>
      </c>
      <c r="G1425" s="4" t="s">
        <v>1</v>
      </c>
      <c r="H1425" s="25">
        <v>17.858762890000001</v>
      </c>
      <c r="I1425" s="8">
        <v>169902</v>
      </c>
      <c r="J1425" s="9">
        <v>33000</v>
      </c>
      <c r="K1425" s="7">
        <v>-136902</v>
      </c>
      <c r="L1425" s="24">
        <f>+Tabla2[[#This Row],[Stock Inventario]]*Tabla2[[#This Row],[Coste LÃ­nea]]</f>
        <v>589339.17537000007</v>
      </c>
      <c r="M1425" s="24">
        <f>+Tabla2[[#This Row],[Variación Stock]]*Tabla2[[#This Row],[Coste LÃ­nea]]</f>
        <v>-2444900.3571667802</v>
      </c>
      <c r="N1425" s="22" t="str">
        <f>+IF(Tabla2[[#This Row],[Variación Stock]]&gt;0,"Sobrante",IF(Tabla2[[#This Row],[Variación Stock]]&lt;0,"Faltante","Sin novedad"))</f>
        <v>Faltante</v>
      </c>
    </row>
    <row r="1426" spans="1:14" x14ac:dyDescent="0.25">
      <c r="A1426" s="11">
        <v>46053</v>
      </c>
      <c r="B1426" s="5" t="s">
        <v>836</v>
      </c>
      <c r="C1426" s="3" t="s">
        <v>128</v>
      </c>
      <c r="D1426" s="5" t="s">
        <v>111</v>
      </c>
      <c r="E1426" s="5" t="s">
        <v>112</v>
      </c>
      <c r="F1426" s="6" t="s">
        <v>136</v>
      </c>
      <c r="G1426" s="4" t="s">
        <v>0</v>
      </c>
      <c r="H1426" s="25">
        <v>384.58620689999998</v>
      </c>
      <c r="I1426" s="8">
        <v>167</v>
      </c>
      <c r="J1426" s="9">
        <v>72</v>
      </c>
      <c r="K1426" s="7">
        <v>-95</v>
      </c>
      <c r="L1426" s="24">
        <f>+Tabla2[[#This Row],[Stock Inventario]]*Tabla2[[#This Row],[Coste LÃ­nea]]</f>
        <v>27690.206896799999</v>
      </c>
      <c r="M1426" s="24">
        <f>+Tabla2[[#This Row],[Variación Stock]]*Tabla2[[#This Row],[Coste LÃ­nea]]</f>
        <v>-36535.689655499998</v>
      </c>
      <c r="N1426" s="22" t="str">
        <f>+IF(Tabla2[[#This Row],[Variación Stock]]&gt;0,"Sobrante",IF(Tabla2[[#This Row],[Variación Stock]]&lt;0,"Faltante","Sin novedad"))</f>
        <v>Faltante</v>
      </c>
    </row>
    <row r="1427" spans="1:14" x14ac:dyDescent="0.25">
      <c r="A1427" s="11">
        <v>46053</v>
      </c>
      <c r="B1427" s="5" t="s">
        <v>836</v>
      </c>
      <c r="C1427" s="3" t="s">
        <v>128</v>
      </c>
      <c r="D1427" s="5" t="s">
        <v>118</v>
      </c>
      <c r="E1427" s="5" t="s">
        <v>112</v>
      </c>
      <c r="F1427" s="6" t="s">
        <v>166</v>
      </c>
      <c r="G1427" s="4" t="s">
        <v>2</v>
      </c>
      <c r="H1427" s="25">
        <v>155000</v>
      </c>
      <c r="I1427" s="8">
        <v>1</v>
      </c>
      <c r="J1427" s="9">
        <v>1</v>
      </c>
      <c r="K1427" s="7">
        <v>0</v>
      </c>
      <c r="L1427" s="24">
        <f>+Tabla2[[#This Row],[Stock Inventario]]*Tabla2[[#This Row],[Coste LÃ­nea]]</f>
        <v>155000</v>
      </c>
      <c r="M1427" s="24">
        <f>+Tabla2[[#This Row],[Variación Stock]]*Tabla2[[#This Row],[Coste LÃ­nea]]</f>
        <v>0</v>
      </c>
      <c r="N1427" s="22" t="str">
        <f>+IF(Tabla2[[#This Row],[Variación Stock]]&gt;0,"Sobrante",IF(Tabla2[[#This Row],[Variación Stock]]&lt;0,"Faltante","Sin novedad"))</f>
        <v>Sin novedad</v>
      </c>
    </row>
    <row r="1428" spans="1:14" hidden="1" x14ac:dyDescent="0.25">
      <c r="A1428" s="11">
        <v>46053</v>
      </c>
      <c r="B1428" s="5" t="s">
        <v>836</v>
      </c>
      <c r="C1428" s="3" t="s">
        <v>128</v>
      </c>
      <c r="D1428" s="5" t="s">
        <v>815</v>
      </c>
      <c r="E1428" s="5" t="s">
        <v>117</v>
      </c>
      <c r="F1428" s="6" t="s">
        <v>962</v>
      </c>
      <c r="G1428" s="4" t="s">
        <v>1</v>
      </c>
      <c r="H1428" s="25">
        <v>33.159999999999997</v>
      </c>
      <c r="I1428" s="8">
        <v>1000</v>
      </c>
      <c r="J1428" s="9">
        <v>1000</v>
      </c>
      <c r="K1428" s="7">
        <v>0</v>
      </c>
      <c r="L1428" s="24">
        <f>+Tabla2[[#This Row],[Stock Inventario]]*Tabla2[[#This Row],[Coste LÃ­nea]]</f>
        <v>33160</v>
      </c>
      <c r="M1428" s="24">
        <f>+Tabla2[[#This Row],[Variación Stock]]*Tabla2[[#This Row],[Coste LÃ­nea]]</f>
        <v>0</v>
      </c>
      <c r="N1428" s="22" t="str">
        <f>+IF(Tabla2[[#This Row],[Variación Stock]]&gt;0,"Sobrante",IF(Tabla2[[#This Row],[Variación Stock]]&lt;0,"Faltante","Sin novedad"))</f>
        <v>Sin novedad</v>
      </c>
    </row>
    <row r="1429" spans="1:14" hidden="1" x14ac:dyDescent="0.25">
      <c r="A1429" s="11">
        <v>46053</v>
      </c>
      <c r="B1429" s="5" t="s">
        <v>836</v>
      </c>
      <c r="C1429" s="3" t="s">
        <v>128</v>
      </c>
      <c r="D1429" s="5" t="s">
        <v>547</v>
      </c>
      <c r="E1429" s="5" t="s">
        <v>117</v>
      </c>
      <c r="F1429" s="6" t="s">
        <v>554</v>
      </c>
      <c r="G1429" s="4" t="s">
        <v>1</v>
      </c>
      <c r="H1429" s="25">
        <v>22.08</v>
      </c>
      <c r="I1429" s="8">
        <v>1000</v>
      </c>
      <c r="J1429" s="9">
        <v>500</v>
      </c>
      <c r="K1429" s="7">
        <v>-500</v>
      </c>
      <c r="L1429" s="24">
        <f>+Tabla2[[#This Row],[Stock Inventario]]*Tabla2[[#This Row],[Coste LÃ­nea]]</f>
        <v>11040</v>
      </c>
      <c r="M1429" s="24">
        <f>+Tabla2[[#This Row],[Variación Stock]]*Tabla2[[#This Row],[Coste LÃ­nea]]</f>
        <v>-11040</v>
      </c>
      <c r="N1429" s="22" t="str">
        <f>+IF(Tabla2[[#This Row],[Variación Stock]]&gt;0,"Sobrante",IF(Tabla2[[#This Row],[Variación Stock]]&lt;0,"Faltante","Sin novedad"))</f>
        <v>Faltante</v>
      </c>
    </row>
    <row r="1430" spans="1:14" hidden="1" x14ac:dyDescent="0.25">
      <c r="A1430" s="11">
        <v>46053</v>
      </c>
      <c r="B1430" s="5" t="s">
        <v>836</v>
      </c>
      <c r="C1430" s="3" t="s">
        <v>128</v>
      </c>
      <c r="D1430" s="5" t="s">
        <v>559</v>
      </c>
      <c r="E1430" s="5" t="s">
        <v>1080</v>
      </c>
      <c r="F1430" s="6" t="s">
        <v>578</v>
      </c>
      <c r="G1430" s="4" t="s">
        <v>2</v>
      </c>
      <c r="H1430" s="25">
        <v>179.65</v>
      </c>
      <c r="I1430" s="8">
        <v>30</v>
      </c>
      <c r="J1430" s="9">
        <v>100</v>
      </c>
      <c r="K1430" s="7">
        <v>70</v>
      </c>
      <c r="L1430" s="24">
        <f>+Tabla2[[#This Row],[Stock Inventario]]*Tabla2[[#This Row],[Coste LÃ­nea]]</f>
        <v>17965</v>
      </c>
      <c r="M1430" s="24">
        <f>+Tabla2[[#This Row],[Variación Stock]]*Tabla2[[#This Row],[Coste LÃ­nea]]</f>
        <v>12575.5</v>
      </c>
      <c r="N1430" s="22" t="str">
        <f>+IF(Tabla2[[#This Row],[Variación Stock]]&gt;0,"Sobrante",IF(Tabla2[[#This Row],[Variación Stock]]&lt;0,"Faltante","Sin novedad"))</f>
        <v>Sobrante</v>
      </c>
    </row>
    <row r="1431" spans="1:14" hidden="1" x14ac:dyDescent="0.25">
      <c r="A1431" s="11">
        <v>46053</v>
      </c>
      <c r="B1431" s="5" t="s">
        <v>836</v>
      </c>
      <c r="C1431" s="3" t="s">
        <v>128</v>
      </c>
      <c r="D1431" s="5" t="s">
        <v>396</v>
      </c>
      <c r="E1431" s="5" t="s">
        <v>117</v>
      </c>
      <c r="F1431" s="6" t="s">
        <v>467</v>
      </c>
      <c r="G1431" s="4" t="s">
        <v>2</v>
      </c>
      <c r="H1431" s="25">
        <v>4.7356828193832596</v>
      </c>
      <c r="I1431" s="8">
        <v>25</v>
      </c>
      <c r="J1431" s="9">
        <v>0</v>
      </c>
      <c r="K1431" s="7">
        <v>-25</v>
      </c>
      <c r="L1431" s="24">
        <f>+Tabla2[[#This Row],[Stock Inventario]]*Tabla2[[#This Row],[Coste LÃ­nea]]</f>
        <v>0</v>
      </c>
      <c r="M1431" s="24">
        <f>+Tabla2[[#This Row],[Variación Stock]]*Tabla2[[#This Row],[Coste LÃ­nea]]</f>
        <v>-118.3920704845815</v>
      </c>
      <c r="N1431" s="22" t="str">
        <f>+IF(Tabla2[[#This Row],[Variación Stock]]&gt;0,"Sobrante",IF(Tabla2[[#This Row],[Variación Stock]]&lt;0,"Faltante","Sin novedad"))</f>
        <v>Faltante</v>
      </c>
    </row>
    <row r="1432" spans="1:14" hidden="1" x14ac:dyDescent="0.25">
      <c r="A1432" s="11">
        <v>46053</v>
      </c>
      <c r="B1432" s="5" t="s">
        <v>836</v>
      </c>
      <c r="C1432" s="3" t="s">
        <v>128</v>
      </c>
      <c r="D1432" s="5" t="s">
        <v>471</v>
      </c>
      <c r="E1432" s="5" t="s">
        <v>117</v>
      </c>
      <c r="F1432" s="6" t="s">
        <v>499</v>
      </c>
      <c r="G1432" s="4" t="s">
        <v>1</v>
      </c>
      <c r="H1432" s="25">
        <v>5.8</v>
      </c>
      <c r="I1432" s="8">
        <v>26400</v>
      </c>
      <c r="J1432" s="9">
        <v>0</v>
      </c>
      <c r="K1432" s="7">
        <v>-26400</v>
      </c>
      <c r="L1432" s="24">
        <f>+Tabla2[[#This Row],[Stock Inventario]]*Tabla2[[#This Row],[Coste LÃ­nea]]</f>
        <v>0</v>
      </c>
      <c r="M1432" s="24">
        <f>+Tabla2[[#This Row],[Variación Stock]]*Tabla2[[#This Row],[Coste LÃ­nea]]</f>
        <v>-153120</v>
      </c>
      <c r="N1432" s="22" t="str">
        <f>+IF(Tabla2[[#This Row],[Variación Stock]]&gt;0,"Sobrante",IF(Tabla2[[#This Row],[Variación Stock]]&lt;0,"Faltante","Sin novedad"))</f>
        <v>Faltante</v>
      </c>
    </row>
    <row r="1433" spans="1:14" hidden="1" x14ac:dyDescent="0.25">
      <c r="A1433" s="11">
        <v>46053</v>
      </c>
      <c r="B1433" s="5" t="s">
        <v>836</v>
      </c>
      <c r="C1433" s="3" t="s">
        <v>128</v>
      </c>
      <c r="D1433" s="5" t="s">
        <v>626</v>
      </c>
      <c r="E1433" s="5" t="s">
        <v>1079</v>
      </c>
      <c r="F1433" s="6" t="s">
        <v>641</v>
      </c>
      <c r="G1433" s="4" t="s">
        <v>2</v>
      </c>
      <c r="H1433" s="25">
        <v>895.4</v>
      </c>
      <c r="I1433" s="8">
        <v>50</v>
      </c>
      <c r="J1433" s="9">
        <v>15</v>
      </c>
      <c r="K1433" s="7">
        <v>-35</v>
      </c>
      <c r="L1433" s="24">
        <f>+Tabla2[[#This Row],[Stock Inventario]]*Tabla2[[#This Row],[Coste LÃ­nea]]</f>
        <v>13431</v>
      </c>
      <c r="M1433" s="24">
        <f>+Tabla2[[#This Row],[Variación Stock]]*Tabla2[[#This Row],[Coste LÃ­nea]]</f>
        <v>-31339</v>
      </c>
      <c r="N1433" s="22" t="str">
        <f>+IF(Tabla2[[#This Row],[Variación Stock]]&gt;0,"Sobrante",IF(Tabla2[[#This Row],[Variación Stock]]&lt;0,"Faltante","Sin novedad"))</f>
        <v>Faltante</v>
      </c>
    </row>
    <row r="1434" spans="1:14" hidden="1" x14ac:dyDescent="0.25">
      <c r="A1434" s="11">
        <v>46053</v>
      </c>
      <c r="B1434" s="5" t="s">
        <v>836</v>
      </c>
      <c r="C1434" s="3" t="s">
        <v>128</v>
      </c>
      <c r="D1434" s="5" t="s">
        <v>626</v>
      </c>
      <c r="E1434" s="5" t="s">
        <v>1079</v>
      </c>
      <c r="F1434" s="6" t="s">
        <v>893</v>
      </c>
      <c r="G1434" s="4" t="s">
        <v>1</v>
      </c>
      <c r="H1434" s="25">
        <v>10.9412</v>
      </c>
      <c r="I1434" s="8">
        <v>5001</v>
      </c>
      <c r="J1434" s="9">
        <v>4000</v>
      </c>
      <c r="K1434" s="7">
        <v>-1001</v>
      </c>
      <c r="L1434" s="24">
        <f>+Tabla2[[#This Row],[Stock Inventario]]*Tabla2[[#This Row],[Coste LÃ­nea]]</f>
        <v>43764.800000000003</v>
      </c>
      <c r="M1434" s="24">
        <f>+Tabla2[[#This Row],[Variación Stock]]*Tabla2[[#This Row],[Coste LÃ­nea]]</f>
        <v>-10952.1412</v>
      </c>
      <c r="N1434" s="22" t="str">
        <f>+IF(Tabla2[[#This Row],[Variación Stock]]&gt;0,"Sobrante",IF(Tabla2[[#This Row],[Variación Stock]]&lt;0,"Faltante","Sin novedad"))</f>
        <v>Faltante</v>
      </c>
    </row>
    <row r="1435" spans="1:14" hidden="1" x14ac:dyDescent="0.25">
      <c r="A1435" s="11">
        <v>46053</v>
      </c>
      <c r="B1435" s="5" t="s">
        <v>836</v>
      </c>
      <c r="C1435" s="3" t="s">
        <v>128</v>
      </c>
      <c r="D1435" s="5" t="s">
        <v>626</v>
      </c>
      <c r="E1435" s="5" t="s">
        <v>1079</v>
      </c>
      <c r="F1435" s="6" t="s">
        <v>643</v>
      </c>
      <c r="G1435" s="4" t="s">
        <v>2</v>
      </c>
      <c r="H1435" s="25">
        <v>5090</v>
      </c>
      <c r="I1435" s="8">
        <v>7</v>
      </c>
      <c r="J1435" s="9">
        <v>0</v>
      </c>
      <c r="K1435" s="7">
        <v>-7</v>
      </c>
      <c r="L1435" s="24">
        <f>+Tabla2[[#This Row],[Stock Inventario]]*Tabla2[[#This Row],[Coste LÃ­nea]]</f>
        <v>0</v>
      </c>
      <c r="M1435" s="24">
        <f>+Tabla2[[#This Row],[Variación Stock]]*Tabla2[[#This Row],[Coste LÃ­nea]]</f>
        <v>-35630</v>
      </c>
      <c r="N1435" s="22" t="str">
        <f>+IF(Tabla2[[#This Row],[Variación Stock]]&gt;0,"Sobrante",IF(Tabla2[[#This Row],[Variación Stock]]&lt;0,"Faltante","Sin novedad"))</f>
        <v>Faltante</v>
      </c>
    </row>
    <row r="1436" spans="1:14" x14ac:dyDescent="0.25">
      <c r="A1436" s="11">
        <v>46053</v>
      </c>
      <c r="B1436" s="5" t="s">
        <v>836</v>
      </c>
      <c r="C1436" s="3" t="s">
        <v>128</v>
      </c>
      <c r="D1436" s="5" t="s">
        <v>111</v>
      </c>
      <c r="E1436" s="5" t="s">
        <v>112</v>
      </c>
      <c r="F1436" s="6" t="s">
        <v>15</v>
      </c>
      <c r="G1436" s="4" t="s">
        <v>0</v>
      </c>
      <c r="H1436" s="25">
        <v>12833.33333333</v>
      </c>
      <c r="I1436" s="8">
        <v>6</v>
      </c>
      <c r="J1436" s="9">
        <v>7</v>
      </c>
      <c r="K1436" s="7">
        <v>1</v>
      </c>
      <c r="L1436" s="24">
        <f>+Tabla2[[#This Row],[Stock Inventario]]*Tabla2[[#This Row],[Coste LÃ­nea]]</f>
        <v>89833.333333310002</v>
      </c>
      <c r="M1436" s="24">
        <f>+Tabla2[[#This Row],[Variación Stock]]*Tabla2[[#This Row],[Coste LÃ­nea]]</f>
        <v>12833.33333333</v>
      </c>
      <c r="N1436" s="22" t="str">
        <f>+IF(Tabla2[[#This Row],[Variación Stock]]&gt;0,"Sobrante",IF(Tabla2[[#This Row],[Variación Stock]]&lt;0,"Faltante","Sin novedad"))</f>
        <v>Sobrante</v>
      </c>
    </row>
    <row r="1437" spans="1:14" x14ac:dyDescent="0.25">
      <c r="A1437" s="11">
        <v>46053</v>
      </c>
      <c r="B1437" s="5" t="s">
        <v>836</v>
      </c>
      <c r="C1437" s="3" t="s">
        <v>128</v>
      </c>
      <c r="D1437" s="5" t="s">
        <v>111</v>
      </c>
      <c r="E1437" s="5" t="s">
        <v>112</v>
      </c>
      <c r="F1437" s="6" t="s">
        <v>21</v>
      </c>
      <c r="G1437" s="4" t="s">
        <v>0</v>
      </c>
      <c r="H1437" s="25">
        <v>15769.5</v>
      </c>
      <c r="I1437" s="8">
        <v>29</v>
      </c>
      <c r="J1437" s="9">
        <v>31</v>
      </c>
      <c r="K1437" s="7">
        <v>2</v>
      </c>
      <c r="L1437" s="24">
        <f>+Tabla2[[#This Row],[Stock Inventario]]*Tabla2[[#This Row],[Coste LÃ­nea]]</f>
        <v>488854.5</v>
      </c>
      <c r="M1437" s="24">
        <f>+Tabla2[[#This Row],[Variación Stock]]*Tabla2[[#This Row],[Coste LÃ­nea]]</f>
        <v>31539</v>
      </c>
      <c r="N1437" s="22" t="str">
        <f>+IF(Tabla2[[#This Row],[Variación Stock]]&gt;0,"Sobrante",IF(Tabla2[[#This Row],[Variación Stock]]&lt;0,"Faltante","Sin novedad"))</f>
        <v>Sobrante</v>
      </c>
    </row>
    <row r="1438" spans="1:14" x14ac:dyDescent="0.25">
      <c r="A1438" s="11">
        <v>46053</v>
      </c>
      <c r="B1438" s="5" t="s">
        <v>836</v>
      </c>
      <c r="C1438" s="3" t="s">
        <v>128</v>
      </c>
      <c r="D1438" s="5" t="s">
        <v>111</v>
      </c>
      <c r="E1438" s="5" t="s">
        <v>112</v>
      </c>
      <c r="F1438" s="6" t="s">
        <v>22</v>
      </c>
      <c r="G1438" s="4" t="s">
        <v>0</v>
      </c>
      <c r="H1438" s="25">
        <v>11532.86363636</v>
      </c>
      <c r="I1438" s="8">
        <v>29</v>
      </c>
      <c r="J1438" s="9">
        <v>31</v>
      </c>
      <c r="K1438" s="7">
        <v>2</v>
      </c>
      <c r="L1438" s="24">
        <f>+Tabla2[[#This Row],[Stock Inventario]]*Tabla2[[#This Row],[Coste LÃ­nea]]</f>
        <v>357518.77272716002</v>
      </c>
      <c r="M1438" s="24">
        <f>+Tabla2[[#This Row],[Variación Stock]]*Tabla2[[#This Row],[Coste LÃ­nea]]</f>
        <v>23065.72727272</v>
      </c>
      <c r="N1438" s="22" t="str">
        <f>+IF(Tabla2[[#This Row],[Variación Stock]]&gt;0,"Sobrante",IF(Tabla2[[#This Row],[Variación Stock]]&lt;0,"Faltante","Sin novedad"))</f>
        <v>Sobrante</v>
      </c>
    </row>
    <row r="1439" spans="1:14" x14ac:dyDescent="0.25">
      <c r="A1439" s="11">
        <v>46053</v>
      </c>
      <c r="B1439" s="5" t="s">
        <v>836</v>
      </c>
      <c r="C1439" s="3" t="s">
        <v>128</v>
      </c>
      <c r="D1439" s="5" t="s">
        <v>111</v>
      </c>
      <c r="E1439" s="5" t="s">
        <v>112</v>
      </c>
      <c r="F1439" s="6" t="s">
        <v>364</v>
      </c>
      <c r="G1439" s="4" t="s">
        <v>0</v>
      </c>
      <c r="H1439" s="25">
        <v>10178.95454545</v>
      </c>
      <c r="I1439" s="8">
        <v>42</v>
      </c>
      <c r="J1439" s="9">
        <v>42</v>
      </c>
      <c r="K1439" s="7">
        <v>0</v>
      </c>
      <c r="L1439" s="24">
        <f>+Tabla2[[#This Row],[Stock Inventario]]*Tabla2[[#This Row],[Coste LÃ­nea]]</f>
        <v>427516.09090890002</v>
      </c>
      <c r="M1439" s="24">
        <f>+Tabla2[[#This Row],[Variación Stock]]*Tabla2[[#This Row],[Coste LÃ­nea]]</f>
        <v>0</v>
      </c>
      <c r="N1439" s="22" t="str">
        <f>+IF(Tabla2[[#This Row],[Variación Stock]]&gt;0,"Sobrante",IF(Tabla2[[#This Row],[Variación Stock]]&lt;0,"Faltante","Sin novedad"))</f>
        <v>Sin novedad</v>
      </c>
    </row>
    <row r="1440" spans="1:14" x14ac:dyDescent="0.25">
      <c r="A1440" s="11">
        <v>46053</v>
      </c>
      <c r="B1440" s="5" t="s">
        <v>836</v>
      </c>
      <c r="C1440" s="3" t="s">
        <v>128</v>
      </c>
      <c r="D1440" s="5" t="s">
        <v>111</v>
      </c>
      <c r="E1440" s="5" t="s">
        <v>112</v>
      </c>
      <c r="F1440" s="6" t="s">
        <v>365</v>
      </c>
      <c r="G1440" s="4" t="s">
        <v>0</v>
      </c>
      <c r="H1440" s="25">
        <v>12698.95454545</v>
      </c>
      <c r="I1440" s="8">
        <v>44</v>
      </c>
      <c r="J1440" s="9">
        <v>44</v>
      </c>
      <c r="K1440" s="7">
        <v>0</v>
      </c>
      <c r="L1440" s="24">
        <f>+Tabla2[[#This Row],[Stock Inventario]]*Tabla2[[#This Row],[Coste LÃ­nea]]</f>
        <v>558753.9999998</v>
      </c>
      <c r="M1440" s="24">
        <f>+Tabla2[[#This Row],[Variación Stock]]*Tabla2[[#This Row],[Coste LÃ­nea]]</f>
        <v>0</v>
      </c>
      <c r="N1440" s="22" t="str">
        <f>+IF(Tabla2[[#This Row],[Variación Stock]]&gt;0,"Sobrante",IF(Tabla2[[#This Row],[Variación Stock]]&lt;0,"Faltante","Sin novedad"))</f>
        <v>Sin novedad</v>
      </c>
    </row>
    <row r="1441" spans="1:14" hidden="1" x14ac:dyDescent="0.25">
      <c r="A1441" s="11">
        <v>46053</v>
      </c>
      <c r="B1441" s="5" t="s">
        <v>836</v>
      </c>
      <c r="C1441" s="3" t="s">
        <v>128</v>
      </c>
      <c r="D1441" s="5" t="s">
        <v>818</v>
      </c>
      <c r="E1441" s="5" t="s">
        <v>117</v>
      </c>
      <c r="F1441" s="6" t="s">
        <v>822</v>
      </c>
      <c r="G1441" s="4" t="s">
        <v>1</v>
      </c>
      <c r="H1441" s="25">
        <v>21.002127659999999</v>
      </c>
      <c r="I1441" s="8">
        <v>2250</v>
      </c>
      <c r="J1441" s="9">
        <v>2820</v>
      </c>
      <c r="K1441" s="7">
        <v>570</v>
      </c>
      <c r="L1441" s="24">
        <f>+Tabla2[[#This Row],[Stock Inventario]]*Tabla2[[#This Row],[Coste LÃ­nea]]</f>
        <v>59226.000001199995</v>
      </c>
      <c r="M1441" s="24">
        <f>+Tabla2[[#This Row],[Variación Stock]]*Tabla2[[#This Row],[Coste LÃ­nea]]</f>
        <v>11971.2127662</v>
      </c>
      <c r="N1441" s="22" t="str">
        <f>+IF(Tabla2[[#This Row],[Variación Stock]]&gt;0,"Sobrante",IF(Tabla2[[#This Row],[Variación Stock]]&lt;0,"Faltante","Sin novedad"))</f>
        <v>Sobrante</v>
      </c>
    </row>
    <row r="1442" spans="1:14" x14ac:dyDescent="0.25">
      <c r="A1442" s="11">
        <v>46053</v>
      </c>
      <c r="B1442" s="5" t="s">
        <v>836</v>
      </c>
      <c r="C1442" s="3" t="s">
        <v>128</v>
      </c>
      <c r="D1442" s="5" t="s">
        <v>114</v>
      </c>
      <c r="E1442" s="5" t="s">
        <v>112</v>
      </c>
      <c r="F1442" s="6" t="s">
        <v>68</v>
      </c>
      <c r="G1442" s="4" t="s">
        <v>2</v>
      </c>
      <c r="H1442" s="25">
        <v>4986.1393557499996</v>
      </c>
      <c r="I1442" s="8">
        <v>2</v>
      </c>
      <c r="J1442" s="9">
        <v>2</v>
      </c>
      <c r="K1442" s="7">
        <v>0</v>
      </c>
      <c r="L1442" s="24">
        <f>+Tabla2[[#This Row],[Stock Inventario]]*Tabla2[[#This Row],[Coste LÃ­nea]]</f>
        <v>9972.2787114999992</v>
      </c>
      <c r="M1442" s="24">
        <f>+Tabla2[[#This Row],[Variación Stock]]*Tabla2[[#This Row],[Coste LÃ­nea]]</f>
        <v>0</v>
      </c>
      <c r="N1442" s="22" t="str">
        <f>+IF(Tabla2[[#This Row],[Variación Stock]]&gt;0,"Sobrante",IF(Tabla2[[#This Row],[Variación Stock]]&lt;0,"Faltante","Sin novedad"))</f>
        <v>Sin novedad</v>
      </c>
    </row>
    <row r="1443" spans="1:14" hidden="1" x14ac:dyDescent="0.25">
      <c r="A1443" s="11">
        <v>46053</v>
      </c>
      <c r="B1443" s="5" t="s">
        <v>836</v>
      </c>
      <c r="C1443" s="3" t="s">
        <v>128</v>
      </c>
      <c r="D1443" s="5" t="s">
        <v>626</v>
      </c>
      <c r="E1443" s="5" t="s">
        <v>1079</v>
      </c>
      <c r="F1443" s="6" t="s">
        <v>644</v>
      </c>
      <c r="G1443" s="4" t="s">
        <v>2</v>
      </c>
      <c r="H1443" s="25">
        <v>3109</v>
      </c>
      <c r="I1443" s="8">
        <v>1</v>
      </c>
      <c r="J1443" s="9">
        <v>0</v>
      </c>
      <c r="K1443" s="7">
        <v>-1</v>
      </c>
      <c r="L1443" s="24">
        <f>+Tabla2[[#This Row],[Stock Inventario]]*Tabla2[[#This Row],[Coste LÃ­nea]]</f>
        <v>0</v>
      </c>
      <c r="M1443" s="24">
        <f>+Tabla2[[#This Row],[Variación Stock]]*Tabla2[[#This Row],[Coste LÃ­nea]]</f>
        <v>-3109</v>
      </c>
      <c r="N1443" s="22" t="str">
        <f>+IF(Tabla2[[#This Row],[Variación Stock]]&gt;0,"Sobrante",IF(Tabla2[[#This Row],[Variación Stock]]&lt;0,"Faltante","Sin novedad"))</f>
        <v>Faltante</v>
      </c>
    </row>
    <row r="1444" spans="1:14" hidden="1" x14ac:dyDescent="0.25">
      <c r="A1444" s="11">
        <v>46053</v>
      </c>
      <c r="B1444" s="5" t="s">
        <v>836</v>
      </c>
      <c r="C1444" s="3" t="s">
        <v>128</v>
      </c>
      <c r="D1444" s="5" t="s">
        <v>803</v>
      </c>
      <c r="E1444" s="5" t="s">
        <v>117</v>
      </c>
      <c r="F1444" s="6" t="s">
        <v>961</v>
      </c>
      <c r="G1444" s="4" t="s">
        <v>1</v>
      </c>
      <c r="H1444" s="25">
        <v>19.00038</v>
      </c>
      <c r="I1444" s="8">
        <v>648.99990000000003</v>
      </c>
      <c r="J1444" s="9">
        <v>450</v>
      </c>
      <c r="K1444" s="7">
        <v>-198.99987999999999</v>
      </c>
      <c r="L1444" s="24">
        <f>+Tabla2[[#This Row],[Stock Inventario]]*Tabla2[[#This Row],[Coste LÃ­nea]]</f>
        <v>8550.1710000000003</v>
      </c>
      <c r="M1444" s="24">
        <f>+Tabla2[[#This Row],[Variación Stock]]*Tabla2[[#This Row],[Coste LÃ­nea]]</f>
        <v>-3781.0733399543997</v>
      </c>
      <c r="N1444" s="22" t="str">
        <f>+IF(Tabla2[[#This Row],[Variación Stock]]&gt;0,"Sobrante",IF(Tabla2[[#This Row],[Variación Stock]]&lt;0,"Faltante","Sin novedad"))</f>
        <v>Faltante</v>
      </c>
    </row>
    <row r="1445" spans="1:14" hidden="1" x14ac:dyDescent="0.25">
      <c r="A1445" s="11">
        <v>46053</v>
      </c>
      <c r="B1445" s="5" t="s">
        <v>836</v>
      </c>
      <c r="C1445" s="3" t="s">
        <v>128</v>
      </c>
      <c r="D1445" s="5" t="s">
        <v>803</v>
      </c>
      <c r="E1445" s="5" t="s">
        <v>117</v>
      </c>
      <c r="F1445" s="6" t="s">
        <v>814</v>
      </c>
      <c r="G1445" s="4" t="s">
        <v>1</v>
      </c>
      <c r="H1445" s="25">
        <v>16.79964</v>
      </c>
      <c r="I1445" s="8">
        <v>-808.99940000000004</v>
      </c>
      <c r="J1445" s="9">
        <v>400</v>
      </c>
      <c r="K1445" s="7">
        <v>1208.999384</v>
      </c>
      <c r="L1445" s="24">
        <f>+Tabla2[[#This Row],[Stock Inventario]]*Tabla2[[#This Row],[Coste LÃ­nea]]</f>
        <v>6719.8559999999998</v>
      </c>
      <c r="M1445" s="24">
        <f>+Tabla2[[#This Row],[Variación Stock]]*Tabla2[[#This Row],[Coste LÃ­nea]]</f>
        <v>20310.75441142176</v>
      </c>
      <c r="N1445" s="22" t="str">
        <f>+IF(Tabla2[[#This Row],[Variación Stock]]&gt;0,"Sobrante",IF(Tabla2[[#This Row],[Variación Stock]]&lt;0,"Faltante","Sin novedad"))</f>
        <v>Sobrante</v>
      </c>
    </row>
    <row r="1446" spans="1:14" hidden="1" x14ac:dyDescent="0.25">
      <c r="A1446" s="11">
        <v>46053</v>
      </c>
      <c r="B1446" s="5" t="s">
        <v>836</v>
      </c>
      <c r="C1446" s="3" t="s">
        <v>128</v>
      </c>
      <c r="D1446" s="5" t="s">
        <v>626</v>
      </c>
      <c r="E1446" s="5" t="s">
        <v>1079</v>
      </c>
      <c r="F1446" s="6" t="s">
        <v>645</v>
      </c>
      <c r="G1446" s="4" t="s">
        <v>2</v>
      </c>
      <c r="H1446" s="25">
        <v>1886.2</v>
      </c>
      <c r="I1446" s="8">
        <v>89</v>
      </c>
      <c r="J1446" s="9">
        <v>60</v>
      </c>
      <c r="K1446" s="7">
        <v>-29</v>
      </c>
      <c r="L1446" s="24">
        <f>+Tabla2[[#This Row],[Stock Inventario]]*Tabla2[[#This Row],[Coste LÃ­nea]]</f>
        <v>113172</v>
      </c>
      <c r="M1446" s="24">
        <f>+Tabla2[[#This Row],[Variación Stock]]*Tabla2[[#This Row],[Coste LÃ­nea]]</f>
        <v>-54699.8</v>
      </c>
      <c r="N1446" s="22" t="str">
        <f>+IF(Tabla2[[#This Row],[Variación Stock]]&gt;0,"Sobrante",IF(Tabla2[[#This Row],[Variación Stock]]&lt;0,"Faltante","Sin novedad"))</f>
        <v>Faltante</v>
      </c>
    </row>
    <row r="1447" spans="1:14" x14ac:dyDescent="0.25">
      <c r="A1447" s="11">
        <v>46053</v>
      </c>
      <c r="B1447" s="5" t="s">
        <v>836</v>
      </c>
      <c r="C1447" s="3" t="s">
        <v>128</v>
      </c>
      <c r="D1447" s="5" t="s">
        <v>118</v>
      </c>
      <c r="E1447" s="5" t="s">
        <v>112</v>
      </c>
      <c r="F1447" s="6" t="s">
        <v>174</v>
      </c>
      <c r="G1447" s="4" t="s">
        <v>0</v>
      </c>
      <c r="H1447" s="25">
        <v>2903.3333333300002</v>
      </c>
      <c r="I1447" s="8">
        <v>171</v>
      </c>
      <c r="J1447" s="9">
        <v>146</v>
      </c>
      <c r="K1447" s="7">
        <v>-25</v>
      </c>
      <c r="L1447" s="24">
        <f>+Tabla2[[#This Row],[Stock Inventario]]*Tabla2[[#This Row],[Coste LÃ­nea]]</f>
        <v>423886.66666618001</v>
      </c>
      <c r="M1447" s="24">
        <f>+Tabla2[[#This Row],[Variación Stock]]*Tabla2[[#This Row],[Coste LÃ­nea]]</f>
        <v>-72583.333333250004</v>
      </c>
      <c r="N1447" s="22" t="str">
        <f>+IF(Tabla2[[#This Row],[Variación Stock]]&gt;0,"Sobrante",IF(Tabla2[[#This Row],[Variación Stock]]&lt;0,"Faltante","Sin novedad"))</f>
        <v>Faltante</v>
      </c>
    </row>
    <row r="1448" spans="1:14" hidden="1" x14ac:dyDescent="0.25">
      <c r="A1448" s="11">
        <v>46053</v>
      </c>
      <c r="B1448" s="5" t="s">
        <v>836</v>
      </c>
      <c r="C1448" s="3" t="s">
        <v>128</v>
      </c>
      <c r="D1448" s="5" t="s">
        <v>626</v>
      </c>
      <c r="E1448" s="5" t="s">
        <v>1079</v>
      </c>
      <c r="F1448" s="6" t="s">
        <v>891</v>
      </c>
      <c r="G1448" s="4" t="s">
        <v>2</v>
      </c>
      <c r="H1448" s="25">
        <v>1590.9</v>
      </c>
      <c r="I1448" s="8">
        <v>21</v>
      </c>
      <c r="J1448" s="9">
        <v>20</v>
      </c>
      <c r="K1448" s="7">
        <v>-1</v>
      </c>
      <c r="L1448" s="24">
        <f>+Tabla2[[#This Row],[Stock Inventario]]*Tabla2[[#This Row],[Coste LÃ­nea]]</f>
        <v>31818</v>
      </c>
      <c r="M1448" s="24">
        <f>+Tabla2[[#This Row],[Variación Stock]]*Tabla2[[#This Row],[Coste LÃ­nea]]</f>
        <v>-1590.9</v>
      </c>
      <c r="N1448" s="22" t="str">
        <f>+IF(Tabla2[[#This Row],[Variación Stock]]&gt;0,"Sobrante",IF(Tabla2[[#This Row],[Variación Stock]]&lt;0,"Faltante","Sin novedad"))</f>
        <v>Faltante</v>
      </c>
    </row>
    <row r="1449" spans="1:14" hidden="1" x14ac:dyDescent="0.25">
      <c r="A1449" s="11">
        <v>46053</v>
      </c>
      <c r="B1449" s="5" t="s">
        <v>836</v>
      </c>
      <c r="C1449" s="3" t="s">
        <v>128</v>
      </c>
      <c r="D1449" s="5" t="s">
        <v>827</v>
      </c>
      <c r="E1449" s="5" t="s">
        <v>117</v>
      </c>
      <c r="F1449" s="6" t="s">
        <v>828</v>
      </c>
      <c r="G1449" s="4" t="s">
        <v>1</v>
      </c>
      <c r="H1449" s="25">
        <v>15.153499999999999</v>
      </c>
      <c r="I1449" s="8">
        <v>2000</v>
      </c>
      <c r="J1449" s="9">
        <v>3500</v>
      </c>
      <c r="K1449" s="7">
        <v>1500</v>
      </c>
      <c r="L1449" s="24">
        <f>+Tabla2[[#This Row],[Stock Inventario]]*Tabla2[[#This Row],[Coste LÃ­nea]]</f>
        <v>53037.25</v>
      </c>
      <c r="M1449" s="24">
        <f>+Tabla2[[#This Row],[Variación Stock]]*Tabla2[[#This Row],[Coste LÃ­nea]]</f>
        <v>22730.25</v>
      </c>
      <c r="N1449" s="22" t="str">
        <f>+IF(Tabla2[[#This Row],[Variación Stock]]&gt;0,"Sobrante",IF(Tabla2[[#This Row],[Variación Stock]]&lt;0,"Faltante","Sin novedad"))</f>
        <v>Sobrante</v>
      </c>
    </row>
    <row r="1450" spans="1:14" hidden="1" x14ac:dyDescent="0.25">
      <c r="A1450" s="11">
        <v>46053</v>
      </c>
      <c r="B1450" s="5" t="s">
        <v>836</v>
      </c>
      <c r="C1450" s="3" t="s">
        <v>128</v>
      </c>
      <c r="D1450" s="5" t="s">
        <v>116</v>
      </c>
      <c r="E1450" s="5" t="s">
        <v>117</v>
      </c>
      <c r="F1450" s="6" t="s">
        <v>4</v>
      </c>
      <c r="G1450" s="4" t="s">
        <v>2</v>
      </c>
      <c r="H1450" s="25">
        <v>2700</v>
      </c>
      <c r="I1450" s="8">
        <v>42</v>
      </c>
      <c r="J1450" s="9">
        <v>33</v>
      </c>
      <c r="K1450" s="7">
        <v>-9</v>
      </c>
      <c r="L1450" s="24">
        <f>+Tabla2[[#This Row],[Stock Inventario]]*Tabla2[[#This Row],[Coste LÃ­nea]]</f>
        <v>89100</v>
      </c>
      <c r="M1450" s="24">
        <f>+Tabla2[[#This Row],[Variación Stock]]*Tabla2[[#This Row],[Coste LÃ­nea]]</f>
        <v>-24300</v>
      </c>
      <c r="N1450" s="22" t="str">
        <f>+IF(Tabla2[[#This Row],[Variación Stock]]&gt;0,"Sobrante",IF(Tabla2[[#This Row],[Variación Stock]]&lt;0,"Faltante","Sin novedad"))</f>
        <v>Faltante</v>
      </c>
    </row>
    <row r="1451" spans="1:14" hidden="1" x14ac:dyDescent="0.25">
      <c r="A1451" s="11">
        <v>46053</v>
      </c>
      <c r="B1451" s="5" t="s">
        <v>836</v>
      </c>
      <c r="C1451" s="3" t="s">
        <v>128</v>
      </c>
      <c r="D1451" s="5" t="s">
        <v>119</v>
      </c>
      <c r="E1451" s="5" t="s">
        <v>117</v>
      </c>
      <c r="F1451" s="6" t="s">
        <v>196</v>
      </c>
      <c r="G1451" s="4" t="s">
        <v>2</v>
      </c>
      <c r="H1451" s="25">
        <v>12500</v>
      </c>
      <c r="I1451" s="8">
        <v>61</v>
      </c>
      <c r="J1451" s="9">
        <v>60</v>
      </c>
      <c r="K1451" s="7">
        <v>-1</v>
      </c>
      <c r="L1451" s="24">
        <f>+Tabla2[[#This Row],[Stock Inventario]]*Tabla2[[#This Row],[Coste LÃ­nea]]</f>
        <v>750000</v>
      </c>
      <c r="M1451" s="24">
        <f>+Tabla2[[#This Row],[Variación Stock]]*Tabla2[[#This Row],[Coste LÃ­nea]]</f>
        <v>-12500</v>
      </c>
      <c r="N1451" s="22" t="str">
        <f>+IF(Tabla2[[#This Row],[Variación Stock]]&gt;0,"Sobrante",IF(Tabla2[[#This Row],[Variación Stock]]&lt;0,"Faltante","Sin novedad"))</f>
        <v>Faltante</v>
      </c>
    </row>
    <row r="1452" spans="1:14" hidden="1" x14ac:dyDescent="0.25">
      <c r="A1452" s="11">
        <v>46053</v>
      </c>
      <c r="B1452" s="5" t="s">
        <v>836</v>
      </c>
      <c r="C1452" s="3" t="s">
        <v>128</v>
      </c>
      <c r="D1452" s="5" t="s">
        <v>119</v>
      </c>
      <c r="E1452" s="5" t="s">
        <v>117</v>
      </c>
      <c r="F1452" s="6" t="s">
        <v>191</v>
      </c>
      <c r="G1452" s="4" t="s">
        <v>2</v>
      </c>
      <c r="H1452" s="25">
        <v>10877.77777778</v>
      </c>
      <c r="I1452" s="8">
        <v>110</v>
      </c>
      <c r="J1452" s="9">
        <v>110</v>
      </c>
      <c r="K1452" s="7">
        <v>0</v>
      </c>
      <c r="L1452" s="24">
        <f>+Tabla2[[#This Row],[Stock Inventario]]*Tabla2[[#This Row],[Coste LÃ­nea]]</f>
        <v>1196555.5555558</v>
      </c>
      <c r="M1452" s="24">
        <f>+Tabla2[[#This Row],[Variación Stock]]*Tabla2[[#This Row],[Coste LÃ­nea]]</f>
        <v>0</v>
      </c>
      <c r="N1452" s="22" t="str">
        <f>+IF(Tabla2[[#This Row],[Variación Stock]]&gt;0,"Sobrante",IF(Tabla2[[#This Row],[Variación Stock]]&lt;0,"Faltante","Sin novedad"))</f>
        <v>Sin novedad</v>
      </c>
    </row>
    <row r="1453" spans="1:14" hidden="1" x14ac:dyDescent="0.25">
      <c r="A1453" s="11">
        <v>46053</v>
      </c>
      <c r="B1453" s="5" t="s">
        <v>836</v>
      </c>
      <c r="C1453" s="3" t="s">
        <v>128</v>
      </c>
      <c r="D1453" s="5" t="s">
        <v>119</v>
      </c>
      <c r="E1453" s="5" t="s">
        <v>117</v>
      </c>
      <c r="F1453" s="6" t="s">
        <v>95</v>
      </c>
      <c r="G1453" s="4" t="s">
        <v>1</v>
      </c>
      <c r="H1453" s="25">
        <v>39</v>
      </c>
      <c r="I1453" s="8">
        <v>22996.666300000001</v>
      </c>
      <c r="J1453" s="9">
        <v>20958</v>
      </c>
      <c r="K1453" s="7">
        <v>-2038.666305</v>
      </c>
      <c r="L1453" s="24">
        <f>+Tabla2[[#This Row],[Stock Inventario]]*Tabla2[[#This Row],[Coste LÃ­nea]]</f>
        <v>817362</v>
      </c>
      <c r="M1453" s="24">
        <f>+Tabla2[[#This Row],[Variación Stock]]*Tabla2[[#This Row],[Coste LÃ­nea]]</f>
        <v>-79507.985895000005</v>
      </c>
      <c r="N1453" s="22" t="str">
        <f>+IF(Tabla2[[#This Row],[Variación Stock]]&gt;0,"Sobrante",IF(Tabla2[[#This Row],[Variación Stock]]&lt;0,"Faltante","Sin novedad"))</f>
        <v>Faltante</v>
      </c>
    </row>
    <row r="1454" spans="1:14" x14ac:dyDescent="0.25">
      <c r="A1454" s="11">
        <v>46053</v>
      </c>
      <c r="B1454" s="5" t="s">
        <v>836</v>
      </c>
      <c r="C1454" s="3" t="s">
        <v>128</v>
      </c>
      <c r="D1454" s="5" t="s">
        <v>118</v>
      </c>
      <c r="E1454" s="5" t="s">
        <v>112</v>
      </c>
      <c r="F1454" s="6" t="s">
        <v>175</v>
      </c>
      <c r="G1454" s="4" t="s">
        <v>2</v>
      </c>
      <c r="H1454" s="25">
        <v>75606</v>
      </c>
      <c r="I1454" s="8">
        <v>2</v>
      </c>
      <c r="J1454" s="9">
        <v>2</v>
      </c>
      <c r="K1454" s="7">
        <v>0</v>
      </c>
      <c r="L1454" s="24">
        <f>+Tabla2[[#This Row],[Stock Inventario]]*Tabla2[[#This Row],[Coste LÃ­nea]]</f>
        <v>151212</v>
      </c>
      <c r="M1454" s="24">
        <f>+Tabla2[[#This Row],[Variación Stock]]*Tabla2[[#This Row],[Coste LÃ­nea]]</f>
        <v>0</v>
      </c>
      <c r="N1454" s="22" t="str">
        <f>+IF(Tabla2[[#This Row],[Variación Stock]]&gt;0,"Sobrante",IF(Tabla2[[#This Row],[Variación Stock]]&lt;0,"Faltante","Sin novedad"))</f>
        <v>Sin novedad</v>
      </c>
    </row>
    <row r="1455" spans="1:14" x14ac:dyDescent="0.25">
      <c r="A1455" s="11">
        <v>46053</v>
      </c>
      <c r="B1455" s="5" t="s">
        <v>836</v>
      </c>
      <c r="C1455" s="3" t="s">
        <v>128</v>
      </c>
      <c r="D1455" s="5" t="s">
        <v>118</v>
      </c>
      <c r="E1455" s="5" t="s">
        <v>112</v>
      </c>
      <c r="F1455" s="6" t="s">
        <v>80</v>
      </c>
      <c r="G1455" s="4" t="s">
        <v>2</v>
      </c>
      <c r="H1455" s="25">
        <v>95860</v>
      </c>
      <c r="I1455" s="8">
        <v>2</v>
      </c>
      <c r="J1455" s="9">
        <v>2</v>
      </c>
      <c r="K1455" s="7">
        <v>0</v>
      </c>
      <c r="L1455" s="24">
        <f>+Tabla2[[#This Row],[Stock Inventario]]*Tabla2[[#This Row],[Coste LÃ­nea]]</f>
        <v>191720</v>
      </c>
      <c r="M1455" s="24">
        <f>+Tabla2[[#This Row],[Variación Stock]]*Tabla2[[#This Row],[Coste LÃ­nea]]</f>
        <v>0</v>
      </c>
      <c r="N1455" s="22" t="str">
        <f>+IF(Tabla2[[#This Row],[Variación Stock]]&gt;0,"Sobrante",IF(Tabla2[[#This Row],[Variación Stock]]&lt;0,"Faltante","Sin novedad"))</f>
        <v>Sin novedad</v>
      </c>
    </row>
    <row r="1456" spans="1:14" hidden="1" x14ac:dyDescent="0.25">
      <c r="A1456" s="11">
        <v>46053</v>
      </c>
      <c r="B1456" s="5" t="s">
        <v>836</v>
      </c>
      <c r="C1456" s="3" t="s">
        <v>128</v>
      </c>
      <c r="D1456" s="5" t="s">
        <v>471</v>
      </c>
      <c r="E1456" s="5" t="s">
        <v>117</v>
      </c>
      <c r="F1456" s="6" t="s">
        <v>501</v>
      </c>
      <c r="G1456" s="4" t="s">
        <v>1</v>
      </c>
      <c r="H1456" s="25">
        <v>70</v>
      </c>
      <c r="I1456" s="8">
        <v>-170</v>
      </c>
      <c r="J1456" s="9">
        <v>0</v>
      </c>
      <c r="K1456" s="7">
        <v>170</v>
      </c>
      <c r="L1456" s="24">
        <f>+Tabla2[[#This Row],[Stock Inventario]]*Tabla2[[#This Row],[Coste LÃ­nea]]</f>
        <v>0</v>
      </c>
      <c r="M1456" s="24">
        <f>+Tabla2[[#This Row],[Variación Stock]]*Tabla2[[#This Row],[Coste LÃ­nea]]</f>
        <v>11900</v>
      </c>
      <c r="N1456" s="22" t="str">
        <f>+IF(Tabla2[[#This Row],[Variación Stock]]&gt;0,"Sobrante",IF(Tabla2[[#This Row],[Variación Stock]]&lt;0,"Faltante","Sin novedad"))</f>
        <v>Sobrante</v>
      </c>
    </row>
    <row r="1457" spans="1:14" hidden="1" x14ac:dyDescent="0.25">
      <c r="A1457" s="11">
        <v>46053</v>
      </c>
      <c r="B1457" s="5" t="s">
        <v>836</v>
      </c>
      <c r="C1457" s="3" t="s">
        <v>128</v>
      </c>
      <c r="D1457" s="5" t="s">
        <v>471</v>
      </c>
      <c r="E1457" s="5" t="s">
        <v>117</v>
      </c>
      <c r="F1457" s="6" t="s">
        <v>541</v>
      </c>
      <c r="G1457" s="4" t="s">
        <v>1</v>
      </c>
      <c r="H1457" s="25">
        <v>511</v>
      </c>
      <c r="I1457" s="8">
        <v>-520</v>
      </c>
      <c r="J1457" s="9">
        <v>870</v>
      </c>
      <c r="K1457" s="7">
        <v>1390</v>
      </c>
      <c r="L1457" s="24">
        <f>+Tabla2[[#This Row],[Stock Inventario]]*Tabla2[[#This Row],[Coste LÃ­nea]]</f>
        <v>444570</v>
      </c>
      <c r="M1457" s="24">
        <f>+Tabla2[[#This Row],[Variación Stock]]*Tabla2[[#This Row],[Coste LÃ­nea]]</f>
        <v>710290</v>
      </c>
      <c r="N1457" s="22" t="str">
        <f>+IF(Tabla2[[#This Row],[Variación Stock]]&gt;0,"Sobrante",IF(Tabla2[[#This Row],[Variación Stock]]&lt;0,"Faltante","Sin novedad"))</f>
        <v>Sobrante</v>
      </c>
    </row>
    <row r="1458" spans="1:14" x14ac:dyDescent="0.25">
      <c r="A1458" s="11">
        <v>46053</v>
      </c>
      <c r="B1458" s="5" t="s">
        <v>836</v>
      </c>
      <c r="C1458" s="3" t="s">
        <v>128</v>
      </c>
      <c r="D1458" s="5" t="s">
        <v>603</v>
      </c>
      <c r="E1458" s="5" t="s">
        <v>112</v>
      </c>
      <c r="F1458" s="6" t="s">
        <v>617</v>
      </c>
      <c r="G1458" s="4" t="s">
        <v>1</v>
      </c>
      <c r="H1458" s="25">
        <v>13</v>
      </c>
      <c r="I1458" s="8">
        <v>3621.1259</v>
      </c>
      <c r="J1458" s="9">
        <v>758</v>
      </c>
      <c r="K1458" s="7">
        <v>-2863.1258699999998</v>
      </c>
      <c r="L1458" s="24">
        <f>+Tabla2[[#This Row],[Stock Inventario]]*Tabla2[[#This Row],[Coste LÃ­nea]]</f>
        <v>9854</v>
      </c>
      <c r="M1458" s="24">
        <f>+Tabla2[[#This Row],[Variación Stock]]*Tabla2[[#This Row],[Coste LÃ­nea]]</f>
        <v>-37220.636310000002</v>
      </c>
      <c r="N1458" s="22" t="str">
        <f>+IF(Tabla2[[#This Row],[Variación Stock]]&gt;0,"Sobrante",IF(Tabla2[[#This Row],[Variación Stock]]&lt;0,"Faltante","Sin novedad"))</f>
        <v>Faltante</v>
      </c>
    </row>
    <row r="1459" spans="1:14" hidden="1" x14ac:dyDescent="0.25">
      <c r="A1459" s="11">
        <v>46053</v>
      </c>
      <c r="B1459" s="5" t="s">
        <v>836</v>
      </c>
      <c r="C1459" s="3" t="s">
        <v>128</v>
      </c>
      <c r="D1459" s="5" t="s">
        <v>471</v>
      </c>
      <c r="E1459" s="5" t="s">
        <v>117</v>
      </c>
      <c r="F1459" s="6" t="s">
        <v>502</v>
      </c>
      <c r="G1459" s="4" t="s">
        <v>1</v>
      </c>
      <c r="H1459" s="25">
        <v>13</v>
      </c>
      <c r="I1459" s="8">
        <v>15021.1114</v>
      </c>
      <c r="J1459" s="9">
        <v>450</v>
      </c>
      <c r="K1459" s="7">
        <v>-14571.111386</v>
      </c>
      <c r="L1459" s="24">
        <f>+Tabla2[[#This Row],[Stock Inventario]]*Tabla2[[#This Row],[Coste LÃ­nea]]</f>
        <v>5850</v>
      </c>
      <c r="M1459" s="24">
        <f>+Tabla2[[#This Row],[Variación Stock]]*Tabla2[[#This Row],[Coste LÃ­nea]]</f>
        <v>-189424.448018</v>
      </c>
      <c r="N1459" s="22" t="str">
        <f>+IF(Tabla2[[#This Row],[Variación Stock]]&gt;0,"Sobrante",IF(Tabla2[[#This Row],[Variación Stock]]&lt;0,"Faltante","Sin novedad"))</f>
        <v>Faltante</v>
      </c>
    </row>
    <row r="1460" spans="1:14" x14ac:dyDescent="0.25">
      <c r="A1460" s="11">
        <v>46053</v>
      </c>
      <c r="B1460" s="5" t="s">
        <v>836</v>
      </c>
      <c r="C1460" s="3" t="s">
        <v>128</v>
      </c>
      <c r="D1460" s="5" t="s">
        <v>603</v>
      </c>
      <c r="E1460" s="5" t="s">
        <v>112</v>
      </c>
      <c r="F1460" s="6" t="s">
        <v>610</v>
      </c>
      <c r="G1460" s="4" t="s">
        <v>1</v>
      </c>
      <c r="H1460" s="25">
        <v>3.96</v>
      </c>
      <c r="I1460" s="8">
        <v>-4100</v>
      </c>
      <c r="J1460" s="9">
        <v>0</v>
      </c>
      <c r="K1460" s="7">
        <v>4100</v>
      </c>
      <c r="L1460" s="24">
        <f>+Tabla2[[#This Row],[Stock Inventario]]*Tabla2[[#This Row],[Coste LÃ­nea]]</f>
        <v>0</v>
      </c>
      <c r="M1460" s="24">
        <f>+Tabla2[[#This Row],[Variación Stock]]*Tabla2[[#This Row],[Coste LÃ­nea]]</f>
        <v>16236</v>
      </c>
      <c r="N1460" s="22" t="str">
        <f>+IF(Tabla2[[#This Row],[Variación Stock]]&gt;0,"Sobrante",IF(Tabla2[[#This Row],[Variación Stock]]&lt;0,"Faltante","Sin novedad"))</f>
        <v>Sobrante</v>
      </c>
    </row>
    <row r="1461" spans="1:14" hidden="1" x14ac:dyDescent="0.25">
      <c r="A1461" s="11">
        <v>46053</v>
      </c>
      <c r="B1461" s="5" t="s">
        <v>836</v>
      </c>
      <c r="C1461" s="3" t="s">
        <v>128</v>
      </c>
      <c r="D1461" s="5" t="s">
        <v>396</v>
      </c>
      <c r="E1461" s="5" t="s">
        <v>117</v>
      </c>
      <c r="F1461" s="6" t="s">
        <v>853</v>
      </c>
      <c r="G1461" s="4" t="s">
        <v>1</v>
      </c>
      <c r="H1461" s="25">
        <v>47.6</v>
      </c>
      <c r="I1461" s="8">
        <v>672.99850000000004</v>
      </c>
      <c r="J1461" s="9">
        <v>358</v>
      </c>
      <c r="K1461" s="7">
        <v>-314.99853999999999</v>
      </c>
      <c r="L1461" s="24">
        <f>+Tabla2[[#This Row],[Stock Inventario]]*Tabla2[[#This Row],[Coste LÃ­nea]]</f>
        <v>17040.8</v>
      </c>
      <c r="M1461" s="24">
        <f>+Tabla2[[#This Row],[Variación Stock]]*Tabla2[[#This Row],[Coste LÃ­nea]]</f>
        <v>-14993.930504</v>
      </c>
      <c r="N1461" s="22" t="str">
        <f>+IF(Tabla2[[#This Row],[Variación Stock]]&gt;0,"Sobrante",IF(Tabla2[[#This Row],[Variación Stock]]&lt;0,"Faltante","Sin novedad"))</f>
        <v>Faltante</v>
      </c>
    </row>
    <row r="1462" spans="1:14" x14ac:dyDescent="0.25">
      <c r="A1462" s="11">
        <v>46053</v>
      </c>
      <c r="B1462" s="5" t="s">
        <v>836</v>
      </c>
      <c r="C1462" s="3" t="s">
        <v>128</v>
      </c>
      <c r="D1462" s="5" t="s">
        <v>111</v>
      </c>
      <c r="E1462" s="5" t="s">
        <v>112</v>
      </c>
      <c r="F1462" s="6" t="s">
        <v>51</v>
      </c>
      <c r="G1462" s="4" t="s">
        <v>0</v>
      </c>
      <c r="H1462" s="25">
        <v>9738.2016806699994</v>
      </c>
      <c r="I1462" s="8">
        <v>35</v>
      </c>
      <c r="J1462" s="9">
        <v>35</v>
      </c>
      <c r="K1462" s="7">
        <v>0</v>
      </c>
      <c r="L1462" s="24">
        <f>+Tabla2[[#This Row],[Stock Inventario]]*Tabla2[[#This Row],[Coste LÃ­nea]]</f>
        <v>340837.05882345</v>
      </c>
      <c r="M1462" s="24">
        <f>+Tabla2[[#This Row],[Variación Stock]]*Tabla2[[#This Row],[Coste LÃ­nea]]</f>
        <v>0</v>
      </c>
      <c r="N1462" s="22" t="str">
        <f>+IF(Tabla2[[#This Row],[Variación Stock]]&gt;0,"Sobrante",IF(Tabla2[[#This Row],[Variación Stock]]&lt;0,"Faltante","Sin novedad"))</f>
        <v>Sin novedad</v>
      </c>
    </row>
    <row r="1463" spans="1:14" x14ac:dyDescent="0.25">
      <c r="A1463" s="11">
        <v>46053</v>
      </c>
      <c r="B1463" s="5" t="s">
        <v>836</v>
      </c>
      <c r="C1463" s="3" t="s">
        <v>128</v>
      </c>
      <c r="D1463" s="5" t="s">
        <v>111</v>
      </c>
      <c r="E1463" s="5" t="s">
        <v>112</v>
      </c>
      <c r="F1463" s="6" t="s">
        <v>23</v>
      </c>
      <c r="G1463" s="4" t="s">
        <v>0</v>
      </c>
      <c r="H1463" s="25">
        <v>4724.9090909099996</v>
      </c>
      <c r="I1463" s="8">
        <v>60.18</v>
      </c>
      <c r="J1463" s="9">
        <v>54</v>
      </c>
      <c r="K1463" s="7">
        <v>-6.18</v>
      </c>
      <c r="L1463" s="24">
        <f>+Tabla2[[#This Row],[Stock Inventario]]*Tabla2[[#This Row],[Coste LÃ­nea]]</f>
        <v>255145.09090913998</v>
      </c>
      <c r="M1463" s="24">
        <f>+Tabla2[[#This Row],[Variación Stock]]*Tabla2[[#This Row],[Coste LÃ­nea]]</f>
        <v>-29199.938181823796</v>
      </c>
      <c r="N1463" s="22" t="str">
        <f>+IF(Tabla2[[#This Row],[Variación Stock]]&gt;0,"Sobrante",IF(Tabla2[[#This Row],[Variación Stock]]&lt;0,"Faltante","Sin novedad"))</f>
        <v>Faltante</v>
      </c>
    </row>
    <row r="1464" spans="1:14" x14ac:dyDescent="0.25">
      <c r="A1464" s="11">
        <v>46053</v>
      </c>
      <c r="B1464" s="5" t="s">
        <v>836</v>
      </c>
      <c r="C1464" s="3" t="s">
        <v>128</v>
      </c>
      <c r="D1464" s="5" t="s">
        <v>111</v>
      </c>
      <c r="E1464" s="5" t="s">
        <v>112</v>
      </c>
      <c r="F1464" s="6" t="s">
        <v>52</v>
      </c>
      <c r="G1464" s="4" t="s">
        <v>0</v>
      </c>
      <c r="H1464" s="25">
        <v>6800.3640183199996</v>
      </c>
      <c r="I1464" s="8">
        <v>37.020000000000003</v>
      </c>
      <c r="J1464" s="9">
        <v>38</v>
      </c>
      <c r="K1464" s="7">
        <v>0.98</v>
      </c>
      <c r="L1464" s="24">
        <f>+Tabla2[[#This Row],[Stock Inventario]]*Tabla2[[#This Row],[Coste LÃ­nea]]</f>
        <v>258413.83269615998</v>
      </c>
      <c r="M1464" s="24">
        <f>+Tabla2[[#This Row],[Variación Stock]]*Tabla2[[#This Row],[Coste LÃ­nea]]</f>
        <v>6664.3567379535998</v>
      </c>
      <c r="N1464" s="22" t="str">
        <f>+IF(Tabla2[[#This Row],[Variación Stock]]&gt;0,"Sobrante",IF(Tabla2[[#This Row],[Variación Stock]]&lt;0,"Faltante","Sin novedad"))</f>
        <v>Sobrante</v>
      </c>
    </row>
    <row r="1465" spans="1:14" x14ac:dyDescent="0.25">
      <c r="A1465" s="11">
        <v>46053</v>
      </c>
      <c r="B1465" s="5" t="s">
        <v>836</v>
      </c>
      <c r="C1465" s="3" t="s">
        <v>128</v>
      </c>
      <c r="D1465" s="5" t="s">
        <v>114</v>
      </c>
      <c r="E1465" s="5" t="s">
        <v>112</v>
      </c>
      <c r="F1465" s="6" t="s">
        <v>69</v>
      </c>
      <c r="G1465" s="4" t="s">
        <v>2</v>
      </c>
      <c r="H1465" s="25">
        <v>5133.6666666700003</v>
      </c>
      <c r="I1465" s="8">
        <v>28.84</v>
      </c>
      <c r="J1465" s="9">
        <v>42</v>
      </c>
      <c r="K1465" s="7">
        <v>13.16</v>
      </c>
      <c r="L1465" s="24">
        <f>+Tabla2[[#This Row],[Stock Inventario]]*Tabla2[[#This Row],[Coste LÃ­nea]]</f>
        <v>215614.00000014002</v>
      </c>
      <c r="M1465" s="24">
        <f>+Tabla2[[#This Row],[Variación Stock]]*Tabla2[[#This Row],[Coste LÃ­nea]]</f>
        <v>67559.053333377204</v>
      </c>
      <c r="N1465" s="22" t="str">
        <f>+IF(Tabla2[[#This Row],[Variación Stock]]&gt;0,"Sobrante",IF(Tabla2[[#This Row],[Variación Stock]]&lt;0,"Faltante","Sin novedad"))</f>
        <v>Sobrante</v>
      </c>
    </row>
    <row r="1466" spans="1:14" x14ac:dyDescent="0.25">
      <c r="A1466" s="11">
        <v>46053</v>
      </c>
      <c r="B1466" s="5" t="s">
        <v>836</v>
      </c>
      <c r="C1466" s="3" t="s">
        <v>128</v>
      </c>
      <c r="D1466" s="5" t="s">
        <v>111</v>
      </c>
      <c r="E1466" s="5" t="s">
        <v>112</v>
      </c>
      <c r="F1466" s="6" t="s">
        <v>132</v>
      </c>
      <c r="G1466" s="4" t="s">
        <v>0</v>
      </c>
      <c r="H1466" s="25">
        <f>220000/24</f>
        <v>9166.6666666666661</v>
      </c>
      <c r="I1466" s="8">
        <v>64</v>
      </c>
      <c r="J1466" s="9">
        <v>64</v>
      </c>
      <c r="K1466" s="7">
        <v>0</v>
      </c>
      <c r="L1466" s="24">
        <f>+Tabla2[[#This Row],[Stock Inventario]]*Tabla2[[#This Row],[Coste LÃ­nea]]</f>
        <v>586666.66666666663</v>
      </c>
      <c r="M1466" s="24">
        <f>+Tabla2[[#This Row],[Variación Stock]]*Tabla2[[#This Row],[Coste LÃ­nea]]</f>
        <v>0</v>
      </c>
      <c r="N1466" s="22" t="str">
        <f>+IF(Tabla2[[#This Row],[Variación Stock]]&gt;0,"Sobrante",IF(Tabla2[[#This Row],[Variación Stock]]&lt;0,"Faltante","Sin novedad"))</f>
        <v>Sin novedad</v>
      </c>
    </row>
    <row r="1467" spans="1:14" x14ac:dyDescent="0.25">
      <c r="A1467" s="11">
        <v>46053</v>
      </c>
      <c r="B1467" s="5" t="s">
        <v>836</v>
      </c>
      <c r="C1467" s="3" t="s">
        <v>128</v>
      </c>
      <c r="D1467" s="5" t="s">
        <v>111</v>
      </c>
      <c r="E1467" s="5" t="s">
        <v>112</v>
      </c>
      <c r="F1467" s="6" t="s">
        <v>1081</v>
      </c>
      <c r="G1467" s="4" t="s">
        <v>0</v>
      </c>
      <c r="H1467" s="25">
        <f>220000/24</f>
        <v>9166.6666666666661</v>
      </c>
      <c r="I1467" s="8">
        <v>44</v>
      </c>
      <c r="J1467" s="9">
        <v>44</v>
      </c>
      <c r="K1467" s="7">
        <v>0</v>
      </c>
      <c r="L1467" s="24">
        <f>+Tabla2[[#This Row],[Stock Inventario]]*Tabla2[[#This Row],[Coste LÃ­nea]]</f>
        <v>403333.33333333331</v>
      </c>
      <c r="M1467" s="24">
        <f>+Tabla2[[#This Row],[Variación Stock]]*Tabla2[[#This Row],[Coste LÃ­nea]]</f>
        <v>0</v>
      </c>
      <c r="N1467" s="22" t="str">
        <f>+IF(Tabla2[[#This Row],[Variación Stock]]&gt;0,"Sobrante",IF(Tabla2[[#This Row],[Variación Stock]]&lt;0,"Faltante","Sin novedad"))</f>
        <v>Sin novedad</v>
      </c>
    </row>
    <row r="1468" spans="1:14" x14ac:dyDescent="0.25">
      <c r="A1468" s="11">
        <v>46053</v>
      </c>
      <c r="B1468" s="5" t="s">
        <v>836</v>
      </c>
      <c r="C1468" s="3" t="s">
        <v>128</v>
      </c>
      <c r="D1468" s="5" t="s">
        <v>111</v>
      </c>
      <c r="E1468" s="5" t="s">
        <v>112</v>
      </c>
      <c r="F1468" s="6" t="s">
        <v>360</v>
      </c>
      <c r="G1468" s="4" t="s">
        <v>0</v>
      </c>
      <c r="H1468" s="25">
        <f>220000/24</f>
        <v>9166.6666666666661</v>
      </c>
      <c r="I1468" s="8">
        <v>44</v>
      </c>
      <c r="J1468" s="9">
        <v>44</v>
      </c>
      <c r="K1468" s="7">
        <v>0</v>
      </c>
      <c r="L1468" s="24">
        <f>+Tabla2[[#This Row],[Stock Inventario]]*Tabla2[[#This Row],[Coste LÃ­nea]]</f>
        <v>403333.33333333331</v>
      </c>
      <c r="M1468" s="24">
        <f>+Tabla2[[#This Row],[Variación Stock]]*Tabla2[[#This Row],[Coste LÃ­nea]]</f>
        <v>0</v>
      </c>
      <c r="N1468" s="22" t="str">
        <f>+IF(Tabla2[[#This Row],[Variación Stock]]&gt;0,"Sobrante",IF(Tabla2[[#This Row],[Variación Stock]]&lt;0,"Faltante","Sin novedad"))</f>
        <v>Sin novedad</v>
      </c>
    </row>
    <row r="1469" spans="1:14" x14ac:dyDescent="0.25">
      <c r="A1469" s="11">
        <v>46053</v>
      </c>
      <c r="B1469" s="5" t="s">
        <v>836</v>
      </c>
      <c r="C1469" s="3" t="s">
        <v>128</v>
      </c>
      <c r="D1469" s="5" t="s">
        <v>111</v>
      </c>
      <c r="E1469" s="5" t="s">
        <v>112</v>
      </c>
      <c r="F1469" s="6" t="s">
        <v>24</v>
      </c>
      <c r="G1469" s="4" t="s">
        <v>0</v>
      </c>
      <c r="H1469" s="25">
        <v>3359.40909091</v>
      </c>
      <c r="I1469" s="8">
        <v>-0.5</v>
      </c>
      <c r="J1469" s="9">
        <v>17</v>
      </c>
      <c r="K1469" s="7">
        <v>17.5</v>
      </c>
      <c r="L1469" s="24">
        <f>+Tabla2[[#This Row],[Stock Inventario]]*Tabla2[[#This Row],[Coste LÃ­nea]]</f>
        <v>57109.954545469998</v>
      </c>
      <c r="M1469" s="24">
        <f>+Tabla2[[#This Row],[Variación Stock]]*Tabla2[[#This Row],[Coste LÃ­nea]]</f>
        <v>58789.659090925001</v>
      </c>
      <c r="N1469" s="22" t="str">
        <f>+IF(Tabla2[[#This Row],[Variación Stock]]&gt;0,"Sobrante",IF(Tabla2[[#This Row],[Variación Stock]]&lt;0,"Faltante","Sin novedad"))</f>
        <v>Sobrante</v>
      </c>
    </row>
    <row r="1470" spans="1:14" hidden="1" x14ac:dyDescent="0.25">
      <c r="A1470" s="11">
        <v>46053</v>
      </c>
      <c r="B1470" s="5" t="s">
        <v>836</v>
      </c>
      <c r="C1470" s="3" t="s">
        <v>128</v>
      </c>
      <c r="D1470" s="5" t="s">
        <v>626</v>
      </c>
      <c r="E1470" s="5" t="s">
        <v>1079</v>
      </c>
      <c r="F1470" s="6" t="s">
        <v>654</v>
      </c>
      <c r="G1470" s="4" t="s">
        <v>2</v>
      </c>
      <c r="H1470" s="25">
        <v>4703</v>
      </c>
      <c r="I1470" s="8">
        <v>18</v>
      </c>
      <c r="J1470" s="9">
        <v>1</v>
      </c>
      <c r="K1470" s="7">
        <v>-17</v>
      </c>
      <c r="L1470" s="24">
        <f>+Tabla2[[#This Row],[Stock Inventario]]*Tabla2[[#This Row],[Coste LÃ­nea]]</f>
        <v>4703</v>
      </c>
      <c r="M1470" s="24">
        <f>+Tabla2[[#This Row],[Variación Stock]]*Tabla2[[#This Row],[Coste LÃ­nea]]</f>
        <v>-79951</v>
      </c>
      <c r="N1470" s="22" t="str">
        <f>+IF(Tabla2[[#This Row],[Variación Stock]]&gt;0,"Sobrante",IF(Tabla2[[#This Row],[Variación Stock]]&lt;0,"Faltante","Sin novedad"))</f>
        <v>Faltante</v>
      </c>
    </row>
    <row r="1471" spans="1:14" x14ac:dyDescent="0.25">
      <c r="A1471" s="11">
        <v>46053</v>
      </c>
      <c r="B1471" s="5" t="s">
        <v>836</v>
      </c>
      <c r="C1471" s="3" t="s">
        <v>128</v>
      </c>
      <c r="D1471" s="5" t="s">
        <v>603</v>
      </c>
      <c r="E1471" s="5" t="s">
        <v>112</v>
      </c>
      <c r="F1471" s="6" t="s">
        <v>623</v>
      </c>
      <c r="G1471" s="4" t="s">
        <v>1</v>
      </c>
      <c r="H1471" s="25">
        <v>358.54340000000002</v>
      </c>
      <c r="I1471" s="8">
        <v>231</v>
      </c>
      <c r="J1471" s="9">
        <v>10</v>
      </c>
      <c r="K1471" s="7">
        <v>-221</v>
      </c>
      <c r="L1471" s="24">
        <f>+Tabla2[[#This Row],[Stock Inventario]]*Tabla2[[#This Row],[Coste LÃ­nea]]</f>
        <v>3585.4340000000002</v>
      </c>
      <c r="M1471" s="24">
        <f>+Tabla2[[#This Row],[Variación Stock]]*Tabla2[[#This Row],[Coste LÃ­nea]]</f>
        <v>-79238.091400000005</v>
      </c>
      <c r="N1471" s="22" t="str">
        <f>+IF(Tabla2[[#This Row],[Variación Stock]]&gt;0,"Sobrante",IF(Tabla2[[#This Row],[Variación Stock]]&lt;0,"Faltante","Sin novedad"))</f>
        <v>Faltante</v>
      </c>
    </row>
    <row r="1472" spans="1:14" hidden="1" x14ac:dyDescent="0.25">
      <c r="A1472" s="11">
        <v>46053</v>
      </c>
      <c r="B1472" s="5" t="s">
        <v>836</v>
      </c>
      <c r="C1472" s="3" t="s">
        <v>128</v>
      </c>
      <c r="D1472" s="5" t="s">
        <v>626</v>
      </c>
      <c r="E1472" s="5" t="s">
        <v>1079</v>
      </c>
      <c r="F1472" s="6" t="s">
        <v>655</v>
      </c>
      <c r="G1472" s="4" t="s">
        <v>2</v>
      </c>
      <c r="H1472" s="25">
        <v>217.31714285999999</v>
      </c>
      <c r="I1472" s="8">
        <v>108</v>
      </c>
      <c r="J1472" s="9">
        <v>500</v>
      </c>
      <c r="K1472" s="7">
        <v>-103</v>
      </c>
      <c r="L1472" s="24">
        <f>+Tabla2[[#This Row],[Stock Inventario]]*Tabla2[[#This Row],[Coste LÃ­nea]]</f>
        <v>108658.57143</v>
      </c>
      <c r="M1472" s="24">
        <f>+Tabla2[[#This Row],[Variación Stock]]*Tabla2[[#This Row],[Coste LÃ­nea]]</f>
        <v>-22383.665714579998</v>
      </c>
      <c r="N1472" s="22" t="str">
        <f>+IF(Tabla2[[#This Row],[Variación Stock]]&gt;0,"Sobrante",IF(Tabla2[[#This Row],[Variación Stock]]&lt;0,"Faltante","Sin novedad"))</f>
        <v>Faltante</v>
      </c>
    </row>
    <row r="1473" spans="1:14" hidden="1" x14ac:dyDescent="0.25">
      <c r="A1473" s="11">
        <v>46053</v>
      </c>
      <c r="B1473" s="5" t="s">
        <v>836</v>
      </c>
      <c r="C1473" s="3" t="s">
        <v>128</v>
      </c>
      <c r="D1473" s="5" t="s">
        <v>626</v>
      </c>
      <c r="E1473" s="5" t="s">
        <v>1079</v>
      </c>
      <c r="F1473" s="6" t="s">
        <v>627</v>
      </c>
      <c r="G1473" s="4" t="s">
        <v>2</v>
      </c>
      <c r="H1473" s="25">
        <v>217.32</v>
      </c>
      <c r="I1473" s="8">
        <v>5</v>
      </c>
      <c r="J1473" s="9">
        <v>100</v>
      </c>
      <c r="K1473" s="7">
        <v>-4</v>
      </c>
      <c r="L1473" s="24">
        <f>+Tabla2[[#This Row],[Stock Inventario]]*Tabla2[[#This Row],[Coste LÃ­nea]]</f>
        <v>21732</v>
      </c>
      <c r="M1473" s="24">
        <f>+Tabla2[[#This Row],[Variación Stock]]*Tabla2[[#This Row],[Coste LÃ­nea]]</f>
        <v>-869.28</v>
      </c>
      <c r="N1473" s="22" t="str">
        <f>+IF(Tabla2[[#This Row],[Variación Stock]]&gt;0,"Sobrante",IF(Tabla2[[#This Row],[Variación Stock]]&lt;0,"Faltante","Sin novedad"))</f>
        <v>Faltante</v>
      </c>
    </row>
    <row r="1474" spans="1:14" hidden="1" x14ac:dyDescent="0.25">
      <c r="A1474" s="11">
        <v>46053</v>
      </c>
      <c r="B1474" s="5" t="s">
        <v>836</v>
      </c>
      <c r="C1474" s="3" t="s">
        <v>128</v>
      </c>
      <c r="D1474" s="5" t="s">
        <v>471</v>
      </c>
      <c r="E1474" s="5" t="s">
        <v>117</v>
      </c>
      <c r="F1474" s="6" t="s">
        <v>503</v>
      </c>
      <c r="G1474" s="4" t="s">
        <v>1</v>
      </c>
      <c r="H1474" s="25">
        <v>2.5</v>
      </c>
      <c r="I1474" s="8">
        <v>3720</v>
      </c>
      <c r="J1474" s="9">
        <v>0</v>
      </c>
      <c r="K1474" s="7">
        <v>-3720</v>
      </c>
      <c r="L1474" s="24">
        <f>+Tabla2[[#This Row],[Stock Inventario]]*Tabla2[[#This Row],[Coste LÃ­nea]]</f>
        <v>0</v>
      </c>
      <c r="M1474" s="24">
        <f>+Tabla2[[#This Row],[Variación Stock]]*Tabla2[[#This Row],[Coste LÃ­nea]]</f>
        <v>-9300</v>
      </c>
      <c r="N1474" s="22" t="str">
        <f>+IF(Tabla2[[#This Row],[Variación Stock]]&gt;0,"Sobrante",IF(Tabla2[[#This Row],[Variación Stock]]&lt;0,"Faltante","Sin novedad"))</f>
        <v>Faltante</v>
      </c>
    </row>
    <row r="1475" spans="1:14" hidden="1" x14ac:dyDescent="0.25">
      <c r="A1475" s="11">
        <v>46053</v>
      </c>
      <c r="B1475" s="5" t="s">
        <v>836</v>
      </c>
      <c r="C1475" s="3" t="s">
        <v>128</v>
      </c>
      <c r="D1475" s="5" t="s">
        <v>471</v>
      </c>
      <c r="E1475" s="5" t="s">
        <v>117</v>
      </c>
      <c r="F1475" s="6" t="s">
        <v>543</v>
      </c>
      <c r="G1475" s="4" t="s">
        <v>1</v>
      </c>
      <c r="H1475" s="25">
        <v>9</v>
      </c>
      <c r="I1475" s="8">
        <v>-9018</v>
      </c>
      <c r="J1475" s="9">
        <v>0</v>
      </c>
      <c r="K1475" s="7">
        <v>9018</v>
      </c>
      <c r="L1475" s="24">
        <f>+Tabla2[[#This Row],[Stock Inventario]]*Tabla2[[#This Row],[Coste LÃ­nea]]</f>
        <v>0</v>
      </c>
      <c r="M1475" s="24">
        <f>+Tabla2[[#This Row],[Variación Stock]]*Tabla2[[#This Row],[Coste LÃ­nea]]</f>
        <v>81162</v>
      </c>
      <c r="N1475" s="22" t="str">
        <f>+IF(Tabla2[[#This Row],[Variación Stock]]&gt;0,"Sobrante",IF(Tabla2[[#This Row],[Variación Stock]]&lt;0,"Faltante","Sin novedad"))</f>
        <v>Sobrante</v>
      </c>
    </row>
    <row r="1476" spans="1:14" hidden="1" x14ac:dyDescent="0.25">
      <c r="A1476" s="11">
        <v>46053</v>
      </c>
      <c r="B1476" s="5" t="s">
        <v>836</v>
      </c>
      <c r="C1476" s="3" t="s">
        <v>128</v>
      </c>
      <c r="D1476" s="5" t="s">
        <v>396</v>
      </c>
      <c r="E1476" s="5" t="s">
        <v>117</v>
      </c>
      <c r="F1476" s="6" t="s">
        <v>437</v>
      </c>
      <c r="G1476" s="4" t="s">
        <v>1</v>
      </c>
      <c r="H1476" s="25">
        <v>4.2671999999999999</v>
      </c>
      <c r="I1476" s="8">
        <v>37871</v>
      </c>
      <c r="J1476" s="9">
        <v>21000</v>
      </c>
      <c r="K1476" s="7">
        <v>-16871.000016000002</v>
      </c>
      <c r="L1476" s="24">
        <f>+Tabla2[[#This Row],[Stock Inventario]]*Tabla2[[#This Row],[Coste LÃ­nea]]</f>
        <v>89611.199999999997</v>
      </c>
      <c r="M1476" s="24">
        <f>+Tabla2[[#This Row],[Variación Stock]]*Tabla2[[#This Row],[Coste LÃ­nea]]</f>
        <v>-71991.931268275206</v>
      </c>
      <c r="N1476" s="22" t="str">
        <f>+IF(Tabla2[[#This Row],[Variación Stock]]&gt;0,"Sobrante",IF(Tabla2[[#This Row],[Variación Stock]]&lt;0,"Faltante","Sin novedad"))</f>
        <v>Faltante</v>
      </c>
    </row>
    <row r="1477" spans="1:14" hidden="1" x14ac:dyDescent="0.25">
      <c r="A1477" s="11">
        <v>46053</v>
      </c>
      <c r="B1477" s="5" t="s">
        <v>836</v>
      </c>
      <c r="C1477" s="3" t="s">
        <v>128</v>
      </c>
      <c r="D1477" s="5" t="s">
        <v>396</v>
      </c>
      <c r="E1477" s="5" t="s">
        <v>117</v>
      </c>
      <c r="F1477" s="6" t="s">
        <v>438</v>
      </c>
      <c r="G1477" s="4" t="s">
        <v>1</v>
      </c>
      <c r="H1477" s="25">
        <v>3.718</v>
      </c>
      <c r="I1477" s="8">
        <v>6210</v>
      </c>
      <c r="J1477" s="9">
        <v>4300</v>
      </c>
      <c r="K1477" s="7">
        <v>-1910</v>
      </c>
      <c r="L1477" s="24">
        <f>+Tabla2[[#This Row],[Stock Inventario]]*Tabla2[[#This Row],[Coste LÃ­nea]]</f>
        <v>15987.4</v>
      </c>
      <c r="M1477" s="24">
        <f>+Tabla2[[#This Row],[Variación Stock]]*Tabla2[[#This Row],[Coste LÃ­nea]]</f>
        <v>-7101.38</v>
      </c>
      <c r="N1477" s="22" t="str">
        <f>+IF(Tabla2[[#This Row],[Variación Stock]]&gt;0,"Sobrante",IF(Tabla2[[#This Row],[Variación Stock]]&lt;0,"Faltante","Sin novedad"))</f>
        <v>Faltante</v>
      </c>
    </row>
    <row r="1478" spans="1:14" x14ac:dyDescent="0.25">
      <c r="A1478" s="11">
        <v>46053</v>
      </c>
      <c r="B1478" s="5" t="s">
        <v>836</v>
      </c>
      <c r="C1478" s="3" t="s">
        <v>128</v>
      </c>
      <c r="D1478" s="5" t="s">
        <v>115</v>
      </c>
      <c r="E1478" s="5" t="s">
        <v>112</v>
      </c>
      <c r="F1478" s="6" t="s">
        <v>154</v>
      </c>
      <c r="G1478" s="4" t="s">
        <v>2</v>
      </c>
      <c r="H1478" s="25">
        <v>3601.6666666699998</v>
      </c>
      <c r="I1478" s="8">
        <v>57</v>
      </c>
      <c r="J1478" s="9">
        <v>48</v>
      </c>
      <c r="K1478" s="7">
        <v>-9</v>
      </c>
      <c r="L1478" s="24">
        <f>+Tabla2[[#This Row],[Stock Inventario]]*Tabla2[[#This Row],[Coste LÃ­nea]]</f>
        <v>172880.00000015998</v>
      </c>
      <c r="M1478" s="24">
        <f>+Tabla2[[#This Row],[Variación Stock]]*Tabla2[[#This Row],[Coste LÃ­nea]]</f>
        <v>-32415.000000029999</v>
      </c>
      <c r="N1478" s="22" t="str">
        <f>+IF(Tabla2[[#This Row],[Variación Stock]]&gt;0,"Sobrante",IF(Tabla2[[#This Row],[Variación Stock]]&lt;0,"Faltante","Sin novedad"))</f>
        <v>Faltante</v>
      </c>
    </row>
    <row r="1479" spans="1:14" hidden="1" x14ac:dyDescent="0.25">
      <c r="A1479" s="11">
        <v>46053</v>
      </c>
      <c r="B1479" s="5" t="s">
        <v>836</v>
      </c>
      <c r="C1479" s="3" t="s">
        <v>128</v>
      </c>
      <c r="D1479" s="5" t="s">
        <v>471</v>
      </c>
      <c r="E1479" s="5" t="s">
        <v>117</v>
      </c>
      <c r="F1479" s="6" t="s">
        <v>545</v>
      </c>
      <c r="G1479" s="4" t="s">
        <v>1</v>
      </c>
      <c r="H1479" s="25">
        <v>31.5</v>
      </c>
      <c r="I1479" s="8">
        <v>-839.2835</v>
      </c>
      <c r="J1479" s="9">
        <v>121</v>
      </c>
      <c r="K1479" s="7">
        <v>960.28352610000002</v>
      </c>
      <c r="L1479" s="24">
        <f>+Tabla2[[#This Row],[Stock Inventario]]*Tabla2[[#This Row],[Coste LÃ­nea]]</f>
        <v>3811.5</v>
      </c>
      <c r="M1479" s="24">
        <f>+Tabla2[[#This Row],[Variación Stock]]*Tabla2[[#This Row],[Coste LÃ­nea]]</f>
        <v>30248.931072150001</v>
      </c>
      <c r="N1479" s="22" t="str">
        <f>+IF(Tabla2[[#This Row],[Variación Stock]]&gt;0,"Sobrante",IF(Tabla2[[#This Row],[Variación Stock]]&lt;0,"Faltante","Sin novedad"))</f>
        <v>Sobrante</v>
      </c>
    </row>
    <row r="1480" spans="1:14" x14ac:dyDescent="0.25">
      <c r="A1480" s="11">
        <v>46053</v>
      </c>
      <c r="B1480" s="5" t="s">
        <v>836</v>
      </c>
      <c r="C1480" s="3" t="s">
        <v>128</v>
      </c>
      <c r="D1480" s="5" t="s">
        <v>603</v>
      </c>
      <c r="E1480" s="5" t="s">
        <v>112</v>
      </c>
      <c r="F1480" s="6" t="s">
        <v>618</v>
      </c>
      <c r="G1480" s="4" t="s">
        <v>1</v>
      </c>
      <c r="H1480" s="25">
        <v>16</v>
      </c>
      <c r="I1480" s="8">
        <v>-5841.6666999999998</v>
      </c>
      <c r="J1480" s="9">
        <v>108</v>
      </c>
      <c r="K1480" s="7">
        <v>5949.6666691</v>
      </c>
      <c r="L1480" s="24">
        <f>+Tabla2[[#This Row],[Stock Inventario]]*Tabla2[[#This Row],[Coste LÃ­nea]]</f>
        <v>1728</v>
      </c>
      <c r="M1480" s="24">
        <f>+Tabla2[[#This Row],[Variación Stock]]*Tabla2[[#This Row],[Coste LÃ­nea]]</f>
        <v>95194.666705600001</v>
      </c>
      <c r="N1480" s="22" t="str">
        <f>+IF(Tabla2[[#This Row],[Variación Stock]]&gt;0,"Sobrante",IF(Tabla2[[#This Row],[Variación Stock]]&lt;0,"Faltante","Sin novedad"))</f>
        <v>Sobrante</v>
      </c>
    </row>
    <row r="1481" spans="1:14" hidden="1" x14ac:dyDescent="0.25">
      <c r="A1481" s="11">
        <v>46053</v>
      </c>
      <c r="B1481" s="5" t="s">
        <v>836</v>
      </c>
      <c r="C1481" s="3" t="s">
        <v>128</v>
      </c>
      <c r="D1481" s="5" t="s">
        <v>626</v>
      </c>
      <c r="E1481" s="5" t="s">
        <v>1079</v>
      </c>
      <c r="F1481" s="6" t="s">
        <v>657</v>
      </c>
      <c r="G1481" s="4" t="s">
        <v>1</v>
      </c>
      <c r="H1481" s="25">
        <v>5.4529500000000004</v>
      </c>
      <c r="I1481" s="8">
        <v>52600</v>
      </c>
      <c r="J1481" s="9">
        <v>10</v>
      </c>
      <c r="K1481" s="7">
        <v>-52590</v>
      </c>
      <c r="L1481" s="24">
        <f>+Tabla2[[#This Row],[Stock Inventario]]*Tabla2[[#This Row],[Coste LÃ­nea]]</f>
        <v>54.529500000000006</v>
      </c>
      <c r="M1481" s="24">
        <f>+Tabla2[[#This Row],[Variación Stock]]*Tabla2[[#This Row],[Coste LÃ­nea]]</f>
        <v>-286770.64050000004</v>
      </c>
      <c r="N1481" s="22" t="str">
        <f>+IF(Tabla2[[#This Row],[Variación Stock]]&gt;0,"Sobrante",IF(Tabla2[[#This Row],[Variación Stock]]&lt;0,"Faltante","Sin novedad"))</f>
        <v>Faltante</v>
      </c>
    </row>
    <row r="1482" spans="1:14" hidden="1" x14ac:dyDescent="0.25">
      <c r="A1482" s="11">
        <v>46053</v>
      </c>
      <c r="B1482" s="5" t="s">
        <v>836</v>
      </c>
      <c r="C1482" s="3" t="s">
        <v>128</v>
      </c>
      <c r="D1482" s="5" t="s">
        <v>396</v>
      </c>
      <c r="E1482" s="5" t="s">
        <v>117</v>
      </c>
      <c r="F1482" s="6" t="s">
        <v>423</v>
      </c>
      <c r="G1482" s="4" t="s">
        <v>1</v>
      </c>
      <c r="H1482" s="25">
        <v>69.02</v>
      </c>
      <c r="I1482" s="8">
        <v>1340</v>
      </c>
      <c r="J1482" s="9">
        <v>830</v>
      </c>
      <c r="K1482" s="7">
        <v>-510</v>
      </c>
      <c r="L1482" s="24">
        <f>+Tabla2[[#This Row],[Stock Inventario]]*Tabla2[[#This Row],[Coste LÃ­nea]]</f>
        <v>57286.6</v>
      </c>
      <c r="M1482" s="24">
        <f>+Tabla2[[#This Row],[Variación Stock]]*Tabla2[[#This Row],[Coste LÃ­nea]]</f>
        <v>-35200.199999999997</v>
      </c>
      <c r="N1482" s="22" t="str">
        <f>+IF(Tabla2[[#This Row],[Variación Stock]]&gt;0,"Sobrante",IF(Tabla2[[#This Row],[Variación Stock]]&lt;0,"Faltante","Sin novedad"))</f>
        <v>Faltante</v>
      </c>
    </row>
    <row r="1483" spans="1:14" hidden="1" x14ac:dyDescent="0.25">
      <c r="A1483" s="11">
        <v>46053</v>
      </c>
      <c r="B1483" s="5" t="s">
        <v>836</v>
      </c>
      <c r="C1483" s="3" t="s">
        <v>128</v>
      </c>
      <c r="D1483" s="5" t="s">
        <v>119</v>
      </c>
      <c r="E1483" s="5" t="s">
        <v>117</v>
      </c>
      <c r="F1483" s="6" t="s">
        <v>197</v>
      </c>
      <c r="G1483" s="4" t="s">
        <v>1</v>
      </c>
      <c r="H1483" s="25">
        <v>9.5</v>
      </c>
      <c r="I1483" s="8">
        <v>1008</v>
      </c>
      <c r="J1483" s="9">
        <v>986</v>
      </c>
      <c r="K1483" s="7">
        <v>-22</v>
      </c>
      <c r="L1483" s="24">
        <f>+Tabla2[[#This Row],[Stock Inventario]]*Tabla2[[#This Row],[Coste LÃ­nea]]</f>
        <v>9367</v>
      </c>
      <c r="M1483" s="24">
        <f>+Tabla2[[#This Row],[Variación Stock]]*Tabla2[[#This Row],[Coste LÃ­nea]]</f>
        <v>-209</v>
      </c>
      <c r="N1483" s="22" t="str">
        <f>+IF(Tabla2[[#This Row],[Variación Stock]]&gt;0,"Sobrante",IF(Tabla2[[#This Row],[Variación Stock]]&lt;0,"Faltante","Sin novedad"))</f>
        <v>Faltante</v>
      </c>
    </row>
    <row r="1484" spans="1:14" hidden="1" x14ac:dyDescent="0.25">
      <c r="A1484" s="11">
        <v>46053</v>
      </c>
      <c r="B1484" s="5" t="s">
        <v>836</v>
      </c>
      <c r="C1484" s="3" t="s">
        <v>128</v>
      </c>
      <c r="D1484" s="5" t="s">
        <v>396</v>
      </c>
      <c r="E1484" s="5" t="s">
        <v>117</v>
      </c>
      <c r="F1484" s="6" t="s">
        <v>470</v>
      </c>
      <c r="G1484" s="4" t="s">
        <v>2</v>
      </c>
      <c r="H1484" s="25">
        <v>726.66666667000004</v>
      </c>
      <c r="I1484" s="8">
        <v>716.96259999999995</v>
      </c>
      <c r="J1484" s="9">
        <v>132</v>
      </c>
      <c r="K1484" s="7">
        <v>-584.96256200000005</v>
      </c>
      <c r="L1484" s="24">
        <f>+Tabla2[[#This Row],[Stock Inventario]]*Tabla2[[#This Row],[Coste LÃ­nea]]</f>
        <v>95920.000000440006</v>
      </c>
      <c r="M1484" s="24">
        <f>+Tabla2[[#This Row],[Variación Stock]]*Tabla2[[#This Row],[Coste LÃ­nea]]</f>
        <v>-425072.79505528329</v>
      </c>
      <c r="N1484" s="22" t="str">
        <f>+IF(Tabla2[[#This Row],[Variación Stock]]&gt;0,"Sobrante",IF(Tabla2[[#This Row],[Variación Stock]]&lt;0,"Faltante","Sin novedad"))</f>
        <v>Faltante</v>
      </c>
    </row>
    <row r="1485" spans="1:14" hidden="1" x14ac:dyDescent="0.25">
      <c r="A1485" s="11">
        <v>46053</v>
      </c>
      <c r="B1485" s="5" t="s">
        <v>836</v>
      </c>
      <c r="C1485" s="3" t="s">
        <v>128</v>
      </c>
      <c r="D1485" s="5" t="s">
        <v>626</v>
      </c>
      <c r="E1485" s="5" t="s">
        <v>1079</v>
      </c>
      <c r="F1485" s="6" t="s">
        <v>658</v>
      </c>
      <c r="G1485" s="4" t="s">
        <v>2</v>
      </c>
      <c r="H1485" s="25">
        <v>68049</v>
      </c>
      <c r="I1485" s="8">
        <v>6</v>
      </c>
      <c r="J1485" s="9">
        <v>3</v>
      </c>
      <c r="K1485" s="7">
        <v>-3</v>
      </c>
      <c r="L1485" s="24">
        <f>+Tabla2[[#This Row],[Stock Inventario]]*Tabla2[[#This Row],[Coste LÃ­nea]]</f>
        <v>204147</v>
      </c>
      <c r="M1485" s="24">
        <f>+Tabla2[[#This Row],[Variación Stock]]*Tabla2[[#This Row],[Coste LÃ­nea]]</f>
        <v>-204147</v>
      </c>
      <c r="N1485" s="22" t="str">
        <f>+IF(Tabla2[[#This Row],[Variación Stock]]&gt;0,"Sobrante",IF(Tabla2[[#This Row],[Variación Stock]]&lt;0,"Faltante","Sin novedad"))</f>
        <v>Faltante</v>
      </c>
    </row>
    <row r="1486" spans="1:14" hidden="1" x14ac:dyDescent="0.25">
      <c r="A1486" s="11">
        <v>46053</v>
      </c>
      <c r="B1486" s="5" t="s">
        <v>836</v>
      </c>
      <c r="C1486" s="3" t="s">
        <v>128</v>
      </c>
      <c r="D1486" s="5" t="s">
        <v>626</v>
      </c>
      <c r="E1486" s="5" t="s">
        <v>1079</v>
      </c>
      <c r="F1486" s="6" t="s">
        <v>892</v>
      </c>
      <c r="G1486" s="4" t="s">
        <v>2</v>
      </c>
      <c r="H1486" s="25">
        <v>20657</v>
      </c>
      <c r="I1486" s="8">
        <v>0</v>
      </c>
      <c r="J1486" s="9">
        <v>1</v>
      </c>
      <c r="K1486" s="7">
        <v>1</v>
      </c>
      <c r="L1486" s="24">
        <f>+Tabla2[[#This Row],[Stock Inventario]]*Tabla2[[#This Row],[Coste LÃ­nea]]</f>
        <v>20657</v>
      </c>
      <c r="M1486" s="24">
        <f>+Tabla2[[#This Row],[Variación Stock]]*Tabla2[[#This Row],[Coste LÃ­nea]]</f>
        <v>20657</v>
      </c>
      <c r="N1486" s="22" t="str">
        <f>+IF(Tabla2[[#This Row],[Variación Stock]]&gt;0,"Sobrante",IF(Tabla2[[#This Row],[Variación Stock]]&lt;0,"Faltante","Sin novedad"))</f>
        <v>Sobrante</v>
      </c>
    </row>
    <row r="1487" spans="1:14" hidden="1" x14ac:dyDescent="0.25">
      <c r="A1487" s="11">
        <v>46053</v>
      </c>
      <c r="B1487" s="5" t="s">
        <v>836</v>
      </c>
      <c r="C1487" s="3" t="s">
        <v>128</v>
      </c>
      <c r="D1487" s="5" t="s">
        <v>471</v>
      </c>
      <c r="E1487" s="5" t="s">
        <v>117</v>
      </c>
      <c r="F1487" s="6" t="s">
        <v>506</v>
      </c>
      <c r="G1487" s="4" t="s">
        <v>1</v>
      </c>
      <c r="H1487" s="25">
        <v>10.5</v>
      </c>
      <c r="I1487" s="8">
        <v>3050</v>
      </c>
      <c r="J1487" s="9">
        <v>130</v>
      </c>
      <c r="K1487" s="7">
        <v>-2920</v>
      </c>
      <c r="L1487" s="24">
        <f>+Tabla2[[#This Row],[Stock Inventario]]*Tabla2[[#This Row],[Coste LÃ­nea]]</f>
        <v>1365</v>
      </c>
      <c r="M1487" s="24">
        <f>+Tabla2[[#This Row],[Variación Stock]]*Tabla2[[#This Row],[Coste LÃ­nea]]</f>
        <v>-30660</v>
      </c>
      <c r="N1487" s="22" t="str">
        <f>+IF(Tabla2[[#This Row],[Variación Stock]]&gt;0,"Sobrante",IF(Tabla2[[#This Row],[Variación Stock]]&lt;0,"Faltante","Sin novedad"))</f>
        <v>Faltante</v>
      </c>
    </row>
    <row r="1488" spans="1:14" x14ac:dyDescent="0.25">
      <c r="A1488" s="11">
        <v>46053</v>
      </c>
      <c r="B1488" s="5" t="s">
        <v>836</v>
      </c>
      <c r="C1488" s="3" t="s">
        <v>128</v>
      </c>
      <c r="D1488" s="5" t="s">
        <v>111</v>
      </c>
      <c r="E1488" s="5" t="s">
        <v>112</v>
      </c>
      <c r="F1488" s="6" t="s">
        <v>133</v>
      </c>
      <c r="G1488" s="4" t="s">
        <v>0</v>
      </c>
      <c r="H1488" s="25">
        <v>6134.2727272700004</v>
      </c>
      <c r="I1488" s="8">
        <v>29</v>
      </c>
      <c r="J1488" s="9">
        <v>29</v>
      </c>
      <c r="K1488" s="7">
        <v>0</v>
      </c>
      <c r="L1488" s="24">
        <f>+Tabla2[[#This Row],[Stock Inventario]]*Tabla2[[#This Row],[Coste LÃ­nea]]</f>
        <v>177893.90909083001</v>
      </c>
      <c r="M1488" s="24">
        <f>+Tabla2[[#This Row],[Variación Stock]]*Tabla2[[#This Row],[Coste LÃ­nea]]</f>
        <v>0</v>
      </c>
      <c r="N1488" s="22" t="str">
        <f>+IF(Tabla2[[#This Row],[Variación Stock]]&gt;0,"Sobrante",IF(Tabla2[[#This Row],[Variación Stock]]&lt;0,"Faltante","Sin novedad"))</f>
        <v>Sin novedad</v>
      </c>
    </row>
    <row r="1489" spans="1:14" x14ac:dyDescent="0.25">
      <c r="A1489" s="11">
        <v>46053</v>
      </c>
      <c r="B1489" s="5" t="s">
        <v>836</v>
      </c>
      <c r="C1489" s="3" t="s">
        <v>128</v>
      </c>
      <c r="D1489" s="5" t="s">
        <v>111</v>
      </c>
      <c r="E1489" s="5" t="s">
        <v>112</v>
      </c>
      <c r="F1489" s="6" t="s">
        <v>134</v>
      </c>
      <c r="G1489" s="4" t="s">
        <v>0</v>
      </c>
      <c r="H1489" s="25">
        <v>2902.5454545500002</v>
      </c>
      <c r="I1489" s="8">
        <v>25</v>
      </c>
      <c r="J1489" s="9">
        <v>26</v>
      </c>
      <c r="K1489" s="7">
        <v>1</v>
      </c>
      <c r="L1489" s="24">
        <f>+Tabla2[[#This Row],[Stock Inventario]]*Tabla2[[#This Row],[Coste LÃ­nea]]</f>
        <v>75466.1818183</v>
      </c>
      <c r="M1489" s="24">
        <f>+Tabla2[[#This Row],[Variación Stock]]*Tabla2[[#This Row],[Coste LÃ­nea]]</f>
        <v>2902.5454545500002</v>
      </c>
      <c r="N1489" s="22" t="str">
        <f>+IF(Tabla2[[#This Row],[Variación Stock]]&gt;0,"Sobrante",IF(Tabla2[[#This Row],[Variación Stock]]&lt;0,"Faltante","Sin novedad"))</f>
        <v>Sobrante</v>
      </c>
    </row>
    <row r="1490" spans="1:14" x14ac:dyDescent="0.25">
      <c r="A1490" s="11">
        <v>46053</v>
      </c>
      <c r="B1490" s="5" t="s">
        <v>836</v>
      </c>
      <c r="C1490" s="3" t="s">
        <v>128</v>
      </c>
      <c r="D1490" s="5" t="s">
        <v>114</v>
      </c>
      <c r="E1490" s="5" t="s">
        <v>112</v>
      </c>
      <c r="F1490" s="6" t="s">
        <v>64</v>
      </c>
      <c r="G1490" s="4" t="s">
        <v>2</v>
      </c>
      <c r="H1490" s="25">
        <v>5132.5</v>
      </c>
      <c r="I1490" s="8">
        <v>22</v>
      </c>
      <c r="J1490" s="9">
        <v>17</v>
      </c>
      <c r="K1490" s="7">
        <v>-5</v>
      </c>
      <c r="L1490" s="24">
        <f>+Tabla2[[#This Row],[Stock Inventario]]*Tabla2[[#This Row],[Coste LÃ­nea]]</f>
        <v>87252.5</v>
      </c>
      <c r="M1490" s="24">
        <f>+Tabla2[[#This Row],[Variación Stock]]*Tabla2[[#This Row],[Coste LÃ­nea]]</f>
        <v>-25662.5</v>
      </c>
      <c r="N1490" s="22" t="str">
        <f>+IF(Tabla2[[#This Row],[Variación Stock]]&gt;0,"Sobrante",IF(Tabla2[[#This Row],[Variación Stock]]&lt;0,"Faltante","Sin novedad"))</f>
        <v>Faltante</v>
      </c>
    </row>
    <row r="1491" spans="1:14" hidden="1" x14ac:dyDescent="0.25">
      <c r="A1491" s="11">
        <v>46053</v>
      </c>
      <c r="B1491" s="5" t="s">
        <v>836</v>
      </c>
      <c r="C1491" s="3" t="s">
        <v>128</v>
      </c>
      <c r="D1491" s="5" t="s">
        <v>396</v>
      </c>
      <c r="E1491" s="5" t="s">
        <v>117</v>
      </c>
      <c r="F1491" s="6" t="s">
        <v>398</v>
      </c>
      <c r="G1491" s="4" t="s">
        <v>1</v>
      </c>
      <c r="H1491" s="25">
        <v>65.333333330000002</v>
      </c>
      <c r="I1491" s="8">
        <v>-3</v>
      </c>
      <c r="J1491" s="9">
        <v>0</v>
      </c>
      <c r="K1491" s="7">
        <v>3</v>
      </c>
      <c r="L1491" s="24">
        <f>+Tabla2[[#This Row],[Stock Inventario]]*Tabla2[[#This Row],[Coste LÃ­nea]]</f>
        <v>0</v>
      </c>
      <c r="M1491" s="24">
        <f>+Tabla2[[#This Row],[Variación Stock]]*Tabla2[[#This Row],[Coste LÃ­nea]]</f>
        <v>195.99999998999999</v>
      </c>
      <c r="N1491" s="22" t="str">
        <f>+IF(Tabla2[[#This Row],[Variación Stock]]&gt;0,"Sobrante",IF(Tabla2[[#This Row],[Variación Stock]]&lt;0,"Faltante","Sin novedad"))</f>
        <v>Sobrante</v>
      </c>
    </row>
    <row r="1492" spans="1:14" x14ac:dyDescent="0.25">
      <c r="A1492" s="11">
        <v>46053</v>
      </c>
      <c r="B1492" s="5" t="s">
        <v>836</v>
      </c>
      <c r="C1492" s="3" t="s">
        <v>128</v>
      </c>
      <c r="D1492" s="5" t="s">
        <v>111</v>
      </c>
      <c r="E1492" s="5" t="s">
        <v>112</v>
      </c>
      <c r="F1492" s="6" t="s">
        <v>57</v>
      </c>
      <c r="G1492" s="4" t="s">
        <v>0</v>
      </c>
      <c r="H1492" s="25">
        <v>1993.59090909</v>
      </c>
      <c r="I1492" s="8">
        <v>32.5</v>
      </c>
      <c r="J1492" s="9">
        <v>42</v>
      </c>
      <c r="K1492" s="7">
        <v>9.5</v>
      </c>
      <c r="L1492" s="24">
        <f>+Tabla2[[#This Row],[Stock Inventario]]*Tabla2[[#This Row],[Coste LÃ­nea]]</f>
        <v>83730.818181779992</v>
      </c>
      <c r="M1492" s="24">
        <f>+Tabla2[[#This Row],[Variación Stock]]*Tabla2[[#This Row],[Coste LÃ­nea]]</f>
        <v>18939.113636354999</v>
      </c>
      <c r="N1492" s="22" t="str">
        <f>+IF(Tabla2[[#This Row],[Variación Stock]]&gt;0,"Sobrante",IF(Tabla2[[#This Row],[Variación Stock]]&lt;0,"Faltante","Sin novedad"))</f>
        <v>Sobrante</v>
      </c>
    </row>
    <row r="1493" spans="1:14" hidden="1" x14ac:dyDescent="0.25">
      <c r="A1493" s="11">
        <v>46053</v>
      </c>
      <c r="B1493" s="5" t="s">
        <v>836</v>
      </c>
      <c r="C1493" s="3" t="s">
        <v>128</v>
      </c>
      <c r="D1493" s="5" t="s">
        <v>119</v>
      </c>
      <c r="E1493" s="5" t="s">
        <v>117</v>
      </c>
      <c r="F1493" s="6" t="s">
        <v>94</v>
      </c>
      <c r="G1493" s="4" t="s">
        <v>2</v>
      </c>
      <c r="H1493" s="25">
        <v>1600</v>
      </c>
      <c r="I1493" s="8">
        <v>217</v>
      </c>
      <c r="J1493" s="9">
        <v>214</v>
      </c>
      <c r="K1493" s="7">
        <v>-3</v>
      </c>
      <c r="L1493" s="24">
        <f>+Tabla2[[#This Row],[Stock Inventario]]*Tabla2[[#This Row],[Coste LÃ­nea]]</f>
        <v>342400</v>
      </c>
      <c r="M1493" s="24">
        <f>+Tabla2[[#This Row],[Variación Stock]]*Tabla2[[#This Row],[Coste LÃ­nea]]</f>
        <v>-4800</v>
      </c>
      <c r="N1493" s="22" t="str">
        <f>+IF(Tabla2[[#This Row],[Variación Stock]]&gt;0,"Sobrante",IF(Tabla2[[#This Row],[Variación Stock]]&lt;0,"Faltante","Sin novedad"))</f>
        <v>Faltante</v>
      </c>
    </row>
    <row r="1494" spans="1:14" x14ac:dyDescent="0.25">
      <c r="A1494" s="11">
        <v>46053</v>
      </c>
      <c r="B1494" s="5" t="s">
        <v>836</v>
      </c>
      <c r="C1494" s="3" t="s">
        <v>128</v>
      </c>
      <c r="D1494" s="5" t="s">
        <v>118</v>
      </c>
      <c r="E1494" s="5" t="s">
        <v>112</v>
      </c>
      <c r="F1494" s="6" t="s">
        <v>177</v>
      </c>
      <c r="G1494" s="4" t="s">
        <v>2</v>
      </c>
      <c r="H1494" s="25">
        <v>49268.9</v>
      </c>
      <c r="I1494" s="8">
        <v>2</v>
      </c>
      <c r="J1494" s="9">
        <v>2</v>
      </c>
      <c r="K1494" s="7">
        <v>0</v>
      </c>
      <c r="L1494" s="24">
        <f>+Tabla2[[#This Row],[Stock Inventario]]*Tabla2[[#This Row],[Coste LÃ­nea]]</f>
        <v>98537.8</v>
      </c>
      <c r="M1494" s="24">
        <f>+Tabla2[[#This Row],[Variación Stock]]*Tabla2[[#This Row],[Coste LÃ­nea]]</f>
        <v>0</v>
      </c>
      <c r="N1494" s="22" t="str">
        <f>+IF(Tabla2[[#This Row],[Variación Stock]]&gt;0,"Sobrante",IF(Tabla2[[#This Row],[Variación Stock]]&lt;0,"Faltante","Sin novedad"))</f>
        <v>Sin novedad</v>
      </c>
    </row>
    <row r="1495" spans="1:14" hidden="1" x14ac:dyDescent="0.25">
      <c r="A1495" s="11">
        <v>46053</v>
      </c>
      <c r="B1495" s="5" t="s">
        <v>836</v>
      </c>
      <c r="C1495" s="3" t="s">
        <v>128</v>
      </c>
      <c r="D1495" s="5" t="s">
        <v>471</v>
      </c>
      <c r="E1495" s="5" t="s">
        <v>117</v>
      </c>
      <c r="F1495" s="6" t="s">
        <v>507</v>
      </c>
      <c r="G1495" s="4" t="s">
        <v>1</v>
      </c>
      <c r="H1495" s="25">
        <v>35</v>
      </c>
      <c r="I1495" s="8">
        <v>162</v>
      </c>
      <c r="J1495" s="9">
        <v>118</v>
      </c>
      <c r="K1495" s="7">
        <v>-44</v>
      </c>
      <c r="L1495" s="24">
        <f>+Tabla2[[#This Row],[Stock Inventario]]*Tabla2[[#This Row],[Coste LÃ­nea]]</f>
        <v>4130</v>
      </c>
      <c r="M1495" s="24">
        <f>+Tabla2[[#This Row],[Variación Stock]]*Tabla2[[#This Row],[Coste LÃ­nea]]</f>
        <v>-1540</v>
      </c>
      <c r="N1495" s="22" t="str">
        <f>+IF(Tabla2[[#This Row],[Variación Stock]]&gt;0,"Sobrante",IF(Tabla2[[#This Row],[Variación Stock]]&lt;0,"Faltante","Sin novedad"))</f>
        <v>Faltante</v>
      </c>
    </row>
    <row r="1496" spans="1:14" hidden="1" x14ac:dyDescent="0.25">
      <c r="A1496" s="11">
        <v>46053</v>
      </c>
      <c r="B1496" s="5" t="s">
        <v>836</v>
      </c>
      <c r="C1496" s="3" t="s">
        <v>128</v>
      </c>
      <c r="D1496" s="5" t="s">
        <v>547</v>
      </c>
      <c r="E1496" s="5" t="s">
        <v>117</v>
      </c>
      <c r="F1496" s="6" t="s">
        <v>878</v>
      </c>
      <c r="G1496" s="4" t="s">
        <v>1</v>
      </c>
      <c r="H1496" s="25">
        <v>12.17853483</v>
      </c>
      <c r="I1496" s="8">
        <v>5914.9992000000002</v>
      </c>
      <c r="J1496" s="9">
        <v>9000</v>
      </c>
      <c r="K1496" s="7">
        <v>3085.0008400000002</v>
      </c>
      <c r="L1496" s="24">
        <f>+Tabla2[[#This Row],[Stock Inventario]]*Tabla2[[#This Row],[Coste LÃ­nea]]</f>
        <v>109606.81347000001</v>
      </c>
      <c r="M1496" s="24">
        <f>+Tabla2[[#This Row],[Variación Stock]]*Tabla2[[#This Row],[Coste LÃ­nea]]</f>
        <v>37570.79018051926</v>
      </c>
      <c r="N1496" s="22" t="str">
        <f>+IF(Tabla2[[#This Row],[Variación Stock]]&gt;0,"Sobrante",IF(Tabla2[[#This Row],[Variación Stock]]&lt;0,"Faltante","Sin novedad"))</f>
        <v>Sobrante</v>
      </c>
    </row>
    <row r="1497" spans="1:14" hidden="1" x14ac:dyDescent="0.25">
      <c r="A1497" s="11">
        <v>46053</v>
      </c>
      <c r="B1497" s="5" t="s">
        <v>836</v>
      </c>
      <c r="C1497" s="3" t="s">
        <v>128</v>
      </c>
      <c r="D1497" s="5" t="s">
        <v>547</v>
      </c>
      <c r="E1497" s="5" t="s">
        <v>117</v>
      </c>
      <c r="F1497" s="6" t="s">
        <v>881</v>
      </c>
      <c r="G1497" s="4" t="s">
        <v>1</v>
      </c>
      <c r="H1497" s="25">
        <v>9.9206088000000001</v>
      </c>
      <c r="I1497" s="8">
        <v>1576</v>
      </c>
      <c r="J1497" s="9">
        <v>1230</v>
      </c>
      <c r="K1497" s="7">
        <v>-346</v>
      </c>
      <c r="L1497" s="24">
        <f>+Tabla2[[#This Row],[Stock Inventario]]*Tabla2[[#This Row],[Coste LÃ­nea]]</f>
        <v>12202.348824000001</v>
      </c>
      <c r="M1497" s="24">
        <f>+Tabla2[[#This Row],[Variación Stock]]*Tabla2[[#This Row],[Coste LÃ­nea]]</f>
        <v>-3432.5306448000001</v>
      </c>
      <c r="N1497" s="22" t="str">
        <f>+IF(Tabla2[[#This Row],[Variación Stock]]&gt;0,"Sobrante",IF(Tabla2[[#This Row],[Variación Stock]]&lt;0,"Faltante","Sin novedad"))</f>
        <v>Faltante</v>
      </c>
    </row>
    <row r="1498" spans="1:14" hidden="1" x14ac:dyDescent="0.25">
      <c r="A1498" s="11">
        <v>46053</v>
      </c>
      <c r="B1498" s="5" t="s">
        <v>836</v>
      </c>
      <c r="C1498" s="3" t="s">
        <v>128</v>
      </c>
      <c r="D1498" s="5" t="s">
        <v>547</v>
      </c>
      <c r="E1498" s="5" t="s">
        <v>117</v>
      </c>
      <c r="F1498" s="6" t="s">
        <v>555</v>
      </c>
      <c r="G1498" s="4" t="s">
        <v>1</v>
      </c>
      <c r="H1498" s="25">
        <v>4.609</v>
      </c>
      <c r="I1498" s="8">
        <v>33751.543400000002</v>
      </c>
      <c r="J1498" s="9">
        <v>19000</v>
      </c>
      <c r="K1498" s="7">
        <v>-14751.543406000001</v>
      </c>
      <c r="L1498" s="24">
        <f>+Tabla2[[#This Row],[Stock Inventario]]*Tabla2[[#This Row],[Coste LÃ­nea]]</f>
        <v>87571</v>
      </c>
      <c r="M1498" s="24">
        <f>+Tabla2[[#This Row],[Variación Stock]]*Tabla2[[#This Row],[Coste LÃ­nea]]</f>
        <v>-67989.863558254001</v>
      </c>
      <c r="N1498" s="22" t="str">
        <f>+IF(Tabla2[[#This Row],[Variación Stock]]&gt;0,"Sobrante",IF(Tabla2[[#This Row],[Variación Stock]]&lt;0,"Faltante","Sin novedad"))</f>
        <v>Faltante</v>
      </c>
    </row>
    <row r="1499" spans="1:14" hidden="1" x14ac:dyDescent="0.25">
      <c r="A1499" s="11">
        <v>46053</v>
      </c>
      <c r="B1499" s="5" t="s">
        <v>836</v>
      </c>
      <c r="C1499" s="3" t="s">
        <v>128</v>
      </c>
      <c r="D1499" s="5" t="s">
        <v>471</v>
      </c>
      <c r="E1499" s="5" t="s">
        <v>117</v>
      </c>
      <c r="F1499" s="6" t="s">
        <v>868</v>
      </c>
      <c r="G1499" s="4" t="s">
        <v>1</v>
      </c>
      <c r="H1499" s="25">
        <v>5.5</v>
      </c>
      <c r="I1499" s="8">
        <v>21410</v>
      </c>
      <c r="J1499" s="9">
        <v>6344</v>
      </c>
      <c r="K1499" s="7">
        <v>-15066</v>
      </c>
      <c r="L1499" s="24">
        <f>+Tabla2[[#This Row],[Stock Inventario]]*Tabla2[[#This Row],[Coste LÃ­nea]]</f>
        <v>34892</v>
      </c>
      <c r="M1499" s="24">
        <f>+Tabla2[[#This Row],[Variación Stock]]*Tabla2[[#This Row],[Coste LÃ­nea]]</f>
        <v>-82863</v>
      </c>
      <c r="N1499" s="22" t="str">
        <f>+IF(Tabla2[[#This Row],[Variación Stock]]&gt;0,"Sobrante",IF(Tabla2[[#This Row],[Variación Stock]]&lt;0,"Faltante","Sin novedad"))</f>
        <v>Faltante</v>
      </c>
    </row>
    <row r="1500" spans="1:14" hidden="1" x14ac:dyDescent="0.25">
      <c r="A1500" s="11">
        <v>46053</v>
      </c>
      <c r="B1500" s="5" t="s">
        <v>836</v>
      </c>
      <c r="C1500" s="3" t="s">
        <v>128</v>
      </c>
      <c r="D1500" s="5" t="s">
        <v>471</v>
      </c>
      <c r="E1500" s="5" t="s">
        <v>117</v>
      </c>
      <c r="F1500" s="6" t="s">
        <v>508</v>
      </c>
      <c r="G1500" s="4" t="s">
        <v>1</v>
      </c>
      <c r="H1500" s="25">
        <v>5.5</v>
      </c>
      <c r="I1500" s="8">
        <v>3013.3332999999998</v>
      </c>
      <c r="J1500" s="9">
        <v>0</v>
      </c>
      <c r="K1500" s="7">
        <v>-3013.3333480000001</v>
      </c>
      <c r="L1500" s="24">
        <f>+Tabla2[[#This Row],[Stock Inventario]]*Tabla2[[#This Row],[Coste LÃ­nea]]</f>
        <v>0</v>
      </c>
      <c r="M1500" s="24">
        <f>+Tabla2[[#This Row],[Variación Stock]]*Tabla2[[#This Row],[Coste LÃ­nea]]</f>
        <v>-16573.333414000001</v>
      </c>
      <c r="N1500" s="22" t="str">
        <f>+IF(Tabla2[[#This Row],[Variación Stock]]&gt;0,"Sobrante",IF(Tabla2[[#This Row],[Variación Stock]]&lt;0,"Faltante","Sin novedad"))</f>
        <v>Faltante</v>
      </c>
    </row>
    <row r="1501" spans="1:14" x14ac:dyDescent="0.25">
      <c r="A1501" s="11">
        <v>46053</v>
      </c>
      <c r="B1501" s="5" t="s">
        <v>836</v>
      </c>
      <c r="C1501" s="3" t="s">
        <v>128</v>
      </c>
      <c r="D1501" s="5" t="s">
        <v>111</v>
      </c>
      <c r="E1501" s="5" t="s">
        <v>112</v>
      </c>
      <c r="F1501" s="6" t="s">
        <v>25</v>
      </c>
      <c r="G1501" s="4" t="s">
        <v>0</v>
      </c>
      <c r="H1501" s="25">
        <v>5465.125</v>
      </c>
      <c r="I1501" s="8">
        <v>14</v>
      </c>
      <c r="J1501" s="9">
        <v>15</v>
      </c>
      <c r="K1501" s="7">
        <v>1</v>
      </c>
      <c r="L1501" s="24">
        <f>+Tabla2[[#This Row],[Stock Inventario]]*Tabla2[[#This Row],[Coste LÃ­nea]]</f>
        <v>81976.875</v>
      </c>
      <c r="M1501" s="24">
        <f>+Tabla2[[#This Row],[Variación Stock]]*Tabla2[[#This Row],[Coste LÃ­nea]]</f>
        <v>5465.125</v>
      </c>
      <c r="N1501" s="22" t="str">
        <f>+IF(Tabla2[[#This Row],[Variación Stock]]&gt;0,"Sobrante",IF(Tabla2[[#This Row],[Variación Stock]]&lt;0,"Faltante","Sin novedad"))</f>
        <v>Sobrante</v>
      </c>
    </row>
    <row r="1502" spans="1:14" hidden="1" x14ac:dyDescent="0.25">
      <c r="A1502" s="11">
        <v>46053</v>
      </c>
      <c r="B1502" s="5" t="s">
        <v>836</v>
      </c>
      <c r="C1502" s="3" t="s">
        <v>128</v>
      </c>
      <c r="D1502" s="5" t="s">
        <v>471</v>
      </c>
      <c r="E1502" s="5" t="s">
        <v>117</v>
      </c>
      <c r="F1502" s="6" t="s">
        <v>509</v>
      </c>
      <c r="G1502" s="4" t="s">
        <v>1</v>
      </c>
      <c r="H1502" s="25">
        <v>4.3</v>
      </c>
      <c r="I1502" s="8">
        <v>-2490</v>
      </c>
      <c r="J1502" s="9">
        <v>1000</v>
      </c>
      <c r="K1502" s="7">
        <v>3490</v>
      </c>
      <c r="L1502" s="24">
        <f>+Tabla2[[#This Row],[Stock Inventario]]*Tabla2[[#This Row],[Coste LÃ­nea]]</f>
        <v>4300</v>
      </c>
      <c r="M1502" s="24">
        <f>+Tabla2[[#This Row],[Variación Stock]]*Tabla2[[#This Row],[Coste LÃ­nea]]</f>
        <v>15007</v>
      </c>
      <c r="N1502" s="22" t="str">
        <f>+IF(Tabla2[[#This Row],[Variación Stock]]&gt;0,"Sobrante",IF(Tabla2[[#This Row],[Variación Stock]]&lt;0,"Faltante","Sin novedad"))</f>
        <v>Sobrante</v>
      </c>
    </row>
    <row r="1503" spans="1:14" x14ac:dyDescent="0.25">
      <c r="A1503" s="11">
        <v>46053</v>
      </c>
      <c r="B1503" s="5" t="s">
        <v>836</v>
      </c>
      <c r="C1503" s="3" t="s">
        <v>128</v>
      </c>
      <c r="D1503" s="5" t="s">
        <v>603</v>
      </c>
      <c r="E1503" s="5" t="s">
        <v>112</v>
      </c>
      <c r="F1503" s="6" t="s">
        <v>625</v>
      </c>
      <c r="G1503" s="4" t="s">
        <v>1</v>
      </c>
      <c r="H1503" s="25">
        <v>4.5</v>
      </c>
      <c r="I1503" s="8">
        <v>377008.90970000002</v>
      </c>
      <c r="J1503" s="9">
        <v>20000</v>
      </c>
      <c r="K1503" s="7">
        <v>-357008.90967000002</v>
      </c>
      <c r="L1503" s="24">
        <f>+Tabla2[[#This Row],[Stock Inventario]]*Tabla2[[#This Row],[Coste LÃ­nea]]</f>
        <v>90000</v>
      </c>
      <c r="M1503" s="24">
        <f>+Tabla2[[#This Row],[Variación Stock]]*Tabla2[[#This Row],[Coste LÃ­nea]]</f>
        <v>-1606540.0935150001</v>
      </c>
      <c r="N1503" s="22" t="str">
        <f>+IF(Tabla2[[#This Row],[Variación Stock]]&gt;0,"Sobrante",IF(Tabla2[[#This Row],[Variación Stock]]&lt;0,"Faltante","Sin novedad"))</f>
        <v>Faltante</v>
      </c>
    </row>
    <row r="1504" spans="1:14" hidden="1" x14ac:dyDescent="0.25">
      <c r="A1504" s="11">
        <v>46053</v>
      </c>
      <c r="B1504" s="5" t="s">
        <v>836</v>
      </c>
      <c r="C1504" s="3" t="s">
        <v>128</v>
      </c>
      <c r="D1504" s="5" t="s">
        <v>471</v>
      </c>
      <c r="E1504" s="5" t="s">
        <v>117</v>
      </c>
      <c r="F1504" s="6" t="s">
        <v>544</v>
      </c>
      <c r="G1504" s="4" t="s">
        <v>1</v>
      </c>
      <c r="H1504" s="25">
        <v>4.5</v>
      </c>
      <c r="I1504" s="8">
        <v>11263.632</v>
      </c>
      <c r="J1504" s="9">
        <v>15222</v>
      </c>
      <c r="K1504" s="7">
        <v>3958.3680359999998</v>
      </c>
      <c r="L1504" s="24">
        <f>+Tabla2[[#This Row],[Stock Inventario]]*Tabla2[[#This Row],[Coste LÃ­nea]]</f>
        <v>68499</v>
      </c>
      <c r="M1504" s="24">
        <f>+Tabla2[[#This Row],[Variación Stock]]*Tabla2[[#This Row],[Coste LÃ­nea]]</f>
        <v>17812.656161999999</v>
      </c>
      <c r="N1504" s="22" t="str">
        <f>+IF(Tabla2[[#This Row],[Variación Stock]]&gt;0,"Sobrante",IF(Tabla2[[#This Row],[Variación Stock]]&lt;0,"Faltante","Sin novedad"))</f>
        <v>Sobrante</v>
      </c>
    </row>
    <row r="1505" spans="1:14" hidden="1" x14ac:dyDescent="0.25">
      <c r="A1505" s="11">
        <v>46053</v>
      </c>
      <c r="B1505" s="5" t="s">
        <v>836</v>
      </c>
      <c r="C1505" s="3" t="s">
        <v>128</v>
      </c>
      <c r="D1505" s="5" t="s">
        <v>626</v>
      </c>
      <c r="E1505" s="5" t="s">
        <v>1079</v>
      </c>
      <c r="F1505" s="6" t="s">
        <v>673</v>
      </c>
      <c r="G1505" s="4" t="s">
        <v>2</v>
      </c>
      <c r="H1505" s="25">
        <v>12941.176470599999</v>
      </c>
      <c r="I1505" s="8">
        <v>0.4</v>
      </c>
      <c r="J1505" s="9">
        <v>0</v>
      </c>
      <c r="K1505" s="7">
        <v>-0.4</v>
      </c>
      <c r="L1505" s="24">
        <f>+Tabla2[[#This Row],[Stock Inventario]]*Tabla2[[#This Row],[Coste LÃ­nea]]</f>
        <v>0</v>
      </c>
      <c r="M1505" s="24">
        <f>+Tabla2[[#This Row],[Variación Stock]]*Tabla2[[#This Row],[Coste LÃ­nea]]</f>
        <v>-5176.4705882400003</v>
      </c>
      <c r="N1505" s="22" t="str">
        <f>+IF(Tabla2[[#This Row],[Variación Stock]]&gt;0,"Sobrante",IF(Tabla2[[#This Row],[Variación Stock]]&lt;0,"Faltante","Sin novedad"))</f>
        <v>Faltante</v>
      </c>
    </row>
    <row r="1506" spans="1:14" hidden="1" x14ac:dyDescent="0.25">
      <c r="A1506" s="11">
        <v>46053</v>
      </c>
      <c r="B1506" s="5" t="s">
        <v>836</v>
      </c>
      <c r="C1506" s="3" t="s">
        <v>128</v>
      </c>
      <c r="D1506" s="5" t="s">
        <v>626</v>
      </c>
      <c r="E1506" s="5" t="s">
        <v>1079</v>
      </c>
      <c r="F1506" s="6" t="s">
        <v>661</v>
      </c>
      <c r="G1506" s="4" t="s">
        <v>2</v>
      </c>
      <c r="H1506" s="25">
        <v>76559</v>
      </c>
      <c r="I1506" s="8">
        <v>2</v>
      </c>
      <c r="J1506" s="9">
        <v>1</v>
      </c>
      <c r="K1506" s="7">
        <v>-1</v>
      </c>
      <c r="L1506" s="24">
        <f>+Tabla2[[#This Row],[Stock Inventario]]*Tabla2[[#This Row],[Coste LÃ­nea]]</f>
        <v>76559</v>
      </c>
      <c r="M1506" s="24">
        <f>+Tabla2[[#This Row],[Variación Stock]]*Tabla2[[#This Row],[Coste LÃ­nea]]</f>
        <v>-76559</v>
      </c>
      <c r="N1506" s="22" t="str">
        <f>+IF(Tabla2[[#This Row],[Variación Stock]]&gt;0,"Sobrante",IF(Tabla2[[#This Row],[Variación Stock]]&lt;0,"Faltante","Sin novedad"))</f>
        <v>Faltante</v>
      </c>
    </row>
    <row r="1507" spans="1:14" hidden="1" x14ac:dyDescent="0.25">
      <c r="A1507" s="11">
        <v>46053</v>
      </c>
      <c r="B1507" s="5" t="s">
        <v>836</v>
      </c>
      <c r="C1507" s="3" t="s">
        <v>128</v>
      </c>
      <c r="D1507" s="5" t="s">
        <v>471</v>
      </c>
      <c r="E1507" s="5" t="s">
        <v>117</v>
      </c>
      <c r="F1507" s="6" t="s">
        <v>511</v>
      </c>
      <c r="G1507" s="4" t="s">
        <v>1</v>
      </c>
      <c r="H1507" s="25">
        <v>6.5</v>
      </c>
      <c r="I1507" s="8">
        <v>2050</v>
      </c>
      <c r="J1507" s="9">
        <v>0</v>
      </c>
      <c r="K1507" s="7">
        <v>-2050</v>
      </c>
      <c r="L1507" s="24">
        <f>+Tabla2[[#This Row],[Stock Inventario]]*Tabla2[[#This Row],[Coste LÃ­nea]]</f>
        <v>0</v>
      </c>
      <c r="M1507" s="24">
        <f>+Tabla2[[#This Row],[Variación Stock]]*Tabla2[[#This Row],[Coste LÃ­nea]]</f>
        <v>-13325</v>
      </c>
      <c r="N1507" s="22" t="str">
        <f>+IF(Tabla2[[#This Row],[Variación Stock]]&gt;0,"Sobrante",IF(Tabla2[[#This Row],[Variación Stock]]&lt;0,"Faltante","Sin novedad"))</f>
        <v>Faltante</v>
      </c>
    </row>
    <row r="1508" spans="1:14" hidden="1" x14ac:dyDescent="0.25">
      <c r="A1508" s="11">
        <v>46053</v>
      </c>
      <c r="B1508" s="5" t="s">
        <v>836</v>
      </c>
      <c r="C1508" s="3" t="s">
        <v>128</v>
      </c>
      <c r="D1508" s="5" t="s">
        <v>818</v>
      </c>
      <c r="E1508" s="5" t="s">
        <v>117</v>
      </c>
      <c r="F1508" s="6" t="s">
        <v>823</v>
      </c>
      <c r="G1508" s="4" t="s">
        <v>1</v>
      </c>
      <c r="H1508" s="25">
        <v>46.669166670000003</v>
      </c>
      <c r="I1508" s="8">
        <v>10264</v>
      </c>
      <c r="J1508" s="9">
        <v>10710</v>
      </c>
      <c r="K1508" s="7">
        <v>446</v>
      </c>
      <c r="L1508" s="24">
        <f>+Tabla2[[#This Row],[Stock Inventario]]*Tabla2[[#This Row],[Coste LÃ­nea]]</f>
        <v>499826.7750357</v>
      </c>
      <c r="M1508" s="24">
        <f>+Tabla2[[#This Row],[Variación Stock]]*Tabla2[[#This Row],[Coste LÃ­nea]]</f>
        <v>20814.448334820001</v>
      </c>
      <c r="N1508" s="22" t="str">
        <f>+IF(Tabla2[[#This Row],[Variación Stock]]&gt;0,"Sobrante",IF(Tabla2[[#This Row],[Variación Stock]]&lt;0,"Faltante","Sin novedad"))</f>
        <v>Sobrante</v>
      </c>
    </row>
    <row r="1509" spans="1:14" hidden="1" x14ac:dyDescent="0.25">
      <c r="A1509" s="11">
        <v>46053</v>
      </c>
      <c r="B1509" s="5" t="s">
        <v>836</v>
      </c>
      <c r="C1509" s="3" t="s">
        <v>128</v>
      </c>
      <c r="D1509" s="5" t="s">
        <v>396</v>
      </c>
      <c r="E1509" s="5" t="s">
        <v>117</v>
      </c>
      <c r="F1509" s="6" t="s">
        <v>844</v>
      </c>
      <c r="G1509" s="4" t="s">
        <v>1</v>
      </c>
      <c r="H1509" s="25">
        <v>18.698499999999999</v>
      </c>
      <c r="I1509" s="8">
        <v>10440</v>
      </c>
      <c r="J1509" s="9">
        <v>5000</v>
      </c>
      <c r="K1509" s="7">
        <v>-5440</v>
      </c>
      <c r="L1509" s="24">
        <f>+Tabla2[[#This Row],[Stock Inventario]]*Tabla2[[#This Row],[Coste LÃ­nea]]</f>
        <v>93492.5</v>
      </c>
      <c r="M1509" s="24">
        <f>+Tabla2[[#This Row],[Variación Stock]]*Tabla2[[#This Row],[Coste LÃ­nea]]</f>
        <v>-101719.84</v>
      </c>
      <c r="N1509" s="22" t="str">
        <f>+IF(Tabla2[[#This Row],[Variación Stock]]&gt;0,"Sobrante",IF(Tabla2[[#This Row],[Variación Stock]]&lt;0,"Faltante","Sin novedad"))</f>
        <v>Faltante</v>
      </c>
    </row>
    <row r="1510" spans="1:14" hidden="1" x14ac:dyDescent="0.25">
      <c r="A1510" s="11">
        <v>46053</v>
      </c>
      <c r="B1510" s="5" t="s">
        <v>836</v>
      </c>
      <c r="C1510" s="3" t="s">
        <v>128</v>
      </c>
      <c r="D1510" s="5" t="s">
        <v>396</v>
      </c>
      <c r="E1510" s="5" t="s">
        <v>117</v>
      </c>
      <c r="F1510" s="6" t="s">
        <v>439</v>
      </c>
      <c r="G1510" s="4" t="s">
        <v>1</v>
      </c>
      <c r="H1510" s="25">
        <v>18.698499999999999</v>
      </c>
      <c r="I1510" s="8">
        <v>-300</v>
      </c>
      <c r="J1510" s="9">
        <v>0</v>
      </c>
      <c r="K1510" s="7">
        <v>300</v>
      </c>
      <c r="L1510" s="24">
        <f>+Tabla2[[#This Row],[Stock Inventario]]*Tabla2[[#This Row],[Coste LÃ­nea]]</f>
        <v>0</v>
      </c>
      <c r="M1510" s="24">
        <f>+Tabla2[[#This Row],[Variación Stock]]*Tabla2[[#This Row],[Coste LÃ­nea]]</f>
        <v>5609.55</v>
      </c>
      <c r="N1510" s="22" t="str">
        <f>+IF(Tabla2[[#This Row],[Variación Stock]]&gt;0,"Sobrante",IF(Tabla2[[#This Row],[Variación Stock]]&lt;0,"Faltante","Sin novedad"))</f>
        <v>Sobrante</v>
      </c>
    </row>
    <row r="1511" spans="1:14" x14ac:dyDescent="0.25">
      <c r="A1511" s="11">
        <v>46053</v>
      </c>
      <c r="B1511" s="5" t="s">
        <v>836</v>
      </c>
      <c r="C1511" s="3" t="s">
        <v>128</v>
      </c>
      <c r="D1511" s="5" t="s">
        <v>122</v>
      </c>
      <c r="E1511" s="5" t="s">
        <v>112</v>
      </c>
      <c r="F1511" s="6" t="s">
        <v>97</v>
      </c>
      <c r="G1511" s="4" t="s">
        <v>2</v>
      </c>
      <c r="H1511" s="25">
        <v>1234.3916666699999</v>
      </c>
      <c r="I1511" s="8">
        <v>92</v>
      </c>
      <c r="J1511" s="9">
        <v>92</v>
      </c>
      <c r="K1511" s="7">
        <v>0</v>
      </c>
      <c r="L1511" s="24">
        <f>+Tabla2[[#This Row],[Stock Inventario]]*Tabla2[[#This Row],[Coste LÃ­nea]]</f>
        <v>113564.03333363999</v>
      </c>
      <c r="M1511" s="24">
        <f>+Tabla2[[#This Row],[Variación Stock]]*Tabla2[[#This Row],[Coste LÃ­nea]]</f>
        <v>0</v>
      </c>
      <c r="N1511" s="22" t="str">
        <f>+IF(Tabla2[[#This Row],[Variación Stock]]&gt;0,"Sobrante",IF(Tabla2[[#This Row],[Variación Stock]]&lt;0,"Faltante","Sin novedad"))</f>
        <v>Sin novedad</v>
      </c>
    </row>
    <row r="1512" spans="1:14" x14ac:dyDescent="0.25">
      <c r="A1512" s="11">
        <v>46053</v>
      </c>
      <c r="B1512" s="5" t="s">
        <v>836</v>
      </c>
      <c r="C1512" s="3" t="s">
        <v>128</v>
      </c>
      <c r="D1512" s="5" t="s">
        <v>122</v>
      </c>
      <c r="E1512" s="5" t="s">
        <v>112</v>
      </c>
      <c r="F1512" s="6" t="s">
        <v>98</v>
      </c>
      <c r="G1512" s="4" t="s">
        <v>2</v>
      </c>
      <c r="H1512" s="25">
        <v>1654.2750000000001</v>
      </c>
      <c r="I1512" s="8">
        <v>57</v>
      </c>
      <c r="J1512" s="9">
        <v>76</v>
      </c>
      <c r="K1512" s="7">
        <v>19</v>
      </c>
      <c r="L1512" s="24">
        <f>+Tabla2[[#This Row],[Stock Inventario]]*Tabla2[[#This Row],[Coste LÃ­nea]]</f>
        <v>125724.90000000001</v>
      </c>
      <c r="M1512" s="24">
        <f>+Tabla2[[#This Row],[Variación Stock]]*Tabla2[[#This Row],[Coste LÃ­nea]]</f>
        <v>31431.225000000002</v>
      </c>
      <c r="N1512" s="22" t="str">
        <f>+IF(Tabla2[[#This Row],[Variación Stock]]&gt;0,"Sobrante",IF(Tabla2[[#This Row],[Variación Stock]]&lt;0,"Faltante","Sin novedad"))</f>
        <v>Sobrante</v>
      </c>
    </row>
    <row r="1513" spans="1:14" hidden="1" x14ac:dyDescent="0.25">
      <c r="A1513" s="11">
        <v>46053</v>
      </c>
      <c r="B1513" s="5" t="s">
        <v>836</v>
      </c>
      <c r="C1513" s="3" t="s">
        <v>128</v>
      </c>
      <c r="D1513" s="5" t="s">
        <v>471</v>
      </c>
      <c r="E1513" s="5" t="s">
        <v>117</v>
      </c>
      <c r="F1513" s="6" t="s">
        <v>512</v>
      </c>
      <c r="G1513" s="4" t="s">
        <v>1</v>
      </c>
      <c r="H1513" s="25">
        <v>6.8</v>
      </c>
      <c r="I1513" s="8">
        <v>-370</v>
      </c>
      <c r="J1513" s="9">
        <v>1000</v>
      </c>
      <c r="K1513" s="7">
        <v>1370</v>
      </c>
      <c r="L1513" s="24">
        <f>+Tabla2[[#This Row],[Stock Inventario]]*Tabla2[[#This Row],[Coste LÃ­nea]]</f>
        <v>6800</v>
      </c>
      <c r="M1513" s="24">
        <f>+Tabla2[[#This Row],[Variación Stock]]*Tabla2[[#This Row],[Coste LÃ­nea]]</f>
        <v>9316</v>
      </c>
      <c r="N1513" s="22" t="str">
        <f>+IF(Tabla2[[#This Row],[Variación Stock]]&gt;0,"Sobrante",IF(Tabla2[[#This Row],[Variación Stock]]&lt;0,"Faltante","Sin novedad"))</f>
        <v>Sobrante</v>
      </c>
    </row>
    <row r="1514" spans="1:14" hidden="1" x14ac:dyDescent="0.25">
      <c r="A1514" s="11">
        <v>46053</v>
      </c>
      <c r="B1514" s="5" t="s">
        <v>836</v>
      </c>
      <c r="C1514" s="3" t="s">
        <v>128</v>
      </c>
      <c r="D1514" s="5" t="s">
        <v>471</v>
      </c>
      <c r="E1514" s="5" t="s">
        <v>117</v>
      </c>
      <c r="F1514" s="6" t="s">
        <v>513</v>
      </c>
      <c r="G1514" s="4" t="s">
        <v>1</v>
      </c>
      <c r="H1514" s="25">
        <v>3.8</v>
      </c>
      <c r="I1514" s="8">
        <v>16083.999100000001</v>
      </c>
      <c r="J1514" s="9">
        <v>3346</v>
      </c>
      <c r="K1514" s="7">
        <v>-12737.999136</v>
      </c>
      <c r="L1514" s="24">
        <f>+Tabla2[[#This Row],[Stock Inventario]]*Tabla2[[#This Row],[Coste LÃ­nea]]</f>
        <v>12714.8</v>
      </c>
      <c r="M1514" s="24">
        <f>+Tabla2[[#This Row],[Variación Stock]]*Tabla2[[#This Row],[Coste LÃ­nea]]</f>
        <v>-48404.396716800002</v>
      </c>
      <c r="N1514" s="22" t="str">
        <f>+IF(Tabla2[[#This Row],[Variación Stock]]&gt;0,"Sobrante",IF(Tabla2[[#This Row],[Variación Stock]]&lt;0,"Faltante","Sin novedad"))</f>
        <v>Faltante</v>
      </c>
    </row>
    <row r="1515" spans="1:14" x14ac:dyDescent="0.25">
      <c r="A1515" s="11">
        <v>46053</v>
      </c>
      <c r="B1515" s="5" t="s">
        <v>836</v>
      </c>
      <c r="C1515" s="3" t="s">
        <v>128</v>
      </c>
      <c r="D1515" s="5" t="s">
        <v>603</v>
      </c>
      <c r="E1515" s="5" t="s">
        <v>112</v>
      </c>
      <c r="F1515" s="6" t="s">
        <v>619</v>
      </c>
      <c r="G1515" s="4" t="s">
        <v>1</v>
      </c>
      <c r="H1515" s="25">
        <v>3.8</v>
      </c>
      <c r="I1515" s="8">
        <v>1238</v>
      </c>
      <c r="J1515" s="9">
        <v>0</v>
      </c>
      <c r="K1515" s="7">
        <v>-1238</v>
      </c>
      <c r="L1515" s="24">
        <f>+Tabla2[[#This Row],[Stock Inventario]]*Tabla2[[#This Row],[Coste LÃ­nea]]</f>
        <v>0</v>
      </c>
      <c r="M1515" s="24">
        <f>+Tabla2[[#This Row],[Variación Stock]]*Tabla2[[#This Row],[Coste LÃ­nea]]</f>
        <v>-4704.3999999999996</v>
      </c>
      <c r="N1515" s="22" t="str">
        <f>+IF(Tabla2[[#This Row],[Variación Stock]]&gt;0,"Sobrante",IF(Tabla2[[#This Row],[Variación Stock]]&lt;0,"Faltante","Sin novedad"))</f>
        <v>Faltante</v>
      </c>
    </row>
    <row r="1516" spans="1:14" hidden="1" x14ac:dyDescent="0.25">
      <c r="A1516" s="11">
        <v>46053</v>
      </c>
      <c r="B1516" s="5" t="s">
        <v>836</v>
      </c>
      <c r="C1516" s="3" t="s">
        <v>128</v>
      </c>
      <c r="D1516" s="5" t="s">
        <v>547</v>
      </c>
      <c r="E1516" s="5" t="s">
        <v>117</v>
      </c>
      <c r="F1516" s="6" t="s">
        <v>556</v>
      </c>
      <c r="G1516" s="4" t="s">
        <v>1</v>
      </c>
      <c r="H1516" s="25">
        <v>34.200000000000003</v>
      </c>
      <c r="I1516" s="8">
        <v>21055</v>
      </c>
      <c r="J1516" s="9">
        <v>2500</v>
      </c>
      <c r="K1516" s="7">
        <v>-18555.000032</v>
      </c>
      <c r="L1516" s="24">
        <f>+Tabla2[[#This Row],[Stock Inventario]]*Tabla2[[#This Row],[Coste LÃ­nea]]</f>
        <v>85500</v>
      </c>
      <c r="M1516" s="24">
        <f>+Tabla2[[#This Row],[Variación Stock]]*Tabla2[[#This Row],[Coste LÃ­nea]]</f>
        <v>-634581.00109440007</v>
      </c>
      <c r="N1516" s="22" t="str">
        <f>+IF(Tabla2[[#This Row],[Variación Stock]]&gt;0,"Sobrante",IF(Tabla2[[#This Row],[Variación Stock]]&lt;0,"Faltante","Sin novedad"))</f>
        <v>Faltante</v>
      </c>
    </row>
    <row r="1517" spans="1:14" x14ac:dyDescent="0.25">
      <c r="A1517" s="11">
        <v>46053</v>
      </c>
      <c r="B1517" s="5" t="s">
        <v>836</v>
      </c>
      <c r="C1517" s="3" t="s">
        <v>128</v>
      </c>
      <c r="D1517" s="5" t="s">
        <v>603</v>
      </c>
      <c r="E1517" s="5" t="s">
        <v>112</v>
      </c>
      <c r="F1517" s="6" t="s">
        <v>620</v>
      </c>
      <c r="G1517" s="4" t="s">
        <v>1</v>
      </c>
      <c r="H1517" s="25">
        <v>10.5</v>
      </c>
      <c r="I1517" s="8">
        <v>-3441.1763000000001</v>
      </c>
      <c r="J1517" s="9">
        <v>0</v>
      </c>
      <c r="K1517" s="7">
        <v>3441.1763099999998</v>
      </c>
      <c r="L1517" s="24">
        <f>+Tabla2[[#This Row],[Stock Inventario]]*Tabla2[[#This Row],[Coste LÃ­nea]]</f>
        <v>0</v>
      </c>
      <c r="M1517" s="24">
        <f>+Tabla2[[#This Row],[Variación Stock]]*Tabla2[[#This Row],[Coste LÃ­nea]]</f>
        <v>36132.351255000001</v>
      </c>
      <c r="N1517" s="22" t="str">
        <f>+IF(Tabla2[[#This Row],[Variación Stock]]&gt;0,"Sobrante",IF(Tabla2[[#This Row],[Variación Stock]]&lt;0,"Faltante","Sin novedad"))</f>
        <v>Sobrante</v>
      </c>
    </row>
    <row r="1518" spans="1:14" hidden="1" x14ac:dyDescent="0.25">
      <c r="A1518" s="11">
        <v>46053</v>
      </c>
      <c r="B1518" s="5" t="s">
        <v>836</v>
      </c>
      <c r="C1518" s="3" t="s">
        <v>128</v>
      </c>
      <c r="D1518" s="5" t="s">
        <v>471</v>
      </c>
      <c r="E1518" s="5" t="s">
        <v>117</v>
      </c>
      <c r="F1518" s="6" t="s">
        <v>869</v>
      </c>
      <c r="G1518" s="4" t="s">
        <v>1</v>
      </c>
      <c r="H1518" s="25">
        <v>10.199999999999999</v>
      </c>
      <c r="I1518" s="8">
        <v>1750</v>
      </c>
      <c r="J1518" s="9">
        <v>276</v>
      </c>
      <c r="K1518" s="7">
        <v>-1474</v>
      </c>
      <c r="L1518" s="24">
        <f>+Tabla2[[#This Row],[Stock Inventario]]*Tabla2[[#This Row],[Coste LÃ­nea]]</f>
        <v>2815.2</v>
      </c>
      <c r="M1518" s="24">
        <f>+Tabla2[[#This Row],[Variación Stock]]*Tabla2[[#This Row],[Coste LÃ­nea]]</f>
        <v>-15034.8</v>
      </c>
      <c r="N1518" s="22" t="str">
        <f>+IF(Tabla2[[#This Row],[Variación Stock]]&gt;0,"Sobrante",IF(Tabla2[[#This Row],[Variación Stock]]&lt;0,"Faltante","Sin novedad"))</f>
        <v>Faltante</v>
      </c>
    </row>
    <row r="1519" spans="1:14" hidden="1" x14ac:dyDescent="0.25">
      <c r="A1519" s="11">
        <v>46053</v>
      </c>
      <c r="B1519" s="5" t="s">
        <v>836</v>
      </c>
      <c r="C1519" s="3" t="s">
        <v>128</v>
      </c>
      <c r="D1519" s="5" t="s">
        <v>471</v>
      </c>
      <c r="E1519" s="5" t="s">
        <v>117</v>
      </c>
      <c r="F1519" s="6" t="s">
        <v>515</v>
      </c>
      <c r="G1519" s="4" t="s">
        <v>1</v>
      </c>
      <c r="H1519" s="25">
        <v>6</v>
      </c>
      <c r="I1519" s="8">
        <v>20750</v>
      </c>
      <c r="J1519" s="9">
        <v>0</v>
      </c>
      <c r="K1519" s="7">
        <v>-20750</v>
      </c>
      <c r="L1519" s="24">
        <f>+Tabla2[[#This Row],[Stock Inventario]]*Tabla2[[#This Row],[Coste LÃ­nea]]</f>
        <v>0</v>
      </c>
      <c r="M1519" s="24">
        <f>+Tabla2[[#This Row],[Variación Stock]]*Tabla2[[#This Row],[Coste LÃ­nea]]</f>
        <v>-124500</v>
      </c>
      <c r="N1519" s="22" t="str">
        <f>+IF(Tabla2[[#This Row],[Variación Stock]]&gt;0,"Sobrante",IF(Tabla2[[#This Row],[Variación Stock]]&lt;0,"Faltante","Sin novedad"))</f>
        <v>Faltante</v>
      </c>
    </row>
    <row r="1520" spans="1:14" x14ac:dyDescent="0.25">
      <c r="A1520" s="11">
        <v>46053</v>
      </c>
      <c r="B1520" s="5" t="s">
        <v>836</v>
      </c>
      <c r="C1520" s="3" t="s">
        <v>128</v>
      </c>
      <c r="D1520" s="5" t="s">
        <v>118</v>
      </c>
      <c r="E1520" s="5" t="s">
        <v>112</v>
      </c>
      <c r="F1520" s="6" t="s">
        <v>370</v>
      </c>
      <c r="G1520" s="4" t="s">
        <v>0</v>
      </c>
      <c r="H1520" s="25">
        <v>2137.5</v>
      </c>
      <c r="I1520" s="8">
        <v>17</v>
      </c>
      <c r="J1520" s="9">
        <v>24</v>
      </c>
      <c r="K1520" s="7">
        <v>7</v>
      </c>
      <c r="L1520" s="24">
        <f>+Tabla2[[#This Row],[Stock Inventario]]*Tabla2[[#This Row],[Coste LÃ­nea]]</f>
        <v>51300</v>
      </c>
      <c r="M1520" s="24">
        <f>+Tabla2[[#This Row],[Variación Stock]]*Tabla2[[#This Row],[Coste LÃ­nea]]</f>
        <v>14962.5</v>
      </c>
      <c r="N1520" s="22" t="str">
        <f>+IF(Tabla2[[#This Row],[Variación Stock]]&gt;0,"Sobrante",IF(Tabla2[[#This Row],[Variación Stock]]&lt;0,"Faltante","Sin novedad"))</f>
        <v>Sobrante</v>
      </c>
    </row>
    <row r="1521" spans="1:14" hidden="1" x14ac:dyDescent="0.25">
      <c r="A1521" s="11">
        <v>46053</v>
      </c>
      <c r="B1521" s="5" t="s">
        <v>836</v>
      </c>
      <c r="C1521" s="3" t="s">
        <v>128</v>
      </c>
      <c r="D1521" s="5" t="s">
        <v>396</v>
      </c>
      <c r="E1521" s="5" t="s">
        <v>117</v>
      </c>
      <c r="F1521" s="6" t="s">
        <v>839</v>
      </c>
      <c r="G1521" s="4" t="s">
        <v>1</v>
      </c>
      <c r="H1521" s="25">
        <v>2.99</v>
      </c>
      <c r="I1521" s="8">
        <v>-2</v>
      </c>
      <c r="J1521" s="9">
        <v>0</v>
      </c>
      <c r="K1521" s="7">
        <v>2</v>
      </c>
      <c r="L1521" s="24">
        <f>+Tabla2[[#This Row],[Stock Inventario]]*Tabla2[[#This Row],[Coste LÃ­nea]]</f>
        <v>0</v>
      </c>
      <c r="M1521" s="24">
        <f>+Tabla2[[#This Row],[Variación Stock]]*Tabla2[[#This Row],[Coste LÃ­nea]]</f>
        <v>5.98</v>
      </c>
      <c r="N1521" s="22" t="str">
        <f>+IF(Tabla2[[#This Row],[Variación Stock]]&gt;0,"Sobrante",IF(Tabla2[[#This Row],[Variación Stock]]&lt;0,"Faltante","Sin novedad"))</f>
        <v>Sobrante</v>
      </c>
    </row>
    <row r="1522" spans="1:14" hidden="1" x14ac:dyDescent="0.25">
      <c r="A1522" s="11">
        <v>46053</v>
      </c>
      <c r="B1522" s="5" t="s">
        <v>836</v>
      </c>
      <c r="C1522" s="3" t="s">
        <v>128</v>
      </c>
      <c r="D1522" s="5" t="s">
        <v>396</v>
      </c>
      <c r="E1522" s="5" t="s">
        <v>117</v>
      </c>
      <c r="F1522" s="6" t="s">
        <v>402</v>
      </c>
      <c r="G1522" s="4" t="s">
        <v>1</v>
      </c>
      <c r="H1522" s="25">
        <v>32</v>
      </c>
      <c r="I1522" s="8">
        <v>15475</v>
      </c>
      <c r="J1522" s="9">
        <v>19625</v>
      </c>
      <c r="K1522" s="7">
        <v>4150</v>
      </c>
      <c r="L1522" s="24">
        <f>+Tabla2[[#This Row],[Stock Inventario]]*Tabla2[[#This Row],[Coste LÃ­nea]]</f>
        <v>628000</v>
      </c>
      <c r="M1522" s="24">
        <f>+Tabla2[[#This Row],[Variación Stock]]*Tabla2[[#This Row],[Coste LÃ­nea]]</f>
        <v>132800</v>
      </c>
      <c r="N1522" s="22" t="str">
        <f>+IF(Tabla2[[#This Row],[Variación Stock]]&gt;0,"Sobrante",IF(Tabla2[[#This Row],[Variación Stock]]&lt;0,"Faltante","Sin novedad"))</f>
        <v>Sobrante</v>
      </c>
    </row>
    <row r="1523" spans="1:14" hidden="1" x14ac:dyDescent="0.25">
      <c r="A1523" s="11">
        <v>46053</v>
      </c>
      <c r="B1523" s="5" t="s">
        <v>836</v>
      </c>
      <c r="C1523" s="3" t="s">
        <v>128</v>
      </c>
      <c r="D1523" s="5" t="s">
        <v>396</v>
      </c>
      <c r="E1523" s="5" t="s">
        <v>117</v>
      </c>
      <c r="F1523" s="6" t="s">
        <v>441</v>
      </c>
      <c r="G1523" s="4" t="s">
        <v>1</v>
      </c>
      <c r="H1523" s="25">
        <v>26.703749999999999</v>
      </c>
      <c r="I1523" s="8">
        <v>0</v>
      </c>
      <c r="J1523" s="9">
        <v>0</v>
      </c>
      <c r="K1523" s="7">
        <v>0</v>
      </c>
      <c r="L1523" s="24">
        <f>+Tabla2[[#This Row],[Stock Inventario]]*Tabla2[[#This Row],[Coste LÃ­nea]]</f>
        <v>0</v>
      </c>
      <c r="M1523" s="24">
        <f>+Tabla2[[#This Row],[Variación Stock]]*Tabla2[[#This Row],[Coste LÃ­nea]]</f>
        <v>0</v>
      </c>
      <c r="N1523" s="22" t="str">
        <f>+IF(Tabla2[[#This Row],[Variación Stock]]&gt;0,"Sobrante",IF(Tabla2[[#This Row],[Variación Stock]]&lt;0,"Faltante","Sin novedad"))</f>
        <v>Sin novedad</v>
      </c>
    </row>
    <row r="1524" spans="1:14" hidden="1" x14ac:dyDescent="0.25">
      <c r="A1524" s="11">
        <v>46053</v>
      </c>
      <c r="B1524" s="5" t="s">
        <v>836</v>
      </c>
      <c r="C1524" s="3" t="s">
        <v>128</v>
      </c>
      <c r="D1524" s="5" t="s">
        <v>396</v>
      </c>
      <c r="E1524" s="5" t="s">
        <v>117</v>
      </c>
      <c r="F1524" s="6" t="s">
        <v>442</v>
      </c>
      <c r="G1524" s="4" t="s">
        <v>1</v>
      </c>
      <c r="H1524" s="25">
        <v>25.4994695</v>
      </c>
      <c r="I1524" s="8">
        <v>5360.0015999999996</v>
      </c>
      <c r="J1524" s="9">
        <v>7540</v>
      </c>
      <c r="K1524" s="7">
        <v>2179.9983999999999</v>
      </c>
      <c r="L1524" s="24">
        <f>+Tabla2[[#This Row],[Stock Inventario]]*Tabla2[[#This Row],[Coste LÃ­nea]]</f>
        <v>192266.00003</v>
      </c>
      <c r="M1524" s="24">
        <f>+Tabla2[[#This Row],[Variación Stock]]*Tabla2[[#This Row],[Coste LÃ­nea]]</f>
        <v>55588.802710848802</v>
      </c>
      <c r="N1524" s="22" t="str">
        <f>+IF(Tabla2[[#This Row],[Variación Stock]]&gt;0,"Sobrante",IF(Tabla2[[#This Row],[Variación Stock]]&lt;0,"Faltante","Sin novedad"))</f>
        <v>Sobrante</v>
      </c>
    </row>
    <row r="1525" spans="1:14" hidden="1" x14ac:dyDescent="0.25">
      <c r="A1525" s="11">
        <v>46053</v>
      </c>
      <c r="B1525" s="5" t="s">
        <v>836</v>
      </c>
      <c r="C1525" s="3" t="s">
        <v>128</v>
      </c>
      <c r="D1525" s="5" t="s">
        <v>471</v>
      </c>
      <c r="E1525" s="5" t="s">
        <v>117</v>
      </c>
      <c r="F1525" s="6" t="s">
        <v>516</v>
      </c>
      <c r="G1525" s="4" t="s">
        <v>1</v>
      </c>
      <c r="H1525" s="25">
        <v>5.5</v>
      </c>
      <c r="I1525" s="8">
        <v>14385</v>
      </c>
      <c r="J1525" s="9">
        <v>2940</v>
      </c>
      <c r="K1525" s="7">
        <v>-11445</v>
      </c>
      <c r="L1525" s="24">
        <f>+Tabla2[[#This Row],[Stock Inventario]]*Tabla2[[#This Row],[Coste LÃ­nea]]</f>
        <v>16170</v>
      </c>
      <c r="M1525" s="24">
        <f>+Tabla2[[#This Row],[Variación Stock]]*Tabla2[[#This Row],[Coste LÃ­nea]]</f>
        <v>-62947.5</v>
      </c>
      <c r="N1525" s="22" t="str">
        <f>+IF(Tabla2[[#This Row],[Variación Stock]]&gt;0,"Sobrante",IF(Tabla2[[#This Row],[Variación Stock]]&lt;0,"Faltante","Sin novedad"))</f>
        <v>Faltante</v>
      </c>
    </row>
    <row r="1526" spans="1:14" hidden="1" x14ac:dyDescent="0.25">
      <c r="A1526" s="11">
        <v>46053</v>
      </c>
      <c r="B1526" s="5" t="s">
        <v>836</v>
      </c>
      <c r="C1526" s="3" t="s">
        <v>128</v>
      </c>
      <c r="D1526" s="5" t="s">
        <v>119</v>
      </c>
      <c r="E1526" s="5" t="s">
        <v>117</v>
      </c>
      <c r="F1526" s="6" t="s">
        <v>11</v>
      </c>
      <c r="G1526" s="4" t="s">
        <v>2</v>
      </c>
      <c r="H1526" s="25">
        <v>436.01333333000002</v>
      </c>
      <c r="I1526" s="8">
        <v>104</v>
      </c>
      <c r="J1526" s="9">
        <v>160</v>
      </c>
      <c r="K1526" s="7">
        <v>56</v>
      </c>
      <c r="L1526" s="24">
        <f>+Tabla2[[#This Row],[Stock Inventario]]*Tabla2[[#This Row],[Coste LÃ­nea]]</f>
        <v>69762.133332800004</v>
      </c>
      <c r="M1526" s="24">
        <f>+Tabla2[[#This Row],[Variación Stock]]*Tabla2[[#This Row],[Coste LÃ­nea]]</f>
        <v>24416.746666480001</v>
      </c>
      <c r="N1526" s="22" t="str">
        <f>+IF(Tabla2[[#This Row],[Variación Stock]]&gt;0,"Sobrante",IF(Tabla2[[#This Row],[Variación Stock]]&lt;0,"Faltante","Sin novedad"))</f>
        <v>Sobrante</v>
      </c>
    </row>
    <row r="1527" spans="1:14" hidden="1" x14ac:dyDescent="0.25">
      <c r="A1527" s="11">
        <v>46053</v>
      </c>
      <c r="B1527" s="5" t="s">
        <v>836</v>
      </c>
      <c r="C1527" s="3" t="s">
        <v>128</v>
      </c>
      <c r="D1527" s="5" t="s">
        <v>471</v>
      </c>
      <c r="E1527" s="5" t="s">
        <v>117</v>
      </c>
      <c r="F1527" s="6" t="s">
        <v>472</v>
      </c>
      <c r="G1527" s="4" t="s">
        <v>1</v>
      </c>
      <c r="H1527" s="25">
        <v>12.5</v>
      </c>
      <c r="I1527" s="8">
        <v>-44</v>
      </c>
      <c r="J1527" s="9">
        <v>0</v>
      </c>
      <c r="K1527" s="7">
        <v>44</v>
      </c>
      <c r="L1527" s="24">
        <f>+Tabla2[[#This Row],[Stock Inventario]]*Tabla2[[#This Row],[Coste LÃ­nea]]</f>
        <v>0</v>
      </c>
      <c r="M1527" s="24">
        <f>+Tabla2[[#This Row],[Variación Stock]]*Tabla2[[#This Row],[Coste LÃ­nea]]</f>
        <v>550</v>
      </c>
      <c r="N1527" s="22" t="str">
        <f>+IF(Tabla2[[#This Row],[Variación Stock]]&gt;0,"Sobrante",IF(Tabla2[[#This Row],[Variación Stock]]&lt;0,"Faltante","Sin novedad"))</f>
        <v>Sobrante</v>
      </c>
    </row>
    <row r="1528" spans="1:14" hidden="1" x14ac:dyDescent="0.25">
      <c r="A1528" s="11">
        <v>46053</v>
      </c>
      <c r="B1528" s="5" t="s">
        <v>836</v>
      </c>
      <c r="C1528" s="3" t="s">
        <v>128</v>
      </c>
      <c r="D1528" s="5" t="s">
        <v>396</v>
      </c>
      <c r="E1528" s="5" t="s">
        <v>117</v>
      </c>
      <c r="F1528" s="6" t="s">
        <v>443</v>
      </c>
      <c r="G1528" s="4" t="s">
        <v>2</v>
      </c>
      <c r="H1528" s="25">
        <v>171.97888889000001</v>
      </c>
      <c r="I1528" s="8">
        <v>4500</v>
      </c>
      <c r="J1528" s="9">
        <v>1650</v>
      </c>
      <c r="K1528" s="7">
        <v>-2850</v>
      </c>
      <c r="L1528" s="24">
        <f>+Tabla2[[#This Row],[Stock Inventario]]*Tabla2[[#This Row],[Coste LÃ­nea]]</f>
        <v>283765.16666849999</v>
      </c>
      <c r="M1528" s="24">
        <f>+Tabla2[[#This Row],[Variación Stock]]*Tabla2[[#This Row],[Coste LÃ­nea]]</f>
        <v>-490139.83333650004</v>
      </c>
      <c r="N1528" s="22" t="str">
        <f>+IF(Tabla2[[#This Row],[Variación Stock]]&gt;0,"Sobrante",IF(Tabla2[[#This Row],[Variación Stock]]&lt;0,"Faltante","Sin novedad"))</f>
        <v>Faltante</v>
      </c>
    </row>
    <row r="1529" spans="1:14" x14ac:dyDescent="0.25">
      <c r="A1529" s="11">
        <v>46053</v>
      </c>
      <c r="B1529" s="5" t="s">
        <v>836</v>
      </c>
      <c r="C1529" s="3" t="s">
        <v>128</v>
      </c>
      <c r="D1529" s="5" t="s">
        <v>111</v>
      </c>
      <c r="E1529" s="5" t="s">
        <v>112</v>
      </c>
      <c r="F1529" s="6" t="s">
        <v>26</v>
      </c>
      <c r="G1529" s="4" t="s">
        <v>0</v>
      </c>
      <c r="H1529" s="25">
        <v>9217.1666666700003</v>
      </c>
      <c r="I1529" s="8">
        <v>37</v>
      </c>
      <c r="J1529" s="9">
        <v>37</v>
      </c>
      <c r="K1529" s="7">
        <v>0</v>
      </c>
      <c r="L1529" s="24">
        <f>+Tabla2[[#This Row],[Stock Inventario]]*Tabla2[[#This Row],[Coste LÃ­nea]]</f>
        <v>341035.16666679003</v>
      </c>
      <c r="M1529" s="24">
        <f>+Tabla2[[#This Row],[Variación Stock]]*Tabla2[[#This Row],[Coste LÃ­nea]]</f>
        <v>0</v>
      </c>
      <c r="N1529" s="22" t="str">
        <f>+IF(Tabla2[[#This Row],[Variación Stock]]&gt;0,"Sobrante",IF(Tabla2[[#This Row],[Variación Stock]]&lt;0,"Faltante","Sin novedad"))</f>
        <v>Sin novedad</v>
      </c>
    </row>
    <row r="1530" spans="1:14" x14ac:dyDescent="0.25">
      <c r="A1530" s="11">
        <v>46053</v>
      </c>
      <c r="B1530" s="5" t="s">
        <v>836</v>
      </c>
      <c r="C1530" s="3" t="s">
        <v>128</v>
      </c>
      <c r="D1530" s="5" t="s">
        <v>111</v>
      </c>
      <c r="E1530" s="5" t="s">
        <v>112</v>
      </c>
      <c r="F1530" s="6" t="s">
        <v>27</v>
      </c>
      <c r="G1530" s="4" t="s">
        <v>0</v>
      </c>
      <c r="H1530" s="25">
        <v>7122.4772727299996</v>
      </c>
      <c r="I1530" s="8">
        <v>27.01</v>
      </c>
      <c r="J1530" s="9">
        <v>35</v>
      </c>
      <c r="K1530" s="7">
        <v>7.99</v>
      </c>
      <c r="L1530" s="24">
        <f>+Tabla2[[#This Row],[Stock Inventario]]*Tabla2[[#This Row],[Coste LÃ­nea]]</f>
        <v>249286.70454554999</v>
      </c>
      <c r="M1530" s="24">
        <f>+Tabla2[[#This Row],[Variación Stock]]*Tabla2[[#This Row],[Coste LÃ­nea]]</f>
        <v>56908.593409112698</v>
      </c>
      <c r="N1530" s="22" t="str">
        <f>+IF(Tabla2[[#This Row],[Variación Stock]]&gt;0,"Sobrante",IF(Tabla2[[#This Row],[Variación Stock]]&lt;0,"Faltante","Sin novedad"))</f>
        <v>Sobrante</v>
      </c>
    </row>
    <row r="1531" spans="1:14" hidden="1" x14ac:dyDescent="0.25">
      <c r="A1531" s="11">
        <v>46053</v>
      </c>
      <c r="B1531" s="5" t="s">
        <v>836</v>
      </c>
      <c r="C1531" s="3" t="s">
        <v>128</v>
      </c>
      <c r="D1531" s="5" t="s">
        <v>559</v>
      </c>
      <c r="E1531" s="5" t="s">
        <v>1080</v>
      </c>
      <c r="F1531" s="6" t="s">
        <v>579</v>
      </c>
      <c r="G1531" s="4" t="s">
        <v>2</v>
      </c>
      <c r="H1531" s="25">
        <v>155.53399999999999</v>
      </c>
      <c r="I1531" s="8">
        <v>0</v>
      </c>
      <c r="J1531" s="9">
        <v>4</v>
      </c>
      <c r="K1531" s="7">
        <v>4</v>
      </c>
      <c r="L1531" s="24">
        <f>+Tabla2[[#This Row],[Stock Inventario]]*Tabla2[[#This Row],[Coste LÃ­nea]]</f>
        <v>622.13599999999997</v>
      </c>
      <c r="M1531" s="24">
        <f>+Tabla2[[#This Row],[Variación Stock]]*Tabla2[[#This Row],[Coste LÃ­nea]]</f>
        <v>622.13599999999997</v>
      </c>
      <c r="N1531" s="22" t="str">
        <f>+IF(Tabla2[[#This Row],[Variación Stock]]&gt;0,"Sobrante",IF(Tabla2[[#This Row],[Variación Stock]]&lt;0,"Faltante","Sin novedad"))</f>
        <v>Sobrante</v>
      </c>
    </row>
    <row r="1532" spans="1:14" hidden="1" x14ac:dyDescent="0.25">
      <c r="A1532" s="11">
        <v>46053</v>
      </c>
      <c r="B1532" s="5" t="s">
        <v>836</v>
      </c>
      <c r="C1532" s="3" t="s">
        <v>128</v>
      </c>
      <c r="D1532" s="5" t="s">
        <v>471</v>
      </c>
      <c r="E1532" s="5" t="s">
        <v>117</v>
      </c>
      <c r="F1532" s="6" t="s">
        <v>870</v>
      </c>
      <c r="G1532" s="4" t="s">
        <v>1</v>
      </c>
      <c r="H1532" s="25">
        <v>12</v>
      </c>
      <c r="I1532" s="8">
        <v>-13202.2222</v>
      </c>
      <c r="J1532" s="9">
        <v>0</v>
      </c>
      <c r="K1532" s="7">
        <v>13202.2222212</v>
      </c>
      <c r="L1532" s="24">
        <f>+Tabla2[[#This Row],[Stock Inventario]]*Tabla2[[#This Row],[Coste LÃ­nea]]</f>
        <v>0</v>
      </c>
      <c r="M1532" s="24">
        <f>+Tabla2[[#This Row],[Variación Stock]]*Tabla2[[#This Row],[Coste LÃ­nea]]</f>
        <v>158426.6666544</v>
      </c>
      <c r="N1532" s="22" t="str">
        <f>+IF(Tabla2[[#This Row],[Variación Stock]]&gt;0,"Sobrante",IF(Tabla2[[#This Row],[Variación Stock]]&lt;0,"Faltante","Sin novedad"))</f>
        <v>Sobrante</v>
      </c>
    </row>
    <row r="1533" spans="1:14" hidden="1" x14ac:dyDescent="0.25">
      <c r="A1533" s="11">
        <v>46053</v>
      </c>
      <c r="B1533" s="5" t="s">
        <v>836</v>
      </c>
      <c r="C1533" s="3" t="s">
        <v>128</v>
      </c>
      <c r="D1533" s="5" t="s">
        <v>396</v>
      </c>
      <c r="E1533" s="5" t="s">
        <v>117</v>
      </c>
      <c r="F1533" s="6" t="s">
        <v>418</v>
      </c>
      <c r="G1533" s="4" t="s">
        <v>1</v>
      </c>
      <c r="H1533" s="25">
        <v>40.047916669999999</v>
      </c>
      <c r="I1533" s="8">
        <v>5131</v>
      </c>
      <c r="J1533" s="9">
        <v>1500</v>
      </c>
      <c r="K1533" s="7">
        <v>-3631</v>
      </c>
      <c r="L1533" s="24">
        <f>+Tabla2[[#This Row],[Stock Inventario]]*Tabla2[[#This Row],[Coste LÃ­nea]]</f>
        <v>60071.875005000002</v>
      </c>
      <c r="M1533" s="24">
        <f>+Tabla2[[#This Row],[Variación Stock]]*Tabla2[[#This Row],[Coste LÃ­nea]]</f>
        <v>-145413.98542876999</v>
      </c>
      <c r="N1533" s="22" t="str">
        <f>+IF(Tabla2[[#This Row],[Variación Stock]]&gt;0,"Sobrante",IF(Tabla2[[#This Row],[Variación Stock]]&lt;0,"Faltante","Sin novedad"))</f>
        <v>Faltante</v>
      </c>
    </row>
    <row r="1534" spans="1:14" hidden="1" x14ac:dyDescent="0.25">
      <c r="A1534" s="11">
        <v>46053</v>
      </c>
      <c r="B1534" s="5" t="s">
        <v>836</v>
      </c>
      <c r="C1534" s="3" t="s">
        <v>128</v>
      </c>
      <c r="D1534" s="5" t="s">
        <v>396</v>
      </c>
      <c r="E1534" s="5" t="s">
        <v>117</v>
      </c>
      <c r="F1534" s="6" t="s">
        <v>460</v>
      </c>
      <c r="G1534" s="4" t="s">
        <v>1</v>
      </c>
      <c r="H1534" s="25">
        <v>19.687874999999998</v>
      </c>
      <c r="I1534" s="8">
        <v>1730</v>
      </c>
      <c r="J1534" s="9">
        <v>1440</v>
      </c>
      <c r="K1534" s="7">
        <v>-290</v>
      </c>
      <c r="L1534" s="24">
        <f>+Tabla2[[#This Row],[Stock Inventario]]*Tabla2[[#This Row],[Coste LÃ­nea]]</f>
        <v>28350.539999999997</v>
      </c>
      <c r="M1534" s="24">
        <f>+Tabla2[[#This Row],[Variación Stock]]*Tabla2[[#This Row],[Coste LÃ­nea]]</f>
        <v>-5709.4837499999994</v>
      </c>
      <c r="N1534" s="22" t="str">
        <f>+IF(Tabla2[[#This Row],[Variación Stock]]&gt;0,"Sobrante",IF(Tabla2[[#This Row],[Variación Stock]]&lt;0,"Faltante","Sin novedad"))</f>
        <v>Faltante</v>
      </c>
    </row>
    <row r="1535" spans="1:14" hidden="1" x14ac:dyDescent="0.25">
      <c r="A1535" s="11">
        <v>46053</v>
      </c>
      <c r="B1535" s="5" t="s">
        <v>836</v>
      </c>
      <c r="C1535" s="3" t="s">
        <v>128</v>
      </c>
      <c r="D1535" s="5" t="s">
        <v>396</v>
      </c>
      <c r="E1535" s="5" t="s">
        <v>117</v>
      </c>
      <c r="F1535" s="6" t="s">
        <v>425</v>
      </c>
      <c r="G1535" s="4" t="s">
        <v>1</v>
      </c>
      <c r="H1535" s="25">
        <v>16.5</v>
      </c>
      <c r="I1535" s="8">
        <v>22590</v>
      </c>
      <c r="J1535" s="9">
        <v>3200</v>
      </c>
      <c r="K1535" s="7">
        <v>-19390</v>
      </c>
      <c r="L1535" s="24">
        <f>+Tabla2[[#This Row],[Stock Inventario]]*Tabla2[[#This Row],[Coste LÃ­nea]]</f>
        <v>52800</v>
      </c>
      <c r="M1535" s="24">
        <f>+Tabla2[[#This Row],[Variación Stock]]*Tabla2[[#This Row],[Coste LÃ­nea]]</f>
        <v>-319935</v>
      </c>
      <c r="N1535" s="22" t="str">
        <f>+IF(Tabla2[[#This Row],[Variación Stock]]&gt;0,"Sobrante",IF(Tabla2[[#This Row],[Variación Stock]]&lt;0,"Faltante","Sin novedad"))</f>
        <v>Faltante</v>
      </c>
    </row>
    <row r="1536" spans="1:14" hidden="1" x14ac:dyDescent="0.25">
      <c r="A1536" s="11">
        <v>46053</v>
      </c>
      <c r="B1536" s="5" t="s">
        <v>836</v>
      </c>
      <c r="C1536" s="3" t="s">
        <v>128</v>
      </c>
      <c r="D1536" s="5" t="s">
        <v>396</v>
      </c>
      <c r="E1536" s="5" t="s">
        <v>117</v>
      </c>
      <c r="F1536" s="6" t="s">
        <v>838</v>
      </c>
      <c r="G1536" s="4" t="s">
        <v>1</v>
      </c>
      <c r="H1536" s="25">
        <v>66.665742300000005</v>
      </c>
      <c r="I1536" s="8">
        <v>732</v>
      </c>
      <c r="J1536" s="9">
        <v>0</v>
      </c>
      <c r="K1536" s="7">
        <v>-732</v>
      </c>
      <c r="L1536" s="24">
        <f>+Tabla2[[#This Row],[Stock Inventario]]*Tabla2[[#This Row],[Coste LÃ­nea]]</f>
        <v>0</v>
      </c>
      <c r="M1536" s="24">
        <f>+Tabla2[[#This Row],[Variación Stock]]*Tabla2[[#This Row],[Coste LÃ­nea]]</f>
        <v>-48799.3233636</v>
      </c>
      <c r="N1536" s="22" t="str">
        <f>+IF(Tabla2[[#This Row],[Variación Stock]]&gt;0,"Sobrante",IF(Tabla2[[#This Row],[Variación Stock]]&lt;0,"Faltante","Sin novedad"))</f>
        <v>Faltante</v>
      </c>
    </row>
    <row r="1537" spans="1:14" x14ac:dyDescent="0.25">
      <c r="A1537" s="11">
        <v>46053</v>
      </c>
      <c r="B1537" s="5" t="s">
        <v>836</v>
      </c>
      <c r="C1537" s="3" t="s">
        <v>128</v>
      </c>
      <c r="D1537" s="5" t="s">
        <v>118</v>
      </c>
      <c r="E1537" s="5" t="s">
        <v>112</v>
      </c>
      <c r="F1537" s="6" t="s">
        <v>188</v>
      </c>
      <c r="G1537" s="4" t="s">
        <v>2</v>
      </c>
      <c r="H1537" s="25">
        <v>176006.72268899999</v>
      </c>
      <c r="I1537" s="8">
        <v>2</v>
      </c>
      <c r="J1537" s="9">
        <v>2</v>
      </c>
      <c r="K1537" s="7">
        <v>0</v>
      </c>
      <c r="L1537" s="24">
        <f>+Tabla2[[#This Row],[Stock Inventario]]*Tabla2[[#This Row],[Coste LÃ­nea]]</f>
        <v>352013.44537799997</v>
      </c>
      <c r="M1537" s="24">
        <f>+Tabla2[[#This Row],[Variación Stock]]*Tabla2[[#This Row],[Coste LÃ­nea]]</f>
        <v>0</v>
      </c>
      <c r="N1537" s="22" t="str">
        <f>+IF(Tabla2[[#This Row],[Variación Stock]]&gt;0,"Sobrante",IF(Tabla2[[#This Row],[Variación Stock]]&lt;0,"Faltante","Sin novedad"))</f>
        <v>Sin novedad</v>
      </c>
    </row>
    <row r="1538" spans="1:14" x14ac:dyDescent="0.25">
      <c r="A1538" s="11">
        <v>46053</v>
      </c>
      <c r="B1538" s="5" t="s">
        <v>836</v>
      </c>
      <c r="C1538" s="3" t="s">
        <v>128</v>
      </c>
      <c r="D1538" s="5" t="s">
        <v>118</v>
      </c>
      <c r="E1538" s="5" t="s">
        <v>112</v>
      </c>
      <c r="F1538" s="6" t="s">
        <v>189</v>
      </c>
      <c r="G1538" s="4" t="s">
        <v>2</v>
      </c>
      <c r="H1538" s="25">
        <v>97685.185184999995</v>
      </c>
      <c r="I1538" s="8">
        <v>2</v>
      </c>
      <c r="J1538" s="9">
        <v>2</v>
      </c>
      <c r="K1538" s="7">
        <v>0</v>
      </c>
      <c r="L1538" s="24">
        <f>+Tabla2[[#This Row],[Stock Inventario]]*Tabla2[[#This Row],[Coste LÃ­nea]]</f>
        <v>195370.37036999999</v>
      </c>
      <c r="M1538" s="24">
        <f>+Tabla2[[#This Row],[Variación Stock]]*Tabla2[[#This Row],[Coste LÃ­nea]]</f>
        <v>0</v>
      </c>
      <c r="N1538" s="22" t="str">
        <f>+IF(Tabla2[[#This Row],[Variación Stock]]&gt;0,"Sobrante",IF(Tabla2[[#This Row],[Variación Stock]]&lt;0,"Faltante","Sin novedad"))</f>
        <v>Sin novedad</v>
      </c>
    </row>
    <row r="1539" spans="1:14" hidden="1" x14ac:dyDescent="0.25">
      <c r="A1539" s="11">
        <v>46053</v>
      </c>
      <c r="B1539" s="5" t="s">
        <v>836</v>
      </c>
      <c r="C1539" s="3" t="s">
        <v>128</v>
      </c>
      <c r="D1539" s="5" t="s">
        <v>471</v>
      </c>
      <c r="E1539" s="5" t="s">
        <v>117</v>
      </c>
      <c r="F1539" s="6" t="s">
        <v>517</v>
      </c>
      <c r="G1539" s="4" t="s">
        <v>1</v>
      </c>
      <c r="H1539" s="25">
        <v>9.5</v>
      </c>
      <c r="I1539" s="8">
        <v>8893</v>
      </c>
      <c r="J1539" s="9">
        <v>0</v>
      </c>
      <c r="K1539" s="7">
        <v>-8893</v>
      </c>
      <c r="L1539" s="24">
        <f>+Tabla2[[#This Row],[Stock Inventario]]*Tabla2[[#This Row],[Coste LÃ­nea]]</f>
        <v>0</v>
      </c>
      <c r="M1539" s="24">
        <f>+Tabla2[[#This Row],[Variación Stock]]*Tabla2[[#This Row],[Coste LÃ­nea]]</f>
        <v>-84483.5</v>
      </c>
      <c r="N1539" s="22" t="str">
        <f>+IF(Tabla2[[#This Row],[Variación Stock]]&gt;0,"Sobrante",IF(Tabla2[[#This Row],[Variación Stock]]&lt;0,"Faltante","Sin novedad"))</f>
        <v>Faltante</v>
      </c>
    </row>
    <row r="1540" spans="1:14" hidden="1" x14ac:dyDescent="0.25">
      <c r="A1540" s="11">
        <v>46053</v>
      </c>
      <c r="B1540" s="5" t="s">
        <v>836</v>
      </c>
      <c r="C1540" s="3" t="s">
        <v>128</v>
      </c>
      <c r="D1540" s="5" t="s">
        <v>396</v>
      </c>
      <c r="E1540" s="5" t="s">
        <v>117</v>
      </c>
      <c r="F1540" s="6" t="s">
        <v>444</v>
      </c>
      <c r="G1540" s="4" t="s">
        <v>1</v>
      </c>
      <c r="H1540" s="25">
        <v>22.523499999999999</v>
      </c>
      <c r="I1540" s="8">
        <v>6724.9992000000002</v>
      </c>
      <c r="J1540" s="9">
        <v>6025</v>
      </c>
      <c r="K1540" s="7">
        <v>-699.99919999999997</v>
      </c>
      <c r="L1540" s="24">
        <f>+Tabla2[[#This Row],[Stock Inventario]]*Tabla2[[#This Row],[Coste LÃ­nea]]</f>
        <v>135704.08749999999</v>
      </c>
      <c r="M1540" s="24">
        <f>+Tabla2[[#This Row],[Variación Stock]]*Tabla2[[#This Row],[Coste LÃ­nea]]</f>
        <v>-15766.431981199998</v>
      </c>
      <c r="N1540" s="22" t="str">
        <f>+IF(Tabla2[[#This Row],[Variación Stock]]&gt;0,"Sobrante",IF(Tabla2[[#This Row],[Variación Stock]]&lt;0,"Faltante","Sin novedad"))</f>
        <v>Faltante</v>
      </c>
    </row>
    <row r="1541" spans="1:14" hidden="1" x14ac:dyDescent="0.25">
      <c r="A1541" s="11">
        <v>46053</v>
      </c>
      <c r="B1541" s="5" t="s">
        <v>836</v>
      </c>
      <c r="C1541" s="3" t="s">
        <v>128</v>
      </c>
      <c r="D1541" s="5" t="s">
        <v>396</v>
      </c>
      <c r="E1541" s="5" t="s">
        <v>117</v>
      </c>
      <c r="F1541" s="6" t="s">
        <v>854</v>
      </c>
      <c r="G1541" s="4" t="s">
        <v>1</v>
      </c>
      <c r="H1541" s="25">
        <v>26</v>
      </c>
      <c r="I1541" s="8">
        <v>200</v>
      </c>
      <c r="J1541" s="9">
        <v>412</v>
      </c>
      <c r="K1541" s="7">
        <v>212</v>
      </c>
      <c r="L1541" s="24">
        <f>+Tabla2[[#This Row],[Stock Inventario]]*Tabla2[[#This Row],[Coste LÃ­nea]]</f>
        <v>10712</v>
      </c>
      <c r="M1541" s="24">
        <f>+Tabla2[[#This Row],[Variación Stock]]*Tabla2[[#This Row],[Coste LÃ­nea]]</f>
        <v>5512</v>
      </c>
      <c r="N1541" s="22" t="str">
        <f>+IF(Tabla2[[#This Row],[Variación Stock]]&gt;0,"Sobrante",IF(Tabla2[[#This Row],[Variación Stock]]&lt;0,"Faltante","Sin novedad"))</f>
        <v>Sobrante</v>
      </c>
    </row>
    <row r="1542" spans="1:14" hidden="1" x14ac:dyDescent="0.25">
      <c r="A1542" s="11">
        <v>46053</v>
      </c>
      <c r="B1542" s="5" t="s">
        <v>836</v>
      </c>
      <c r="C1542" s="3" t="s">
        <v>128</v>
      </c>
      <c r="D1542" s="5" t="s">
        <v>396</v>
      </c>
      <c r="E1542" s="5" t="s">
        <v>117</v>
      </c>
      <c r="F1542" s="6" t="s">
        <v>859</v>
      </c>
      <c r="G1542" s="4" t="s">
        <v>1</v>
      </c>
      <c r="H1542" s="25">
        <v>25.5</v>
      </c>
      <c r="I1542" s="8">
        <v>4100</v>
      </c>
      <c r="J1542" s="9">
        <v>1500</v>
      </c>
      <c r="K1542" s="7">
        <v>-2600</v>
      </c>
      <c r="L1542" s="24">
        <f>+Tabla2[[#This Row],[Stock Inventario]]*Tabla2[[#This Row],[Coste LÃ­nea]]</f>
        <v>38250</v>
      </c>
      <c r="M1542" s="24">
        <f>+Tabla2[[#This Row],[Variación Stock]]*Tabla2[[#This Row],[Coste LÃ­nea]]</f>
        <v>-66300</v>
      </c>
      <c r="N1542" s="22" t="str">
        <f>+IF(Tabla2[[#This Row],[Variación Stock]]&gt;0,"Sobrante",IF(Tabla2[[#This Row],[Variación Stock]]&lt;0,"Faltante","Sin novedad"))</f>
        <v>Faltante</v>
      </c>
    </row>
    <row r="1543" spans="1:14" x14ac:dyDescent="0.25">
      <c r="A1543" s="11">
        <v>46053</v>
      </c>
      <c r="B1543" s="5" t="s">
        <v>836</v>
      </c>
      <c r="C1543" s="3" t="s">
        <v>128</v>
      </c>
      <c r="D1543" s="5" t="s">
        <v>603</v>
      </c>
      <c r="E1543" s="5" t="s">
        <v>112</v>
      </c>
      <c r="F1543" s="6" t="s">
        <v>622</v>
      </c>
      <c r="G1543" s="4" t="s">
        <v>1</v>
      </c>
      <c r="H1543" s="25">
        <v>8.5</v>
      </c>
      <c r="I1543" s="8">
        <v>15931</v>
      </c>
      <c r="J1543" s="9">
        <v>696</v>
      </c>
      <c r="K1543" s="7">
        <v>-15234.99999</v>
      </c>
      <c r="L1543" s="24">
        <f>+Tabla2[[#This Row],[Stock Inventario]]*Tabla2[[#This Row],[Coste LÃ­nea]]</f>
        <v>5916</v>
      </c>
      <c r="M1543" s="24">
        <f>+Tabla2[[#This Row],[Variación Stock]]*Tabla2[[#This Row],[Coste LÃ­nea]]</f>
        <v>-129497.49991500001</v>
      </c>
      <c r="N1543" s="22" t="str">
        <f>+IF(Tabla2[[#This Row],[Variación Stock]]&gt;0,"Sobrante",IF(Tabla2[[#This Row],[Variación Stock]]&lt;0,"Faltante","Sin novedad"))</f>
        <v>Faltante</v>
      </c>
    </row>
    <row r="1544" spans="1:14" hidden="1" x14ac:dyDescent="0.25">
      <c r="A1544" s="11">
        <v>46053</v>
      </c>
      <c r="B1544" s="5" t="s">
        <v>836</v>
      </c>
      <c r="C1544" s="3" t="s">
        <v>128</v>
      </c>
      <c r="D1544" s="5" t="s">
        <v>827</v>
      </c>
      <c r="E1544" s="5" t="s">
        <v>117</v>
      </c>
      <c r="F1544" s="6" t="s">
        <v>969</v>
      </c>
      <c r="G1544" s="4" t="s">
        <v>1</v>
      </c>
      <c r="H1544" s="25">
        <v>39.333333330000002</v>
      </c>
      <c r="I1544" s="8">
        <v>-300</v>
      </c>
      <c r="J1544" s="9">
        <v>0</v>
      </c>
      <c r="K1544" s="7">
        <v>300</v>
      </c>
      <c r="L1544" s="24">
        <f>+Tabla2[[#This Row],[Stock Inventario]]*Tabla2[[#This Row],[Coste LÃ­nea]]</f>
        <v>0</v>
      </c>
      <c r="M1544" s="24">
        <f>+Tabla2[[#This Row],[Variación Stock]]*Tabla2[[#This Row],[Coste LÃ­nea]]</f>
        <v>11799.999999000001</v>
      </c>
      <c r="N1544" s="22" t="str">
        <f>+IF(Tabla2[[#This Row],[Variación Stock]]&gt;0,"Sobrante",IF(Tabla2[[#This Row],[Variación Stock]]&lt;0,"Faltante","Sin novedad"))</f>
        <v>Sobrante</v>
      </c>
    </row>
    <row r="1545" spans="1:14" x14ac:dyDescent="0.25">
      <c r="A1545" s="11">
        <v>46053</v>
      </c>
      <c r="B1545" s="5" t="s">
        <v>836</v>
      </c>
      <c r="C1545" s="3" t="s">
        <v>128</v>
      </c>
      <c r="D1545" s="5" t="s">
        <v>114</v>
      </c>
      <c r="E1545" s="5" t="s">
        <v>112</v>
      </c>
      <c r="F1545" s="6" t="s">
        <v>151</v>
      </c>
      <c r="G1545" s="4" t="s">
        <v>2</v>
      </c>
      <c r="H1545" s="25">
        <f>40936/6</f>
        <v>6822.666666666667</v>
      </c>
      <c r="I1545" s="8">
        <v>1</v>
      </c>
      <c r="J1545" s="9">
        <v>3</v>
      </c>
      <c r="K1545" s="7">
        <v>2</v>
      </c>
      <c r="L1545" s="24">
        <f>+Tabla2[[#This Row],[Stock Inventario]]*Tabla2[[#This Row],[Coste LÃ­nea]]</f>
        <v>20468</v>
      </c>
      <c r="M1545" s="24">
        <f>+Tabla2[[#This Row],[Variación Stock]]*Tabla2[[#This Row],[Coste LÃ­nea]]</f>
        <v>13645.333333333334</v>
      </c>
      <c r="N1545" s="22" t="str">
        <f>+IF(Tabla2[[#This Row],[Variación Stock]]&gt;0,"Sobrante",IF(Tabla2[[#This Row],[Variación Stock]]&lt;0,"Faltante","Sin novedad"))</f>
        <v>Sobrante</v>
      </c>
    </row>
    <row r="1546" spans="1:14" x14ac:dyDescent="0.25">
      <c r="A1546" s="11">
        <v>46053</v>
      </c>
      <c r="B1546" s="5" t="s">
        <v>836</v>
      </c>
      <c r="C1546" s="3" t="s">
        <v>128</v>
      </c>
      <c r="D1546" s="5" t="s">
        <v>118</v>
      </c>
      <c r="E1546" s="5" t="s">
        <v>112</v>
      </c>
      <c r="F1546" s="6" t="s">
        <v>178</v>
      </c>
      <c r="G1546" s="4" t="s">
        <v>2</v>
      </c>
      <c r="H1546" s="25">
        <v>80870</v>
      </c>
      <c r="I1546" s="8">
        <v>2</v>
      </c>
      <c r="J1546" s="9">
        <v>2</v>
      </c>
      <c r="K1546" s="7">
        <v>0</v>
      </c>
      <c r="L1546" s="24">
        <f>+Tabla2[[#This Row],[Stock Inventario]]*Tabla2[[#This Row],[Coste LÃ­nea]]</f>
        <v>161740</v>
      </c>
      <c r="M1546" s="24">
        <f>+Tabla2[[#This Row],[Variación Stock]]*Tabla2[[#This Row],[Coste LÃ­nea]]</f>
        <v>0</v>
      </c>
      <c r="N1546" s="22" t="str">
        <f>+IF(Tabla2[[#This Row],[Variación Stock]]&gt;0,"Sobrante",IF(Tabla2[[#This Row],[Variación Stock]]&lt;0,"Faltante","Sin novedad"))</f>
        <v>Sin novedad</v>
      </c>
    </row>
    <row r="1547" spans="1:14" x14ac:dyDescent="0.25">
      <c r="A1547" s="11">
        <v>46053</v>
      </c>
      <c r="B1547" s="5" t="s">
        <v>836</v>
      </c>
      <c r="C1547" s="3" t="s">
        <v>128</v>
      </c>
      <c r="D1547" s="5" t="s">
        <v>118</v>
      </c>
      <c r="E1547" s="5" t="s">
        <v>112</v>
      </c>
      <c r="F1547" s="6" t="s">
        <v>179</v>
      </c>
      <c r="G1547" s="4" t="s">
        <v>2</v>
      </c>
      <c r="H1547" s="25">
        <v>91785.5</v>
      </c>
      <c r="I1547" s="8">
        <v>2</v>
      </c>
      <c r="J1547" s="9">
        <v>2</v>
      </c>
      <c r="K1547" s="7">
        <v>0</v>
      </c>
      <c r="L1547" s="24">
        <f>+Tabla2[[#This Row],[Stock Inventario]]*Tabla2[[#This Row],[Coste LÃ­nea]]</f>
        <v>183571</v>
      </c>
      <c r="M1547" s="24">
        <f>+Tabla2[[#This Row],[Variación Stock]]*Tabla2[[#This Row],[Coste LÃ­nea]]</f>
        <v>0</v>
      </c>
      <c r="N1547" s="22" t="str">
        <f>+IF(Tabla2[[#This Row],[Variación Stock]]&gt;0,"Sobrante",IF(Tabla2[[#This Row],[Variación Stock]]&lt;0,"Faltante","Sin novedad"))</f>
        <v>Sin novedad</v>
      </c>
    </row>
    <row r="1548" spans="1:14" x14ac:dyDescent="0.25">
      <c r="A1548" s="11">
        <v>46053</v>
      </c>
      <c r="B1548" s="5" t="s">
        <v>836</v>
      </c>
      <c r="C1548" s="3" t="s">
        <v>128</v>
      </c>
      <c r="D1548" s="5" t="s">
        <v>118</v>
      </c>
      <c r="E1548" s="5" t="s">
        <v>112</v>
      </c>
      <c r="F1548" s="6" t="s">
        <v>180</v>
      </c>
      <c r="G1548" s="4" t="s">
        <v>2</v>
      </c>
      <c r="H1548" s="25">
        <v>80870</v>
      </c>
      <c r="I1548" s="8">
        <v>2</v>
      </c>
      <c r="J1548" s="9">
        <v>2</v>
      </c>
      <c r="K1548" s="7">
        <v>0</v>
      </c>
      <c r="L1548" s="24">
        <f>+Tabla2[[#This Row],[Stock Inventario]]*Tabla2[[#This Row],[Coste LÃ­nea]]</f>
        <v>161740</v>
      </c>
      <c r="M1548" s="24">
        <f>+Tabla2[[#This Row],[Variación Stock]]*Tabla2[[#This Row],[Coste LÃ­nea]]</f>
        <v>0</v>
      </c>
      <c r="N1548" s="22" t="str">
        <f>+IF(Tabla2[[#This Row],[Variación Stock]]&gt;0,"Sobrante",IF(Tabla2[[#This Row],[Variación Stock]]&lt;0,"Faltante","Sin novedad"))</f>
        <v>Sin novedad</v>
      </c>
    </row>
    <row r="1549" spans="1:14" hidden="1" x14ac:dyDescent="0.25">
      <c r="A1549" s="11">
        <v>46053</v>
      </c>
      <c r="B1549" s="5" t="s">
        <v>836</v>
      </c>
      <c r="C1549" s="3" t="s">
        <v>128</v>
      </c>
      <c r="D1549" s="5" t="s">
        <v>120</v>
      </c>
      <c r="E1549" s="5" t="s">
        <v>117</v>
      </c>
      <c r="F1549" s="6" t="s">
        <v>216</v>
      </c>
      <c r="G1549" s="4" t="s">
        <v>0</v>
      </c>
      <c r="H1549" s="25">
        <v>1728.3820256399999</v>
      </c>
      <c r="I1549" s="8">
        <v>-14</v>
      </c>
      <c r="J1549" s="9">
        <v>0</v>
      </c>
      <c r="K1549" s="7">
        <v>14</v>
      </c>
      <c r="L1549" s="24">
        <f>+Tabla2[[#This Row],[Stock Inventario]]*Tabla2[[#This Row],[Coste LÃ­nea]]</f>
        <v>0</v>
      </c>
      <c r="M1549" s="24">
        <f>+Tabla2[[#This Row],[Variación Stock]]*Tabla2[[#This Row],[Coste LÃ­nea]]</f>
        <v>24197.34835896</v>
      </c>
      <c r="N1549" s="22" t="str">
        <f>+IF(Tabla2[[#This Row],[Variación Stock]]&gt;0,"Sobrante",IF(Tabla2[[#This Row],[Variación Stock]]&lt;0,"Faltante","Sin novedad"))</f>
        <v>Sobrante</v>
      </c>
    </row>
    <row r="1550" spans="1:14" x14ac:dyDescent="0.25">
      <c r="A1550" s="11">
        <v>46053</v>
      </c>
      <c r="B1550" s="5" t="s">
        <v>836</v>
      </c>
      <c r="C1550" s="3" t="s">
        <v>128</v>
      </c>
      <c r="D1550" s="5" t="s">
        <v>603</v>
      </c>
      <c r="E1550" s="5" t="s">
        <v>112</v>
      </c>
      <c r="F1550" s="6" t="s">
        <v>890</v>
      </c>
      <c r="G1550" s="4" t="s">
        <v>1</v>
      </c>
      <c r="H1550" s="25">
        <v>7.5</v>
      </c>
      <c r="I1550" s="8">
        <v>328</v>
      </c>
      <c r="J1550" s="9">
        <v>0</v>
      </c>
      <c r="K1550" s="7">
        <v>-328</v>
      </c>
      <c r="L1550" s="24">
        <f>+Tabla2[[#This Row],[Stock Inventario]]*Tabla2[[#This Row],[Coste LÃ­nea]]</f>
        <v>0</v>
      </c>
      <c r="M1550" s="24">
        <f>+Tabla2[[#This Row],[Variación Stock]]*Tabla2[[#This Row],[Coste LÃ­nea]]</f>
        <v>-2460</v>
      </c>
      <c r="N1550" s="22" t="str">
        <f>+IF(Tabla2[[#This Row],[Variación Stock]]&gt;0,"Sobrante",IF(Tabla2[[#This Row],[Variación Stock]]&lt;0,"Faltante","Sin novedad"))</f>
        <v>Faltante</v>
      </c>
    </row>
    <row r="1551" spans="1:14" hidden="1" x14ac:dyDescent="0.25">
      <c r="A1551" s="11">
        <v>46053</v>
      </c>
      <c r="B1551" s="5" t="s">
        <v>836</v>
      </c>
      <c r="C1551" s="3" t="s">
        <v>128</v>
      </c>
      <c r="D1551" s="5" t="s">
        <v>396</v>
      </c>
      <c r="E1551" s="5" t="s">
        <v>117</v>
      </c>
      <c r="F1551" s="6" t="s">
        <v>858</v>
      </c>
      <c r="G1551" s="4" t="s">
        <v>1</v>
      </c>
      <c r="H1551" s="25">
        <v>9.9</v>
      </c>
      <c r="I1551" s="8">
        <v>18510</v>
      </c>
      <c r="J1551" s="9">
        <v>18000</v>
      </c>
      <c r="K1551" s="7">
        <v>-510</v>
      </c>
      <c r="L1551" s="24">
        <f>+Tabla2[[#This Row],[Stock Inventario]]*Tabla2[[#This Row],[Coste LÃ­nea]]</f>
        <v>178200</v>
      </c>
      <c r="M1551" s="24">
        <f>+Tabla2[[#This Row],[Variación Stock]]*Tabla2[[#This Row],[Coste LÃ­nea]]</f>
        <v>-5049</v>
      </c>
      <c r="N1551" s="22" t="str">
        <f>+IF(Tabla2[[#This Row],[Variación Stock]]&gt;0,"Sobrante",IF(Tabla2[[#This Row],[Variación Stock]]&lt;0,"Faltante","Sin novedad"))</f>
        <v>Faltante</v>
      </c>
    </row>
    <row r="1552" spans="1:14" hidden="1" x14ac:dyDescent="0.25">
      <c r="A1552" s="11">
        <v>46053</v>
      </c>
      <c r="B1552" s="5" t="s">
        <v>836</v>
      </c>
      <c r="C1552" s="3" t="s">
        <v>128</v>
      </c>
      <c r="D1552" s="5" t="s">
        <v>396</v>
      </c>
      <c r="E1552" s="5" t="s">
        <v>117</v>
      </c>
      <c r="F1552" s="6" t="s">
        <v>461</v>
      </c>
      <c r="G1552" s="4" t="s">
        <v>1</v>
      </c>
      <c r="H1552" s="25">
        <v>114.62</v>
      </c>
      <c r="I1552" s="8">
        <v>97</v>
      </c>
      <c r="J1552" s="9">
        <v>0</v>
      </c>
      <c r="K1552" s="7">
        <v>-97</v>
      </c>
      <c r="L1552" s="24">
        <f>+Tabla2[[#This Row],[Stock Inventario]]*Tabla2[[#This Row],[Coste LÃ­nea]]</f>
        <v>0</v>
      </c>
      <c r="M1552" s="24">
        <f>+Tabla2[[#This Row],[Variación Stock]]*Tabla2[[#This Row],[Coste LÃ­nea]]</f>
        <v>-11118.140000000001</v>
      </c>
      <c r="N1552" s="22" t="str">
        <f>+IF(Tabla2[[#This Row],[Variación Stock]]&gt;0,"Sobrante",IF(Tabla2[[#This Row],[Variación Stock]]&lt;0,"Faltante","Sin novedad"))</f>
        <v>Faltante</v>
      </c>
    </row>
    <row r="1553" spans="1:14" hidden="1" x14ac:dyDescent="0.25">
      <c r="A1553" s="11">
        <v>46053</v>
      </c>
      <c r="B1553" s="5" t="s">
        <v>836</v>
      </c>
      <c r="C1553" s="3" t="s">
        <v>128</v>
      </c>
      <c r="D1553" s="5" t="s">
        <v>471</v>
      </c>
      <c r="E1553" s="5" t="s">
        <v>117</v>
      </c>
      <c r="F1553" s="6" t="s">
        <v>518</v>
      </c>
      <c r="G1553" s="4" t="s">
        <v>1</v>
      </c>
      <c r="H1553" s="25">
        <v>10</v>
      </c>
      <c r="I1553" s="8">
        <v>4590</v>
      </c>
      <c r="J1553" s="9">
        <v>0</v>
      </c>
      <c r="K1553" s="7">
        <v>-4590</v>
      </c>
      <c r="L1553" s="24">
        <f>+Tabla2[[#This Row],[Stock Inventario]]*Tabla2[[#This Row],[Coste LÃ­nea]]</f>
        <v>0</v>
      </c>
      <c r="M1553" s="24">
        <f>+Tabla2[[#This Row],[Variación Stock]]*Tabla2[[#This Row],[Coste LÃ­nea]]</f>
        <v>-45900</v>
      </c>
      <c r="N1553" s="22" t="str">
        <f>+IF(Tabla2[[#This Row],[Variación Stock]]&gt;0,"Sobrante",IF(Tabla2[[#This Row],[Variación Stock]]&lt;0,"Faltante","Sin novedad"))</f>
        <v>Faltante</v>
      </c>
    </row>
    <row r="1554" spans="1:14" x14ac:dyDescent="0.25">
      <c r="A1554" s="11">
        <v>46053</v>
      </c>
      <c r="B1554" s="5" t="s">
        <v>836</v>
      </c>
      <c r="C1554" s="3" t="s">
        <v>128</v>
      </c>
      <c r="D1554" s="5" t="s">
        <v>111</v>
      </c>
      <c r="E1554" s="5" t="s">
        <v>112</v>
      </c>
      <c r="F1554" s="6" t="s">
        <v>28</v>
      </c>
      <c r="G1554" s="4" t="s">
        <v>2</v>
      </c>
      <c r="H1554" s="25">
        <v>93956</v>
      </c>
      <c r="I1554" s="8">
        <v>2</v>
      </c>
      <c r="J1554" s="9">
        <v>2</v>
      </c>
      <c r="K1554" s="7">
        <v>0</v>
      </c>
      <c r="L1554" s="24">
        <f>+Tabla2[[#This Row],[Stock Inventario]]*Tabla2[[#This Row],[Coste LÃ­nea]]</f>
        <v>187912</v>
      </c>
      <c r="M1554" s="24">
        <f>+Tabla2[[#This Row],[Variación Stock]]*Tabla2[[#This Row],[Coste LÃ­nea]]</f>
        <v>0</v>
      </c>
      <c r="N1554" s="22" t="str">
        <f>+IF(Tabla2[[#This Row],[Variación Stock]]&gt;0,"Sobrante",IF(Tabla2[[#This Row],[Variación Stock]]&lt;0,"Faltante","Sin novedad"))</f>
        <v>Sin novedad</v>
      </c>
    </row>
    <row r="1555" spans="1:14" hidden="1" x14ac:dyDescent="0.25">
      <c r="A1555" s="11">
        <v>46053</v>
      </c>
      <c r="B1555" s="5" t="s">
        <v>836</v>
      </c>
      <c r="C1555" s="3" t="s">
        <v>128</v>
      </c>
      <c r="D1555" s="5" t="s">
        <v>471</v>
      </c>
      <c r="E1555" s="5" t="s">
        <v>117</v>
      </c>
      <c r="F1555" s="6" t="s">
        <v>477</v>
      </c>
      <c r="G1555" s="4" t="s">
        <v>1</v>
      </c>
      <c r="H1555" s="25">
        <v>28.313500000000001</v>
      </c>
      <c r="I1555" s="8">
        <v>2174.3332999999998</v>
      </c>
      <c r="J1555" s="9">
        <v>1500</v>
      </c>
      <c r="K1555" s="7">
        <v>-674.33333379999999</v>
      </c>
      <c r="L1555" s="24">
        <f>+Tabla2[[#This Row],[Stock Inventario]]*Tabla2[[#This Row],[Coste LÃ­nea]]</f>
        <v>42470.25</v>
      </c>
      <c r="M1555" s="24">
        <f>+Tabla2[[#This Row],[Variación Stock]]*Tabla2[[#This Row],[Coste LÃ­nea]]</f>
        <v>-19092.736846546301</v>
      </c>
      <c r="N1555" s="22" t="str">
        <f>+IF(Tabla2[[#This Row],[Variación Stock]]&gt;0,"Sobrante",IF(Tabla2[[#This Row],[Variación Stock]]&lt;0,"Faltante","Sin novedad"))</f>
        <v>Faltante</v>
      </c>
    </row>
    <row r="1556" spans="1:14" hidden="1" x14ac:dyDescent="0.25">
      <c r="A1556" s="11">
        <v>46053</v>
      </c>
      <c r="B1556" s="5" t="s">
        <v>836</v>
      </c>
      <c r="C1556" s="3" t="s">
        <v>128</v>
      </c>
      <c r="D1556" s="5" t="s">
        <v>559</v>
      </c>
      <c r="E1556" s="5" t="s">
        <v>1080</v>
      </c>
      <c r="F1556" s="6" t="s">
        <v>591</v>
      </c>
      <c r="G1556" s="4" t="s">
        <v>2</v>
      </c>
      <c r="H1556" s="25">
        <v>8.9444444399999998</v>
      </c>
      <c r="I1556" s="8">
        <v>843</v>
      </c>
      <c r="J1556" s="9">
        <v>7</v>
      </c>
      <c r="K1556" s="7">
        <v>-836</v>
      </c>
      <c r="L1556" s="24">
        <f>+Tabla2[[#This Row],[Stock Inventario]]*Tabla2[[#This Row],[Coste LÃ­nea]]</f>
        <v>62.611111080000001</v>
      </c>
      <c r="M1556" s="24">
        <f>+Tabla2[[#This Row],[Variación Stock]]*Tabla2[[#This Row],[Coste LÃ­nea]]</f>
        <v>-7477.5555518399997</v>
      </c>
      <c r="N1556" s="22" t="str">
        <f>+IF(Tabla2[[#This Row],[Variación Stock]]&gt;0,"Sobrante",IF(Tabla2[[#This Row],[Variación Stock]]&lt;0,"Faltante","Sin novedad"))</f>
        <v>Faltante</v>
      </c>
    </row>
    <row r="1557" spans="1:14" hidden="1" x14ac:dyDescent="0.25">
      <c r="A1557" s="11">
        <v>46053</v>
      </c>
      <c r="B1557" s="5" t="s">
        <v>836</v>
      </c>
      <c r="C1557" s="3" t="s">
        <v>128</v>
      </c>
      <c r="D1557" s="5" t="s">
        <v>559</v>
      </c>
      <c r="E1557" s="5" t="s">
        <v>1080</v>
      </c>
      <c r="F1557" s="6" t="s">
        <v>882</v>
      </c>
      <c r="G1557" s="4" t="s">
        <v>2</v>
      </c>
      <c r="H1557" s="25">
        <v>107.33333333</v>
      </c>
      <c r="I1557" s="8">
        <v>33</v>
      </c>
      <c r="J1557" s="9">
        <v>7</v>
      </c>
      <c r="K1557" s="7">
        <v>-26</v>
      </c>
      <c r="L1557" s="24">
        <f>+Tabla2[[#This Row],[Stock Inventario]]*Tabla2[[#This Row],[Coste LÃ­nea]]</f>
        <v>751.33333331000006</v>
      </c>
      <c r="M1557" s="24">
        <f>+Tabla2[[#This Row],[Variación Stock]]*Tabla2[[#This Row],[Coste LÃ­nea]]</f>
        <v>-2790.6666665799999</v>
      </c>
      <c r="N1557" s="22" t="str">
        <f>+IF(Tabla2[[#This Row],[Variación Stock]]&gt;0,"Sobrante",IF(Tabla2[[#This Row],[Variación Stock]]&lt;0,"Faltante","Sin novedad"))</f>
        <v>Faltante</v>
      </c>
    </row>
    <row r="1558" spans="1:14" hidden="1" x14ac:dyDescent="0.25">
      <c r="A1558" s="11">
        <v>46053</v>
      </c>
      <c r="B1558" s="5" t="s">
        <v>836</v>
      </c>
      <c r="C1558" s="3" t="s">
        <v>128</v>
      </c>
      <c r="D1558" s="5" t="s">
        <v>119</v>
      </c>
      <c r="E1558" s="5" t="s">
        <v>117</v>
      </c>
      <c r="F1558" s="6" t="s">
        <v>198</v>
      </c>
      <c r="G1558" s="4" t="s">
        <v>2</v>
      </c>
      <c r="H1558" s="25">
        <v>438.8125</v>
      </c>
      <c r="I1558" s="8">
        <v>48</v>
      </c>
      <c r="J1558" s="9">
        <v>48</v>
      </c>
      <c r="K1558" s="7">
        <v>0</v>
      </c>
      <c r="L1558" s="24">
        <f>+Tabla2[[#This Row],[Stock Inventario]]*Tabla2[[#This Row],[Coste LÃ­nea]]</f>
        <v>21063</v>
      </c>
      <c r="M1558" s="24">
        <f>+Tabla2[[#This Row],[Variación Stock]]*Tabla2[[#This Row],[Coste LÃ­nea]]</f>
        <v>0</v>
      </c>
      <c r="N1558" s="22" t="str">
        <f>+IF(Tabla2[[#This Row],[Variación Stock]]&gt;0,"Sobrante",IF(Tabla2[[#This Row],[Variación Stock]]&lt;0,"Faltante","Sin novedad"))</f>
        <v>Sin novedad</v>
      </c>
    </row>
    <row r="1559" spans="1:14" hidden="1" x14ac:dyDescent="0.25">
      <c r="A1559" s="11">
        <v>46053</v>
      </c>
      <c r="B1559" s="5" t="s">
        <v>836</v>
      </c>
      <c r="C1559" s="3" t="s">
        <v>128</v>
      </c>
      <c r="D1559" s="5" t="s">
        <v>119</v>
      </c>
      <c r="E1559" s="5" t="s">
        <v>117</v>
      </c>
      <c r="F1559" s="6" t="s">
        <v>12</v>
      </c>
      <c r="G1559" s="4" t="s">
        <v>2</v>
      </c>
      <c r="H1559" s="25">
        <v>773.5</v>
      </c>
      <c r="I1559" s="8">
        <v>120</v>
      </c>
      <c r="J1559" s="9">
        <v>120</v>
      </c>
      <c r="K1559" s="7">
        <v>0</v>
      </c>
      <c r="L1559" s="24">
        <f>+Tabla2[[#This Row],[Stock Inventario]]*Tabla2[[#This Row],[Coste LÃ­nea]]</f>
        <v>92820</v>
      </c>
      <c r="M1559" s="24">
        <f>+Tabla2[[#This Row],[Variación Stock]]*Tabla2[[#This Row],[Coste LÃ­nea]]</f>
        <v>0</v>
      </c>
      <c r="N1559" s="22" t="str">
        <f>+IF(Tabla2[[#This Row],[Variación Stock]]&gt;0,"Sobrante",IF(Tabla2[[#This Row],[Variación Stock]]&lt;0,"Faltante","Sin novedad"))</f>
        <v>Sin novedad</v>
      </c>
    </row>
    <row r="1560" spans="1:14" hidden="1" x14ac:dyDescent="0.25">
      <c r="A1560" s="11">
        <v>46053</v>
      </c>
      <c r="B1560" s="5" t="s">
        <v>836</v>
      </c>
      <c r="C1560" s="3" t="s">
        <v>128</v>
      </c>
      <c r="D1560" s="5" t="s">
        <v>815</v>
      </c>
      <c r="E1560" s="5" t="s">
        <v>117</v>
      </c>
      <c r="F1560" s="6" t="s">
        <v>964</v>
      </c>
      <c r="G1560" s="4" t="s">
        <v>2</v>
      </c>
      <c r="H1560" s="25">
        <v>1870</v>
      </c>
      <c r="I1560" s="8">
        <v>-2</v>
      </c>
      <c r="J1560" s="9">
        <v>0</v>
      </c>
      <c r="K1560" s="7">
        <v>2</v>
      </c>
      <c r="L1560" s="24">
        <f>+Tabla2[[#This Row],[Stock Inventario]]*Tabla2[[#This Row],[Coste LÃ­nea]]</f>
        <v>0</v>
      </c>
      <c r="M1560" s="24">
        <f>+Tabla2[[#This Row],[Variación Stock]]*Tabla2[[#This Row],[Coste LÃ­nea]]</f>
        <v>3740</v>
      </c>
      <c r="N1560" s="22" t="str">
        <f>+IF(Tabla2[[#This Row],[Variación Stock]]&gt;0,"Sobrante",IF(Tabla2[[#This Row],[Variación Stock]]&lt;0,"Faltante","Sin novedad"))</f>
        <v>Sobrante</v>
      </c>
    </row>
    <row r="1561" spans="1:14" hidden="1" x14ac:dyDescent="0.25">
      <c r="A1561" s="11">
        <v>46053</v>
      </c>
      <c r="B1561" s="5" t="s">
        <v>836</v>
      </c>
      <c r="C1561" s="3" t="s">
        <v>128</v>
      </c>
      <c r="D1561" s="5" t="s">
        <v>815</v>
      </c>
      <c r="E1561" s="5" t="s">
        <v>117</v>
      </c>
      <c r="F1561" s="6" t="s">
        <v>966</v>
      </c>
      <c r="G1561" s="4" t="s">
        <v>2</v>
      </c>
      <c r="H1561" s="25">
        <v>1600</v>
      </c>
      <c r="I1561" s="8">
        <v>-5.5</v>
      </c>
      <c r="J1561" s="9">
        <v>3</v>
      </c>
      <c r="K1561" s="7">
        <v>8.5</v>
      </c>
      <c r="L1561" s="24">
        <f>+Tabla2[[#This Row],[Stock Inventario]]*Tabla2[[#This Row],[Coste LÃ­nea]]</f>
        <v>4800</v>
      </c>
      <c r="M1561" s="24">
        <f>+Tabla2[[#This Row],[Variación Stock]]*Tabla2[[#This Row],[Coste LÃ­nea]]</f>
        <v>13600</v>
      </c>
      <c r="N1561" s="22" t="str">
        <f>+IF(Tabla2[[#This Row],[Variación Stock]]&gt;0,"Sobrante",IF(Tabla2[[#This Row],[Variación Stock]]&lt;0,"Faltante","Sin novedad"))</f>
        <v>Sobrante</v>
      </c>
    </row>
    <row r="1562" spans="1:14" hidden="1" x14ac:dyDescent="0.25">
      <c r="A1562" s="11">
        <v>46053</v>
      </c>
      <c r="B1562" s="5" t="s">
        <v>836</v>
      </c>
      <c r="C1562" s="3" t="s">
        <v>128</v>
      </c>
      <c r="D1562" s="5" t="s">
        <v>815</v>
      </c>
      <c r="E1562" s="5" t="s">
        <v>117</v>
      </c>
      <c r="F1562" s="6" t="s">
        <v>965</v>
      </c>
      <c r="G1562" s="4" t="s">
        <v>2</v>
      </c>
      <c r="H1562" s="25">
        <v>2191.6666666699998</v>
      </c>
      <c r="I1562" s="8">
        <v>-108</v>
      </c>
      <c r="J1562" s="9">
        <v>1</v>
      </c>
      <c r="K1562" s="7">
        <v>109</v>
      </c>
      <c r="L1562" s="24">
        <f>+Tabla2[[#This Row],[Stock Inventario]]*Tabla2[[#This Row],[Coste LÃ­nea]]</f>
        <v>2191.6666666699998</v>
      </c>
      <c r="M1562" s="24">
        <f>+Tabla2[[#This Row],[Variación Stock]]*Tabla2[[#This Row],[Coste LÃ­nea]]</f>
        <v>238891.66666702999</v>
      </c>
      <c r="N1562" s="22" t="str">
        <f>+IF(Tabla2[[#This Row],[Variación Stock]]&gt;0,"Sobrante",IF(Tabla2[[#This Row],[Variación Stock]]&lt;0,"Faltante","Sin novedad"))</f>
        <v>Sobrante</v>
      </c>
    </row>
    <row r="1563" spans="1:14" x14ac:dyDescent="0.25">
      <c r="A1563" s="11">
        <v>46053</v>
      </c>
      <c r="B1563" s="5" t="s">
        <v>836</v>
      </c>
      <c r="C1563" s="3" t="s">
        <v>128</v>
      </c>
      <c r="D1563" s="5" t="s">
        <v>603</v>
      </c>
      <c r="E1563" s="5" t="s">
        <v>112</v>
      </c>
      <c r="F1563" s="6" t="s">
        <v>614</v>
      </c>
      <c r="G1563" s="4" t="s">
        <v>2</v>
      </c>
      <c r="H1563" s="25">
        <v>90.245000000000005</v>
      </c>
      <c r="I1563" s="8">
        <v>150</v>
      </c>
      <c r="J1563" s="9">
        <v>0</v>
      </c>
      <c r="K1563" s="7">
        <v>-150</v>
      </c>
      <c r="L1563" s="24">
        <f>+Tabla2[[#This Row],[Stock Inventario]]*Tabla2[[#This Row],[Coste LÃ­nea]]</f>
        <v>0</v>
      </c>
      <c r="M1563" s="24">
        <f>+Tabla2[[#This Row],[Variación Stock]]*Tabla2[[#This Row],[Coste LÃ­nea]]</f>
        <v>-13536.75</v>
      </c>
      <c r="N1563" s="22" t="str">
        <f>+IF(Tabla2[[#This Row],[Variación Stock]]&gt;0,"Sobrante",IF(Tabla2[[#This Row],[Variación Stock]]&lt;0,"Faltante","Sin novedad"))</f>
        <v>Faltante</v>
      </c>
    </row>
    <row r="1564" spans="1:14" hidden="1" x14ac:dyDescent="0.25">
      <c r="A1564" s="11">
        <v>46053</v>
      </c>
      <c r="B1564" s="5" t="s">
        <v>836</v>
      </c>
      <c r="C1564" s="3" t="s">
        <v>128</v>
      </c>
      <c r="D1564" s="5" t="s">
        <v>396</v>
      </c>
      <c r="E1564" s="5" t="s">
        <v>117</v>
      </c>
      <c r="F1564" s="6" t="s">
        <v>445</v>
      </c>
      <c r="G1564" s="4" t="s">
        <v>1</v>
      </c>
      <c r="H1564" s="25">
        <v>18.048999999999999</v>
      </c>
      <c r="I1564" s="8">
        <v>3425</v>
      </c>
      <c r="J1564" s="9">
        <v>2500</v>
      </c>
      <c r="K1564" s="7">
        <v>-925</v>
      </c>
      <c r="L1564" s="24">
        <f>+Tabla2[[#This Row],[Stock Inventario]]*Tabla2[[#This Row],[Coste LÃ­nea]]</f>
        <v>45122.5</v>
      </c>
      <c r="M1564" s="24">
        <f>+Tabla2[[#This Row],[Variación Stock]]*Tabla2[[#This Row],[Coste LÃ­nea]]</f>
        <v>-16695.325000000001</v>
      </c>
      <c r="N1564" s="22" t="str">
        <f>+IF(Tabla2[[#This Row],[Variación Stock]]&gt;0,"Sobrante",IF(Tabla2[[#This Row],[Variación Stock]]&lt;0,"Faltante","Sin novedad"))</f>
        <v>Faltante</v>
      </c>
    </row>
    <row r="1565" spans="1:14" hidden="1" x14ac:dyDescent="0.25">
      <c r="A1565" s="11">
        <v>46053</v>
      </c>
      <c r="B1565" s="5" t="s">
        <v>836</v>
      </c>
      <c r="C1565" s="3" t="s">
        <v>128</v>
      </c>
      <c r="D1565" s="5" t="s">
        <v>471</v>
      </c>
      <c r="E1565" s="5" t="s">
        <v>117</v>
      </c>
      <c r="F1565" s="6" t="s">
        <v>519</v>
      </c>
      <c r="G1565" s="4" t="s">
        <v>1</v>
      </c>
      <c r="H1565" s="25">
        <v>6.6</v>
      </c>
      <c r="I1565" s="8">
        <v>29400</v>
      </c>
      <c r="J1565" s="9">
        <v>0</v>
      </c>
      <c r="K1565" s="7">
        <v>-29400</v>
      </c>
      <c r="L1565" s="24">
        <f>+Tabla2[[#This Row],[Stock Inventario]]*Tabla2[[#This Row],[Coste LÃ­nea]]</f>
        <v>0</v>
      </c>
      <c r="M1565" s="24">
        <f>+Tabla2[[#This Row],[Variación Stock]]*Tabla2[[#This Row],[Coste LÃ­nea]]</f>
        <v>-194040</v>
      </c>
      <c r="N1565" s="22" t="str">
        <f>+IF(Tabla2[[#This Row],[Variación Stock]]&gt;0,"Sobrante",IF(Tabla2[[#This Row],[Variación Stock]]&lt;0,"Faltante","Sin novedad"))</f>
        <v>Faltante</v>
      </c>
    </row>
    <row r="1566" spans="1:14" hidden="1" x14ac:dyDescent="0.25">
      <c r="A1566" s="11">
        <v>46053</v>
      </c>
      <c r="B1566" s="5" t="s">
        <v>836</v>
      </c>
      <c r="C1566" s="3" t="s">
        <v>128</v>
      </c>
      <c r="D1566" s="5" t="s">
        <v>471</v>
      </c>
      <c r="E1566" s="5" t="s">
        <v>117</v>
      </c>
      <c r="F1566" s="6" t="s">
        <v>520</v>
      </c>
      <c r="G1566" s="4" t="s">
        <v>1</v>
      </c>
      <c r="H1566" s="25">
        <v>4.5</v>
      </c>
      <c r="I1566" s="8">
        <v>12266.9473</v>
      </c>
      <c r="J1566" s="9">
        <v>5000</v>
      </c>
      <c r="K1566" s="7">
        <v>-7266.9473399999997</v>
      </c>
      <c r="L1566" s="24">
        <f>+Tabla2[[#This Row],[Stock Inventario]]*Tabla2[[#This Row],[Coste LÃ­nea]]</f>
        <v>22500</v>
      </c>
      <c r="M1566" s="24">
        <f>+Tabla2[[#This Row],[Variación Stock]]*Tabla2[[#This Row],[Coste LÃ­nea]]</f>
        <v>-32701.263029999998</v>
      </c>
      <c r="N1566" s="22" t="str">
        <f>+IF(Tabla2[[#This Row],[Variación Stock]]&gt;0,"Sobrante",IF(Tabla2[[#This Row],[Variación Stock]]&lt;0,"Faltante","Sin novedad"))</f>
        <v>Faltante</v>
      </c>
    </row>
    <row r="1567" spans="1:14" hidden="1" x14ac:dyDescent="0.25">
      <c r="A1567" s="11">
        <v>46053</v>
      </c>
      <c r="B1567" s="5" t="s">
        <v>836</v>
      </c>
      <c r="C1567" s="3" t="s">
        <v>128</v>
      </c>
      <c r="D1567" s="5" t="s">
        <v>396</v>
      </c>
      <c r="E1567" s="5" t="s">
        <v>117</v>
      </c>
      <c r="F1567" s="6" t="s">
        <v>446</v>
      </c>
      <c r="G1567" s="4" t="s">
        <v>1</v>
      </c>
      <c r="H1567" s="25">
        <v>14.678414099999999</v>
      </c>
      <c r="I1567" s="8">
        <v>35320</v>
      </c>
      <c r="J1567" s="9">
        <v>21760</v>
      </c>
      <c r="K1567" s="7">
        <v>-13560</v>
      </c>
      <c r="L1567" s="24">
        <f>+Tabla2[[#This Row],[Stock Inventario]]*Tabla2[[#This Row],[Coste LÃ­nea]]</f>
        <v>319402.29081599996</v>
      </c>
      <c r="M1567" s="24">
        <f>+Tabla2[[#This Row],[Variación Stock]]*Tabla2[[#This Row],[Coste LÃ­nea]]</f>
        <v>-199039.29519599999</v>
      </c>
      <c r="N1567" s="22" t="str">
        <f>+IF(Tabla2[[#This Row],[Variación Stock]]&gt;0,"Sobrante",IF(Tabla2[[#This Row],[Variación Stock]]&lt;0,"Faltante","Sin novedad"))</f>
        <v>Faltante</v>
      </c>
    </row>
    <row r="1568" spans="1:14" hidden="1" x14ac:dyDescent="0.25">
      <c r="A1568" s="11">
        <v>46053</v>
      </c>
      <c r="B1568" s="5" t="s">
        <v>836</v>
      </c>
      <c r="C1568" s="3" t="s">
        <v>128</v>
      </c>
      <c r="D1568" s="5" t="s">
        <v>471</v>
      </c>
      <c r="E1568" s="5" t="s">
        <v>117</v>
      </c>
      <c r="F1568" s="6" t="s">
        <v>521</v>
      </c>
      <c r="G1568" s="4" t="s">
        <v>1</v>
      </c>
      <c r="H1568" s="25">
        <v>6.5</v>
      </c>
      <c r="I1568" s="8">
        <v>47514.666599999997</v>
      </c>
      <c r="J1568" s="9">
        <v>25036</v>
      </c>
      <c r="K1568" s="7">
        <v>-22478.666560000001</v>
      </c>
      <c r="L1568" s="24">
        <f>+Tabla2[[#This Row],[Stock Inventario]]*Tabla2[[#This Row],[Coste LÃ­nea]]</f>
        <v>162734</v>
      </c>
      <c r="M1568" s="24">
        <f>+Tabla2[[#This Row],[Variación Stock]]*Tabla2[[#This Row],[Coste LÃ­nea]]</f>
        <v>-146111.33264000001</v>
      </c>
      <c r="N1568" s="22" t="str">
        <f>+IF(Tabla2[[#This Row],[Variación Stock]]&gt;0,"Sobrante",IF(Tabla2[[#This Row],[Variación Stock]]&lt;0,"Faltante","Sin novedad"))</f>
        <v>Faltante</v>
      </c>
    </row>
    <row r="1569" spans="1:14" hidden="1" x14ac:dyDescent="0.25">
      <c r="A1569" s="11">
        <v>46053</v>
      </c>
      <c r="B1569" s="5" t="s">
        <v>836</v>
      </c>
      <c r="C1569" s="3" t="s">
        <v>128</v>
      </c>
      <c r="D1569" s="5" t="s">
        <v>559</v>
      </c>
      <c r="E1569" s="5" t="s">
        <v>1080</v>
      </c>
      <c r="F1569" s="6" t="s">
        <v>883</v>
      </c>
      <c r="G1569" s="4" t="s">
        <v>2</v>
      </c>
      <c r="H1569" s="25">
        <v>35649.980000000003</v>
      </c>
      <c r="I1569" s="8">
        <v>0</v>
      </c>
      <c r="J1569" s="9">
        <v>0</v>
      </c>
      <c r="K1569" s="7">
        <v>0</v>
      </c>
      <c r="L1569" s="24">
        <f>+Tabla2[[#This Row],[Stock Inventario]]*Tabla2[[#This Row],[Coste LÃ­nea]]</f>
        <v>0</v>
      </c>
      <c r="M1569" s="24">
        <f>+Tabla2[[#This Row],[Variación Stock]]*Tabla2[[#This Row],[Coste LÃ­nea]]</f>
        <v>0</v>
      </c>
      <c r="N1569" s="22" t="str">
        <f>+IF(Tabla2[[#This Row],[Variación Stock]]&gt;0,"Sobrante",IF(Tabla2[[#This Row],[Variación Stock]]&lt;0,"Faltante","Sin novedad"))</f>
        <v>Sin novedad</v>
      </c>
    </row>
    <row r="1570" spans="1:14" hidden="1" x14ac:dyDescent="0.25">
      <c r="A1570" s="11">
        <v>46053</v>
      </c>
      <c r="B1570" s="5" t="s">
        <v>836</v>
      </c>
      <c r="C1570" s="3" t="s">
        <v>128</v>
      </c>
      <c r="D1570" s="5" t="s">
        <v>803</v>
      </c>
      <c r="E1570" s="5" t="s">
        <v>117</v>
      </c>
      <c r="F1570" s="6" t="s">
        <v>810</v>
      </c>
      <c r="G1570" s="4" t="s">
        <v>1</v>
      </c>
      <c r="H1570" s="25">
        <v>17.410252100000001</v>
      </c>
      <c r="I1570" s="8">
        <v>1000</v>
      </c>
      <c r="J1570" s="9">
        <v>1250</v>
      </c>
      <c r="K1570" s="7">
        <v>250</v>
      </c>
      <c r="L1570" s="24">
        <f>+Tabla2[[#This Row],[Stock Inventario]]*Tabla2[[#This Row],[Coste LÃ­nea]]</f>
        <v>21762.815125000001</v>
      </c>
      <c r="M1570" s="24">
        <f>+Tabla2[[#This Row],[Variación Stock]]*Tabla2[[#This Row],[Coste LÃ­nea]]</f>
        <v>4352.5630250000004</v>
      </c>
      <c r="N1570" s="22" t="str">
        <f>+IF(Tabla2[[#This Row],[Variación Stock]]&gt;0,"Sobrante",IF(Tabla2[[#This Row],[Variación Stock]]&lt;0,"Faltante","Sin novedad"))</f>
        <v>Sobrante</v>
      </c>
    </row>
    <row r="1571" spans="1:14" hidden="1" x14ac:dyDescent="0.25">
      <c r="A1571" s="11">
        <v>46053</v>
      </c>
      <c r="B1571" s="5" t="s">
        <v>836</v>
      </c>
      <c r="C1571" s="3" t="s">
        <v>128</v>
      </c>
      <c r="D1571" s="5" t="s">
        <v>396</v>
      </c>
      <c r="E1571" s="5" t="s">
        <v>117</v>
      </c>
      <c r="F1571" s="6" t="s">
        <v>861</v>
      </c>
      <c r="G1571" s="4" t="s">
        <v>2</v>
      </c>
      <c r="H1571" s="25">
        <v>500</v>
      </c>
      <c r="I1571" s="8">
        <v>590</v>
      </c>
      <c r="J1571" s="9">
        <v>520</v>
      </c>
      <c r="K1571" s="7">
        <v>-70</v>
      </c>
      <c r="L1571" s="24">
        <f>+Tabla2[[#This Row],[Stock Inventario]]*Tabla2[[#This Row],[Coste LÃ­nea]]</f>
        <v>260000</v>
      </c>
      <c r="M1571" s="24">
        <f>+Tabla2[[#This Row],[Variación Stock]]*Tabla2[[#This Row],[Coste LÃ­nea]]</f>
        <v>-35000</v>
      </c>
      <c r="N1571" s="22" t="str">
        <f>+IF(Tabla2[[#This Row],[Variación Stock]]&gt;0,"Sobrante",IF(Tabla2[[#This Row],[Variación Stock]]&lt;0,"Faltante","Sin novedad"))</f>
        <v>Faltante</v>
      </c>
    </row>
    <row r="1572" spans="1:14" hidden="1" x14ac:dyDescent="0.25">
      <c r="A1572" s="11">
        <v>46053</v>
      </c>
      <c r="B1572" s="5" t="s">
        <v>836</v>
      </c>
      <c r="C1572" s="3" t="s">
        <v>128</v>
      </c>
      <c r="D1572" s="5" t="s">
        <v>559</v>
      </c>
      <c r="E1572" s="5" t="s">
        <v>1080</v>
      </c>
      <c r="F1572" s="6" t="s">
        <v>592</v>
      </c>
      <c r="G1572" s="4" t="s">
        <v>2</v>
      </c>
      <c r="H1572" s="25">
        <v>105046</v>
      </c>
      <c r="I1572" s="8">
        <v>2</v>
      </c>
      <c r="J1572" s="9">
        <v>1</v>
      </c>
      <c r="K1572" s="7">
        <v>-1</v>
      </c>
      <c r="L1572" s="24">
        <f>+Tabla2[[#This Row],[Stock Inventario]]*Tabla2[[#This Row],[Coste LÃ­nea]]</f>
        <v>105046</v>
      </c>
      <c r="M1572" s="24">
        <f>+Tabla2[[#This Row],[Variación Stock]]*Tabla2[[#This Row],[Coste LÃ­nea]]</f>
        <v>-105046</v>
      </c>
      <c r="N1572" s="22" t="str">
        <f>+IF(Tabla2[[#This Row],[Variación Stock]]&gt;0,"Sobrante",IF(Tabla2[[#This Row],[Variación Stock]]&lt;0,"Faltante","Sin novedad"))</f>
        <v>Faltante</v>
      </c>
    </row>
    <row r="1573" spans="1:14" hidden="1" x14ac:dyDescent="0.25">
      <c r="A1573" s="11">
        <v>46053</v>
      </c>
      <c r="B1573" s="5" t="s">
        <v>836</v>
      </c>
      <c r="C1573" s="3" t="s">
        <v>128</v>
      </c>
      <c r="D1573" s="5" t="s">
        <v>471</v>
      </c>
      <c r="E1573" s="5" t="s">
        <v>117</v>
      </c>
      <c r="F1573" s="6" t="s">
        <v>522</v>
      </c>
      <c r="G1573" s="4" t="s">
        <v>1</v>
      </c>
      <c r="H1573" s="25">
        <v>5.5</v>
      </c>
      <c r="I1573" s="8">
        <v>-1774.2856999999999</v>
      </c>
      <c r="J1573" s="9">
        <v>0</v>
      </c>
      <c r="K1573" s="7">
        <v>1774.285678</v>
      </c>
      <c r="L1573" s="24">
        <f>+Tabla2[[#This Row],[Stock Inventario]]*Tabla2[[#This Row],[Coste LÃ­nea]]</f>
        <v>0</v>
      </c>
      <c r="M1573" s="24">
        <f>+Tabla2[[#This Row],[Variación Stock]]*Tabla2[[#This Row],[Coste LÃ­nea]]</f>
        <v>9758.5712289999992</v>
      </c>
      <c r="N1573" s="22" t="str">
        <f>+IF(Tabla2[[#This Row],[Variación Stock]]&gt;0,"Sobrante",IF(Tabla2[[#This Row],[Variación Stock]]&lt;0,"Faltante","Sin novedad"))</f>
        <v>Sobrante</v>
      </c>
    </row>
    <row r="1574" spans="1:14" hidden="1" x14ac:dyDescent="0.25">
      <c r="A1574" s="11">
        <v>46053</v>
      </c>
      <c r="B1574" s="5" t="s">
        <v>836</v>
      </c>
      <c r="C1574" s="3" t="s">
        <v>128</v>
      </c>
      <c r="D1574" s="5" t="s">
        <v>471</v>
      </c>
      <c r="E1574" s="5" t="s">
        <v>117</v>
      </c>
      <c r="F1574" s="6" t="s">
        <v>523</v>
      </c>
      <c r="G1574" s="4" t="s">
        <v>1</v>
      </c>
      <c r="H1574" s="25">
        <v>8</v>
      </c>
      <c r="I1574" s="8">
        <v>2495</v>
      </c>
      <c r="J1574" s="9">
        <v>200</v>
      </c>
      <c r="K1574" s="7">
        <v>-2295</v>
      </c>
      <c r="L1574" s="24">
        <f>+Tabla2[[#This Row],[Stock Inventario]]*Tabla2[[#This Row],[Coste LÃ­nea]]</f>
        <v>1600</v>
      </c>
      <c r="M1574" s="24">
        <f>+Tabla2[[#This Row],[Variación Stock]]*Tabla2[[#This Row],[Coste LÃ­nea]]</f>
        <v>-18360</v>
      </c>
      <c r="N1574" s="22" t="str">
        <f>+IF(Tabla2[[#This Row],[Variación Stock]]&gt;0,"Sobrante",IF(Tabla2[[#This Row],[Variación Stock]]&lt;0,"Faltante","Sin novedad"))</f>
        <v>Faltante</v>
      </c>
    </row>
    <row r="1575" spans="1:14" x14ac:dyDescent="0.25">
      <c r="A1575" s="11">
        <v>46053</v>
      </c>
      <c r="B1575" s="5" t="s">
        <v>836</v>
      </c>
      <c r="C1575" s="3" t="s">
        <v>128</v>
      </c>
      <c r="D1575" s="5" t="s">
        <v>603</v>
      </c>
      <c r="E1575" s="5" t="s">
        <v>112</v>
      </c>
      <c r="F1575" s="6" t="s">
        <v>604</v>
      </c>
      <c r="G1575" s="4" t="s">
        <v>1</v>
      </c>
      <c r="H1575" s="25">
        <v>350</v>
      </c>
      <c r="I1575" s="8">
        <v>-36</v>
      </c>
      <c r="J1575" s="9">
        <v>0</v>
      </c>
      <c r="K1575" s="7">
        <v>36</v>
      </c>
      <c r="L1575" s="24">
        <f>+Tabla2[[#This Row],[Stock Inventario]]*Tabla2[[#This Row],[Coste LÃ­nea]]</f>
        <v>0</v>
      </c>
      <c r="M1575" s="24">
        <f>+Tabla2[[#This Row],[Variación Stock]]*Tabla2[[#This Row],[Coste LÃ­nea]]</f>
        <v>12600</v>
      </c>
      <c r="N1575" s="22" t="str">
        <f>+IF(Tabla2[[#This Row],[Variación Stock]]&gt;0,"Sobrante",IF(Tabla2[[#This Row],[Variación Stock]]&lt;0,"Faltante","Sin novedad"))</f>
        <v>Sobrante</v>
      </c>
    </row>
    <row r="1576" spans="1:14" hidden="1" x14ac:dyDescent="0.25">
      <c r="A1576" s="11">
        <v>46053</v>
      </c>
      <c r="B1576" s="5" t="s">
        <v>836</v>
      </c>
      <c r="C1576" s="3" t="s">
        <v>128</v>
      </c>
      <c r="D1576" s="5" t="s">
        <v>626</v>
      </c>
      <c r="E1576" s="5" t="s">
        <v>1079</v>
      </c>
      <c r="F1576" s="6" t="s">
        <v>662</v>
      </c>
      <c r="G1576" s="4" t="s">
        <v>2</v>
      </c>
      <c r="H1576" s="25">
        <v>42865</v>
      </c>
      <c r="I1576" s="8">
        <v>15</v>
      </c>
      <c r="J1576" s="9">
        <v>4</v>
      </c>
      <c r="K1576" s="7">
        <v>-11</v>
      </c>
      <c r="L1576" s="24">
        <f>+Tabla2[[#This Row],[Stock Inventario]]*Tabla2[[#This Row],[Coste LÃ­nea]]</f>
        <v>171460</v>
      </c>
      <c r="M1576" s="24">
        <f>+Tabla2[[#This Row],[Variación Stock]]*Tabla2[[#This Row],[Coste LÃ­nea]]</f>
        <v>-471515</v>
      </c>
      <c r="N1576" s="22" t="str">
        <f>+IF(Tabla2[[#This Row],[Variación Stock]]&gt;0,"Sobrante",IF(Tabla2[[#This Row],[Variación Stock]]&lt;0,"Faltante","Sin novedad"))</f>
        <v>Faltante</v>
      </c>
    </row>
    <row r="1577" spans="1:14" hidden="1" x14ac:dyDescent="0.25">
      <c r="A1577" s="11">
        <v>46053</v>
      </c>
      <c r="B1577" s="5" t="s">
        <v>836</v>
      </c>
      <c r="C1577" s="3" t="s">
        <v>128</v>
      </c>
      <c r="D1577" s="5" t="s">
        <v>471</v>
      </c>
      <c r="E1577" s="5" t="s">
        <v>117</v>
      </c>
      <c r="F1577" s="6" t="s">
        <v>525</v>
      </c>
      <c r="G1577" s="4" t="s">
        <v>1</v>
      </c>
      <c r="H1577" s="25">
        <v>5.2</v>
      </c>
      <c r="I1577" s="8">
        <v>8216.2032999999992</v>
      </c>
      <c r="J1577" s="9">
        <v>1660</v>
      </c>
      <c r="K1577" s="7">
        <v>-6556.2032859999999</v>
      </c>
      <c r="L1577" s="24">
        <f>+Tabla2[[#This Row],[Stock Inventario]]*Tabla2[[#This Row],[Coste LÃ­nea]]</f>
        <v>8632</v>
      </c>
      <c r="M1577" s="24">
        <f>+Tabla2[[#This Row],[Variación Stock]]*Tabla2[[#This Row],[Coste LÃ­nea]]</f>
        <v>-34092.2570872</v>
      </c>
      <c r="N1577" s="22" t="str">
        <f>+IF(Tabla2[[#This Row],[Variación Stock]]&gt;0,"Sobrante",IF(Tabla2[[#This Row],[Variación Stock]]&lt;0,"Faltante","Sin novedad"))</f>
        <v>Faltante</v>
      </c>
    </row>
    <row r="1578" spans="1:14" hidden="1" x14ac:dyDescent="0.25">
      <c r="A1578" s="11">
        <v>46053</v>
      </c>
      <c r="B1578" s="5" t="s">
        <v>836</v>
      </c>
      <c r="C1578" s="3" t="s">
        <v>128</v>
      </c>
      <c r="D1578" s="5" t="s">
        <v>471</v>
      </c>
      <c r="E1578" s="5" t="s">
        <v>117</v>
      </c>
      <c r="F1578" s="6" t="s">
        <v>524</v>
      </c>
      <c r="G1578" s="4" t="s">
        <v>1</v>
      </c>
      <c r="H1578" s="25">
        <v>5.5</v>
      </c>
      <c r="I1578" s="8">
        <v>18630</v>
      </c>
      <c r="J1578" s="9">
        <v>3420</v>
      </c>
      <c r="K1578" s="7">
        <v>-15210</v>
      </c>
      <c r="L1578" s="24">
        <f>+Tabla2[[#This Row],[Stock Inventario]]*Tabla2[[#This Row],[Coste LÃ­nea]]</f>
        <v>18810</v>
      </c>
      <c r="M1578" s="24">
        <f>+Tabla2[[#This Row],[Variación Stock]]*Tabla2[[#This Row],[Coste LÃ­nea]]</f>
        <v>-83655</v>
      </c>
      <c r="N1578" s="22" t="str">
        <f>+IF(Tabla2[[#This Row],[Variación Stock]]&gt;0,"Sobrante",IF(Tabla2[[#This Row],[Variación Stock]]&lt;0,"Faltante","Sin novedad"))</f>
        <v>Faltante</v>
      </c>
    </row>
    <row r="1579" spans="1:14" hidden="1" x14ac:dyDescent="0.25">
      <c r="A1579" s="11">
        <v>46053</v>
      </c>
      <c r="B1579" s="5" t="s">
        <v>836</v>
      </c>
      <c r="C1579" s="3" t="s">
        <v>128</v>
      </c>
      <c r="D1579" s="5" t="s">
        <v>396</v>
      </c>
      <c r="E1579" s="5" t="s">
        <v>117</v>
      </c>
      <c r="F1579" s="6" t="s">
        <v>448</v>
      </c>
      <c r="G1579" s="4" t="s">
        <v>1</v>
      </c>
      <c r="H1579" s="25">
        <v>59.538105729999998</v>
      </c>
      <c r="I1579" s="8">
        <v>2285.9991</v>
      </c>
      <c r="J1579" s="9">
        <v>1738</v>
      </c>
      <c r="K1579" s="7">
        <v>-547.9991</v>
      </c>
      <c r="L1579" s="24">
        <f>+Tabla2[[#This Row],[Stock Inventario]]*Tabla2[[#This Row],[Coste LÃ­nea]]</f>
        <v>103477.22775874</v>
      </c>
      <c r="M1579" s="24">
        <f>+Tabla2[[#This Row],[Variación Stock]]*Tabla2[[#This Row],[Coste LÃ­nea]]</f>
        <v>-32626.828355744841</v>
      </c>
      <c r="N1579" s="22" t="str">
        <f>+IF(Tabla2[[#This Row],[Variación Stock]]&gt;0,"Sobrante",IF(Tabla2[[#This Row],[Variación Stock]]&lt;0,"Faltante","Sin novedad"))</f>
        <v>Faltante</v>
      </c>
    </row>
    <row r="1580" spans="1:14" x14ac:dyDescent="0.25">
      <c r="A1580" s="11">
        <v>46053</v>
      </c>
      <c r="B1580" s="5" t="s">
        <v>836</v>
      </c>
      <c r="C1580" s="3" t="s">
        <v>128</v>
      </c>
      <c r="D1580" s="5" t="s">
        <v>111</v>
      </c>
      <c r="E1580" s="5" t="s">
        <v>112</v>
      </c>
      <c r="F1580" s="6" t="s">
        <v>59</v>
      </c>
      <c r="G1580" s="4" t="s">
        <v>0</v>
      </c>
      <c r="H1580" s="25">
        <v>3103.4482758600002</v>
      </c>
      <c r="I1580" s="8">
        <v>82</v>
      </c>
      <c r="J1580" s="9">
        <v>87</v>
      </c>
      <c r="K1580" s="7">
        <v>5</v>
      </c>
      <c r="L1580" s="24">
        <f>+Tabla2[[#This Row],[Stock Inventario]]*Tabla2[[#This Row],[Coste LÃ­nea]]</f>
        <v>269999.99999982002</v>
      </c>
      <c r="M1580" s="24">
        <f>+Tabla2[[#This Row],[Variación Stock]]*Tabla2[[#This Row],[Coste LÃ­nea]]</f>
        <v>15517.241379300001</v>
      </c>
      <c r="N1580" s="22" t="str">
        <f>+IF(Tabla2[[#This Row],[Variación Stock]]&gt;0,"Sobrante",IF(Tabla2[[#This Row],[Variación Stock]]&lt;0,"Faltante","Sin novedad"))</f>
        <v>Sobrante</v>
      </c>
    </row>
    <row r="1581" spans="1:14" hidden="1" x14ac:dyDescent="0.25">
      <c r="A1581" s="11">
        <v>46053</v>
      </c>
      <c r="B1581" s="5" t="s">
        <v>836</v>
      </c>
      <c r="C1581" s="3" t="s">
        <v>128</v>
      </c>
      <c r="D1581" s="5" t="s">
        <v>396</v>
      </c>
      <c r="E1581" s="5" t="s">
        <v>117</v>
      </c>
      <c r="F1581" s="6" t="s">
        <v>462</v>
      </c>
      <c r="G1581" s="4" t="s">
        <v>1</v>
      </c>
      <c r="H1581" s="25">
        <v>90</v>
      </c>
      <c r="I1581" s="8">
        <v>412</v>
      </c>
      <c r="J1581" s="9">
        <v>450</v>
      </c>
      <c r="K1581" s="7">
        <v>38</v>
      </c>
      <c r="L1581" s="24">
        <f>+Tabla2[[#This Row],[Stock Inventario]]*Tabla2[[#This Row],[Coste LÃ­nea]]</f>
        <v>40500</v>
      </c>
      <c r="M1581" s="24">
        <f>+Tabla2[[#This Row],[Variación Stock]]*Tabla2[[#This Row],[Coste LÃ­nea]]</f>
        <v>3420</v>
      </c>
      <c r="N1581" s="22" t="str">
        <f>+IF(Tabla2[[#This Row],[Variación Stock]]&gt;0,"Sobrante",IF(Tabla2[[#This Row],[Variación Stock]]&lt;0,"Faltante","Sin novedad"))</f>
        <v>Sobrante</v>
      </c>
    </row>
    <row r="1582" spans="1:14" hidden="1" x14ac:dyDescent="0.25">
      <c r="A1582" s="11">
        <v>46053</v>
      </c>
      <c r="B1582" s="5" t="s">
        <v>836</v>
      </c>
      <c r="C1582" s="3" t="s">
        <v>128</v>
      </c>
      <c r="D1582" s="5" t="s">
        <v>559</v>
      </c>
      <c r="E1582" s="5" t="s">
        <v>1080</v>
      </c>
      <c r="F1582" s="6" t="s">
        <v>580</v>
      </c>
      <c r="G1582" s="4" t="s">
        <v>2</v>
      </c>
      <c r="H1582" s="25">
        <v>71.420168070000003</v>
      </c>
      <c r="I1582" s="8">
        <v>0</v>
      </c>
      <c r="J1582" s="9">
        <v>2</v>
      </c>
      <c r="K1582" s="7">
        <v>2</v>
      </c>
      <c r="L1582" s="24">
        <f>+Tabla2[[#This Row],[Stock Inventario]]*Tabla2[[#This Row],[Coste LÃ­nea]]</f>
        <v>142.84033614000001</v>
      </c>
      <c r="M1582" s="24">
        <f>+Tabla2[[#This Row],[Variación Stock]]*Tabla2[[#This Row],[Coste LÃ­nea]]</f>
        <v>142.84033614000001</v>
      </c>
      <c r="N1582" s="22" t="str">
        <f>+IF(Tabla2[[#This Row],[Variación Stock]]&gt;0,"Sobrante",IF(Tabla2[[#This Row],[Variación Stock]]&lt;0,"Faltante","Sin novedad"))</f>
        <v>Sobrante</v>
      </c>
    </row>
    <row r="1583" spans="1:14" hidden="1" x14ac:dyDescent="0.25">
      <c r="A1583" s="11">
        <v>46053</v>
      </c>
      <c r="B1583" s="5" t="s">
        <v>836</v>
      </c>
      <c r="C1583" s="3" t="s">
        <v>128</v>
      </c>
      <c r="D1583" s="5" t="s">
        <v>471</v>
      </c>
      <c r="E1583" s="5" t="s">
        <v>117</v>
      </c>
      <c r="F1583" s="6" t="s">
        <v>526</v>
      </c>
      <c r="G1583" s="4" t="s">
        <v>1</v>
      </c>
      <c r="H1583" s="25">
        <v>3.5</v>
      </c>
      <c r="I1583" s="8">
        <v>45311.903100000003</v>
      </c>
      <c r="J1583" s="9">
        <v>18670</v>
      </c>
      <c r="K1583" s="7">
        <v>-26641.903119999999</v>
      </c>
      <c r="L1583" s="24">
        <f>+Tabla2[[#This Row],[Stock Inventario]]*Tabla2[[#This Row],[Coste LÃ­nea]]</f>
        <v>65345</v>
      </c>
      <c r="M1583" s="24">
        <f>+Tabla2[[#This Row],[Variación Stock]]*Tabla2[[#This Row],[Coste LÃ­nea]]</f>
        <v>-93246.660919999995</v>
      </c>
      <c r="N1583" s="22" t="str">
        <f>+IF(Tabla2[[#This Row],[Variación Stock]]&gt;0,"Sobrante",IF(Tabla2[[#This Row],[Variación Stock]]&lt;0,"Faltante","Sin novedad"))</f>
        <v>Faltante</v>
      </c>
    </row>
    <row r="1584" spans="1:14" hidden="1" x14ac:dyDescent="0.25">
      <c r="A1584" s="11">
        <v>46053</v>
      </c>
      <c r="B1584" s="5" t="s">
        <v>836</v>
      </c>
      <c r="C1584" s="3" t="s">
        <v>128</v>
      </c>
      <c r="D1584" s="5" t="s">
        <v>471</v>
      </c>
      <c r="E1584" s="5" t="s">
        <v>117</v>
      </c>
      <c r="F1584" s="6" t="s">
        <v>527</v>
      </c>
      <c r="G1584" s="4" t="s">
        <v>1</v>
      </c>
      <c r="H1584" s="25">
        <v>3.3</v>
      </c>
      <c r="I1584" s="8">
        <v>36900</v>
      </c>
      <c r="J1584" s="9">
        <v>3000</v>
      </c>
      <c r="K1584" s="7">
        <v>-33900</v>
      </c>
      <c r="L1584" s="24">
        <f>+Tabla2[[#This Row],[Stock Inventario]]*Tabla2[[#This Row],[Coste LÃ­nea]]</f>
        <v>9900</v>
      </c>
      <c r="M1584" s="24">
        <f>+Tabla2[[#This Row],[Variación Stock]]*Tabla2[[#This Row],[Coste LÃ­nea]]</f>
        <v>-111870</v>
      </c>
      <c r="N1584" s="22" t="str">
        <f>+IF(Tabla2[[#This Row],[Variación Stock]]&gt;0,"Sobrante",IF(Tabla2[[#This Row],[Variación Stock]]&lt;0,"Faltante","Sin novedad"))</f>
        <v>Faltante</v>
      </c>
    </row>
    <row r="1585" spans="1:14" hidden="1" x14ac:dyDescent="0.25">
      <c r="A1585" s="11">
        <v>46053</v>
      </c>
      <c r="B1585" s="5" t="s">
        <v>836</v>
      </c>
      <c r="C1585" s="3" t="s">
        <v>128</v>
      </c>
      <c r="D1585" s="5" t="s">
        <v>396</v>
      </c>
      <c r="E1585" s="5" t="s">
        <v>117</v>
      </c>
      <c r="F1585" s="6" t="s">
        <v>855</v>
      </c>
      <c r="G1585" s="4" t="s">
        <v>1</v>
      </c>
      <c r="H1585" s="25">
        <v>8.8172437000000006</v>
      </c>
      <c r="I1585" s="8">
        <v>611.47889999999995</v>
      </c>
      <c r="J1585" s="9">
        <v>750</v>
      </c>
      <c r="K1585" s="7">
        <v>138.521084</v>
      </c>
      <c r="L1585" s="24">
        <f>+Tabla2[[#This Row],[Stock Inventario]]*Tabla2[[#This Row],[Coste LÃ­nea]]</f>
        <v>6612.9327750000002</v>
      </c>
      <c r="M1585" s="24">
        <f>+Tabla2[[#This Row],[Variación Stock]]*Tabla2[[#This Row],[Coste LÃ­nea]]</f>
        <v>1221.3741552161709</v>
      </c>
      <c r="N1585" s="22" t="str">
        <f>+IF(Tabla2[[#This Row],[Variación Stock]]&gt;0,"Sobrante",IF(Tabla2[[#This Row],[Variación Stock]]&lt;0,"Faltante","Sin novedad"))</f>
        <v>Sobrante</v>
      </c>
    </row>
    <row r="1586" spans="1:14" x14ac:dyDescent="0.25">
      <c r="A1586" s="11">
        <v>46053</v>
      </c>
      <c r="B1586" s="5" t="s">
        <v>836</v>
      </c>
      <c r="C1586" s="3" t="s">
        <v>128</v>
      </c>
      <c r="D1586" s="5" t="s">
        <v>603</v>
      </c>
      <c r="E1586" s="5" t="s">
        <v>112</v>
      </c>
      <c r="F1586" s="6" t="s">
        <v>607</v>
      </c>
      <c r="G1586" s="4" t="s">
        <v>2</v>
      </c>
      <c r="H1586" s="25">
        <v>3500</v>
      </c>
      <c r="I1586" s="8">
        <v>53.5</v>
      </c>
      <c r="J1586" s="9">
        <v>91</v>
      </c>
      <c r="K1586" s="7">
        <v>37.5</v>
      </c>
      <c r="L1586" s="24">
        <f>+Tabla2[[#This Row],[Stock Inventario]]*Tabla2[[#This Row],[Coste LÃ­nea]]</f>
        <v>318500</v>
      </c>
      <c r="M1586" s="24">
        <f>+Tabla2[[#This Row],[Variación Stock]]*Tabla2[[#This Row],[Coste LÃ­nea]]</f>
        <v>131250</v>
      </c>
      <c r="N1586" s="22" t="str">
        <f>+IF(Tabla2[[#This Row],[Variación Stock]]&gt;0,"Sobrante",IF(Tabla2[[#This Row],[Variación Stock]]&lt;0,"Faltante","Sin novedad"))</f>
        <v>Sobrante</v>
      </c>
    </row>
    <row r="1587" spans="1:14" x14ac:dyDescent="0.25">
      <c r="A1587" s="11">
        <v>46053</v>
      </c>
      <c r="B1587" s="5" t="s">
        <v>836</v>
      </c>
      <c r="C1587" s="3" t="s">
        <v>128</v>
      </c>
      <c r="D1587" s="5" t="s">
        <v>603</v>
      </c>
      <c r="E1587" s="5" t="s">
        <v>112</v>
      </c>
      <c r="F1587" s="6" t="s">
        <v>886</v>
      </c>
      <c r="G1587" s="4" t="s">
        <v>2</v>
      </c>
      <c r="H1587" s="25">
        <v>2000</v>
      </c>
      <c r="I1587" s="8">
        <v>61</v>
      </c>
      <c r="J1587" s="9">
        <v>61</v>
      </c>
      <c r="K1587" s="7">
        <v>0</v>
      </c>
      <c r="L1587" s="24">
        <f>+Tabla2[[#This Row],[Stock Inventario]]*Tabla2[[#This Row],[Coste LÃ­nea]]</f>
        <v>122000</v>
      </c>
      <c r="M1587" s="24">
        <f>+Tabla2[[#This Row],[Variación Stock]]*Tabla2[[#This Row],[Coste LÃ­nea]]</f>
        <v>0</v>
      </c>
      <c r="N1587" s="22" t="str">
        <f>+IF(Tabla2[[#This Row],[Variación Stock]]&gt;0,"Sobrante",IF(Tabla2[[#This Row],[Variación Stock]]&lt;0,"Faltante","Sin novedad"))</f>
        <v>Sin novedad</v>
      </c>
    </row>
    <row r="1588" spans="1:14" x14ac:dyDescent="0.25">
      <c r="A1588" s="11">
        <v>46053</v>
      </c>
      <c r="B1588" s="5" t="s">
        <v>836</v>
      </c>
      <c r="C1588" s="3" t="s">
        <v>128</v>
      </c>
      <c r="D1588" s="5" t="s">
        <v>603</v>
      </c>
      <c r="E1588" s="5" t="s">
        <v>112</v>
      </c>
      <c r="F1588" s="6" t="s">
        <v>887</v>
      </c>
      <c r="G1588" s="4" t="s">
        <v>2</v>
      </c>
      <c r="H1588" s="25">
        <v>1800</v>
      </c>
      <c r="I1588" s="8">
        <v>18</v>
      </c>
      <c r="J1588" s="9">
        <v>45</v>
      </c>
      <c r="K1588" s="7">
        <v>27</v>
      </c>
      <c r="L1588" s="24">
        <f>+Tabla2[[#This Row],[Stock Inventario]]*Tabla2[[#This Row],[Coste LÃ­nea]]</f>
        <v>81000</v>
      </c>
      <c r="M1588" s="24">
        <f>+Tabla2[[#This Row],[Variación Stock]]*Tabla2[[#This Row],[Coste LÃ­nea]]</f>
        <v>48600</v>
      </c>
      <c r="N1588" s="22" t="str">
        <f>+IF(Tabla2[[#This Row],[Variación Stock]]&gt;0,"Sobrante",IF(Tabla2[[#This Row],[Variación Stock]]&lt;0,"Faltante","Sin novedad"))</f>
        <v>Sobrante</v>
      </c>
    </row>
    <row r="1589" spans="1:14" x14ac:dyDescent="0.25">
      <c r="A1589" s="11">
        <v>46053</v>
      </c>
      <c r="B1589" s="5" t="s">
        <v>836</v>
      </c>
      <c r="C1589" s="3" t="s">
        <v>128</v>
      </c>
      <c r="D1589" s="5" t="s">
        <v>603</v>
      </c>
      <c r="E1589" s="5" t="s">
        <v>112</v>
      </c>
      <c r="F1589" s="6" t="s">
        <v>888</v>
      </c>
      <c r="G1589" s="4" t="s">
        <v>2</v>
      </c>
      <c r="H1589" s="25">
        <v>2714.2857142900002</v>
      </c>
      <c r="I1589" s="8">
        <v>62</v>
      </c>
      <c r="J1589" s="9">
        <v>43</v>
      </c>
      <c r="K1589" s="7">
        <v>-19</v>
      </c>
      <c r="L1589" s="24">
        <f>+Tabla2[[#This Row],[Stock Inventario]]*Tabla2[[#This Row],[Coste LÃ­nea]]</f>
        <v>116714.28571447001</v>
      </c>
      <c r="M1589" s="24">
        <f>+Tabla2[[#This Row],[Variación Stock]]*Tabla2[[#This Row],[Coste LÃ­nea]]</f>
        <v>-51571.428571510005</v>
      </c>
      <c r="N1589" s="22" t="str">
        <f>+IF(Tabla2[[#This Row],[Variación Stock]]&gt;0,"Sobrante",IF(Tabla2[[#This Row],[Variación Stock]]&lt;0,"Faltante","Sin novedad"))</f>
        <v>Faltante</v>
      </c>
    </row>
    <row r="1590" spans="1:14" hidden="1" x14ac:dyDescent="0.25">
      <c r="A1590" s="11">
        <v>46053</v>
      </c>
      <c r="B1590" s="5" t="s">
        <v>836</v>
      </c>
      <c r="C1590" s="3" t="s">
        <v>128</v>
      </c>
      <c r="D1590" s="5" t="s">
        <v>119</v>
      </c>
      <c r="E1590" s="5" t="s">
        <v>117</v>
      </c>
      <c r="F1590" s="6" t="s">
        <v>200</v>
      </c>
      <c r="G1590" s="4" t="s">
        <v>1</v>
      </c>
      <c r="H1590" s="25">
        <v>58.31</v>
      </c>
      <c r="I1590" s="8">
        <v>17300</v>
      </c>
      <c r="J1590" s="9">
        <v>10000</v>
      </c>
      <c r="K1590" s="7">
        <v>-7300</v>
      </c>
      <c r="L1590" s="24">
        <f>+Tabla2[[#This Row],[Stock Inventario]]*Tabla2[[#This Row],[Coste LÃ­nea]]</f>
        <v>583100</v>
      </c>
      <c r="M1590" s="24">
        <f>+Tabla2[[#This Row],[Variación Stock]]*Tabla2[[#This Row],[Coste LÃ­nea]]</f>
        <v>-425663</v>
      </c>
      <c r="N1590" s="22" t="str">
        <f>+IF(Tabla2[[#This Row],[Variación Stock]]&gt;0,"Sobrante",IF(Tabla2[[#This Row],[Variación Stock]]&lt;0,"Faltante","Sin novedad"))</f>
        <v>Faltante</v>
      </c>
    </row>
    <row r="1591" spans="1:14" hidden="1" x14ac:dyDescent="0.25">
      <c r="A1591" s="11">
        <v>46053</v>
      </c>
      <c r="B1591" s="5" t="s">
        <v>836</v>
      </c>
      <c r="C1591" s="3" t="s">
        <v>128</v>
      </c>
      <c r="D1591" s="5" t="s">
        <v>547</v>
      </c>
      <c r="E1591" s="5" t="s">
        <v>117</v>
      </c>
      <c r="F1591" s="6" t="s">
        <v>874</v>
      </c>
      <c r="G1591" s="4" t="s">
        <v>1</v>
      </c>
      <c r="H1591" s="25">
        <v>76.952582879999994</v>
      </c>
      <c r="I1591" s="8">
        <v>6246</v>
      </c>
      <c r="J1591" s="9">
        <v>3652</v>
      </c>
      <c r="K1591" s="7">
        <v>-2594</v>
      </c>
      <c r="L1591" s="24">
        <f>+Tabla2[[#This Row],[Stock Inventario]]*Tabla2[[#This Row],[Coste LÃ­nea]]</f>
        <v>281030.83267775999</v>
      </c>
      <c r="M1591" s="24">
        <f>+Tabla2[[#This Row],[Variación Stock]]*Tabla2[[#This Row],[Coste LÃ­nea]]</f>
        <v>-199614.99999071998</v>
      </c>
      <c r="N1591" s="22" t="str">
        <f>+IF(Tabla2[[#This Row],[Variación Stock]]&gt;0,"Sobrante",IF(Tabla2[[#This Row],[Variación Stock]]&lt;0,"Faltante","Sin novedad"))</f>
        <v>Faltante</v>
      </c>
    </row>
    <row r="1592" spans="1:14" hidden="1" x14ac:dyDescent="0.25">
      <c r="A1592" s="11">
        <v>46053</v>
      </c>
      <c r="B1592" s="5" t="s">
        <v>836</v>
      </c>
      <c r="C1592" s="3" t="s">
        <v>128</v>
      </c>
      <c r="D1592" s="5" t="s">
        <v>547</v>
      </c>
      <c r="E1592" s="5" t="s">
        <v>117</v>
      </c>
      <c r="F1592" s="6" t="s">
        <v>549</v>
      </c>
      <c r="G1592" s="4" t="s">
        <v>1</v>
      </c>
      <c r="H1592" s="25">
        <v>54.495833330000004</v>
      </c>
      <c r="I1592" s="8">
        <v>-31057.96</v>
      </c>
      <c r="J1592" s="9">
        <v>6810</v>
      </c>
      <c r="K1592" s="7">
        <v>37867.96</v>
      </c>
      <c r="L1592" s="24">
        <f>+Tabla2[[#This Row],[Stock Inventario]]*Tabla2[[#This Row],[Coste LÃ­nea]]</f>
        <v>371116.6249773</v>
      </c>
      <c r="M1592" s="24">
        <f>+Tabla2[[#This Row],[Variación Stock]]*Tabla2[[#This Row],[Coste LÃ­nea]]</f>
        <v>2063646.036707107</v>
      </c>
      <c r="N1592" s="22" t="str">
        <f>+IF(Tabla2[[#This Row],[Variación Stock]]&gt;0,"Sobrante",IF(Tabla2[[#This Row],[Variación Stock]]&lt;0,"Faltante","Sin novedad"))</f>
        <v>Sobrante</v>
      </c>
    </row>
    <row r="1593" spans="1:14" hidden="1" x14ac:dyDescent="0.25">
      <c r="A1593" s="11">
        <v>46053</v>
      </c>
      <c r="B1593" s="5" t="s">
        <v>836</v>
      </c>
      <c r="C1593" s="3" t="s">
        <v>128</v>
      </c>
      <c r="D1593" s="5" t="s">
        <v>547</v>
      </c>
      <c r="E1593" s="5" t="s">
        <v>117</v>
      </c>
      <c r="F1593" s="6" t="s">
        <v>879</v>
      </c>
      <c r="G1593" s="4" t="s">
        <v>1</v>
      </c>
      <c r="H1593" s="25">
        <v>32.29</v>
      </c>
      <c r="I1593" s="8">
        <v>48812.201800000003</v>
      </c>
      <c r="J1593" s="9">
        <v>14268</v>
      </c>
      <c r="K1593" s="7">
        <v>-34544.20175</v>
      </c>
      <c r="L1593" s="24">
        <f>+Tabla2[[#This Row],[Stock Inventario]]*Tabla2[[#This Row],[Coste LÃ­nea]]</f>
        <v>460713.72</v>
      </c>
      <c r="M1593" s="24">
        <f>+Tabla2[[#This Row],[Variación Stock]]*Tabla2[[#This Row],[Coste LÃ­nea]]</f>
        <v>-1115432.2745075</v>
      </c>
      <c r="N1593" s="22" t="str">
        <f>+IF(Tabla2[[#This Row],[Variación Stock]]&gt;0,"Sobrante",IF(Tabla2[[#This Row],[Variación Stock]]&lt;0,"Faltante","Sin novedad"))</f>
        <v>Faltante</v>
      </c>
    </row>
    <row r="1594" spans="1:14" hidden="1" x14ac:dyDescent="0.25">
      <c r="A1594" s="11">
        <v>46053</v>
      </c>
      <c r="B1594" s="5" t="s">
        <v>836</v>
      </c>
      <c r="C1594" s="3" t="s">
        <v>128</v>
      </c>
      <c r="D1594" s="5" t="s">
        <v>547</v>
      </c>
      <c r="E1594" s="5" t="s">
        <v>117</v>
      </c>
      <c r="F1594" s="6" t="s">
        <v>557</v>
      </c>
      <c r="G1594" s="4" t="s">
        <v>1</v>
      </c>
      <c r="H1594" s="25">
        <v>19.747499999999999</v>
      </c>
      <c r="I1594" s="8">
        <v>5123.0012999999999</v>
      </c>
      <c r="J1594" s="9">
        <v>3778</v>
      </c>
      <c r="K1594" s="7">
        <v>-1345.00134</v>
      </c>
      <c r="L1594" s="24">
        <f>+Tabla2[[#This Row],[Stock Inventario]]*Tabla2[[#This Row],[Coste LÃ­nea]]</f>
        <v>74606.054999999993</v>
      </c>
      <c r="M1594" s="24">
        <f>+Tabla2[[#This Row],[Variación Stock]]*Tabla2[[#This Row],[Coste LÃ­nea]]</f>
        <v>-26560.41396165</v>
      </c>
      <c r="N1594" s="22" t="str">
        <f>+IF(Tabla2[[#This Row],[Variación Stock]]&gt;0,"Sobrante",IF(Tabla2[[#This Row],[Variación Stock]]&lt;0,"Faltante","Sin novedad"))</f>
        <v>Faltante</v>
      </c>
    </row>
    <row r="1595" spans="1:14" hidden="1" x14ac:dyDescent="0.25">
      <c r="A1595" s="11">
        <v>46053</v>
      </c>
      <c r="B1595" s="5" t="s">
        <v>836</v>
      </c>
      <c r="C1595" s="3" t="s">
        <v>128</v>
      </c>
      <c r="D1595" s="5" t="s">
        <v>547</v>
      </c>
      <c r="E1595" s="5" t="s">
        <v>117</v>
      </c>
      <c r="F1595" s="6" t="s">
        <v>873</v>
      </c>
      <c r="G1595" s="4" t="s">
        <v>1</v>
      </c>
      <c r="H1595" s="25">
        <f>13749.621849/500</f>
        <v>27.499243697999997</v>
      </c>
      <c r="I1595" s="8">
        <v>-50</v>
      </c>
      <c r="J1595" s="9">
        <v>200</v>
      </c>
      <c r="K1595" s="7">
        <v>250</v>
      </c>
      <c r="L1595" s="24">
        <f>+Tabla2[[#This Row],[Stock Inventario]]*Tabla2[[#This Row],[Coste LÃ­nea]]</f>
        <v>5499.8487395999991</v>
      </c>
      <c r="M1595" s="24">
        <f>+Tabla2[[#This Row],[Variación Stock]]*Tabla2[[#This Row],[Coste LÃ­nea]]</f>
        <v>6874.8109244999996</v>
      </c>
      <c r="N1595" s="22" t="str">
        <f>+IF(Tabla2[[#This Row],[Variación Stock]]&gt;0,"Sobrante",IF(Tabla2[[#This Row],[Variación Stock]]&lt;0,"Faltante","Sin novedad"))</f>
        <v>Sobrante</v>
      </c>
    </row>
    <row r="1596" spans="1:14" hidden="1" x14ac:dyDescent="0.25">
      <c r="A1596" s="11">
        <v>46053</v>
      </c>
      <c r="B1596" s="5" t="s">
        <v>836</v>
      </c>
      <c r="C1596" s="3" t="s">
        <v>128</v>
      </c>
      <c r="D1596" s="5" t="s">
        <v>547</v>
      </c>
      <c r="E1596" s="5" t="s">
        <v>117</v>
      </c>
      <c r="F1596" s="6" t="s">
        <v>876</v>
      </c>
      <c r="G1596" s="4" t="s">
        <v>1</v>
      </c>
      <c r="H1596" s="25">
        <v>35.819000000000003</v>
      </c>
      <c r="I1596" s="8">
        <v>19798</v>
      </c>
      <c r="J1596" s="9">
        <v>6366</v>
      </c>
      <c r="K1596" s="7">
        <v>-13432</v>
      </c>
      <c r="L1596" s="24">
        <f>+Tabla2[[#This Row],[Stock Inventario]]*Tabla2[[#This Row],[Coste LÃ­nea]]</f>
        <v>228023.75400000002</v>
      </c>
      <c r="M1596" s="24">
        <f>+Tabla2[[#This Row],[Variación Stock]]*Tabla2[[#This Row],[Coste LÃ­nea]]</f>
        <v>-481120.80800000002</v>
      </c>
      <c r="N1596" s="22" t="str">
        <f>+IF(Tabla2[[#This Row],[Variación Stock]]&gt;0,"Sobrante",IF(Tabla2[[#This Row],[Variación Stock]]&lt;0,"Faltante","Sin novedad"))</f>
        <v>Faltante</v>
      </c>
    </row>
    <row r="1597" spans="1:14" hidden="1" x14ac:dyDescent="0.25">
      <c r="A1597" s="11">
        <v>46053</v>
      </c>
      <c r="B1597" s="5" t="s">
        <v>836</v>
      </c>
      <c r="C1597" s="3" t="s">
        <v>128</v>
      </c>
      <c r="D1597" s="5" t="s">
        <v>547</v>
      </c>
      <c r="E1597" s="5" t="s">
        <v>117</v>
      </c>
      <c r="F1597" s="6" t="s">
        <v>550</v>
      </c>
      <c r="G1597" s="4" t="s">
        <v>1</v>
      </c>
      <c r="H1597" s="25">
        <v>133.01733333000001</v>
      </c>
      <c r="I1597" s="8">
        <v>0</v>
      </c>
      <c r="J1597" s="9">
        <v>0</v>
      </c>
      <c r="K1597" s="7">
        <v>0</v>
      </c>
      <c r="L1597" s="24">
        <f>+Tabla2[[#This Row],[Stock Inventario]]*Tabla2[[#This Row],[Coste LÃ­nea]]</f>
        <v>0</v>
      </c>
      <c r="M1597" s="24">
        <f>+Tabla2[[#This Row],[Variación Stock]]*Tabla2[[#This Row],[Coste LÃ­nea]]</f>
        <v>0</v>
      </c>
      <c r="N1597" s="22" t="str">
        <f>+IF(Tabla2[[#This Row],[Variación Stock]]&gt;0,"Sobrante",IF(Tabla2[[#This Row],[Variación Stock]]&lt;0,"Faltante","Sin novedad"))</f>
        <v>Sin novedad</v>
      </c>
    </row>
    <row r="1598" spans="1:14" hidden="1" x14ac:dyDescent="0.25">
      <c r="A1598" s="11">
        <v>46053</v>
      </c>
      <c r="B1598" s="5" t="s">
        <v>836</v>
      </c>
      <c r="C1598" s="3" t="s">
        <v>128</v>
      </c>
      <c r="D1598" s="5" t="s">
        <v>471</v>
      </c>
      <c r="E1598" s="5" t="s">
        <v>117</v>
      </c>
      <c r="F1598" s="6" t="s">
        <v>528</v>
      </c>
      <c r="G1598" s="4" t="s">
        <v>1</v>
      </c>
      <c r="H1598" s="25">
        <v>2.8</v>
      </c>
      <c r="I1598" s="8">
        <v>1850</v>
      </c>
      <c r="J1598" s="9">
        <v>830</v>
      </c>
      <c r="K1598" s="7">
        <v>-1020</v>
      </c>
      <c r="L1598" s="24">
        <f>+Tabla2[[#This Row],[Stock Inventario]]*Tabla2[[#This Row],[Coste LÃ­nea]]</f>
        <v>2324</v>
      </c>
      <c r="M1598" s="24">
        <f>+Tabla2[[#This Row],[Variación Stock]]*Tabla2[[#This Row],[Coste LÃ­nea]]</f>
        <v>-2856</v>
      </c>
      <c r="N1598" s="22" t="str">
        <f>+IF(Tabla2[[#This Row],[Variación Stock]]&gt;0,"Sobrante",IF(Tabla2[[#This Row],[Variación Stock]]&lt;0,"Faltante","Sin novedad"))</f>
        <v>Faltante</v>
      </c>
    </row>
    <row r="1599" spans="1:14" hidden="1" x14ac:dyDescent="0.25">
      <c r="A1599" s="11">
        <v>46053</v>
      </c>
      <c r="B1599" s="5" t="s">
        <v>836</v>
      </c>
      <c r="C1599" s="3" t="s">
        <v>128</v>
      </c>
      <c r="D1599" s="5" t="s">
        <v>396</v>
      </c>
      <c r="E1599" s="5" t="s">
        <v>117</v>
      </c>
      <c r="F1599" s="6" t="s">
        <v>856</v>
      </c>
      <c r="G1599" s="4" t="s">
        <v>1</v>
      </c>
      <c r="H1599" s="25">
        <v>44.497999999999998</v>
      </c>
      <c r="I1599" s="8">
        <v>856</v>
      </c>
      <c r="J1599" s="9">
        <v>630</v>
      </c>
      <c r="K1599" s="7">
        <v>-225.99998400000001</v>
      </c>
      <c r="L1599" s="24">
        <f>+Tabla2[[#This Row],[Stock Inventario]]*Tabla2[[#This Row],[Coste LÃ­nea]]</f>
        <v>28033.739999999998</v>
      </c>
      <c r="M1599" s="24">
        <f>+Tabla2[[#This Row],[Variación Stock]]*Tabla2[[#This Row],[Coste LÃ­nea]]</f>
        <v>-10056.547288031999</v>
      </c>
      <c r="N1599" s="22" t="str">
        <f>+IF(Tabla2[[#This Row],[Variación Stock]]&gt;0,"Sobrante",IF(Tabla2[[#This Row],[Variación Stock]]&lt;0,"Faltante","Sin novedad"))</f>
        <v>Faltante</v>
      </c>
    </row>
    <row r="1600" spans="1:14" hidden="1" x14ac:dyDescent="0.25">
      <c r="A1600" s="11">
        <v>46053</v>
      </c>
      <c r="B1600" s="5" t="s">
        <v>836</v>
      </c>
      <c r="C1600" s="3" t="s">
        <v>128</v>
      </c>
      <c r="D1600" s="5" t="s">
        <v>626</v>
      </c>
      <c r="E1600" s="5" t="s">
        <v>1079</v>
      </c>
      <c r="F1600" s="6" t="s">
        <v>634</v>
      </c>
      <c r="G1600" s="4" t="s">
        <v>1</v>
      </c>
      <c r="H1600" s="25">
        <v>169.75</v>
      </c>
      <c r="I1600" s="8">
        <v>34400</v>
      </c>
      <c r="J1600" s="9">
        <v>10000</v>
      </c>
      <c r="K1600" s="7">
        <v>-24400</v>
      </c>
      <c r="L1600" s="24">
        <f>+Tabla2[[#This Row],[Stock Inventario]]*Tabla2[[#This Row],[Coste LÃ­nea]]</f>
        <v>1697500</v>
      </c>
      <c r="M1600" s="24">
        <f>+Tabla2[[#This Row],[Variación Stock]]*Tabla2[[#This Row],[Coste LÃ­nea]]</f>
        <v>-4141900</v>
      </c>
      <c r="N1600" s="22" t="str">
        <f>+IF(Tabla2[[#This Row],[Variación Stock]]&gt;0,"Sobrante",IF(Tabla2[[#This Row],[Variación Stock]]&lt;0,"Faltante","Sin novedad"))</f>
        <v>Faltante</v>
      </c>
    </row>
    <row r="1601" spans="1:14" hidden="1" x14ac:dyDescent="0.25">
      <c r="A1601" s="11">
        <v>46053</v>
      </c>
      <c r="B1601" s="5" t="s">
        <v>836</v>
      </c>
      <c r="C1601" s="3" t="s">
        <v>128</v>
      </c>
      <c r="D1601" s="5" t="s">
        <v>471</v>
      </c>
      <c r="E1601" s="5" t="s">
        <v>117</v>
      </c>
      <c r="F1601" s="6" t="s">
        <v>530</v>
      </c>
      <c r="G1601" s="4" t="s">
        <v>1</v>
      </c>
      <c r="H1601" s="25">
        <v>9.5</v>
      </c>
      <c r="I1601" s="8">
        <v>619</v>
      </c>
      <c r="J1601" s="9">
        <v>214</v>
      </c>
      <c r="K1601" s="7">
        <v>-405</v>
      </c>
      <c r="L1601" s="24">
        <f>+Tabla2[[#This Row],[Stock Inventario]]*Tabla2[[#This Row],[Coste LÃ­nea]]</f>
        <v>2033</v>
      </c>
      <c r="M1601" s="24">
        <f>+Tabla2[[#This Row],[Variación Stock]]*Tabla2[[#This Row],[Coste LÃ­nea]]</f>
        <v>-3847.5</v>
      </c>
      <c r="N1601" s="22" t="str">
        <f>+IF(Tabla2[[#This Row],[Variación Stock]]&gt;0,"Sobrante",IF(Tabla2[[#This Row],[Variación Stock]]&lt;0,"Faltante","Sin novedad"))</f>
        <v>Faltante</v>
      </c>
    </row>
    <row r="1602" spans="1:14" x14ac:dyDescent="0.25">
      <c r="A1602" s="11">
        <v>46053</v>
      </c>
      <c r="B1602" s="5" t="s">
        <v>836</v>
      </c>
      <c r="C1602" s="3" t="s">
        <v>128</v>
      </c>
      <c r="D1602" s="5" t="s">
        <v>111</v>
      </c>
      <c r="E1602" s="5" t="s">
        <v>112</v>
      </c>
      <c r="F1602" s="6" t="s">
        <v>40</v>
      </c>
      <c r="G1602" s="4" t="s">
        <v>0</v>
      </c>
      <c r="H1602" s="25">
        <v>2290</v>
      </c>
      <c r="I1602" s="8">
        <v>68</v>
      </c>
      <c r="J1602" s="9">
        <v>61</v>
      </c>
      <c r="K1602" s="7">
        <v>-7</v>
      </c>
      <c r="L1602" s="24">
        <f>+Tabla2[[#This Row],[Stock Inventario]]*Tabla2[[#This Row],[Coste LÃ­nea]]</f>
        <v>139690</v>
      </c>
      <c r="M1602" s="24">
        <f>+Tabla2[[#This Row],[Variación Stock]]*Tabla2[[#This Row],[Coste LÃ­nea]]</f>
        <v>-16030</v>
      </c>
      <c r="N1602" s="22" t="str">
        <f>+IF(Tabla2[[#This Row],[Variación Stock]]&gt;0,"Sobrante",IF(Tabla2[[#This Row],[Variación Stock]]&lt;0,"Faltante","Sin novedad"))</f>
        <v>Faltante</v>
      </c>
    </row>
    <row r="1603" spans="1:14" x14ac:dyDescent="0.25">
      <c r="A1603" s="11">
        <v>46053</v>
      </c>
      <c r="B1603" s="5" t="s">
        <v>836</v>
      </c>
      <c r="C1603" s="3" t="s">
        <v>128</v>
      </c>
      <c r="D1603" s="5" t="s">
        <v>111</v>
      </c>
      <c r="E1603" s="5" t="s">
        <v>112</v>
      </c>
      <c r="F1603" s="6" t="s">
        <v>142</v>
      </c>
      <c r="G1603" s="4" t="s">
        <v>0</v>
      </c>
      <c r="H1603" s="25">
        <v>2680.7272727300001</v>
      </c>
      <c r="I1603" s="8">
        <v>28</v>
      </c>
      <c r="J1603" s="9">
        <v>44</v>
      </c>
      <c r="K1603" s="7">
        <v>16</v>
      </c>
      <c r="L1603" s="24">
        <f>+Tabla2[[#This Row],[Stock Inventario]]*Tabla2[[#This Row],[Coste LÃ­nea]]</f>
        <v>117952.00000012001</v>
      </c>
      <c r="M1603" s="24">
        <f>+Tabla2[[#This Row],[Variación Stock]]*Tabla2[[#This Row],[Coste LÃ­nea]]</f>
        <v>42891.636363680002</v>
      </c>
      <c r="N1603" s="22" t="str">
        <f>+IF(Tabla2[[#This Row],[Variación Stock]]&gt;0,"Sobrante",IF(Tabla2[[#This Row],[Variación Stock]]&lt;0,"Faltante","Sin novedad"))</f>
        <v>Sobrante</v>
      </c>
    </row>
    <row r="1604" spans="1:14" x14ac:dyDescent="0.25">
      <c r="A1604" s="11">
        <v>46053</v>
      </c>
      <c r="B1604" s="5" t="s">
        <v>836</v>
      </c>
      <c r="C1604" s="3" t="s">
        <v>128</v>
      </c>
      <c r="D1604" s="5" t="s">
        <v>111</v>
      </c>
      <c r="E1604" s="5" t="s">
        <v>112</v>
      </c>
      <c r="F1604" s="6" t="s">
        <v>53</v>
      </c>
      <c r="G1604" s="4" t="s">
        <v>2</v>
      </c>
      <c r="H1604" s="25">
        <v>41250</v>
      </c>
      <c r="I1604" s="8">
        <v>0</v>
      </c>
      <c r="J1604" s="9">
        <v>0</v>
      </c>
      <c r="K1604" s="7">
        <v>0</v>
      </c>
      <c r="L1604" s="24">
        <f>+Tabla2[[#This Row],[Stock Inventario]]*Tabla2[[#This Row],[Coste LÃ­nea]]</f>
        <v>0</v>
      </c>
      <c r="M1604" s="24">
        <f>+Tabla2[[#This Row],[Variación Stock]]*Tabla2[[#This Row],[Coste LÃ­nea]]</f>
        <v>0</v>
      </c>
      <c r="N1604" s="22" t="str">
        <f>+IF(Tabla2[[#This Row],[Variación Stock]]&gt;0,"Sobrante",IF(Tabla2[[#This Row],[Variación Stock]]&lt;0,"Faltante","Sin novedad"))</f>
        <v>Sin novedad</v>
      </c>
    </row>
    <row r="1605" spans="1:14" x14ac:dyDescent="0.25">
      <c r="A1605" s="11">
        <v>46053</v>
      </c>
      <c r="B1605" s="5" t="s">
        <v>836</v>
      </c>
      <c r="C1605" s="3" t="s">
        <v>128</v>
      </c>
      <c r="D1605" s="5" t="s">
        <v>111</v>
      </c>
      <c r="E1605" s="5" t="s">
        <v>112</v>
      </c>
      <c r="F1605" s="6" t="s">
        <v>143</v>
      </c>
      <c r="G1605" s="4" t="s">
        <v>2</v>
      </c>
      <c r="H1605" s="25">
        <v>24583</v>
      </c>
      <c r="I1605" s="8">
        <v>1</v>
      </c>
      <c r="J1605" s="9">
        <v>1</v>
      </c>
      <c r="K1605" s="7">
        <v>0</v>
      </c>
      <c r="L1605" s="24">
        <f>+Tabla2[[#This Row],[Stock Inventario]]*Tabla2[[#This Row],[Coste LÃ­nea]]</f>
        <v>24583</v>
      </c>
      <c r="M1605" s="24">
        <f>+Tabla2[[#This Row],[Variación Stock]]*Tabla2[[#This Row],[Coste LÃ­nea]]</f>
        <v>0</v>
      </c>
      <c r="N1605" s="22" t="str">
        <f>+IF(Tabla2[[#This Row],[Variación Stock]]&gt;0,"Sobrante",IF(Tabla2[[#This Row],[Variación Stock]]&lt;0,"Faltante","Sin novedad"))</f>
        <v>Sin novedad</v>
      </c>
    </row>
    <row r="1606" spans="1:14" x14ac:dyDescent="0.25">
      <c r="A1606" s="11">
        <v>46053</v>
      </c>
      <c r="B1606" s="5" t="s">
        <v>836</v>
      </c>
      <c r="C1606" s="3" t="s">
        <v>128</v>
      </c>
      <c r="D1606" s="5" t="s">
        <v>111</v>
      </c>
      <c r="E1606" s="5" t="s">
        <v>112</v>
      </c>
      <c r="F1606" s="6" t="s">
        <v>54</v>
      </c>
      <c r="G1606" s="4" t="s">
        <v>0</v>
      </c>
      <c r="H1606" s="25">
        <v>2134.5416666699998</v>
      </c>
      <c r="I1606" s="8">
        <v>44</v>
      </c>
      <c r="J1606" s="9">
        <v>43</v>
      </c>
      <c r="K1606" s="7">
        <v>-1</v>
      </c>
      <c r="L1606" s="24">
        <f>+Tabla2[[#This Row],[Stock Inventario]]*Tabla2[[#This Row],[Coste LÃ­nea]]</f>
        <v>91785.291666809993</v>
      </c>
      <c r="M1606" s="24">
        <f>+Tabla2[[#This Row],[Variación Stock]]*Tabla2[[#This Row],[Coste LÃ­nea]]</f>
        <v>-2134.5416666699998</v>
      </c>
      <c r="N1606" s="22" t="str">
        <f>+IF(Tabla2[[#This Row],[Variación Stock]]&gt;0,"Sobrante",IF(Tabla2[[#This Row],[Variación Stock]]&lt;0,"Faltante","Sin novedad"))</f>
        <v>Faltante</v>
      </c>
    </row>
    <row r="1607" spans="1:14" x14ac:dyDescent="0.25">
      <c r="A1607" s="11">
        <v>46053</v>
      </c>
      <c r="B1607" s="5" t="s">
        <v>836</v>
      </c>
      <c r="C1607" s="3" t="s">
        <v>128</v>
      </c>
      <c r="D1607" s="5" t="s">
        <v>111</v>
      </c>
      <c r="E1607" s="5" t="s">
        <v>112</v>
      </c>
      <c r="F1607" s="6" t="s">
        <v>55</v>
      </c>
      <c r="G1607" s="4" t="s">
        <v>0</v>
      </c>
      <c r="H1607" s="25">
        <v>3171.7083333300002</v>
      </c>
      <c r="I1607" s="8">
        <v>81</v>
      </c>
      <c r="J1607" s="9">
        <v>82</v>
      </c>
      <c r="K1607" s="7">
        <v>1</v>
      </c>
      <c r="L1607" s="24">
        <f>+Tabla2[[#This Row],[Stock Inventario]]*Tabla2[[#This Row],[Coste LÃ­nea]]</f>
        <v>260080.08333306003</v>
      </c>
      <c r="M1607" s="24">
        <f>+Tabla2[[#This Row],[Variación Stock]]*Tabla2[[#This Row],[Coste LÃ­nea]]</f>
        <v>3171.7083333300002</v>
      </c>
      <c r="N1607" s="22" t="str">
        <f>+IF(Tabla2[[#This Row],[Variación Stock]]&gt;0,"Sobrante",IF(Tabla2[[#This Row],[Variación Stock]]&lt;0,"Faltante","Sin novedad"))</f>
        <v>Sobrante</v>
      </c>
    </row>
    <row r="1608" spans="1:14" x14ac:dyDescent="0.25">
      <c r="A1608" s="11">
        <v>46053</v>
      </c>
      <c r="B1608" s="5" t="s">
        <v>836</v>
      </c>
      <c r="C1608" s="3" t="s">
        <v>128</v>
      </c>
      <c r="D1608" s="5" t="s">
        <v>111</v>
      </c>
      <c r="E1608" s="5" t="s">
        <v>112</v>
      </c>
      <c r="F1608" s="6" t="s">
        <v>363</v>
      </c>
      <c r="G1608" s="4" t="s">
        <v>0</v>
      </c>
      <c r="H1608" s="25">
        <v>8500</v>
      </c>
      <c r="I1608" s="8">
        <v>15</v>
      </c>
      <c r="J1608" s="9">
        <v>15</v>
      </c>
      <c r="K1608" s="7">
        <v>0</v>
      </c>
      <c r="L1608" s="24">
        <f>+Tabla2[[#This Row],[Stock Inventario]]*Tabla2[[#This Row],[Coste LÃ­nea]]</f>
        <v>127500</v>
      </c>
      <c r="M1608" s="24">
        <f>+Tabla2[[#This Row],[Variación Stock]]*Tabla2[[#This Row],[Coste LÃ­nea]]</f>
        <v>0</v>
      </c>
      <c r="N1608" s="22" t="str">
        <f>+IF(Tabla2[[#This Row],[Variación Stock]]&gt;0,"Sobrante",IF(Tabla2[[#This Row],[Variación Stock]]&lt;0,"Faltante","Sin novedad"))</f>
        <v>Sin novedad</v>
      </c>
    </row>
    <row r="1609" spans="1:14" x14ac:dyDescent="0.25">
      <c r="A1609" s="11">
        <v>46053</v>
      </c>
      <c r="B1609" s="5" t="s">
        <v>836</v>
      </c>
      <c r="C1609" s="3" t="s">
        <v>128</v>
      </c>
      <c r="D1609" s="5" t="s">
        <v>111</v>
      </c>
      <c r="E1609" s="5" t="s">
        <v>112</v>
      </c>
      <c r="F1609" s="6" t="s">
        <v>139</v>
      </c>
      <c r="G1609" s="4" t="s">
        <v>0</v>
      </c>
      <c r="H1609" s="25">
        <v>3884.5</v>
      </c>
      <c r="I1609" s="8">
        <v>17</v>
      </c>
      <c r="J1609" s="9">
        <v>18</v>
      </c>
      <c r="K1609" s="7">
        <v>1</v>
      </c>
      <c r="L1609" s="24">
        <f>+Tabla2[[#This Row],[Stock Inventario]]*Tabla2[[#This Row],[Coste LÃ­nea]]</f>
        <v>69921</v>
      </c>
      <c r="M1609" s="24">
        <f>+Tabla2[[#This Row],[Variación Stock]]*Tabla2[[#This Row],[Coste LÃ­nea]]</f>
        <v>3884.5</v>
      </c>
      <c r="N1609" s="22" t="str">
        <f>+IF(Tabla2[[#This Row],[Variación Stock]]&gt;0,"Sobrante",IF(Tabla2[[#This Row],[Variación Stock]]&lt;0,"Faltante","Sin novedad"))</f>
        <v>Sobrante</v>
      </c>
    </row>
    <row r="1610" spans="1:14" x14ac:dyDescent="0.25">
      <c r="A1610" s="11">
        <v>46053</v>
      </c>
      <c r="B1610" s="5" t="s">
        <v>836</v>
      </c>
      <c r="C1610" s="3" t="s">
        <v>128</v>
      </c>
      <c r="D1610" s="5" t="s">
        <v>111</v>
      </c>
      <c r="E1610" s="5" t="s">
        <v>112</v>
      </c>
      <c r="F1610" s="6" t="s">
        <v>137</v>
      </c>
      <c r="G1610" s="4" t="s">
        <v>0</v>
      </c>
      <c r="H1610" s="25">
        <v>2454.5454545500002</v>
      </c>
      <c r="I1610" s="8">
        <v>-12.998900000000001</v>
      </c>
      <c r="J1610" s="9">
        <v>12</v>
      </c>
      <c r="K1610" s="7">
        <v>24.998860000000001</v>
      </c>
      <c r="L1610" s="24">
        <f>+Tabla2[[#This Row],[Stock Inventario]]*Tabla2[[#This Row],[Coste LÃ­nea]]</f>
        <v>29454.545454600004</v>
      </c>
      <c r="M1610" s="24">
        <f>+Tabla2[[#This Row],[Variación Stock]]*Tabla2[[#This Row],[Coste LÃ­nea]]</f>
        <v>61360.838181931817</v>
      </c>
      <c r="N1610" s="22" t="str">
        <f>+IF(Tabla2[[#This Row],[Variación Stock]]&gt;0,"Sobrante",IF(Tabla2[[#This Row],[Variación Stock]]&lt;0,"Faltante","Sin novedad"))</f>
        <v>Sobrante</v>
      </c>
    </row>
    <row r="1611" spans="1:14" x14ac:dyDescent="0.25">
      <c r="A1611" s="11">
        <v>46053</v>
      </c>
      <c r="B1611" s="5" t="s">
        <v>836</v>
      </c>
      <c r="C1611" s="3" t="s">
        <v>128</v>
      </c>
      <c r="D1611" s="5" t="s">
        <v>111</v>
      </c>
      <c r="E1611" s="5" t="s">
        <v>112</v>
      </c>
      <c r="F1611" s="6" t="s">
        <v>144</v>
      </c>
      <c r="G1611" s="4" t="s">
        <v>0</v>
      </c>
      <c r="H1611" s="25">
        <v>2120.6896551700002</v>
      </c>
      <c r="I1611" s="8">
        <v>91</v>
      </c>
      <c r="J1611" s="9">
        <v>90</v>
      </c>
      <c r="K1611" s="7">
        <v>-1</v>
      </c>
      <c r="L1611" s="24">
        <f>+Tabla2[[#This Row],[Stock Inventario]]*Tabla2[[#This Row],[Coste LÃ­nea]]</f>
        <v>190862.06896530002</v>
      </c>
      <c r="M1611" s="24">
        <f>+Tabla2[[#This Row],[Variación Stock]]*Tabla2[[#This Row],[Coste LÃ­nea]]</f>
        <v>-2120.6896551700002</v>
      </c>
      <c r="N1611" s="22" t="str">
        <f>+IF(Tabla2[[#This Row],[Variación Stock]]&gt;0,"Sobrante",IF(Tabla2[[#This Row],[Variación Stock]]&lt;0,"Faltante","Sin novedad"))</f>
        <v>Faltante</v>
      </c>
    </row>
    <row r="1612" spans="1:14" x14ac:dyDescent="0.25">
      <c r="A1612" s="11">
        <v>46053</v>
      </c>
      <c r="B1612" s="5" t="s">
        <v>836</v>
      </c>
      <c r="C1612" s="3" t="s">
        <v>128</v>
      </c>
      <c r="D1612" s="5" t="s">
        <v>111</v>
      </c>
      <c r="E1612" s="5" t="s">
        <v>112</v>
      </c>
      <c r="F1612" s="6" t="s">
        <v>29</v>
      </c>
      <c r="G1612" s="4" t="s">
        <v>0</v>
      </c>
      <c r="H1612" s="25">
        <v>12951.25</v>
      </c>
      <c r="I1612" s="8">
        <v>48</v>
      </c>
      <c r="J1612" s="9">
        <v>48</v>
      </c>
      <c r="K1612" s="7">
        <v>0</v>
      </c>
      <c r="L1612" s="24">
        <f>+Tabla2[[#This Row],[Stock Inventario]]*Tabla2[[#This Row],[Coste LÃ­nea]]</f>
        <v>621660</v>
      </c>
      <c r="M1612" s="24">
        <f>+Tabla2[[#This Row],[Variación Stock]]*Tabla2[[#This Row],[Coste LÃ­nea]]</f>
        <v>0</v>
      </c>
      <c r="N1612" s="22" t="str">
        <f>+IF(Tabla2[[#This Row],[Variación Stock]]&gt;0,"Sobrante",IF(Tabla2[[#This Row],[Variación Stock]]&lt;0,"Faltante","Sin novedad"))</f>
        <v>Sin novedad</v>
      </c>
    </row>
    <row r="1613" spans="1:14" x14ac:dyDescent="0.25">
      <c r="A1613" s="11">
        <v>46053</v>
      </c>
      <c r="B1613" s="5" t="s">
        <v>836</v>
      </c>
      <c r="C1613" s="3" t="s">
        <v>128</v>
      </c>
      <c r="D1613" s="5" t="s">
        <v>111</v>
      </c>
      <c r="E1613" s="5" t="s">
        <v>112</v>
      </c>
      <c r="F1613" s="6" t="s">
        <v>56</v>
      </c>
      <c r="G1613" s="4" t="s">
        <v>0</v>
      </c>
      <c r="H1613" s="25">
        <v>5291.6666666700003</v>
      </c>
      <c r="I1613" s="8">
        <v>44</v>
      </c>
      <c r="J1613" s="9">
        <v>44</v>
      </c>
      <c r="K1613" s="7">
        <v>0</v>
      </c>
      <c r="L1613" s="24">
        <f>+Tabla2[[#This Row],[Stock Inventario]]*Tabla2[[#This Row],[Coste LÃ­nea]]</f>
        <v>232833.33333348</v>
      </c>
      <c r="M1613" s="24">
        <f>+Tabla2[[#This Row],[Variación Stock]]*Tabla2[[#This Row],[Coste LÃ­nea]]</f>
        <v>0</v>
      </c>
      <c r="N1613" s="22" t="str">
        <f>+IF(Tabla2[[#This Row],[Variación Stock]]&gt;0,"Sobrante",IF(Tabla2[[#This Row],[Variación Stock]]&lt;0,"Faltante","Sin novedad"))</f>
        <v>Sin novedad</v>
      </c>
    </row>
    <row r="1614" spans="1:14" hidden="1" x14ac:dyDescent="0.25">
      <c r="A1614" s="11">
        <v>46053</v>
      </c>
      <c r="B1614" s="5" t="s">
        <v>836</v>
      </c>
      <c r="C1614" s="3" t="s">
        <v>128</v>
      </c>
      <c r="D1614" s="5" t="s">
        <v>396</v>
      </c>
      <c r="E1614" s="5" t="s">
        <v>117</v>
      </c>
      <c r="F1614" s="6" t="s">
        <v>845</v>
      </c>
      <c r="G1614" s="4" t="s">
        <v>1</v>
      </c>
      <c r="H1614" s="25">
        <v>19.178414100000001</v>
      </c>
      <c r="I1614" s="8">
        <v>2362</v>
      </c>
      <c r="J1614" s="9">
        <v>1320</v>
      </c>
      <c r="K1614" s="7">
        <v>-1042</v>
      </c>
      <c r="L1614" s="24">
        <f>+Tabla2[[#This Row],[Stock Inventario]]*Tabla2[[#This Row],[Coste LÃ­nea]]</f>
        <v>25315.506612000001</v>
      </c>
      <c r="M1614" s="24">
        <f>+Tabla2[[#This Row],[Variación Stock]]*Tabla2[[#This Row],[Coste LÃ­nea]]</f>
        <v>-19983.9074922</v>
      </c>
      <c r="N1614" s="22" t="str">
        <f>+IF(Tabla2[[#This Row],[Variación Stock]]&gt;0,"Sobrante",IF(Tabla2[[#This Row],[Variación Stock]]&lt;0,"Faltante","Sin novedad"))</f>
        <v>Faltante</v>
      </c>
    </row>
    <row r="1615" spans="1:14" hidden="1" x14ac:dyDescent="0.25">
      <c r="A1615" s="11">
        <v>46053</v>
      </c>
      <c r="B1615" s="5" t="s">
        <v>836</v>
      </c>
      <c r="C1615" s="3" t="s">
        <v>128</v>
      </c>
      <c r="D1615" s="5" t="s">
        <v>396</v>
      </c>
      <c r="E1615" s="5" t="s">
        <v>117</v>
      </c>
      <c r="F1615" s="6" t="s">
        <v>450</v>
      </c>
      <c r="G1615" s="4" t="s">
        <v>1</v>
      </c>
      <c r="H1615" s="25">
        <v>2.4009999999999998</v>
      </c>
      <c r="I1615" s="8">
        <v>9535.9611000000004</v>
      </c>
      <c r="J1615" s="9">
        <v>12000</v>
      </c>
      <c r="K1615" s="7">
        <v>2464.0389049999999</v>
      </c>
      <c r="L1615" s="24">
        <f>+Tabla2[[#This Row],[Stock Inventario]]*Tabla2[[#This Row],[Coste LÃ­nea]]</f>
        <v>28811.999999999996</v>
      </c>
      <c r="M1615" s="24">
        <f>+Tabla2[[#This Row],[Variación Stock]]*Tabla2[[#This Row],[Coste LÃ­nea]]</f>
        <v>5916.1574109049989</v>
      </c>
      <c r="N1615" s="22" t="str">
        <f>+IF(Tabla2[[#This Row],[Variación Stock]]&gt;0,"Sobrante",IF(Tabla2[[#This Row],[Variación Stock]]&lt;0,"Faltante","Sin novedad"))</f>
        <v>Sobrante</v>
      </c>
    </row>
    <row r="1616" spans="1:14" hidden="1" x14ac:dyDescent="0.25">
      <c r="A1616" s="11">
        <v>46053</v>
      </c>
      <c r="B1616" s="5" t="s">
        <v>836</v>
      </c>
      <c r="C1616" s="3" t="s">
        <v>128</v>
      </c>
      <c r="D1616" s="5" t="s">
        <v>119</v>
      </c>
      <c r="E1616" s="5" t="s">
        <v>117</v>
      </c>
      <c r="F1616" s="6" t="s">
        <v>93</v>
      </c>
      <c r="G1616" s="4" t="s">
        <v>1</v>
      </c>
      <c r="H1616" s="25">
        <v>49.53</v>
      </c>
      <c r="I1616" s="8">
        <v>0</v>
      </c>
      <c r="J1616" s="9">
        <v>0</v>
      </c>
      <c r="K1616" s="7">
        <v>0</v>
      </c>
      <c r="L1616" s="24">
        <f>+Tabla2[[#This Row],[Stock Inventario]]*Tabla2[[#This Row],[Coste LÃ­nea]]</f>
        <v>0</v>
      </c>
      <c r="M1616" s="24">
        <f>+Tabla2[[#This Row],[Variación Stock]]*Tabla2[[#This Row],[Coste LÃ­nea]]</f>
        <v>0</v>
      </c>
      <c r="N1616" s="22" t="str">
        <f>+IF(Tabla2[[#This Row],[Variación Stock]]&gt;0,"Sobrante",IF(Tabla2[[#This Row],[Variación Stock]]&lt;0,"Faltante","Sin novedad"))</f>
        <v>Sin novedad</v>
      </c>
    </row>
    <row r="1617" spans="1:14" x14ac:dyDescent="0.25">
      <c r="A1617" s="11">
        <v>46053</v>
      </c>
      <c r="B1617" s="5" t="s">
        <v>836</v>
      </c>
      <c r="C1617" s="3" t="s">
        <v>128</v>
      </c>
      <c r="D1617" s="5" t="s">
        <v>603</v>
      </c>
      <c r="E1617" s="5" t="s">
        <v>112</v>
      </c>
      <c r="F1617" s="6" t="s">
        <v>609</v>
      </c>
      <c r="G1617" s="4" t="s">
        <v>1</v>
      </c>
      <c r="H1617" s="25">
        <v>35.274999999999999</v>
      </c>
      <c r="I1617" s="8">
        <v>-1080</v>
      </c>
      <c r="J1617" s="9">
        <v>338</v>
      </c>
      <c r="K1617" s="7">
        <v>1418</v>
      </c>
      <c r="L1617" s="24">
        <f>+Tabla2[[#This Row],[Stock Inventario]]*Tabla2[[#This Row],[Coste LÃ­nea]]</f>
        <v>11922.949999999999</v>
      </c>
      <c r="M1617" s="24">
        <f>+Tabla2[[#This Row],[Variación Stock]]*Tabla2[[#This Row],[Coste LÃ­nea]]</f>
        <v>50019.95</v>
      </c>
      <c r="N1617" s="22" t="str">
        <f>+IF(Tabla2[[#This Row],[Variación Stock]]&gt;0,"Sobrante",IF(Tabla2[[#This Row],[Variación Stock]]&lt;0,"Faltante","Sin novedad"))</f>
        <v>Sobrante</v>
      </c>
    </row>
    <row r="1618" spans="1:14" hidden="1" x14ac:dyDescent="0.25">
      <c r="A1618" s="11">
        <v>46053</v>
      </c>
      <c r="B1618" s="5" t="s">
        <v>836</v>
      </c>
      <c r="C1618" s="3" t="s">
        <v>128</v>
      </c>
      <c r="D1618" s="5" t="s">
        <v>396</v>
      </c>
      <c r="E1618" s="5" t="s">
        <v>117</v>
      </c>
      <c r="F1618" s="6" t="s">
        <v>463</v>
      </c>
      <c r="G1618" s="4" t="s">
        <v>1</v>
      </c>
      <c r="H1618" s="25">
        <v>10.749943330000001</v>
      </c>
      <c r="I1618" s="8">
        <v>1950</v>
      </c>
      <c r="J1618" s="9">
        <v>500</v>
      </c>
      <c r="K1618" s="7">
        <v>-1450</v>
      </c>
      <c r="L1618" s="24">
        <f>+Tabla2[[#This Row],[Stock Inventario]]*Tabla2[[#This Row],[Coste LÃ­nea]]</f>
        <v>5374.971665</v>
      </c>
      <c r="M1618" s="24">
        <f>+Tabla2[[#This Row],[Variación Stock]]*Tabla2[[#This Row],[Coste LÃ­nea]]</f>
        <v>-15587.417828500002</v>
      </c>
      <c r="N1618" s="22" t="str">
        <f>+IF(Tabla2[[#This Row],[Variación Stock]]&gt;0,"Sobrante",IF(Tabla2[[#This Row],[Variación Stock]]&lt;0,"Faltante","Sin novedad"))</f>
        <v>Faltante</v>
      </c>
    </row>
    <row r="1619" spans="1:14" hidden="1" x14ac:dyDescent="0.25">
      <c r="A1619" s="11">
        <v>46053</v>
      </c>
      <c r="B1619" s="5" t="s">
        <v>836</v>
      </c>
      <c r="C1619" s="3" t="s">
        <v>128</v>
      </c>
      <c r="D1619" s="5" t="s">
        <v>396</v>
      </c>
      <c r="E1619" s="5" t="s">
        <v>117</v>
      </c>
      <c r="F1619" s="6" t="s">
        <v>468</v>
      </c>
      <c r="G1619" s="4" t="s">
        <v>1</v>
      </c>
      <c r="H1619" s="25">
        <v>8.9250000000000007</v>
      </c>
      <c r="I1619" s="8">
        <v>102726.3333</v>
      </c>
      <c r="J1619" s="9">
        <v>40000</v>
      </c>
      <c r="K1619" s="7">
        <v>-62726.333316999997</v>
      </c>
      <c r="L1619" s="24">
        <f>+Tabla2[[#This Row],[Stock Inventario]]*Tabla2[[#This Row],[Coste LÃ­nea]]</f>
        <v>357000</v>
      </c>
      <c r="M1619" s="24">
        <f>+Tabla2[[#This Row],[Variación Stock]]*Tabla2[[#This Row],[Coste LÃ­nea]]</f>
        <v>-559832.52485422499</v>
      </c>
      <c r="N1619" s="22" t="str">
        <f>+IF(Tabla2[[#This Row],[Variación Stock]]&gt;0,"Sobrante",IF(Tabla2[[#This Row],[Variación Stock]]&lt;0,"Faltante","Sin novedad"))</f>
        <v>Faltante</v>
      </c>
    </row>
    <row r="1620" spans="1:14" hidden="1" x14ac:dyDescent="0.25">
      <c r="A1620" s="11">
        <v>46053</v>
      </c>
      <c r="B1620" s="5" t="s">
        <v>836</v>
      </c>
      <c r="C1620" s="3" t="s">
        <v>128</v>
      </c>
      <c r="D1620" s="5" t="s">
        <v>396</v>
      </c>
      <c r="E1620" s="5" t="s">
        <v>117</v>
      </c>
      <c r="F1620" s="6" t="s">
        <v>451</v>
      </c>
      <c r="G1620" s="4" t="s">
        <v>1</v>
      </c>
      <c r="H1620" s="25">
        <v>18.828045979999999</v>
      </c>
      <c r="I1620" s="8">
        <v>21231</v>
      </c>
      <c r="J1620" s="9">
        <v>13050</v>
      </c>
      <c r="K1620" s="7">
        <v>-8181</v>
      </c>
      <c r="L1620" s="24">
        <f>+Tabla2[[#This Row],[Stock Inventario]]*Tabla2[[#This Row],[Coste LÃ­nea]]</f>
        <v>245706.00003899998</v>
      </c>
      <c r="M1620" s="24">
        <f>+Tabla2[[#This Row],[Variación Stock]]*Tabla2[[#This Row],[Coste LÃ­nea]]</f>
        <v>-154032.24416238</v>
      </c>
      <c r="N1620" s="22" t="str">
        <f>+IF(Tabla2[[#This Row],[Variación Stock]]&gt;0,"Sobrante",IF(Tabla2[[#This Row],[Variación Stock]]&lt;0,"Faltante","Sin novedad"))</f>
        <v>Faltante</v>
      </c>
    </row>
    <row r="1621" spans="1:14" hidden="1" x14ac:dyDescent="0.25">
      <c r="A1621" s="11">
        <v>46053</v>
      </c>
      <c r="B1621" s="5" t="s">
        <v>836</v>
      </c>
      <c r="C1621" s="3" t="s">
        <v>128</v>
      </c>
      <c r="D1621" s="5" t="s">
        <v>396</v>
      </c>
      <c r="E1621" s="5" t="s">
        <v>117</v>
      </c>
      <c r="F1621" s="6" t="s">
        <v>409</v>
      </c>
      <c r="G1621" s="4" t="s">
        <v>1</v>
      </c>
      <c r="H1621" s="25">
        <v>61.682499999999997</v>
      </c>
      <c r="I1621" s="8">
        <v>415</v>
      </c>
      <c r="J1621" s="9">
        <v>0</v>
      </c>
      <c r="K1621" s="7">
        <v>-415</v>
      </c>
      <c r="L1621" s="24">
        <f>+Tabla2[[#This Row],[Stock Inventario]]*Tabla2[[#This Row],[Coste LÃ­nea]]</f>
        <v>0</v>
      </c>
      <c r="M1621" s="24">
        <f>+Tabla2[[#This Row],[Variación Stock]]*Tabla2[[#This Row],[Coste LÃ­nea]]</f>
        <v>-25598.237499999999</v>
      </c>
      <c r="N1621" s="22" t="str">
        <f>+IF(Tabla2[[#This Row],[Variación Stock]]&gt;0,"Sobrante",IF(Tabla2[[#This Row],[Variación Stock]]&lt;0,"Faltante","Sin novedad"))</f>
        <v>Faltante</v>
      </c>
    </row>
    <row r="1622" spans="1:14" hidden="1" x14ac:dyDescent="0.25">
      <c r="A1622" s="11">
        <v>46053</v>
      </c>
      <c r="B1622" s="5" t="s">
        <v>836</v>
      </c>
      <c r="C1622" s="3" t="s">
        <v>128</v>
      </c>
      <c r="D1622" s="5" t="s">
        <v>559</v>
      </c>
      <c r="E1622" s="5" t="s">
        <v>1080</v>
      </c>
      <c r="F1622" s="6" t="s">
        <v>595</v>
      </c>
      <c r="G1622" s="4" t="s">
        <v>2</v>
      </c>
      <c r="H1622" s="25">
        <v>51.29</v>
      </c>
      <c r="I1622" s="8">
        <v>300</v>
      </c>
      <c r="J1622" s="9">
        <v>0</v>
      </c>
      <c r="K1622" s="7">
        <v>-300</v>
      </c>
      <c r="L1622" s="24">
        <f>+Tabla2[[#This Row],[Stock Inventario]]*Tabla2[[#This Row],[Coste LÃ­nea]]</f>
        <v>0</v>
      </c>
      <c r="M1622" s="24">
        <f>+Tabla2[[#This Row],[Variación Stock]]*Tabla2[[#This Row],[Coste LÃ­nea]]</f>
        <v>-15387</v>
      </c>
      <c r="N1622" s="22" t="str">
        <f>+IF(Tabla2[[#This Row],[Variación Stock]]&gt;0,"Sobrante",IF(Tabla2[[#This Row],[Variación Stock]]&lt;0,"Faltante","Sin novedad"))</f>
        <v>Faltante</v>
      </c>
    </row>
    <row r="1623" spans="1:14" hidden="1" x14ac:dyDescent="0.25">
      <c r="A1623" s="11">
        <v>46053</v>
      </c>
      <c r="B1623" s="5" t="s">
        <v>836</v>
      </c>
      <c r="C1623" s="3" t="s">
        <v>128</v>
      </c>
      <c r="D1623" s="5" t="s">
        <v>471</v>
      </c>
      <c r="E1623" s="5" t="s">
        <v>117</v>
      </c>
      <c r="F1623" s="6" t="s">
        <v>531</v>
      </c>
      <c r="G1623" s="4" t="s">
        <v>1</v>
      </c>
      <c r="H1623" s="25">
        <v>1.9</v>
      </c>
      <c r="I1623" s="8">
        <v>-5580</v>
      </c>
      <c r="J1623" s="9">
        <v>0</v>
      </c>
      <c r="K1623" s="7">
        <v>5580</v>
      </c>
      <c r="L1623" s="24">
        <f>+Tabla2[[#This Row],[Stock Inventario]]*Tabla2[[#This Row],[Coste LÃ­nea]]</f>
        <v>0</v>
      </c>
      <c r="M1623" s="24">
        <f>+Tabla2[[#This Row],[Variación Stock]]*Tabla2[[#This Row],[Coste LÃ­nea]]</f>
        <v>10602</v>
      </c>
      <c r="N1623" s="22" t="str">
        <f>+IF(Tabla2[[#This Row],[Variación Stock]]&gt;0,"Sobrante",IF(Tabla2[[#This Row],[Variación Stock]]&lt;0,"Faltante","Sin novedad"))</f>
        <v>Sobrante</v>
      </c>
    </row>
    <row r="1624" spans="1:14" x14ac:dyDescent="0.25">
      <c r="A1624" s="11">
        <v>46053</v>
      </c>
      <c r="B1624" s="5" t="s">
        <v>836</v>
      </c>
      <c r="C1624" s="3" t="s">
        <v>128</v>
      </c>
      <c r="D1624" s="5" t="s">
        <v>118</v>
      </c>
      <c r="E1624" s="5" t="s">
        <v>112</v>
      </c>
      <c r="F1624" s="6" t="s">
        <v>181</v>
      </c>
      <c r="G1624" s="4" t="s">
        <v>2</v>
      </c>
      <c r="H1624" s="25">
        <v>62806</v>
      </c>
      <c r="I1624" s="8">
        <v>2</v>
      </c>
      <c r="J1624" s="9">
        <v>2</v>
      </c>
      <c r="K1624" s="7">
        <v>0</v>
      </c>
      <c r="L1624" s="24">
        <f>+Tabla2[[#This Row],[Stock Inventario]]*Tabla2[[#This Row],[Coste LÃ­nea]]</f>
        <v>125612</v>
      </c>
      <c r="M1624" s="24">
        <f>+Tabla2[[#This Row],[Variación Stock]]*Tabla2[[#This Row],[Coste LÃ­nea]]</f>
        <v>0</v>
      </c>
      <c r="N1624" s="22" t="str">
        <f>+IF(Tabla2[[#This Row],[Variación Stock]]&gt;0,"Sobrante",IF(Tabla2[[#This Row],[Variación Stock]]&lt;0,"Faltante","Sin novedad"))</f>
        <v>Sin novedad</v>
      </c>
    </row>
    <row r="1625" spans="1:14" x14ac:dyDescent="0.25">
      <c r="A1625" s="11">
        <v>46053</v>
      </c>
      <c r="B1625" s="5" t="s">
        <v>836</v>
      </c>
      <c r="C1625" s="3" t="s">
        <v>128</v>
      </c>
      <c r="D1625" s="5" t="s">
        <v>118</v>
      </c>
      <c r="E1625" s="5" t="s">
        <v>112</v>
      </c>
      <c r="F1625" s="6" t="s">
        <v>171</v>
      </c>
      <c r="G1625" s="4" t="s">
        <v>2</v>
      </c>
      <c r="H1625" s="25">
        <v>113953</v>
      </c>
      <c r="I1625" s="8">
        <v>1</v>
      </c>
      <c r="J1625" s="9">
        <v>1</v>
      </c>
      <c r="K1625" s="7">
        <v>0</v>
      </c>
      <c r="L1625" s="24">
        <f>+Tabla2[[#This Row],[Stock Inventario]]*Tabla2[[#This Row],[Coste LÃ­nea]]</f>
        <v>113953</v>
      </c>
      <c r="M1625" s="24">
        <f>+Tabla2[[#This Row],[Variación Stock]]*Tabla2[[#This Row],[Coste LÃ­nea]]</f>
        <v>0</v>
      </c>
      <c r="N1625" s="22" t="str">
        <f>+IF(Tabla2[[#This Row],[Variación Stock]]&gt;0,"Sobrante",IF(Tabla2[[#This Row],[Variación Stock]]&lt;0,"Faltante","Sin novedad"))</f>
        <v>Sin novedad</v>
      </c>
    </row>
    <row r="1626" spans="1:14" x14ac:dyDescent="0.25">
      <c r="A1626" s="11">
        <v>46053</v>
      </c>
      <c r="B1626" s="5" t="s">
        <v>836</v>
      </c>
      <c r="C1626" s="3" t="s">
        <v>128</v>
      </c>
      <c r="D1626" s="5" t="s">
        <v>118</v>
      </c>
      <c r="E1626" s="5" t="s">
        <v>112</v>
      </c>
      <c r="F1626" s="6" t="s">
        <v>172</v>
      </c>
      <c r="G1626" s="4" t="s">
        <v>2</v>
      </c>
      <c r="H1626" s="25">
        <v>95880</v>
      </c>
      <c r="I1626" s="8">
        <v>1</v>
      </c>
      <c r="J1626" s="9">
        <v>1</v>
      </c>
      <c r="K1626" s="7">
        <v>0</v>
      </c>
      <c r="L1626" s="24">
        <f>+Tabla2[[#This Row],[Stock Inventario]]*Tabla2[[#This Row],[Coste LÃ­nea]]</f>
        <v>95880</v>
      </c>
      <c r="M1626" s="24">
        <f>+Tabla2[[#This Row],[Variación Stock]]*Tabla2[[#This Row],[Coste LÃ­nea]]</f>
        <v>0</v>
      </c>
      <c r="N1626" s="22" t="str">
        <f>+IF(Tabla2[[#This Row],[Variación Stock]]&gt;0,"Sobrante",IF(Tabla2[[#This Row],[Variación Stock]]&lt;0,"Faltante","Sin novedad"))</f>
        <v>Sin novedad</v>
      </c>
    </row>
    <row r="1627" spans="1:14" x14ac:dyDescent="0.25">
      <c r="A1627" s="11">
        <v>46053</v>
      </c>
      <c r="B1627" s="5" t="s">
        <v>836</v>
      </c>
      <c r="C1627" s="3" t="s">
        <v>128</v>
      </c>
      <c r="D1627" s="5" t="s">
        <v>118</v>
      </c>
      <c r="E1627" s="5" t="s">
        <v>112</v>
      </c>
      <c r="F1627" s="6" t="s">
        <v>168</v>
      </c>
      <c r="G1627" s="4" t="s">
        <v>2</v>
      </c>
      <c r="H1627" s="25">
        <v>35900</v>
      </c>
      <c r="I1627" s="8">
        <v>2</v>
      </c>
      <c r="J1627" s="9">
        <v>2</v>
      </c>
      <c r="K1627" s="7">
        <v>0</v>
      </c>
      <c r="L1627" s="24">
        <f>+Tabla2[[#This Row],[Stock Inventario]]*Tabla2[[#This Row],[Coste LÃ­nea]]</f>
        <v>71800</v>
      </c>
      <c r="M1627" s="24">
        <f>+Tabla2[[#This Row],[Variación Stock]]*Tabla2[[#This Row],[Coste LÃ­nea]]</f>
        <v>0</v>
      </c>
      <c r="N1627" s="22" t="str">
        <f>+IF(Tabla2[[#This Row],[Variación Stock]]&gt;0,"Sobrante",IF(Tabla2[[#This Row],[Variación Stock]]&lt;0,"Faltante","Sin novedad"))</f>
        <v>Sin novedad</v>
      </c>
    </row>
    <row r="1628" spans="1:14" x14ac:dyDescent="0.25">
      <c r="A1628" s="11">
        <v>46053</v>
      </c>
      <c r="B1628" s="5" t="s">
        <v>836</v>
      </c>
      <c r="C1628" s="3" t="s">
        <v>128</v>
      </c>
      <c r="D1628" s="5" t="s">
        <v>118</v>
      </c>
      <c r="E1628" s="5" t="s">
        <v>112</v>
      </c>
      <c r="F1628" s="6" t="s">
        <v>173</v>
      </c>
      <c r="G1628" s="4" t="s">
        <v>2</v>
      </c>
      <c r="H1628" s="25">
        <v>82575</v>
      </c>
      <c r="I1628" s="8">
        <v>3</v>
      </c>
      <c r="J1628" s="9">
        <v>3</v>
      </c>
      <c r="K1628" s="7">
        <v>0</v>
      </c>
      <c r="L1628" s="24">
        <f>+Tabla2[[#This Row],[Stock Inventario]]*Tabla2[[#This Row],[Coste LÃ­nea]]</f>
        <v>247725</v>
      </c>
      <c r="M1628" s="24">
        <f>+Tabla2[[#This Row],[Variación Stock]]*Tabla2[[#This Row],[Coste LÃ­nea]]</f>
        <v>0</v>
      </c>
      <c r="N1628" s="22" t="str">
        <f>+IF(Tabla2[[#This Row],[Variación Stock]]&gt;0,"Sobrante",IF(Tabla2[[#This Row],[Variación Stock]]&lt;0,"Faltante","Sin novedad"))</f>
        <v>Sin novedad</v>
      </c>
    </row>
    <row r="1629" spans="1:14" x14ac:dyDescent="0.25">
      <c r="A1629" s="11">
        <v>46053</v>
      </c>
      <c r="B1629" s="5" t="s">
        <v>836</v>
      </c>
      <c r="C1629" s="3" t="s">
        <v>128</v>
      </c>
      <c r="D1629" s="5" t="s">
        <v>114</v>
      </c>
      <c r="E1629" s="5" t="s">
        <v>112</v>
      </c>
      <c r="F1629" s="6" t="s">
        <v>3</v>
      </c>
      <c r="G1629" s="4" t="s">
        <v>2</v>
      </c>
      <c r="H1629" s="25">
        <v>2000</v>
      </c>
      <c r="I1629" s="8">
        <v>-100</v>
      </c>
      <c r="J1629" s="9">
        <v>166</v>
      </c>
      <c r="K1629" s="7">
        <v>266</v>
      </c>
      <c r="L1629" s="24">
        <f>+Tabla2[[#This Row],[Stock Inventario]]*Tabla2[[#This Row],[Coste LÃ­nea]]</f>
        <v>332000</v>
      </c>
      <c r="M1629" s="24">
        <f>+Tabla2[[#This Row],[Variación Stock]]*Tabla2[[#This Row],[Coste LÃ­nea]]</f>
        <v>532000</v>
      </c>
      <c r="N1629" s="22" t="str">
        <f>+IF(Tabla2[[#This Row],[Variación Stock]]&gt;0,"Sobrante",IF(Tabla2[[#This Row],[Variación Stock]]&lt;0,"Faltante","Sin novedad"))</f>
        <v>Sobrante</v>
      </c>
    </row>
    <row r="1630" spans="1:14" hidden="1" x14ac:dyDescent="0.25">
      <c r="A1630" s="11">
        <v>46053</v>
      </c>
      <c r="B1630" s="5" t="s">
        <v>836</v>
      </c>
      <c r="C1630" s="3" t="s">
        <v>128</v>
      </c>
      <c r="D1630" s="5" t="s">
        <v>559</v>
      </c>
      <c r="E1630" s="5" t="s">
        <v>1080</v>
      </c>
      <c r="F1630" s="6" t="s">
        <v>885</v>
      </c>
      <c r="G1630" s="4" t="s">
        <v>2</v>
      </c>
      <c r="H1630" s="25">
        <v>792</v>
      </c>
      <c r="I1630" s="8">
        <v>300</v>
      </c>
      <c r="J1630" s="9">
        <v>150</v>
      </c>
      <c r="K1630" s="7">
        <v>-150</v>
      </c>
      <c r="L1630" s="24">
        <f>+Tabla2[[#This Row],[Stock Inventario]]*Tabla2[[#This Row],[Coste LÃ­nea]]</f>
        <v>118800</v>
      </c>
      <c r="M1630" s="24">
        <f>+Tabla2[[#This Row],[Variación Stock]]*Tabla2[[#This Row],[Coste LÃ­nea]]</f>
        <v>-118800</v>
      </c>
      <c r="N1630" s="22" t="str">
        <f>+IF(Tabla2[[#This Row],[Variación Stock]]&gt;0,"Sobrante",IF(Tabla2[[#This Row],[Variación Stock]]&lt;0,"Faltante","Sin novedad"))</f>
        <v>Faltante</v>
      </c>
    </row>
    <row r="1631" spans="1:14" hidden="1" x14ac:dyDescent="0.25">
      <c r="A1631" s="11">
        <v>46053</v>
      </c>
      <c r="B1631" s="5" t="s">
        <v>836</v>
      </c>
      <c r="C1631" s="3" t="s">
        <v>128</v>
      </c>
      <c r="D1631" s="5" t="s">
        <v>559</v>
      </c>
      <c r="E1631" s="5" t="s">
        <v>1080</v>
      </c>
      <c r="F1631" s="6" t="s">
        <v>596</v>
      </c>
      <c r="G1631" s="4" t="s">
        <v>2</v>
      </c>
      <c r="H1631" s="25">
        <v>105.8625</v>
      </c>
      <c r="I1631" s="8">
        <v>8440</v>
      </c>
      <c r="J1631" s="9">
        <v>25</v>
      </c>
      <c r="K1631" s="7">
        <v>-8415</v>
      </c>
      <c r="L1631" s="24">
        <f>+Tabla2[[#This Row],[Stock Inventario]]*Tabla2[[#This Row],[Coste LÃ­nea]]</f>
        <v>2646.5625</v>
      </c>
      <c r="M1631" s="24">
        <f>+Tabla2[[#This Row],[Variación Stock]]*Tabla2[[#This Row],[Coste LÃ­nea]]</f>
        <v>-890832.9375</v>
      </c>
      <c r="N1631" s="22" t="str">
        <f>+IF(Tabla2[[#This Row],[Variación Stock]]&gt;0,"Sobrante",IF(Tabla2[[#This Row],[Variación Stock]]&lt;0,"Faltante","Sin novedad"))</f>
        <v>Faltante</v>
      </c>
    </row>
    <row r="1632" spans="1:14" hidden="1" x14ac:dyDescent="0.25">
      <c r="A1632" s="11">
        <v>46053</v>
      </c>
      <c r="B1632" s="5" t="s">
        <v>836</v>
      </c>
      <c r="C1632" s="3" t="s">
        <v>128</v>
      </c>
      <c r="D1632" s="5" t="s">
        <v>559</v>
      </c>
      <c r="E1632" s="5" t="s">
        <v>1080</v>
      </c>
      <c r="F1632" s="6" t="s">
        <v>597</v>
      </c>
      <c r="G1632" s="4" t="s">
        <v>2</v>
      </c>
      <c r="H1632" s="25">
        <v>377</v>
      </c>
      <c r="I1632" s="8">
        <v>0</v>
      </c>
      <c r="J1632" s="9">
        <v>0</v>
      </c>
      <c r="K1632" s="7">
        <v>0</v>
      </c>
      <c r="L1632" s="24">
        <f>+Tabla2[[#This Row],[Stock Inventario]]*Tabla2[[#This Row],[Coste LÃ­nea]]</f>
        <v>0</v>
      </c>
      <c r="M1632" s="24">
        <f>+Tabla2[[#This Row],[Variación Stock]]*Tabla2[[#This Row],[Coste LÃ­nea]]</f>
        <v>0</v>
      </c>
      <c r="N1632" s="22" t="str">
        <f>+IF(Tabla2[[#This Row],[Variación Stock]]&gt;0,"Sobrante",IF(Tabla2[[#This Row],[Variación Stock]]&lt;0,"Faltante","Sin novedad"))</f>
        <v>Sin novedad</v>
      </c>
    </row>
    <row r="1633" spans="1:14" x14ac:dyDescent="0.25">
      <c r="A1633" s="11">
        <v>46053</v>
      </c>
      <c r="B1633" s="5" t="s">
        <v>836</v>
      </c>
      <c r="C1633" s="3" t="s">
        <v>128</v>
      </c>
      <c r="D1633" s="5" t="s">
        <v>111</v>
      </c>
      <c r="E1633" s="5" t="s">
        <v>112</v>
      </c>
      <c r="F1633" s="6" t="s">
        <v>30</v>
      </c>
      <c r="G1633" s="4" t="s">
        <v>0</v>
      </c>
      <c r="H1633" s="25">
        <v>4008.2727272699999</v>
      </c>
      <c r="I1633" s="8">
        <v>32</v>
      </c>
      <c r="J1633" s="9">
        <v>32</v>
      </c>
      <c r="K1633" s="7">
        <v>0</v>
      </c>
      <c r="L1633" s="24">
        <f>+Tabla2[[#This Row],[Stock Inventario]]*Tabla2[[#This Row],[Coste LÃ­nea]]</f>
        <v>128264.72727264</v>
      </c>
      <c r="M1633" s="24">
        <f>+Tabla2[[#This Row],[Variación Stock]]*Tabla2[[#This Row],[Coste LÃ­nea]]</f>
        <v>0</v>
      </c>
      <c r="N1633" s="22" t="str">
        <f>+IF(Tabla2[[#This Row],[Variación Stock]]&gt;0,"Sobrante",IF(Tabla2[[#This Row],[Variación Stock]]&lt;0,"Faltante","Sin novedad"))</f>
        <v>Sin novedad</v>
      </c>
    </row>
    <row r="1634" spans="1:14" hidden="1" x14ac:dyDescent="0.25">
      <c r="A1634" s="11">
        <v>46053</v>
      </c>
      <c r="B1634" s="5" t="s">
        <v>836</v>
      </c>
      <c r="C1634" s="3" t="s">
        <v>128</v>
      </c>
      <c r="D1634" s="5" t="s">
        <v>116</v>
      </c>
      <c r="E1634" s="5" t="s">
        <v>117</v>
      </c>
      <c r="F1634" s="6" t="s">
        <v>164</v>
      </c>
      <c r="G1634" s="4" t="s">
        <v>2</v>
      </c>
      <c r="H1634" s="25">
        <v>11535</v>
      </c>
      <c r="I1634" s="8">
        <v>96.2</v>
      </c>
      <c r="J1634" s="9">
        <v>162.5</v>
      </c>
      <c r="K1634" s="7">
        <v>66.3</v>
      </c>
      <c r="L1634" s="24">
        <f>+Tabla2[[#This Row],[Stock Inventario]]*Tabla2[[#This Row],[Coste LÃ­nea]]</f>
        <v>1874437.5</v>
      </c>
      <c r="M1634" s="24">
        <f>+Tabla2[[#This Row],[Variación Stock]]*Tabla2[[#This Row],[Coste LÃ­nea]]</f>
        <v>764770.5</v>
      </c>
      <c r="N1634" s="22" t="str">
        <f>+IF(Tabla2[[#This Row],[Variación Stock]]&gt;0,"Sobrante",IF(Tabla2[[#This Row],[Variación Stock]]&lt;0,"Faltante","Sin novedad"))</f>
        <v>Sobrante</v>
      </c>
    </row>
    <row r="1635" spans="1:14" x14ac:dyDescent="0.25">
      <c r="A1635" s="11">
        <v>46053</v>
      </c>
      <c r="B1635" s="5" t="s">
        <v>836</v>
      </c>
      <c r="C1635" s="3" t="s">
        <v>128</v>
      </c>
      <c r="D1635" s="5" t="s">
        <v>118</v>
      </c>
      <c r="E1635" s="5" t="s">
        <v>112</v>
      </c>
      <c r="F1635" s="6" t="s">
        <v>187</v>
      </c>
      <c r="G1635" s="4" t="s">
        <v>2</v>
      </c>
      <c r="H1635" s="25">
        <v>150000</v>
      </c>
      <c r="I1635" s="8">
        <v>1</v>
      </c>
      <c r="J1635" s="9">
        <v>1</v>
      </c>
      <c r="K1635" s="7">
        <v>0</v>
      </c>
      <c r="L1635" s="24">
        <f>+Tabla2[[#This Row],[Stock Inventario]]*Tabla2[[#This Row],[Coste LÃ­nea]]</f>
        <v>150000</v>
      </c>
      <c r="M1635" s="24">
        <f>+Tabla2[[#This Row],[Variación Stock]]*Tabla2[[#This Row],[Coste LÃ­nea]]</f>
        <v>0</v>
      </c>
      <c r="N1635" s="22" t="str">
        <f>+IF(Tabla2[[#This Row],[Variación Stock]]&gt;0,"Sobrante",IF(Tabla2[[#This Row],[Variación Stock]]&lt;0,"Faltante","Sin novedad"))</f>
        <v>Sin novedad</v>
      </c>
    </row>
    <row r="1636" spans="1:14" hidden="1" x14ac:dyDescent="0.25">
      <c r="A1636" s="11">
        <v>46053</v>
      </c>
      <c r="B1636" s="5" t="s">
        <v>836</v>
      </c>
      <c r="C1636" s="3" t="s">
        <v>128</v>
      </c>
      <c r="D1636" s="5" t="s">
        <v>396</v>
      </c>
      <c r="E1636" s="5" t="s">
        <v>117</v>
      </c>
      <c r="F1636" s="6" t="s">
        <v>406</v>
      </c>
      <c r="G1636" s="4" t="s">
        <v>2</v>
      </c>
      <c r="H1636" s="25">
        <v>709.24</v>
      </c>
      <c r="I1636" s="8">
        <v>52</v>
      </c>
      <c r="J1636" s="9">
        <v>60</v>
      </c>
      <c r="K1636" s="7">
        <v>8</v>
      </c>
      <c r="L1636" s="24">
        <f>+Tabla2[[#This Row],[Stock Inventario]]*Tabla2[[#This Row],[Coste LÃ­nea]]</f>
        <v>42554.400000000001</v>
      </c>
      <c r="M1636" s="24">
        <f>+Tabla2[[#This Row],[Variación Stock]]*Tabla2[[#This Row],[Coste LÃ­nea]]</f>
        <v>5673.92</v>
      </c>
      <c r="N1636" s="22" t="str">
        <f>+IF(Tabla2[[#This Row],[Variación Stock]]&gt;0,"Sobrante",IF(Tabla2[[#This Row],[Variación Stock]]&lt;0,"Faltante","Sin novedad"))</f>
        <v>Sobrante</v>
      </c>
    </row>
    <row r="1637" spans="1:14" x14ac:dyDescent="0.25">
      <c r="A1637" s="11">
        <v>46053</v>
      </c>
      <c r="B1637" s="5" t="s">
        <v>836</v>
      </c>
      <c r="C1637" s="3" t="s">
        <v>128</v>
      </c>
      <c r="D1637" s="5" t="s">
        <v>114</v>
      </c>
      <c r="E1637" s="5" t="s">
        <v>112</v>
      </c>
      <c r="F1637" s="6" t="s">
        <v>63</v>
      </c>
      <c r="G1637" s="4" t="s">
        <v>2</v>
      </c>
      <c r="H1637" s="25">
        <v>1395.83333333</v>
      </c>
      <c r="I1637" s="8">
        <v>16</v>
      </c>
      <c r="J1637" s="9">
        <v>16</v>
      </c>
      <c r="K1637" s="7">
        <v>0</v>
      </c>
      <c r="L1637" s="24">
        <f>+Tabla2[[#This Row],[Stock Inventario]]*Tabla2[[#This Row],[Coste LÃ­nea]]</f>
        <v>22333.333333279999</v>
      </c>
      <c r="M1637" s="24">
        <f>+Tabla2[[#This Row],[Variación Stock]]*Tabla2[[#This Row],[Coste LÃ­nea]]</f>
        <v>0</v>
      </c>
      <c r="N1637" s="22" t="str">
        <f>+IF(Tabla2[[#This Row],[Variación Stock]]&gt;0,"Sobrante",IF(Tabla2[[#This Row],[Variación Stock]]&lt;0,"Faltante","Sin novedad"))</f>
        <v>Sin novedad</v>
      </c>
    </row>
    <row r="1638" spans="1:14" hidden="1" x14ac:dyDescent="0.25">
      <c r="A1638" s="11">
        <v>46053</v>
      </c>
      <c r="B1638" s="5" t="s">
        <v>836</v>
      </c>
      <c r="C1638" s="3" t="s">
        <v>128</v>
      </c>
      <c r="D1638" s="5" t="s">
        <v>396</v>
      </c>
      <c r="E1638" s="5" t="s">
        <v>117</v>
      </c>
      <c r="F1638" s="6" t="s">
        <v>407</v>
      </c>
      <c r="G1638" s="4" t="s">
        <v>1</v>
      </c>
      <c r="H1638" s="25">
        <v>39.31131019</v>
      </c>
      <c r="I1638" s="8">
        <v>2715.1664999999998</v>
      </c>
      <c r="J1638" s="9">
        <v>2374</v>
      </c>
      <c r="K1638" s="7">
        <v>-341.16649999999998</v>
      </c>
      <c r="L1638" s="24">
        <f>+Tabla2[[#This Row],[Stock Inventario]]*Tabla2[[#This Row],[Coste LÃ­nea]]</f>
        <v>93325.050391059995</v>
      </c>
      <c r="M1638" s="24">
        <f>+Tabla2[[#This Row],[Variación Stock]]*Tabla2[[#This Row],[Coste LÃ­nea]]</f>
        <v>-13411.702107936635</v>
      </c>
      <c r="N1638" s="22" t="str">
        <f>+IF(Tabla2[[#This Row],[Variación Stock]]&gt;0,"Sobrante",IF(Tabla2[[#This Row],[Variación Stock]]&lt;0,"Faltante","Sin novedad"))</f>
        <v>Faltante</v>
      </c>
    </row>
    <row r="1639" spans="1:14" hidden="1" x14ac:dyDescent="0.25">
      <c r="A1639" s="11">
        <v>46053</v>
      </c>
      <c r="B1639" s="5" t="s">
        <v>836</v>
      </c>
      <c r="C1639" s="3" t="s">
        <v>128</v>
      </c>
      <c r="D1639" s="5" t="s">
        <v>120</v>
      </c>
      <c r="E1639" s="5" t="s">
        <v>117</v>
      </c>
      <c r="F1639" s="6" t="s">
        <v>678</v>
      </c>
      <c r="G1639" s="4" t="s">
        <v>1</v>
      </c>
      <c r="H1639" s="25">
        <v>21.75140914</v>
      </c>
      <c r="I1639" s="8">
        <v>5.5</v>
      </c>
      <c r="J1639" s="9">
        <v>476</v>
      </c>
      <c r="K1639" s="7">
        <v>470.5</v>
      </c>
      <c r="L1639" s="24">
        <f>+Tabla2[[#This Row],[Stock Inventario]]*Tabla2[[#This Row],[Coste LÃ­nea]]</f>
        <v>10353.67075064</v>
      </c>
      <c r="M1639" s="24">
        <f>+Tabla2[[#This Row],[Variación Stock]]*Tabla2[[#This Row],[Coste LÃ­nea]]</f>
        <v>10234.038000369999</v>
      </c>
      <c r="N1639" s="22" t="str">
        <f>+IF(Tabla2[[#This Row],[Variación Stock]]&gt;0,"Sobrante",IF(Tabla2[[#This Row],[Variación Stock]]&lt;0,"Faltante","Sin novedad"))</f>
        <v>Sobrante</v>
      </c>
    </row>
    <row r="1640" spans="1:14" hidden="1" x14ac:dyDescent="0.25">
      <c r="A1640" s="11">
        <v>46053</v>
      </c>
      <c r="B1640" s="5" t="s">
        <v>836</v>
      </c>
      <c r="C1640" s="3" t="s">
        <v>128</v>
      </c>
      <c r="D1640" s="5" t="s">
        <v>120</v>
      </c>
      <c r="E1640" s="5" t="s">
        <v>117</v>
      </c>
      <c r="F1640" s="6" t="s">
        <v>894</v>
      </c>
      <c r="G1640" s="4" t="s">
        <v>1</v>
      </c>
      <c r="H1640" s="25">
        <v>12.88237917</v>
      </c>
      <c r="I1640" s="8">
        <v>2557</v>
      </c>
      <c r="J1640" s="9">
        <v>1500</v>
      </c>
      <c r="K1640" s="7">
        <v>-1057</v>
      </c>
      <c r="L1640" s="24">
        <f>+Tabla2[[#This Row],[Stock Inventario]]*Tabla2[[#This Row],[Coste LÃ­nea]]</f>
        <v>19323.568755</v>
      </c>
      <c r="M1640" s="24">
        <f>+Tabla2[[#This Row],[Variación Stock]]*Tabla2[[#This Row],[Coste LÃ­nea]]</f>
        <v>-13616.674782690001</v>
      </c>
      <c r="N1640" s="22" t="str">
        <f>+IF(Tabla2[[#This Row],[Variación Stock]]&gt;0,"Sobrante",IF(Tabla2[[#This Row],[Variación Stock]]&lt;0,"Faltante","Sin novedad"))</f>
        <v>Faltante</v>
      </c>
    </row>
    <row r="1641" spans="1:14" hidden="1" x14ac:dyDescent="0.25">
      <c r="A1641" s="11">
        <v>46053</v>
      </c>
      <c r="B1641" s="5" t="s">
        <v>836</v>
      </c>
      <c r="C1641" s="3" t="s">
        <v>128</v>
      </c>
      <c r="D1641" s="5" t="s">
        <v>120</v>
      </c>
      <c r="E1641" s="5" t="s">
        <v>117</v>
      </c>
      <c r="F1641" s="6" t="s">
        <v>680</v>
      </c>
      <c r="G1641" s="4" t="s">
        <v>1</v>
      </c>
      <c r="H1641" s="25">
        <v>27.020740360000001</v>
      </c>
      <c r="I1641" s="8">
        <v>11822</v>
      </c>
      <c r="J1641" s="9">
        <v>5710</v>
      </c>
      <c r="K1641" s="7">
        <v>-6112</v>
      </c>
      <c r="L1641" s="24">
        <f>+Tabla2[[#This Row],[Stock Inventario]]*Tabla2[[#This Row],[Coste LÃ­nea]]</f>
        <v>154288.4274556</v>
      </c>
      <c r="M1641" s="24">
        <f>+Tabla2[[#This Row],[Variación Stock]]*Tabla2[[#This Row],[Coste LÃ­nea]]</f>
        <v>-165150.76508032001</v>
      </c>
      <c r="N1641" s="22" t="str">
        <f>+IF(Tabla2[[#This Row],[Variación Stock]]&gt;0,"Sobrante",IF(Tabla2[[#This Row],[Variación Stock]]&lt;0,"Faltante","Sin novedad"))</f>
        <v>Faltante</v>
      </c>
    </row>
    <row r="1642" spans="1:14" hidden="1" x14ac:dyDescent="0.25">
      <c r="A1642" s="11">
        <v>46053</v>
      </c>
      <c r="B1642" s="5" t="s">
        <v>836</v>
      </c>
      <c r="C1642" s="3" t="s">
        <v>128</v>
      </c>
      <c r="D1642" s="5" t="s">
        <v>120</v>
      </c>
      <c r="E1642" s="5" t="s">
        <v>117</v>
      </c>
      <c r="F1642" s="6" t="s">
        <v>895</v>
      </c>
      <c r="G1642" s="4" t="s">
        <v>1</v>
      </c>
      <c r="H1642" s="25">
        <v>10.8178787</v>
      </c>
      <c r="I1642" s="8">
        <v>-8627</v>
      </c>
      <c r="J1642" s="9">
        <v>1060</v>
      </c>
      <c r="K1642" s="7">
        <v>9687</v>
      </c>
      <c r="L1642" s="24">
        <f>+Tabla2[[#This Row],[Stock Inventario]]*Tabla2[[#This Row],[Coste LÃ­nea]]</f>
        <v>11466.951422</v>
      </c>
      <c r="M1642" s="24">
        <f>+Tabla2[[#This Row],[Variación Stock]]*Tabla2[[#This Row],[Coste LÃ­nea]]</f>
        <v>104792.79096689999</v>
      </c>
      <c r="N1642" s="22" t="str">
        <f>+IF(Tabla2[[#This Row],[Variación Stock]]&gt;0,"Sobrante",IF(Tabla2[[#This Row],[Variación Stock]]&lt;0,"Faltante","Sin novedad"))</f>
        <v>Sobrante</v>
      </c>
    </row>
    <row r="1643" spans="1:14" x14ac:dyDescent="0.25">
      <c r="A1643" s="11">
        <v>46053</v>
      </c>
      <c r="B1643" s="5" t="s">
        <v>836</v>
      </c>
      <c r="C1643" s="3" t="s">
        <v>128</v>
      </c>
      <c r="D1643" s="5" t="s">
        <v>121</v>
      </c>
      <c r="E1643" s="5" t="s">
        <v>112</v>
      </c>
      <c r="F1643" s="6" t="s">
        <v>783</v>
      </c>
      <c r="G1643" s="4" t="s">
        <v>1</v>
      </c>
      <c r="H1643" s="25">
        <v>4.0680500000000004</v>
      </c>
      <c r="I1643" s="8">
        <v>-18528</v>
      </c>
      <c r="J1643" s="9">
        <v>3204</v>
      </c>
      <c r="K1643" s="7">
        <v>21732</v>
      </c>
      <c r="L1643" s="24">
        <f>+Tabla2[[#This Row],[Stock Inventario]]*Tabla2[[#This Row],[Coste LÃ­nea]]</f>
        <v>13034.032200000001</v>
      </c>
      <c r="M1643" s="24">
        <f>+Tabla2[[#This Row],[Variación Stock]]*Tabla2[[#This Row],[Coste LÃ­nea]]</f>
        <v>88406.862600000008</v>
      </c>
      <c r="N1643" s="22" t="str">
        <f>+IF(Tabla2[[#This Row],[Variación Stock]]&gt;0,"Sobrante",IF(Tabla2[[#This Row],[Variación Stock]]&lt;0,"Faltante","Sin novedad"))</f>
        <v>Sobrante</v>
      </c>
    </row>
    <row r="1644" spans="1:14" x14ac:dyDescent="0.25">
      <c r="A1644" s="11">
        <v>46053</v>
      </c>
      <c r="B1644" s="5" t="s">
        <v>836</v>
      </c>
      <c r="C1644" s="3" t="s">
        <v>128</v>
      </c>
      <c r="D1644" s="5" t="s">
        <v>121</v>
      </c>
      <c r="E1644" s="5" t="s">
        <v>112</v>
      </c>
      <c r="F1644" s="6" t="s">
        <v>835</v>
      </c>
      <c r="G1644" s="4" t="s">
        <v>1</v>
      </c>
      <c r="H1644" s="25">
        <v>4.4289959999999997</v>
      </c>
      <c r="I1644" s="8">
        <v>-14846</v>
      </c>
      <c r="J1644" s="9">
        <v>0</v>
      </c>
      <c r="K1644" s="7">
        <v>14846</v>
      </c>
      <c r="L1644" s="24">
        <f>+Tabla2[[#This Row],[Stock Inventario]]*Tabla2[[#This Row],[Coste LÃ­nea]]</f>
        <v>0</v>
      </c>
      <c r="M1644" s="24">
        <f>+Tabla2[[#This Row],[Variación Stock]]*Tabla2[[#This Row],[Coste LÃ­nea]]</f>
        <v>65752.874616000001</v>
      </c>
      <c r="N1644" s="22" t="str">
        <f>+IF(Tabla2[[#This Row],[Variación Stock]]&gt;0,"Sobrante",IF(Tabla2[[#This Row],[Variación Stock]]&lt;0,"Faltante","Sin novedad"))</f>
        <v>Sobrante</v>
      </c>
    </row>
    <row r="1645" spans="1:14" x14ac:dyDescent="0.25">
      <c r="A1645" s="11">
        <v>46053</v>
      </c>
      <c r="B1645" s="5" t="s">
        <v>836</v>
      </c>
      <c r="C1645" s="3" t="s">
        <v>128</v>
      </c>
      <c r="D1645" s="5" t="s">
        <v>121</v>
      </c>
      <c r="E1645" s="5" t="s">
        <v>112</v>
      </c>
      <c r="F1645" s="6" t="s">
        <v>784</v>
      </c>
      <c r="G1645" s="4" t="s">
        <v>1</v>
      </c>
      <c r="H1645" s="25">
        <v>3.4520870600000002</v>
      </c>
      <c r="I1645" s="8">
        <v>457</v>
      </c>
      <c r="J1645" s="9">
        <v>10</v>
      </c>
      <c r="K1645" s="7">
        <v>-447</v>
      </c>
      <c r="L1645" s="24">
        <f>+Tabla2[[#This Row],[Stock Inventario]]*Tabla2[[#This Row],[Coste LÃ­nea]]</f>
        <v>34.520870600000002</v>
      </c>
      <c r="M1645" s="24">
        <f>+Tabla2[[#This Row],[Variación Stock]]*Tabla2[[#This Row],[Coste LÃ­nea]]</f>
        <v>-1543.0829158200002</v>
      </c>
      <c r="N1645" s="22" t="str">
        <f>+IF(Tabla2[[#This Row],[Variación Stock]]&gt;0,"Sobrante",IF(Tabla2[[#This Row],[Variación Stock]]&lt;0,"Faltante","Sin novedad"))</f>
        <v>Faltante</v>
      </c>
    </row>
    <row r="1646" spans="1:14" x14ac:dyDescent="0.25">
      <c r="A1646" s="11">
        <v>46053</v>
      </c>
      <c r="B1646" s="5" t="s">
        <v>836</v>
      </c>
      <c r="C1646" s="3" t="s">
        <v>128</v>
      </c>
      <c r="D1646" s="5" t="s">
        <v>121</v>
      </c>
      <c r="E1646" s="5" t="s">
        <v>112</v>
      </c>
      <c r="F1646" s="6" t="s">
        <v>786</v>
      </c>
      <c r="G1646" s="4" t="s">
        <v>1</v>
      </c>
      <c r="H1646" s="25">
        <v>12.081659999999999</v>
      </c>
      <c r="I1646" s="8">
        <v>692</v>
      </c>
      <c r="J1646" s="9">
        <v>3450</v>
      </c>
      <c r="K1646" s="7">
        <v>2758</v>
      </c>
      <c r="L1646" s="24">
        <f>+Tabla2[[#This Row],[Stock Inventario]]*Tabla2[[#This Row],[Coste LÃ­nea]]</f>
        <v>41681.726999999999</v>
      </c>
      <c r="M1646" s="24">
        <f>+Tabla2[[#This Row],[Variación Stock]]*Tabla2[[#This Row],[Coste LÃ­nea]]</f>
        <v>33321.218280000001</v>
      </c>
      <c r="N1646" s="22" t="str">
        <f>+IF(Tabla2[[#This Row],[Variación Stock]]&gt;0,"Sobrante",IF(Tabla2[[#This Row],[Variación Stock]]&lt;0,"Faltante","Sin novedad"))</f>
        <v>Sobrante</v>
      </c>
    </row>
    <row r="1647" spans="1:14" hidden="1" x14ac:dyDescent="0.25">
      <c r="A1647" s="11">
        <v>46053</v>
      </c>
      <c r="B1647" s="5" t="s">
        <v>836</v>
      </c>
      <c r="C1647" s="3" t="s">
        <v>128</v>
      </c>
      <c r="D1647" s="5" t="s">
        <v>120</v>
      </c>
      <c r="E1647" s="5" t="s">
        <v>117</v>
      </c>
      <c r="F1647" s="6" t="s">
        <v>896</v>
      </c>
      <c r="G1647" s="4" t="s">
        <v>2</v>
      </c>
      <c r="H1647" s="25">
        <v>5006.5510375000003</v>
      </c>
      <c r="I1647" s="8">
        <v>21</v>
      </c>
      <c r="J1647" s="9">
        <v>17</v>
      </c>
      <c r="K1647" s="7">
        <v>-4</v>
      </c>
      <c r="L1647" s="24">
        <f>+Tabla2[[#This Row],[Stock Inventario]]*Tabla2[[#This Row],[Coste LÃ­nea]]</f>
        <v>85111.367637500007</v>
      </c>
      <c r="M1647" s="24">
        <f>+Tabla2[[#This Row],[Variación Stock]]*Tabla2[[#This Row],[Coste LÃ­nea]]</f>
        <v>-20026.204150000001</v>
      </c>
      <c r="N1647" s="22" t="str">
        <f>+IF(Tabla2[[#This Row],[Variación Stock]]&gt;0,"Sobrante",IF(Tabla2[[#This Row],[Variación Stock]]&lt;0,"Faltante","Sin novedad"))</f>
        <v>Faltante</v>
      </c>
    </row>
    <row r="1648" spans="1:14" hidden="1" x14ac:dyDescent="0.25">
      <c r="A1648" s="11">
        <v>46053</v>
      </c>
      <c r="B1648" s="5" t="s">
        <v>836</v>
      </c>
      <c r="C1648" s="3" t="s">
        <v>128</v>
      </c>
      <c r="D1648" s="5" t="s">
        <v>120</v>
      </c>
      <c r="E1648" s="5" t="s">
        <v>117</v>
      </c>
      <c r="F1648" s="6" t="s">
        <v>897</v>
      </c>
      <c r="G1648" s="4" t="s">
        <v>1</v>
      </c>
      <c r="H1648" s="25">
        <v>13.41670669</v>
      </c>
      <c r="I1648" s="8">
        <v>-1300</v>
      </c>
      <c r="J1648" s="9">
        <v>1430</v>
      </c>
      <c r="K1648" s="7">
        <v>2730</v>
      </c>
      <c r="L1648" s="24">
        <f>+Tabla2[[#This Row],[Stock Inventario]]*Tabla2[[#This Row],[Coste LÃ­nea]]</f>
        <v>19185.8905667</v>
      </c>
      <c r="M1648" s="24">
        <f>+Tabla2[[#This Row],[Variación Stock]]*Tabla2[[#This Row],[Coste LÃ­nea]]</f>
        <v>36627.609263699997</v>
      </c>
      <c r="N1648" s="22" t="str">
        <f>+IF(Tabla2[[#This Row],[Variación Stock]]&gt;0,"Sobrante",IF(Tabla2[[#This Row],[Variación Stock]]&lt;0,"Faltante","Sin novedad"))</f>
        <v>Sobrante</v>
      </c>
    </row>
    <row r="1649" spans="1:14" hidden="1" x14ac:dyDescent="0.25">
      <c r="A1649" s="11">
        <v>46053</v>
      </c>
      <c r="B1649" s="5" t="s">
        <v>836</v>
      </c>
      <c r="C1649" s="3" t="s">
        <v>128</v>
      </c>
      <c r="D1649" s="5" t="s">
        <v>120</v>
      </c>
      <c r="E1649" s="5" t="s">
        <v>117</v>
      </c>
      <c r="F1649" s="6" t="s">
        <v>685</v>
      </c>
      <c r="G1649" s="4" t="s">
        <v>1</v>
      </c>
      <c r="H1649" s="25">
        <v>4.8418512600000003</v>
      </c>
      <c r="I1649" s="8">
        <v>-107683</v>
      </c>
      <c r="J1649" s="9">
        <v>6320</v>
      </c>
      <c r="K1649" s="7">
        <v>114003</v>
      </c>
      <c r="L1649" s="24">
        <f>+Tabla2[[#This Row],[Stock Inventario]]*Tabla2[[#This Row],[Coste LÃ­nea]]</f>
        <v>30600.499963200004</v>
      </c>
      <c r="M1649" s="24">
        <f>+Tabla2[[#This Row],[Variación Stock]]*Tabla2[[#This Row],[Coste LÃ­nea]]</f>
        <v>551985.56919378007</v>
      </c>
      <c r="N1649" s="22" t="str">
        <f>+IF(Tabla2[[#This Row],[Variación Stock]]&gt;0,"Sobrante",IF(Tabla2[[#This Row],[Variación Stock]]&lt;0,"Faltante","Sin novedad"))</f>
        <v>Sobrante</v>
      </c>
    </row>
    <row r="1650" spans="1:14" hidden="1" x14ac:dyDescent="0.25">
      <c r="A1650" s="11">
        <v>46053</v>
      </c>
      <c r="B1650" s="5" t="s">
        <v>836</v>
      </c>
      <c r="C1650" s="3" t="s">
        <v>128</v>
      </c>
      <c r="D1650" s="5" t="s">
        <v>120</v>
      </c>
      <c r="E1650" s="5" t="s">
        <v>117</v>
      </c>
      <c r="F1650" s="6" t="s">
        <v>687</v>
      </c>
      <c r="G1650" s="4" t="s">
        <v>1</v>
      </c>
      <c r="H1650" s="25">
        <v>5.3377320900000003</v>
      </c>
      <c r="I1650" s="8">
        <v>395</v>
      </c>
      <c r="J1650" s="9">
        <v>0</v>
      </c>
      <c r="K1650" s="7">
        <v>-395</v>
      </c>
      <c r="L1650" s="24">
        <f>+Tabla2[[#This Row],[Stock Inventario]]*Tabla2[[#This Row],[Coste LÃ­nea]]</f>
        <v>0</v>
      </c>
      <c r="M1650" s="24">
        <f>+Tabla2[[#This Row],[Variación Stock]]*Tabla2[[#This Row],[Coste LÃ­nea]]</f>
        <v>-2108.4041755500002</v>
      </c>
      <c r="N1650" s="22" t="str">
        <f>+IF(Tabla2[[#This Row],[Variación Stock]]&gt;0,"Sobrante",IF(Tabla2[[#This Row],[Variación Stock]]&lt;0,"Faltante","Sin novedad"))</f>
        <v>Faltante</v>
      </c>
    </row>
    <row r="1651" spans="1:14" hidden="1" x14ac:dyDescent="0.25">
      <c r="A1651" s="11">
        <v>46053</v>
      </c>
      <c r="B1651" s="5" t="s">
        <v>836</v>
      </c>
      <c r="C1651" s="3" t="s">
        <v>128</v>
      </c>
      <c r="D1651" s="5" t="s">
        <v>120</v>
      </c>
      <c r="E1651" s="5" t="s">
        <v>117</v>
      </c>
      <c r="F1651" s="6" t="s">
        <v>898</v>
      </c>
      <c r="G1651" s="4" t="s">
        <v>1</v>
      </c>
      <c r="H1651" s="25">
        <v>19.393368299999999</v>
      </c>
      <c r="I1651" s="8">
        <v>998</v>
      </c>
      <c r="J1651" s="9">
        <v>1026</v>
      </c>
      <c r="K1651" s="7">
        <v>28</v>
      </c>
      <c r="L1651" s="24">
        <f>+Tabla2[[#This Row],[Stock Inventario]]*Tabla2[[#This Row],[Coste LÃ­nea]]</f>
        <v>19897.595875799998</v>
      </c>
      <c r="M1651" s="24">
        <f>+Tabla2[[#This Row],[Variación Stock]]*Tabla2[[#This Row],[Coste LÃ­nea]]</f>
        <v>543.01431239999999</v>
      </c>
      <c r="N1651" s="22" t="str">
        <f>+IF(Tabla2[[#This Row],[Variación Stock]]&gt;0,"Sobrante",IF(Tabla2[[#This Row],[Variación Stock]]&lt;0,"Faltante","Sin novedad"))</f>
        <v>Sobrante</v>
      </c>
    </row>
    <row r="1652" spans="1:14" hidden="1" x14ac:dyDescent="0.25">
      <c r="A1652" s="11">
        <v>46053</v>
      </c>
      <c r="B1652" s="5" t="s">
        <v>836</v>
      </c>
      <c r="C1652" s="3" t="s">
        <v>128</v>
      </c>
      <c r="D1652" s="5" t="s">
        <v>120</v>
      </c>
      <c r="E1652" s="5" t="s">
        <v>117</v>
      </c>
      <c r="F1652" s="6" t="s">
        <v>899</v>
      </c>
      <c r="G1652" s="4" t="s">
        <v>1</v>
      </c>
      <c r="H1652" s="25">
        <v>20.178303270000001</v>
      </c>
      <c r="I1652" s="8">
        <v>15790</v>
      </c>
      <c r="J1652" s="9">
        <v>5746</v>
      </c>
      <c r="K1652" s="7">
        <v>-10044</v>
      </c>
      <c r="L1652" s="24">
        <f>+Tabla2[[#This Row],[Stock Inventario]]*Tabla2[[#This Row],[Coste LÃ­nea]]</f>
        <v>115944.53058942</v>
      </c>
      <c r="M1652" s="24">
        <f>+Tabla2[[#This Row],[Variación Stock]]*Tabla2[[#This Row],[Coste LÃ­nea]]</f>
        <v>-202670.87804388002</v>
      </c>
      <c r="N1652" s="22" t="str">
        <f>+IF(Tabla2[[#This Row],[Variación Stock]]&gt;0,"Sobrante",IF(Tabla2[[#This Row],[Variación Stock]]&lt;0,"Faltante","Sin novedad"))</f>
        <v>Faltante</v>
      </c>
    </row>
    <row r="1653" spans="1:14" hidden="1" x14ac:dyDescent="0.25">
      <c r="A1653" s="11">
        <v>46053</v>
      </c>
      <c r="B1653" s="5" t="s">
        <v>836</v>
      </c>
      <c r="C1653" s="3" t="s">
        <v>128</v>
      </c>
      <c r="D1653" s="5" t="s">
        <v>120</v>
      </c>
      <c r="E1653" s="5" t="s">
        <v>117</v>
      </c>
      <c r="F1653" s="6" t="s">
        <v>900</v>
      </c>
      <c r="G1653" s="4" t="s">
        <v>1</v>
      </c>
      <c r="H1653" s="25">
        <v>29</v>
      </c>
      <c r="I1653" s="8">
        <v>3718</v>
      </c>
      <c r="J1653" s="9">
        <v>4446</v>
      </c>
      <c r="K1653" s="7">
        <v>728</v>
      </c>
      <c r="L1653" s="24">
        <f>+Tabla2[[#This Row],[Stock Inventario]]*Tabla2[[#This Row],[Coste LÃ­nea]]</f>
        <v>128934</v>
      </c>
      <c r="M1653" s="24">
        <f>+Tabla2[[#This Row],[Variación Stock]]*Tabla2[[#This Row],[Coste LÃ­nea]]</f>
        <v>21112</v>
      </c>
      <c r="N1653" s="22" t="str">
        <f>+IF(Tabla2[[#This Row],[Variación Stock]]&gt;0,"Sobrante",IF(Tabla2[[#This Row],[Variación Stock]]&lt;0,"Faltante","Sin novedad"))</f>
        <v>Sobrante</v>
      </c>
    </row>
    <row r="1654" spans="1:14" hidden="1" x14ac:dyDescent="0.25">
      <c r="A1654" s="11">
        <v>46053</v>
      </c>
      <c r="B1654" s="5" t="s">
        <v>836</v>
      </c>
      <c r="C1654" s="3" t="s">
        <v>128</v>
      </c>
      <c r="D1654" s="5" t="s">
        <v>120</v>
      </c>
      <c r="E1654" s="5" t="s">
        <v>117</v>
      </c>
      <c r="F1654" s="6" t="s">
        <v>901</v>
      </c>
      <c r="G1654" s="4" t="s">
        <v>1</v>
      </c>
      <c r="H1654" s="25">
        <v>8.15559425</v>
      </c>
      <c r="I1654" s="8">
        <v>1056</v>
      </c>
      <c r="J1654" s="9">
        <v>1382</v>
      </c>
      <c r="K1654" s="7">
        <v>326</v>
      </c>
      <c r="L1654" s="24">
        <f>+Tabla2[[#This Row],[Stock Inventario]]*Tabla2[[#This Row],[Coste LÃ­nea]]</f>
        <v>11271.031253499999</v>
      </c>
      <c r="M1654" s="24">
        <f>+Tabla2[[#This Row],[Variación Stock]]*Tabla2[[#This Row],[Coste LÃ­nea]]</f>
        <v>2658.7237255</v>
      </c>
      <c r="N1654" s="22" t="str">
        <f>+IF(Tabla2[[#This Row],[Variación Stock]]&gt;0,"Sobrante",IF(Tabla2[[#This Row],[Variación Stock]]&lt;0,"Faltante","Sin novedad"))</f>
        <v>Sobrante</v>
      </c>
    </row>
    <row r="1655" spans="1:14" hidden="1" x14ac:dyDescent="0.25">
      <c r="A1655" s="11">
        <v>46053</v>
      </c>
      <c r="B1655" s="5" t="s">
        <v>836</v>
      </c>
      <c r="C1655" s="3" t="s">
        <v>128</v>
      </c>
      <c r="D1655" s="5" t="s">
        <v>120</v>
      </c>
      <c r="E1655" s="5" t="s">
        <v>117</v>
      </c>
      <c r="F1655" s="6" t="s">
        <v>202</v>
      </c>
      <c r="G1655" s="4" t="s">
        <v>2</v>
      </c>
      <c r="H1655" s="25">
        <v>2123.3610461899998</v>
      </c>
      <c r="I1655" s="8">
        <v>29</v>
      </c>
      <c r="J1655" s="9">
        <v>22</v>
      </c>
      <c r="K1655" s="7">
        <v>-7</v>
      </c>
      <c r="L1655" s="24">
        <f>+Tabla2[[#This Row],[Stock Inventario]]*Tabla2[[#This Row],[Coste LÃ­nea]]</f>
        <v>46713.943016179997</v>
      </c>
      <c r="M1655" s="24">
        <f>+Tabla2[[#This Row],[Variación Stock]]*Tabla2[[#This Row],[Coste LÃ­nea]]</f>
        <v>-14863.527323329999</v>
      </c>
      <c r="N1655" s="22" t="str">
        <f>+IF(Tabla2[[#This Row],[Variación Stock]]&gt;0,"Sobrante",IF(Tabla2[[#This Row],[Variación Stock]]&lt;0,"Faltante","Sin novedad"))</f>
        <v>Faltante</v>
      </c>
    </row>
    <row r="1656" spans="1:14" hidden="1" x14ac:dyDescent="0.25">
      <c r="A1656" s="11">
        <v>46053</v>
      </c>
      <c r="B1656" s="5" t="s">
        <v>836</v>
      </c>
      <c r="C1656" s="3" t="s">
        <v>128</v>
      </c>
      <c r="D1656" s="5" t="s">
        <v>120</v>
      </c>
      <c r="E1656" s="5" t="s">
        <v>117</v>
      </c>
      <c r="F1656" s="6" t="s">
        <v>203</v>
      </c>
      <c r="G1656" s="4" t="s">
        <v>2</v>
      </c>
      <c r="H1656" s="25">
        <v>2521.1083722600001</v>
      </c>
      <c r="I1656" s="8">
        <v>29</v>
      </c>
      <c r="J1656" s="9">
        <v>26</v>
      </c>
      <c r="K1656" s="7">
        <v>-3</v>
      </c>
      <c r="L1656" s="24">
        <f>+Tabla2[[#This Row],[Stock Inventario]]*Tabla2[[#This Row],[Coste LÃ­nea]]</f>
        <v>65548.81767876001</v>
      </c>
      <c r="M1656" s="24">
        <f>+Tabla2[[#This Row],[Variación Stock]]*Tabla2[[#This Row],[Coste LÃ­nea]]</f>
        <v>-7563.3251167800008</v>
      </c>
      <c r="N1656" s="22" t="str">
        <f>+IF(Tabla2[[#This Row],[Variación Stock]]&gt;0,"Sobrante",IF(Tabla2[[#This Row],[Variación Stock]]&lt;0,"Faltante","Sin novedad"))</f>
        <v>Faltante</v>
      </c>
    </row>
    <row r="1657" spans="1:14" hidden="1" x14ac:dyDescent="0.25">
      <c r="A1657" s="11">
        <v>46053</v>
      </c>
      <c r="B1657" s="5" t="s">
        <v>836</v>
      </c>
      <c r="C1657" s="3" t="s">
        <v>128</v>
      </c>
      <c r="D1657" s="5" t="s">
        <v>120</v>
      </c>
      <c r="E1657" s="5" t="s">
        <v>117</v>
      </c>
      <c r="F1657" s="6" t="s">
        <v>371</v>
      </c>
      <c r="G1657" s="4" t="s">
        <v>2</v>
      </c>
      <c r="H1657" s="25">
        <v>1617.0728245400001</v>
      </c>
      <c r="I1657" s="8">
        <v>33</v>
      </c>
      <c r="J1657" s="9">
        <v>36</v>
      </c>
      <c r="K1657" s="7">
        <v>3</v>
      </c>
      <c r="L1657" s="24">
        <f>+Tabla2[[#This Row],[Stock Inventario]]*Tabla2[[#This Row],[Coste LÃ­nea]]</f>
        <v>58214.621683440004</v>
      </c>
      <c r="M1657" s="24">
        <f>+Tabla2[[#This Row],[Variación Stock]]*Tabla2[[#This Row],[Coste LÃ­nea]]</f>
        <v>4851.2184736199997</v>
      </c>
      <c r="N1657" s="22" t="str">
        <f>+IF(Tabla2[[#This Row],[Variación Stock]]&gt;0,"Sobrante",IF(Tabla2[[#This Row],[Variación Stock]]&lt;0,"Faltante","Sin novedad"))</f>
        <v>Sobrante</v>
      </c>
    </row>
    <row r="1658" spans="1:14" hidden="1" x14ac:dyDescent="0.25">
      <c r="A1658" s="11">
        <v>46053</v>
      </c>
      <c r="B1658" s="5" t="s">
        <v>836</v>
      </c>
      <c r="C1658" s="3" t="s">
        <v>128</v>
      </c>
      <c r="D1658" s="5" t="s">
        <v>120</v>
      </c>
      <c r="E1658" s="5" t="s">
        <v>117</v>
      </c>
      <c r="F1658" s="6" t="s">
        <v>902</v>
      </c>
      <c r="G1658" s="4" t="s">
        <v>1</v>
      </c>
      <c r="H1658" s="25">
        <v>19.380238810000002</v>
      </c>
      <c r="I1658" s="8">
        <v>11056</v>
      </c>
      <c r="J1658" s="9">
        <v>3650</v>
      </c>
      <c r="K1658" s="7">
        <v>-7406</v>
      </c>
      <c r="L1658" s="24">
        <f>+Tabla2[[#This Row],[Stock Inventario]]*Tabla2[[#This Row],[Coste LÃ­nea]]</f>
        <v>70737.871656500007</v>
      </c>
      <c r="M1658" s="24">
        <f>+Tabla2[[#This Row],[Variación Stock]]*Tabla2[[#This Row],[Coste LÃ­nea]]</f>
        <v>-143530.04862686002</v>
      </c>
      <c r="N1658" s="22" t="str">
        <f>+IF(Tabla2[[#This Row],[Variación Stock]]&gt;0,"Sobrante",IF(Tabla2[[#This Row],[Variación Stock]]&lt;0,"Faltante","Sin novedad"))</f>
        <v>Faltante</v>
      </c>
    </row>
    <row r="1659" spans="1:14" hidden="1" x14ac:dyDescent="0.25">
      <c r="A1659" s="11">
        <v>46053</v>
      </c>
      <c r="B1659" s="5" t="s">
        <v>836</v>
      </c>
      <c r="C1659" s="3" t="s">
        <v>128</v>
      </c>
      <c r="D1659" s="5" t="s">
        <v>120</v>
      </c>
      <c r="E1659" s="5" t="s">
        <v>117</v>
      </c>
      <c r="F1659" s="6" t="s">
        <v>903</v>
      </c>
      <c r="G1659" s="4" t="s">
        <v>2</v>
      </c>
      <c r="H1659" s="25">
        <v>1115.09464865</v>
      </c>
      <c r="I1659" s="8">
        <v>169</v>
      </c>
      <c r="J1659" s="9">
        <v>56</v>
      </c>
      <c r="K1659" s="7">
        <v>-113</v>
      </c>
      <c r="L1659" s="24">
        <f>+Tabla2[[#This Row],[Stock Inventario]]*Tabla2[[#This Row],[Coste LÃ­nea]]</f>
        <v>62445.300324399999</v>
      </c>
      <c r="M1659" s="24">
        <f>+Tabla2[[#This Row],[Variación Stock]]*Tabla2[[#This Row],[Coste LÃ­nea]]</f>
        <v>-126005.69529745</v>
      </c>
      <c r="N1659" s="22" t="str">
        <f>+IF(Tabla2[[#This Row],[Variación Stock]]&gt;0,"Sobrante",IF(Tabla2[[#This Row],[Variación Stock]]&lt;0,"Faltante","Sin novedad"))</f>
        <v>Faltante</v>
      </c>
    </row>
    <row r="1660" spans="1:14" hidden="1" x14ac:dyDescent="0.25">
      <c r="A1660" s="11">
        <v>46053</v>
      </c>
      <c r="B1660" s="5" t="s">
        <v>836</v>
      </c>
      <c r="C1660" s="3" t="s">
        <v>128</v>
      </c>
      <c r="D1660" s="5" t="s">
        <v>120</v>
      </c>
      <c r="E1660" s="5" t="s">
        <v>117</v>
      </c>
      <c r="F1660" s="6" t="s">
        <v>903</v>
      </c>
      <c r="G1660" s="4" t="s">
        <v>2</v>
      </c>
      <c r="H1660" s="25">
        <v>1673.13071851</v>
      </c>
      <c r="I1660" s="8">
        <v>0</v>
      </c>
      <c r="J1660" s="9">
        <v>0</v>
      </c>
      <c r="K1660" s="7">
        <v>0</v>
      </c>
      <c r="L1660" s="24">
        <f>+Tabla2[[#This Row],[Stock Inventario]]*Tabla2[[#This Row],[Coste LÃ­nea]]</f>
        <v>0</v>
      </c>
      <c r="M1660" s="24">
        <f>+Tabla2[[#This Row],[Variación Stock]]*Tabla2[[#This Row],[Coste LÃ­nea]]</f>
        <v>0</v>
      </c>
      <c r="N1660" s="22" t="str">
        <f>+IF(Tabla2[[#This Row],[Variación Stock]]&gt;0,"Sobrante",IF(Tabla2[[#This Row],[Variación Stock]]&lt;0,"Faltante","Sin novedad"))</f>
        <v>Sin novedad</v>
      </c>
    </row>
    <row r="1661" spans="1:14" hidden="1" x14ac:dyDescent="0.25">
      <c r="A1661" s="11">
        <v>46053</v>
      </c>
      <c r="B1661" s="5" t="s">
        <v>836</v>
      </c>
      <c r="C1661" s="3" t="s">
        <v>128</v>
      </c>
      <c r="D1661" s="5" t="s">
        <v>120</v>
      </c>
      <c r="E1661" s="5" t="s">
        <v>117</v>
      </c>
      <c r="F1661" s="6" t="s">
        <v>692</v>
      </c>
      <c r="G1661" s="4" t="s">
        <v>1</v>
      </c>
      <c r="H1661" s="25">
        <v>13.61953087</v>
      </c>
      <c r="I1661" s="8">
        <v>3425</v>
      </c>
      <c r="J1661" s="9">
        <v>3132</v>
      </c>
      <c r="K1661" s="7">
        <v>-293</v>
      </c>
      <c r="L1661" s="24">
        <f>+Tabla2[[#This Row],[Stock Inventario]]*Tabla2[[#This Row],[Coste LÃ­nea]]</f>
        <v>42656.370684840003</v>
      </c>
      <c r="M1661" s="24">
        <f>+Tabla2[[#This Row],[Variación Stock]]*Tabla2[[#This Row],[Coste LÃ­nea]]</f>
        <v>-3990.5225449099999</v>
      </c>
      <c r="N1661" s="22" t="str">
        <f>+IF(Tabla2[[#This Row],[Variación Stock]]&gt;0,"Sobrante",IF(Tabla2[[#This Row],[Variación Stock]]&lt;0,"Faltante","Sin novedad"))</f>
        <v>Faltante</v>
      </c>
    </row>
    <row r="1662" spans="1:14" hidden="1" x14ac:dyDescent="0.25">
      <c r="A1662" s="11">
        <v>46053</v>
      </c>
      <c r="B1662" s="5" t="s">
        <v>836</v>
      </c>
      <c r="C1662" s="3" t="s">
        <v>128</v>
      </c>
      <c r="D1662" s="5" t="s">
        <v>120</v>
      </c>
      <c r="E1662" s="5" t="s">
        <v>117</v>
      </c>
      <c r="F1662" s="6" t="s">
        <v>904</v>
      </c>
      <c r="G1662" s="4" t="s">
        <v>1</v>
      </c>
      <c r="H1662" s="25">
        <v>75</v>
      </c>
      <c r="I1662" s="8">
        <v>-67</v>
      </c>
      <c r="J1662" s="9">
        <v>180</v>
      </c>
      <c r="K1662" s="7">
        <v>247</v>
      </c>
      <c r="L1662" s="24">
        <f>+Tabla2[[#This Row],[Stock Inventario]]*Tabla2[[#This Row],[Coste LÃ­nea]]</f>
        <v>13500</v>
      </c>
      <c r="M1662" s="24">
        <f>+Tabla2[[#This Row],[Variación Stock]]*Tabla2[[#This Row],[Coste LÃ­nea]]</f>
        <v>18525</v>
      </c>
      <c r="N1662" s="22" t="str">
        <f>+IF(Tabla2[[#This Row],[Variación Stock]]&gt;0,"Sobrante",IF(Tabla2[[#This Row],[Variación Stock]]&lt;0,"Faltante","Sin novedad"))</f>
        <v>Sobrante</v>
      </c>
    </row>
    <row r="1663" spans="1:14" hidden="1" x14ac:dyDescent="0.25">
      <c r="A1663" s="11">
        <v>46053</v>
      </c>
      <c r="B1663" s="5" t="s">
        <v>836</v>
      </c>
      <c r="C1663" s="3" t="s">
        <v>128</v>
      </c>
      <c r="D1663" s="5" t="s">
        <v>120</v>
      </c>
      <c r="E1663" s="5" t="s">
        <v>117</v>
      </c>
      <c r="F1663" s="6" t="s">
        <v>905</v>
      </c>
      <c r="G1663" s="4" t="s">
        <v>1</v>
      </c>
      <c r="H1663" s="25">
        <v>19.81660471</v>
      </c>
      <c r="I1663" s="8">
        <v>7041</v>
      </c>
      <c r="J1663" s="9">
        <v>1198</v>
      </c>
      <c r="K1663" s="7">
        <v>-5843</v>
      </c>
      <c r="L1663" s="24">
        <f>+Tabla2[[#This Row],[Stock Inventario]]*Tabla2[[#This Row],[Coste LÃ­nea]]</f>
        <v>23740.292442580001</v>
      </c>
      <c r="M1663" s="24">
        <f>+Tabla2[[#This Row],[Variación Stock]]*Tabla2[[#This Row],[Coste LÃ­nea]]</f>
        <v>-115788.42132053</v>
      </c>
      <c r="N1663" s="22" t="str">
        <f>+IF(Tabla2[[#This Row],[Variación Stock]]&gt;0,"Sobrante",IF(Tabla2[[#This Row],[Variación Stock]]&lt;0,"Faltante","Sin novedad"))</f>
        <v>Faltante</v>
      </c>
    </row>
    <row r="1664" spans="1:14" hidden="1" x14ac:dyDescent="0.25">
      <c r="A1664" s="11">
        <v>46053</v>
      </c>
      <c r="B1664" s="5" t="s">
        <v>836</v>
      </c>
      <c r="C1664" s="3" t="s">
        <v>128</v>
      </c>
      <c r="D1664" s="5" t="s">
        <v>120</v>
      </c>
      <c r="E1664" s="5" t="s">
        <v>117</v>
      </c>
      <c r="F1664" s="6" t="s">
        <v>906</v>
      </c>
      <c r="G1664" s="4" t="s">
        <v>2</v>
      </c>
      <c r="H1664" s="25">
        <v>3065.8793588100002</v>
      </c>
      <c r="I1664" s="8">
        <v>23</v>
      </c>
      <c r="J1664" s="9">
        <v>15</v>
      </c>
      <c r="K1664" s="7">
        <v>-8</v>
      </c>
      <c r="L1664" s="24">
        <f>+Tabla2[[#This Row],[Stock Inventario]]*Tabla2[[#This Row],[Coste LÃ­nea]]</f>
        <v>45988.190382150002</v>
      </c>
      <c r="M1664" s="24">
        <f>+Tabla2[[#This Row],[Variación Stock]]*Tabla2[[#This Row],[Coste LÃ­nea]]</f>
        <v>-24527.034870480002</v>
      </c>
      <c r="N1664" s="22" t="str">
        <f>+IF(Tabla2[[#This Row],[Variación Stock]]&gt;0,"Sobrante",IF(Tabla2[[#This Row],[Variación Stock]]&lt;0,"Faltante","Sin novedad"))</f>
        <v>Faltante</v>
      </c>
    </row>
    <row r="1665" spans="1:14" hidden="1" x14ac:dyDescent="0.25">
      <c r="A1665" s="11">
        <v>46053</v>
      </c>
      <c r="B1665" s="5" t="s">
        <v>836</v>
      </c>
      <c r="C1665" s="3" t="s">
        <v>128</v>
      </c>
      <c r="D1665" s="5" t="s">
        <v>120</v>
      </c>
      <c r="E1665" s="5" t="s">
        <v>117</v>
      </c>
      <c r="F1665" s="6" t="s">
        <v>204</v>
      </c>
      <c r="G1665" s="4" t="s">
        <v>2</v>
      </c>
      <c r="H1665" s="25">
        <v>9105.3328746099996</v>
      </c>
      <c r="I1665" s="8">
        <v>25.65</v>
      </c>
      <c r="J1665" s="9">
        <v>64.5</v>
      </c>
      <c r="K1665" s="7">
        <v>38.85</v>
      </c>
      <c r="L1665" s="24">
        <f>+Tabla2[[#This Row],[Stock Inventario]]*Tabla2[[#This Row],[Coste LÃ­nea]]</f>
        <v>587293.97041234502</v>
      </c>
      <c r="M1665" s="24">
        <f>+Tabla2[[#This Row],[Variación Stock]]*Tabla2[[#This Row],[Coste LÃ­nea]]</f>
        <v>353742.18217859848</v>
      </c>
      <c r="N1665" s="22" t="str">
        <f>+IF(Tabla2[[#This Row],[Variación Stock]]&gt;0,"Sobrante",IF(Tabla2[[#This Row],[Variación Stock]]&lt;0,"Faltante","Sin novedad"))</f>
        <v>Sobrante</v>
      </c>
    </row>
    <row r="1666" spans="1:14" hidden="1" x14ac:dyDescent="0.25">
      <c r="A1666" s="11">
        <v>46053</v>
      </c>
      <c r="B1666" s="5" t="s">
        <v>836</v>
      </c>
      <c r="C1666" s="3" t="s">
        <v>128</v>
      </c>
      <c r="D1666" s="5" t="s">
        <v>120</v>
      </c>
      <c r="E1666" s="5" t="s">
        <v>117</v>
      </c>
      <c r="F1666" s="6" t="s">
        <v>907</v>
      </c>
      <c r="G1666" s="4" t="s">
        <v>1</v>
      </c>
      <c r="H1666" s="25">
        <v>34.044300479999997</v>
      </c>
      <c r="I1666" s="8">
        <v>2799</v>
      </c>
      <c r="J1666" s="9">
        <v>1284</v>
      </c>
      <c r="K1666" s="7">
        <v>-1515</v>
      </c>
      <c r="L1666" s="24">
        <f>+Tabla2[[#This Row],[Stock Inventario]]*Tabla2[[#This Row],[Coste LÃ­nea]]</f>
        <v>43712.881816319998</v>
      </c>
      <c r="M1666" s="24">
        <f>+Tabla2[[#This Row],[Variación Stock]]*Tabla2[[#This Row],[Coste LÃ­nea]]</f>
        <v>-51577.115227199996</v>
      </c>
      <c r="N1666" s="22" t="str">
        <f>+IF(Tabla2[[#This Row],[Variación Stock]]&gt;0,"Sobrante",IF(Tabla2[[#This Row],[Variación Stock]]&lt;0,"Faltante","Sin novedad"))</f>
        <v>Faltante</v>
      </c>
    </row>
    <row r="1667" spans="1:14" hidden="1" x14ac:dyDescent="0.25">
      <c r="A1667" s="11">
        <v>46053</v>
      </c>
      <c r="B1667" s="5" t="s">
        <v>836</v>
      </c>
      <c r="C1667" s="3" t="s">
        <v>128</v>
      </c>
      <c r="D1667" s="5" t="s">
        <v>120</v>
      </c>
      <c r="E1667" s="5" t="s">
        <v>117</v>
      </c>
      <c r="F1667" s="6" t="s">
        <v>908</v>
      </c>
      <c r="G1667" s="4" t="s">
        <v>1</v>
      </c>
      <c r="H1667" s="25">
        <v>12.964252480000001</v>
      </c>
      <c r="I1667" s="8">
        <v>-256</v>
      </c>
      <c r="J1667" s="9">
        <v>1780</v>
      </c>
      <c r="K1667" s="7">
        <v>2036</v>
      </c>
      <c r="L1667" s="24">
        <f>+Tabla2[[#This Row],[Stock Inventario]]*Tabla2[[#This Row],[Coste LÃ­nea]]</f>
        <v>23076.3694144</v>
      </c>
      <c r="M1667" s="24">
        <f>+Tabla2[[#This Row],[Variación Stock]]*Tabla2[[#This Row],[Coste LÃ­nea]]</f>
        <v>26395.21804928</v>
      </c>
      <c r="N1667" s="22" t="str">
        <f>+IF(Tabla2[[#This Row],[Variación Stock]]&gt;0,"Sobrante",IF(Tabla2[[#This Row],[Variación Stock]]&lt;0,"Faltante","Sin novedad"))</f>
        <v>Sobrante</v>
      </c>
    </row>
    <row r="1668" spans="1:14" hidden="1" x14ac:dyDescent="0.25">
      <c r="A1668" s="11">
        <v>46053</v>
      </c>
      <c r="B1668" s="5" t="s">
        <v>836</v>
      </c>
      <c r="C1668" s="3" t="s">
        <v>128</v>
      </c>
      <c r="D1668" s="5" t="s">
        <v>120</v>
      </c>
      <c r="E1668" s="5" t="s">
        <v>117</v>
      </c>
      <c r="F1668" s="6" t="s">
        <v>909</v>
      </c>
      <c r="G1668" s="4" t="s">
        <v>1</v>
      </c>
      <c r="H1668" s="25">
        <v>7.28507836</v>
      </c>
      <c r="I1668" s="8">
        <v>-240</v>
      </c>
      <c r="J1668" s="9">
        <v>100</v>
      </c>
      <c r="K1668" s="7">
        <v>340</v>
      </c>
      <c r="L1668" s="24">
        <f>+Tabla2[[#This Row],[Stock Inventario]]*Tabla2[[#This Row],[Coste LÃ­nea]]</f>
        <v>728.507836</v>
      </c>
      <c r="M1668" s="24">
        <f>+Tabla2[[#This Row],[Variación Stock]]*Tabla2[[#This Row],[Coste LÃ­nea]]</f>
        <v>2476.9266423999998</v>
      </c>
      <c r="N1668" s="22" t="str">
        <f>+IF(Tabla2[[#This Row],[Variación Stock]]&gt;0,"Sobrante",IF(Tabla2[[#This Row],[Variación Stock]]&lt;0,"Faltante","Sin novedad"))</f>
        <v>Sobrante</v>
      </c>
    </row>
    <row r="1669" spans="1:14" hidden="1" x14ac:dyDescent="0.25">
      <c r="A1669" s="11">
        <v>46053</v>
      </c>
      <c r="B1669" s="5" t="s">
        <v>836</v>
      </c>
      <c r="C1669" s="3" t="s">
        <v>128</v>
      </c>
      <c r="D1669" s="5" t="s">
        <v>120</v>
      </c>
      <c r="E1669" s="5" t="s">
        <v>117</v>
      </c>
      <c r="F1669" s="6" t="s">
        <v>695</v>
      </c>
      <c r="G1669" s="4" t="s">
        <v>1</v>
      </c>
      <c r="H1669" s="25">
        <v>16.486894509999999</v>
      </c>
      <c r="I1669" s="8">
        <v>-2332</v>
      </c>
      <c r="J1669" s="9">
        <v>230</v>
      </c>
      <c r="K1669" s="7">
        <v>2562</v>
      </c>
      <c r="L1669" s="24">
        <f>+Tabla2[[#This Row],[Stock Inventario]]*Tabla2[[#This Row],[Coste LÃ­nea]]</f>
        <v>3791.9857373</v>
      </c>
      <c r="M1669" s="24">
        <f>+Tabla2[[#This Row],[Variación Stock]]*Tabla2[[#This Row],[Coste LÃ­nea]]</f>
        <v>42239.423734619995</v>
      </c>
      <c r="N1669" s="22" t="str">
        <f>+IF(Tabla2[[#This Row],[Variación Stock]]&gt;0,"Sobrante",IF(Tabla2[[#This Row],[Variación Stock]]&lt;0,"Faltante","Sin novedad"))</f>
        <v>Sobrante</v>
      </c>
    </row>
    <row r="1670" spans="1:14" hidden="1" x14ac:dyDescent="0.25">
      <c r="A1670" s="11">
        <v>46053</v>
      </c>
      <c r="B1670" s="5" t="s">
        <v>836</v>
      </c>
      <c r="C1670" s="3" t="s">
        <v>128</v>
      </c>
      <c r="D1670" s="5" t="s">
        <v>120</v>
      </c>
      <c r="E1670" s="5" t="s">
        <v>117</v>
      </c>
      <c r="F1670" s="6" t="s">
        <v>696</v>
      </c>
      <c r="G1670" s="4" t="s">
        <v>1</v>
      </c>
      <c r="H1670" s="25">
        <v>21.802858329999999</v>
      </c>
      <c r="I1670" s="8">
        <v>-660</v>
      </c>
      <c r="J1670" s="9">
        <v>15</v>
      </c>
      <c r="K1670" s="7">
        <v>675</v>
      </c>
      <c r="L1670" s="24">
        <f>+Tabla2[[#This Row],[Stock Inventario]]*Tabla2[[#This Row],[Coste LÃ­nea]]</f>
        <v>327.04287495</v>
      </c>
      <c r="M1670" s="24">
        <f>+Tabla2[[#This Row],[Variación Stock]]*Tabla2[[#This Row],[Coste LÃ­nea]]</f>
        <v>14716.929372749999</v>
      </c>
      <c r="N1670" s="22" t="str">
        <f>+IF(Tabla2[[#This Row],[Variación Stock]]&gt;0,"Sobrante",IF(Tabla2[[#This Row],[Variación Stock]]&lt;0,"Faltante","Sin novedad"))</f>
        <v>Sobrante</v>
      </c>
    </row>
    <row r="1671" spans="1:14" x14ac:dyDescent="0.25">
      <c r="A1671" s="11">
        <v>46053</v>
      </c>
      <c r="B1671" s="5" t="s">
        <v>836</v>
      </c>
      <c r="C1671" s="3" t="s">
        <v>128</v>
      </c>
      <c r="D1671" s="5" t="s">
        <v>121</v>
      </c>
      <c r="E1671" s="5" t="s">
        <v>112</v>
      </c>
      <c r="F1671" s="6" t="s">
        <v>355</v>
      </c>
      <c r="G1671" s="4" t="s">
        <v>1</v>
      </c>
      <c r="H1671" s="25">
        <v>45.040723980000003</v>
      </c>
      <c r="I1671" s="8">
        <v>-3371</v>
      </c>
      <c r="J1671" s="9">
        <v>580</v>
      </c>
      <c r="K1671" s="7">
        <v>3951</v>
      </c>
      <c r="L1671" s="24">
        <f>+Tabla2[[#This Row],[Stock Inventario]]*Tabla2[[#This Row],[Coste LÃ­nea]]</f>
        <v>26123.6199084</v>
      </c>
      <c r="M1671" s="24">
        <f>+Tabla2[[#This Row],[Variación Stock]]*Tabla2[[#This Row],[Coste LÃ­nea]]</f>
        <v>177955.90044498001</v>
      </c>
      <c r="N1671" s="22" t="str">
        <f>+IF(Tabla2[[#This Row],[Variación Stock]]&gt;0,"Sobrante",IF(Tabla2[[#This Row],[Variación Stock]]&lt;0,"Faltante","Sin novedad"))</f>
        <v>Sobrante</v>
      </c>
    </row>
    <row r="1672" spans="1:14" x14ac:dyDescent="0.25">
      <c r="A1672" s="11">
        <v>46053</v>
      </c>
      <c r="B1672" s="5" t="s">
        <v>836</v>
      </c>
      <c r="C1672" s="3" t="s">
        <v>128</v>
      </c>
      <c r="D1672" s="5" t="s">
        <v>121</v>
      </c>
      <c r="E1672" s="5" t="s">
        <v>112</v>
      </c>
      <c r="F1672" s="6" t="s">
        <v>946</v>
      </c>
      <c r="G1672" s="4" t="s">
        <v>1</v>
      </c>
      <c r="H1672" s="25">
        <v>20.017798209999999</v>
      </c>
      <c r="I1672" s="8">
        <v>746</v>
      </c>
      <c r="J1672" s="9">
        <v>738</v>
      </c>
      <c r="K1672" s="7">
        <v>-8</v>
      </c>
      <c r="L1672" s="24">
        <f>+Tabla2[[#This Row],[Stock Inventario]]*Tabla2[[#This Row],[Coste LÃ­nea]]</f>
        <v>14773.13507898</v>
      </c>
      <c r="M1672" s="24">
        <f>+Tabla2[[#This Row],[Variación Stock]]*Tabla2[[#This Row],[Coste LÃ­nea]]</f>
        <v>-160.14238567999999</v>
      </c>
      <c r="N1672" s="22" t="str">
        <f>+IF(Tabla2[[#This Row],[Variación Stock]]&gt;0,"Sobrante",IF(Tabla2[[#This Row],[Variación Stock]]&lt;0,"Faltante","Sin novedad"))</f>
        <v>Faltante</v>
      </c>
    </row>
    <row r="1673" spans="1:14" hidden="1" x14ac:dyDescent="0.25">
      <c r="A1673" s="11">
        <v>46053</v>
      </c>
      <c r="B1673" s="5" t="s">
        <v>836</v>
      </c>
      <c r="C1673" s="3" t="s">
        <v>128</v>
      </c>
      <c r="D1673" s="5" t="s">
        <v>120</v>
      </c>
      <c r="E1673" s="5" t="s">
        <v>117</v>
      </c>
      <c r="F1673" s="6" t="s">
        <v>205</v>
      </c>
      <c r="G1673" s="4" t="s">
        <v>2</v>
      </c>
      <c r="H1673" s="25">
        <v>15837.71808852</v>
      </c>
      <c r="I1673" s="8">
        <v>41</v>
      </c>
      <c r="J1673" s="9">
        <v>41</v>
      </c>
      <c r="K1673" s="7">
        <v>0</v>
      </c>
      <c r="L1673" s="24">
        <f>+Tabla2[[#This Row],[Stock Inventario]]*Tabla2[[#This Row],[Coste LÃ­nea]]</f>
        <v>649346.44162932003</v>
      </c>
      <c r="M1673" s="24">
        <f>+Tabla2[[#This Row],[Variación Stock]]*Tabla2[[#This Row],[Coste LÃ­nea]]</f>
        <v>0</v>
      </c>
      <c r="N1673" s="22" t="str">
        <f>+IF(Tabla2[[#This Row],[Variación Stock]]&gt;0,"Sobrante",IF(Tabla2[[#This Row],[Variación Stock]]&lt;0,"Faltante","Sin novedad"))</f>
        <v>Sin novedad</v>
      </c>
    </row>
    <row r="1674" spans="1:14" hidden="1" x14ac:dyDescent="0.25">
      <c r="A1674" s="11">
        <v>46053</v>
      </c>
      <c r="B1674" s="5" t="s">
        <v>836</v>
      </c>
      <c r="C1674" s="3" t="s">
        <v>128</v>
      </c>
      <c r="D1674" s="5" t="s">
        <v>120</v>
      </c>
      <c r="E1674" s="5" t="s">
        <v>117</v>
      </c>
      <c r="F1674" s="6" t="s">
        <v>910</v>
      </c>
      <c r="G1674" s="4" t="s">
        <v>1</v>
      </c>
      <c r="H1674" s="25">
        <v>18.926705599999998</v>
      </c>
      <c r="I1674" s="8">
        <v>-2609</v>
      </c>
      <c r="J1674" s="9">
        <v>1620</v>
      </c>
      <c r="K1674" s="7">
        <v>4229</v>
      </c>
      <c r="L1674" s="24">
        <f>+Tabla2[[#This Row],[Stock Inventario]]*Tabla2[[#This Row],[Coste LÃ­nea]]</f>
        <v>30661.263071999998</v>
      </c>
      <c r="M1674" s="24">
        <f>+Tabla2[[#This Row],[Variación Stock]]*Tabla2[[#This Row],[Coste LÃ­nea]]</f>
        <v>80041.037982399997</v>
      </c>
      <c r="N1674" s="22" t="str">
        <f>+IF(Tabla2[[#This Row],[Variación Stock]]&gt;0,"Sobrante",IF(Tabla2[[#This Row],[Variación Stock]]&lt;0,"Faltante","Sin novedad"))</f>
        <v>Sobrante</v>
      </c>
    </row>
    <row r="1675" spans="1:14" hidden="1" x14ac:dyDescent="0.25">
      <c r="A1675" s="11">
        <v>46053</v>
      </c>
      <c r="B1675" s="5" t="s">
        <v>836</v>
      </c>
      <c r="C1675" s="3" t="s">
        <v>128</v>
      </c>
      <c r="D1675" s="5" t="s">
        <v>120</v>
      </c>
      <c r="E1675" s="5" t="s">
        <v>117</v>
      </c>
      <c r="F1675" s="6" t="s">
        <v>911</v>
      </c>
      <c r="G1675" s="4" t="s">
        <v>1</v>
      </c>
      <c r="H1675" s="25">
        <v>20.649549329999999</v>
      </c>
      <c r="I1675" s="8">
        <v>-192</v>
      </c>
      <c r="J1675" s="9">
        <v>0</v>
      </c>
      <c r="K1675" s="7">
        <v>192</v>
      </c>
      <c r="L1675" s="24">
        <f>+Tabla2[[#This Row],[Stock Inventario]]*Tabla2[[#This Row],[Coste LÃ­nea]]</f>
        <v>0</v>
      </c>
      <c r="M1675" s="24">
        <f>+Tabla2[[#This Row],[Variación Stock]]*Tabla2[[#This Row],[Coste LÃ­nea]]</f>
        <v>3964.7134713599999</v>
      </c>
      <c r="N1675" s="22" t="str">
        <f>+IF(Tabla2[[#This Row],[Variación Stock]]&gt;0,"Sobrante",IF(Tabla2[[#This Row],[Variación Stock]]&lt;0,"Faltante","Sin novedad"))</f>
        <v>Sobrante</v>
      </c>
    </row>
    <row r="1676" spans="1:14" hidden="1" x14ac:dyDescent="0.25">
      <c r="A1676" s="11">
        <v>46053</v>
      </c>
      <c r="B1676" s="5" t="s">
        <v>836</v>
      </c>
      <c r="C1676" s="3" t="s">
        <v>128</v>
      </c>
      <c r="D1676" s="5" t="s">
        <v>120</v>
      </c>
      <c r="E1676" s="5" t="s">
        <v>117</v>
      </c>
      <c r="F1676" s="6" t="s">
        <v>912</v>
      </c>
      <c r="G1676" s="4" t="s">
        <v>1</v>
      </c>
      <c r="H1676" s="25">
        <v>11.405779900000001</v>
      </c>
      <c r="I1676" s="8">
        <v>2274</v>
      </c>
      <c r="J1676" s="9">
        <v>486</v>
      </c>
      <c r="K1676" s="7">
        <v>-1788</v>
      </c>
      <c r="L1676" s="24">
        <f>+Tabla2[[#This Row],[Stock Inventario]]*Tabla2[[#This Row],[Coste LÃ­nea]]</f>
        <v>5543.2090314000006</v>
      </c>
      <c r="M1676" s="24">
        <f>+Tabla2[[#This Row],[Variación Stock]]*Tabla2[[#This Row],[Coste LÃ­nea]]</f>
        <v>-20393.534461200001</v>
      </c>
      <c r="N1676" s="22" t="str">
        <f>+IF(Tabla2[[#This Row],[Variación Stock]]&gt;0,"Sobrante",IF(Tabla2[[#This Row],[Variación Stock]]&lt;0,"Faltante","Sin novedad"))</f>
        <v>Faltante</v>
      </c>
    </row>
    <row r="1677" spans="1:14" hidden="1" x14ac:dyDescent="0.25">
      <c r="A1677" s="11">
        <v>46053</v>
      </c>
      <c r="B1677" s="5" t="s">
        <v>836</v>
      </c>
      <c r="C1677" s="3" t="s">
        <v>128</v>
      </c>
      <c r="D1677" s="5" t="s">
        <v>120</v>
      </c>
      <c r="E1677" s="5" t="s">
        <v>117</v>
      </c>
      <c r="F1677" s="6" t="s">
        <v>206</v>
      </c>
      <c r="G1677" s="4" t="s">
        <v>2</v>
      </c>
      <c r="H1677" s="25">
        <v>503.05471340999998</v>
      </c>
      <c r="I1677" s="8">
        <v>1568</v>
      </c>
      <c r="J1677" s="9">
        <v>110</v>
      </c>
      <c r="K1677" s="7">
        <v>-1458</v>
      </c>
      <c r="L1677" s="24">
        <f>+Tabla2[[#This Row],[Stock Inventario]]*Tabla2[[#This Row],[Coste LÃ­nea]]</f>
        <v>55336.018475099998</v>
      </c>
      <c r="M1677" s="24">
        <f>+Tabla2[[#This Row],[Variación Stock]]*Tabla2[[#This Row],[Coste LÃ­nea]]</f>
        <v>-733453.77215177997</v>
      </c>
      <c r="N1677" s="22" t="str">
        <f>+IF(Tabla2[[#This Row],[Variación Stock]]&gt;0,"Sobrante",IF(Tabla2[[#This Row],[Variación Stock]]&lt;0,"Faltante","Sin novedad"))</f>
        <v>Faltante</v>
      </c>
    </row>
    <row r="1678" spans="1:14" hidden="1" x14ac:dyDescent="0.25">
      <c r="A1678" s="11">
        <v>46053</v>
      </c>
      <c r="B1678" s="5" t="s">
        <v>836</v>
      </c>
      <c r="C1678" s="3" t="s">
        <v>128</v>
      </c>
      <c r="D1678" s="5" t="s">
        <v>120</v>
      </c>
      <c r="E1678" s="5" t="s">
        <v>117</v>
      </c>
      <c r="F1678" s="6" t="s">
        <v>913</v>
      </c>
      <c r="G1678" s="4" t="s">
        <v>1</v>
      </c>
      <c r="H1678" s="25">
        <v>42.265071390000003</v>
      </c>
      <c r="I1678" s="8">
        <v>-322</v>
      </c>
      <c r="J1678" s="9">
        <v>440</v>
      </c>
      <c r="K1678" s="7">
        <v>762</v>
      </c>
      <c r="L1678" s="24">
        <f>+Tabla2[[#This Row],[Stock Inventario]]*Tabla2[[#This Row],[Coste LÃ­nea]]</f>
        <v>18596.631411599999</v>
      </c>
      <c r="M1678" s="24">
        <f>+Tabla2[[#This Row],[Variación Stock]]*Tabla2[[#This Row],[Coste LÃ­nea]]</f>
        <v>32205.984399180001</v>
      </c>
      <c r="N1678" s="22" t="str">
        <f>+IF(Tabla2[[#This Row],[Variación Stock]]&gt;0,"Sobrante",IF(Tabla2[[#This Row],[Variación Stock]]&lt;0,"Faltante","Sin novedad"))</f>
        <v>Sobrante</v>
      </c>
    </row>
    <row r="1679" spans="1:14" x14ac:dyDescent="0.25">
      <c r="A1679" s="11">
        <v>46053</v>
      </c>
      <c r="B1679" s="5" t="s">
        <v>836</v>
      </c>
      <c r="C1679" s="3" t="s">
        <v>128</v>
      </c>
      <c r="D1679" s="5" t="s">
        <v>121</v>
      </c>
      <c r="E1679" s="5" t="s">
        <v>112</v>
      </c>
      <c r="F1679" s="6" t="s">
        <v>947</v>
      </c>
      <c r="G1679" s="4" t="s">
        <v>1</v>
      </c>
      <c r="H1679" s="25">
        <v>92.727541669999994</v>
      </c>
      <c r="I1679" s="8">
        <v>0</v>
      </c>
      <c r="J1679" s="9">
        <v>0</v>
      </c>
      <c r="K1679" s="7">
        <v>0</v>
      </c>
      <c r="L1679" s="24">
        <f>+Tabla2[[#This Row],[Stock Inventario]]*Tabla2[[#This Row],[Coste LÃ­nea]]</f>
        <v>0</v>
      </c>
      <c r="M1679" s="24">
        <f>+Tabla2[[#This Row],[Variación Stock]]*Tabla2[[#This Row],[Coste LÃ­nea]]</f>
        <v>0</v>
      </c>
      <c r="N1679" s="22" t="str">
        <f>+IF(Tabla2[[#This Row],[Variación Stock]]&gt;0,"Sobrante",IF(Tabla2[[#This Row],[Variación Stock]]&lt;0,"Faltante","Sin novedad"))</f>
        <v>Sin novedad</v>
      </c>
    </row>
    <row r="1680" spans="1:14" hidden="1" x14ac:dyDescent="0.25">
      <c r="A1680" s="11">
        <v>46053</v>
      </c>
      <c r="B1680" s="5" t="s">
        <v>836</v>
      </c>
      <c r="C1680" s="3" t="s">
        <v>128</v>
      </c>
      <c r="D1680" s="5" t="s">
        <v>120</v>
      </c>
      <c r="E1680" s="5" t="s">
        <v>117</v>
      </c>
      <c r="F1680" s="6" t="s">
        <v>701</v>
      </c>
      <c r="G1680" s="4" t="s">
        <v>1</v>
      </c>
      <c r="H1680" s="25">
        <v>29.748318009999998</v>
      </c>
      <c r="I1680" s="8">
        <v>452</v>
      </c>
      <c r="J1680" s="9">
        <v>720</v>
      </c>
      <c r="K1680" s="7">
        <v>268</v>
      </c>
      <c r="L1680" s="24">
        <f>+Tabla2[[#This Row],[Stock Inventario]]*Tabla2[[#This Row],[Coste LÃ­nea]]</f>
        <v>21418.788967199998</v>
      </c>
      <c r="M1680" s="24">
        <f>+Tabla2[[#This Row],[Variación Stock]]*Tabla2[[#This Row],[Coste LÃ­nea]]</f>
        <v>7972.5492266799993</v>
      </c>
      <c r="N1680" s="22" t="str">
        <f>+IF(Tabla2[[#This Row],[Variación Stock]]&gt;0,"Sobrante",IF(Tabla2[[#This Row],[Variación Stock]]&lt;0,"Faltante","Sin novedad"))</f>
        <v>Sobrante</v>
      </c>
    </row>
    <row r="1681" spans="1:14" hidden="1" x14ac:dyDescent="0.25">
      <c r="A1681" s="11">
        <v>46053</v>
      </c>
      <c r="B1681" s="5" t="s">
        <v>836</v>
      </c>
      <c r="C1681" s="3" t="s">
        <v>128</v>
      </c>
      <c r="D1681" s="5" t="s">
        <v>120</v>
      </c>
      <c r="E1681" s="5" t="s">
        <v>117</v>
      </c>
      <c r="F1681" s="6" t="s">
        <v>702</v>
      </c>
      <c r="G1681" s="4" t="s">
        <v>2</v>
      </c>
      <c r="H1681" s="25">
        <v>1110.3635238100001</v>
      </c>
      <c r="I1681" s="8">
        <v>10</v>
      </c>
      <c r="J1681" s="9">
        <v>17</v>
      </c>
      <c r="K1681" s="7">
        <v>7</v>
      </c>
      <c r="L1681" s="24">
        <f>+Tabla2[[#This Row],[Stock Inventario]]*Tabla2[[#This Row],[Coste LÃ­nea]]</f>
        <v>18876.179904770001</v>
      </c>
      <c r="M1681" s="24">
        <f>+Tabla2[[#This Row],[Variación Stock]]*Tabla2[[#This Row],[Coste LÃ­nea]]</f>
        <v>7772.5446666700009</v>
      </c>
      <c r="N1681" s="22" t="str">
        <f>+IF(Tabla2[[#This Row],[Variación Stock]]&gt;0,"Sobrante",IF(Tabla2[[#This Row],[Variación Stock]]&lt;0,"Faltante","Sin novedad"))</f>
        <v>Sobrante</v>
      </c>
    </row>
    <row r="1682" spans="1:14" hidden="1" x14ac:dyDescent="0.25">
      <c r="A1682" s="11">
        <v>46053</v>
      </c>
      <c r="B1682" s="5" t="s">
        <v>836</v>
      </c>
      <c r="C1682" s="3" t="s">
        <v>128</v>
      </c>
      <c r="D1682" s="5" t="s">
        <v>120</v>
      </c>
      <c r="E1682" s="5" t="s">
        <v>117</v>
      </c>
      <c r="F1682" s="6" t="s">
        <v>703</v>
      </c>
      <c r="G1682" s="4" t="s">
        <v>1</v>
      </c>
      <c r="H1682" s="25">
        <v>1.8969430899999999</v>
      </c>
      <c r="I1682" s="8">
        <v>-2254</v>
      </c>
      <c r="J1682" s="9">
        <v>1444</v>
      </c>
      <c r="K1682" s="7">
        <v>3698</v>
      </c>
      <c r="L1682" s="24">
        <f>+Tabla2[[#This Row],[Stock Inventario]]*Tabla2[[#This Row],[Coste LÃ­nea]]</f>
        <v>2739.1858219599999</v>
      </c>
      <c r="M1682" s="24">
        <f>+Tabla2[[#This Row],[Variación Stock]]*Tabla2[[#This Row],[Coste LÃ­nea]]</f>
        <v>7014.8955468200002</v>
      </c>
      <c r="N1682" s="22" t="str">
        <f>+IF(Tabla2[[#This Row],[Variación Stock]]&gt;0,"Sobrante",IF(Tabla2[[#This Row],[Variación Stock]]&lt;0,"Faltante","Sin novedad"))</f>
        <v>Sobrante</v>
      </c>
    </row>
    <row r="1683" spans="1:14" hidden="1" x14ac:dyDescent="0.25">
      <c r="A1683" s="11">
        <v>46053</v>
      </c>
      <c r="B1683" s="5" t="s">
        <v>836</v>
      </c>
      <c r="C1683" s="3" t="s">
        <v>128</v>
      </c>
      <c r="D1683" s="5" t="s">
        <v>120</v>
      </c>
      <c r="E1683" s="5" t="s">
        <v>117</v>
      </c>
      <c r="F1683" s="6" t="s">
        <v>705</v>
      </c>
      <c r="G1683" s="4" t="s">
        <v>1</v>
      </c>
      <c r="H1683" s="25">
        <v>1.88845906</v>
      </c>
      <c r="I1683" s="8">
        <v>43036</v>
      </c>
      <c r="J1683" s="9">
        <v>10778</v>
      </c>
      <c r="K1683" s="7">
        <v>-32258</v>
      </c>
      <c r="L1683" s="24">
        <f>+Tabla2[[#This Row],[Stock Inventario]]*Tabla2[[#This Row],[Coste LÃ­nea]]</f>
        <v>20353.81174868</v>
      </c>
      <c r="M1683" s="24">
        <f>+Tabla2[[#This Row],[Variación Stock]]*Tabla2[[#This Row],[Coste LÃ­nea]]</f>
        <v>-60917.912357479996</v>
      </c>
      <c r="N1683" s="22" t="str">
        <f>+IF(Tabla2[[#This Row],[Variación Stock]]&gt;0,"Sobrante",IF(Tabla2[[#This Row],[Variación Stock]]&lt;0,"Faltante","Sin novedad"))</f>
        <v>Faltante</v>
      </c>
    </row>
    <row r="1684" spans="1:14" x14ac:dyDescent="0.25">
      <c r="A1684" s="11">
        <v>46053</v>
      </c>
      <c r="B1684" s="5" t="s">
        <v>836</v>
      </c>
      <c r="C1684" s="3" t="s">
        <v>128</v>
      </c>
      <c r="D1684" s="5" t="s">
        <v>121</v>
      </c>
      <c r="E1684" s="5" t="s">
        <v>112</v>
      </c>
      <c r="F1684" s="6" t="s">
        <v>948</v>
      </c>
      <c r="G1684" s="4" t="s">
        <v>1</v>
      </c>
      <c r="H1684" s="25">
        <v>11.18390569</v>
      </c>
      <c r="I1684" s="8">
        <v>-630</v>
      </c>
      <c r="J1684" s="9">
        <v>0</v>
      </c>
      <c r="K1684" s="7">
        <v>630</v>
      </c>
      <c r="L1684" s="24">
        <f>+Tabla2[[#This Row],[Stock Inventario]]*Tabla2[[#This Row],[Coste LÃ­nea]]</f>
        <v>0</v>
      </c>
      <c r="M1684" s="24">
        <f>+Tabla2[[#This Row],[Variación Stock]]*Tabla2[[#This Row],[Coste LÃ­nea]]</f>
        <v>7045.8605846999999</v>
      </c>
      <c r="N1684" s="22" t="str">
        <f>+IF(Tabla2[[#This Row],[Variación Stock]]&gt;0,"Sobrante",IF(Tabla2[[#This Row],[Variación Stock]]&lt;0,"Faltante","Sin novedad"))</f>
        <v>Sobrante</v>
      </c>
    </row>
    <row r="1685" spans="1:14" hidden="1" x14ac:dyDescent="0.25">
      <c r="A1685" s="11">
        <v>46053</v>
      </c>
      <c r="B1685" s="5" t="s">
        <v>836</v>
      </c>
      <c r="C1685" s="3" t="s">
        <v>128</v>
      </c>
      <c r="D1685" s="5" t="s">
        <v>120</v>
      </c>
      <c r="E1685" s="5" t="s">
        <v>117</v>
      </c>
      <c r="F1685" s="6" t="s">
        <v>343</v>
      </c>
      <c r="G1685" s="4" t="s">
        <v>1</v>
      </c>
      <c r="H1685" s="25">
        <v>195</v>
      </c>
      <c r="I1685" s="8">
        <v>-3</v>
      </c>
      <c r="J1685" s="9">
        <v>0</v>
      </c>
      <c r="K1685" s="7">
        <v>3</v>
      </c>
      <c r="L1685" s="24">
        <f>+Tabla2[[#This Row],[Stock Inventario]]*Tabla2[[#This Row],[Coste LÃ­nea]]</f>
        <v>0</v>
      </c>
      <c r="M1685" s="24">
        <f>+Tabla2[[#This Row],[Variación Stock]]*Tabla2[[#This Row],[Coste LÃ­nea]]</f>
        <v>585</v>
      </c>
      <c r="N1685" s="22" t="str">
        <f>+IF(Tabla2[[#This Row],[Variación Stock]]&gt;0,"Sobrante",IF(Tabla2[[#This Row],[Variación Stock]]&lt;0,"Faltante","Sin novedad"))</f>
        <v>Sobrante</v>
      </c>
    </row>
    <row r="1686" spans="1:14" hidden="1" x14ac:dyDescent="0.25">
      <c r="A1686" s="11">
        <v>46053</v>
      </c>
      <c r="B1686" s="5" t="s">
        <v>836</v>
      </c>
      <c r="C1686" s="3" t="s">
        <v>128</v>
      </c>
      <c r="D1686" s="5" t="s">
        <v>120</v>
      </c>
      <c r="E1686" s="5" t="s">
        <v>117</v>
      </c>
      <c r="F1686" s="6" t="s">
        <v>914</v>
      </c>
      <c r="G1686" s="4" t="s">
        <v>1</v>
      </c>
      <c r="H1686" s="25">
        <v>4.9411069599999999</v>
      </c>
      <c r="I1686" s="8">
        <v>-820</v>
      </c>
      <c r="J1686" s="9">
        <v>0</v>
      </c>
      <c r="K1686" s="7">
        <v>820</v>
      </c>
      <c r="L1686" s="24">
        <f>+Tabla2[[#This Row],[Stock Inventario]]*Tabla2[[#This Row],[Coste LÃ­nea]]</f>
        <v>0</v>
      </c>
      <c r="M1686" s="24">
        <f>+Tabla2[[#This Row],[Variación Stock]]*Tabla2[[#This Row],[Coste LÃ­nea]]</f>
        <v>4051.7077071999997</v>
      </c>
      <c r="N1686" s="22" t="str">
        <f>+IF(Tabla2[[#This Row],[Variación Stock]]&gt;0,"Sobrante",IF(Tabla2[[#This Row],[Variación Stock]]&lt;0,"Faltante","Sin novedad"))</f>
        <v>Sobrante</v>
      </c>
    </row>
    <row r="1687" spans="1:14" hidden="1" x14ac:dyDescent="0.25">
      <c r="A1687" s="11">
        <v>46053</v>
      </c>
      <c r="B1687" s="5" t="s">
        <v>836</v>
      </c>
      <c r="C1687" s="3" t="s">
        <v>128</v>
      </c>
      <c r="D1687" s="5" t="s">
        <v>120</v>
      </c>
      <c r="E1687" s="5" t="s">
        <v>117</v>
      </c>
      <c r="F1687" s="6" t="s">
        <v>915</v>
      </c>
      <c r="G1687" s="4" t="s">
        <v>1</v>
      </c>
      <c r="H1687" s="25">
        <v>8.7234115800000005</v>
      </c>
      <c r="I1687" s="8">
        <v>-3069</v>
      </c>
      <c r="J1687" s="9">
        <v>5004</v>
      </c>
      <c r="K1687" s="7">
        <v>8073</v>
      </c>
      <c r="L1687" s="24">
        <f>+Tabla2[[#This Row],[Stock Inventario]]*Tabla2[[#This Row],[Coste LÃ­nea]]</f>
        <v>43651.95154632</v>
      </c>
      <c r="M1687" s="24">
        <f>+Tabla2[[#This Row],[Variación Stock]]*Tabla2[[#This Row],[Coste LÃ­nea]]</f>
        <v>70424.101685340007</v>
      </c>
      <c r="N1687" s="22" t="str">
        <f>+IF(Tabla2[[#This Row],[Variación Stock]]&gt;0,"Sobrante",IF(Tabla2[[#This Row],[Variación Stock]]&lt;0,"Faltante","Sin novedad"))</f>
        <v>Sobrante</v>
      </c>
    </row>
    <row r="1688" spans="1:14" hidden="1" x14ac:dyDescent="0.25">
      <c r="A1688" s="11">
        <v>46053</v>
      </c>
      <c r="B1688" s="5" t="s">
        <v>836</v>
      </c>
      <c r="C1688" s="3" t="s">
        <v>128</v>
      </c>
      <c r="D1688" s="5" t="s">
        <v>120</v>
      </c>
      <c r="E1688" s="5" t="s">
        <v>117</v>
      </c>
      <c r="F1688" s="6" t="s">
        <v>766</v>
      </c>
      <c r="G1688" s="4" t="s">
        <v>2</v>
      </c>
      <c r="H1688" s="25">
        <v>58.468808330000002</v>
      </c>
      <c r="I1688" s="8">
        <v>-8</v>
      </c>
      <c r="J1688" s="9">
        <v>0</v>
      </c>
      <c r="K1688" s="7">
        <v>8</v>
      </c>
      <c r="L1688" s="24">
        <f>+Tabla2[[#This Row],[Stock Inventario]]*Tabla2[[#This Row],[Coste LÃ­nea]]</f>
        <v>0</v>
      </c>
      <c r="M1688" s="24">
        <f>+Tabla2[[#This Row],[Variación Stock]]*Tabla2[[#This Row],[Coste LÃ­nea]]</f>
        <v>467.75046664000001</v>
      </c>
      <c r="N1688" s="22" t="str">
        <f>+IF(Tabla2[[#This Row],[Variación Stock]]&gt;0,"Sobrante",IF(Tabla2[[#This Row],[Variación Stock]]&lt;0,"Faltante","Sin novedad"))</f>
        <v>Sobrante</v>
      </c>
    </row>
    <row r="1689" spans="1:14" hidden="1" x14ac:dyDescent="0.25">
      <c r="A1689" s="11">
        <v>46053</v>
      </c>
      <c r="B1689" s="5" t="s">
        <v>836</v>
      </c>
      <c r="C1689" s="3" t="s">
        <v>128</v>
      </c>
      <c r="D1689" s="5" t="s">
        <v>120</v>
      </c>
      <c r="E1689" s="5" t="s">
        <v>117</v>
      </c>
      <c r="F1689" s="6" t="s">
        <v>707</v>
      </c>
      <c r="G1689" s="4" t="s">
        <v>1</v>
      </c>
      <c r="H1689" s="25">
        <v>12.07174532</v>
      </c>
      <c r="I1689" s="8">
        <v>2858.5</v>
      </c>
      <c r="J1689" s="9">
        <v>332</v>
      </c>
      <c r="K1689" s="7">
        <v>-2526.5</v>
      </c>
      <c r="L1689" s="24">
        <f>+Tabla2[[#This Row],[Stock Inventario]]*Tabla2[[#This Row],[Coste LÃ­nea]]</f>
        <v>4007.8194462399997</v>
      </c>
      <c r="M1689" s="24">
        <f>+Tabla2[[#This Row],[Variación Stock]]*Tabla2[[#This Row],[Coste LÃ­nea]]</f>
        <v>-30499.264550979999</v>
      </c>
      <c r="N1689" s="22" t="str">
        <f>+IF(Tabla2[[#This Row],[Variación Stock]]&gt;0,"Sobrante",IF(Tabla2[[#This Row],[Variación Stock]]&lt;0,"Faltante","Sin novedad"))</f>
        <v>Faltante</v>
      </c>
    </row>
    <row r="1690" spans="1:14" hidden="1" x14ac:dyDescent="0.25">
      <c r="A1690" s="11">
        <v>46053</v>
      </c>
      <c r="B1690" s="5" t="s">
        <v>836</v>
      </c>
      <c r="C1690" s="3" t="s">
        <v>128</v>
      </c>
      <c r="D1690" s="5" t="s">
        <v>120</v>
      </c>
      <c r="E1690" s="5" t="s">
        <v>117</v>
      </c>
      <c r="F1690" s="6" t="s">
        <v>916</v>
      </c>
      <c r="G1690" s="4" t="s">
        <v>1</v>
      </c>
      <c r="H1690" s="25">
        <v>9.5586036700000001</v>
      </c>
      <c r="I1690" s="8">
        <v>15830</v>
      </c>
      <c r="J1690" s="9">
        <v>2374</v>
      </c>
      <c r="K1690" s="7">
        <v>-13456</v>
      </c>
      <c r="L1690" s="24">
        <f>+Tabla2[[#This Row],[Stock Inventario]]*Tabla2[[#This Row],[Coste LÃ­nea]]</f>
        <v>22692.125112580001</v>
      </c>
      <c r="M1690" s="24">
        <f>+Tabla2[[#This Row],[Variación Stock]]*Tabla2[[#This Row],[Coste LÃ­nea]]</f>
        <v>-128620.57098352</v>
      </c>
      <c r="N1690" s="22" t="str">
        <f>+IF(Tabla2[[#This Row],[Variación Stock]]&gt;0,"Sobrante",IF(Tabla2[[#This Row],[Variación Stock]]&lt;0,"Faltante","Sin novedad"))</f>
        <v>Faltante</v>
      </c>
    </row>
    <row r="1691" spans="1:14" hidden="1" x14ac:dyDescent="0.25">
      <c r="A1691" s="11">
        <v>46053</v>
      </c>
      <c r="B1691" s="5" t="s">
        <v>836</v>
      </c>
      <c r="C1691" s="3" t="s">
        <v>128</v>
      </c>
      <c r="D1691" s="5" t="s">
        <v>120</v>
      </c>
      <c r="E1691" s="5" t="s">
        <v>117</v>
      </c>
      <c r="F1691" s="6" t="s">
        <v>709</v>
      </c>
      <c r="G1691" s="4" t="s">
        <v>2</v>
      </c>
      <c r="H1691" s="25">
        <v>53.101138890000001</v>
      </c>
      <c r="I1691" s="8">
        <v>128</v>
      </c>
      <c r="J1691" s="9">
        <v>100</v>
      </c>
      <c r="K1691" s="7">
        <v>-28</v>
      </c>
      <c r="L1691" s="24">
        <f>+Tabla2[[#This Row],[Stock Inventario]]*Tabla2[[#This Row],[Coste LÃ­nea]]</f>
        <v>5310.1138890000002</v>
      </c>
      <c r="M1691" s="24">
        <f>+Tabla2[[#This Row],[Variación Stock]]*Tabla2[[#This Row],[Coste LÃ­nea]]</f>
        <v>-1486.83188892</v>
      </c>
      <c r="N1691" s="22" t="str">
        <f>+IF(Tabla2[[#This Row],[Variación Stock]]&gt;0,"Sobrante",IF(Tabla2[[#This Row],[Variación Stock]]&lt;0,"Faltante","Sin novedad"))</f>
        <v>Faltante</v>
      </c>
    </row>
    <row r="1692" spans="1:14" hidden="1" x14ac:dyDescent="0.25">
      <c r="A1692" s="11">
        <v>46053</v>
      </c>
      <c r="B1692" s="5" t="s">
        <v>836</v>
      </c>
      <c r="C1692" s="3" t="s">
        <v>128</v>
      </c>
      <c r="D1692" s="5" t="s">
        <v>120</v>
      </c>
      <c r="E1692" s="5" t="s">
        <v>117</v>
      </c>
      <c r="F1692" s="6" t="s">
        <v>710</v>
      </c>
      <c r="G1692" s="4" t="s">
        <v>1</v>
      </c>
      <c r="H1692" s="25">
        <v>13.324731440000001</v>
      </c>
      <c r="I1692" s="8">
        <v>0</v>
      </c>
      <c r="J1692" s="9">
        <v>0</v>
      </c>
      <c r="K1692" s="7">
        <v>0</v>
      </c>
      <c r="L1692" s="24">
        <f>+Tabla2[[#This Row],[Stock Inventario]]*Tabla2[[#This Row],[Coste LÃ­nea]]</f>
        <v>0</v>
      </c>
      <c r="M1692" s="24">
        <f>+Tabla2[[#This Row],[Variación Stock]]*Tabla2[[#This Row],[Coste LÃ­nea]]</f>
        <v>0</v>
      </c>
      <c r="N1692" s="22" t="str">
        <f>+IF(Tabla2[[#This Row],[Variación Stock]]&gt;0,"Sobrante",IF(Tabla2[[#This Row],[Variación Stock]]&lt;0,"Faltante","Sin novedad"))</f>
        <v>Sin novedad</v>
      </c>
    </row>
    <row r="1693" spans="1:14" hidden="1" x14ac:dyDescent="0.25">
      <c r="A1693" s="11">
        <v>46053</v>
      </c>
      <c r="B1693" s="5" t="s">
        <v>836</v>
      </c>
      <c r="C1693" s="3" t="s">
        <v>128</v>
      </c>
      <c r="D1693" s="5" t="s">
        <v>120</v>
      </c>
      <c r="E1693" s="5" t="s">
        <v>117</v>
      </c>
      <c r="F1693" s="6" t="s">
        <v>711</v>
      </c>
      <c r="G1693" s="4" t="s">
        <v>1</v>
      </c>
      <c r="H1693" s="25">
        <v>18.956521739999999</v>
      </c>
      <c r="I1693" s="8">
        <v>-7325</v>
      </c>
      <c r="J1693" s="9">
        <v>0</v>
      </c>
      <c r="K1693" s="7">
        <v>7325</v>
      </c>
      <c r="L1693" s="24">
        <f>+Tabla2[[#This Row],[Stock Inventario]]*Tabla2[[#This Row],[Coste LÃ­nea]]</f>
        <v>0</v>
      </c>
      <c r="M1693" s="24">
        <f>+Tabla2[[#This Row],[Variación Stock]]*Tabla2[[#This Row],[Coste LÃ­nea]]</f>
        <v>138856.52174550001</v>
      </c>
      <c r="N1693" s="22" t="str">
        <f>+IF(Tabla2[[#This Row],[Variación Stock]]&gt;0,"Sobrante",IF(Tabla2[[#This Row],[Variación Stock]]&lt;0,"Faltante","Sin novedad"))</f>
        <v>Sobrante</v>
      </c>
    </row>
    <row r="1694" spans="1:14" hidden="1" x14ac:dyDescent="0.25">
      <c r="A1694" s="11">
        <v>46053</v>
      </c>
      <c r="B1694" s="5" t="s">
        <v>836</v>
      </c>
      <c r="C1694" s="3" t="s">
        <v>128</v>
      </c>
      <c r="D1694" s="5" t="s">
        <v>120</v>
      </c>
      <c r="E1694" s="5" t="s">
        <v>117</v>
      </c>
      <c r="F1694" s="6" t="s">
        <v>917</v>
      </c>
      <c r="G1694" s="4" t="s">
        <v>1</v>
      </c>
      <c r="H1694" s="25">
        <v>2.9285714500000002</v>
      </c>
      <c r="I1694" s="8">
        <v>-5797</v>
      </c>
      <c r="J1694" s="9">
        <v>1500</v>
      </c>
      <c r="K1694" s="7">
        <v>7297</v>
      </c>
      <c r="L1694" s="24">
        <f>+Tabla2[[#This Row],[Stock Inventario]]*Tabla2[[#This Row],[Coste LÃ­nea]]</f>
        <v>4392.8571750000001</v>
      </c>
      <c r="M1694" s="24">
        <f>+Tabla2[[#This Row],[Variación Stock]]*Tabla2[[#This Row],[Coste LÃ­nea]]</f>
        <v>21369.785870650001</v>
      </c>
      <c r="N1694" s="22" t="str">
        <f>+IF(Tabla2[[#This Row],[Variación Stock]]&gt;0,"Sobrante",IF(Tabla2[[#This Row],[Variación Stock]]&lt;0,"Faltante","Sin novedad"))</f>
        <v>Sobrante</v>
      </c>
    </row>
    <row r="1695" spans="1:14" x14ac:dyDescent="0.25">
      <c r="A1695" s="11">
        <v>46053</v>
      </c>
      <c r="B1695" s="5" t="s">
        <v>836</v>
      </c>
      <c r="C1695" s="3" t="s">
        <v>128</v>
      </c>
      <c r="D1695" s="5" t="s">
        <v>121</v>
      </c>
      <c r="E1695" s="5" t="s">
        <v>112</v>
      </c>
      <c r="F1695" s="6" t="s">
        <v>356</v>
      </c>
      <c r="G1695" s="4" t="s">
        <v>1</v>
      </c>
      <c r="H1695" s="25">
        <v>10.8</v>
      </c>
      <c r="I1695" s="8">
        <v>-432</v>
      </c>
      <c r="J1695" s="9">
        <v>350</v>
      </c>
      <c r="K1695" s="7">
        <v>782</v>
      </c>
      <c r="L1695" s="24">
        <f>+Tabla2[[#This Row],[Stock Inventario]]*Tabla2[[#This Row],[Coste LÃ­nea]]</f>
        <v>3780.0000000000005</v>
      </c>
      <c r="M1695" s="24">
        <f>+Tabla2[[#This Row],[Variación Stock]]*Tabla2[[#This Row],[Coste LÃ­nea]]</f>
        <v>8445.6</v>
      </c>
      <c r="N1695" s="22" t="str">
        <f>+IF(Tabla2[[#This Row],[Variación Stock]]&gt;0,"Sobrante",IF(Tabla2[[#This Row],[Variación Stock]]&lt;0,"Faltante","Sin novedad"))</f>
        <v>Sobrante</v>
      </c>
    </row>
    <row r="1696" spans="1:14" x14ac:dyDescent="0.25">
      <c r="A1696" s="11">
        <v>46053</v>
      </c>
      <c r="B1696" s="5" t="s">
        <v>836</v>
      </c>
      <c r="C1696" s="3" t="s">
        <v>128</v>
      </c>
      <c r="D1696" s="5" t="s">
        <v>121</v>
      </c>
      <c r="E1696" s="5" t="s">
        <v>112</v>
      </c>
      <c r="F1696" s="6" t="s">
        <v>949</v>
      </c>
      <c r="G1696" s="4" t="s">
        <v>1</v>
      </c>
      <c r="H1696" s="25">
        <v>150</v>
      </c>
      <c r="I1696" s="8">
        <v>-111</v>
      </c>
      <c r="J1696" s="9">
        <v>130</v>
      </c>
      <c r="K1696" s="7">
        <v>241</v>
      </c>
      <c r="L1696" s="24">
        <f>+Tabla2[[#This Row],[Stock Inventario]]*Tabla2[[#This Row],[Coste LÃ­nea]]</f>
        <v>19500</v>
      </c>
      <c r="M1696" s="24">
        <f>+Tabla2[[#This Row],[Variación Stock]]*Tabla2[[#This Row],[Coste LÃ­nea]]</f>
        <v>36150</v>
      </c>
      <c r="N1696" s="22" t="str">
        <f>+IF(Tabla2[[#This Row],[Variación Stock]]&gt;0,"Sobrante",IF(Tabla2[[#This Row],[Variación Stock]]&lt;0,"Faltante","Sin novedad"))</f>
        <v>Sobrante</v>
      </c>
    </row>
    <row r="1697" spans="1:14" x14ac:dyDescent="0.25">
      <c r="A1697" s="11">
        <v>46053</v>
      </c>
      <c r="B1697" s="5" t="s">
        <v>836</v>
      </c>
      <c r="C1697" s="3" t="s">
        <v>128</v>
      </c>
      <c r="D1697" s="5" t="s">
        <v>121</v>
      </c>
      <c r="E1697" s="5" t="s">
        <v>112</v>
      </c>
      <c r="F1697" s="6" t="s">
        <v>950</v>
      </c>
      <c r="G1697" s="4" t="s">
        <v>1</v>
      </c>
      <c r="H1697" s="25">
        <v>150</v>
      </c>
      <c r="I1697" s="8">
        <v>-348</v>
      </c>
      <c r="J1697" s="9">
        <v>0</v>
      </c>
      <c r="K1697" s="7">
        <v>348</v>
      </c>
      <c r="L1697" s="24">
        <f>+Tabla2[[#This Row],[Stock Inventario]]*Tabla2[[#This Row],[Coste LÃ­nea]]</f>
        <v>0</v>
      </c>
      <c r="M1697" s="24">
        <f>+Tabla2[[#This Row],[Variación Stock]]*Tabla2[[#This Row],[Coste LÃ­nea]]</f>
        <v>52200</v>
      </c>
      <c r="N1697" s="22" t="str">
        <f>+IF(Tabla2[[#This Row],[Variación Stock]]&gt;0,"Sobrante",IF(Tabla2[[#This Row],[Variación Stock]]&lt;0,"Faltante","Sin novedad"))</f>
        <v>Sobrante</v>
      </c>
    </row>
    <row r="1698" spans="1:14" hidden="1" x14ac:dyDescent="0.25">
      <c r="A1698" s="11">
        <v>46053</v>
      </c>
      <c r="B1698" s="5" t="s">
        <v>836</v>
      </c>
      <c r="C1698" s="3" t="s">
        <v>128</v>
      </c>
      <c r="D1698" s="5" t="s">
        <v>120</v>
      </c>
      <c r="E1698" s="5" t="s">
        <v>117</v>
      </c>
      <c r="F1698" s="6" t="s">
        <v>918</v>
      </c>
      <c r="G1698" s="4" t="s">
        <v>1</v>
      </c>
      <c r="H1698" s="25">
        <v>1.6105785699999999</v>
      </c>
      <c r="I1698" s="8">
        <v>-600</v>
      </c>
      <c r="J1698" s="9">
        <v>0</v>
      </c>
      <c r="K1698" s="7">
        <v>600</v>
      </c>
      <c r="L1698" s="24">
        <f>+Tabla2[[#This Row],[Stock Inventario]]*Tabla2[[#This Row],[Coste LÃ­nea]]</f>
        <v>0</v>
      </c>
      <c r="M1698" s="24">
        <f>+Tabla2[[#This Row],[Variación Stock]]*Tabla2[[#This Row],[Coste LÃ­nea]]</f>
        <v>966.34714199999996</v>
      </c>
      <c r="N1698" s="22" t="str">
        <f>+IF(Tabla2[[#This Row],[Variación Stock]]&gt;0,"Sobrante",IF(Tabla2[[#This Row],[Variación Stock]]&lt;0,"Faltante","Sin novedad"))</f>
        <v>Sobrante</v>
      </c>
    </row>
    <row r="1699" spans="1:14" hidden="1" x14ac:dyDescent="0.25">
      <c r="A1699" s="11">
        <v>46053</v>
      </c>
      <c r="B1699" s="5" t="s">
        <v>836</v>
      </c>
      <c r="C1699" s="3" t="s">
        <v>128</v>
      </c>
      <c r="D1699" s="5" t="s">
        <v>120</v>
      </c>
      <c r="E1699" s="5" t="s">
        <v>117</v>
      </c>
      <c r="F1699" s="6" t="s">
        <v>919</v>
      </c>
      <c r="G1699" s="4" t="s">
        <v>1</v>
      </c>
      <c r="H1699" s="25">
        <v>24.4714007</v>
      </c>
      <c r="I1699" s="8">
        <v>1322</v>
      </c>
      <c r="J1699" s="9">
        <v>1970</v>
      </c>
      <c r="K1699" s="7">
        <v>648</v>
      </c>
      <c r="L1699" s="24">
        <f>+Tabla2[[#This Row],[Stock Inventario]]*Tabla2[[#This Row],[Coste LÃ­nea]]</f>
        <v>48208.659378999997</v>
      </c>
      <c r="M1699" s="24">
        <f>+Tabla2[[#This Row],[Variación Stock]]*Tabla2[[#This Row],[Coste LÃ­nea]]</f>
        <v>15857.467653600001</v>
      </c>
      <c r="N1699" s="22" t="str">
        <f>+IF(Tabla2[[#This Row],[Variación Stock]]&gt;0,"Sobrante",IF(Tabla2[[#This Row],[Variación Stock]]&lt;0,"Faltante","Sin novedad"))</f>
        <v>Sobrante</v>
      </c>
    </row>
    <row r="1700" spans="1:14" hidden="1" x14ac:dyDescent="0.25">
      <c r="A1700" s="11">
        <v>46053</v>
      </c>
      <c r="B1700" s="5" t="s">
        <v>836</v>
      </c>
      <c r="C1700" s="3" t="s">
        <v>128</v>
      </c>
      <c r="D1700" s="5" t="s">
        <v>120</v>
      </c>
      <c r="E1700" s="5" t="s">
        <v>117</v>
      </c>
      <c r="F1700" s="6" t="s">
        <v>920</v>
      </c>
      <c r="G1700" s="4" t="s">
        <v>1</v>
      </c>
      <c r="H1700" s="25">
        <v>30.907941050000002</v>
      </c>
      <c r="I1700" s="8">
        <v>865</v>
      </c>
      <c r="J1700" s="9">
        <v>696</v>
      </c>
      <c r="K1700" s="7">
        <v>-169</v>
      </c>
      <c r="L1700" s="24">
        <f>+Tabla2[[#This Row],[Stock Inventario]]*Tabla2[[#This Row],[Coste LÃ­nea]]</f>
        <v>21511.926970800003</v>
      </c>
      <c r="M1700" s="24">
        <f>+Tabla2[[#This Row],[Variación Stock]]*Tabla2[[#This Row],[Coste LÃ­nea]]</f>
        <v>-5223.4420374500005</v>
      </c>
      <c r="N1700" s="22" t="str">
        <f>+IF(Tabla2[[#This Row],[Variación Stock]]&gt;0,"Sobrante",IF(Tabla2[[#This Row],[Variación Stock]]&lt;0,"Faltante","Sin novedad"))</f>
        <v>Faltante</v>
      </c>
    </row>
    <row r="1701" spans="1:14" hidden="1" x14ac:dyDescent="0.25">
      <c r="A1701" s="11">
        <v>46053</v>
      </c>
      <c r="B1701" s="5" t="s">
        <v>836</v>
      </c>
      <c r="C1701" s="3" t="s">
        <v>128</v>
      </c>
      <c r="D1701" s="5" t="s">
        <v>120</v>
      </c>
      <c r="E1701" s="5" t="s">
        <v>117</v>
      </c>
      <c r="F1701" s="6" t="s">
        <v>714</v>
      </c>
      <c r="G1701" s="4" t="s">
        <v>1</v>
      </c>
      <c r="H1701" s="25">
        <v>21.94962533</v>
      </c>
      <c r="I1701" s="8">
        <v>-1720</v>
      </c>
      <c r="J1701" s="9">
        <v>0</v>
      </c>
      <c r="K1701" s="7">
        <v>1720</v>
      </c>
      <c r="L1701" s="24">
        <f>+Tabla2[[#This Row],[Stock Inventario]]*Tabla2[[#This Row],[Coste LÃ­nea]]</f>
        <v>0</v>
      </c>
      <c r="M1701" s="24">
        <f>+Tabla2[[#This Row],[Variación Stock]]*Tabla2[[#This Row],[Coste LÃ­nea]]</f>
        <v>37753.355567600003</v>
      </c>
      <c r="N1701" s="22" t="str">
        <f>+IF(Tabla2[[#This Row],[Variación Stock]]&gt;0,"Sobrante",IF(Tabla2[[#This Row],[Variación Stock]]&lt;0,"Faltante","Sin novedad"))</f>
        <v>Sobrante</v>
      </c>
    </row>
    <row r="1702" spans="1:14" hidden="1" x14ac:dyDescent="0.25">
      <c r="A1702" s="11">
        <v>46053</v>
      </c>
      <c r="B1702" s="5" t="s">
        <v>836</v>
      </c>
      <c r="C1702" s="3" t="s">
        <v>128</v>
      </c>
      <c r="D1702" s="5" t="s">
        <v>120</v>
      </c>
      <c r="E1702" s="5" t="s">
        <v>117</v>
      </c>
      <c r="F1702" s="6" t="s">
        <v>921</v>
      </c>
      <c r="G1702" s="4" t="s">
        <v>1</v>
      </c>
      <c r="H1702" s="25">
        <v>30.530011980000001</v>
      </c>
      <c r="I1702" s="8">
        <v>453</v>
      </c>
      <c r="J1702" s="9">
        <v>1338</v>
      </c>
      <c r="K1702" s="7">
        <v>885</v>
      </c>
      <c r="L1702" s="24">
        <f>+Tabla2[[#This Row],[Stock Inventario]]*Tabla2[[#This Row],[Coste LÃ­nea]]</f>
        <v>40849.156029240003</v>
      </c>
      <c r="M1702" s="24">
        <f>+Tabla2[[#This Row],[Variación Stock]]*Tabla2[[#This Row],[Coste LÃ­nea]]</f>
        <v>27019.0606023</v>
      </c>
      <c r="N1702" s="22" t="str">
        <f>+IF(Tabla2[[#This Row],[Variación Stock]]&gt;0,"Sobrante",IF(Tabla2[[#This Row],[Variación Stock]]&lt;0,"Faltante","Sin novedad"))</f>
        <v>Sobrante</v>
      </c>
    </row>
    <row r="1703" spans="1:14" hidden="1" x14ac:dyDescent="0.25">
      <c r="A1703" s="11">
        <v>46053</v>
      </c>
      <c r="B1703" s="5" t="s">
        <v>836</v>
      </c>
      <c r="C1703" s="3" t="s">
        <v>128</v>
      </c>
      <c r="D1703" s="5" t="s">
        <v>120</v>
      </c>
      <c r="E1703" s="5" t="s">
        <v>117</v>
      </c>
      <c r="F1703" s="6" t="s">
        <v>716</v>
      </c>
      <c r="G1703" s="4" t="s">
        <v>1</v>
      </c>
      <c r="H1703" s="25">
        <v>18.185623840000002</v>
      </c>
      <c r="I1703" s="8">
        <v>-3279</v>
      </c>
      <c r="J1703" s="9">
        <v>730</v>
      </c>
      <c r="K1703" s="7">
        <v>4009</v>
      </c>
      <c r="L1703" s="24">
        <f>+Tabla2[[#This Row],[Stock Inventario]]*Tabla2[[#This Row],[Coste LÃ­nea]]</f>
        <v>13275.505403200001</v>
      </c>
      <c r="M1703" s="24">
        <f>+Tabla2[[#This Row],[Variación Stock]]*Tabla2[[#This Row],[Coste LÃ­nea]]</f>
        <v>72906.165974560005</v>
      </c>
      <c r="N1703" s="22" t="str">
        <f>+IF(Tabla2[[#This Row],[Variación Stock]]&gt;0,"Sobrante",IF(Tabla2[[#This Row],[Variación Stock]]&lt;0,"Faltante","Sin novedad"))</f>
        <v>Sobrante</v>
      </c>
    </row>
    <row r="1704" spans="1:14" hidden="1" x14ac:dyDescent="0.25">
      <c r="A1704" s="11">
        <v>46053</v>
      </c>
      <c r="B1704" s="5" t="s">
        <v>836</v>
      </c>
      <c r="C1704" s="3" t="s">
        <v>128</v>
      </c>
      <c r="D1704" s="5" t="s">
        <v>120</v>
      </c>
      <c r="E1704" s="5" t="s">
        <v>117</v>
      </c>
      <c r="F1704" s="6" t="s">
        <v>922</v>
      </c>
      <c r="G1704" s="4" t="s">
        <v>1</v>
      </c>
      <c r="H1704" s="25">
        <v>26.417124309999998</v>
      </c>
      <c r="I1704" s="8">
        <v>-621</v>
      </c>
      <c r="J1704" s="9">
        <v>220</v>
      </c>
      <c r="K1704" s="7">
        <v>841</v>
      </c>
      <c r="L1704" s="24">
        <f>+Tabla2[[#This Row],[Stock Inventario]]*Tabla2[[#This Row],[Coste LÃ­nea]]</f>
        <v>5811.7673482</v>
      </c>
      <c r="M1704" s="24">
        <f>+Tabla2[[#This Row],[Variación Stock]]*Tabla2[[#This Row],[Coste LÃ­nea]]</f>
        <v>22216.801544709997</v>
      </c>
      <c r="N1704" s="22" t="str">
        <f>+IF(Tabla2[[#This Row],[Variación Stock]]&gt;0,"Sobrante",IF(Tabla2[[#This Row],[Variación Stock]]&lt;0,"Faltante","Sin novedad"))</f>
        <v>Sobrante</v>
      </c>
    </row>
    <row r="1705" spans="1:14" hidden="1" x14ac:dyDescent="0.25">
      <c r="A1705" s="11">
        <v>46053</v>
      </c>
      <c r="B1705" s="5" t="s">
        <v>836</v>
      </c>
      <c r="C1705" s="3" t="s">
        <v>128</v>
      </c>
      <c r="D1705" s="5" t="s">
        <v>120</v>
      </c>
      <c r="E1705" s="5" t="s">
        <v>117</v>
      </c>
      <c r="F1705" s="6" t="s">
        <v>923</v>
      </c>
      <c r="G1705" s="4" t="s">
        <v>1</v>
      </c>
      <c r="H1705" s="25">
        <v>11.1715435</v>
      </c>
      <c r="I1705" s="8">
        <v>-1864</v>
      </c>
      <c r="J1705" s="9">
        <v>2094</v>
      </c>
      <c r="K1705" s="7">
        <v>3958</v>
      </c>
      <c r="L1705" s="24">
        <f>+Tabla2[[#This Row],[Stock Inventario]]*Tabla2[[#This Row],[Coste LÃ­nea]]</f>
        <v>23393.212089000001</v>
      </c>
      <c r="M1705" s="24">
        <f>+Tabla2[[#This Row],[Variación Stock]]*Tabla2[[#This Row],[Coste LÃ­nea]]</f>
        <v>44216.969172999998</v>
      </c>
      <c r="N1705" s="22" t="str">
        <f>+IF(Tabla2[[#This Row],[Variación Stock]]&gt;0,"Sobrante",IF(Tabla2[[#This Row],[Variación Stock]]&lt;0,"Faltante","Sin novedad"))</f>
        <v>Sobrante</v>
      </c>
    </row>
    <row r="1706" spans="1:14" hidden="1" x14ac:dyDescent="0.25">
      <c r="A1706" s="11">
        <v>46053</v>
      </c>
      <c r="B1706" s="5" t="s">
        <v>836</v>
      </c>
      <c r="C1706" s="3" t="s">
        <v>128</v>
      </c>
      <c r="D1706" s="5" t="s">
        <v>120</v>
      </c>
      <c r="E1706" s="5" t="s">
        <v>117</v>
      </c>
      <c r="F1706" s="6" t="s">
        <v>924</v>
      </c>
      <c r="G1706" s="4" t="s">
        <v>1</v>
      </c>
      <c r="H1706" s="25">
        <v>30.84610185</v>
      </c>
      <c r="I1706" s="8">
        <v>-5702</v>
      </c>
      <c r="J1706" s="9">
        <v>1200</v>
      </c>
      <c r="K1706" s="7">
        <v>6902</v>
      </c>
      <c r="L1706" s="24">
        <f>+Tabla2[[#This Row],[Stock Inventario]]*Tabla2[[#This Row],[Coste LÃ­nea]]</f>
        <v>37015.322220000002</v>
      </c>
      <c r="M1706" s="24">
        <f>+Tabla2[[#This Row],[Variación Stock]]*Tabla2[[#This Row],[Coste LÃ­nea]]</f>
        <v>212899.79496870001</v>
      </c>
      <c r="N1706" s="22" t="str">
        <f>+IF(Tabla2[[#This Row],[Variación Stock]]&gt;0,"Sobrante",IF(Tabla2[[#This Row],[Variación Stock]]&lt;0,"Faltante","Sin novedad"))</f>
        <v>Sobrante</v>
      </c>
    </row>
    <row r="1707" spans="1:14" x14ac:dyDescent="0.25">
      <c r="A1707" s="11">
        <v>46053</v>
      </c>
      <c r="B1707" s="5" t="s">
        <v>836</v>
      </c>
      <c r="C1707" s="3" t="s">
        <v>128</v>
      </c>
      <c r="D1707" s="5" t="s">
        <v>121</v>
      </c>
      <c r="E1707" s="5" t="s">
        <v>112</v>
      </c>
      <c r="F1707" s="6" t="s">
        <v>951</v>
      </c>
      <c r="G1707" s="4" t="s">
        <v>2</v>
      </c>
      <c r="H1707" s="25">
        <v>46.4609174</v>
      </c>
      <c r="I1707" s="8">
        <v>7</v>
      </c>
      <c r="J1707" s="9">
        <v>34</v>
      </c>
      <c r="K1707" s="7">
        <v>27</v>
      </c>
      <c r="L1707" s="24">
        <f>+Tabla2[[#This Row],[Stock Inventario]]*Tabla2[[#This Row],[Coste LÃ­nea]]</f>
        <v>1579.6711915999999</v>
      </c>
      <c r="M1707" s="24">
        <f>+Tabla2[[#This Row],[Variación Stock]]*Tabla2[[#This Row],[Coste LÃ­nea]]</f>
        <v>1254.4447697999999</v>
      </c>
      <c r="N1707" s="22" t="str">
        <f>+IF(Tabla2[[#This Row],[Variación Stock]]&gt;0,"Sobrante",IF(Tabla2[[#This Row],[Variación Stock]]&lt;0,"Faltante","Sin novedad"))</f>
        <v>Sobrante</v>
      </c>
    </row>
    <row r="1708" spans="1:14" hidden="1" x14ac:dyDescent="0.25">
      <c r="A1708" s="11">
        <v>46053</v>
      </c>
      <c r="B1708" s="5" t="s">
        <v>836</v>
      </c>
      <c r="C1708" s="3" t="s">
        <v>128</v>
      </c>
      <c r="D1708" s="5" t="s">
        <v>120</v>
      </c>
      <c r="E1708" s="5" t="s">
        <v>117</v>
      </c>
      <c r="F1708" s="6" t="s">
        <v>207</v>
      </c>
      <c r="G1708" s="4" t="s">
        <v>2</v>
      </c>
      <c r="H1708" s="25">
        <v>520.64447500000006</v>
      </c>
      <c r="I1708" s="8">
        <v>65</v>
      </c>
      <c r="J1708" s="9">
        <v>60</v>
      </c>
      <c r="K1708" s="7">
        <v>-5</v>
      </c>
      <c r="L1708" s="24">
        <f>+Tabla2[[#This Row],[Stock Inventario]]*Tabla2[[#This Row],[Coste LÃ­nea]]</f>
        <v>31238.668500000003</v>
      </c>
      <c r="M1708" s="24">
        <f>+Tabla2[[#This Row],[Variación Stock]]*Tabla2[[#This Row],[Coste LÃ­nea]]</f>
        <v>-2603.2223750000003</v>
      </c>
      <c r="N1708" s="22" t="str">
        <f>+IF(Tabla2[[#This Row],[Variación Stock]]&gt;0,"Sobrante",IF(Tabla2[[#This Row],[Variación Stock]]&lt;0,"Faltante","Sin novedad"))</f>
        <v>Faltante</v>
      </c>
    </row>
    <row r="1709" spans="1:14" hidden="1" x14ac:dyDescent="0.25">
      <c r="A1709" s="11">
        <v>46053</v>
      </c>
      <c r="B1709" s="5" t="s">
        <v>836</v>
      </c>
      <c r="C1709" s="3" t="s">
        <v>128</v>
      </c>
      <c r="D1709" s="5" t="s">
        <v>120</v>
      </c>
      <c r="E1709" s="5" t="s">
        <v>117</v>
      </c>
      <c r="F1709" s="6" t="s">
        <v>925</v>
      </c>
      <c r="G1709" s="4" t="s">
        <v>2</v>
      </c>
      <c r="H1709" s="25">
        <v>388.58357143000001</v>
      </c>
      <c r="I1709" s="8">
        <v>5</v>
      </c>
      <c r="J1709" s="9">
        <v>15</v>
      </c>
      <c r="K1709" s="7">
        <v>10</v>
      </c>
      <c r="L1709" s="24">
        <f>+Tabla2[[#This Row],[Stock Inventario]]*Tabla2[[#This Row],[Coste LÃ­nea]]</f>
        <v>5828.75357145</v>
      </c>
      <c r="M1709" s="24">
        <f>+Tabla2[[#This Row],[Variación Stock]]*Tabla2[[#This Row],[Coste LÃ­nea]]</f>
        <v>3885.8357143000003</v>
      </c>
      <c r="N1709" s="22" t="str">
        <f>+IF(Tabla2[[#This Row],[Variación Stock]]&gt;0,"Sobrante",IF(Tabla2[[#This Row],[Variación Stock]]&lt;0,"Faltante","Sin novedad"))</f>
        <v>Sobrante</v>
      </c>
    </row>
    <row r="1710" spans="1:14" hidden="1" x14ac:dyDescent="0.25">
      <c r="A1710" s="11">
        <v>46053</v>
      </c>
      <c r="B1710" s="5" t="s">
        <v>836</v>
      </c>
      <c r="C1710" s="3" t="s">
        <v>128</v>
      </c>
      <c r="D1710" s="5" t="s">
        <v>323</v>
      </c>
      <c r="E1710" s="5" t="s">
        <v>117</v>
      </c>
      <c r="F1710" s="6" t="s">
        <v>351</v>
      </c>
      <c r="G1710" s="4" t="s">
        <v>2</v>
      </c>
      <c r="H1710" s="25">
        <v>1364.50381679</v>
      </c>
      <c r="I1710" s="8">
        <v>0</v>
      </c>
      <c r="J1710" s="9">
        <v>1000</v>
      </c>
      <c r="K1710" s="7">
        <v>1000</v>
      </c>
      <c r="L1710" s="24">
        <f>+Tabla2[[#This Row],[Stock Inventario]]*Tabla2[[#This Row],[Coste LÃ­nea]]</f>
        <v>1364503.8167900001</v>
      </c>
      <c r="M1710" s="24">
        <f>+Tabla2[[#This Row],[Variación Stock]]*Tabla2[[#This Row],[Coste LÃ­nea]]</f>
        <v>1364503.8167900001</v>
      </c>
      <c r="N1710" s="22" t="str">
        <f>+IF(Tabla2[[#This Row],[Variación Stock]]&gt;0,"Sobrante",IF(Tabla2[[#This Row],[Variación Stock]]&lt;0,"Faltante","Sin novedad"))</f>
        <v>Sobrante</v>
      </c>
    </row>
    <row r="1711" spans="1:14" hidden="1" x14ac:dyDescent="0.25">
      <c r="A1711" s="11">
        <v>46053</v>
      </c>
      <c r="B1711" s="5" t="s">
        <v>836</v>
      </c>
      <c r="C1711" s="3" t="s">
        <v>128</v>
      </c>
      <c r="D1711" s="5" t="s">
        <v>120</v>
      </c>
      <c r="E1711" s="5" t="s">
        <v>117</v>
      </c>
      <c r="F1711" s="6" t="s">
        <v>723</v>
      </c>
      <c r="G1711" s="4" t="s">
        <v>1</v>
      </c>
      <c r="H1711" s="25">
        <v>28.936729620000001</v>
      </c>
      <c r="I1711" s="8">
        <v>-5388</v>
      </c>
      <c r="J1711" s="9">
        <v>1496</v>
      </c>
      <c r="K1711" s="7">
        <v>6884</v>
      </c>
      <c r="L1711" s="24">
        <f>+Tabla2[[#This Row],[Stock Inventario]]*Tabla2[[#This Row],[Coste LÃ­nea]]</f>
        <v>43289.347511520005</v>
      </c>
      <c r="M1711" s="24">
        <f>+Tabla2[[#This Row],[Variación Stock]]*Tabla2[[#This Row],[Coste LÃ­nea]]</f>
        <v>199200.44670408001</v>
      </c>
      <c r="N1711" s="22" t="str">
        <f>+IF(Tabla2[[#This Row],[Variación Stock]]&gt;0,"Sobrante",IF(Tabla2[[#This Row],[Variación Stock]]&lt;0,"Faltante","Sin novedad"))</f>
        <v>Sobrante</v>
      </c>
    </row>
    <row r="1712" spans="1:14" hidden="1" x14ac:dyDescent="0.25">
      <c r="A1712" s="11">
        <v>46053</v>
      </c>
      <c r="B1712" s="5" t="s">
        <v>836</v>
      </c>
      <c r="C1712" s="3" t="s">
        <v>128</v>
      </c>
      <c r="D1712" s="5" t="s">
        <v>120</v>
      </c>
      <c r="E1712" s="5" t="s">
        <v>117</v>
      </c>
      <c r="F1712" s="6" t="s">
        <v>724</v>
      </c>
      <c r="G1712" s="4" t="s">
        <v>1</v>
      </c>
      <c r="H1712" s="25">
        <v>14.702989970000001</v>
      </c>
      <c r="I1712" s="8">
        <v>14788.688599999999</v>
      </c>
      <c r="J1712" s="9">
        <v>1008</v>
      </c>
      <c r="K1712" s="7">
        <v>-13780.688612</v>
      </c>
      <c r="L1712" s="24">
        <f>+Tabla2[[#This Row],[Stock Inventario]]*Tabla2[[#This Row],[Coste LÃ­nea]]</f>
        <v>14820.613889760001</v>
      </c>
      <c r="M1712" s="24">
        <f>+Tabla2[[#This Row],[Variación Stock]]*Tabla2[[#This Row],[Coste LÃ­nea]]</f>
        <v>-202617.32644192924</v>
      </c>
      <c r="N1712" s="22" t="str">
        <f>+IF(Tabla2[[#This Row],[Variación Stock]]&gt;0,"Sobrante",IF(Tabla2[[#This Row],[Variación Stock]]&lt;0,"Faltante","Sin novedad"))</f>
        <v>Faltante</v>
      </c>
    </row>
    <row r="1713" spans="1:14" hidden="1" x14ac:dyDescent="0.25">
      <c r="A1713" s="11">
        <v>46053</v>
      </c>
      <c r="B1713" s="5" t="s">
        <v>836</v>
      </c>
      <c r="C1713" s="3" t="s">
        <v>128</v>
      </c>
      <c r="D1713" s="5" t="s">
        <v>120</v>
      </c>
      <c r="E1713" s="5" t="s">
        <v>117</v>
      </c>
      <c r="F1713" s="6" t="s">
        <v>926</v>
      </c>
      <c r="G1713" s="4" t="s">
        <v>1</v>
      </c>
      <c r="H1713" s="25">
        <v>8.4951282599999995</v>
      </c>
      <c r="I1713" s="8">
        <v>3329</v>
      </c>
      <c r="J1713" s="9">
        <v>782</v>
      </c>
      <c r="K1713" s="7">
        <v>-2547</v>
      </c>
      <c r="L1713" s="24">
        <f>+Tabla2[[#This Row],[Stock Inventario]]*Tabla2[[#This Row],[Coste LÃ­nea]]</f>
        <v>6643.1902993199992</v>
      </c>
      <c r="M1713" s="24">
        <f>+Tabla2[[#This Row],[Variación Stock]]*Tabla2[[#This Row],[Coste LÃ­nea]]</f>
        <v>-21637.09167822</v>
      </c>
      <c r="N1713" s="22" t="str">
        <f>+IF(Tabla2[[#This Row],[Variación Stock]]&gt;0,"Sobrante",IF(Tabla2[[#This Row],[Variación Stock]]&lt;0,"Faltante","Sin novedad"))</f>
        <v>Faltante</v>
      </c>
    </row>
    <row r="1714" spans="1:14" hidden="1" x14ac:dyDescent="0.25">
      <c r="A1714" s="11">
        <v>46053</v>
      </c>
      <c r="B1714" s="5" t="s">
        <v>836</v>
      </c>
      <c r="C1714" s="3" t="s">
        <v>128</v>
      </c>
      <c r="D1714" s="5" t="s">
        <v>120</v>
      </c>
      <c r="E1714" s="5" t="s">
        <v>117</v>
      </c>
      <c r="F1714" s="6" t="s">
        <v>726</v>
      </c>
      <c r="G1714" s="4" t="s">
        <v>1</v>
      </c>
      <c r="H1714" s="25">
        <v>13.345124630000001</v>
      </c>
      <c r="I1714" s="8">
        <v>-2950</v>
      </c>
      <c r="J1714" s="9">
        <v>474</v>
      </c>
      <c r="K1714" s="7">
        <v>3423.999984</v>
      </c>
      <c r="L1714" s="24">
        <f>+Tabla2[[#This Row],[Stock Inventario]]*Tabla2[[#This Row],[Coste LÃ­nea]]</f>
        <v>6325.5890746200002</v>
      </c>
      <c r="M1714" s="24">
        <f>+Tabla2[[#This Row],[Variación Stock]]*Tabla2[[#This Row],[Coste LÃ­nea]]</f>
        <v>45693.70651959801</v>
      </c>
      <c r="N1714" s="22" t="str">
        <f>+IF(Tabla2[[#This Row],[Variación Stock]]&gt;0,"Sobrante",IF(Tabla2[[#This Row],[Variación Stock]]&lt;0,"Faltante","Sin novedad"))</f>
        <v>Sobrante</v>
      </c>
    </row>
    <row r="1715" spans="1:14" hidden="1" x14ac:dyDescent="0.25">
      <c r="A1715" s="11">
        <v>46053</v>
      </c>
      <c r="B1715" s="5" t="s">
        <v>836</v>
      </c>
      <c r="C1715" s="3" t="s">
        <v>128</v>
      </c>
      <c r="D1715" s="5" t="s">
        <v>120</v>
      </c>
      <c r="E1715" s="5" t="s">
        <v>117</v>
      </c>
      <c r="F1715" s="6" t="s">
        <v>728</v>
      </c>
      <c r="G1715" s="4" t="s">
        <v>1</v>
      </c>
      <c r="H1715" s="25">
        <v>60.755822100000003</v>
      </c>
      <c r="I1715" s="8">
        <v>8255</v>
      </c>
      <c r="J1715" s="9">
        <v>500</v>
      </c>
      <c r="K1715" s="7">
        <v>-7754.9999900000003</v>
      </c>
      <c r="L1715" s="24">
        <f>+Tabla2[[#This Row],[Stock Inventario]]*Tabla2[[#This Row],[Coste LÃ­nea]]</f>
        <v>30377.911050000002</v>
      </c>
      <c r="M1715" s="24">
        <f>+Tabla2[[#This Row],[Variación Stock]]*Tabla2[[#This Row],[Coste LÃ­nea]]</f>
        <v>-471161.39977794181</v>
      </c>
      <c r="N1715" s="22" t="str">
        <f>+IF(Tabla2[[#This Row],[Variación Stock]]&gt;0,"Sobrante",IF(Tabla2[[#This Row],[Variación Stock]]&lt;0,"Faltante","Sin novedad"))</f>
        <v>Faltante</v>
      </c>
    </row>
    <row r="1716" spans="1:14" hidden="1" x14ac:dyDescent="0.25">
      <c r="A1716" s="11">
        <v>46053</v>
      </c>
      <c r="B1716" s="5" t="s">
        <v>836</v>
      </c>
      <c r="C1716" s="3" t="s">
        <v>128</v>
      </c>
      <c r="D1716" s="5" t="s">
        <v>120</v>
      </c>
      <c r="E1716" s="5" t="s">
        <v>117</v>
      </c>
      <c r="F1716" s="6" t="s">
        <v>729</v>
      </c>
      <c r="G1716" s="4" t="s">
        <v>1</v>
      </c>
      <c r="H1716" s="25">
        <v>74.966261029999998</v>
      </c>
      <c r="I1716" s="8">
        <v>372</v>
      </c>
      <c r="J1716" s="9">
        <v>1446</v>
      </c>
      <c r="K1716" s="7">
        <v>1074</v>
      </c>
      <c r="L1716" s="24">
        <f>+Tabla2[[#This Row],[Stock Inventario]]*Tabla2[[#This Row],[Coste LÃ­nea]]</f>
        <v>108401.21344938</v>
      </c>
      <c r="M1716" s="24">
        <f>+Tabla2[[#This Row],[Variación Stock]]*Tabla2[[#This Row],[Coste LÃ­nea]]</f>
        <v>80513.764346219992</v>
      </c>
      <c r="N1716" s="22" t="str">
        <f>+IF(Tabla2[[#This Row],[Variación Stock]]&gt;0,"Sobrante",IF(Tabla2[[#This Row],[Variación Stock]]&lt;0,"Faltante","Sin novedad"))</f>
        <v>Sobrante</v>
      </c>
    </row>
    <row r="1717" spans="1:14" x14ac:dyDescent="0.25">
      <c r="A1717" s="11">
        <v>46053</v>
      </c>
      <c r="B1717" s="5" t="s">
        <v>836</v>
      </c>
      <c r="C1717" s="3" t="s">
        <v>128</v>
      </c>
      <c r="D1717" s="5" t="s">
        <v>121</v>
      </c>
      <c r="E1717" s="5" t="s">
        <v>112</v>
      </c>
      <c r="F1717" s="6" t="s">
        <v>357</v>
      </c>
      <c r="G1717" s="4" t="s">
        <v>1</v>
      </c>
      <c r="H1717" s="25">
        <v>85.424136300000001</v>
      </c>
      <c r="I1717" s="8">
        <v>-260</v>
      </c>
      <c r="J1717" s="9">
        <v>50</v>
      </c>
      <c r="K1717" s="7">
        <v>310</v>
      </c>
      <c r="L1717" s="24">
        <f>+Tabla2[[#This Row],[Stock Inventario]]*Tabla2[[#This Row],[Coste LÃ­nea]]</f>
        <v>4271.2068150000005</v>
      </c>
      <c r="M1717" s="24">
        <f>+Tabla2[[#This Row],[Variación Stock]]*Tabla2[[#This Row],[Coste LÃ­nea]]</f>
        <v>26481.482253000002</v>
      </c>
      <c r="N1717" s="22" t="str">
        <f>+IF(Tabla2[[#This Row],[Variación Stock]]&gt;0,"Sobrante",IF(Tabla2[[#This Row],[Variación Stock]]&lt;0,"Faltante","Sin novedad"))</f>
        <v>Sobrante</v>
      </c>
    </row>
    <row r="1718" spans="1:14" hidden="1" x14ac:dyDescent="0.25">
      <c r="A1718" s="11">
        <v>46053</v>
      </c>
      <c r="B1718" s="5" t="s">
        <v>836</v>
      </c>
      <c r="C1718" s="3" t="s">
        <v>128</v>
      </c>
      <c r="D1718" s="5" t="s">
        <v>120</v>
      </c>
      <c r="E1718" s="5" t="s">
        <v>117</v>
      </c>
      <c r="F1718" s="6" t="s">
        <v>927</v>
      </c>
      <c r="G1718" s="4" t="s">
        <v>1</v>
      </c>
      <c r="H1718" s="25">
        <v>7.2870914000000004</v>
      </c>
      <c r="I1718" s="8">
        <v>-32</v>
      </c>
      <c r="J1718" s="9">
        <v>0</v>
      </c>
      <c r="K1718" s="7">
        <v>32</v>
      </c>
      <c r="L1718" s="24">
        <f>+Tabla2[[#This Row],[Stock Inventario]]*Tabla2[[#This Row],[Coste LÃ­nea]]</f>
        <v>0</v>
      </c>
      <c r="M1718" s="24">
        <f>+Tabla2[[#This Row],[Variación Stock]]*Tabla2[[#This Row],[Coste LÃ­nea]]</f>
        <v>233.18692480000001</v>
      </c>
      <c r="N1718" s="22" t="str">
        <f>+IF(Tabla2[[#This Row],[Variación Stock]]&gt;0,"Sobrante",IF(Tabla2[[#This Row],[Variación Stock]]&lt;0,"Faltante","Sin novedad"))</f>
        <v>Sobrante</v>
      </c>
    </row>
    <row r="1719" spans="1:14" hidden="1" x14ac:dyDescent="0.25">
      <c r="A1719" s="11">
        <v>46053</v>
      </c>
      <c r="B1719" s="5" t="s">
        <v>836</v>
      </c>
      <c r="C1719" s="3" t="s">
        <v>128</v>
      </c>
      <c r="D1719" s="5" t="s">
        <v>120</v>
      </c>
      <c r="E1719" s="5" t="s">
        <v>117</v>
      </c>
      <c r="F1719" s="6" t="s">
        <v>208</v>
      </c>
      <c r="G1719" s="4" t="s">
        <v>2</v>
      </c>
      <c r="H1719" s="25">
        <v>15122.28067392</v>
      </c>
      <c r="I1719" s="8">
        <v>44.11</v>
      </c>
      <c r="J1719" s="9">
        <v>47</v>
      </c>
      <c r="K1719" s="7">
        <v>2.89</v>
      </c>
      <c r="L1719" s="24">
        <f>+Tabla2[[#This Row],[Stock Inventario]]*Tabla2[[#This Row],[Coste LÃ­nea]]</f>
        <v>710747.19167424005</v>
      </c>
      <c r="M1719" s="24">
        <f>+Tabla2[[#This Row],[Variación Stock]]*Tabla2[[#This Row],[Coste LÃ­nea]]</f>
        <v>43703.391147628805</v>
      </c>
      <c r="N1719" s="22" t="str">
        <f>+IF(Tabla2[[#This Row],[Variación Stock]]&gt;0,"Sobrante",IF(Tabla2[[#This Row],[Variación Stock]]&lt;0,"Faltante","Sin novedad"))</f>
        <v>Sobrante</v>
      </c>
    </row>
    <row r="1720" spans="1:14" hidden="1" x14ac:dyDescent="0.25">
      <c r="A1720" s="11">
        <v>46053</v>
      </c>
      <c r="B1720" s="5" t="s">
        <v>836</v>
      </c>
      <c r="C1720" s="3" t="s">
        <v>128</v>
      </c>
      <c r="D1720" s="5" t="s">
        <v>120</v>
      </c>
      <c r="E1720" s="5" t="s">
        <v>117</v>
      </c>
      <c r="F1720" s="6" t="s">
        <v>731</v>
      </c>
      <c r="G1720" s="4" t="s">
        <v>1</v>
      </c>
      <c r="H1720" s="25">
        <v>10.242881819999999</v>
      </c>
      <c r="I1720" s="8">
        <v>-6596</v>
      </c>
      <c r="J1720" s="9">
        <v>430</v>
      </c>
      <c r="K1720" s="7">
        <v>7026</v>
      </c>
      <c r="L1720" s="24">
        <f>+Tabla2[[#This Row],[Stock Inventario]]*Tabla2[[#This Row],[Coste LÃ­nea]]</f>
        <v>4404.4391825999992</v>
      </c>
      <c r="M1720" s="24">
        <f>+Tabla2[[#This Row],[Variación Stock]]*Tabla2[[#This Row],[Coste LÃ­nea]]</f>
        <v>71966.487667319991</v>
      </c>
      <c r="N1720" s="22" t="str">
        <f>+IF(Tabla2[[#This Row],[Variación Stock]]&gt;0,"Sobrante",IF(Tabla2[[#This Row],[Variación Stock]]&lt;0,"Faltante","Sin novedad"))</f>
        <v>Sobrante</v>
      </c>
    </row>
    <row r="1721" spans="1:14" hidden="1" x14ac:dyDescent="0.25">
      <c r="A1721" s="11">
        <v>46053</v>
      </c>
      <c r="B1721" s="5" t="s">
        <v>836</v>
      </c>
      <c r="C1721" s="3" t="s">
        <v>128</v>
      </c>
      <c r="D1721" s="5" t="s">
        <v>120</v>
      </c>
      <c r="E1721" s="5" t="s">
        <v>117</v>
      </c>
      <c r="F1721" s="6" t="s">
        <v>209</v>
      </c>
      <c r="G1721" s="4" t="s">
        <v>2</v>
      </c>
      <c r="H1721" s="25">
        <v>19485.983333330001</v>
      </c>
      <c r="I1721" s="8">
        <v>15.5</v>
      </c>
      <c r="J1721" s="9">
        <v>15.5</v>
      </c>
      <c r="K1721" s="7">
        <v>0</v>
      </c>
      <c r="L1721" s="24">
        <f>+Tabla2[[#This Row],[Stock Inventario]]*Tabla2[[#This Row],[Coste LÃ­nea]]</f>
        <v>302032.74166661501</v>
      </c>
      <c r="M1721" s="24">
        <f>+Tabla2[[#This Row],[Variación Stock]]*Tabla2[[#This Row],[Coste LÃ­nea]]</f>
        <v>0</v>
      </c>
      <c r="N1721" s="22" t="str">
        <f>+IF(Tabla2[[#This Row],[Variación Stock]]&gt;0,"Sobrante",IF(Tabla2[[#This Row],[Variación Stock]]&lt;0,"Faltante","Sin novedad"))</f>
        <v>Sin novedad</v>
      </c>
    </row>
    <row r="1722" spans="1:14" hidden="1" x14ac:dyDescent="0.25">
      <c r="A1722" s="11">
        <v>46053</v>
      </c>
      <c r="B1722" s="5" t="s">
        <v>836</v>
      </c>
      <c r="C1722" s="3" t="s">
        <v>128</v>
      </c>
      <c r="D1722" s="5" t="s">
        <v>120</v>
      </c>
      <c r="E1722" s="5" t="s">
        <v>117</v>
      </c>
      <c r="F1722" s="6" t="s">
        <v>928</v>
      </c>
      <c r="G1722" s="4" t="s">
        <v>2</v>
      </c>
      <c r="H1722" s="25">
        <v>1607.1428249999999</v>
      </c>
      <c r="I1722" s="8">
        <v>8794</v>
      </c>
      <c r="J1722" s="9">
        <v>1980</v>
      </c>
      <c r="K1722" s="7">
        <v>-6814</v>
      </c>
      <c r="L1722" s="24">
        <f>+Tabla2[[#This Row],[Stock Inventario]]*Tabla2[[#This Row],[Coste LÃ­nea]]</f>
        <v>3182142.7934999997</v>
      </c>
      <c r="M1722" s="24">
        <f>+Tabla2[[#This Row],[Variación Stock]]*Tabla2[[#This Row],[Coste LÃ­nea]]</f>
        <v>-10951071.209549999</v>
      </c>
      <c r="N1722" s="22" t="str">
        <f>+IF(Tabla2[[#This Row],[Variación Stock]]&gt;0,"Sobrante",IF(Tabla2[[#This Row],[Variación Stock]]&lt;0,"Faltante","Sin novedad"))</f>
        <v>Faltante</v>
      </c>
    </row>
    <row r="1723" spans="1:14" hidden="1" x14ac:dyDescent="0.25">
      <c r="A1723" s="11">
        <v>46053</v>
      </c>
      <c r="B1723" s="5" t="s">
        <v>836</v>
      </c>
      <c r="C1723" s="3" t="s">
        <v>128</v>
      </c>
      <c r="D1723" s="5" t="s">
        <v>120</v>
      </c>
      <c r="E1723" s="5" t="s">
        <v>117</v>
      </c>
      <c r="F1723" s="6" t="s">
        <v>734</v>
      </c>
      <c r="G1723" s="4" t="s">
        <v>1</v>
      </c>
      <c r="H1723" s="25">
        <v>20.925407740000001</v>
      </c>
      <c r="I1723" s="8">
        <v>60318</v>
      </c>
      <c r="J1723" s="9">
        <v>5422</v>
      </c>
      <c r="K1723" s="7">
        <v>-54896</v>
      </c>
      <c r="L1723" s="24">
        <f>+Tabla2[[#This Row],[Stock Inventario]]*Tabla2[[#This Row],[Coste LÃ­nea]]</f>
        <v>113457.56076628</v>
      </c>
      <c r="M1723" s="24">
        <f>+Tabla2[[#This Row],[Variación Stock]]*Tabla2[[#This Row],[Coste LÃ­nea]]</f>
        <v>-1148721.1832950399</v>
      </c>
      <c r="N1723" s="22" t="str">
        <f>+IF(Tabla2[[#This Row],[Variación Stock]]&gt;0,"Sobrante",IF(Tabla2[[#This Row],[Variación Stock]]&lt;0,"Faltante","Sin novedad"))</f>
        <v>Faltante</v>
      </c>
    </row>
    <row r="1724" spans="1:14" hidden="1" x14ac:dyDescent="0.25">
      <c r="A1724" s="11">
        <v>46053</v>
      </c>
      <c r="B1724" s="5" t="s">
        <v>836</v>
      </c>
      <c r="C1724" s="3" t="s">
        <v>128</v>
      </c>
      <c r="D1724" s="5" t="s">
        <v>120</v>
      </c>
      <c r="E1724" s="5" t="s">
        <v>117</v>
      </c>
      <c r="F1724" s="6" t="s">
        <v>929</v>
      </c>
      <c r="G1724" s="4" t="s">
        <v>1</v>
      </c>
      <c r="H1724" s="25">
        <v>21.427531779999999</v>
      </c>
      <c r="I1724" s="8">
        <v>-420</v>
      </c>
      <c r="J1724" s="9">
        <v>1630</v>
      </c>
      <c r="K1724" s="7">
        <v>2050</v>
      </c>
      <c r="L1724" s="24">
        <f>+Tabla2[[#This Row],[Stock Inventario]]*Tabla2[[#This Row],[Coste LÃ­nea]]</f>
        <v>34926.876801400002</v>
      </c>
      <c r="M1724" s="24">
        <f>+Tabla2[[#This Row],[Variación Stock]]*Tabla2[[#This Row],[Coste LÃ­nea]]</f>
        <v>43926.440148999995</v>
      </c>
      <c r="N1724" s="22" t="str">
        <f>+IF(Tabla2[[#This Row],[Variación Stock]]&gt;0,"Sobrante",IF(Tabla2[[#This Row],[Variación Stock]]&lt;0,"Faltante","Sin novedad"))</f>
        <v>Sobrante</v>
      </c>
    </row>
    <row r="1725" spans="1:14" hidden="1" x14ac:dyDescent="0.25">
      <c r="A1725" s="11">
        <v>46053</v>
      </c>
      <c r="B1725" s="5" t="s">
        <v>836</v>
      </c>
      <c r="C1725" s="3" t="s">
        <v>128</v>
      </c>
      <c r="D1725" s="5" t="s">
        <v>120</v>
      </c>
      <c r="E1725" s="5" t="s">
        <v>117</v>
      </c>
      <c r="F1725" s="6" t="s">
        <v>930</v>
      </c>
      <c r="G1725" s="4" t="s">
        <v>1</v>
      </c>
      <c r="H1725" s="25">
        <v>12.742341140000001</v>
      </c>
      <c r="I1725" s="8">
        <v>2698</v>
      </c>
      <c r="J1725" s="9">
        <v>7260</v>
      </c>
      <c r="K1725" s="7">
        <v>4562</v>
      </c>
      <c r="L1725" s="24">
        <f>+Tabla2[[#This Row],[Stock Inventario]]*Tabla2[[#This Row],[Coste LÃ­nea]]</f>
        <v>92509.396676400007</v>
      </c>
      <c r="M1725" s="24">
        <f>+Tabla2[[#This Row],[Variación Stock]]*Tabla2[[#This Row],[Coste LÃ­nea]]</f>
        <v>58130.560280680002</v>
      </c>
      <c r="N1725" s="22" t="str">
        <f>+IF(Tabla2[[#This Row],[Variación Stock]]&gt;0,"Sobrante",IF(Tabla2[[#This Row],[Variación Stock]]&lt;0,"Faltante","Sin novedad"))</f>
        <v>Sobrante</v>
      </c>
    </row>
    <row r="1726" spans="1:14" hidden="1" x14ac:dyDescent="0.25">
      <c r="A1726" s="11">
        <v>46053</v>
      </c>
      <c r="B1726" s="5" t="s">
        <v>836</v>
      </c>
      <c r="C1726" s="3" t="s">
        <v>128</v>
      </c>
      <c r="D1726" s="5" t="s">
        <v>120</v>
      </c>
      <c r="E1726" s="5" t="s">
        <v>117</v>
      </c>
      <c r="F1726" s="6" t="s">
        <v>931</v>
      </c>
      <c r="G1726" s="4" t="s">
        <v>1</v>
      </c>
      <c r="H1726" s="25">
        <v>13.12802727</v>
      </c>
      <c r="I1726" s="8">
        <v>-1060</v>
      </c>
      <c r="J1726" s="9">
        <v>0</v>
      </c>
      <c r="K1726" s="7">
        <v>1060</v>
      </c>
      <c r="L1726" s="24">
        <f>+Tabla2[[#This Row],[Stock Inventario]]*Tabla2[[#This Row],[Coste LÃ­nea]]</f>
        <v>0</v>
      </c>
      <c r="M1726" s="24">
        <f>+Tabla2[[#This Row],[Variación Stock]]*Tabla2[[#This Row],[Coste LÃ­nea]]</f>
        <v>13915.708906200001</v>
      </c>
      <c r="N1726" s="22" t="str">
        <f>+IF(Tabla2[[#This Row],[Variación Stock]]&gt;0,"Sobrante",IF(Tabla2[[#This Row],[Variación Stock]]&lt;0,"Faltante","Sin novedad"))</f>
        <v>Sobrante</v>
      </c>
    </row>
    <row r="1727" spans="1:14" hidden="1" x14ac:dyDescent="0.25">
      <c r="A1727" s="11">
        <v>46053</v>
      </c>
      <c r="B1727" s="5" t="s">
        <v>836</v>
      </c>
      <c r="C1727" s="3" t="s">
        <v>128</v>
      </c>
      <c r="D1727" s="5" t="s">
        <v>120</v>
      </c>
      <c r="E1727" s="5" t="s">
        <v>117</v>
      </c>
      <c r="F1727" s="6" t="s">
        <v>932</v>
      </c>
      <c r="G1727" s="4" t="s">
        <v>1</v>
      </c>
      <c r="H1727" s="25">
        <v>31.014292130000001</v>
      </c>
      <c r="I1727" s="8">
        <v>2874</v>
      </c>
      <c r="J1727" s="9">
        <v>2059</v>
      </c>
      <c r="K1727" s="7">
        <v>-815</v>
      </c>
      <c r="L1727" s="24">
        <f>+Tabla2[[#This Row],[Stock Inventario]]*Tabla2[[#This Row],[Coste LÃ­nea]]</f>
        <v>63858.427495670003</v>
      </c>
      <c r="M1727" s="24">
        <f>+Tabla2[[#This Row],[Variación Stock]]*Tabla2[[#This Row],[Coste LÃ­nea]]</f>
        <v>-25276.648085950001</v>
      </c>
      <c r="N1727" s="22" t="str">
        <f>+IF(Tabla2[[#This Row],[Variación Stock]]&gt;0,"Sobrante",IF(Tabla2[[#This Row],[Variación Stock]]&lt;0,"Faltante","Sin novedad"))</f>
        <v>Faltante</v>
      </c>
    </row>
    <row r="1728" spans="1:14" hidden="1" x14ac:dyDescent="0.25">
      <c r="A1728" s="11">
        <v>46053</v>
      </c>
      <c r="B1728" s="5" t="s">
        <v>836</v>
      </c>
      <c r="C1728" s="3" t="s">
        <v>128</v>
      </c>
      <c r="D1728" s="5" t="s">
        <v>120</v>
      </c>
      <c r="E1728" s="5" t="s">
        <v>117</v>
      </c>
      <c r="F1728" s="6" t="s">
        <v>210</v>
      </c>
      <c r="G1728" s="4" t="s">
        <v>2</v>
      </c>
      <c r="H1728" s="25">
        <v>3637.5542850000002</v>
      </c>
      <c r="I1728" s="8">
        <v>40</v>
      </c>
      <c r="J1728" s="9">
        <v>38</v>
      </c>
      <c r="K1728" s="7">
        <v>-2</v>
      </c>
      <c r="L1728" s="24">
        <f>+Tabla2[[#This Row],[Stock Inventario]]*Tabla2[[#This Row],[Coste LÃ­nea]]</f>
        <v>138227.06283000001</v>
      </c>
      <c r="M1728" s="24">
        <f>+Tabla2[[#This Row],[Variación Stock]]*Tabla2[[#This Row],[Coste LÃ­nea]]</f>
        <v>-7275.1085700000003</v>
      </c>
      <c r="N1728" s="22" t="str">
        <f>+IF(Tabla2[[#This Row],[Variación Stock]]&gt;0,"Sobrante",IF(Tabla2[[#This Row],[Variación Stock]]&lt;0,"Faltante","Sin novedad"))</f>
        <v>Faltante</v>
      </c>
    </row>
    <row r="1729" spans="1:14" hidden="1" x14ac:dyDescent="0.25">
      <c r="A1729" s="11">
        <v>46053</v>
      </c>
      <c r="B1729" s="5" t="s">
        <v>836</v>
      </c>
      <c r="C1729" s="3" t="s">
        <v>128</v>
      </c>
      <c r="D1729" s="5" t="s">
        <v>323</v>
      </c>
      <c r="E1729" s="5" t="s">
        <v>117</v>
      </c>
      <c r="F1729" s="6" t="s">
        <v>945</v>
      </c>
      <c r="G1729" s="4" t="s">
        <v>1</v>
      </c>
      <c r="H1729" s="25">
        <v>71.951792209999994</v>
      </c>
      <c r="I1729" s="8">
        <v>-440</v>
      </c>
      <c r="J1729" s="9">
        <v>0</v>
      </c>
      <c r="K1729" s="7">
        <v>440</v>
      </c>
      <c r="L1729" s="24">
        <f>+Tabla2[[#This Row],[Stock Inventario]]*Tabla2[[#This Row],[Coste LÃ­nea]]</f>
        <v>0</v>
      </c>
      <c r="M1729" s="24">
        <f>+Tabla2[[#This Row],[Variación Stock]]*Tabla2[[#This Row],[Coste LÃ­nea]]</f>
        <v>31658.788572399997</v>
      </c>
      <c r="N1729" s="22" t="str">
        <f>+IF(Tabla2[[#This Row],[Variación Stock]]&gt;0,"Sobrante",IF(Tabla2[[#This Row],[Variación Stock]]&lt;0,"Faltante","Sin novedad"))</f>
        <v>Sobrante</v>
      </c>
    </row>
    <row r="1730" spans="1:14" x14ac:dyDescent="0.25">
      <c r="A1730" s="11">
        <v>46053</v>
      </c>
      <c r="B1730" s="5" t="s">
        <v>836</v>
      </c>
      <c r="C1730" s="3" t="s">
        <v>128</v>
      </c>
      <c r="D1730" s="5" t="s">
        <v>121</v>
      </c>
      <c r="E1730" s="5" t="s">
        <v>112</v>
      </c>
      <c r="F1730" s="6" t="s">
        <v>794</v>
      </c>
      <c r="G1730" s="4" t="s">
        <v>1</v>
      </c>
      <c r="H1730" s="25">
        <v>94.277833330000007</v>
      </c>
      <c r="I1730" s="8">
        <v>-5</v>
      </c>
      <c r="J1730" s="9">
        <v>0</v>
      </c>
      <c r="K1730" s="7">
        <v>5</v>
      </c>
      <c r="L1730" s="24">
        <f>+Tabla2[[#This Row],[Stock Inventario]]*Tabla2[[#This Row],[Coste LÃ­nea]]</f>
        <v>0</v>
      </c>
      <c r="M1730" s="24">
        <f>+Tabla2[[#This Row],[Variación Stock]]*Tabla2[[#This Row],[Coste LÃ­nea]]</f>
        <v>471.38916665000005</v>
      </c>
      <c r="N1730" s="22" t="str">
        <f>+IF(Tabla2[[#This Row],[Variación Stock]]&gt;0,"Sobrante",IF(Tabla2[[#This Row],[Variación Stock]]&lt;0,"Faltante","Sin novedad"))</f>
        <v>Sobrante</v>
      </c>
    </row>
    <row r="1731" spans="1:14" x14ac:dyDescent="0.25">
      <c r="A1731" s="11">
        <v>46053</v>
      </c>
      <c r="B1731" s="5" t="s">
        <v>836</v>
      </c>
      <c r="C1731" s="3" t="s">
        <v>128</v>
      </c>
      <c r="D1731" s="5" t="s">
        <v>121</v>
      </c>
      <c r="E1731" s="5" t="s">
        <v>112</v>
      </c>
      <c r="F1731" s="6" t="s">
        <v>795</v>
      </c>
      <c r="G1731" s="4" t="s">
        <v>1</v>
      </c>
      <c r="H1731" s="25">
        <v>53.273249999999997</v>
      </c>
      <c r="I1731" s="8">
        <v>-7</v>
      </c>
      <c r="J1731" s="9">
        <v>0</v>
      </c>
      <c r="K1731" s="7">
        <v>7</v>
      </c>
      <c r="L1731" s="24">
        <f>+Tabla2[[#This Row],[Stock Inventario]]*Tabla2[[#This Row],[Coste LÃ­nea]]</f>
        <v>0</v>
      </c>
      <c r="M1731" s="24">
        <f>+Tabla2[[#This Row],[Variación Stock]]*Tabla2[[#This Row],[Coste LÃ­nea]]</f>
        <v>372.91274999999996</v>
      </c>
      <c r="N1731" s="22" t="str">
        <f>+IF(Tabla2[[#This Row],[Variación Stock]]&gt;0,"Sobrante",IF(Tabla2[[#This Row],[Variación Stock]]&lt;0,"Faltante","Sin novedad"))</f>
        <v>Sobrante</v>
      </c>
    </row>
    <row r="1732" spans="1:14" x14ac:dyDescent="0.25">
      <c r="A1732" s="11">
        <v>46053</v>
      </c>
      <c r="B1732" s="5" t="s">
        <v>836</v>
      </c>
      <c r="C1732" s="3" t="s">
        <v>128</v>
      </c>
      <c r="D1732" s="5" t="s">
        <v>121</v>
      </c>
      <c r="E1732" s="5" t="s">
        <v>112</v>
      </c>
      <c r="F1732" s="6" t="s">
        <v>796</v>
      </c>
      <c r="G1732" s="4" t="s">
        <v>1</v>
      </c>
      <c r="H1732" s="25">
        <v>82.105034309999994</v>
      </c>
      <c r="I1732" s="8">
        <v>-6</v>
      </c>
      <c r="J1732" s="9">
        <v>0</v>
      </c>
      <c r="K1732" s="7">
        <v>6</v>
      </c>
      <c r="L1732" s="24">
        <f>+Tabla2[[#This Row],[Stock Inventario]]*Tabla2[[#This Row],[Coste LÃ­nea]]</f>
        <v>0</v>
      </c>
      <c r="M1732" s="24">
        <f>+Tabla2[[#This Row],[Variación Stock]]*Tabla2[[#This Row],[Coste LÃ­nea]]</f>
        <v>492.63020585999993</v>
      </c>
      <c r="N1732" s="22" t="str">
        <f>+IF(Tabla2[[#This Row],[Variación Stock]]&gt;0,"Sobrante",IF(Tabla2[[#This Row],[Variación Stock]]&lt;0,"Faltante","Sin novedad"))</f>
        <v>Sobrante</v>
      </c>
    </row>
    <row r="1733" spans="1:14" hidden="1" x14ac:dyDescent="0.25">
      <c r="A1733" s="11">
        <v>46053</v>
      </c>
      <c r="B1733" s="5" t="s">
        <v>836</v>
      </c>
      <c r="C1733" s="3" t="s">
        <v>128</v>
      </c>
      <c r="D1733" s="5" t="s">
        <v>120</v>
      </c>
      <c r="E1733" s="5" t="s">
        <v>117</v>
      </c>
      <c r="F1733" s="6" t="s">
        <v>933</v>
      </c>
      <c r="G1733" s="4" t="s">
        <v>1</v>
      </c>
      <c r="H1733" s="25">
        <v>14.152514480000001</v>
      </c>
      <c r="I1733" s="8">
        <v>8668</v>
      </c>
      <c r="J1733" s="9">
        <v>5831</v>
      </c>
      <c r="K1733" s="7">
        <v>-2837</v>
      </c>
      <c r="L1733" s="24">
        <f>+Tabla2[[#This Row],[Stock Inventario]]*Tabla2[[#This Row],[Coste LÃ­nea]]</f>
        <v>82523.311932880009</v>
      </c>
      <c r="M1733" s="24">
        <f>+Tabla2[[#This Row],[Variación Stock]]*Tabla2[[#This Row],[Coste LÃ­nea]]</f>
        <v>-40150.68357976</v>
      </c>
      <c r="N1733" s="22" t="str">
        <f>+IF(Tabla2[[#This Row],[Variación Stock]]&gt;0,"Sobrante",IF(Tabla2[[#This Row],[Variación Stock]]&lt;0,"Faltante","Sin novedad"))</f>
        <v>Faltante</v>
      </c>
    </row>
    <row r="1734" spans="1:14" hidden="1" x14ac:dyDescent="0.25">
      <c r="A1734" s="11">
        <v>46053</v>
      </c>
      <c r="B1734" s="5" t="s">
        <v>836</v>
      </c>
      <c r="C1734" s="3" t="s">
        <v>128</v>
      </c>
      <c r="D1734" s="5" t="s">
        <v>120</v>
      </c>
      <c r="E1734" s="5" t="s">
        <v>117</v>
      </c>
      <c r="F1734" s="6" t="s">
        <v>743</v>
      </c>
      <c r="G1734" s="4" t="s">
        <v>1</v>
      </c>
      <c r="H1734" s="25">
        <v>22.414463130000001</v>
      </c>
      <c r="I1734" s="8">
        <v>819</v>
      </c>
      <c r="J1734" s="9">
        <v>2078</v>
      </c>
      <c r="K1734" s="7">
        <v>1259</v>
      </c>
      <c r="L1734" s="24">
        <f>+Tabla2[[#This Row],[Stock Inventario]]*Tabla2[[#This Row],[Coste LÃ­nea]]</f>
        <v>46577.254384140004</v>
      </c>
      <c r="M1734" s="24">
        <f>+Tabla2[[#This Row],[Variación Stock]]*Tabla2[[#This Row],[Coste LÃ­nea]]</f>
        <v>28219.809080670002</v>
      </c>
      <c r="N1734" s="22" t="str">
        <f>+IF(Tabla2[[#This Row],[Variación Stock]]&gt;0,"Sobrante",IF(Tabla2[[#This Row],[Variación Stock]]&lt;0,"Faltante","Sin novedad"))</f>
        <v>Sobrante</v>
      </c>
    </row>
    <row r="1735" spans="1:14" hidden="1" x14ac:dyDescent="0.25">
      <c r="A1735" s="11">
        <v>46053</v>
      </c>
      <c r="B1735" s="5" t="s">
        <v>836</v>
      </c>
      <c r="C1735" s="3" t="s">
        <v>128</v>
      </c>
      <c r="D1735" s="5" t="s">
        <v>120</v>
      </c>
      <c r="E1735" s="5" t="s">
        <v>117</v>
      </c>
      <c r="F1735" s="6" t="s">
        <v>934</v>
      </c>
      <c r="G1735" s="4" t="s">
        <v>1</v>
      </c>
      <c r="H1735" s="25">
        <v>35.883327999999999</v>
      </c>
      <c r="I1735" s="8">
        <v>8</v>
      </c>
      <c r="J1735" s="9">
        <v>2802</v>
      </c>
      <c r="K1735" s="7">
        <v>2794</v>
      </c>
      <c r="L1735" s="24">
        <f>+Tabla2[[#This Row],[Stock Inventario]]*Tabla2[[#This Row],[Coste LÃ­nea]]</f>
        <v>100545.085056</v>
      </c>
      <c r="M1735" s="24">
        <f>+Tabla2[[#This Row],[Variación Stock]]*Tabla2[[#This Row],[Coste LÃ­nea]]</f>
        <v>100258.018432</v>
      </c>
      <c r="N1735" s="22" t="str">
        <f>+IF(Tabla2[[#This Row],[Variación Stock]]&gt;0,"Sobrante",IF(Tabla2[[#This Row],[Variación Stock]]&lt;0,"Faltante","Sin novedad"))</f>
        <v>Sobrante</v>
      </c>
    </row>
    <row r="1736" spans="1:14" hidden="1" x14ac:dyDescent="0.25">
      <c r="A1736" s="11">
        <v>46053</v>
      </c>
      <c r="B1736" s="5" t="s">
        <v>836</v>
      </c>
      <c r="C1736" s="3" t="s">
        <v>128</v>
      </c>
      <c r="D1736" s="5" t="s">
        <v>120</v>
      </c>
      <c r="E1736" s="5" t="s">
        <v>117</v>
      </c>
      <c r="F1736" s="6" t="s">
        <v>935</v>
      </c>
      <c r="G1736" s="4" t="s">
        <v>1</v>
      </c>
      <c r="H1736" s="25">
        <v>13.46558452</v>
      </c>
      <c r="I1736" s="8">
        <v>0</v>
      </c>
      <c r="J1736" s="9">
        <v>0</v>
      </c>
      <c r="K1736" s="7">
        <v>0</v>
      </c>
      <c r="L1736" s="24">
        <f>+Tabla2[[#This Row],[Stock Inventario]]*Tabla2[[#This Row],[Coste LÃ­nea]]</f>
        <v>0</v>
      </c>
      <c r="M1736" s="24">
        <f>+Tabla2[[#This Row],[Variación Stock]]*Tabla2[[#This Row],[Coste LÃ­nea]]</f>
        <v>0</v>
      </c>
      <c r="N1736" s="22" t="str">
        <f>+IF(Tabla2[[#This Row],[Variación Stock]]&gt;0,"Sobrante",IF(Tabla2[[#This Row],[Variación Stock]]&lt;0,"Faltante","Sin novedad"))</f>
        <v>Sin novedad</v>
      </c>
    </row>
    <row r="1737" spans="1:14" hidden="1" x14ac:dyDescent="0.25">
      <c r="A1737" s="11">
        <v>46053</v>
      </c>
      <c r="B1737" s="5" t="s">
        <v>836</v>
      </c>
      <c r="C1737" s="3" t="s">
        <v>128</v>
      </c>
      <c r="D1737" s="5" t="s">
        <v>120</v>
      </c>
      <c r="E1737" s="5" t="s">
        <v>117</v>
      </c>
      <c r="F1737" s="6" t="s">
        <v>936</v>
      </c>
      <c r="G1737" s="4" t="s">
        <v>1</v>
      </c>
      <c r="H1737" s="25">
        <v>13.213938410000001</v>
      </c>
      <c r="I1737" s="8">
        <v>3036</v>
      </c>
      <c r="J1737" s="9">
        <v>2552</v>
      </c>
      <c r="K1737" s="7">
        <v>-484</v>
      </c>
      <c r="L1737" s="24">
        <f>+Tabla2[[#This Row],[Stock Inventario]]*Tabla2[[#This Row],[Coste LÃ­nea]]</f>
        <v>33721.97082232</v>
      </c>
      <c r="M1737" s="24">
        <f>+Tabla2[[#This Row],[Variación Stock]]*Tabla2[[#This Row],[Coste LÃ­nea]]</f>
        <v>-6395.5461904400008</v>
      </c>
      <c r="N1737" s="22" t="str">
        <f>+IF(Tabla2[[#This Row],[Variación Stock]]&gt;0,"Sobrante",IF(Tabla2[[#This Row],[Variación Stock]]&lt;0,"Faltante","Sin novedad"))</f>
        <v>Faltante</v>
      </c>
    </row>
    <row r="1738" spans="1:14" hidden="1" x14ac:dyDescent="0.25">
      <c r="A1738" s="11">
        <v>46053</v>
      </c>
      <c r="B1738" s="5" t="s">
        <v>836</v>
      </c>
      <c r="C1738" s="3" t="s">
        <v>128</v>
      </c>
      <c r="D1738" s="5" t="s">
        <v>120</v>
      </c>
      <c r="E1738" s="5" t="s">
        <v>117</v>
      </c>
      <c r="F1738" s="6" t="s">
        <v>748</v>
      </c>
      <c r="G1738" s="4" t="s">
        <v>1</v>
      </c>
      <c r="H1738" s="25">
        <v>18.481254700000001</v>
      </c>
      <c r="I1738" s="8">
        <v>1064</v>
      </c>
      <c r="J1738" s="9">
        <v>1600</v>
      </c>
      <c r="K1738" s="7">
        <v>536</v>
      </c>
      <c r="L1738" s="24">
        <f>+Tabla2[[#This Row],[Stock Inventario]]*Tabla2[[#This Row],[Coste LÃ­nea]]</f>
        <v>29570.007520000003</v>
      </c>
      <c r="M1738" s="24">
        <f>+Tabla2[[#This Row],[Variación Stock]]*Tabla2[[#This Row],[Coste LÃ­nea]]</f>
        <v>9905.9525192000001</v>
      </c>
      <c r="N1738" s="22" t="str">
        <f>+IF(Tabla2[[#This Row],[Variación Stock]]&gt;0,"Sobrante",IF(Tabla2[[#This Row],[Variación Stock]]&lt;0,"Faltante","Sin novedad"))</f>
        <v>Sobrante</v>
      </c>
    </row>
    <row r="1739" spans="1:14" hidden="1" x14ac:dyDescent="0.25">
      <c r="A1739" s="11">
        <v>46053</v>
      </c>
      <c r="B1739" s="5" t="s">
        <v>836</v>
      </c>
      <c r="C1739" s="3" t="s">
        <v>128</v>
      </c>
      <c r="D1739" s="5" t="s">
        <v>120</v>
      </c>
      <c r="E1739" s="5" t="s">
        <v>117</v>
      </c>
      <c r="F1739" s="6" t="s">
        <v>937</v>
      </c>
      <c r="G1739" s="4" t="s">
        <v>1</v>
      </c>
      <c r="H1739" s="25">
        <v>57.183064739999999</v>
      </c>
      <c r="I1739" s="8">
        <v>-788</v>
      </c>
      <c r="J1739" s="9">
        <v>130</v>
      </c>
      <c r="K1739" s="7">
        <v>918</v>
      </c>
      <c r="L1739" s="24">
        <f>+Tabla2[[#This Row],[Stock Inventario]]*Tabla2[[#This Row],[Coste LÃ­nea]]</f>
        <v>7433.7984162000002</v>
      </c>
      <c r="M1739" s="24">
        <f>+Tabla2[[#This Row],[Variación Stock]]*Tabla2[[#This Row],[Coste LÃ­nea]]</f>
        <v>52494.053431319997</v>
      </c>
      <c r="N1739" s="22" t="str">
        <f>+IF(Tabla2[[#This Row],[Variación Stock]]&gt;0,"Sobrante",IF(Tabla2[[#This Row],[Variación Stock]]&lt;0,"Faltante","Sin novedad"))</f>
        <v>Sobrante</v>
      </c>
    </row>
    <row r="1740" spans="1:14" hidden="1" x14ac:dyDescent="0.25">
      <c r="A1740" s="11">
        <v>46053</v>
      </c>
      <c r="B1740" s="5" t="s">
        <v>836</v>
      </c>
      <c r="C1740" s="3" t="s">
        <v>128</v>
      </c>
      <c r="D1740" s="5" t="s">
        <v>120</v>
      </c>
      <c r="E1740" s="5" t="s">
        <v>117</v>
      </c>
      <c r="F1740" s="6" t="s">
        <v>938</v>
      </c>
      <c r="G1740" s="4" t="s">
        <v>1</v>
      </c>
      <c r="H1740" s="25">
        <v>30.706439169999999</v>
      </c>
      <c r="I1740" s="8">
        <v>-120</v>
      </c>
      <c r="J1740" s="9">
        <v>0</v>
      </c>
      <c r="K1740" s="7">
        <v>120</v>
      </c>
      <c r="L1740" s="24">
        <f>+Tabla2[[#This Row],[Stock Inventario]]*Tabla2[[#This Row],[Coste LÃ­nea]]</f>
        <v>0</v>
      </c>
      <c r="M1740" s="24">
        <f>+Tabla2[[#This Row],[Variación Stock]]*Tabla2[[#This Row],[Coste LÃ­nea]]</f>
        <v>3684.7727003999998</v>
      </c>
      <c r="N1740" s="22" t="str">
        <f>+IF(Tabla2[[#This Row],[Variación Stock]]&gt;0,"Sobrante",IF(Tabla2[[#This Row],[Variación Stock]]&lt;0,"Faltante","Sin novedad"))</f>
        <v>Sobrante</v>
      </c>
    </row>
    <row r="1741" spans="1:14" hidden="1" x14ac:dyDescent="0.25">
      <c r="A1741" s="11">
        <v>46053</v>
      </c>
      <c r="B1741" s="5" t="s">
        <v>836</v>
      </c>
      <c r="C1741" s="3" t="s">
        <v>128</v>
      </c>
      <c r="D1741" s="5" t="s">
        <v>120</v>
      </c>
      <c r="E1741" s="5" t="s">
        <v>117</v>
      </c>
      <c r="F1741" s="6" t="s">
        <v>939</v>
      </c>
      <c r="G1741" s="4" t="s">
        <v>1</v>
      </c>
      <c r="H1741" s="25">
        <v>24.103052129999998</v>
      </c>
      <c r="I1741" s="8">
        <v>-2052</v>
      </c>
      <c r="J1741" s="9">
        <v>1582</v>
      </c>
      <c r="K1741" s="7">
        <v>3634</v>
      </c>
      <c r="L1741" s="24">
        <f>+Tabla2[[#This Row],[Stock Inventario]]*Tabla2[[#This Row],[Coste LÃ­nea]]</f>
        <v>38131.028469659999</v>
      </c>
      <c r="M1741" s="24">
        <f>+Tabla2[[#This Row],[Variación Stock]]*Tabla2[[#This Row],[Coste LÃ­nea]]</f>
        <v>87590.491440419995</v>
      </c>
      <c r="N1741" s="22" t="str">
        <f>+IF(Tabla2[[#This Row],[Variación Stock]]&gt;0,"Sobrante",IF(Tabla2[[#This Row],[Variación Stock]]&lt;0,"Faltante","Sin novedad"))</f>
        <v>Sobrante</v>
      </c>
    </row>
    <row r="1742" spans="1:14" x14ac:dyDescent="0.25">
      <c r="A1742" s="11">
        <v>46053</v>
      </c>
      <c r="B1742" s="5" t="s">
        <v>836</v>
      </c>
      <c r="C1742" s="3" t="s">
        <v>128</v>
      </c>
      <c r="D1742" s="5" t="s">
        <v>121</v>
      </c>
      <c r="E1742" s="5" t="s">
        <v>112</v>
      </c>
      <c r="F1742" s="6" t="s">
        <v>952</v>
      </c>
      <c r="G1742" s="4" t="s">
        <v>1</v>
      </c>
      <c r="H1742" s="25">
        <v>7.0442404200000004</v>
      </c>
      <c r="I1742" s="8">
        <v>640</v>
      </c>
      <c r="J1742" s="9">
        <v>734</v>
      </c>
      <c r="K1742" s="7">
        <v>94</v>
      </c>
      <c r="L1742" s="24">
        <f>+Tabla2[[#This Row],[Stock Inventario]]*Tabla2[[#This Row],[Coste LÃ­nea]]</f>
        <v>5170.4724682800006</v>
      </c>
      <c r="M1742" s="24">
        <f>+Tabla2[[#This Row],[Variación Stock]]*Tabla2[[#This Row],[Coste LÃ­nea]]</f>
        <v>662.15859948000002</v>
      </c>
      <c r="N1742" s="22" t="str">
        <f>+IF(Tabla2[[#This Row],[Variación Stock]]&gt;0,"Sobrante",IF(Tabla2[[#This Row],[Variación Stock]]&lt;0,"Faltante","Sin novedad"))</f>
        <v>Sobrante</v>
      </c>
    </row>
    <row r="1743" spans="1:14" x14ac:dyDescent="0.25">
      <c r="A1743" s="11">
        <v>46053</v>
      </c>
      <c r="B1743" s="5" t="s">
        <v>836</v>
      </c>
      <c r="C1743" s="3" t="s">
        <v>128</v>
      </c>
      <c r="D1743" s="5" t="s">
        <v>121</v>
      </c>
      <c r="E1743" s="5" t="s">
        <v>112</v>
      </c>
      <c r="F1743" s="6" t="s">
        <v>797</v>
      </c>
      <c r="G1743" s="4" t="s">
        <v>1</v>
      </c>
      <c r="H1743" s="25">
        <v>10.599627910000001</v>
      </c>
      <c r="I1743" s="8">
        <v>2235</v>
      </c>
      <c r="J1743" s="9">
        <v>2000</v>
      </c>
      <c r="K1743" s="7">
        <v>-235</v>
      </c>
      <c r="L1743" s="24">
        <f>+Tabla2[[#This Row],[Stock Inventario]]*Tabla2[[#This Row],[Coste LÃ­nea]]</f>
        <v>21199.255820000002</v>
      </c>
      <c r="M1743" s="24">
        <f>+Tabla2[[#This Row],[Variación Stock]]*Tabla2[[#This Row],[Coste LÃ­nea]]</f>
        <v>-2490.9125588500001</v>
      </c>
      <c r="N1743" s="22" t="str">
        <f>+IF(Tabla2[[#This Row],[Variación Stock]]&gt;0,"Sobrante",IF(Tabla2[[#This Row],[Variación Stock]]&lt;0,"Faltante","Sin novedad"))</f>
        <v>Faltante</v>
      </c>
    </row>
    <row r="1744" spans="1:14" x14ac:dyDescent="0.25">
      <c r="A1744" s="11">
        <v>46053</v>
      </c>
      <c r="B1744" s="5" t="s">
        <v>836</v>
      </c>
      <c r="C1744" s="3" t="s">
        <v>128</v>
      </c>
      <c r="D1744" s="5" t="s">
        <v>121</v>
      </c>
      <c r="E1744" s="5" t="s">
        <v>112</v>
      </c>
      <c r="F1744" s="6" t="s">
        <v>953</v>
      </c>
      <c r="G1744" s="4" t="s">
        <v>1</v>
      </c>
      <c r="H1744" s="25">
        <v>4.3775615400000003</v>
      </c>
      <c r="I1744" s="8">
        <v>468</v>
      </c>
      <c r="J1744" s="9">
        <v>430</v>
      </c>
      <c r="K1744" s="7">
        <v>-38</v>
      </c>
      <c r="L1744" s="24">
        <f>+Tabla2[[#This Row],[Stock Inventario]]*Tabla2[[#This Row],[Coste LÃ­nea]]</f>
        <v>1882.3514622000002</v>
      </c>
      <c r="M1744" s="24">
        <f>+Tabla2[[#This Row],[Variación Stock]]*Tabla2[[#This Row],[Coste LÃ­nea]]</f>
        <v>-166.34733852000002</v>
      </c>
      <c r="N1744" s="22" t="str">
        <f>+IF(Tabla2[[#This Row],[Variación Stock]]&gt;0,"Sobrante",IF(Tabla2[[#This Row],[Variación Stock]]&lt;0,"Faltante","Sin novedad"))</f>
        <v>Faltante</v>
      </c>
    </row>
    <row r="1745" spans="1:14" hidden="1" x14ac:dyDescent="0.25">
      <c r="A1745" s="11">
        <v>46053</v>
      </c>
      <c r="B1745" s="5" t="s">
        <v>836</v>
      </c>
      <c r="C1745" s="3" t="s">
        <v>128</v>
      </c>
      <c r="D1745" s="5" t="s">
        <v>120</v>
      </c>
      <c r="E1745" s="5" t="s">
        <v>117</v>
      </c>
      <c r="F1745" s="6" t="s">
        <v>211</v>
      </c>
      <c r="G1745" s="4" t="s">
        <v>2</v>
      </c>
      <c r="H1745" s="25">
        <v>4733.1649655000001</v>
      </c>
      <c r="I1745" s="8">
        <v>42.5</v>
      </c>
      <c r="J1745" s="9">
        <v>42.5</v>
      </c>
      <c r="K1745" s="7">
        <v>0</v>
      </c>
      <c r="L1745" s="24">
        <f>+Tabla2[[#This Row],[Stock Inventario]]*Tabla2[[#This Row],[Coste LÃ­nea]]</f>
        <v>201159.51103374999</v>
      </c>
      <c r="M1745" s="24">
        <f>+Tabla2[[#This Row],[Variación Stock]]*Tabla2[[#This Row],[Coste LÃ­nea]]</f>
        <v>0</v>
      </c>
      <c r="N1745" s="22" t="str">
        <f>+IF(Tabla2[[#This Row],[Variación Stock]]&gt;0,"Sobrante",IF(Tabla2[[#This Row],[Variación Stock]]&lt;0,"Faltante","Sin novedad"))</f>
        <v>Sin novedad</v>
      </c>
    </row>
    <row r="1746" spans="1:14" hidden="1" x14ac:dyDescent="0.25">
      <c r="A1746" s="11">
        <v>46053</v>
      </c>
      <c r="B1746" s="5" t="s">
        <v>836</v>
      </c>
      <c r="C1746" s="3" t="s">
        <v>128</v>
      </c>
      <c r="D1746" s="5" t="s">
        <v>120</v>
      </c>
      <c r="E1746" s="5" t="s">
        <v>117</v>
      </c>
      <c r="F1746" s="6" t="s">
        <v>940</v>
      </c>
      <c r="G1746" s="4" t="s">
        <v>1</v>
      </c>
      <c r="H1746" s="25">
        <v>18.2028824</v>
      </c>
      <c r="I1746" s="8">
        <v>4163</v>
      </c>
      <c r="J1746" s="9">
        <v>1428</v>
      </c>
      <c r="K1746" s="7">
        <v>-2735</v>
      </c>
      <c r="L1746" s="24">
        <f>+Tabla2[[#This Row],[Stock Inventario]]*Tabla2[[#This Row],[Coste LÃ­nea]]</f>
        <v>25993.716067199999</v>
      </c>
      <c r="M1746" s="24">
        <f>+Tabla2[[#This Row],[Variación Stock]]*Tabla2[[#This Row],[Coste LÃ­nea]]</f>
        <v>-49784.883364000001</v>
      </c>
      <c r="N1746" s="22" t="str">
        <f>+IF(Tabla2[[#This Row],[Variación Stock]]&gt;0,"Sobrante",IF(Tabla2[[#This Row],[Variación Stock]]&lt;0,"Faltante","Sin novedad"))</f>
        <v>Faltante</v>
      </c>
    </row>
    <row r="1747" spans="1:14" hidden="1" x14ac:dyDescent="0.25">
      <c r="A1747" s="11">
        <v>46053</v>
      </c>
      <c r="B1747" s="5" t="s">
        <v>836</v>
      </c>
      <c r="C1747" s="3" t="s">
        <v>128</v>
      </c>
      <c r="D1747" s="5" t="s">
        <v>120</v>
      </c>
      <c r="E1747" s="5" t="s">
        <v>117</v>
      </c>
      <c r="F1747" s="6" t="s">
        <v>941</v>
      </c>
      <c r="G1747" s="4" t="s">
        <v>1</v>
      </c>
      <c r="H1747" s="25">
        <v>44.585987320000001</v>
      </c>
      <c r="I1747" s="8">
        <v>28</v>
      </c>
      <c r="J1747" s="9">
        <v>802</v>
      </c>
      <c r="K1747" s="7">
        <v>774</v>
      </c>
      <c r="L1747" s="24">
        <f>+Tabla2[[#This Row],[Stock Inventario]]*Tabla2[[#This Row],[Coste LÃ­nea]]</f>
        <v>35757.961830640001</v>
      </c>
      <c r="M1747" s="24">
        <f>+Tabla2[[#This Row],[Variación Stock]]*Tabla2[[#This Row],[Coste LÃ­nea]]</f>
        <v>34509.554185679997</v>
      </c>
      <c r="N1747" s="22" t="str">
        <f>+IF(Tabla2[[#This Row],[Variación Stock]]&gt;0,"Sobrante",IF(Tabla2[[#This Row],[Variación Stock]]&lt;0,"Faltante","Sin novedad"))</f>
        <v>Sobrante</v>
      </c>
    </row>
    <row r="1748" spans="1:14" hidden="1" x14ac:dyDescent="0.25">
      <c r="A1748" s="11">
        <v>46053</v>
      </c>
      <c r="B1748" s="5" t="s">
        <v>836</v>
      </c>
      <c r="C1748" s="3" t="s">
        <v>128</v>
      </c>
      <c r="D1748" s="5" t="s">
        <v>120</v>
      </c>
      <c r="E1748" s="5" t="s">
        <v>117</v>
      </c>
      <c r="F1748" s="6" t="s">
        <v>942</v>
      </c>
      <c r="G1748" s="4" t="s">
        <v>1</v>
      </c>
      <c r="H1748" s="25">
        <v>15.70452989</v>
      </c>
      <c r="I1748" s="8">
        <v>31934</v>
      </c>
      <c r="J1748" s="9">
        <v>5862</v>
      </c>
      <c r="K1748" s="7">
        <v>-26072</v>
      </c>
      <c r="L1748" s="24">
        <f>+Tabla2[[#This Row],[Stock Inventario]]*Tabla2[[#This Row],[Coste LÃ­nea]]</f>
        <v>92059.954215179998</v>
      </c>
      <c r="M1748" s="24">
        <f>+Tabla2[[#This Row],[Variación Stock]]*Tabla2[[#This Row],[Coste LÃ­nea]]</f>
        <v>-409448.50329208001</v>
      </c>
      <c r="N1748" s="22" t="str">
        <f>+IF(Tabla2[[#This Row],[Variación Stock]]&gt;0,"Sobrante",IF(Tabla2[[#This Row],[Variación Stock]]&lt;0,"Faltante","Sin novedad"))</f>
        <v>Faltante</v>
      </c>
    </row>
    <row r="1749" spans="1:14" x14ac:dyDescent="0.25">
      <c r="A1749" s="11">
        <v>46053</v>
      </c>
      <c r="B1749" s="5" t="s">
        <v>836</v>
      </c>
      <c r="C1749" s="3" t="s">
        <v>128</v>
      </c>
      <c r="D1749" s="5" t="s">
        <v>121</v>
      </c>
      <c r="E1749" s="5" t="s">
        <v>112</v>
      </c>
      <c r="F1749" s="6" t="s">
        <v>354</v>
      </c>
      <c r="G1749" s="4" t="s">
        <v>1</v>
      </c>
      <c r="H1749" s="25">
        <v>66.666666669999998</v>
      </c>
      <c r="I1749" s="8">
        <v>-187</v>
      </c>
      <c r="J1749" s="9">
        <v>350</v>
      </c>
      <c r="K1749" s="7">
        <v>537</v>
      </c>
      <c r="L1749" s="24">
        <f>+Tabla2[[#This Row],[Stock Inventario]]*Tabla2[[#This Row],[Coste LÃ­nea]]</f>
        <v>23333.333334499999</v>
      </c>
      <c r="M1749" s="24">
        <f>+Tabla2[[#This Row],[Variación Stock]]*Tabla2[[#This Row],[Coste LÃ­nea]]</f>
        <v>35800.000001790002</v>
      </c>
      <c r="N1749" s="22" t="str">
        <f>+IF(Tabla2[[#This Row],[Variación Stock]]&gt;0,"Sobrante",IF(Tabla2[[#This Row],[Variación Stock]]&lt;0,"Faltante","Sin novedad"))</f>
        <v>Sobrante</v>
      </c>
    </row>
    <row r="1750" spans="1:14" hidden="1" x14ac:dyDescent="0.25">
      <c r="A1750" s="11">
        <v>46053</v>
      </c>
      <c r="B1750" s="5" t="s">
        <v>836</v>
      </c>
      <c r="C1750" s="3" t="s">
        <v>128</v>
      </c>
      <c r="D1750" s="5" t="s">
        <v>120</v>
      </c>
      <c r="E1750" s="5" t="s">
        <v>117</v>
      </c>
      <c r="F1750" s="6" t="s">
        <v>96</v>
      </c>
      <c r="G1750" s="4" t="s">
        <v>2</v>
      </c>
      <c r="H1750" s="25">
        <v>3052.6708074500002</v>
      </c>
      <c r="I1750" s="8">
        <v>11.5</v>
      </c>
      <c r="J1750" s="9">
        <v>48</v>
      </c>
      <c r="K1750" s="7">
        <v>36.5</v>
      </c>
      <c r="L1750" s="24">
        <f>+Tabla2[[#This Row],[Stock Inventario]]*Tabla2[[#This Row],[Coste LÃ­nea]]</f>
        <v>146528.19875760001</v>
      </c>
      <c r="M1750" s="24">
        <f>+Tabla2[[#This Row],[Variación Stock]]*Tabla2[[#This Row],[Coste LÃ­nea]]</f>
        <v>111422.48447192501</v>
      </c>
      <c r="N1750" s="22" t="str">
        <f>+IF(Tabla2[[#This Row],[Variación Stock]]&gt;0,"Sobrante",IF(Tabla2[[#This Row],[Variación Stock]]&lt;0,"Faltante","Sin novedad"))</f>
        <v>Sobrante</v>
      </c>
    </row>
    <row r="1751" spans="1:14" hidden="1" x14ac:dyDescent="0.25">
      <c r="A1751" s="11">
        <v>46053</v>
      </c>
      <c r="B1751" s="5" t="s">
        <v>836</v>
      </c>
      <c r="C1751" s="3" t="s">
        <v>128</v>
      </c>
      <c r="D1751" s="5" t="s">
        <v>120</v>
      </c>
      <c r="E1751" s="5" t="s">
        <v>117</v>
      </c>
      <c r="F1751" s="6" t="s">
        <v>943</v>
      </c>
      <c r="G1751" s="4" t="s">
        <v>1</v>
      </c>
      <c r="H1751" s="25">
        <v>6.11583729</v>
      </c>
      <c r="I1751" s="8">
        <v>898</v>
      </c>
      <c r="J1751" s="9">
        <v>1164</v>
      </c>
      <c r="K1751" s="7">
        <v>266</v>
      </c>
      <c r="L1751" s="24">
        <f>+Tabla2[[#This Row],[Stock Inventario]]*Tabla2[[#This Row],[Coste LÃ­nea]]</f>
        <v>7118.8346055599995</v>
      </c>
      <c r="M1751" s="24">
        <f>+Tabla2[[#This Row],[Variación Stock]]*Tabla2[[#This Row],[Coste LÃ­nea]]</f>
        <v>1626.8127191399999</v>
      </c>
      <c r="N1751" s="22" t="str">
        <f>+IF(Tabla2[[#This Row],[Variación Stock]]&gt;0,"Sobrante",IF(Tabla2[[#This Row],[Variación Stock]]&lt;0,"Faltante","Sin novedad"))</f>
        <v>Sobrante</v>
      </c>
    </row>
    <row r="1752" spans="1:14" hidden="1" x14ac:dyDescent="0.25">
      <c r="A1752" s="11">
        <v>46053</v>
      </c>
      <c r="B1752" s="5" t="s">
        <v>836</v>
      </c>
      <c r="C1752" s="3" t="s">
        <v>128</v>
      </c>
      <c r="D1752" s="5" t="s">
        <v>120</v>
      </c>
      <c r="E1752" s="5" t="s">
        <v>117</v>
      </c>
      <c r="F1752" s="6" t="s">
        <v>763</v>
      </c>
      <c r="G1752" s="4" t="s">
        <v>1</v>
      </c>
      <c r="H1752" s="25">
        <v>34.423526010000003</v>
      </c>
      <c r="I1752" s="8">
        <v>-220</v>
      </c>
      <c r="J1752" s="9">
        <v>0</v>
      </c>
      <c r="K1752" s="7">
        <v>220</v>
      </c>
      <c r="L1752" s="24">
        <f>+Tabla2[[#This Row],[Stock Inventario]]*Tabla2[[#This Row],[Coste LÃ­nea]]</f>
        <v>0</v>
      </c>
      <c r="M1752" s="24">
        <f>+Tabla2[[#This Row],[Variación Stock]]*Tabla2[[#This Row],[Coste LÃ­nea]]</f>
        <v>7573.1757222000006</v>
      </c>
      <c r="N1752" s="22" t="str">
        <f>+IF(Tabla2[[#This Row],[Variación Stock]]&gt;0,"Sobrante",IF(Tabla2[[#This Row],[Variación Stock]]&lt;0,"Faltante","Sin novedad"))</f>
        <v>Sobrante</v>
      </c>
    </row>
    <row r="1753" spans="1:14" hidden="1" x14ac:dyDescent="0.25">
      <c r="A1753" s="11">
        <v>46053</v>
      </c>
      <c r="B1753" s="5" t="s">
        <v>836</v>
      </c>
      <c r="C1753" s="3" t="s">
        <v>128</v>
      </c>
      <c r="D1753" s="5" t="s">
        <v>120</v>
      </c>
      <c r="E1753" s="5" t="s">
        <v>117</v>
      </c>
      <c r="F1753" s="6" t="s">
        <v>764</v>
      </c>
      <c r="G1753" s="4" t="s">
        <v>1</v>
      </c>
      <c r="H1753" s="25">
        <v>27.28597044</v>
      </c>
      <c r="I1753" s="8">
        <v>-2642</v>
      </c>
      <c r="J1753" s="9">
        <v>770</v>
      </c>
      <c r="K1753" s="7">
        <v>3412</v>
      </c>
      <c r="L1753" s="24">
        <f>+Tabla2[[#This Row],[Stock Inventario]]*Tabla2[[#This Row],[Coste LÃ­nea]]</f>
        <v>21010.197238799999</v>
      </c>
      <c r="M1753" s="24">
        <f>+Tabla2[[#This Row],[Variación Stock]]*Tabla2[[#This Row],[Coste LÃ­nea]]</f>
        <v>93099.731141280005</v>
      </c>
      <c r="N1753" s="22" t="str">
        <f>+IF(Tabla2[[#This Row],[Variación Stock]]&gt;0,"Sobrante",IF(Tabla2[[#This Row],[Variación Stock]]&lt;0,"Faltante","Sin novedad"))</f>
        <v>Sobrante</v>
      </c>
    </row>
    <row r="1754" spans="1:14" hidden="1" x14ac:dyDescent="0.25">
      <c r="A1754" s="11">
        <v>46053</v>
      </c>
      <c r="B1754" s="5" t="s">
        <v>836</v>
      </c>
      <c r="C1754" s="3" t="s">
        <v>128</v>
      </c>
      <c r="D1754" s="5" t="s">
        <v>120</v>
      </c>
      <c r="E1754" s="5" t="s">
        <v>117</v>
      </c>
      <c r="F1754" s="6" t="s">
        <v>944</v>
      </c>
      <c r="G1754" s="4" t="s">
        <v>2</v>
      </c>
      <c r="H1754" s="25">
        <v>3015.7335090000001</v>
      </c>
      <c r="I1754" s="8">
        <v>9</v>
      </c>
      <c r="J1754" s="9">
        <v>7</v>
      </c>
      <c r="K1754" s="7">
        <v>-2</v>
      </c>
      <c r="L1754" s="24">
        <f>+Tabla2[[#This Row],[Stock Inventario]]*Tabla2[[#This Row],[Coste LÃ­nea]]</f>
        <v>21110.134563</v>
      </c>
      <c r="M1754" s="24">
        <f>+Tabla2[[#This Row],[Variación Stock]]*Tabla2[[#This Row],[Coste LÃ­nea]]</f>
        <v>-6031.4670180000003</v>
      </c>
      <c r="N1754" s="22" t="str">
        <f>+IF(Tabla2[[#This Row],[Variación Stock]]&gt;0,"Sobrante",IF(Tabla2[[#This Row],[Variación Stock]]&lt;0,"Faltante","Sin novedad"))</f>
        <v>Faltante</v>
      </c>
    </row>
    <row r="1755" spans="1:14" x14ac:dyDescent="0.25">
      <c r="A1755" s="11">
        <v>46053</v>
      </c>
      <c r="B1755" s="5" t="s">
        <v>836</v>
      </c>
      <c r="C1755" s="3" t="s">
        <v>128</v>
      </c>
      <c r="D1755" s="5" t="s">
        <v>121</v>
      </c>
      <c r="E1755" s="5" t="s">
        <v>112</v>
      </c>
      <c r="F1755" s="6" t="s">
        <v>801</v>
      </c>
      <c r="G1755" s="4" t="s">
        <v>1</v>
      </c>
      <c r="H1755" s="25">
        <v>15.42857143</v>
      </c>
      <c r="I1755" s="8">
        <v>-44440</v>
      </c>
      <c r="J1755" s="9">
        <v>4500</v>
      </c>
      <c r="K1755" s="7">
        <v>48940</v>
      </c>
      <c r="L1755" s="24">
        <f>+Tabla2[[#This Row],[Stock Inventario]]*Tabla2[[#This Row],[Coste LÃ­nea]]</f>
        <v>69428.571435000005</v>
      </c>
      <c r="M1755" s="24">
        <f>+Tabla2[[#This Row],[Variación Stock]]*Tabla2[[#This Row],[Coste LÃ­nea]]</f>
        <v>755074.28578419995</v>
      </c>
      <c r="N1755" s="22" t="str">
        <f>+IF(Tabla2[[#This Row],[Variación Stock]]&gt;0,"Sobrante",IF(Tabla2[[#This Row],[Variación Stock]]&lt;0,"Faltante","Sin novedad"))</f>
        <v>Sobrante</v>
      </c>
    </row>
    <row r="1756" spans="1:14" x14ac:dyDescent="0.25">
      <c r="A1756" s="11">
        <v>46053</v>
      </c>
      <c r="B1756" s="5" t="s">
        <v>836</v>
      </c>
      <c r="C1756" s="3" t="s">
        <v>128</v>
      </c>
      <c r="D1756" s="5" t="s">
        <v>121</v>
      </c>
      <c r="E1756" s="5" t="s">
        <v>112</v>
      </c>
      <c r="F1756" s="6" t="s">
        <v>954</v>
      </c>
      <c r="G1756" s="4" t="s">
        <v>1</v>
      </c>
      <c r="H1756" s="25">
        <v>268.66996798000002</v>
      </c>
      <c r="I1756" s="8">
        <v>-3450</v>
      </c>
      <c r="J1756" s="9">
        <v>20</v>
      </c>
      <c r="K1756" s="7">
        <v>3470</v>
      </c>
      <c r="L1756" s="24">
        <f>+Tabla2[[#This Row],[Stock Inventario]]*Tabla2[[#This Row],[Coste LÃ­nea]]</f>
        <v>5373.3993596</v>
      </c>
      <c r="M1756" s="24">
        <f>+Tabla2[[#This Row],[Variación Stock]]*Tabla2[[#This Row],[Coste LÃ­nea]]</f>
        <v>932284.78889060009</v>
      </c>
      <c r="N1756" s="22" t="str">
        <f>+IF(Tabla2[[#This Row],[Variación Stock]]&gt;0,"Sobrante",IF(Tabla2[[#This Row],[Variación Stock]]&lt;0,"Faltante","Sin novedad"))</f>
        <v>Sobrante</v>
      </c>
    </row>
    <row r="1757" spans="1:14" hidden="1" x14ac:dyDescent="0.25">
      <c r="A1757" s="11">
        <v>46053</v>
      </c>
      <c r="B1757" s="5" t="s">
        <v>836</v>
      </c>
      <c r="C1757" s="3" t="s">
        <v>128</v>
      </c>
      <c r="D1757" s="5" t="s">
        <v>547</v>
      </c>
      <c r="E1757" s="5" t="s">
        <v>117</v>
      </c>
      <c r="F1757" s="6" t="s">
        <v>877</v>
      </c>
      <c r="G1757" s="4" t="s">
        <v>1</v>
      </c>
      <c r="H1757" s="25">
        <v>51.875</v>
      </c>
      <c r="I1757" s="8">
        <v>-3956</v>
      </c>
      <c r="J1757" s="9">
        <v>2800</v>
      </c>
      <c r="K1757" s="7">
        <v>6756</v>
      </c>
      <c r="L1757" s="24">
        <f>+Tabla2[[#This Row],[Stock Inventario]]*Tabla2[[#This Row],[Coste LÃ­nea]]</f>
        <v>145250</v>
      </c>
      <c r="M1757" s="24">
        <f>+Tabla2[[#This Row],[Variación Stock]]*Tabla2[[#This Row],[Coste LÃ­nea]]</f>
        <v>350467.5</v>
      </c>
      <c r="N1757" s="22" t="str">
        <f>+IF(Tabla2[[#This Row],[Variación Stock]]&gt;0,"Sobrante",IF(Tabla2[[#This Row],[Variación Stock]]&lt;0,"Faltante","Sin novedad"))</f>
        <v>Sobrante</v>
      </c>
    </row>
    <row r="1758" spans="1:14" x14ac:dyDescent="0.25">
      <c r="A1758" s="11">
        <v>46053</v>
      </c>
      <c r="B1758" s="5" t="s">
        <v>836</v>
      </c>
      <c r="C1758" s="3" t="s">
        <v>128</v>
      </c>
      <c r="D1758" s="5" t="s">
        <v>603</v>
      </c>
      <c r="E1758" s="5" t="s">
        <v>112</v>
      </c>
      <c r="F1758" s="6" t="s">
        <v>615</v>
      </c>
      <c r="G1758" s="4" t="s">
        <v>0</v>
      </c>
      <c r="H1758" s="25">
        <v>1738.90909091</v>
      </c>
      <c r="I1758" s="8">
        <v>-22</v>
      </c>
      <c r="J1758" s="9">
        <v>53</v>
      </c>
      <c r="K1758" s="7">
        <v>75</v>
      </c>
      <c r="L1758" s="24">
        <f>+Tabla2[[#This Row],[Stock Inventario]]*Tabla2[[#This Row],[Coste LÃ­nea]]</f>
        <v>92162.181818230005</v>
      </c>
      <c r="M1758" s="24">
        <f>+Tabla2[[#This Row],[Variación Stock]]*Tabla2[[#This Row],[Coste LÃ­nea]]</f>
        <v>130418.18181825</v>
      </c>
      <c r="N1758" s="22" t="str">
        <f>+IF(Tabla2[[#This Row],[Variación Stock]]&gt;0,"Sobrante",IF(Tabla2[[#This Row],[Variación Stock]]&lt;0,"Faltante","Sin novedad"))</f>
        <v>Sobrante</v>
      </c>
    </row>
    <row r="1759" spans="1:14" hidden="1" x14ac:dyDescent="0.25">
      <c r="A1759" s="11">
        <v>46053</v>
      </c>
      <c r="B1759" s="5" t="s">
        <v>836</v>
      </c>
      <c r="C1759" s="3" t="s">
        <v>128</v>
      </c>
      <c r="D1759" s="5" t="s">
        <v>396</v>
      </c>
      <c r="E1759" s="5" t="s">
        <v>117</v>
      </c>
      <c r="F1759" s="6" t="s">
        <v>454</v>
      </c>
      <c r="G1759" s="4" t="s">
        <v>0</v>
      </c>
      <c r="H1759" s="25">
        <v>1594</v>
      </c>
      <c r="I1759" s="8">
        <v>329.7</v>
      </c>
      <c r="J1759" s="9">
        <v>0</v>
      </c>
      <c r="K1759" s="7">
        <v>-329.7</v>
      </c>
      <c r="L1759" s="24">
        <f>+Tabla2[[#This Row],[Stock Inventario]]*Tabla2[[#This Row],[Coste LÃ­nea]]</f>
        <v>0</v>
      </c>
      <c r="M1759" s="24">
        <f>+Tabla2[[#This Row],[Variación Stock]]*Tabla2[[#This Row],[Coste LÃ­nea]]</f>
        <v>-525541.79999999993</v>
      </c>
      <c r="N1759" s="22" t="str">
        <f>+IF(Tabla2[[#This Row],[Variación Stock]]&gt;0,"Sobrante",IF(Tabla2[[#This Row],[Variación Stock]]&lt;0,"Faltante","Sin novedad"))</f>
        <v>Faltante</v>
      </c>
    </row>
    <row r="1760" spans="1:14" hidden="1" x14ac:dyDescent="0.25">
      <c r="A1760" s="11">
        <v>46053</v>
      </c>
      <c r="B1760" s="5" t="s">
        <v>836</v>
      </c>
      <c r="C1760" s="3" t="s">
        <v>128</v>
      </c>
      <c r="D1760" s="5" t="s">
        <v>626</v>
      </c>
      <c r="E1760" s="5" t="s">
        <v>1079</v>
      </c>
      <c r="F1760" s="6" t="s">
        <v>663</v>
      </c>
      <c r="G1760" s="4" t="s">
        <v>1</v>
      </c>
      <c r="H1760" s="25">
        <v>9.68065</v>
      </c>
      <c r="I1760" s="8">
        <v>20000</v>
      </c>
      <c r="J1760" s="9">
        <v>4000</v>
      </c>
      <c r="K1760" s="7">
        <v>-16000</v>
      </c>
      <c r="L1760" s="24">
        <f>+Tabla2[[#This Row],[Stock Inventario]]*Tabla2[[#This Row],[Coste LÃ­nea]]</f>
        <v>38722.6</v>
      </c>
      <c r="M1760" s="24">
        <f>+Tabla2[[#This Row],[Variación Stock]]*Tabla2[[#This Row],[Coste LÃ­nea]]</f>
        <v>-154890.4</v>
      </c>
      <c r="N1760" s="22" t="str">
        <f>+IF(Tabla2[[#This Row],[Variación Stock]]&gt;0,"Sobrante",IF(Tabla2[[#This Row],[Variación Stock]]&lt;0,"Faltante","Sin novedad"))</f>
        <v>Faltante</v>
      </c>
    </row>
    <row r="1761" spans="1:14" x14ac:dyDescent="0.25">
      <c r="A1761" s="11">
        <v>46053</v>
      </c>
      <c r="B1761" s="5" t="s">
        <v>836</v>
      </c>
      <c r="C1761" s="3" t="s">
        <v>128</v>
      </c>
      <c r="D1761" s="5" t="s">
        <v>603</v>
      </c>
      <c r="E1761" s="5" t="s">
        <v>112</v>
      </c>
      <c r="F1761" s="6" t="s">
        <v>889</v>
      </c>
      <c r="G1761" s="4" t="s">
        <v>0</v>
      </c>
      <c r="H1761" s="25">
        <v>1594</v>
      </c>
      <c r="I1761" s="8">
        <v>43</v>
      </c>
      <c r="J1761" s="9">
        <v>31</v>
      </c>
      <c r="K1761" s="7">
        <v>-12</v>
      </c>
      <c r="L1761" s="24">
        <f>+Tabla2[[#This Row],[Stock Inventario]]*Tabla2[[#This Row],[Coste LÃ­nea]]</f>
        <v>49414</v>
      </c>
      <c r="M1761" s="24">
        <f>+Tabla2[[#This Row],[Variación Stock]]*Tabla2[[#This Row],[Coste LÃ­nea]]</f>
        <v>-19128</v>
      </c>
      <c r="N1761" s="22" t="str">
        <f>+IF(Tabla2[[#This Row],[Variación Stock]]&gt;0,"Sobrante",IF(Tabla2[[#This Row],[Variación Stock]]&lt;0,"Faltante","Sin novedad"))</f>
        <v>Faltante</v>
      </c>
    </row>
    <row r="1762" spans="1:14" hidden="1" x14ac:dyDescent="0.25">
      <c r="A1762" s="11">
        <v>46053</v>
      </c>
      <c r="B1762" s="5" t="s">
        <v>836</v>
      </c>
      <c r="C1762" s="3" t="s">
        <v>128</v>
      </c>
      <c r="D1762" s="5" t="s">
        <v>396</v>
      </c>
      <c r="E1762" s="5" t="s">
        <v>117</v>
      </c>
      <c r="F1762" s="6" t="s">
        <v>840</v>
      </c>
      <c r="G1762" s="4" t="s">
        <v>0</v>
      </c>
      <c r="H1762" s="25">
        <v>2093.9545454499998</v>
      </c>
      <c r="I1762" s="8">
        <v>0</v>
      </c>
      <c r="J1762" s="9">
        <v>0</v>
      </c>
      <c r="K1762" s="7">
        <v>0</v>
      </c>
      <c r="L1762" s="24">
        <f>+Tabla2[[#This Row],[Stock Inventario]]*Tabla2[[#This Row],[Coste LÃ­nea]]</f>
        <v>0</v>
      </c>
      <c r="M1762" s="24">
        <f>+Tabla2[[#This Row],[Variación Stock]]*Tabla2[[#This Row],[Coste LÃ­nea]]</f>
        <v>0</v>
      </c>
      <c r="N1762" s="22" t="str">
        <f>+IF(Tabla2[[#This Row],[Variación Stock]]&gt;0,"Sobrante",IF(Tabla2[[#This Row],[Variación Stock]]&lt;0,"Faltante","Sin novedad"))</f>
        <v>Sin novedad</v>
      </c>
    </row>
    <row r="1763" spans="1:14" hidden="1" x14ac:dyDescent="0.25">
      <c r="A1763" s="11">
        <v>46053</v>
      </c>
      <c r="B1763" s="5" t="s">
        <v>836</v>
      </c>
      <c r="C1763" s="3" t="s">
        <v>128</v>
      </c>
      <c r="D1763" s="5" t="s">
        <v>396</v>
      </c>
      <c r="E1763" s="5" t="s">
        <v>117</v>
      </c>
      <c r="F1763" s="6" t="s">
        <v>837</v>
      </c>
      <c r="G1763" s="4" t="s">
        <v>2</v>
      </c>
      <c r="H1763" s="25">
        <v>0</v>
      </c>
      <c r="I1763" s="8">
        <v>-8</v>
      </c>
      <c r="J1763" s="9">
        <v>0</v>
      </c>
      <c r="K1763" s="7">
        <v>8</v>
      </c>
      <c r="L1763" s="24">
        <f>+Tabla2[[#This Row],[Stock Inventario]]*Tabla2[[#This Row],[Coste LÃ­nea]]</f>
        <v>0</v>
      </c>
      <c r="M1763" s="24">
        <f>+Tabla2[[#This Row],[Variación Stock]]*Tabla2[[#This Row],[Coste LÃ­nea]]</f>
        <v>0</v>
      </c>
      <c r="N1763" s="22" t="str">
        <f>+IF(Tabla2[[#This Row],[Variación Stock]]&gt;0,"Sobrante",IF(Tabla2[[#This Row],[Variación Stock]]&lt;0,"Faltante","Sin novedad"))</f>
        <v>Sobrante</v>
      </c>
    </row>
    <row r="1764" spans="1:14" hidden="1" x14ac:dyDescent="0.25">
      <c r="A1764" s="11">
        <v>46053</v>
      </c>
      <c r="B1764" s="5" t="s">
        <v>836</v>
      </c>
      <c r="C1764" s="3" t="s">
        <v>128</v>
      </c>
      <c r="D1764" s="5" t="s">
        <v>396</v>
      </c>
      <c r="E1764" s="5" t="s">
        <v>117</v>
      </c>
      <c r="F1764" s="6" t="s">
        <v>846</v>
      </c>
      <c r="G1764" s="4" t="s">
        <v>1</v>
      </c>
      <c r="H1764" s="25">
        <v>100.04</v>
      </c>
      <c r="I1764" s="8">
        <v>99</v>
      </c>
      <c r="J1764" s="9">
        <v>0</v>
      </c>
      <c r="K1764" s="7">
        <v>-99</v>
      </c>
      <c r="L1764" s="24">
        <f>+Tabla2[[#This Row],[Stock Inventario]]*Tabla2[[#This Row],[Coste LÃ­nea]]</f>
        <v>0</v>
      </c>
      <c r="M1764" s="24">
        <f>+Tabla2[[#This Row],[Variación Stock]]*Tabla2[[#This Row],[Coste LÃ­nea]]</f>
        <v>-9903.9600000000009</v>
      </c>
      <c r="N1764" s="22" t="str">
        <f>+IF(Tabla2[[#This Row],[Variación Stock]]&gt;0,"Sobrante",IF(Tabla2[[#This Row],[Variación Stock]]&lt;0,"Faltante","Sin novedad"))</f>
        <v>Faltante</v>
      </c>
    </row>
    <row r="1765" spans="1:14" x14ac:dyDescent="0.25">
      <c r="A1765" s="11">
        <v>46053</v>
      </c>
      <c r="B1765" s="5" t="s">
        <v>836</v>
      </c>
      <c r="C1765" s="3" t="s">
        <v>128</v>
      </c>
      <c r="D1765" s="5" t="s">
        <v>111</v>
      </c>
      <c r="E1765" s="5" t="s">
        <v>112</v>
      </c>
      <c r="F1765" s="6" t="s">
        <v>31</v>
      </c>
      <c r="G1765" s="4" t="s">
        <v>0</v>
      </c>
      <c r="H1765" s="25">
        <v>6774.5454545499997</v>
      </c>
      <c r="I1765" s="8">
        <v>30</v>
      </c>
      <c r="J1765" s="9">
        <v>33</v>
      </c>
      <c r="K1765" s="7">
        <v>3</v>
      </c>
      <c r="L1765" s="24">
        <f>+Tabla2[[#This Row],[Stock Inventario]]*Tabla2[[#This Row],[Coste LÃ­nea]]</f>
        <v>223560.00000015</v>
      </c>
      <c r="M1765" s="24">
        <f>+Tabla2[[#This Row],[Variación Stock]]*Tabla2[[#This Row],[Coste LÃ­nea]]</f>
        <v>20323.636363649999</v>
      </c>
      <c r="N1765" s="22" t="str">
        <f>+IF(Tabla2[[#This Row],[Variación Stock]]&gt;0,"Sobrante",IF(Tabla2[[#This Row],[Variación Stock]]&lt;0,"Faltante","Sin novedad"))</f>
        <v>Sobrante</v>
      </c>
    </row>
    <row r="1766" spans="1:14" hidden="1" x14ac:dyDescent="0.25">
      <c r="A1766" s="11">
        <v>46053</v>
      </c>
      <c r="B1766" s="5" t="s">
        <v>836</v>
      </c>
      <c r="C1766" s="3" t="s">
        <v>128</v>
      </c>
      <c r="D1766" s="5" t="s">
        <v>559</v>
      </c>
      <c r="E1766" s="5" t="s">
        <v>1080</v>
      </c>
      <c r="F1766" s="6" t="s">
        <v>598</v>
      </c>
      <c r="G1766" s="4" t="s">
        <v>2</v>
      </c>
      <c r="H1766" s="25">
        <v>62.83</v>
      </c>
      <c r="I1766" s="8">
        <v>100</v>
      </c>
      <c r="J1766" s="9">
        <v>0</v>
      </c>
      <c r="K1766" s="7">
        <v>-100</v>
      </c>
      <c r="L1766" s="24">
        <f>+Tabla2[[#This Row],[Stock Inventario]]*Tabla2[[#This Row],[Coste LÃ­nea]]</f>
        <v>0</v>
      </c>
      <c r="M1766" s="24">
        <f>+Tabla2[[#This Row],[Variación Stock]]*Tabla2[[#This Row],[Coste LÃ­nea]]</f>
        <v>-6283</v>
      </c>
      <c r="N1766" s="22" t="str">
        <f>+IF(Tabla2[[#This Row],[Variación Stock]]&gt;0,"Sobrante",IF(Tabla2[[#This Row],[Variación Stock]]&lt;0,"Faltante","Sin novedad"))</f>
        <v>Faltante</v>
      </c>
    </row>
    <row r="1767" spans="1:14" hidden="1" x14ac:dyDescent="0.25">
      <c r="A1767" s="11">
        <v>46053</v>
      </c>
      <c r="B1767" s="5" t="s">
        <v>836</v>
      </c>
      <c r="C1767" s="3" t="s">
        <v>128</v>
      </c>
      <c r="D1767" s="5" t="s">
        <v>559</v>
      </c>
      <c r="E1767" s="5" t="s">
        <v>1080</v>
      </c>
      <c r="F1767" s="6" t="s">
        <v>600</v>
      </c>
      <c r="G1767" s="4" t="s">
        <v>2</v>
      </c>
      <c r="H1767" s="25">
        <v>3748.5</v>
      </c>
      <c r="I1767" s="8">
        <v>26</v>
      </c>
      <c r="J1767" s="9">
        <v>50</v>
      </c>
      <c r="K1767" s="7">
        <v>24</v>
      </c>
      <c r="L1767" s="24">
        <f>+Tabla2[[#This Row],[Stock Inventario]]*Tabla2[[#This Row],[Coste LÃ­nea]]</f>
        <v>187425</v>
      </c>
      <c r="M1767" s="24">
        <f>+Tabla2[[#This Row],[Variación Stock]]*Tabla2[[#This Row],[Coste LÃ­nea]]</f>
        <v>89964</v>
      </c>
      <c r="N1767" s="22" t="str">
        <f>+IF(Tabla2[[#This Row],[Variación Stock]]&gt;0,"Sobrante",IF(Tabla2[[#This Row],[Variación Stock]]&lt;0,"Faltante","Sin novedad"))</f>
        <v>Sobrante</v>
      </c>
    </row>
    <row r="1768" spans="1:14" x14ac:dyDescent="0.25">
      <c r="A1768" s="11">
        <v>46053</v>
      </c>
      <c r="B1768" s="5" t="s">
        <v>836</v>
      </c>
      <c r="C1768" s="3" t="s">
        <v>128</v>
      </c>
      <c r="D1768" s="5" t="s">
        <v>122</v>
      </c>
      <c r="E1768" s="5" t="s">
        <v>112</v>
      </c>
      <c r="F1768" s="6" t="s">
        <v>102</v>
      </c>
      <c r="G1768" s="4" t="s">
        <v>2</v>
      </c>
      <c r="H1768" s="25">
        <v>3458.25</v>
      </c>
      <c r="I1768" s="8">
        <v>16</v>
      </c>
      <c r="J1768" s="9">
        <v>16</v>
      </c>
      <c r="K1768" s="7">
        <v>0</v>
      </c>
      <c r="L1768" s="24">
        <f>+Tabla2[[#This Row],[Stock Inventario]]*Tabla2[[#This Row],[Coste LÃ­nea]]</f>
        <v>55332</v>
      </c>
      <c r="M1768" s="24">
        <f>+Tabla2[[#This Row],[Variación Stock]]*Tabla2[[#This Row],[Coste LÃ­nea]]</f>
        <v>0</v>
      </c>
      <c r="N1768" s="22" t="str">
        <f>+IF(Tabla2[[#This Row],[Variación Stock]]&gt;0,"Sobrante",IF(Tabla2[[#This Row],[Variación Stock]]&lt;0,"Faltante","Sin novedad"))</f>
        <v>Sin novedad</v>
      </c>
    </row>
    <row r="1769" spans="1:14" x14ac:dyDescent="0.25">
      <c r="A1769" s="11">
        <v>46053</v>
      </c>
      <c r="B1769" s="5" t="s">
        <v>836</v>
      </c>
      <c r="C1769" s="3" t="s">
        <v>128</v>
      </c>
      <c r="D1769" s="5" t="s">
        <v>122</v>
      </c>
      <c r="E1769" s="5" t="s">
        <v>112</v>
      </c>
      <c r="F1769" s="6" t="s">
        <v>103</v>
      </c>
      <c r="G1769" s="4" t="s">
        <v>2</v>
      </c>
      <c r="H1769" s="25">
        <v>3458.3283333300001</v>
      </c>
      <c r="I1769" s="8">
        <v>5</v>
      </c>
      <c r="J1769" s="9">
        <v>5</v>
      </c>
      <c r="K1769" s="7">
        <v>0</v>
      </c>
      <c r="L1769" s="24">
        <f>+Tabla2[[#This Row],[Stock Inventario]]*Tabla2[[#This Row],[Coste LÃ­nea]]</f>
        <v>17291.641666650001</v>
      </c>
      <c r="M1769" s="24">
        <f>+Tabla2[[#This Row],[Variación Stock]]*Tabla2[[#This Row],[Coste LÃ­nea]]</f>
        <v>0</v>
      </c>
      <c r="N1769" s="22" t="str">
        <f>+IF(Tabla2[[#This Row],[Variación Stock]]&gt;0,"Sobrante",IF(Tabla2[[#This Row],[Variación Stock]]&lt;0,"Faltante","Sin novedad"))</f>
        <v>Sin novedad</v>
      </c>
    </row>
    <row r="1770" spans="1:14" x14ac:dyDescent="0.25">
      <c r="A1770" s="11">
        <v>46053</v>
      </c>
      <c r="B1770" s="5" t="s">
        <v>836</v>
      </c>
      <c r="C1770" s="3" t="s">
        <v>128</v>
      </c>
      <c r="D1770" s="5" t="s">
        <v>122</v>
      </c>
      <c r="E1770" s="5" t="s">
        <v>112</v>
      </c>
      <c r="F1770" s="6" t="s">
        <v>104</v>
      </c>
      <c r="G1770" s="4" t="s">
        <v>2</v>
      </c>
      <c r="H1770" s="25">
        <v>3458.25</v>
      </c>
      <c r="I1770" s="8">
        <v>5</v>
      </c>
      <c r="J1770" s="9">
        <v>5</v>
      </c>
      <c r="K1770" s="7">
        <v>0</v>
      </c>
      <c r="L1770" s="24">
        <f>+Tabla2[[#This Row],[Stock Inventario]]*Tabla2[[#This Row],[Coste LÃ­nea]]</f>
        <v>17291.25</v>
      </c>
      <c r="M1770" s="24">
        <f>+Tabla2[[#This Row],[Variación Stock]]*Tabla2[[#This Row],[Coste LÃ­nea]]</f>
        <v>0</v>
      </c>
      <c r="N1770" s="22" t="str">
        <f>+IF(Tabla2[[#This Row],[Variación Stock]]&gt;0,"Sobrante",IF(Tabla2[[#This Row],[Variación Stock]]&lt;0,"Faltante","Sin novedad"))</f>
        <v>Sin novedad</v>
      </c>
    </row>
    <row r="1771" spans="1:14" x14ac:dyDescent="0.25">
      <c r="A1771" s="11">
        <v>46053</v>
      </c>
      <c r="B1771" s="5" t="s">
        <v>836</v>
      </c>
      <c r="C1771" s="3" t="s">
        <v>128</v>
      </c>
      <c r="D1771" s="5" t="s">
        <v>122</v>
      </c>
      <c r="E1771" s="5" t="s">
        <v>112</v>
      </c>
      <c r="F1771" s="6" t="s">
        <v>105</v>
      </c>
      <c r="G1771" s="4" t="s">
        <v>2</v>
      </c>
      <c r="H1771" s="25">
        <v>3458.25</v>
      </c>
      <c r="I1771" s="8">
        <v>2</v>
      </c>
      <c r="J1771" s="9">
        <v>2</v>
      </c>
      <c r="K1771" s="7">
        <v>0</v>
      </c>
      <c r="L1771" s="24">
        <f>+Tabla2[[#This Row],[Stock Inventario]]*Tabla2[[#This Row],[Coste LÃ­nea]]</f>
        <v>6916.5</v>
      </c>
      <c r="M1771" s="24">
        <f>+Tabla2[[#This Row],[Variación Stock]]*Tabla2[[#This Row],[Coste LÃ­nea]]</f>
        <v>0</v>
      </c>
      <c r="N1771" s="22" t="str">
        <f>+IF(Tabla2[[#This Row],[Variación Stock]]&gt;0,"Sobrante",IF(Tabla2[[#This Row],[Variación Stock]]&lt;0,"Faltante","Sin novedad"))</f>
        <v>Sin novedad</v>
      </c>
    </row>
    <row r="1772" spans="1:14" x14ac:dyDescent="0.25">
      <c r="A1772" s="11">
        <v>46053</v>
      </c>
      <c r="B1772" s="5" t="s">
        <v>836</v>
      </c>
      <c r="C1772" s="3" t="s">
        <v>128</v>
      </c>
      <c r="D1772" s="5" t="s">
        <v>122</v>
      </c>
      <c r="E1772" s="5" t="s">
        <v>112</v>
      </c>
      <c r="F1772" s="6" t="s">
        <v>106</v>
      </c>
      <c r="G1772" s="4" t="s">
        <v>2</v>
      </c>
      <c r="H1772" s="25">
        <v>3458.25</v>
      </c>
      <c r="I1772" s="8">
        <v>9</v>
      </c>
      <c r="J1772" s="9">
        <v>9</v>
      </c>
      <c r="K1772" s="7">
        <v>0</v>
      </c>
      <c r="L1772" s="24">
        <f>+Tabla2[[#This Row],[Stock Inventario]]*Tabla2[[#This Row],[Coste LÃ­nea]]</f>
        <v>31124.25</v>
      </c>
      <c r="M1772" s="24">
        <f>+Tabla2[[#This Row],[Variación Stock]]*Tabla2[[#This Row],[Coste LÃ­nea]]</f>
        <v>0</v>
      </c>
      <c r="N1772" s="22" t="str">
        <f>+IF(Tabla2[[#This Row],[Variación Stock]]&gt;0,"Sobrante",IF(Tabla2[[#This Row],[Variación Stock]]&lt;0,"Faltante","Sin novedad"))</f>
        <v>Sin novedad</v>
      </c>
    </row>
    <row r="1773" spans="1:14" x14ac:dyDescent="0.25">
      <c r="A1773" s="11">
        <v>46053</v>
      </c>
      <c r="B1773" s="5" t="s">
        <v>836</v>
      </c>
      <c r="C1773" s="3" t="s">
        <v>128</v>
      </c>
      <c r="D1773" s="5" t="s">
        <v>122</v>
      </c>
      <c r="E1773" s="5" t="s">
        <v>112</v>
      </c>
      <c r="F1773" s="6" t="s">
        <v>107</v>
      </c>
      <c r="G1773" s="4" t="s">
        <v>2</v>
      </c>
      <c r="H1773" s="25">
        <v>3458.25</v>
      </c>
      <c r="I1773" s="8">
        <v>2</v>
      </c>
      <c r="J1773" s="9">
        <v>2</v>
      </c>
      <c r="K1773" s="7">
        <v>0</v>
      </c>
      <c r="L1773" s="24">
        <f>+Tabla2[[#This Row],[Stock Inventario]]*Tabla2[[#This Row],[Coste LÃ­nea]]</f>
        <v>6916.5</v>
      </c>
      <c r="M1773" s="24">
        <f>+Tabla2[[#This Row],[Variación Stock]]*Tabla2[[#This Row],[Coste LÃ­nea]]</f>
        <v>0</v>
      </c>
      <c r="N1773" s="22" t="str">
        <f>+IF(Tabla2[[#This Row],[Variación Stock]]&gt;0,"Sobrante",IF(Tabla2[[#This Row],[Variación Stock]]&lt;0,"Faltante","Sin novedad"))</f>
        <v>Sin novedad</v>
      </c>
    </row>
    <row r="1774" spans="1:14" x14ac:dyDescent="0.25">
      <c r="A1774" s="11">
        <v>46053</v>
      </c>
      <c r="B1774" s="5" t="s">
        <v>836</v>
      </c>
      <c r="C1774" s="3" t="s">
        <v>128</v>
      </c>
      <c r="D1774" s="5" t="s">
        <v>122</v>
      </c>
      <c r="E1774" s="5" t="s">
        <v>112</v>
      </c>
      <c r="F1774" s="6" t="s">
        <v>109</v>
      </c>
      <c r="G1774" s="4" t="s">
        <v>2</v>
      </c>
      <c r="H1774" s="25">
        <v>3458.25</v>
      </c>
      <c r="I1774" s="8">
        <v>-2</v>
      </c>
      <c r="J1774" s="9">
        <v>0</v>
      </c>
      <c r="K1774" s="7">
        <v>2</v>
      </c>
      <c r="L1774" s="24">
        <f>+Tabla2[[#This Row],[Stock Inventario]]*Tabla2[[#This Row],[Coste LÃ­nea]]</f>
        <v>0</v>
      </c>
      <c r="M1774" s="24">
        <f>+Tabla2[[#This Row],[Variación Stock]]*Tabla2[[#This Row],[Coste LÃ­nea]]</f>
        <v>6916.5</v>
      </c>
      <c r="N1774" s="22" t="str">
        <f>+IF(Tabla2[[#This Row],[Variación Stock]]&gt;0,"Sobrante",IF(Tabla2[[#This Row],[Variación Stock]]&lt;0,"Faltante","Sin novedad"))</f>
        <v>Sobrante</v>
      </c>
    </row>
    <row r="1775" spans="1:14" hidden="1" x14ac:dyDescent="0.25">
      <c r="A1775" s="11">
        <v>46053</v>
      </c>
      <c r="B1775" s="5" t="s">
        <v>836</v>
      </c>
      <c r="C1775" s="3" t="s">
        <v>128</v>
      </c>
      <c r="D1775" s="5" t="s">
        <v>559</v>
      </c>
      <c r="E1775" s="5" t="s">
        <v>1080</v>
      </c>
      <c r="F1775" s="6" t="s">
        <v>601</v>
      </c>
      <c r="G1775" s="4" t="s">
        <v>2</v>
      </c>
      <c r="H1775" s="25">
        <v>135.84</v>
      </c>
      <c r="I1775" s="8">
        <v>30</v>
      </c>
      <c r="J1775" s="9">
        <v>100</v>
      </c>
      <c r="K1775" s="7">
        <v>70</v>
      </c>
      <c r="L1775" s="24">
        <f>+Tabla2[[#This Row],[Stock Inventario]]*Tabla2[[#This Row],[Coste LÃ­nea]]</f>
        <v>13584</v>
      </c>
      <c r="M1775" s="24">
        <f>+Tabla2[[#This Row],[Variación Stock]]*Tabla2[[#This Row],[Coste LÃ­nea]]</f>
        <v>9508.8000000000011</v>
      </c>
      <c r="N1775" s="22" t="str">
        <f>+IF(Tabla2[[#This Row],[Variación Stock]]&gt;0,"Sobrante",IF(Tabla2[[#This Row],[Variación Stock]]&lt;0,"Faltante","Sin novedad"))</f>
        <v>Sobrante</v>
      </c>
    </row>
    <row r="1776" spans="1:14" x14ac:dyDescent="0.25">
      <c r="A1776" s="11">
        <v>46053</v>
      </c>
      <c r="B1776" s="5" t="s">
        <v>836</v>
      </c>
      <c r="C1776" s="3" t="s">
        <v>128</v>
      </c>
      <c r="D1776" s="5" t="s">
        <v>111</v>
      </c>
      <c r="E1776" s="5" t="s">
        <v>112</v>
      </c>
      <c r="F1776" s="6" t="s">
        <v>286</v>
      </c>
      <c r="G1776" s="4" t="s">
        <v>0</v>
      </c>
      <c r="H1776" s="25">
        <v>8628.9583333299997</v>
      </c>
      <c r="I1776" s="8">
        <v>36</v>
      </c>
      <c r="J1776" s="9">
        <v>36</v>
      </c>
      <c r="K1776" s="7">
        <v>0</v>
      </c>
      <c r="L1776" s="24">
        <f>+Tabla2[[#This Row],[Stock Inventario]]*Tabla2[[#This Row],[Coste LÃ­nea]]</f>
        <v>310642.49999987998</v>
      </c>
      <c r="M1776" s="24">
        <f>+Tabla2[[#This Row],[Variación Stock]]*Tabla2[[#This Row],[Coste LÃ­nea]]</f>
        <v>0</v>
      </c>
      <c r="N1776" s="22" t="str">
        <f>+IF(Tabla2[[#This Row],[Variación Stock]]&gt;0,"Sobrante",IF(Tabla2[[#This Row],[Variación Stock]]&lt;0,"Faltante","Sin novedad"))</f>
        <v>Sin novedad</v>
      </c>
    </row>
    <row r="1777" spans="1:14" x14ac:dyDescent="0.25">
      <c r="A1777" s="11">
        <v>46053</v>
      </c>
      <c r="B1777" s="5" t="s">
        <v>836</v>
      </c>
      <c r="C1777" s="3" t="s">
        <v>128</v>
      </c>
      <c r="D1777" s="5" t="s">
        <v>111</v>
      </c>
      <c r="E1777" s="5" t="s">
        <v>112</v>
      </c>
      <c r="F1777" s="6" t="s">
        <v>32</v>
      </c>
      <c r="G1777" s="4" t="s">
        <v>0</v>
      </c>
      <c r="H1777" s="25">
        <v>8308.1111111099999</v>
      </c>
      <c r="I1777" s="8">
        <v>30</v>
      </c>
      <c r="J1777" s="9">
        <v>30</v>
      </c>
      <c r="K1777" s="7">
        <v>0</v>
      </c>
      <c r="L1777" s="24">
        <f>+Tabla2[[#This Row],[Stock Inventario]]*Tabla2[[#This Row],[Coste LÃ­nea]]</f>
        <v>249243.33333329999</v>
      </c>
      <c r="M1777" s="24">
        <f>+Tabla2[[#This Row],[Variación Stock]]*Tabla2[[#This Row],[Coste LÃ­nea]]</f>
        <v>0</v>
      </c>
      <c r="N1777" s="22" t="str">
        <f>+IF(Tabla2[[#This Row],[Variación Stock]]&gt;0,"Sobrante",IF(Tabla2[[#This Row],[Variación Stock]]&lt;0,"Faltante","Sin novedad"))</f>
        <v>Sin novedad</v>
      </c>
    </row>
    <row r="1778" spans="1:14" x14ac:dyDescent="0.25">
      <c r="A1778" s="11">
        <v>46053</v>
      </c>
      <c r="B1778" s="5" t="s">
        <v>836</v>
      </c>
      <c r="C1778" s="3" t="s">
        <v>128</v>
      </c>
      <c r="D1778" s="5" t="s">
        <v>111</v>
      </c>
      <c r="E1778" s="5" t="s">
        <v>112</v>
      </c>
      <c r="F1778" s="6" t="s">
        <v>129</v>
      </c>
      <c r="G1778" s="4" t="s">
        <v>0</v>
      </c>
      <c r="H1778" s="25">
        <v>8500</v>
      </c>
      <c r="I1778" s="8">
        <v>22</v>
      </c>
      <c r="J1778" s="9">
        <v>20</v>
      </c>
      <c r="K1778" s="7">
        <v>-2</v>
      </c>
      <c r="L1778" s="24">
        <f>+Tabla2[[#This Row],[Stock Inventario]]*Tabla2[[#This Row],[Coste LÃ­nea]]</f>
        <v>170000</v>
      </c>
      <c r="M1778" s="24">
        <f>+Tabla2[[#This Row],[Variación Stock]]*Tabla2[[#This Row],[Coste LÃ­nea]]</f>
        <v>-17000</v>
      </c>
      <c r="N1778" s="22" t="str">
        <f>+IF(Tabla2[[#This Row],[Variación Stock]]&gt;0,"Sobrante",IF(Tabla2[[#This Row],[Variación Stock]]&lt;0,"Faltante","Sin novedad"))</f>
        <v>Faltante</v>
      </c>
    </row>
    <row r="1779" spans="1:14" x14ac:dyDescent="0.25">
      <c r="A1779" s="11">
        <v>46053</v>
      </c>
      <c r="B1779" s="5" t="s">
        <v>836</v>
      </c>
      <c r="C1779" s="3" t="s">
        <v>128</v>
      </c>
      <c r="D1779" s="5" t="s">
        <v>111</v>
      </c>
      <c r="E1779" s="5" t="s">
        <v>112</v>
      </c>
      <c r="F1779" s="6" t="s">
        <v>33</v>
      </c>
      <c r="G1779" s="4" t="s">
        <v>0</v>
      </c>
      <c r="H1779" s="25">
        <v>4004.4333333300001</v>
      </c>
      <c r="I1779" s="8">
        <v>62</v>
      </c>
      <c r="J1779" s="9">
        <v>68</v>
      </c>
      <c r="K1779" s="7">
        <v>6</v>
      </c>
      <c r="L1779" s="24">
        <f>+Tabla2[[#This Row],[Stock Inventario]]*Tabla2[[#This Row],[Coste LÃ­nea]]</f>
        <v>272301.46666644001</v>
      </c>
      <c r="M1779" s="24">
        <f>+Tabla2[[#This Row],[Variación Stock]]*Tabla2[[#This Row],[Coste LÃ­nea]]</f>
        <v>24026.599999980001</v>
      </c>
      <c r="N1779" s="22" t="str">
        <f>+IF(Tabla2[[#This Row],[Variación Stock]]&gt;0,"Sobrante",IF(Tabla2[[#This Row],[Variación Stock]]&lt;0,"Faltante","Sin novedad"))</f>
        <v>Sobrante</v>
      </c>
    </row>
    <row r="1780" spans="1:14" x14ac:dyDescent="0.25">
      <c r="A1780" s="11">
        <v>46053</v>
      </c>
      <c r="B1780" s="5" t="s">
        <v>836</v>
      </c>
      <c r="C1780" s="3" t="s">
        <v>128</v>
      </c>
      <c r="D1780" s="5" t="s">
        <v>111</v>
      </c>
      <c r="E1780" s="5" t="s">
        <v>112</v>
      </c>
      <c r="F1780" s="6" t="s">
        <v>379</v>
      </c>
      <c r="G1780" s="4" t="s">
        <v>0</v>
      </c>
      <c r="H1780" s="25">
        <v>14293.772727269999</v>
      </c>
      <c r="I1780" s="8">
        <v>44</v>
      </c>
      <c r="J1780" s="9">
        <v>44</v>
      </c>
      <c r="K1780" s="7">
        <v>0</v>
      </c>
      <c r="L1780" s="24">
        <f>+Tabla2[[#This Row],[Stock Inventario]]*Tabla2[[#This Row],[Coste LÃ­nea]]</f>
        <v>628925.99999987998</v>
      </c>
      <c r="M1780" s="24">
        <f>+Tabla2[[#This Row],[Variación Stock]]*Tabla2[[#This Row],[Coste LÃ­nea]]</f>
        <v>0</v>
      </c>
      <c r="N1780" s="22" t="str">
        <f>+IF(Tabla2[[#This Row],[Variación Stock]]&gt;0,"Sobrante",IF(Tabla2[[#This Row],[Variación Stock]]&lt;0,"Faltante","Sin novedad"))</f>
        <v>Sin novedad</v>
      </c>
    </row>
    <row r="1781" spans="1:14" x14ac:dyDescent="0.25">
      <c r="A1781" s="11">
        <v>46053</v>
      </c>
      <c r="B1781" s="5" t="s">
        <v>836</v>
      </c>
      <c r="C1781" s="3" t="s">
        <v>128</v>
      </c>
      <c r="D1781" s="5" t="s">
        <v>111</v>
      </c>
      <c r="E1781" s="5" t="s">
        <v>112</v>
      </c>
      <c r="F1781" s="6" t="s">
        <v>380</v>
      </c>
      <c r="G1781" s="4" t="s">
        <v>0</v>
      </c>
      <c r="H1781" s="25">
        <v>10667.40909091</v>
      </c>
      <c r="I1781" s="8">
        <v>22</v>
      </c>
      <c r="J1781" s="9">
        <v>22</v>
      </c>
      <c r="K1781" s="7">
        <v>0</v>
      </c>
      <c r="L1781" s="24">
        <f>+Tabla2[[#This Row],[Stock Inventario]]*Tabla2[[#This Row],[Coste LÃ­nea]]</f>
        <v>234683.00000001999</v>
      </c>
      <c r="M1781" s="24">
        <f>+Tabla2[[#This Row],[Variación Stock]]*Tabla2[[#This Row],[Coste LÃ­nea]]</f>
        <v>0</v>
      </c>
      <c r="N1781" s="22" t="str">
        <f>+IF(Tabla2[[#This Row],[Variación Stock]]&gt;0,"Sobrante",IF(Tabla2[[#This Row],[Variación Stock]]&lt;0,"Faltante","Sin novedad"))</f>
        <v>Sin novedad</v>
      </c>
    </row>
    <row r="1782" spans="1:14" x14ac:dyDescent="0.25">
      <c r="A1782" s="11">
        <v>46053</v>
      </c>
      <c r="B1782" s="5" t="s">
        <v>836</v>
      </c>
      <c r="C1782" s="3" t="s">
        <v>128</v>
      </c>
      <c r="D1782" s="5" t="s">
        <v>111</v>
      </c>
      <c r="E1782" s="5" t="s">
        <v>112</v>
      </c>
      <c r="F1782" s="6" t="s">
        <v>381</v>
      </c>
      <c r="G1782" s="4" t="s">
        <v>0</v>
      </c>
      <c r="H1782" s="25">
        <v>8874.3181818199992</v>
      </c>
      <c r="I1782" s="8">
        <v>18</v>
      </c>
      <c r="J1782" s="9">
        <v>22</v>
      </c>
      <c r="K1782" s="7">
        <v>4</v>
      </c>
      <c r="L1782" s="24">
        <f>+Tabla2[[#This Row],[Stock Inventario]]*Tabla2[[#This Row],[Coste LÃ­nea]]</f>
        <v>195235.00000003999</v>
      </c>
      <c r="M1782" s="24">
        <f>+Tabla2[[#This Row],[Variación Stock]]*Tabla2[[#This Row],[Coste LÃ­nea]]</f>
        <v>35497.272727279997</v>
      </c>
      <c r="N1782" s="22" t="str">
        <f>+IF(Tabla2[[#This Row],[Variación Stock]]&gt;0,"Sobrante",IF(Tabla2[[#This Row],[Variación Stock]]&lt;0,"Faltante","Sin novedad"))</f>
        <v>Sobrante</v>
      </c>
    </row>
    <row r="1783" spans="1:14" x14ac:dyDescent="0.25">
      <c r="A1783" s="11">
        <v>46053</v>
      </c>
      <c r="B1783" s="5" t="s">
        <v>836</v>
      </c>
      <c r="C1783" s="3" t="s">
        <v>128</v>
      </c>
      <c r="D1783" s="5" t="s">
        <v>111</v>
      </c>
      <c r="E1783" s="5" t="s">
        <v>112</v>
      </c>
      <c r="F1783" s="6" t="s">
        <v>135</v>
      </c>
      <c r="G1783" s="4" t="s">
        <v>0</v>
      </c>
      <c r="H1783" s="25">
        <v>4505.9166666700003</v>
      </c>
      <c r="I1783" s="8">
        <v>10</v>
      </c>
      <c r="J1783" s="9">
        <v>10</v>
      </c>
      <c r="K1783" s="7">
        <v>0</v>
      </c>
      <c r="L1783" s="24">
        <f>+Tabla2[[#This Row],[Stock Inventario]]*Tabla2[[#This Row],[Coste LÃ­nea]]</f>
        <v>45059.166666700003</v>
      </c>
      <c r="M1783" s="24">
        <f>+Tabla2[[#This Row],[Variación Stock]]*Tabla2[[#This Row],[Coste LÃ­nea]]</f>
        <v>0</v>
      </c>
      <c r="N1783" s="22" t="str">
        <f>+IF(Tabla2[[#This Row],[Variación Stock]]&gt;0,"Sobrante",IF(Tabla2[[#This Row],[Variación Stock]]&lt;0,"Faltante","Sin novedad"))</f>
        <v>Sin novedad</v>
      </c>
    </row>
    <row r="1784" spans="1:14" hidden="1" x14ac:dyDescent="0.25">
      <c r="A1784" s="11">
        <v>46053</v>
      </c>
      <c r="B1784" s="5" t="s">
        <v>836</v>
      </c>
      <c r="C1784" s="3" t="s">
        <v>128</v>
      </c>
      <c r="D1784" s="5" t="s">
        <v>119</v>
      </c>
      <c r="E1784" s="5" t="s">
        <v>117</v>
      </c>
      <c r="F1784" s="6" t="s">
        <v>13</v>
      </c>
      <c r="G1784" s="4" t="s">
        <v>2</v>
      </c>
      <c r="H1784" s="25">
        <v>11564</v>
      </c>
      <c r="I1784" s="8">
        <v>11</v>
      </c>
      <c r="J1784" s="9">
        <v>11</v>
      </c>
      <c r="K1784" s="7">
        <v>0</v>
      </c>
      <c r="L1784" s="24">
        <f>+Tabla2[[#This Row],[Stock Inventario]]*Tabla2[[#This Row],[Coste LÃ­nea]]</f>
        <v>127204</v>
      </c>
      <c r="M1784" s="24">
        <f>+Tabla2[[#This Row],[Variación Stock]]*Tabla2[[#This Row],[Coste LÃ­nea]]</f>
        <v>0</v>
      </c>
      <c r="N1784" s="22" t="str">
        <f>+IF(Tabla2[[#This Row],[Variación Stock]]&gt;0,"Sobrante",IF(Tabla2[[#This Row],[Variación Stock]]&lt;0,"Faltante","Sin novedad"))</f>
        <v>Sin novedad</v>
      </c>
    </row>
    <row r="1785" spans="1:14" hidden="1" x14ac:dyDescent="0.25">
      <c r="A1785" s="11">
        <v>46053</v>
      </c>
      <c r="B1785" s="5" t="s">
        <v>836</v>
      </c>
      <c r="C1785" s="3" t="s">
        <v>128</v>
      </c>
      <c r="D1785" s="5" t="s">
        <v>119</v>
      </c>
      <c r="E1785" s="5" t="s">
        <v>117</v>
      </c>
      <c r="F1785" s="6" t="s">
        <v>199</v>
      </c>
      <c r="G1785" s="4" t="s">
        <v>1</v>
      </c>
      <c r="H1785" s="25">
        <v>355.6</v>
      </c>
      <c r="I1785" s="8">
        <v>910.52629999999999</v>
      </c>
      <c r="J1785" s="9">
        <v>630</v>
      </c>
      <c r="K1785" s="7">
        <v>-280.52630900000003</v>
      </c>
      <c r="L1785" s="24">
        <f>+Tabla2[[#This Row],[Stock Inventario]]*Tabla2[[#This Row],[Coste LÃ­nea]]</f>
        <v>224028</v>
      </c>
      <c r="M1785" s="24">
        <f>+Tabla2[[#This Row],[Variación Stock]]*Tabla2[[#This Row],[Coste LÃ­nea]]</f>
        <v>-99755.155480400019</v>
      </c>
      <c r="N1785" s="22" t="str">
        <f>+IF(Tabla2[[#This Row],[Variación Stock]]&gt;0,"Sobrante",IF(Tabla2[[#This Row],[Variación Stock]]&lt;0,"Faltante","Sin novedad"))</f>
        <v>Faltante</v>
      </c>
    </row>
    <row r="1786" spans="1:14" hidden="1" x14ac:dyDescent="0.25">
      <c r="A1786" s="11">
        <v>46053</v>
      </c>
      <c r="B1786" s="5" t="s">
        <v>836</v>
      </c>
      <c r="C1786" s="3" t="s">
        <v>128</v>
      </c>
      <c r="D1786" s="5" t="s">
        <v>626</v>
      </c>
      <c r="E1786" s="5" t="s">
        <v>1079</v>
      </c>
      <c r="F1786" s="6" t="s">
        <v>669</v>
      </c>
      <c r="G1786" s="4" t="s">
        <v>2</v>
      </c>
      <c r="H1786" s="25">
        <v>8771.5</v>
      </c>
      <c r="I1786" s="8">
        <v>67</v>
      </c>
      <c r="J1786" s="9">
        <v>20</v>
      </c>
      <c r="K1786" s="7">
        <v>-47</v>
      </c>
      <c r="L1786" s="24">
        <f>+Tabla2[[#This Row],[Stock Inventario]]*Tabla2[[#This Row],[Coste LÃ­nea]]</f>
        <v>175430</v>
      </c>
      <c r="M1786" s="24">
        <f>+Tabla2[[#This Row],[Variación Stock]]*Tabla2[[#This Row],[Coste LÃ­nea]]</f>
        <v>-412260.5</v>
      </c>
      <c r="N1786" s="22" t="str">
        <f>+IF(Tabla2[[#This Row],[Variación Stock]]&gt;0,"Sobrante",IF(Tabla2[[#This Row],[Variación Stock]]&lt;0,"Faltante","Sin novedad"))</f>
        <v>Faltante</v>
      </c>
    </row>
    <row r="1787" spans="1:14" hidden="1" x14ac:dyDescent="0.25">
      <c r="A1787" s="11">
        <v>46053</v>
      </c>
      <c r="B1787" s="5" t="s">
        <v>836</v>
      </c>
      <c r="C1787" s="3" t="s">
        <v>128</v>
      </c>
      <c r="D1787" s="5" t="s">
        <v>116</v>
      </c>
      <c r="E1787" s="5" t="s">
        <v>117</v>
      </c>
      <c r="F1787" s="6" t="s">
        <v>156</v>
      </c>
      <c r="G1787" s="4" t="s">
        <v>1</v>
      </c>
      <c r="H1787" s="25">
        <v>32.5</v>
      </c>
      <c r="I1787" s="8">
        <v>7534.3860000000004</v>
      </c>
      <c r="J1787" s="9">
        <v>5358</v>
      </c>
      <c r="K1787" s="7">
        <v>-2176.3859699999998</v>
      </c>
      <c r="L1787" s="24">
        <f>+Tabla2[[#This Row],[Stock Inventario]]*Tabla2[[#This Row],[Coste LÃ­nea]]</f>
        <v>174135</v>
      </c>
      <c r="M1787" s="24">
        <f>+Tabla2[[#This Row],[Variación Stock]]*Tabla2[[#This Row],[Coste LÃ­nea]]</f>
        <v>-70732.544024999996</v>
      </c>
      <c r="N1787" s="22" t="str">
        <f>+IF(Tabla2[[#This Row],[Variación Stock]]&gt;0,"Sobrante",IF(Tabla2[[#This Row],[Variación Stock]]&lt;0,"Faltante","Sin novedad"))</f>
        <v>Faltante</v>
      </c>
    </row>
    <row r="1788" spans="1:14" hidden="1" x14ac:dyDescent="0.25">
      <c r="A1788" s="11">
        <v>46053</v>
      </c>
      <c r="B1788" s="5" t="s">
        <v>836</v>
      </c>
      <c r="C1788" s="3" t="s">
        <v>128</v>
      </c>
      <c r="D1788" s="5" t="s">
        <v>396</v>
      </c>
      <c r="E1788" s="5" t="s">
        <v>117</v>
      </c>
      <c r="F1788" s="6" t="s">
        <v>427</v>
      </c>
      <c r="G1788" s="4" t="s">
        <v>1</v>
      </c>
      <c r="H1788" s="25">
        <v>99.166666669999998</v>
      </c>
      <c r="I1788" s="8">
        <v>211</v>
      </c>
      <c r="J1788" s="9">
        <v>630</v>
      </c>
      <c r="K1788" s="7">
        <v>419</v>
      </c>
      <c r="L1788" s="24">
        <f>+Tabla2[[#This Row],[Stock Inventario]]*Tabla2[[#This Row],[Coste LÃ­nea]]</f>
        <v>62475.000002100001</v>
      </c>
      <c r="M1788" s="24">
        <f>+Tabla2[[#This Row],[Variación Stock]]*Tabla2[[#This Row],[Coste LÃ­nea]]</f>
        <v>41550.833334729999</v>
      </c>
      <c r="N1788" s="22" t="str">
        <f>+IF(Tabla2[[#This Row],[Variación Stock]]&gt;0,"Sobrante",IF(Tabla2[[#This Row],[Variación Stock]]&lt;0,"Faltante","Sin novedad"))</f>
        <v>Sobrante</v>
      </c>
    </row>
    <row r="1789" spans="1:14" hidden="1" x14ac:dyDescent="0.25">
      <c r="A1789" s="11">
        <v>46053</v>
      </c>
      <c r="B1789" s="5" t="s">
        <v>836</v>
      </c>
      <c r="C1789" s="3" t="s">
        <v>128</v>
      </c>
      <c r="D1789" s="5" t="s">
        <v>471</v>
      </c>
      <c r="E1789" s="5" t="s">
        <v>117</v>
      </c>
      <c r="F1789" s="6" t="s">
        <v>532</v>
      </c>
      <c r="G1789" s="4" t="s">
        <v>1</v>
      </c>
      <c r="H1789" s="25">
        <v>12</v>
      </c>
      <c r="I1789" s="8">
        <v>29822.3861</v>
      </c>
      <c r="J1789" s="9">
        <v>4950</v>
      </c>
      <c r="K1789" s="7">
        <v>-24872.386083000001</v>
      </c>
      <c r="L1789" s="24">
        <f>+Tabla2[[#This Row],[Stock Inventario]]*Tabla2[[#This Row],[Coste LÃ­nea]]</f>
        <v>59400</v>
      </c>
      <c r="M1789" s="24">
        <f>+Tabla2[[#This Row],[Variación Stock]]*Tabla2[[#This Row],[Coste LÃ­nea]]</f>
        <v>-298468.632996</v>
      </c>
      <c r="N1789" s="22" t="str">
        <f>+IF(Tabla2[[#This Row],[Variación Stock]]&gt;0,"Sobrante",IF(Tabla2[[#This Row],[Variación Stock]]&lt;0,"Faltante","Sin novedad"))</f>
        <v>Faltante</v>
      </c>
    </row>
    <row r="1790" spans="1:14" hidden="1" x14ac:dyDescent="0.25">
      <c r="A1790" s="11">
        <v>46053</v>
      </c>
      <c r="B1790" s="5" t="s">
        <v>836</v>
      </c>
      <c r="C1790" s="3" t="s">
        <v>128</v>
      </c>
      <c r="D1790" s="5" t="s">
        <v>471</v>
      </c>
      <c r="E1790" s="5" t="s">
        <v>117</v>
      </c>
      <c r="F1790" s="6" t="s">
        <v>533</v>
      </c>
      <c r="G1790" s="4" t="s">
        <v>1</v>
      </c>
      <c r="H1790" s="25">
        <v>5</v>
      </c>
      <c r="I1790" s="8">
        <v>29163.7994</v>
      </c>
      <c r="J1790" s="9">
        <v>4922</v>
      </c>
      <c r="K1790" s="7">
        <v>-24241.799367</v>
      </c>
      <c r="L1790" s="24">
        <f>+Tabla2[[#This Row],[Stock Inventario]]*Tabla2[[#This Row],[Coste LÃ­nea]]</f>
        <v>24610</v>
      </c>
      <c r="M1790" s="24">
        <f>+Tabla2[[#This Row],[Variación Stock]]*Tabla2[[#This Row],[Coste LÃ­nea]]</f>
        <v>-121208.996835</v>
      </c>
      <c r="N1790" s="22" t="str">
        <f>+IF(Tabla2[[#This Row],[Variación Stock]]&gt;0,"Sobrante",IF(Tabla2[[#This Row],[Variación Stock]]&lt;0,"Faltante","Sin novedad"))</f>
        <v>Faltante</v>
      </c>
    </row>
    <row r="1791" spans="1:14" hidden="1" x14ac:dyDescent="0.25">
      <c r="A1791" s="11">
        <v>46053</v>
      </c>
      <c r="B1791" s="5" t="s">
        <v>836</v>
      </c>
      <c r="C1791" s="3" t="s">
        <v>128</v>
      </c>
      <c r="D1791" s="5" t="s">
        <v>471</v>
      </c>
      <c r="E1791" s="5" t="s">
        <v>117</v>
      </c>
      <c r="F1791" s="6" t="s">
        <v>534</v>
      </c>
      <c r="G1791" s="4" t="s">
        <v>1</v>
      </c>
      <c r="H1791" s="25">
        <v>37.5</v>
      </c>
      <c r="I1791" s="8">
        <v>1248.5437999999999</v>
      </c>
      <c r="J1791" s="9">
        <v>600</v>
      </c>
      <c r="K1791" s="7">
        <v>-648.5438034</v>
      </c>
      <c r="L1791" s="24">
        <f>+Tabla2[[#This Row],[Stock Inventario]]*Tabla2[[#This Row],[Coste LÃ­nea]]</f>
        <v>22500</v>
      </c>
      <c r="M1791" s="24">
        <f>+Tabla2[[#This Row],[Variación Stock]]*Tabla2[[#This Row],[Coste LÃ­nea]]</f>
        <v>-24320.392627500001</v>
      </c>
      <c r="N1791" s="22" t="str">
        <f>+IF(Tabla2[[#This Row],[Variación Stock]]&gt;0,"Sobrante",IF(Tabla2[[#This Row],[Variación Stock]]&lt;0,"Faltante","Sin novedad"))</f>
        <v>Faltante</v>
      </c>
    </row>
    <row r="1792" spans="1:14" hidden="1" x14ac:dyDescent="0.25">
      <c r="A1792" s="11">
        <v>46053</v>
      </c>
      <c r="B1792" s="5" t="s">
        <v>836</v>
      </c>
      <c r="C1792" s="3" t="s">
        <v>128</v>
      </c>
      <c r="D1792" s="5" t="s">
        <v>396</v>
      </c>
      <c r="E1792" s="5" t="s">
        <v>117</v>
      </c>
      <c r="F1792" s="6" t="s">
        <v>857</v>
      </c>
      <c r="G1792" s="4" t="s">
        <v>1</v>
      </c>
      <c r="H1792" s="25">
        <v>50.53298667</v>
      </c>
      <c r="I1792" s="8">
        <v>440</v>
      </c>
      <c r="J1792" s="9">
        <v>430</v>
      </c>
      <c r="K1792" s="7">
        <v>-10</v>
      </c>
      <c r="L1792" s="24">
        <f>+Tabla2[[#This Row],[Stock Inventario]]*Tabla2[[#This Row],[Coste LÃ­nea]]</f>
        <v>21729.184268100002</v>
      </c>
      <c r="M1792" s="24">
        <f>+Tabla2[[#This Row],[Variación Stock]]*Tabla2[[#This Row],[Coste LÃ­nea]]</f>
        <v>-505.32986670000003</v>
      </c>
      <c r="N1792" s="22" t="str">
        <f>+IF(Tabla2[[#This Row],[Variación Stock]]&gt;0,"Sobrante",IF(Tabla2[[#This Row],[Variación Stock]]&lt;0,"Faltante","Sin novedad"))</f>
        <v>Faltante</v>
      </c>
    </row>
    <row r="1793" spans="1:14" hidden="1" x14ac:dyDescent="0.25">
      <c r="A1793" s="11">
        <v>46053</v>
      </c>
      <c r="B1793" s="5" t="s">
        <v>836</v>
      </c>
      <c r="C1793" s="3" t="s">
        <v>128</v>
      </c>
      <c r="D1793" s="5" t="s">
        <v>471</v>
      </c>
      <c r="E1793" s="5" t="s">
        <v>117</v>
      </c>
      <c r="F1793" s="6" t="s">
        <v>535</v>
      </c>
      <c r="G1793" s="4" t="s">
        <v>1</v>
      </c>
      <c r="H1793" s="25">
        <v>15.5</v>
      </c>
      <c r="I1793" s="8">
        <v>374</v>
      </c>
      <c r="J1793" s="9">
        <v>104</v>
      </c>
      <c r="K1793" s="7">
        <v>-270</v>
      </c>
      <c r="L1793" s="24">
        <f>+Tabla2[[#This Row],[Stock Inventario]]*Tabla2[[#This Row],[Coste LÃ­nea]]</f>
        <v>1612</v>
      </c>
      <c r="M1793" s="24">
        <f>+Tabla2[[#This Row],[Variación Stock]]*Tabla2[[#This Row],[Coste LÃ­nea]]</f>
        <v>-4185</v>
      </c>
      <c r="N1793" s="22" t="str">
        <f>+IF(Tabla2[[#This Row],[Variación Stock]]&gt;0,"Sobrante",IF(Tabla2[[#This Row],[Variación Stock]]&lt;0,"Faltante","Sin novedad"))</f>
        <v>Faltante</v>
      </c>
    </row>
    <row r="1794" spans="1:14" hidden="1" x14ac:dyDescent="0.25">
      <c r="A1794" s="11">
        <v>46053</v>
      </c>
      <c r="B1794" s="5" t="s">
        <v>836</v>
      </c>
      <c r="C1794" s="3" t="s">
        <v>128</v>
      </c>
      <c r="D1794" s="5" t="s">
        <v>471</v>
      </c>
      <c r="E1794" s="5" t="s">
        <v>117</v>
      </c>
      <c r="F1794" s="6" t="s">
        <v>536</v>
      </c>
      <c r="G1794" s="4" t="s">
        <v>1</v>
      </c>
      <c r="H1794" s="25">
        <v>6</v>
      </c>
      <c r="I1794" s="8">
        <v>6995</v>
      </c>
      <c r="J1794" s="9">
        <v>0</v>
      </c>
      <c r="K1794" s="7">
        <v>-6995</v>
      </c>
      <c r="L1794" s="24">
        <f>+Tabla2[[#This Row],[Stock Inventario]]*Tabla2[[#This Row],[Coste LÃ­nea]]</f>
        <v>0</v>
      </c>
      <c r="M1794" s="24">
        <f>+Tabla2[[#This Row],[Variación Stock]]*Tabla2[[#This Row],[Coste LÃ­nea]]</f>
        <v>-41970</v>
      </c>
      <c r="N1794" s="22" t="str">
        <f>+IF(Tabla2[[#This Row],[Variación Stock]]&gt;0,"Sobrante",IF(Tabla2[[#This Row],[Variación Stock]]&lt;0,"Faltante","Sin novedad"))</f>
        <v>Faltante</v>
      </c>
    </row>
    <row r="1795" spans="1:14" hidden="1" x14ac:dyDescent="0.25">
      <c r="A1795" s="11">
        <v>46053</v>
      </c>
      <c r="B1795" s="5" t="s">
        <v>836</v>
      </c>
      <c r="C1795" s="3" t="s">
        <v>128</v>
      </c>
      <c r="D1795" s="5" t="s">
        <v>396</v>
      </c>
      <c r="E1795" s="5" t="s">
        <v>117</v>
      </c>
      <c r="F1795" s="6" t="s">
        <v>847</v>
      </c>
      <c r="G1795" s="4" t="s">
        <v>2</v>
      </c>
      <c r="H1795" s="25">
        <v>451.95</v>
      </c>
      <c r="I1795" s="8">
        <v>-70</v>
      </c>
      <c r="J1795" s="9">
        <v>86</v>
      </c>
      <c r="K1795" s="7">
        <v>156</v>
      </c>
      <c r="L1795" s="24">
        <f>+Tabla2[[#This Row],[Stock Inventario]]*Tabla2[[#This Row],[Coste LÃ­nea]]</f>
        <v>38867.699999999997</v>
      </c>
      <c r="M1795" s="24">
        <f>+Tabla2[[#This Row],[Variación Stock]]*Tabla2[[#This Row],[Coste LÃ­nea]]</f>
        <v>70504.2</v>
      </c>
      <c r="N1795" s="22" t="str">
        <f>+IF(Tabla2[[#This Row],[Variación Stock]]&gt;0,"Sobrante",IF(Tabla2[[#This Row],[Variación Stock]]&lt;0,"Faltante","Sin novedad"))</f>
        <v>Sobrante</v>
      </c>
    </row>
    <row r="1796" spans="1:14" x14ac:dyDescent="0.25">
      <c r="A1796" s="11">
        <v>46053</v>
      </c>
      <c r="B1796" s="5" t="s">
        <v>836</v>
      </c>
      <c r="C1796" s="3" t="s">
        <v>128</v>
      </c>
      <c r="D1796" s="5" t="s">
        <v>118</v>
      </c>
      <c r="E1796" s="5" t="s">
        <v>112</v>
      </c>
      <c r="F1796" s="6" t="s">
        <v>182</v>
      </c>
      <c r="G1796" s="4" t="s">
        <v>2</v>
      </c>
      <c r="H1796" s="25">
        <v>66111.5</v>
      </c>
      <c r="I1796" s="8">
        <v>2</v>
      </c>
      <c r="J1796" s="9">
        <v>2</v>
      </c>
      <c r="K1796" s="7">
        <v>0</v>
      </c>
      <c r="L1796" s="24">
        <f>+Tabla2[[#This Row],[Stock Inventario]]*Tabla2[[#This Row],[Coste LÃ­nea]]</f>
        <v>132223</v>
      </c>
      <c r="M1796" s="24">
        <f>+Tabla2[[#This Row],[Variación Stock]]*Tabla2[[#This Row],[Coste LÃ­nea]]</f>
        <v>0</v>
      </c>
      <c r="N1796" s="22" t="str">
        <f>+IF(Tabla2[[#This Row],[Variación Stock]]&gt;0,"Sobrante",IF(Tabla2[[#This Row],[Variación Stock]]&lt;0,"Faltante","Sin novedad"))</f>
        <v>Sin novedad</v>
      </c>
    </row>
    <row r="1797" spans="1:14" hidden="1" x14ac:dyDescent="0.25">
      <c r="A1797" s="11">
        <v>46053</v>
      </c>
      <c r="B1797" s="5" t="s">
        <v>836</v>
      </c>
      <c r="C1797" s="3" t="s">
        <v>128</v>
      </c>
      <c r="D1797" s="5" t="s">
        <v>119</v>
      </c>
      <c r="E1797" s="5" t="s">
        <v>117</v>
      </c>
      <c r="F1797" s="6" t="s">
        <v>14</v>
      </c>
      <c r="G1797" s="4" t="s">
        <v>1</v>
      </c>
      <c r="H1797" s="25">
        <v>33.499699999999997</v>
      </c>
      <c r="I1797" s="8">
        <v>14000</v>
      </c>
      <c r="J1797" s="9">
        <v>14000</v>
      </c>
      <c r="K1797" s="7">
        <v>0</v>
      </c>
      <c r="L1797" s="24">
        <f>+Tabla2[[#This Row],[Stock Inventario]]*Tabla2[[#This Row],[Coste LÃ­nea]]</f>
        <v>468995.8</v>
      </c>
      <c r="M1797" s="24">
        <f>+Tabla2[[#This Row],[Variación Stock]]*Tabla2[[#This Row],[Coste LÃ­nea]]</f>
        <v>0</v>
      </c>
      <c r="N1797" s="22" t="str">
        <f>+IF(Tabla2[[#This Row],[Variación Stock]]&gt;0,"Sobrante",IF(Tabla2[[#This Row],[Variación Stock]]&lt;0,"Faltante","Sin novedad"))</f>
        <v>Sin novedad</v>
      </c>
    </row>
    <row r="1798" spans="1:14" hidden="1" x14ac:dyDescent="0.25">
      <c r="A1798" s="11">
        <v>46053</v>
      </c>
      <c r="B1798" s="5" t="s">
        <v>836</v>
      </c>
      <c r="C1798" s="3" t="s">
        <v>128</v>
      </c>
      <c r="D1798" s="5" t="s">
        <v>471</v>
      </c>
      <c r="E1798" s="5" t="s">
        <v>117</v>
      </c>
      <c r="F1798" s="6" t="s">
        <v>862</v>
      </c>
      <c r="G1798" s="4" t="s">
        <v>1</v>
      </c>
      <c r="H1798" s="25">
        <v>15</v>
      </c>
      <c r="I1798" s="8">
        <v>-90</v>
      </c>
      <c r="J1798" s="9">
        <v>0</v>
      </c>
      <c r="K1798" s="7">
        <v>90</v>
      </c>
      <c r="L1798" s="24">
        <f>+Tabla2[[#This Row],[Stock Inventario]]*Tabla2[[#This Row],[Coste LÃ­nea]]</f>
        <v>0</v>
      </c>
      <c r="M1798" s="24">
        <f>+Tabla2[[#This Row],[Variación Stock]]*Tabla2[[#This Row],[Coste LÃ­nea]]</f>
        <v>1350</v>
      </c>
      <c r="N1798" s="22" t="str">
        <f>+IF(Tabla2[[#This Row],[Variación Stock]]&gt;0,"Sobrante",IF(Tabla2[[#This Row],[Variación Stock]]&lt;0,"Faltante","Sin novedad"))</f>
        <v>Sobrante</v>
      </c>
    </row>
    <row r="1799" spans="1:14" hidden="1" x14ac:dyDescent="0.25">
      <c r="A1799" s="11">
        <v>46053</v>
      </c>
      <c r="B1799" s="5" t="s">
        <v>836</v>
      </c>
      <c r="C1799" s="3" t="s">
        <v>128</v>
      </c>
      <c r="D1799" s="5" t="s">
        <v>626</v>
      </c>
      <c r="E1799" s="5" t="s">
        <v>1079</v>
      </c>
      <c r="F1799" s="6" t="s">
        <v>671</v>
      </c>
      <c r="G1799" s="4" t="s">
        <v>1</v>
      </c>
      <c r="H1799" s="25">
        <v>20.623699999999999</v>
      </c>
      <c r="I1799" s="8">
        <v>90000</v>
      </c>
      <c r="J1799" s="9">
        <v>0</v>
      </c>
      <c r="K1799" s="7">
        <v>-90000</v>
      </c>
      <c r="L1799" s="24">
        <f>+Tabla2[[#This Row],[Stock Inventario]]*Tabla2[[#This Row],[Coste LÃ­nea]]</f>
        <v>0</v>
      </c>
      <c r="M1799" s="24">
        <f>+Tabla2[[#This Row],[Variación Stock]]*Tabla2[[#This Row],[Coste LÃ­nea]]</f>
        <v>-1856133</v>
      </c>
      <c r="N1799" s="22" t="str">
        <f>+IF(Tabla2[[#This Row],[Variación Stock]]&gt;0,"Sobrante",IF(Tabla2[[#This Row],[Variación Stock]]&lt;0,"Faltante","Sin novedad"))</f>
        <v>Faltante</v>
      </c>
    </row>
    <row r="1800" spans="1:14" hidden="1" x14ac:dyDescent="0.25">
      <c r="A1800" s="11">
        <v>46053</v>
      </c>
      <c r="B1800" s="5" t="s">
        <v>836</v>
      </c>
      <c r="C1800" s="3" t="s">
        <v>128</v>
      </c>
      <c r="D1800" s="5" t="s">
        <v>471</v>
      </c>
      <c r="E1800" s="5" t="s">
        <v>117</v>
      </c>
      <c r="F1800" s="6" t="s">
        <v>537</v>
      </c>
      <c r="G1800" s="4" t="s">
        <v>1</v>
      </c>
      <c r="H1800" s="25">
        <v>30</v>
      </c>
      <c r="I1800" s="8">
        <v>-2340</v>
      </c>
      <c r="J1800" s="9">
        <v>0</v>
      </c>
      <c r="K1800" s="7">
        <v>2340</v>
      </c>
      <c r="L1800" s="24">
        <f>+Tabla2[[#This Row],[Stock Inventario]]*Tabla2[[#This Row],[Coste LÃ­nea]]</f>
        <v>0</v>
      </c>
      <c r="M1800" s="24">
        <f>+Tabla2[[#This Row],[Variación Stock]]*Tabla2[[#This Row],[Coste LÃ­nea]]</f>
        <v>70200</v>
      </c>
      <c r="N1800" s="22" t="str">
        <f>+IF(Tabla2[[#This Row],[Variación Stock]]&gt;0,"Sobrante",IF(Tabla2[[#This Row],[Variación Stock]]&lt;0,"Faltante","Sin novedad"))</f>
        <v>Sobrante</v>
      </c>
    </row>
    <row r="1801" spans="1:14" hidden="1" x14ac:dyDescent="0.25">
      <c r="A1801" s="11">
        <v>46053</v>
      </c>
      <c r="B1801" s="5" t="s">
        <v>836</v>
      </c>
      <c r="C1801" s="3" t="s">
        <v>128</v>
      </c>
      <c r="D1801" s="5" t="s">
        <v>396</v>
      </c>
      <c r="E1801" s="5" t="s">
        <v>117</v>
      </c>
      <c r="F1801" s="6" t="s">
        <v>848</v>
      </c>
      <c r="G1801" s="4" t="s">
        <v>1</v>
      </c>
      <c r="H1801" s="25">
        <v>14.979749999999999</v>
      </c>
      <c r="I1801" s="8">
        <v>12280</v>
      </c>
      <c r="J1801" s="9">
        <v>6500</v>
      </c>
      <c r="K1801" s="7">
        <v>-5780</v>
      </c>
      <c r="L1801" s="24">
        <f>+Tabla2[[#This Row],[Stock Inventario]]*Tabla2[[#This Row],[Coste LÃ­nea]]</f>
        <v>97368.375</v>
      </c>
      <c r="M1801" s="24">
        <f>+Tabla2[[#This Row],[Variación Stock]]*Tabla2[[#This Row],[Coste LÃ­nea]]</f>
        <v>-86582.955000000002</v>
      </c>
      <c r="N1801" s="22" t="str">
        <f>+IF(Tabla2[[#This Row],[Variación Stock]]&gt;0,"Sobrante",IF(Tabla2[[#This Row],[Variación Stock]]&lt;0,"Faltante","Sin novedad"))</f>
        <v>Faltante</v>
      </c>
    </row>
    <row r="1802" spans="1:14" hidden="1" x14ac:dyDescent="0.25">
      <c r="A1802" s="11">
        <v>46053</v>
      </c>
      <c r="B1802" s="5" t="s">
        <v>836</v>
      </c>
      <c r="C1802" s="3" t="s">
        <v>128</v>
      </c>
      <c r="D1802" s="5" t="s">
        <v>829</v>
      </c>
      <c r="E1802" s="5" t="s">
        <v>117</v>
      </c>
      <c r="F1802" s="6" t="s">
        <v>834</v>
      </c>
      <c r="G1802" s="4" t="s">
        <v>1</v>
      </c>
      <c r="H1802" s="25">
        <v>10.193954250000001</v>
      </c>
      <c r="I1802" s="8">
        <v>3401</v>
      </c>
      <c r="J1802" s="9">
        <v>9000</v>
      </c>
      <c r="K1802" s="7">
        <v>5599</v>
      </c>
      <c r="L1802" s="24">
        <f>+Tabla2[[#This Row],[Stock Inventario]]*Tabla2[[#This Row],[Coste LÃ­nea]]</f>
        <v>91745.588250000001</v>
      </c>
      <c r="M1802" s="24">
        <f>+Tabla2[[#This Row],[Variación Stock]]*Tabla2[[#This Row],[Coste LÃ­nea]]</f>
        <v>57075.949845750009</v>
      </c>
      <c r="N1802" s="22" t="str">
        <f>+IF(Tabla2[[#This Row],[Variación Stock]]&gt;0,"Sobrante",IF(Tabla2[[#This Row],[Variación Stock]]&lt;0,"Faltante","Sin novedad"))</f>
        <v>Sobrante</v>
      </c>
    </row>
    <row r="1803" spans="1:14" hidden="1" x14ac:dyDescent="0.25">
      <c r="A1803" s="11">
        <v>46053</v>
      </c>
      <c r="B1803" s="5" t="s">
        <v>836</v>
      </c>
      <c r="C1803" s="3" t="s">
        <v>128</v>
      </c>
      <c r="D1803" s="5" t="s">
        <v>396</v>
      </c>
      <c r="E1803" s="5" t="s">
        <v>117</v>
      </c>
      <c r="F1803" s="6" t="s">
        <v>455</v>
      </c>
      <c r="G1803" s="4" t="s">
        <v>1</v>
      </c>
      <c r="H1803" s="25">
        <v>27.595099999999999</v>
      </c>
      <c r="I1803" s="8">
        <v>33690</v>
      </c>
      <c r="J1803" s="9">
        <v>4000</v>
      </c>
      <c r="K1803" s="7">
        <v>-29690</v>
      </c>
      <c r="L1803" s="24">
        <f>+Tabla2[[#This Row],[Stock Inventario]]*Tabla2[[#This Row],[Coste LÃ­nea]]</f>
        <v>110380.4</v>
      </c>
      <c r="M1803" s="24">
        <f>+Tabla2[[#This Row],[Variación Stock]]*Tabla2[[#This Row],[Coste LÃ­nea]]</f>
        <v>-819298.51899999997</v>
      </c>
      <c r="N1803" s="22" t="str">
        <f>+IF(Tabla2[[#This Row],[Variación Stock]]&gt;0,"Sobrante",IF(Tabla2[[#This Row],[Variación Stock]]&lt;0,"Faltante","Sin novedad"))</f>
        <v>Faltante</v>
      </c>
    </row>
    <row r="1804" spans="1:14" x14ac:dyDescent="0.25">
      <c r="A1804" s="11">
        <v>46053</v>
      </c>
      <c r="B1804" s="5" t="s">
        <v>836</v>
      </c>
      <c r="C1804" s="3" t="s">
        <v>128</v>
      </c>
      <c r="D1804" s="5" t="s">
        <v>118</v>
      </c>
      <c r="E1804" s="5" t="s">
        <v>112</v>
      </c>
      <c r="F1804" s="6" t="s">
        <v>82</v>
      </c>
      <c r="G1804" s="4" t="s">
        <v>2</v>
      </c>
      <c r="H1804" s="25">
        <v>63372.666666669997</v>
      </c>
      <c r="I1804" s="8">
        <v>3</v>
      </c>
      <c r="J1804" s="9">
        <v>3</v>
      </c>
      <c r="K1804" s="7">
        <v>0</v>
      </c>
      <c r="L1804" s="24">
        <f>+Tabla2[[#This Row],[Stock Inventario]]*Tabla2[[#This Row],[Coste LÃ­nea]]</f>
        <v>190118.00000000998</v>
      </c>
      <c r="M1804" s="24">
        <f>+Tabla2[[#This Row],[Variación Stock]]*Tabla2[[#This Row],[Coste LÃ­nea]]</f>
        <v>0</v>
      </c>
      <c r="N1804" s="22" t="str">
        <f>+IF(Tabla2[[#This Row],[Variación Stock]]&gt;0,"Sobrante",IF(Tabla2[[#This Row],[Variación Stock]]&lt;0,"Faltante","Sin novedad"))</f>
        <v>Sin novedad</v>
      </c>
    </row>
    <row r="1805" spans="1:14" x14ac:dyDescent="0.25">
      <c r="A1805" s="11">
        <v>46053</v>
      </c>
      <c r="B1805" s="5" t="s">
        <v>836</v>
      </c>
      <c r="C1805" s="3" t="s">
        <v>128</v>
      </c>
      <c r="D1805" s="5" t="s">
        <v>118</v>
      </c>
      <c r="E1805" s="5" t="s">
        <v>112</v>
      </c>
      <c r="F1805" s="6" t="s">
        <v>83</v>
      </c>
      <c r="G1805" s="4" t="s">
        <v>2</v>
      </c>
      <c r="H1805" s="25">
        <v>37607.75</v>
      </c>
      <c r="I1805" s="8">
        <v>15</v>
      </c>
      <c r="J1805" s="9">
        <v>15</v>
      </c>
      <c r="K1805" s="7">
        <v>0</v>
      </c>
      <c r="L1805" s="24">
        <f>+Tabla2[[#This Row],[Stock Inventario]]*Tabla2[[#This Row],[Coste LÃ­nea]]</f>
        <v>564116.25</v>
      </c>
      <c r="M1805" s="24">
        <f>+Tabla2[[#This Row],[Variación Stock]]*Tabla2[[#This Row],[Coste LÃ­nea]]</f>
        <v>0</v>
      </c>
      <c r="N1805" s="22" t="str">
        <f>+IF(Tabla2[[#This Row],[Variación Stock]]&gt;0,"Sobrante",IF(Tabla2[[#This Row],[Variación Stock]]&lt;0,"Faltante","Sin novedad"))</f>
        <v>Sin novedad</v>
      </c>
    </row>
    <row r="1806" spans="1:14" x14ac:dyDescent="0.25">
      <c r="A1806" s="11">
        <v>46053</v>
      </c>
      <c r="B1806" s="5" t="s">
        <v>836</v>
      </c>
      <c r="C1806" s="3" t="s">
        <v>128</v>
      </c>
      <c r="D1806" s="5" t="s">
        <v>118</v>
      </c>
      <c r="E1806" s="5" t="s">
        <v>112</v>
      </c>
      <c r="F1806" s="6" t="s">
        <v>84</v>
      </c>
      <c r="G1806" s="4" t="s">
        <v>81</v>
      </c>
      <c r="H1806" s="25">
        <v>10879.03333333</v>
      </c>
      <c r="I1806" s="8">
        <v>36</v>
      </c>
      <c r="J1806" s="9">
        <v>36</v>
      </c>
      <c r="K1806" s="7">
        <v>0</v>
      </c>
      <c r="L1806" s="24">
        <f>+Tabla2[[#This Row],[Stock Inventario]]*Tabla2[[#This Row],[Coste LÃ­nea]]</f>
        <v>391645.19999988005</v>
      </c>
      <c r="M1806" s="24">
        <f>+Tabla2[[#This Row],[Variación Stock]]*Tabla2[[#This Row],[Coste LÃ­nea]]</f>
        <v>0</v>
      </c>
      <c r="N1806" s="22" t="str">
        <f>+IF(Tabla2[[#This Row],[Variación Stock]]&gt;0,"Sobrante",IF(Tabla2[[#This Row],[Variación Stock]]&lt;0,"Faltante","Sin novedad"))</f>
        <v>Sin novedad</v>
      </c>
    </row>
    <row r="1807" spans="1:14" x14ac:dyDescent="0.25">
      <c r="A1807" s="11">
        <v>46053</v>
      </c>
      <c r="B1807" s="5" t="s">
        <v>836</v>
      </c>
      <c r="C1807" s="3" t="s">
        <v>128</v>
      </c>
      <c r="D1807" s="5" t="s">
        <v>118</v>
      </c>
      <c r="E1807" s="5" t="s">
        <v>112</v>
      </c>
      <c r="F1807" s="6" t="s">
        <v>85</v>
      </c>
      <c r="G1807" s="4" t="s">
        <v>81</v>
      </c>
      <c r="H1807" s="25">
        <v>10875.1</v>
      </c>
      <c r="I1807" s="8">
        <v>74</v>
      </c>
      <c r="J1807" s="9">
        <v>54</v>
      </c>
      <c r="K1807" s="7">
        <v>-20</v>
      </c>
      <c r="L1807" s="24">
        <f>+Tabla2[[#This Row],[Stock Inventario]]*Tabla2[[#This Row],[Coste LÃ­nea]]</f>
        <v>587255.4</v>
      </c>
      <c r="M1807" s="24">
        <f>+Tabla2[[#This Row],[Variación Stock]]*Tabla2[[#This Row],[Coste LÃ­nea]]</f>
        <v>-217502</v>
      </c>
      <c r="N1807" s="22" t="str">
        <f>+IF(Tabla2[[#This Row],[Variación Stock]]&gt;0,"Sobrante",IF(Tabla2[[#This Row],[Variación Stock]]&lt;0,"Faltante","Sin novedad"))</f>
        <v>Faltante</v>
      </c>
    </row>
    <row r="1808" spans="1:14" x14ac:dyDescent="0.25">
      <c r="A1808" s="11">
        <v>46053</v>
      </c>
      <c r="B1808" s="5" t="s">
        <v>836</v>
      </c>
      <c r="C1808" s="3" t="s">
        <v>128</v>
      </c>
      <c r="D1808" s="5" t="s">
        <v>118</v>
      </c>
      <c r="E1808" s="5" t="s">
        <v>112</v>
      </c>
      <c r="F1808" s="6" t="s">
        <v>86</v>
      </c>
      <c r="G1808" s="4" t="s">
        <v>81</v>
      </c>
      <c r="H1808" s="25">
        <v>10889.4</v>
      </c>
      <c r="I1808" s="8">
        <v>15</v>
      </c>
      <c r="J1808" s="9">
        <v>15</v>
      </c>
      <c r="K1808" s="7">
        <v>0</v>
      </c>
      <c r="L1808" s="24">
        <f>+Tabla2[[#This Row],[Stock Inventario]]*Tabla2[[#This Row],[Coste LÃ­nea]]</f>
        <v>163341</v>
      </c>
      <c r="M1808" s="24">
        <f>+Tabla2[[#This Row],[Variación Stock]]*Tabla2[[#This Row],[Coste LÃ­nea]]</f>
        <v>0</v>
      </c>
      <c r="N1808" s="22" t="str">
        <f>+IF(Tabla2[[#This Row],[Variación Stock]]&gt;0,"Sobrante",IF(Tabla2[[#This Row],[Variación Stock]]&lt;0,"Faltante","Sin novedad"))</f>
        <v>Sin novedad</v>
      </c>
    </row>
    <row r="1809" spans="1:14" x14ac:dyDescent="0.25">
      <c r="A1809" s="11">
        <v>46053</v>
      </c>
      <c r="B1809" s="5" t="s">
        <v>836</v>
      </c>
      <c r="C1809" s="3" t="s">
        <v>128</v>
      </c>
      <c r="D1809" s="5" t="s">
        <v>118</v>
      </c>
      <c r="E1809" s="5" t="s">
        <v>112</v>
      </c>
      <c r="F1809" s="6" t="s">
        <v>184</v>
      </c>
      <c r="G1809" s="4" t="s">
        <v>81</v>
      </c>
      <c r="H1809" s="25">
        <v>10880.4</v>
      </c>
      <c r="I1809" s="8">
        <v>43</v>
      </c>
      <c r="J1809" s="9">
        <v>41</v>
      </c>
      <c r="K1809" s="7">
        <v>-2</v>
      </c>
      <c r="L1809" s="24">
        <f>+Tabla2[[#This Row],[Stock Inventario]]*Tabla2[[#This Row],[Coste LÃ­nea]]</f>
        <v>446096.39999999997</v>
      </c>
      <c r="M1809" s="24">
        <f>+Tabla2[[#This Row],[Variación Stock]]*Tabla2[[#This Row],[Coste LÃ­nea]]</f>
        <v>-21760.799999999999</v>
      </c>
      <c r="N1809" s="22" t="str">
        <f>+IF(Tabla2[[#This Row],[Variación Stock]]&gt;0,"Sobrante",IF(Tabla2[[#This Row],[Variación Stock]]&lt;0,"Faltante","Sin novedad"))</f>
        <v>Faltante</v>
      </c>
    </row>
    <row r="1810" spans="1:14" x14ac:dyDescent="0.25">
      <c r="A1810" s="11">
        <v>46053</v>
      </c>
      <c r="B1810" s="5" t="s">
        <v>836</v>
      </c>
      <c r="C1810" s="3" t="s">
        <v>128</v>
      </c>
      <c r="D1810" s="5" t="s">
        <v>118</v>
      </c>
      <c r="E1810" s="5" t="s">
        <v>112</v>
      </c>
      <c r="F1810" s="6" t="s">
        <v>87</v>
      </c>
      <c r="G1810" s="4" t="s">
        <v>2</v>
      </c>
      <c r="H1810" s="25">
        <v>37612</v>
      </c>
      <c r="I1810" s="8">
        <v>5</v>
      </c>
      <c r="J1810" s="9">
        <v>5</v>
      </c>
      <c r="K1810" s="7">
        <v>0</v>
      </c>
      <c r="L1810" s="24">
        <f>+Tabla2[[#This Row],[Stock Inventario]]*Tabla2[[#This Row],[Coste LÃ­nea]]</f>
        <v>188060</v>
      </c>
      <c r="M1810" s="24">
        <f>+Tabla2[[#This Row],[Variación Stock]]*Tabla2[[#This Row],[Coste LÃ­nea]]</f>
        <v>0</v>
      </c>
      <c r="N1810" s="22" t="str">
        <f>+IF(Tabla2[[#This Row],[Variación Stock]]&gt;0,"Sobrante",IF(Tabla2[[#This Row],[Variación Stock]]&lt;0,"Faltante","Sin novedad"))</f>
        <v>Sin novedad</v>
      </c>
    </row>
    <row r="1811" spans="1:14" x14ac:dyDescent="0.25">
      <c r="A1811" s="11">
        <v>46053</v>
      </c>
      <c r="B1811" s="5" t="s">
        <v>836</v>
      </c>
      <c r="C1811" s="3" t="s">
        <v>128</v>
      </c>
      <c r="D1811" s="5" t="s">
        <v>118</v>
      </c>
      <c r="E1811" s="5" t="s">
        <v>112</v>
      </c>
      <c r="F1811" s="6" t="s">
        <v>88</v>
      </c>
      <c r="G1811" s="4" t="s">
        <v>81</v>
      </c>
      <c r="H1811" s="25">
        <v>4385.6000000000004</v>
      </c>
      <c r="I1811" s="8">
        <v>7</v>
      </c>
      <c r="J1811" s="9">
        <v>9</v>
      </c>
      <c r="K1811" s="7">
        <v>2</v>
      </c>
      <c r="L1811" s="24">
        <f>+Tabla2[[#This Row],[Stock Inventario]]*Tabla2[[#This Row],[Coste LÃ­nea]]</f>
        <v>39470.400000000001</v>
      </c>
      <c r="M1811" s="24">
        <f>+Tabla2[[#This Row],[Variación Stock]]*Tabla2[[#This Row],[Coste LÃ­nea]]</f>
        <v>8771.2000000000007</v>
      </c>
      <c r="N1811" s="22" t="str">
        <f>+IF(Tabla2[[#This Row],[Variación Stock]]&gt;0,"Sobrante",IF(Tabla2[[#This Row],[Variación Stock]]&lt;0,"Faltante","Sin novedad"))</f>
        <v>Sobrante</v>
      </c>
    </row>
    <row r="1812" spans="1:14" x14ac:dyDescent="0.25">
      <c r="A1812" s="11">
        <v>46053</v>
      </c>
      <c r="B1812" s="5" t="s">
        <v>836</v>
      </c>
      <c r="C1812" s="3" t="s">
        <v>128</v>
      </c>
      <c r="D1812" s="5" t="s">
        <v>118</v>
      </c>
      <c r="E1812" s="5" t="s">
        <v>112</v>
      </c>
      <c r="F1812" s="6" t="s">
        <v>89</v>
      </c>
      <c r="G1812" s="4" t="s">
        <v>81</v>
      </c>
      <c r="H1812" s="25">
        <v>4363.6000000000004</v>
      </c>
      <c r="I1812" s="8">
        <v>41</v>
      </c>
      <c r="J1812" s="9">
        <v>41</v>
      </c>
      <c r="K1812" s="7">
        <v>0</v>
      </c>
      <c r="L1812" s="24">
        <f>+Tabla2[[#This Row],[Stock Inventario]]*Tabla2[[#This Row],[Coste LÃ­nea]]</f>
        <v>178907.6</v>
      </c>
      <c r="M1812" s="24">
        <f>+Tabla2[[#This Row],[Variación Stock]]*Tabla2[[#This Row],[Coste LÃ­nea]]</f>
        <v>0</v>
      </c>
      <c r="N1812" s="22" t="str">
        <f>+IF(Tabla2[[#This Row],[Variación Stock]]&gt;0,"Sobrante",IF(Tabla2[[#This Row],[Variación Stock]]&lt;0,"Faltante","Sin novedad"))</f>
        <v>Sin novedad</v>
      </c>
    </row>
    <row r="1813" spans="1:14" x14ac:dyDescent="0.25">
      <c r="A1813" s="11">
        <v>46053</v>
      </c>
      <c r="B1813" s="5" t="s">
        <v>836</v>
      </c>
      <c r="C1813" s="3" t="s">
        <v>128</v>
      </c>
      <c r="D1813" s="5" t="s">
        <v>118</v>
      </c>
      <c r="E1813" s="5" t="s">
        <v>112</v>
      </c>
      <c r="F1813" s="6" t="s">
        <v>90</v>
      </c>
      <c r="G1813" s="4" t="s">
        <v>81</v>
      </c>
      <c r="H1813" s="25">
        <v>4385.1400000000003</v>
      </c>
      <c r="I1813" s="8">
        <v>15</v>
      </c>
      <c r="J1813" s="9">
        <v>14</v>
      </c>
      <c r="K1813" s="7">
        <v>-1</v>
      </c>
      <c r="L1813" s="24">
        <f>+Tabla2[[#This Row],[Stock Inventario]]*Tabla2[[#This Row],[Coste LÃ­nea]]</f>
        <v>61391.960000000006</v>
      </c>
      <c r="M1813" s="24">
        <f>+Tabla2[[#This Row],[Variación Stock]]*Tabla2[[#This Row],[Coste LÃ­nea]]</f>
        <v>-4385.1400000000003</v>
      </c>
      <c r="N1813" s="22" t="str">
        <f>+IF(Tabla2[[#This Row],[Variación Stock]]&gt;0,"Sobrante",IF(Tabla2[[#This Row],[Variación Stock]]&lt;0,"Faltante","Sin novedad"))</f>
        <v>Faltante</v>
      </c>
    </row>
    <row r="1814" spans="1:14" hidden="1" x14ac:dyDescent="0.25">
      <c r="A1814" s="11">
        <v>46053</v>
      </c>
      <c r="B1814" s="5" t="s">
        <v>836</v>
      </c>
      <c r="C1814" s="3" t="s">
        <v>128</v>
      </c>
      <c r="D1814" s="5" t="s">
        <v>396</v>
      </c>
      <c r="E1814" s="5" t="s">
        <v>117</v>
      </c>
      <c r="F1814" s="6" t="s">
        <v>456</v>
      </c>
      <c r="G1814" s="4" t="s">
        <v>1</v>
      </c>
      <c r="H1814" s="25">
        <v>28.478000000000002</v>
      </c>
      <c r="I1814" s="8">
        <v>2309</v>
      </c>
      <c r="J1814" s="9">
        <v>7000</v>
      </c>
      <c r="K1814" s="7">
        <v>4691</v>
      </c>
      <c r="L1814" s="24">
        <f>+Tabla2[[#This Row],[Stock Inventario]]*Tabla2[[#This Row],[Coste LÃ­nea]]</f>
        <v>199346</v>
      </c>
      <c r="M1814" s="24">
        <f>+Tabla2[[#This Row],[Variación Stock]]*Tabla2[[#This Row],[Coste LÃ­nea]]</f>
        <v>133590.29800000001</v>
      </c>
      <c r="N1814" s="22" t="str">
        <f>+IF(Tabla2[[#This Row],[Variación Stock]]&gt;0,"Sobrante",IF(Tabla2[[#This Row],[Variación Stock]]&lt;0,"Faltante","Sin novedad"))</f>
        <v>Sobrante</v>
      </c>
    </row>
    <row r="1815" spans="1:14" x14ac:dyDescent="0.25">
      <c r="A1815" s="11">
        <v>46053</v>
      </c>
      <c r="B1815" s="5" t="s">
        <v>836</v>
      </c>
      <c r="C1815" s="3" t="s">
        <v>128</v>
      </c>
      <c r="D1815" s="5" t="s">
        <v>118</v>
      </c>
      <c r="E1815" s="5" t="s">
        <v>112</v>
      </c>
      <c r="F1815" s="6" t="s">
        <v>185</v>
      </c>
      <c r="G1815" s="4" t="s">
        <v>2</v>
      </c>
      <c r="H1815" s="25">
        <v>53019</v>
      </c>
      <c r="I1815" s="8">
        <v>1</v>
      </c>
      <c r="J1815" s="9">
        <v>1</v>
      </c>
      <c r="K1815" s="7">
        <v>0</v>
      </c>
      <c r="L1815" s="24">
        <f>+Tabla2[[#This Row],[Stock Inventario]]*Tabla2[[#This Row],[Coste LÃ­nea]]</f>
        <v>53019</v>
      </c>
      <c r="M1815" s="24">
        <f>+Tabla2[[#This Row],[Variación Stock]]*Tabla2[[#This Row],[Coste LÃ­nea]]</f>
        <v>0</v>
      </c>
      <c r="N1815" s="22" t="str">
        <f>+IF(Tabla2[[#This Row],[Variación Stock]]&gt;0,"Sobrante",IF(Tabla2[[#This Row],[Variación Stock]]&lt;0,"Faltante","Sin novedad"))</f>
        <v>Sin novedad</v>
      </c>
    </row>
    <row r="1816" spans="1:14" x14ac:dyDescent="0.25">
      <c r="A1816" s="11">
        <v>46053</v>
      </c>
      <c r="B1816" s="5" t="s">
        <v>836</v>
      </c>
      <c r="C1816" s="3" t="s">
        <v>128</v>
      </c>
      <c r="D1816" s="5" t="s">
        <v>118</v>
      </c>
      <c r="E1816" s="5" t="s">
        <v>112</v>
      </c>
      <c r="F1816" s="6" t="s">
        <v>186</v>
      </c>
      <c r="G1816" s="4" t="s">
        <v>2</v>
      </c>
      <c r="H1816" s="25">
        <v>53140</v>
      </c>
      <c r="I1816" s="8">
        <v>2</v>
      </c>
      <c r="J1816" s="9">
        <v>2</v>
      </c>
      <c r="K1816" s="7">
        <v>0</v>
      </c>
      <c r="L1816" s="24">
        <f>+Tabla2[[#This Row],[Stock Inventario]]*Tabla2[[#This Row],[Coste LÃ­nea]]</f>
        <v>106280</v>
      </c>
      <c r="M1816" s="24">
        <f>+Tabla2[[#This Row],[Variación Stock]]*Tabla2[[#This Row],[Coste LÃ­nea]]</f>
        <v>0</v>
      </c>
      <c r="N1816" s="22" t="str">
        <f>+IF(Tabla2[[#This Row],[Variación Stock]]&gt;0,"Sobrante",IF(Tabla2[[#This Row],[Variación Stock]]&lt;0,"Faltante","Sin novedad"))</f>
        <v>Sin novedad</v>
      </c>
    </row>
    <row r="1817" spans="1:14" x14ac:dyDescent="0.25">
      <c r="A1817" s="11">
        <v>46053</v>
      </c>
      <c r="B1817" s="5" t="s">
        <v>836</v>
      </c>
      <c r="C1817" s="3" t="s">
        <v>128</v>
      </c>
      <c r="D1817" s="5" t="s">
        <v>118</v>
      </c>
      <c r="E1817" s="5" t="s">
        <v>112</v>
      </c>
      <c r="F1817" s="6" t="s">
        <v>190</v>
      </c>
      <c r="G1817" s="4" t="s">
        <v>2</v>
      </c>
      <c r="H1817" s="25">
        <v>98892</v>
      </c>
      <c r="I1817" s="8">
        <v>1</v>
      </c>
      <c r="J1817" s="9">
        <v>1</v>
      </c>
      <c r="K1817" s="7">
        <v>0</v>
      </c>
      <c r="L1817" s="24">
        <f>+Tabla2[[#This Row],[Stock Inventario]]*Tabla2[[#This Row],[Coste LÃ­nea]]</f>
        <v>98892</v>
      </c>
      <c r="M1817" s="24">
        <f>+Tabla2[[#This Row],[Variación Stock]]*Tabla2[[#This Row],[Coste LÃ­nea]]</f>
        <v>0</v>
      </c>
      <c r="N1817" s="22" t="str">
        <f>+IF(Tabla2[[#This Row],[Variación Stock]]&gt;0,"Sobrante",IF(Tabla2[[#This Row],[Variación Stock]]&lt;0,"Faltante","Sin novedad"))</f>
        <v>Sin novedad</v>
      </c>
    </row>
    <row r="1818" spans="1:14" x14ac:dyDescent="0.25">
      <c r="A1818" s="11">
        <v>46053</v>
      </c>
      <c r="B1818" s="5" t="s">
        <v>836</v>
      </c>
      <c r="C1818" s="3" t="s">
        <v>128</v>
      </c>
      <c r="D1818" s="5" t="s">
        <v>111</v>
      </c>
      <c r="E1818" s="5" t="s">
        <v>112</v>
      </c>
      <c r="F1818" s="6" t="s">
        <v>43</v>
      </c>
      <c r="G1818" s="4" t="s">
        <v>0</v>
      </c>
      <c r="H1818" s="25">
        <v>2722.7272727300001</v>
      </c>
      <c r="I1818" s="8">
        <v>73</v>
      </c>
      <c r="J1818" s="9">
        <v>81</v>
      </c>
      <c r="K1818" s="7">
        <v>8</v>
      </c>
      <c r="L1818" s="24">
        <f>+Tabla2[[#This Row],[Stock Inventario]]*Tabla2[[#This Row],[Coste LÃ­nea]]</f>
        <v>220540.90909113002</v>
      </c>
      <c r="M1818" s="24">
        <f>+Tabla2[[#This Row],[Variación Stock]]*Tabla2[[#This Row],[Coste LÃ­nea]]</f>
        <v>21781.818181840001</v>
      </c>
      <c r="N1818" s="22" t="str">
        <f>+IF(Tabla2[[#This Row],[Variación Stock]]&gt;0,"Sobrante",IF(Tabla2[[#This Row],[Variación Stock]]&lt;0,"Faltante","Sin novedad"))</f>
        <v>Sobrante</v>
      </c>
    </row>
    <row r="1819" spans="1:14" hidden="1" x14ac:dyDescent="0.25">
      <c r="A1819" s="11">
        <v>46053</v>
      </c>
      <c r="B1819" s="5" t="s">
        <v>836</v>
      </c>
      <c r="C1819" s="3" t="s">
        <v>128</v>
      </c>
      <c r="D1819" s="5" t="s">
        <v>396</v>
      </c>
      <c r="E1819" s="5" t="s">
        <v>117</v>
      </c>
      <c r="F1819" s="6" t="s">
        <v>464</v>
      </c>
      <c r="G1819" s="4" t="s">
        <v>1</v>
      </c>
      <c r="H1819" s="25">
        <v>22.750050000000002</v>
      </c>
      <c r="I1819" s="8">
        <v>16385</v>
      </c>
      <c r="J1819" s="9">
        <v>9000</v>
      </c>
      <c r="K1819" s="7">
        <v>-7385</v>
      </c>
      <c r="L1819" s="24">
        <f>+Tabla2[[#This Row],[Stock Inventario]]*Tabla2[[#This Row],[Coste LÃ­nea]]</f>
        <v>204750.45</v>
      </c>
      <c r="M1819" s="24">
        <f>+Tabla2[[#This Row],[Variación Stock]]*Tabla2[[#This Row],[Coste LÃ­nea]]</f>
        <v>-168009.11925000002</v>
      </c>
      <c r="N1819" s="22" t="str">
        <f>+IF(Tabla2[[#This Row],[Variación Stock]]&gt;0,"Sobrante",IF(Tabla2[[#This Row],[Variación Stock]]&lt;0,"Faltante","Sin novedad"))</f>
        <v>Faltante</v>
      </c>
    </row>
    <row r="1820" spans="1:14" x14ac:dyDescent="0.25">
      <c r="A1820" s="11">
        <v>46053</v>
      </c>
      <c r="B1820" s="5" t="s">
        <v>836</v>
      </c>
      <c r="C1820" s="3" t="s">
        <v>128</v>
      </c>
      <c r="D1820" s="5" t="s">
        <v>111</v>
      </c>
      <c r="E1820" s="5" t="s">
        <v>112</v>
      </c>
      <c r="F1820" s="6" t="s">
        <v>34</v>
      </c>
      <c r="G1820" s="4" t="s">
        <v>0</v>
      </c>
      <c r="H1820" s="25">
        <v>6433.0454545499997</v>
      </c>
      <c r="I1820" s="8">
        <v>50</v>
      </c>
      <c r="J1820" s="9">
        <v>52</v>
      </c>
      <c r="K1820" s="7">
        <v>2</v>
      </c>
      <c r="L1820" s="24">
        <f>+Tabla2[[#This Row],[Stock Inventario]]*Tabla2[[#This Row],[Coste LÃ­nea]]</f>
        <v>334518.36363659997</v>
      </c>
      <c r="M1820" s="24">
        <f>+Tabla2[[#This Row],[Variación Stock]]*Tabla2[[#This Row],[Coste LÃ­nea]]</f>
        <v>12866.090909099999</v>
      </c>
      <c r="N1820" s="22" t="str">
        <f>+IF(Tabla2[[#This Row],[Variación Stock]]&gt;0,"Sobrante",IF(Tabla2[[#This Row],[Variación Stock]]&lt;0,"Faltante","Sin novedad"))</f>
        <v>Sobrante</v>
      </c>
    </row>
    <row r="1821" spans="1:14" hidden="1" x14ac:dyDescent="0.25">
      <c r="A1821" s="11">
        <v>46053</v>
      </c>
      <c r="B1821" s="5" t="s">
        <v>836</v>
      </c>
      <c r="C1821" s="3" t="s">
        <v>128</v>
      </c>
      <c r="D1821" s="5" t="s">
        <v>559</v>
      </c>
      <c r="E1821" s="5" t="s">
        <v>1080</v>
      </c>
      <c r="F1821" s="6" t="s">
        <v>884</v>
      </c>
      <c r="G1821" s="4" t="s">
        <v>2</v>
      </c>
      <c r="H1821" s="25">
        <v>206</v>
      </c>
      <c r="I1821" s="8">
        <v>0</v>
      </c>
      <c r="J1821" s="9">
        <v>0</v>
      </c>
      <c r="K1821" s="7">
        <v>0</v>
      </c>
      <c r="L1821" s="24">
        <f>+Tabla2[[#This Row],[Stock Inventario]]*Tabla2[[#This Row],[Coste LÃ­nea]]</f>
        <v>0</v>
      </c>
      <c r="M1821" s="24">
        <f>+Tabla2[[#This Row],[Variación Stock]]*Tabla2[[#This Row],[Coste LÃ­nea]]</f>
        <v>0</v>
      </c>
      <c r="N1821" s="22" t="str">
        <f>+IF(Tabla2[[#This Row],[Variación Stock]]&gt;0,"Sobrante",IF(Tabla2[[#This Row],[Variación Stock]]&lt;0,"Faltante","Sin novedad"))</f>
        <v>Sin novedad</v>
      </c>
    </row>
    <row r="1822" spans="1:14" hidden="1" x14ac:dyDescent="0.25">
      <c r="A1822" s="11">
        <v>46053</v>
      </c>
      <c r="B1822" s="5" t="s">
        <v>836</v>
      </c>
      <c r="C1822" s="3" t="s">
        <v>128</v>
      </c>
      <c r="D1822" s="5" t="s">
        <v>626</v>
      </c>
      <c r="E1822" s="5" t="s">
        <v>1079</v>
      </c>
      <c r="F1822" s="6" t="s">
        <v>672</v>
      </c>
      <c r="G1822" s="4" t="s">
        <v>2</v>
      </c>
      <c r="H1822" s="25">
        <v>30100</v>
      </c>
      <c r="I1822" s="8">
        <v>2</v>
      </c>
      <c r="J1822" s="9">
        <v>0</v>
      </c>
      <c r="K1822" s="7">
        <v>-2</v>
      </c>
      <c r="L1822" s="24">
        <f>+Tabla2[[#This Row],[Stock Inventario]]*Tabla2[[#This Row],[Coste LÃ­nea]]</f>
        <v>0</v>
      </c>
      <c r="M1822" s="24">
        <f>+Tabla2[[#This Row],[Variación Stock]]*Tabla2[[#This Row],[Coste LÃ­nea]]</f>
        <v>-60200</v>
      </c>
      <c r="N1822" s="22" t="str">
        <f>+IF(Tabla2[[#This Row],[Variación Stock]]&gt;0,"Sobrante",IF(Tabla2[[#This Row],[Variación Stock]]&lt;0,"Faltante","Sin novedad"))</f>
        <v>Faltante</v>
      </c>
    </row>
    <row r="1823" spans="1:14" hidden="1" x14ac:dyDescent="0.25">
      <c r="A1823" s="11">
        <v>46053</v>
      </c>
      <c r="B1823" s="5" t="s">
        <v>836</v>
      </c>
      <c r="C1823" s="3" t="s">
        <v>128</v>
      </c>
      <c r="D1823" s="5" t="s">
        <v>547</v>
      </c>
      <c r="E1823" s="5" t="s">
        <v>117</v>
      </c>
      <c r="F1823" s="6" t="s">
        <v>880</v>
      </c>
      <c r="G1823" s="4" t="s">
        <v>1</v>
      </c>
      <c r="H1823" s="25">
        <v>8.8511111099999997</v>
      </c>
      <c r="I1823" s="8">
        <v>5150</v>
      </c>
      <c r="J1823" s="9">
        <v>3000</v>
      </c>
      <c r="K1823" s="7">
        <v>-2150</v>
      </c>
      <c r="L1823" s="24">
        <f>+Tabla2[[#This Row],[Stock Inventario]]*Tabla2[[#This Row],[Coste LÃ­nea]]</f>
        <v>26553.333329999998</v>
      </c>
      <c r="M1823" s="24">
        <f>+Tabla2[[#This Row],[Variación Stock]]*Tabla2[[#This Row],[Coste LÃ­nea]]</f>
        <v>-19029.888886500001</v>
      </c>
      <c r="N1823" s="22" t="str">
        <f>+IF(Tabla2[[#This Row],[Variación Stock]]&gt;0,"Sobrante",IF(Tabla2[[#This Row],[Variación Stock]]&lt;0,"Faltante","Sin novedad"))</f>
        <v>Faltante</v>
      </c>
    </row>
    <row r="1824" spans="1:14" hidden="1" x14ac:dyDescent="0.25">
      <c r="A1824" s="11">
        <v>46053</v>
      </c>
      <c r="B1824" s="5" t="s">
        <v>836</v>
      </c>
      <c r="C1824" s="3" t="s">
        <v>128</v>
      </c>
      <c r="D1824" s="5" t="s">
        <v>471</v>
      </c>
      <c r="E1824" s="5" t="s">
        <v>117</v>
      </c>
      <c r="F1824" s="6" t="s">
        <v>538</v>
      </c>
      <c r="G1824" s="4" t="s">
        <v>1</v>
      </c>
      <c r="H1824" s="25">
        <v>4.2</v>
      </c>
      <c r="I1824" s="8">
        <v>6900</v>
      </c>
      <c r="J1824" s="9">
        <v>2000</v>
      </c>
      <c r="K1824" s="7">
        <v>-4900</v>
      </c>
      <c r="L1824" s="24">
        <f>+Tabla2[[#This Row],[Stock Inventario]]*Tabla2[[#This Row],[Coste LÃ­nea]]</f>
        <v>8400</v>
      </c>
      <c r="M1824" s="24">
        <f>+Tabla2[[#This Row],[Variación Stock]]*Tabla2[[#This Row],[Coste LÃ­nea]]</f>
        <v>-20580</v>
      </c>
      <c r="N1824" s="22" t="str">
        <f>+IF(Tabla2[[#This Row],[Variación Stock]]&gt;0,"Sobrante",IF(Tabla2[[#This Row],[Variación Stock]]&lt;0,"Faltante","Sin novedad"))</f>
        <v>Faltante</v>
      </c>
    </row>
    <row r="1825" spans="1:14" hidden="1" x14ac:dyDescent="0.25">
      <c r="A1825" s="11">
        <v>46053</v>
      </c>
      <c r="B1825" s="5" t="s">
        <v>836</v>
      </c>
      <c r="C1825" s="3" t="s">
        <v>128</v>
      </c>
      <c r="D1825" s="5" t="s">
        <v>471</v>
      </c>
      <c r="E1825" s="5" t="s">
        <v>117</v>
      </c>
      <c r="F1825" s="6" t="s">
        <v>539</v>
      </c>
      <c r="G1825" s="4" t="s">
        <v>1</v>
      </c>
      <c r="H1825" s="25">
        <v>1.6</v>
      </c>
      <c r="I1825" s="8">
        <v>12537.8334</v>
      </c>
      <c r="J1825" s="9">
        <v>2130</v>
      </c>
      <c r="K1825" s="7">
        <v>-10407.833387000001</v>
      </c>
      <c r="L1825" s="24">
        <f>+Tabla2[[#This Row],[Stock Inventario]]*Tabla2[[#This Row],[Coste LÃ­nea]]</f>
        <v>3408</v>
      </c>
      <c r="M1825" s="24">
        <f>+Tabla2[[#This Row],[Variación Stock]]*Tabla2[[#This Row],[Coste LÃ­nea]]</f>
        <v>-16652.533419200001</v>
      </c>
      <c r="N1825" s="22" t="str">
        <f>+IF(Tabla2[[#This Row],[Variación Stock]]&gt;0,"Sobrante",IF(Tabla2[[#This Row],[Variación Stock]]&lt;0,"Faltante","Sin novedad"))</f>
        <v>Faltante</v>
      </c>
    </row>
    <row r="1826" spans="1:14" hidden="1" x14ac:dyDescent="0.25">
      <c r="A1826" s="11">
        <v>46053</v>
      </c>
      <c r="B1826" s="5" t="s">
        <v>836</v>
      </c>
      <c r="C1826" s="3" t="s">
        <v>128</v>
      </c>
      <c r="D1826" s="5" t="s">
        <v>471</v>
      </c>
      <c r="E1826" s="5" t="s">
        <v>117</v>
      </c>
      <c r="F1826" s="6" t="s">
        <v>871</v>
      </c>
      <c r="G1826" s="4" t="s">
        <v>1</v>
      </c>
      <c r="H1826" s="25">
        <v>160</v>
      </c>
      <c r="I1826" s="8">
        <v>0</v>
      </c>
      <c r="J1826" s="9">
        <v>0</v>
      </c>
      <c r="K1826" s="7">
        <v>0</v>
      </c>
      <c r="L1826" s="24">
        <f>+Tabla2[[#This Row],[Stock Inventario]]*Tabla2[[#This Row],[Coste LÃ­nea]]</f>
        <v>0</v>
      </c>
      <c r="M1826" s="24">
        <f>+Tabla2[[#This Row],[Variación Stock]]*Tabla2[[#This Row],[Coste LÃ­nea]]</f>
        <v>0</v>
      </c>
      <c r="N1826" s="22" t="str">
        <f>+IF(Tabla2[[#This Row],[Variación Stock]]&gt;0,"Sobrante",IF(Tabla2[[#This Row],[Variación Stock]]&lt;0,"Faltante","Sin novedad"))</f>
        <v>Sin novedad</v>
      </c>
    </row>
    <row r="1827" spans="1:14" hidden="1" x14ac:dyDescent="0.25">
      <c r="A1827" s="11">
        <v>46053</v>
      </c>
      <c r="B1827" s="5" t="s">
        <v>836</v>
      </c>
      <c r="C1827" s="3" t="s">
        <v>128</v>
      </c>
      <c r="D1827" s="5" t="s">
        <v>471</v>
      </c>
      <c r="E1827" s="5" t="s">
        <v>117</v>
      </c>
      <c r="F1827" s="6" t="s">
        <v>872</v>
      </c>
      <c r="G1827" s="4" t="s">
        <v>1</v>
      </c>
      <c r="H1827" s="25">
        <v>3.5</v>
      </c>
      <c r="I1827" s="8">
        <v>6498</v>
      </c>
      <c r="J1827" s="9">
        <v>936</v>
      </c>
      <c r="K1827" s="7">
        <v>-5562</v>
      </c>
      <c r="L1827" s="24">
        <f>+Tabla2[[#This Row],[Stock Inventario]]*Tabla2[[#This Row],[Coste LÃ­nea]]</f>
        <v>3276</v>
      </c>
      <c r="M1827" s="24">
        <f>+Tabla2[[#This Row],[Variación Stock]]*Tabla2[[#This Row],[Coste LÃ­nea]]</f>
        <v>-19467</v>
      </c>
      <c r="N1827" s="22" t="str">
        <f>+IF(Tabla2[[#This Row],[Variación Stock]]&gt;0,"Sobrante",IF(Tabla2[[#This Row],[Variación Stock]]&lt;0,"Faltante","Sin novedad"))</f>
        <v>Faltante</v>
      </c>
    </row>
    <row r="1828" spans="1:14" hidden="1" x14ac:dyDescent="0.25">
      <c r="A1828" s="11">
        <v>46065</v>
      </c>
      <c r="B1828" s="5" t="s">
        <v>1087</v>
      </c>
      <c r="C1828" s="3" t="s">
        <v>128</v>
      </c>
      <c r="D1828" s="5" t="s">
        <v>119</v>
      </c>
      <c r="E1828" s="5" t="s">
        <v>117</v>
      </c>
      <c r="F1828" s="6" t="s">
        <v>194</v>
      </c>
      <c r="G1828" s="4" t="s">
        <v>1</v>
      </c>
      <c r="H1828" s="25">
        <v>11.5</v>
      </c>
      <c r="I1828" s="8">
        <v>-2000</v>
      </c>
      <c r="J1828" s="9">
        <v>2000</v>
      </c>
      <c r="K1828" s="7">
        <v>4000</v>
      </c>
      <c r="L1828" s="24">
        <f>+Tabla2[[#This Row],[Stock Inventario]]*Tabla2[[#This Row],[Coste LÃ­nea]]</f>
        <v>23000</v>
      </c>
      <c r="M1828" s="24">
        <f>+Tabla2[[#This Row],[Variación Stock]]*Tabla2[[#This Row],[Coste LÃ­nea]]</f>
        <v>46000</v>
      </c>
      <c r="N1828" s="22" t="str">
        <f>+IF(Tabla2[[#This Row],[Variación Stock]]&gt;0,"Sobrante",IF(Tabla2[[#This Row],[Variación Stock]]&lt;0,"Faltante","Sin novedad"))</f>
        <v>Sobrante</v>
      </c>
    </row>
    <row r="1829" spans="1:14" hidden="1" x14ac:dyDescent="0.25">
      <c r="A1829" s="11">
        <v>46065</v>
      </c>
      <c r="B1829" s="5" t="s">
        <v>1087</v>
      </c>
      <c r="C1829" s="3" t="s">
        <v>128</v>
      </c>
      <c r="D1829" s="5" t="s">
        <v>119</v>
      </c>
      <c r="E1829" s="5" t="s">
        <v>117</v>
      </c>
      <c r="F1829" s="6" t="s">
        <v>198</v>
      </c>
      <c r="G1829" s="4" t="s">
        <v>2</v>
      </c>
      <c r="H1829" s="25">
        <v>438.8125</v>
      </c>
      <c r="I1829" s="8">
        <v>-1480</v>
      </c>
      <c r="J1829" s="9">
        <v>0</v>
      </c>
      <c r="K1829" s="7">
        <v>1480</v>
      </c>
      <c r="L1829" s="24">
        <f>+Tabla2[[#This Row],[Stock Inventario]]*Tabla2[[#This Row],[Coste LÃ­nea]]</f>
        <v>0</v>
      </c>
      <c r="M1829" s="24">
        <f>+Tabla2[[#This Row],[Variación Stock]]*Tabla2[[#This Row],[Coste LÃ­nea]]</f>
        <v>649442.5</v>
      </c>
      <c r="N1829" s="22" t="str">
        <f>+IF(Tabla2[[#This Row],[Variación Stock]]&gt;0,"Sobrante",IF(Tabla2[[#This Row],[Variación Stock]]&lt;0,"Faltante","Sin novedad"))</f>
        <v>Sobrante</v>
      </c>
    </row>
    <row r="1830" spans="1:14" x14ac:dyDescent="0.25">
      <c r="A1830" s="11">
        <v>46065</v>
      </c>
      <c r="B1830" s="5" t="s">
        <v>1087</v>
      </c>
      <c r="C1830" s="3" t="s">
        <v>128</v>
      </c>
      <c r="D1830" s="5" t="s">
        <v>111</v>
      </c>
      <c r="E1830" s="5" t="s">
        <v>112</v>
      </c>
      <c r="F1830" s="6" t="s">
        <v>43</v>
      </c>
      <c r="G1830" s="4" t="s">
        <v>0</v>
      </c>
      <c r="H1830" s="25">
        <v>2722.7272727300001</v>
      </c>
      <c r="I1830" s="8">
        <v>67</v>
      </c>
      <c r="J1830" s="9">
        <v>59</v>
      </c>
      <c r="K1830" s="7">
        <v>-8</v>
      </c>
      <c r="L1830" s="24">
        <f>+Tabla2[[#This Row],[Stock Inventario]]*Tabla2[[#This Row],[Coste LÃ­nea]]</f>
        <v>160640.90909107</v>
      </c>
      <c r="M1830" s="24">
        <f>+Tabla2[[#This Row],[Variación Stock]]*Tabla2[[#This Row],[Coste LÃ­nea]]</f>
        <v>-21781.818181840001</v>
      </c>
      <c r="N1830" s="22" t="str">
        <f>+IF(Tabla2[[#This Row],[Variación Stock]]&gt;0,"Sobrante",IF(Tabla2[[#This Row],[Variación Stock]]&lt;0,"Faltante","Sin novedad"))</f>
        <v>Faltante</v>
      </c>
    </row>
    <row r="1831" spans="1:14" x14ac:dyDescent="0.25">
      <c r="A1831" s="11">
        <v>46065</v>
      </c>
      <c r="B1831" s="5" t="s">
        <v>1087</v>
      </c>
      <c r="C1831" s="3" t="s">
        <v>128</v>
      </c>
      <c r="D1831" s="5" t="s">
        <v>114</v>
      </c>
      <c r="E1831" s="5" t="s">
        <v>112</v>
      </c>
      <c r="F1831" s="6" t="s">
        <v>70</v>
      </c>
      <c r="G1831" s="4" t="s">
        <v>2</v>
      </c>
      <c r="H1831" s="25">
        <v>983.33333332999996</v>
      </c>
      <c r="I1831" s="8">
        <v>0</v>
      </c>
      <c r="J1831" s="9">
        <v>0</v>
      </c>
      <c r="K1831" s="7">
        <v>0</v>
      </c>
      <c r="L1831" s="24">
        <f>+Tabla2[[#This Row],[Stock Inventario]]*Tabla2[[#This Row],[Coste LÃ­nea]]</f>
        <v>0</v>
      </c>
      <c r="M1831" s="24">
        <f>+Tabla2[[#This Row],[Variación Stock]]*Tabla2[[#This Row],[Coste LÃ­nea]]</f>
        <v>0</v>
      </c>
      <c r="N1831" s="22" t="str">
        <f>+IF(Tabla2[[#This Row],[Variación Stock]]&gt;0,"Sobrante",IF(Tabla2[[#This Row],[Variación Stock]]&lt;0,"Faltante","Sin novedad"))</f>
        <v>Sin novedad</v>
      </c>
    </row>
    <row r="1832" spans="1:14" x14ac:dyDescent="0.25">
      <c r="A1832" s="11">
        <v>46065</v>
      </c>
      <c r="B1832" s="5" t="s">
        <v>1087</v>
      </c>
      <c r="C1832" s="3" t="s">
        <v>128</v>
      </c>
      <c r="D1832" s="5" t="s">
        <v>118</v>
      </c>
      <c r="E1832" s="5" t="s">
        <v>112</v>
      </c>
      <c r="F1832" s="6" t="s">
        <v>175</v>
      </c>
      <c r="G1832" s="4" t="s">
        <v>2</v>
      </c>
      <c r="H1832" s="25">
        <v>75606</v>
      </c>
      <c r="I1832" s="8">
        <v>2</v>
      </c>
      <c r="J1832" s="9">
        <v>1</v>
      </c>
      <c r="K1832" s="7">
        <v>-1</v>
      </c>
      <c r="L1832" s="24">
        <f>+Tabla2[[#This Row],[Stock Inventario]]*Tabla2[[#This Row],[Coste LÃ­nea]]</f>
        <v>75606</v>
      </c>
      <c r="M1832" s="24">
        <f>+Tabla2[[#This Row],[Variación Stock]]*Tabla2[[#This Row],[Coste LÃ­nea]]</f>
        <v>-75606</v>
      </c>
      <c r="N1832" s="22" t="str">
        <f>+IF(Tabla2[[#This Row],[Variación Stock]]&gt;0,"Sobrante",IF(Tabla2[[#This Row],[Variación Stock]]&lt;0,"Faltante","Sin novedad"))</f>
        <v>Faltante</v>
      </c>
    </row>
    <row r="1833" spans="1:14" x14ac:dyDescent="0.25">
      <c r="A1833" s="11">
        <v>46065</v>
      </c>
      <c r="B1833" s="5" t="s">
        <v>1087</v>
      </c>
      <c r="C1833" s="3" t="s">
        <v>128</v>
      </c>
      <c r="D1833" s="5" t="s">
        <v>118</v>
      </c>
      <c r="E1833" s="5" t="s">
        <v>112</v>
      </c>
      <c r="F1833" s="6" t="s">
        <v>180</v>
      </c>
      <c r="G1833" s="4" t="s">
        <v>2</v>
      </c>
      <c r="H1833" s="25">
        <v>80870</v>
      </c>
      <c r="I1833" s="8">
        <v>2</v>
      </c>
      <c r="J1833" s="9">
        <v>2</v>
      </c>
      <c r="K1833" s="7">
        <v>0</v>
      </c>
      <c r="L1833" s="24">
        <f>+Tabla2[[#This Row],[Stock Inventario]]*Tabla2[[#This Row],[Coste LÃ­nea]]</f>
        <v>161740</v>
      </c>
      <c r="M1833" s="24">
        <f>+Tabla2[[#This Row],[Variación Stock]]*Tabla2[[#This Row],[Coste LÃ­nea]]</f>
        <v>0</v>
      </c>
      <c r="N1833" s="22" t="str">
        <f>+IF(Tabla2[[#This Row],[Variación Stock]]&gt;0,"Sobrante",IF(Tabla2[[#This Row],[Variación Stock]]&lt;0,"Faltante","Sin novedad"))</f>
        <v>Sin novedad</v>
      </c>
    </row>
    <row r="1834" spans="1:14" x14ac:dyDescent="0.25">
      <c r="A1834" s="11">
        <v>46065</v>
      </c>
      <c r="B1834" s="5" t="s">
        <v>1087</v>
      </c>
      <c r="C1834" s="3" t="s">
        <v>128</v>
      </c>
      <c r="D1834" s="5" t="s">
        <v>111</v>
      </c>
      <c r="E1834" s="5" t="s">
        <v>112</v>
      </c>
      <c r="F1834" s="6" t="s">
        <v>363</v>
      </c>
      <c r="G1834" s="4" t="s">
        <v>0</v>
      </c>
      <c r="H1834" s="25">
        <v>0</v>
      </c>
      <c r="I1834" s="8">
        <v>15</v>
      </c>
      <c r="J1834" s="9">
        <v>15</v>
      </c>
      <c r="K1834" s="7">
        <v>0</v>
      </c>
      <c r="L1834" s="24">
        <f>+Tabla2[[#This Row],[Stock Inventario]]*Tabla2[[#This Row],[Coste LÃ­nea]]</f>
        <v>0</v>
      </c>
      <c r="M1834" s="24">
        <f>+Tabla2[[#This Row],[Variación Stock]]*Tabla2[[#This Row],[Coste LÃ­nea]]</f>
        <v>0</v>
      </c>
      <c r="N1834" s="22" t="str">
        <f>+IF(Tabla2[[#This Row],[Variación Stock]]&gt;0,"Sobrante",IF(Tabla2[[#This Row],[Variación Stock]]&lt;0,"Faltante","Sin novedad"))</f>
        <v>Sin novedad</v>
      </c>
    </row>
    <row r="1835" spans="1:14" x14ac:dyDescent="0.25">
      <c r="A1835" s="11">
        <v>46065</v>
      </c>
      <c r="B1835" s="5" t="s">
        <v>1087</v>
      </c>
      <c r="C1835" s="3" t="s">
        <v>128</v>
      </c>
      <c r="D1835" s="5" t="s">
        <v>114</v>
      </c>
      <c r="E1835" s="5" t="s">
        <v>112</v>
      </c>
      <c r="F1835" s="6" t="s">
        <v>65</v>
      </c>
      <c r="G1835" s="4" t="s">
        <v>2</v>
      </c>
      <c r="H1835" s="25">
        <v>5428.7142857099998</v>
      </c>
      <c r="I1835" s="8">
        <v>34</v>
      </c>
      <c r="J1835" s="9">
        <v>43</v>
      </c>
      <c r="K1835" s="7">
        <v>9</v>
      </c>
      <c r="L1835" s="24">
        <f>+Tabla2[[#This Row],[Stock Inventario]]*Tabla2[[#This Row],[Coste LÃ­nea]]</f>
        <v>233434.71428553</v>
      </c>
      <c r="M1835" s="24">
        <f>+Tabla2[[#This Row],[Variación Stock]]*Tabla2[[#This Row],[Coste LÃ­nea]]</f>
        <v>48858.428571389995</v>
      </c>
      <c r="N1835" s="22" t="str">
        <f>+IF(Tabla2[[#This Row],[Variación Stock]]&gt;0,"Sobrante",IF(Tabla2[[#This Row],[Variación Stock]]&lt;0,"Faltante","Sin novedad"))</f>
        <v>Sobrante</v>
      </c>
    </row>
    <row r="1836" spans="1:14" x14ac:dyDescent="0.25">
      <c r="A1836" s="11">
        <v>46065</v>
      </c>
      <c r="B1836" s="5" t="s">
        <v>1087</v>
      </c>
      <c r="C1836" s="3" t="s">
        <v>128</v>
      </c>
      <c r="D1836" s="5" t="s">
        <v>115</v>
      </c>
      <c r="E1836" s="5" t="s">
        <v>112</v>
      </c>
      <c r="F1836" s="6" t="s">
        <v>153</v>
      </c>
      <c r="G1836" s="4" t="s">
        <v>2</v>
      </c>
      <c r="H1836" s="25">
        <v>2699.6666666699998</v>
      </c>
      <c r="I1836" s="8">
        <v>0</v>
      </c>
      <c r="J1836" s="9">
        <v>0</v>
      </c>
      <c r="K1836" s="7">
        <v>0</v>
      </c>
      <c r="L1836" s="24">
        <f>+Tabla2[[#This Row],[Stock Inventario]]*Tabla2[[#This Row],[Coste LÃ­nea]]</f>
        <v>0</v>
      </c>
      <c r="M1836" s="24">
        <f>+Tabla2[[#This Row],[Variación Stock]]*Tabla2[[#This Row],[Coste LÃ­nea]]</f>
        <v>0</v>
      </c>
      <c r="N1836" s="22" t="str">
        <f>+IF(Tabla2[[#This Row],[Variación Stock]]&gt;0,"Sobrante",IF(Tabla2[[#This Row],[Variación Stock]]&lt;0,"Faltante","Sin novedad"))</f>
        <v>Sin novedad</v>
      </c>
    </row>
    <row r="1837" spans="1:14" x14ac:dyDescent="0.25">
      <c r="A1837" s="11">
        <v>46065</v>
      </c>
      <c r="B1837" s="5" t="s">
        <v>1087</v>
      </c>
      <c r="C1837" s="3" t="s">
        <v>128</v>
      </c>
      <c r="D1837" s="5" t="s">
        <v>111</v>
      </c>
      <c r="E1837" s="5" t="s">
        <v>112</v>
      </c>
      <c r="F1837" s="6" t="s">
        <v>19</v>
      </c>
      <c r="G1837" s="4" t="s">
        <v>0</v>
      </c>
      <c r="H1837" s="25">
        <v>6744</v>
      </c>
      <c r="I1837" s="8">
        <v>26</v>
      </c>
      <c r="J1837" s="9">
        <v>32</v>
      </c>
      <c r="K1837" s="7">
        <v>6</v>
      </c>
      <c r="L1837" s="24">
        <f>+Tabla2[[#This Row],[Stock Inventario]]*Tabla2[[#This Row],[Coste LÃ­nea]]</f>
        <v>215808</v>
      </c>
      <c r="M1837" s="24">
        <f>+Tabla2[[#This Row],[Variación Stock]]*Tabla2[[#This Row],[Coste LÃ­nea]]</f>
        <v>40464</v>
      </c>
      <c r="N1837" s="22" t="str">
        <f>+IF(Tabla2[[#This Row],[Variación Stock]]&gt;0,"Sobrante",IF(Tabla2[[#This Row],[Variación Stock]]&lt;0,"Faltante","Sin novedad"))</f>
        <v>Sobrante</v>
      </c>
    </row>
    <row r="1838" spans="1:14" x14ac:dyDescent="0.25">
      <c r="A1838" s="11">
        <v>46065</v>
      </c>
      <c r="B1838" s="5" t="s">
        <v>1087</v>
      </c>
      <c r="C1838" s="3" t="s">
        <v>128</v>
      </c>
      <c r="D1838" s="5" t="s">
        <v>111</v>
      </c>
      <c r="E1838" s="5" t="s">
        <v>112</v>
      </c>
      <c r="F1838" s="6" t="s">
        <v>57</v>
      </c>
      <c r="G1838" s="4" t="s">
        <v>0</v>
      </c>
      <c r="H1838" s="25">
        <v>2500</v>
      </c>
      <c r="I1838" s="8">
        <v>16</v>
      </c>
      <c r="J1838" s="9">
        <v>32</v>
      </c>
      <c r="K1838" s="7">
        <v>16</v>
      </c>
      <c r="L1838" s="24">
        <f>+Tabla2[[#This Row],[Stock Inventario]]*Tabla2[[#This Row],[Coste LÃ­nea]]</f>
        <v>80000</v>
      </c>
      <c r="M1838" s="24">
        <f>+Tabla2[[#This Row],[Variación Stock]]*Tabla2[[#This Row],[Coste LÃ­nea]]</f>
        <v>40000</v>
      </c>
      <c r="N1838" s="22" t="str">
        <f>+IF(Tabla2[[#This Row],[Variación Stock]]&gt;0,"Sobrante",IF(Tabla2[[#This Row],[Variación Stock]]&lt;0,"Faltante","Sin novedad"))</f>
        <v>Sobrante</v>
      </c>
    </row>
    <row r="1839" spans="1:14" hidden="1" x14ac:dyDescent="0.25">
      <c r="A1839" s="11">
        <v>46065</v>
      </c>
      <c r="B1839" s="5" t="s">
        <v>1087</v>
      </c>
      <c r="C1839" s="3" t="s">
        <v>128</v>
      </c>
      <c r="D1839" s="5" t="s">
        <v>119</v>
      </c>
      <c r="E1839" s="5" t="s">
        <v>117</v>
      </c>
      <c r="F1839" s="6" t="s">
        <v>13</v>
      </c>
      <c r="G1839" s="4" t="s">
        <v>2</v>
      </c>
      <c r="H1839" s="25">
        <v>10506</v>
      </c>
      <c r="I1839" s="8">
        <v>15</v>
      </c>
      <c r="J1839" s="9">
        <v>15</v>
      </c>
      <c r="K1839" s="7">
        <v>0</v>
      </c>
      <c r="L1839" s="24">
        <f>+Tabla2[[#This Row],[Stock Inventario]]*Tabla2[[#This Row],[Coste LÃ­nea]]</f>
        <v>157590</v>
      </c>
      <c r="M1839" s="24">
        <f>+Tabla2[[#This Row],[Variación Stock]]*Tabla2[[#This Row],[Coste LÃ­nea]]</f>
        <v>0</v>
      </c>
      <c r="N1839" s="22" t="str">
        <f>+IF(Tabla2[[#This Row],[Variación Stock]]&gt;0,"Sobrante",IF(Tabla2[[#This Row],[Variación Stock]]&lt;0,"Faltante","Sin novedad"))</f>
        <v>Sin novedad</v>
      </c>
    </row>
    <row r="1840" spans="1:14" x14ac:dyDescent="0.25">
      <c r="A1840" s="11">
        <v>46065</v>
      </c>
      <c r="B1840" s="5" t="s">
        <v>1087</v>
      </c>
      <c r="C1840" s="3" t="s">
        <v>128</v>
      </c>
      <c r="D1840" s="5" t="s">
        <v>118</v>
      </c>
      <c r="E1840" s="5" t="s">
        <v>112</v>
      </c>
      <c r="F1840" s="6" t="s">
        <v>184</v>
      </c>
      <c r="G1840" s="4" t="s">
        <v>81</v>
      </c>
      <c r="H1840" s="25">
        <v>10880.4</v>
      </c>
      <c r="I1840" s="8">
        <v>15</v>
      </c>
      <c r="J1840" s="9">
        <v>14</v>
      </c>
      <c r="K1840" s="7">
        <v>-1</v>
      </c>
      <c r="L1840" s="24">
        <f>+Tabla2[[#This Row],[Stock Inventario]]*Tabla2[[#This Row],[Coste LÃ­nea]]</f>
        <v>152325.6</v>
      </c>
      <c r="M1840" s="24">
        <f>+Tabla2[[#This Row],[Variación Stock]]*Tabla2[[#This Row],[Coste LÃ­nea]]</f>
        <v>-10880.4</v>
      </c>
      <c r="N1840" s="22" t="str">
        <f>+IF(Tabla2[[#This Row],[Variación Stock]]&gt;0,"Sobrante",IF(Tabla2[[#This Row],[Variación Stock]]&lt;0,"Faltante","Sin novedad"))</f>
        <v>Faltante</v>
      </c>
    </row>
    <row r="1841" spans="1:14" x14ac:dyDescent="0.25">
      <c r="A1841" s="11">
        <v>46065</v>
      </c>
      <c r="B1841" s="5" t="s">
        <v>1087</v>
      </c>
      <c r="C1841" s="3" t="s">
        <v>128</v>
      </c>
      <c r="D1841" s="5" t="s">
        <v>122</v>
      </c>
      <c r="E1841" s="5" t="s">
        <v>112</v>
      </c>
      <c r="F1841" s="6" t="s">
        <v>99</v>
      </c>
      <c r="G1841" s="4" t="s">
        <v>2</v>
      </c>
      <c r="H1841" s="25">
        <v>7330</v>
      </c>
      <c r="I1841" s="8">
        <v>35</v>
      </c>
      <c r="J1841" s="9">
        <v>35</v>
      </c>
      <c r="K1841" s="7">
        <v>0</v>
      </c>
      <c r="L1841" s="24">
        <f>+Tabla2[[#This Row],[Stock Inventario]]*Tabla2[[#This Row],[Coste LÃ­nea]]</f>
        <v>256550</v>
      </c>
      <c r="M1841" s="24">
        <f>+Tabla2[[#This Row],[Variación Stock]]*Tabla2[[#This Row],[Coste LÃ­nea]]</f>
        <v>0</v>
      </c>
      <c r="N1841" s="22" t="str">
        <f>+IF(Tabla2[[#This Row],[Variación Stock]]&gt;0,"Sobrante",IF(Tabla2[[#This Row],[Variación Stock]]&lt;0,"Faltante","Sin novedad"))</f>
        <v>Sin novedad</v>
      </c>
    </row>
    <row r="1842" spans="1:14" x14ac:dyDescent="0.25">
      <c r="A1842" s="11">
        <v>46065</v>
      </c>
      <c r="B1842" s="5" t="s">
        <v>1087</v>
      </c>
      <c r="C1842" s="3" t="s">
        <v>128</v>
      </c>
      <c r="D1842" s="5" t="s">
        <v>111</v>
      </c>
      <c r="E1842" s="5" t="s">
        <v>112</v>
      </c>
      <c r="F1842" s="6" t="s">
        <v>136</v>
      </c>
      <c r="G1842" s="4" t="s">
        <v>0</v>
      </c>
      <c r="H1842" s="25">
        <v>384.58620689999998</v>
      </c>
      <c r="I1842" s="8">
        <v>49.5</v>
      </c>
      <c r="J1842" s="9">
        <v>28</v>
      </c>
      <c r="K1842" s="7">
        <v>-21.5</v>
      </c>
      <c r="L1842" s="24">
        <f>+Tabla2[[#This Row],[Stock Inventario]]*Tabla2[[#This Row],[Coste LÃ­nea]]</f>
        <v>10768.413793199999</v>
      </c>
      <c r="M1842" s="24">
        <f>+Tabla2[[#This Row],[Variación Stock]]*Tabla2[[#This Row],[Coste LÃ­nea]]</f>
        <v>-8268.6034483499989</v>
      </c>
      <c r="N1842" s="22" t="str">
        <f>+IF(Tabla2[[#This Row],[Variación Stock]]&gt;0,"Sobrante",IF(Tabla2[[#This Row],[Variación Stock]]&lt;0,"Faltante","Sin novedad"))</f>
        <v>Faltante</v>
      </c>
    </row>
    <row r="1843" spans="1:14" x14ac:dyDescent="0.25">
      <c r="A1843" s="11">
        <v>46065</v>
      </c>
      <c r="B1843" s="5" t="s">
        <v>1087</v>
      </c>
      <c r="C1843" s="3" t="s">
        <v>128</v>
      </c>
      <c r="D1843" s="5" t="s">
        <v>111</v>
      </c>
      <c r="E1843" s="5" t="s">
        <v>112</v>
      </c>
      <c r="F1843" s="6" t="s">
        <v>364</v>
      </c>
      <c r="G1843" s="4" t="s">
        <v>0</v>
      </c>
      <c r="H1843" s="25">
        <v>10500</v>
      </c>
      <c r="I1843" s="8">
        <v>62</v>
      </c>
      <c r="J1843" s="9">
        <v>64</v>
      </c>
      <c r="K1843" s="7">
        <v>2</v>
      </c>
      <c r="L1843" s="24">
        <f>+Tabla2[[#This Row],[Stock Inventario]]*Tabla2[[#This Row],[Coste LÃ­nea]]</f>
        <v>672000</v>
      </c>
      <c r="M1843" s="24">
        <f>+Tabla2[[#This Row],[Variación Stock]]*Tabla2[[#This Row],[Coste LÃ­nea]]</f>
        <v>21000</v>
      </c>
      <c r="N1843" s="22" t="str">
        <f>+IF(Tabla2[[#This Row],[Variación Stock]]&gt;0,"Sobrante",IF(Tabla2[[#This Row],[Variación Stock]]&lt;0,"Faltante","Sin novedad"))</f>
        <v>Sobrante</v>
      </c>
    </row>
    <row r="1844" spans="1:14" hidden="1" x14ac:dyDescent="0.25">
      <c r="A1844" s="11">
        <v>46065</v>
      </c>
      <c r="B1844" s="5" t="s">
        <v>1087</v>
      </c>
      <c r="C1844" s="3" t="s">
        <v>128</v>
      </c>
      <c r="D1844" s="5" t="s">
        <v>119</v>
      </c>
      <c r="E1844" s="5" t="s">
        <v>117</v>
      </c>
      <c r="F1844" s="6" t="s">
        <v>93</v>
      </c>
      <c r="G1844" s="4" t="s">
        <v>1</v>
      </c>
      <c r="H1844" s="25">
        <v>49.53</v>
      </c>
      <c r="I1844" s="8">
        <v>0</v>
      </c>
      <c r="J1844" s="9">
        <v>94</v>
      </c>
      <c r="K1844" s="7">
        <v>94</v>
      </c>
      <c r="L1844" s="24">
        <f>+Tabla2[[#This Row],[Stock Inventario]]*Tabla2[[#This Row],[Coste LÃ­nea]]</f>
        <v>4655.82</v>
      </c>
      <c r="M1844" s="24">
        <f>+Tabla2[[#This Row],[Variación Stock]]*Tabla2[[#This Row],[Coste LÃ­nea]]</f>
        <v>4655.82</v>
      </c>
      <c r="N1844" s="22" t="str">
        <f>+IF(Tabla2[[#This Row],[Variación Stock]]&gt;0,"Sobrante",IF(Tabla2[[#This Row],[Variación Stock]]&lt;0,"Faltante","Sin novedad"))</f>
        <v>Sobrante</v>
      </c>
    </row>
    <row r="1845" spans="1:14" x14ac:dyDescent="0.25">
      <c r="A1845" s="11">
        <v>46065</v>
      </c>
      <c r="B1845" s="5" t="s">
        <v>1087</v>
      </c>
      <c r="C1845" s="3" t="s">
        <v>128</v>
      </c>
      <c r="D1845" s="5" t="s">
        <v>118</v>
      </c>
      <c r="E1845" s="5" t="s">
        <v>112</v>
      </c>
      <c r="F1845" s="6" t="s">
        <v>92</v>
      </c>
      <c r="G1845" s="4" t="s">
        <v>81</v>
      </c>
      <c r="H1845" s="25">
        <v>9481.9714285699993</v>
      </c>
      <c r="I1845" s="8">
        <v>0</v>
      </c>
      <c r="J1845" s="9">
        <v>0</v>
      </c>
      <c r="K1845" s="7">
        <v>0</v>
      </c>
      <c r="L1845" s="24">
        <f>+Tabla2[[#This Row],[Stock Inventario]]*Tabla2[[#This Row],[Coste LÃ­nea]]</f>
        <v>0</v>
      </c>
      <c r="M1845" s="24">
        <f>+Tabla2[[#This Row],[Variación Stock]]*Tabla2[[#This Row],[Coste LÃ­nea]]</f>
        <v>0</v>
      </c>
      <c r="N1845" s="22" t="str">
        <f>+IF(Tabla2[[#This Row],[Variación Stock]]&gt;0,"Sobrante",IF(Tabla2[[#This Row],[Variación Stock]]&lt;0,"Faltante","Sin novedad"))</f>
        <v>Sin novedad</v>
      </c>
    </row>
    <row r="1846" spans="1:14" x14ac:dyDescent="0.25">
      <c r="A1846" s="11">
        <v>46065</v>
      </c>
      <c r="B1846" s="5" t="s">
        <v>1087</v>
      </c>
      <c r="C1846" s="3" t="s">
        <v>128</v>
      </c>
      <c r="D1846" s="5" t="s">
        <v>122</v>
      </c>
      <c r="E1846" s="5" t="s">
        <v>112</v>
      </c>
      <c r="F1846" s="6" t="s">
        <v>104</v>
      </c>
      <c r="G1846" s="4" t="s">
        <v>2</v>
      </c>
      <c r="H1846" s="25">
        <v>4166.58053225</v>
      </c>
      <c r="I1846" s="8">
        <v>13</v>
      </c>
      <c r="J1846" s="9">
        <v>12</v>
      </c>
      <c r="K1846" s="7">
        <v>-1</v>
      </c>
      <c r="L1846" s="24">
        <f>+Tabla2[[#This Row],[Stock Inventario]]*Tabla2[[#This Row],[Coste LÃ­nea]]</f>
        <v>49998.966387</v>
      </c>
      <c r="M1846" s="24">
        <f>+Tabla2[[#This Row],[Variación Stock]]*Tabla2[[#This Row],[Coste LÃ­nea]]</f>
        <v>-4166.58053225</v>
      </c>
      <c r="N1846" s="22" t="str">
        <f>+IF(Tabla2[[#This Row],[Variación Stock]]&gt;0,"Sobrante",IF(Tabla2[[#This Row],[Variación Stock]]&lt;0,"Faltante","Sin novedad"))</f>
        <v>Faltante</v>
      </c>
    </row>
    <row r="1847" spans="1:14" hidden="1" x14ac:dyDescent="0.25">
      <c r="A1847" s="11">
        <v>46065</v>
      </c>
      <c r="B1847" s="5" t="s">
        <v>1087</v>
      </c>
      <c r="C1847" s="3" t="s">
        <v>128</v>
      </c>
      <c r="D1847" s="5" t="s">
        <v>119</v>
      </c>
      <c r="E1847" s="5" t="s">
        <v>117</v>
      </c>
      <c r="F1847" s="6" t="s">
        <v>10</v>
      </c>
      <c r="G1847" s="4" t="s">
        <v>2</v>
      </c>
      <c r="H1847" s="25">
        <v>18999.886554500001</v>
      </c>
      <c r="I1847" s="8">
        <v>6</v>
      </c>
      <c r="J1847" s="9">
        <v>6</v>
      </c>
      <c r="K1847" s="7">
        <v>0</v>
      </c>
      <c r="L1847" s="24">
        <f>+Tabla2[[#This Row],[Stock Inventario]]*Tabla2[[#This Row],[Coste LÃ­nea]]</f>
        <v>113999.319327</v>
      </c>
      <c r="M1847" s="24">
        <f>+Tabla2[[#This Row],[Variación Stock]]*Tabla2[[#This Row],[Coste LÃ­nea]]</f>
        <v>0</v>
      </c>
      <c r="N1847" s="22" t="str">
        <f>+IF(Tabla2[[#This Row],[Variación Stock]]&gt;0,"Sobrante",IF(Tabla2[[#This Row],[Variación Stock]]&lt;0,"Faltante","Sin novedad"))</f>
        <v>Sin novedad</v>
      </c>
    </row>
    <row r="1848" spans="1:14" x14ac:dyDescent="0.25">
      <c r="A1848" s="11">
        <v>46065</v>
      </c>
      <c r="B1848" s="5" t="s">
        <v>1087</v>
      </c>
      <c r="C1848" s="3" t="s">
        <v>128</v>
      </c>
      <c r="D1848" s="5" t="s">
        <v>111</v>
      </c>
      <c r="E1848" s="5" t="s">
        <v>112</v>
      </c>
      <c r="F1848" s="6" t="s">
        <v>48</v>
      </c>
      <c r="G1848" s="4" t="s">
        <v>0</v>
      </c>
      <c r="H1848" s="25">
        <v>1886.3636363600001</v>
      </c>
      <c r="I1848" s="8">
        <v>67</v>
      </c>
      <c r="J1848" s="9">
        <v>41</v>
      </c>
      <c r="K1848" s="7">
        <v>-26</v>
      </c>
      <c r="L1848" s="24">
        <f>+Tabla2[[#This Row],[Stock Inventario]]*Tabla2[[#This Row],[Coste LÃ­nea]]</f>
        <v>77340.909090760004</v>
      </c>
      <c r="M1848" s="24">
        <f>+Tabla2[[#This Row],[Variación Stock]]*Tabla2[[#This Row],[Coste LÃ­nea]]</f>
        <v>-49045.45454536</v>
      </c>
      <c r="N1848" s="22" t="str">
        <f>+IF(Tabla2[[#This Row],[Variación Stock]]&gt;0,"Sobrante",IF(Tabla2[[#This Row],[Variación Stock]]&lt;0,"Faltante","Sin novedad"))</f>
        <v>Faltante</v>
      </c>
    </row>
    <row r="1849" spans="1:14" x14ac:dyDescent="0.25">
      <c r="A1849" s="11">
        <v>46065</v>
      </c>
      <c r="B1849" s="5" t="s">
        <v>1087</v>
      </c>
      <c r="C1849" s="3" t="s">
        <v>128</v>
      </c>
      <c r="D1849" s="5" t="s">
        <v>118</v>
      </c>
      <c r="E1849" s="5" t="s">
        <v>112</v>
      </c>
      <c r="F1849" s="6" t="s">
        <v>187</v>
      </c>
      <c r="G1849" s="4" t="s">
        <v>2</v>
      </c>
      <c r="H1849" s="25">
        <v>0</v>
      </c>
      <c r="I1849" s="8">
        <v>1</v>
      </c>
      <c r="J1849" s="9">
        <v>1</v>
      </c>
      <c r="K1849" s="7">
        <v>0</v>
      </c>
      <c r="L1849" s="24">
        <f>+Tabla2[[#This Row],[Stock Inventario]]*Tabla2[[#This Row],[Coste LÃ­nea]]</f>
        <v>0</v>
      </c>
      <c r="M1849" s="24">
        <f>+Tabla2[[#This Row],[Variación Stock]]*Tabla2[[#This Row],[Coste LÃ­nea]]</f>
        <v>0</v>
      </c>
      <c r="N1849" s="22" t="str">
        <f>+IF(Tabla2[[#This Row],[Variación Stock]]&gt;0,"Sobrante",IF(Tabla2[[#This Row],[Variación Stock]]&lt;0,"Faltante","Sin novedad"))</f>
        <v>Sin novedad</v>
      </c>
    </row>
    <row r="1850" spans="1:14" x14ac:dyDescent="0.25">
      <c r="A1850" s="11">
        <v>46065</v>
      </c>
      <c r="B1850" s="5" t="s">
        <v>1087</v>
      </c>
      <c r="C1850" s="3" t="s">
        <v>128</v>
      </c>
      <c r="D1850" s="5" t="s">
        <v>111</v>
      </c>
      <c r="E1850" s="5" t="s">
        <v>112</v>
      </c>
      <c r="F1850" s="6" t="s">
        <v>31</v>
      </c>
      <c r="G1850" s="4" t="s">
        <v>0</v>
      </c>
      <c r="H1850" s="25">
        <v>6806.25</v>
      </c>
      <c r="I1850" s="8">
        <v>49</v>
      </c>
      <c r="J1850" s="9">
        <v>52</v>
      </c>
      <c r="K1850" s="7">
        <v>3</v>
      </c>
      <c r="L1850" s="24">
        <f>+Tabla2[[#This Row],[Stock Inventario]]*Tabla2[[#This Row],[Coste LÃ­nea]]</f>
        <v>353925</v>
      </c>
      <c r="M1850" s="24">
        <f>+Tabla2[[#This Row],[Variación Stock]]*Tabla2[[#This Row],[Coste LÃ­nea]]</f>
        <v>20418.75</v>
      </c>
      <c r="N1850" s="22" t="str">
        <f>+IF(Tabla2[[#This Row],[Variación Stock]]&gt;0,"Sobrante",IF(Tabla2[[#This Row],[Variación Stock]]&lt;0,"Faltante","Sin novedad"))</f>
        <v>Sobrante</v>
      </c>
    </row>
    <row r="1851" spans="1:14" x14ac:dyDescent="0.25">
      <c r="A1851" s="11">
        <v>46065</v>
      </c>
      <c r="B1851" s="5" t="s">
        <v>1087</v>
      </c>
      <c r="C1851" s="3" t="s">
        <v>128</v>
      </c>
      <c r="D1851" s="5" t="s">
        <v>114</v>
      </c>
      <c r="E1851" s="5" t="s">
        <v>112</v>
      </c>
      <c r="F1851" s="6" t="s">
        <v>68</v>
      </c>
      <c r="G1851" s="4" t="s">
        <v>2</v>
      </c>
      <c r="H1851" s="25">
        <v>4986.1393557499996</v>
      </c>
      <c r="I1851" s="8">
        <v>2</v>
      </c>
      <c r="J1851" s="9">
        <v>0</v>
      </c>
      <c r="K1851" s="7">
        <v>-2</v>
      </c>
      <c r="L1851" s="24">
        <f>+Tabla2[[#This Row],[Stock Inventario]]*Tabla2[[#This Row],[Coste LÃ­nea]]</f>
        <v>0</v>
      </c>
      <c r="M1851" s="24">
        <f>+Tabla2[[#This Row],[Variación Stock]]*Tabla2[[#This Row],[Coste LÃ­nea]]</f>
        <v>-9972.2787114999992</v>
      </c>
      <c r="N1851" s="22" t="str">
        <f>+IF(Tabla2[[#This Row],[Variación Stock]]&gt;0,"Sobrante",IF(Tabla2[[#This Row],[Variación Stock]]&lt;0,"Faltante","Sin novedad"))</f>
        <v>Faltante</v>
      </c>
    </row>
    <row r="1852" spans="1:14" x14ac:dyDescent="0.25">
      <c r="A1852" s="11">
        <v>46065</v>
      </c>
      <c r="B1852" s="5" t="s">
        <v>1087</v>
      </c>
      <c r="C1852" s="3" t="s">
        <v>128</v>
      </c>
      <c r="D1852" s="5" t="s">
        <v>115</v>
      </c>
      <c r="E1852" s="5" t="s">
        <v>112</v>
      </c>
      <c r="F1852" s="6" t="s">
        <v>154</v>
      </c>
      <c r="G1852" s="4" t="s">
        <v>2</v>
      </c>
      <c r="H1852" s="25">
        <v>3601.6666666699998</v>
      </c>
      <c r="I1852" s="8">
        <v>31</v>
      </c>
      <c r="J1852" s="9">
        <v>0</v>
      </c>
      <c r="K1852" s="7">
        <v>-31</v>
      </c>
      <c r="L1852" s="24">
        <f>+Tabla2[[#This Row],[Stock Inventario]]*Tabla2[[#This Row],[Coste LÃ­nea]]</f>
        <v>0</v>
      </c>
      <c r="M1852" s="24">
        <f>+Tabla2[[#This Row],[Variación Stock]]*Tabla2[[#This Row],[Coste LÃ­nea]]</f>
        <v>-111651.66666676999</v>
      </c>
      <c r="N1852" s="22" t="str">
        <f>+IF(Tabla2[[#This Row],[Variación Stock]]&gt;0,"Sobrante",IF(Tabla2[[#This Row],[Variación Stock]]&lt;0,"Faltante","Sin novedad"))</f>
        <v>Faltante</v>
      </c>
    </row>
    <row r="1853" spans="1:14" x14ac:dyDescent="0.25">
      <c r="A1853" s="11">
        <v>46065</v>
      </c>
      <c r="B1853" s="5" t="s">
        <v>1087</v>
      </c>
      <c r="C1853" s="3" t="s">
        <v>128</v>
      </c>
      <c r="D1853" s="5" t="s">
        <v>114</v>
      </c>
      <c r="E1853" s="5" t="s">
        <v>112</v>
      </c>
      <c r="F1853" s="6" t="s">
        <v>3</v>
      </c>
      <c r="G1853" s="4" t="s">
        <v>2</v>
      </c>
      <c r="H1853" s="25">
        <v>1656.3166666699999</v>
      </c>
      <c r="I1853" s="8">
        <v>200.9</v>
      </c>
      <c r="J1853" s="9">
        <v>254</v>
      </c>
      <c r="K1853" s="7">
        <v>53.1</v>
      </c>
      <c r="L1853" s="24">
        <f>+Tabla2[[#This Row],[Stock Inventario]]*Tabla2[[#This Row],[Coste LÃ­nea]]</f>
        <v>420704.43333417998</v>
      </c>
      <c r="M1853" s="24">
        <f>+Tabla2[[#This Row],[Variación Stock]]*Tabla2[[#This Row],[Coste LÃ­nea]]</f>
        <v>87950.415000177003</v>
      </c>
      <c r="N1853" s="22" t="str">
        <f>+IF(Tabla2[[#This Row],[Variación Stock]]&gt;0,"Sobrante",IF(Tabla2[[#This Row],[Variación Stock]]&lt;0,"Faltante","Sin novedad"))</f>
        <v>Sobrante</v>
      </c>
    </row>
    <row r="1854" spans="1:14" x14ac:dyDescent="0.25">
      <c r="A1854" s="11">
        <v>46065</v>
      </c>
      <c r="B1854" s="5" t="s">
        <v>1087</v>
      </c>
      <c r="C1854" s="3" t="s">
        <v>128</v>
      </c>
      <c r="D1854" s="5" t="s">
        <v>118</v>
      </c>
      <c r="E1854" s="5" t="s">
        <v>112</v>
      </c>
      <c r="F1854" s="6" t="s">
        <v>166</v>
      </c>
      <c r="G1854" s="4" t="s">
        <v>2</v>
      </c>
      <c r="H1854" s="25">
        <v>0</v>
      </c>
      <c r="I1854" s="8">
        <v>1</v>
      </c>
      <c r="J1854" s="9">
        <v>1</v>
      </c>
      <c r="K1854" s="7">
        <v>0</v>
      </c>
      <c r="L1854" s="24">
        <f>+Tabla2[[#This Row],[Stock Inventario]]*Tabla2[[#This Row],[Coste LÃ­nea]]</f>
        <v>0</v>
      </c>
      <c r="M1854" s="24">
        <f>+Tabla2[[#This Row],[Variación Stock]]*Tabla2[[#This Row],[Coste LÃ­nea]]</f>
        <v>0</v>
      </c>
      <c r="N1854" s="22" t="str">
        <f>+IF(Tabla2[[#This Row],[Variación Stock]]&gt;0,"Sobrante",IF(Tabla2[[#This Row],[Variación Stock]]&lt;0,"Faltante","Sin novedad"))</f>
        <v>Sin novedad</v>
      </c>
    </row>
    <row r="1855" spans="1:14" x14ac:dyDescent="0.25">
      <c r="A1855" s="11">
        <v>46065</v>
      </c>
      <c r="B1855" s="5" t="s">
        <v>1087</v>
      </c>
      <c r="C1855" s="3" t="s">
        <v>128</v>
      </c>
      <c r="D1855" s="5" t="s">
        <v>111</v>
      </c>
      <c r="E1855" s="5" t="s">
        <v>112</v>
      </c>
      <c r="F1855" s="6" t="s">
        <v>52</v>
      </c>
      <c r="G1855" s="4" t="s">
        <v>0</v>
      </c>
      <c r="H1855" s="25">
        <v>6800.3640183199996</v>
      </c>
      <c r="I1855" s="8">
        <v>36.340000000000003</v>
      </c>
      <c r="J1855" s="9">
        <v>36</v>
      </c>
      <c r="K1855" s="7">
        <v>-0.34</v>
      </c>
      <c r="L1855" s="24">
        <f>+Tabla2[[#This Row],[Stock Inventario]]*Tabla2[[#This Row],[Coste LÃ­nea]]</f>
        <v>244813.10465951997</v>
      </c>
      <c r="M1855" s="24">
        <f>+Tabla2[[#This Row],[Variación Stock]]*Tabla2[[#This Row],[Coste LÃ­nea]]</f>
        <v>-2312.1237662287999</v>
      </c>
      <c r="N1855" s="22" t="str">
        <f>+IF(Tabla2[[#This Row],[Variación Stock]]&gt;0,"Sobrante",IF(Tabla2[[#This Row],[Variación Stock]]&lt;0,"Faltante","Sin novedad"))</f>
        <v>Faltante</v>
      </c>
    </row>
    <row r="1856" spans="1:14" x14ac:dyDescent="0.25">
      <c r="A1856" s="11">
        <v>46065</v>
      </c>
      <c r="B1856" s="5" t="s">
        <v>1087</v>
      </c>
      <c r="C1856" s="3" t="s">
        <v>128</v>
      </c>
      <c r="D1856" s="5" t="s">
        <v>111</v>
      </c>
      <c r="E1856" s="5" t="s">
        <v>112</v>
      </c>
      <c r="F1856" s="6" t="s">
        <v>361</v>
      </c>
      <c r="G1856" s="4" t="s">
        <v>0</v>
      </c>
      <c r="H1856" s="25">
        <v>0</v>
      </c>
      <c r="I1856" s="8">
        <v>0</v>
      </c>
      <c r="J1856" s="9">
        <v>0</v>
      </c>
      <c r="K1856" s="7">
        <v>0</v>
      </c>
      <c r="L1856" s="24">
        <f>+Tabla2[[#This Row],[Stock Inventario]]*Tabla2[[#This Row],[Coste LÃ­nea]]</f>
        <v>0</v>
      </c>
      <c r="M1856" s="24">
        <f>+Tabla2[[#This Row],[Variación Stock]]*Tabla2[[#This Row],[Coste LÃ­nea]]</f>
        <v>0</v>
      </c>
      <c r="N1856" s="22" t="str">
        <f>+IF(Tabla2[[#This Row],[Variación Stock]]&gt;0,"Sobrante",IF(Tabla2[[#This Row],[Variación Stock]]&lt;0,"Faltante","Sin novedad"))</f>
        <v>Sin novedad</v>
      </c>
    </row>
    <row r="1857" spans="1:14" x14ac:dyDescent="0.25">
      <c r="A1857" s="11">
        <v>46065</v>
      </c>
      <c r="B1857" s="5" t="s">
        <v>1087</v>
      </c>
      <c r="C1857" s="3" t="s">
        <v>128</v>
      </c>
      <c r="D1857" s="5" t="s">
        <v>115</v>
      </c>
      <c r="E1857" s="5" t="s">
        <v>112</v>
      </c>
      <c r="F1857" s="6" t="s">
        <v>72</v>
      </c>
      <c r="G1857" s="4" t="s">
        <v>2</v>
      </c>
      <c r="H1857" s="25">
        <v>2319</v>
      </c>
      <c r="I1857" s="8">
        <v>63</v>
      </c>
      <c r="J1857" s="9">
        <v>63</v>
      </c>
      <c r="K1857" s="7">
        <v>0</v>
      </c>
      <c r="L1857" s="24">
        <f>+Tabla2[[#This Row],[Stock Inventario]]*Tabla2[[#This Row],[Coste LÃ­nea]]</f>
        <v>146097</v>
      </c>
      <c r="M1857" s="24">
        <f>+Tabla2[[#This Row],[Variación Stock]]*Tabla2[[#This Row],[Coste LÃ­nea]]</f>
        <v>0</v>
      </c>
      <c r="N1857" s="22" t="str">
        <f>+IF(Tabla2[[#This Row],[Variación Stock]]&gt;0,"Sobrante",IF(Tabla2[[#This Row],[Variación Stock]]&lt;0,"Faltante","Sin novedad"))</f>
        <v>Sin novedad</v>
      </c>
    </row>
    <row r="1858" spans="1:14" x14ac:dyDescent="0.25">
      <c r="A1858" s="11">
        <v>46065</v>
      </c>
      <c r="B1858" s="5" t="s">
        <v>1087</v>
      </c>
      <c r="C1858" s="3" t="s">
        <v>128</v>
      </c>
      <c r="D1858" s="5" t="s">
        <v>111</v>
      </c>
      <c r="E1858" s="5" t="s">
        <v>112</v>
      </c>
      <c r="F1858" s="6" t="s">
        <v>17</v>
      </c>
      <c r="G1858" s="4" t="s">
        <v>0</v>
      </c>
      <c r="H1858" s="25">
        <v>14896.95833333</v>
      </c>
      <c r="I1858" s="8">
        <v>34</v>
      </c>
      <c r="J1858" s="9">
        <v>34</v>
      </c>
      <c r="K1858" s="7">
        <v>0</v>
      </c>
      <c r="L1858" s="24">
        <f>+Tabla2[[#This Row],[Stock Inventario]]*Tabla2[[#This Row],[Coste LÃ­nea]]</f>
        <v>506496.58333321998</v>
      </c>
      <c r="M1858" s="24">
        <f>+Tabla2[[#This Row],[Variación Stock]]*Tabla2[[#This Row],[Coste LÃ­nea]]</f>
        <v>0</v>
      </c>
      <c r="N1858" s="22" t="str">
        <f>+IF(Tabla2[[#This Row],[Variación Stock]]&gt;0,"Sobrante",IF(Tabla2[[#This Row],[Variación Stock]]&lt;0,"Faltante","Sin novedad"))</f>
        <v>Sin novedad</v>
      </c>
    </row>
    <row r="1859" spans="1:14" x14ac:dyDescent="0.25">
      <c r="A1859" s="11">
        <v>46065</v>
      </c>
      <c r="B1859" s="5" t="s">
        <v>1087</v>
      </c>
      <c r="C1859" s="3" t="s">
        <v>128</v>
      </c>
      <c r="D1859" s="5" t="s">
        <v>111</v>
      </c>
      <c r="E1859" s="5" t="s">
        <v>112</v>
      </c>
      <c r="F1859" s="6" t="s">
        <v>133</v>
      </c>
      <c r="G1859" s="4" t="s">
        <v>0</v>
      </c>
      <c r="H1859" s="25">
        <v>6134.2727272700004</v>
      </c>
      <c r="I1859" s="8">
        <v>29</v>
      </c>
      <c r="J1859" s="9">
        <v>29</v>
      </c>
      <c r="K1859" s="7">
        <v>0</v>
      </c>
      <c r="L1859" s="24">
        <f>+Tabla2[[#This Row],[Stock Inventario]]*Tabla2[[#This Row],[Coste LÃ­nea]]</f>
        <v>177893.90909083001</v>
      </c>
      <c r="M1859" s="24">
        <f>+Tabla2[[#This Row],[Variación Stock]]*Tabla2[[#This Row],[Coste LÃ­nea]]</f>
        <v>0</v>
      </c>
      <c r="N1859" s="22" t="str">
        <f>+IF(Tabla2[[#This Row],[Variación Stock]]&gt;0,"Sobrante",IF(Tabla2[[#This Row],[Variación Stock]]&lt;0,"Faltante","Sin novedad"))</f>
        <v>Sin novedad</v>
      </c>
    </row>
    <row r="1860" spans="1:14" x14ac:dyDescent="0.25">
      <c r="A1860" s="11">
        <v>46065</v>
      </c>
      <c r="B1860" s="5" t="s">
        <v>1087</v>
      </c>
      <c r="C1860" s="3" t="s">
        <v>128</v>
      </c>
      <c r="D1860" s="5" t="s">
        <v>118</v>
      </c>
      <c r="E1860" s="5" t="s">
        <v>112</v>
      </c>
      <c r="F1860" s="6" t="s">
        <v>85</v>
      </c>
      <c r="G1860" s="4" t="s">
        <v>81</v>
      </c>
      <c r="H1860" s="25">
        <v>10875.1</v>
      </c>
      <c r="I1860" s="8">
        <v>54</v>
      </c>
      <c r="J1860" s="9">
        <v>64</v>
      </c>
      <c r="K1860" s="7">
        <v>10</v>
      </c>
      <c r="L1860" s="24">
        <f>+Tabla2[[#This Row],[Stock Inventario]]*Tabla2[[#This Row],[Coste LÃ­nea]]</f>
        <v>696006.4</v>
      </c>
      <c r="M1860" s="24">
        <f>+Tabla2[[#This Row],[Variación Stock]]*Tabla2[[#This Row],[Coste LÃ­nea]]</f>
        <v>108751</v>
      </c>
      <c r="N1860" s="22" t="str">
        <f>+IF(Tabla2[[#This Row],[Variación Stock]]&gt;0,"Sobrante",IF(Tabla2[[#This Row],[Variación Stock]]&lt;0,"Faltante","Sin novedad"))</f>
        <v>Sobrante</v>
      </c>
    </row>
    <row r="1861" spans="1:14" x14ac:dyDescent="0.25">
      <c r="A1861" s="11">
        <v>46065</v>
      </c>
      <c r="B1861" s="5" t="s">
        <v>1087</v>
      </c>
      <c r="C1861" s="3" t="s">
        <v>128</v>
      </c>
      <c r="D1861" s="5" t="s">
        <v>111</v>
      </c>
      <c r="E1861" s="5" t="s">
        <v>112</v>
      </c>
      <c r="F1861" s="6" t="s">
        <v>41</v>
      </c>
      <c r="G1861" s="4" t="s">
        <v>0</v>
      </c>
      <c r="H1861" s="25">
        <v>0</v>
      </c>
      <c r="I1861" s="8">
        <v>-3.3</v>
      </c>
      <c r="J1861" s="9">
        <v>25</v>
      </c>
      <c r="K1861" s="7">
        <v>28.3</v>
      </c>
      <c r="L1861" s="24">
        <f>+Tabla2[[#This Row],[Stock Inventario]]*Tabla2[[#This Row],[Coste LÃ­nea]]</f>
        <v>0</v>
      </c>
      <c r="M1861" s="24">
        <f>+Tabla2[[#This Row],[Variación Stock]]*Tabla2[[#This Row],[Coste LÃ­nea]]</f>
        <v>0</v>
      </c>
      <c r="N1861" s="22" t="str">
        <f>+IF(Tabla2[[#This Row],[Variación Stock]]&gt;0,"Sobrante",IF(Tabla2[[#This Row],[Variación Stock]]&lt;0,"Faltante","Sin novedad"))</f>
        <v>Sobrante</v>
      </c>
    </row>
    <row r="1862" spans="1:14" x14ac:dyDescent="0.25">
      <c r="A1862" s="11">
        <v>46065</v>
      </c>
      <c r="B1862" s="5" t="s">
        <v>1087</v>
      </c>
      <c r="C1862" s="3" t="s">
        <v>128</v>
      </c>
      <c r="D1862" s="5" t="s">
        <v>118</v>
      </c>
      <c r="E1862" s="5" t="s">
        <v>112</v>
      </c>
      <c r="F1862" s="6" t="s">
        <v>91</v>
      </c>
      <c r="G1862" s="4" t="s">
        <v>2</v>
      </c>
      <c r="H1862" s="25">
        <v>56095</v>
      </c>
      <c r="I1862" s="8">
        <v>0</v>
      </c>
      <c r="J1862" s="9">
        <v>0</v>
      </c>
      <c r="K1862" s="7">
        <v>0</v>
      </c>
      <c r="L1862" s="24">
        <f>+Tabla2[[#This Row],[Stock Inventario]]*Tabla2[[#This Row],[Coste LÃ­nea]]</f>
        <v>0</v>
      </c>
      <c r="M1862" s="24">
        <f>+Tabla2[[#This Row],[Variación Stock]]*Tabla2[[#This Row],[Coste LÃ­nea]]</f>
        <v>0</v>
      </c>
      <c r="N1862" s="22" t="str">
        <f>+IF(Tabla2[[#This Row],[Variación Stock]]&gt;0,"Sobrante",IF(Tabla2[[#This Row],[Variación Stock]]&lt;0,"Faltante","Sin novedad"))</f>
        <v>Sin novedad</v>
      </c>
    </row>
    <row r="1863" spans="1:14" x14ac:dyDescent="0.25">
      <c r="A1863" s="11">
        <v>46065</v>
      </c>
      <c r="B1863" s="5" t="s">
        <v>1087</v>
      </c>
      <c r="C1863" s="3" t="s">
        <v>128</v>
      </c>
      <c r="D1863" s="5" t="s">
        <v>122</v>
      </c>
      <c r="E1863" s="5" t="s">
        <v>112</v>
      </c>
      <c r="F1863" s="6" t="s">
        <v>102</v>
      </c>
      <c r="G1863" s="4" t="s">
        <v>2</v>
      </c>
      <c r="H1863" s="25">
        <v>3458.3263305</v>
      </c>
      <c r="I1863" s="8">
        <v>8</v>
      </c>
      <c r="J1863" s="9">
        <v>8</v>
      </c>
      <c r="K1863" s="7">
        <v>0</v>
      </c>
      <c r="L1863" s="24">
        <f>+Tabla2[[#This Row],[Stock Inventario]]*Tabla2[[#This Row],[Coste LÃ­nea]]</f>
        <v>27666.610644</v>
      </c>
      <c r="M1863" s="24">
        <f>+Tabla2[[#This Row],[Variación Stock]]*Tabla2[[#This Row],[Coste LÃ­nea]]</f>
        <v>0</v>
      </c>
      <c r="N1863" s="22" t="str">
        <f>+IF(Tabla2[[#This Row],[Variación Stock]]&gt;0,"Sobrante",IF(Tabla2[[#This Row],[Variación Stock]]&lt;0,"Faltante","Sin novedad"))</f>
        <v>Sin novedad</v>
      </c>
    </row>
    <row r="1864" spans="1:14" x14ac:dyDescent="0.25">
      <c r="A1864" s="11">
        <v>46065</v>
      </c>
      <c r="B1864" s="5" t="s">
        <v>1087</v>
      </c>
      <c r="C1864" s="3" t="s">
        <v>128</v>
      </c>
      <c r="D1864" s="5" t="s">
        <v>111</v>
      </c>
      <c r="E1864" s="5" t="s">
        <v>112</v>
      </c>
      <c r="F1864" s="6" t="s">
        <v>46</v>
      </c>
      <c r="G1864" s="4" t="s">
        <v>0</v>
      </c>
      <c r="H1864" s="25">
        <v>2056.3333333300002</v>
      </c>
      <c r="I1864" s="8">
        <v>30</v>
      </c>
      <c r="J1864" s="9">
        <v>6</v>
      </c>
      <c r="K1864" s="7">
        <v>-24</v>
      </c>
      <c r="L1864" s="24">
        <f>+Tabla2[[#This Row],[Stock Inventario]]*Tabla2[[#This Row],[Coste LÃ­nea]]</f>
        <v>12337.999999980002</v>
      </c>
      <c r="M1864" s="24">
        <f>+Tabla2[[#This Row],[Variación Stock]]*Tabla2[[#This Row],[Coste LÃ­nea]]</f>
        <v>-49351.999999920008</v>
      </c>
      <c r="N1864" s="22" t="str">
        <f>+IF(Tabla2[[#This Row],[Variación Stock]]&gt;0,"Sobrante",IF(Tabla2[[#This Row],[Variación Stock]]&lt;0,"Faltante","Sin novedad"))</f>
        <v>Faltante</v>
      </c>
    </row>
    <row r="1865" spans="1:14" x14ac:dyDescent="0.25">
      <c r="A1865" s="11">
        <v>46065</v>
      </c>
      <c r="B1865" s="5" t="s">
        <v>1087</v>
      </c>
      <c r="C1865" s="3" t="s">
        <v>128</v>
      </c>
      <c r="D1865" s="5" t="s">
        <v>118</v>
      </c>
      <c r="E1865" s="5" t="s">
        <v>112</v>
      </c>
      <c r="F1865" s="6" t="s">
        <v>189</v>
      </c>
      <c r="G1865" s="4" t="s">
        <v>2</v>
      </c>
      <c r="H1865" s="25">
        <v>97685.185184999995</v>
      </c>
      <c r="I1865" s="8">
        <v>2</v>
      </c>
      <c r="J1865" s="9">
        <v>2</v>
      </c>
      <c r="K1865" s="7">
        <v>0</v>
      </c>
      <c r="L1865" s="24">
        <f>+Tabla2[[#This Row],[Stock Inventario]]*Tabla2[[#This Row],[Coste LÃ­nea]]</f>
        <v>195370.37036999999</v>
      </c>
      <c r="M1865" s="24">
        <f>+Tabla2[[#This Row],[Variación Stock]]*Tabla2[[#This Row],[Coste LÃ­nea]]</f>
        <v>0</v>
      </c>
      <c r="N1865" s="22" t="str">
        <f>+IF(Tabla2[[#This Row],[Variación Stock]]&gt;0,"Sobrante",IF(Tabla2[[#This Row],[Variación Stock]]&lt;0,"Faltante","Sin novedad"))</f>
        <v>Sin novedad</v>
      </c>
    </row>
    <row r="1866" spans="1:14" x14ac:dyDescent="0.25">
      <c r="A1866" s="11">
        <v>46065</v>
      </c>
      <c r="B1866" s="5" t="s">
        <v>1087</v>
      </c>
      <c r="C1866" s="3" t="s">
        <v>128</v>
      </c>
      <c r="D1866" s="5" t="s">
        <v>118</v>
      </c>
      <c r="E1866" s="5" t="s">
        <v>112</v>
      </c>
      <c r="F1866" s="6" t="s">
        <v>168</v>
      </c>
      <c r="G1866" s="4" t="s">
        <v>2</v>
      </c>
      <c r="H1866" s="25">
        <v>0</v>
      </c>
      <c r="I1866" s="8">
        <v>2</v>
      </c>
      <c r="J1866" s="9">
        <v>2</v>
      </c>
      <c r="K1866" s="7">
        <v>0</v>
      </c>
      <c r="L1866" s="24">
        <f>+Tabla2[[#This Row],[Stock Inventario]]*Tabla2[[#This Row],[Coste LÃ­nea]]</f>
        <v>0</v>
      </c>
      <c r="M1866" s="24">
        <f>+Tabla2[[#This Row],[Variación Stock]]*Tabla2[[#This Row],[Coste LÃ­nea]]</f>
        <v>0</v>
      </c>
      <c r="N1866" s="22" t="str">
        <f>+IF(Tabla2[[#This Row],[Variación Stock]]&gt;0,"Sobrante",IF(Tabla2[[#This Row],[Variación Stock]]&lt;0,"Faltante","Sin novedad"))</f>
        <v>Sin novedad</v>
      </c>
    </row>
    <row r="1867" spans="1:14" x14ac:dyDescent="0.25">
      <c r="A1867" s="11">
        <v>46065</v>
      </c>
      <c r="B1867" s="5" t="s">
        <v>1087</v>
      </c>
      <c r="C1867" s="3" t="s">
        <v>128</v>
      </c>
      <c r="D1867" s="5" t="s">
        <v>111</v>
      </c>
      <c r="E1867" s="5" t="s">
        <v>112</v>
      </c>
      <c r="F1867" s="6" t="s">
        <v>56</v>
      </c>
      <c r="G1867" s="4" t="s">
        <v>0</v>
      </c>
      <c r="H1867" s="25">
        <v>0</v>
      </c>
      <c r="I1867" s="8">
        <v>44</v>
      </c>
      <c r="J1867" s="9">
        <v>42</v>
      </c>
      <c r="K1867" s="7">
        <v>-2</v>
      </c>
      <c r="L1867" s="24">
        <f>+Tabla2[[#This Row],[Stock Inventario]]*Tabla2[[#This Row],[Coste LÃ­nea]]</f>
        <v>0</v>
      </c>
      <c r="M1867" s="24">
        <f>+Tabla2[[#This Row],[Variación Stock]]*Tabla2[[#This Row],[Coste LÃ­nea]]</f>
        <v>0</v>
      </c>
      <c r="N1867" s="22" t="str">
        <f>+IF(Tabla2[[#This Row],[Variación Stock]]&gt;0,"Sobrante",IF(Tabla2[[#This Row],[Variación Stock]]&lt;0,"Faltante","Sin novedad"))</f>
        <v>Faltante</v>
      </c>
    </row>
    <row r="1868" spans="1:14" x14ac:dyDescent="0.25">
      <c r="A1868" s="11">
        <v>46065</v>
      </c>
      <c r="B1868" s="5" t="s">
        <v>1087</v>
      </c>
      <c r="C1868" s="3" t="s">
        <v>128</v>
      </c>
      <c r="D1868" s="5" t="s">
        <v>114</v>
      </c>
      <c r="E1868" s="5" t="s">
        <v>112</v>
      </c>
      <c r="F1868" s="6" t="s">
        <v>67</v>
      </c>
      <c r="G1868" s="4" t="s">
        <v>2</v>
      </c>
      <c r="H1868" s="25">
        <v>5310.9583333299997</v>
      </c>
      <c r="I1868" s="8">
        <v>31.65</v>
      </c>
      <c r="J1868" s="9">
        <v>23</v>
      </c>
      <c r="K1868" s="7">
        <v>-8.65</v>
      </c>
      <c r="L1868" s="24">
        <f>+Tabla2[[#This Row],[Stock Inventario]]*Tabla2[[#This Row],[Coste LÃ­nea]]</f>
        <v>122152.04166659</v>
      </c>
      <c r="M1868" s="24">
        <f>+Tabla2[[#This Row],[Variación Stock]]*Tabla2[[#This Row],[Coste LÃ­nea]]</f>
        <v>-45939.789583304497</v>
      </c>
      <c r="N1868" s="22" t="str">
        <f>+IF(Tabla2[[#This Row],[Variación Stock]]&gt;0,"Sobrante",IF(Tabla2[[#This Row],[Variación Stock]]&lt;0,"Faltante","Sin novedad"))</f>
        <v>Faltante</v>
      </c>
    </row>
    <row r="1869" spans="1:14" x14ac:dyDescent="0.25">
      <c r="A1869" s="11">
        <v>46065</v>
      </c>
      <c r="B1869" s="5" t="s">
        <v>1087</v>
      </c>
      <c r="C1869" s="3" t="s">
        <v>128</v>
      </c>
      <c r="D1869" s="5" t="s">
        <v>115</v>
      </c>
      <c r="E1869" s="5" t="s">
        <v>112</v>
      </c>
      <c r="F1869" s="6" t="s">
        <v>368</v>
      </c>
      <c r="G1869" s="4" t="s">
        <v>2</v>
      </c>
      <c r="H1869" s="25">
        <v>2298.1166666700001</v>
      </c>
      <c r="I1869" s="8">
        <v>29</v>
      </c>
      <c r="J1869" s="9">
        <v>15</v>
      </c>
      <c r="K1869" s="7">
        <v>-14</v>
      </c>
      <c r="L1869" s="24">
        <f>+Tabla2[[#This Row],[Stock Inventario]]*Tabla2[[#This Row],[Coste LÃ­nea]]</f>
        <v>34471.75000005</v>
      </c>
      <c r="M1869" s="24">
        <f>+Tabla2[[#This Row],[Variación Stock]]*Tabla2[[#This Row],[Coste LÃ­nea]]</f>
        <v>-32173.633333379999</v>
      </c>
      <c r="N1869" s="22" t="str">
        <f>+IF(Tabla2[[#This Row],[Variación Stock]]&gt;0,"Sobrante",IF(Tabla2[[#This Row],[Variación Stock]]&lt;0,"Faltante","Sin novedad"))</f>
        <v>Faltante</v>
      </c>
    </row>
    <row r="1870" spans="1:14" x14ac:dyDescent="0.25">
      <c r="A1870" s="11">
        <v>46065</v>
      </c>
      <c r="B1870" s="5" t="s">
        <v>1087</v>
      </c>
      <c r="C1870" s="3" t="s">
        <v>128</v>
      </c>
      <c r="D1870" s="5" t="s">
        <v>111</v>
      </c>
      <c r="E1870" s="5" t="s">
        <v>112</v>
      </c>
      <c r="F1870" s="6" t="s">
        <v>37</v>
      </c>
      <c r="G1870" s="4" t="s">
        <v>0</v>
      </c>
      <c r="H1870" s="25">
        <v>4469.0833333299997</v>
      </c>
      <c r="I1870" s="8">
        <v>5</v>
      </c>
      <c r="J1870" s="9">
        <v>5</v>
      </c>
      <c r="K1870" s="7">
        <v>0</v>
      </c>
      <c r="L1870" s="24">
        <f>+Tabla2[[#This Row],[Stock Inventario]]*Tabla2[[#This Row],[Coste LÃ­nea]]</f>
        <v>22345.416666649999</v>
      </c>
      <c r="M1870" s="24">
        <f>+Tabla2[[#This Row],[Variación Stock]]*Tabla2[[#This Row],[Coste LÃ­nea]]</f>
        <v>0</v>
      </c>
      <c r="N1870" s="22" t="str">
        <f>+IF(Tabla2[[#This Row],[Variación Stock]]&gt;0,"Sobrante",IF(Tabla2[[#This Row],[Variación Stock]]&lt;0,"Faltante","Sin novedad"))</f>
        <v>Sin novedad</v>
      </c>
    </row>
    <row r="1871" spans="1:14" x14ac:dyDescent="0.25">
      <c r="A1871" s="11">
        <v>46065</v>
      </c>
      <c r="B1871" s="5" t="s">
        <v>1087</v>
      </c>
      <c r="C1871" s="3" t="s">
        <v>128</v>
      </c>
      <c r="D1871" s="5" t="s">
        <v>111</v>
      </c>
      <c r="E1871" s="5" t="s">
        <v>112</v>
      </c>
      <c r="F1871" s="6" t="s">
        <v>58</v>
      </c>
      <c r="G1871" s="4" t="s">
        <v>0</v>
      </c>
      <c r="H1871" s="25">
        <v>6303.0416666700003</v>
      </c>
      <c r="I1871" s="8">
        <v>0</v>
      </c>
      <c r="J1871" s="9">
        <v>0</v>
      </c>
      <c r="K1871" s="7">
        <v>0</v>
      </c>
      <c r="L1871" s="24">
        <f>+Tabla2[[#This Row],[Stock Inventario]]*Tabla2[[#This Row],[Coste LÃ­nea]]</f>
        <v>0</v>
      </c>
      <c r="M1871" s="24">
        <f>+Tabla2[[#This Row],[Variación Stock]]*Tabla2[[#This Row],[Coste LÃ­nea]]</f>
        <v>0</v>
      </c>
      <c r="N1871" s="22" t="str">
        <f>+IF(Tabla2[[#This Row],[Variación Stock]]&gt;0,"Sobrante",IF(Tabla2[[#This Row],[Variación Stock]]&lt;0,"Faltante","Sin novedad"))</f>
        <v>Sin novedad</v>
      </c>
    </row>
    <row r="1872" spans="1:14" x14ac:dyDescent="0.25">
      <c r="A1872" s="11">
        <v>46065</v>
      </c>
      <c r="B1872" s="5" t="s">
        <v>1087</v>
      </c>
      <c r="C1872" s="3" t="s">
        <v>128</v>
      </c>
      <c r="D1872" s="5" t="s">
        <v>111</v>
      </c>
      <c r="E1872" s="5" t="s">
        <v>112</v>
      </c>
      <c r="F1872" s="6" t="s">
        <v>51</v>
      </c>
      <c r="G1872" s="4" t="s">
        <v>0</v>
      </c>
      <c r="H1872" s="25">
        <v>9738.2016806699994</v>
      </c>
      <c r="I1872" s="8">
        <v>31.68</v>
      </c>
      <c r="J1872" s="9">
        <v>32</v>
      </c>
      <c r="K1872" s="7">
        <v>0.32</v>
      </c>
      <c r="L1872" s="24">
        <f>+Tabla2[[#This Row],[Stock Inventario]]*Tabla2[[#This Row],[Coste LÃ­nea]]</f>
        <v>311622.45378143998</v>
      </c>
      <c r="M1872" s="24">
        <f>+Tabla2[[#This Row],[Variación Stock]]*Tabla2[[#This Row],[Coste LÃ­nea]]</f>
        <v>3116.2245378143998</v>
      </c>
      <c r="N1872" s="22" t="str">
        <f>+IF(Tabla2[[#This Row],[Variación Stock]]&gt;0,"Sobrante",IF(Tabla2[[#This Row],[Variación Stock]]&lt;0,"Faltante","Sin novedad"))</f>
        <v>Sobrante</v>
      </c>
    </row>
    <row r="1873" spans="1:14" x14ac:dyDescent="0.25">
      <c r="A1873" s="11">
        <v>46065</v>
      </c>
      <c r="B1873" s="5" t="s">
        <v>1087</v>
      </c>
      <c r="C1873" s="3" t="s">
        <v>128</v>
      </c>
      <c r="D1873" s="5" t="s">
        <v>111</v>
      </c>
      <c r="E1873" s="5" t="s">
        <v>112</v>
      </c>
      <c r="F1873" s="6" t="s">
        <v>54</v>
      </c>
      <c r="G1873" s="4" t="s">
        <v>0</v>
      </c>
      <c r="H1873" s="25">
        <v>2157.6363636400001</v>
      </c>
      <c r="I1873" s="8">
        <v>-4</v>
      </c>
      <c r="J1873" s="9">
        <v>41</v>
      </c>
      <c r="K1873" s="7">
        <v>45</v>
      </c>
      <c r="L1873" s="24">
        <f>+Tabla2[[#This Row],[Stock Inventario]]*Tabla2[[#This Row],[Coste LÃ­nea]]</f>
        <v>88463.090909240011</v>
      </c>
      <c r="M1873" s="24">
        <f>+Tabla2[[#This Row],[Variación Stock]]*Tabla2[[#This Row],[Coste LÃ­nea]]</f>
        <v>97093.636363800004</v>
      </c>
      <c r="N1873" s="22" t="str">
        <f>+IF(Tabla2[[#This Row],[Variación Stock]]&gt;0,"Sobrante",IF(Tabla2[[#This Row],[Variación Stock]]&lt;0,"Faltante","Sin novedad"))</f>
        <v>Sobrante</v>
      </c>
    </row>
    <row r="1874" spans="1:14" x14ac:dyDescent="0.25">
      <c r="A1874" s="11">
        <v>46065</v>
      </c>
      <c r="B1874" s="5" t="s">
        <v>1087</v>
      </c>
      <c r="C1874" s="3" t="s">
        <v>128</v>
      </c>
      <c r="D1874" s="5" t="s">
        <v>122</v>
      </c>
      <c r="E1874" s="5" t="s">
        <v>112</v>
      </c>
      <c r="F1874" s="6" t="s">
        <v>109</v>
      </c>
      <c r="G1874" s="4" t="s">
        <v>2</v>
      </c>
      <c r="H1874" s="25">
        <v>4166.58053225</v>
      </c>
      <c r="I1874" s="8">
        <v>18</v>
      </c>
      <c r="J1874" s="9">
        <v>12</v>
      </c>
      <c r="K1874" s="7">
        <v>-6</v>
      </c>
      <c r="L1874" s="24">
        <f>+Tabla2[[#This Row],[Stock Inventario]]*Tabla2[[#This Row],[Coste LÃ­nea]]</f>
        <v>49998.966387</v>
      </c>
      <c r="M1874" s="24">
        <f>+Tabla2[[#This Row],[Variación Stock]]*Tabla2[[#This Row],[Coste LÃ­nea]]</f>
        <v>-24999.4831935</v>
      </c>
      <c r="N1874" s="22" t="str">
        <f>+IF(Tabla2[[#This Row],[Variación Stock]]&gt;0,"Sobrante",IF(Tabla2[[#This Row],[Variación Stock]]&lt;0,"Faltante","Sin novedad"))</f>
        <v>Faltante</v>
      </c>
    </row>
    <row r="1875" spans="1:14" x14ac:dyDescent="0.25">
      <c r="A1875" s="11">
        <v>46065</v>
      </c>
      <c r="B1875" s="5" t="s">
        <v>1087</v>
      </c>
      <c r="C1875" s="3" t="s">
        <v>128</v>
      </c>
      <c r="D1875" s="5" t="s">
        <v>111</v>
      </c>
      <c r="E1875" s="5" t="s">
        <v>112</v>
      </c>
      <c r="F1875" s="6" t="s">
        <v>16</v>
      </c>
      <c r="G1875" s="4" t="s">
        <v>0</v>
      </c>
      <c r="H1875" s="25">
        <v>3362.90625</v>
      </c>
      <c r="I1875" s="8">
        <v>34</v>
      </c>
      <c r="J1875" s="9">
        <v>33</v>
      </c>
      <c r="K1875" s="7">
        <v>-1</v>
      </c>
      <c r="L1875" s="24">
        <f>+Tabla2[[#This Row],[Stock Inventario]]*Tabla2[[#This Row],[Coste LÃ­nea]]</f>
        <v>110975.90625</v>
      </c>
      <c r="M1875" s="24">
        <f>+Tabla2[[#This Row],[Variación Stock]]*Tabla2[[#This Row],[Coste LÃ­nea]]</f>
        <v>-3362.90625</v>
      </c>
      <c r="N1875" s="22" t="str">
        <f>+IF(Tabla2[[#This Row],[Variación Stock]]&gt;0,"Sobrante",IF(Tabla2[[#This Row],[Variación Stock]]&lt;0,"Faltante","Sin novedad"))</f>
        <v>Faltante</v>
      </c>
    </row>
    <row r="1876" spans="1:14" x14ac:dyDescent="0.25">
      <c r="A1876" s="11">
        <v>46065</v>
      </c>
      <c r="B1876" s="5" t="s">
        <v>1087</v>
      </c>
      <c r="C1876" s="3" t="s">
        <v>128</v>
      </c>
      <c r="D1876" s="5" t="s">
        <v>111</v>
      </c>
      <c r="E1876" s="5" t="s">
        <v>112</v>
      </c>
      <c r="F1876" s="6" t="s">
        <v>360</v>
      </c>
      <c r="G1876" s="4" t="s">
        <v>0</v>
      </c>
      <c r="H1876" s="25">
        <v>0</v>
      </c>
      <c r="I1876" s="8">
        <v>44</v>
      </c>
      <c r="J1876" s="9">
        <v>44</v>
      </c>
      <c r="K1876" s="7">
        <v>0</v>
      </c>
      <c r="L1876" s="24">
        <f>+Tabla2[[#This Row],[Stock Inventario]]*Tabla2[[#This Row],[Coste LÃ­nea]]</f>
        <v>0</v>
      </c>
      <c r="M1876" s="24">
        <f>+Tabla2[[#This Row],[Variación Stock]]*Tabla2[[#This Row],[Coste LÃ­nea]]</f>
        <v>0</v>
      </c>
      <c r="N1876" s="22" t="str">
        <f>+IF(Tabla2[[#This Row],[Variación Stock]]&gt;0,"Sobrante",IF(Tabla2[[#This Row],[Variación Stock]]&lt;0,"Faltante","Sin novedad"))</f>
        <v>Sin novedad</v>
      </c>
    </row>
    <row r="1877" spans="1:14" x14ac:dyDescent="0.25">
      <c r="A1877" s="11">
        <v>46065</v>
      </c>
      <c r="B1877" s="5" t="s">
        <v>1087</v>
      </c>
      <c r="C1877" s="3" t="s">
        <v>128</v>
      </c>
      <c r="D1877" s="5" t="s">
        <v>118</v>
      </c>
      <c r="E1877" s="5" t="s">
        <v>112</v>
      </c>
      <c r="F1877" s="6" t="s">
        <v>83</v>
      </c>
      <c r="G1877" s="4" t="s">
        <v>2</v>
      </c>
      <c r="H1877" s="25">
        <v>34226</v>
      </c>
      <c r="I1877" s="8">
        <v>18</v>
      </c>
      <c r="J1877" s="9">
        <v>18</v>
      </c>
      <c r="K1877" s="7">
        <v>0</v>
      </c>
      <c r="L1877" s="24">
        <f>+Tabla2[[#This Row],[Stock Inventario]]*Tabla2[[#This Row],[Coste LÃ­nea]]</f>
        <v>616068</v>
      </c>
      <c r="M1877" s="24">
        <f>+Tabla2[[#This Row],[Variación Stock]]*Tabla2[[#This Row],[Coste LÃ­nea]]</f>
        <v>0</v>
      </c>
      <c r="N1877" s="22" t="str">
        <f>+IF(Tabla2[[#This Row],[Variación Stock]]&gt;0,"Sobrante",IF(Tabla2[[#This Row],[Variación Stock]]&lt;0,"Faltante","Sin novedad"))</f>
        <v>Sin novedad</v>
      </c>
    </row>
    <row r="1878" spans="1:14" x14ac:dyDescent="0.25">
      <c r="A1878" s="11">
        <v>46065</v>
      </c>
      <c r="B1878" s="5" t="s">
        <v>1087</v>
      </c>
      <c r="C1878" s="3" t="s">
        <v>128</v>
      </c>
      <c r="D1878" s="5" t="s">
        <v>111</v>
      </c>
      <c r="E1878" s="5" t="s">
        <v>112</v>
      </c>
      <c r="F1878" s="6" t="s">
        <v>33</v>
      </c>
      <c r="G1878" s="4" t="s">
        <v>0</v>
      </c>
      <c r="H1878" s="25">
        <v>3672.8666666700001</v>
      </c>
      <c r="I1878" s="8">
        <v>50</v>
      </c>
      <c r="J1878" s="9">
        <v>57</v>
      </c>
      <c r="K1878" s="7">
        <v>7</v>
      </c>
      <c r="L1878" s="24">
        <f>+Tabla2[[#This Row],[Stock Inventario]]*Tabla2[[#This Row],[Coste LÃ­nea]]</f>
        <v>209353.40000019001</v>
      </c>
      <c r="M1878" s="24">
        <f>+Tabla2[[#This Row],[Variación Stock]]*Tabla2[[#This Row],[Coste LÃ­nea]]</f>
        <v>25710.06666669</v>
      </c>
      <c r="N1878" s="22" t="str">
        <f>+IF(Tabla2[[#This Row],[Variación Stock]]&gt;0,"Sobrante",IF(Tabla2[[#This Row],[Variación Stock]]&lt;0,"Faltante","Sin novedad"))</f>
        <v>Sobrante</v>
      </c>
    </row>
    <row r="1879" spans="1:14" x14ac:dyDescent="0.25">
      <c r="A1879" s="11">
        <v>46065</v>
      </c>
      <c r="B1879" s="5" t="s">
        <v>1087</v>
      </c>
      <c r="C1879" s="3" t="s">
        <v>128</v>
      </c>
      <c r="D1879" s="5" t="s">
        <v>114</v>
      </c>
      <c r="E1879" s="5" t="s">
        <v>112</v>
      </c>
      <c r="F1879" s="6" t="s">
        <v>146</v>
      </c>
      <c r="G1879" s="4" t="s">
        <v>2</v>
      </c>
      <c r="H1879" s="25">
        <v>4900</v>
      </c>
      <c r="I1879" s="8">
        <v>0</v>
      </c>
      <c r="J1879" s="9">
        <v>0</v>
      </c>
      <c r="K1879" s="7">
        <v>0</v>
      </c>
      <c r="L1879" s="24">
        <f>+Tabla2[[#This Row],[Stock Inventario]]*Tabla2[[#This Row],[Coste LÃ­nea]]</f>
        <v>0</v>
      </c>
      <c r="M1879" s="24">
        <f>+Tabla2[[#This Row],[Variación Stock]]*Tabla2[[#This Row],[Coste LÃ­nea]]</f>
        <v>0</v>
      </c>
      <c r="N1879" s="22" t="str">
        <f>+IF(Tabla2[[#This Row],[Variación Stock]]&gt;0,"Sobrante",IF(Tabla2[[#This Row],[Variación Stock]]&lt;0,"Faltante","Sin novedad"))</f>
        <v>Sin novedad</v>
      </c>
    </row>
    <row r="1880" spans="1:14" x14ac:dyDescent="0.25">
      <c r="A1880" s="11">
        <v>46065</v>
      </c>
      <c r="B1880" s="5" t="s">
        <v>1087</v>
      </c>
      <c r="C1880" s="3" t="s">
        <v>128</v>
      </c>
      <c r="D1880" s="5" t="s">
        <v>118</v>
      </c>
      <c r="E1880" s="5" t="s">
        <v>112</v>
      </c>
      <c r="F1880" s="6" t="s">
        <v>165</v>
      </c>
      <c r="G1880" s="4" t="s">
        <v>2</v>
      </c>
      <c r="H1880" s="25">
        <v>87226.89</v>
      </c>
      <c r="I1880" s="8">
        <v>2</v>
      </c>
      <c r="J1880" s="9">
        <v>2</v>
      </c>
      <c r="K1880" s="7">
        <v>0</v>
      </c>
      <c r="L1880" s="24">
        <f>+Tabla2[[#This Row],[Stock Inventario]]*Tabla2[[#This Row],[Coste LÃ­nea]]</f>
        <v>174453.78</v>
      </c>
      <c r="M1880" s="24">
        <f>+Tabla2[[#This Row],[Variación Stock]]*Tabla2[[#This Row],[Coste LÃ­nea]]</f>
        <v>0</v>
      </c>
      <c r="N1880" s="22" t="str">
        <f>+IF(Tabla2[[#This Row],[Variación Stock]]&gt;0,"Sobrante",IF(Tabla2[[#This Row],[Variación Stock]]&lt;0,"Faltante","Sin novedad"))</f>
        <v>Sin novedad</v>
      </c>
    </row>
    <row r="1881" spans="1:14" x14ac:dyDescent="0.25">
      <c r="A1881" s="11">
        <v>46065</v>
      </c>
      <c r="B1881" s="5" t="s">
        <v>1087</v>
      </c>
      <c r="C1881" s="3" t="s">
        <v>128</v>
      </c>
      <c r="D1881" s="5" t="s">
        <v>122</v>
      </c>
      <c r="E1881" s="5" t="s">
        <v>112</v>
      </c>
      <c r="F1881" s="6" t="s">
        <v>97</v>
      </c>
      <c r="G1881" s="4" t="s">
        <v>2</v>
      </c>
      <c r="H1881" s="25">
        <v>1234.3916666699999</v>
      </c>
      <c r="I1881" s="8">
        <v>59</v>
      </c>
      <c r="J1881" s="9">
        <v>63</v>
      </c>
      <c r="K1881" s="7">
        <v>4</v>
      </c>
      <c r="L1881" s="24">
        <f>+Tabla2[[#This Row],[Stock Inventario]]*Tabla2[[#This Row],[Coste LÃ­nea]]</f>
        <v>77766.675000210002</v>
      </c>
      <c r="M1881" s="24">
        <f>+Tabla2[[#This Row],[Variación Stock]]*Tabla2[[#This Row],[Coste LÃ­nea]]</f>
        <v>4937.5666666799998</v>
      </c>
      <c r="N1881" s="22" t="str">
        <f>+IF(Tabla2[[#This Row],[Variación Stock]]&gt;0,"Sobrante",IF(Tabla2[[#This Row],[Variación Stock]]&lt;0,"Faltante","Sin novedad"))</f>
        <v>Sobrante</v>
      </c>
    </row>
    <row r="1882" spans="1:14" x14ac:dyDescent="0.25">
      <c r="A1882" s="11">
        <v>46065</v>
      </c>
      <c r="B1882" s="5" t="s">
        <v>1087</v>
      </c>
      <c r="C1882" s="3" t="s">
        <v>128</v>
      </c>
      <c r="D1882" s="5" t="s">
        <v>111</v>
      </c>
      <c r="E1882" s="5" t="s">
        <v>112</v>
      </c>
      <c r="F1882" s="6" t="s">
        <v>44</v>
      </c>
      <c r="G1882" s="4" t="s">
        <v>0</v>
      </c>
      <c r="H1882" s="25">
        <v>3780</v>
      </c>
      <c r="I1882" s="8">
        <v>3</v>
      </c>
      <c r="J1882" s="9">
        <v>6</v>
      </c>
      <c r="K1882" s="7">
        <v>3</v>
      </c>
      <c r="L1882" s="24">
        <f>+Tabla2[[#This Row],[Stock Inventario]]*Tabla2[[#This Row],[Coste LÃ­nea]]</f>
        <v>22680</v>
      </c>
      <c r="M1882" s="24">
        <f>+Tabla2[[#This Row],[Variación Stock]]*Tabla2[[#This Row],[Coste LÃ­nea]]</f>
        <v>11340</v>
      </c>
      <c r="N1882" s="22" t="str">
        <f>+IF(Tabla2[[#This Row],[Variación Stock]]&gt;0,"Sobrante",IF(Tabla2[[#This Row],[Variación Stock]]&lt;0,"Faltante","Sin novedad"))</f>
        <v>Sobrante</v>
      </c>
    </row>
    <row r="1883" spans="1:14" x14ac:dyDescent="0.25">
      <c r="A1883" s="11">
        <v>46065</v>
      </c>
      <c r="B1883" s="5" t="s">
        <v>1087</v>
      </c>
      <c r="C1883" s="3" t="s">
        <v>128</v>
      </c>
      <c r="D1883" s="5" t="s">
        <v>118</v>
      </c>
      <c r="E1883" s="5" t="s">
        <v>112</v>
      </c>
      <c r="F1883" s="6" t="s">
        <v>177</v>
      </c>
      <c r="G1883" s="4" t="s">
        <v>2</v>
      </c>
      <c r="H1883" s="25">
        <v>49268.9</v>
      </c>
      <c r="I1883" s="8">
        <v>1</v>
      </c>
      <c r="J1883" s="9">
        <v>1</v>
      </c>
      <c r="K1883" s="7">
        <v>0</v>
      </c>
      <c r="L1883" s="24">
        <f>+Tabla2[[#This Row],[Stock Inventario]]*Tabla2[[#This Row],[Coste LÃ­nea]]</f>
        <v>49268.9</v>
      </c>
      <c r="M1883" s="24">
        <f>+Tabla2[[#This Row],[Variación Stock]]*Tabla2[[#This Row],[Coste LÃ­nea]]</f>
        <v>0</v>
      </c>
      <c r="N1883" s="22" t="str">
        <f>+IF(Tabla2[[#This Row],[Variación Stock]]&gt;0,"Sobrante",IF(Tabla2[[#This Row],[Variación Stock]]&lt;0,"Faltante","Sin novedad"))</f>
        <v>Sin novedad</v>
      </c>
    </row>
    <row r="1884" spans="1:14" x14ac:dyDescent="0.25">
      <c r="A1884" s="11">
        <v>46065</v>
      </c>
      <c r="B1884" s="5" t="s">
        <v>1087</v>
      </c>
      <c r="C1884" s="3" t="s">
        <v>128</v>
      </c>
      <c r="D1884" s="5" t="s">
        <v>118</v>
      </c>
      <c r="E1884" s="5" t="s">
        <v>112</v>
      </c>
      <c r="F1884" s="6" t="s">
        <v>171</v>
      </c>
      <c r="G1884" s="4" t="s">
        <v>2</v>
      </c>
      <c r="H1884" s="25">
        <v>113953</v>
      </c>
      <c r="I1884" s="8">
        <v>1</v>
      </c>
      <c r="J1884" s="9">
        <v>2</v>
      </c>
      <c r="K1884" s="7">
        <v>1</v>
      </c>
      <c r="L1884" s="24">
        <f>+Tabla2[[#This Row],[Stock Inventario]]*Tabla2[[#This Row],[Coste LÃ­nea]]</f>
        <v>227906</v>
      </c>
      <c r="M1884" s="24">
        <f>+Tabla2[[#This Row],[Variación Stock]]*Tabla2[[#This Row],[Coste LÃ­nea]]</f>
        <v>113953</v>
      </c>
      <c r="N1884" s="22" t="str">
        <f>+IF(Tabla2[[#This Row],[Variación Stock]]&gt;0,"Sobrante",IF(Tabla2[[#This Row],[Variación Stock]]&lt;0,"Faltante","Sin novedad"))</f>
        <v>Sobrante</v>
      </c>
    </row>
    <row r="1885" spans="1:14" x14ac:dyDescent="0.25">
      <c r="A1885" s="11">
        <v>46065</v>
      </c>
      <c r="B1885" s="5" t="s">
        <v>1087</v>
      </c>
      <c r="C1885" s="3" t="s">
        <v>128</v>
      </c>
      <c r="D1885" s="5" t="s">
        <v>111</v>
      </c>
      <c r="E1885" s="5" t="s">
        <v>112</v>
      </c>
      <c r="F1885" s="6" t="s">
        <v>144</v>
      </c>
      <c r="G1885" s="4" t="s">
        <v>0</v>
      </c>
      <c r="H1885" s="25">
        <v>2040.29310345</v>
      </c>
      <c r="I1885" s="8">
        <v>109</v>
      </c>
      <c r="J1885" s="9">
        <v>57</v>
      </c>
      <c r="K1885" s="7">
        <v>-52</v>
      </c>
      <c r="L1885" s="24">
        <f>+Tabla2[[#This Row],[Stock Inventario]]*Tabla2[[#This Row],[Coste LÃ­nea]]</f>
        <v>116296.70689664999</v>
      </c>
      <c r="M1885" s="24">
        <f>+Tabla2[[#This Row],[Variación Stock]]*Tabla2[[#This Row],[Coste LÃ­nea]]</f>
        <v>-106095.2413794</v>
      </c>
      <c r="N1885" s="22" t="str">
        <f>+IF(Tabla2[[#This Row],[Variación Stock]]&gt;0,"Sobrante",IF(Tabla2[[#This Row],[Variación Stock]]&lt;0,"Faltante","Sin novedad"))</f>
        <v>Faltante</v>
      </c>
    </row>
    <row r="1886" spans="1:14" x14ac:dyDescent="0.25">
      <c r="A1886" s="11">
        <v>46065</v>
      </c>
      <c r="B1886" s="5" t="s">
        <v>1087</v>
      </c>
      <c r="C1886" s="3" t="s">
        <v>128</v>
      </c>
      <c r="D1886" s="5" t="s">
        <v>114</v>
      </c>
      <c r="E1886" s="5" t="s">
        <v>112</v>
      </c>
      <c r="F1886" s="6" t="s">
        <v>60</v>
      </c>
      <c r="G1886" s="4" t="s">
        <v>2</v>
      </c>
      <c r="H1886" s="25">
        <v>2435.1975308800002</v>
      </c>
      <c r="I1886" s="8">
        <v>82</v>
      </c>
      <c r="J1886" s="9">
        <v>69</v>
      </c>
      <c r="K1886" s="7">
        <v>-13</v>
      </c>
      <c r="L1886" s="24">
        <f>+Tabla2[[#This Row],[Stock Inventario]]*Tabla2[[#This Row],[Coste LÃ­nea]]</f>
        <v>168028.62963072001</v>
      </c>
      <c r="M1886" s="24">
        <f>+Tabla2[[#This Row],[Variación Stock]]*Tabla2[[#This Row],[Coste LÃ­nea]]</f>
        <v>-31657.567901440001</v>
      </c>
      <c r="N1886" s="22" t="str">
        <f>+IF(Tabla2[[#This Row],[Variación Stock]]&gt;0,"Sobrante",IF(Tabla2[[#This Row],[Variación Stock]]&lt;0,"Faltante","Sin novedad"))</f>
        <v>Faltante</v>
      </c>
    </row>
    <row r="1887" spans="1:14" hidden="1" x14ac:dyDescent="0.25">
      <c r="A1887" s="11">
        <v>46065</v>
      </c>
      <c r="B1887" s="5" t="s">
        <v>1087</v>
      </c>
      <c r="C1887" s="3" t="s">
        <v>128</v>
      </c>
      <c r="D1887" s="5" t="s">
        <v>120</v>
      </c>
      <c r="E1887" s="5" t="s">
        <v>117</v>
      </c>
      <c r="F1887" s="6" t="s">
        <v>211</v>
      </c>
      <c r="G1887" s="4" t="s">
        <v>2</v>
      </c>
      <c r="H1887" s="25">
        <v>4733.7887154999999</v>
      </c>
      <c r="I1887" s="8">
        <v>7.5</v>
      </c>
      <c r="J1887" s="9">
        <v>28.5</v>
      </c>
      <c r="K1887" s="7">
        <v>21</v>
      </c>
      <c r="L1887" s="24">
        <f>+Tabla2[[#This Row],[Stock Inventario]]*Tabla2[[#This Row],[Coste LÃ­nea]]</f>
        <v>134912.97839174999</v>
      </c>
      <c r="M1887" s="24">
        <f>+Tabla2[[#This Row],[Variación Stock]]*Tabla2[[#This Row],[Coste LÃ­nea]]</f>
        <v>99409.5630255</v>
      </c>
      <c r="N1887" s="22" t="str">
        <f>+IF(Tabla2[[#This Row],[Variación Stock]]&gt;0,"Sobrante",IF(Tabla2[[#This Row],[Variación Stock]]&lt;0,"Faltante","Sin novedad"))</f>
        <v>Sobrante</v>
      </c>
    </row>
    <row r="1888" spans="1:14" x14ac:dyDescent="0.25">
      <c r="A1888" s="11">
        <v>46065</v>
      </c>
      <c r="B1888" s="5" t="s">
        <v>1087</v>
      </c>
      <c r="C1888" s="3" t="s">
        <v>128</v>
      </c>
      <c r="D1888" s="5" t="s">
        <v>115</v>
      </c>
      <c r="E1888" s="5" t="s">
        <v>112</v>
      </c>
      <c r="F1888" s="6" t="s">
        <v>78</v>
      </c>
      <c r="G1888" s="4" t="s">
        <v>2</v>
      </c>
      <c r="H1888" s="25">
        <v>2683.3333333300002</v>
      </c>
      <c r="I1888" s="8">
        <v>-1</v>
      </c>
      <c r="J1888" s="9">
        <v>0</v>
      </c>
      <c r="K1888" s="7">
        <v>1</v>
      </c>
      <c r="L1888" s="24">
        <f>+Tabla2[[#This Row],[Stock Inventario]]*Tabla2[[#This Row],[Coste LÃ­nea]]</f>
        <v>0</v>
      </c>
      <c r="M1888" s="24">
        <f>+Tabla2[[#This Row],[Variación Stock]]*Tabla2[[#This Row],[Coste LÃ­nea]]</f>
        <v>2683.3333333300002</v>
      </c>
      <c r="N1888" s="22" t="str">
        <f>+IF(Tabla2[[#This Row],[Variación Stock]]&gt;0,"Sobrante",IF(Tabla2[[#This Row],[Variación Stock]]&lt;0,"Faltante","Sin novedad"))</f>
        <v>Sobrante</v>
      </c>
    </row>
    <row r="1889" spans="1:14" x14ac:dyDescent="0.25">
      <c r="A1889" s="11">
        <v>46065</v>
      </c>
      <c r="B1889" s="5" t="s">
        <v>1087</v>
      </c>
      <c r="C1889" s="3" t="s">
        <v>128</v>
      </c>
      <c r="D1889" s="5" t="s">
        <v>111</v>
      </c>
      <c r="E1889" s="5" t="s">
        <v>112</v>
      </c>
      <c r="F1889" s="6" t="s">
        <v>20</v>
      </c>
      <c r="G1889" s="4" t="s">
        <v>0</v>
      </c>
      <c r="H1889" s="25">
        <v>7045.4545454500003</v>
      </c>
      <c r="I1889" s="8">
        <v>52.68</v>
      </c>
      <c r="J1889" s="9">
        <v>58</v>
      </c>
      <c r="K1889" s="7">
        <v>5.32</v>
      </c>
      <c r="L1889" s="24">
        <f>+Tabla2[[#This Row],[Stock Inventario]]*Tabla2[[#This Row],[Coste LÃ­nea]]</f>
        <v>408636.36363610002</v>
      </c>
      <c r="M1889" s="24">
        <f>+Tabla2[[#This Row],[Variación Stock]]*Tabla2[[#This Row],[Coste LÃ­nea]]</f>
        <v>37481.818181794006</v>
      </c>
      <c r="N1889" s="22" t="str">
        <f>+IF(Tabla2[[#This Row],[Variación Stock]]&gt;0,"Sobrante",IF(Tabla2[[#This Row],[Variación Stock]]&lt;0,"Faltante","Sin novedad"))</f>
        <v>Sobrante</v>
      </c>
    </row>
    <row r="1890" spans="1:14" x14ac:dyDescent="0.25">
      <c r="A1890" s="11">
        <v>46065</v>
      </c>
      <c r="B1890" s="5" t="s">
        <v>1087</v>
      </c>
      <c r="C1890" s="3" t="s">
        <v>128</v>
      </c>
      <c r="D1890" s="5" t="s">
        <v>111</v>
      </c>
      <c r="E1890" s="5" t="s">
        <v>112</v>
      </c>
      <c r="F1890" s="6" t="s">
        <v>27</v>
      </c>
      <c r="G1890" s="4" t="s">
        <v>0</v>
      </c>
      <c r="H1890" s="25">
        <v>7122.4772727299996</v>
      </c>
      <c r="I1890" s="8">
        <v>22.01</v>
      </c>
      <c r="J1890" s="9">
        <v>24</v>
      </c>
      <c r="K1890" s="7">
        <v>1.99</v>
      </c>
      <c r="L1890" s="24">
        <f>+Tabla2[[#This Row],[Stock Inventario]]*Tabla2[[#This Row],[Coste LÃ­nea]]</f>
        <v>170939.45454551998</v>
      </c>
      <c r="M1890" s="24">
        <f>+Tabla2[[#This Row],[Variación Stock]]*Tabla2[[#This Row],[Coste LÃ­nea]]</f>
        <v>14173.729772732699</v>
      </c>
      <c r="N1890" s="22" t="str">
        <f>+IF(Tabla2[[#This Row],[Variación Stock]]&gt;0,"Sobrante",IF(Tabla2[[#This Row],[Variación Stock]]&lt;0,"Faltante","Sin novedad"))</f>
        <v>Sobrante</v>
      </c>
    </row>
    <row r="1891" spans="1:14" hidden="1" x14ac:dyDescent="0.25">
      <c r="A1891" s="11">
        <v>46065</v>
      </c>
      <c r="B1891" s="5" t="s">
        <v>1087</v>
      </c>
      <c r="C1891" s="3" t="s">
        <v>128</v>
      </c>
      <c r="D1891" s="5" t="s">
        <v>116</v>
      </c>
      <c r="E1891" s="5" t="s">
        <v>117</v>
      </c>
      <c r="F1891" s="6" t="s">
        <v>157</v>
      </c>
      <c r="G1891" s="4" t="s">
        <v>1</v>
      </c>
      <c r="H1891" s="25">
        <v>33.844011139999999</v>
      </c>
      <c r="I1891" s="8">
        <v>0</v>
      </c>
      <c r="J1891" s="9">
        <v>0</v>
      </c>
      <c r="K1891" s="7">
        <v>0</v>
      </c>
      <c r="L1891" s="24">
        <f>+Tabla2[[#This Row],[Stock Inventario]]*Tabla2[[#This Row],[Coste LÃ­nea]]</f>
        <v>0</v>
      </c>
      <c r="M1891" s="24">
        <f>+Tabla2[[#This Row],[Variación Stock]]*Tabla2[[#This Row],[Coste LÃ­nea]]</f>
        <v>0</v>
      </c>
      <c r="N1891" s="22" t="str">
        <f>+IF(Tabla2[[#This Row],[Variación Stock]]&gt;0,"Sobrante",IF(Tabla2[[#This Row],[Variación Stock]]&lt;0,"Faltante","Sin novedad"))</f>
        <v>Sin novedad</v>
      </c>
    </row>
    <row r="1892" spans="1:14" x14ac:dyDescent="0.25">
      <c r="A1892" s="11">
        <v>46065</v>
      </c>
      <c r="B1892" s="5" t="s">
        <v>1087</v>
      </c>
      <c r="C1892" s="3" t="s">
        <v>128</v>
      </c>
      <c r="D1892" s="5" t="s">
        <v>118</v>
      </c>
      <c r="E1892" s="5" t="s">
        <v>112</v>
      </c>
      <c r="F1892" s="6" t="s">
        <v>89</v>
      </c>
      <c r="G1892" s="4" t="s">
        <v>81</v>
      </c>
      <c r="H1892" s="25">
        <v>4002.6</v>
      </c>
      <c r="I1892" s="8">
        <v>36</v>
      </c>
      <c r="J1892" s="9">
        <v>36</v>
      </c>
      <c r="K1892" s="7">
        <v>0</v>
      </c>
      <c r="L1892" s="24">
        <f>+Tabla2[[#This Row],[Stock Inventario]]*Tabla2[[#This Row],[Coste LÃ­nea]]</f>
        <v>144093.6</v>
      </c>
      <c r="M1892" s="24">
        <f>+Tabla2[[#This Row],[Variación Stock]]*Tabla2[[#This Row],[Coste LÃ­nea]]</f>
        <v>0</v>
      </c>
      <c r="N1892" s="22" t="str">
        <f>+IF(Tabla2[[#This Row],[Variación Stock]]&gt;0,"Sobrante",IF(Tabla2[[#This Row],[Variación Stock]]&lt;0,"Faltante","Sin novedad"))</f>
        <v>Sin novedad</v>
      </c>
    </row>
    <row r="1893" spans="1:14" x14ac:dyDescent="0.25">
      <c r="A1893" s="11">
        <v>46065</v>
      </c>
      <c r="B1893" s="5" t="s">
        <v>1087</v>
      </c>
      <c r="C1893" s="3" t="s">
        <v>128</v>
      </c>
      <c r="D1893" s="5" t="s">
        <v>111</v>
      </c>
      <c r="E1893" s="5" t="s">
        <v>112</v>
      </c>
      <c r="F1893" s="6" t="s">
        <v>22</v>
      </c>
      <c r="G1893" s="4" t="s">
        <v>0</v>
      </c>
      <c r="H1893" s="25">
        <v>11532.86363636</v>
      </c>
      <c r="I1893" s="8">
        <v>31</v>
      </c>
      <c r="J1893" s="9">
        <v>29</v>
      </c>
      <c r="K1893" s="7">
        <v>-2</v>
      </c>
      <c r="L1893" s="24">
        <f>+Tabla2[[#This Row],[Stock Inventario]]*Tabla2[[#This Row],[Coste LÃ­nea]]</f>
        <v>334453.04545444</v>
      </c>
      <c r="M1893" s="24">
        <f>+Tabla2[[#This Row],[Variación Stock]]*Tabla2[[#This Row],[Coste LÃ­nea]]</f>
        <v>-23065.72727272</v>
      </c>
      <c r="N1893" s="22" t="str">
        <f>+IF(Tabla2[[#This Row],[Variación Stock]]&gt;0,"Sobrante",IF(Tabla2[[#This Row],[Variación Stock]]&lt;0,"Faltante","Sin novedad"))</f>
        <v>Faltante</v>
      </c>
    </row>
    <row r="1894" spans="1:14" x14ac:dyDescent="0.25">
      <c r="A1894" s="11">
        <v>46065</v>
      </c>
      <c r="B1894" s="5" t="s">
        <v>1087</v>
      </c>
      <c r="C1894" s="3" t="s">
        <v>128</v>
      </c>
      <c r="D1894" s="5" t="s">
        <v>111</v>
      </c>
      <c r="E1894" s="5" t="s">
        <v>112</v>
      </c>
      <c r="F1894" s="6" t="s">
        <v>53</v>
      </c>
      <c r="G1894" s="4" t="s">
        <v>2</v>
      </c>
      <c r="H1894" s="25">
        <v>41250</v>
      </c>
      <c r="I1894" s="8">
        <v>3</v>
      </c>
      <c r="J1894" s="9">
        <v>3</v>
      </c>
      <c r="K1894" s="7">
        <v>0</v>
      </c>
      <c r="L1894" s="24">
        <f>+Tabla2[[#This Row],[Stock Inventario]]*Tabla2[[#This Row],[Coste LÃ­nea]]</f>
        <v>123750</v>
      </c>
      <c r="M1894" s="24">
        <f>+Tabla2[[#This Row],[Variación Stock]]*Tabla2[[#This Row],[Coste LÃ­nea]]</f>
        <v>0</v>
      </c>
      <c r="N1894" s="22" t="str">
        <f>+IF(Tabla2[[#This Row],[Variación Stock]]&gt;0,"Sobrante",IF(Tabla2[[#This Row],[Variación Stock]]&lt;0,"Faltante","Sin novedad"))</f>
        <v>Sin novedad</v>
      </c>
    </row>
    <row r="1895" spans="1:14" hidden="1" x14ac:dyDescent="0.25">
      <c r="A1895" s="11">
        <v>46065</v>
      </c>
      <c r="B1895" s="5" t="s">
        <v>1087</v>
      </c>
      <c r="C1895" s="3" t="s">
        <v>128</v>
      </c>
      <c r="D1895" s="5" t="s">
        <v>116</v>
      </c>
      <c r="E1895" s="5" t="s">
        <v>117</v>
      </c>
      <c r="F1895" s="6" t="s">
        <v>5</v>
      </c>
      <c r="G1895" s="4" t="s">
        <v>1</v>
      </c>
      <c r="H1895" s="25">
        <v>23</v>
      </c>
      <c r="I1895" s="8">
        <v>0</v>
      </c>
      <c r="J1895" s="9">
        <v>0</v>
      </c>
      <c r="K1895" s="7">
        <v>0</v>
      </c>
      <c r="L1895" s="24">
        <f>+Tabla2[[#This Row],[Stock Inventario]]*Tabla2[[#This Row],[Coste LÃ­nea]]</f>
        <v>0</v>
      </c>
      <c r="M1895" s="24">
        <f>+Tabla2[[#This Row],[Variación Stock]]*Tabla2[[#This Row],[Coste LÃ­nea]]</f>
        <v>0</v>
      </c>
      <c r="N1895" s="22" t="str">
        <f>+IF(Tabla2[[#This Row],[Variación Stock]]&gt;0,"Sobrante",IF(Tabla2[[#This Row],[Variación Stock]]&lt;0,"Faltante","Sin novedad"))</f>
        <v>Sin novedad</v>
      </c>
    </row>
    <row r="1896" spans="1:14" x14ac:dyDescent="0.25">
      <c r="A1896" s="11">
        <v>46065</v>
      </c>
      <c r="B1896" s="5" t="s">
        <v>1087</v>
      </c>
      <c r="C1896" s="3" t="s">
        <v>128</v>
      </c>
      <c r="D1896" s="5" t="s">
        <v>118</v>
      </c>
      <c r="E1896" s="5" t="s">
        <v>112</v>
      </c>
      <c r="F1896" s="6" t="s">
        <v>190</v>
      </c>
      <c r="G1896" s="4" t="s">
        <v>2</v>
      </c>
      <c r="H1896" s="25">
        <v>98892</v>
      </c>
      <c r="I1896" s="8">
        <v>1</v>
      </c>
      <c r="J1896" s="9">
        <v>1</v>
      </c>
      <c r="K1896" s="7">
        <v>0</v>
      </c>
      <c r="L1896" s="24">
        <f>+Tabla2[[#This Row],[Stock Inventario]]*Tabla2[[#This Row],[Coste LÃ­nea]]</f>
        <v>98892</v>
      </c>
      <c r="M1896" s="24">
        <f>+Tabla2[[#This Row],[Variación Stock]]*Tabla2[[#This Row],[Coste LÃ­nea]]</f>
        <v>0</v>
      </c>
      <c r="N1896" s="22" t="str">
        <f>+IF(Tabla2[[#This Row],[Variación Stock]]&gt;0,"Sobrante",IF(Tabla2[[#This Row],[Variación Stock]]&lt;0,"Faltante","Sin novedad"))</f>
        <v>Sin novedad</v>
      </c>
    </row>
    <row r="1897" spans="1:14" x14ac:dyDescent="0.25">
      <c r="A1897" s="11">
        <v>46065</v>
      </c>
      <c r="B1897" s="5" t="s">
        <v>1087</v>
      </c>
      <c r="C1897" s="3" t="s">
        <v>128</v>
      </c>
      <c r="D1897" s="5" t="s">
        <v>122</v>
      </c>
      <c r="E1897" s="5" t="s">
        <v>112</v>
      </c>
      <c r="F1897" s="6" t="s">
        <v>107</v>
      </c>
      <c r="G1897" s="4" t="s">
        <v>2</v>
      </c>
      <c r="H1897" s="25">
        <v>2766.5</v>
      </c>
      <c r="I1897" s="8">
        <v>-24</v>
      </c>
      <c r="J1897" s="9">
        <v>7</v>
      </c>
      <c r="K1897" s="7">
        <v>31</v>
      </c>
      <c r="L1897" s="24">
        <f>+Tabla2[[#This Row],[Stock Inventario]]*Tabla2[[#This Row],[Coste LÃ­nea]]</f>
        <v>19365.5</v>
      </c>
      <c r="M1897" s="24">
        <f>+Tabla2[[#This Row],[Variación Stock]]*Tabla2[[#This Row],[Coste LÃ­nea]]</f>
        <v>85761.5</v>
      </c>
      <c r="N1897" s="22" t="str">
        <f>+IF(Tabla2[[#This Row],[Variación Stock]]&gt;0,"Sobrante",IF(Tabla2[[#This Row],[Variación Stock]]&lt;0,"Faltante","Sin novedad"))</f>
        <v>Sobrante</v>
      </c>
    </row>
    <row r="1898" spans="1:14" hidden="1" x14ac:dyDescent="0.25">
      <c r="A1898" s="11">
        <v>46065</v>
      </c>
      <c r="B1898" s="5" t="s">
        <v>1087</v>
      </c>
      <c r="C1898" s="3" t="s">
        <v>128</v>
      </c>
      <c r="D1898" s="5" t="s">
        <v>119</v>
      </c>
      <c r="E1898" s="5" t="s">
        <v>117</v>
      </c>
      <c r="F1898" s="6" t="s">
        <v>11</v>
      </c>
      <c r="G1898" s="4" t="s">
        <v>2</v>
      </c>
      <c r="H1898" s="25">
        <v>436.02</v>
      </c>
      <c r="I1898" s="8">
        <v>133</v>
      </c>
      <c r="J1898" s="9">
        <v>154</v>
      </c>
      <c r="K1898" s="7">
        <v>21</v>
      </c>
      <c r="L1898" s="24">
        <f>+Tabla2[[#This Row],[Stock Inventario]]*Tabla2[[#This Row],[Coste LÃ­nea]]</f>
        <v>67147.08</v>
      </c>
      <c r="M1898" s="24">
        <f>+Tabla2[[#This Row],[Variación Stock]]*Tabla2[[#This Row],[Coste LÃ­nea]]</f>
        <v>9156.42</v>
      </c>
      <c r="N1898" s="22" t="str">
        <f>+IF(Tabla2[[#This Row],[Variación Stock]]&gt;0,"Sobrante",IF(Tabla2[[#This Row],[Variación Stock]]&lt;0,"Faltante","Sin novedad"))</f>
        <v>Sobrante</v>
      </c>
    </row>
    <row r="1899" spans="1:14" x14ac:dyDescent="0.25">
      <c r="A1899" s="11">
        <v>46065</v>
      </c>
      <c r="B1899" s="5" t="s">
        <v>1087</v>
      </c>
      <c r="C1899" s="3" t="s">
        <v>128</v>
      </c>
      <c r="D1899" s="5" t="s">
        <v>111</v>
      </c>
      <c r="E1899" s="5" t="s">
        <v>112</v>
      </c>
      <c r="F1899" s="6" t="s">
        <v>35</v>
      </c>
      <c r="G1899" s="4" t="s">
        <v>0</v>
      </c>
      <c r="H1899" s="25">
        <v>1665.04166667</v>
      </c>
      <c r="I1899" s="8">
        <v>19</v>
      </c>
      <c r="J1899" s="9">
        <v>19</v>
      </c>
      <c r="K1899" s="7">
        <v>0</v>
      </c>
      <c r="L1899" s="24">
        <f>+Tabla2[[#This Row],[Stock Inventario]]*Tabla2[[#This Row],[Coste LÃ­nea]]</f>
        <v>31635.791666730001</v>
      </c>
      <c r="M1899" s="24">
        <f>+Tabla2[[#This Row],[Variación Stock]]*Tabla2[[#This Row],[Coste LÃ­nea]]</f>
        <v>0</v>
      </c>
      <c r="N1899" s="22" t="str">
        <f>+IF(Tabla2[[#This Row],[Variación Stock]]&gt;0,"Sobrante",IF(Tabla2[[#This Row],[Variación Stock]]&lt;0,"Faltante","Sin novedad"))</f>
        <v>Sin novedad</v>
      </c>
    </row>
    <row r="1900" spans="1:14" x14ac:dyDescent="0.25">
      <c r="A1900" s="11">
        <v>46065</v>
      </c>
      <c r="B1900" s="5" t="s">
        <v>1087</v>
      </c>
      <c r="C1900" s="3" t="s">
        <v>128</v>
      </c>
      <c r="D1900" s="5" t="s">
        <v>118</v>
      </c>
      <c r="E1900" s="5" t="s">
        <v>112</v>
      </c>
      <c r="F1900" s="6" t="s">
        <v>82</v>
      </c>
      <c r="G1900" s="4" t="s">
        <v>2</v>
      </c>
      <c r="H1900" s="25">
        <v>63372.666666669997</v>
      </c>
      <c r="I1900" s="8">
        <v>2</v>
      </c>
      <c r="J1900" s="9">
        <v>2</v>
      </c>
      <c r="K1900" s="7">
        <v>0</v>
      </c>
      <c r="L1900" s="24">
        <f>+Tabla2[[#This Row],[Stock Inventario]]*Tabla2[[#This Row],[Coste LÃ­nea]]</f>
        <v>126745.33333333999</v>
      </c>
      <c r="M1900" s="24">
        <f>+Tabla2[[#This Row],[Variación Stock]]*Tabla2[[#This Row],[Coste LÃ­nea]]</f>
        <v>0</v>
      </c>
      <c r="N1900" s="22" t="str">
        <f>+IF(Tabla2[[#This Row],[Variación Stock]]&gt;0,"Sobrante",IF(Tabla2[[#This Row],[Variación Stock]]&lt;0,"Faltante","Sin novedad"))</f>
        <v>Sin novedad</v>
      </c>
    </row>
    <row r="1901" spans="1:14" x14ac:dyDescent="0.25">
      <c r="A1901" s="11">
        <v>46065</v>
      </c>
      <c r="B1901" s="5" t="s">
        <v>1087</v>
      </c>
      <c r="C1901" s="3" t="s">
        <v>128</v>
      </c>
      <c r="D1901" s="5" t="s">
        <v>111</v>
      </c>
      <c r="E1901" s="5" t="s">
        <v>112</v>
      </c>
      <c r="F1901" s="6" t="s">
        <v>32</v>
      </c>
      <c r="G1901" s="4" t="s">
        <v>0</v>
      </c>
      <c r="H1901" s="25">
        <v>8308.1111111099999</v>
      </c>
      <c r="I1901" s="8">
        <v>30</v>
      </c>
      <c r="J1901" s="9">
        <v>30</v>
      </c>
      <c r="K1901" s="7">
        <v>0</v>
      </c>
      <c r="L1901" s="24">
        <f>+Tabla2[[#This Row],[Stock Inventario]]*Tabla2[[#This Row],[Coste LÃ­nea]]</f>
        <v>249243.33333329999</v>
      </c>
      <c r="M1901" s="24">
        <f>+Tabla2[[#This Row],[Variación Stock]]*Tabla2[[#This Row],[Coste LÃ­nea]]</f>
        <v>0</v>
      </c>
      <c r="N1901" s="22" t="str">
        <f>+IF(Tabla2[[#This Row],[Variación Stock]]&gt;0,"Sobrante",IF(Tabla2[[#This Row],[Variación Stock]]&lt;0,"Faltante","Sin novedad"))</f>
        <v>Sin novedad</v>
      </c>
    </row>
    <row r="1902" spans="1:14" x14ac:dyDescent="0.25">
      <c r="A1902" s="11">
        <v>46065</v>
      </c>
      <c r="B1902" s="5" t="s">
        <v>1087</v>
      </c>
      <c r="C1902" s="3" t="s">
        <v>128</v>
      </c>
      <c r="D1902" s="5" t="s">
        <v>114</v>
      </c>
      <c r="E1902" s="5" t="s">
        <v>112</v>
      </c>
      <c r="F1902" s="6" t="s">
        <v>149</v>
      </c>
      <c r="G1902" s="4" t="s">
        <v>2</v>
      </c>
      <c r="H1902" s="25">
        <v>4986.0833333299997</v>
      </c>
      <c r="I1902" s="8">
        <v>-0.28000000000000003</v>
      </c>
      <c r="J1902" s="9">
        <v>0</v>
      </c>
      <c r="K1902" s="7">
        <v>0.28000000000000003</v>
      </c>
      <c r="L1902" s="24">
        <f>+Tabla2[[#This Row],[Stock Inventario]]*Tabla2[[#This Row],[Coste LÃ­nea]]</f>
        <v>0</v>
      </c>
      <c r="M1902" s="24">
        <f>+Tabla2[[#This Row],[Variación Stock]]*Tabla2[[#This Row],[Coste LÃ­nea]]</f>
        <v>1396.1033333324001</v>
      </c>
      <c r="N1902" s="22" t="str">
        <f>+IF(Tabla2[[#This Row],[Variación Stock]]&gt;0,"Sobrante",IF(Tabla2[[#This Row],[Variación Stock]]&lt;0,"Faltante","Sin novedad"))</f>
        <v>Sobrante</v>
      </c>
    </row>
    <row r="1903" spans="1:14" hidden="1" x14ac:dyDescent="0.25">
      <c r="A1903" s="11">
        <v>46065</v>
      </c>
      <c r="B1903" s="5" t="s">
        <v>1087</v>
      </c>
      <c r="C1903" s="3" t="s">
        <v>128</v>
      </c>
      <c r="D1903" s="5" t="s">
        <v>120</v>
      </c>
      <c r="E1903" s="5" t="s">
        <v>117</v>
      </c>
      <c r="F1903" s="6" t="s">
        <v>208</v>
      </c>
      <c r="G1903" s="4" t="s">
        <v>2</v>
      </c>
      <c r="H1903" s="25">
        <v>12520.122590589999</v>
      </c>
      <c r="I1903" s="8">
        <v>17.809999999999999</v>
      </c>
      <c r="J1903" s="9">
        <v>37</v>
      </c>
      <c r="K1903" s="7">
        <v>19.190000000000001</v>
      </c>
      <c r="L1903" s="24">
        <f>+Tabla2[[#This Row],[Stock Inventario]]*Tabla2[[#This Row],[Coste LÃ­nea]]</f>
        <v>463244.53585182998</v>
      </c>
      <c r="M1903" s="24">
        <f>+Tabla2[[#This Row],[Variación Stock]]*Tabla2[[#This Row],[Coste LÃ­nea]]</f>
        <v>240261.1525134221</v>
      </c>
      <c r="N1903" s="22" t="str">
        <f>+IF(Tabla2[[#This Row],[Variación Stock]]&gt;0,"Sobrante",IF(Tabla2[[#This Row],[Variación Stock]]&lt;0,"Faltante","Sin novedad"))</f>
        <v>Sobrante</v>
      </c>
    </row>
    <row r="1904" spans="1:14" x14ac:dyDescent="0.25">
      <c r="A1904" s="11">
        <v>46065</v>
      </c>
      <c r="B1904" s="5" t="s">
        <v>1087</v>
      </c>
      <c r="C1904" s="3" t="s">
        <v>128</v>
      </c>
      <c r="D1904" s="5" t="s">
        <v>827</v>
      </c>
      <c r="E1904" s="5" t="s">
        <v>112</v>
      </c>
      <c r="F1904" s="6" t="s">
        <v>828</v>
      </c>
      <c r="G1904" s="4" t="s">
        <v>1</v>
      </c>
      <c r="H1904" s="25">
        <v>15.21547619</v>
      </c>
      <c r="I1904" s="8">
        <v>2500</v>
      </c>
      <c r="J1904" s="9">
        <v>0</v>
      </c>
      <c r="K1904" s="7">
        <v>-2500</v>
      </c>
      <c r="L1904" s="24">
        <f>+Tabla2[[#This Row],[Stock Inventario]]*Tabla2[[#This Row],[Coste LÃ­nea]]</f>
        <v>0</v>
      </c>
      <c r="M1904" s="24">
        <f>+Tabla2[[#This Row],[Variación Stock]]*Tabla2[[#This Row],[Coste LÃ­nea]]</f>
        <v>-38038.690475000003</v>
      </c>
      <c r="N1904" s="22" t="str">
        <f>+IF(Tabla2[[#This Row],[Variación Stock]]&gt;0,"Sobrante",IF(Tabla2[[#This Row],[Variación Stock]]&lt;0,"Faltante","Sin novedad"))</f>
        <v>Faltante</v>
      </c>
    </row>
    <row r="1905" spans="1:14" x14ac:dyDescent="0.25">
      <c r="A1905" s="11">
        <v>46065</v>
      </c>
      <c r="B1905" s="5" t="s">
        <v>1087</v>
      </c>
      <c r="C1905" s="3" t="s">
        <v>128</v>
      </c>
      <c r="D1905" s="5" t="s">
        <v>111</v>
      </c>
      <c r="E1905" s="5" t="s">
        <v>112</v>
      </c>
      <c r="F1905" s="6" t="s">
        <v>130</v>
      </c>
      <c r="G1905" s="4" t="s">
        <v>0</v>
      </c>
      <c r="H1905" s="25">
        <v>1997.7272727300001</v>
      </c>
      <c r="I1905" s="8">
        <v>0</v>
      </c>
      <c r="J1905" s="9">
        <v>0</v>
      </c>
      <c r="K1905" s="7">
        <v>0</v>
      </c>
      <c r="L1905" s="24">
        <f>+Tabla2[[#This Row],[Stock Inventario]]*Tabla2[[#This Row],[Coste LÃ­nea]]</f>
        <v>0</v>
      </c>
      <c r="M1905" s="24">
        <f>+Tabla2[[#This Row],[Variación Stock]]*Tabla2[[#This Row],[Coste LÃ­nea]]</f>
        <v>0</v>
      </c>
      <c r="N1905" s="22" t="str">
        <f>+IF(Tabla2[[#This Row],[Variación Stock]]&gt;0,"Sobrante",IF(Tabla2[[#This Row],[Variación Stock]]&lt;0,"Faltante","Sin novedad"))</f>
        <v>Sin novedad</v>
      </c>
    </row>
    <row r="1906" spans="1:14" x14ac:dyDescent="0.25">
      <c r="A1906" s="11">
        <v>46065</v>
      </c>
      <c r="B1906" s="5" t="s">
        <v>1087</v>
      </c>
      <c r="C1906" s="3" t="s">
        <v>128</v>
      </c>
      <c r="D1906" s="5" t="s">
        <v>114</v>
      </c>
      <c r="E1906" s="5" t="s">
        <v>112</v>
      </c>
      <c r="F1906" s="6" t="s">
        <v>63</v>
      </c>
      <c r="G1906" s="4" t="s">
        <v>2</v>
      </c>
      <c r="H1906" s="25">
        <v>1395.8</v>
      </c>
      <c r="I1906" s="8">
        <v>22</v>
      </c>
      <c r="J1906" s="9">
        <v>22</v>
      </c>
      <c r="K1906" s="7">
        <v>0</v>
      </c>
      <c r="L1906" s="24">
        <f>+Tabla2[[#This Row],[Stock Inventario]]*Tabla2[[#This Row],[Coste LÃ­nea]]</f>
        <v>30707.599999999999</v>
      </c>
      <c r="M1906" s="24">
        <f>+Tabla2[[#This Row],[Variación Stock]]*Tabla2[[#This Row],[Coste LÃ­nea]]</f>
        <v>0</v>
      </c>
      <c r="N1906" s="22" t="str">
        <f>+IF(Tabla2[[#This Row],[Variación Stock]]&gt;0,"Sobrante",IF(Tabla2[[#This Row],[Variación Stock]]&lt;0,"Faltante","Sin novedad"))</f>
        <v>Sin novedad</v>
      </c>
    </row>
    <row r="1907" spans="1:14" x14ac:dyDescent="0.25">
      <c r="A1907" s="11">
        <v>46065</v>
      </c>
      <c r="B1907" s="5" t="s">
        <v>1087</v>
      </c>
      <c r="C1907" s="3" t="s">
        <v>128</v>
      </c>
      <c r="D1907" s="5" t="s">
        <v>118</v>
      </c>
      <c r="E1907" s="5" t="s">
        <v>112</v>
      </c>
      <c r="F1907" s="6" t="s">
        <v>80</v>
      </c>
      <c r="G1907" s="4" t="s">
        <v>2</v>
      </c>
      <c r="H1907" s="25">
        <v>95860</v>
      </c>
      <c r="I1907" s="8">
        <v>2</v>
      </c>
      <c r="J1907" s="9">
        <v>2</v>
      </c>
      <c r="K1907" s="7">
        <v>0</v>
      </c>
      <c r="L1907" s="24">
        <f>+Tabla2[[#This Row],[Stock Inventario]]*Tabla2[[#This Row],[Coste LÃ­nea]]</f>
        <v>191720</v>
      </c>
      <c r="M1907" s="24">
        <f>+Tabla2[[#This Row],[Variación Stock]]*Tabla2[[#This Row],[Coste LÃ­nea]]</f>
        <v>0</v>
      </c>
      <c r="N1907" s="22" t="str">
        <f>+IF(Tabla2[[#This Row],[Variación Stock]]&gt;0,"Sobrante",IF(Tabla2[[#This Row],[Variación Stock]]&lt;0,"Faltante","Sin novedad"))</f>
        <v>Sin novedad</v>
      </c>
    </row>
    <row r="1908" spans="1:14" x14ac:dyDescent="0.25">
      <c r="A1908" s="11">
        <v>46065</v>
      </c>
      <c r="B1908" s="5" t="s">
        <v>1087</v>
      </c>
      <c r="C1908" s="3" t="s">
        <v>128</v>
      </c>
      <c r="D1908" s="5" t="s">
        <v>118</v>
      </c>
      <c r="E1908" s="5" t="s">
        <v>112</v>
      </c>
      <c r="F1908" s="6" t="s">
        <v>167</v>
      </c>
      <c r="G1908" s="4" t="s">
        <v>2</v>
      </c>
      <c r="H1908" s="25">
        <v>0</v>
      </c>
      <c r="I1908" s="8">
        <v>0</v>
      </c>
      <c r="J1908" s="9">
        <v>0</v>
      </c>
      <c r="K1908" s="7">
        <v>0</v>
      </c>
      <c r="L1908" s="24">
        <f>+Tabla2[[#This Row],[Stock Inventario]]*Tabla2[[#This Row],[Coste LÃ­nea]]</f>
        <v>0</v>
      </c>
      <c r="M1908" s="24">
        <f>+Tabla2[[#This Row],[Variación Stock]]*Tabla2[[#This Row],[Coste LÃ­nea]]</f>
        <v>0</v>
      </c>
      <c r="N1908" s="22" t="str">
        <f>+IF(Tabla2[[#This Row],[Variación Stock]]&gt;0,"Sobrante",IF(Tabla2[[#This Row],[Variación Stock]]&lt;0,"Faltante","Sin novedad"))</f>
        <v>Sin novedad</v>
      </c>
    </row>
    <row r="1909" spans="1:14" x14ac:dyDescent="0.25">
      <c r="A1909" s="11">
        <v>46065</v>
      </c>
      <c r="B1909" s="5" t="s">
        <v>1087</v>
      </c>
      <c r="C1909" s="3" t="s">
        <v>128</v>
      </c>
      <c r="D1909" s="5" t="s">
        <v>111</v>
      </c>
      <c r="E1909" s="5" t="s">
        <v>112</v>
      </c>
      <c r="F1909" s="6" t="s">
        <v>139</v>
      </c>
      <c r="G1909" s="4" t="s">
        <v>0</v>
      </c>
      <c r="H1909" s="25">
        <v>4272.95</v>
      </c>
      <c r="I1909" s="8">
        <v>22</v>
      </c>
      <c r="J1909" s="9">
        <v>30</v>
      </c>
      <c r="K1909" s="7">
        <v>8</v>
      </c>
      <c r="L1909" s="24">
        <f>+Tabla2[[#This Row],[Stock Inventario]]*Tabla2[[#This Row],[Coste LÃ­nea]]</f>
        <v>128188.5</v>
      </c>
      <c r="M1909" s="24">
        <f>+Tabla2[[#This Row],[Variación Stock]]*Tabla2[[#This Row],[Coste LÃ­nea]]</f>
        <v>34183.599999999999</v>
      </c>
      <c r="N1909" s="22" t="str">
        <f>+IF(Tabla2[[#This Row],[Variación Stock]]&gt;0,"Sobrante",IF(Tabla2[[#This Row],[Variación Stock]]&lt;0,"Faltante","Sin novedad"))</f>
        <v>Sobrante</v>
      </c>
    </row>
    <row r="1910" spans="1:14" x14ac:dyDescent="0.25">
      <c r="A1910" s="11">
        <v>46065</v>
      </c>
      <c r="B1910" s="5" t="s">
        <v>1087</v>
      </c>
      <c r="C1910" s="3" t="s">
        <v>128</v>
      </c>
      <c r="D1910" s="5" t="s">
        <v>114</v>
      </c>
      <c r="E1910" s="5" t="s">
        <v>112</v>
      </c>
      <c r="F1910" s="6" t="s">
        <v>66</v>
      </c>
      <c r="G1910" s="4" t="s">
        <v>2</v>
      </c>
      <c r="H1910" s="25">
        <v>5309.8</v>
      </c>
      <c r="I1910" s="8">
        <v>24</v>
      </c>
      <c r="J1910" s="9">
        <v>24</v>
      </c>
      <c r="K1910" s="7">
        <v>0</v>
      </c>
      <c r="L1910" s="24">
        <f>+Tabla2[[#This Row],[Stock Inventario]]*Tabla2[[#This Row],[Coste LÃ­nea]]</f>
        <v>127435.20000000001</v>
      </c>
      <c r="M1910" s="24">
        <f>+Tabla2[[#This Row],[Variación Stock]]*Tabla2[[#This Row],[Coste LÃ­nea]]</f>
        <v>0</v>
      </c>
      <c r="N1910" s="22" t="str">
        <f>+IF(Tabla2[[#This Row],[Variación Stock]]&gt;0,"Sobrante",IF(Tabla2[[#This Row],[Variación Stock]]&lt;0,"Faltante","Sin novedad"))</f>
        <v>Sin novedad</v>
      </c>
    </row>
    <row r="1911" spans="1:14" x14ac:dyDescent="0.25">
      <c r="A1911" s="11">
        <v>46065</v>
      </c>
      <c r="B1911" s="5" t="s">
        <v>1087</v>
      </c>
      <c r="C1911" s="3" t="s">
        <v>128</v>
      </c>
      <c r="D1911" s="5" t="s">
        <v>115</v>
      </c>
      <c r="E1911" s="5" t="s">
        <v>112</v>
      </c>
      <c r="F1911" s="6" t="s">
        <v>77</v>
      </c>
      <c r="G1911" s="4" t="s">
        <v>2</v>
      </c>
      <c r="H1911" s="25">
        <v>3050</v>
      </c>
      <c r="I1911" s="8">
        <v>69</v>
      </c>
      <c r="J1911" s="9">
        <v>69</v>
      </c>
      <c r="K1911" s="7">
        <v>0</v>
      </c>
      <c r="L1911" s="24">
        <f>+Tabla2[[#This Row],[Stock Inventario]]*Tabla2[[#This Row],[Coste LÃ­nea]]</f>
        <v>210450</v>
      </c>
      <c r="M1911" s="24">
        <f>+Tabla2[[#This Row],[Variación Stock]]*Tabla2[[#This Row],[Coste LÃ­nea]]</f>
        <v>0</v>
      </c>
      <c r="N1911" s="22" t="str">
        <f>+IF(Tabla2[[#This Row],[Variación Stock]]&gt;0,"Sobrante",IF(Tabla2[[#This Row],[Variación Stock]]&lt;0,"Faltante","Sin novedad"))</f>
        <v>Sin novedad</v>
      </c>
    </row>
    <row r="1912" spans="1:14" x14ac:dyDescent="0.25">
      <c r="A1912" s="11">
        <v>46065</v>
      </c>
      <c r="B1912" s="5" t="s">
        <v>1087</v>
      </c>
      <c r="C1912" s="3" t="s">
        <v>128</v>
      </c>
      <c r="D1912" s="5" t="s">
        <v>111</v>
      </c>
      <c r="E1912" s="5" t="s">
        <v>112</v>
      </c>
      <c r="F1912" s="6" t="s">
        <v>131</v>
      </c>
      <c r="G1912" s="4" t="s">
        <v>0</v>
      </c>
      <c r="H1912" s="25">
        <v>7147.1666666700003</v>
      </c>
      <c r="I1912" s="8">
        <v>38</v>
      </c>
      <c r="J1912" s="9">
        <v>36</v>
      </c>
      <c r="K1912" s="7">
        <v>-2</v>
      </c>
      <c r="L1912" s="24">
        <f>+Tabla2[[#This Row],[Stock Inventario]]*Tabla2[[#This Row],[Coste LÃ­nea]]</f>
        <v>257298.00000012002</v>
      </c>
      <c r="M1912" s="24">
        <f>+Tabla2[[#This Row],[Variación Stock]]*Tabla2[[#This Row],[Coste LÃ­nea]]</f>
        <v>-14294.333333340001</v>
      </c>
      <c r="N1912" s="22" t="str">
        <f>+IF(Tabla2[[#This Row],[Variación Stock]]&gt;0,"Sobrante",IF(Tabla2[[#This Row],[Variación Stock]]&lt;0,"Faltante","Sin novedad"))</f>
        <v>Faltante</v>
      </c>
    </row>
    <row r="1913" spans="1:14" x14ac:dyDescent="0.25">
      <c r="A1913" s="11">
        <v>46065</v>
      </c>
      <c r="B1913" s="5" t="s">
        <v>1087</v>
      </c>
      <c r="C1913" s="3" t="s">
        <v>128</v>
      </c>
      <c r="D1913" s="5" t="s">
        <v>111</v>
      </c>
      <c r="E1913" s="5" t="s">
        <v>112</v>
      </c>
      <c r="F1913" s="6" t="s">
        <v>25</v>
      </c>
      <c r="G1913" s="4" t="s">
        <v>0</v>
      </c>
      <c r="H1913" s="25">
        <v>5465.125</v>
      </c>
      <c r="I1913" s="8">
        <v>15</v>
      </c>
      <c r="J1913" s="9">
        <v>15</v>
      </c>
      <c r="K1913" s="7">
        <v>0</v>
      </c>
      <c r="L1913" s="24">
        <f>+Tabla2[[#This Row],[Stock Inventario]]*Tabla2[[#This Row],[Coste LÃ­nea]]</f>
        <v>81976.875</v>
      </c>
      <c r="M1913" s="24">
        <f>+Tabla2[[#This Row],[Variación Stock]]*Tabla2[[#This Row],[Coste LÃ­nea]]</f>
        <v>0</v>
      </c>
      <c r="N1913" s="22" t="str">
        <f>+IF(Tabla2[[#This Row],[Variación Stock]]&gt;0,"Sobrante",IF(Tabla2[[#This Row],[Variación Stock]]&lt;0,"Faltante","Sin novedad"))</f>
        <v>Sin novedad</v>
      </c>
    </row>
    <row r="1914" spans="1:14" x14ac:dyDescent="0.25">
      <c r="A1914" s="11">
        <v>46065</v>
      </c>
      <c r="B1914" s="5" t="s">
        <v>1087</v>
      </c>
      <c r="C1914" s="3" t="s">
        <v>128</v>
      </c>
      <c r="D1914" s="5" t="s">
        <v>118</v>
      </c>
      <c r="E1914" s="5" t="s">
        <v>112</v>
      </c>
      <c r="F1914" s="6" t="s">
        <v>87</v>
      </c>
      <c r="G1914" s="4" t="s">
        <v>2</v>
      </c>
      <c r="H1914" s="25">
        <v>34232.416666669997</v>
      </c>
      <c r="I1914" s="8">
        <v>15</v>
      </c>
      <c r="J1914" s="9">
        <v>15</v>
      </c>
      <c r="K1914" s="7">
        <v>0</v>
      </c>
      <c r="L1914" s="24">
        <f>+Tabla2[[#This Row],[Stock Inventario]]*Tabla2[[#This Row],[Coste LÃ­nea]]</f>
        <v>513486.25000004994</v>
      </c>
      <c r="M1914" s="24">
        <f>+Tabla2[[#This Row],[Variación Stock]]*Tabla2[[#This Row],[Coste LÃ­nea]]</f>
        <v>0</v>
      </c>
      <c r="N1914" s="22" t="str">
        <f>+IF(Tabla2[[#This Row],[Variación Stock]]&gt;0,"Sobrante",IF(Tabla2[[#This Row],[Variación Stock]]&lt;0,"Faltante","Sin novedad"))</f>
        <v>Sin novedad</v>
      </c>
    </row>
    <row r="1915" spans="1:14" x14ac:dyDescent="0.25">
      <c r="A1915" s="11">
        <v>46065</v>
      </c>
      <c r="B1915" s="5" t="s">
        <v>1087</v>
      </c>
      <c r="C1915" s="3" t="s">
        <v>128</v>
      </c>
      <c r="D1915" s="5" t="s">
        <v>122</v>
      </c>
      <c r="E1915" s="5" t="s">
        <v>112</v>
      </c>
      <c r="F1915" s="6" t="s">
        <v>101</v>
      </c>
      <c r="G1915" s="4" t="s">
        <v>2</v>
      </c>
      <c r="H1915" s="25">
        <v>1408.33333333</v>
      </c>
      <c r="I1915" s="8">
        <v>0</v>
      </c>
      <c r="J1915" s="9">
        <v>0</v>
      </c>
      <c r="K1915" s="7">
        <v>0</v>
      </c>
      <c r="L1915" s="24">
        <f>+Tabla2[[#This Row],[Stock Inventario]]*Tabla2[[#This Row],[Coste LÃ­nea]]</f>
        <v>0</v>
      </c>
      <c r="M1915" s="24">
        <f>+Tabla2[[#This Row],[Variación Stock]]*Tabla2[[#This Row],[Coste LÃ­nea]]</f>
        <v>0</v>
      </c>
      <c r="N1915" s="22" t="str">
        <f>+IF(Tabla2[[#This Row],[Variación Stock]]&gt;0,"Sobrante",IF(Tabla2[[#This Row],[Variación Stock]]&lt;0,"Faltante","Sin novedad"))</f>
        <v>Sin novedad</v>
      </c>
    </row>
    <row r="1916" spans="1:14" x14ac:dyDescent="0.25">
      <c r="A1916" s="11">
        <v>46065</v>
      </c>
      <c r="B1916" s="5" t="s">
        <v>1087</v>
      </c>
      <c r="C1916" s="3" t="s">
        <v>128</v>
      </c>
      <c r="D1916" s="5" t="s">
        <v>111</v>
      </c>
      <c r="E1916" s="5" t="s">
        <v>112</v>
      </c>
      <c r="F1916" s="6" t="s">
        <v>15</v>
      </c>
      <c r="G1916" s="4" t="s">
        <v>0</v>
      </c>
      <c r="H1916" s="25">
        <v>12894</v>
      </c>
      <c r="I1916" s="8">
        <v>25</v>
      </c>
      <c r="J1916" s="9">
        <v>33</v>
      </c>
      <c r="K1916" s="7">
        <v>8</v>
      </c>
      <c r="L1916" s="24">
        <f>+Tabla2[[#This Row],[Stock Inventario]]*Tabla2[[#This Row],[Coste LÃ­nea]]</f>
        <v>425502</v>
      </c>
      <c r="M1916" s="24">
        <f>+Tabla2[[#This Row],[Variación Stock]]*Tabla2[[#This Row],[Coste LÃ­nea]]</f>
        <v>103152</v>
      </c>
      <c r="N1916" s="22" t="str">
        <f>+IF(Tabla2[[#This Row],[Variación Stock]]&gt;0,"Sobrante",IF(Tabla2[[#This Row],[Variación Stock]]&lt;0,"Faltante","Sin novedad"))</f>
        <v>Sobrante</v>
      </c>
    </row>
    <row r="1917" spans="1:14" x14ac:dyDescent="0.25">
      <c r="A1917" s="11">
        <v>46065</v>
      </c>
      <c r="B1917" s="5" t="s">
        <v>1087</v>
      </c>
      <c r="C1917" s="3" t="s">
        <v>128</v>
      </c>
      <c r="D1917" s="5" t="s">
        <v>111</v>
      </c>
      <c r="E1917" s="5" t="s">
        <v>112</v>
      </c>
      <c r="F1917" s="6" t="s">
        <v>40</v>
      </c>
      <c r="G1917" s="4" t="s">
        <v>0</v>
      </c>
      <c r="H1917" s="25">
        <v>2011.5714285700001</v>
      </c>
      <c r="I1917" s="8">
        <v>88</v>
      </c>
      <c r="J1917" s="9">
        <v>86</v>
      </c>
      <c r="K1917" s="7">
        <v>-2</v>
      </c>
      <c r="L1917" s="24">
        <f>+Tabla2[[#This Row],[Stock Inventario]]*Tabla2[[#This Row],[Coste LÃ­nea]]</f>
        <v>172995.14285701999</v>
      </c>
      <c r="M1917" s="24">
        <f>+Tabla2[[#This Row],[Variación Stock]]*Tabla2[[#This Row],[Coste LÃ­nea]]</f>
        <v>-4023.1428571400002</v>
      </c>
      <c r="N1917" s="22" t="str">
        <f>+IF(Tabla2[[#This Row],[Variación Stock]]&gt;0,"Sobrante",IF(Tabla2[[#This Row],[Variación Stock]]&lt;0,"Faltante","Sin novedad"))</f>
        <v>Faltante</v>
      </c>
    </row>
    <row r="1918" spans="1:14" hidden="1" x14ac:dyDescent="0.25">
      <c r="A1918" s="11">
        <v>46065</v>
      </c>
      <c r="B1918" s="5" t="s">
        <v>1087</v>
      </c>
      <c r="C1918" s="3" t="s">
        <v>128</v>
      </c>
      <c r="D1918" s="5" t="s">
        <v>116</v>
      </c>
      <c r="E1918" s="5" t="s">
        <v>117</v>
      </c>
      <c r="F1918" s="6" t="s">
        <v>79</v>
      </c>
      <c r="G1918" s="4" t="s">
        <v>2</v>
      </c>
      <c r="H1918" s="25">
        <v>0</v>
      </c>
      <c r="I1918" s="8">
        <v>0</v>
      </c>
      <c r="J1918" s="9">
        <v>0</v>
      </c>
      <c r="K1918" s="7">
        <v>0</v>
      </c>
      <c r="L1918" s="24">
        <f>+Tabla2[[#This Row],[Stock Inventario]]*Tabla2[[#This Row],[Coste LÃ­nea]]</f>
        <v>0</v>
      </c>
      <c r="M1918" s="24">
        <f>+Tabla2[[#This Row],[Variación Stock]]*Tabla2[[#This Row],[Coste LÃ­nea]]</f>
        <v>0</v>
      </c>
      <c r="N1918" s="22" t="str">
        <f>+IF(Tabla2[[#This Row],[Variación Stock]]&gt;0,"Sobrante",IF(Tabla2[[#This Row],[Variación Stock]]&lt;0,"Faltante","Sin novedad"))</f>
        <v>Sin novedad</v>
      </c>
    </row>
    <row r="1919" spans="1:14" x14ac:dyDescent="0.25">
      <c r="A1919" s="11">
        <v>46065</v>
      </c>
      <c r="B1919" s="5" t="s">
        <v>1087</v>
      </c>
      <c r="C1919" s="3" t="s">
        <v>128</v>
      </c>
      <c r="D1919" s="5" t="s">
        <v>118</v>
      </c>
      <c r="E1919" s="5" t="s">
        <v>112</v>
      </c>
      <c r="F1919" s="6" t="s">
        <v>185</v>
      </c>
      <c r="G1919" s="4" t="s">
        <v>2</v>
      </c>
      <c r="H1919" s="25">
        <v>53019</v>
      </c>
      <c r="I1919" s="8">
        <v>1</v>
      </c>
      <c r="J1919" s="9">
        <v>1</v>
      </c>
      <c r="K1919" s="7">
        <v>0</v>
      </c>
      <c r="L1919" s="24">
        <f>+Tabla2[[#This Row],[Stock Inventario]]*Tabla2[[#This Row],[Coste LÃ­nea]]</f>
        <v>53019</v>
      </c>
      <c r="M1919" s="24">
        <f>+Tabla2[[#This Row],[Variación Stock]]*Tabla2[[#This Row],[Coste LÃ­nea]]</f>
        <v>0</v>
      </c>
      <c r="N1919" s="22" t="str">
        <f>+IF(Tabla2[[#This Row],[Variación Stock]]&gt;0,"Sobrante",IF(Tabla2[[#This Row],[Variación Stock]]&lt;0,"Faltante","Sin novedad"))</f>
        <v>Sin novedad</v>
      </c>
    </row>
    <row r="1920" spans="1:14" x14ac:dyDescent="0.25">
      <c r="A1920" s="11">
        <v>46065</v>
      </c>
      <c r="B1920" s="5" t="s">
        <v>1087</v>
      </c>
      <c r="C1920" s="3" t="s">
        <v>128</v>
      </c>
      <c r="D1920" s="5" t="s">
        <v>122</v>
      </c>
      <c r="E1920" s="5" t="s">
        <v>112</v>
      </c>
      <c r="F1920" s="6" t="s">
        <v>105</v>
      </c>
      <c r="G1920" s="4" t="s">
        <v>2</v>
      </c>
      <c r="H1920" s="25">
        <v>3458.3270308299998</v>
      </c>
      <c r="I1920" s="8">
        <v>8</v>
      </c>
      <c r="J1920" s="9">
        <v>8</v>
      </c>
      <c r="K1920" s="7">
        <v>0</v>
      </c>
      <c r="L1920" s="24">
        <f>+Tabla2[[#This Row],[Stock Inventario]]*Tabla2[[#This Row],[Coste LÃ­nea]]</f>
        <v>27666.616246639998</v>
      </c>
      <c r="M1920" s="24">
        <f>+Tabla2[[#This Row],[Variación Stock]]*Tabla2[[#This Row],[Coste LÃ­nea]]</f>
        <v>0</v>
      </c>
      <c r="N1920" s="22" t="str">
        <f>+IF(Tabla2[[#This Row],[Variación Stock]]&gt;0,"Sobrante",IF(Tabla2[[#This Row],[Variación Stock]]&lt;0,"Faltante","Sin novedad"))</f>
        <v>Sin novedad</v>
      </c>
    </row>
    <row r="1921" spans="1:14" hidden="1" x14ac:dyDescent="0.25">
      <c r="A1921" s="11">
        <v>46065</v>
      </c>
      <c r="B1921" s="5" t="s">
        <v>1087</v>
      </c>
      <c r="C1921" s="3" t="s">
        <v>128</v>
      </c>
      <c r="D1921" s="5" t="s">
        <v>119</v>
      </c>
      <c r="E1921" s="5" t="s">
        <v>117</v>
      </c>
      <c r="F1921" s="6" t="s">
        <v>196</v>
      </c>
      <c r="G1921" s="4" t="s">
        <v>2</v>
      </c>
      <c r="H1921" s="25">
        <v>12500</v>
      </c>
      <c r="I1921" s="8">
        <v>62</v>
      </c>
      <c r="J1921" s="9">
        <v>77</v>
      </c>
      <c r="K1921" s="7">
        <v>15</v>
      </c>
      <c r="L1921" s="24">
        <f>+Tabla2[[#This Row],[Stock Inventario]]*Tabla2[[#This Row],[Coste LÃ­nea]]</f>
        <v>962500</v>
      </c>
      <c r="M1921" s="24">
        <f>+Tabla2[[#This Row],[Variación Stock]]*Tabla2[[#This Row],[Coste LÃ­nea]]</f>
        <v>187500</v>
      </c>
      <c r="N1921" s="22" t="str">
        <f>+IF(Tabla2[[#This Row],[Variación Stock]]&gt;0,"Sobrante",IF(Tabla2[[#This Row],[Variación Stock]]&lt;0,"Faltante","Sin novedad"))</f>
        <v>Sobrante</v>
      </c>
    </row>
    <row r="1922" spans="1:14" x14ac:dyDescent="0.25">
      <c r="A1922" s="11">
        <v>46065</v>
      </c>
      <c r="B1922" s="5" t="s">
        <v>1087</v>
      </c>
      <c r="C1922" s="3" t="s">
        <v>128</v>
      </c>
      <c r="D1922" s="5" t="s">
        <v>111</v>
      </c>
      <c r="E1922" s="5" t="s">
        <v>112</v>
      </c>
      <c r="F1922" s="6" t="s">
        <v>49</v>
      </c>
      <c r="G1922" s="4" t="s">
        <v>2</v>
      </c>
      <c r="H1922" s="25">
        <v>21478</v>
      </c>
      <c r="I1922" s="8">
        <v>5</v>
      </c>
      <c r="J1922" s="9">
        <v>4</v>
      </c>
      <c r="K1922" s="7">
        <v>-1</v>
      </c>
      <c r="L1922" s="24">
        <f>+Tabla2[[#This Row],[Stock Inventario]]*Tabla2[[#This Row],[Coste LÃ­nea]]</f>
        <v>85912</v>
      </c>
      <c r="M1922" s="24">
        <f>+Tabla2[[#This Row],[Variación Stock]]*Tabla2[[#This Row],[Coste LÃ­nea]]</f>
        <v>-21478</v>
      </c>
      <c r="N1922" s="22" t="str">
        <f>+IF(Tabla2[[#This Row],[Variación Stock]]&gt;0,"Sobrante",IF(Tabla2[[#This Row],[Variación Stock]]&lt;0,"Faltante","Sin novedad"))</f>
        <v>Faltante</v>
      </c>
    </row>
    <row r="1923" spans="1:14" x14ac:dyDescent="0.25">
      <c r="A1923" s="11">
        <v>46065</v>
      </c>
      <c r="B1923" s="5" t="s">
        <v>1087</v>
      </c>
      <c r="C1923" s="3" t="s">
        <v>128</v>
      </c>
      <c r="D1923" s="5"/>
      <c r="E1923" s="5" t="s">
        <v>112</v>
      </c>
      <c r="F1923" s="6" t="s">
        <v>169</v>
      </c>
      <c r="G1923" s="4" t="s">
        <v>2</v>
      </c>
      <c r="H1923" s="25">
        <v>0</v>
      </c>
      <c r="I1923" s="8">
        <v>0</v>
      </c>
      <c r="J1923" s="9">
        <v>0</v>
      </c>
      <c r="K1923" s="7">
        <v>0</v>
      </c>
      <c r="L1923" s="24">
        <f>+Tabla2[[#This Row],[Stock Inventario]]*Tabla2[[#This Row],[Coste LÃ­nea]]</f>
        <v>0</v>
      </c>
      <c r="M1923" s="24">
        <f>+Tabla2[[#This Row],[Variación Stock]]*Tabla2[[#This Row],[Coste LÃ­nea]]</f>
        <v>0</v>
      </c>
      <c r="N1923" s="22" t="str">
        <f>+IF(Tabla2[[#This Row],[Variación Stock]]&gt;0,"Sobrante",IF(Tabla2[[#This Row],[Variación Stock]]&lt;0,"Faltante","Sin novedad"))</f>
        <v>Sin novedad</v>
      </c>
    </row>
    <row r="1924" spans="1:14" x14ac:dyDescent="0.25">
      <c r="A1924" s="11">
        <v>46065</v>
      </c>
      <c r="B1924" s="5" t="s">
        <v>1087</v>
      </c>
      <c r="C1924" s="3" t="s">
        <v>128</v>
      </c>
      <c r="D1924" s="5" t="s">
        <v>111</v>
      </c>
      <c r="E1924" s="5" t="s">
        <v>112</v>
      </c>
      <c r="F1924" s="6" t="s">
        <v>395</v>
      </c>
      <c r="G1924" s="4" t="s">
        <v>0</v>
      </c>
      <c r="H1924" s="25">
        <v>1794</v>
      </c>
      <c r="I1924" s="8">
        <v>44</v>
      </c>
      <c r="J1924" s="9">
        <v>0</v>
      </c>
      <c r="K1924" s="7">
        <v>-44</v>
      </c>
      <c r="L1924" s="24">
        <f>+Tabla2[[#This Row],[Stock Inventario]]*Tabla2[[#This Row],[Coste LÃ­nea]]</f>
        <v>0</v>
      </c>
      <c r="M1924" s="24">
        <f>+Tabla2[[#This Row],[Variación Stock]]*Tabla2[[#This Row],[Coste LÃ­nea]]</f>
        <v>-78936</v>
      </c>
      <c r="N1924" s="22" t="str">
        <f>+IF(Tabla2[[#This Row],[Variación Stock]]&gt;0,"Sobrante",IF(Tabla2[[#This Row],[Variación Stock]]&lt;0,"Faltante","Sin novedad"))</f>
        <v>Faltante</v>
      </c>
    </row>
    <row r="1925" spans="1:14" x14ac:dyDescent="0.25">
      <c r="A1925" s="11">
        <v>46065</v>
      </c>
      <c r="B1925" s="5" t="s">
        <v>1087</v>
      </c>
      <c r="C1925" s="3" t="s">
        <v>128</v>
      </c>
      <c r="D1925" s="5" t="s">
        <v>114</v>
      </c>
      <c r="E1925" s="5" t="s">
        <v>112</v>
      </c>
      <c r="F1925" s="6" t="s">
        <v>69</v>
      </c>
      <c r="G1925" s="4" t="s">
        <v>2</v>
      </c>
      <c r="H1925" s="25">
        <v>5424</v>
      </c>
      <c r="I1925" s="8">
        <v>57.12</v>
      </c>
      <c r="J1925" s="9">
        <v>58</v>
      </c>
      <c r="K1925" s="7">
        <v>0.88</v>
      </c>
      <c r="L1925" s="24">
        <f>+Tabla2[[#This Row],[Stock Inventario]]*Tabla2[[#This Row],[Coste LÃ­nea]]</f>
        <v>314592</v>
      </c>
      <c r="M1925" s="24">
        <f>+Tabla2[[#This Row],[Variación Stock]]*Tabla2[[#This Row],[Coste LÃ­nea]]</f>
        <v>4773.12</v>
      </c>
      <c r="N1925" s="22" t="str">
        <f>+IF(Tabla2[[#This Row],[Variación Stock]]&gt;0,"Sobrante",IF(Tabla2[[#This Row],[Variación Stock]]&lt;0,"Faltante","Sin novedad"))</f>
        <v>Sobrante</v>
      </c>
    </row>
    <row r="1926" spans="1:14" x14ac:dyDescent="0.25">
      <c r="A1926" s="11">
        <v>46065</v>
      </c>
      <c r="B1926" s="5" t="s">
        <v>1087</v>
      </c>
      <c r="C1926" s="3" t="s">
        <v>128</v>
      </c>
      <c r="D1926" s="5" t="s">
        <v>827</v>
      </c>
      <c r="E1926" s="5" t="s">
        <v>112</v>
      </c>
      <c r="F1926" s="6" t="s">
        <v>968</v>
      </c>
      <c r="G1926" s="4" t="s">
        <v>1</v>
      </c>
      <c r="H1926" s="25">
        <v>6.3</v>
      </c>
      <c r="I1926" s="8">
        <v>0</v>
      </c>
      <c r="J1926" s="9">
        <v>0</v>
      </c>
      <c r="K1926" s="7">
        <v>0</v>
      </c>
      <c r="L1926" s="24">
        <f>+Tabla2[[#This Row],[Stock Inventario]]*Tabla2[[#This Row],[Coste LÃ­nea]]</f>
        <v>0</v>
      </c>
      <c r="M1926" s="24">
        <f>+Tabla2[[#This Row],[Variación Stock]]*Tabla2[[#This Row],[Coste LÃ­nea]]</f>
        <v>0</v>
      </c>
      <c r="N1926" s="22" t="str">
        <f>+IF(Tabla2[[#This Row],[Variación Stock]]&gt;0,"Sobrante",IF(Tabla2[[#This Row],[Variación Stock]]&lt;0,"Faltante","Sin novedad"))</f>
        <v>Sin novedad</v>
      </c>
    </row>
    <row r="1927" spans="1:14" x14ac:dyDescent="0.25">
      <c r="A1927" s="11">
        <v>46065</v>
      </c>
      <c r="B1927" s="5" t="s">
        <v>1087</v>
      </c>
      <c r="C1927" s="3" t="s">
        <v>128</v>
      </c>
      <c r="D1927" s="5" t="s">
        <v>111</v>
      </c>
      <c r="E1927" s="5" t="s">
        <v>112</v>
      </c>
      <c r="F1927" s="6" t="s">
        <v>42</v>
      </c>
      <c r="G1927" s="4" t="s">
        <v>0</v>
      </c>
      <c r="H1927" s="25">
        <v>4587.75</v>
      </c>
      <c r="I1927" s="8">
        <v>0</v>
      </c>
      <c r="J1927" s="9">
        <v>43</v>
      </c>
      <c r="K1927" s="7">
        <v>43</v>
      </c>
      <c r="L1927" s="24">
        <f>+Tabla2[[#This Row],[Stock Inventario]]*Tabla2[[#This Row],[Coste LÃ­nea]]</f>
        <v>197273.25</v>
      </c>
      <c r="M1927" s="24">
        <f>+Tabla2[[#This Row],[Variación Stock]]*Tabla2[[#This Row],[Coste LÃ­nea]]</f>
        <v>197273.25</v>
      </c>
      <c r="N1927" s="22" t="str">
        <f>+IF(Tabla2[[#This Row],[Variación Stock]]&gt;0,"Sobrante",IF(Tabla2[[#This Row],[Variación Stock]]&lt;0,"Faltante","Sin novedad"))</f>
        <v>Sobrante</v>
      </c>
    </row>
    <row r="1928" spans="1:14" x14ac:dyDescent="0.25">
      <c r="A1928" s="11">
        <v>46065</v>
      </c>
      <c r="B1928" s="5" t="s">
        <v>1087</v>
      </c>
      <c r="C1928" s="3" t="s">
        <v>128</v>
      </c>
      <c r="D1928" s="5" t="s">
        <v>114</v>
      </c>
      <c r="E1928" s="5" t="s">
        <v>112</v>
      </c>
      <c r="F1928" s="6" t="s">
        <v>147</v>
      </c>
      <c r="G1928" s="4" t="s">
        <v>2</v>
      </c>
      <c r="H1928" s="25">
        <v>1944.4444444000001</v>
      </c>
      <c r="I1928" s="8">
        <v>0</v>
      </c>
      <c r="J1928" s="9">
        <v>0</v>
      </c>
      <c r="K1928" s="7">
        <v>0</v>
      </c>
      <c r="L1928" s="24">
        <f>+Tabla2[[#This Row],[Stock Inventario]]*Tabla2[[#This Row],[Coste LÃ­nea]]</f>
        <v>0</v>
      </c>
      <c r="M1928" s="24">
        <f>+Tabla2[[#This Row],[Variación Stock]]*Tabla2[[#This Row],[Coste LÃ­nea]]</f>
        <v>0</v>
      </c>
      <c r="N1928" s="22" t="str">
        <f>+IF(Tabla2[[#This Row],[Variación Stock]]&gt;0,"Sobrante",IF(Tabla2[[#This Row],[Variación Stock]]&lt;0,"Faltante","Sin novedad"))</f>
        <v>Sin novedad</v>
      </c>
    </row>
    <row r="1929" spans="1:14" x14ac:dyDescent="0.25">
      <c r="A1929" s="11">
        <v>46065</v>
      </c>
      <c r="B1929" s="5" t="s">
        <v>1087</v>
      </c>
      <c r="C1929" s="3" t="s">
        <v>128</v>
      </c>
      <c r="D1929" s="5" t="s">
        <v>118</v>
      </c>
      <c r="E1929" s="5" t="s">
        <v>112</v>
      </c>
      <c r="F1929" s="6" t="s">
        <v>174</v>
      </c>
      <c r="G1929" s="4" t="s">
        <v>0</v>
      </c>
      <c r="H1929" s="25">
        <v>1540.1111111099999</v>
      </c>
      <c r="I1929" s="8">
        <v>44</v>
      </c>
      <c r="J1929" s="9">
        <v>64</v>
      </c>
      <c r="K1929" s="7">
        <v>20</v>
      </c>
      <c r="L1929" s="24">
        <f>+Tabla2[[#This Row],[Stock Inventario]]*Tabla2[[#This Row],[Coste LÃ­nea]]</f>
        <v>98567.111111039994</v>
      </c>
      <c r="M1929" s="24">
        <f>+Tabla2[[#This Row],[Variación Stock]]*Tabla2[[#This Row],[Coste LÃ­nea]]</f>
        <v>30802.222222199998</v>
      </c>
      <c r="N1929" s="22" t="str">
        <f>+IF(Tabla2[[#This Row],[Variación Stock]]&gt;0,"Sobrante",IF(Tabla2[[#This Row],[Variación Stock]]&lt;0,"Faltante","Sin novedad"))</f>
        <v>Sobrante</v>
      </c>
    </row>
    <row r="1930" spans="1:14" x14ac:dyDescent="0.25">
      <c r="A1930" s="11">
        <v>46065</v>
      </c>
      <c r="B1930" s="5" t="s">
        <v>1087</v>
      </c>
      <c r="C1930" s="3" t="s">
        <v>128</v>
      </c>
      <c r="D1930" s="5" t="s">
        <v>118</v>
      </c>
      <c r="E1930" s="5" t="s">
        <v>112</v>
      </c>
      <c r="F1930" s="6" t="s">
        <v>179</v>
      </c>
      <c r="G1930" s="4" t="s">
        <v>2</v>
      </c>
      <c r="H1930" s="25">
        <v>91785.5</v>
      </c>
      <c r="I1930" s="8">
        <v>2</v>
      </c>
      <c r="J1930" s="9">
        <v>2</v>
      </c>
      <c r="K1930" s="7">
        <v>0</v>
      </c>
      <c r="L1930" s="24">
        <f>+Tabla2[[#This Row],[Stock Inventario]]*Tabla2[[#This Row],[Coste LÃ­nea]]</f>
        <v>183571</v>
      </c>
      <c r="M1930" s="24">
        <f>+Tabla2[[#This Row],[Variación Stock]]*Tabla2[[#This Row],[Coste LÃ­nea]]</f>
        <v>0</v>
      </c>
      <c r="N1930" s="22" t="str">
        <f>+IF(Tabla2[[#This Row],[Variación Stock]]&gt;0,"Sobrante",IF(Tabla2[[#This Row],[Variación Stock]]&lt;0,"Faltante","Sin novedad"))</f>
        <v>Sin novedad</v>
      </c>
    </row>
    <row r="1931" spans="1:14" x14ac:dyDescent="0.25">
      <c r="A1931" s="11">
        <v>46065</v>
      </c>
      <c r="B1931" s="5" t="s">
        <v>1087</v>
      </c>
      <c r="C1931" s="3" t="s">
        <v>128</v>
      </c>
      <c r="D1931" s="5" t="s">
        <v>111</v>
      </c>
      <c r="E1931" s="5" t="s">
        <v>112</v>
      </c>
      <c r="F1931" s="6" t="s">
        <v>362</v>
      </c>
      <c r="G1931" s="4" t="s">
        <v>0</v>
      </c>
      <c r="H1931" s="25">
        <v>0</v>
      </c>
      <c r="I1931" s="8">
        <v>0</v>
      </c>
      <c r="J1931" s="9">
        <v>0</v>
      </c>
      <c r="K1931" s="7">
        <v>0</v>
      </c>
      <c r="L1931" s="24">
        <f>+Tabla2[[#This Row],[Stock Inventario]]*Tabla2[[#This Row],[Coste LÃ­nea]]</f>
        <v>0</v>
      </c>
      <c r="M1931" s="24">
        <f>+Tabla2[[#This Row],[Variación Stock]]*Tabla2[[#This Row],[Coste LÃ­nea]]</f>
        <v>0</v>
      </c>
      <c r="N1931" s="22" t="str">
        <f>+IF(Tabla2[[#This Row],[Variación Stock]]&gt;0,"Sobrante",IF(Tabla2[[#This Row],[Variación Stock]]&lt;0,"Faltante","Sin novedad"))</f>
        <v>Sin novedad</v>
      </c>
    </row>
    <row r="1932" spans="1:14" x14ac:dyDescent="0.25">
      <c r="A1932" s="11">
        <v>46065</v>
      </c>
      <c r="B1932" s="5" t="s">
        <v>1087</v>
      </c>
      <c r="C1932" s="3" t="s">
        <v>128</v>
      </c>
      <c r="D1932" s="5" t="s">
        <v>827</v>
      </c>
      <c r="E1932" s="5" t="s">
        <v>112</v>
      </c>
      <c r="F1932" s="6" t="s">
        <v>969</v>
      </c>
      <c r="G1932" s="4" t="s">
        <v>1</v>
      </c>
      <c r="H1932" s="25">
        <v>39.333333330000002</v>
      </c>
      <c r="I1932" s="8">
        <v>0</v>
      </c>
      <c r="J1932" s="9">
        <v>0</v>
      </c>
      <c r="K1932" s="7">
        <v>0</v>
      </c>
      <c r="L1932" s="24">
        <f>+Tabla2[[#This Row],[Stock Inventario]]*Tabla2[[#This Row],[Coste LÃ­nea]]</f>
        <v>0</v>
      </c>
      <c r="M1932" s="24">
        <f>+Tabla2[[#This Row],[Variación Stock]]*Tabla2[[#This Row],[Coste LÃ­nea]]</f>
        <v>0</v>
      </c>
      <c r="N1932" s="22" t="str">
        <f>+IF(Tabla2[[#This Row],[Variación Stock]]&gt;0,"Sobrante",IF(Tabla2[[#This Row],[Variación Stock]]&lt;0,"Faltante","Sin novedad"))</f>
        <v>Sin novedad</v>
      </c>
    </row>
    <row r="1933" spans="1:14" x14ac:dyDescent="0.25">
      <c r="A1933" s="11">
        <v>46065</v>
      </c>
      <c r="B1933" s="5" t="s">
        <v>1088</v>
      </c>
      <c r="C1933" s="3" t="s">
        <v>128</v>
      </c>
      <c r="D1933" s="5" t="s">
        <v>111</v>
      </c>
      <c r="E1933" s="5" t="s">
        <v>112</v>
      </c>
      <c r="F1933" s="6" t="s">
        <v>1089</v>
      </c>
      <c r="G1933" s="4" t="s">
        <v>1090</v>
      </c>
      <c r="H1933" s="25">
        <v>1658795.9259299999</v>
      </c>
      <c r="I1933" s="8">
        <v>1</v>
      </c>
      <c r="J1933" s="9">
        <v>0</v>
      </c>
      <c r="K1933" s="7">
        <v>-1</v>
      </c>
      <c r="L1933" s="24">
        <f>+Tabla2[[#This Row],[Stock Inventario]]*Tabla2[[#This Row],[Coste LÃ­nea]]</f>
        <v>0</v>
      </c>
      <c r="M1933" s="24">
        <f>+Tabla2[[#This Row],[Variación Stock]]*Tabla2[[#This Row],[Coste LÃ­nea]]</f>
        <v>-1658795.9259299999</v>
      </c>
      <c r="N1933" s="22" t="str">
        <f>+IF(Tabla2[[#This Row],[Variación Stock]]&gt;0,"Sobrante",IF(Tabla2[[#This Row],[Variación Stock]]&lt;0,"Faltante","Sin novedad"))</f>
        <v>Faltante</v>
      </c>
    </row>
    <row r="1934" spans="1:14" x14ac:dyDescent="0.25">
      <c r="A1934" s="11">
        <v>46065</v>
      </c>
      <c r="B1934" s="5" t="s">
        <v>1087</v>
      </c>
      <c r="C1934" s="3" t="s">
        <v>128</v>
      </c>
      <c r="D1934" s="5" t="s">
        <v>115</v>
      </c>
      <c r="E1934" s="5" t="s">
        <v>112</v>
      </c>
      <c r="F1934" s="6" t="s">
        <v>73</v>
      </c>
      <c r="G1934" s="4" t="s">
        <v>2</v>
      </c>
      <c r="H1934" s="25">
        <v>3241</v>
      </c>
      <c r="I1934" s="8">
        <v>151</v>
      </c>
      <c r="J1934" s="9">
        <v>120</v>
      </c>
      <c r="K1934" s="7">
        <v>-31</v>
      </c>
      <c r="L1934" s="24">
        <f>+Tabla2[[#This Row],[Stock Inventario]]*Tabla2[[#This Row],[Coste LÃ­nea]]</f>
        <v>388920</v>
      </c>
      <c r="M1934" s="24">
        <f>+Tabla2[[#This Row],[Variación Stock]]*Tabla2[[#This Row],[Coste LÃ­nea]]</f>
        <v>-100471</v>
      </c>
      <c r="N1934" s="22" t="str">
        <f>+IF(Tabla2[[#This Row],[Variación Stock]]&gt;0,"Sobrante",IF(Tabla2[[#This Row],[Variación Stock]]&lt;0,"Faltante","Sin novedad"))</f>
        <v>Faltante</v>
      </c>
    </row>
    <row r="1935" spans="1:14" x14ac:dyDescent="0.25">
      <c r="A1935" s="11">
        <v>46065</v>
      </c>
      <c r="B1935" s="5" t="s">
        <v>1087</v>
      </c>
      <c r="C1935" s="3" t="s">
        <v>128</v>
      </c>
      <c r="D1935" s="5" t="s">
        <v>111</v>
      </c>
      <c r="E1935" s="5" t="s">
        <v>112</v>
      </c>
      <c r="F1935" s="6" t="s">
        <v>18</v>
      </c>
      <c r="G1935" s="4" t="s">
        <v>2</v>
      </c>
      <c r="H1935" s="25">
        <v>86743</v>
      </c>
      <c r="I1935" s="8">
        <v>2</v>
      </c>
      <c r="J1935" s="9">
        <v>2</v>
      </c>
      <c r="K1935" s="7">
        <v>0</v>
      </c>
      <c r="L1935" s="24">
        <f>+Tabla2[[#This Row],[Stock Inventario]]*Tabla2[[#This Row],[Coste LÃ­nea]]</f>
        <v>173486</v>
      </c>
      <c r="M1935" s="24">
        <f>+Tabla2[[#This Row],[Variación Stock]]*Tabla2[[#This Row],[Coste LÃ­nea]]</f>
        <v>0</v>
      </c>
      <c r="N1935" s="22" t="str">
        <f>+IF(Tabla2[[#This Row],[Variación Stock]]&gt;0,"Sobrante",IF(Tabla2[[#This Row],[Variación Stock]]&lt;0,"Faltante","Sin novedad"))</f>
        <v>Sin novedad</v>
      </c>
    </row>
    <row r="1936" spans="1:14" x14ac:dyDescent="0.25">
      <c r="A1936" s="11">
        <v>46065</v>
      </c>
      <c r="B1936" s="5" t="s">
        <v>1087</v>
      </c>
      <c r="C1936" s="3" t="s">
        <v>128</v>
      </c>
      <c r="D1936" s="5" t="s">
        <v>111</v>
      </c>
      <c r="E1936" s="5" t="s">
        <v>112</v>
      </c>
      <c r="F1936" s="6" t="s">
        <v>134</v>
      </c>
      <c r="G1936" s="4" t="s">
        <v>0</v>
      </c>
      <c r="H1936" s="25">
        <v>2902.5454545500002</v>
      </c>
      <c r="I1936" s="8">
        <v>26</v>
      </c>
      <c r="J1936" s="9">
        <v>26</v>
      </c>
      <c r="K1936" s="7">
        <v>0</v>
      </c>
      <c r="L1936" s="24">
        <f>+Tabla2[[#This Row],[Stock Inventario]]*Tabla2[[#This Row],[Coste LÃ­nea]]</f>
        <v>75466.1818183</v>
      </c>
      <c r="M1936" s="24">
        <f>+Tabla2[[#This Row],[Variación Stock]]*Tabla2[[#This Row],[Coste LÃ­nea]]</f>
        <v>0</v>
      </c>
      <c r="N1936" s="22" t="str">
        <f>+IF(Tabla2[[#This Row],[Variación Stock]]&gt;0,"Sobrante",IF(Tabla2[[#This Row],[Variación Stock]]&lt;0,"Faltante","Sin novedad"))</f>
        <v>Sin novedad</v>
      </c>
    </row>
    <row r="1937" spans="1:14" x14ac:dyDescent="0.25">
      <c r="A1937" s="11">
        <v>46065</v>
      </c>
      <c r="B1937" s="5" t="s">
        <v>1087</v>
      </c>
      <c r="C1937" s="3" t="s">
        <v>128</v>
      </c>
      <c r="D1937" s="5" t="s">
        <v>118</v>
      </c>
      <c r="E1937" s="5" t="s">
        <v>112</v>
      </c>
      <c r="F1937" s="6" t="s">
        <v>86</v>
      </c>
      <c r="G1937" s="4" t="s">
        <v>81</v>
      </c>
      <c r="H1937" s="25">
        <v>10889.4</v>
      </c>
      <c r="I1937" s="8">
        <v>15</v>
      </c>
      <c r="J1937" s="9">
        <v>15</v>
      </c>
      <c r="K1937" s="7">
        <v>0</v>
      </c>
      <c r="L1937" s="24">
        <f>+Tabla2[[#This Row],[Stock Inventario]]*Tabla2[[#This Row],[Coste LÃ­nea]]</f>
        <v>163341</v>
      </c>
      <c r="M1937" s="24">
        <f>+Tabla2[[#This Row],[Variación Stock]]*Tabla2[[#This Row],[Coste LÃ­nea]]</f>
        <v>0</v>
      </c>
      <c r="N1937" s="22" t="str">
        <f>+IF(Tabla2[[#This Row],[Variación Stock]]&gt;0,"Sobrante",IF(Tabla2[[#This Row],[Variación Stock]]&lt;0,"Faltante","Sin novedad"))</f>
        <v>Sin novedad</v>
      </c>
    </row>
    <row r="1938" spans="1:14" x14ac:dyDescent="0.25">
      <c r="A1938" s="11">
        <v>46065</v>
      </c>
      <c r="B1938" s="5" t="s">
        <v>1087</v>
      </c>
      <c r="C1938" s="3" t="s">
        <v>128</v>
      </c>
      <c r="D1938" s="5" t="s">
        <v>111</v>
      </c>
      <c r="E1938" s="5" t="s">
        <v>112</v>
      </c>
      <c r="F1938" s="6" t="s">
        <v>59</v>
      </c>
      <c r="G1938" s="4" t="s">
        <v>0</v>
      </c>
      <c r="H1938" s="25">
        <v>3103.4482758600002</v>
      </c>
      <c r="I1938" s="8">
        <v>63</v>
      </c>
      <c r="J1938" s="9">
        <v>66</v>
      </c>
      <c r="K1938" s="7">
        <v>3</v>
      </c>
      <c r="L1938" s="24">
        <f>+Tabla2[[#This Row],[Stock Inventario]]*Tabla2[[#This Row],[Coste LÃ­nea]]</f>
        <v>204827.58620676002</v>
      </c>
      <c r="M1938" s="24">
        <f>+Tabla2[[#This Row],[Variación Stock]]*Tabla2[[#This Row],[Coste LÃ­nea]]</f>
        <v>9310.3448275800001</v>
      </c>
      <c r="N1938" s="22" t="str">
        <f>+IF(Tabla2[[#This Row],[Variación Stock]]&gt;0,"Sobrante",IF(Tabla2[[#This Row],[Variación Stock]]&lt;0,"Faltante","Sin novedad"))</f>
        <v>Sobrante</v>
      </c>
    </row>
    <row r="1939" spans="1:14" x14ac:dyDescent="0.25">
      <c r="A1939" s="11">
        <v>46065</v>
      </c>
      <c r="B1939" s="5" t="s">
        <v>1087</v>
      </c>
      <c r="C1939" s="3" t="s">
        <v>128</v>
      </c>
      <c r="D1939" s="5" t="s">
        <v>118</v>
      </c>
      <c r="E1939" s="5" t="s">
        <v>112</v>
      </c>
      <c r="F1939" s="6" t="s">
        <v>170</v>
      </c>
      <c r="G1939" s="4" t="s">
        <v>2</v>
      </c>
      <c r="H1939" s="25">
        <v>0</v>
      </c>
      <c r="I1939" s="8">
        <v>0</v>
      </c>
      <c r="J1939" s="9">
        <v>0</v>
      </c>
      <c r="K1939" s="7">
        <v>0</v>
      </c>
      <c r="L1939" s="24">
        <f>+Tabla2[[#This Row],[Stock Inventario]]*Tabla2[[#This Row],[Coste LÃ­nea]]</f>
        <v>0</v>
      </c>
      <c r="M1939" s="24">
        <f>+Tabla2[[#This Row],[Variación Stock]]*Tabla2[[#This Row],[Coste LÃ­nea]]</f>
        <v>0</v>
      </c>
      <c r="N1939" s="22" t="str">
        <f>+IF(Tabla2[[#This Row],[Variación Stock]]&gt;0,"Sobrante",IF(Tabla2[[#This Row],[Variación Stock]]&lt;0,"Faltante","Sin novedad"))</f>
        <v>Sin novedad</v>
      </c>
    </row>
    <row r="1940" spans="1:14" x14ac:dyDescent="0.25">
      <c r="A1940" s="11">
        <v>46065</v>
      </c>
      <c r="B1940" s="5" t="s">
        <v>1087</v>
      </c>
      <c r="C1940" s="3" t="s">
        <v>128</v>
      </c>
      <c r="D1940" s="5" t="s">
        <v>122</v>
      </c>
      <c r="E1940" s="5" t="s">
        <v>112</v>
      </c>
      <c r="F1940" s="6" t="s">
        <v>103</v>
      </c>
      <c r="G1940" s="4" t="s">
        <v>2</v>
      </c>
      <c r="H1940" s="25">
        <v>3458.3283333300001</v>
      </c>
      <c r="I1940" s="8">
        <v>11</v>
      </c>
      <c r="J1940" s="9">
        <v>11</v>
      </c>
      <c r="K1940" s="7">
        <v>0</v>
      </c>
      <c r="L1940" s="24">
        <f>+Tabla2[[#This Row],[Stock Inventario]]*Tabla2[[#This Row],[Coste LÃ­nea]]</f>
        <v>38041.61166663</v>
      </c>
      <c r="M1940" s="24">
        <f>+Tabla2[[#This Row],[Variación Stock]]*Tabla2[[#This Row],[Coste LÃ­nea]]</f>
        <v>0</v>
      </c>
      <c r="N1940" s="22" t="str">
        <f>+IF(Tabla2[[#This Row],[Variación Stock]]&gt;0,"Sobrante",IF(Tabla2[[#This Row],[Variación Stock]]&lt;0,"Faltante","Sin novedad"))</f>
        <v>Sin novedad</v>
      </c>
    </row>
    <row r="1941" spans="1:14" hidden="1" x14ac:dyDescent="0.25">
      <c r="A1941" s="11">
        <v>46065</v>
      </c>
      <c r="B1941" s="5" t="s">
        <v>1087</v>
      </c>
      <c r="C1941" s="3" t="s">
        <v>128</v>
      </c>
      <c r="D1941" s="5" t="s">
        <v>119</v>
      </c>
      <c r="E1941" s="5" t="s">
        <v>117</v>
      </c>
      <c r="F1941" s="6" t="s">
        <v>192</v>
      </c>
      <c r="G1941" s="4" t="s">
        <v>2</v>
      </c>
      <c r="H1941" s="25">
        <v>6666.6666666700003</v>
      </c>
      <c r="I1941" s="8">
        <v>13</v>
      </c>
      <c r="J1941" s="9">
        <v>21</v>
      </c>
      <c r="K1941" s="7">
        <v>8</v>
      </c>
      <c r="L1941" s="24">
        <f>+Tabla2[[#This Row],[Stock Inventario]]*Tabla2[[#This Row],[Coste LÃ­nea]]</f>
        <v>140000.00000006999</v>
      </c>
      <c r="M1941" s="24">
        <f>+Tabla2[[#This Row],[Variación Stock]]*Tabla2[[#This Row],[Coste LÃ­nea]]</f>
        <v>53333.333333360002</v>
      </c>
      <c r="N1941" s="22" t="str">
        <f>+IF(Tabla2[[#This Row],[Variación Stock]]&gt;0,"Sobrante",IF(Tabla2[[#This Row],[Variación Stock]]&lt;0,"Faltante","Sin novedad"))</f>
        <v>Sobrante</v>
      </c>
    </row>
    <row r="1942" spans="1:14" x14ac:dyDescent="0.25">
      <c r="A1942" s="11">
        <v>46065</v>
      </c>
      <c r="B1942" s="5" t="s">
        <v>1087</v>
      </c>
      <c r="C1942" s="3" t="s">
        <v>128</v>
      </c>
      <c r="D1942" s="5" t="s">
        <v>111</v>
      </c>
      <c r="E1942" s="5" t="s">
        <v>112</v>
      </c>
      <c r="F1942" s="6" t="s">
        <v>47</v>
      </c>
      <c r="G1942" s="4" t="s">
        <v>2</v>
      </c>
      <c r="H1942" s="25">
        <v>22770</v>
      </c>
      <c r="I1942" s="8">
        <v>4</v>
      </c>
      <c r="J1942" s="9">
        <v>4</v>
      </c>
      <c r="K1942" s="7">
        <v>0</v>
      </c>
      <c r="L1942" s="24">
        <f>+Tabla2[[#This Row],[Stock Inventario]]*Tabla2[[#This Row],[Coste LÃ­nea]]</f>
        <v>91080</v>
      </c>
      <c r="M1942" s="24">
        <f>+Tabla2[[#This Row],[Variación Stock]]*Tabla2[[#This Row],[Coste LÃ­nea]]</f>
        <v>0</v>
      </c>
      <c r="N1942" s="22" t="str">
        <f>+IF(Tabla2[[#This Row],[Variación Stock]]&gt;0,"Sobrante",IF(Tabla2[[#This Row],[Variación Stock]]&lt;0,"Faltante","Sin novedad"))</f>
        <v>Sin novedad</v>
      </c>
    </row>
    <row r="1943" spans="1:14" x14ac:dyDescent="0.25">
      <c r="A1943" s="11">
        <v>46065</v>
      </c>
      <c r="B1943" s="5" t="s">
        <v>1087</v>
      </c>
      <c r="C1943" s="3" t="s">
        <v>128</v>
      </c>
      <c r="D1943" s="5" t="s">
        <v>118</v>
      </c>
      <c r="E1943" s="5" t="s">
        <v>112</v>
      </c>
      <c r="F1943" s="6" t="s">
        <v>178</v>
      </c>
      <c r="G1943" s="4" t="s">
        <v>2</v>
      </c>
      <c r="H1943" s="25">
        <v>80870</v>
      </c>
      <c r="I1943" s="8">
        <v>2</v>
      </c>
      <c r="J1943" s="9">
        <v>2</v>
      </c>
      <c r="K1943" s="7">
        <v>0</v>
      </c>
      <c r="L1943" s="24">
        <f>+Tabla2[[#This Row],[Stock Inventario]]*Tabla2[[#This Row],[Coste LÃ­nea]]</f>
        <v>161740</v>
      </c>
      <c r="M1943" s="24">
        <f>+Tabla2[[#This Row],[Variación Stock]]*Tabla2[[#This Row],[Coste LÃ­nea]]</f>
        <v>0</v>
      </c>
      <c r="N1943" s="22" t="str">
        <f>+IF(Tabla2[[#This Row],[Variación Stock]]&gt;0,"Sobrante",IF(Tabla2[[#This Row],[Variación Stock]]&lt;0,"Faltante","Sin novedad"))</f>
        <v>Sin novedad</v>
      </c>
    </row>
    <row r="1944" spans="1:14" x14ac:dyDescent="0.25">
      <c r="A1944" s="11">
        <v>46065</v>
      </c>
      <c r="B1944" s="5" t="s">
        <v>1087</v>
      </c>
      <c r="C1944" s="3" t="s">
        <v>128</v>
      </c>
      <c r="D1944" s="5" t="s">
        <v>118</v>
      </c>
      <c r="E1944" s="5" t="s">
        <v>112</v>
      </c>
      <c r="F1944" s="6" t="s">
        <v>173</v>
      </c>
      <c r="G1944" s="4" t="s">
        <v>2</v>
      </c>
      <c r="H1944" s="25">
        <v>127507</v>
      </c>
      <c r="I1944" s="8">
        <v>4</v>
      </c>
      <c r="J1944" s="9">
        <v>3</v>
      </c>
      <c r="K1944" s="7">
        <v>-1</v>
      </c>
      <c r="L1944" s="24">
        <f>+Tabla2[[#This Row],[Stock Inventario]]*Tabla2[[#This Row],[Coste LÃ­nea]]</f>
        <v>382521</v>
      </c>
      <c r="M1944" s="24">
        <f>+Tabla2[[#This Row],[Variación Stock]]*Tabla2[[#This Row],[Coste LÃ­nea]]</f>
        <v>-127507</v>
      </c>
      <c r="N1944" s="22" t="str">
        <f>+IF(Tabla2[[#This Row],[Variación Stock]]&gt;0,"Sobrante",IF(Tabla2[[#This Row],[Variación Stock]]&lt;0,"Faltante","Sin novedad"))</f>
        <v>Faltante</v>
      </c>
    </row>
    <row r="1945" spans="1:14" x14ac:dyDescent="0.25">
      <c r="A1945" s="11">
        <v>46065</v>
      </c>
      <c r="B1945" s="5" t="s">
        <v>1087</v>
      </c>
      <c r="C1945" s="3" t="s">
        <v>128</v>
      </c>
      <c r="D1945" s="5" t="s">
        <v>111</v>
      </c>
      <c r="E1945" s="5" t="s">
        <v>112</v>
      </c>
      <c r="F1945" s="6" t="s">
        <v>30</v>
      </c>
      <c r="G1945" s="4" t="s">
        <v>0</v>
      </c>
      <c r="H1945" s="25">
        <v>4048.4</v>
      </c>
      <c r="I1945" s="8">
        <v>32</v>
      </c>
      <c r="J1945" s="9">
        <v>33</v>
      </c>
      <c r="K1945" s="7">
        <v>1</v>
      </c>
      <c r="L1945" s="24">
        <f>+Tabla2[[#This Row],[Stock Inventario]]*Tabla2[[#This Row],[Coste LÃ­nea]]</f>
        <v>133597.20000000001</v>
      </c>
      <c r="M1945" s="24">
        <f>+Tabla2[[#This Row],[Variación Stock]]*Tabla2[[#This Row],[Coste LÃ­nea]]</f>
        <v>4048.4</v>
      </c>
      <c r="N1945" s="22" t="str">
        <f>+IF(Tabla2[[#This Row],[Variación Stock]]&gt;0,"Sobrante",IF(Tabla2[[#This Row],[Variación Stock]]&lt;0,"Faltante","Sin novedad"))</f>
        <v>Sobrante</v>
      </c>
    </row>
    <row r="1946" spans="1:14" x14ac:dyDescent="0.25">
      <c r="A1946" s="11">
        <v>46065</v>
      </c>
      <c r="B1946" s="5" t="s">
        <v>1087</v>
      </c>
      <c r="C1946" s="3" t="s">
        <v>128</v>
      </c>
      <c r="D1946" s="5" t="s">
        <v>114</v>
      </c>
      <c r="E1946" s="5" t="s">
        <v>112</v>
      </c>
      <c r="F1946" s="6" t="s">
        <v>150</v>
      </c>
      <c r="G1946" s="4" t="s">
        <v>2</v>
      </c>
      <c r="H1946" s="25">
        <v>2083.3333333300002</v>
      </c>
      <c r="I1946" s="8">
        <v>17.920000000000002</v>
      </c>
      <c r="J1946" s="9">
        <v>6</v>
      </c>
      <c r="K1946" s="7">
        <v>-11.92</v>
      </c>
      <c r="L1946" s="24">
        <f>+Tabla2[[#This Row],[Stock Inventario]]*Tabla2[[#This Row],[Coste LÃ­nea]]</f>
        <v>12499.999999980002</v>
      </c>
      <c r="M1946" s="24">
        <f>+Tabla2[[#This Row],[Variación Stock]]*Tabla2[[#This Row],[Coste LÃ­nea]]</f>
        <v>-24833.333333293602</v>
      </c>
      <c r="N1946" s="22" t="str">
        <f>+IF(Tabla2[[#This Row],[Variación Stock]]&gt;0,"Sobrante",IF(Tabla2[[#This Row],[Variación Stock]]&lt;0,"Faltante","Sin novedad"))</f>
        <v>Faltante</v>
      </c>
    </row>
    <row r="1947" spans="1:14" hidden="1" x14ac:dyDescent="0.25">
      <c r="A1947" s="11">
        <v>46065</v>
      </c>
      <c r="B1947" s="5" t="s">
        <v>1087</v>
      </c>
      <c r="C1947" s="3" t="s">
        <v>128</v>
      </c>
      <c r="D1947" s="5" t="s">
        <v>119</v>
      </c>
      <c r="E1947" s="5" t="s">
        <v>117</v>
      </c>
      <c r="F1947" s="6" t="s">
        <v>94</v>
      </c>
      <c r="G1947" s="4" t="s">
        <v>2</v>
      </c>
      <c r="H1947" s="25">
        <v>1600</v>
      </c>
      <c r="I1947" s="8">
        <v>191</v>
      </c>
      <c r="J1947" s="9">
        <v>199</v>
      </c>
      <c r="K1947" s="7">
        <v>8</v>
      </c>
      <c r="L1947" s="24">
        <f>+Tabla2[[#This Row],[Stock Inventario]]*Tabla2[[#This Row],[Coste LÃ­nea]]</f>
        <v>318400</v>
      </c>
      <c r="M1947" s="24">
        <f>+Tabla2[[#This Row],[Variación Stock]]*Tabla2[[#This Row],[Coste LÃ­nea]]</f>
        <v>12800</v>
      </c>
      <c r="N1947" s="22" t="str">
        <f>+IF(Tabla2[[#This Row],[Variación Stock]]&gt;0,"Sobrante",IF(Tabla2[[#This Row],[Variación Stock]]&lt;0,"Faltante","Sin novedad"))</f>
        <v>Sobrante</v>
      </c>
    </row>
    <row r="1948" spans="1:14" x14ac:dyDescent="0.25">
      <c r="A1948" s="11">
        <v>46065</v>
      </c>
      <c r="B1948" s="5" t="s">
        <v>1087</v>
      </c>
      <c r="C1948" s="3" t="s">
        <v>128</v>
      </c>
      <c r="D1948" s="5" t="s">
        <v>115</v>
      </c>
      <c r="E1948" s="5" t="s">
        <v>112</v>
      </c>
      <c r="F1948" s="6" t="s">
        <v>76</v>
      </c>
      <c r="G1948" s="4" t="s">
        <v>2</v>
      </c>
      <c r="H1948" s="25">
        <v>3338.5</v>
      </c>
      <c r="I1948" s="8">
        <v>43</v>
      </c>
      <c r="J1948" s="9">
        <v>43</v>
      </c>
      <c r="K1948" s="7">
        <v>0</v>
      </c>
      <c r="L1948" s="24">
        <f>+Tabla2[[#This Row],[Stock Inventario]]*Tabla2[[#This Row],[Coste LÃ­nea]]</f>
        <v>143555.5</v>
      </c>
      <c r="M1948" s="24">
        <f>+Tabla2[[#This Row],[Variación Stock]]*Tabla2[[#This Row],[Coste LÃ­nea]]</f>
        <v>0</v>
      </c>
      <c r="N1948" s="22" t="str">
        <f>+IF(Tabla2[[#This Row],[Variación Stock]]&gt;0,"Sobrante",IF(Tabla2[[#This Row],[Variación Stock]]&lt;0,"Faltante","Sin novedad"))</f>
        <v>Sin novedad</v>
      </c>
    </row>
    <row r="1949" spans="1:14" x14ac:dyDescent="0.25">
      <c r="A1949" s="11">
        <v>46065</v>
      </c>
      <c r="B1949" s="5" t="s">
        <v>1087</v>
      </c>
      <c r="C1949" s="3" t="s">
        <v>128</v>
      </c>
      <c r="D1949" s="5" t="s">
        <v>111</v>
      </c>
      <c r="E1949" s="5" t="s">
        <v>112</v>
      </c>
      <c r="F1949" s="6" t="s">
        <v>38</v>
      </c>
      <c r="G1949" s="4" t="s">
        <v>0</v>
      </c>
      <c r="H1949" s="25">
        <v>2222.09090909</v>
      </c>
      <c r="I1949" s="8">
        <v>62</v>
      </c>
      <c r="J1949" s="9">
        <v>69</v>
      </c>
      <c r="K1949" s="7">
        <v>7</v>
      </c>
      <c r="L1949" s="24">
        <f>+Tabla2[[#This Row],[Stock Inventario]]*Tabla2[[#This Row],[Coste LÃ­nea]]</f>
        <v>153324.27272720999</v>
      </c>
      <c r="M1949" s="24">
        <f>+Tabla2[[#This Row],[Variación Stock]]*Tabla2[[#This Row],[Coste LÃ­nea]]</f>
        <v>15554.636363629999</v>
      </c>
      <c r="N1949" s="22" t="str">
        <f>+IF(Tabla2[[#This Row],[Variación Stock]]&gt;0,"Sobrante",IF(Tabla2[[#This Row],[Variación Stock]]&lt;0,"Faltante","Sin novedad"))</f>
        <v>Sobrante</v>
      </c>
    </row>
    <row r="1950" spans="1:14" x14ac:dyDescent="0.25">
      <c r="A1950" s="11">
        <v>46065</v>
      </c>
      <c r="B1950" s="5" t="s">
        <v>1087</v>
      </c>
      <c r="C1950" s="3" t="s">
        <v>128</v>
      </c>
      <c r="D1950" s="5" t="s">
        <v>111</v>
      </c>
      <c r="E1950" s="5" t="s">
        <v>112</v>
      </c>
      <c r="F1950" s="6" t="s">
        <v>23</v>
      </c>
      <c r="G1950" s="4" t="s">
        <v>0</v>
      </c>
      <c r="H1950" s="25">
        <v>4724.9090909099996</v>
      </c>
      <c r="I1950" s="8">
        <v>36.340000000000003</v>
      </c>
      <c r="J1950" s="9">
        <v>52</v>
      </c>
      <c r="K1950" s="7">
        <v>15.66</v>
      </c>
      <c r="L1950" s="24">
        <f>+Tabla2[[#This Row],[Stock Inventario]]*Tabla2[[#This Row],[Coste LÃ­nea]]</f>
        <v>245695.27272731997</v>
      </c>
      <c r="M1950" s="24">
        <f>+Tabla2[[#This Row],[Variación Stock]]*Tabla2[[#This Row],[Coste LÃ­nea]]</f>
        <v>73992.076363650587</v>
      </c>
      <c r="N1950" s="22" t="str">
        <f>+IF(Tabla2[[#This Row],[Variación Stock]]&gt;0,"Sobrante",IF(Tabla2[[#This Row],[Variación Stock]]&lt;0,"Faltante","Sin novedad"))</f>
        <v>Sobrante</v>
      </c>
    </row>
    <row r="1951" spans="1:14" x14ac:dyDescent="0.25">
      <c r="A1951" s="11">
        <v>46065</v>
      </c>
      <c r="B1951" s="5" t="s">
        <v>1087</v>
      </c>
      <c r="C1951" s="3" t="s">
        <v>128</v>
      </c>
      <c r="D1951" s="5" t="s">
        <v>111</v>
      </c>
      <c r="E1951" s="5" t="s">
        <v>112</v>
      </c>
      <c r="F1951" s="6" t="s">
        <v>55</v>
      </c>
      <c r="G1951" s="4" t="s">
        <v>0</v>
      </c>
      <c r="H1951" s="25">
        <v>3171.7083333300002</v>
      </c>
      <c r="I1951" s="8">
        <v>78</v>
      </c>
      <c r="J1951" s="9">
        <v>80</v>
      </c>
      <c r="K1951" s="7">
        <v>2</v>
      </c>
      <c r="L1951" s="24">
        <f>+Tabla2[[#This Row],[Stock Inventario]]*Tabla2[[#This Row],[Coste LÃ­nea]]</f>
        <v>253736.66666640001</v>
      </c>
      <c r="M1951" s="24">
        <f>+Tabla2[[#This Row],[Variación Stock]]*Tabla2[[#This Row],[Coste LÃ­nea]]</f>
        <v>6343.4166666600004</v>
      </c>
      <c r="N1951" s="22" t="str">
        <f>+IF(Tabla2[[#This Row],[Variación Stock]]&gt;0,"Sobrante",IF(Tabla2[[#This Row],[Variación Stock]]&lt;0,"Faltante","Sin novedad"))</f>
        <v>Sobrante</v>
      </c>
    </row>
    <row r="1952" spans="1:14" hidden="1" x14ac:dyDescent="0.25">
      <c r="A1952" s="11">
        <v>46065</v>
      </c>
      <c r="B1952" s="5" t="s">
        <v>1087</v>
      </c>
      <c r="C1952" s="3" t="s">
        <v>128</v>
      </c>
      <c r="D1952" s="5" t="s">
        <v>116</v>
      </c>
      <c r="E1952" s="5" t="s">
        <v>117</v>
      </c>
      <c r="F1952" s="6" t="s">
        <v>216</v>
      </c>
      <c r="G1952" s="4" t="s">
        <v>2</v>
      </c>
      <c r="H1952" s="25">
        <v>15233.33333333</v>
      </c>
      <c r="I1952" s="8">
        <v>0</v>
      </c>
      <c r="J1952" s="9">
        <v>0</v>
      </c>
      <c r="K1952" s="7">
        <v>0</v>
      </c>
      <c r="L1952" s="24">
        <f>+Tabla2[[#This Row],[Stock Inventario]]*Tabla2[[#This Row],[Coste LÃ­nea]]</f>
        <v>0</v>
      </c>
      <c r="M1952" s="24">
        <f>+Tabla2[[#This Row],[Variación Stock]]*Tabla2[[#This Row],[Coste LÃ­nea]]</f>
        <v>0</v>
      </c>
      <c r="N1952" s="22" t="str">
        <f>+IF(Tabla2[[#This Row],[Variación Stock]]&gt;0,"Sobrante",IF(Tabla2[[#This Row],[Variación Stock]]&lt;0,"Faltante","Sin novedad"))</f>
        <v>Sin novedad</v>
      </c>
    </row>
    <row r="1953" spans="1:14" x14ac:dyDescent="0.25">
      <c r="A1953" s="11">
        <v>46065</v>
      </c>
      <c r="B1953" s="5" t="s">
        <v>1087</v>
      </c>
      <c r="C1953" s="3" t="s">
        <v>128</v>
      </c>
      <c r="D1953" s="5" t="s">
        <v>115</v>
      </c>
      <c r="E1953" s="5" t="s">
        <v>112</v>
      </c>
      <c r="F1953" s="6" t="s">
        <v>71</v>
      </c>
      <c r="G1953" s="4" t="s">
        <v>2</v>
      </c>
      <c r="H1953" s="25">
        <v>2380</v>
      </c>
      <c r="I1953" s="8">
        <v>63</v>
      </c>
      <c r="J1953" s="9">
        <v>63</v>
      </c>
      <c r="K1953" s="7">
        <v>0</v>
      </c>
      <c r="L1953" s="24">
        <f>+Tabla2[[#This Row],[Stock Inventario]]*Tabla2[[#This Row],[Coste LÃ­nea]]</f>
        <v>149940</v>
      </c>
      <c r="M1953" s="24">
        <f>+Tabla2[[#This Row],[Variación Stock]]*Tabla2[[#This Row],[Coste LÃ­nea]]</f>
        <v>0</v>
      </c>
      <c r="N1953" s="22" t="str">
        <f>+IF(Tabla2[[#This Row],[Variación Stock]]&gt;0,"Sobrante",IF(Tabla2[[#This Row],[Variación Stock]]&lt;0,"Faltante","Sin novedad"))</f>
        <v>Sin novedad</v>
      </c>
    </row>
    <row r="1954" spans="1:14" x14ac:dyDescent="0.25">
      <c r="A1954" s="11">
        <v>46065</v>
      </c>
      <c r="B1954" s="5" t="s">
        <v>1087</v>
      </c>
      <c r="C1954" s="3" t="s">
        <v>128</v>
      </c>
      <c r="D1954" s="5" t="s">
        <v>111</v>
      </c>
      <c r="E1954" s="5" t="s">
        <v>112</v>
      </c>
      <c r="F1954" s="6" t="s">
        <v>140</v>
      </c>
      <c r="G1954" s="4" t="s">
        <v>0</v>
      </c>
      <c r="H1954" s="25">
        <v>6372.7272727299996</v>
      </c>
      <c r="I1954" s="8">
        <v>17</v>
      </c>
      <c r="J1954" s="9">
        <v>17</v>
      </c>
      <c r="K1954" s="7">
        <v>0</v>
      </c>
      <c r="L1954" s="24">
        <f>+Tabla2[[#This Row],[Stock Inventario]]*Tabla2[[#This Row],[Coste LÃ­nea]]</f>
        <v>108336.36363640999</v>
      </c>
      <c r="M1954" s="24">
        <f>+Tabla2[[#This Row],[Variación Stock]]*Tabla2[[#This Row],[Coste LÃ­nea]]</f>
        <v>0</v>
      </c>
      <c r="N1954" s="22" t="str">
        <f>+IF(Tabla2[[#This Row],[Variación Stock]]&gt;0,"Sobrante",IF(Tabla2[[#This Row],[Variación Stock]]&lt;0,"Faltante","Sin novedad"))</f>
        <v>Sin novedad</v>
      </c>
    </row>
    <row r="1955" spans="1:14" x14ac:dyDescent="0.25">
      <c r="A1955" s="11">
        <v>46065</v>
      </c>
      <c r="B1955" s="5" t="s">
        <v>1087</v>
      </c>
      <c r="C1955" s="3" t="s">
        <v>128</v>
      </c>
      <c r="D1955" s="5" t="s">
        <v>111</v>
      </c>
      <c r="E1955" s="5" t="s">
        <v>112</v>
      </c>
      <c r="F1955" s="6" t="s">
        <v>24</v>
      </c>
      <c r="G1955" s="4" t="s">
        <v>0</v>
      </c>
      <c r="H1955" s="25">
        <v>2575.5208333300002</v>
      </c>
      <c r="I1955" s="8">
        <v>71.2</v>
      </c>
      <c r="J1955" s="9">
        <v>63</v>
      </c>
      <c r="K1955" s="7">
        <v>-8.1999999999999993</v>
      </c>
      <c r="L1955" s="24">
        <f>+Tabla2[[#This Row],[Stock Inventario]]*Tabla2[[#This Row],[Coste LÃ­nea]]</f>
        <v>162257.81249979002</v>
      </c>
      <c r="M1955" s="24">
        <f>+Tabla2[[#This Row],[Variación Stock]]*Tabla2[[#This Row],[Coste LÃ­nea]]</f>
        <v>-21119.270833306</v>
      </c>
      <c r="N1955" s="22" t="str">
        <f>+IF(Tabla2[[#This Row],[Variación Stock]]&gt;0,"Sobrante",IF(Tabla2[[#This Row],[Variación Stock]]&lt;0,"Faltante","Sin novedad"))</f>
        <v>Faltante</v>
      </c>
    </row>
    <row r="1956" spans="1:14" x14ac:dyDescent="0.25">
      <c r="A1956" s="11">
        <v>46065</v>
      </c>
      <c r="B1956" s="5" t="s">
        <v>1087</v>
      </c>
      <c r="C1956" s="3" t="s">
        <v>128</v>
      </c>
      <c r="D1956" s="5" t="s">
        <v>118</v>
      </c>
      <c r="E1956" s="5" t="s">
        <v>112</v>
      </c>
      <c r="F1956" s="6" t="s">
        <v>84</v>
      </c>
      <c r="G1956" s="4" t="s">
        <v>81</v>
      </c>
      <c r="H1956" s="25">
        <v>10879.03333333</v>
      </c>
      <c r="I1956" s="8">
        <v>25</v>
      </c>
      <c r="J1956" s="9">
        <v>25</v>
      </c>
      <c r="K1956" s="7">
        <v>0</v>
      </c>
      <c r="L1956" s="24">
        <f>+Tabla2[[#This Row],[Stock Inventario]]*Tabla2[[#This Row],[Coste LÃ­nea]]</f>
        <v>271975.83333325002</v>
      </c>
      <c r="M1956" s="24">
        <f>+Tabla2[[#This Row],[Variación Stock]]*Tabla2[[#This Row],[Coste LÃ­nea]]</f>
        <v>0</v>
      </c>
      <c r="N1956" s="22" t="str">
        <f>+IF(Tabla2[[#This Row],[Variación Stock]]&gt;0,"Sobrante",IF(Tabla2[[#This Row],[Variación Stock]]&lt;0,"Faltante","Sin novedad"))</f>
        <v>Sin novedad</v>
      </c>
    </row>
    <row r="1957" spans="1:14" x14ac:dyDescent="0.25">
      <c r="A1957" s="11">
        <v>46065</v>
      </c>
      <c r="B1957" s="5" t="s">
        <v>1087</v>
      </c>
      <c r="C1957" s="3" t="s">
        <v>128</v>
      </c>
      <c r="D1957" s="5" t="s">
        <v>111</v>
      </c>
      <c r="E1957" s="5" t="s">
        <v>112</v>
      </c>
      <c r="F1957" s="6" t="s">
        <v>135</v>
      </c>
      <c r="G1957" s="4" t="s">
        <v>0</v>
      </c>
      <c r="H1957" s="25">
        <v>4505.9166666700003</v>
      </c>
      <c r="I1957" s="8">
        <v>10</v>
      </c>
      <c r="J1957" s="9">
        <v>10</v>
      </c>
      <c r="K1957" s="7">
        <v>0</v>
      </c>
      <c r="L1957" s="24">
        <f>+Tabla2[[#This Row],[Stock Inventario]]*Tabla2[[#This Row],[Coste LÃ­nea]]</f>
        <v>45059.166666700003</v>
      </c>
      <c r="M1957" s="24">
        <f>+Tabla2[[#This Row],[Variación Stock]]*Tabla2[[#This Row],[Coste LÃ­nea]]</f>
        <v>0</v>
      </c>
      <c r="N1957" s="22" t="str">
        <f>+IF(Tabla2[[#This Row],[Variación Stock]]&gt;0,"Sobrante",IF(Tabla2[[#This Row],[Variación Stock]]&lt;0,"Faltante","Sin novedad"))</f>
        <v>Sin novedad</v>
      </c>
    </row>
    <row r="1958" spans="1:14" x14ac:dyDescent="0.25">
      <c r="A1958" s="11">
        <v>46065</v>
      </c>
      <c r="B1958" s="5" t="s">
        <v>1087</v>
      </c>
      <c r="C1958" s="3" t="s">
        <v>128</v>
      </c>
      <c r="D1958" s="5" t="s">
        <v>114</v>
      </c>
      <c r="E1958" s="5" t="s">
        <v>112</v>
      </c>
      <c r="F1958" s="6" t="s">
        <v>151</v>
      </c>
      <c r="G1958" s="4" t="s">
        <v>2</v>
      </c>
      <c r="H1958" s="25">
        <v>3375.0050000000001</v>
      </c>
      <c r="I1958" s="8">
        <v>9</v>
      </c>
      <c r="J1958" s="9">
        <v>9</v>
      </c>
      <c r="K1958" s="7">
        <v>0</v>
      </c>
      <c r="L1958" s="24">
        <f>+Tabla2[[#This Row],[Stock Inventario]]*Tabla2[[#This Row],[Coste LÃ­nea]]</f>
        <v>30375.045000000002</v>
      </c>
      <c r="M1958" s="24">
        <f>+Tabla2[[#This Row],[Variación Stock]]*Tabla2[[#This Row],[Coste LÃ­nea]]</f>
        <v>0</v>
      </c>
      <c r="N1958" s="22" t="str">
        <f>+IF(Tabla2[[#This Row],[Variación Stock]]&gt;0,"Sobrante",IF(Tabla2[[#This Row],[Variación Stock]]&lt;0,"Faltante","Sin novedad"))</f>
        <v>Sin novedad</v>
      </c>
    </row>
    <row r="1959" spans="1:14" x14ac:dyDescent="0.25">
      <c r="A1959" s="11">
        <v>46065</v>
      </c>
      <c r="B1959" s="5" t="s">
        <v>1087</v>
      </c>
      <c r="C1959" s="3" t="s">
        <v>128</v>
      </c>
      <c r="D1959" s="5" t="s">
        <v>118</v>
      </c>
      <c r="E1959" s="5" t="s">
        <v>112</v>
      </c>
      <c r="F1959" s="6" t="s">
        <v>370</v>
      </c>
      <c r="G1959" s="4" t="s">
        <v>0</v>
      </c>
      <c r="H1959" s="25">
        <v>2137.5</v>
      </c>
      <c r="I1959" s="8">
        <v>22</v>
      </c>
      <c r="J1959" s="9">
        <v>19</v>
      </c>
      <c r="K1959" s="7">
        <v>-3</v>
      </c>
      <c r="L1959" s="24">
        <f>+Tabla2[[#This Row],[Stock Inventario]]*Tabla2[[#This Row],[Coste LÃ­nea]]</f>
        <v>40612.5</v>
      </c>
      <c r="M1959" s="24">
        <f>+Tabla2[[#This Row],[Variación Stock]]*Tabla2[[#This Row],[Coste LÃ­nea]]</f>
        <v>-6412.5</v>
      </c>
      <c r="N1959" s="22" t="str">
        <f>+IF(Tabla2[[#This Row],[Variación Stock]]&gt;0,"Sobrante",IF(Tabla2[[#This Row],[Variación Stock]]&lt;0,"Faltante","Sin novedad"))</f>
        <v>Faltante</v>
      </c>
    </row>
    <row r="1960" spans="1:14" x14ac:dyDescent="0.25">
      <c r="A1960" s="11">
        <v>46065</v>
      </c>
      <c r="B1960" s="5" t="s">
        <v>1087</v>
      </c>
      <c r="C1960" s="3" t="s">
        <v>128</v>
      </c>
      <c r="D1960" s="5" t="s">
        <v>122</v>
      </c>
      <c r="E1960" s="5" t="s">
        <v>112</v>
      </c>
      <c r="F1960" s="6" t="s">
        <v>98</v>
      </c>
      <c r="G1960" s="4" t="s">
        <v>2</v>
      </c>
      <c r="H1960" s="25">
        <v>1654.21666667</v>
      </c>
      <c r="I1960" s="8">
        <v>72</v>
      </c>
      <c r="J1960" s="9">
        <v>65</v>
      </c>
      <c r="K1960" s="7">
        <v>-7</v>
      </c>
      <c r="L1960" s="24">
        <f>+Tabla2[[#This Row],[Stock Inventario]]*Tabla2[[#This Row],[Coste LÃ­nea]]</f>
        <v>107524.08333355001</v>
      </c>
      <c r="M1960" s="24">
        <f>+Tabla2[[#This Row],[Variación Stock]]*Tabla2[[#This Row],[Coste LÃ­nea]]</f>
        <v>-11579.51666669</v>
      </c>
      <c r="N1960" s="22" t="str">
        <f>+IF(Tabla2[[#This Row],[Variación Stock]]&gt;0,"Sobrante",IF(Tabla2[[#This Row],[Variación Stock]]&lt;0,"Faltante","Sin novedad"))</f>
        <v>Faltante</v>
      </c>
    </row>
    <row r="1961" spans="1:14" x14ac:dyDescent="0.25">
      <c r="A1961" s="11">
        <v>46065</v>
      </c>
      <c r="B1961" s="5" t="s">
        <v>1087</v>
      </c>
      <c r="C1961" s="3" t="s">
        <v>128</v>
      </c>
      <c r="D1961" s="5" t="s">
        <v>111</v>
      </c>
      <c r="E1961" s="5" t="s">
        <v>112</v>
      </c>
      <c r="F1961" s="6" t="s">
        <v>45</v>
      </c>
      <c r="G1961" s="4" t="s">
        <v>2</v>
      </c>
      <c r="H1961" s="25">
        <v>26517</v>
      </c>
      <c r="I1961" s="8">
        <v>8</v>
      </c>
      <c r="J1961" s="9">
        <v>9</v>
      </c>
      <c r="K1961" s="7">
        <v>1</v>
      </c>
      <c r="L1961" s="24">
        <f>+Tabla2[[#This Row],[Stock Inventario]]*Tabla2[[#This Row],[Coste LÃ­nea]]</f>
        <v>238653</v>
      </c>
      <c r="M1961" s="24">
        <f>+Tabla2[[#This Row],[Variación Stock]]*Tabla2[[#This Row],[Coste LÃ­nea]]</f>
        <v>26517</v>
      </c>
      <c r="N1961" s="22" t="str">
        <f>+IF(Tabla2[[#This Row],[Variación Stock]]&gt;0,"Sobrante",IF(Tabla2[[#This Row],[Variación Stock]]&lt;0,"Faltante","Sin novedad"))</f>
        <v>Sobrante</v>
      </c>
    </row>
    <row r="1962" spans="1:14" x14ac:dyDescent="0.25">
      <c r="A1962" s="11">
        <v>46065</v>
      </c>
      <c r="B1962" s="5" t="s">
        <v>1087</v>
      </c>
      <c r="C1962" s="3" t="s">
        <v>128</v>
      </c>
      <c r="D1962" s="5" t="s">
        <v>118</v>
      </c>
      <c r="E1962" s="5" t="s">
        <v>112</v>
      </c>
      <c r="F1962" s="6" t="s">
        <v>188</v>
      </c>
      <c r="G1962" s="4" t="s">
        <v>2</v>
      </c>
      <c r="H1962" s="25">
        <v>176006.72268899999</v>
      </c>
      <c r="I1962" s="8">
        <v>2</v>
      </c>
      <c r="J1962" s="9">
        <v>2</v>
      </c>
      <c r="K1962" s="7">
        <v>0</v>
      </c>
      <c r="L1962" s="24">
        <f>+Tabla2[[#This Row],[Stock Inventario]]*Tabla2[[#This Row],[Coste LÃ­nea]]</f>
        <v>352013.44537799997</v>
      </c>
      <c r="M1962" s="24">
        <f>+Tabla2[[#This Row],[Variación Stock]]*Tabla2[[#This Row],[Coste LÃ­nea]]</f>
        <v>0</v>
      </c>
      <c r="N1962" s="22" t="str">
        <f>+IF(Tabla2[[#This Row],[Variación Stock]]&gt;0,"Sobrante",IF(Tabla2[[#This Row],[Variación Stock]]&lt;0,"Faltante","Sin novedad"))</f>
        <v>Sin novedad</v>
      </c>
    </row>
    <row r="1963" spans="1:14" x14ac:dyDescent="0.25">
      <c r="A1963" s="11">
        <v>46065</v>
      </c>
      <c r="B1963" s="5" t="s">
        <v>1087</v>
      </c>
      <c r="C1963" s="3" t="s">
        <v>128</v>
      </c>
      <c r="D1963" s="5" t="s">
        <v>118</v>
      </c>
      <c r="E1963" s="5" t="s">
        <v>112</v>
      </c>
      <c r="F1963" s="6" t="s">
        <v>172</v>
      </c>
      <c r="G1963" s="4" t="s">
        <v>2</v>
      </c>
      <c r="H1963" s="25">
        <v>7350</v>
      </c>
      <c r="I1963" s="8">
        <v>3</v>
      </c>
      <c r="J1963" s="9">
        <v>3</v>
      </c>
      <c r="K1963" s="7">
        <v>0</v>
      </c>
      <c r="L1963" s="24">
        <f>+Tabla2[[#This Row],[Stock Inventario]]*Tabla2[[#This Row],[Coste LÃ­nea]]</f>
        <v>22050</v>
      </c>
      <c r="M1963" s="24">
        <f>+Tabla2[[#This Row],[Variación Stock]]*Tabla2[[#This Row],[Coste LÃ­nea]]</f>
        <v>0</v>
      </c>
      <c r="N1963" s="22" t="str">
        <f>+IF(Tabla2[[#This Row],[Variación Stock]]&gt;0,"Sobrante",IF(Tabla2[[#This Row],[Variación Stock]]&lt;0,"Faltante","Sin novedad"))</f>
        <v>Sin novedad</v>
      </c>
    </row>
    <row r="1964" spans="1:14" x14ac:dyDescent="0.25">
      <c r="A1964" s="11">
        <v>46065</v>
      </c>
      <c r="B1964" s="5" t="s">
        <v>1087</v>
      </c>
      <c r="C1964" s="3" t="s">
        <v>128</v>
      </c>
      <c r="D1964" s="5" t="s">
        <v>111</v>
      </c>
      <c r="E1964" s="5" t="s">
        <v>112</v>
      </c>
      <c r="F1964" s="6" t="s">
        <v>29</v>
      </c>
      <c r="G1964" s="4" t="s">
        <v>0</v>
      </c>
      <c r="H1964" s="25">
        <v>0</v>
      </c>
      <c r="I1964" s="8">
        <v>48</v>
      </c>
      <c r="J1964" s="9">
        <v>48</v>
      </c>
      <c r="K1964" s="7">
        <v>0</v>
      </c>
      <c r="L1964" s="24">
        <f>+Tabla2[[#This Row],[Stock Inventario]]*Tabla2[[#This Row],[Coste LÃ­nea]]</f>
        <v>0</v>
      </c>
      <c r="M1964" s="24">
        <f>+Tabla2[[#This Row],[Variación Stock]]*Tabla2[[#This Row],[Coste LÃ­nea]]</f>
        <v>0</v>
      </c>
      <c r="N1964" s="22" t="str">
        <f>+IF(Tabla2[[#This Row],[Variación Stock]]&gt;0,"Sobrante",IF(Tabla2[[#This Row],[Variación Stock]]&lt;0,"Faltante","Sin novedad"))</f>
        <v>Sin novedad</v>
      </c>
    </row>
    <row r="1965" spans="1:14" x14ac:dyDescent="0.25">
      <c r="A1965" s="11">
        <v>46065</v>
      </c>
      <c r="B1965" s="5" t="s">
        <v>1087</v>
      </c>
      <c r="C1965" s="3" t="s">
        <v>128</v>
      </c>
      <c r="D1965" s="5" t="s">
        <v>114</v>
      </c>
      <c r="E1965" s="5" t="s">
        <v>112</v>
      </c>
      <c r="F1965" s="6" t="s">
        <v>61</v>
      </c>
      <c r="G1965" s="4" t="s">
        <v>2</v>
      </c>
      <c r="H1965" s="25">
        <v>2119.6875</v>
      </c>
      <c r="I1965" s="8">
        <v>51</v>
      </c>
      <c r="J1965" s="9">
        <v>63</v>
      </c>
      <c r="K1965" s="7">
        <v>12</v>
      </c>
      <c r="L1965" s="24">
        <f>+Tabla2[[#This Row],[Stock Inventario]]*Tabla2[[#This Row],[Coste LÃ­nea]]</f>
        <v>133540.3125</v>
      </c>
      <c r="M1965" s="24">
        <f>+Tabla2[[#This Row],[Variación Stock]]*Tabla2[[#This Row],[Coste LÃ­nea]]</f>
        <v>25436.25</v>
      </c>
      <c r="N1965" s="22" t="str">
        <f>+IF(Tabla2[[#This Row],[Variación Stock]]&gt;0,"Sobrante",IF(Tabla2[[#This Row],[Variación Stock]]&lt;0,"Faltante","Sin novedad"))</f>
        <v>Sobrante</v>
      </c>
    </row>
    <row r="1966" spans="1:14" x14ac:dyDescent="0.25">
      <c r="A1966" s="11">
        <v>46065</v>
      </c>
      <c r="B1966" s="5" t="s">
        <v>1087</v>
      </c>
      <c r="C1966" s="3" t="s">
        <v>128</v>
      </c>
      <c r="D1966" s="5" t="s">
        <v>115</v>
      </c>
      <c r="E1966" s="5" t="s">
        <v>112</v>
      </c>
      <c r="F1966" s="6" t="s">
        <v>367</v>
      </c>
      <c r="G1966" s="4" t="s">
        <v>2</v>
      </c>
      <c r="H1966" s="25">
        <v>2397.96666667</v>
      </c>
      <c r="I1966" s="8">
        <v>21</v>
      </c>
      <c r="J1966" s="9">
        <v>0</v>
      </c>
      <c r="K1966" s="7">
        <v>-21</v>
      </c>
      <c r="L1966" s="24">
        <f>+Tabla2[[#This Row],[Stock Inventario]]*Tabla2[[#This Row],[Coste LÃ­nea]]</f>
        <v>0</v>
      </c>
      <c r="M1966" s="24">
        <f>+Tabla2[[#This Row],[Variación Stock]]*Tabla2[[#This Row],[Coste LÃ­nea]]</f>
        <v>-50357.300000069998</v>
      </c>
      <c r="N1966" s="22" t="str">
        <f>+IF(Tabla2[[#This Row],[Variación Stock]]&gt;0,"Sobrante",IF(Tabla2[[#This Row],[Variación Stock]]&lt;0,"Faltante","Sin novedad"))</f>
        <v>Faltante</v>
      </c>
    </row>
    <row r="1967" spans="1:14" x14ac:dyDescent="0.25">
      <c r="A1967" s="11">
        <v>46065</v>
      </c>
      <c r="B1967" s="5" t="s">
        <v>1087</v>
      </c>
      <c r="C1967" s="3" t="s">
        <v>128</v>
      </c>
      <c r="D1967" s="5" t="s">
        <v>111</v>
      </c>
      <c r="E1967" s="5" t="s">
        <v>112</v>
      </c>
      <c r="F1967" s="6" t="s">
        <v>145</v>
      </c>
      <c r="G1967" s="4" t="s">
        <v>0</v>
      </c>
      <c r="H1967" s="25">
        <v>1590.84375</v>
      </c>
      <c r="I1967" s="8">
        <v>15</v>
      </c>
      <c r="J1967" s="9">
        <v>17</v>
      </c>
      <c r="K1967" s="7">
        <v>2</v>
      </c>
      <c r="L1967" s="24">
        <f>+Tabla2[[#This Row],[Stock Inventario]]*Tabla2[[#This Row],[Coste LÃ­nea]]</f>
        <v>27044.34375</v>
      </c>
      <c r="M1967" s="24">
        <f>+Tabla2[[#This Row],[Variación Stock]]*Tabla2[[#This Row],[Coste LÃ­nea]]</f>
        <v>3181.6875</v>
      </c>
      <c r="N1967" s="22" t="str">
        <f>+IF(Tabla2[[#This Row],[Variación Stock]]&gt;0,"Sobrante",IF(Tabla2[[#This Row],[Variación Stock]]&lt;0,"Faltante","Sin novedad"))</f>
        <v>Sobrante</v>
      </c>
    </row>
    <row r="1968" spans="1:14" x14ac:dyDescent="0.25">
      <c r="A1968" s="11">
        <v>46065</v>
      </c>
      <c r="B1968" s="5" t="s">
        <v>1087</v>
      </c>
      <c r="C1968" s="3" t="s">
        <v>128</v>
      </c>
      <c r="D1968" s="5" t="s">
        <v>111</v>
      </c>
      <c r="E1968" s="5" t="s">
        <v>112</v>
      </c>
      <c r="F1968" s="6" t="s">
        <v>28</v>
      </c>
      <c r="G1968" s="4" t="s">
        <v>2</v>
      </c>
      <c r="H1968" s="25">
        <v>93956</v>
      </c>
      <c r="I1968" s="8">
        <v>2</v>
      </c>
      <c r="J1968" s="9">
        <v>2</v>
      </c>
      <c r="K1968" s="7">
        <v>0</v>
      </c>
      <c r="L1968" s="24">
        <f>+Tabla2[[#This Row],[Stock Inventario]]*Tabla2[[#This Row],[Coste LÃ­nea]]</f>
        <v>187912</v>
      </c>
      <c r="M1968" s="24">
        <f>+Tabla2[[#This Row],[Variación Stock]]*Tabla2[[#This Row],[Coste LÃ­nea]]</f>
        <v>0</v>
      </c>
      <c r="N1968" s="22" t="str">
        <f>+IF(Tabla2[[#This Row],[Variación Stock]]&gt;0,"Sobrante",IF(Tabla2[[#This Row],[Variación Stock]]&lt;0,"Faltante","Sin novedad"))</f>
        <v>Sin novedad</v>
      </c>
    </row>
    <row r="1969" spans="1:14" hidden="1" x14ac:dyDescent="0.25">
      <c r="A1969" s="11">
        <v>46065</v>
      </c>
      <c r="B1969" s="5" t="s">
        <v>1087</v>
      </c>
      <c r="C1969" s="3" t="s">
        <v>128</v>
      </c>
      <c r="D1969" s="5" t="s">
        <v>116</v>
      </c>
      <c r="E1969" s="5" t="s">
        <v>117</v>
      </c>
      <c r="F1969" s="6" t="s">
        <v>159</v>
      </c>
      <c r="G1969" s="4" t="s">
        <v>2</v>
      </c>
      <c r="H1969" s="25">
        <v>13576.66666667</v>
      </c>
      <c r="I1969" s="8">
        <v>-5</v>
      </c>
      <c r="J1969" s="9">
        <v>0</v>
      </c>
      <c r="K1969" s="7">
        <v>5</v>
      </c>
      <c r="L1969" s="24">
        <f>+Tabla2[[#This Row],[Stock Inventario]]*Tabla2[[#This Row],[Coste LÃ­nea]]</f>
        <v>0</v>
      </c>
      <c r="M1969" s="24">
        <f>+Tabla2[[#This Row],[Variación Stock]]*Tabla2[[#This Row],[Coste LÃ­nea]]</f>
        <v>67883.333333350005</v>
      </c>
      <c r="N1969" s="22" t="str">
        <f>+IF(Tabla2[[#This Row],[Variación Stock]]&gt;0,"Sobrante",IF(Tabla2[[#This Row],[Variación Stock]]&lt;0,"Faltante","Sin novedad"))</f>
        <v>Sobrante</v>
      </c>
    </row>
    <row r="1970" spans="1:14" x14ac:dyDescent="0.25">
      <c r="A1970" s="11">
        <v>46065</v>
      </c>
      <c r="B1970" s="5" t="s">
        <v>1087</v>
      </c>
      <c r="C1970" s="3" t="s">
        <v>128</v>
      </c>
      <c r="D1970" s="5" t="s">
        <v>118</v>
      </c>
      <c r="E1970" s="5" t="s">
        <v>112</v>
      </c>
      <c r="F1970" s="6" t="s">
        <v>90</v>
      </c>
      <c r="G1970" s="4" t="s">
        <v>81</v>
      </c>
      <c r="H1970" s="25">
        <v>4005.2666666700002</v>
      </c>
      <c r="I1970" s="8">
        <v>21</v>
      </c>
      <c r="J1970" s="9">
        <v>21</v>
      </c>
      <c r="K1970" s="7">
        <v>0</v>
      </c>
      <c r="L1970" s="24">
        <f>+Tabla2[[#This Row],[Stock Inventario]]*Tabla2[[#This Row],[Coste LÃ­nea]]</f>
        <v>84110.600000070001</v>
      </c>
      <c r="M1970" s="24">
        <f>+Tabla2[[#This Row],[Variación Stock]]*Tabla2[[#This Row],[Coste LÃ­nea]]</f>
        <v>0</v>
      </c>
      <c r="N1970" s="22" t="str">
        <f>+IF(Tabla2[[#This Row],[Variación Stock]]&gt;0,"Sobrante",IF(Tabla2[[#This Row],[Variación Stock]]&lt;0,"Faltante","Sin novedad"))</f>
        <v>Sin novedad</v>
      </c>
    </row>
    <row r="1971" spans="1:14" x14ac:dyDescent="0.25">
      <c r="A1971" s="11">
        <v>46065</v>
      </c>
      <c r="B1971" s="5" t="s">
        <v>1087</v>
      </c>
      <c r="C1971" s="3" t="s">
        <v>128</v>
      </c>
      <c r="D1971" s="5" t="s">
        <v>111</v>
      </c>
      <c r="E1971" s="5" t="s">
        <v>112</v>
      </c>
      <c r="F1971" s="6" t="s">
        <v>365</v>
      </c>
      <c r="G1971" s="4" t="s">
        <v>0</v>
      </c>
      <c r="H1971" s="25">
        <v>12698.95454545</v>
      </c>
      <c r="I1971" s="8">
        <v>44</v>
      </c>
      <c r="J1971" s="9">
        <v>44</v>
      </c>
      <c r="K1971" s="7">
        <v>0</v>
      </c>
      <c r="L1971" s="24">
        <f>+Tabla2[[#This Row],[Stock Inventario]]*Tabla2[[#This Row],[Coste LÃ­nea]]</f>
        <v>558753.9999998</v>
      </c>
      <c r="M1971" s="24">
        <f>+Tabla2[[#This Row],[Variación Stock]]*Tabla2[[#This Row],[Coste LÃ­nea]]</f>
        <v>0</v>
      </c>
      <c r="N1971" s="22" t="str">
        <f>+IF(Tabla2[[#This Row],[Variación Stock]]&gt;0,"Sobrante",IF(Tabla2[[#This Row],[Variación Stock]]&lt;0,"Faltante","Sin novedad"))</f>
        <v>Sin novedad</v>
      </c>
    </row>
    <row r="1972" spans="1:14" x14ac:dyDescent="0.25">
      <c r="A1972" s="11">
        <v>46065</v>
      </c>
      <c r="B1972" s="5" t="s">
        <v>1087</v>
      </c>
      <c r="C1972" s="3" t="s">
        <v>128</v>
      </c>
      <c r="D1972" s="5" t="s">
        <v>111</v>
      </c>
      <c r="E1972" s="5" t="s">
        <v>112</v>
      </c>
      <c r="F1972" s="6" t="s">
        <v>143</v>
      </c>
      <c r="G1972" s="4" t="s">
        <v>2</v>
      </c>
      <c r="H1972" s="25">
        <v>24582.994999999999</v>
      </c>
      <c r="I1972" s="8">
        <v>3</v>
      </c>
      <c r="J1972" s="9">
        <v>3</v>
      </c>
      <c r="K1972" s="7">
        <v>0</v>
      </c>
      <c r="L1972" s="24">
        <f>+Tabla2[[#This Row],[Stock Inventario]]*Tabla2[[#This Row],[Coste LÃ­nea]]</f>
        <v>73748.985000000001</v>
      </c>
      <c r="M1972" s="24">
        <f>+Tabla2[[#This Row],[Variación Stock]]*Tabla2[[#This Row],[Coste LÃ­nea]]</f>
        <v>0</v>
      </c>
      <c r="N1972" s="22" t="str">
        <f>+IF(Tabla2[[#This Row],[Variación Stock]]&gt;0,"Sobrante",IF(Tabla2[[#This Row],[Variación Stock]]&lt;0,"Faltante","Sin novedad"))</f>
        <v>Sin novedad</v>
      </c>
    </row>
    <row r="1973" spans="1:14" hidden="1" x14ac:dyDescent="0.25">
      <c r="A1973" s="11">
        <v>46065</v>
      </c>
      <c r="B1973" s="5" t="s">
        <v>1087</v>
      </c>
      <c r="C1973" s="3" t="s">
        <v>128</v>
      </c>
      <c r="D1973" s="5" t="s">
        <v>116</v>
      </c>
      <c r="E1973" s="5" t="s">
        <v>117</v>
      </c>
      <c r="F1973" s="6" t="s">
        <v>216</v>
      </c>
      <c r="G1973" s="4" t="s">
        <v>2</v>
      </c>
      <c r="H1973" s="25">
        <v>2552.9411764699998</v>
      </c>
      <c r="I1973" s="8">
        <v>0</v>
      </c>
      <c r="J1973" s="9">
        <v>0</v>
      </c>
      <c r="K1973" s="7">
        <v>0</v>
      </c>
      <c r="L1973" s="24">
        <f>+Tabla2[[#This Row],[Stock Inventario]]*Tabla2[[#This Row],[Coste LÃ­nea]]</f>
        <v>0</v>
      </c>
      <c r="M1973" s="24">
        <f>+Tabla2[[#This Row],[Variación Stock]]*Tabla2[[#This Row],[Coste LÃ­nea]]</f>
        <v>0</v>
      </c>
      <c r="N1973" s="22" t="str">
        <f>+IF(Tabla2[[#This Row],[Variación Stock]]&gt;0,"Sobrante",IF(Tabla2[[#This Row],[Variación Stock]]&lt;0,"Faltante","Sin novedad"))</f>
        <v>Sin novedad</v>
      </c>
    </row>
    <row r="1974" spans="1:14" x14ac:dyDescent="0.25">
      <c r="A1974" s="11">
        <v>46065</v>
      </c>
      <c r="B1974" s="5" t="s">
        <v>1087</v>
      </c>
      <c r="C1974" s="3" t="s">
        <v>128</v>
      </c>
      <c r="D1974" s="5" t="s">
        <v>122</v>
      </c>
      <c r="E1974" s="5" t="s">
        <v>112</v>
      </c>
      <c r="F1974" s="6" t="s">
        <v>108</v>
      </c>
      <c r="G1974" s="4" t="s">
        <v>2</v>
      </c>
      <c r="H1974" s="25">
        <v>3458.3291316700002</v>
      </c>
      <c r="I1974" s="8">
        <v>2</v>
      </c>
      <c r="J1974" s="9">
        <v>0</v>
      </c>
      <c r="K1974" s="7">
        <v>-2</v>
      </c>
      <c r="L1974" s="24">
        <f>+Tabla2[[#This Row],[Stock Inventario]]*Tabla2[[#This Row],[Coste LÃ­nea]]</f>
        <v>0</v>
      </c>
      <c r="M1974" s="24">
        <f>+Tabla2[[#This Row],[Variación Stock]]*Tabla2[[#This Row],[Coste LÃ­nea]]</f>
        <v>-6916.6582633400003</v>
      </c>
      <c r="N1974" s="22" t="str">
        <f>+IF(Tabla2[[#This Row],[Variación Stock]]&gt;0,"Sobrante",IF(Tabla2[[#This Row],[Variación Stock]]&lt;0,"Faltante","Sin novedad"))</f>
        <v>Faltante</v>
      </c>
    </row>
    <row r="1975" spans="1:14" x14ac:dyDescent="0.25">
      <c r="A1975" s="11">
        <v>46065</v>
      </c>
      <c r="B1975" s="5" t="s">
        <v>1087</v>
      </c>
      <c r="C1975" s="3" t="s">
        <v>128</v>
      </c>
      <c r="D1975" s="5" t="s">
        <v>111</v>
      </c>
      <c r="E1975" s="5" t="s">
        <v>112</v>
      </c>
      <c r="F1975" s="6" t="s">
        <v>36</v>
      </c>
      <c r="G1975" s="4" t="s">
        <v>0</v>
      </c>
      <c r="H1975" s="25">
        <v>4041.5454545500002</v>
      </c>
      <c r="I1975" s="8">
        <v>59</v>
      </c>
      <c r="J1975" s="9">
        <v>60</v>
      </c>
      <c r="K1975" s="7">
        <v>1</v>
      </c>
      <c r="L1975" s="24">
        <f>+Tabla2[[#This Row],[Stock Inventario]]*Tabla2[[#This Row],[Coste LÃ­nea]]</f>
        <v>242492.727273</v>
      </c>
      <c r="M1975" s="24">
        <f>+Tabla2[[#This Row],[Variación Stock]]*Tabla2[[#This Row],[Coste LÃ­nea]]</f>
        <v>4041.5454545500002</v>
      </c>
      <c r="N1975" s="22" t="str">
        <f>+IF(Tabla2[[#This Row],[Variación Stock]]&gt;0,"Sobrante",IF(Tabla2[[#This Row],[Variación Stock]]&lt;0,"Faltante","Sin novedad"))</f>
        <v>Sobrante</v>
      </c>
    </row>
    <row r="1976" spans="1:14" x14ac:dyDescent="0.25">
      <c r="A1976" s="11">
        <v>46065</v>
      </c>
      <c r="B1976" s="5" t="s">
        <v>1087</v>
      </c>
      <c r="C1976" s="3" t="s">
        <v>128</v>
      </c>
      <c r="D1976" s="5" t="s">
        <v>111</v>
      </c>
      <c r="E1976" s="5" t="s">
        <v>112</v>
      </c>
      <c r="F1976" s="6" t="s">
        <v>132</v>
      </c>
      <c r="G1976" s="4" t="s">
        <v>0</v>
      </c>
      <c r="H1976" s="25">
        <v>0</v>
      </c>
      <c r="I1976" s="8">
        <v>64</v>
      </c>
      <c r="J1976" s="9">
        <v>64</v>
      </c>
      <c r="K1976" s="7">
        <v>0</v>
      </c>
      <c r="L1976" s="24">
        <f>+Tabla2[[#This Row],[Stock Inventario]]*Tabla2[[#This Row],[Coste LÃ­nea]]</f>
        <v>0</v>
      </c>
      <c r="M1976" s="24">
        <f>+Tabla2[[#This Row],[Variación Stock]]*Tabla2[[#This Row],[Coste LÃ­nea]]</f>
        <v>0</v>
      </c>
      <c r="N1976" s="22" t="str">
        <f>+IF(Tabla2[[#This Row],[Variación Stock]]&gt;0,"Sobrante",IF(Tabla2[[#This Row],[Variación Stock]]&lt;0,"Faltante","Sin novedad"))</f>
        <v>Sin novedad</v>
      </c>
    </row>
    <row r="1977" spans="1:14" x14ac:dyDescent="0.25">
      <c r="A1977" s="11">
        <v>46065</v>
      </c>
      <c r="B1977" s="5" t="s">
        <v>1087</v>
      </c>
      <c r="C1977" s="3" t="s">
        <v>128</v>
      </c>
      <c r="D1977" s="5" t="s">
        <v>118</v>
      </c>
      <c r="E1977" s="5" t="s">
        <v>112</v>
      </c>
      <c r="F1977" s="6" t="s">
        <v>183</v>
      </c>
      <c r="G1977" s="4" t="s">
        <v>2</v>
      </c>
      <c r="H1977" s="25">
        <v>93809</v>
      </c>
      <c r="I1977" s="8">
        <v>0</v>
      </c>
      <c r="J1977" s="9">
        <v>0</v>
      </c>
      <c r="K1977" s="7">
        <v>0</v>
      </c>
      <c r="L1977" s="24">
        <f>+Tabla2[[#This Row],[Stock Inventario]]*Tabla2[[#This Row],[Coste LÃ­nea]]</f>
        <v>0</v>
      </c>
      <c r="M1977" s="24">
        <f>+Tabla2[[#This Row],[Variación Stock]]*Tabla2[[#This Row],[Coste LÃ­nea]]</f>
        <v>0</v>
      </c>
      <c r="N1977" s="22" t="str">
        <f>+IF(Tabla2[[#This Row],[Variación Stock]]&gt;0,"Sobrante",IF(Tabla2[[#This Row],[Variación Stock]]&lt;0,"Faltante","Sin novedad"))</f>
        <v>Sin novedad</v>
      </c>
    </row>
    <row r="1978" spans="1:14" x14ac:dyDescent="0.25">
      <c r="A1978" s="11">
        <v>46065</v>
      </c>
      <c r="B1978" s="5" t="s">
        <v>1087</v>
      </c>
      <c r="C1978" s="3" t="s">
        <v>128</v>
      </c>
      <c r="D1978" s="5" t="s">
        <v>111</v>
      </c>
      <c r="E1978" s="5" t="s">
        <v>112</v>
      </c>
      <c r="F1978" s="6" t="s">
        <v>129</v>
      </c>
      <c r="G1978" s="4" t="s">
        <v>0</v>
      </c>
      <c r="H1978" s="25">
        <v>0</v>
      </c>
      <c r="I1978" s="8">
        <v>20</v>
      </c>
      <c r="J1978" s="9">
        <v>24</v>
      </c>
      <c r="K1978" s="7">
        <v>4</v>
      </c>
      <c r="L1978" s="24">
        <f>+Tabla2[[#This Row],[Stock Inventario]]*Tabla2[[#This Row],[Coste LÃ­nea]]</f>
        <v>0</v>
      </c>
      <c r="M1978" s="24">
        <f>+Tabla2[[#This Row],[Variación Stock]]*Tabla2[[#This Row],[Coste LÃ­nea]]</f>
        <v>0</v>
      </c>
      <c r="N1978" s="22" t="str">
        <f>+IF(Tabla2[[#This Row],[Variación Stock]]&gt;0,"Sobrante",IF(Tabla2[[#This Row],[Variación Stock]]&lt;0,"Faltante","Sin novedad"))</f>
        <v>Sobrante</v>
      </c>
    </row>
    <row r="1979" spans="1:14" x14ac:dyDescent="0.25">
      <c r="A1979" s="11">
        <v>46065</v>
      </c>
      <c r="B1979" s="5" t="s">
        <v>1087</v>
      </c>
      <c r="C1979" s="3" t="s">
        <v>128</v>
      </c>
      <c r="D1979" s="5" t="s">
        <v>114</v>
      </c>
      <c r="E1979" s="5" t="s">
        <v>112</v>
      </c>
      <c r="F1979" s="6" t="s">
        <v>64</v>
      </c>
      <c r="G1979" s="4" t="s">
        <v>2</v>
      </c>
      <c r="H1979" s="25">
        <v>5424</v>
      </c>
      <c r="I1979" s="8">
        <v>30</v>
      </c>
      <c r="J1979" s="9">
        <v>30</v>
      </c>
      <c r="K1979" s="7">
        <v>0</v>
      </c>
      <c r="L1979" s="24">
        <f>+Tabla2[[#This Row],[Stock Inventario]]*Tabla2[[#This Row],[Coste LÃ­nea]]</f>
        <v>162720</v>
      </c>
      <c r="M1979" s="24">
        <f>+Tabla2[[#This Row],[Variación Stock]]*Tabla2[[#This Row],[Coste LÃ­nea]]</f>
        <v>0</v>
      </c>
      <c r="N1979" s="22" t="str">
        <f>+IF(Tabla2[[#This Row],[Variación Stock]]&gt;0,"Sobrante",IF(Tabla2[[#This Row],[Variación Stock]]&lt;0,"Faltante","Sin novedad"))</f>
        <v>Sin novedad</v>
      </c>
    </row>
    <row r="1980" spans="1:14" hidden="1" x14ac:dyDescent="0.25">
      <c r="A1980" s="11">
        <v>46065</v>
      </c>
      <c r="B1980" s="5" t="s">
        <v>1087</v>
      </c>
      <c r="C1980" s="3" t="s">
        <v>128</v>
      </c>
      <c r="D1980" s="5" t="s">
        <v>120</v>
      </c>
      <c r="E1980" s="5" t="s">
        <v>117</v>
      </c>
      <c r="F1980" s="6" t="s">
        <v>204</v>
      </c>
      <c r="G1980" s="4" t="s">
        <v>2</v>
      </c>
      <c r="H1980" s="25">
        <v>8981.7889772100007</v>
      </c>
      <c r="I1980" s="8">
        <v>76.27</v>
      </c>
      <c r="J1980" s="9">
        <v>81</v>
      </c>
      <c r="K1980" s="7">
        <v>4.7300000000000004</v>
      </c>
      <c r="L1980" s="24">
        <f>+Tabla2[[#This Row],[Stock Inventario]]*Tabla2[[#This Row],[Coste LÃ­nea]]</f>
        <v>727524.90715401003</v>
      </c>
      <c r="M1980" s="24">
        <f>+Tabla2[[#This Row],[Variación Stock]]*Tabla2[[#This Row],[Coste LÃ­nea]]</f>
        <v>42483.86186220331</v>
      </c>
      <c r="N1980" s="22" t="str">
        <f>+IF(Tabla2[[#This Row],[Variación Stock]]&gt;0,"Sobrante",IF(Tabla2[[#This Row],[Variación Stock]]&lt;0,"Faltante","Sin novedad"))</f>
        <v>Sobrante</v>
      </c>
    </row>
    <row r="1981" spans="1:14" x14ac:dyDescent="0.25">
      <c r="A1981" s="11">
        <v>46065</v>
      </c>
      <c r="B1981" s="5" t="s">
        <v>1087</v>
      </c>
      <c r="C1981" s="3" t="s">
        <v>128</v>
      </c>
      <c r="D1981" s="5" t="s">
        <v>111</v>
      </c>
      <c r="E1981" s="5" t="s">
        <v>112</v>
      </c>
      <c r="F1981" s="6" t="s">
        <v>34</v>
      </c>
      <c r="G1981" s="4" t="s">
        <v>0</v>
      </c>
      <c r="H1981" s="25">
        <v>5658.3333333299997</v>
      </c>
      <c r="I1981" s="8">
        <v>52</v>
      </c>
      <c r="J1981" s="9">
        <v>52</v>
      </c>
      <c r="K1981" s="7">
        <v>0</v>
      </c>
      <c r="L1981" s="24">
        <f>+Tabla2[[#This Row],[Stock Inventario]]*Tabla2[[#This Row],[Coste LÃ­nea]]</f>
        <v>294233.33333315997</v>
      </c>
      <c r="M1981" s="24">
        <f>+Tabla2[[#This Row],[Variación Stock]]*Tabla2[[#This Row],[Coste LÃ­nea]]</f>
        <v>0</v>
      </c>
      <c r="N1981" s="22" t="str">
        <f>+IF(Tabla2[[#This Row],[Variación Stock]]&gt;0,"Sobrante",IF(Tabla2[[#This Row],[Variación Stock]]&lt;0,"Faltante","Sin novedad"))</f>
        <v>Sin novedad</v>
      </c>
    </row>
    <row r="1982" spans="1:14" x14ac:dyDescent="0.25">
      <c r="A1982" s="11">
        <v>46065</v>
      </c>
      <c r="B1982" s="5" t="s">
        <v>1087</v>
      </c>
      <c r="C1982" s="3" t="s">
        <v>128</v>
      </c>
      <c r="D1982" s="5" t="s">
        <v>111</v>
      </c>
      <c r="E1982" s="5" t="s">
        <v>112</v>
      </c>
      <c r="F1982" s="6" t="s">
        <v>359</v>
      </c>
      <c r="G1982" s="4" t="s">
        <v>0</v>
      </c>
      <c r="H1982" s="25">
        <v>0</v>
      </c>
      <c r="I1982" s="8">
        <v>44</v>
      </c>
      <c r="J1982" s="9">
        <v>44</v>
      </c>
      <c r="K1982" s="7">
        <v>0</v>
      </c>
      <c r="L1982" s="24">
        <f>+Tabla2[[#This Row],[Stock Inventario]]*Tabla2[[#This Row],[Coste LÃ­nea]]</f>
        <v>0</v>
      </c>
      <c r="M1982" s="24">
        <f>+Tabla2[[#This Row],[Variación Stock]]*Tabla2[[#This Row],[Coste LÃ­nea]]</f>
        <v>0</v>
      </c>
      <c r="N1982" s="22" t="str">
        <f>+IF(Tabla2[[#This Row],[Variación Stock]]&gt;0,"Sobrante",IF(Tabla2[[#This Row],[Variación Stock]]&lt;0,"Faltante","Sin novedad"))</f>
        <v>Sin novedad</v>
      </c>
    </row>
    <row r="1983" spans="1:14" x14ac:dyDescent="0.25">
      <c r="A1983" s="11">
        <v>46065</v>
      </c>
      <c r="B1983" s="5" t="s">
        <v>1087</v>
      </c>
      <c r="C1983" s="3" t="s">
        <v>128</v>
      </c>
      <c r="D1983" s="5" t="s">
        <v>118</v>
      </c>
      <c r="E1983" s="5" t="s">
        <v>112</v>
      </c>
      <c r="F1983" s="6" t="s">
        <v>176</v>
      </c>
      <c r="G1983" s="4" t="s">
        <v>2</v>
      </c>
      <c r="H1983" s="25">
        <v>66850</v>
      </c>
      <c r="I1983" s="8">
        <v>-1</v>
      </c>
      <c r="J1983" s="9">
        <v>0</v>
      </c>
      <c r="K1983" s="7">
        <v>1</v>
      </c>
      <c r="L1983" s="24">
        <f>+Tabla2[[#This Row],[Stock Inventario]]*Tabla2[[#This Row],[Coste LÃ­nea]]</f>
        <v>0</v>
      </c>
      <c r="M1983" s="24">
        <f>+Tabla2[[#This Row],[Variación Stock]]*Tabla2[[#This Row],[Coste LÃ­nea]]</f>
        <v>66850</v>
      </c>
      <c r="N1983" s="22" t="str">
        <f>+IF(Tabla2[[#This Row],[Variación Stock]]&gt;0,"Sobrante",IF(Tabla2[[#This Row],[Variación Stock]]&lt;0,"Faltante","Sin novedad"))</f>
        <v>Sobrante</v>
      </c>
    </row>
    <row r="1984" spans="1:14" x14ac:dyDescent="0.25">
      <c r="A1984" s="11">
        <v>46065</v>
      </c>
      <c r="B1984" s="5" t="s">
        <v>1087</v>
      </c>
      <c r="C1984" s="3" t="s">
        <v>128</v>
      </c>
      <c r="D1984" s="5" t="s">
        <v>118</v>
      </c>
      <c r="E1984" s="5" t="s">
        <v>112</v>
      </c>
      <c r="F1984" s="6" t="s">
        <v>181</v>
      </c>
      <c r="G1984" s="4" t="s">
        <v>2</v>
      </c>
      <c r="H1984" s="25">
        <v>62806</v>
      </c>
      <c r="I1984" s="8">
        <v>2</v>
      </c>
      <c r="J1984" s="9">
        <v>2</v>
      </c>
      <c r="K1984" s="7">
        <v>0</v>
      </c>
      <c r="L1984" s="24">
        <f>+Tabla2[[#This Row],[Stock Inventario]]*Tabla2[[#This Row],[Coste LÃ­nea]]</f>
        <v>125612</v>
      </c>
      <c r="M1984" s="24">
        <f>+Tabla2[[#This Row],[Variación Stock]]*Tabla2[[#This Row],[Coste LÃ­nea]]</f>
        <v>0</v>
      </c>
      <c r="N1984" s="22" t="str">
        <f>+IF(Tabla2[[#This Row],[Variación Stock]]&gt;0,"Sobrante",IF(Tabla2[[#This Row],[Variación Stock]]&lt;0,"Faltante","Sin novedad"))</f>
        <v>Sin novedad</v>
      </c>
    </row>
    <row r="1985" spans="1:14" x14ac:dyDescent="0.25">
      <c r="A1985" s="11">
        <v>46065</v>
      </c>
      <c r="B1985" s="5" t="s">
        <v>1087</v>
      </c>
      <c r="C1985" s="3" t="s">
        <v>128</v>
      </c>
      <c r="D1985" s="5" t="s">
        <v>111</v>
      </c>
      <c r="E1985" s="5" t="s">
        <v>112</v>
      </c>
      <c r="F1985" s="6" t="s">
        <v>137</v>
      </c>
      <c r="G1985" s="4" t="s">
        <v>0</v>
      </c>
      <c r="H1985" s="25">
        <v>2454.5454545500002</v>
      </c>
      <c r="I1985" s="8">
        <v>-29</v>
      </c>
      <c r="J1985" s="9">
        <v>25</v>
      </c>
      <c r="K1985" s="7">
        <v>54</v>
      </c>
      <c r="L1985" s="24">
        <f>+Tabla2[[#This Row],[Stock Inventario]]*Tabla2[[#This Row],[Coste LÃ­nea]]</f>
        <v>61363.636363750004</v>
      </c>
      <c r="M1985" s="24">
        <f>+Tabla2[[#This Row],[Variación Stock]]*Tabla2[[#This Row],[Coste LÃ­nea]]</f>
        <v>132545.45454570002</v>
      </c>
      <c r="N1985" s="22" t="str">
        <f>+IF(Tabla2[[#This Row],[Variación Stock]]&gt;0,"Sobrante",IF(Tabla2[[#This Row],[Variación Stock]]&lt;0,"Faltante","Sin novedad"))</f>
        <v>Sobrante</v>
      </c>
    </row>
    <row r="1986" spans="1:14" x14ac:dyDescent="0.25">
      <c r="A1986" s="11">
        <v>46065</v>
      </c>
      <c r="B1986" s="5" t="s">
        <v>1087</v>
      </c>
      <c r="C1986" s="3" t="s">
        <v>128</v>
      </c>
      <c r="D1986" s="5" t="s">
        <v>114</v>
      </c>
      <c r="E1986" s="5" t="s">
        <v>112</v>
      </c>
      <c r="F1986" s="6" t="s">
        <v>110</v>
      </c>
      <c r="G1986" s="4" t="s">
        <v>2</v>
      </c>
      <c r="H1986" s="25">
        <v>4126.8333333299997</v>
      </c>
      <c r="I1986" s="8">
        <v>1</v>
      </c>
      <c r="J1986" s="9">
        <v>1</v>
      </c>
      <c r="K1986" s="7">
        <v>0</v>
      </c>
      <c r="L1986" s="24">
        <f>+Tabla2[[#This Row],[Stock Inventario]]*Tabla2[[#This Row],[Coste LÃ­nea]]</f>
        <v>4126.8333333299997</v>
      </c>
      <c r="M1986" s="24">
        <f>+Tabla2[[#This Row],[Variación Stock]]*Tabla2[[#This Row],[Coste LÃ­nea]]</f>
        <v>0</v>
      </c>
      <c r="N1986" s="22" t="str">
        <f>+IF(Tabla2[[#This Row],[Variación Stock]]&gt;0,"Sobrante",IF(Tabla2[[#This Row],[Variación Stock]]&lt;0,"Faltante","Sin novedad"))</f>
        <v>Sin novedad</v>
      </c>
    </row>
    <row r="1987" spans="1:14" x14ac:dyDescent="0.25">
      <c r="A1987" s="11">
        <v>46065</v>
      </c>
      <c r="B1987" s="5" t="s">
        <v>1087</v>
      </c>
      <c r="C1987" s="3" t="s">
        <v>128</v>
      </c>
      <c r="D1987" s="5" t="s">
        <v>115</v>
      </c>
      <c r="E1987" s="5" t="s">
        <v>112</v>
      </c>
      <c r="F1987" s="6" t="s">
        <v>74</v>
      </c>
      <c r="G1987" s="4" t="s">
        <v>2</v>
      </c>
      <c r="H1987" s="25">
        <v>3750</v>
      </c>
      <c r="I1987" s="8">
        <v>17</v>
      </c>
      <c r="J1987" s="9">
        <v>17</v>
      </c>
      <c r="K1987" s="7">
        <v>0</v>
      </c>
      <c r="L1987" s="24">
        <f>+Tabla2[[#This Row],[Stock Inventario]]*Tabla2[[#This Row],[Coste LÃ­nea]]</f>
        <v>63750</v>
      </c>
      <c r="M1987" s="24">
        <f>+Tabla2[[#This Row],[Variación Stock]]*Tabla2[[#This Row],[Coste LÃ­nea]]</f>
        <v>0</v>
      </c>
      <c r="N1987" s="22" t="str">
        <f>+IF(Tabla2[[#This Row],[Variación Stock]]&gt;0,"Sobrante",IF(Tabla2[[#This Row],[Variación Stock]]&lt;0,"Faltante","Sin novedad"))</f>
        <v>Sin novedad</v>
      </c>
    </row>
    <row r="1988" spans="1:14" x14ac:dyDescent="0.25">
      <c r="A1988" s="11">
        <v>46065</v>
      </c>
      <c r="B1988" s="5" t="s">
        <v>1087</v>
      </c>
      <c r="C1988" s="3" t="s">
        <v>128</v>
      </c>
      <c r="D1988" s="5" t="s">
        <v>111</v>
      </c>
      <c r="E1988" s="5" t="s">
        <v>112</v>
      </c>
      <c r="F1988" s="6" t="s">
        <v>138</v>
      </c>
      <c r="G1988" s="4" t="s">
        <v>0</v>
      </c>
      <c r="H1988" s="25">
        <v>4504.1666666700003</v>
      </c>
      <c r="I1988" s="8">
        <v>30</v>
      </c>
      <c r="J1988" s="9">
        <v>30</v>
      </c>
      <c r="K1988" s="7">
        <v>0</v>
      </c>
      <c r="L1988" s="24">
        <f>+Tabla2[[#This Row],[Stock Inventario]]*Tabla2[[#This Row],[Coste LÃ­nea]]</f>
        <v>135125.0000001</v>
      </c>
      <c r="M1988" s="24">
        <f>+Tabla2[[#This Row],[Variación Stock]]*Tabla2[[#This Row],[Coste LÃ­nea]]</f>
        <v>0</v>
      </c>
      <c r="N1988" s="22" t="str">
        <f>+IF(Tabla2[[#This Row],[Variación Stock]]&gt;0,"Sobrante",IF(Tabla2[[#This Row],[Variación Stock]]&lt;0,"Faltante","Sin novedad"))</f>
        <v>Sin novedad</v>
      </c>
    </row>
    <row r="1989" spans="1:14" x14ac:dyDescent="0.25">
      <c r="A1989" s="11">
        <v>46065</v>
      </c>
      <c r="B1989" s="5" t="s">
        <v>1087</v>
      </c>
      <c r="C1989" s="3" t="s">
        <v>128</v>
      </c>
      <c r="D1989" s="5" t="s">
        <v>111</v>
      </c>
      <c r="E1989" s="5" t="s">
        <v>112</v>
      </c>
      <c r="F1989" s="6" t="s">
        <v>26</v>
      </c>
      <c r="G1989" s="4" t="s">
        <v>0</v>
      </c>
      <c r="H1989" s="25">
        <v>9217.1666666700003</v>
      </c>
      <c r="I1989" s="8">
        <v>37</v>
      </c>
      <c r="J1989" s="9">
        <v>37</v>
      </c>
      <c r="K1989" s="7">
        <v>0</v>
      </c>
      <c r="L1989" s="24">
        <f>+Tabla2[[#This Row],[Stock Inventario]]*Tabla2[[#This Row],[Coste LÃ­nea]]</f>
        <v>341035.16666679003</v>
      </c>
      <c r="M1989" s="24">
        <f>+Tabla2[[#This Row],[Variación Stock]]*Tabla2[[#This Row],[Coste LÃ­nea]]</f>
        <v>0</v>
      </c>
      <c r="N1989" s="22" t="str">
        <f>+IF(Tabla2[[#This Row],[Variación Stock]]&gt;0,"Sobrante",IF(Tabla2[[#This Row],[Variación Stock]]&lt;0,"Faltante","Sin novedad"))</f>
        <v>Sin novedad</v>
      </c>
    </row>
    <row r="1990" spans="1:14" hidden="1" x14ac:dyDescent="0.25">
      <c r="A1990" s="11">
        <v>46065</v>
      </c>
      <c r="B1990" s="5" t="s">
        <v>1087</v>
      </c>
      <c r="C1990" s="3" t="s">
        <v>128</v>
      </c>
      <c r="D1990" s="5" t="s">
        <v>119</v>
      </c>
      <c r="E1990" s="5" t="s">
        <v>117</v>
      </c>
      <c r="F1990" s="6" t="s">
        <v>14</v>
      </c>
      <c r="G1990" s="4" t="s">
        <v>1</v>
      </c>
      <c r="H1990" s="25">
        <v>33.499600000000001</v>
      </c>
      <c r="I1990" s="8">
        <v>0</v>
      </c>
      <c r="J1990" s="9">
        <v>0</v>
      </c>
      <c r="K1990" s="7">
        <v>0</v>
      </c>
      <c r="L1990" s="24">
        <f>+Tabla2[[#This Row],[Stock Inventario]]*Tabla2[[#This Row],[Coste LÃ­nea]]</f>
        <v>0</v>
      </c>
      <c r="M1990" s="24">
        <f>+Tabla2[[#This Row],[Variación Stock]]*Tabla2[[#This Row],[Coste LÃ­nea]]</f>
        <v>0</v>
      </c>
      <c r="N1990" s="22" t="str">
        <f>+IF(Tabla2[[#This Row],[Variación Stock]]&gt;0,"Sobrante",IF(Tabla2[[#This Row],[Variación Stock]]&lt;0,"Faltante","Sin novedad"))</f>
        <v>Sin novedad</v>
      </c>
    </row>
    <row r="1991" spans="1:14" x14ac:dyDescent="0.25">
      <c r="A1991" s="11">
        <v>46065</v>
      </c>
      <c r="B1991" s="5" t="s">
        <v>1087</v>
      </c>
      <c r="C1991" s="3" t="s">
        <v>128</v>
      </c>
      <c r="D1991" s="5" t="s">
        <v>118</v>
      </c>
      <c r="E1991" s="5" t="s">
        <v>112</v>
      </c>
      <c r="F1991" s="6" t="s">
        <v>88</v>
      </c>
      <c r="G1991" s="4" t="s">
        <v>81</v>
      </c>
      <c r="H1991" s="25">
        <v>4005.3666666700001</v>
      </c>
      <c r="I1991" s="8">
        <v>37.200000000000003</v>
      </c>
      <c r="J1991" s="9">
        <v>38</v>
      </c>
      <c r="K1991" s="7">
        <v>0.8</v>
      </c>
      <c r="L1991" s="24">
        <f>+Tabla2[[#This Row],[Stock Inventario]]*Tabla2[[#This Row],[Coste LÃ­nea]]</f>
        <v>152203.93333346001</v>
      </c>
      <c r="M1991" s="24">
        <f>+Tabla2[[#This Row],[Variación Stock]]*Tabla2[[#This Row],[Coste LÃ­nea]]</f>
        <v>3204.2933333360002</v>
      </c>
      <c r="N1991" s="22" t="str">
        <f>+IF(Tabla2[[#This Row],[Variación Stock]]&gt;0,"Sobrante",IF(Tabla2[[#This Row],[Variación Stock]]&lt;0,"Faltante","Sin novedad"))</f>
        <v>Sobrante</v>
      </c>
    </row>
    <row r="1992" spans="1:14" x14ac:dyDescent="0.25">
      <c r="A1992" s="11">
        <v>46065</v>
      </c>
      <c r="B1992" s="5" t="s">
        <v>1087</v>
      </c>
      <c r="C1992" s="3" t="s">
        <v>128</v>
      </c>
      <c r="D1992" s="5" t="s">
        <v>122</v>
      </c>
      <c r="E1992" s="5" t="s">
        <v>112</v>
      </c>
      <c r="F1992" s="6" t="s">
        <v>100</v>
      </c>
      <c r="G1992" s="4" t="s">
        <v>2</v>
      </c>
      <c r="H1992" s="25">
        <v>7857</v>
      </c>
      <c r="I1992" s="8">
        <v>31</v>
      </c>
      <c r="J1992" s="9">
        <v>31</v>
      </c>
      <c r="K1992" s="7">
        <v>0</v>
      </c>
      <c r="L1992" s="24">
        <f>+Tabla2[[#This Row],[Stock Inventario]]*Tabla2[[#This Row],[Coste LÃ­nea]]</f>
        <v>243567</v>
      </c>
      <c r="M1992" s="24">
        <f>+Tabla2[[#This Row],[Variación Stock]]*Tabla2[[#This Row],[Coste LÃ­nea]]</f>
        <v>0</v>
      </c>
      <c r="N1992" s="22" t="str">
        <f>+IF(Tabla2[[#This Row],[Variación Stock]]&gt;0,"Sobrante",IF(Tabla2[[#This Row],[Variación Stock]]&lt;0,"Faltante","Sin novedad"))</f>
        <v>Sin novedad</v>
      </c>
    </row>
    <row r="1993" spans="1:14" x14ac:dyDescent="0.25">
      <c r="A1993" s="11">
        <v>46065</v>
      </c>
      <c r="B1993" s="5" t="s">
        <v>1087</v>
      </c>
      <c r="C1993" s="3" t="s">
        <v>128</v>
      </c>
      <c r="D1993" s="5" t="s">
        <v>111</v>
      </c>
      <c r="E1993" s="5" t="s">
        <v>112</v>
      </c>
      <c r="F1993" s="6" t="s">
        <v>21</v>
      </c>
      <c r="G1993" s="4" t="s">
        <v>0</v>
      </c>
      <c r="H1993" s="25">
        <v>15769.5</v>
      </c>
      <c r="I1993" s="8">
        <v>31</v>
      </c>
      <c r="J1993" s="9">
        <v>29</v>
      </c>
      <c r="K1993" s="7">
        <v>-2</v>
      </c>
      <c r="L1993" s="24">
        <f>+Tabla2[[#This Row],[Stock Inventario]]*Tabla2[[#This Row],[Coste LÃ­nea]]</f>
        <v>457315.5</v>
      </c>
      <c r="M1993" s="24">
        <f>+Tabla2[[#This Row],[Variación Stock]]*Tabla2[[#This Row],[Coste LÃ­nea]]</f>
        <v>-31539</v>
      </c>
      <c r="N1993" s="22" t="str">
        <f>+IF(Tabla2[[#This Row],[Variación Stock]]&gt;0,"Sobrante",IF(Tabla2[[#This Row],[Variación Stock]]&lt;0,"Faltante","Sin novedad"))</f>
        <v>Faltante</v>
      </c>
    </row>
    <row r="1994" spans="1:14" x14ac:dyDescent="0.25">
      <c r="A1994" s="11">
        <v>46065</v>
      </c>
      <c r="B1994" s="5" t="s">
        <v>1087</v>
      </c>
      <c r="C1994" s="3" t="s">
        <v>128</v>
      </c>
      <c r="D1994" s="5" t="s">
        <v>111</v>
      </c>
      <c r="E1994" s="5" t="s">
        <v>112</v>
      </c>
      <c r="F1994" s="6" t="s">
        <v>142</v>
      </c>
      <c r="G1994" s="4" t="s">
        <v>0</v>
      </c>
      <c r="H1994" s="25">
        <v>2458</v>
      </c>
      <c r="I1994" s="8">
        <v>-4</v>
      </c>
      <c r="J1994" s="9">
        <v>13</v>
      </c>
      <c r="K1994" s="7">
        <v>17</v>
      </c>
      <c r="L1994" s="24">
        <f>+Tabla2[[#This Row],[Stock Inventario]]*Tabla2[[#This Row],[Coste LÃ­nea]]</f>
        <v>31954</v>
      </c>
      <c r="M1994" s="24">
        <f>+Tabla2[[#This Row],[Variación Stock]]*Tabla2[[#This Row],[Coste LÃ­nea]]</f>
        <v>41786</v>
      </c>
      <c r="N1994" s="22" t="str">
        <f>+IF(Tabla2[[#This Row],[Variación Stock]]&gt;0,"Sobrante",IF(Tabla2[[#This Row],[Variación Stock]]&lt;0,"Faltante","Sin novedad"))</f>
        <v>Sobrante</v>
      </c>
    </row>
    <row r="1995" spans="1:14" x14ac:dyDescent="0.25">
      <c r="A1995" s="11">
        <v>46065</v>
      </c>
      <c r="B1995" s="5" t="s">
        <v>1087</v>
      </c>
      <c r="C1995" s="3" t="s">
        <v>128</v>
      </c>
      <c r="D1995" s="5" t="s">
        <v>118</v>
      </c>
      <c r="E1995" s="5" t="s">
        <v>112</v>
      </c>
      <c r="F1995" s="6" t="s">
        <v>186</v>
      </c>
      <c r="G1995" s="4" t="s">
        <v>2</v>
      </c>
      <c r="H1995" s="25">
        <v>53140</v>
      </c>
      <c r="I1995" s="8">
        <v>2</v>
      </c>
      <c r="J1995" s="9">
        <v>2</v>
      </c>
      <c r="K1995" s="7">
        <v>0</v>
      </c>
      <c r="L1995" s="24">
        <f>+Tabla2[[#This Row],[Stock Inventario]]*Tabla2[[#This Row],[Coste LÃ­nea]]</f>
        <v>106280</v>
      </c>
      <c r="M1995" s="24">
        <f>+Tabla2[[#This Row],[Variación Stock]]*Tabla2[[#This Row],[Coste LÃ­nea]]</f>
        <v>0</v>
      </c>
      <c r="N1995" s="22" t="str">
        <f>+IF(Tabla2[[#This Row],[Variación Stock]]&gt;0,"Sobrante",IF(Tabla2[[#This Row],[Variación Stock]]&lt;0,"Faltante","Sin novedad"))</f>
        <v>Sin novedad</v>
      </c>
    </row>
    <row r="1996" spans="1:14" x14ac:dyDescent="0.25">
      <c r="A1996" s="11">
        <v>46065</v>
      </c>
      <c r="B1996" s="5" t="s">
        <v>1087</v>
      </c>
      <c r="C1996" s="3" t="s">
        <v>128</v>
      </c>
      <c r="D1996" s="5" t="s">
        <v>122</v>
      </c>
      <c r="E1996" s="5" t="s">
        <v>112</v>
      </c>
      <c r="F1996" s="6" t="s">
        <v>106</v>
      </c>
      <c r="G1996" s="4" t="s">
        <v>2</v>
      </c>
      <c r="H1996" s="25">
        <v>4166.58053225</v>
      </c>
      <c r="I1996" s="8">
        <v>9</v>
      </c>
      <c r="J1996" s="9">
        <v>9</v>
      </c>
      <c r="K1996" s="7">
        <v>0</v>
      </c>
      <c r="L1996" s="24">
        <f>+Tabla2[[#This Row],[Stock Inventario]]*Tabla2[[#This Row],[Coste LÃ­nea]]</f>
        <v>37499.224790250002</v>
      </c>
      <c r="M1996" s="24">
        <f>+Tabla2[[#This Row],[Variación Stock]]*Tabla2[[#This Row],[Coste LÃ­nea]]</f>
        <v>0</v>
      </c>
      <c r="N1996" s="22" t="str">
        <f>+IF(Tabla2[[#This Row],[Variación Stock]]&gt;0,"Sobrante",IF(Tabla2[[#This Row],[Variación Stock]]&lt;0,"Faltante","Sin novedad"))</f>
        <v>Sin novedad</v>
      </c>
    </row>
    <row r="1997" spans="1:14" hidden="1" x14ac:dyDescent="0.25">
      <c r="A1997" s="11">
        <v>46065</v>
      </c>
      <c r="B1997" s="5" t="s">
        <v>1087</v>
      </c>
      <c r="C1997" s="3" t="s">
        <v>128</v>
      </c>
      <c r="D1997" s="5" t="s">
        <v>119</v>
      </c>
      <c r="E1997" s="5" t="s">
        <v>117</v>
      </c>
      <c r="F1997" s="6" t="s">
        <v>195</v>
      </c>
      <c r="G1997" s="4" t="s">
        <v>2</v>
      </c>
      <c r="H1997" s="25">
        <v>7500</v>
      </c>
      <c r="I1997" s="8">
        <v>0</v>
      </c>
      <c r="J1997" s="9">
        <v>0</v>
      </c>
      <c r="K1997" s="7">
        <v>0</v>
      </c>
      <c r="L1997" s="24">
        <f>+Tabla2[[#This Row],[Stock Inventario]]*Tabla2[[#This Row],[Coste LÃ­nea]]</f>
        <v>0</v>
      </c>
      <c r="M1997" s="24">
        <f>+Tabla2[[#This Row],[Variación Stock]]*Tabla2[[#This Row],[Coste LÃ­nea]]</f>
        <v>0</v>
      </c>
      <c r="N1997" s="22" t="str">
        <f>+IF(Tabla2[[#This Row],[Variación Stock]]&gt;0,"Sobrante",IF(Tabla2[[#This Row],[Variación Stock]]&lt;0,"Faltante","Sin novedad"))</f>
        <v>Sin novedad</v>
      </c>
    </row>
    <row r="1998" spans="1:14" x14ac:dyDescent="0.25">
      <c r="A1998" s="11">
        <v>46065</v>
      </c>
      <c r="B1998" s="5" t="s">
        <v>1087</v>
      </c>
      <c r="C1998" s="3" t="s">
        <v>128</v>
      </c>
      <c r="D1998" s="5" t="s">
        <v>111</v>
      </c>
      <c r="E1998" s="5" t="s">
        <v>112</v>
      </c>
      <c r="F1998" s="6" t="s">
        <v>50</v>
      </c>
      <c r="G1998" s="4" t="s">
        <v>0</v>
      </c>
      <c r="H1998" s="25">
        <v>1798.66666667</v>
      </c>
      <c r="I1998" s="8">
        <v>35</v>
      </c>
      <c r="J1998" s="9">
        <v>35</v>
      </c>
      <c r="K1998" s="7">
        <v>0</v>
      </c>
      <c r="L1998" s="24">
        <f>+Tabla2[[#This Row],[Stock Inventario]]*Tabla2[[#This Row],[Coste LÃ­nea]]</f>
        <v>62953.333333449998</v>
      </c>
      <c r="M1998" s="24">
        <f>+Tabla2[[#This Row],[Variación Stock]]*Tabla2[[#This Row],[Coste LÃ­nea]]</f>
        <v>0</v>
      </c>
      <c r="N1998" s="22" t="str">
        <f>+IF(Tabla2[[#This Row],[Variación Stock]]&gt;0,"Sobrante",IF(Tabla2[[#This Row],[Variación Stock]]&lt;0,"Faltante","Sin novedad"))</f>
        <v>Sin novedad</v>
      </c>
    </row>
    <row r="1999" spans="1:14" hidden="1" x14ac:dyDescent="0.25">
      <c r="A1999" s="11">
        <v>46065</v>
      </c>
      <c r="B1999" s="5" t="s">
        <v>1087</v>
      </c>
      <c r="C1999" s="3" t="s">
        <v>128</v>
      </c>
      <c r="D1999" s="5" t="s">
        <v>116</v>
      </c>
      <c r="E1999" s="5" t="s">
        <v>117</v>
      </c>
      <c r="F1999" s="6" t="s">
        <v>164</v>
      </c>
      <c r="G1999" s="4" t="s">
        <v>2</v>
      </c>
      <c r="H1999" s="25">
        <v>12365</v>
      </c>
      <c r="I1999" s="8">
        <v>127</v>
      </c>
      <c r="J1999" s="9">
        <v>130</v>
      </c>
      <c r="K1999" s="7">
        <v>3</v>
      </c>
      <c r="L1999" s="24">
        <f>+Tabla2[[#This Row],[Stock Inventario]]*Tabla2[[#This Row],[Coste LÃ­nea]]</f>
        <v>1607450</v>
      </c>
      <c r="M1999" s="24">
        <f>+Tabla2[[#This Row],[Variación Stock]]*Tabla2[[#This Row],[Coste LÃ­nea]]</f>
        <v>37095</v>
      </c>
      <c r="N1999" s="22" t="str">
        <f>+IF(Tabla2[[#This Row],[Variación Stock]]&gt;0,"Sobrante",IF(Tabla2[[#This Row],[Variación Stock]]&lt;0,"Faltante","Sin novedad"))</f>
        <v>Sobrante</v>
      </c>
    </row>
    <row r="2000" spans="1:14" x14ac:dyDescent="0.25">
      <c r="A2000" s="11">
        <v>46065</v>
      </c>
      <c r="B2000" s="5" t="s">
        <v>1087</v>
      </c>
      <c r="C2000" s="3" t="s">
        <v>128</v>
      </c>
      <c r="D2000" s="5" t="s">
        <v>118</v>
      </c>
      <c r="E2000" s="5" t="s">
        <v>112</v>
      </c>
      <c r="F2000" s="6" t="s">
        <v>182</v>
      </c>
      <c r="G2000" s="4" t="s">
        <v>2</v>
      </c>
      <c r="H2000" s="25">
        <v>66111.5</v>
      </c>
      <c r="I2000" s="8">
        <v>2</v>
      </c>
      <c r="J2000" s="9">
        <v>2</v>
      </c>
      <c r="K2000" s="7">
        <v>0</v>
      </c>
      <c r="L2000" s="24">
        <f>+Tabla2[[#This Row],[Stock Inventario]]*Tabla2[[#This Row],[Coste LÃ­nea]]</f>
        <v>132223</v>
      </c>
      <c r="M2000" s="24">
        <f>+Tabla2[[#This Row],[Variación Stock]]*Tabla2[[#This Row],[Coste LÃ­nea]]</f>
        <v>0</v>
      </c>
      <c r="N2000" s="22" t="str">
        <f>+IF(Tabla2[[#This Row],[Variación Stock]]&gt;0,"Sobrante",IF(Tabla2[[#This Row],[Variación Stock]]&lt;0,"Faltante","Sin novedad"))</f>
        <v>Sin novedad</v>
      </c>
    </row>
    <row r="2001" spans="1:14" x14ac:dyDescent="0.25">
      <c r="A2001" s="11">
        <v>46065</v>
      </c>
      <c r="B2001" s="5" t="s">
        <v>1087</v>
      </c>
      <c r="C2001" s="3" t="s">
        <v>128</v>
      </c>
      <c r="D2001" s="5" t="s">
        <v>111</v>
      </c>
      <c r="E2001" s="5" t="s">
        <v>112</v>
      </c>
      <c r="F2001" s="6" t="s">
        <v>286</v>
      </c>
      <c r="G2001" s="4" t="s">
        <v>0</v>
      </c>
      <c r="H2001" s="25">
        <v>0</v>
      </c>
      <c r="I2001" s="8">
        <v>36</v>
      </c>
      <c r="J2001" s="9">
        <v>36</v>
      </c>
      <c r="K2001" s="7">
        <v>0</v>
      </c>
      <c r="L2001" s="24">
        <f>+Tabla2[[#This Row],[Stock Inventario]]*Tabla2[[#This Row],[Coste LÃ­nea]]</f>
        <v>0</v>
      </c>
      <c r="M2001" s="24">
        <f>+Tabla2[[#This Row],[Variación Stock]]*Tabla2[[#This Row],[Coste LÃ­nea]]</f>
        <v>0</v>
      </c>
      <c r="N2001" s="22" t="str">
        <f>+IF(Tabla2[[#This Row],[Variación Stock]]&gt;0,"Sobrante",IF(Tabla2[[#This Row],[Variación Stock]]&lt;0,"Faltante","Sin novedad"))</f>
        <v>Sin novedad</v>
      </c>
    </row>
    <row r="2002" spans="1:14" x14ac:dyDescent="0.25">
      <c r="A2002" s="11">
        <v>46065</v>
      </c>
      <c r="B2002" s="5" t="s">
        <v>1087</v>
      </c>
      <c r="C2002" s="3" t="s">
        <v>128</v>
      </c>
      <c r="D2002" s="5" t="s">
        <v>114</v>
      </c>
      <c r="E2002" s="5" t="s">
        <v>112</v>
      </c>
      <c r="F2002" s="6" t="s">
        <v>148</v>
      </c>
      <c r="G2002" s="4" t="s">
        <v>2</v>
      </c>
      <c r="H2002" s="25">
        <v>4986.1810224199999</v>
      </c>
      <c r="I2002" s="8">
        <v>0</v>
      </c>
      <c r="J2002" s="9">
        <v>0</v>
      </c>
      <c r="K2002" s="7">
        <v>0</v>
      </c>
      <c r="L2002" s="24">
        <f>+Tabla2[[#This Row],[Stock Inventario]]*Tabla2[[#This Row],[Coste LÃ­nea]]</f>
        <v>0</v>
      </c>
      <c r="M2002" s="24">
        <f>+Tabla2[[#This Row],[Variación Stock]]*Tabla2[[#This Row],[Coste LÃ­nea]]</f>
        <v>0</v>
      </c>
      <c r="N2002" s="22" t="str">
        <f>+IF(Tabla2[[#This Row],[Variación Stock]]&gt;0,"Sobrante",IF(Tabla2[[#This Row],[Variación Stock]]&lt;0,"Faltante","Sin novedad"))</f>
        <v>Sin novedad</v>
      </c>
    </row>
    <row r="2003" spans="1:14" hidden="1" x14ac:dyDescent="0.25">
      <c r="A2003" s="11">
        <v>46065</v>
      </c>
      <c r="B2003" s="5" t="s">
        <v>1087</v>
      </c>
      <c r="C2003" s="3" t="s">
        <v>128</v>
      </c>
      <c r="D2003" s="5" t="s">
        <v>120</v>
      </c>
      <c r="E2003" s="5" t="s">
        <v>117</v>
      </c>
      <c r="F2003" s="6" t="s">
        <v>96</v>
      </c>
      <c r="G2003" s="4" t="s">
        <v>2</v>
      </c>
      <c r="H2003" s="25">
        <v>2891.0588234400002</v>
      </c>
      <c r="I2003" s="8">
        <v>89.5</v>
      </c>
      <c r="J2003" s="9">
        <v>92</v>
      </c>
      <c r="K2003" s="7">
        <v>2.5</v>
      </c>
      <c r="L2003" s="24">
        <f>+Tabla2[[#This Row],[Stock Inventario]]*Tabla2[[#This Row],[Coste LÃ­nea]]</f>
        <v>265977.41175648</v>
      </c>
      <c r="M2003" s="24">
        <f>+Tabla2[[#This Row],[Variación Stock]]*Tabla2[[#This Row],[Coste LÃ­nea]]</f>
        <v>7227.6470586000005</v>
      </c>
      <c r="N2003" s="22" t="str">
        <f>+IF(Tabla2[[#This Row],[Variación Stock]]&gt;0,"Sobrante",IF(Tabla2[[#This Row],[Variación Stock]]&lt;0,"Faltante","Sin novedad"))</f>
        <v>Sobrante</v>
      </c>
    </row>
    <row r="2004" spans="1:14" x14ac:dyDescent="0.25">
      <c r="A2004" s="11">
        <v>46065</v>
      </c>
      <c r="B2004" s="5" t="s">
        <v>1087</v>
      </c>
      <c r="C2004" s="3" t="s">
        <v>128</v>
      </c>
      <c r="D2004" s="5" t="s">
        <v>827</v>
      </c>
      <c r="E2004" s="5" t="s">
        <v>112</v>
      </c>
      <c r="F2004" s="6" t="s">
        <v>967</v>
      </c>
      <c r="G2004" s="4" t="s">
        <v>1</v>
      </c>
      <c r="H2004" s="25">
        <v>33.200159659999997</v>
      </c>
      <c r="I2004" s="8">
        <v>580</v>
      </c>
      <c r="J2004" s="9">
        <v>0</v>
      </c>
      <c r="K2004" s="7">
        <v>-580</v>
      </c>
      <c r="L2004" s="24">
        <f>+Tabla2[[#This Row],[Stock Inventario]]*Tabla2[[#This Row],[Coste LÃ­nea]]</f>
        <v>0</v>
      </c>
      <c r="M2004" s="24">
        <f>+Tabla2[[#This Row],[Variación Stock]]*Tabla2[[#This Row],[Coste LÃ­nea]]</f>
        <v>-19256.092602799999</v>
      </c>
      <c r="N2004" s="22" t="str">
        <f>+IF(Tabla2[[#This Row],[Variación Stock]]&gt;0,"Sobrante",IF(Tabla2[[#This Row],[Variación Stock]]&lt;0,"Faltante","Sin novedad"))</f>
        <v>Faltante</v>
      </c>
    </row>
    <row r="2005" spans="1:14" hidden="1" x14ac:dyDescent="0.25">
      <c r="A2005" s="11">
        <v>46065</v>
      </c>
      <c r="B2005" s="5" t="s">
        <v>1087</v>
      </c>
      <c r="C2005" s="3" t="s">
        <v>128</v>
      </c>
      <c r="D2005" s="5" t="s">
        <v>120</v>
      </c>
      <c r="E2005" s="5" t="s">
        <v>117</v>
      </c>
      <c r="F2005" s="6" t="s">
        <v>210</v>
      </c>
      <c r="G2005" s="4" t="s">
        <v>2</v>
      </c>
      <c r="H2005" s="25">
        <v>3637.5542850000002</v>
      </c>
      <c r="I2005" s="8">
        <v>26</v>
      </c>
      <c r="J2005" s="9">
        <v>28</v>
      </c>
      <c r="K2005" s="7">
        <v>2</v>
      </c>
      <c r="L2005" s="24">
        <f>+Tabla2[[#This Row],[Stock Inventario]]*Tabla2[[#This Row],[Coste LÃ­nea]]</f>
        <v>101851.51998000001</v>
      </c>
      <c r="M2005" s="24">
        <f>+Tabla2[[#This Row],[Variación Stock]]*Tabla2[[#This Row],[Coste LÃ­nea]]</f>
        <v>7275.1085700000003</v>
      </c>
      <c r="N2005" s="22" t="str">
        <f>+IF(Tabla2[[#This Row],[Variación Stock]]&gt;0,"Sobrante",IF(Tabla2[[#This Row],[Variación Stock]]&lt;0,"Faltante","Sin novedad"))</f>
        <v>Sobrante</v>
      </c>
    </row>
    <row r="2006" spans="1:14" hidden="1" x14ac:dyDescent="0.25">
      <c r="A2006" s="11">
        <v>46065</v>
      </c>
      <c r="B2006" s="5" t="s">
        <v>1087</v>
      </c>
      <c r="C2006" s="3" t="s">
        <v>128</v>
      </c>
      <c r="D2006" s="5" t="s">
        <v>116</v>
      </c>
      <c r="E2006" s="5" t="s">
        <v>117</v>
      </c>
      <c r="F2006" s="6" t="s">
        <v>158</v>
      </c>
      <c r="G2006" s="4" t="s">
        <v>2</v>
      </c>
      <c r="H2006" s="25">
        <v>2000</v>
      </c>
      <c r="I2006" s="8">
        <v>2</v>
      </c>
      <c r="J2006" s="9">
        <v>3.5</v>
      </c>
      <c r="K2006" s="7">
        <v>1.5</v>
      </c>
      <c r="L2006" s="24">
        <f>+Tabla2[[#This Row],[Stock Inventario]]*Tabla2[[#This Row],[Coste LÃ­nea]]</f>
        <v>7000</v>
      </c>
      <c r="M2006" s="24">
        <f>+Tabla2[[#This Row],[Variación Stock]]*Tabla2[[#This Row],[Coste LÃ­nea]]</f>
        <v>3000</v>
      </c>
      <c r="N2006" s="22" t="str">
        <f>+IF(Tabla2[[#This Row],[Variación Stock]]&gt;0,"Sobrante",IF(Tabla2[[#This Row],[Variación Stock]]&lt;0,"Faltante","Sin novedad"))</f>
        <v>Sobrante</v>
      </c>
    </row>
    <row r="2007" spans="1:14" hidden="1" x14ac:dyDescent="0.25">
      <c r="A2007" s="11">
        <v>46065</v>
      </c>
      <c r="B2007" s="5" t="s">
        <v>1087</v>
      </c>
      <c r="C2007" s="3" t="s">
        <v>128</v>
      </c>
      <c r="D2007" s="5" t="s">
        <v>120</v>
      </c>
      <c r="E2007" s="5" t="s">
        <v>117</v>
      </c>
      <c r="F2007" s="6" t="s">
        <v>202</v>
      </c>
      <c r="G2007" s="4" t="s">
        <v>2</v>
      </c>
      <c r="H2007" s="25">
        <v>2112.87669792</v>
      </c>
      <c r="I2007" s="8">
        <v>33</v>
      </c>
      <c r="J2007" s="9">
        <v>32</v>
      </c>
      <c r="K2007" s="7">
        <v>-1</v>
      </c>
      <c r="L2007" s="24">
        <f>+Tabla2[[#This Row],[Stock Inventario]]*Tabla2[[#This Row],[Coste LÃ­nea]]</f>
        <v>67612.054333439999</v>
      </c>
      <c r="M2007" s="24">
        <f>+Tabla2[[#This Row],[Variación Stock]]*Tabla2[[#This Row],[Coste LÃ­nea]]</f>
        <v>-2112.87669792</v>
      </c>
      <c r="N2007" s="22" t="str">
        <f>+IF(Tabla2[[#This Row],[Variación Stock]]&gt;0,"Sobrante",IF(Tabla2[[#This Row],[Variación Stock]]&lt;0,"Faltante","Sin novedad"))</f>
        <v>Faltante</v>
      </c>
    </row>
    <row r="2008" spans="1:14" hidden="1" x14ac:dyDescent="0.25">
      <c r="A2008" s="11">
        <v>46065</v>
      </c>
      <c r="B2008" s="5" t="s">
        <v>1087</v>
      </c>
      <c r="C2008" s="3" t="s">
        <v>128</v>
      </c>
      <c r="D2008" s="5" t="s">
        <v>120</v>
      </c>
      <c r="E2008" s="5" t="s">
        <v>117</v>
      </c>
      <c r="F2008" s="6" t="s">
        <v>209</v>
      </c>
      <c r="G2008" s="4" t="s">
        <v>2</v>
      </c>
      <c r="H2008" s="25">
        <v>19487.232833329999</v>
      </c>
      <c r="I2008" s="8">
        <v>22.5</v>
      </c>
      <c r="J2008" s="9">
        <v>21.5</v>
      </c>
      <c r="K2008" s="7">
        <v>-1</v>
      </c>
      <c r="L2008" s="24">
        <f>+Tabla2[[#This Row],[Stock Inventario]]*Tabla2[[#This Row],[Coste LÃ­nea]]</f>
        <v>418975.50591659499</v>
      </c>
      <c r="M2008" s="24">
        <f>+Tabla2[[#This Row],[Variación Stock]]*Tabla2[[#This Row],[Coste LÃ­nea]]</f>
        <v>-19487.232833329999</v>
      </c>
      <c r="N2008" s="22" t="str">
        <f>+IF(Tabla2[[#This Row],[Variación Stock]]&gt;0,"Sobrante",IF(Tabla2[[#This Row],[Variación Stock]]&lt;0,"Faltante","Sin novedad"))</f>
        <v>Faltante</v>
      </c>
    </row>
    <row r="2009" spans="1:14" hidden="1" x14ac:dyDescent="0.25">
      <c r="A2009" s="11">
        <v>46065</v>
      </c>
      <c r="B2009" s="5" t="s">
        <v>1087</v>
      </c>
      <c r="C2009" s="3" t="s">
        <v>128</v>
      </c>
      <c r="D2009" s="5" t="s">
        <v>116</v>
      </c>
      <c r="E2009" s="5" t="s">
        <v>117</v>
      </c>
      <c r="F2009" s="6" t="s">
        <v>6</v>
      </c>
      <c r="G2009" s="4" t="s">
        <v>2</v>
      </c>
      <c r="H2009" s="25">
        <v>8684</v>
      </c>
      <c r="I2009" s="8">
        <v>1</v>
      </c>
      <c r="J2009" s="9">
        <v>0</v>
      </c>
      <c r="K2009" s="7">
        <v>-1</v>
      </c>
      <c r="L2009" s="24">
        <f>+Tabla2[[#This Row],[Stock Inventario]]*Tabla2[[#This Row],[Coste LÃ­nea]]</f>
        <v>0</v>
      </c>
      <c r="M2009" s="24">
        <f>+Tabla2[[#This Row],[Variación Stock]]*Tabla2[[#This Row],[Coste LÃ­nea]]</f>
        <v>-8684</v>
      </c>
      <c r="N2009" s="22" t="str">
        <f>+IF(Tabla2[[#This Row],[Variación Stock]]&gt;0,"Sobrante",IF(Tabla2[[#This Row],[Variación Stock]]&lt;0,"Faltante","Sin novedad"))</f>
        <v>Faltante</v>
      </c>
    </row>
    <row r="2010" spans="1:14" hidden="1" x14ac:dyDescent="0.25">
      <c r="A2010" s="11">
        <v>46065</v>
      </c>
      <c r="B2010" s="5" t="s">
        <v>1087</v>
      </c>
      <c r="C2010" s="3" t="s">
        <v>128</v>
      </c>
      <c r="D2010" s="5" t="s">
        <v>120</v>
      </c>
      <c r="E2010" s="5" t="s">
        <v>117</v>
      </c>
      <c r="F2010" s="6" t="s">
        <v>203</v>
      </c>
      <c r="G2010" s="4" t="s">
        <v>2</v>
      </c>
      <c r="H2010" s="25">
        <v>2510.4086790400002</v>
      </c>
      <c r="I2010" s="8">
        <v>37</v>
      </c>
      <c r="J2010" s="9">
        <v>32</v>
      </c>
      <c r="K2010" s="7">
        <v>-5</v>
      </c>
      <c r="L2010" s="24">
        <f>+Tabla2[[#This Row],[Stock Inventario]]*Tabla2[[#This Row],[Coste LÃ­nea]]</f>
        <v>80333.077729280005</v>
      </c>
      <c r="M2010" s="24">
        <f>+Tabla2[[#This Row],[Variación Stock]]*Tabla2[[#This Row],[Coste LÃ­nea]]</f>
        <v>-12552.0433952</v>
      </c>
      <c r="N2010" s="22" t="str">
        <f>+IF(Tabla2[[#This Row],[Variación Stock]]&gt;0,"Sobrante",IF(Tabla2[[#This Row],[Variación Stock]]&lt;0,"Faltante","Sin novedad"))</f>
        <v>Faltante</v>
      </c>
    </row>
    <row r="2011" spans="1:14" hidden="1" x14ac:dyDescent="0.25">
      <c r="A2011" s="11">
        <v>46065</v>
      </c>
      <c r="B2011" s="5" t="s">
        <v>1087</v>
      </c>
      <c r="C2011" s="3" t="s">
        <v>128</v>
      </c>
      <c r="D2011" s="5" t="s">
        <v>120</v>
      </c>
      <c r="E2011" s="5" t="s">
        <v>117</v>
      </c>
      <c r="F2011" s="6" t="s">
        <v>205</v>
      </c>
      <c r="G2011" s="4" t="s">
        <v>2</v>
      </c>
      <c r="H2011" s="25">
        <v>13841.168684509999</v>
      </c>
      <c r="I2011" s="8">
        <v>34.35</v>
      </c>
      <c r="J2011" s="9">
        <v>26</v>
      </c>
      <c r="K2011" s="7">
        <v>-8.35</v>
      </c>
      <c r="L2011" s="24">
        <f>+Tabla2[[#This Row],[Stock Inventario]]*Tabla2[[#This Row],[Coste LÃ­nea]]</f>
        <v>359870.38579725998</v>
      </c>
      <c r="M2011" s="24">
        <f>+Tabla2[[#This Row],[Variación Stock]]*Tabla2[[#This Row],[Coste LÃ­nea]]</f>
        <v>-115573.75851565848</v>
      </c>
      <c r="N2011" s="22" t="str">
        <f>+IF(Tabla2[[#This Row],[Variación Stock]]&gt;0,"Sobrante",IF(Tabla2[[#This Row],[Variación Stock]]&lt;0,"Faltante","Sin novedad"))</f>
        <v>Faltante</v>
      </c>
    </row>
    <row r="2012" spans="1:14" hidden="1" x14ac:dyDescent="0.25">
      <c r="A2012" s="11">
        <v>46065</v>
      </c>
      <c r="B2012" s="5" t="s">
        <v>1087</v>
      </c>
      <c r="C2012" s="3" t="s">
        <v>128</v>
      </c>
      <c r="D2012" s="5" t="s">
        <v>116</v>
      </c>
      <c r="E2012" s="5" t="s">
        <v>117</v>
      </c>
      <c r="F2012" s="6" t="s">
        <v>161</v>
      </c>
      <c r="G2012" s="4" t="s">
        <v>2</v>
      </c>
      <c r="H2012" s="25">
        <v>10840</v>
      </c>
      <c r="I2012" s="8">
        <v>24</v>
      </c>
      <c r="J2012" s="9">
        <v>0</v>
      </c>
      <c r="K2012" s="7">
        <v>-24</v>
      </c>
      <c r="L2012" s="24">
        <f>+Tabla2[[#This Row],[Stock Inventario]]*Tabla2[[#This Row],[Coste LÃ­nea]]</f>
        <v>0</v>
      </c>
      <c r="M2012" s="24">
        <f>+Tabla2[[#This Row],[Variación Stock]]*Tabla2[[#This Row],[Coste LÃ­nea]]</f>
        <v>-260160</v>
      </c>
      <c r="N2012" s="22" t="str">
        <f>+IF(Tabla2[[#This Row],[Variación Stock]]&gt;0,"Sobrante",IF(Tabla2[[#This Row],[Variación Stock]]&lt;0,"Faltante","Sin novedad"))</f>
        <v>Faltante</v>
      </c>
    </row>
    <row r="2013" spans="1:14" hidden="1" x14ac:dyDescent="0.25">
      <c r="A2013" s="11">
        <v>46065</v>
      </c>
      <c r="B2013" s="5" t="s">
        <v>1087</v>
      </c>
      <c r="C2013" s="3" t="s">
        <v>128</v>
      </c>
      <c r="D2013" s="5" t="s">
        <v>119</v>
      </c>
      <c r="E2013" s="5" t="s">
        <v>117</v>
      </c>
      <c r="F2013" s="6" t="s">
        <v>12</v>
      </c>
      <c r="G2013" s="4" t="s">
        <v>2</v>
      </c>
      <c r="H2013" s="25">
        <v>810</v>
      </c>
      <c r="I2013" s="8">
        <v>130</v>
      </c>
      <c r="J2013" s="9">
        <v>100</v>
      </c>
      <c r="K2013" s="7">
        <v>-30</v>
      </c>
      <c r="L2013" s="24">
        <f>+Tabla2[[#This Row],[Stock Inventario]]*Tabla2[[#This Row],[Coste LÃ­nea]]</f>
        <v>81000</v>
      </c>
      <c r="M2013" s="24">
        <f>+Tabla2[[#This Row],[Variación Stock]]*Tabla2[[#This Row],[Coste LÃ­nea]]</f>
        <v>-24300</v>
      </c>
      <c r="N2013" s="22" t="str">
        <f>+IF(Tabla2[[#This Row],[Variación Stock]]&gt;0,"Sobrante",IF(Tabla2[[#This Row],[Variación Stock]]&lt;0,"Faltante","Sin novedad"))</f>
        <v>Faltante</v>
      </c>
    </row>
    <row r="2014" spans="1:14" hidden="1" x14ac:dyDescent="0.25">
      <c r="A2014" s="11">
        <v>46065</v>
      </c>
      <c r="B2014" s="5" t="s">
        <v>1087</v>
      </c>
      <c r="C2014" s="3" t="s">
        <v>128</v>
      </c>
      <c r="D2014" s="5" t="s">
        <v>119</v>
      </c>
      <c r="E2014" s="5" t="s">
        <v>117</v>
      </c>
      <c r="F2014" s="6" t="s">
        <v>200</v>
      </c>
      <c r="G2014" s="4" t="s">
        <v>1</v>
      </c>
      <c r="H2014" s="25">
        <v>58.31</v>
      </c>
      <c r="I2014" s="8">
        <v>4600</v>
      </c>
      <c r="J2014" s="9">
        <v>4560</v>
      </c>
      <c r="K2014" s="7">
        <v>-40</v>
      </c>
      <c r="L2014" s="24">
        <f>+Tabla2[[#This Row],[Stock Inventario]]*Tabla2[[#This Row],[Coste LÃ­nea]]</f>
        <v>265893.60000000003</v>
      </c>
      <c r="M2014" s="24">
        <f>+Tabla2[[#This Row],[Variación Stock]]*Tabla2[[#This Row],[Coste LÃ­nea]]</f>
        <v>-2332.4</v>
      </c>
      <c r="N2014" s="22" t="str">
        <f>+IF(Tabla2[[#This Row],[Variación Stock]]&gt;0,"Sobrante",IF(Tabla2[[#This Row],[Variación Stock]]&lt;0,"Faltante","Sin novedad"))</f>
        <v>Faltante</v>
      </c>
    </row>
    <row r="2015" spans="1:14" hidden="1" x14ac:dyDescent="0.25">
      <c r="A2015" s="11">
        <v>46065</v>
      </c>
      <c r="B2015" s="5" t="s">
        <v>1087</v>
      </c>
      <c r="C2015" s="3" t="s">
        <v>128</v>
      </c>
      <c r="D2015" s="5" t="s">
        <v>120</v>
      </c>
      <c r="E2015" s="5" t="s">
        <v>117</v>
      </c>
      <c r="F2015" s="6" t="s">
        <v>206</v>
      </c>
      <c r="G2015" s="4" t="s">
        <v>2</v>
      </c>
      <c r="H2015" s="25">
        <v>482.77218261000002</v>
      </c>
      <c r="I2015" s="8">
        <v>85</v>
      </c>
      <c r="J2015" s="9">
        <v>40</v>
      </c>
      <c r="K2015" s="7">
        <v>-45</v>
      </c>
      <c r="L2015" s="24">
        <f>+Tabla2[[#This Row],[Stock Inventario]]*Tabla2[[#This Row],[Coste LÃ­nea]]</f>
        <v>19310.887304399999</v>
      </c>
      <c r="M2015" s="24">
        <f>+Tabla2[[#This Row],[Variación Stock]]*Tabla2[[#This Row],[Coste LÃ­nea]]</f>
        <v>-21724.74821745</v>
      </c>
      <c r="N2015" s="22" t="str">
        <f>+IF(Tabla2[[#This Row],[Variación Stock]]&gt;0,"Sobrante",IF(Tabla2[[#This Row],[Variación Stock]]&lt;0,"Faltante","Sin novedad"))</f>
        <v>Faltante</v>
      </c>
    </row>
    <row r="2016" spans="1:14" hidden="1" x14ac:dyDescent="0.25">
      <c r="A2016" s="11">
        <v>46065</v>
      </c>
      <c r="B2016" s="5" t="s">
        <v>1087</v>
      </c>
      <c r="C2016" s="3" t="s">
        <v>128</v>
      </c>
      <c r="D2016" s="5" t="s">
        <v>119</v>
      </c>
      <c r="E2016" s="5" t="s">
        <v>117</v>
      </c>
      <c r="F2016" s="6" t="s">
        <v>9</v>
      </c>
      <c r="G2016" s="4" t="s">
        <v>2</v>
      </c>
      <c r="H2016" s="25">
        <v>514.28571428999999</v>
      </c>
      <c r="I2016" s="8">
        <v>2010</v>
      </c>
      <c r="J2016" s="9">
        <v>1946</v>
      </c>
      <c r="K2016" s="7">
        <v>-64</v>
      </c>
      <c r="L2016" s="24">
        <f>+Tabla2[[#This Row],[Stock Inventario]]*Tabla2[[#This Row],[Coste LÃ­nea]]</f>
        <v>1000800.00000834</v>
      </c>
      <c r="M2016" s="24">
        <f>+Tabla2[[#This Row],[Variación Stock]]*Tabla2[[#This Row],[Coste LÃ­nea]]</f>
        <v>-32914.285714559999</v>
      </c>
      <c r="N2016" s="22" t="str">
        <f>+IF(Tabla2[[#This Row],[Variación Stock]]&gt;0,"Sobrante",IF(Tabla2[[#This Row],[Variación Stock]]&lt;0,"Faltante","Sin novedad"))</f>
        <v>Faltante</v>
      </c>
    </row>
    <row r="2017" spans="1:14" hidden="1" x14ac:dyDescent="0.25">
      <c r="A2017" s="11">
        <v>46065</v>
      </c>
      <c r="B2017" s="5" t="s">
        <v>1087</v>
      </c>
      <c r="C2017" s="3" t="s">
        <v>128</v>
      </c>
      <c r="D2017" s="5" t="s">
        <v>116</v>
      </c>
      <c r="E2017" s="5" t="s">
        <v>117</v>
      </c>
      <c r="F2017" s="6" t="s">
        <v>155</v>
      </c>
      <c r="G2017" s="4" t="s">
        <v>1</v>
      </c>
      <c r="H2017" s="25">
        <v>7970</v>
      </c>
      <c r="I2017" s="8">
        <v>73</v>
      </c>
      <c r="J2017" s="9">
        <v>0</v>
      </c>
      <c r="K2017" s="7">
        <v>-73</v>
      </c>
      <c r="L2017" s="24">
        <f>+Tabla2[[#This Row],[Stock Inventario]]*Tabla2[[#This Row],[Coste LÃ­nea]]</f>
        <v>0</v>
      </c>
      <c r="M2017" s="24">
        <f>+Tabla2[[#This Row],[Variación Stock]]*Tabla2[[#This Row],[Coste LÃ­nea]]</f>
        <v>-581810</v>
      </c>
      <c r="N2017" s="22" t="str">
        <f>+IF(Tabla2[[#This Row],[Variación Stock]]&gt;0,"Sobrante",IF(Tabla2[[#This Row],[Variación Stock]]&lt;0,"Faltante","Sin novedad"))</f>
        <v>Faltante</v>
      </c>
    </row>
    <row r="2018" spans="1:14" hidden="1" x14ac:dyDescent="0.25">
      <c r="A2018" s="11">
        <v>46065</v>
      </c>
      <c r="B2018" s="5" t="s">
        <v>1087</v>
      </c>
      <c r="C2018" s="3" t="s">
        <v>128</v>
      </c>
      <c r="D2018" s="5" t="s">
        <v>119</v>
      </c>
      <c r="E2018" s="5" t="s">
        <v>117</v>
      </c>
      <c r="F2018" s="6" t="s">
        <v>191</v>
      </c>
      <c r="G2018" s="4" t="s">
        <v>2</v>
      </c>
      <c r="H2018" s="25">
        <v>10787.09677419</v>
      </c>
      <c r="I2018" s="8">
        <v>95</v>
      </c>
      <c r="J2018" s="9">
        <v>0</v>
      </c>
      <c r="K2018" s="7">
        <v>-95</v>
      </c>
      <c r="L2018" s="24">
        <f>+Tabla2[[#This Row],[Stock Inventario]]*Tabla2[[#This Row],[Coste LÃ­nea]]</f>
        <v>0</v>
      </c>
      <c r="M2018" s="24">
        <f>+Tabla2[[#This Row],[Variación Stock]]*Tabla2[[#This Row],[Coste LÃ­nea]]</f>
        <v>-1024774.19354805</v>
      </c>
      <c r="N2018" s="22" t="str">
        <f>+IF(Tabla2[[#This Row],[Variación Stock]]&gt;0,"Sobrante",IF(Tabla2[[#This Row],[Variación Stock]]&lt;0,"Faltante","Sin novedad"))</f>
        <v>Faltante</v>
      </c>
    </row>
    <row r="2019" spans="1:14" hidden="1" x14ac:dyDescent="0.25">
      <c r="A2019" s="11">
        <v>46065</v>
      </c>
      <c r="B2019" s="5" t="s">
        <v>1087</v>
      </c>
      <c r="C2019" s="3" t="s">
        <v>128</v>
      </c>
      <c r="D2019" s="5" t="s">
        <v>119</v>
      </c>
      <c r="E2019" s="5" t="s">
        <v>117</v>
      </c>
      <c r="F2019" s="6" t="s">
        <v>199</v>
      </c>
      <c r="G2019" s="4" t="s">
        <v>1</v>
      </c>
      <c r="H2019" s="25">
        <v>376</v>
      </c>
      <c r="I2019" s="8">
        <v>1010</v>
      </c>
      <c r="J2019" s="9">
        <v>800</v>
      </c>
      <c r="K2019" s="7">
        <v>-209.9999957</v>
      </c>
      <c r="L2019" s="24">
        <f>+Tabla2[[#This Row],[Stock Inventario]]*Tabla2[[#This Row],[Coste LÃ­nea]]</f>
        <v>300800</v>
      </c>
      <c r="M2019" s="24">
        <f>+Tabla2[[#This Row],[Variación Stock]]*Tabla2[[#This Row],[Coste LÃ­nea]]</f>
        <v>-78959.9983832</v>
      </c>
      <c r="N2019" s="22" t="str">
        <f>+IF(Tabla2[[#This Row],[Variación Stock]]&gt;0,"Sobrante",IF(Tabla2[[#This Row],[Variación Stock]]&lt;0,"Faltante","Sin novedad"))</f>
        <v>Faltante</v>
      </c>
    </row>
    <row r="2020" spans="1:14" hidden="1" x14ac:dyDescent="0.25">
      <c r="A2020" s="11">
        <v>46065</v>
      </c>
      <c r="B2020" s="5" t="s">
        <v>1087</v>
      </c>
      <c r="C2020" s="3" t="s">
        <v>128</v>
      </c>
      <c r="D2020" s="5" t="s">
        <v>119</v>
      </c>
      <c r="E2020" s="5" t="s">
        <v>117</v>
      </c>
      <c r="F2020" s="6" t="s">
        <v>197</v>
      </c>
      <c r="G2020" s="4" t="s">
        <v>1</v>
      </c>
      <c r="H2020" s="25">
        <v>10.3</v>
      </c>
      <c r="I2020" s="8">
        <v>1635.9984999999999</v>
      </c>
      <c r="J2020" s="9">
        <v>1390</v>
      </c>
      <c r="K2020" s="7">
        <v>-245.99850000000001</v>
      </c>
      <c r="L2020" s="24">
        <f>+Tabla2[[#This Row],[Stock Inventario]]*Tabla2[[#This Row],[Coste LÃ­nea]]</f>
        <v>14317.000000000002</v>
      </c>
      <c r="M2020" s="24">
        <f>+Tabla2[[#This Row],[Variación Stock]]*Tabla2[[#This Row],[Coste LÃ­nea]]</f>
        <v>-2533.7845500000003</v>
      </c>
      <c r="N2020" s="22" t="str">
        <f>+IF(Tabla2[[#This Row],[Variación Stock]]&gt;0,"Sobrante",IF(Tabla2[[#This Row],[Variación Stock]]&lt;0,"Faltante","Sin novedad"))</f>
        <v>Faltante</v>
      </c>
    </row>
    <row r="2021" spans="1:14" hidden="1" x14ac:dyDescent="0.25">
      <c r="A2021" s="11">
        <v>46065</v>
      </c>
      <c r="B2021" s="5" t="s">
        <v>1087</v>
      </c>
      <c r="C2021" s="3" t="s">
        <v>128</v>
      </c>
      <c r="D2021" s="5" t="s">
        <v>116</v>
      </c>
      <c r="E2021" s="5" t="s">
        <v>117</v>
      </c>
      <c r="F2021" s="6" t="s">
        <v>4</v>
      </c>
      <c r="G2021" s="4" t="s">
        <v>2</v>
      </c>
      <c r="H2021" s="25">
        <v>337.5</v>
      </c>
      <c r="I2021" s="8">
        <v>404</v>
      </c>
      <c r="J2021" s="9">
        <v>43</v>
      </c>
      <c r="K2021" s="7">
        <v>-361</v>
      </c>
      <c r="L2021" s="24">
        <f>+Tabla2[[#This Row],[Stock Inventario]]*Tabla2[[#This Row],[Coste LÃ­nea]]</f>
        <v>14512.5</v>
      </c>
      <c r="M2021" s="24">
        <f>+Tabla2[[#This Row],[Variación Stock]]*Tabla2[[#This Row],[Coste LÃ­nea]]</f>
        <v>-121837.5</v>
      </c>
      <c r="N2021" s="22" t="str">
        <f>+IF(Tabla2[[#This Row],[Variación Stock]]&gt;0,"Sobrante",IF(Tabla2[[#This Row],[Variación Stock]]&lt;0,"Faltante","Sin novedad"))</f>
        <v>Faltante</v>
      </c>
    </row>
    <row r="2022" spans="1:14" hidden="1" x14ac:dyDescent="0.25">
      <c r="A2022" s="11">
        <v>46065</v>
      </c>
      <c r="B2022" s="5" t="s">
        <v>1087</v>
      </c>
      <c r="C2022" s="3" t="s">
        <v>128</v>
      </c>
      <c r="D2022" s="5" t="s">
        <v>116</v>
      </c>
      <c r="E2022" s="5" t="s">
        <v>117</v>
      </c>
      <c r="F2022" s="6" t="s">
        <v>156</v>
      </c>
      <c r="G2022" s="4" t="s">
        <v>1</v>
      </c>
      <c r="H2022" s="25">
        <v>32.5</v>
      </c>
      <c r="I2022" s="8">
        <v>5714.5789000000004</v>
      </c>
      <c r="J2022" s="9">
        <v>5100</v>
      </c>
      <c r="K2022" s="7">
        <v>-614.57894099999999</v>
      </c>
      <c r="L2022" s="24">
        <f>+Tabla2[[#This Row],[Stock Inventario]]*Tabla2[[#This Row],[Coste LÃ­nea]]</f>
        <v>165750</v>
      </c>
      <c r="M2022" s="24">
        <f>+Tabla2[[#This Row],[Variación Stock]]*Tabla2[[#This Row],[Coste LÃ­nea]]</f>
        <v>-19973.815582499999</v>
      </c>
      <c r="N2022" s="22" t="str">
        <f>+IF(Tabla2[[#This Row],[Variación Stock]]&gt;0,"Sobrante",IF(Tabla2[[#This Row],[Variación Stock]]&lt;0,"Faltante","Sin novedad"))</f>
        <v>Faltante</v>
      </c>
    </row>
    <row r="2023" spans="1:14" hidden="1" x14ac:dyDescent="0.25">
      <c r="A2023" s="11">
        <v>46065</v>
      </c>
      <c r="B2023" s="5" t="s">
        <v>1087</v>
      </c>
      <c r="C2023" s="3" t="s">
        <v>128</v>
      </c>
      <c r="D2023" s="5" t="s">
        <v>119</v>
      </c>
      <c r="E2023" s="5" t="s">
        <v>117</v>
      </c>
      <c r="F2023" s="6" t="s">
        <v>95</v>
      </c>
      <c r="G2023" s="4" t="s">
        <v>1</v>
      </c>
      <c r="H2023" s="25">
        <v>39</v>
      </c>
      <c r="I2023" s="8">
        <v>8513.5552000000007</v>
      </c>
      <c r="J2023" s="9">
        <v>7240</v>
      </c>
      <c r="K2023" s="7">
        <v>-1273.55519</v>
      </c>
      <c r="L2023" s="24">
        <f>+Tabla2[[#This Row],[Stock Inventario]]*Tabla2[[#This Row],[Coste LÃ­nea]]</f>
        <v>282360</v>
      </c>
      <c r="M2023" s="24">
        <f>+Tabla2[[#This Row],[Variación Stock]]*Tabla2[[#This Row],[Coste LÃ­nea]]</f>
        <v>-49668.652410000002</v>
      </c>
      <c r="N2023" s="22" t="str">
        <f>+IF(Tabla2[[#This Row],[Variación Stock]]&gt;0,"Sobrante",IF(Tabla2[[#This Row],[Variación Stock]]&lt;0,"Faltante","Sin novedad"))</f>
        <v>Faltante</v>
      </c>
    </row>
    <row r="2024" spans="1:14" hidden="1" x14ac:dyDescent="0.25">
      <c r="A2024" s="11">
        <v>46065</v>
      </c>
      <c r="B2024" s="5" t="s">
        <v>1087</v>
      </c>
      <c r="C2024" s="3" t="s">
        <v>128</v>
      </c>
      <c r="D2024" s="5" t="s">
        <v>120</v>
      </c>
      <c r="E2024" s="5" t="s">
        <v>117</v>
      </c>
      <c r="F2024" s="6" t="s">
        <v>207</v>
      </c>
      <c r="G2024" s="4" t="s">
        <v>2</v>
      </c>
      <c r="H2024" s="25">
        <v>600.61093749999998</v>
      </c>
      <c r="I2024" s="8">
        <v>1595</v>
      </c>
      <c r="J2024" s="9">
        <v>0</v>
      </c>
      <c r="K2024" s="7">
        <v>-1595</v>
      </c>
      <c r="L2024" s="24">
        <f>+Tabla2[[#This Row],[Stock Inventario]]*Tabla2[[#This Row],[Coste LÃ­nea]]</f>
        <v>0</v>
      </c>
      <c r="M2024" s="24">
        <f>+Tabla2[[#This Row],[Variación Stock]]*Tabla2[[#This Row],[Coste LÃ­nea]]</f>
        <v>-957974.4453125</v>
      </c>
      <c r="N2024" s="22" t="str">
        <f>+IF(Tabla2[[#This Row],[Variación Stock]]&gt;0,"Sobrante",IF(Tabla2[[#This Row],[Variación Stock]]&lt;0,"Faltante","Sin novedad"))</f>
        <v>Faltante</v>
      </c>
    </row>
    <row r="2025" spans="1:14" hidden="1" x14ac:dyDescent="0.25">
      <c r="A2025" s="11">
        <v>46065</v>
      </c>
      <c r="B2025" s="5" t="s">
        <v>1087</v>
      </c>
      <c r="C2025" s="3" t="s">
        <v>128</v>
      </c>
      <c r="D2025" s="5" t="s">
        <v>116</v>
      </c>
      <c r="E2025" s="5" t="s">
        <v>117</v>
      </c>
      <c r="F2025" s="6" t="s">
        <v>163</v>
      </c>
      <c r="G2025" s="4" t="s">
        <v>1</v>
      </c>
      <c r="H2025" s="25">
        <v>32</v>
      </c>
      <c r="I2025" s="8">
        <v>2908</v>
      </c>
      <c r="J2025" s="9">
        <v>0</v>
      </c>
      <c r="K2025" s="7">
        <v>-2908</v>
      </c>
      <c r="L2025" s="24">
        <f>+Tabla2[[#This Row],[Stock Inventario]]*Tabla2[[#This Row],[Coste LÃ­nea]]</f>
        <v>0</v>
      </c>
      <c r="M2025" s="24">
        <f>+Tabla2[[#This Row],[Variación Stock]]*Tabla2[[#This Row],[Coste LÃ­nea]]</f>
        <v>-93056</v>
      </c>
      <c r="N2025" s="22" t="str">
        <f>+IF(Tabla2[[#This Row],[Variación Stock]]&gt;0,"Sobrante",IF(Tabla2[[#This Row],[Variación Stock]]&lt;0,"Faltante","Sin novedad"))</f>
        <v>Faltante</v>
      </c>
    </row>
    <row r="2026" spans="1:14" hidden="1" x14ac:dyDescent="0.25">
      <c r="A2026" s="11">
        <v>46065</v>
      </c>
      <c r="B2026" s="5" t="s">
        <v>1087</v>
      </c>
      <c r="C2026" s="3" t="s">
        <v>128</v>
      </c>
      <c r="D2026" s="5" t="s">
        <v>119</v>
      </c>
      <c r="E2026" s="5" t="s">
        <v>117</v>
      </c>
      <c r="F2026" s="6" t="s">
        <v>193</v>
      </c>
      <c r="G2026" s="4" t="s">
        <v>1</v>
      </c>
      <c r="H2026" s="25">
        <v>62.6</v>
      </c>
      <c r="I2026" s="8">
        <v>3750</v>
      </c>
      <c r="J2026" s="9">
        <v>26</v>
      </c>
      <c r="K2026" s="7">
        <v>-3724</v>
      </c>
      <c r="L2026" s="24">
        <f>+Tabla2[[#This Row],[Stock Inventario]]*Tabla2[[#This Row],[Coste LÃ­nea]]</f>
        <v>1627.6000000000001</v>
      </c>
      <c r="M2026" s="24">
        <f>+Tabla2[[#This Row],[Variación Stock]]*Tabla2[[#This Row],[Coste LÃ­nea]]</f>
        <v>-233122.4</v>
      </c>
      <c r="N2026" s="22" t="str">
        <f>+IF(Tabla2[[#This Row],[Variación Stock]]&gt;0,"Sobrante",IF(Tabla2[[#This Row],[Variación Stock]]&lt;0,"Faltante","Sin novedad"))</f>
        <v>Faltante</v>
      </c>
    </row>
    <row r="2027" spans="1:14" hidden="1" x14ac:dyDescent="0.25">
      <c r="A2027" s="11">
        <v>46065</v>
      </c>
      <c r="B2027" s="5" t="s">
        <v>1087</v>
      </c>
      <c r="C2027" s="3" t="s">
        <v>128</v>
      </c>
      <c r="D2027" s="5" t="s">
        <v>119</v>
      </c>
      <c r="E2027" s="5" t="s">
        <v>117</v>
      </c>
      <c r="F2027" s="6" t="s">
        <v>8</v>
      </c>
      <c r="G2027" s="4" t="s">
        <v>1</v>
      </c>
      <c r="H2027" s="25">
        <v>60</v>
      </c>
      <c r="I2027" s="8">
        <v>10000</v>
      </c>
      <c r="J2027" s="9">
        <v>0</v>
      </c>
      <c r="K2027" s="7">
        <v>-10000</v>
      </c>
      <c r="L2027" s="24">
        <f>+Tabla2[[#This Row],[Stock Inventario]]*Tabla2[[#This Row],[Coste LÃ­nea]]</f>
        <v>0</v>
      </c>
      <c r="M2027" s="24">
        <f>+Tabla2[[#This Row],[Variación Stock]]*Tabla2[[#This Row],[Coste LÃ­nea]]</f>
        <v>-600000</v>
      </c>
      <c r="N2027" s="22" t="str">
        <f>+IF(Tabla2[[#This Row],[Variación Stock]]&gt;0,"Sobrante",IF(Tabla2[[#This Row],[Variación Stock]]&lt;0,"Faltante","Sin novedad"))</f>
        <v>Faltante</v>
      </c>
    </row>
    <row r="2028" spans="1:14" hidden="1" x14ac:dyDescent="0.25">
      <c r="A2028" s="11">
        <v>46042</v>
      </c>
      <c r="B2028" s="5" t="s">
        <v>340</v>
      </c>
      <c r="C2028" s="3" t="s">
        <v>341</v>
      </c>
      <c r="D2028" s="5" t="s">
        <v>323</v>
      </c>
      <c r="E2028" s="5" t="s">
        <v>117</v>
      </c>
      <c r="F2028" s="6" t="s">
        <v>329</v>
      </c>
      <c r="G2028" s="4" t="s">
        <v>2</v>
      </c>
      <c r="H2028" s="25">
        <v>7157.6045853699998</v>
      </c>
      <c r="I2028" s="8">
        <v>1474</v>
      </c>
      <c r="J2028" s="9">
        <v>1406</v>
      </c>
      <c r="K2028" s="15">
        <v>-68</v>
      </c>
      <c r="L2028" s="24">
        <f>+Tabla2[[#This Row],[Stock Inventario]]*Tabla2[[#This Row],[Coste LÃ­nea]]</f>
        <v>10063592.04703022</v>
      </c>
      <c r="M2028" s="24">
        <f>+Tabla2[[#This Row],[Variación Stock]]*Tabla2[[#This Row],[Coste LÃ­nea]]</f>
        <v>-486717.11180516001</v>
      </c>
      <c r="N2028" s="22" t="str">
        <f>+IF(Tabla2[[#This Row],[Variación Stock]]&gt;0,"Sobrante",IF(Tabla2[[#This Row],[Variación Stock]]&lt;0,"Faltante","Sin novedad"))</f>
        <v>Faltante</v>
      </c>
    </row>
    <row r="2029" spans="1:14" hidden="1" x14ac:dyDescent="0.25">
      <c r="A2029" s="11">
        <v>46042</v>
      </c>
      <c r="B2029" s="5" t="s">
        <v>340</v>
      </c>
      <c r="C2029" s="3" t="s">
        <v>341</v>
      </c>
      <c r="D2029" s="5" t="s">
        <v>323</v>
      </c>
      <c r="E2029" s="5" t="s">
        <v>117</v>
      </c>
      <c r="F2029" s="6" t="s">
        <v>328</v>
      </c>
      <c r="G2029" s="4" t="s">
        <v>2</v>
      </c>
      <c r="H2029" s="25">
        <v>20272.394615379999</v>
      </c>
      <c r="I2029" s="8">
        <v>193</v>
      </c>
      <c r="J2029" s="9">
        <v>193</v>
      </c>
      <c r="K2029" s="7">
        <v>0</v>
      </c>
      <c r="L2029" s="24">
        <f>+Tabla2[[#This Row],[Stock Inventario]]*Tabla2[[#This Row],[Coste LÃ­nea]]</f>
        <v>3912572.1607683399</v>
      </c>
      <c r="M2029" s="24">
        <f>+Tabla2[[#This Row],[Variación Stock]]*Tabla2[[#This Row],[Coste LÃ­nea]]</f>
        <v>0</v>
      </c>
      <c r="N2029" s="22" t="str">
        <f>+IF(Tabla2[[#This Row],[Variación Stock]]&gt;0,"Sobrante",IF(Tabla2[[#This Row],[Variación Stock]]&lt;0,"Faltante","Sin novedad"))</f>
        <v>Sin novedad</v>
      </c>
    </row>
    <row r="2030" spans="1:14" hidden="1" x14ac:dyDescent="0.25">
      <c r="A2030" s="11">
        <v>46042</v>
      </c>
      <c r="B2030" s="5" t="s">
        <v>340</v>
      </c>
      <c r="C2030" s="3" t="s">
        <v>341</v>
      </c>
      <c r="D2030" s="5" t="s">
        <v>120</v>
      </c>
      <c r="E2030" s="5" t="s">
        <v>117</v>
      </c>
      <c r="F2030" s="6" t="s">
        <v>321</v>
      </c>
      <c r="G2030" s="4" t="s">
        <v>2</v>
      </c>
      <c r="H2030" s="25">
        <v>16080.436557630001</v>
      </c>
      <c r="I2030" s="8">
        <v>94</v>
      </c>
      <c r="J2030" s="9">
        <v>94</v>
      </c>
      <c r="K2030" s="7">
        <v>0</v>
      </c>
      <c r="L2030" s="24">
        <f>+Tabla2[[#This Row],[Stock Inventario]]*Tabla2[[#This Row],[Coste LÃ­nea]]</f>
        <v>1511561.03641722</v>
      </c>
      <c r="M2030" s="24">
        <f>+Tabla2[[#This Row],[Variación Stock]]*Tabla2[[#This Row],[Coste LÃ­nea]]</f>
        <v>0</v>
      </c>
      <c r="N2030" s="22" t="str">
        <f>+IF(Tabla2[[#This Row],[Variación Stock]]&gt;0,"Sobrante",IF(Tabla2[[#This Row],[Variación Stock]]&lt;0,"Faltante","Sin novedad"))</f>
        <v>Sin novedad</v>
      </c>
    </row>
    <row r="2031" spans="1:14" hidden="1" x14ac:dyDescent="0.25">
      <c r="A2031" s="11">
        <v>46042</v>
      </c>
      <c r="B2031" s="5" t="s">
        <v>340</v>
      </c>
      <c r="C2031" s="3" t="s">
        <v>341</v>
      </c>
      <c r="D2031" s="5" t="s">
        <v>323</v>
      </c>
      <c r="E2031" s="5" t="s">
        <v>117</v>
      </c>
      <c r="F2031" s="6" t="s">
        <v>326</v>
      </c>
      <c r="G2031" s="4" t="s">
        <v>1</v>
      </c>
      <c r="H2031" s="25">
        <v>31.847889479999999</v>
      </c>
      <c r="I2031" s="8">
        <v>30208</v>
      </c>
      <c r="J2031" s="9">
        <v>26630</v>
      </c>
      <c r="K2031" s="7">
        <v>-3578</v>
      </c>
      <c r="L2031" s="24">
        <f>+Tabla2[[#This Row],[Stock Inventario]]*Tabla2[[#This Row],[Coste LÃ­nea]]</f>
        <v>848109.29685239994</v>
      </c>
      <c r="M2031" s="24">
        <f>+Tabla2[[#This Row],[Variación Stock]]*Tabla2[[#This Row],[Coste LÃ­nea]]</f>
        <v>-113951.74855943999</v>
      </c>
      <c r="N2031" s="22" t="str">
        <f>+IF(Tabla2[[#This Row],[Variación Stock]]&gt;0,"Sobrante",IF(Tabla2[[#This Row],[Variación Stock]]&lt;0,"Faltante","Sin novedad"))</f>
        <v>Faltante</v>
      </c>
    </row>
    <row r="2032" spans="1:14" hidden="1" x14ac:dyDescent="0.25">
      <c r="A2032" s="11">
        <v>46042</v>
      </c>
      <c r="B2032" s="5" t="s">
        <v>340</v>
      </c>
      <c r="C2032" s="3" t="s">
        <v>341</v>
      </c>
      <c r="D2032" s="5" t="s">
        <v>323</v>
      </c>
      <c r="E2032" s="5" t="s">
        <v>117</v>
      </c>
      <c r="F2032" s="6" t="s">
        <v>327</v>
      </c>
      <c r="G2032" s="4" t="s">
        <v>1</v>
      </c>
      <c r="H2032" s="25">
        <v>41.579090909999998</v>
      </c>
      <c r="I2032" s="8">
        <v>-5000</v>
      </c>
      <c r="J2032" s="9">
        <v>19392</v>
      </c>
      <c r="K2032" s="7">
        <v>24392</v>
      </c>
      <c r="L2032" s="24">
        <f>+Tabla2[[#This Row],[Stock Inventario]]*Tabla2[[#This Row],[Coste LÃ­nea]]</f>
        <v>806301.73092671996</v>
      </c>
      <c r="M2032" s="24">
        <f>+Tabla2[[#This Row],[Variación Stock]]*Tabla2[[#This Row],[Coste LÃ­nea]]</f>
        <v>1014197.18547672</v>
      </c>
      <c r="N2032" s="22" t="str">
        <f>+IF(Tabla2[[#This Row],[Variación Stock]]&gt;0,"Sobrante",IF(Tabla2[[#This Row],[Variación Stock]]&lt;0,"Faltante","Sin novedad"))</f>
        <v>Sobrante</v>
      </c>
    </row>
    <row r="2033" spans="1:14" hidden="1" x14ac:dyDescent="0.25">
      <c r="A2033" s="11">
        <v>46042</v>
      </c>
      <c r="B2033" s="5" t="s">
        <v>340</v>
      </c>
      <c r="C2033" s="3" t="s">
        <v>341</v>
      </c>
      <c r="D2033" s="5" t="s">
        <v>116</v>
      </c>
      <c r="E2033" s="5" t="s">
        <v>117</v>
      </c>
      <c r="F2033" s="6" t="s">
        <v>342</v>
      </c>
      <c r="G2033" s="4" t="s">
        <v>1</v>
      </c>
      <c r="H2033" s="25">
        <v>15.5</v>
      </c>
      <c r="I2033" s="8">
        <v>40000</v>
      </c>
      <c r="J2033" s="9">
        <v>40000</v>
      </c>
      <c r="K2033" s="7">
        <v>0</v>
      </c>
      <c r="L2033" s="24">
        <f>+Tabla2[[#This Row],[Stock Inventario]]*Tabla2[[#This Row],[Coste LÃ­nea]]</f>
        <v>620000</v>
      </c>
      <c r="M2033" s="24">
        <f>+Tabla2[[#This Row],[Variación Stock]]*Tabla2[[#This Row],[Coste LÃ­nea]]</f>
        <v>0</v>
      </c>
      <c r="N2033" s="22" t="str">
        <f>+IF(Tabla2[[#This Row],[Variación Stock]]&gt;0,"Sobrante",IF(Tabla2[[#This Row],[Variación Stock]]&lt;0,"Faltante","Sin novedad"))</f>
        <v>Sin novedad</v>
      </c>
    </row>
    <row r="2034" spans="1:14" hidden="1" x14ac:dyDescent="0.25">
      <c r="A2034" s="11">
        <v>46042</v>
      </c>
      <c r="B2034" s="5" t="s">
        <v>340</v>
      </c>
      <c r="C2034" s="3" t="s">
        <v>341</v>
      </c>
      <c r="D2034" s="5" t="s">
        <v>323</v>
      </c>
      <c r="E2034" s="5" t="s">
        <v>117</v>
      </c>
      <c r="F2034" s="6" t="s">
        <v>330</v>
      </c>
      <c r="G2034" s="4" t="s">
        <v>2</v>
      </c>
      <c r="H2034" s="25">
        <v>1590.8727593000001</v>
      </c>
      <c r="I2034" s="8">
        <v>389</v>
      </c>
      <c r="J2034" s="9">
        <v>389</v>
      </c>
      <c r="K2034" s="7">
        <v>0</v>
      </c>
      <c r="L2034" s="24">
        <f>+Tabla2[[#This Row],[Stock Inventario]]*Tabla2[[#This Row],[Coste LÃ­nea]]</f>
        <v>618849.50336770003</v>
      </c>
      <c r="M2034" s="24">
        <f>+Tabla2[[#This Row],[Variación Stock]]*Tabla2[[#This Row],[Coste LÃ­nea]]</f>
        <v>0</v>
      </c>
      <c r="N2034" s="22" t="str">
        <f>+IF(Tabla2[[#This Row],[Variación Stock]]&gt;0,"Sobrante",IF(Tabla2[[#This Row],[Variación Stock]]&lt;0,"Faltante","Sin novedad"))</f>
        <v>Sin novedad</v>
      </c>
    </row>
    <row r="2035" spans="1:14" hidden="1" x14ac:dyDescent="0.25">
      <c r="A2035" s="11">
        <v>46042</v>
      </c>
      <c r="B2035" s="5" t="s">
        <v>340</v>
      </c>
      <c r="C2035" s="3" t="s">
        <v>341</v>
      </c>
      <c r="D2035" s="5" t="s">
        <v>323</v>
      </c>
      <c r="E2035" s="5" t="s">
        <v>117</v>
      </c>
      <c r="F2035" s="6" t="s">
        <v>325</v>
      </c>
      <c r="G2035" s="4" t="s">
        <v>2</v>
      </c>
      <c r="H2035" s="25">
        <v>2028.6938623999999</v>
      </c>
      <c r="I2035" s="8">
        <v>344</v>
      </c>
      <c r="J2035" s="9">
        <v>300</v>
      </c>
      <c r="K2035" s="15">
        <v>-44</v>
      </c>
      <c r="L2035" s="24">
        <f>+Tabla2[[#This Row],[Stock Inventario]]*Tabla2[[#This Row],[Coste LÃ­nea]]</f>
        <v>608608.15871999995</v>
      </c>
      <c r="M2035" s="24">
        <f>+Tabla2[[#This Row],[Variación Stock]]*Tabla2[[#This Row],[Coste LÃ­nea]]</f>
        <v>-89262.529945599992</v>
      </c>
      <c r="N2035" s="22" t="str">
        <f>+IF(Tabla2[[#This Row],[Variación Stock]]&gt;0,"Sobrante",IF(Tabla2[[#This Row],[Variación Stock]]&lt;0,"Faltante","Sin novedad"))</f>
        <v>Faltante</v>
      </c>
    </row>
    <row r="2036" spans="1:14" hidden="1" x14ac:dyDescent="0.25">
      <c r="A2036" s="11">
        <v>46042</v>
      </c>
      <c r="B2036" s="5" t="s">
        <v>340</v>
      </c>
      <c r="C2036" s="3" t="s">
        <v>341</v>
      </c>
      <c r="D2036" s="5" t="s">
        <v>323</v>
      </c>
      <c r="E2036" s="5" t="s">
        <v>117</v>
      </c>
      <c r="F2036" s="6" t="s">
        <v>348</v>
      </c>
      <c r="G2036" s="4" t="s">
        <v>1</v>
      </c>
      <c r="H2036" s="25">
        <v>13.461459380000001</v>
      </c>
      <c r="I2036" s="8">
        <v>29336</v>
      </c>
      <c r="J2036" s="9">
        <v>29336</v>
      </c>
      <c r="K2036" s="7">
        <v>0</v>
      </c>
      <c r="L2036" s="24">
        <f>+Tabla2[[#This Row],[Stock Inventario]]*Tabla2[[#This Row],[Coste LÃ­nea]]</f>
        <v>394905.37237168005</v>
      </c>
      <c r="M2036" s="24">
        <f>+Tabla2[[#This Row],[Variación Stock]]*Tabla2[[#This Row],[Coste LÃ­nea]]</f>
        <v>0</v>
      </c>
      <c r="N2036" s="22" t="str">
        <f>+IF(Tabla2[[#This Row],[Variación Stock]]&gt;0,"Sobrante",IF(Tabla2[[#This Row],[Variación Stock]]&lt;0,"Faltante","Sin novedad"))</f>
        <v>Sin novedad</v>
      </c>
    </row>
    <row r="2037" spans="1:14" hidden="1" x14ac:dyDescent="0.25">
      <c r="A2037" s="11">
        <v>46042</v>
      </c>
      <c r="B2037" s="5" t="s">
        <v>340</v>
      </c>
      <c r="C2037" s="3" t="s">
        <v>341</v>
      </c>
      <c r="D2037" s="5" t="s">
        <v>323</v>
      </c>
      <c r="E2037" s="5" t="s">
        <v>117</v>
      </c>
      <c r="F2037" s="6" t="s">
        <v>351</v>
      </c>
      <c r="G2037" s="4" t="s">
        <v>2</v>
      </c>
      <c r="H2037" s="25">
        <v>1106.87022901</v>
      </c>
      <c r="I2037" s="8">
        <v>218</v>
      </c>
      <c r="J2037" s="9">
        <v>218</v>
      </c>
      <c r="K2037" s="7">
        <v>0</v>
      </c>
      <c r="L2037" s="24">
        <f>+Tabla2[[#This Row],[Stock Inventario]]*Tabla2[[#This Row],[Coste LÃ­nea]]</f>
        <v>241297.70992418</v>
      </c>
      <c r="M2037" s="24">
        <f>+Tabla2[[#This Row],[Variación Stock]]*Tabla2[[#This Row],[Coste LÃ­nea]]</f>
        <v>0</v>
      </c>
      <c r="N2037" s="22" t="str">
        <f>+IF(Tabla2[[#This Row],[Variación Stock]]&gt;0,"Sobrante",IF(Tabla2[[#This Row],[Variación Stock]]&lt;0,"Faltante","Sin novedad"))</f>
        <v>Sin novedad</v>
      </c>
    </row>
    <row r="2038" spans="1:14" hidden="1" x14ac:dyDescent="0.25">
      <c r="A2038" s="11">
        <v>46042</v>
      </c>
      <c r="B2038" s="5" t="s">
        <v>340</v>
      </c>
      <c r="C2038" s="3" t="s">
        <v>341</v>
      </c>
      <c r="D2038" s="5" t="s">
        <v>323</v>
      </c>
      <c r="E2038" s="5" t="s">
        <v>117</v>
      </c>
      <c r="F2038" s="6" t="s">
        <v>349</v>
      </c>
      <c r="G2038" s="4" t="s">
        <v>1</v>
      </c>
      <c r="H2038" s="25">
        <v>11.682482569999999</v>
      </c>
      <c r="I2038" s="8">
        <v>20000</v>
      </c>
      <c r="J2038" s="9">
        <v>20000</v>
      </c>
      <c r="K2038" s="7">
        <v>0</v>
      </c>
      <c r="L2038" s="24">
        <f>+Tabla2[[#This Row],[Stock Inventario]]*Tabla2[[#This Row],[Coste LÃ­nea]]</f>
        <v>233649.6514</v>
      </c>
      <c r="M2038" s="24">
        <f>+Tabla2[[#This Row],[Variación Stock]]*Tabla2[[#This Row],[Coste LÃ­nea]]</f>
        <v>0</v>
      </c>
      <c r="N2038" s="22" t="str">
        <f>+IF(Tabla2[[#This Row],[Variación Stock]]&gt;0,"Sobrante",IF(Tabla2[[#This Row],[Variación Stock]]&lt;0,"Faltante","Sin novedad"))</f>
        <v>Sin novedad</v>
      </c>
    </row>
    <row r="2039" spans="1:14" hidden="1" x14ac:dyDescent="0.25">
      <c r="A2039" s="11">
        <v>46042</v>
      </c>
      <c r="B2039" s="5" t="s">
        <v>340</v>
      </c>
      <c r="C2039" s="3" t="s">
        <v>341</v>
      </c>
      <c r="D2039" s="5" t="s">
        <v>323</v>
      </c>
      <c r="E2039" s="5" t="s">
        <v>117</v>
      </c>
      <c r="F2039" s="6" t="s">
        <v>347</v>
      </c>
      <c r="G2039" s="4" t="s">
        <v>1</v>
      </c>
      <c r="H2039" s="25">
        <v>12.51463777</v>
      </c>
      <c r="I2039" s="8">
        <v>11763</v>
      </c>
      <c r="J2039" s="9">
        <v>12000</v>
      </c>
      <c r="K2039" s="7">
        <v>237</v>
      </c>
      <c r="L2039" s="24">
        <f>+Tabla2[[#This Row],[Stock Inventario]]*Tabla2[[#This Row],[Coste LÃ­nea]]</f>
        <v>150175.65324000001</v>
      </c>
      <c r="M2039" s="24">
        <f>+Tabla2[[#This Row],[Variación Stock]]*Tabla2[[#This Row],[Coste LÃ­nea]]</f>
        <v>2965.9691514900001</v>
      </c>
      <c r="N2039" s="22" t="str">
        <f>+IF(Tabla2[[#This Row],[Variación Stock]]&gt;0,"Sobrante",IF(Tabla2[[#This Row],[Variación Stock]]&lt;0,"Faltante","Sin novedad"))</f>
        <v>Sobrante</v>
      </c>
    </row>
    <row r="2040" spans="1:14" hidden="1" x14ac:dyDescent="0.25">
      <c r="A2040" s="11">
        <v>46042</v>
      </c>
      <c r="B2040" s="5" t="s">
        <v>340</v>
      </c>
      <c r="C2040" s="3" t="s">
        <v>341</v>
      </c>
      <c r="D2040" s="5" t="s">
        <v>323</v>
      </c>
      <c r="E2040" s="5" t="s">
        <v>117</v>
      </c>
      <c r="F2040" s="6" t="s">
        <v>346</v>
      </c>
      <c r="G2040" s="4" t="s">
        <v>1</v>
      </c>
      <c r="H2040" s="25">
        <v>34.175380009999998</v>
      </c>
      <c r="I2040" s="8">
        <v>2762</v>
      </c>
      <c r="J2040" s="9">
        <v>2762</v>
      </c>
      <c r="K2040" s="7">
        <v>0</v>
      </c>
      <c r="L2040" s="24">
        <f>+Tabla2[[#This Row],[Stock Inventario]]*Tabla2[[#This Row],[Coste LÃ­nea]]</f>
        <v>94392.399587619992</v>
      </c>
      <c r="M2040" s="24">
        <f>+Tabla2[[#This Row],[Variación Stock]]*Tabla2[[#This Row],[Coste LÃ­nea]]</f>
        <v>0</v>
      </c>
      <c r="N2040" s="22" t="str">
        <f>+IF(Tabla2[[#This Row],[Variación Stock]]&gt;0,"Sobrante",IF(Tabla2[[#This Row],[Variación Stock]]&lt;0,"Faltante","Sin novedad"))</f>
        <v>Sin novedad</v>
      </c>
    </row>
    <row r="2041" spans="1:14" hidden="1" x14ac:dyDescent="0.25">
      <c r="A2041" s="11">
        <v>46042</v>
      </c>
      <c r="B2041" s="5" t="s">
        <v>340</v>
      </c>
      <c r="C2041" s="3" t="s">
        <v>341</v>
      </c>
      <c r="D2041" s="5" t="s">
        <v>323</v>
      </c>
      <c r="E2041" s="5" t="s">
        <v>117</v>
      </c>
      <c r="F2041" s="6" t="s">
        <v>344</v>
      </c>
      <c r="G2041" s="4" t="s">
        <v>1</v>
      </c>
      <c r="H2041" s="25">
        <v>16.016946780000001</v>
      </c>
      <c r="I2041" s="8">
        <v>-620</v>
      </c>
      <c r="J2041" s="9">
        <v>3600</v>
      </c>
      <c r="K2041" s="7">
        <v>4220</v>
      </c>
      <c r="L2041" s="24">
        <f>+Tabla2[[#This Row],[Stock Inventario]]*Tabla2[[#This Row],[Coste LÃ­nea]]</f>
        <v>57661.008408000002</v>
      </c>
      <c r="M2041" s="24">
        <f>+Tabla2[[#This Row],[Variación Stock]]*Tabla2[[#This Row],[Coste LÃ­nea]]</f>
        <v>67591.515411600005</v>
      </c>
      <c r="N2041" s="22" t="str">
        <f>+IF(Tabla2[[#This Row],[Variación Stock]]&gt;0,"Sobrante",IF(Tabla2[[#This Row],[Variación Stock]]&lt;0,"Faltante","Sin novedad"))</f>
        <v>Sobrante</v>
      </c>
    </row>
    <row r="2042" spans="1:14" x14ac:dyDescent="0.25">
      <c r="A2042" s="11">
        <v>46042</v>
      </c>
      <c r="B2042" s="5" t="s">
        <v>340</v>
      </c>
      <c r="C2042" s="3" t="s">
        <v>341</v>
      </c>
      <c r="D2042" s="5" t="s">
        <v>121</v>
      </c>
      <c r="E2042" s="5" t="s">
        <v>112</v>
      </c>
      <c r="F2042" s="6" t="s">
        <v>354</v>
      </c>
      <c r="G2042" s="4" t="s">
        <v>1</v>
      </c>
      <c r="H2042" s="25">
        <v>55.555555560000002</v>
      </c>
      <c r="I2042" s="8">
        <v>500</v>
      </c>
      <c r="J2042" s="9">
        <v>678</v>
      </c>
      <c r="K2042" s="7">
        <v>178</v>
      </c>
      <c r="L2042" s="24">
        <f>+Tabla2[[#This Row],[Stock Inventario]]*Tabla2[[#This Row],[Coste LÃ­nea]]</f>
        <v>37666.666669680002</v>
      </c>
      <c r="M2042" s="24">
        <f>+Tabla2[[#This Row],[Variación Stock]]*Tabla2[[#This Row],[Coste LÃ­nea]]</f>
        <v>9888.8888896799999</v>
      </c>
      <c r="N2042" s="22" t="str">
        <f>+IF(Tabla2[[#This Row],[Variación Stock]]&gt;0,"Sobrante",IF(Tabla2[[#This Row],[Variación Stock]]&lt;0,"Faltante","Sin novedad"))</f>
        <v>Sobrante</v>
      </c>
    </row>
    <row r="2043" spans="1:14" hidden="1" x14ac:dyDescent="0.25">
      <c r="A2043" s="11">
        <v>46042</v>
      </c>
      <c r="B2043" s="5" t="s">
        <v>340</v>
      </c>
      <c r="C2043" s="3" t="s">
        <v>341</v>
      </c>
      <c r="D2043" s="5" t="s">
        <v>323</v>
      </c>
      <c r="E2043" s="5" t="s">
        <v>117</v>
      </c>
      <c r="F2043" s="6" t="s">
        <v>345</v>
      </c>
      <c r="G2043" s="4" t="s">
        <v>1</v>
      </c>
      <c r="H2043" s="25">
        <v>20.981033289999999</v>
      </c>
      <c r="I2043" s="8">
        <v>1100</v>
      </c>
      <c r="J2043" s="9">
        <v>1184</v>
      </c>
      <c r="K2043" s="7">
        <v>84</v>
      </c>
      <c r="L2043" s="24">
        <f>+Tabla2[[#This Row],[Stock Inventario]]*Tabla2[[#This Row],[Coste LÃ­nea]]</f>
        <v>24841.54341536</v>
      </c>
      <c r="M2043" s="24">
        <f>+Tabla2[[#This Row],[Variación Stock]]*Tabla2[[#This Row],[Coste LÃ­nea]]</f>
        <v>1762.40679636</v>
      </c>
      <c r="N2043" s="22" t="str">
        <f>+IF(Tabla2[[#This Row],[Variación Stock]]&gt;0,"Sobrante",IF(Tabla2[[#This Row],[Variación Stock]]&lt;0,"Faltante","Sin novedad"))</f>
        <v>Sobrante</v>
      </c>
    </row>
    <row r="2044" spans="1:14" hidden="1" x14ac:dyDescent="0.25">
      <c r="A2044" s="11">
        <v>46042</v>
      </c>
      <c r="B2044" s="5" t="s">
        <v>340</v>
      </c>
      <c r="C2044" s="3" t="s">
        <v>341</v>
      </c>
      <c r="D2044" s="5" t="s">
        <v>323</v>
      </c>
      <c r="E2044" s="5" t="s">
        <v>117</v>
      </c>
      <c r="F2044" s="6" t="s">
        <v>350</v>
      </c>
      <c r="G2044" s="4" t="s">
        <v>1</v>
      </c>
      <c r="H2044" s="25">
        <v>36.819607400000002</v>
      </c>
      <c r="I2044" s="8">
        <v>108</v>
      </c>
      <c r="J2044" s="9">
        <v>168</v>
      </c>
      <c r="K2044" s="7">
        <v>60</v>
      </c>
      <c r="L2044" s="24">
        <f>+Tabla2[[#This Row],[Stock Inventario]]*Tabla2[[#This Row],[Coste LÃ­nea]]</f>
        <v>6185.6940432000001</v>
      </c>
      <c r="M2044" s="24">
        <f>+Tabla2[[#This Row],[Variación Stock]]*Tabla2[[#This Row],[Coste LÃ­nea]]</f>
        <v>2209.1764440000002</v>
      </c>
      <c r="N2044" s="22" t="str">
        <f>+IF(Tabla2[[#This Row],[Variación Stock]]&gt;0,"Sobrante",IF(Tabla2[[#This Row],[Variación Stock]]&lt;0,"Faltante","Sin novedad"))</f>
        <v>Sobrante</v>
      </c>
    </row>
    <row r="2045" spans="1:14" hidden="1" x14ac:dyDescent="0.25">
      <c r="A2045" s="11">
        <v>46042</v>
      </c>
      <c r="B2045" s="5" t="s">
        <v>340</v>
      </c>
      <c r="C2045" s="3" t="s">
        <v>341</v>
      </c>
      <c r="D2045" s="5" t="s">
        <v>119</v>
      </c>
      <c r="E2045" s="5" t="s">
        <v>117</v>
      </c>
      <c r="F2045" s="6" t="s">
        <v>200</v>
      </c>
      <c r="G2045" s="4" t="s">
        <v>1</v>
      </c>
      <c r="H2045" s="25">
        <v>58.31</v>
      </c>
      <c r="I2045" s="8">
        <v>0</v>
      </c>
      <c r="J2045" s="9">
        <v>0</v>
      </c>
      <c r="K2045" s="7">
        <v>0</v>
      </c>
      <c r="L2045" s="24">
        <f>+Tabla2[[#This Row],[Stock Inventario]]*Tabla2[[#This Row],[Coste LÃ­nea]]</f>
        <v>0</v>
      </c>
      <c r="M2045" s="24">
        <f>+Tabla2[[#This Row],[Variación Stock]]*Tabla2[[#This Row],[Coste LÃ­nea]]</f>
        <v>0</v>
      </c>
      <c r="N2045" s="22" t="str">
        <f>+IF(Tabla2[[#This Row],[Variación Stock]]&gt;0,"Sobrante",IF(Tabla2[[#This Row],[Variación Stock]]&lt;0,"Faltante","Sin novedad"))</f>
        <v>Sin novedad</v>
      </c>
    </row>
    <row r="2046" spans="1:14" hidden="1" x14ac:dyDescent="0.25">
      <c r="A2046" s="11">
        <v>46042</v>
      </c>
      <c r="B2046" s="5" t="s">
        <v>340</v>
      </c>
      <c r="C2046" s="3" t="s">
        <v>341</v>
      </c>
      <c r="D2046" s="5" t="s">
        <v>120</v>
      </c>
      <c r="E2046" s="5" t="s">
        <v>117</v>
      </c>
      <c r="F2046" s="6" t="s">
        <v>343</v>
      </c>
      <c r="G2046" s="4" t="s">
        <v>1</v>
      </c>
      <c r="H2046" s="25">
        <v>240</v>
      </c>
      <c r="I2046" s="8">
        <v>0</v>
      </c>
      <c r="J2046" s="9">
        <v>0</v>
      </c>
      <c r="K2046" s="7">
        <v>0</v>
      </c>
      <c r="L2046" s="24">
        <f>+Tabla2[[#This Row],[Stock Inventario]]*Tabla2[[#This Row],[Coste LÃ­nea]]</f>
        <v>0</v>
      </c>
      <c r="M2046" s="24">
        <f>+Tabla2[[#This Row],[Variación Stock]]*Tabla2[[#This Row],[Coste LÃ­nea]]</f>
        <v>0</v>
      </c>
      <c r="N2046" s="22" t="str">
        <f>+IF(Tabla2[[#This Row],[Variación Stock]]&gt;0,"Sobrante",IF(Tabla2[[#This Row],[Variación Stock]]&lt;0,"Faltante","Sin novedad"))</f>
        <v>Sin novedad</v>
      </c>
    </row>
    <row r="2047" spans="1:14" hidden="1" x14ac:dyDescent="0.25">
      <c r="A2047" s="11">
        <v>46042</v>
      </c>
      <c r="B2047" s="5" t="s">
        <v>340</v>
      </c>
      <c r="C2047" s="3" t="s">
        <v>341</v>
      </c>
      <c r="D2047" s="5" t="s">
        <v>120</v>
      </c>
      <c r="E2047" s="5" t="s">
        <v>117</v>
      </c>
      <c r="F2047" s="6" t="s">
        <v>320</v>
      </c>
      <c r="G2047" s="4" t="s">
        <v>2</v>
      </c>
      <c r="H2047" s="25">
        <v>6490.1613531900002</v>
      </c>
      <c r="I2047" s="8">
        <v>2</v>
      </c>
      <c r="J2047" s="9">
        <v>0</v>
      </c>
      <c r="K2047" s="15">
        <v>-2</v>
      </c>
      <c r="L2047" s="24">
        <f>+Tabla2[[#This Row],[Stock Inventario]]*Tabla2[[#This Row],[Coste LÃ­nea]]</f>
        <v>0</v>
      </c>
      <c r="M2047" s="24">
        <f>+Tabla2[[#This Row],[Variación Stock]]*Tabla2[[#This Row],[Coste LÃ­nea]]</f>
        <v>-12980.32270638</v>
      </c>
      <c r="N2047" s="22" t="str">
        <f>+IF(Tabla2[[#This Row],[Variación Stock]]&gt;0,"Sobrante",IF(Tabla2[[#This Row],[Variación Stock]]&lt;0,"Faltante","Sin novedad"))</f>
        <v>Faltante</v>
      </c>
    </row>
    <row r="2048" spans="1:14" x14ac:dyDescent="0.25">
      <c r="A2048" s="11">
        <v>46042</v>
      </c>
      <c r="B2048" s="5" t="s">
        <v>340</v>
      </c>
      <c r="C2048" s="3" t="s">
        <v>341</v>
      </c>
      <c r="D2048" s="5" t="s">
        <v>121</v>
      </c>
      <c r="E2048" s="5" t="s">
        <v>112</v>
      </c>
      <c r="F2048" s="6" t="s">
        <v>352</v>
      </c>
      <c r="G2048" s="4" t="s">
        <v>2</v>
      </c>
      <c r="H2048" s="25">
        <v>2170.7119282200001</v>
      </c>
      <c r="I2048" s="8">
        <v>0</v>
      </c>
      <c r="J2048" s="9">
        <v>0</v>
      </c>
      <c r="K2048" s="7">
        <v>0</v>
      </c>
      <c r="L2048" s="24">
        <f>+Tabla2[[#This Row],[Stock Inventario]]*Tabla2[[#This Row],[Coste LÃ­nea]]</f>
        <v>0</v>
      </c>
      <c r="M2048" s="24">
        <f>+Tabla2[[#This Row],[Variación Stock]]*Tabla2[[#This Row],[Coste LÃ­nea]]</f>
        <v>0</v>
      </c>
      <c r="N2048" s="22" t="str">
        <f>+IF(Tabla2[[#This Row],[Variación Stock]]&gt;0,"Sobrante",IF(Tabla2[[#This Row],[Variación Stock]]&lt;0,"Faltante","Sin novedad"))</f>
        <v>Sin novedad</v>
      </c>
    </row>
    <row r="2049" spans="1:14" x14ac:dyDescent="0.25">
      <c r="A2049" s="11">
        <v>46042</v>
      </c>
      <c r="B2049" s="5" t="s">
        <v>340</v>
      </c>
      <c r="C2049" s="3" t="s">
        <v>341</v>
      </c>
      <c r="D2049" s="5" t="s">
        <v>121</v>
      </c>
      <c r="E2049" s="5" t="s">
        <v>112</v>
      </c>
      <c r="F2049" s="6" t="s">
        <v>353</v>
      </c>
      <c r="G2049" s="4" t="s">
        <v>1</v>
      </c>
      <c r="H2049" s="25">
        <v>58.412030450000003</v>
      </c>
      <c r="I2049" s="8">
        <v>1998</v>
      </c>
      <c r="J2049" s="9">
        <v>0</v>
      </c>
      <c r="K2049" s="7">
        <v>-1998</v>
      </c>
      <c r="L2049" s="24">
        <f>+Tabla2[[#This Row],[Stock Inventario]]*Tabla2[[#This Row],[Coste LÃ­nea]]</f>
        <v>0</v>
      </c>
      <c r="M2049" s="24">
        <f>+Tabla2[[#This Row],[Variación Stock]]*Tabla2[[#This Row],[Coste LÃ­nea]]</f>
        <v>-116707.23683910001</v>
      </c>
      <c r="N2049" s="22" t="str">
        <f>+IF(Tabla2[[#This Row],[Variación Stock]]&gt;0,"Sobrante",IF(Tabla2[[#This Row],[Variación Stock]]&lt;0,"Faltante","Sin novedad"))</f>
        <v>Faltante</v>
      </c>
    </row>
    <row r="2050" spans="1:14" x14ac:dyDescent="0.25">
      <c r="A2050" s="11">
        <v>46042</v>
      </c>
      <c r="B2050" s="5" t="s">
        <v>340</v>
      </c>
      <c r="C2050" s="3" t="s">
        <v>341</v>
      </c>
      <c r="D2050" s="5" t="s">
        <v>121</v>
      </c>
      <c r="E2050" s="5" t="s">
        <v>112</v>
      </c>
      <c r="F2050" s="6" t="s">
        <v>355</v>
      </c>
      <c r="G2050" s="4" t="s">
        <v>1</v>
      </c>
      <c r="H2050" s="25">
        <v>47.773913039999996</v>
      </c>
      <c r="I2050" s="8">
        <v>0</v>
      </c>
      <c r="J2050" s="9">
        <v>0</v>
      </c>
      <c r="K2050" s="7">
        <v>0</v>
      </c>
      <c r="L2050" s="24">
        <f>+Tabla2[[#This Row],[Stock Inventario]]*Tabla2[[#This Row],[Coste LÃ­nea]]</f>
        <v>0</v>
      </c>
      <c r="M2050" s="24">
        <f>+Tabla2[[#This Row],[Variación Stock]]*Tabla2[[#This Row],[Coste LÃ­nea]]</f>
        <v>0</v>
      </c>
      <c r="N2050" s="22" t="str">
        <f>+IF(Tabla2[[#This Row],[Variación Stock]]&gt;0,"Sobrante",IF(Tabla2[[#This Row],[Variación Stock]]&lt;0,"Faltante","Sin novedad"))</f>
        <v>Sin novedad</v>
      </c>
    </row>
    <row r="2051" spans="1:14" x14ac:dyDescent="0.25">
      <c r="A2051" s="11">
        <v>46042</v>
      </c>
      <c r="B2051" s="5" t="s">
        <v>340</v>
      </c>
      <c r="C2051" s="3" t="s">
        <v>341</v>
      </c>
      <c r="D2051" s="5" t="s">
        <v>121</v>
      </c>
      <c r="E2051" s="5" t="s">
        <v>112</v>
      </c>
      <c r="F2051" s="6" t="s">
        <v>356</v>
      </c>
      <c r="G2051" s="4" t="s">
        <v>1</v>
      </c>
      <c r="H2051" s="25">
        <v>10.8</v>
      </c>
      <c r="I2051" s="8">
        <v>0</v>
      </c>
      <c r="J2051" s="9">
        <v>0</v>
      </c>
      <c r="K2051" s="7">
        <v>0</v>
      </c>
      <c r="L2051" s="24">
        <f>+Tabla2[[#This Row],[Stock Inventario]]*Tabla2[[#This Row],[Coste LÃ­nea]]</f>
        <v>0</v>
      </c>
      <c r="M2051" s="24">
        <f>+Tabla2[[#This Row],[Variación Stock]]*Tabla2[[#This Row],[Coste LÃ­nea]]</f>
        <v>0</v>
      </c>
      <c r="N2051" s="22" t="str">
        <f>+IF(Tabla2[[#This Row],[Variación Stock]]&gt;0,"Sobrante",IF(Tabla2[[#This Row],[Variación Stock]]&lt;0,"Faltante","Sin novedad"))</f>
        <v>Sin novedad</v>
      </c>
    </row>
    <row r="2052" spans="1:14" x14ac:dyDescent="0.25">
      <c r="A2052" s="11">
        <v>46042</v>
      </c>
      <c r="B2052" s="5" t="s">
        <v>340</v>
      </c>
      <c r="C2052" s="3" t="s">
        <v>341</v>
      </c>
      <c r="D2052" s="5" t="s">
        <v>121</v>
      </c>
      <c r="E2052" s="5" t="s">
        <v>112</v>
      </c>
      <c r="F2052" s="6" t="s">
        <v>357</v>
      </c>
      <c r="G2052" s="4" t="s">
        <v>1</v>
      </c>
      <c r="H2052" s="25">
        <v>66.511627919999995</v>
      </c>
      <c r="I2052" s="8">
        <v>0</v>
      </c>
      <c r="J2052" s="9">
        <v>0</v>
      </c>
      <c r="K2052" s="7">
        <v>0</v>
      </c>
      <c r="L2052" s="24">
        <f>+Tabla2[[#This Row],[Stock Inventario]]*Tabla2[[#This Row],[Coste LÃ­nea]]</f>
        <v>0</v>
      </c>
      <c r="M2052" s="24">
        <f>+Tabla2[[#This Row],[Variación Stock]]*Tabla2[[#This Row],[Coste LÃ­nea]]</f>
        <v>0</v>
      </c>
      <c r="N2052" s="22" t="str">
        <f>+IF(Tabla2[[#This Row],[Variación Stock]]&gt;0,"Sobrante",IF(Tabla2[[#This Row],[Variación Stock]]&lt;0,"Faltante","Sin novedad"))</f>
        <v>Sin novedad</v>
      </c>
    </row>
    <row r="2053" spans="1:14" hidden="1" x14ac:dyDescent="0.25">
      <c r="A2053" s="11">
        <v>46053</v>
      </c>
      <c r="B2053" s="5" t="s">
        <v>1070</v>
      </c>
      <c r="C2053" s="3" t="s">
        <v>341</v>
      </c>
      <c r="D2053" s="5" t="s">
        <v>829</v>
      </c>
      <c r="E2053" s="5" t="s">
        <v>117</v>
      </c>
      <c r="F2053" s="6" t="s">
        <v>833</v>
      </c>
      <c r="G2053" s="4" t="s">
        <v>1</v>
      </c>
      <c r="H2053" s="25">
        <v>18.85916667</v>
      </c>
      <c r="I2053" s="8">
        <v>40643</v>
      </c>
      <c r="J2053" s="9">
        <v>37000</v>
      </c>
      <c r="K2053" s="7">
        <v>-3643</v>
      </c>
      <c r="L2053" s="24">
        <f>+Tabla2[[#This Row],[Stock Inventario]]*Tabla2[[#This Row],[Coste LÃ­nea]]</f>
        <v>697789.16679000005</v>
      </c>
      <c r="M2053" s="24">
        <f>+Tabla2[[#This Row],[Variación Stock]]*Tabla2[[#This Row],[Coste LÃ­nea]]</f>
        <v>-68703.944178810008</v>
      </c>
      <c r="N2053" s="22" t="str">
        <f>+IF(Tabla2[[#This Row],[Variación Stock]]&gt;0,"Sobrante",IF(Tabla2[[#This Row],[Variación Stock]]&lt;0,"Faltante","Sin novedad"))</f>
        <v>Faltante</v>
      </c>
    </row>
    <row r="2054" spans="1:14" hidden="1" x14ac:dyDescent="0.25">
      <c r="A2054" s="11">
        <v>46053</v>
      </c>
      <c r="B2054" s="5" t="s">
        <v>1070</v>
      </c>
      <c r="C2054" s="3" t="s">
        <v>341</v>
      </c>
      <c r="D2054" s="5" t="s">
        <v>471</v>
      </c>
      <c r="E2054" s="5" t="s">
        <v>117</v>
      </c>
      <c r="F2054" s="6" t="s">
        <v>478</v>
      </c>
      <c r="G2054" s="4" t="s">
        <v>1</v>
      </c>
      <c r="H2054" s="25">
        <v>14</v>
      </c>
      <c r="I2054" s="8">
        <v>58000</v>
      </c>
      <c r="J2054" s="9">
        <v>120000</v>
      </c>
      <c r="K2054" s="7">
        <v>62000</v>
      </c>
      <c r="L2054" s="24">
        <f>+Tabla2[[#This Row],[Stock Inventario]]*Tabla2[[#This Row],[Coste LÃ­nea]]</f>
        <v>1680000</v>
      </c>
      <c r="M2054" s="24">
        <f>+Tabla2[[#This Row],[Variación Stock]]*Tabla2[[#This Row],[Coste LÃ­nea]]</f>
        <v>868000</v>
      </c>
      <c r="N2054" s="22" t="str">
        <f>+IF(Tabla2[[#This Row],[Variación Stock]]&gt;0,"Sobrante",IF(Tabla2[[#This Row],[Variación Stock]]&lt;0,"Faltante","Sin novedad"))</f>
        <v>Sobrante</v>
      </c>
    </row>
    <row r="2055" spans="1:14" hidden="1" x14ac:dyDescent="0.25">
      <c r="A2055" s="11">
        <v>46053</v>
      </c>
      <c r="B2055" s="5" t="s">
        <v>1070</v>
      </c>
      <c r="C2055" s="3" t="s">
        <v>341</v>
      </c>
      <c r="D2055" s="5" t="s">
        <v>471</v>
      </c>
      <c r="E2055" s="5" t="s">
        <v>117</v>
      </c>
      <c r="F2055" s="6" t="s">
        <v>997</v>
      </c>
      <c r="G2055" s="4" t="s">
        <v>1</v>
      </c>
      <c r="H2055" s="25">
        <v>40</v>
      </c>
      <c r="I2055" s="8">
        <v>25000</v>
      </c>
      <c r="J2055" s="9">
        <v>20000</v>
      </c>
      <c r="K2055" s="7">
        <v>-5000</v>
      </c>
      <c r="L2055" s="24">
        <f>+Tabla2[[#This Row],[Stock Inventario]]*Tabla2[[#This Row],[Coste LÃ­nea]]</f>
        <v>800000</v>
      </c>
      <c r="M2055" s="24">
        <f>+Tabla2[[#This Row],[Variación Stock]]*Tabla2[[#This Row],[Coste LÃ­nea]]</f>
        <v>-200000</v>
      </c>
      <c r="N2055" s="22" t="str">
        <f>+IF(Tabla2[[#This Row],[Variación Stock]]&gt;0,"Sobrante",IF(Tabla2[[#This Row],[Variación Stock]]&lt;0,"Faltante","Sin novedad"))</f>
        <v>Faltante</v>
      </c>
    </row>
    <row r="2056" spans="1:14" hidden="1" x14ac:dyDescent="0.25">
      <c r="A2056" s="11">
        <v>46053</v>
      </c>
      <c r="B2056" s="5" t="s">
        <v>1070</v>
      </c>
      <c r="C2056" s="3" t="s">
        <v>341</v>
      </c>
      <c r="D2056" s="5" t="s">
        <v>471</v>
      </c>
      <c r="E2056" s="5" t="s">
        <v>117</v>
      </c>
      <c r="F2056" s="6" t="s">
        <v>481</v>
      </c>
      <c r="G2056" s="4" t="s">
        <v>1</v>
      </c>
      <c r="H2056" s="25">
        <v>28</v>
      </c>
      <c r="I2056" s="8">
        <v>0</v>
      </c>
      <c r="J2056" s="9">
        <v>0</v>
      </c>
      <c r="K2056" s="7">
        <v>0</v>
      </c>
      <c r="L2056" s="24">
        <f>+Tabla2[[#This Row],[Stock Inventario]]*Tabla2[[#This Row],[Coste LÃ­nea]]</f>
        <v>0</v>
      </c>
      <c r="M2056" s="24">
        <f>+Tabla2[[#This Row],[Variación Stock]]*Tabla2[[#This Row],[Coste LÃ­nea]]</f>
        <v>0</v>
      </c>
      <c r="N2056" s="22" t="str">
        <f>+IF(Tabla2[[#This Row],[Variación Stock]]&gt;0,"Sobrante",IF(Tabla2[[#This Row],[Variación Stock]]&lt;0,"Faltante","Sin novedad"))</f>
        <v>Sin novedad</v>
      </c>
    </row>
    <row r="2057" spans="1:14" hidden="1" x14ac:dyDescent="0.25">
      <c r="A2057" s="11">
        <v>46053</v>
      </c>
      <c r="B2057" s="5" t="s">
        <v>1070</v>
      </c>
      <c r="C2057" s="3" t="s">
        <v>341</v>
      </c>
      <c r="D2057" s="5" t="s">
        <v>803</v>
      </c>
      <c r="E2057" s="5" t="s">
        <v>117</v>
      </c>
      <c r="F2057" s="6" t="s">
        <v>806</v>
      </c>
      <c r="G2057" s="4" t="s">
        <v>1</v>
      </c>
      <c r="H2057" s="25">
        <v>20.111000000000001</v>
      </c>
      <c r="I2057" s="8">
        <v>3605</v>
      </c>
      <c r="J2057" s="9">
        <v>3082</v>
      </c>
      <c r="K2057" s="7">
        <v>-523</v>
      </c>
      <c r="L2057" s="24">
        <f>+Tabla2[[#This Row],[Stock Inventario]]*Tabla2[[#This Row],[Coste LÃ­nea]]</f>
        <v>61982.101999999999</v>
      </c>
      <c r="M2057" s="24">
        <f>+Tabla2[[#This Row],[Variación Stock]]*Tabla2[[#This Row],[Coste LÃ­nea]]</f>
        <v>-10518.053</v>
      </c>
      <c r="N2057" s="22" t="str">
        <f>+IF(Tabla2[[#This Row],[Variación Stock]]&gt;0,"Sobrante",IF(Tabla2[[#This Row],[Variación Stock]]&lt;0,"Faltante","Sin novedad"))</f>
        <v>Faltante</v>
      </c>
    </row>
    <row r="2058" spans="1:14" hidden="1" x14ac:dyDescent="0.25">
      <c r="A2058" s="11">
        <v>46053</v>
      </c>
      <c r="B2058" s="5" t="s">
        <v>1070</v>
      </c>
      <c r="C2058" s="3" t="s">
        <v>341</v>
      </c>
      <c r="D2058" s="5" t="s">
        <v>471</v>
      </c>
      <c r="E2058" s="5" t="s">
        <v>117</v>
      </c>
      <c r="F2058" s="6" t="s">
        <v>482</v>
      </c>
      <c r="G2058" s="4" t="s">
        <v>1</v>
      </c>
      <c r="H2058" s="25">
        <v>19.8</v>
      </c>
      <c r="I2058" s="8">
        <v>-250</v>
      </c>
      <c r="J2058" s="9">
        <v>2000</v>
      </c>
      <c r="K2058" s="7">
        <v>2250</v>
      </c>
      <c r="L2058" s="24">
        <f>+Tabla2[[#This Row],[Stock Inventario]]*Tabla2[[#This Row],[Coste LÃ­nea]]</f>
        <v>39600</v>
      </c>
      <c r="M2058" s="24">
        <f>+Tabla2[[#This Row],[Variación Stock]]*Tabla2[[#This Row],[Coste LÃ­nea]]</f>
        <v>44550</v>
      </c>
      <c r="N2058" s="22" t="str">
        <f>+IF(Tabla2[[#This Row],[Variación Stock]]&gt;0,"Sobrante",IF(Tabla2[[#This Row],[Variación Stock]]&lt;0,"Faltante","Sin novedad"))</f>
        <v>Sobrante</v>
      </c>
    </row>
    <row r="2059" spans="1:14" hidden="1" x14ac:dyDescent="0.25">
      <c r="A2059" s="11">
        <v>46053</v>
      </c>
      <c r="B2059" s="5" t="s">
        <v>1070</v>
      </c>
      <c r="C2059" s="3" t="s">
        <v>341</v>
      </c>
      <c r="D2059" s="5" t="s">
        <v>559</v>
      </c>
      <c r="E2059" s="5" t="s">
        <v>1080</v>
      </c>
      <c r="F2059" s="6" t="s">
        <v>569</v>
      </c>
      <c r="G2059" s="4" t="s">
        <v>2</v>
      </c>
      <c r="H2059" s="25">
        <v>271.26</v>
      </c>
      <c r="I2059" s="8">
        <v>172</v>
      </c>
      <c r="J2059" s="9">
        <v>172</v>
      </c>
      <c r="K2059" s="7">
        <v>0</v>
      </c>
      <c r="L2059" s="24">
        <f>+Tabla2[[#This Row],[Stock Inventario]]*Tabla2[[#This Row],[Coste LÃ­nea]]</f>
        <v>46656.72</v>
      </c>
      <c r="M2059" s="24">
        <f>+Tabla2[[#This Row],[Variación Stock]]*Tabla2[[#This Row],[Coste LÃ­nea]]</f>
        <v>0</v>
      </c>
      <c r="N2059" s="22" t="str">
        <f>+IF(Tabla2[[#This Row],[Variación Stock]]&gt;0,"Sobrante",IF(Tabla2[[#This Row],[Variación Stock]]&lt;0,"Faltante","Sin novedad"))</f>
        <v>Sin novedad</v>
      </c>
    </row>
    <row r="2060" spans="1:14" hidden="1" x14ac:dyDescent="0.25">
      <c r="A2060" s="11">
        <v>46053</v>
      </c>
      <c r="B2060" s="5" t="s">
        <v>1070</v>
      </c>
      <c r="C2060" s="3" t="s">
        <v>341</v>
      </c>
      <c r="D2060" s="5" t="s">
        <v>471</v>
      </c>
      <c r="E2060" s="5" t="s">
        <v>117</v>
      </c>
      <c r="F2060" s="6" t="s">
        <v>483</v>
      </c>
      <c r="G2060" s="4" t="s">
        <v>1</v>
      </c>
      <c r="H2060" s="25">
        <v>13</v>
      </c>
      <c r="I2060" s="8">
        <v>0</v>
      </c>
      <c r="J2060" s="9">
        <v>0</v>
      </c>
      <c r="K2060" s="7">
        <v>0</v>
      </c>
      <c r="L2060" s="24">
        <f>+Tabla2[[#This Row],[Stock Inventario]]*Tabla2[[#This Row],[Coste LÃ­nea]]</f>
        <v>0</v>
      </c>
      <c r="M2060" s="24">
        <f>+Tabla2[[#This Row],[Variación Stock]]*Tabla2[[#This Row],[Coste LÃ­nea]]</f>
        <v>0</v>
      </c>
      <c r="N2060" s="22" t="str">
        <f>+IF(Tabla2[[#This Row],[Variación Stock]]&gt;0,"Sobrante",IF(Tabla2[[#This Row],[Variación Stock]]&lt;0,"Faltante","Sin novedad"))</f>
        <v>Sin novedad</v>
      </c>
    </row>
    <row r="2061" spans="1:14" hidden="1" x14ac:dyDescent="0.25">
      <c r="A2061" s="11">
        <v>46053</v>
      </c>
      <c r="B2061" s="5" t="s">
        <v>1070</v>
      </c>
      <c r="C2061" s="3" t="s">
        <v>341</v>
      </c>
      <c r="D2061" s="5" t="s">
        <v>626</v>
      </c>
      <c r="E2061" s="5" t="s">
        <v>1079</v>
      </c>
      <c r="F2061" s="6" t="s">
        <v>635</v>
      </c>
      <c r="G2061" s="4" t="s">
        <v>1</v>
      </c>
      <c r="H2061" s="25">
        <v>13.83777778</v>
      </c>
      <c r="I2061" s="8">
        <v>0</v>
      </c>
      <c r="J2061" s="9">
        <v>0</v>
      </c>
      <c r="K2061" s="7">
        <v>0</v>
      </c>
      <c r="L2061" s="24">
        <f>+Tabla2[[#This Row],[Stock Inventario]]*Tabla2[[#This Row],[Coste LÃ­nea]]</f>
        <v>0</v>
      </c>
      <c r="M2061" s="24">
        <f>+Tabla2[[#This Row],[Variación Stock]]*Tabla2[[#This Row],[Coste LÃ­nea]]</f>
        <v>0</v>
      </c>
      <c r="N2061" s="22" t="str">
        <f>+IF(Tabla2[[#This Row],[Variación Stock]]&gt;0,"Sobrante",IF(Tabla2[[#This Row],[Variación Stock]]&lt;0,"Faltante","Sin novedad"))</f>
        <v>Sin novedad</v>
      </c>
    </row>
    <row r="2062" spans="1:14" hidden="1" x14ac:dyDescent="0.25">
      <c r="A2062" s="11">
        <v>46053</v>
      </c>
      <c r="B2062" s="5" t="s">
        <v>1070</v>
      </c>
      <c r="C2062" s="3" t="s">
        <v>341</v>
      </c>
      <c r="D2062" s="5" t="s">
        <v>547</v>
      </c>
      <c r="E2062" s="5" t="s">
        <v>117</v>
      </c>
      <c r="F2062" s="6" t="s">
        <v>552</v>
      </c>
      <c r="G2062" s="4" t="s">
        <v>1</v>
      </c>
      <c r="H2062" s="25">
        <v>18.725999999999999</v>
      </c>
      <c r="I2062" s="8">
        <v>3301</v>
      </c>
      <c r="J2062" s="9">
        <v>3400</v>
      </c>
      <c r="K2062" s="7">
        <v>99</v>
      </c>
      <c r="L2062" s="24">
        <f>+Tabla2[[#This Row],[Stock Inventario]]*Tabla2[[#This Row],[Coste LÃ­nea]]</f>
        <v>63668.399999999994</v>
      </c>
      <c r="M2062" s="24">
        <f>+Tabla2[[#This Row],[Variación Stock]]*Tabla2[[#This Row],[Coste LÃ­nea]]</f>
        <v>1853.8739999999998</v>
      </c>
      <c r="N2062" s="22" t="str">
        <f>+IF(Tabla2[[#This Row],[Variación Stock]]&gt;0,"Sobrante",IF(Tabla2[[#This Row],[Variación Stock]]&lt;0,"Faltante","Sin novedad"))</f>
        <v>Sobrante</v>
      </c>
    </row>
    <row r="2063" spans="1:14" hidden="1" x14ac:dyDescent="0.25">
      <c r="A2063" s="11">
        <v>46053</v>
      </c>
      <c r="B2063" s="5" t="s">
        <v>1070</v>
      </c>
      <c r="C2063" s="3" t="s">
        <v>341</v>
      </c>
      <c r="D2063" s="5" t="s">
        <v>396</v>
      </c>
      <c r="E2063" s="5" t="s">
        <v>117</v>
      </c>
      <c r="F2063" s="6" t="s">
        <v>431</v>
      </c>
      <c r="G2063" s="4" t="s">
        <v>1</v>
      </c>
      <c r="H2063" s="25">
        <v>4.8816800000000002</v>
      </c>
      <c r="I2063" s="8">
        <v>-16560</v>
      </c>
      <c r="J2063" s="9">
        <v>0</v>
      </c>
      <c r="K2063" s="7">
        <v>16560</v>
      </c>
      <c r="L2063" s="24">
        <f>+Tabla2[[#This Row],[Stock Inventario]]*Tabla2[[#This Row],[Coste LÃ­nea]]</f>
        <v>0</v>
      </c>
      <c r="M2063" s="24">
        <f>+Tabla2[[#This Row],[Variación Stock]]*Tabla2[[#This Row],[Coste LÃ­nea]]</f>
        <v>80840.620800000004</v>
      </c>
      <c r="N2063" s="22" t="str">
        <f>+IF(Tabla2[[#This Row],[Variación Stock]]&gt;0,"Sobrante",IF(Tabla2[[#This Row],[Variación Stock]]&lt;0,"Faltante","Sin novedad"))</f>
        <v>Sobrante</v>
      </c>
    </row>
    <row r="2064" spans="1:14" hidden="1" x14ac:dyDescent="0.25">
      <c r="A2064" s="11">
        <v>46053</v>
      </c>
      <c r="B2064" s="5" t="s">
        <v>1070</v>
      </c>
      <c r="C2064" s="3" t="s">
        <v>341</v>
      </c>
      <c r="D2064" s="5" t="s">
        <v>559</v>
      </c>
      <c r="E2064" s="5" t="s">
        <v>1080</v>
      </c>
      <c r="F2064" s="6" t="s">
        <v>1073</v>
      </c>
      <c r="G2064" s="4" t="s">
        <v>2</v>
      </c>
      <c r="H2064" s="25">
        <v>411.7731</v>
      </c>
      <c r="I2064" s="8">
        <v>169</v>
      </c>
      <c r="J2064" s="9">
        <v>0</v>
      </c>
      <c r="K2064" s="7">
        <v>-169</v>
      </c>
      <c r="L2064" s="24">
        <f>+Tabla2[[#This Row],[Stock Inventario]]*Tabla2[[#This Row],[Coste LÃ­nea]]</f>
        <v>0</v>
      </c>
      <c r="M2064" s="24">
        <f>+Tabla2[[#This Row],[Variación Stock]]*Tabla2[[#This Row],[Coste LÃ­nea]]</f>
        <v>-69589.653900000005</v>
      </c>
      <c r="N2064" s="22" t="str">
        <f>+IF(Tabla2[[#This Row],[Variación Stock]]&gt;0,"Sobrante",IF(Tabla2[[#This Row],[Variación Stock]]&lt;0,"Faltante","Sin novedad"))</f>
        <v>Faltante</v>
      </c>
    </row>
    <row r="2065" spans="1:14" hidden="1" x14ac:dyDescent="0.25">
      <c r="A2065" s="11">
        <v>46053</v>
      </c>
      <c r="B2065" s="5" t="s">
        <v>1070</v>
      </c>
      <c r="C2065" s="3" t="s">
        <v>341</v>
      </c>
      <c r="D2065" s="5" t="s">
        <v>559</v>
      </c>
      <c r="E2065" s="5" t="s">
        <v>1080</v>
      </c>
      <c r="F2065" s="6" t="s">
        <v>1074</v>
      </c>
      <c r="G2065" s="4" t="s">
        <v>2</v>
      </c>
      <c r="H2065" s="25">
        <v>3445.5882352499998</v>
      </c>
      <c r="I2065" s="8">
        <v>0</v>
      </c>
      <c r="J2065" s="9">
        <v>0</v>
      </c>
      <c r="K2065" s="7">
        <v>0</v>
      </c>
      <c r="L2065" s="24">
        <f>+Tabla2[[#This Row],[Stock Inventario]]*Tabla2[[#This Row],[Coste LÃ­nea]]</f>
        <v>0</v>
      </c>
      <c r="M2065" s="24">
        <f>+Tabla2[[#This Row],[Variación Stock]]*Tabla2[[#This Row],[Coste LÃ­nea]]</f>
        <v>0</v>
      </c>
      <c r="N2065" s="22" t="str">
        <f>+IF(Tabla2[[#This Row],[Variación Stock]]&gt;0,"Sobrante",IF(Tabla2[[#This Row],[Variación Stock]]&lt;0,"Faltante","Sin novedad"))</f>
        <v>Sin novedad</v>
      </c>
    </row>
    <row r="2066" spans="1:14" hidden="1" x14ac:dyDescent="0.25">
      <c r="A2066" s="11">
        <v>46053</v>
      </c>
      <c r="B2066" s="5" t="s">
        <v>1070</v>
      </c>
      <c r="C2066" s="3" t="s">
        <v>341</v>
      </c>
      <c r="D2066" s="5" t="s">
        <v>827</v>
      </c>
      <c r="E2066" s="5" t="s">
        <v>117</v>
      </c>
      <c r="F2066" s="6" t="s">
        <v>968</v>
      </c>
      <c r="G2066" s="4" t="s">
        <v>1</v>
      </c>
      <c r="H2066" s="25">
        <v>12.976000000000001</v>
      </c>
      <c r="I2066" s="8">
        <v>204</v>
      </c>
      <c r="J2066" s="9">
        <v>668</v>
      </c>
      <c r="K2066" s="7">
        <v>464</v>
      </c>
      <c r="L2066" s="24">
        <f>+Tabla2[[#This Row],[Stock Inventario]]*Tabla2[[#This Row],[Coste LÃ­nea]]</f>
        <v>8667.9680000000008</v>
      </c>
      <c r="M2066" s="24">
        <f>+Tabla2[[#This Row],[Variación Stock]]*Tabla2[[#This Row],[Coste LÃ­nea]]</f>
        <v>6020.8640000000005</v>
      </c>
      <c r="N2066" s="22" t="str">
        <f>+IF(Tabla2[[#This Row],[Variación Stock]]&gt;0,"Sobrante",IF(Tabla2[[#This Row],[Variación Stock]]&lt;0,"Faltante","Sin novedad"))</f>
        <v>Sobrante</v>
      </c>
    </row>
    <row r="2067" spans="1:14" hidden="1" x14ac:dyDescent="0.25">
      <c r="A2067" s="11">
        <v>46053</v>
      </c>
      <c r="B2067" s="5" t="s">
        <v>1070</v>
      </c>
      <c r="C2067" s="3" t="s">
        <v>341</v>
      </c>
      <c r="D2067" s="5" t="s">
        <v>559</v>
      </c>
      <c r="E2067" s="5" t="s">
        <v>1080</v>
      </c>
      <c r="F2067" s="6" t="s">
        <v>587</v>
      </c>
      <c r="G2067" s="4" t="s">
        <v>2</v>
      </c>
      <c r="H2067" s="25">
        <v>320</v>
      </c>
      <c r="I2067" s="8">
        <v>800</v>
      </c>
      <c r="J2067" s="9">
        <v>800</v>
      </c>
      <c r="K2067" s="7">
        <v>0</v>
      </c>
      <c r="L2067" s="24">
        <f>+Tabla2[[#This Row],[Stock Inventario]]*Tabla2[[#This Row],[Coste LÃ­nea]]</f>
        <v>256000</v>
      </c>
      <c r="M2067" s="24">
        <f>+Tabla2[[#This Row],[Variación Stock]]*Tabla2[[#This Row],[Coste LÃ­nea]]</f>
        <v>0</v>
      </c>
      <c r="N2067" s="22" t="str">
        <f>+IF(Tabla2[[#This Row],[Variación Stock]]&gt;0,"Sobrante",IF(Tabla2[[#This Row],[Variación Stock]]&lt;0,"Faltante","Sin novedad"))</f>
        <v>Sin novedad</v>
      </c>
    </row>
    <row r="2068" spans="1:14" hidden="1" x14ac:dyDescent="0.25">
      <c r="A2068" s="11">
        <v>46053</v>
      </c>
      <c r="B2068" s="5" t="s">
        <v>1070</v>
      </c>
      <c r="C2068" s="3" t="s">
        <v>341</v>
      </c>
      <c r="D2068" s="5" t="s">
        <v>626</v>
      </c>
      <c r="E2068" s="5" t="s">
        <v>1079</v>
      </c>
      <c r="F2068" s="6" t="s">
        <v>1027</v>
      </c>
      <c r="G2068" s="4" t="s">
        <v>2</v>
      </c>
      <c r="H2068" s="25">
        <v>208.75</v>
      </c>
      <c r="I2068" s="8">
        <v>0</v>
      </c>
      <c r="J2068" s="9">
        <v>0</v>
      </c>
      <c r="K2068" s="7">
        <v>0</v>
      </c>
      <c r="L2068" s="24">
        <f>+Tabla2[[#This Row],[Stock Inventario]]*Tabla2[[#This Row],[Coste LÃ­nea]]</f>
        <v>0</v>
      </c>
      <c r="M2068" s="24">
        <f>+Tabla2[[#This Row],[Variación Stock]]*Tabla2[[#This Row],[Coste LÃ­nea]]</f>
        <v>0</v>
      </c>
      <c r="N2068" s="22" t="str">
        <f>+IF(Tabla2[[#This Row],[Variación Stock]]&gt;0,"Sobrante",IF(Tabla2[[#This Row],[Variación Stock]]&lt;0,"Faltante","Sin novedad"))</f>
        <v>Sin novedad</v>
      </c>
    </row>
    <row r="2069" spans="1:14" hidden="1" x14ac:dyDescent="0.25">
      <c r="A2069" s="11">
        <v>46053</v>
      </c>
      <c r="B2069" s="5" t="s">
        <v>1070</v>
      </c>
      <c r="C2069" s="3" t="s">
        <v>341</v>
      </c>
      <c r="D2069" s="5" t="s">
        <v>626</v>
      </c>
      <c r="E2069" s="5" t="s">
        <v>1079</v>
      </c>
      <c r="F2069" s="6" t="s">
        <v>630</v>
      </c>
      <c r="G2069" s="4" t="s">
        <v>2</v>
      </c>
      <c r="H2069" s="25">
        <v>672.27</v>
      </c>
      <c r="I2069" s="8">
        <v>0</v>
      </c>
      <c r="J2069" s="9">
        <v>0</v>
      </c>
      <c r="K2069" s="7">
        <v>0</v>
      </c>
      <c r="L2069" s="24">
        <f>+Tabla2[[#This Row],[Stock Inventario]]*Tabla2[[#This Row],[Coste LÃ­nea]]</f>
        <v>0</v>
      </c>
      <c r="M2069" s="24">
        <f>+Tabla2[[#This Row],[Variación Stock]]*Tabla2[[#This Row],[Coste LÃ­nea]]</f>
        <v>0</v>
      </c>
      <c r="N2069" s="22" t="str">
        <f>+IF(Tabla2[[#This Row],[Variación Stock]]&gt;0,"Sobrante",IF(Tabla2[[#This Row],[Variación Stock]]&lt;0,"Faltante","Sin novedad"))</f>
        <v>Sin novedad</v>
      </c>
    </row>
    <row r="2070" spans="1:14" hidden="1" x14ac:dyDescent="0.25">
      <c r="A2070" s="11">
        <v>46053</v>
      </c>
      <c r="B2070" s="5" t="s">
        <v>1070</v>
      </c>
      <c r="C2070" s="3" t="s">
        <v>341</v>
      </c>
      <c r="D2070" s="5" t="s">
        <v>626</v>
      </c>
      <c r="E2070" s="5" t="s">
        <v>1079</v>
      </c>
      <c r="F2070" s="6" t="s">
        <v>631</v>
      </c>
      <c r="G2070" s="4" t="s">
        <v>2</v>
      </c>
      <c r="H2070" s="25">
        <v>877</v>
      </c>
      <c r="I2070" s="8">
        <v>0</v>
      </c>
      <c r="J2070" s="9">
        <v>0</v>
      </c>
      <c r="K2070" s="7">
        <v>0</v>
      </c>
      <c r="L2070" s="24">
        <f>+Tabla2[[#This Row],[Stock Inventario]]*Tabla2[[#This Row],[Coste LÃ­nea]]</f>
        <v>0</v>
      </c>
      <c r="M2070" s="24">
        <f>+Tabla2[[#This Row],[Variación Stock]]*Tabla2[[#This Row],[Coste LÃ­nea]]</f>
        <v>0</v>
      </c>
      <c r="N2070" s="22" t="str">
        <f>+IF(Tabla2[[#This Row],[Variación Stock]]&gt;0,"Sobrante",IF(Tabla2[[#This Row],[Variación Stock]]&lt;0,"Faltante","Sin novedad"))</f>
        <v>Sin novedad</v>
      </c>
    </row>
    <row r="2071" spans="1:14" hidden="1" x14ac:dyDescent="0.25">
      <c r="A2071" s="11">
        <v>46053</v>
      </c>
      <c r="B2071" s="5" t="s">
        <v>1070</v>
      </c>
      <c r="C2071" s="3" t="s">
        <v>341</v>
      </c>
      <c r="D2071" s="5" t="s">
        <v>559</v>
      </c>
      <c r="E2071" s="5" t="s">
        <v>1080</v>
      </c>
      <c r="F2071" s="6" t="s">
        <v>584</v>
      </c>
      <c r="G2071" s="4" t="s">
        <v>2</v>
      </c>
      <c r="H2071" s="25">
        <v>22</v>
      </c>
      <c r="I2071" s="8">
        <v>1000</v>
      </c>
      <c r="J2071" s="9">
        <v>1100</v>
      </c>
      <c r="K2071" s="7">
        <v>100</v>
      </c>
      <c r="L2071" s="24">
        <f>+Tabla2[[#This Row],[Stock Inventario]]*Tabla2[[#This Row],[Coste LÃ­nea]]</f>
        <v>24200</v>
      </c>
      <c r="M2071" s="24">
        <f>+Tabla2[[#This Row],[Variación Stock]]*Tabla2[[#This Row],[Coste LÃ­nea]]</f>
        <v>2200</v>
      </c>
      <c r="N2071" s="22" t="str">
        <f>+IF(Tabla2[[#This Row],[Variación Stock]]&gt;0,"Sobrante",IF(Tabla2[[#This Row],[Variación Stock]]&lt;0,"Faltante","Sin novedad"))</f>
        <v>Sobrante</v>
      </c>
    </row>
    <row r="2072" spans="1:14" hidden="1" x14ac:dyDescent="0.25">
      <c r="A2072" s="11">
        <v>46053</v>
      </c>
      <c r="B2072" s="5" t="s">
        <v>1070</v>
      </c>
      <c r="C2072" s="3" t="s">
        <v>341</v>
      </c>
      <c r="D2072" s="5" t="s">
        <v>626</v>
      </c>
      <c r="E2072" s="5" t="s">
        <v>1079</v>
      </c>
      <c r="F2072" s="6" t="s">
        <v>632</v>
      </c>
      <c r="G2072" s="4" t="s">
        <v>2</v>
      </c>
      <c r="H2072" s="25">
        <v>17</v>
      </c>
      <c r="I2072" s="8">
        <v>-117</v>
      </c>
      <c r="J2072" s="9">
        <v>0</v>
      </c>
      <c r="K2072" s="7">
        <v>117</v>
      </c>
      <c r="L2072" s="24">
        <f>+Tabla2[[#This Row],[Stock Inventario]]*Tabla2[[#This Row],[Coste LÃ­nea]]</f>
        <v>0</v>
      </c>
      <c r="M2072" s="24">
        <f>+Tabla2[[#This Row],[Variación Stock]]*Tabla2[[#This Row],[Coste LÃ­nea]]</f>
        <v>1989</v>
      </c>
      <c r="N2072" s="22" t="str">
        <f>+IF(Tabla2[[#This Row],[Variación Stock]]&gt;0,"Sobrante",IF(Tabla2[[#This Row],[Variación Stock]]&lt;0,"Faltante","Sin novedad"))</f>
        <v>Sobrante</v>
      </c>
    </row>
    <row r="2073" spans="1:14" hidden="1" x14ac:dyDescent="0.25">
      <c r="A2073" s="11">
        <v>46053</v>
      </c>
      <c r="B2073" s="5" t="s">
        <v>1070</v>
      </c>
      <c r="C2073" s="3" t="s">
        <v>341</v>
      </c>
      <c r="D2073" s="5" t="s">
        <v>559</v>
      </c>
      <c r="E2073" s="5" t="s">
        <v>1080</v>
      </c>
      <c r="F2073" s="6" t="s">
        <v>585</v>
      </c>
      <c r="G2073" s="4" t="s">
        <v>2</v>
      </c>
      <c r="H2073" s="25">
        <v>22</v>
      </c>
      <c r="I2073" s="8">
        <v>508</v>
      </c>
      <c r="J2073" s="9">
        <v>500</v>
      </c>
      <c r="K2073" s="7">
        <v>-8</v>
      </c>
      <c r="L2073" s="24">
        <f>+Tabla2[[#This Row],[Stock Inventario]]*Tabla2[[#This Row],[Coste LÃ­nea]]</f>
        <v>11000</v>
      </c>
      <c r="M2073" s="24">
        <f>+Tabla2[[#This Row],[Variación Stock]]*Tabla2[[#This Row],[Coste LÃ­nea]]</f>
        <v>-176</v>
      </c>
      <c r="N2073" s="22" t="str">
        <f>+IF(Tabla2[[#This Row],[Variación Stock]]&gt;0,"Sobrante",IF(Tabla2[[#This Row],[Variación Stock]]&lt;0,"Faltante","Sin novedad"))</f>
        <v>Faltante</v>
      </c>
    </row>
    <row r="2074" spans="1:14" hidden="1" x14ac:dyDescent="0.25">
      <c r="A2074" s="11">
        <v>46053</v>
      </c>
      <c r="B2074" s="5" t="s">
        <v>1070</v>
      </c>
      <c r="C2074" s="3" t="s">
        <v>341</v>
      </c>
      <c r="D2074" s="5" t="s">
        <v>559</v>
      </c>
      <c r="E2074" s="5" t="s">
        <v>1080</v>
      </c>
      <c r="F2074" s="6" t="s">
        <v>565</v>
      </c>
      <c r="G2074" s="4" t="s">
        <v>2</v>
      </c>
      <c r="H2074" s="25">
        <v>302</v>
      </c>
      <c r="I2074" s="8">
        <v>162.61000000000001</v>
      </c>
      <c r="J2074" s="9">
        <v>17</v>
      </c>
      <c r="K2074" s="7">
        <v>-145.61000000000001</v>
      </c>
      <c r="L2074" s="24">
        <f>+Tabla2[[#This Row],[Stock Inventario]]*Tabla2[[#This Row],[Coste LÃ­nea]]</f>
        <v>5134</v>
      </c>
      <c r="M2074" s="24">
        <f>+Tabla2[[#This Row],[Variación Stock]]*Tabla2[[#This Row],[Coste LÃ­nea]]</f>
        <v>-43974.22</v>
      </c>
      <c r="N2074" s="22" t="str">
        <f>+IF(Tabla2[[#This Row],[Variación Stock]]&gt;0,"Sobrante",IF(Tabla2[[#This Row],[Variación Stock]]&lt;0,"Faltante","Sin novedad"))</f>
        <v>Faltante</v>
      </c>
    </row>
    <row r="2075" spans="1:14" hidden="1" x14ac:dyDescent="0.25">
      <c r="A2075" s="11">
        <v>46053</v>
      </c>
      <c r="B2075" s="5" t="s">
        <v>1070</v>
      </c>
      <c r="C2075" s="3" t="s">
        <v>341</v>
      </c>
      <c r="D2075" s="5" t="s">
        <v>559</v>
      </c>
      <c r="E2075" s="5" t="s">
        <v>1080</v>
      </c>
      <c r="F2075" s="6" t="s">
        <v>561</v>
      </c>
      <c r="G2075" s="4" t="s">
        <v>2</v>
      </c>
      <c r="H2075" s="25">
        <v>302</v>
      </c>
      <c r="I2075" s="8">
        <v>283</v>
      </c>
      <c r="J2075" s="9">
        <v>400</v>
      </c>
      <c r="K2075" s="7">
        <v>117</v>
      </c>
      <c r="L2075" s="24">
        <f>+Tabla2[[#This Row],[Stock Inventario]]*Tabla2[[#This Row],[Coste LÃ­nea]]</f>
        <v>120800</v>
      </c>
      <c r="M2075" s="24">
        <f>+Tabla2[[#This Row],[Variación Stock]]*Tabla2[[#This Row],[Coste LÃ­nea]]</f>
        <v>35334</v>
      </c>
      <c r="N2075" s="22" t="str">
        <f>+IF(Tabla2[[#This Row],[Variación Stock]]&gt;0,"Sobrante",IF(Tabla2[[#This Row],[Variación Stock]]&lt;0,"Faltante","Sin novedad"))</f>
        <v>Sobrante</v>
      </c>
    </row>
    <row r="2076" spans="1:14" hidden="1" x14ac:dyDescent="0.25">
      <c r="A2076" s="11">
        <v>46053</v>
      </c>
      <c r="B2076" s="5" t="s">
        <v>1070</v>
      </c>
      <c r="C2076" s="3" t="s">
        <v>341</v>
      </c>
      <c r="D2076" s="5" t="s">
        <v>559</v>
      </c>
      <c r="E2076" s="5" t="s">
        <v>1080</v>
      </c>
      <c r="F2076" s="6" t="s">
        <v>586</v>
      </c>
      <c r="G2076" s="4" t="s">
        <v>2</v>
      </c>
      <c r="H2076" s="25">
        <v>11</v>
      </c>
      <c r="I2076" s="8">
        <v>1000</v>
      </c>
      <c r="J2076" s="9">
        <v>0</v>
      </c>
      <c r="K2076" s="7">
        <v>-1000</v>
      </c>
      <c r="L2076" s="24">
        <f>+Tabla2[[#This Row],[Stock Inventario]]*Tabla2[[#This Row],[Coste LÃ­nea]]</f>
        <v>0</v>
      </c>
      <c r="M2076" s="24">
        <f>+Tabla2[[#This Row],[Variación Stock]]*Tabla2[[#This Row],[Coste LÃ­nea]]</f>
        <v>-11000</v>
      </c>
      <c r="N2076" s="22" t="str">
        <f>+IF(Tabla2[[#This Row],[Variación Stock]]&gt;0,"Sobrante",IF(Tabla2[[#This Row],[Variación Stock]]&lt;0,"Faltante","Sin novedad"))</f>
        <v>Faltante</v>
      </c>
    </row>
    <row r="2077" spans="1:14" hidden="1" x14ac:dyDescent="0.25">
      <c r="A2077" s="11">
        <v>46053</v>
      </c>
      <c r="B2077" s="5" t="s">
        <v>1070</v>
      </c>
      <c r="C2077" s="3" t="s">
        <v>341</v>
      </c>
      <c r="D2077" s="5" t="s">
        <v>626</v>
      </c>
      <c r="E2077" s="5" t="s">
        <v>1079</v>
      </c>
      <c r="F2077" s="6" t="s">
        <v>633</v>
      </c>
      <c r="G2077" s="4" t="s">
        <v>2</v>
      </c>
      <c r="H2077" s="25">
        <v>714.29</v>
      </c>
      <c r="I2077" s="8">
        <v>0</v>
      </c>
      <c r="J2077" s="9">
        <v>0</v>
      </c>
      <c r="K2077" s="7">
        <v>0</v>
      </c>
      <c r="L2077" s="24">
        <f>+Tabla2[[#This Row],[Stock Inventario]]*Tabla2[[#This Row],[Coste LÃ­nea]]</f>
        <v>0</v>
      </c>
      <c r="M2077" s="24">
        <f>+Tabla2[[#This Row],[Variación Stock]]*Tabla2[[#This Row],[Coste LÃ­nea]]</f>
        <v>0</v>
      </c>
      <c r="N2077" s="22" t="str">
        <f>+IF(Tabla2[[#This Row],[Variación Stock]]&gt;0,"Sobrante",IF(Tabla2[[#This Row],[Variación Stock]]&lt;0,"Faltante","Sin novedad"))</f>
        <v>Sin novedad</v>
      </c>
    </row>
    <row r="2078" spans="1:14" hidden="1" x14ac:dyDescent="0.25">
      <c r="A2078" s="11">
        <v>46053</v>
      </c>
      <c r="B2078" s="5" t="s">
        <v>1070</v>
      </c>
      <c r="C2078" s="3" t="s">
        <v>341</v>
      </c>
      <c r="D2078" s="5" t="s">
        <v>547</v>
      </c>
      <c r="E2078" s="5" t="s">
        <v>117</v>
      </c>
      <c r="F2078" s="6" t="s">
        <v>558</v>
      </c>
      <c r="G2078" s="4" t="s">
        <v>1</v>
      </c>
      <c r="H2078" s="25">
        <v>8.2562499999999996</v>
      </c>
      <c r="I2078" s="8">
        <v>-2300</v>
      </c>
      <c r="J2078" s="9">
        <v>0</v>
      </c>
      <c r="K2078" s="7">
        <v>2300</v>
      </c>
      <c r="L2078" s="24">
        <f>+Tabla2[[#This Row],[Stock Inventario]]*Tabla2[[#This Row],[Coste LÃ­nea]]</f>
        <v>0</v>
      </c>
      <c r="M2078" s="24">
        <f>+Tabla2[[#This Row],[Variación Stock]]*Tabla2[[#This Row],[Coste LÃ­nea]]</f>
        <v>18989.375</v>
      </c>
      <c r="N2078" s="22" t="str">
        <f>+IF(Tabla2[[#This Row],[Variación Stock]]&gt;0,"Sobrante",IF(Tabla2[[#This Row],[Variación Stock]]&lt;0,"Faltante","Sin novedad"))</f>
        <v>Sobrante</v>
      </c>
    </row>
    <row r="2079" spans="1:14" hidden="1" x14ac:dyDescent="0.25">
      <c r="A2079" s="11">
        <v>46053</v>
      </c>
      <c r="B2079" s="5" t="s">
        <v>1070</v>
      </c>
      <c r="C2079" s="3" t="s">
        <v>341</v>
      </c>
      <c r="D2079" s="5" t="s">
        <v>119</v>
      </c>
      <c r="E2079" s="5" t="s">
        <v>117</v>
      </c>
      <c r="F2079" s="6" t="s">
        <v>9</v>
      </c>
      <c r="G2079" s="4" t="s">
        <v>2</v>
      </c>
      <c r="H2079" s="25">
        <v>514.28571428999999</v>
      </c>
      <c r="I2079" s="8">
        <v>7000</v>
      </c>
      <c r="J2079" s="9">
        <v>7000</v>
      </c>
      <c r="K2079" s="7">
        <v>0</v>
      </c>
      <c r="L2079" s="24">
        <f>+Tabla2[[#This Row],[Stock Inventario]]*Tabla2[[#This Row],[Coste LÃ­nea]]</f>
        <v>3600000.0000299998</v>
      </c>
      <c r="M2079" s="24">
        <f>+Tabla2[[#This Row],[Variación Stock]]*Tabla2[[#This Row],[Coste LÃ­nea]]</f>
        <v>0</v>
      </c>
      <c r="N2079" s="22" t="str">
        <f>+IF(Tabla2[[#This Row],[Variación Stock]]&gt;0,"Sobrante",IF(Tabla2[[#This Row],[Variación Stock]]&lt;0,"Faltante","Sin novedad"))</f>
        <v>Sin novedad</v>
      </c>
    </row>
    <row r="2080" spans="1:14" hidden="1" x14ac:dyDescent="0.25">
      <c r="A2080" s="11">
        <v>46053</v>
      </c>
      <c r="B2080" s="5" t="s">
        <v>1070</v>
      </c>
      <c r="C2080" s="3" t="s">
        <v>341</v>
      </c>
      <c r="D2080" s="5" t="s">
        <v>803</v>
      </c>
      <c r="E2080" s="5" t="s">
        <v>117</v>
      </c>
      <c r="F2080" s="6" t="s">
        <v>811</v>
      </c>
      <c r="G2080" s="4" t="s">
        <v>1</v>
      </c>
      <c r="H2080" s="25">
        <v>247.38325990999999</v>
      </c>
      <c r="I2080" s="8">
        <v>400</v>
      </c>
      <c r="J2080" s="9">
        <v>428</v>
      </c>
      <c r="K2080" s="7">
        <v>28</v>
      </c>
      <c r="L2080" s="24">
        <f>+Tabla2[[#This Row],[Stock Inventario]]*Tabla2[[#This Row],[Coste LÃ­nea]]</f>
        <v>105880.03524148</v>
      </c>
      <c r="M2080" s="24">
        <f>+Tabla2[[#This Row],[Variación Stock]]*Tabla2[[#This Row],[Coste LÃ­nea]]</f>
        <v>6926.7312774799993</v>
      </c>
      <c r="N2080" s="22" t="str">
        <f>+IF(Tabla2[[#This Row],[Variación Stock]]&gt;0,"Sobrante",IF(Tabla2[[#This Row],[Variación Stock]]&lt;0,"Faltante","Sin novedad"))</f>
        <v>Sobrante</v>
      </c>
    </row>
    <row r="2081" spans="1:14" hidden="1" x14ac:dyDescent="0.25">
      <c r="A2081" s="11">
        <v>46053</v>
      </c>
      <c r="B2081" s="5" t="s">
        <v>1070</v>
      </c>
      <c r="C2081" s="3" t="s">
        <v>341</v>
      </c>
      <c r="D2081" s="5" t="s">
        <v>471</v>
      </c>
      <c r="E2081" s="5" t="s">
        <v>117</v>
      </c>
      <c r="F2081" s="6" t="s">
        <v>490</v>
      </c>
      <c r="G2081" s="4" t="s">
        <v>1</v>
      </c>
      <c r="H2081" s="25">
        <v>4</v>
      </c>
      <c r="I2081" s="8">
        <v>390</v>
      </c>
      <c r="J2081" s="9">
        <v>390</v>
      </c>
      <c r="K2081" s="7">
        <v>0</v>
      </c>
      <c r="L2081" s="24">
        <f>+Tabla2[[#This Row],[Stock Inventario]]*Tabla2[[#This Row],[Coste LÃ­nea]]</f>
        <v>1560</v>
      </c>
      <c r="M2081" s="24">
        <f>+Tabla2[[#This Row],[Variación Stock]]*Tabla2[[#This Row],[Coste LÃ­nea]]</f>
        <v>0</v>
      </c>
      <c r="N2081" s="22" t="str">
        <f>+IF(Tabla2[[#This Row],[Variación Stock]]&gt;0,"Sobrante",IF(Tabla2[[#This Row],[Variación Stock]]&lt;0,"Faltante","Sin novedad"))</f>
        <v>Sin novedad</v>
      </c>
    </row>
    <row r="2082" spans="1:14" hidden="1" x14ac:dyDescent="0.25">
      <c r="A2082" s="11">
        <v>46053</v>
      </c>
      <c r="B2082" s="5" t="s">
        <v>1070</v>
      </c>
      <c r="C2082" s="3" t="s">
        <v>341</v>
      </c>
      <c r="D2082" s="5" t="s">
        <v>116</v>
      </c>
      <c r="E2082" s="5" t="s">
        <v>117</v>
      </c>
      <c r="F2082" s="6" t="s">
        <v>6</v>
      </c>
      <c r="G2082" s="4" t="s">
        <v>2</v>
      </c>
      <c r="H2082" s="25">
        <v>9663.3333333299997</v>
      </c>
      <c r="I2082" s="8">
        <v>0</v>
      </c>
      <c r="J2082" s="9">
        <v>0</v>
      </c>
      <c r="K2082" s="7">
        <v>0</v>
      </c>
      <c r="L2082" s="24">
        <f>+Tabla2[[#This Row],[Stock Inventario]]*Tabla2[[#This Row],[Coste LÃ­nea]]</f>
        <v>0</v>
      </c>
      <c r="M2082" s="24">
        <f>+Tabla2[[#This Row],[Variación Stock]]*Tabla2[[#This Row],[Coste LÃ­nea]]</f>
        <v>0</v>
      </c>
      <c r="N2082" s="22" t="str">
        <f>+IF(Tabla2[[#This Row],[Variación Stock]]&gt;0,"Sobrante",IF(Tabla2[[#This Row],[Variación Stock]]&lt;0,"Faltante","Sin novedad"))</f>
        <v>Sin novedad</v>
      </c>
    </row>
    <row r="2083" spans="1:14" hidden="1" x14ac:dyDescent="0.25">
      <c r="A2083" s="11">
        <v>46053</v>
      </c>
      <c r="B2083" s="5" t="s">
        <v>1070</v>
      </c>
      <c r="C2083" s="3" t="s">
        <v>341</v>
      </c>
      <c r="D2083" s="5" t="s">
        <v>396</v>
      </c>
      <c r="E2083" s="5" t="s">
        <v>117</v>
      </c>
      <c r="F2083" s="6" t="s">
        <v>459</v>
      </c>
      <c r="G2083" s="4" t="s">
        <v>1</v>
      </c>
      <c r="H2083" s="25">
        <v>82.471081679999998</v>
      </c>
      <c r="I2083" s="8">
        <v>11893</v>
      </c>
      <c r="J2083" s="9">
        <v>11664</v>
      </c>
      <c r="K2083" s="7">
        <v>-229</v>
      </c>
      <c r="L2083" s="24">
        <f>+Tabla2[[#This Row],[Stock Inventario]]*Tabla2[[#This Row],[Coste LÃ­nea]]</f>
        <v>961942.69671552</v>
      </c>
      <c r="M2083" s="24">
        <f>+Tabla2[[#This Row],[Variación Stock]]*Tabla2[[#This Row],[Coste LÃ­nea]]</f>
        <v>-18885.877704719998</v>
      </c>
      <c r="N2083" s="22" t="str">
        <f>+IF(Tabla2[[#This Row],[Variación Stock]]&gt;0,"Sobrante",IF(Tabla2[[#This Row],[Variación Stock]]&lt;0,"Faltante","Sin novedad"))</f>
        <v>Faltante</v>
      </c>
    </row>
    <row r="2084" spans="1:14" hidden="1" x14ac:dyDescent="0.25">
      <c r="A2084" s="11">
        <v>46053</v>
      </c>
      <c r="B2084" s="5" t="s">
        <v>1070</v>
      </c>
      <c r="C2084" s="3" t="s">
        <v>341</v>
      </c>
      <c r="D2084" s="5" t="s">
        <v>396</v>
      </c>
      <c r="E2084" s="5" t="s">
        <v>117</v>
      </c>
      <c r="F2084" s="6" t="s">
        <v>843</v>
      </c>
      <c r="G2084" s="4" t="s">
        <v>1</v>
      </c>
      <c r="H2084" s="25">
        <v>71.12028986</v>
      </c>
      <c r="I2084" s="8">
        <v>1700</v>
      </c>
      <c r="J2084" s="9">
        <v>1664</v>
      </c>
      <c r="K2084" s="7">
        <v>-36</v>
      </c>
      <c r="L2084" s="24">
        <f>+Tabla2[[#This Row],[Stock Inventario]]*Tabla2[[#This Row],[Coste LÃ­nea]]</f>
        <v>118344.16232704</v>
      </c>
      <c r="M2084" s="24">
        <f>+Tabla2[[#This Row],[Variación Stock]]*Tabla2[[#This Row],[Coste LÃ­nea]]</f>
        <v>-2560.3304349599998</v>
      </c>
      <c r="N2084" s="22" t="str">
        <f>+IF(Tabla2[[#This Row],[Variación Stock]]&gt;0,"Sobrante",IF(Tabla2[[#This Row],[Variación Stock]]&lt;0,"Faltante","Sin novedad"))</f>
        <v>Faltante</v>
      </c>
    </row>
    <row r="2085" spans="1:14" hidden="1" x14ac:dyDescent="0.25">
      <c r="A2085" s="11">
        <v>46053</v>
      </c>
      <c r="B2085" s="5" t="s">
        <v>1070</v>
      </c>
      <c r="C2085" s="3" t="s">
        <v>341</v>
      </c>
      <c r="D2085" s="5" t="s">
        <v>119</v>
      </c>
      <c r="E2085" s="5" t="s">
        <v>117</v>
      </c>
      <c r="F2085" s="6" t="s">
        <v>10</v>
      </c>
      <c r="G2085" s="4" t="s">
        <v>2</v>
      </c>
      <c r="H2085" s="25">
        <v>25875</v>
      </c>
      <c r="I2085" s="8">
        <v>0</v>
      </c>
      <c r="J2085" s="9">
        <v>0</v>
      </c>
      <c r="K2085" s="7">
        <v>0</v>
      </c>
      <c r="L2085" s="24">
        <f>+Tabla2[[#This Row],[Stock Inventario]]*Tabla2[[#This Row],[Coste LÃ­nea]]</f>
        <v>0</v>
      </c>
      <c r="M2085" s="24">
        <f>+Tabla2[[#This Row],[Variación Stock]]*Tabla2[[#This Row],[Coste LÃ­nea]]</f>
        <v>0</v>
      </c>
      <c r="N2085" s="22" t="str">
        <f>+IF(Tabla2[[#This Row],[Variación Stock]]&gt;0,"Sobrante",IF(Tabla2[[#This Row],[Variación Stock]]&lt;0,"Faltante","Sin novedad"))</f>
        <v>Sin novedad</v>
      </c>
    </row>
    <row r="2086" spans="1:14" hidden="1" x14ac:dyDescent="0.25">
      <c r="A2086" s="11">
        <v>46053</v>
      </c>
      <c r="B2086" s="5" t="s">
        <v>1070</v>
      </c>
      <c r="C2086" s="3" t="s">
        <v>341</v>
      </c>
      <c r="D2086" s="5" t="s">
        <v>396</v>
      </c>
      <c r="E2086" s="5" t="s">
        <v>117</v>
      </c>
      <c r="F2086" s="6" t="s">
        <v>434</v>
      </c>
      <c r="G2086" s="4" t="s">
        <v>1</v>
      </c>
      <c r="H2086" s="25">
        <v>159.88999999999999</v>
      </c>
      <c r="I2086" s="8">
        <v>310</v>
      </c>
      <c r="J2086" s="9">
        <v>206</v>
      </c>
      <c r="K2086" s="7">
        <v>-104</v>
      </c>
      <c r="L2086" s="24">
        <f>+Tabla2[[#This Row],[Stock Inventario]]*Tabla2[[#This Row],[Coste LÃ­nea]]</f>
        <v>32937.339999999997</v>
      </c>
      <c r="M2086" s="24">
        <f>+Tabla2[[#This Row],[Variación Stock]]*Tabla2[[#This Row],[Coste LÃ­nea]]</f>
        <v>-16628.559999999998</v>
      </c>
      <c r="N2086" s="22" t="str">
        <f>+IF(Tabla2[[#This Row],[Variación Stock]]&gt;0,"Sobrante",IF(Tabla2[[#This Row],[Variación Stock]]&lt;0,"Faltante","Sin novedad"))</f>
        <v>Faltante</v>
      </c>
    </row>
    <row r="2087" spans="1:14" hidden="1" x14ac:dyDescent="0.25">
      <c r="A2087" s="11">
        <v>46053</v>
      </c>
      <c r="B2087" s="5" t="s">
        <v>1070</v>
      </c>
      <c r="C2087" s="3" t="s">
        <v>341</v>
      </c>
      <c r="D2087" s="5" t="s">
        <v>803</v>
      </c>
      <c r="E2087" s="5" t="s">
        <v>117</v>
      </c>
      <c r="F2087" s="6" t="s">
        <v>813</v>
      </c>
      <c r="G2087" s="4" t="s">
        <v>1</v>
      </c>
      <c r="H2087" s="25">
        <v>68.37</v>
      </c>
      <c r="I2087" s="8">
        <v>440</v>
      </c>
      <c r="J2087" s="9">
        <v>396</v>
      </c>
      <c r="K2087" s="7">
        <v>-44</v>
      </c>
      <c r="L2087" s="24">
        <f>+Tabla2[[#This Row],[Stock Inventario]]*Tabla2[[#This Row],[Coste LÃ­nea]]</f>
        <v>27074.52</v>
      </c>
      <c r="M2087" s="24">
        <f>+Tabla2[[#This Row],[Variación Stock]]*Tabla2[[#This Row],[Coste LÃ­nea]]</f>
        <v>-3008.28</v>
      </c>
      <c r="N2087" s="22" t="str">
        <f>+IF(Tabla2[[#This Row],[Variación Stock]]&gt;0,"Sobrante",IF(Tabla2[[#This Row],[Variación Stock]]&lt;0,"Faltante","Sin novedad"))</f>
        <v>Faltante</v>
      </c>
    </row>
    <row r="2088" spans="1:14" hidden="1" x14ac:dyDescent="0.25">
      <c r="A2088" s="11">
        <v>46053</v>
      </c>
      <c r="B2088" s="5" t="s">
        <v>1070</v>
      </c>
      <c r="C2088" s="3" t="s">
        <v>341</v>
      </c>
      <c r="D2088" s="5" t="s">
        <v>396</v>
      </c>
      <c r="E2088" s="5" t="s">
        <v>117</v>
      </c>
      <c r="F2088" s="6" t="s">
        <v>435</v>
      </c>
      <c r="G2088" s="4" t="s">
        <v>1</v>
      </c>
      <c r="H2088" s="25">
        <v>83.553333330000001</v>
      </c>
      <c r="I2088" s="8">
        <v>2250</v>
      </c>
      <c r="J2088" s="9">
        <v>2624</v>
      </c>
      <c r="K2088" s="7">
        <v>374</v>
      </c>
      <c r="L2088" s="24">
        <f>+Tabla2[[#This Row],[Stock Inventario]]*Tabla2[[#This Row],[Coste LÃ­nea]]</f>
        <v>219243.94665791999</v>
      </c>
      <c r="M2088" s="24">
        <f>+Tabla2[[#This Row],[Variación Stock]]*Tabla2[[#This Row],[Coste LÃ­nea]]</f>
        <v>31248.94666542</v>
      </c>
      <c r="N2088" s="22" t="str">
        <f>+IF(Tabla2[[#This Row],[Variación Stock]]&gt;0,"Sobrante",IF(Tabla2[[#This Row],[Variación Stock]]&lt;0,"Faltante","Sin novedad"))</f>
        <v>Sobrante</v>
      </c>
    </row>
    <row r="2089" spans="1:14" hidden="1" x14ac:dyDescent="0.25">
      <c r="A2089" s="11">
        <v>46053</v>
      </c>
      <c r="B2089" s="5" t="s">
        <v>1070</v>
      </c>
      <c r="C2089" s="3" t="s">
        <v>341</v>
      </c>
      <c r="D2089" s="5" t="s">
        <v>547</v>
      </c>
      <c r="E2089" s="5" t="s">
        <v>117</v>
      </c>
      <c r="F2089" s="6" t="s">
        <v>553</v>
      </c>
      <c r="G2089" s="4" t="s">
        <v>1</v>
      </c>
      <c r="H2089" s="25">
        <v>17.858762890000001</v>
      </c>
      <c r="I2089" s="8">
        <v>2218</v>
      </c>
      <c r="J2089" s="9">
        <v>2200</v>
      </c>
      <c r="K2089" s="7">
        <v>-18</v>
      </c>
      <c r="L2089" s="24">
        <f>+Tabla2[[#This Row],[Stock Inventario]]*Tabla2[[#This Row],[Coste LÃ­nea]]</f>
        <v>39289.278358000003</v>
      </c>
      <c r="M2089" s="24">
        <f>+Tabla2[[#This Row],[Variación Stock]]*Tabla2[[#This Row],[Coste LÃ­nea]]</f>
        <v>-321.45773202000004</v>
      </c>
      <c r="N2089" s="22" t="str">
        <f>+IF(Tabla2[[#This Row],[Variación Stock]]&gt;0,"Sobrante",IF(Tabla2[[#This Row],[Variación Stock]]&lt;0,"Faltante","Sin novedad"))</f>
        <v>Faltante</v>
      </c>
    </row>
    <row r="2090" spans="1:14" hidden="1" x14ac:dyDescent="0.25">
      <c r="A2090" s="11">
        <v>46053</v>
      </c>
      <c r="B2090" s="5" t="s">
        <v>1070</v>
      </c>
      <c r="C2090" s="3" t="s">
        <v>341</v>
      </c>
      <c r="D2090" s="5" t="s">
        <v>626</v>
      </c>
      <c r="E2090" s="5" t="s">
        <v>1079</v>
      </c>
      <c r="F2090" s="6" t="s">
        <v>642</v>
      </c>
      <c r="G2090" s="4" t="s">
        <v>1</v>
      </c>
      <c r="H2090" s="25">
        <v>31.364249999999998</v>
      </c>
      <c r="I2090" s="8">
        <v>0</v>
      </c>
      <c r="J2090" s="9">
        <v>0</v>
      </c>
      <c r="K2090" s="7">
        <v>0</v>
      </c>
      <c r="L2090" s="24">
        <f>+Tabla2[[#This Row],[Stock Inventario]]*Tabla2[[#This Row],[Coste LÃ­nea]]</f>
        <v>0</v>
      </c>
      <c r="M2090" s="24">
        <f>+Tabla2[[#This Row],[Variación Stock]]*Tabla2[[#This Row],[Coste LÃ­nea]]</f>
        <v>0</v>
      </c>
      <c r="N2090" s="22" t="str">
        <f>+IF(Tabla2[[#This Row],[Variación Stock]]&gt;0,"Sobrante",IF(Tabla2[[#This Row],[Variación Stock]]&lt;0,"Faltante","Sin novedad"))</f>
        <v>Sin novedad</v>
      </c>
    </row>
    <row r="2091" spans="1:14" hidden="1" x14ac:dyDescent="0.25">
      <c r="A2091" s="11">
        <v>46053</v>
      </c>
      <c r="B2091" s="5" t="s">
        <v>1070</v>
      </c>
      <c r="C2091" s="3" t="s">
        <v>341</v>
      </c>
      <c r="D2091" s="5" t="s">
        <v>803</v>
      </c>
      <c r="E2091" s="5" t="s">
        <v>117</v>
      </c>
      <c r="F2091" s="6" t="s">
        <v>814</v>
      </c>
      <c r="G2091" s="4" t="s">
        <v>1</v>
      </c>
      <c r="H2091" s="25">
        <v>16.600000000000001</v>
      </c>
      <c r="I2091" s="8">
        <v>500</v>
      </c>
      <c r="J2091" s="9">
        <v>648</v>
      </c>
      <c r="K2091" s="7">
        <v>148</v>
      </c>
      <c r="L2091" s="24">
        <f>+Tabla2[[#This Row],[Stock Inventario]]*Tabla2[[#This Row],[Coste LÃ­nea]]</f>
        <v>10756.800000000001</v>
      </c>
      <c r="M2091" s="24">
        <f>+Tabla2[[#This Row],[Variación Stock]]*Tabla2[[#This Row],[Coste LÃ­nea]]</f>
        <v>2456.8000000000002</v>
      </c>
      <c r="N2091" s="22" t="str">
        <f>+IF(Tabla2[[#This Row],[Variación Stock]]&gt;0,"Sobrante",IF(Tabla2[[#This Row],[Variación Stock]]&lt;0,"Faltante","Sin novedad"))</f>
        <v>Sobrante</v>
      </c>
    </row>
    <row r="2092" spans="1:14" hidden="1" x14ac:dyDescent="0.25">
      <c r="A2092" s="11">
        <v>46053</v>
      </c>
      <c r="B2092" s="5" t="s">
        <v>1070</v>
      </c>
      <c r="C2092" s="3" t="s">
        <v>341</v>
      </c>
      <c r="D2092" s="5" t="s">
        <v>116</v>
      </c>
      <c r="E2092" s="5" t="s">
        <v>117</v>
      </c>
      <c r="F2092" s="6" t="s">
        <v>4</v>
      </c>
      <c r="G2092" s="4" t="s">
        <v>2</v>
      </c>
      <c r="H2092" s="25">
        <v>3250</v>
      </c>
      <c r="I2092" s="8">
        <v>0</v>
      </c>
      <c r="J2092" s="9">
        <v>0</v>
      </c>
      <c r="K2092" s="7">
        <v>0</v>
      </c>
      <c r="L2092" s="24">
        <f>+Tabla2[[#This Row],[Stock Inventario]]*Tabla2[[#This Row],[Coste LÃ­nea]]</f>
        <v>0</v>
      </c>
      <c r="M2092" s="24">
        <f>+Tabla2[[#This Row],[Variación Stock]]*Tabla2[[#This Row],[Coste LÃ­nea]]</f>
        <v>0</v>
      </c>
      <c r="N2092" s="22" t="str">
        <f>+IF(Tabla2[[#This Row],[Variación Stock]]&gt;0,"Sobrante",IF(Tabla2[[#This Row],[Variación Stock]]&lt;0,"Faltante","Sin novedad"))</f>
        <v>Sin novedad</v>
      </c>
    </row>
    <row r="2093" spans="1:14" hidden="1" x14ac:dyDescent="0.25">
      <c r="A2093" s="11">
        <v>46053</v>
      </c>
      <c r="B2093" s="5" t="s">
        <v>1070</v>
      </c>
      <c r="C2093" s="3" t="s">
        <v>341</v>
      </c>
      <c r="D2093" s="5" t="s">
        <v>116</v>
      </c>
      <c r="E2093" s="5" t="s">
        <v>117</v>
      </c>
      <c r="F2093" s="6" t="s">
        <v>79</v>
      </c>
      <c r="G2093" s="4" t="s">
        <v>2</v>
      </c>
      <c r="H2093" s="25">
        <v>4850</v>
      </c>
      <c r="I2093" s="8">
        <v>0</v>
      </c>
      <c r="J2093" s="9">
        <v>0</v>
      </c>
      <c r="K2093" s="7">
        <v>0</v>
      </c>
      <c r="L2093" s="24">
        <f>+Tabla2[[#This Row],[Stock Inventario]]*Tabla2[[#This Row],[Coste LÃ­nea]]</f>
        <v>0</v>
      </c>
      <c r="M2093" s="24">
        <f>+Tabla2[[#This Row],[Variación Stock]]*Tabla2[[#This Row],[Coste LÃ­nea]]</f>
        <v>0</v>
      </c>
      <c r="N2093" s="22" t="str">
        <f>+IF(Tabla2[[#This Row],[Variación Stock]]&gt;0,"Sobrante",IF(Tabla2[[#This Row],[Variación Stock]]&lt;0,"Faltante","Sin novedad"))</f>
        <v>Sin novedad</v>
      </c>
    </row>
    <row r="2094" spans="1:14" hidden="1" x14ac:dyDescent="0.25">
      <c r="A2094" s="11">
        <v>46053</v>
      </c>
      <c r="B2094" s="5" t="s">
        <v>1070</v>
      </c>
      <c r="C2094" s="3" t="s">
        <v>341</v>
      </c>
      <c r="D2094" s="5" t="s">
        <v>396</v>
      </c>
      <c r="E2094" s="5" t="s">
        <v>117</v>
      </c>
      <c r="F2094" s="6" t="s">
        <v>400</v>
      </c>
      <c r="G2094" s="4" t="s">
        <v>1</v>
      </c>
      <c r="H2094" s="25">
        <v>20</v>
      </c>
      <c r="I2094" s="8">
        <v>14980</v>
      </c>
      <c r="J2094" s="9">
        <v>14980</v>
      </c>
      <c r="K2094" s="7">
        <v>0</v>
      </c>
      <c r="L2094" s="24">
        <f>+Tabla2[[#This Row],[Stock Inventario]]*Tabla2[[#This Row],[Coste LÃ­nea]]</f>
        <v>299600</v>
      </c>
      <c r="M2094" s="24">
        <f>+Tabla2[[#This Row],[Variación Stock]]*Tabla2[[#This Row],[Coste LÃ­nea]]</f>
        <v>0</v>
      </c>
      <c r="N2094" s="22" t="str">
        <f>+IF(Tabla2[[#This Row],[Variación Stock]]&gt;0,"Sobrante",IF(Tabla2[[#This Row],[Variación Stock]]&lt;0,"Faltante","Sin novedad"))</f>
        <v>Sin novedad</v>
      </c>
    </row>
    <row r="2095" spans="1:14" hidden="1" x14ac:dyDescent="0.25">
      <c r="A2095" s="11">
        <v>46053</v>
      </c>
      <c r="B2095" s="5" t="s">
        <v>1070</v>
      </c>
      <c r="C2095" s="3" t="s">
        <v>341</v>
      </c>
      <c r="D2095" s="5" t="s">
        <v>626</v>
      </c>
      <c r="E2095" s="5" t="s">
        <v>1079</v>
      </c>
      <c r="F2095" s="6" t="s">
        <v>652</v>
      </c>
      <c r="G2095" s="4" t="s">
        <v>1</v>
      </c>
      <c r="H2095" s="25">
        <v>76.721052630000003</v>
      </c>
      <c r="I2095" s="8">
        <v>0</v>
      </c>
      <c r="J2095" s="9">
        <v>0</v>
      </c>
      <c r="K2095" s="7">
        <v>0</v>
      </c>
      <c r="L2095" s="24">
        <f>+Tabla2[[#This Row],[Stock Inventario]]*Tabla2[[#This Row],[Coste LÃ­nea]]</f>
        <v>0</v>
      </c>
      <c r="M2095" s="24">
        <f>+Tabla2[[#This Row],[Variación Stock]]*Tabla2[[#This Row],[Coste LÃ­nea]]</f>
        <v>0</v>
      </c>
      <c r="N2095" s="22" t="str">
        <f>+IF(Tabla2[[#This Row],[Variación Stock]]&gt;0,"Sobrante",IF(Tabla2[[#This Row],[Variación Stock]]&lt;0,"Faltante","Sin novedad"))</f>
        <v>Sin novedad</v>
      </c>
    </row>
    <row r="2096" spans="1:14" hidden="1" x14ac:dyDescent="0.25">
      <c r="A2096" s="11">
        <v>46053</v>
      </c>
      <c r="B2096" s="5" t="s">
        <v>1070</v>
      </c>
      <c r="C2096" s="3" t="s">
        <v>341</v>
      </c>
      <c r="D2096" s="5" t="s">
        <v>396</v>
      </c>
      <c r="E2096" s="5" t="s">
        <v>117</v>
      </c>
      <c r="F2096" s="6" t="s">
        <v>987</v>
      </c>
      <c r="G2096" s="4" t="s">
        <v>1</v>
      </c>
      <c r="H2096" s="25">
        <v>13.485147059999999</v>
      </c>
      <c r="I2096" s="8">
        <v>-1800</v>
      </c>
      <c r="J2096" s="9">
        <v>0</v>
      </c>
      <c r="K2096" s="7">
        <v>1800</v>
      </c>
      <c r="L2096" s="24">
        <f>+Tabla2[[#This Row],[Stock Inventario]]*Tabla2[[#This Row],[Coste LÃ­nea]]</f>
        <v>0</v>
      </c>
      <c r="M2096" s="24">
        <f>+Tabla2[[#This Row],[Variación Stock]]*Tabla2[[#This Row],[Coste LÃ­nea]]</f>
        <v>24273.264707999999</v>
      </c>
      <c r="N2096" s="22" t="str">
        <f>+IF(Tabla2[[#This Row],[Variación Stock]]&gt;0,"Sobrante",IF(Tabla2[[#This Row],[Variación Stock]]&lt;0,"Faltante","Sin novedad"))</f>
        <v>Sobrante</v>
      </c>
    </row>
    <row r="2097" spans="1:14" hidden="1" x14ac:dyDescent="0.25">
      <c r="A2097" s="11">
        <v>46053</v>
      </c>
      <c r="B2097" s="5" t="s">
        <v>1070</v>
      </c>
      <c r="C2097" s="3" t="s">
        <v>341</v>
      </c>
      <c r="D2097" s="5" t="s">
        <v>626</v>
      </c>
      <c r="E2097" s="5" t="s">
        <v>1079</v>
      </c>
      <c r="F2097" s="6" t="s">
        <v>654</v>
      </c>
      <c r="G2097" s="4" t="s">
        <v>2</v>
      </c>
      <c r="H2097" s="25">
        <v>4703.0555555600004</v>
      </c>
      <c r="I2097" s="8">
        <v>0</v>
      </c>
      <c r="J2097" s="9">
        <v>0</v>
      </c>
      <c r="K2097" s="7">
        <v>0</v>
      </c>
      <c r="L2097" s="24">
        <f>+Tabla2[[#This Row],[Stock Inventario]]*Tabla2[[#This Row],[Coste LÃ­nea]]</f>
        <v>0</v>
      </c>
      <c r="M2097" s="24">
        <f>+Tabla2[[#This Row],[Variación Stock]]*Tabla2[[#This Row],[Coste LÃ­nea]]</f>
        <v>0</v>
      </c>
      <c r="N2097" s="22" t="str">
        <f>+IF(Tabla2[[#This Row],[Variación Stock]]&gt;0,"Sobrante",IF(Tabla2[[#This Row],[Variación Stock]]&lt;0,"Faltante","Sin novedad"))</f>
        <v>Sin novedad</v>
      </c>
    </row>
    <row r="2098" spans="1:14" hidden="1" x14ac:dyDescent="0.25">
      <c r="A2098" s="11">
        <v>46053</v>
      </c>
      <c r="B2098" s="5" t="s">
        <v>1070</v>
      </c>
      <c r="C2098" s="3" t="s">
        <v>341</v>
      </c>
      <c r="D2098" s="5" t="s">
        <v>626</v>
      </c>
      <c r="E2098" s="5" t="s">
        <v>1079</v>
      </c>
      <c r="F2098" s="6" t="s">
        <v>655</v>
      </c>
      <c r="G2098" s="4" t="s">
        <v>2</v>
      </c>
      <c r="H2098" s="25">
        <v>217.31714285999999</v>
      </c>
      <c r="I2098" s="8">
        <v>0</v>
      </c>
      <c r="J2098" s="9">
        <v>0</v>
      </c>
      <c r="K2098" s="7">
        <v>0</v>
      </c>
      <c r="L2098" s="24">
        <f>+Tabla2[[#This Row],[Stock Inventario]]*Tabla2[[#This Row],[Coste LÃ­nea]]</f>
        <v>0</v>
      </c>
      <c r="M2098" s="24">
        <f>+Tabla2[[#This Row],[Variación Stock]]*Tabla2[[#This Row],[Coste LÃ­nea]]</f>
        <v>0</v>
      </c>
      <c r="N2098" s="22" t="str">
        <f>+IF(Tabla2[[#This Row],[Variación Stock]]&gt;0,"Sobrante",IF(Tabla2[[#This Row],[Variación Stock]]&lt;0,"Faltante","Sin novedad"))</f>
        <v>Sin novedad</v>
      </c>
    </row>
    <row r="2099" spans="1:14" hidden="1" x14ac:dyDescent="0.25">
      <c r="A2099" s="11">
        <v>46053</v>
      </c>
      <c r="B2099" s="5" t="s">
        <v>1070</v>
      </c>
      <c r="C2099" s="3" t="s">
        <v>341</v>
      </c>
      <c r="D2099" s="5" t="s">
        <v>626</v>
      </c>
      <c r="E2099" s="5" t="s">
        <v>1079</v>
      </c>
      <c r="F2099" s="6" t="s">
        <v>656</v>
      </c>
      <c r="G2099" s="4" t="s">
        <v>2</v>
      </c>
      <c r="H2099" s="25">
        <v>217.32</v>
      </c>
      <c r="I2099" s="8">
        <v>0</v>
      </c>
      <c r="J2099" s="9">
        <v>0</v>
      </c>
      <c r="K2099" s="7">
        <v>0</v>
      </c>
      <c r="L2099" s="24">
        <f>+Tabla2[[#This Row],[Stock Inventario]]*Tabla2[[#This Row],[Coste LÃ­nea]]</f>
        <v>0</v>
      </c>
      <c r="M2099" s="24">
        <f>+Tabla2[[#This Row],[Variación Stock]]*Tabla2[[#This Row],[Coste LÃ­nea]]</f>
        <v>0</v>
      </c>
      <c r="N2099" s="22" t="str">
        <f>+IF(Tabla2[[#This Row],[Variación Stock]]&gt;0,"Sobrante",IF(Tabla2[[#This Row],[Variación Stock]]&lt;0,"Faltante","Sin novedad"))</f>
        <v>Sin novedad</v>
      </c>
    </row>
    <row r="2100" spans="1:14" hidden="1" x14ac:dyDescent="0.25">
      <c r="A2100" s="11">
        <v>46053</v>
      </c>
      <c r="B2100" s="5" t="s">
        <v>1070</v>
      </c>
      <c r="C2100" s="3" t="s">
        <v>341</v>
      </c>
      <c r="D2100" s="5" t="s">
        <v>626</v>
      </c>
      <c r="E2100" s="5" t="s">
        <v>1079</v>
      </c>
      <c r="F2100" s="6" t="s">
        <v>627</v>
      </c>
      <c r="G2100" s="4" t="s">
        <v>2</v>
      </c>
      <c r="H2100" s="25">
        <v>217.32</v>
      </c>
      <c r="I2100" s="8">
        <v>0</v>
      </c>
      <c r="J2100" s="9">
        <v>0</v>
      </c>
      <c r="K2100" s="7">
        <v>0</v>
      </c>
      <c r="L2100" s="24">
        <f>+Tabla2[[#This Row],[Stock Inventario]]*Tabla2[[#This Row],[Coste LÃ­nea]]</f>
        <v>0</v>
      </c>
      <c r="M2100" s="24">
        <f>+Tabla2[[#This Row],[Variación Stock]]*Tabla2[[#This Row],[Coste LÃ­nea]]</f>
        <v>0</v>
      </c>
      <c r="N2100" s="22" t="str">
        <f>+IF(Tabla2[[#This Row],[Variación Stock]]&gt;0,"Sobrante",IF(Tabla2[[#This Row],[Variación Stock]]&lt;0,"Faltante","Sin novedad"))</f>
        <v>Sin novedad</v>
      </c>
    </row>
    <row r="2101" spans="1:14" hidden="1" x14ac:dyDescent="0.25">
      <c r="A2101" s="11">
        <v>46053</v>
      </c>
      <c r="B2101" s="5" t="s">
        <v>1070</v>
      </c>
      <c r="C2101" s="3" t="s">
        <v>341</v>
      </c>
      <c r="D2101" s="5" t="s">
        <v>396</v>
      </c>
      <c r="E2101" s="5" t="s">
        <v>117</v>
      </c>
      <c r="F2101" s="6" t="s">
        <v>437</v>
      </c>
      <c r="G2101" s="4" t="s">
        <v>1</v>
      </c>
      <c r="H2101" s="25">
        <v>4.2671999999999999</v>
      </c>
      <c r="I2101" s="8">
        <v>14340</v>
      </c>
      <c r="J2101" s="9">
        <v>13500</v>
      </c>
      <c r="K2101" s="7">
        <v>-840</v>
      </c>
      <c r="L2101" s="24">
        <f>+Tabla2[[#This Row],[Stock Inventario]]*Tabla2[[#This Row],[Coste LÃ­nea]]</f>
        <v>57607.199999999997</v>
      </c>
      <c r="M2101" s="24">
        <f>+Tabla2[[#This Row],[Variación Stock]]*Tabla2[[#This Row],[Coste LÃ­nea]]</f>
        <v>-3584.4479999999999</v>
      </c>
      <c r="N2101" s="22" t="str">
        <f>+IF(Tabla2[[#This Row],[Variación Stock]]&gt;0,"Sobrante",IF(Tabla2[[#This Row],[Variación Stock]]&lt;0,"Faltante","Sin novedad"))</f>
        <v>Faltante</v>
      </c>
    </row>
    <row r="2102" spans="1:14" hidden="1" x14ac:dyDescent="0.25">
      <c r="A2102" s="11">
        <v>46053</v>
      </c>
      <c r="B2102" s="5" t="s">
        <v>1070</v>
      </c>
      <c r="C2102" s="3" t="s">
        <v>341</v>
      </c>
      <c r="D2102" s="5" t="s">
        <v>396</v>
      </c>
      <c r="E2102" s="5" t="s">
        <v>117</v>
      </c>
      <c r="F2102" s="6" t="s">
        <v>438</v>
      </c>
      <c r="G2102" s="4" t="s">
        <v>1</v>
      </c>
      <c r="H2102" s="25">
        <v>3.7180833299999998</v>
      </c>
      <c r="I2102" s="8">
        <v>9500</v>
      </c>
      <c r="J2102" s="9">
        <v>6000</v>
      </c>
      <c r="K2102" s="7">
        <v>-3500</v>
      </c>
      <c r="L2102" s="24">
        <f>+Tabla2[[#This Row],[Stock Inventario]]*Tabla2[[#This Row],[Coste LÃ­nea]]</f>
        <v>22308.499980000001</v>
      </c>
      <c r="M2102" s="24">
        <f>+Tabla2[[#This Row],[Variación Stock]]*Tabla2[[#This Row],[Coste LÃ­nea]]</f>
        <v>-13013.291654999999</v>
      </c>
      <c r="N2102" s="22" t="str">
        <f>+IF(Tabla2[[#This Row],[Variación Stock]]&gt;0,"Sobrante",IF(Tabla2[[#This Row],[Variación Stock]]&lt;0,"Faltante","Sin novedad"))</f>
        <v>Faltante</v>
      </c>
    </row>
    <row r="2103" spans="1:14" hidden="1" x14ac:dyDescent="0.25">
      <c r="A2103" s="11">
        <v>46053</v>
      </c>
      <c r="B2103" s="5" t="s">
        <v>1070</v>
      </c>
      <c r="C2103" s="3" t="s">
        <v>341</v>
      </c>
      <c r="D2103" s="5" t="s">
        <v>396</v>
      </c>
      <c r="E2103" s="5" t="s">
        <v>117</v>
      </c>
      <c r="F2103" s="6" t="s">
        <v>470</v>
      </c>
      <c r="G2103" s="4" t="s">
        <v>2</v>
      </c>
      <c r="H2103" s="25">
        <v>726.66666667000004</v>
      </c>
      <c r="I2103" s="8">
        <v>119</v>
      </c>
      <c r="J2103" s="9">
        <v>96</v>
      </c>
      <c r="K2103" s="7">
        <v>-23</v>
      </c>
      <c r="L2103" s="24">
        <f>+Tabla2[[#This Row],[Stock Inventario]]*Tabla2[[#This Row],[Coste LÃ­nea]]</f>
        <v>69760.000000319997</v>
      </c>
      <c r="M2103" s="24">
        <f>+Tabla2[[#This Row],[Variación Stock]]*Tabla2[[#This Row],[Coste LÃ­nea]]</f>
        <v>-16713.333333410003</v>
      </c>
      <c r="N2103" s="22" t="str">
        <f>+IF(Tabla2[[#This Row],[Variación Stock]]&gt;0,"Sobrante",IF(Tabla2[[#This Row],[Variación Stock]]&lt;0,"Faltante","Sin novedad"))</f>
        <v>Faltante</v>
      </c>
    </row>
    <row r="2104" spans="1:14" hidden="1" x14ac:dyDescent="0.25">
      <c r="A2104" s="11">
        <v>46053</v>
      </c>
      <c r="B2104" s="5" t="s">
        <v>1070</v>
      </c>
      <c r="C2104" s="3" t="s">
        <v>341</v>
      </c>
      <c r="D2104" s="5" t="s">
        <v>471</v>
      </c>
      <c r="E2104" s="5" t="s">
        <v>117</v>
      </c>
      <c r="F2104" s="6" t="s">
        <v>506</v>
      </c>
      <c r="G2104" s="4" t="s">
        <v>1</v>
      </c>
      <c r="H2104" s="25">
        <v>10.5</v>
      </c>
      <c r="I2104" s="8">
        <v>0</v>
      </c>
      <c r="J2104" s="9">
        <v>0</v>
      </c>
      <c r="K2104" s="7">
        <v>0</v>
      </c>
      <c r="L2104" s="24">
        <f>+Tabla2[[#This Row],[Stock Inventario]]*Tabla2[[#This Row],[Coste LÃ­nea]]</f>
        <v>0</v>
      </c>
      <c r="M2104" s="24">
        <f>+Tabla2[[#This Row],[Variación Stock]]*Tabla2[[#This Row],[Coste LÃ­nea]]</f>
        <v>0</v>
      </c>
      <c r="N2104" s="22" t="str">
        <f>+IF(Tabla2[[#This Row],[Variación Stock]]&gt;0,"Sobrante",IF(Tabla2[[#This Row],[Variación Stock]]&lt;0,"Faltante","Sin novedad"))</f>
        <v>Sin novedad</v>
      </c>
    </row>
    <row r="2105" spans="1:14" hidden="1" x14ac:dyDescent="0.25">
      <c r="A2105" s="11">
        <v>46053</v>
      </c>
      <c r="B2105" s="5" t="s">
        <v>1070</v>
      </c>
      <c r="C2105" s="3" t="s">
        <v>341</v>
      </c>
      <c r="D2105" s="5" t="s">
        <v>547</v>
      </c>
      <c r="E2105" s="5" t="s">
        <v>117</v>
      </c>
      <c r="F2105" s="6" t="s">
        <v>1072</v>
      </c>
      <c r="G2105" s="4" t="s">
        <v>1</v>
      </c>
      <c r="H2105" s="25">
        <v>6.5504201699999998</v>
      </c>
      <c r="I2105" s="8">
        <v>24</v>
      </c>
      <c r="J2105" s="9">
        <v>0</v>
      </c>
      <c r="K2105" s="7">
        <v>-24</v>
      </c>
      <c r="L2105" s="24">
        <f>+Tabla2[[#This Row],[Stock Inventario]]*Tabla2[[#This Row],[Coste LÃ­nea]]</f>
        <v>0</v>
      </c>
      <c r="M2105" s="24">
        <f>+Tabla2[[#This Row],[Variación Stock]]*Tabla2[[#This Row],[Coste LÃ­nea]]</f>
        <v>-157.21008408</v>
      </c>
      <c r="N2105" s="22" t="str">
        <f>+IF(Tabla2[[#This Row],[Variación Stock]]&gt;0,"Sobrante",IF(Tabla2[[#This Row],[Variación Stock]]&lt;0,"Faltante","Sin novedad"))</f>
        <v>Faltante</v>
      </c>
    </row>
    <row r="2106" spans="1:14" hidden="1" x14ac:dyDescent="0.25">
      <c r="A2106" s="11">
        <v>46053</v>
      </c>
      <c r="B2106" s="5" t="s">
        <v>1070</v>
      </c>
      <c r="C2106" s="3" t="s">
        <v>341</v>
      </c>
      <c r="D2106" s="5" t="s">
        <v>119</v>
      </c>
      <c r="E2106" s="5" t="s">
        <v>117</v>
      </c>
      <c r="F2106" s="6" t="s">
        <v>94</v>
      </c>
      <c r="G2106" s="4" t="s">
        <v>2</v>
      </c>
      <c r="H2106" s="25">
        <v>1500</v>
      </c>
      <c r="I2106" s="8">
        <v>1200</v>
      </c>
      <c r="J2106" s="9">
        <v>1200</v>
      </c>
      <c r="K2106" s="7">
        <v>0</v>
      </c>
      <c r="L2106" s="24">
        <f>+Tabla2[[#This Row],[Stock Inventario]]*Tabla2[[#This Row],[Coste LÃ­nea]]</f>
        <v>1800000</v>
      </c>
      <c r="M2106" s="24">
        <f>+Tabla2[[#This Row],[Variación Stock]]*Tabla2[[#This Row],[Coste LÃ­nea]]</f>
        <v>0</v>
      </c>
      <c r="N2106" s="22" t="str">
        <f>+IF(Tabla2[[#This Row],[Variación Stock]]&gt;0,"Sobrante",IF(Tabla2[[#This Row],[Variación Stock]]&lt;0,"Faltante","Sin novedad"))</f>
        <v>Sin novedad</v>
      </c>
    </row>
    <row r="2107" spans="1:14" hidden="1" x14ac:dyDescent="0.25">
      <c r="A2107" s="11">
        <v>46053</v>
      </c>
      <c r="B2107" s="5" t="s">
        <v>1070</v>
      </c>
      <c r="C2107" s="3" t="s">
        <v>341</v>
      </c>
      <c r="D2107" s="5" t="s">
        <v>471</v>
      </c>
      <c r="E2107" s="5" t="s">
        <v>117</v>
      </c>
      <c r="F2107" s="6" t="s">
        <v>507</v>
      </c>
      <c r="G2107" s="4" t="s">
        <v>1</v>
      </c>
      <c r="H2107" s="25">
        <v>35</v>
      </c>
      <c r="I2107" s="8">
        <v>362</v>
      </c>
      <c r="J2107" s="9">
        <v>350</v>
      </c>
      <c r="K2107" s="7">
        <v>-12</v>
      </c>
      <c r="L2107" s="24">
        <f>+Tabla2[[#This Row],[Stock Inventario]]*Tabla2[[#This Row],[Coste LÃ­nea]]</f>
        <v>12250</v>
      </c>
      <c r="M2107" s="24">
        <f>+Tabla2[[#This Row],[Variación Stock]]*Tabla2[[#This Row],[Coste LÃ­nea]]</f>
        <v>-420</v>
      </c>
      <c r="N2107" s="22" t="str">
        <f>+IF(Tabla2[[#This Row],[Variación Stock]]&gt;0,"Sobrante",IF(Tabla2[[#This Row],[Variación Stock]]&lt;0,"Faltante","Sin novedad"))</f>
        <v>Faltante</v>
      </c>
    </row>
    <row r="2108" spans="1:14" hidden="1" x14ac:dyDescent="0.25">
      <c r="A2108" s="11">
        <v>46053</v>
      </c>
      <c r="B2108" s="5" t="s">
        <v>1070</v>
      </c>
      <c r="C2108" s="3" t="s">
        <v>341</v>
      </c>
      <c r="D2108" s="5" t="s">
        <v>547</v>
      </c>
      <c r="E2108" s="5" t="s">
        <v>117</v>
      </c>
      <c r="F2108" s="6" t="s">
        <v>878</v>
      </c>
      <c r="G2108" s="4" t="s">
        <v>1</v>
      </c>
      <c r="H2108" s="25">
        <v>16.101555560000001</v>
      </c>
      <c r="I2108" s="8">
        <v>6300</v>
      </c>
      <c r="J2108" s="9">
        <v>4500</v>
      </c>
      <c r="K2108" s="7">
        <v>-1800</v>
      </c>
      <c r="L2108" s="24">
        <f>+Tabla2[[#This Row],[Stock Inventario]]*Tabla2[[#This Row],[Coste LÃ­nea]]</f>
        <v>72457.000020000007</v>
      </c>
      <c r="M2108" s="24">
        <f>+Tabla2[[#This Row],[Variación Stock]]*Tabla2[[#This Row],[Coste LÃ­nea]]</f>
        <v>-28982.800008000002</v>
      </c>
      <c r="N2108" s="22" t="str">
        <f>+IF(Tabla2[[#This Row],[Variación Stock]]&gt;0,"Sobrante",IF(Tabla2[[#This Row],[Variación Stock]]&lt;0,"Faltante","Sin novedad"))</f>
        <v>Faltante</v>
      </c>
    </row>
    <row r="2109" spans="1:14" hidden="1" x14ac:dyDescent="0.25">
      <c r="A2109" s="11">
        <v>46053</v>
      </c>
      <c r="B2109" s="5" t="s">
        <v>1070</v>
      </c>
      <c r="C2109" s="3" t="s">
        <v>341</v>
      </c>
      <c r="D2109" s="5" t="s">
        <v>547</v>
      </c>
      <c r="E2109" s="5" t="s">
        <v>117</v>
      </c>
      <c r="F2109" s="6" t="s">
        <v>555</v>
      </c>
      <c r="G2109" s="4" t="s">
        <v>1</v>
      </c>
      <c r="H2109" s="25">
        <v>4.609</v>
      </c>
      <c r="I2109" s="8">
        <v>400</v>
      </c>
      <c r="J2109" s="9">
        <v>0</v>
      </c>
      <c r="K2109" s="7">
        <v>-400</v>
      </c>
      <c r="L2109" s="24">
        <f>+Tabla2[[#This Row],[Stock Inventario]]*Tabla2[[#This Row],[Coste LÃ­nea]]</f>
        <v>0</v>
      </c>
      <c r="M2109" s="24">
        <f>+Tabla2[[#This Row],[Variación Stock]]*Tabla2[[#This Row],[Coste LÃ­nea]]</f>
        <v>-1843.6</v>
      </c>
      <c r="N2109" s="22" t="str">
        <f>+IF(Tabla2[[#This Row],[Variación Stock]]&gt;0,"Sobrante",IF(Tabla2[[#This Row],[Variación Stock]]&lt;0,"Faltante","Sin novedad"))</f>
        <v>Faltante</v>
      </c>
    </row>
    <row r="2110" spans="1:14" hidden="1" x14ac:dyDescent="0.25">
      <c r="A2110" s="11">
        <v>46053</v>
      </c>
      <c r="B2110" s="5" t="s">
        <v>1070</v>
      </c>
      <c r="C2110" s="3" t="s">
        <v>341</v>
      </c>
      <c r="D2110" s="5" t="s">
        <v>471</v>
      </c>
      <c r="E2110" s="5" t="s">
        <v>117</v>
      </c>
      <c r="F2110" s="6" t="s">
        <v>868</v>
      </c>
      <c r="G2110" s="4" t="s">
        <v>1</v>
      </c>
      <c r="H2110" s="25">
        <v>7.5</v>
      </c>
      <c r="I2110" s="8">
        <v>0</v>
      </c>
      <c r="J2110" s="9">
        <v>0</v>
      </c>
      <c r="K2110" s="7">
        <v>0</v>
      </c>
      <c r="L2110" s="24">
        <f>+Tabla2[[#This Row],[Stock Inventario]]*Tabla2[[#This Row],[Coste LÃ­nea]]</f>
        <v>0</v>
      </c>
      <c r="M2110" s="24">
        <f>+Tabla2[[#This Row],[Variación Stock]]*Tabla2[[#This Row],[Coste LÃ­nea]]</f>
        <v>0</v>
      </c>
      <c r="N2110" s="22" t="str">
        <f>+IF(Tabla2[[#This Row],[Variación Stock]]&gt;0,"Sobrante",IF(Tabla2[[#This Row],[Variación Stock]]&lt;0,"Faltante","Sin novedad"))</f>
        <v>Sin novedad</v>
      </c>
    </row>
    <row r="2111" spans="1:14" hidden="1" x14ac:dyDescent="0.25">
      <c r="A2111" s="11">
        <v>46053</v>
      </c>
      <c r="B2111" s="5" t="s">
        <v>1070</v>
      </c>
      <c r="C2111" s="3" t="s">
        <v>341</v>
      </c>
      <c r="D2111" s="5" t="s">
        <v>803</v>
      </c>
      <c r="E2111" s="5" t="s">
        <v>117</v>
      </c>
      <c r="F2111" s="6" t="s">
        <v>1077</v>
      </c>
      <c r="G2111" s="4" t="s">
        <v>1</v>
      </c>
      <c r="H2111" s="25">
        <v>27.394957980000001</v>
      </c>
      <c r="I2111" s="8">
        <v>480</v>
      </c>
      <c r="J2111" s="9">
        <v>354</v>
      </c>
      <c r="K2111" s="7">
        <v>-126</v>
      </c>
      <c r="L2111" s="24">
        <f>+Tabla2[[#This Row],[Stock Inventario]]*Tabla2[[#This Row],[Coste LÃ­nea]]</f>
        <v>9697.81512492</v>
      </c>
      <c r="M2111" s="24">
        <f>+Tabla2[[#This Row],[Variación Stock]]*Tabla2[[#This Row],[Coste LÃ­nea]]</f>
        <v>-3451.76470548</v>
      </c>
      <c r="N2111" s="22" t="str">
        <f>+IF(Tabla2[[#This Row],[Variación Stock]]&gt;0,"Sobrante",IF(Tabla2[[#This Row],[Variación Stock]]&lt;0,"Faltante","Sin novedad"))</f>
        <v>Faltante</v>
      </c>
    </row>
    <row r="2112" spans="1:14" hidden="1" x14ac:dyDescent="0.25">
      <c r="A2112" s="11">
        <v>46053</v>
      </c>
      <c r="B2112" s="5" t="s">
        <v>1070</v>
      </c>
      <c r="C2112" s="3" t="s">
        <v>341</v>
      </c>
      <c r="D2112" s="5" t="s">
        <v>471</v>
      </c>
      <c r="E2112" s="5" t="s">
        <v>117</v>
      </c>
      <c r="F2112" s="6" t="s">
        <v>544</v>
      </c>
      <c r="G2112" s="4" t="s">
        <v>1</v>
      </c>
      <c r="H2112" s="25">
        <v>4.5</v>
      </c>
      <c r="I2112" s="8">
        <v>-25</v>
      </c>
      <c r="J2112" s="9">
        <v>0</v>
      </c>
      <c r="K2112" s="7">
        <v>25</v>
      </c>
      <c r="L2112" s="24">
        <f>+Tabla2[[#This Row],[Stock Inventario]]*Tabla2[[#This Row],[Coste LÃ­nea]]</f>
        <v>0</v>
      </c>
      <c r="M2112" s="24">
        <f>+Tabla2[[#This Row],[Variación Stock]]*Tabla2[[#This Row],[Coste LÃ­nea]]</f>
        <v>112.5</v>
      </c>
      <c r="N2112" s="22" t="str">
        <f>+IF(Tabla2[[#This Row],[Variación Stock]]&gt;0,"Sobrante",IF(Tabla2[[#This Row],[Variación Stock]]&lt;0,"Faltante","Sin novedad"))</f>
        <v>Sobrante</v>
      </c>
    </row>
    <row r="2113" spans="1:14" hidden="1" x14ac:dyDescent="0.25">
      <c r="A2113" s="11">
        <v>46053</v>
      </c>
      <c r="B2113" s="5" t="s">
        <v>1070</v>
      </c>
      <c r="C2113" s="3" t="s">
        <v>341</v>
      </c>
      <c r="D2113" s="5" t="s">
        <v>626</v>
      </c>
      <c r="E2113" s="5" t="s">
        <v>1079</v>
      </c>
      <c r="F2113" s="6" t="s">
        <v>659</v>
      </c>
      <c r="G2113" s="4" t="s">
        <v>2</v>
      </c>
      <c r="H2113" s="25">
        <v>48438</v>
      </c>
      <c r="I2113" s="8">
        <v>0</v>
      </c>
      <c r="J2113" s="9">
        <v>0</v>
      </c>
      <c r="K2113" s="7">
        <v>0</v>
      </c>
      <c r="L2113" s="24">
        <f>+Tabla2[[#This Row],[Stock Inventario]]*Tabla2[[#This Row],[Coste LÃ­nea]]</f>
        <v>0</v>
      </c>
      <c r="M2113" s="24">
        <f>+Tabla2[[#This Row],[Variación Stock]]*Tabla2[[#This Row],[Coste LÃ­nea]]</f>
        <v>0</v>
      </c>
      <c r="N2113" s="22" t="str">
        <f>+IF(Tabla2[[#This Row],[Variación Stock]]&gt;0,"Sobrante",IF(Tabla2[[#This Row],[Variación Stock]]&lt;0,"Faltante","Sin novedad"))</f>
        <v>Sin novedad</v>
      </c>
    </row>
    <row r="2114" spans="1:14" hidden="1" x14ac:dyDescent="0.25">
      <c r="A2114" s="11">
        <v>46053</v>
      </c>
      <c r="B2114" s="5" t="s">
        <v>1070</v>
      </c>
      <c r="C2114" s="3" t="s">
        <v>341</v>
      </c>
      <c r="D2114" s="5" t="s">
        <v>626</v>
      </c>
      <c r="E2114" s="5" t="s">
        <v>1079</v>
      </c>
      <c r="F2114" s="6" t="s">
        <v>660</v>
      </c>
      <c r="G2114" s="4" t="s">
        <v>2</v>
      </c>
      <c r="H2114" s="25">
        <v>49574.75</v>
      </c>
      <c r="I2114" s="8">
        <v>0</v>
      </c>
      <c r="J2114" s="9">
        <v>0</v>
      </c>
      <c r="K2114" s="7">
        <v>0</v>
      </c>
      <c r="L2114" s="24">
        <f>+Tabla2[[#This Row],[Stock Inventario]]*Tabla2[[#This Row],[Coste LÃ­nea]]</f>
        <v>0</v>
      </c>
      <c r="M2114" s="24">
        <f>+Tabla2[[#This Row],[Variación Stock]]*Tabla2[[#This Row],[Coste LÃ­nea]]</f>
        <v>0</v>
      </c>
      <c r="N2114" s="22" t="str">
        <f>+IF(Tabla2[[#This Row],[Variación Stock]]&gt;0,"Sobrante",IF(Tabla2[[#This Row],[Variación Stock]]&lt;0,"Faltante","Sin novedad"))</f>
        <v>Sin novedad</v>
      </c>
    </row>
    <row r="2115" spans="1:14" hidden="1" x14ac:dyDescent="0.25">
      <c r="A2115" s="11">
        <v>46053</v>
      </c>
      <c r="B2115" s="5" t="s">
        <v>1070</v>
      </c>
      <c r="C2115" s="3" t="s">
        <v>341</v>
      </c>
      <c r="D2115" s="5" t="s">
        <v>471</v>
      </c>
      <c r="E2115" s="5" t="s">
        <v>117</v>
      </c>
      <c r="F2115" s="6" t="s">
        <v>511</v>
      </c>
      <c r="G2115" s="4" t="s">
        <v>1</v>
      </c>
      <c r="H2115" s="25">
        <v>6.5</v>
      </c>
      <c r="I2115" s="8">
        <v>0</v>
      </c>
      <c r="J2115" s="9">
        <v>0</v>
      </c>
      <c r="K2115" s="7">
        <v>0</v>
      </c>
      <c r="L2115" s="24">
        <f>+Tabla2[[#This Row],[Stock Inventario]]*Tabla2[[#This Row],[Coste LÃ­nea]]</f>
        <v>0</v>
      </c>
      <c r="M2115" s="24">
        <f>+Tabla2[[#This Row],[Variación Stock]]*Tabla2[[#This Row],[Coste LÃ­nea]]</f>
        <v>0</v>
      </c>
      <c r="N2115" s="22" t="str">
        <f>+IF(Tabla2[[#This Row],[Variación Stock]]&gt;0,"Sobrante",IF(Tabla2[[#This Row],[Variación Stock]]&lt;0,"Faltante","Sin novedad"))</f>
        <v>Sin novedad</v>
      </c>
    </row>
    <row r="2116" spans="1:14" hidden="1" x14ac:dyDescent="0.25">
      <c r="A2116" s="11">
        <v>46053</v>
      </c>
      <c r="B2116" s="5" t="s">
        <v>1070</v>
      </c>
      <c r="C2116" s="3" t="s">
        <v>341</v>
      </c>
      <c r="D2116" s="5" t="s">
        <v>396</v>
      </c>
      <c r="E2116" s="5" t="s">
        <v>117</v>
      </c>
      <c r="F2116" s="6" t="s">
        <v>401</v>
      </c>
      <c r="G2116" s="4" t="s">
        <v>1</v>
      </c>
      <c r="H2116" s="25">
        <v>15</v>
      </c>
      <c r="I2116" s="8">
        <v>111926</v>
      </c>
      <c r="J2116" s="9">
        <v>156000</v>
      </c>
      <c r="K2116" s="7">
        <v>44074</v>
      </c>
      <c r="L2116" s="24">
        <f>+Tabla2[[#This Row],[Stock Inventario]]*Tabla2[[#This Row],[Coste LÃ­nea]]</f>
        <v>2340000</v>
      </c>
      <c r="M2116" s="24">
        <f>+Tabla2[[#This Row],[Variación Stock]]*Tabla2[[#This Row],[Coste LÃ­nea]]</f>
        <v>661110</v>
      </c>
      <c r="N2116" s="22" t="str">
        <f>+IF(Tabla2[[#This Row],[Variación Stock]]&gt;0,"Sobrante",IF(Tabla2[[#This Row],[Variación Stock]]&lt;0,"Faltante","Sin novedad"))</f>
        <v>Sobrante</v>
      </c>
    </row>
    <row r="2117" spans="1:14" x14ac:dyDescent="0.25">
      <c r="A2117" s="11">
        <v>46053</v>
      </c>
      <c r="B2117" s="5" t="s">
        <v>1070</v>
      </c>
      <c r="C2117" s="3" t="s">
        <v>341</v>
      </c>
      <c r="D2117" s="5" t="s">
        <v>603</v>
      </c>
      <c r="E2117" s="5" t="s">
        <v>112</v>
      </c>
      <c r="F2117" s="6" t="s">
        <v>1075</v>
      </c>
      <c r="G2117" s="4" t="s">
        <v>1</v>
      </c>
      <c r="H2117" s="25">
        <v>13</v>
      </c>
      <c r="I2117" s="8">
        <v>0</v>
      </c>
      <c r="J2117" s="9">
        <v>0</v>
      </c>
      <c r="K2117" s="7">
        <v>0</v>
      </c>
      <c r="L2117" s="24">
        <f>+Tabla2[[#This Row],[Stock Inventario]]*Tabla2[[#This Row],[Coste LÃ­nea]]</f>
        <v>0</v>
      </c>
      <c r="M2117" s="24">
        <f>+Tabla2[[#This Row],[Variación Stock]]*Tabla2[[#This Row],[Coste LÃ­nea]]</f>
        <v>0</v>
      </c>
      <c r="N2117" s="22" t="str">
        <f>+IF(Tabla2[[#This Row],[Variación Stock]]&gt;0,"Sobrante",IF(Tabla2[[#This Row],[Variación Stock]]&lt;0,"Faltante","Sin novedad"))</f>
        <v>Sin novedad</v>
      </c>
    </row>
    <row r="2118" spans="1:14" hidden="1" x14ac:dyDescent="0.25">
      <c r="A2118" s="11">
        <v>46053</v>
      </c>
      <c r="B2118" s="5" t="s">
        <v>1070</v>
      </c>
      <c r="C2118" s="3" t="s">
        <v>341</v>
      </c>
      <c r="D2118" s="5" t="s">
        <v>471</v>
      </c>
      <c r="E2118" s="5" t="s">
        <v>117</v>
      </c>
      <c r="F2118" s="6" t="s">
        <v>513</v>
      </c>
      <c r="G2118" s="4" t="s">
        <v>1</v>
      </c>
      <c r="H2118" s="25">
        <v>3.8</v>
      </c>
      <c r="I2118" s="8">
        <v>0</v>
      </c>
      <c r="J2118" s="9">
        <v>0</v>
      </c>
      <c r="K2118" s="7">
        <v>0</v>
      </c>
      <c r="L2118" s="24">
        <f>+Tabla2[[#This Row],[Stock Inventario]]*Tabla2[[#This Row],[Coste LÃ­nea]]</f>
        <v>0</v>
      </c>
      <c r="M2118" s="24">
        <f>+Tabla2[[#This Row],[Variación Stock]]*Tabla2[[#This Row],[Coste LÃ­nea]]</f>
        <v>0</v>
      </c>
      <c r="N2118" s="22" t="str">
        <f>+IF(Tabla2[[#This Row],[Variación Stock]]&gt;0,"Sobrante",IF(Tabla2[[#This Row],[Variación Stock]]&lt;0,"Faltante","Sin novedad"))</f>
        <v>Sin novedad</v>
      </c>
    </row>
    <row r="2119" spans="1:14" hidden="1" x14ac:dyDescent="0.25">
      <c r="A2119" s="11">
        <v>46053</v>
      </c>
      <c r="B2119" s="5" t="s">
        <v>1070</v>
      </c>
      <c r="C2119" s="3" t="s">
        <v>341</v>
      </c>
      <c r="D2119" s="5" t="s">
        <v>396</v>
      </c>
      <c r="E2119" s="5" t="s">
        <v>117</v>
      </c>
      <c r="F2119" s="6" t="s">
        <v>413</v>
      </c>
      <c r="G2119" s="4" t="s">
        <v>1</v>
      </c>
      <c r="H2119" s="25">
        <v>21.08</v>
      </c>
      <c r="I2119" s="8">
        <v>2500</v>
      </c>
      <c r="J2119" s="9">
        <v>2350</v>
      </c>
      <c r="K2119" s="7">
        <v>-150</v>
      </c>
      <c r="L2119" s="24">
        <f>+Tabla2[[#This Row],[Stock Inventario]]*Tabla2[[#This Row],[Coste LÃ­nea]]</f>
        <v>49537.999999999993</v>
      </c>
      <c r="M2119" s="24">
        <f>+Tabla2[[#This Row],[Variación Stock]]*Tabla2[[#This Row],[Coste LÃ­nea]]</f>
        <v>-3161.9999999999995</v>
      </c>
      <c r="N2119" s="22" t="str">
        <f>+IF(Tabla2[[#This Row],[Variación Stock]]&gt;0,"Sobrante",IF(Tabla2[[#This Row],[Variación Stock]]&lt;0,"Faltante","Sin novedad"))</f>
        <v>Faltante</v>
      </c>
    </row>
    <row r="2120" spans="1:14" hidden="1" x14ac:dyDescent="0.25">
      <c r="A2120" s="11">
        <v>46053</v>
      </c>
      <c r="B2120" s="5" t="s">
        <v>1070</v>
      </c>
      <c r="C2120" s="3" t="s">
        <v>341</v>
      </c>
      <c r="D2120" s="5" t="s">
        <v>547</v>
      </c>
      <c r="E2120" s="5" t="s">
        <v>117</v>
      </c>
      <c r="F2120" s="6" t="s">
        <v>556</v>
      </c>
      <c r="G2120" s="4" t="s">
        <v>1</v>
      </c>
      <c r="H2120" s="25">
        <v>54.083333330000002</v>
      </c>
      <c r="I2120" s="8">
        <v>-60</v>
      </c>
      <c r="J2120" s="9">
        <v>860</v>
      </c>
      <c r="K2120" s="7">
        <v>920</v>
      </c>
      <c r="L2120" s="24">
        <f>+Tabla2[[#This Row],[Stock Inventario]]*Tabla2[[#This Row],[Coste LÃ­nea]]</f>
        <v>46511.666663800002</v>
      </c>
      <c r="M2120" s="24">
        <f>+Tabla2[[#This Row],[Variación Stock]]*Tabla2[[#This Row],[Coste LÃ­nea]]</f>
        <v>49756.666663600001</v>
      </c>
      <c r="N2120" s="22" t="str">
        <f>+IF(Tabla2[[#This Row],[Variación Stock]]&gt;0,"Sobrante",IF(Tabla2[[#This Row],[Variación Stock]]&lt;0,"Faltante","Sin novedad"))</f>
        <v>Sobrante</v>
      </c>
    </row>
    <row r="2121" spans="1:14" hidden="1" x14ac:dyDescent="0.25">
      <c r="A2121" s="11">
        <v>46053</v>
      </c>
      <c r="B2121" s="5" t="s">
        <v>1070</v>
      </c>
      <c r="C2121" s="3" t="s">
        <v>341</v>
      </c>
      <c r="D2121" s="5" t="s">
        <v>396</v>
      </c>
      <c r="E2121" s="5" t="s">
        <v>117</v>
      </c>
      <c r="F2121" s="6" t="s">
        <v>402</v>
      </c>
      <c r="G2121" s="4" t="s">
        <v>1</v>
      </c>
      <c r="H2121" s="25">
        <v>32</v>
      </c>
      <c r="I2121" s="8">
        <v>29400</v>
      </c>
      <c r="J2121" s="9">
        <v>38650</v>
      </c>
      <c r="K2121" s="7">
        <v>9250</v>
      </c>
      <c r="L2121" s="24">
        <f>+Tabla2[[#This Row],[Stock Inventario]]*Tabla2[[#This Row],[Coste LÃ­nea]]</f>
        <v>1236800</v>
      </c>
      <c r="M2121" s="24">
        <f>+Tabla2[[#This Row],[Variación Stock]]*Tabla2[[#This Row],[Coste LÃ­nea]]</f>
        <v>296000</v>
      </c>
      <c r="N2121" s="22" t="str">
        <f>+IF(Tabla2[[#This Row],[Variación Stock]]&gt;0,"Sobrante",IF(Tabla2[[#This Row],[Variación Stock]]&lt;0,"Faltante","Sin novedad"))</f>
        <v>Sobrante</v>
      </c>
    </row>
    <row r="2122" spans="1:14" hidden="1" x14ac:dyDescent="0.25">
      <c r="A2122" s="11">
        <v>46053</v>
      </c>
      <c r="B2122" s="5" t="s">
        <v>1070</v>
      </c>
      <c r="C2122" s="3" t="s">
        <v>341</v>
      </c>
      <c r="D2122" s="5" t="s">
        <v>119</v>
      </c>
      <c r="E2122" s="5" t="s">
        <v>117</v>
      </c>
      <c r="F2122" s="6" t="s">
        <v>11</v>
      </c>
      <c r="G2122" s="4" t="s">
        <v>2</v>
      </c>
      <c r="H2122" s="25">
        <v>436.01333333000002</v>
      </c>
      <c r="I2122" s="8">
        <v>0</v>
      </c>
      <c r="J2122" s="9">
        <v>0</v>
      </c>
      <c r="K2122" s="7">
        <v>0</v>
      </c>
      <c r="L2122" s="24">
        <f>+Tabla2[[#This Row],[Stock Inventario]]*Tabla2[[#This Row],[Coste LÃ­nea]]</f>
        <v>0</v>
      </c>
      <c r="M2122" s="24">
        <f>+Tabla2[[#This Row],[Variación Stock]]*Tabla2[[#This Row],[Coste LÃ­nea]]</f>
        <v>0</v>
      </c>
      <c r="N2122" s="22" t="str">
        <f>+IF(Tabla2[[#This Row],[Variación Stock]]&gt;0,"Sobrante",IF(Tabla2[[#This Row],[Variación Stock]]&lt;0,"Faltante","Sin novedad"))</f>
        <v>Sin novedad</v>
      </c>
    </row>
    <row r="2123" spans="1:14" hidden="1" x14ac:dyDescent="0.25">
      <c r="A2123" s="11">
        <v>46053</v>
      </c>
      <c r="B2123" s="5" t="s">
        <v>1070</v>
      </c>
      <c r="C2123" s="3" t="s">
        <v>341</v>
      </c>
      <c r="D2123" s="5" t="s">
        <v>396</v>
      </c>
      <c r="E2123" s="5" t="s">
        <v>117</v>
      </c>
      <c r="F2123" s="6" t="s">
        <v>444</v>
      </c>
      <c r="G2123" s="4" t="s">
        <v>1</v>
      </c>
      <c r="H2123" s="25">
        <v>22.523250000000001</v>
      </c>
      <c r="I2123" s="8">
        <v>2000</v>
      </c>
      <c r="J2123" s="9">
        <v>2000</v>
      </c>
      <c r="K2123" s="7">
        <v>0</v>
      </c>
      <c r="L2123" s="24">
        <f>+Tabla2[[#This Row],[Stock Inventario]]*Tabla2[[#This Row],[Coste LÃ­nea]]</f>
        <v>45046.5</v>
      </c>
      <c r="M2123" s="24">
        <f>+Tabla2[[#This Row],[Variación Stock]]*Tabla2[[#This Row],[Coste LÃ­nea]]</f>
        <v>0</v>
      </c>
      <c r="N2123" s="22" t="str">
        <f>+IF(Tabla2[[#This Row],[Variación Stock]]&gt;0,"Sobrante",IF(Tabla2[[#This Row],[Variación Stock]]&lt;0,"Faltante","Sin novedad"))</f>
        <v>Sin novedad</v>
      </c>
    </row>
    <row r="2124" spans="1:14" x14ac:dyDescent="0.25">
      <c r="A2124" s="11">
        <v>46053</v>
      </c>
      <c r="B2124" s="5" t="s">
        <v>1070</v>
      </c>
      <c r="C2124" s="3" t="s">
        <v>341</v>
      </c>
      <c r="D2124" s="5" t="s">
        <v>603</v>
      </c>
      <c r="E2124" s="5" t="s">
        <v>112</v>
      </c>
      <c r="F2124" s="6" t="s">
        <v>622</v>
      </c>
      <c r="G2124" s="4" t="s">
        <v>1</v>
      </c>
      <c r="H2124" s="25">
        <v>8.5</v>
      </c>
      <c r="I2124" s="8">
        <v>0</v>
      </c>
      <c r="J2124" s="9">
        <v>0</v>
      </c>
      <c r="K2124" s="7">
        <v>0</v>
      </c>
      <c r="L2124" s="24">
        <f>+Tabla2[[#This Row],[Stock Inventario]]*Tabla2[[#This Row],[Coste LÃ­nea]]</f>
        <v>0</v>
      </c>
      <c r="M2124" s="24">
        <f>+Tabla2[[#This Row],[Variación Stock]]*Tabla2[[#This Row],[Coste LÃ­nea]]</f>
        <v>0</v>
      </c>
      <c r="N2124" s="22" t="str">
        <f>+IF(Tabla2[[#This Row],[Variación Stock]]&gt;0,"Sobrante",IF(Tabla2[[#This Row],[Variación Stock]]&lt;0,"Faltante","Sin novedad"))</f>
        <v>Sin novedad</v>
      </c>
    </row>
    <row r="2125" spans="1:14" hidden="1" x14ac:dyDescent="0.25">
      <c r="A2125" s="11">
        <v>46053</v>
      </c>
      <c r="B2125" s="5" t="s">
        <v>1070</v>
      </c>
      <c r="C2125" s="3" t="s">
        <v>341</v>
      </c>
      <c r="D2125" s="5" t="s">
        <v>471</v>
      </c>
      <c r="E2125" s="5" t="s">
        <v>117</v>
      </c>
      <c r="F2125" s="6" t="s">
        <v>477</v>
      </c>
      <c r="G2125" s="4" t="s">
        <v>1</v>
      </c>
      <c r="H2125" s="25">
        <v>12</v>
      </c>
      <c r="I2125" s="8">
        <v>170</v>
      </c>
      <c r="J2125" s="9">
        <v>164</v>
      </c>
      <c r="K2125" s="7">
        <v>-6</v>
      </c>
      <c r="L2125" s="24">
        <f>+Tabla2[[#This Row],[Stock Inventario]]*Tabla2[[#This Row],[Coste LÃ­nea]]</f>
        <v>1968</v>
      </c>
      <c r="M2125" s="24">
        <f>+Tabla2[[#This Row],[Variación Stock]]*Tabla2[[#This Row],[Coste LÃ­nea]]</f>
        <v>-72</v>
      </c>
      <c r="N2125" s="22" t="str">
        <f>+IF(Tabla2[[#This Row],[Variación Stock]]&gt;0,"Sobrante",IF(Tabla2[[#This Row],[Variación Stock]]&lt;0,"Faltante","Sin novedad"))</f>
        <v>Faltante</v>
      </c>
    </row>
    <row r="2126" spans="1:14" hidden="1" x14ac:dyDescent="0.25">
      <c r="A2126" s="11">
        <v>46053</v>
      </c>
      <c r="B2126" s="5" t="s">
        <v>1070</v>
      </c>
      <c r="C2126" s="3" t="s">
        <v>341</v>
      </c>
      <c r="D2126" s="5" t="s">
        <v>119</v>
      </c>
      <c r="E2126" s="5" t="s">
        <v>117</v>
      </c>
      <c r="F2126" s="6" t="s">
        <v>12</v>
      </c>
      <c r="G2126" s="4" t="s">
        <v>2</v>
      </c>
      <c r="H2126" s="25">
        <v>773.5</v>
      </c>
      <c r="I2126" s="8">
        <v>0</v>
      </c>
      <c r="J2126" s="9">
        <v>0</v>
      </c>
      <c r="K2126" s="7">
        <v>0</v>
      </c>
      <c r="L2126" s="24">
        <f>+Tabla2[[#This Row],[Stock Inventario]]*Tabla2[[#This Row],[Coste LÃ­nea]]</f>
        <v>0</v>
      </c>
      <c r="M2126" s="24">
        <f>+Tabla2[[#This Row],[Variación Stock]]*Tabla2[[#This Row],[Coste LÃ­nea]]</f>
        <v>0</v>
      </c>
      <c r="N2126" s="22" t="str">
        <f>+IF(Tabla2[[#This Row],[Variación Stock]]&gt;0,"Sobrante",IF(Tabla2[[#This Row],[Variación Stock]]&lt;0,"Faltante","Sin novedad"))</f>
        <v>Sin novedad</v>
      </c>
    </row>
    <row r="2127" spans="1:14" hidden="1" x14ac:dyDescent="0.25">
      <c r="A2127" s="11">
        <v>46053</v>
      </c>
      <c r="B2127" s="5" t="s">
        <v>1070</v>
      </c>
      <c r="C2127" s="3" t="s">
        <v>341</v>
      </c>
      <c r="D2127" s="5" t="s">
        <v>815</v>
      </c>
      <c r="E2127" s="5" t="s">
        <v>117</v>
      </c>
      <c r="F2127" s="6" t="s">
        <v>816</v>
      </c>
      <c r="G2127" s="4" t="s">
        <v>1</v>
      </c>
      <c r="H2127" s="25">
        <v>5.4166666699999997</v>
      </c>
      <c r="I2127" s="8">
        <v>-3150</v>
      </c>
      <c r="J2127" s="9">
        <v>0</v>
      </c>
      <c r="K2127" s="7">
        <v>3150</v>
      </c>
      <c r="L2127" s="24">
        <f>+Tabla2[[#This Row],[Stock Inventario]]*Tabla2[[#This Row],[Coste LÃ­nea]]</f>
        <v>0</v>
      </c>
      <c r="M2127" s="24">
        <f>+Tabla2[[#This Row],[Variación Stock]]*Tabla2[[#This Row],[Coste LÃ­nea]]</f>
        <v>17062.5000105</v>
      </c>
      <c r="N2127" s="22" t="str">
        <f>+IF(Tabla2[[#This Row],[Variación Stock]]&gt;0,"Sobrante",IF(Tabla2[[#This Row],[Variación Stock]]&lt;0,"Faltante","Sin novedad"))</f>
        <v>Sobrante</v>
      </c>
    </row>
    <row r="2128" spans="1:14" hidden="1" x14ac:dyDescent="0.25">
      <c r="A2128" s="11">
        <v>46053</v>
      </c>
      <c r="B2128" s="5" t="s">
        <v>1070</v>
      </c>
      <c r="C2128" s="3" t="s">
        <v>341</v>
      </c>
      <c r="D2128" s="5" t="s">
        <v>116</v>
      </c>
      <c r="E2128" s="5" t="s">
        <v>117</v>
      </c>
      <c r="F2128" s="6" t="s">
        <v>342</v>
      </c>
      <c r="G2128" s="4" t="s">
        <v>1</v>
      </c>
      <c r="H2128" s="25">
        <v>23</v>
      </c>
      <c r="I2128" s="8">
        <v>40300</v>
      </c>
      <c r="J2128" s="9">
        <v>40300</v>
      </c>
      <c r="K2128" s="7">
        <v>0</v>
      </c>
      <c r="L2128" s="24">
        <f>+Tabla2[[#This Row],[Stock Inventario]]*Tabla2[[#This Row],[Coste LÃ­nea]]</f>
        <v>926900</v>
      </c>
      <c r="M2128" s="24">
        <f>+Tabla2[[#This Row],[Variación Stock]]*Tabla2[[#This Row],[Coste LÃ­nea]]</f>
        <v>0</v>
      </c>
      <c r="N2128" s="22" t="str">
        <f>+IF(Tabla2[[#This Row],[Variación Stock]]&gt;0,"Sobrante",IF(Tabla2[[#This Row],[Variación Stock]]&lt;0,"Faltante","Sin novedad"))</f>
        <v>Sin novedad</v>
      </c>
    </row>
    <row r="2129" spans="1:14" hidden="1" x14ac:dyDescent="0.25">
      <c r="A2129" s="11">
        <v>46053</v>
      </c>
      <c r="B2129" s="5" t="s">
        <v>1070</v>
      </c>
      <c r="C2129" s="3" t="s">
        <v>341</v>
      </c>
      <c r="D2129" s="5" t="s">
        <v>116</v>
      </c>
      <c r="E2129" s="5" t="s">
        <v>117</v>
      </c>
      <c r="F2129" s="6" t="s">
        <v>5</v>
      </c>
      <c r="G2129" s="4" t="s">
        <v>1</v>
      </c>
      <c r="H2129" s="25">
        <v>23</v>
      </c>
      <c r="I2129" s="8">
        <v>0</v>
      </c>
      <c r="J2129" s="9">
        <v>0</v>
      </c>
      <c r="K2129" s="7">
        <v>0</v>
      </c>
      <c r="L2129" s="24">
        <f>+Tabla2[[#This Row],[Stock Inventario]]*Tabla2[[#This Row],[Coste LÃ­nea]]</f>
        <v>0</v>
      </c>
      <c r="M2129" s="24">
        <f>+Tabla2[[#This Row],[Variación Stock]]*Tabla2[[#This Row],[Coste LÃ­nea]]</f>
        <v>0</v>
      </c>
      <c r="N2129" s="22" t="str">
        <f>+IF(Tabla2[[#This Row],[Variación Stock]]&gt;0,"Sobrante",IF(Tabla2[[#This Row],[Variación Stock]]&lt;0,"Faltante","Sin novedad"))</f>
        <v>Sin novedad</v>
      </c>
    </row>
    <row r="2130" spans="1:14" hidden="1" x14ac:dyDescent="0.25">
      <c r="A2130" s="11">
        <v>46053</v>
      </c>
      <c r="B2130" s="5" t="s">
        <v>1070</v>
      </c>
      <c r="C2130" s="3" t="s">
        <v>341</v>
      </c>
      <c r="D2130" s="5" t="s">
        <v>626</v>
      </c>
      <c r="E2130" s="5" t="s">
        <v>1079</v>
      </c>
      <c r="F2130" s="6" t="s">
        <v>662</v>
      </c>
      <c r="G2130" s="4" t="s">
        <v>2</v>
      </c>
      <c r="H2130" s="25">
        <v>88060</v>
      </c>
      <c r="I2130" s="8">
        <v>12</v>
      </c>
      <c r="J2130" s="9">
        <v>0</v>
      </c>
      <c r="K2130" s="7">
        <v>-12</v>
      </c>
      <c r="L2130" s="24">
        <f>+Tabla2[[#This Row],[Stock Inventario]]*Tabla2[[#This Row],[Coste LÃ­nea]]</f>
        <v>0</v>
      </c>
      <c r="M2130" s="24">
        <f>+Tabla2[[#This Row],[Variación Stock]]*Tabla2[[#This Row],[Coste LÃ­nea]]</f>
        <v>-1056720</v>
      </c>
      <c r="N2130" s="22" t="str">
        <f>+IF(Tabla2[[#This Row],[Variación Stock]]&gt;0,"Sobrante",IF(Tabla2[[#This Row],[Variación Stock]]&lt;0,"Faltante","Sin novedad"))</f>
        <v>Faltante</v>
      </c>
    </row>
    <row r="2131" spans="1:14" hidden="1" x14ac:dyDescent="0.25">
      <c r="A2131" s="11">
        <v>46053</v>
      </c>
      <c r="B2131" s="5" t="s">
        <v>1070</v>
      </c>
      <c r="C2131" s="3" t="s">
        <v>341</v>
      </c>
      <c r="D2131" s="5" t="s">
        <v>396</v>
      </c>
      <c r="E2131" s="5" t="s">
        <v>117</v>
      </c>
      <c r="F2131" s="6" t="s">
        <v>448</v>
      </c>
      <c r="G2131" s="4" t="s">
        <v>1</v>
      </c>
      <c r="H2131" s="25">
        <v>94.618942730000001</v>
      </c>
      <c r="I2131" s="8">
        <v>396</v>
      </c>
      <c r="J2131" s="9">
        <v>406</v>
      </c>
      <c r="K2131" s="7">
        <v>10</v>
      </c>
      <c r="L2131" s="24">
        <f>+Tabla2[[#This Row],[Stock Inventario]]*Tabla2[[#This Row],[Coste LÃ­nea]]</f>
        <v>38415.290748380001</v>
      </c>
      <c r="M2131" s="24">
        <f>+Tabla2[[#This Row],[Variación Stock]]*Tabla2[[#This Row],[Coste LÃ­nea]]</f>
        <v>946.18942730000003</v>
      </c>
      <c r="N2131" s="22" t="str">
        <f>+IF(Tabla2[[#This Row],[Variación Stock]]&gt;0,"Sobrante",IF(Tabla2[[#This Row],[Variación Stock]]&lt;0,"Faltante","Sin novedad"))</f>
        <v>Sobrante</v>
      </c>
    </row>
    <row r="2132" spans="1:14" hidden="1" x14ac:dyDescent="0.25">
      <c r="A2132" s="11">
        <v>46053</v>
      </c>
      <c r="B2132" s="5" t="s">
        <v>1070</v>
      </c>
      <c r="C2132" s="3" t="s">
        <v>341</v>
      </c>
      <c r="D2132" s="5" t="s">
        <v>559</v>
      </c>
      <c r="E2132" s="5" t="s">
        <v>1080</v>
      </c>
      <c r="F2132" s="6" t="s">
        <v>580</v>
      </c>
      <c r="G2132" s="4" t="s">
        <v>2</v>
      </c>
      <c r="H2132" s="25">
        <v>71.420168070000003</v>
      </c>
      <c r="I2132" s="8">
        <v>6600</v>
      </c>
      <c r="J2132" s="9">
        <v>6600</v>
      </c>
      <c r="K2132" s="7">
        <v>0</v>
      </c>
      <c r="L2132" s="24">
        <f>+Tabla2[[#This Row],[Stock Inventario]]*Tabla2[[#This Row],[Coste LÃ­nea]]</f>
        <v>471373.10926200001</v>
      </c>
      <c r="M2132" s="24">
        <f>+Tabla2[[#This Row],[Variación Stock]]*Tabla2[[#This Row],[Coste LÃ­nea]]</f>
        <v>0</v>
      </c>
      <c r="N2132" s="22" t="str">
        <f>+IF(Tabla2[[#This Row],[Variación Stock]]&gt;0,"Sobrante",IF(Tabla2[[#This Row],[Variación Stock]]&lt;0,"Faltante","Sin novedad"))</f>
        <v>Sin novedad</v>
      </c>
    </row>
    <row r="2133" spans="1:14" hidden="1" x14ac:dyDescent="0.25">
      <c r="A2133" s="11">
        <v>46053</v>
      </c>
      <c r="B2133" s="5" t="s">
        <v>1070</v>
      </c>
      <c r="C2133" s="3" t="s">
        <v>341</v>
      </c>
      <c r="D2133" s="5" t="s">
        <v>396</v>
      </c>
      <c r="E2133" s="5" t="s">
        <v>117</v>
      </c>
      <c r="F2133" s="6" t="s">
        <v>855</v>
      </c>
      <c r="G2133" s="4" t="s">
        <v>1</v>
      </c>
      <c r="H2133" s="25">
        <v>7.2994500000000002</v>
      </c>
      <c r="I2133" s="8">
        <v>454</v>
      </c>
      <c r="J2133" s="9">
        <v>650</v>
      </c>
      <c r="K2133" s="7">
        <v>196</v>
      </c>
      <c r="L2133" s="24">
        <f>+Tabla2[[#This Row],[Stock Inventario]]*Tabla2[[#This Row],[Coste LÃ­nea]]</f>
        <v>4744.6424999999999</v>
      </c>
      <c r="M2133" s="24">
        <f>+Tabla2[[#This Row],[Variación Stock]]*Tabla2[[#This Row],[Coste LÃ­nea]]</f>
        <v>1430.6922</v>
      </c>
      <c r="N2133" s="22" t="str">
        <f>+IF(Tabla2[[#This Row],[Variación Stock]]&gt;0,"Sobrante",IF(Tabla2[[#This Row],[Variación Stock]]&lt;0,"Faltante","Sin novedad"))</f>
        <v>Sobrante</v>
      </c>
    </row>
    <row r="2134" spans="1:14" hidden="1" x14ac:dyDescent="0.25">
      <c r="A2134" s="11">
        <v>46053</v>
      </c>
      <c r="B2134" s="5" t="s">
        <v>1070</v>
      </c>
      <c r="C2134" s="3" t="s">
        <v>341</v>
      </c>
      <c r="D2134" s="5" t="s">
        <v>119</v>
      </c>
      <c r="E2134" s="5" t="s">
        <v>117</v>
      </c>
      <c r="F2134" s="6" t="s">
        <v>200</v>
      </c>
      <c r="G2134" s="4" t="s">
        <v>1</v>
      </c>
      <c r="H2134" s="25">
        <v>58.31</v>
      </c>
      <c r="I2134" s="8">
        <v>0</v>
      </c>
      <c r="J2134" s="9">
        <v>0</v>
      </c>
      <c r="K2134" s="7">
        <v>0</v>
      </c>
      <c r="L2134" s="24">
        <f>+Tabla2[[#This Row],[Stock Inventario]]*Tabla2[[#This Row],[Coste LÃ­nea]]</f>
        <v>0</v>
      </c>
      <c r="M2134" s="24">
        <f>+Tabla2[[#This Row],[Variación Stock]]*Tabla2[[#This Row],[Coste LÃ­nea]]</f>
        <v>0</v>
      </c>
      <c r="N2134" s="22" t="str">
        <f>+IF(Tabla2[[#This Row],[Variación Stock]]&gt;0,"Sobrante",IF(Tabla2[[#This Row],[Variación Stock]]&lt;0,"Faltante","Sin novedad"))</f>
        <v>Sin novedad</v>
      </c>
    </row>
    <row r="2135" spans="1:14" hidden="1" x14ac:dyDescent="0.25">
      <c r="A2135" s="11">
        <v>46053</v>
      </c>
      <c r="B2135" s="5" t="s">
        <v>1070</v>
      </c>
      <c r="C2135" s="3" t="s">
        <v>341</v>
      </c>
      <c r="D2135" s="5" t="s">
        <v>547</v>
      </c>
      <c r="E2135" s="5" t="s">
        <v>117</v>
      </c>
      <c r="F2135" s="6" t="s">
        <v>549</v>
      </c>
      <c r="G2135" s="4" t="s">
        <v>1</v>
      </c>
      <c r="H2135" s="25">
        <v>67.9405</v>
      </c>
      <c r="I2135" s="8">
        <v>0</v>
      </c>
      <c r="J2135" s="9">
        <v>4000</v>
      </c>
      <c r="K2135" s="7">
        <v>4000</v>
      </c>
      <c r="L2135" s="24">
        <f>+Tabla2[[#This Row],[Stock Inventario]]*Tabla2[[#This Row],[Coste LÃ­nea]]</f>
        <v>271762</v>
      </c>
      <c r="M2135" s="24">
        <f>+Tabla2[[#This Row],[Variación Stock]]*Tabla2[[#This Row],[Coste LÃ­nea]]</f>
        <v>271762</v>
      </c>
      <c r="N2135" s="22" t="str">
        <f>+IF(Tabla2[[#This Row],[Variación Stock]]&gt;0,"Sobrante",IF(Tabla2[[#This Row],[Variación Stock]]&lt;0,"Faltante","Sin novedad"))</f>
        <v>Sobrante</v>
      </c>
    </row>
    <row r="2136" spans="1:14" hidden="1" x14ac:dyDescent="0.25">
      <c r="A2136" s="11">
        <v>46053</v>
      </c>
      <c r="B2136" s="5" t="s">
        <v>1070</v>
      </c>
      <c r="C2136" s="3" t="s">
        <v>341</v>
      </c>
      <c r="D2136" s="5" t="s">
        <v>547</v>
      </c>
      <c r="E2136" s="5" t="s">
        <v>117</v>
      </c>
      <c r="F2136" s="6" t="s">
        <v>557</v>
      </c>
      <c r="G2136" s="4" t="s">
        <v>1</v>
      </c>
      <c r="H2136" s="25">
        <v>22.35</v>
      </c>
      <c r="I2136" s="8">
        <v>4000</v>
      </c>
      <c r="J2136" s="9">
        <v>4000</v>
      </c>
      <c r="K2136" s="7">
        <v>0</v>
      </c>
      <c r="L2136" s="24">
        <f>+Tabla2[[#This Row],[Stock Inventario]]*Tabla2[[#This Row],[Coste LÃ­nea]]</f>
        <v>89400</v>
      </c>
      <c r="M2136" s="24">
        <f>+Tabla2[[#This Row],[Variación Stock]]*Tabla2[[#This Row],[Coste LÃ­nea]]</f>
        <v>0</v>
      </c>
      <c r="N2136" s="22" t="str">
        <f>+IF(Tabla2[[#This Row],[Variación Stock]]&gt;0,"Sobrante",IF(Tabla2[[#This Row],[Variación Stock]]&lt;0,"Faltante","Sin novedad"))</f>
        <v>Sin novedad</v>
      </c>
    </row>
    <row r="2137" spans="1:14" hidden="1" x14ac:dyDescent="0.25">
      <c r="A2137" s="11">
        <v>46053</v>
      </c>
      <c r="B2137" s="5" t="s">
        <v>1070</v>
      </c>
      <c r="C2137" s="3" t="s">
        <v>341</v>
      </c>
      <c r="D2137" s="5" t="s">
        <v>559</v>
      </c>
      <c r="E2137" s="5" t="s">
        <v>1080</v>
      </c>
      <c r="F2137" s="6" t="s">
        <v>564</v>
      </c>
      <c r="G2137" s="4" t="s">
        <v>2</v>
      </c>
      <c r="H2137" s="25">
        <v>59.5</v>
      </c>
      <c r="I2137" s="8">
        <v>-10000</v>
      </c>
      <c r="J2137" s="9">
        <v>5000</v>
      </c>
      <c r="K2137" s="7">
        <v>15000</v>
      </c>
      <c r="L2137" s="24">
        <f>+Tabla2[[#This Row],[Stock Inventario]]*Tabla2[[#This Row],[Coste LÃ­nea]]</f>
        <v>297500</v>
      </c>
      <c r="M2137" s="24">
        <f>+Tabla2[[#This Row],[Variación Stock]]*Tabla2[[#This Row],[Coste LÃ­nea]]</f>
        <v>892500</v>
      </c>
      <c r="N2137" s="22" t="str">
        <f>+IF(Tabla2[[#This Row],[Variación Stock]]&gt;0,"Sobrante",IF(Tabla2[[#This Row],[Variación Stock]]&lt;0,"Faltante","Sin novedad"))</f>
        <v>Sobrante</v>
      </c>
    </row>
    <row r="2138" spans="1:14" hidden="1" x14ac:dyDescent="0.25">
      <c r="A2138" s="11">
        <v>46053</v>
      </c>
      <c r="B2138" s="5" t="s">
        <v>1070</v>
      </c>
      <c r="C2138" s="3" t="s">
        <v>341</v>
      </c>
      <c r="D2138" s="5" t="s">
        <v>559</v>
      </c>
      <c r="E2138" s="5" t="s">
        <v>1080</v>
      </c>
      <c r="F2138" s="6" t="s">
        <v>593</v>
      </c>
      <c r="G2138" s="4" t="s">
        <v>2</v>
      </c>
      <c r="H2138" s="25">
        <v>77631</v>
      </c>
      <c r="I2138" s="8">
        <v>0</v>
      </c>
      <c r="J2138" s="9">
        <v>0</v>
      </c>
      <c r="K2138" s="7">
        <v>0</v>
      </c>
      <c r="L2138" s="24">
        <f>+Tabla2[[#This Row],[Stock Inventario]]*Tabla2[[#This Row],[Coste LÃ­nea]]</f>
        <v>0</v>
      </c>
      <c r="M2138" s="24">
        <f>+Tabla2[[#This Row],[Variación Stock]]*Tabla2[[#This Row],[Coste LÃ­nea]]</f>
        <v>0</v>
      </c>
      <c r="N2138" s="22" t="str">
        <f>+IF(Tabla2[[#This Row],[Variación Stock]]&gt;0,"Sobrante",IF(Tabla2[[#This Row],[Variación Stock]]&lt;0,"Faltante","Sin novedad"))</f>
        <v>Sin novedad</v>
      </c>
    </row>
    <row r="2139" spans="1:14" hidden="1" x14ac:dyDescent="0.25">
      <c r="A2139" s="11">
        <v>46053</v>
      </c>
      <c r="B2139" s="5" t="s">
        <v>1070</v>
      </c>
      <c r="C2139" s="3" t="s">
        <v>341</v>
      </c>
      <c r="D2139" s="5" t="s">
        <v>559</v>
      </c>
      <c r="E2139" s="5" t="s">
        <v>1080</v>
      </c>
      <c r="F2139" s="6" t="s">
        <v>594</v>
      </c>
      <c r="G2139" s="4" t="s">
        <v>2</v>
      </c>
      <c r="H2139" s="25">
        <v>4498.8055555600004</v>
      </c>
      <c r="I2139" s="8">
        <v>0</v>
      </c>
      <c r="J2139" s="9">
        <v>0</v>
      </c>
      <c r="K2139" s="7">
        <v>0</v>
      </c>
      <c r="L2139" s="24">
        <f>+Tabla2[[#This Row],[Stock Inventario]]*Tabla2[[#This Row],[Coste LÃ­nea]]</f>
        <v>0</v>
      </c>
      <c r="M2139" s="24">
        <f>+Tabla2[[#This Row],[Variación Stock]]*Tabla2[[#This Row],[Coste LÃ­nea]]</f>
        <v>0</v>
      </c>
      <c r="N2139" s="22" t="str">
        <f>+IF(Tabla2[[#This Row],[Variación Stock]]&gt;0,"Sobrante",IF(Tabla2[[#This Row],[Variación Stock]]&lt;0,"Faltante","Sin novedad"))</f>
        <v>Sin novedad</v>
      </c>
    </row>
    <row r="2140" spans="1:14" hidden="1" x14ac:dyDescent="0.25">
      <c r="A2140" s="11">
        <v>46053</v>
      </c>
      <c r="B2140" s="5" t="s">
        <v>1070</v>
      </c>
      <c r="C2140" s="3" t="s">
        <v>341</v>
      </c>
      <c r="D2140" s="5" t="s">
        <v>396</v>
      </c>
      <c r="E2140" s="5" t="s">
        <v>117</v>
      </c>
      <c r="F2140" s="6" t="s">
        <v>450</v>
      </c>
      <c r="G2140" s="4" t="s">
        <v>1</v>
      </c>
      <c r="H2140" s="25">
        <v>2.4009999999999998</v>
      </c>
      <c r="I2140" s="8">
        <v>8054</v>
      </c>
      <c r="J2140" s="9">
        <v>19188</v>
      </c>
      <c r="K2140" s="7">
        <v>11134</v>
      </c>
      <c r="L2140" s="24">
        <f>+Tabla2[[#This Row],[Stock Inventario]]*Tabla2[[#This Row],[Coste LÃ­nea]]</f>
        <v>46070.387999999999</v>
      </c>
      <c r="M2140" s="24">
        <f>+Tabla2[[#This Row],[Variación Stock]]*Tabla2[[#This Row],[Coste LÃ­nea]]</f>
        <v>26732.733999999997</v>
      </c>
      <c r="N2140" s="22" t="str">
        <f>+IF(Tabla2[[#This Row],[Variación Stock]]&gt;0,"Sobrante",IF(Tabla2[[#This Row],[Variación Stock]]&lt;0,"Faltante","Sin novedad"))</f>
        <v>Sobrante</v>
      </c>
    </row>
    <row r="2141" spans="1:14" hidden="1" x14ac:dyDescent="0.25">
      <c r="A2141" s="11">
        <v>46053</v>
      </c>
      <c r="B2141" s="5" t="s">
        <v>1070</v>
      </c>
      <c r="C2141" s="3" t="s">
        <v>341</v>
      </c>
      <c r="D2141" s="5" t="s">
        <v>396</v>
      </c>
      <c r="E2141" s="5" t="s">
        <v>117</v>
      </c>
      <c r="F2141" s="6" t="s">
        <v>468</v>
      </c>
      <c r="G2141" s="4" t="s">
        <v>1</v>
      </c>
      <c r="H2141" s="25">
        <v>8.9250000000000007</v>
      </c>
      <c r="I2141" s="8">
        <v>19260</v>
      </c>
      <c r="J2141" s="9">
        <v>19200</v>
      </c>
      <c r="K2141" s="7">
        <v>-60</v>
      </c>
      <c r="L2141" s="24">
        <f>+Tabla2[[#This Row],[Stock Inventario]]*Tabla2[[#This Row],[Coste LÃ­nea]]</f>
        <v>171360</v>
      </c>
      <c r="M2141" s="24">
        <f>+Tabla2[[#This Row],[Variación Stock]]*Tabla2[[#This Row],[Coste LÃ­nea]]</f>
        <v>-535.5</v>
      </c>
      <c r="N2141" s="22" t="str">
        <f>+IF(Tabla2[[#This Row],[Variación Stock]]&gt;0,"Sobrante",IF(Tabla2[[#This Row],[Variación Stock]]&lt;0,"Faltante","Sin novedad"))</f>
        <v>Faltante</v>
      </c>
    </row>
    <row r="2142" spans="1:14" hidden="1" x14ac:dyDescent="0.25">
      <c r="A2142" s="11">
        <v>46053</v>
      </c>
      <c r="B2142" s="5" t="s">
        <v>1070</v>
      </c>
      <c r="C2142" s="3" t="s">
        <v>341</v>
      </c>
      <c r="D2142" s="5" t="s">
        <v>396</v>
      </c>
      <c r="E2142" s="5" t="s">
        <v>117</v>
      </c>
      <c r="F2142" s="6" t="s">
        <v>422</v>
      </c>
      <c r="G2142" s="4" t="s">
        <v>1</v>
      </c>
      <c r="H2142" s="25">
        <v>24</v>
      </c>
      <c r="I2142" s="8">
        <v>2450</v>
      </c>
      <c r="J2142" s="9">
        <v>2444</v>
      </c>
      <c r="K2142" s="7">
        <v>-6</v>
      </c>
      <c r="L2142" s="24">
        <f>+Tabla2[[#This Row],[Stock Inventario]]*Tabla2[[#This Row],[Coste LÃ­nea]]</f>
        <v>58656</v>
      </c>
      <c r="M2142" s="24">
        <f>+Tabla2[[#This Row],[Variación Stock]]*Tabla2[[#This Row],[Coste LÃ­nea]]</f>
        <v>-144</v>
      </c>
      <c r="N2142" s="22" t="str">
        <f>+IF(Tabla2[[#This Row],[Variación Stock]]&gt;0,"Sobrante",IF(Tabla2[[#This Row],[Variación Stock]]&lt;0,"Faltante","Sin novedad"))</f>
        <v>Faltante</v>
      </c>
    </row>
    <row r="2143" spans="1:14" hidden="1" x14ac:dyDescent="0.25">
      <c r="A2143" s="11">
        <v>46053</v>
      </c>
      <c r="B2143" s="5" t="s">
        <v>1070</v>
      </c>
      <c r="C2143" s="3" t="s">
        <v>341</v>
      </c>
      <c r="D2143" s="5" t="s">
        <v>396</v>
      </c>
      <c r="E2143" s="5" t="s">
        <v>117</v>
      </c>
      <c r="F2143" s="6" t="s">
        <v>406</v>
      </c>
      <c r="G2143" s="4" t="s">
        <v>2</v>
      </c>
      <c r="H2143" s="25">
        <v>709.24</v>
      </c>
      <c r="I2143" s="8">
        <v>1063</v>
      </c>
      <c r="J2143" s="9">
        <v>833</v>
      </c>
      <c r="K2143" s="7">
        <v>-230</v>
      </c>
      <c r="L2143" s="24">
        <f>+Tabla2[[#This Row],[Stock Inventario]]*Tabla2[[#This Row],[Coste LÃ­nea]]</f>
        <v>590796.92000000004</v>
      </c>
      <c r="M2143" s="24">
        <f>+Tabla2[[#This Row],[Variación Stock]]*Tabla2[[#This Row],[Coste LÃ­nea]]</f>
        <v>-163125.20000000001</v>
      </c>
      <c r="N2143" s="22" t="str">
        <f>+IF(Tabla2[[#This Row],[Variación Stock]]&gt;0,"Sobrante",IF(Tabla2[[#This Row],[Variación Stock]]&lt;0,"Faltante","Sin novedad"))</f>
        <v>Faltante</v>
      </c>
    </row>
    <row r="2144" spans="1:14" hidden="1" x14ac:dyDescent="0.25">
      <c r="A2144" s="11">
        <v>46053</v>
      </c>
      <c r="B2144" s="5" t="s">
        <v>1070</v>
      </c>
      <c r="C2144" s="3" t="s">
        <v>341</v>
      </c>
      <c r="D2144" s="5" t="s">
        <v>323</v>
      </c>
      <c r="E2144" s="5" t="s">
        <v>117</v>
      </c>
      <c r="F2144" s="6" t="s">
        <v>347</v>
      </c>
      <c r="G2144" s="4" t="s">
        <v>1</v>
      </c>
      <c r="H2144" s="25">
        <v>12.51466177</v>
      </c>
      <c r="I2144" s="8">
        <v>10500</v>
      </c>
      <c r="J2144" s="9">
        <v>10788</v>
      </c>
      <c r="K2144" s="7">
        <v>288</v>
      </c>
      <c r="L2144" s="24">
        <f>+Tabla2[[#This Row],[Stock Inventario]]*Tabla2[[#This Row],[Coste LÃ­nea]]</f>
        <v>135008.17117476001</v>
      </c>
      <c r="M2144" s="24">
        <f>+Tabla2[[#This Row],[Variación Stock]]*Tabla2[[#This Row],[Coste LÃ­nea]]</f>
        <v>3604.2225897600001</v>
      </c>
      <c r="N2144" s="22" t="str">
        <f>+IF(Tabla2[[#This Row],[Variación Stock]]&gt;0,"Sobrante",IF(Tabla2[[#This Row],[Variación Stock]]&lt;0,"Faltante","Sin novedad"))</f>
        <v>Sobrante</v>
      </c>
    </row>
    <row r="2145" spans="1:14" hidden="1" x14ac:dyDescent="0.25">
      <c r="A2145" s="11">
        <v>46053</v>
      </c>
      <c r="B2145" s="5" t="s">
        <v>1070</v>
      </c>
      <c r="C2145" s="3" t="s">
        <v>341</v>
      </c>
      <c r="D2145" s="5" t="s">
        <v>323</v>
      </c>
      <c r="E2145" s="5" t="s">
        <v>117</v>
      </c>
      <c r="F2145" s="6" t="s">
        <v>344</v>
      </c>
      <c r="G2145" s="4" t="s">
        <v>1</v>
      </c>
      <c r="H2145" s="25">
        <v>13.053135299999999</v>
      </c>
      <c r="I2145" s="8">
        <v>11000</v>
      </c>
      <c r="J2145" s="9">
        <v>11000</v>
      </c>
      <c r="K2145" s="7">
        <v>0</v>
      </c>
      <c r="L2145" s="24">
        <f>+Tabla2[[#This Row],[Stock Inventario]]*Tabla2[[#This Row],[Coste LÃ­nea]]</f>
        <v>143584.4883</v>
      </c>
      <c r="M2145" s="24">
        <f>+Tabla2[[#This Row],[Variación Stock]]*Tabla2[[#This Row],[Coste LÃ­nea]]</f>
        <v>0</v>
      </c>
      <c r="N2145" s="22" t="str">
        <f>+IF(Tabla2[[#This Row],[Variación Stock]]&gt;0,"Sobrante",IF(Tabla2[[#This Row],[Variación Stock]]&lt;0,"Faltante","Sin novedad"))</f>
        <v>Sin novedad</v>
      </c>
    </row>
    <row r="2146" spans="1:14" x14ac:dyDescent="0.25">
      <c r="A2146" s="11">
        <v>46053</v>
      </c>
      <c r="B2146" s="5" t="s">
        <v>1070</v>
      </c>
      <c r="C2146" s="3" t="s">
        <v>341</v>
      </c>
      <c r="D2146" s="5" t="s">
        <v>121</v>
      </c>
      <c r="E2146" s="5" t="s">
        <v>112</v>
      </c>
      <c r="F2146" s="6" t="s">
        <v>352</v>
      </c>
      <c r="G2146" s="4" t="s">
        <v>2</v>
      </c>
      <c r="H2146" s="25">
        <v>2170.71287394</v>
      </c>
      <c r="I2146" s="8">
        <v>0</v>
      </c>
      <c r="J2146" s="9">
        <v>0</v>
      </c>
      <c r="K2146" s="7">
        <v>0</v>
      </c>
      <c r="L2146" s="24">
        <f>+Tabla2[[#This Row],[Stock Inventario]]*Tabla2[[#This Row],[Coste LÃ­nea]]</f>
        <v>0</v>
      </c>
      <c r="M2146" s="24">
        <f>+Tabla2[[#This Row],[Variación Stock]]*Tabla2[[#This Row],[Coste LÃ­nea]]</f>
        <v>0</v>
      </c>
      <c r="N2146" s="22" t="str">
        <f>+IF(Tabla2[[#This Row],[Variación Stock]]&gt;0,"Sobrante",IF(Tabla2[[#This Row],[Variación Stock]]&lt;0,"Faltante","Sin novedad"))</f>
        <v>Sin novedad</v>
      </c>
    </row>
    <row r="2147" spans="1:14" hidden="1" x14ac:dyDescent="0.25">
      <c r="A2147" s="11">
        <v>46053</v>
      </c>
      <c r="B2147" s="5" t="s">
        <v>1070</v>
      </c>
      <c r="C2147" s="3" t="s">
        <v>341</v>
      </c>
      <c r="D2147" s="5" t="s">
        <v>323</v>
      </c>
      <c r="E2147" s="5" t="s">
        <v>117</v>
      </c>
      <c r="F2147" s="6" t="s">
        <v>324</v>
      </c>
      <c r="G2147" s="4" t="s">
        <v>2</v>
      </c>
      <c r="H2147" s="25">
        <v>4832.9288793100004</v>
      </c>
      <c r="I2147" s="8">
        <v>100</v>
      </c>
      <c r="J2147" s="9">
        <v>116</v>
      </c>
      <c r="K2147" s="7">
        <v>16</v>
      </c>
      <c r="L2147" s="24">
        <f>+Tabla2[[#This Row],[Stock Inventario]]*Tabla2[[#This Row],[Coste LÃ­nea]]</f>
        <v>560619.74999996007</v>
      </c>
      <c r="M2147" s="24">
        <f>+Tabla2[[#This Row],[Variación Stock]]*Tabla2[[#This Row],[Coste LÃ­nea]]</f>
        <v>77326.862068960007</v>
      </c>
      <c r="N2147" s="22" t="str">
        <f>+IF(Tabla2[[#This Row],[Variación Stock]]&gt;0,"Sobrante",IF(Tabla2[[#This Row],[Variación Stock]]&lt;0,"Faltante","Sin novedad"))</f>
        <v>Sobrante</v>
      </c>
    </row>
    <row r="2148" spans="1:14" hidden="1" x14ac:dyDescent="0.25">
      <c r="A2148" s="11">
        <v>46053</v>
      </c>
      <c r="B2148" s="5" t="s">
        <v>1070</v>
      </c>
      <c r="C2148" s="3" t="s">
        <v>341</v>
      </c>
      <c r="D2148" s="5" t="s">
        <v>323</v>
      </c>
      <c r="E2148" s="5" t="s">
        <v>117</v>
      </c>
      <c r="F2148" s="6" t="s">
        <v>348</v>
      </c>
      <c r="G2148" s="4" t="s">
        <v>1</v>
      </c>
      <c r="H2148" s="25">
        <v>13.779523259999999</v>
      </c>
      <c r="I2148" s="8">
        <v>117930</v>
      </c>
      <c r="J2148" s="9">
        <v>85930</v>
      </c>
      <c r="K2148" s="7">
        <v>-32000</v>
      </c>
      <c r="L2148" s="24">
        <f>+Tabla2[[#This Row],[Stock Inventario]]*Tabla2[[#This Row],[Coste LÃ­nea]]</f>
        <v>1184074.4337317999</v>
      </c>
      <c r="M2148" s="24">
        <f>+Tabla2[[#This Row],[Variación Stock]]*Tabla2[[#This Row],[Coste LÃ­nea]]</f>
        <v>-440944.74432</v>
      </c>
      <c r="N2148" s="22" t="str">
        <f>+IF(Tabla2[[#This Row],[Variación Stock]]&gt;0,"Sobrante",IF(Tabla2[[#This Row],[Variación Stock]]&lt;0,"Faltante","Sin novedad"))</f>
        <v>Faltante</v>
      </c>
    </row>
    <row r="2149" spans="1:14" x14ac:dyDescent="0.25">
      <c r="A2149" s="11">
        <v>46053</v>
      </c>
      <c r="B2149" s="5" t="s">
        <v>1070</v>
      </c>
      <c r="C2149" s="3" t="s">
        <v>341</v>
      </c>
      <c r="D2149" s="5" t="s">
        <v>121</v>
      </c>
      <c r="E2149" s="5" t="s">
        <v>112</v>
      </c>
      <c r="F2149" s="6" t="s">
        <v>355</v>
      </c>
      <c r="G2149" s="4" t="s">
        <v>1</v>
      </c>
      <c r="H2149" s="25">
        <v>45.040723980000003</v>
      </c>
      <c r="I2149" s="8">
        <v>0</v>
      </c>
      <c r="J2149" s="9">
        <v>0</v>
      </c>
      <c r="K2149" s="7">
        <v>0</v>
      </c>
      <c r="L2149" s="24">
        <f>+Tabla2[[#This Row],[Stock Inventario]]*Tabla2[[#This Row],[Coste LÃ­nea]]</f>
        <v>0</v>
      </c>
      <c r="M2149" s="24">
        <f>+Tabla2[[#This Row],[Variación Stock]]*Tabla2[[#This Row],[Coste LÃ­nea]]</f>
        <v>0</v>
      </c>
      <c r="N2149" s="22" t="str">
        <f>+IF(Tabla2[[#This Row],[Variación Stock]]&gt;0,"Sobrante",IF(Tabla2[[#This Row],[Variación Stock]]&lt;0,"Faltante","Sin novedad"))</f>
        <v>Sin novedad</v>
      </c>
    </row>
    <row r="2150" spans="1:14" hidden="1" x14ac:dyDescent="0.25">
      <c r="A2150" s="11">
        <v>46053</v>
      </c>
      <c r="B2150" s="5" t="s">
        <v>1070</v>
      </c>
      <c r="C2150" s="3" t="s">
        <v>341</v>
      </c>
      <c r="D2150" s="5" t="s">
        <v>120</v>
      </c>
      <c r="E2150" s="5" t="s">
        <v>117</v>
      </c>
      <c r="F2150" s="6" t="s">
        <v>321</v>
      </c>
      <c r="G2150" s="4" t="s">
        <v>2</v>
      </c>
      <c r="H2150" s="25">
        <v>17671.085396940001</v>
      </c>
      <c r="I2150" s="8">
        <v>33</v>
      </c>
      <c r="J2150" s="9">
        <v>33</v>
      </c>
      <c r="K2150" s="7">
        <v>0</v>
      </c>
      <c r="L2150" s="24">
        <f>+Tabla2[[#This Row],[Stock Inventario]]*Tabla2[[#This Row],[Coste LÃ­nea]]</f>
        <v>583145.81809902005</v>
      </c>
      <c r="M2150" s="24">
        <f>+Tabla2[[#This Row],[Variación Stock]]*Tabla2[[#This Row],[Coste LÃ­nea]]</f>
        <v>0</v>
      </c>
      <c r="N2150" s="22" t="str">
        <f>+IF(Tabla2[[#This Row],[Variación Stock]]&gt;0,"Sobrante",IF(Tabla2[[#This Row],[Variación Stock]]&lt;0,"Faltante","Sin novedad"))</f>
        <v>Sin novedad</v>
      </c>
    </row>
    <row r="2151" spans="1:14" hidden="1" x14ac:dyDescent="0.25">
      <c r="A2151" s="11">
        <v>46053</v>
      </c>
      <c r="B2151" s="5" t="s">
        <v>1070</v>
      </c>
      <c r="C2151" s="3" t="s">
        <v>341</v>
      </c>
      <c r="D2151" s="5" t="s">
        <v>120</v>
      </c>
      <c r="E2151" s="5" t="s">
        <v>117</v>
      </c>
      <c r="F2151" s="6" t="s">
        <v>699</v>
      </c>
      <c r="G2151" s="4" t="s">
        <v>2</v>
      </c>
      <c r="H2151" s="25">
        <v>5928.1262500000003</v>
      </c>
      <c r="I2151" s="8">
        <v>0</v>
      </c>
      <c r="J2151" s="9">
        <v>0</v>
      </c>
      <c r="K2151" s="7">
        <v>0</v>
      </c>
      <c r="L2151" s="24">
        <f>+Tabla2[[#This Row],[Stock Inventario]]*Tabla2[[#This Row],[Coste LÃ­nea]]</f>
        <v>0</v>
      </c>
      <c r="M2151" s="24">
        <f>+Tabla2[[#This Row],[Variación Stock]]*Tabla2[[#This Row],[Coste LÃ­nea]]</f>
        <v>0</v>
      </c>
      <c r="N2151" s="22" t="str">
        <f>+IF(Tabla2[[#This Row],[Variación Stock]]&gt;0,"Sobrante",IF(Tabla2[[#This Row],[Variación Stock]]&lt;0,"Faltante","Sin novedad"))</f>
        <v>Sin novedad</v>
      </c>
    </row>
    <row r="2152" spans="1:14" hidden="1" x14ac:dyDescent="0.25">
      <c r="A2152" s="11">
        <v>46053</v>
      </c>
      <c r="B2152" s="5" t="s">
        <v>1070</v>
      </c>
      <c r="C2152" s="3" t="s">
        <v>341</v>
      </c>
      <c r="D2152" s="5" t="s">
        <v>323</v>
      </c>
      <c r="E2152" s="5" t="s">
        <v>117</v>
      </c>
      <c r="F2152" s="6" t="s">
        <v>325</v>
      </c>
      <c r="G2152" s="4" t="s">
        <v>2</v>
      </c>
      <c r="H2152" s="25">
        <v>1645.2914033699999</v>
      </c>
      <c r="I2152" s="8">
        <v>287</v>
      </c>
      <c r="J2152" s="9">
        <v>285</v>
      </c>
      <c r="K2152" s="7">
        <v>-2</v>
      </c>
      <c r="L2152" s="24">
        <f>+Tabla2[[#This Row],[Stock Inventario]]*Tabla2[[#This Row],[Coste LÃ­nea]]</f>
        <v>468908.04996044998</v>
      </c>
      <c r="M2152" s="24">
        <f>+Tabla2[[#This Row],[Variación Stock]]*Tabla2[[#This Row],[Coste LÃ­nea]]</f>
        <v>-3290.5828067399998</v>
      </c>
      <c r="N2152" s="22" t="str">
        <f>+IF(Tabla2[[#This Row],[Variación Stock]]&gt;0,"Sobrante",IF(Tabla2[[#This Row],[Variación Stock]]&lt;0,"Faltante","Sin novedad"))</f>
        <v>Faltante</v>
      </c>
    </row>
    <row r="2153" spans="1:14" hidden="1" x14ac:dyDescent="0.25">
      <c r="A2153" s="11">
        <v>46053</v>
      </c>
      <c r="B2153" s="5" t="s">
        <v>1070</v>
      </c>
      <c r="C2153" s="3" t="s">
        <v>341</v>
      </c>
      <c r="D2153" s="5" t="s">
        <v>323</v>
      </c>
      <c r="E2153" s="5" t="s">
        <v>117</v>
      </c>
      <c r="F2153" s="6" t="s">
        <v>345</v>
      </c>
      <c r="G2153" s="4" t="s">
        <v>1</v>
      </c>
      <c r="H2153" s="25">
        <v>20.981048869999999</v>
      </c>
      <c r="I2153" s="8">
        <v>-3642</v>
      </c>
      <c r="J2153" s="9">
        <v>3500</v>
      </c>
      <c r="K2153" s="7">
        <v>7142</v>
      </c>
      <c r="L2153" s="24">
        <f>+Tabla2[[#This Row],[Stock Inventario]]*Tabla2[[#This Row],[Coste LÃ­nea]]</f>
        <v>73433.671044999996</v>
      </c>
      <c r="M2153" s="24">
        <f>+Tabla2[[#This Row],[Variación Stock]]*Tabla2[[#This Row],[Coste LÃ­nea]]</f>
        <v>149846.65102953999</v>
      </c>
      <c r="N2153" s="22" t="str">
        <f>+IF(Tabla2[[#This Row],[Variación Stock]]&gt;0,"Sobrante",IF(Tabla2[[#This Row],[Variación Stock]]&lt;0,"Faltante","Sin novedad"))</f>
        <v>Sobrante</v>
      </c>
    </row>
    <row r="2154" spans="1:14" hidden="1" x14ac:dyDescent="0.25">
      <c r="A2154" s="11">
        <v>46053</v>
      </c>
      <c r="B2154" s="5" t="s">
        <v>1070</v>
      </c>
      <c r="C2154" s="3" t="s">
        <v>341</v>
      </c>
      <c r="D2154" s="5" t="s">
        <v>120</v>
      </c>
      <c r="E2154" s="5" t="s">
        <v>117</v>
      </c>
      <c r="F2154" s="6" t="s">
        <v>343</v>
      </c>
      <c r="G2154" s="4" t="s">
        <v>1</v>
      </c>
      <c r="H2154" s="25">
        <v>240</v>
      </c>
      <c r="I2154" s="8">
        <v>0</v>
      </c>
      <c r="J2154" s="9">
        <v>0</v>
      </c>
      <c r="K2154" s="7">
        <v>0</v>
      </c>
      <c r="L2154" s="24">
        <f>+Tabla2[[#This Row],[Stock Inventario]]*Tabla2[[#This Row],[Coste LÃ­nea]]</f>
        <v>0</v>
      </c>
      <c r="M2154" s="24">
        <f>+Tabla2[[#This Row],[Variación Stock]]*Tabla2[[#This Row],[Coste LÃ­nea]]</f>
        <v>0</v>
      </c>
      <c r="N2154" s="22" t="str">
        <f>+IF(Tabla2[[#This Row],[Variación Stock]]&gt;0,"Sobrante",IF(Tabla2[[#This Row],[Variación Stock]]&lt;0,"Faltante","Sin novedad"))</f>
        <v>Sin novedad</v>
      </c>
    </row>
    <row r="2155" spans="1:14" hidden="1" x14ac:dyDescent="0.25">
      <c r="A2155" s="11">
        <v>46053</v>
      </c>
      <c r="B2155" s="5" t="s">
        <v>1070</v>
      </c>
      <c r="C2155" s="3" t="s">
        <v>341</v>
      </c>
      <c r="D2155" s="5" t="s">
        <v>323</v>
      </c>
      <c r="E2155" s="5" t="s">
        <v>117</v>
      </c>
      <c r="F2155" s="6" t="s">
        <v>349</v>
      </c>
      <c r="G2155" s="4" t="s">
        <v>1</v>
      </c>
      <c r="H2155" s="25">
        <v>11.406611420000001</v>
      </c>
      <c r="I2155" s="8">
        <v>14000</v>
      </c>
      <c r="J2155" s="9">
        <v>14000</v>
      </c>
      <c r="K2155" s="7">
        <v>0</v>
      </c>
      <c r="L2155" s="24">
        <f>+Tabla2[[#This Row],[Stock Inventario]]*Tabla2[[#This Row],[Coste LÃ­nea]]</f>
        <v>159692.55988000002</v>
      </c>
      <c r="M2155" s="24">
        <f>+Tabla2[[#This Row],[Variación Stock]]*Tabla2[[#This Row],[Coste LÃ­nea]]</f>
        <v>0</v>
      </c>
      <c r="N2155" s="22" t="str">
        <f>+IF(Tabla2[[#This Row],[Variación Stock]]&gt;0,"Sobrante",IF(Tabla2[[#This Row],[Variación Stock]]&lt;0,"Faltante","Sin novedad"))</f>
        <v>Sin novedad</v>
      </c>
    </row>
    <row r="2156" spans="1:14" x14ac:dyDescent="0.25">
      <c r="A2156" s="11">
        <v>46053</v>
      </c>
      <c r="B2156" s="5" t="s">
        <v>1070</v>
      </c>
      <c r="C2156" s="3" t="s">
        <v>341</v>
      </c>
      <c r="D2156" s="5" t="s">
        <v>121</v>
      </c>
      <c r="E2156" s="5" t="s">
        <v>112</v>
      </c>
      <c r="F2156" s="6" t="s">
        <v>353</v>
      </c>
      <c r="G2156" s="4" t="s">
        <v>1</v>
      </c>
      <c r="H2156" s="25">
        <v>58.412030450000003</v>
      </c>
      <c r="I2156" s="8">
        <v>0</v>
      </c>
      <c r="J2156" s="9">
        <v>0</v>
      </c>
      <c r="K2156" s="7">
        <v>0</v>
      </c>
      <c r="L2156" s="24">
        <f>+Tabla2[[#This Row],[Stock Inventario]]*Tabla2[[#This Row],[Coste LÃ­nea]]</f>
        <v>0</v>
      </c>
      <c r="M2156" s="24">
        <f>+Tabla2[[#This Row],[Variación Stock]]*Tabla2[[#This Row],[Coste LÃ­nea]]</f>
        <v>0</v>
      </c>
      <c r="N2156" s="22" t="str">
        <f>+IF(Tabla2[[#This Row],[Variación Stock]]&gt;0,"Sobrante",IF(Tabla2[[#This Row],[Variación Stock]]&lt;0,"Faltante","Sin novedad"))</f>
        <v>Sin novedad</v>
      </c>
    </row>
    <row r="2157" spans="1:14" x14ac:dyDescent="0.25">
      <c r="A2157" s="11">
        <v>46053</v>
      </c>
      <c r="B2157" s="5" t="s">
        <v>1070</v>
      </c>
      <c r="C2157" s="3" t="s">
        <v>341</v>
      </c>
      <c r="D2157" s="5" t="s">
        <v>121</v>
      </c>
      <c r="E2157" s="5" t="s">
        <v>112</v>
      </c>
      <c r="F2157" s="6" t="s">
        <v>356</v>
      </c>
      <c r="G2157" s="4" t="s">
        <v>1</v>
      </c>
      <c r="H2157" s="25">
        <v>10.8</v>
      </c>
      <c r="I2157" s="8">
        <v>0</v>
      </c>
      <c r="J2157" s="9">
        <v>0</v>
      </c>
      <c r="K2157" s="7">
        <v>0</v>
      </c>
      <c r="L2157" s="24">
        <f>+Tabla2[[#This Row],[Stock Inventario]]*Tabla2[[#This Row],[Coste LÃ­nea]]</f>
        <v>0</v>
      </c>
      <c r="M2157" s="24">
        <f>+Tabla2[[#This Row],[Variación Stock]]*Tabla2[[#This Row],[Coste LÃ­nea]]</f>
        <v>0</v>
      </c>
      <c r="N2157" s="22" t="str">
        <f>+IF(Tabla2[[#This Row],[Variación Stock]]&gt;0,"Sobrante",IF(Tabla2[[#This Row],[Variación Stock]]&lt;0,"Faltante","Sin novedad"))</f>
        <v>Sin novedad</v>
      </c>
    </row>
    <row r="2158" spans="1:14" hidden="1" x14ac:dyDescent="0.25">
      <c r="A2158" s="11">
        <v>46053</v>
      </c>
      <c r="B2158" s="5" t="s">
        <v>1070</v>
      </c>
      <c r="C2158" s="3" t="s">
        <v>341</v>
      </c>
      <c r="D2158" s="5" t="s">
        <v>323</v>
      </c>
      <c r="E2158" s="5" t="s">
        <v>117</v>
      </c>
      <c r="F2158" s="6" t="s">
        <v>350</v>
      </c>
      <c r="G2158" s="4" t="s">
        <v>1</v>
      </c>
      <c r="H2158" s="25">
        <v>36.819758819999997</v>
      </c>
      <c r="I2158" s="8">
        <v>4</v>
      </c>
      <c r="J2158" s="9">
        <v>0</v>
      </c>
      <c r="K2158" s="7">
        <v>-4</v>
      </c>
      <c r="L2158" s="24">
        <f>+Tabla2[[#This Row],[Stock Inventario]]*Tabla2[[#This Row],[Coste LÃ­nea]]</f>
        <v>0</v>
      </c>
      <c r="M2158" s="24">
        <f>+Tabla2[[#This Row],[Variación Stock]]*Tabla2[[#This Row],[Coste LÃ­nea]]</f>
        <v>-147.27903527999999</v>
      </c>
      <c r="N2158" s="22" t="str">
        <f>+IF(Tabla2[[#This Row],[Variación Stock]]&gt;0,"Sobrante",IF(Tabla2[[#This Row],[Variación Stock]]&lt;0,"Faltante","Sin novedad"))</f>
        <v>Faltante</v>
      </c>
    </row>
    <row r="2159" spans="1:14" x14ac:dyDescent="0.25">
      <c r="A2159" s="11">
        <v>46053</v>
      </c>
      <c r="B2159" s="5" t="s">
        <v>1070</v>
      </c>
      <c r="C2159" s="3" t="s">
        <v>341</v>
      </c>
      <c r="D2159" s="5" t="s">
        <v>121</v>
      </c>
      <c r="E2159" s="5" t="s">
        <v>112</v>
      </c>
      <c r="F2159" s="6" t="s">
        <v>802</v>
      </c>
      <c r="G2159" s="4" t="s">
        <v>1</v>
      </c>
      <c r="H2159" s="25">
        <v>21.83529412</v>
      </c>
      <c r="I2159" s="8">
        <v>0</v>
      </c>
      <c r="J2159" s="9">
        <v>0</v>
      </c>
      <c r="K2159" s="7">
        <v>0</v>
      </c>
      <c r="L2159" s="24">
        <f>+Tabla2[[#This Row],[Stock Inventario]]*Tabla2[[#This Row],[Coste LÃ­nea]]</f>
        <v>0</v>
      </c>
      <c r="M2159" s="24">
        <f>+Tabla2[[#This Row],[Variación Stock]]*Tabla2[[#This Row],[Coste LÃ­nea]]</f>
        <v>0</v>
      </c>
      <c r="N2159" s="22" t="str">
        <f>+IF(Tabla2[[#This Row],[Variación Stock]]&gt;0,"Sobrante",IF(Tabla2[[#This Row],[Variación Stock]]&lt;0,"Faltante","Sin novedad"))</f>
        <v>Sin novedad</v>
      </c>
    </row>
    <row r="2160" spans="1:14" hidden="1" x14ac:dyDescent="0.25">
      <c r="A2160" s="11">
        <v>46053</v>
      </c>
      <c r="B2160" s="5" t="s">
        <v>1070</v>
      </c>
      <c r="C2160" s="3" t="s">
        <v>341</v>
      </c>
      <c r="D2160" s="5" t="s">
        <v>323</v>
      </c>
      <c r="E2160" s="5" t="s">
        <v>117</v>
      </c>
      <c r="F2160" s="6" t="s">
        <v>351</v>
      </c>
      <c r="G2160" s="4" t="s">
        <v>2</v>
      </c>
      <c r="H2160" s="25">
        <v>1309.5238095499999</v>
      </c>
      <c r="I2160" s="8">
        <v>350</v>
      </c>
      <c r="J2160" s="9">
        <v>348</v>
      </c>
      <c r="K2160" s="7">
        <v>-2</v>
      </c>
      <c r="L2160" s="24">
        <f>+Tabla2[[#This Row],[Stock Inventario]]*Tabla2[[#This Row],[Coste LÃ­nea]]</f>
        <v>455714.28572339995</v>
      </c>
      <c r="M2160" s="24">
        <f>+Tabla2[[#This Row],[Variación Stock]]*Tabla2[[#This Row],[Coste LÃ­nea]]</f>
        <v>-2619.0476190999998</v>
      </c>
      <c r="N2160" s="22" t="str">
        <f>+IF(Tabla2[[#This Row],[Variación Stock]]&gt;0,"Sobrante",IF(Tabla2[[#This Row],[Variación Stock]]&lt;0,"Faltante","Sin novedad"))</f>
        <v>Faltante</v>
      </c>
    </row>
    <row r="2161" spans="1:14" hidden="1" x14ac:dyDescent="0.25">
      <c r="A2161" s="11">
        <v>46053</v>
      </c>
      <c r="B2161" s="5" t="s">
        <v>1070</v>
      </c>
      <c r="C2161" s="3" t="s">
        <v>341</v>
      </c>
      <c r="D2161" s="5" t="s">
        <v>323</v>
      </c>
      <c r="E2161" s="5" t="s">
        <v>117</v>
      </c>
      <c r="F2161" s="6" t="s">
        <v>326</v>
      </c>
      <c r="G2161" s="4" t="s">
        <v>1</v>
      </c>
      <c r="H2161" s="25">
        <v>23.276470440000001</v>
      </c>
      <c r="I2161" s="8">
        <v>25310</v>
      </c>
      <c r="J2161" s="9">
        <v>25310</v>
      </c>
      <c r="K2161" s="7">
        <v>0</v>
      </c>
      <c r="L2161" s="24">
        <f>+Tabla2[[#This Row],[Stock Inventario]]*Tabla2[[#This Row],[Coste LÃ­nea]]</f>
        <v>589127.46683639998</v>
      </c>
      <c r="M2161" s="24">
        <f>+Tabla2[[#This Row],[Variación Stock]]*Tabla2[[#This Row],[Coste LÃ­nea]]</f>
        <v>0</v>
      </c>
      <c r="N2161" s="22" t="str">
        <f>+IF(Tabla2[[#This Row],[Variación Stock]]&gt;0,"Sobrante",IF(Tabla2[[#This Row],[Variación Stock]]&lt;0,"Faltante","Sin novedad"))</f>
        <v>Sin novedad</v>
      </c>
    </row>
    <row r="2162" spans="1:14" hidden="1" x14ac:dyDescent="0.25">
      <c r="A2162" s="11">
        <v>46053</v>
      </c>
      <c r="B2162" s="5" t="s">
        <v>1070</v>
      </c>
      <c r="C2162" s="3" t="s">
        <v>341</v>
      </c>
      <c r="D2162" s="5" t="s">
        <v>323</v>
      </c>
      <c r="E2162" s="5" t="s">
        <v>117</v>
      </c>
      <c r="F2162" s="6" t="s">
        <v>327</v>
      </c>
      <c r="G2162" s="4" t="s">
        <v>1</v>
      </c>
      <c r="H2162" s="25">
        <v>56.626137929999999</v>
      </c>
      <c r="I2162" s="8">
        <v>-1000</v>
      </c>
      <c r="J2162" s="9">
        <v>25336</v>
      </c>
      <c r="K2162" s="7">
        <v>26336</v>
      </c>
      <c r="L2162" s="24">
        <f>+Tabla2[[#This Row],[Stock Inventario]]*Tabla2[[#This Row],[Coste LÃ­nea]]</f>
        <v>1434679.83059448</v>
      </c>
      <c r="M2162" s="24">
        <f>+Tabla2[[#This Row],[Variación Stock]]*Tabla2[[#This Row],[Coste LÃ­nea]]</f>
        <v>1491305.96852448</v>
      </c>
      <c r="N2162" s="22" t="str">
        <f>+IF(Tabla2[[#This Row],[Variación Stock]]&gt;0,"Sobrante",IF(Tabla2[[#This Row],[Variación Stock]]&lt;0,"Faltante","Sin novedad"))</f>
        <v>Sobrante</v>
      </c>
    </row>
    <row r="2163" spans="1:14" x14ac:dyDescent="0.25">
      <c r="A2163" s="11">
        <v>46053</v>
      </c>
      <c r="B2163" s="5" t="s">
        <v>1070</v>
      </c>
      <c r="C2163" s="3" t="s">
        <v>341</v>
      </c>
      <c r="D2163" s="5" t="s">
        <v>121</v>
      </c>
      <c r="E2163" s="5" t="s">
        <v>112</v>
      </c>
      <c r="F2163" s="6" t="s">
        <v>357</v>
      </c>
      <c r="G2163" s="4" t="s">
        <v>1</v>
      </c>
      <c r="H2163" s="25">
        <v>85.424136300000001</v>
      </c>
      <c r="I2163" s="8">
        <v>0</v>
      </c>
      <c r="J2163" s="9">
        <v>0</v>
      </c>
      <c r="K2163" s="7">
        <v>0</v>
      </c>
      <c r="L2163" s="24">
        <f>+Tabla2[[#This Row],[Stock Inventario]]*Tabla2[[#This Row],[Coste LÃ­nea]]</f>
        <v>0</v>
      </c>
      <c r="M2163" s="24">
        <f>+Tabla2[[#This Row],[Variación Stock]]*Tabla2[[#This Row],[Coste LÃ­nea]]</f>
        <v>0</v>
      </c>
      <c r="N2163" s="22" t="str">
        <f>+IF(Tabla2[[#This Row],[Variación Stock]]&gt;0,"Sobrante",IF(Tabla2[[#This Row],[Variación Stock]]&lt;0,"Faltante","Sin novedad"))</f>
        <v>Sin novedad</v>
      </c>
    </row>
    <row r="2164" spans="1:14" hidden="1" x14ac:dyDescent="0.25">
      <c r="A2164" s="11">
        <v>46053</v>
      </c>
      <c r="B2164" s="5" t="s">
        <v>1070</v>
      </c>
      <c r="C2164" s="3" t="s">
        <v>341</v>
      </c>
      <c r="D2164" s="5" t="s">
        <v>323</v>
      </c>
      <c r="E2164" s="5" t="s">
        <v>117</v>
      </c>
      <c r="F2164" s="6" t="s">
        <v>346</v>
      </c>
      <c r="G2164" s="4" t="s">
        <v>1</v>
      </c>
      <c r="H2164" s="25">
        <v>33.255269220000002</v>
      </c>
      <c r="I2164" s="8">
        <v>13550</v>
      </c>
      <c r="J2164" s="9">
        <v>13514</v>
      </c>
      <c r="K2164" s="7">
        <v>-36</v>
      </c>
      <c r="L2164" s="24">
        <f>+Tabla2[[#This Row],[Stock Inventario]]*Tabla2[[#This Row],[Coste LÃ­nea]]</f>
        <v>449411.70823908004</v>
      </c>
      <c r="M2164" s="24">
        <f>+Tabla2[[#This Row],[Variación Stock]]*Tabla2[[#This Row],[Coste LÃ­nea]]</f>
        <v>-1197.1896919200001</v>
      </c>
      <c r="N2164" s="22" t="str">
        <f>+IF(Tabla2[[#This Row],[Variación Stock]]&gt;0,"Sobrante",IF(Tabla2[[#This Row],[Variación Stock]]&lt;0,"Faltante","Sin novedad"))</f>
        <v>Faltante</v>
      </c>
    </row>
    <row r="2165" spans="1:14" hidden="1" x14ac:dyDescent="0.25">
      <c r="A2165" s="11">
        <v>46053</v>
      </c>
      <c r="B2165" s="5" t="s">
        <v>1070</v>
      </c>
      <c r="C2165" s="3" t="s">
        <v>341</v>
      </c>
      <c r="D2165" s="5" t="s">
        <v>323</v>
      </c>
      <c r="E2165" s="5" t="s">
        <v>117</v>
      </c>
      <c r="F2165" s="6" t="s">
        <v>328</v>
      </c>
      <c r="G2165" s="4" t="s">
        <v>2</v>
      </c>
      <c r="H2165" s="25">
        <v>20261.49076923</v>
      </c>
      <c r="I2165" s="8">
        <v>151</v>
      </c>
      <c r="J2165" s="9">
        <v>151</v>
      </c>
      <c r="K2165" s="7">
        <v>0</v>
      </c>
      <c r="L2165" s="24">
        <f>+Tabla2[[#This Row],[Stock Inventario]]*Tabla2[[#This Row],[Coste LÃ­nea]]</f>
        <v>3059485.1061537298</v>
      </c>
      <c r="M2165" s="24">
        <f>+Tabla2[[#This Row],[Variación Stock]]*Tabla2[[#This Row],[Coste LÃ­nea]]</f>
        <v>0</v>
      </c>
      <c r="N2165" s="22" t="str">
        <f>+IF(Tabla2[[#This Row],[Variación Stock]]&gt;0,"Sobrante",IF(Tabla2[[#This Row],[Variación Stock]]&lt;0,"Faltante","Sin novedad"))</f>
        <v>Sin novedad</v>
      </c>
    </row>
    <row r="2166" spans="1:14" hidden="1" x14ac:dyDescent="0.25">
      <c r="A2166" s="11">
        <v>46053</v>
      </c>
      <c r="B2166" s="5" t="s">
        <v>1070</v>
      </c>
      <c r="C2166" s="3" t="s">
        <v>341</v>
      </c>
      <c r="D2166" s="5" t="s">
        <v>323</v>
      </c>
      <c r="E2166" s="5" t="s">
        <v>117</v>
      </c>
      <c r="F2166" s="6" t="s">
        <v>329</v>
      </c>
      <c r="G2166" s="4" t="s">
        <v>2</v>
      </c>
      <c r="H2166" s="25">
        <v>7153.7631219499999</v>
      </c>
      <c r="I2166" s="8">
        <v>1428</v>
      </c>
      <c r="J2166" s="9">
        <v>1428</v>
      </c>
      <c r="K2166" s="7">
        <v>0</v>
      </c>
      <c r="L2166" s="24">
        <f>+Tabla2[[#This Row],[Stock Inventario]]*Tabla2[[#This Row],[Coste LÃ­nea]]</f>
        <v>10215573.738144601</v>
      </c>
      <c r="M2166" s="24">
        <f>+Tabla2[[#This Row],[Variación Stock]]*Tabla2[[#This Row],[Coste LÃ­nea]]</f>
        <v>0</v>
      </c>
      <c r="N2166" s="22" t="str">
        <f>+IF(Tabla2[[#This Row],[Variación Stock]]&gt;0,"Sobrante",IF(Tabla2[[#This Row],[Variación Stock]]&lt;0,"Faltante","Sin novedad"))</f>
        <v>Sin novedad</v>
      </c>
    </row>
    <row r="2167" spans="1:14" hidden="1" x14ac:dyDescent="0.25">
      <c r="A2167" s="32">
        <v>46053</v>
      </c>
      <c r="B2167" s="33" t="s">
        <v>1070</v>
      </c>
      <c r="C2167" s="34" t="s">
        <v>341</v>
      </c>
      <c r="D2167" s="33" t="s">
        <v>120</v>
      </c>
      <c r="E2167" s="33" t="s">
        <v>117</v>
      </c>
      <c r="F2167" s="13" t="s">
        <v>1076</v>
      </c>
      <c r="G2167" s="14" t="s">
        <v>2</v>
      </c>
      <c r="H2167" s="35">
        <v>1.8526315799999999</v>
      </c>
      <c r="I2167" s="36">
        <v>0</v>
      </c>
      <c r="J2167" s="37">
        <v>0</v>
      </c>
      <c r="K2167" s="15">
        <v>0</v>
      </c>
      <c r="L2167" s="35">
        <f>+Tabla2[[#This Row],[Stock Inventario]]*Tabla2[[#This Row],[Coste LÃ­nea]]</f>
        <v>0</v>
      </c>
      <c r="M2167" s="24">
        <f>+Tabla2[[#This Row],[Variación Stock]]*Tabla2[[#This Row],[Coste LÃ­nea]]</f>
        <v>0</v>
      </c>
      <c r="N2167" s="38" t="str">
        <f>+IF(Tabla2[[#This Row],[Variación Stock]]&gt;0,"Sobrante",IF(Tabla2[[#This Row],[Variación Stock]]&lt;0,"Faltante","Sin novedad"))</f>
        <v>Sin novedad</v>
      </c>
    </row>
    <row r="2168" spans="1:14" hidden="1" x14ac:dyDescent="0.25">
      <c r="A2168" s="11">
        <v>46053</v>
      </c>
      <c r="B2168" s="5" t="s">
        <v>1070</v>
      </c>
      <c r="C2168" s="3" t="s">
        <v>341</v>
      </c>
      <c r="D2168" s="5" t="s">
        <v>323</v>
      </c>
      <c r="E2168" s="5" t="s">
        <v>117</v>
      </c>
      <c r="F2168" s="6" t="s">
        <v>330</v>
      </c>
      <c r="G2168" s="4" t="s">
        <v>2</v>
      </c>
      <c r="H2168" s="25">
        <v>1794.7556159000001</v>
      </c>
      <c r="I2168" s="8">
        <v>365</v>
      </c>
      <c r="J2168" s="9">
        <v>365</v>
      </c>
      <c r="K2168" s="7">
        <v>0</v>
      </c>
      <c r="L2168" s="24">
        <f>+Tabla2[[#This Row],[Stock Inventario]]*Tabla2[[#This Row],[Coste LÃ­nea]]</f>
        <v>655085.79980350006</v>
      </c>
      <c r="M2168" s="24">
        <f>+Tabla2[[#This Row],[Variación Stock]]*Tabla2[[#This Row],[Coste LÃ­nea]]</f>
        <v>0</v>
      </c>
      <c r="N2168" s="22" t="str">
        <f>+IF(Tabla2[[#This Row],[Variación Stock]]&gt;0,"Sobrante",IF(Tabla2[[#This Row],[Variación Stock]]&lt;0,"Faltante","Sin novedad"))</f>
        <v>Sin novedad</v>
      </c>
    </row>
    <row r="2169" spans="1:14" x14ac:dyDescent="0.25">
      <c r="A2169" s="11">
        <v>46053</v>
      </c>
      <c r="B2169" s="5" t="s">
        <v>1070</v>
      </c>
      <c r="C2169" s="3" t="s">
        <v>341</v>
      </c>
      <c r="D2169" s="5" t="s">
        <v>121</v>
      </c>
      <c r="E2169" s="5" t="s">
        <v>112</v>
      </c>
      <c r="F2169" s="6" t="s">
        <v>354</v>
      </c>
      <c r="G2169" s="4" t="s">
        <v>1</v>
      </c>
      <c r="H2169" s="25">
        <v>66.666666669999998</v>
      </c>
      <c r="I2169" s="8">
        <v>678</v>
      </c>
      <c r="J2169" s="9">
        <v>670</v>
      </c>
      <c r="K2169" s="7">
        <v>-8</v>
      </c>
      <c r="L2169" s="24">
        <f>+Tabla2[[#This Row],[Stock Inventario]]*Tabla2[[#This Row],[Coste LÃ­nea]]</f>
        <v>44666.666668899998</v>
      </c>
      <c r="M2169" s="24">
        <f>+Tabla2[[#This Row],[Variación Stock]]*Tabla2[[#This Row],[Coste LÃ­nea]]</f>
        <v>-533.33333335999998</v>
      </c>
      <c r="N2169" s="22" t="str">
        <f>+IF(Tabla2[[#This Row],[Variación Stock]]&gt;0,"Sobrante",IF(Tabla2[[#This Row],[Variación Stock]]&lt;0,"Faltante","Sin novedad"))</f>
        <v>Faltante</v>
      </c>
    </row>
    <row r="2170" spans="1:14" hidden="1" x14ac:dyDescent="0.25">
      <c r="A2170" s="11">
        <v>46053</v>
      </c>
      <c r="B2170" s="5" t="s">
        <v>1070</v>
      </c>
      <c r="C2170" s="3" t="s">
        <v>341</v>
      </c>
      <c r="D2170" s="5" t="s">
        <v>120</v>
      </c>
      <c r="E2170" s="5" t="s">
        <v>117</v>
      </c>
      <c r="F2170" s="6" t="s">
        <v>320</v>
      </c>
      <c r="G2170" s="4" t="s">
        <v>2</v>
      </c>
      <c r="H2170" s="25">
        <v>6476.7767878900004</v>
      </c>
      <c r="I2170" s="8">
        <v>27</v>
      </c>
      <c r="J2170" s="9">
        <v>27</v>
      </c>
      <c r="K2170" s="7">
        <v>0</v>
      </c>
      <c r="L2170" s="24">
        <f>+Tabla2[[#This Row],[Stock Inventario]]*Tabla2[[#This Row],[Coste LÃ­nea]]</f>
        <v>174872.97327303002</v>
      </c>
      <c r="M2170" s="24">
        <f>+Tabla2[[#This Row],[Variación Stock]]*Tabla2[[#This Row],[Coste LÃ­nea]]</f>
        <v>0</v>
      </c>
      <c r="N2170" s="22" t="str">
        <f>+IF(Tabla2[[#This Row],[Variación Stock]]&gt;0,"Sobrante",IF(Tabla2[[#This Row],[Variación Stock]]&lt;0,"Faltante","Sin novedad"))</f>
        <v>Sin novedad</v>
      </c>
    </row>
    <row r="2171" spans="1:14" hidden="1" x14ac:dyDescent="0.25">
      <c r="A2171" s="11">
        <v>46053</v>
      </c>
      <c r="B2171" s="5" t="s">
        <v>1070</v>
      </c>
      <c r="C2171" s="3" t="s">
        <v>341</v>
      </c>
      <c r="D2171" s="5" t="s">
        <v>626</v>
      </c>
      <c r="E2171" s="5" t="s">
        <v>1079</v>
      </c>
      <c r="F2171" s="6" t="s">
        <v>1028</v>
      </c>
      <c r="G2171" s="4" t="s">
        <v>1029</v>
      </c>
      <c r="H2171" s="25">
        <v>65345</v>
      </c>
      <c r="I2171" s="8">
        <v>0</v>
      </c>
      <c r="J2171" s="9">
        <v>0</v>
      </c>
      <c r="K2171" s="7">
        <v>0</v>
      </c>
      <c r="L2171" s="24">
        <f>+Tabla2[[#This Row],[Stock Inventario]]*Tabla2[[#This Row],[Coste LÃ­nea]]</f>
        <v>0</v>
      </c>
      <c r="M2171" s="24">
        <f>+Tabla2[[#This Row],[Variación Stock]]*Tabla2[[#This Row],[Coste LÃ­nea]]</f>
        <v>0</v>
      </c>
      <c r="N2171" s="22" t="str">
        <f>+IF(Tabla2[[#This Row],[Variación Stock]]&gt;0,"Sobrante",IF(Tabla2[[#This Row],[Variación Stock]]&lt;0,"Faltante","Sin novedad"))</f>
        <v>Sin novedad</v>
      </c>
    </row>
    <row r="2172" spans="1:14" hidden="1" x14ac:dyDescent="0.25">
      <c r="A2172" s="11">
        <v>46053</v>
      </c>
      <c r="B2172" s="5" t="s">
        <v>1070</v>
      </c>
      <c r="C2172" s="3" t="s">
        <v>341</v>
      </c>
      <c r="D2172" s="5" t="s">
        <v>119</v>
      </c>
      <c r="E2172" s="5" t="s">
        <v>117</v>
      </c>
      <c r="F2172" s="6" t="s">
        <v>13</v>
      </c>
      <c r="G2172" s="4" t="s">
        <v>2</v>
      </c>
      <c r="H2172" s="25">
        <v>8166.6666666700003</v>
      </c>
      <c r="I2172" s="8">
        <v>0</v>
      </c>
      <c r="J2172" s="9">
        <v>0</v>
      </c>
      <c r="K2172" s="7">
        <v>0</v>
      </c>
      <c r="L2172" s="24">
        <f>+Tabla2[[#This Row],[Stock Inventario]]*Tabla2[[#This Row],[Coste LÃ­nea]]</f>
        <v>0</v>
      </c>
      <c r="M2172" s="24">
        <f>+Tabla2[[#This Row],[Variación Stock]]*Tabla2[[#This Row],[Coste LÃ­nea]]</f>
        <v>0</v>
      </c>
      <c r="N2172" s="22" t="str">
        <f>+IF(Tabla2[[#This Row],[Variación Stock]]&gt;0,"Sobrante",IF(Tabla2[[#This Row],[Variación Stock]]&lt;0,"Faltante","Sin novedad"))</f>
        <v>Sin novedad</v>
      </c>
    </row>
    <row r="2173" spans="1:14" hidden="1" x14ac:dyDescent="0.25">
      <c r="A2173" s="11">
        <v>46053</v>
      </c>
      <c r="B2173" s="5" t="s">
        <v>1070</v>
      </c>
      <c r="C2173" s="3" t="s">
        <v>341</v>
      </c>
      <c r="D2173" s="5" t="s">
        <v>119</v>
      </c>
      <c r="E2173" s="5" t="s">
        <v>117</v>
      </c>
      <c r="F2173" s="6" t="s">
        <v>199</v>
      </c>
      <c r="G2173" s="4" t="s">
        <v>1</v>
      </c>
      <c r="H2173" s="25">
        <v>454.81299999999999</v>
      </c>
      <c r="I2173" s="8">
        <v>1500</v>
      </c>
      <c r="J2173" s="9">
        <v>1200</v>
      </c>
      <c r="K2173" s="7">
        <v>-300</v>
      </c>
      <c r="L2173" s="24">
        <f>+Tabla2[[#This Row],[Stock Inventario]]*Tabla2[[#This Row],[Coste LÃ­nea]]</f>
        <v>545775.6</v>
      </c>
      <c r="M2173" s="24">
        <f>+Tabla2[[#This Row],[Variación Stock]]*Tabla2[[#This Row],[Coste LÃ­nea]]</f>
        <v>-136443.9</v>
      </c>
      <c r="N2173" s="22" t="str">
        <f>+IF(Tabla2[[#This Row],[Variación Stock]]&gt;0,"Sobrante",IF(Tabla2[[#This Row],[Variación Stock]]&lt;0,"Faltante","Sin novedad"))</f>
        <v>Faltante</v>
      </c>
    </row>
    <row r="2174" spans="1:14" hidden="1" x14ac:dyDescent="0.25">
      <c r="A2174" s="11">
        <v>46053</v>
      </c>
      <c r="B2174" s="5" t="s">
        <v>1070</v>
      </c>
      <c r="C2174" s="3" t="s">
        <v>341</v>
      </c>
      <c r="D2174" s="5" t="s">
        <v>471</v>
      </c>
      <c r="E2174" s="5" t="s">
        <v>117</v>
      </c>
      <c r="F2174" s="6" t="s">
        <v>535</v>
      </c>
      <c r="G2174" s="4" t="s">
        <v>1</v>
      </c>
      <c r="H2174" s="25">
        <v>15.5</v>
      </c>
      <c r="I2174" s="8">
        <v>227</v>
      </c>
      <c r="J2174" s="9">
        <v>250</v>
      </c>
      <c r="K2174" s="7">
        <v>23</v>
      </c>
      <c r="L2174" s="24">
        <f>+Tabla2[[#This Row],[Stock Inventario]]*Tabla2[[#This Row],[Coste LÃ­nea]]</f>
        <v>3875</v>
      </c>
      <c r="M2174" s="24">
        <f>+Tabla2[[#This Row],[Variación Stock]]*Tabla2[[#This Row],[Coste LÃ­nea]]</f>
        <v>356.5</v>
      </c>
      <c r="N2174" s="22" t="str">
        <f>+IF(Tabla2[[#This Row],[Variación Stock]]&gt;0,"Sobrante",IF(Tabla2[[#This Row],[Variación Stock]]&lt;0,"Faltante","Sin novedad"))</f>
        <v>Sobrante</v>
      </c>
    </row>
    <row r="2175" spans="1:14" hidden="1" x14ac:dyDescent="0.25">
      <c r="A2175" s="11">
        <v>46053</v>
      </c>
      <c r="B2175" s="5" t="s">
        <v>1070</v>
      </c>
      <c r="C2175" s="3" t="s">
        <v>341</v>
      </c>
      <c r="D2175" s="5" t="s">
        <v>471</v>
      </c>
      <c r="E2175" s="5" t="s">
        <v>117</v>
      </c>
      <c r="F2175" s="6" t="s">
        <v>536</v>
      </c>
      <c r="G2175" s="4" t="s">
        <v>1</v>
      </c>
      <c r="H2175" s="25">
        <v>6</v>
      </c>
      <c r="I2175" s="8">
        <v>6000</v>
      </c>
      <c r="J2175" s="9">
        <v>634</v>
      </c>
      <c r="K2175" s="7">
        <v>-5366</v>
      </c>
      <c r="L2175" s="24">
        <f>+Tabla2[[#This Row],[Stock Inventario]]*Tabla2[[#This Row],[Coste LÃ­nea]]</f>
        <v>3804</v>
      </c>
      <c r="M2175" s="24">
        <f>+Tabla2[[#This Row],[Variación Stock]]*Tabla2[[#This Row],[Coste LÃ­nea]]</f>
        <v>-32196</v>
      </c>
      <c r="N2175" s="22" t="str">
        <f>+IF(Tabla2[[#This Row],[Variación Stock]]&gt;0,"Sobrante",IF(Tabla2[[#This Row],[Variación Stock]]&lt;0,"Faltante","Sin novedad"))</f>
        <v>Faltante</v>
      </c>
    </row>
    <row r="2176" spans="1:14" hidden="1" x14ac:dyDescent="0.25">
      <c r="A2176" s="11">
        <v>46053</v>
      </c>
      <c r="B2176" s="5" t="s">
        <v>1070</v>
      </c>
      <c r="C2176" s="3" t="s">
        <v>341</v>
      </c>
      <c r="D2176" s="5" t="s">
        <v>396</v>
      </c>
      <c r="E2176" s="5" t="s">
        <v>117</v>
      </c>
      <c r="F2176" s="6" t="s">
        <v>976</v>
      </c>
      <c r="G2176" s="4" t="s">
        <v>2</v>
      </c>
      <c r="H2176" s="25">
        <v>240</v>
      </c>
      <c r="I2176" s="8">
        <v>0</v>
      </c>
      <c r="J2176" s="9">
        <v>0</v>
      </c>
      <c r="K2176" s="7">
        <v>0</v>
      </c>
      <c r="L2176" s="24">
        <f>+Tabla2[[#This Row],[Stock Inventario]]*Tabla2[[#This Row],[Coste LÃ­nea]]</f>
        <v>0</v>
      </c>
      <c r="M2176" s="24">
        <f>+Tabla2[[#This Row],[Variación Stock]]*Tabla2[[#This Row],[Coste LÃ­nea]]</f>
        <v>0</v>
      </c>
      <c r="N2176" s="22" t="str">
        <f>+IF(Tabla2[[#This Row],[Variación Stock]]&gt;0,"Sobrante",IF(Tabla2[[#This Row],[Variación Stock]]&lt;0,"Faltante","Sin novedad"))</f>
        <v>Sin novedad</v>
      </c>
    </row>
    <row r="2177" spans="1:14" hidden="1" x14ac:dyDescent="0.25">
      <c r="A2177" s="11">
        <v>46053</v>
      </c>
      <c r="B2177" s="5" t="s">
        <v>1070</v>
      </c>
      <c r="C2177" s="3" t="s">
        <v>341</v>
      </c>
      <c r="D2177" s="5" t="s">
        <v>119</v>
      </c>
      <c r="E2177" s="5" t="s">
        <v>117</v>
      </c>
      <c r="F2177" s="6" t="s">
        <v>14</v>
      </c>
      <c r="G2177" s="4" t="s">
        <v>1</v>
      </c>
      <c r="H2177" s="25">
        <v>33.499699999999997</v>
      </c>
      <c r="I2177" s="8">
        <v>41000</v>
      </c>
      <c r="J2177" s="9">
        <v>41000</v>
      </c>
      <c r="K2177" s="7">
        <v>0</v>
      </c>
      <c r="L2177" s="24">
        <f>+Tabla2[[#This Row],[Stock Inventario]]*Tabla2[[#This Row],[Coste LÃ­nea]]</f>
        <v>1373487.7</v>
      </c>
      <c r="M2177" s="24">
        <f>+Tabla2[[#This Row],[Variación Stock]]*Tabla2[[#This Row],[Coste LÃ­nea]]</f>
        <v>0</v>
      </c>
      <c r="N2177" s="22" t="str">
        <f>+IF(Tabla2[[#This Row],[Variación Stock]]&gt;0,"Sobrante",IF(Tabla2[[#This Row],[Variación Stock]]&lt;0,"Faltante","Sin novedad"))</f>
        <v>Sin novedad</v>
      </c>
    </row>
    <row r="2178" spans="1:14" hidden="1" x14ac:dyDescent="0.25">
      <c r="A2178" s="11">
        <v>46053</v>
      </c>
      <c r="B2178" s="5" t="s">
        <v>1070</v>
      </c>
      <c r="C2178" s="3" t="s">
        <v>341</v>
      </c>
      <c r="D2178" s="5" t="s">
        <v>396</v>
      </c>
      <c r="E2178" s="5" t="s">
        <v>117</v>
      </c>
      <c r="F2178" s="6" t="s">
        <v>456</v>
      </c>
      <c r="G2178" s="4" t="s">
        <v>1</v>
      </c>
      <c r="H2178" s="25">
        <v>28.478079170000001</v>
      </c>
      <c r="I2178" s="8">
        <v>8710</v>
      </c>
      <c r="J2178" s="9">
        <v>10000</v>
      </c>
      <c r="K2178" s="7">
        <v>1290</v>
      </c>
      <c r="L2178" s="24">
        <f>+Tabla2[[#This Row],[Stock Inventario]]*Tabla2[[#This Row],[Coste LÃ­nea]]</f>
        <v>284780.7917</v>
      </c>
      <c r="M2178" s="24">
        <f>+Tabla2[[#This Row],[Variación Stock]]*Tabla2[[#This Row],[Coste LÃ­nea]]</f>
        <v>36736.722129300004</v>
      </c>
      <c r="N2178" s="22" t="str">
        <f>+IF(Tabla2[[#This Row],[Variación Stock]]&gt;0,"Sobrante",IF(Tabla2[[#This Row],[Variación Stock]]&lt;0,"Faltante","Sin novedad"))</f>
        <v>Sobrante</v>
      </c>
    </row>
    <row r="2179" spans="1:14" hidden="1" x14ac:dyDescent="0.25">
      <c r="A2179" s="11">
        <v>46053</v>
      </c>
      <c r="B2179" s="5" t="s">
        <v>1070</v>
      </c>
      <c r="C2179" s="3" t="s">
        <v>341</v>
      </c>
      <c r="D2179" s="5" t="s">
        <v>626</v>
      </c>
      <c r="E2179" s="5" t="s">
        <v>1079</v>
      </c>
      <c r="F2179" s="6" t="s">
        <v>672</v>
      </c>
      <c r="G2179" s="4" t="s">
        <v>2</v>
      </c>
      <c r="H2179" s="25">
        <v>54021</v>
      </c>
      <c r="I2179" s="8">
        <v>0</v>
      </c>
      <c r="J2179" s="9">
        <v>0</v>
      </c>
      <c r="K2179" s="7">
        <v>0</v>
      </c>
      <c r="L2179" s="24">
        <f>+Tabla2[[#This Row],[Stock Inventario]]*Tabla2[[#This Row],[Coste LÃ­nea]]</f>
        <v>0</v>
      </c>
      <c r="M2179" s="24">
        <f>+Tabla2[[#This Row],[Variación Stock]]*Tabla2[[#This Row],[Coste LÃ­nea]]</f>
        <v>0</v>
      </c>
      <c r="N2179" s="22" t="str">
        <f>+IF(Tabla2[[#This Row],[Variación Stock]]&gt;0,"Sobrante",IF(Tabla2[[#This Row],[Variación Stock]]&lt;0,"Faltante","Sin novedad"))</f>
        <v>Sin novedad</v>
      </c>
    </row>
    <row r="2180" spans="1:14" hidden="1" x14ac:dyDescent="0.25">
      <c r="A2180" s="11">
        <v>46053</v>
      </c>
      <c r="B2180" s="5" t="s">
        <v>1070</v>
      </c>
      <c r="C2180" s="3" t="s">
        <v>341</v>
      </c>
      <c r="D2180" s="5" t="s">
        <v>547</v>
      </c>
      <c r="E2180" s="5" t="s">
        <v>117</v>
      </c>
      <c r="F2180" s="6" t="s">
        <v>1071</v>
      </c>
      <c r="G2180" s="4" t="s">
        <v>1</v>
      </c>
      <c r="H2180" s="25">
        <v>9</v>
      </c>
      <c r="I2180" s="8">
        <v>0</v>
      </c>
      <c r="J2180" s="9">
        <v>0</v>
      </c>
      <c r="K2180" s="7">
        <v>0</v>
      </c>
      <c r="L2180" s="24">
        <f>+Tabla2[[#This Row],[Stock Inventario]]*Tabla2[[#This Row],[Coste LÃ­nea]]</f>
        <v>0</v>
      </c>
      <c r="M2180" s="24">
        <f>+Tabla2[[#This Row],[Variación Stock]]*Tabla2[[#This Row],[Coste LÃ­nea]]</f>
        <v>0</v>
      </c>
      <c r="N2180" s="22" t="str">
        <f>+IF(Tabla2[[#This Row],[Variación Stock]]&gt;0,"Sobrante",IF(Tabla2[[#This Row],[Variación Stock]]&lt;0,"Faltante","Sin novedad"))</f>
        <v>Sin novedad</v>
      </c>
    </row>
    <row r="2181" spans="1:14" hidden="1" x14ac:dyDescent="0.25">
      <c r="A2181" s="11">
        <v>46053</v>
      </c>
      <c r="B2181" s="5" t="s">
        <v>1070</v>
      </c>
      <c r="C2181" s="3" t="s">
        <v>341</v>
      </c>
      <c r="D2181" s="5" t="s">
        <v>471</v>
      </c>
      <c r="E2181" s="5" t="s">
        <v>117</v>
      </c>
      <c r="F2181" s="6" t="s">
        <v>539</v>
      </c>
      <c r="G2181" s="4" t="s">
        <v>1</v>
      </c>
      <c r="H2181" s="25">
        <v>1.6</v>
      </c>
      <c r="I2181" s="8">
        <v>3100</v>
      </c>
      <c r="J2181" s="9">
        <v>3100</v>
      </c>
      <c r="K2181" s="7">
        <v>0</v>
      </c>
      <c r="L2181" s="24">
        <f>+Tabla2[[#This Row],[Stock Inventario]]*Tabla2[[#This Row],[Coste LÃ­nea]]</f>
        <v>4960</v>
      </c>
      <c r="M2181" s="24">
        <f>+Tabla2[[#This Row],[Variación Stock]]*Tabla2[[#This Row],[Coste LÃ­nea]]</f>
        <v>0</v>
      </c>
      <c r="N2181" s="22" t="str">
        <f>+IF(Tabla2[[#This Row],[Variación Stock]]&gt;0,"Sobrante",IF(Tabla2[[#This Row],[Variación Stock]]&lt;0,"Faltante","Sin novedad"))</f>
        <v>Sin novedad</v>
      </c>
    </row>
    <row r="2182" spans="1:14" hidden="1" x14ac:dyDescent="0.25">
      <c r="A2182" s="11">
        <v>46065</v>
      </c>
      <c r="B2182" s="5" t="s">
        <v>1091</v>
      </c>
      <c r="C2182" s="3" t="s">
        <v>341</v>
      </c>
      <c r="D2182" s="5" t="s">
        <v>119</v>
      </c>
      <c r="E2182" s="5" t="s">
        <v>117</v>
      </c>
      <c r="F2182" s="6" t="s">
        <v>200</v>
      </c>
      <c r="G2182" s="4" t="s">
        <v>1</v>
      </c>
      <c r="H2182" s="25">
        <v>58.31</v>
      </c>
      <c r="I2182" s="8">
        <v>33902</v>
      </c>
      <c r="J2182" s="9">
        <v>90600</v>
      </c>
      <c r="K2182" s="7">
        <v>56698</v>
      </c>
      <c r="L2182" s="24">
        <f>+Tabla2[[#This Row],[Stock Inventario]]*Tabla2[[#This Row],[Coste LÃ­nea]]</f>
        <v>5282886</v>
      </c>
      <c r="M2182" s="24">
        <f>+Tabla2[[#This Row],[Variación Stock]]*Tabla2[[#This Row],[Coste LÃ­nea]]</f>
        <v>3306060.3800000004</v>
      </c>
      <c r="N2182" s="22" t="str">
        <f>+IF(Tabla2[[#This Row],[Variación Stock]]&gt;0,"Sobrante",IF(Tabla2[[#This Row],[Variación Stock]]&lt;0,"Faltante","Sin novedad"))</f>
        <v>Sobrante</v>
      </c>
    </row>
    <row r="2183" spans="1:14" hidden="1" x14ac:dyDescent="0.25">
      <c r="A2183" s="11">
        <v>46065</v>
      </c>
      <c r="B2183" s="5" t="s">
        <v>1091</v>
      </c>
      <c r="C2183" s="3" t="s">
        <v>341</v>
      </c>
      <c r="D2183" s="5" t="s">
        <v>323</v>
      </c>
      <c r="E2183" s="5" t="s">
        <v>117</v>
      </c>
      <c r="F2183" s="6" t="s">
        <v>774</v>
      </c>
      <c r="G2183" s="4" t="s">
        <v>1</v>
      </c>
      <c r="H2183" s="25">
        <v>25.843411069999998</v>
      </c>
      <c r="I2183" s="8">
        <v>-11487</v>
      </c>
      <c r="J2183" s="9">
        <v>0</v>
      </c>
      <c r="K2183" s="7">
        <v>11487</v>
      </c>
      <c r="L2183" s="24">
        <f>+Tabla2[[#This Row],[Stock Inventario]]*Tabla2[[#This Row],[Coste LÃ­nea]]</f>
        <v>0</v>
      </c>
      <c r="M2183" s="24">
        <f>+Tabla2[[#This Row],[Variación Stock]]*Tabla2[[#This Row],[Coste LÃ­nea]]</f>
        <v>296863.26296108996</v>
      </c>
      <c r="N2183" s="22" t="str">
        <f>+IF(Tabla2[[#This Row],[Variación Stock]]&gt;0,"Sobrante",IF(Tabla2[[#This Row],[Variación Stock]]&lt;0,"Faltante","Sin novedad"))</f>
        <v>Sobrante</v>
      </c>
    </row>
    <row r="2184" spans="1:14" hidden="1" x14ac:dyDescent="0.25">
      <c r="A2184" s="11">
        <v>46065</v>
      </c>
      <c r="B2184" s="5" t="s">
        <v>1091</v>
      </c>
      <c r="C2184" s="3" t="s">
        <v>341</v>
      </c>
      <c r="D2184" s="5" t="s">
        <v>116</v>
      </c>
      <c r="E2184" s="5" t="s">
        <v>117</v>
      </c>
      <c r="F2184" s="6" t="s">
        <v>342</v>
      </c>
      <c r="G2184" s="4" t="s">
        <v>1</v>
      </c>
      <c r="H2184" s="25">
        <v>15.5</v>
      </c>
      <c r="I2184" s="8">
        <v>40300</v>
      </c>
      <c r="J2184" s="9">
        <v>40628</v>
      </c>
      <c r="K2184" s="7">
        <v>328</v>
      </c>
      <c r="L2184" s="24">
        <f>+Tabla2[[#This Row],[Stock Inventario]]*Tabla2[[#This Row],[Coste LÃ­nea]]</f>
        <v>629734</v>
      </c>
      <c r="M2184" s="24">
        <f>+Tabla2[[#This Row],[Variación Stock]]*Tabla2[[#This Row],[Coste LÃ­nea]]</f>
        <v>5084</v>
      </c>
      <c r="N2184" s="22" t="str">
        <f>+IF(Tabla2[[#This Row],[Variación Stock]]&gt;0,"Sobrante",IF(Tabla2[[#This Row],[Variación Stock]]&lt;0,"Faltante","Sin novedad"))</f>
        <v>Sobrante</v>
      </c>
    </row>
    <row r="2185" spans="1:14" hidden="1" x14ac:dyDescent="0.25">
      <c r="A2185" s="11">
        <v>46065</v>
      </c>
      <c r="B2185" s="5" t="s">
        <v>1091</v>
      </c>
      <c r="C2185" s="3" t="s">
        <v>341</v>
      </c>
      <c r="D2185" s="5" t="s">
        <v>323</v>
      </c>
      <c r="E2185" s="5" t="s">
        <v>117</v>
      </c>
      <c r="F2185" s="6" t="s">
        <v>329</v>
      </c>
      <c r="G2185" s="4" t="s">
        <v>2</v>
      </c>
      <c r="H2185" s="25">
        <v>10614.7325009</v>
      </c>
      <c r="I2185" s="8">
        <v>1348</v>
      </c>
      <c r="J2185" s="9">
        <v>1438</v>
      </c>
      <c r="K2185" s="7">
        <v>90</v>
      </c>
      <c r="L2185" s="24">
        <f>+Tabla2[[#This Row],[Stock Inventario]]*Tabla2[[#This Row],[Coste LÃ­nea]]</f>
        <v>15263985.3362942</v>
      </c>
      <c r="M2185" s="24">
        <f>+Tabla2[[#This Row],[Variación Stock]]*Tabla2[[#This Row],[Coste LÃ­nea]]</f>
        <v>955325.92508099996</v>
      </c>
      <c r="N2185" s="22" t="str">
        <f>+IF(Tabla2[[#This Row],[Variación Stock]]&gt;0,"Sobrante",IF(Tabla2[[#This Row],[Variación Stock]]&lt;0,"Faltante","Sin novedad"))</f>
        <v>Sobrante</v>
      </c>
    </row>
    <row r="2186" spans="1:14" hidden="1" x14ac:dyDescent="0.25">
      <c r="A2186" s="11">
        <v>46065</v>
      </c>
      <c r="B2186" s="5" t="s">
        <v>1091</v>
      </c>
      <c r="C2186" s="3" t="s">
        <v>341</v>
      </c>
      <c r="D2186" s="5" t="s">
        <v>120</v>
      </c>
      <c r="E2186" s="5" t="s">
        <v>117</v>
      </c>
      <c r="F2186" s="6" t="s">
        <v>96</v>
      </c>
      <c r="G2186" s="4" t="s">
        <v>2</v>
      </c>
      <c r="H2186" s="25">
        <v>6340.5732732699998</v>
      </c>
      <c r="I2186" s="8">
        <v>0</v>
      </c>
      <c r="J2186" s="9">
        <v>43</v>
      </c>
      <c r="K2186" s="7">
        <v>43</v>
      </c>
      <c r="L2186" s="24">
        <f>+Tabla2[[#This Row],[Stock Inventario]]*Tabla2[[#This Row],[Coste LÃ­nea]]</f>
        <v>272644.65075060999</v>
      </c>
      <c r="M2186" s="24">
        <f>+Tabla2[[#This Row],[Variación Stock]]*Tabla2[[#This Row],[Coste LÃ­nea]]</f>
        <v>272644.65075060999</v>
      </c>
      <c r="N2186" s="22" t="str">
        <f>+IF(Tabla2[[#This Row],[Variación Stock]]&gt;0,"Sobrante",IF(Tabla2[[#This Row],[Variación Stock]]&lt;0,"Faltante","Sin novedad"))</f>
        <v>Sobrante</v>
      </c>
    </row>
    <row r="2187" spans="1:14" hidden="1" x14ac:dyDescent="0.25">
      <c r="A2187" s="11">
        <v>46065</v>
      </c>
      <c r="B2187" s="5" t="s">
        <v>1091</v>
      </c>
      <c r="C2187" s="3" t="s">
        <v>341</v>
      </c>
      <c r="D2187" s="5" t="s">
        <v>120</v>
      </c>
      <c r="E2187" s="5" t="s">
        <v>117</v>
      </c>
      <c r="F2187" s="6" t="s">
        <v>320</v>
      </c>
      <c r="G2187" s="4" t="s">
        <v>2</v>
      </c>
      <c r="H2187" s="25">
        <v>6457.8215472000002</v>
      </c>
      <c r="I2187" s="8">
        <v>44</v>
      </c>
      <c r="J2187" s="9">
        <v>67</v>
      </c>
      <c r="K2187" s="7">
        <v>23</v>
      </c>
      <c r="L2187" s="24">
        <f>+Tabla2[[#This Row],[Stock Inventario]]*Tabla2[[#This Row],[Coste LÃ­nea]]</f>
        <v>432674.04366239998</v>
      </c>
      <c r="M2187" s="24">
        <f>+Tabla2[[#This Row],[Variación Stock]]*Tabla2[[#This Row],[Coste LÃ­nea]]</f>
        <v>148529.8955856</v>
      </c>
      <c r="N2187" s="22" t="str">
        <f>+IF(Tabla2[[#This Row],[Variación Stock]]&gt;0,"Sobrante",IF(Tabla2[[#This Row],[Variación Stock]]&lt;0,"Faltante","Sin novedad"))</f>
        <v>Sobrante</v>
      </c>
    </row>
    <row r="2188" spans="1:14" hidden="1" x14ac:dyDescent="0.25">
      <c r="A2188" s="11">
        <v>46065</v>
      </c>
      <c r="B2188" s="5" t="s">
        <v>1091</v>
      </c>
      <c r="C2188" s="3" t="s">
        <v>341</v>
      </c>
      <c r="D2188" s="5" t="s">
        <v>323</v>
      </c>
      <c r="E2188" s="5" t="s">
        <v>117</v>
      </c>
      <c r="F2188" s="6" t="s">
        <v>325</v>
      </c>
      <c r="G2188" s="4" t="s">
        <v>2</v>
      </c>
      <c r="H2188" s="25">
        <v>1977.5824342000001</v>
      </c>
      <c r="I2188" s="8">
        <v>135</v>
      </c>
      <c r="J2188" s="9">
        <v>144</v>
      </c>
      <c r="K2188" s="7">
        <v>9</v>
      </c>
      <c r="L2188" s="24">
        <f>+Tabla2[[#This Row],[Stock Inventario]]*Tabla2[[#This Row],[Coste LÃ­nea]]</f>
        <v>284771.87052480003</v>
      </c>
      <c r="M2188" s="24">
        <f>+Tabla2[[#This Row],[Variación Stock]]*Tabla2[[#This Row],[Coste LÃ­nea]]</f>
        <v>17798.241907800002</v>
      </c>
      <c r="N2188" s="22" t="str">
        <f>+IF(Tabla2[[#This Row],[Variación Stock]]&gt;0,"Sobrante",IF(Tabla2[[#This Row],[Variación Stock]]&lt;0,"Faltante","Sin novedad"))</f>
        <v>Sobrante</v>
      </c>
    </row>
    <row r="2189" spans="1:14" hidden="1" x14ac:dyDescent="0.25">
      <c r="A2189" s="11">
        <v>46065</v>
      </c>
      <c r="B2189" s="5" t="s">
        <v>1091</v>
      </c>
      <c r="C2189" s="3" t="s">
        <v>341</v>
      </c>
      <c r="D2189" s="5" t="s">
        <v>120</v>
      </c>
      <c r="E2189" s="5" t="s">
        <v>117</v>
      </c>
      <c r="F2189" s="6" t="s">
        <v>321</v>
      </c>
      <c r="G2189" s="4" t="s">
        <v>2</v>
      </c>
      <c r="H2189" s="25">
        <v>16188.145044430001</v>
      </c>
      <c r="I2189" s="8">
        <v>28</v>
      </c>
      <c r="J2189" s="9">
        <v>29</v>
      </c>
      <c r="K2189" s="7">
        <v>1</v>
      </c>
      <c r="L2189" s="24">
        <f>+Tabla2[[#This Row],[Stock Inventario]]*Tabla2[[#This Row],[Coste LÃ­nea]]</f>
        <v>469456.20628847001</v>
      </c>
      <c r="M2189" s="24">
        <f>+Tabla2[[#This Row],[Variación Stock]]*Tabla2[[#This Row],[Coste LÃ­nea]]</f>
        <v>16188.145044430001</v>
      </c>
      <c r="N2189" s="22" t="str">
        <f>+IF(Tabla2[[#This Row],[Variación Stock]]&gt;0,"Sobrante",IF(Tabla2[[#This Row],[Variación Stock]]&lt;0,"Faltante","Sin novedad"))</f>
        <v>Sobrante</v>
      </c>
    </row>
    <row r="2190" spans="1:14" x14ac:dyDescent="0.25">
      <c r="A2190" s="11">
        <v>46065</v>
      </c>
      <c r="B2190" s="5" t="s">
        <v>1091</v>
      </c>
      <c r="C2190" s="3" t="s">
        <v>341</v>
      </c>
      <c r="D2190" s="5" t="s">
        <v>121</v>
      </c>
      <c r="E2190" s="5" t="s">
        <v>112</v>
      </c>
      <c r="F2190" s="6" t="s">
        <v>353</v>
      </c>
      <c r="G2190" s="4" t="s">
        <v>1</v>
      </c>
      <c r="H2190" s="25">
        <v>58.412030450000003</v>
      </c>
      <c r="I2190" s="8">
        <v>2000</v>
      </c>
      <c r="J2190" s="9">
        <v>2660</v>
      </c>
      <c r="K2190" s="7">
        <v>660</v>
      </c>
      <c r="L2190" s="24">
        <f>+Tabla2[[#This Row],[Stock Inventario]]*Tabla2[[#This Row],[Coste LÃ­nea]]</f>
        <v>155376.000997</v>
      </c>
      <c r="M2190" s="24">
        <f>+Tabla2[[#This Row],[Variación Stock]]*Tabla2[[#This Row],[Coste LÃ­nea]]</f>
        <v>38551.940096999999</v>
      </c>
      <c r="N2190" s="22" t="str">
        <f>+IF(Tabla2[[#This Row],[Variación Stock]]&gt;0,"Sobrante",IF(Tabla2[[#This Row],[Variación Stock]]&lt;0,"Faltante","Sin novedad"))</f>
        <v>Sobrante</v>
      </c>
    </row>
    <row r="2191" spans="1:14" hidden="1" x14ac:dyDescent="0.25">
      <c r="A2191" s="11">
        <v>46065</v>
      </c>
      <c r="B2191" s="5" t="s">
        <v>1091</v>
      </c>
      <c r="C2191" s="3" t="s">
        <v>341</v>
      </c>
      <c r="D2191" s="5" t="s">
        <v>323</v>
      </c>
      <c r="E2191" s="5" t="s">
        <v>117</v>
      </c>
      <c r="F2191" s="6" t="s">
        <v>324</v>
      </c>
      <c r="G2191" s="4" t="s">
        <v>2</v>
      </c>
      <c r="H2191" s="25">
        <v>4833.0366379300003</v>
      </c>
      <c r="I2191" s="8">
        <v>96</v>
      </c>
      <c r="J2191" s="9">
        <v>96</v>
      </c>
      <c r="K2191" s="7">
        <v>0</v>
      </c>
      <c r="L2191" s="24">
        <f>+Tabla2[[#This Row],[Stock Inventario]]*Tabla2[[#This Row],[Coste LÃ­nea]]</f>
        <v>463971.51724128006</v>
      </c>
      <c r="M2191" s="24">
        <f>+Tabla2[[#This Row],[Variación Stock]]*Tabla2[[#This Row],[Coste LÃ­nea]]</f>
        <v>0</v>
      </c>
      <c r="N2191" s="22" t="str">
        <f>+IF(Tabla2[[#This Row],[Variación Stock]]&gt;0,"Sobrante",IF(Tabla2[[#This Row],[Variación Stock]]&lt;0,"Faltante","Sin novedad"))</f>
        <v>Sin novedad</v>
      </c>
    </row>
    <row r="2192" spans="1:14" hidden="1" x14ac:dyDescent="0.25">
      <c r="A2192" s="11">
        <v>46065</v>
      </c>
      <c r="B2192" s="5" t="s">
        <v>1091</v>
      </c>
      <c r="C2192" s="3" t="s">
        <v>341</v>
      </c>
      <c r="D2192" s="5" t="s">
        <v>119</v>
      </c>
      <c r="E2192" s="5" t="s">
        <v>117</v>
      </c>
      <c r="F2192" s="6" t="s">
        <v>94</v>
      </c>
      <c r="G2192" s="4" t="s">
        <v>2</v>
      </c>
      <c r="H2192" s="25">
        <v>1500</v>
      </c>
      <c r="I2192" s="8">
        <v>900</v>
      </c>
      <c r="J2192" s="9">
        <v>900</v>
      </c>
      <c r="K2192" s="7">
        <v>0</v>
      </c>
      <c r="L2192" s="24">
        <f>+Tabla2[[#This Row],[Stock Inventario]]*Tabla2[[#This Row],[Coste LÃ­nea]]</f>
        <v>1350000</v>
      </c>
      <c r="M2192" s="24">
        <f>+Tabla2[[#This Row],[Variación Stock]]*Tabla2[[#This Row],[Coste LÃ­nea]]</f>
        <v>0</v>
      </c>
      <c r="N2192" s="22" t="str">
        <f>+IF(Tabla2[[#This Row],[Variación Stock]]&gt;0,"Sobrante",IF(Tabla2[[#This Row],[Variación Stock]]&lt;0,"Faltante","Sin novedad"))</f>
        <v>Sin novedad</v>
      </c>
    </row>
    <row r="2193" spans="1:14" hidden="1" x14ac:dyDescent="0.25">
      <c r="A2193" s="11">
        <v>46065</v>
      </c>
      <c r="B2193" s="5" t="s">
        <v>1091</v>
      </c>
      <c r="C2193" s="3" t="s">
        <v>341</v>
      </c>
      <c r="D2193" s="5" t="s">
        <v>323</v>
      </c>
      <c r="E2193" s="5" t="s">
        <v>117</v>
      </c>
      <c r="F2193" s="6" t="s">
        <v>327</v>
      </c>
      <c r="G2193" s="4" t="s">
        <v>1</v>
      </c>
      <c r="H2193" s="25">
        <v>63.986645770000003</v>
      </c>
      <c r="I2193" s="8">
        <v>13000</v>
      </c>
      <c r="J2193" s="9">
        <v>13000</v>
      </c>
      <c r="K2193" s="7">
        <v>0</v>
      </c>
      <c r="L2193" s="24">
        <f>+Tabla2[[#This Row],[Stock Inventario]]*Tabla2[[#This Row],[Coste LÃ­nea]]</f>
        <v>831826.39500999998</v>
      </c>
      <c r="M2193" s="24">
        <f>+Tabla2[[#This Row],[Variación Stock]]*Tabla2[[#This Row],[Coste LÃ­nea]]</f>
        <v>0</v>
      </c>
      <c r="N2193" s="22" t="str">
        <f>+IF(Tabla2[[#This Row],[Variación Stock]]&gt;0,"Sobrante",IF(Tabla2[[#This Row],[Variación Stock]]&lt;0,"Faltante","Sin novedad"))</f>
        <v>Sin novedad</v>
      </c>
    </row>
    <row r="2194" spans="1:14" hidden="1" x14ac:dyDescent="0.25">
      <c r="A2194" s="11">
        <v>46065</v>
      </c>
      <c r="B2194" s="5" t="s">
        <v>1091</v>
      </c>
      <c r="C2194" s="3" t="s">
        <v>341</v>
      </c>
      <c r="D2194" s="5" t="s">
        <v>120</v>
      </c>
      <c r="E2194" s="5" t="s">
        <v>117</v>
      </c>
      <c r="F2194" s="6" t="s">
        <v>376</v>
      </c>
      <c r="G2194" s="4" t="s">
        <v>2</v>
      </c>
      <c r="H2194" s="25">
        <v>2770.4763510600001</v>
      </c>
      <c r="I2194" s="8">
        <v>300</v>
      </c>
      <c r="J2194" s="9">
        <v>300</v>
      </c>
      <c r="K2194" s="7">
        <v>0</v>
      </c>
      <c r="L2194" s="24">
        <f>+Tabla2[[#This Row],[Stock Inventario]]*Tabla2[[#This Row],[Coste LÃ­nea]]</f>
        <v>831142.905318</v>
      </c>
      <c r="M2194" s="24">
        <f>+Tabla2[[#This Row],[Variación Stock]]*Tabla2[[#This Row],[Coste LÃ­nea]]</f>
        <v>0</v>
      </c>
      <c r="N2194" s="22" t="str">
        <f>+IF(Tabla2[[#This Row],[Variación Stock]]&gt;0,"Sobrante",IF(Tabla2[[#This Row],[Variación Stock]]&lt;0,"Faltante","Sin novedad"))</f>
        <v>Sin novedad</v>
      </c>
    </row>
    <row r="2195" spans="1:14" hidden="1" x14ac:dyDescent="0.25">
      <c r="A2195" s="11">
        <v>46065</v>
      </c>
      <c r="B2195" s="5" t="s">
        <v>1091</v>
      </c>
      <c r="C2195" s="3" t="s">
        <v>341</v>
      </c>
      <c r="D2195" s="5" t="s">
        <v>323</v>
      </c>
      <c r="E2195" s="5" t="s">
        <v>117</v>
      </c>
      <c r="F2195" s="6" t="s">
        <v>351</v>
      </c>
      <c r="G2195" s="4" t="s">
        <v>2</v>
      </c>
      <c r="H2195" s="25">
        <v>1106.87022901</v>
      </c>
      <c r="I2195" s="8">
        <v>210</v>
      </c>
      <c r="J2195" s="9">
        <v>210</v>
      </c>
      <c r="K2195" s="7">
        <v>0</v>
      </c>
      <c r="L2195" s="24">
        <f>+Tabla2[[#This Row],[Stock Inventario]]*Tabla2[[#This Row],[Coste LÃ­nea]]</f>
        <v>232442.7480921</v>
      </c>
      <c r="M2195" s="24">
        <f>+Tabla2[[#This Row],[Variación Stock]]*Tabla2[[#This Row],[Coste LÃ­nea]]</f>
        <v>0</v>
      </c>
      <c r="N2195" s="22" t="str">
        <f>+IF(Tabla2[[#This Row],[Variación Stock]]&gt;0,"Sobrante",IF(Tabla2[[#This Row],[Variación Stock]]&lt;0,"Faltante","Sin novedad"))</f>
        <v>Sin novedad</v>
      </c>
    </row>
    <row r="2196" spans="1:14" hidden="1" x14ac:dyDescent="0.25">
      <c r="A2196" s="11">
        <v>46065</v>
      </c>
      <c r="B2196" s="5" t="s">
        <v>1091</v>
      </c>
      <c r="C2196" s="3" t="s">
        <v>341</v>
      </c>
      <c r="D2196" s="5" t="s">
        <v>323</v>
      </c>
      <c r="E2196" s="5" t="s">
        <v>117</v>
      </c>
      <c r="F2196" s="6" t="s">
        <v>346</v>
      </c>
      <c r="G2196" s="4" t="s">
        <v>1</v>
      </c>
      <c r="H2196" s="25">
        <v>33.255269220000002</v>
      </c>
      <c r="I2196" s="8">
        <v>5514</v>
      </c>
      <c r="J2196" s="9">
        <v>5514</v>
      </c>
      <c r="K2196" s="7">
        <v>0</v>
      </c>
      <c r="L2196" s="24">
        <f>+Tabla2[[#This Row],[Stock Inventario]]*Tabla2[[#This Row],[Coste LÃ­nea]]</f>
        <v>183369.55447908002</v>
      </c>
      <c r="M2196" s="24">
        <f>+Tabla2[[#This Row],[Variación Stock]]*Tabla2[[#This Row],[Coste LÃ­nea]]</f>
        <v>0</v>
      </c>
      <c r="N2196" s="22" t="str">
        <f>+IF(Tabla2[[#This Row],[Variación Stock]]&gt;0,"Sobrante",IF(Tabla2[[#This Row],[Variación Stock]]&lt;0,"Faltante","Sin novedad"))</f>
        <v>Sin novedad</v>
      </c>
    </row>
    <row r="2197" spans="1:14" x14ac:dyDescent="0.25">
      <c r="A2197" s="11">
        <v>46065</v>
      </c>
      <c r="B2197" s="5" t="s">
        <v>1091</v>
      </c>
      <c r="C2197" s="3" t="s">
        <v>341</v>
      </c>
      <c r="D2197" s="5" t="s">
        <v>121</v>
      </c>
      <c r="E2197" s="5" t="s">
        <v>112</v>
      </c>
      <c r="F2197" s="6" t="s">
        <v>354</v>
      </c>
      <c r="G2197" s="4" t="s">
        <v>1</v>
      </c>
      <c r="H2197" s="25">
        <v>66.666666669999998</v>
      </c>
      <c r="I2197" s="8">
        <v>670</v>
      </c>
      <c r="J2197" s="9">
        <v>0</v>
      </c>
      <c r="K2197" s="7">
        <v>-670</v>
      </c>
      <c r="L2197" s="24">
        <f>+Tabla2[[#This Row],[Stock Inventario]]*Tabla2[[#This Row],[Coste LÃ­nea]]</f>
        <v>0</v>
      </c>
      <c r="M2197" s="24">
        <f>+Tabla2[[#This Row],[Variación Stock]]*Tabla2[[#This Row],[Coste LÃ­nea]]</f>
        <v>-44666.666668899998</v>
      </c>
      <c r="N2197" s="22" t="str">
        <f>+IF(Tabla2[[#This Row],[Variación Stock]]&gt;0,"Sobrante",IF(Tabla2[[#This Row],[Variación Stock]]&lt;0,"Faltante","Sin novedad"))</f>
        <v>Faltante</v>
      </c>
    </row>
    <row r="2198" spans="1:14" hidden="1" x14ac:dyDescent="0.25">
      <c r="A2198" s="11">
        <v>46065</v>
      </c>
      <c r="B2198" s="5" t="s">
        <v>1091</v>
      </c>
      <c r="C2198" s="3" t="s">
        <v>341</v>
      </c>
      <c r="D2198" s="5" t="s">
        <v>119</v>
      </c>
      <c r="E2198" s="5" t="s">
        <v>117</v>
      </c>
      <c r="F2198" s="6" t="s">
        <v>12</v>
      </c>
      <c r="G2198" s="4" t="s">
        <v>2</v>
      </c>
      <c r="H2198" s="25">
        <v>753.66666667000004</v>
      </c>
      <c r="I2198" s="8">
        <v>0</v>
      </c>
      <c r="J2198" s="9">
        <v>0</v>
      </c>
      <c r="K2198" s="7">
        <v>0</v>
      </c>
      <c r="L2198" s="24">
        <f>+Tabla2[[#This Row],[Stock Inventario]]*Tabla2[[#This Row],[Coste LÃ­nea]]</f>
        <v>0</v>
      </c>
      <c r="M2198" s="24">
        <f>+Tabla2[[#This Row],[Variación Stock]]*Tabla2[[#This Row],[Coste LÃ­nea]]</f>
        <v>0</v>
      </c>
      <c r="N2198" s="22" t="str">
        <f>+IF(Tabla2[[#This Row],[Variación Stock]]&gt;0,"Sobrante",IF(Tabla2[[#This Row],[Variación Stock]]&lt;0,"Faltante","Sin novedad"))</f>
        <v>Sin novedad</v>
      </c>
    </row>
    <row r="2199" spans="1:14" hidden="1" x14ac:dyDescent="0.25">
      <c r="A2199" s="11">
        <v>46065</v>
      </c>
      <c r="B2199" s="5" t="s">
        <v>1091</v>
      </c>
      <c r="C2199" s="3" t="s">
        <v>341</v>
      </c>
      <c r="D2199" s="5" t="s">
        <v>323</v>
      </c>
      <c r="E2199" s="5" t="s">
        <v>117</v>
      </c>
      <c r="F2199" s="6" t="s">
        <v>349</v>
      </c>
      <c r="G2199" s="4" t="s">
        <v>1</v>
      </c>
      <c r="H2199" s="25">
        <v>11.506372799999999</v>
      </c>
      <c r="I2199" s="8">
        <v>11000</v>
      </c>
      <c r="J2199" s="9">
        <v>11000</v>
      </c>
      <c r="K2199" s="7">
        <v>0</v>
      </c>
      <c r="L2199" s="24">
        <f>+Tabla2[[#This Row],[Stock Inventario]]*Tabla2[[#This Row],[Coste LÃ­nea]]</f>
        <v>126570.1008</v>
      </c>
      <c r="M2199" s="24">
        <f>+Tabla2[[#This Row],[Variación Stock]]*Tabla2[[#This Row],[Coste LÃ­nea]]</f>
        <v>0</v>
      </c>
      <c r="N2199" s="22" t="str">
        <f>+IF(Tabla2[[#This Row],[Variación Stock]]&gt;0,"Sobrante",IF(Tabla2[[#This Row],[Variación Stock]]&lt;0,"Faltante","Sin novedad"))</f>
        <v>Sin novedad</v>
      </c>
    </row>
    <row r="2200" spans="1:14" hidden="1" x14ac:dyDescent="0.25">
      <c r="A2200" s="11">
        <v>46065</v>
      </c>
      <c r="B2200" s="5" t="s">
        <v>1091</v>
      </c>
      <c r="C2200" s="3" t="s">
        <v>341</v>
      </c>
      <c r="D2200" s="5" t="s">
        <v>323</v>
      </c>
      <c r="E2200" s="5" t="s">
        <v>117</v>
      </c>
      <c r="F2200" s="6" t="s">
        <v>348</v>
      </c>
      <c r="G2200" s="4" t="s">
        <v>1</v>
      </c>
      <c r="H2200" s="25">
        <v>13.60654124</v>
      </c>
      <c r="I2200" s="8">
        <v>13930</v>
      </c>
      <c r="J2200" s="9">
        <v>13930</v>
      </c>
      <c r="K2200" s="7">
        <v>0</v>
      </c>
      <c r="L2200" s="24">
        <f>+Tabla2[[#This Row],[Stock Inventario]]*Tabla2[[#This Row],[Coste LÃ­nea]]</f>
        <v>189539.1194732</v>
      </c>
      <c r="M2200" s="24">
        <f>+Tabla2[[#This Row],[Variación Stock]]*Tabla2[[#This Row],[Coste LÃ­nea]]</f>
        <v>0</v>
      </c>
      <c r="N2200" s="22" t="str">
        <f>+IF(Tabla2[[#This Row],[Variación Stock]]&gt;0,"Sobrante",IF(Tabla2[[#This Row],[Variación Stock]]&lt;0,"Faltante","Sin novedad"))</f>
        <v>Sin novedad</v>
      </c>
    </row>
    <row r="2201" spans="1:14" hidden="1" x14ac:dyDescent="0.25">
      <c r="A2201" s="11">
        <v>46065</v>
      </c>
      <c r="B2201" s="5" t="s">
        <v>1091</v>
      </c>
      <c r="C2201" s="3" t="s">
        <v>341</v>
      </c>
      <c r="D2201" s="5" t="s">
        <v>119</v>
      </c>
      <c r="E2201" s="5" t="s">
        <v>117</v>
      </c>
      <c r="F2201" s="6" t="s">
        <v>199</v>
      </c>
      <c r="G2201" s="4" t="s">
        <v>1</v>
      </c>
      <c r="H2201" s="25">
        <v>454.81299999999999</v>
      </c>
      <c r="I2201" s="8">
        <v>1200</v>
      </c>
      <c r="J2201" s="9">
        <v>1200</v>
      </c>
      <c r="K2201" s="7">
        <v>0</v>
      </c>
      <c r="L2201" s="24">
        <f>+Tabla2[[#This Row],[Stock Inventario]]*Tabla2[[#This Row],[Coste LÃ­nea]]</f>
        <v>545775.6</v>
      </c>
      <c r="M2201" s="24">
        <f>+Tabla2[[#This Row],[Variación Stock]]*Tabla2[[#This Row],[Coste LÃ­nea]]</f>
        <v>0</v>
      </c>
      <c r="N2201" s="22" t="str">
        <f>+IF(Tabla2[[#This Row],[Variación Stock]]&gt;0,"Sobrante",IF(Tabla2[[#This Row],[Variación Stock]]&lt;0,"Faltante","Sin novedad"))</f>
        <v>Sin novedad</v>
      </c>
    </row>
    <row r="2202" spans="1:14" hidden="1" x14ac:dyDescent="0.25">
      <c r="A2202" s="11">
        <v>46065</v>
      </c>
      <c r="B2202" s="5" t="s">
        <v>1091</v>
      </c>
      <c r="C2202" s="3" t="s">
        <v>341</v>
      </c>
      <c r="D2202" s="5" t="s">
        <v>323</v>
      </c>
      <c r="E2202" s="5" t="s">
        <v>117</v>
      </c>
      <c r="F2202" s="6" t="s">
        <v>328</v>
      </c>
      <c r="G2202" s="4" t="s">
        <v>2</v>
      </c>
      <c r="H2202" s="25">
        <v>27045.723563070002</v>
      </c>
      <c r="I2202" s="8">
        <v>58</v>
      </c>
      <c r="J2202" s="9">
        <v>58</v>
      </c>
      <c r="K2202" s="7">
        <v>0</v>
      </c>
      <c r="L2202" s="24">
        <f>+Tabla2[[#This Row],[Stock Inventario]]*Tabla2[[#This Row],[Coste LÃ­nea]]</f>
        <v>1568651.96665806</v>
      </c>
      <c r="M2202" s="24">
        <f>+Tabla2[[#This Row],[Variación Stock]]*Tabla2[[#This Row],[Coste LÃ­nea]]</f>
        <v>0</v>
      </c>
      <c r="N2202" s="22" t="str">
        <f>+IF(Tabla2[[#This Row],[Variación Stock]]&gt;0,"Sobrante",IF(Tabla2[[#This Row],[Variación Stock]]&lt;0,"Faltante","Sin novedad"))</f>
        <v>Sin novedad</v>
      </c>
    </row>
    <row r="2203" spans="1:14" hidden="1" x14ac:dyDescent="0.25">
      <c r="A2203" s="11">
        <v>46065</v>
      </c>
      <c r="B2203" s="5" t="s">
        <v>1091</v>
      </c>
      <c r="C2203" s="3" t="s">
        <v>341</v>
      </c>
      <c r="D2203" s="5" t="s">
        <v>119</v>
      </c>
      <c r="E2203" s="5" t="s">
        <v>117</v>
      </c>
      <c r="F2203" s="6" t="s">
        <v>9</v>
      </c>
      <c r="G2203" s="4" t="s">
        <v>2</v>
      </c>
      <c r="H2203" s="25">
        <v>514.28571428999999</v>
      </c>
      <c r="I2203" s="8">
        <v>3640</v>
      </c>
      <c r="J2203" s="9">
        <v>3640</v>
      </c>
      <c r="K2203" s="7">
        <v>0</v>
      </c>
      <c r="L2203" s="24">
        <f>+Tabla2[[#This Row],[Stock Inventario]]*Tabla2[[#This Row],[Coste LÃ­nea]]</f>
        <v>1872000.0000155999</v>
      </c>
      <c r="M2203" s="24">
        <f>+Tabla2[[#This Row],[Variación Stock]]*Tabla2[[#This Row],[Coste LÃ­nea]]</f>
        <v>0</v>
      </c>
      <c r="N2203" s="22" t="str">
        <f>+IF(Tabla2[[#This Row],[Variación Stock]]&gt;0,"Sobrante",IF(Tabla2[[#This Row],[Variación Stock]]&lt;0,"Faltante","Sin novedad"))</f>
        <v>Sin novedad</v>
      </c>
    </row>
    <row r="2204" spans="1:14" hidden="1" x14ac:dyDescent="0.25">
      <c r="A2204" s="11">
        <v>46065</v>
      </c>
      <c r="B2204" s="5" t="s">
        <v>1091</v>
      </c>
      <c r="C2204" s="3" t="s">
        <v>341</v>
      </c>
      <c r="D2204" s="5" t="s">
        <v>323</v>
      </c>
      <c r="E2204" s="5" t="s">
        <v>117</v>
      </c>
      <c r="F2204" s="6" t="s">
        <v>350</v>
      </c>
      <c r="G2204" s="4" t="s">
        <v>1</v>
      </c>
      <c r="H2204" s="25">
        <v>32.832008909999999</v>
      </c>
      <c r="I2204" s="8">
        <v>869</v>
      </c>
      <c r="J2204" s="9">
        <v>864</v>
      </c>
      <c r="K2204" s="7">
        <v>-5</v>
      </c>
      <c r="L2204" s="24">
        <f>+Tabla2[[#This Row],[Stock Inventario]]*Tabla2[[#This Row],[Coste LÃ­nea]]</f>
        <v>28366.85569824</v>
      </c>
      <c r="M2204" s="24">
        <f>+Tabla2[[#This Row],[Variación Stock]]*Tabla2[[#This Row],[Coste LÃ­nea]]</f>
        <v>-164.16004455000001</v>
      </c>
      <c r="N2204" s="22" t="str">
        <f>+IF(Tabla2[[#This Row],[Variación Stock]]&gt;0,"Sobrante",IF(Tabla2[[#This Row],[Variación Stock]]&lt;0,"Faltante","Sin novedad"))</f>
        <v>Faltante</v>
      </c>
    </row>
    <row r="2205" spans="1:14" hidden="1" x14ac:dyDescent="0.25">
      <c r="A2205" s="11">
        <v>46065</v>
      </c>
      <c r="B2205" s="5" t="s">
        <v>1091</v>
      </c>
      <c r="C2205" s="3" t="s">
        <v>341</v>
      </c>
      <c r="D2205" s="5" t="s">
        <v>323</v>
      </c>
      <c r="E2205" s="5" t="s">
        <v>117</v>
      </c>
      <c r="F2205" s="6" t="s">
        <v>330</v>
      </c>
      <c r="G2205" s="4" t="s">
        <v>2</v>
      </c>
      <c r="H2205" s="25">
        <v>1530.8871941499999</v>
      </c>
      <c r="I2205" s="8">
        <v>215</v>
      </c>
      <c r="J2205" s="9">
        <v>210</v>
      </c>
      <c r="K2205" s="7">
        <v>-5</v>
      </c>
      <c r="L2205" s="24">
        <f>+Tabla2[[#This Row],[Stock Inventario]]*Tabla2[[#This Row],[Coste LÃ­nea]]</f>
        <v>321486.31077149999</v>
      </c>
      <c r="M2205" s="24">
        <f>+Tabla2[[#This Row],[Variación Stock]]*Tabla2[[#This Row],[Coste LÃ­nea]]</f>
        <v>-7654.4359707499998</v>
      </c>
      <c r="N2205" s="22" t="str">
        <f>+IF(Tabla2[[#This Row],[Variación Stock]]&gt;0,"Sobrante",IF(Tabla2[[#This Row],[Variación Stock]]&lt;0,"Faltante","Sin novedad"))</f>
        <v>Faltante</v>
      </c>
    </row>
    <row r="2206" spans="1:14" hidden="1" x14ac:dyDescent="0.25">
      <c r="A2206" s="11">
        <v>46065</v>
      </c>
      <c r="B2206" s="5" t="s">
        <v>1091</v>
      </c>
      <c r="C2206" s="3" t="s">
        <v>341</v>
      </c>
      <c r="D2206" s="5" t="s">
        <v>116</v>
      </c>
      <c r="E2206" s="5" t="s">
        <v>117</v>
      </c>
      <c r="F2206" s="6" t="s">
        <v>159</v>
      </c>
      <c r="G2206" s="4" t="s">
        <v>2</v>
      </c>
      <c r="H2206" s="25">
        <v>13512.820512820001</v>
      </c>
      <c r="I2206" s="8">
        <v>126</v>
      </c>
      <c r="J2206" s="9">
        <v>78</v>
      </c>
      <c r="K2206" s="7">
        <v>-48</v>
      </c>
      <c r="L2206" s="24">
        <f>+Tabla2[[#This Row],[Stock Inventario]]*Tabla2[[#This Row],[Coste LÃ­nea]]</f>
        <v>1053999.99999996</v>
      </c>
      <c r="M2206" s="24">
        <f>+Tabla2[[#This Row],[Variación Stock]]*Tabla2[[#This Row],[Coste LÃ­nea]]</f>
        <v>-648615.38461536006</v>
      </c>
      <c r="N2206" s="22" t="str">
        <f>+IF(Tabla2[[#This Row],[Variación Stock]]&gt;0,"Sobrante",IF(Tabla2[[#This Row],[Variación Stock]]&lt;0,"Faltante","Sin novedad"))</f>
        <v>Faltante</v>
      </c>
    </row>
    <row r="2207" spans="1:14" hidden="1" x14ac:dyDescent="0.25">
      <c r="A2207" s="11">
        <v>46065</v>
      </c>
      <c r="B2207" s="5" t="s">
        <v>1091</v>
      </c>
      <c r="C2207" s="3" t="s">
        <v>341</v>
      </c>
      <c r="D2207" s="5" t="s">
        <v>323</v>
      </c>
      <c r="E2207" s="5" t="s">
        <v>117</v>
      </c>
      <c r="F2207" s="6" t="s">
        <v>344</v>
      </c>
      <c r="G2207" s="4" t="s">
        <v>1</v>
      </c>
      <c r="H2207" s="25">
        <v>13.16873865</v>
      </c>
      <c r="I2207" s="8">
        <v>3800</v>
      </c>
      <c r="J2207" s="9">
        <v>3600</v>
      </c>
      <c r="K2207" s="7">
        <v>-200</v>
      </c>
      <c r="L2207" s="24">
        <f>+Tabla2[[#This Row],[Stock Inventario]]*Tabla2[[#This Row],[Coste LÃ­nea]]</f>
        <v>47407.459139999999</v>
      </c>
      <c r="M2207" s="24">
        <f>+Tabla2[[#This Row],[Variación Stock]]*Tabla2[[#This Row],[Coste LÃ­nea]]</f>
        <v>-2633.74773</v>
      </c>
      <c r="N2207" s="22" t="str">
        <f>+IF(Tabla2[[#This Row],[Variación Stock]]&gt;0,"Sobrante",IF(Tabla2[[#This Row],[Variación Stock]]&lt;0,"Faltante","Sin novedad"))</f>
        <v>Faltante</v>
      </c>
    </row>
    <row r="2208" spans="1:14" hidden="1" x14ac:dyDescent="0.25">
      <c r="A2208" s="11">
        <v>46065</v>
      </c>
      <c r="B2208" s="5" t="s">
        <v>1091</v>
      </c>
      <c r="C2208" s="3" t="s">
        <v>341</v>
      </c>
      <c r="D2208" s="5" t="s">
        <v>323</v>
      </c>
      <c r="E2208" s="5" t="s">
        <v>117</v>
      </c>
      <c r="F2208" s="6" t="s">
        <v>326</v>
      </c>
      <c r="G2208" s="4" t="s">
        <v>1</v>
      </c>
      <c r="H2208" s="25">
        <v>23.33687085</v>
      </c>
      <c r="I2208" s="8">
        <v>6310</v>
      </c>
      <c r="J2208" s="9">
        <v>6000</v>
      </c>
      <c r="K2208" s="7">
        <v>-310</v>
      </c>
      <c r="L2208" s="24">
        <f>+Tabla2[[#This Row],[Stock Inventario]]*Tabla2[[#This Row],[Coste LÃ­nea]]</f>
        <v>140021.22510000001</v>
      </c>
      <c r="M2208" s="24">
        <f>+Tabla2[[#This Row],[Variación Stock]]*Tabla2[[#This Row],[Coste LÃ­nea]]</f>
        <v>-7234.4299634999998</v>
      </c>
      <c r="N2208" s="22" t="str">
        <f>+IF(Tabla2[[#This Row],[Variación Stock]]&gt;0,"Sobrante",IF(Tabla2[[#This Row],[Variación Stock]]&lt;0,"Faltante","Sin novedad"))</f>
        <v>Faltante</v>
      </c>
    </row>
    <row r="2209" spans="1:14" hidden="1" x14ac:dyDescent="0.25">
      <c r="A2209" s="11">
        <v>46065</v>
      </c>
      <c r="B2209" s="5" t="s">
        <v>1091</v>
      </c>
      <c r="C2209" s="3" t="s">
        <v>341</v>
      </c>
      <c r="D2209" s="5" t="s">
        <v>116</v>
      </c>
      <c r="E2209" s="5" t="s">
        <v>117</v>
      </c>
      <c r="F2209" s="6" t="s">
        <v>546</v>
      </c>
      <c r="G2209" s="4" t="s">
        <v>1</v>
      </c>
      <c r="H2209" s="25">
        <v>28</v>
      </c>
      <c r="I2209" s="8">
        <v>500</v>
      </c>
      <c r="J2209" s="9">
        <v>0</v>
      </c>
      <c r="K2209" s="7">
        <v>-500</v>
      </c>
      <c r="L2209" s="24">
        <f>+Tabla2[[#This Row],[Stock Inventario]]*Tabla2[[#This Row],[Coste LÃ­nea]]</f>
        <v>0</v>
      </c>
      <c r="M2209" s="24">
        <f>+Tabla2[[#This Row],[Variación Stock]]*Tabla2[[#This Row],[Coste LÃ­nea]]</f>
        <v>-14000</v>
      </c>
      <c r="N2209" s="22" t="str">
        <f>+IF(Tabla2[[#This Row],[Variación Stock]]&gt;0,"Sobrante",IF(Tabla2[[#This Row],[Variación Stock]]&lt;0,"Faltante","Sin novedad"))</f>
        <v>Faltante</v>
      </c>
    </row>
    <row r="2210" spans="1:14" hidden="1" x14ac:dyDescent="0.25">
      <c r="A2210" s="11">
        <v>46065</v>
      </c>
      <c r="B2210" s="5" t="s">
        <v>1091</v>
      </c>
      <c r="C2210" s="3" t="s">
        <v>341</v>
      </c>
      <c r="D2210" s="5" t="s">
        <v>323</v>
      </c>
      <c r="E2210" s="5" t="s">
        <v>117</v>
      </c>
      <c r="F2210" s="6" t="s">
        <v>347</v>
      </c>
      <c r="G2210" s="4" t="s">
        <v>1</v>
      </c>
      <c r="H2210" s="25">
        <v>15.54095184</v>
      </c>
      <c r="I2210" s="8">
        <v>19739.444500000001</v>
      </c>
      <c r="J2210" s="9">
        <v>19084</v>
      </c>
      <c r="K2210" s="7">
        <v>-655.44446800000003</v>
      </c>
      <c r="L2210" s="24">
        <f>+Tabla2[[#This Row],[Stock Inventario]]*Tabla2[[#This Row],[Coste LÃ­nea]]</f>
        <v>296583.52491456002</v>
      </c>
      <c r="M2210" s="24">
        <f>+Tabla2[[#This Row],[Variación Stock]]*Tabla2[[#This Row],[Coste LÃ­nea]]</f>
        <v>-10186.230910982422</v>
      </c>
      <c r="N2210" s="22" t="str">
        <f>+IF(Tabla2[[#This Row],[Variación Stock]]&gt;0,"Sobrante",IF(Tabla2[[#This Row],[Variación Stock]]&lt;0,"Faltante","Sin novedad"))</f>
        <v>Faltante</v>
      </c>
    </row>
    <row r="2211" spans="1:14" hidden="1" x14ac:dyDescent="0.25">
      <c r="A2211" s="11">
        <v>46065</v>
      </c>
      <c r="B2211" s="5" t="s">
        <v>1091</v>
      </c>
      <c r="C2211" s="3" t="s">
        <v>341</v>
      </c>
      <c r="D2211" s="5" t="s">
        <v>323</v>
      </c>
      <c r="E2211" s="5" t="s">
        <v>117</v>
      </c>
      <c r="F2211" s="6" t="s">
        <v>345</v>
      </c>
      <c r="G2211" s="4" t="s">
        <v>1</v>
      </c>
      <c r="H2211" s="25">
        <v>20.988405660000002</v>
      </c>
      <c r="I2211" s="8">
        <v>6032</v>
      </c>
      <c r="J2211" s="9">
        <v>2536</v>
      </c>
      <c r="K2211" s="7">
        <v>-3496</v>
      </c>
      <c r="L2211" s="24">
        <f>+Tabla2[[#This Row],[Stock Inventario]]*Tabla2[[#This Row],[Coste LÃ­nea]]</f>
        <v>53226.596753760001</v>
      </c>
      <c r="M2211" s="24">
        <f>+Tabla2[[#This Row],[Variación Stock]]*Tabla2[[#This Row],[Coste LÃ­nea]]</f>
        <v>-73375.466187360013</v>
      </c>
      <c r="N2211" s="22" t="str">
        <f>+IF(Tabla2[[#This Row],[Variación Stock]]&gt;0,"Sobrante",IF(Tabla2[[#This Row],[Variación Stock]]&lt;0,"Faltante","Sin novedad"))</f>
        <v>Faltante</v>
      </c>
    </row>
    <row r="2212" spans="1:14" hidden="1" x14ac:dyDescent="0.25">
      <c r="A2212" s="11">
        <v>46065</v>
      </c>
      <c r="B2212" s="5" t="s">
        <v>1091</v>
      </c>
      <c r="C2212" s="3" t="s">
        <v>341</v>
      </c>
      <c r="D2212" s="5" t="s">
        <v>119</v>
      </c>
      <c r="E2212" s="5" t="s">
        <v>117</v>
      </c>
      <c r="F2212" s="6" t="s">
        <v>14</v>
      </c>
      <c r="G2212" s="4" t="s">
        <v>1</v>
      </c>
      <c r="H2212" s="25">
        <v>33.499666670000003</v>
      </c>
      <c r="I2212" s="8">
        <v>41000</v>
      </c>
      <c r="J2212" s="9">
        <v>34754</v>
      </c>
      <c r="K2212" s="7">
        <v>-6246</v>
      </c>
      <c r="L2212" s="24">
        <f>+Tabla2[[#This Row],[Stock Inventario]]*Tabla2[[#This Row],[Coste LÃ­nea]]</f>
        <v>1164247.4154491802</v>
      </c>
      <c r="M2212" s="24">
        <f>+Tabla2[[#This Row],[Variación Stock]]*Tabla2[[#This Row],[Coste LÃ­nea]]</f>
        <v>-209238.91802082001</v>
      </c>
      <c r="N2212" s="22" t="str">
        <f>+IF(Tabla2[[#This Row],[Variación Stock]]&gt;0,"Sobrante",IF(Tabla2[[#This Row],[Variación Stock]]&lt;0,"Faltante","Sin novedad"))</f>
        <v>Faltante</v>
      </c>
    </row>
    <row r="2213" spans="1:14" hidden="1" x14ac:dyDescent="0.25">
      <c r="A2213" s="11">
        <v>46065</v>
      </c>
      <c r="B2213" s="5" t="s">
        <v>1091</v>
      </c>
      <c r="C2213" s="3" t="s">
        <v>341</v>
      </c>
      <c r="D2213" s="5" t="s">
        <v>323</v>
      </c>
      <c r="E2213" s="5" t="s">
        <v>117</v>
      </c>
      <c r="F2213" s="6" t="s">
        <v>779</v>
      </c>
      <c r="G2213" s="4" t="s">
        <v>1</v>
      </c>
      <c r="H2213" s="25">
        <v>0</v>
      </c>
      <c r="I2213" s="8">
        <v>167188</v>
      </c>
      <c r="J2213" s="9">
        <v>155188</v>
      </c>
      <c r="K2213" s="7">
        <v>-12000</v>
      </c>
      <c r="L2213" s="24">
        <f>+Tabla2[[#This Row],[Stock Inventario]]*Tabla2[[#This Row],[Coste LÃ­nea]]</f>
        <v>0</v>
      </c>
      <c r="M2213" s="24">
        <f>+Tabla2[[#This Row],[Variación Stock]]*Tabla2[[#This Row],[Coste LÃ­nea]]</f>
        <v>0</v>
      </c>
      <c r="N2213" s="22" t="str">
        <f>+IF(Tabla2[[#This Row],[Variación Stock]]&gt;0,"Sobrante",IF(Tabla2[[#This Row],[Variación Stock]]&lt;0,"Faltante","Sin novedad"))</f>
        <v>Faltante</v>
      </c>
    </row>
    <row r="2214" spans="1:14" hidden="1" x14ac:dyDescent="0.25">
      <c r="A2214" s="11">
        <v>46065</v>
      </c>
      <c r="B2214" s="5" t="s">
        <v>1091</v>
      </c>
      <c r="C2214" s="3" t="s">
        <v>341</v>
      </c>
      <c r="D2214" s="5" t="s">
        <v>323</v>
      </c>
      <c r="E2214" s="5" t="s">
        <v>117</v>
      </c>
      <c r="F2214" s="6" t="s">
        <v>777</v>
      </c>
      <c r="G2214" s="4" t="s">
        <v>1</v>
      </c>
      <c r="H2214" s="25">
        <v>25.11263018</v>
      </c>
      <c r="I2214" s="8">
        <v>14548</v>
      </c>
      <c r="J2214" s="9">
        <v>1548</v>
      </c>
      <c r="K2214" s="7">
        <v>-13000</v>
      </c>
      <c r="L2214" s="24">
        <f>+Tabla2[[#This Row],[Stock Inventario]]*Tabla2[[#This Row],[Coste LÃ­nea]]</f>
        <v>38874.351518640004</v>
      </c>
      <c r="M2214" s="24">
        <f>+Tabla2[[#This Row],[Variación Stock]]*Tabla2[[#This Row],[Coste LÃ­nea]]</f>
        <v>-326464.19234000001</v>
      </c>
      <c r="N2214" s="22" t="str">
        <f>+IF(Tabla2[[#This Row],[Variación Stock]]&gt;0,"Sobrante",IF(Tabla2[[#This Row],[Variación Stock]]&lt;0,"Faltante","Sin novedad"))</f>
        <v>Faltante</v>
      </c>
    </row>
    <row r="2215" spans="1:14" x14ac:dyDescent="0.25">
      <c r="A2215" s="11">
        <v>46037</v>
      </c>
      <c r="B2215" s="5" t="s">
        <v>336</v>
      </c>
      <c r="C2215" s="3" t="s">
        <v>337</v>
      </c>
      <c r="D2215" s="5" t="s">
        <v>111</v>
      </c>
      <c r="E2215" s="5" t="s">
        <v>112</v>
      </c>
      <c r="F2215" s="6" t="s">
        <v>285</v>
      </c>
      <c r="G2215" s="4" t="s">
        <v>2</v>
      </c>
      <c r="H2215" s="25">
        <v>0</v>
      </c>
      <c r="I2215" s="8">
        <v>2</v>
      </c>
      <c r="J2215" s="9">
        <v>2</v>
      </c>
      <c r="K2215" s="7">
        <v>0</v>
      </c>
      <c r="L2215" s="24">
        <f>+Tabla2[[#This Row],[Stock Inventario]]*Tabla2[[#This Row],[Coste LÃ­nea]]</f>
        <v>0</v>
      </c>
      <c r="M2215" s="24">
        <f>+Tabla2[[#This Row],[Variación Stock]]*Tabla2[[#This Row],[Coste LÃ­nea]]</f>
        <v>0</v>
      </c>
      <c r="N2215" s="22" t="str">
        <f>+IF(Tabla2[[#This Row],[Variación Stock]]&gt;0,"Sobrante",IF(Tabla2[[#This Row],[Variación Stock]]&lt;0,"Faltante","Sin novedad"))</f>
        <v>Sin novedad</v>
      </c>
    </row>
    <row r="2216" spans="1:14" x14ac:dyDescent="0.25">
      <c r="A2216" s="11">
        <v>46037</v>
      </c>
      <c r="B2216" s="5" t="s">
        <v>336</v>
      </c>
      <c r="C2216" s="3" t="s">
        <v>337</v>
      </c>
      <c r="D2216" s="5" t="s">
        <v>111</v>
      </c>
      <c r="E2216" s="5" t="s">
        <v>112</v>
      </c>
      <c r="F2216" s="6" t="s">
        <v>286</v>
      </c>
      <c r="G2216" s="4" t="s">
        <v>0</v>
      </c>
      <c r="H2216" s="25">
        <v>0</v>
      </c>
      <c r="I2216" s="8">
        <v>0</v>
      </c>
      <c r="J2216" s="9">
        <v>0</v>
      </c>
      <c r="K2216" s="7">
        <v>0</v>
      </c>
      <c r="L2216" s="24">
        <f>+Tabla2[[#This Row],[Stock Inventario]]*Tabla2[[#This Row],[Coste LÃ­nea]]</f>
        <v>0</v>
      </c>
      <c r="M2216" s="24">
        <f>+Tabla2[[#This Row],[Variación Stock]]*Tabla2[[#This Row],[Coste LÃ­nea]]</f>
        <v>0</v>
      </c>
      <c r="N2216" s="22" t="str">
        <f>+IF(Tabla2[[#This Row],[Variación Stock]]&gt;0,"Sobrante",IF(Tabla2[[#This Row],[Variación Stock]]&lt;0,"Faltante","Sin novedad"))</f>
        <v>Sin novedad</v>
      </c>
    </row>
    <row r="2217" spans="1:14" x14ac:dyDescent="0.25">
      <c r="A2217" s="11">
        <v>46037</v>
      </c>
      <c r="B2217" s="5" t="s">
        <v>336</v>
      </c>
      <c r="C2217" s="3" t="s">
        <v>337</v>
      </c>
      <c r="D2217" s="5" t="s">
        <v>111</v>
      </c>
      <c r="E2217" s="5" t="s">
        <v>112</v>
      </c>
      <c r="F2217" s="6" t="s">
        <v>130</v>
      </c>
      <c r="G2217" s="4" t="s">
        <v>0</v>
      </c>
      <c r="H2217" s="25">
        <v>0</v>
      </c>
      <c r="I2217" s="8">
        <v>0</v>
      </c>
      <c r="J2217" s="9">
        <v>0</v>
      </c>
      <c r="K2217" s="7">
        <v>0</v>
      </c>
      <c r="L2217" s="24">
        <f>+Tabla2[[#This Row],[Stock Inventario]]*Tabla2[[#This Row],[Coste LÃ­nea]]</f>
        <v>0</v>
      </c>
      <c r="M2217" s="24">
        <f>+Tabla2[[#This Row],[Variación Stock]]*Tabla2[[#This Row],[Coste LÃ­nea]]</f>
        <v>0</v>
      </c>
      <c r="N2217" s="22" t="str">
        <f>+IF(Tabla2[[#This Row],[Variación Stock]]&gt;0,"Sobrante",IF(Tabla2[[#This Row],[Variación Stock]]&lt;0,"Faltante","Sin novedad"))</f>
        <v>Sin novedad</v>
      </c>
    </row>
    <row r="2218" spans="1:14" x14ac:dyDescent="0.25">
      <c r="A2218" s="11">
        <v>46044</v>
      </c>
      <c r="B2218" s="5" t="s">
        <v>372</v>
      </c>
      <c r="C2218" s="3" t="s">
        <v>337</v>
      </c>
      <c r="D2218" s="5" t="s">
        <v>111</v>
      </c>
      <c r="E2218" s="5" t="s">
        <v>112</v>
      </c>
      <c r="F2218" s="6" t="s">
        <v>44</v>
      </c>
      <c r="G2218" s="4" t="s">
        <v>0</v>
      </c>
      <c r="H2218" s="25">
        <v>3500</v>
      </c>
      <c r="I2218" s="8">
        <v>22</v>
      </c>
      <c r="J2218" s="9">
        <v>24</v>
      </c>
      <c r="K2218" s="7">
        <v>2</v>
      </c>
      <c r="L2218" s="24">
        <f>+Tabla2[[#This Row],[Stock Inventario]]*Tabla2[[#This Row],[Coste LÃ­nea]]</f>
        <v>84000</v>
      </c>
      <c r="M2218" s="24">
        <f>+Tabla2[[#This Row],[Variación Stock]]*Tabla2[[#This Row],[Coste LÃ­nea]]</f>
        <v>7000</v>
      </c>
      <c r="N2218" s="22" t="str">
        <f>+IF(Tabla2[[#This Row],[Variación Stock]]&gt;0,"Sobrante",IF(Tabla2[[#This Row],[Variación Stock]]&lt;0,"Faltante","Sin novedad"))</f>
        <v>Sobrante</v>
      </c>
    </row>
    <row r="2219" spans="1:14" x14ac:dyDescent="0.25">
      <c r="A2219" s="11">
        <v>46037</v>
      </c>
      <c r="B2219" s="5" t="s">
        <v>336</v>
      </c>
      <c r="C2219" s="3" t="s">
        <v>337</v>
      </c>
      <c r="D2219" s="5" t="s">
        <v>111</v>
      </c>
      <c r="E2219" s="5" t="s">
        <v>112</v>
      </c>
      <c r="F2219" s="6" t="s">
        <v>17</v>
      </c>
      <c r="G2219" s="4" t="s">
        <v>0</v>
      </c>
      <c r="H2219" s="25">
        <v>14896.95833333</v>
      </c>
      <c r="I2219" s="8">
        <v>9</v>
      </c>
      <c r="J2219" s="9">
        <v>9</v>
      </c>
      <c r="K2219" s="7">
        <v>0</v>
      </c>
      <c r="L2219" s="24">
        <f>+Tabla2[[#This Row],[Stock Inventario]]*Tabla2[[#This Row],[Coste LÃ­nea]]</f>
        <v>134072.62499996999</v>
      </c>
      <c r="M2219" s="24">
        <f>+Tabla2[[#This Row],[Variación Stock]]*Tabla2[[#This Row],[Coste LÃ­nea]]</f>
        <v>0</v>
      </c>
      <c r="N2219" s="22" t="str">
        <f>+IF(Tabla2[[#This Row],[Variación Stock]]&gt;0,"Sobrante",IF(Tabla2[[#This Row],[Variación Stock]]&lt;0,"Faltante","Sin novedad"))</f>
        <v>Sin novedad</v>
      </c>
    </row>
    <row r="2220" spans="1:14" x14ac:dyDescent="0.25">
      <c r="A2220" s="11">
        <v>46037</v>
      </c>
      <c r="B2220" s="5" t="s">
        <v>336</v>
      </c>
      <c r="C2220" s="3" t="s">
        <v>337</v>
      </c>
      <c r="D2220" s="5" t="s">
        <v>111</v>
      </c>
      <c r="E2220" s="5" t="s">
        <v>112</v>
      </c>
      <c r="F2220" s="6" t="s">
        <v>18</v>
      </c>
      <c r="G2220" s="4" t="s">
        <v>2</v>
      </c>
      <c r="H2220" s="25">
        <v>86744</v>
      </c>
      <c r="I2220" s="8">
        <v>2</v>
      </c>
      <c r="J2220" s="9">
        <v>2</v>
      </c>
      <c r="K2220" s="7">
        <v>0</v>
      </c>
      <c r="L2220" s="24">
        <f>+Tabla2[[#This Row],[Stock Inventario]]*Tabla2[[#This Row],[Coste LÃ­nea]]</f>
        <v>173488</v>
      </c>
      <c r="M2220" s="24">
        <f>+Tabla2[[#This Row],[Variación Stock]]*Tabla2[[#This Row],[Coste LÃ­nea]]</f>
        <v>0</v>
      </c>
      <c r="N2220" s="22" t="str">
        <f>+IF(Tabla2[[#This Row],[Variación Stock]]&gt;0,"Sobrante",IF(Tabla2[[#This Row],[Variación Stock]]&lt;0,"Faltante","Sin novedad"))</f>
        <v>Sin novedad</v>
      </c>
    </row>
    <row r="2221" spans="1:14" x14ac:dyDescent="0.25">
      <c r="A2221" s="11">
        <v>46037</v>
      </c>
      <c r="B2221" s="5" t="s">
        <v>336</v>
      </c>
      <c r="C2221" s="3" t="s">
        <v>337</v>
      </c>
      <c r="D2221" s="5" t="s">
        <v>111</v>
      </c>
      <c r="E2221" s="5" t="s">
        <v>112</v>
      </c>
      <c r="F2221" s="6" t="s">
        <v>19</v>
      </c>
      <c r="G2221" s="4" t="s">
        <v>0</v>
      </c>
      <c r="H2221" s="25">
        <v>6746.25</v>
      </c>
      <c r="I2221" s="8">
        <v>66</v>
      </c>
      <c r="J2221" s="9">
        <v>66</v>
      </c>
      <c r="K2221" s="7">
        <v>0</v>
      </c>
      <c r="L2221" s="24">
        <f>+Tabla2[[#This Row],[Stock Inventario]]*Tabla2[[#This Row],[Coste LÃ­nea]]</f>
        <v>445252.5</v>
      </c>
      <c r="M2221" s="24">
        <f>+Tabla2[[#This Row],[Variación Stock]]*Tabla2[[#This Row],[Coste LÃ­nea]]</f>
        <v>0</v>
      </c>
      <c r="N2221" s="22" t="str">
        <f>+IF(Tabla2[[#This Row],[Variación Stock]]&gt;0,"Sobrante",IF(Tabla2[[#This Row],[Variación Stock]]&lt;0,"Faltante","Sin novedad"))</f>
        <v>Sin novedad</v>
      </c>
    </row>
    <row r="2222" spans="1:14" x14ac:dyDescent="0.25">
      <c r="A2222" s="11">
        <v>46037</v>
      </c>
      <c r="B2222" s="5" t="s">
        <v>336</v>
      </c>
      <c r="C2222" s="3" t="s">
        <v>337</v>
      </c>
      <c r="D2222" s="5" t="s">
        <v>122</v>
      </c>
      <c r="E2222" s="5" t="s">
        <v>112</v>
      </c>
      <c r="F2222" s="6" t="s">
        <v>101</v>
      </c>
      <c r="G2222" s="4" t="s">
        <v>2</v>
      </c>
      <c r="H2222" s="25">
        <v>1408.33333333</v>
      </c>
      <c r="I2222" s="8">
        <v>0</v>
      </c>
      <c r="J2222" s="9">
        <v>29</v>
      </c>
      <c r="K2222" s="7">
        <v>29</v>
      </c>
      <c r="L2222" s="24">
        <f>+Tabla2[[#This Row],[Stock Inventario]]*Tabla2[[#This Row],[Coste LÃ­nea]]</f>
        <v>40841.666666569996</v>
      </c>
      <c r="M2222" s="24">
        <f>+Tabla2[[#This Row],[Variación Stock]]*Tabla2[[#This Row],[Coste LÃ­nea]]</f>
        <v>40841.666666569996</v>
      </c>
      <c r="N2222" s="22" t="str">
        <f>+IF(Tabla2[[#This Row],[Variación Stock]]&gt;0,"Sobrante",IF(Tabla2[[#This Row],[Variación Stock]]&lt;0,"Faltante","Sin novedad"))</f>
        <v>Sobrante</v>
      </c>
    </row>
    <row r="2223" spans="1:14" x14ac:dyDescent="0.25">
      <c r="A2223" s="11">
        <v>46037</v>
      </c>
      <c r="B2223" s="5" t="s">
        <v>336</v>
      </c>
      <c r="C2223" s="3" t="s">
        <v>337</v>
      </c>
      <c r="D2223" s="5" t="s">
        <v>111</v>
      </c>
      <c r="E2223" s="5" t="s">
        <v>112</v>
      </c>
      <c r="F2223" s="6" t="s">
        <v>15</v>
      </c>
      <c r="G2223" s="4" t="s">
        <v>0</v>
      </c>
      <c r="H2223" s="25">
        <v>11819.5</v>
      </c>
      <c r="I2223" s="8">
        <v>0</v>
      </c>
      <c r="J2223" s="9">
        <v>0</v>
      </c>
      <c r="K2223" s="7">
        <v>0</v>
      </c>
      <c r="L2223" s="24">
        <f>+Tabla2[[#This Row],[Stock Inventario]]*Tabla2[[#This Row],[Coste LÃ­nea]]</f>
        <v>0</v>
      </c>
      <c r="M2223" s="24">
        <f>+Tabla2[[#This Row],[Variación Stock]]*Tabla2[[#This Row],[Coste LÃ­nea]]</f>
        <v>0</v>
      </c>
      <c r="N2223" s="22" t="str">
        <f>+IF(Tabla2[[#This Row],[Variación Stock]]&gt;0,"Sobrante",IF(Tabla2[[#This Row],[Variación Stock]]&lt;0,"Faltante","Sin novedad"))</f>
        <v>Sin novedad</v>
      </c>
    </row>
    <row r="2224" spans="1:14" x14ac:dyDescent="0.25">
      <c r="A2224" s="11">
        <v>46044</v>
      </c>
      <c r="B2224" s="5" t="s">
        <v>372</v>
      </c>
      <c r="C2224" s="3" t="s">
        <v>337</v>
      </c>
      <c r="D2224" s="5" t="s">
        <v>122</v>
      </c>
      <c r="E2224" s="5" t="s">
        <v>112</v>
      </c>
      <c r="F2224" s="6" t="s">
        <v>101</v>
      </c>
      <c r="G2224" s="4" t="s">
        <v>2</v>
      </c>
      <c r="H2224" s="25">
        <v>1408.33333333</v>
      </c>
      <c r="I2224" s="8">
        <v>29</v>
      </c>
      <c r="J2224" s="9">
        <v>27</v>
      </c>
      <c r="K2224" s="7">
        <v>-2</v>
      </c>
      <c r="L2224" s="24">
        <f>+Tabla2[[#This Row],[Stock Inventario]]*Tabla2[[#This Row],[Coste LÃ­nea]]</f>
        <v>38024.999999909996</v>
      </c>
      <c r="M2224" s="24">
        <f>+Tabla2[[#This Row],[Variación Stock]]*Tabla2[[#This Row],[Coste LÃ­nea]]</f>
        <v>-2816.6666666599999</v>
      </c>
      <c r="N2224" s="22" t="str">
        <f>+IF(Tabla2[[#This Row],[Variación Stock]]&gt;0,"Sobrante",IF(Tabla2[[#This Row],[Variación Stock]]&lt;0,"Faltante","Sin novedad"))</f>
        <v>Faltante</v>
      </c>
    </row>
    <row r="2225" spans="1:14" x14ac:dyDescent="0.25">
      <c r="A2225" s="11">
        <v>46037</v>
      </c>
      <c r="B2225" s="5" t="s">
        <v>336</v>
      </c>
      <c r="C2225" s="3" t="s">
        <v>337</v>
      </c>
      <c r="D2225" s="5" t="s">
        <v>111</v>
      </c>
      <c r="E2225" s="5" t="s">
        <v>112</v>
      </c>
      <c r="F2225" s="6" t="s">
        <v>22</v>
      </c>
      <c r="G2225" s="4" t="s">
        <v>0</v>
      </c>
      <c r="H2225" s="25">
        <v>13020.86363636</v>
      </c>
      <c r="I2225" s="8">
        <v>43</v>
      </c>
      <c r="J2225" s="9">
        <v>43</v>
      </c>
      <c r="K2225" s="7">
        <v>0</v>
      </c>
      <c r="L2225" s="24">
        <f>+Tabla2[[#This Row],[Stock Inventario]]*Tabla2[[#This Row],[Coste LÃ­nea]]</f>
        <v>559897.13636348001</v>
      </c>
      <c r="M2225" s="24">
        <f>+Tabla2[[#This Row],[Variación Stock]]*Tabla2[[#This Row],[Coste LÃ­nea]]</f>
        <v>0</v>
      </c>
      <c r="N2225" s="22" t="str">
        <f>+IF(Tabla2[[#This Row],[Variación Stock]]&gt;0,"Sobrante",IF(Tabla2[[#This Row],[Variación Stock]]&lt;0,"Faltante","Sin novedad"))</f>
        <v>Sin novedad</v>
      </c>
    </row>
    <row r="2226" spans="1:14" x14ac:dyDescent="0.25">
      <c r="A2226" s="11">
        <v>46037</v>
      </c>
      <c r="B2226" s="5" t="s">
        <v>336</v>
      </c>
      <c r="C2226" s="3" t="s">
        <v>337</v>
      </c>
      <c r="D2226" s="5" t="s">
        <v>114</v>
      </c>
      <c r="E2226" s="5" t="s">
        <v>112</v>
      </c>
      <c r="F2226" s="6" t="s">
        <v>65</v>
      </c>
      <c r="G2226" s="4" t="s">
        <v>2</v>
      </c>
      <c r="H2226" s="25">
        <v>4986.0833333299997</v>
      </c>
      <c r="I2226" s="8">
        <v>14</v>
      </c>
      <c r="J2226" s="9">
        <v>16</v>
      </c>
      <c r="K2226" s="7">
        <v>2</v>
      </c>
      <c r="L2226" s="24">
        <f>+Tabla2[[#This Row],[Stock Inventario]]*Tabla2[[#This Row],[Coste LÃ­nea]]</f>
        <v>79777.333333279996</v>
      </c>
      <c r="M2226" s="24">
        <f>+Tabla2[[#This Row],[Variación Stock]]*Tabla2[[#This Row],[Coste LÃ­nea]]</f>
        <v>9972.1666666599995</v>
      </c>
      <c r="N2226" s="22" t="str">
        <f>+IF(Tabla2[[#This Row],[Variación Stock]]&gt;0,"Sobrante",IF(Tabla2[[#This Row],[Variación Stock]]&lt;0,"Faltante","Sin novedad"))</f>
        <v>Sobrante</v>
      </c>
    </row>
    <row r="2227" spans="1:14" x14ac:dyDescent="0.25">
      <c r="A2227" s="11">
        <v>46044</v>
      </c>
      <c r="B2227" s="5" t="s">
        <v>372</v>
      </c>
      <c r="C2227" s="3" t="s">
        <v>337</v>
      </c>
      <c r="D2227" s="5" t="s">
        <v>114</v>
      </c>
      <c r="E2227" s="5" t="s">
        <v>112</v>
      </c>
      <c r="F2227" s="6" t="s">
        <v>65</v>
      </c>
      <c r="G2227" s="4" t="s">
        <v>2</v>
      </c>
      <c r="H2227" s="25">
        <v>4986.0833333299997</v>
      </c>
      <c r="I2227" s="8">
        <v>13</v>
      </c>
      <c r="J2227" s="9">
        <v>15.5</v>
      </c>
      <c r="K2227" s="7">
        <v>2.5</v>
      </c>
      <c r="L2227" s="24">
        <f>+Tabla2[[#This Row],[Stock Inventario]]*Tabla2[[#This Row],[Coste LÃ­nea]]</f>
        <v>77284.291666614998</v>
      </c>
      <c r="M2227" s="24">
        <f>+Tabla2[[#This Row],[Variación Stock]]*Tabla2[[#This Row],[Coste LÃ­nea]]</f>
        <v>12465.208333324999</v>
      </c>
      <c r="N2227" s="22" t="str">
        <f>+IF(Tabla2[[#This Row],[Variación Stock]]&gt;0,"Sobrante",IF(Tabla2[[#This Row],[Variación Stock]]&lt;0,"Faltante","Sin novedad"))</f>
        <v>Sobrante</v>
      </c>
    </row>
    <row r="2228" spans="1:14" x14ac:dyDescent="0.25">
      <c r="A2228" s="11">
        <v>46044</v>
      </c>
      <c r="B2228" s="5" t="s">
        <v>372</v>
      </c>
      <c r="C2228" s="3" t="s">
        <v>337</v>
      </c>
      <c r="D2228" s="5" t="s">
        <v>111</v>
      </c>
      <c r="E2228" s="5" t="s">
        <v>112</v>
      </c>
      <c r="F2228" s="6" t="s">
        <v>36</v>
      </c>
      <c r="G2228" s="4" t="s">
        <v>0</v>
      </c>
      <c r="H2228" s="25">
        <v>4075.1666666699998</v>
      </c>
      <c r="I2228" s="8">
        <v>49</v>
      </c>
      <c r="J2228" s="9">
        <v>50</v>
      </c>
      <c r="K2228" s="7">
        <v>1</v>
      </c>
      <c r="L2228" s="24">
        <f>+Tabla2[[#This Row],[Stock Inventario]]*Tabla2[[#This Row],[Coste LÃ­nea]]</f>
        <v>203758.33333349999</v>
      </c>
      <c r="M2228" s="24">
        <f>+Tabla2[[#This Row],[Variación Stock]]*Tabla2[[#This Row],[Coste LÃ­nea]]</f>
        <v>4075.1666666699998</v>
      </c>
      <c r="N2228" s="22" t="str">
        <f>+IF(Tabla2[[#This Row],[Variación Stock]]&gt;0,"Sobrante",IF(Tabla2[[#This Row],[Variación Stock]]&lt;0,"Faltante","Sin novedad"))</f>
        <v>Sobrante</v>
      </c>
    </row>
    <row r="2229" spans="1:14" x14ac:dyDescent="0.25">
      <c r="A2229" s="11">
        <v>46037</v>
      </c>
      <c r="B2229" s="5" t="s">
        <v>336</v>
      </c>
      <c r="C2229" s="3" t="s">
        <v>337</v>
      </c>
      <c r="D2229" s="5" t="s">
        <v>111</v>
      </c>
      <c r="E2229" s="5" t="s">
        <v>112</v>
      </c>
      <c r="F2229" s="6" t="s">
        <v>25</v>
      </c>
      <c r="G2229" s="4" t="s">
        <v>0</v>
      </c>
      <c r="H2229" s="25">
        <v>6003.25</v>
      </c>
      <c r="I2229" s="8">
        <v>6</v>
      </c>
      <c r="J2229" s="9">
        <v>6</v>
      </c>
      <c r="K2229" s="7">
        <v>0</v>
      </c>
      <c r="L2229" s="24">
        <f>+Tabla2[[#This Row],[Stock Inventario]]*Tabla2[[#This Row],[Coste LÃ­nea]]</f>
        <v>36019.5</v>
      </c>
      <c r="M2229" s="24">
        <f>+Tabla2[[#This Row],[Variación Stock]]*Tabla2[[#This Row],[Coste LÃ­nea]]</f>
        <v>0</v>
      </c>
      <c r="N2229" s="22" t="str">
        <f>+IF(Tabla2[[#This Row],[Variación Stock]]&gt;0,"Sobrante",IF(Tabla2[[#This Row],[Variación Stock]]&lt;0,"Faltante","Sin novedad"))</f>
        <v>Sin novedad</v>
      </c>
    </row>
    <row r="2230" spans="1:14" x14ac:dyDescent="0.25">
      <c r="A2230" s="11">
        <v>46037</v>
      </c>
      <c r="B2230" s="5" t="s">
        <v>336</v>
      </c>
      <c r="C2230" s="3" t="s">
        <v>337</v>
      </c>
      <c r="D2230" s="5" t="s">
        <v>111</v>
      </c>
      <c r="E2230" s="5" t="s">
        <v>112</v>
      </c>
      <c r="F2230" s="6" t="s">
        <v>26</v>
      </c>
      <c r="G2230" s="4" t="s">
        <v>0</v>
      </c>
      <c r="H2230" s="25">
        <v>8389.75</v>
      </c>
      <c r="I2230" s="8">
        <v>6</v>
      </c>
      <c r="J2230" s="9">
        <v>6</v>
      </c>
      <c r="K2230" s="7">
        <v>0</v>
      </c>
      <c r="L2230" s="24">
        <f>+Tabla2[[#This Row],[Stock Inventario]]*Tabla2[[#This Row],[Coste LÃ­nea]]</f>
        <v>50338.5</v>
      </c>
      <c r="M2230" s="24">
        <f>+Tabla2[[#This Row],[Variación Stock]]*Tabla2[[#This Row],[Coste LÃ­nea]]</f>
        <v>0</v>
      </c>
      <c r="N2230" s="22" t="str">
        <f>+IF(Tabla2[[#This Row],[Variación Stock]]&gt;0,"Sobrante",IF(Tabla2[[#This Row],[Variación Stock]]&lt;0,"Faltante","Sin novedad"))</f>
        <v>Sin novedad</v>
      </c>
    </row>
    <row r="2231" spans="1:14" x14ac:dyDescent="0.25">
      <c r="A2231" s="11">
        <v>46037</v>
      </c>
      <c r="B2231" s="5" t="s">
        <v>336</v>
      </c>
      <c r="C2231" s="3" t="s">
        <v>337</v>
      </c>
      <c r="D2231" s="5" t="s">
        <v>111</v>
      </c>
      <c r="E2231" s="5" t="s">
        <v>112</v>
      </c>
      <c r="F2231" s="6" t="s">
        <v>27</v>
      </c>
      <c r="G2231" s="4" t="s">
        <v>0</v>
      </c>
      <c r="H2231" s="25">
        <v>7122.4772727299996</v>
      </c>
      <c r="I2231" s="8">
        <v>44</v>
      </c>
      <c r="J2231" s="9">
        <v>44</v>
      </c>
      <c r="K2231" s="7">
        <v>0</v>
      </c>
      <c r="L2231" s="24">
        <f>+Tabla2[[#This Row],[Stock Inventario]]*Tabla2[[#This Row],[Coste LÃ­nea]]</f>
        <v>313389.00000011997</v>
      </c>
      <c r="M2231" s="24">
        <f>+Tabla2[[#This Row],[Variación Stock]]*Tabla2[[#This Row],[Coste LÃ­nea]]</f>
        <v>0</v>
      </c>
      <c r="N2231" s="22" t="str">
        <f>+IF(Tabla2[[#This Row],[Variación Stock]]&gt;0,"Sobrante",IF(Tabla2[[#This Row],[Variación Stock]]&lt;0,"Faltante","Sin novedad"))</f>
        <v>Sin novedad</v>
      </c>
    </row>
    <row r="2232" spans="1:14" x14ac:dyDescent="0.25">
      <c r="A2232" s="11">
        <v>46044</v>
      </c>
      <c r="B2232" s="5" t="s">
        <v>372</v>
      </c>
      <c r="C2232" s="3" t="s">
        <v>337</v>
      </c>
      <c r="D2232" s="5" t="s">
        <v>111</v>
      </c>
      <c r="E2232" s="5" t="s">
        <v>112</v>
      </c>
      <c r="F2232" s="6" t="s">
        <v>16</v>
      </c>
      <c r="G2232" s="4" t="s">
        <v>0</v>
      </c>
      <c r="H2232" s="25">
        <v>2309.40625</v>
      </c>
      <c r="I2232" s="8">
        <v>3</v>
      </c>
      <c r="J2232" s="9">
        <v>4</v>
      </c>
      <c r="K2232" s="7">
        <v>1</v>
      </c>
      <c r="L2232" s="24">
        <f>+Tabla2[[#This Row],[Stock Inventario]]*Tabla2[[#This Row],[Coste LÃ­nea]]</f>
        <v>9237.625</v>
      </c>
      <c r="M2232" s="24">
        <f>+Tabla2[[#This Row],[Variación Stock]]*Tabla2[[#This Row],[Coste LÃ­nea]]</f>
        <v>2309.40625</v>
      </c>
      <c r="N2232" s="22" t="str">
        <f>+IF(Tabla2[[#This Row],[Variación Stock]]&gt;0,"Sobrante",IF(Tabla2[[#This Row],[Variación Stock]]&lt;0,"Faltante","Sin novedad"))</f>
        <v>Sobrante</v>
      </c>
    </row>
    <row r="2233" spans="1:14" x14ac:dyDescent="0.25">
      <c r="A2233" s="11">
        <v>46037</v>
      </c>
      <c r="B2233" s="5" t="s">
        <v>336</v>
      </c>
      <c r="C2233" s="3" t="s">
        <v>337</v>
      </c>
      <c r="D2233" s="5" t="s">
        <v>111</v>
      </c>
      <c r="E2233" s="5" t="s">
        <v>112</v>
      </c>
      <c r="F2233" s="6" t="s">
        <v>124</v>
      </c>
      <c r="G2233" s="4" t="s">
        <v>0</v>
      </c>
      <c r="H2233" s="25">
        <v>10178.90909091</v>
      </c>
      <c r="I2233" s="8">
        <v>43</v>
      </c>
      <c r="J2233" s="9">
        <v>43</v>
      </c>
      <c r="K2233" s="7">
        <v>0</v>
      </c>
      <c r="L2233" s="24">
        <f>+Tabla2[[#This Row],[Stock Inventario]]*Tabla2[[#This Row],[Coste LÃ­nea]]</f>
        <v>437693.09090913</v>
      </c>
      <c r="M2233" s="24">
        <f>+Tabla2[[#This Row],[Variación Stock]]*Tabla2[[#This Row],[Coste LÃ­nea]]</f>
        <v>0</v>
      </c>
      <c r="N2233" s="22" t="str">
        <f>+IF(Tabla2[[#This Row],[Variación Stock]]&gt;0,"Sobrante",IF(Tabla2[[#This Row],[Variación Stock]]&lt;0,"Faltante","Sin novedad"))</f>
        <v>Sin novedad</v>
      </c>
    </row>
    <row r="2234" spans="1:14" x14ac:dyDescent="0.25">
      <c r="A2234" s="11">
        <v>46037</v>
      </c>
      <c r="B2234" s="5" t="s">
        <v>336</v>
      </c>
      <c r="C2234" s="3" t="s">
        <v>337</v>
      </c>
      <c r="D2234" s="5" t="s">
        <v>111</v>
      </c>
      <c r="E2234" s="5" t="s">
        <v>112</v>
      </c>
      <c r="F2234" s="6" t="s">
        <v>287</v>
      </c>
      <c r="G2234" s="4" t="s">
        <v>0</v>
      </c>
      <c r="H2234" s="25">
        <v>2309.40625</v>
      </c>
      <c r="I2234" s="8">
        <v>6</v>
      </c>
      <c r="J2234" s="9">
        <v>5</v>
      </c>
      <c r="K2234" s="7">
        <v>-1</v>
      </c>
      <c r="L2234" s="24">
        <f>+Tabla2[[#This Row],[Stock Inventario]]*Tabla2[[#This Row],[Coste LÃ­nea]]</f>
        <v>11547.03125</v>
      </c>
      <c r="M2234" s="24">
        <f>+Tabla2[[#This Row],[Variación Stock]]*Tabla2[[#This Row],[Coste LÃ­nea]]</f>
        <v>-2309.40625</v>
      </c>
      <c r="N2234" s="22" t="str">
        <f>+IF(Tabla2[[#This Row],[Variación Stock]]&gt;0,"Sobrante",IF(Tabla2[[#This Row],[Variación Stock]]&lt;0,"Faltante","Sin novedad"))</f>
        <v>Faltante</v>
      </c>
    </row>
    <row r="2235" spans="1:14" x14ac:dyDescent="0.25">
      <c r="A2235" s="11">
        <v>46037</v>
      </c>
      <c r="B2235" s="5" t="s">
        <v>336</v>
      </c>
      <c r="C2235" s="3" t="s">
        <v>337</v>
      </c>
      <c r="D2235" s="5" t="s">
        <v>111</v>
      </c>
      <c r="E2235" s="5" t="s">
        <v>112</v>
      </c>
      <c r="F2235" s="6" t="s">
        <v>30</v>
      </c>
      <c r="G2235" s="4" t="s">
        <v>0</v>
      </c>
      <c r="H2235" s="25">
        <v>3673.5</v>
      </c>
      <c r="I2235" s="8">
        <v>0</v>
      </c>
      <c r="J2235" s="9">
        <v>0</v>
      </c>
      <c r="K2235" s="7">
        <v>0</v>
      </c>
      <c r="L2235" s="24">
        <f>+Tabla2[[#This Row],[Stock Inventario]]*Tabla2[[#This Row],[Coste LÃ­nea]]</f>
        <v>0</v>
      </c>
      <c r="M2235" s="24">
        <f>+Tabla2[[#This Row],[Variación Stock]]*Tabla2[[#This Row],[Coste LÃ­nea]]</f>
        <v>0</v>
      </c>
      <c r="N2235" s="22" t="str">
        <f>+IF(Tabla2[[#This Row],[Variación Stock]]&gt;0,"Sobrante",IF(Tabla2[[#This Row],[Variación Stock]]&lt;0,"Faltante","Sin novedad"))</f>
        <v>Sin novedad</v>
      </c>
    </row>
    <row r="2236" spans="1:14" x14ac:dyDescent="0.25">
      <c r="A2236" s="11">
        <v>46044</v>
      </c>
      <c r="B2236" s="5" t="s">
        <v>372</v>
      </c>
      <c r="C2236" s="3" t="s">
        <v>337</v>
      </c>
      <c r="D2236" s="5" t="s">
        <v>111</v>
      </c>
      <c r="E2236" s="5" t="s">
        <v>112</v>
      </c>
      <c r="F2236" s="6" t="s">
        <v>19</v>
      </c>
      <c r="G2236" s="4" t="s">
        <v>0</v>
      </c>
      <c r="H2236" s="25">
        <v>6746.25</v>
      </c>
      <c r="I2236" s="8">
        <v>60</v>
      </c>
      <c r="J2236" s="9">
        <v>61</v>
      </c>
      <c r="K2236" s="7">
        <v>1</v>
      </c>
      <c r="L2236" s="24">
        <f>+Tabla2[[#This Row],[Stock Inventario]]*Tabla2[[#This Row],[Coste LÃ­nea]]</f>
        <v>411521.25</v>
      </c>
      <c r="M2236" s="24">
        <f>+Tabla2[[#This Row],[Variación Stock]]*Tabla2[[#This Row],[Coste LÃ­nea]]</f>
        <v>6746.25</v>
      </c>
      <c r="N2236" s="22" t="str">
        <f>+IF(Tabla2[[#This Row],[Variación Stock]]&gt;0,"Sobrante",IF(Tabla2[[#This Row],[Variación Stock]]&lt;0,"Faltante","Sin novedad"))</f>
        <v>Sobrante</v>
      </c>
    </row>
    <row r="2237" spans="1:14" x14ac:dyDescent="0.25">
      <c r="A2237" s="11">
        <v>46037</v>
      </c>
      <c r="B2237" s="5" t="s">
        <v>336</v>
      </c>
      <c r="C2237" s="3" t="s">
        <v>337</v>
      </c>
      <c r="D2237" s="5" t="s">
        <v>111</v>
      </c>
      <c r="E2237" s="5" t="s">
        <v>112</v>
      </c>
      <c r="F2237" s="6" t="s">
        <v>20</v>
      </c>
      <c r="G2237" s="4" t="s">
        <v>0</v>
      </c>
      <c r="H2237" s="25">
        <v>6839.875</v>
      </c>
      <c r="I2237" s="8">
        <v>10.34</v>
      </c>
      <c r="J2237" s="9">
        <v>12</v>
      </c>
      <c r="K2237" s="7">
        <v>1.66</v>
      </c>
      <c r="L2237" s="24">
        <f>+Tabla2[[#This Row],[Stock Inventario]]*Tabla2[[#This Row],[Coste LÃ­nea]]</f>
        <v>82078.5</v>
      </c>
      <c r="M2237" s="24">
        <f>+Tabla2[[#This Row],[Variación Stock]]*Tabla2[[#This Row],[Coste LÃ­nea]]</f>
        <v>11354.192499999999</v>
      </c>
      <c r="N2237" s="22" t="str">
        <f>+IF(Tabla2[[#This Row],[Variación Stock]]&gt;0,"Sobrante",IF(Tabla2[[#This Row],[Variación Stock]]&lt;0,"Faltante","Sin novedad"))</f>
        <v>Sobrante</v>
      </c>
    </row>
    <row r="2238" spans="1:14" x14ac:dyDescent="0.25">
      <c r="A2238" s="11">
        <v>46037</v>
      </c>
      <c r="B2238" s="5" t="s">
        <v>336</v>
      </c>
      <c r="C2238" s="3" t="s">
        <v>337</v>
      </c>
      <c r="D2238" s="5" t="s">
        <v>111</v>
      </c>
      <c r="E2238" s="5" t="s">
        <v>112</v>
      </c>
      <c r="F2238" s="6" t="s">
        <v>33</v>
      </c>
      <c r="G2238" s="4" t="s">
        <v>0</v>
      </c>
      <c r="H2238" s="25">
        <v>3481.25</v>
      </c>
      <c r="I2238" s="8">
        <v>87</v>
      </c>
      <c r="J2238" s="9">
        <v>87</v>
      </c>
      <c r="K2238" s="7">
        <v>0</v>
      </c>
      <c r="L2238" s="24">
        <f>+Tabla2[[#This Row],[Stock Inventario]]*Tabla2[[#This Row],[Coste LÃ­nea]]</f>
        <v>302868.75</v>
      </c>
      <c r="M2238" s="24">
        <f>+Tabla2[[#This Row],[Variación Stock]]*Tabla2[[#This Row],[Coste LÃ­nea]]</f>
        <v>0</v>
      </c>
      <c r="N2238" s="22" t="str">
        <f>+IF(Tabla2[[#This Row],[Variación Stock]]&gt;0,"Sobrante",IF(Tabla2[[#This Row],[Variación Stock]]&lt;0,"Faltante","Sin novedad"))</f>
        <v>Sin novedad</v>
      </c>
    </row>
    <row r="2239" spans="1:14" x14ac:dyDescent="0.25">
      <c r="A2239" s="11">
        <v>46044</v>
      </c>
      <c r="B2239" s="5" t="s">
        <v>372</v>
      </c>
      <c r="C2239" s="3" t="s">
        <v>337</v>
      </c>
      <c r="D2239" s="5" t="s">
        <v>111</v>
      </c>
      <c r="E2239" s="5" t="s">
        <v>112</v>
      </c>
      <c r="F2239" s="6" t="s">
        <v>20</v>
      </c>
      <c r="G2239" s="4" t="s">
        <v>0</v>
      </c>
      <c r="H2239" s="25">
        <v>6839.9166666700003</v>
      </c>
      <c r="I2239" s="8">
        <v>-2</v>
      </c>
      <c r="J2239" s="9">
        <v>0</v>
      </c>
      <c r="K2239" s="7">
        <v>2</v>
      </c>
      <c r="L2239" s="24">
        <f>+Tabla2[[#This Row],[Stock Inventario]]*Tabla2[[#This Row],[Coste LÃ­nea]]</f>
        <v>0</v>
      </c>
      <c r="M2239" s="24">
        <f>+Tabla2[[#This Row],[Variación Stock]]*Tabla2[[#This Row],[Coste LÃ­nea]]</f>
        <v>13679.833333340001</v>
      </c>
      <c r="N2239" s="22" t="str">
        <f>+IF(Tabla2[[#This Row],[Variación Stock]]&gt;0,"Sobrante",IF(Tabla2[[#This Row],[Variación Stock]]&lt;0,"Faltante","Sin novedad"))</f>
        <v>Sobrante</v>
      </c>
    </row>
    <row r="2240" spans="1:14" x14ac:dyDescent="0.25">
      <c r="A2240" s="11">
        <v>46037</v>
      </c>
      <c r="B2240" s="5" t="s">
        <v>336</v>
      </c>
      <c r="C2240" s="3" t="s">
        <v>337</v>
      </c>
      <c r="D2240" s="5" t="s">
        <v>111</v>
      </c>
      <c r="E2240" s="5" t="s">
        <v>112</v>
      </c>
      <c r="F2240" s="6" t="s">
        <v>34</v>
      </c>
      <c r="G2240" s="4" t="s">
        <v>0</v>
      </c>
      <c r="H2240" s="25">
        <v>5896.9583333299997</v>
      </c>
      <c r="I2240" s="8">
        <v>67</v>
      </c>
      <c r="J2240" s="9">
        <v>67</v>
      </c>
      <c r="K2240" s="7">
        <v>0</v>
      </c>
      <c r="L2240" s="24">
        <f>+Tabla2[[#This Row],[Stock Inventario]]*Tabla2[[#This Row],[Coste LÃ­nea]]</f>
        <v>395096.20833310997</v>
      </c>
      <c r="M2240" s="24">
        <f>+Tabla2[[#This Row],[Variación Stock]]*Tabla2[[#This Row],[Coste LÃ­nea]]</f>
        <v>0</v>
      </c>
      <c r="N2240" s="22" t="str">
        <f>+IF(Tabla2[[#This Row],[Variación Stock]]&gt;0,"Sobrante",IF(Tabla2[[#This Row],[Variación Stock]]&lt;0,"Faltante","Sin novedad"))</f>
        <v>Sin novedad</v>
      </c>
    </row>
    <row r="2241" spans="1:14" x14ac:dyDescent="0.25">
      <c r="A2241" s="11">
        <v>46037</v>
      </c>
      <c r="B2241" s="5" t="s">
        <v>336</v>
      </c>
      <c r="C2241" s="3" t="s">
        <v>337</v>
      </c>
      <c r="D2241" s="5" t="s">
        <v>111</v>
      </c>
      <c r="E2241" s="5" t="s">
        <v>112</v>
      </c>
      <c r="F2241" s="6" t="s">
        <v>35</v>
      </c>
      <c r="G2241" s="4" t="s">
        <v>0</v>
      </c>
      <c r="H2241" s="25">
        <v>6045.125</v>
      </c>
      <c r="I2241" s="8">
        <v>23</v>
      </c>
      <c r="J2241" s="9">
        <v>23</v>
      </c>
      <c r="K2241" s="7">
        <v>0</v>
      </c>
      <c r="L2241" s="24">
        <f>+Tabla2[[#This Row],[Stock Inventario]]*Tabla2[[#This Row],[Coste LÃ­nea]]</f>
        <v>139037.875</v>
      </c>
      <c r="M2241" s="24">
        <f>+Tabla2[[#This Row],[Variación Stock]]*Tabla2[[#This Row],[Coste LÃ­nea]]</f>
        <v>0</v>
      </c>
      <c r="N2241" s="22" t="str">
        <f>+IF(Tabla2[[#This Row],[Variación Stock]]&gt;0,"Sobrante",IF(Tabla2[[#This Row],[Variación Stock]]&lt;0,"Faltante","Sin novedad"))</f>
        <v>Sin novedad</v>
      </c>
    </row>
    <row r="2242" spans="1:14" x14ac:dyDescent="0.25">
      <c r="A2242" s="11">
        <v>46037</v>
      </c>
      <c r="B2242" s="5" t="s">
        <v>336</v>
      </c>
      <c r="C2242" s="3" t="s">
        <v>337</v>
      </c>
      <c r="D2242" s="5" t="s">
        <v>111</v>
      </c>
      <c r="E2242" s="5" t="s">
        <v>112</v>
      </c>
      <c r="F2242" s="6" t="s">
        <v>36</v>
      </c>
      <c r="G2242" s="4" t="s">
        <v>0</v>
      </c>
      <c r="H2242" s="25">
        <v>4075.1666666699998</v>
      </c>
      <c r="I2242" s="8">
        <v>55</v>
      </c>
      <c r="J2242" s="9">
        <v>55</v>
      </c>
      <c r="K2242" s="7">
        <v>0</v>
      </c>
      <c r="L2242" s="24">
        <f>+Tabla2[[#This Row],[Stock Inventario]]*Tabla2[[#This Row],[Coste LÃ­nea]]</f>
        <v>224134.16666684998</v>
      </c>
      <c r="M2242" s="24">
        <f>+Tabla2[[#This Row],[Variación Stock]]*Tabla2[[#This Row],[Coste LÃ­nea]]</f>
        <v>0</v>
      </c>
      <c r="N2242" s="22" t="str">
        <f>+IF(Tabla2[[#This Row],[Variación Stock]]&gt;0,"Sobrante",IF(Tabla2[[#This Row],[Variación Stock]]&lt;0,"Faltante","Sin novedad"))</f>
        <v>Sin novedad</v>
      </c>
    </row>
    <row r="2243" spans="1:14" x14ac:dyDescent="0.25">
      <c r="A2243" s="11">
        <v>46037</v>
      </c>
      <c r="B2243" s="5" t="s">
        <v>336</v>
      </c>
      <c r="C2243" s="3" t="s">
        <v>337</v>
      </c>
      <c r="D2243" s="5" t="s">
        <v>111</v>
      </c>
      <c r="E2243" s="5" t="s">
        <v>112</v>
      </c>
      <c r="F2243" s="6" t="s">
        <v>138</v>
      </c>
      <c r="G2243" s="4" t="s">
        <v>0</v>
      </c>
      <c r="H2243" s="25">
        <v>4504.1666666700003</v>
      </c>
      <c r="I2243" s="8">
        <v>0</v>
      </c>
      <c r="J2243" s="9">
        <v>0</v>
      </c>
      <c r="K2243" s="7">
        <v>0</v>
      </c>
      <c r="L2243" s="24">
        <f>+Tabla2[[#This Row],[Stock Inventario]]*Tabla2[[#This Row],[Coste LÃ­nea]]</f>
        <v>0</v>
      </c>
      <c r="M2243" s="24">
        <f>+Tabla2[[#This Row],[Variación Stock]]*Tabla2[[#This Row],[Coste LÃ­nea]]</f>
        <v>0</v>
      </c>
      <c r="N2243" s="22" t="str">
        <f>+IF(Tabla2[[#This Row],[Variación Stock]]&gt;0,"Sobrante",IF(Tabla2[[#This Row],[Variación Stock]]&lt;0,"Faltante","Sin novedad"))</f>
        <v>Sin novedad</v>
      </c>
    </row>
    <row r="2244" spans="1:14" x14ac:dyDescent="0.25">
      <c r="A2244" s="11">
        <v>46037</v>
      </c>
      <c r="B2244" s="5" t="s">
        <v>336</v>
      </c>
      <c r="C2244" s="3" t="s">
        <v>337</v>
      </c>
      <c r="D2244" s="5" t="s">
        <v>111</v>
      </c>
      <c r="E2244" s="5" t="s">
        <v>112</v>
      </c>
      <c r="F2244" s="6" t="s">
        <v>38</v>
      </c>
      <c r="G2244" s="4" t="s">
        <v>0</v>
      </c>
      <c r="H2244" s="25">
        <v>2244.5833333300002</v>
      </c>
      <c r="I2244" s="8">
        <v>76</v>
      </c>
      <c r="J2244" s="9">
        <v>76</v>
      </c>
      <c r="K2244" s="7">
        <v>0</v>
      </c>
      <c r="L2244" s="24">
        <f>+Tabla2[[#This Row],[Stock Inventario]]*Tabla2[[#This Row],[Coste LÃ­nea]]</f>
        <v>170588.33333308002</v>
      </c>
      <c r="M2244" s="24">
        <f>+Tabla2[[#This Row],[Variación Stock]]*Tabla2[[#This Row],[Coste LÃ­nea]]</f>
        <v>0</v>
      </c>
      <c r="N2244" s="22" t="str">
        <f>+IF(Tabla2[[#This Row],[Variación Stock]]&gt;0,"Sobrante",IF(Tabla2[[#This Row],[Variación Stock]]&lt;0,"Faltante","Sin novedad"))</f>
        <v>Sin novedad</v>
      </c>
    </row>
    <row r="2245" spans="1:14" hidden="1" x14ac:dyDescent="0.25">
      <c r="A2245" s="11">
        <v>46044</v>
      </c>
      <c r="B2245" s="5" t="s">
        <v>372</v>
      </c>
      <c r="C2245" s="3" t="s">
        <v>337</v>
      </c>
      <c r="D2245" s="5" t="s">
        <v>119</v>
      </c>
      <c r="E2245" s="5" t="s">
        <v>117</v>
      </c>
      <c r="F2245" s="6" t="s">
        <v>9</v>
      </c>
      <c r="G2245" s="4" t="s">
        <v>2</v>
      </c>
      <c r="H2245" s="25">
        <v>485.71428571000001</v>
      </c>
      <c r="I2245" s="8">
        <v>96</v>
      </c>
      <c r="J2245" s="9">
        <v>752</v>
      </c>
      <c r="K2245" s="7">
        <v>656</v>
      </c>
      <c r="L2245" s="24">
        <f>+Tabla2[[#This Row],[Stock Inventario]]*Tabla2[[#This Row],[Coste LÃ­nea]]</f>
        <v>365257.14285392</v>
      </c>
      <c r="M2245" s="24">
        <f>+Tabla2[[#This Row],[Variación Stock]]*Tabla2[[#This Row],[Coste LÃ­nea]]</f>
        <v>318628.57142575999</v>
      </c>
      <c r="N2245" s="22" t="str">
        <f>+IF(Tabla2[[#This Row],[Variación Stock]]&gt;0,"Sobrante",IF(Tabla2[[#This Row],[Variación Stock]]&lt;0,"Faltante","Sin novedad"))</f>
        <v>Sobrante</v>
      </c>
    </row>
    <row r="2246" spans="1:14" x14ac:dyDescent="0.25">
      <c r="A2246" s="11">
        <v>46037</v>
      </c>
      <c r="B2246" s="5" t="s">
        <v>336</v>
      </c>
      <c r="C2246" s="3" t="s">
        <v>337</v>
      </c>
      <c r="D2246" s="5" t="s">
        <v>111</v>
      </c>
      <c r="E2246" s="5" t="s">
        <v>112</v>
      </c>
      <c r="F2246" s="6" t="s">
        <v>37</v>
      </c>
      <c r="G2246" s="4" t="s">
        <v>0</v>
      </c>
      <c r="H2246" s="25">
        <v>4279.4583333299997</v>
      </c>
      <c r="I2246" s="8">
        <v>21</v>
      </c>
      <c r="J2246" s="9">
        <v>20</v>
      </c>
      <c r="K2246" s="7">
        <v>-1</v>
      </c>
      <c r="L2246" s="24">
        <f>+Tabla2[[#This Row],[Stock Inventario]]*Tabla2[[#This Row],[Coste LÃ­nea]]</f>
        <v>85589.166666599995</v>
      </c>
      <c r="M2246" s="24">
        <f>+Tabla2[[#This Row],[Variación Stock]]*Tabla2[[#This Row],[Coste LÃ­nea]]</f>
        <v>-4279.4583333299997</v>
      </c>
      <c r="N2246" s="22" t="str">
        <f>+IF(Tabla2[[#This Row],[Variación Stock]]&gt;0,"Sobrante",IF(Tabla2[[#This Row],[Variación Stock]]&lt;0,"Faltante","Sin novedad"))</f>
        <v>Faltante</v>
      </c>
    </row>
    <row r="2247" spans="1:14" x14ac:dyDescent="0.25">
      <c r="A2247" s="11">
        <v>46037</v>
      </c>
      <c r="B2247" s="5" t="s">
        <v>336</v>
      </c>
      <c r="C2247" s="3" t="s">
        <v>337</v>
      </c>
      <c r="D2247" s="5" t="s">
        <v>111</v>
      </c>
      <c r="E2247" s="5" t="s">
        <v>112</v>
      </c>
      <c r="F2247" s="6" t="s">
        <v>41</v>
      </c>
      <c r="G2247" s="4" t="s">
        <v>0</v>
      </c>
      <c r="H2247" s="25">
        <v>1917.6875</v>
      </c>
      <c r="I2247" s="8">
        <v>15.02</v>
      </c>
      <c r="J2247" s="9">
        <v>15</v>
      </c>
      <c r="K2247" s="7">
        <v>-0.02</v>
      </c>
      <c r="L2247" s="24">
        <f>+Tabla2[[#This Row],[Stock Inventario]]*Tabla2[[#This Row],[Coste LÃ­nea]]</f>
        <v>28765.3125</v>
      </c>
      <c r="M2247" s="24">
        <f>+Tabla2[[#This Row],[Variación Stock]]*Tabla2[[#This Row],[Coste LÃ­nea]]</f>
        <v>-38.353749999999998</v>
      </c>
      <c r="N2247" s="22" t="str">
        <f>+IF(Tabla2[[#This Row],[Variación Stock]]&gt;0,"Sobrante",IF(Tabla2[[#This Row],[Variación Stock]]&lt;0,"Faltante","Sin novedad"))</f>
        <v>Faltante</v>
      </c>
    </row>
    <row r="2248" spans="1:14" x14ac:dyDescent="0.25">
      <c r="A2248" s="11">
        <v>46037</v>
      </c>
      <c r="B2248" s="5" t="s">
        <v>336</v>
      </c>
      <c r="C2248" s="3" t="s">
        <v>337</v>
      </c>
      <c r="D2248" s="5" t="s">
        <v>115</v>
      </c>
      <c r="E2248" s="5" t="s">
        <v>112</v>
      </c>
      <c r="F2248" s="6" t="s">
        <v>71</v>
      </c>
      <c r="G2248" s="4" t="s">
        <v>2</v>
      </c>
      <c r="H2248" s="25">
        <v>2418.998</v>
      </c>
      <c r="I2248" s="8">
        <v>42</v>
      </c>
      <c r="J2248" s="9">
        <v>27</v>
      </c>
      <c r="K2248" s="7">
        <v>-15</v>
      </c>
      <c r="L2248" s="24">
        <f>+Tabla2[[#This Row],[Stock Inventario]]*Tabla2[[#This Row],[Coste LÃ­nea]]</f>
        <v>65312.946000000004</v>
      </c>
      <c r="M2248" s="24">
        <f>+Tabla2[[#This Row],[Variación Stock]]*Tabla2[[#This Row],[Coste LÃ­nea]]</f>
        <v>-36284.97</v>
      </c>
      <c r="N2248" s="22" t="str">
        <f>+IF(Tabla2[[#This Row],[Variación Stock]]&gt;0,"Sobrante",IF(Tabla2[[#This Row],[Variación Stock]]&lt;0,"Faltante","Sin novedad"))</f>
        <v>Faltante</v>
      </c>
    </row>
    <row r="2249" spans="1:14" x14ac:dyDescent="0.25">
      <c r="A2249" s="11">
        <v>46037</v>
      </c>
      <c r="B2249" s="5" t="s">
        <v>336</v>
      </c>
      <c r="C2249" s="3" t="s">
        <v>337</v>
      </c>
      <c r="D2249" s="5" t="s">
        <v>111</v>
      </c>
      <c r="E2249" s="5" t="s">
        <v>112</v>
      </c>
      <c r="F2249" s="6" t="s">
        <v>44</v>
      </c>
      <c r="G2249" s="4" t="s">
        <v>0</v>
      </c>
      <c r="H2249" s="25">
        <v>3500</v>
      </c>
      <c r="I2249" s="8">
        <v>24</v>
      </c>
      <c r="J2249" s="9">
        <v>24</v>
      </c>
      <c r="K2249" s="7">
        <v>0</v>
      </c>
      <c r="L2249" s="24">
        <f>+Tabla2[[#This Row],[Stock Inventario]]*Tabla2[[#This Row],[Coste LÃ­nea]]</f>
        <v>84000</v>
      </c>
      <c r="M2249" s="24">
        <f>+Tabla2[[#This Row],[Variación Stock]]*Tabla2[[#This Row],[Coste LÃ­nea]]</f>
        <v>0</v>
      </c>
      <c r="N2249" s="22" t="str">
        <f>+IF(Tabla2[[#This Row],[Variación Stock]]&gt;0,"Sobrante",IF(Tabla2[[#This Row],[Variación Stock]]&lt;0,"Faltante","Sin novedad"))</f>
        <v>Sin novedad</v>
      </c>
    </row>
    <row r="2250" spans="1:14" x14ac:dyDescent="0.25">
      <c r="A2250" s="11">
        <v>46037</v>
      </c>
      <c r="B2250" s="5" t="s">
        <v>336</v>
      </c>
      <c r="C2250" s="3" t="s">
        <v>337</v>
      </c>
      <c r="D2250" s="5" t="s">
        <v>111</v>
      </c>
      <c r="E2250" s="5" t="s">
        <v>112</v>
      </c>
      <c r="F2250" s="6" t="s">
        <v>45</v>
      </c>
      <c r="G2250" s="4" t="s">
        <v>2</v>
      </c>
      <c r="H2250" s="25">
        <v>26517.26</v>
      </c>
      <c r="I2250" s="8">
        <v>1</v>
      </c>
      <c r="J2250" s="9">
        <v>1</v>
      </c>
      <c r="K2250" s="7">
        <v>0</v>
      </c>
      <c r="L2250" s="24">
        <f>+Tabla2[[#This Row],[Stock Inventario]]*Tabla2[[#This Row],[Coste LÃ­nea]]</f>
        <v>26517.26</v>
      </c>
      <c r="M2250" s="24">
        <f>+Tabla2[[#This Row],[Variación Stock]]*Tabla2[[#This Row],[Coste LÃ­nea]]</f>
        <v>0</v>
      </c>
      <c r="N2250" s="22" t="str">
        <f>+IF(Tabla2[[#This Row],[Variación Stock]]&gt;0,"Sobrante",IF(Tabla2[[#This Row],[Variación Stock]]&lt;0,"Faltante","Sin novedad"))</f>
        <v>Sin novedad</v>
      </c>
    </row>
    <row r="2251" spans="1:14" x14ac:dyDescent="0.25">
      <c r="A2251" s="11">
        <v>46037</v>
      </c>
      <c r="B2251" s="5" t="s">
        <v>336</v>
      </c>
      <c r="C2251" s="3" t="s">
        <v>337</v>
      </c>
      <c r="D2251" s="5" t="s">
        <v>111</v>
      </c>
      <c r="E2251" s="5" t="s">
        <v>112</v>
      </c>
      <c r="F2251" s="6" t="s">
        <v>46</v>
      </c>
      <c r="G2251" s="4" t="s">
        <v>0</v>
      </c>
      <c r="H2251" s="25">
        <v>2056.3333333300002</v>
      </c>
      <c r="I2251" s="8">
        <v>38</v>
      </c>
      <c r="J2251" s="9">
        <v>38</v>
      </c>
      <c r="K2251" s="7">
        <v>0</v>
      </c>
      <c r="L2251" s="24">
        <f>+Tabla2[[#This Row],[Stock Inventario]]*Tabla2[[#This Row],[Coste LÃ­nea]]</f>
        <v>78140.666666540012</v>
      </c>
      <c r="M2251" s="24">
        <f>+Tabla2[[#This Row],[Variación Stock]]*Tabla2[[#This Row],[Coste LÃ­nea]]</f>
        <v>0</v>
      </c>
      <c r="N2251" s="22" t="str">
        <f>+IF(Tabla2[[#This Row],[Variación Stock]]&gt;0,"Sobrante",IF(Tabla2[[#This Row],[Variación Stock]]&lt;0,"Faltante","Sin novedad"))</f>
        <v>Sin novedad</v>
      </c>
    </row>
    <row r="2252" spans="1:14" x14ac:dyDescent="0.25">
      <c r="A2252" s="11">
        <v>46037</v>
      </c>
      <c r="B2252" s="5" t="s">
        <v>336</v>
      </c>
      <c r="C2252" s="3" t="s">
        <v>337</v>
      </c>
      <c r="D2252" s="5" t="s">
        <v>111</v>
      </c>
      <c r="E2252" s="5" t="s">
        <v>112</v>
      </c>
      <c r="F2252" s="6" t="s">
        <v>47</v>
      </c>
      <c r="G2252" s="4" t="s">
        <v>2</v>
      </c>
      <c r="H2252" s="25">
        <v>22770</v>
      </c>
      <c r="I2252" s="8">
        <v>2</v>
      </c>
      <c r="J2252" s="9">
        <v>2</v>
      </c>
      <c r="K2252" s="7">
        <v>0</v>
      </c>
      <c r="L2252" s="24">
        <f>+Tabla2[[#This Row],[Stock Inventario]]*Tabla2[[#This Row],[Coste LÃ­nea]]</f>
        <v>45540</v>
      </c>
      <c r="M2252" s="24">
        <f>+Tabla2[[#This Row],[Variación Stock]]*Tabla2[[#This Row],[Coste LÃ­nea]]</f>
        <v>0</v>
      </c>
      <c r="N2252" s="22" t="str">
        <f>+IF(Tabla2[[#This Row],[Variación Stock]]&gt;0,"Sobrante",IF(Tabla2[[#This Row],[Variación Stock]]&lt;0,"Faltante","Sin novedad"))</f>
        <v>Sin novedad</v>
      </c>
    </row>
    <row r="2253" spans="1:14" x14ac:dyDescent="0.25">
      <c r="A2253" s="11">
        <v>46037</v>
      </c>
      <c r="B2253" s="5" t="s">
        <v>336</v>
      </c>
      <c r="C2253" s="3" t="s">
        <v>337</v>
      </c>
      <c r="D2253" s="5" t="s">
        <v>111</v>
      </c>
      <c r="E2253" s="5" t="s">
        <v>112</v>
      </c>
      <c r="F2253" s="6" t="s">
        <v>48</v>
      </c>
      <c r="G2253" s="4" t="s">
        <v>0</v>
      </c>
      <c r="H2253" s="25">
        <v>1729.16666667</v>
      </c>
      <c r="I2253" s="8">
        <v>39</v>
      </c>
      <c r="J2253" s="9">
        <v>39</v>
      </c>
      <c r="K2253" s="7">
        <v>0</v>
      </c>
      <c r="L2253" s="24">
        <f>+Tabla2[[#This Row],[Stock Inventario]]*Tabla2[[#This Row],[Coste LÃ­nea]]</f>
        <v>67437.500000130007</v>
      </c>
      <c r="M2253" s="24">
        <f>+Tabla2[[#This Row],[Variación Stock]]*Tabla2[[#This Row],[Coste LÃ­nea]]</f>
        <v>0</v>
      </c>
      <c r="N2253" s="22" t="str">
        <f>+IF(Tabla2[[#This Row],[Variación Stock]]&gt;0,"Sobrante",IF(Tabla2[[#This Row],[Variación Stock]]&lt;0,"Faltante","Sin novedad"))</f>
        <v>Sin novedad</v>
      </c>
    </row>
    <row r="2254" spans="1:14" x14ac:dyDescent="0.25">
      <c r="A2254" s="11">
        <v>46037</v>
      </c>
      <c r="B2254" s="5" t="s">
        <v>336</v>
      </c>
      <c r="C2254" s="3" t="s">
        <v>337</v>
      </c>
      <c r="D2254" s="5" t="s">
        <v>111</v>
      </c>
      <c r="E2254" s="5" t="s">
        <v>112</v>
      </c>
      <c r="F2254" s="6" t="s">
        <v>49</v>
      </c>
      <c r="G2254" s="4" t="s">
        <v>2</v>
      </c>
      <c r="H2254" s="25">
        <v>23367.5</v>
      </c>
      <c r="I2254" s="8">
        <v>2</v>
      </c>
      <c r="J2254" s="9">
        <v>2</v>
      </c>
      <c r="K2254" s="7">
        <v>0</v>
      </c>
      <c r="L2254" s="24">
        <f>+Tabla2[[#This Row],[Stock Inventario]]*Tabla2[[#This Row],[Coste LÃ­nea]]</f>
        <v>46735</v>
      </c>
      <c r="M2254" s="24">
        <f>+Tabla2[[#This Row],[Variación Stock]]*Tabla2[[#This Row],[Coste LÃ­nea]]</f>
        <v>0</v>
      </c>
      <c r="N2254" s="22" t="str">
        <f>+IF(Tabla2[[#This Row],[Variación Stock]]&gt;0,"Sobrante",IF(Tabla2[[#This Row],[Variación Stock]]&lt;0,"Faltante","Sin novedad"))</f>
        <v>Sin novedad</v>
      </c>
    </row>
    <row r="2255" spans="1:14" x14ac:dyDescent="0.25">
      <c r="A2255" s="11">
        <v>46037</v>
      </c>
      <c r="B2255" s="5" t="s">
        <v>336</v>
      </c>
      <c r="C2255" s="3" t="s">
        <v>337</v>
      </c>
      <c r="D2255" s="5" t="s">
        <v>111</v>
      </c>
      <c r="E2255" s="5" t="s">
        <v>112</v>
      </c>
      <c r="F2255" s="6" t="s">
        <v>50</v>
      </c>
      <c r="G2255" s="4" t="s">
        <v>0</v>
      </c>
      <c r="H2255" s="25">
        <v>1658.625</v>
      </c>
      <c r="I2255" s="8">
        <v>24</v>
      </c>
      <c r="J2255" s="9">
        <v>24</v>
      </c>
      <c r="K2255" s="7">
        <v>0</v>
      </c>
      <c r="L2255" s="24">
        <f>+Tabla2[[#This Row],[Stock Inventario]]*Tabla2[[#This Row],[Coste LÃ­nea]]</f>
        <v>39807</v>
      </c>
      <c r="M2255" s="24">
        <f>+Tabla2[[#This Row],[Variación Stock]]*Tabla2[[#This Row],[Coste LÃ­nea]]</f>
        <v>0</v>
      </c>
      <c r="N2255" s="22" t="str">
        <f>+IF(Tabla2[[#This Row],[Variación Stock]]&gt;0,"Sobrante",IF(Tabla2[[#This Row],[Variación Stock]]&lt;0,"Faltante","Sin novedad"))</f>
        <v>Sin novedad</v>
      </c>
    </row>
    <row r="2256" spans="1:14" x14ac:dyDescent="0.25">
      <c r="A2256" s="11">
        <v>46037</v>
      </c>
      <c r="B2256" s="5" t="s">
        <v>336</v>
      </c>
      <c r="C2256" s="3" t="s">
        <v>337</v>
      </c>
      <c r="D2256" s="5" t="s">
        <v>115</v>
      </c>
      <c r="E2256" s="5" t="s">
        <v>112</v>
      </c>
      <c r="F2256" s="6" t="s">
        <v>72</v>
      </c>
      <c r="G2256" s="4" t="s">
        <v>2</v>
      </c>
      <c r="H2256" s="25">
        <v>2183.46666667</v>
      </c>
      <c r="I2256" s="8">
        <v>5</v>
      </c>
      <c r="J2256" s="9">
        <v>20</v>
      </c>
      <c r="K2256" s="7">
        <v>15</v>
      </c>
      <c r="L2256" s="24">
        <f>+Tabla2[[#This Row],[Stock Inventario]]*Tabla2[[#This Row],[Coste LÃ­nea]]</f>
        <v>43669.333333399998</v>
      </c>
      <c r="M2256" s="24">
        <f>+Tabla2[[#This Row],[Variación Stock]]*Tabla2[[#This Row],[Coste LÃ­nea]]</f>
        <v>32752.00000005</v>
      </c>
      <c r="N2256" s="22" t="str">
        <f>+IF(Tabla2[[#This Row],[Variación Stock]]&gt;0,"Sobrante",IF(Tabla2[[#This Row],[Variación Stock]]&lt;0,"Faltante","Sin novedad"))</f>
        <v>Sobrante</v>
      </c>
    </row>
    <row r="2257" spans="1:14" x14ac:dyDescent="0.25">
      <c r="A2257" s="11">
        <v>46037</v>
      </c>
      <c r="B2257" s="5" t="s">
        <v>336</v>
      </c>
      <c r="C2257" s="3" t="s">
        <v>337</v>
      </c>
      <c r="D2257" s="5" t="s">
        <v>111</v>
      </c>
      <c r="E2257" s="5" t="s">
        <v>112</v>
      </c>
      <c r="F2257" s="6" t="s">
        <v>141</v>
      </c>
      <c r="G2257" s="4" t="s">
        <v>0</v>
      </c>
      <c r="H2257" s="25">
        <v>5670.8333333299997</v>
      </c>
      <c r="I2257" s="8">
        <v>0</v>
      </c>
      <c r="J2257" s="9">
        <v>0</v>
      </c>
      <c r="K2257" s="7">
        <v>0</v>
      </c>
      <c r="L2257" s="24">
        <f>+Tabla2[[#This Row],[Stock Inventario]]*Tabla2[[#This Row],[Coste LÃ­nea]]</f>
        <v>0</v>
      </c>
      <c r="M2257" s="24">
        <f>+Tabla2[[#This Row],[Variación Stock]]*Tabla2[[#This Row],[Coste LÃ­nea]]</f>
        <v>0</v>
      </c>
      <c r="N2257" s="22" t="str">
        <f>+IF(Tabla2[[#This Row],[Variación Stock]]&gt;0,"Sobrante",IF(Tabla2[[#This Row],[Variación Stock]]&lt;0,"Faltante","Sin novedad"))</f>
        <v>Sin novedad</v>
      </c>
    </row>
    <row r="2258" spans="1:14" x14ac:dyDescent="0.25">
      <c r="A2258" s="11">
        <v>46037</v>
      </c>
      <c r="B2258" s="5" t="s">
        <v>336</v>
      </c>
      <c r="C2258" s="3" t="s">
        <v>337</v>
      </c>
      <c r="D2258" s="5" t="s">
        <v>115</v>
      </c>
      <c r="E2258" s="5" t="s">
        <v>112</v>
      </c>
      <c r="F2258" s="6" t="s">
        <v>291</v>
      </c>
      <c r="G2258" s="4" t="s">
        <v>2</v>
      </c>
      <c r="H2258" s="25">
        <v>4102.875</v>
      </c>
      <c r="I2258" s="8">
        <v>19</v>
      </c>
      <c r="J2258" s="9">
        <v>18</v>
      </c>
      <c r="K2258" s="15">
        <v>-1</v>
      </c>
      <c r="L2258" s="24">
        <f>+Tabla2[[#This Row],[Stock Inventario]]*Tabla2[[#This Row],[Coste LÃ­nea]]</f>
        <v>73851.75</v>
      </c>
      <c r="M2258" s="24">
        <f>+Tabla2[[#This Row],[Variación Stock]]*Tabla2[[#This Row],[Coste LÃ­nea]]</f>
        <v>-4102.875</v>
      </c>
      <c r="N2258" s="22" t="str">
        <f>+IF(Tabla2[[#This Row],[Variación Stock]]&gt;0,"Sobrante",IF(Tabla2[[#This Row],[Variación Stock]]&lt;0,"Faltante","Sin novedad"))</f>
        <v>Faltante</v>
      </c>
    </row>
    <row r="2259" spans="1:14" x14ac:dyDescent="0.25">
      <c r="A2259" s="11">
        <v>46037</v>
      </c>
      <c r="B2259" s="5" t="s">
        <v>336</v>
      </c>
      <c r="C2259" s="3" t="s">
        <v>337</v>
      </c>
      <c r="D2259" s="5" t="s">
        <v>111</v>
      </c>
      <c r="E2259" s="5" t="s">
        <v>112</v>
      </c>
      <c r="F2259" s="6" t="s">
        <v>53</v>
      </c>
      <c r="G2259" s="4" t="s">
        <v>2</v>
      </c>
      <c r="H2259" s="25">
        <v>45099.74</v>
      </c>
      <c r="I2259" s="8">
        <v>2</v>
      </c>
      <c r="J2259" s="9">
        <v>2</v>
      </c>
      <c r="K2259" s="7">
        <v>0</v>
      </c>
      <c r="L2259" s="24">
        <f>+Tabla2[[#This Row],[Stock Inventario]]*Tabla2[[#This Row],[Coste LÃ­nea]]</f>
        <v>90199.48</v>
      </c>
      <c r="M2259" s="24">
        <f>+Tabla2[[#This Row],[Variación Stock]]*Tabla2[[#This Row],[Coste LÃ­nea]]</f>
        <v>0</v>
      </c>
      <c r="N2259" s="22" t="str">
        <f>+IF(Tabla2[[#This Row],[Variación Stock]]&gt;0,"Sobrante",IF(Tabla2[[#This Row],[Variación Stock]]&lt;0,"Faltante","Sin novedad"))</f>
        <v>Sin novedad</v>
      </c>
    </row>
    <row r="2260" spans="1:14" x14ac:dyDescent="0.25">
      <c r="A2260" s="11">
        <v>46037</v>
      </c>
      <c r="B2260" s="5" t="s">
        <v>336</v>
      </c>
      <c r="C2260" s="3" t="s">
        <v>337</v>
      </c>
      <c r="D2260" s="5" t="s">
        <v>111</v>
      </c>
      <c r="E2260" s="5" t="s">
        <v>112</v>
      </c>
      <c r="F2260" s="6" t="s">
        <v>54</v>
      </c>
      <c r="G2260" s="4" t="s">
        <v>0</v>
      </c>
      <c r="H2260" s="25">
        <v>0</v>
      </c>
      <c r="I2260" s="8">
        <v>0</v>
      </c>
      <c r="J2260" s="9">
        <v>0</v>
      </c>
      <c r="K2260" s="7">
        <v>0</v>
      </c>
      <c r="L2260" s="24">
        <f>+Tabla2[[#This Row],[Stock Inventario]]*Tabla2[[#This Row],[Coste LÃ­nea]]</f>
        <v>0</v>
      </c>
      <c r="M2260" s="24">
        <f>+Tabla2[[#This Row],[Variación Stock]]*Tabla2[[#This Row],[Coste LÃ­nea]]</f>
        <v>0</v>
      </c>
      <c r="N2260" s="22" t="str">
        <f>+IF(Tabla2[[#This Row],[Variación Stock]]&gt;0,"Sobrante",IF(Tabla2[[#This Row],[Variación Stock]]&lt;0,"Faltante","Sin novedad"))</f>
        <v>Sin novedad</v>
      </c>
    </row>
    <row r="2261" spans="1:14" x14ac:dyDescent="0.25">
      <c r="A2261" s="11">
        <v>46037</v>
      </c>
      <c r="B2261" s="5" t="s">
        <v>336</v>
      </c>
      <c r="C2261" s="3" t="s">
        <v>337</v>
      </c>
      <c r="D2261" s="5" t="s">
        <v>111</v>
      </c>
      <c r="E2261" s="5" t="s">
        <v>112</v>
      </c>
      <c r="F2261" s="6" t="s">
        <v>55</v>
      </c>
      <c r="G2261" s="4" t="s">
        <v>0</v>
      </c>
      <c r="H2261" s="25">
        <v>3171.7162499999999</v>
      </c>
      <c r="I2261" s="8">
        <v>37</v>
      </c>
      <c r="J2261" s="9">
        <v>37</v>
      </c>
      <c r="K2261" s="7">
        <v>0</v>
      </c>
      <c r="L2261" s="24">
        <f>+Tabla2[[#This Row],[Stock Inventario]]*Tabla2[[#This Row],[Coste LÃ­nea]]</f>
        <v>117353.50125</v>
      </c>
      <c r="M2261" s="24">
        <f>+Tabla2[[#This Row],[Variación Stock]]*Tabla2[[#This Row],[Coste LÃ­nea]]</f>
        <v>0</v>
      </c>
      <c r="N2261" s="22" t="str">
        <f>+IF(Tabla2[[#This Row],[Variación Stock]]&gt;0,"Sobrante",IF(Tabla2[[#This Row],[Variación Stock]]&lt;0,"Faltante","Sin novedad"))</f>
        <v>Sin novedad</v>
      </c>
    </row>
    <row r="2262" spans="1:14" x14ac:dyDescent="0.25">
      <c r="A2262" s="11">
        <v>46037</v>
      </c>
      <c r="B2262" s="5" t="s">
        <v>336</v>
      </c>
      <c r="C2262" s="3" t="s">
        <v>337</v>
      </c>
      <c r="D2262" s="5" t="s">
        <v>111</v>
      </c>
      <c r="E2262" s="5" t="s">
        <v>112</v>
      </c>
      <c r="F2262" s="6" t="s">
        <v>56</v>
      </c>
      <c r="G2262" s="4" t="s">
        <v>0</v>
      </c>
      <c r="H2262" s="25">
        <v>5291.6666666700003</v>
      </c>
      <c r="I2262" s="8">
        <v>0</v>
      </c>
      <c r="J2262" s="9">
        <v>0</v>
      </c>
      <c r="K2262" s="7">
        <v>0</v>
      </c>
      <c r="L2262" s="24">
        <f>+Tabla2[[#This Row],[Stock Inventario]]*Tabla2[[#This Row],[Coste LÃ­nea]]</f>
        <v>0</v>
      </c>
      <c r="M2262" s="24">
        <f>+Tabla2[[#This Row],[Variación Stock]]*Tabla2[[#This Row],[Coste LÃ­nea]]</f>
        <v>0</v>
      </c>
      <c r="N2262" s="22" t="str">
        <f>+IF(Tabla2[[#This Row],[Variación Stock]]&gt;0,"Sobrante",IF(Tabla2[[#This Row],[Variación Stock]]&lt;0,"Faltante","Sin novedad"))</f>
        <v>Sin novedad</v>
      </c>
    </row>
    <row r="2263" spans="1:14" x14ac:dyDescent="0.25">
      <c r="A2263" s="11">
        <v>46037</v>
      </c>
      <c r="B2263" s="5" t="s">
        <v>336</v>
      </c>
      <c r="C2263" s="3" t="s">
        <v>337</v>
      </c>
      <c r="D2263" s="5" t="s">
        <v>115</v>
      </c>
      <c r="E2263" s="5" t="s">
        <v>112</v>
      </c>
      <c r="F2263" s="6" t="s">
        <v>75</v>
      </c>
      <c r="G2263" s="4" t="s">
        <v>2</v>
      </c>
      <c r="H2263" s="25">
        <v>2298.1333333299999</v>
      </c>
      <c r="I2263" s="8">
        <v>-613.04</v>
      </c>
      <c r="J2263" s="9">
        <v>0</v>
      </c>
      <c r="K2263" s="7">
        <v>613.04</v>
      </c>
      <c r="L2263" s="24">
        <f>+Tabla2[[#This Row],[Stock Inventario]]*Tabla2[[#This Row],[Coste LÃ­nea]]</f>
        <v>0</v>
      </c>
      <c r="M2263" s="24">
        <f>+Tabla2[[#This Row],[Variación Stock]]*Tabla2[[#This Row],[Coste LÃ­nea]]</f>
        <v>1408847.658664623</v>
      </c>
      <c r="N2263" s="22" t="str">
        <f>+IF(Tabla2[[#This Row],[Variación Stock]]&gt;0,"Sobrante",IF(Tabla2[[#This Row],[Variación Stock]]&lt;0,"Faltante","Sin novedad"))</f>
        <v>Sobrante</v>
      </c>
    </row>
    <row r="2264" spans="1:14" x14ac:dyDescent="0.25">
      <c r="A2264" s="11">
        <v>46037</v>
      </c>
      <c r="B2264" s="5" t="s">
        <v>336</v>
      </c>
      <c r="C2264" s="3" t="s">
        <v>337</v>
      </c>
      <c r="D2264" s="5" t="s">
        <v>111</v>
      </c>
      <c r="E2264" s="5" t="s">
        <v>112</v>
      </c>
      <c r="F2264" s="6" t="s">
        <v>52</v>
      </c>
      <c r="G2264" s="4" t="s">
        <v>0</v>
      </c>
      <c r="H2264" s="25">
        <v>6800.3640183199996</v>
      </c>
      <c r="I2264" s="8">
        <v>25.68</v>
      </c>
      <c r="J2264" s="9">
        <v>26</v>
      </c>
      <c r="K2264" s="7">
        <v>0.32</v>
      </c>
      <c r="L2264" s="24">
        <f>+Tabla2[[#This Row],[Stock Inventario]]*Tabla2[[#This Row],[Coste LÃ­nea]]</f>
        <v>176809.46447631999</v>
      </c>
      <c r="M2264" s="24">
        <f>+Tabla2[[#This Row],[Variación Stock]]*Tabla2[[#This Row],[Coste LÃ­nea]]</f>
        <v>2176.1164858623997</v>
      </c>
      <c r="N2264" s="22" t="str">
        <f>+IF(Tabla2[[#This Row],[Variación Stock]]&gt;0,"Sobrante",IF(Tabla2[[#This Row],[Variación Stock]]&lt;0,"Faltante","Sin novedad"))</f>
        <v>Sobrante</v>
      </c>
    </row>
    <row r="2265" spans="1:14" x14ac:dyDescent="0.25">
      <c r="A2265" s="11">
        <v>46044</v>
      </c>
      <c r="B2265" s="5" t="s">
        <v>372</v>
      </c>
      <c r="C2265" s="3" t="s">
        <v>337</v>
      </c>
      <c r="D2265" s="5" t="s">
        <v>115</v>
      </c>
      <c r="E2265" s="5" t="s">
        <v>112</v>
      </c>
      <c r="F2265" s="6" t="s">
        <v>367</v>
      </c>
      <c r="G2265" s="4" t="s">
        <v>2</v>
      </c>
      <c r="H2265" s="25">
        <v>18598</v>
      </c>
      <c r="I2265" s="8">
        <v>-4.25</v>
      </c>
      <c r="J2265" s="9">
        <v>14</v>
      </c>
      <c r="K2265" s="7">
        <v>18.25</v>
      </c>
      <c r="L2265" s="24">
        <f>+Tabla2[[#This Row],[Stock Inventario]]*Tabla2[[#This Row],[Coste LÃ­nea]]</f>
        <v>260372</v>
      </c>
      <c r="M2265" s="24">
        <f>+Tabla2[[#This Row],[Variación Stock]]*Tabla2[[#This Row],[Coste LÃ­nea]]</f>
        <v>339413.5</v>
      </c>
      <c r="N2265" s="22" t="str">
        <f>+IF(Tabla2[[#This Row],[Variación Stock]]&gt;0,"Sobrante",IF(Tabla2[[#This Row],[Variación Stock]]&lt;0,"Faltante","Sin novedad"))</f>
        <v>Sobrante</v>
      </c>
    </row>
    <row r="2266" spans="1:14" x14ac:dyDescent="0.25">
      <c r="A2266" s="11">
        <v>46037</v>
      </c>
      <c r="B2266" s="5" t="s">
        <v>336</v>
      </c>
      <c r="C2266" s="3" t="s">
        <v>337</v>
      </c>
      <c r="D2266" s="5" t="s">
        <v>111</v>
      </c>
      <c r="E2266" s="5" t="s">
        <v>112</v>
      </c>
      <c r="F2266" s="6" t="s">
        <v>288</v>
      </c>
      <c r="G2266" s="4" t="s">
        <v>0</v>
      </c>
      <c r="H2266" s="25">
        <v>4721.625</v>
      </c>
      <c r="I2266" s="8">
        <v>41.34</v>
      </c>
      <c r="J2266" s="9">
        <v>41</v>
      </c>
      <c r="K2266" s="7">
        <v>-0.34</v>
      </c>
      <c r="L2266" s="24">
        <f>+Tabla2[[#This Row],[Stock Inventario]]*Tabla2[[#This Row],[Coste LÃ­nea]]</f>
        <v>193586.625</v>
      </c>
      <c r="M2266" s="24">
        <f>+Tabla2[[#This Row],[Variación Stock]]*Tabla2[[#This Row],[Coste LÃ­nea]]</f>
        <v>-1605.3525000000002</v>
      </c>
      <c r="N2266" s="22" t="str">
        <f>+IF(Tabla2[[#This Row],[Variación Stock]]&gt;0,"Sobrante",IF(Tabla2[[#This Row],[Variación Stock]]&lt;0,"Faltante","Sin novedad"))</f>
        <v>Faltante</v>
      </c>
    </row>
    <row r="2267" spans="1:14" x14ac:dyDescent="0.25">
      <c r="A2267" s="11">
        <v>46044</v>
      </c>
      <c r="B2267" s="5" t="s">
        <v>372</v>
      </c>
      <c r="C2267" s="3" t="s">
        <v>337</v>
      </c>
      <c r="D2267" s="5" t="s">
        <v>115</v>
      </c>
      <c r="E2267" s="5" t="s">
        <v>112</v>
      </c>
      <c r="F2267" s="6" t="s">
        <v>76</v>
      </c>
      <c r="G2267" s="4" t="s">
        <v>2</v>
      </c>
      <c r="H2267" s="25">
        <v>3179.6666666699998</v>
      </c>
      <c r="I2267" s="8">
        <v>29</v>
      </c>
      <c r="J2267" s="9">
        <v>30</v>
      </c>
      <c r="K2267" s="15">
        <v>1</v>
      </c>
      <c r="L2267" s="24">
        <f>+Tabla2[[#This Row],[Stock Inventario]]*Tabla2[[#This Row],[Coste LÃ­nea]]</f>
        <v>95390.000000100001</v>
      </c>
      <c r="M2267" s="24">
        <f>+Tabla2[[#This Row],[Variación Stock]]*Tabla2[[#This Row],[Coste LÃ­nea]]</f>
        <v>3179.6666666699998</v>
      </c>
      <c r="N2267" s="22" t="str">
        <f>+IF(Tabla2[[#This Row],[Variación Stock]]&gt;0,"Sobrante",IF(Tabla2[[#This Row],[Variación Stock]]&lt;0,"Faltante","Sin novedad"))</f>
        <v>Sobrante</v>
      </c>
    </row>
    <row r="2268" spans="1:14" x14ac:dyDescent="0.25">
      <c r="A2268" s="11">
        <v>46037</v>
      </c>
      <c r="B2268" s="5" t="s">
        <v>336</v>
      </c>
      <c r="C2268" s="3" t="s">
        <v>337</v>
      </c>
      <c r="D2268" s="5" t="s">
        <v>114</v>
      </c>
      <c r="E2268" s="5" t="s">
        <v>112</v>
      </c>
      <c r="F2268" s="6" t="s">
        <v>66</v>
      </c>
      <c r="G2268" s="4" t="s">
        <v>2</v>
      </c>
      <c r="H2268" s="25">
        <v>4986.1041666700003</v>
      </c>
      <c r="I2268" s="8">
        <v>33.5</v>
      </c>
      <c r="J2268" s="9">
        <v>33</v>
      </c>
      <c r="K2268" s="15">
        <v>-0.5</v>
      </c>
      <c r="L2268" s="24">
        <f>+Tabla2[[#This Row],[Stock Inventario]]*Tabla2[[#This Row],[Coste LÃ­nea]]</f>
        <v>164541.43750011001</v>
      </c>
      <c r="M2268" s="24">
        <f>+Tabla2[[#This Row],[Variación Stock]]*Tabla2[[#This Row],[Coste LÃ­nea]]</f>
        <v>-2493.0520833350001</v>
      </c>
      <c r="N2268" s="22" t="str">
        <f>+IF(Tabla2[[#This Row],[Variación Stock]]&gt;0,"Sobrante",IF(Tabla2[[#This Row],[Variación Stock]]&lt;0,"Faltante","Sin novedad"))</f>
        <v>Faltante</v>
      </c>
    </row>
    <row r="2269" spans="1:14" x14ac:dyDescent="0.25">
      <c r="A2269" s="11">
        <v>46037</v>
      </c>
      <c r="B2269" s="5" t="s">
        <v>336</v>
      </c>
      <c r="C2269" s="3" t="s">
        <v>337</v>
      </c>
      <c r="D2269" s="5" t="s">
        <v>114</v>
      </c>
      <c r="E2269" s="5" t="s">
        <v>112</v>
      </c>
      <c r="F2269" s="6" t="s">
        <v>146</v>
      </c>
      <c r="G2269" s="4" t="s">
        <v>2</v>
      </c>
      <c r="H2269" s="25">
        <v>0</v>
      </c>
      <c r="I2269" s="8">
        <v>0</v>
      </c>
      <c r="J2269" s="9">
        <v>0</v>
      </c>
      <c r="K2269" s="7">
        <v>0</v>
      </c>
      <c r="L2269" s="24">
        <f>+Tabla2[[#This Row],[Stock Inventario]]*Tabla2[[#This Row],[Coste LÃ­nea]]</f>
        <v>0</v>
      </c>
      <c r="M2269" s="24">
        <f>+Tabla2[[#This Row],[Variación Stock]]*Tabla2[[#This Row],[Coste LÃ­nea]]</f>
        <v>0</v>
      </c>
      <c r="N2269" s="22" t="str">
        <f>+IF(Tabla2[[#This Row],[Variación Stock]]&gt;0,"Sobrante",IF(Tabla2[[#This Row],[Variación Stock]]&lt;0,"Faltante","Sin novedad"))</f>
        <v>Sin novedad</v>
      </c>
    </row>
    <row r="2270" spans="1:14" x14ac:dyDescent="0.25">
      <c r="A2270" s="11">
        <v>46037</v>
      </c>
      <c r="B2270" s="5" t="s">
        <v>336</v>
      </c>
      <c r="C2270" s="3" t="s">
        <v>337</v>
      </c>
      <c r="D2270" s="5" t="s">
        <v>114</v>
      </c>
      <c r="E2270" s="5" t="s">
        <v>112</v>
      </c>
      <c r="F2270" s="6" t="s">
        <v>147</v>
      </c>
      <c r="G2270" s="4" t="s">
        <v>2</v>
      </c>
      <c r="H2270" s="25">
        <v>3333.3333333300002</v>
      </c>
      <c r="I2270" s="8">
        <v>0</v>
      </c>
      <c r="J2270" s="9">
        <v>0</v>
      </c>
      <c r="K2270" s="7">
        <v>0</v>
      </c>
      <c r="L2270" s="24">
        <f>+Tabla2[[#This Row],[Stock Inventario]]*Tabla2[[#This Row],[Coste LÃ­nea]]</f>
        <v>0</v>
      </c>
      <c r="M2270" s="24">
        <f>+Tabla2[[#This Row],[Variación Stock]]*Tabla2[[#This Row],[Coste LÃ­nea]]</f>
        <v>0</v>
      </c>
      <c r="N2270" s="22" t="str">
        <f>+IF(Tabla2[[#This Row],[Variación Stock]]&gt;0,"Sobrante",IF(Tabla2[[#This Row],[Variación Stock]]&lt;0,"Faltante","Sin novedad"))</f>
        <v>Sin novedad</v>
      </c>
    </row>
    <row r="2271" spans="1:14" x14ac:dyDescent="0.25">
      <c r="A2271" s="11">
        <v>46037</v>
      </c>
      <c r="B2271" s="5" t="s">
        <v>336</v>
      </c>
      <c r="C2271" s="3" t="s">
        <v>337</v>
      </c>
      <c r="D2271" s="5" t="s">
        <v>114</v>
      </c>
      <c r="E2271" s="5" t="s">
        <v>112</v>
      </c>
      <c r="F2271" s="6" t="s">
        <v>110</v>
      </c>
      <c r="G2271" s="4" t="s">
        <v>2</v>
      </c>
      <c r="H2271" s="25">
        <v>0</v>
      </c>
      <c r="I2271" s="8">
        <v>0</v>
      </c>
      <c r="J2271" s="9">
        <v>0</v>
      </c>
      <c r="K2271" s="7">
        <v>0</v>
      </c>
      <c r="L2271" s="24">
        <f>+Tabla2[[#This Row],[Stock Inventario]]*Tabla2[[#This Row],[Coste LÃ­nea]]</f>
        <v>0</v>
      </c>
      <c r="M2271" s="24">
        <f>+Tabla2[[#This Row],[Variación Stock]]*Tabla2[[#This Row],[Coste LÃ­nea]]</f>
        <v>0</v>
      </c>
      <c r="N2271" s="22" t="str">
        <f>+IF(Tabla2[[#This Row],[Variación Stock]]&gt;0,"Sobrante",IF(Tabla2[[#This Row],[Variación Stock]]&lt;0,"Faltante","Sin novedad"))</f>
        <v>Sin novedad</v>
      </c>
    </row>
    <row r="2272" spans="1:14" x14ac:dyDescent="0.25">
      <c r="A2272" s="11">
        <v>46037</v>
      </c>
      <c r="B2272" s="5" t="s">
        <v>336</v>
      </c>
      <c r="C2272" s="3" t="s">
        <v>337</v>
      </c>
      <c r="D2272" s="5" t="s">
        <v>114</v>
      </c>
      <c r="E2272" s="5" t="s">
        <v>112</v>
      </c>
      <c r="F2272" s="6" t="s">
        <v>60</v>
      </c>
      <c r="G2272" s="4" t="s">
        <v>2</v>
      </c>
      <c r="H2272" s="25">
        <v>2323.7453703800002</v>
      </c>
      <c r="I2272" s="8">
        <v>99</v>
      </c>
      <c r="J2272" s="9">
        <v>99</v>
      </c>
      <c r="K2272" s="7">
        <v>0</v>
      </c>
      <c r="L2272" s="24">
        <f>+Tabla2[[#This Row],[Stock Inventario]]*Tabla2[[#This Row],[Coste LÃ­nea]]</f>
        <v>230050.79166762001</v>
      </c>
      <c r="M2272" s="24">
        <f>+Tabla2[[#This Row],[Variación Stock]]*Tabla2[[#This Row],[Coste LÃ­nea]]</f>
        <v>0</v>
      </c>
      <c r="N2272" s="22" t="str">
        <f>+IF(Tabla2[[#This Row],[Variación Stock]]&gt;0,"Sobrante",IF(Tabla2[[#This Row],[Variación Stock]]&lt;0,"Faltante","Sin novedad"))</f>
        <v>Sin novedad</v>
      </c>
    </row>
    <row r="2273" spans="1:14" x14ac:dyDescent="0.25">
      <c r="A2273" s="11">
        <v>46037</v>
      </c>
      <c r="B2273" s="5" t="s">
        <v>336</v>
      </c>
      <c r="C2273" s="3" t="s">
        <v>337</v>
      </c>
      <c r="D2273" s="5" t="s">
        <v>114</v>
      </c>
      <c r="E2273" s="5" t="s">
        <v>112</v>
      </c>
      <c r="F2273" s="6" t="s">
        <v>61</v>
      </c>
      <c r="G2273" s="4" t="s">
        <v>2</v>
      </c>
      <c r="H2273" s="25">
        <v>2119.75</v>
      </c>
      <c r="I2273" s="8">
        <v>94</v>
      </c>
      <c r="J2273" s="9">
        <v>94</v>
      </c>
      <c r="K2273" s="7">
        <v>0</v>
      </c>
      <c r="L2273" s="24">
        <f>+Tabla2[[#This Row],[Stock Inventario]]*Tabla2[[#This Row],[Coste LÃ­nea]]</f>
        <v>199256.5</v>
      </c>
      <c r="M2273" s="24">
        <f>+Tabla2[[#This Row],[Variación Stock]]*Tabla2[[#This Row],[Coste LÃ­nea]]</f>
        <v>0</v>
      </c>
      <c r="N2273" s="22" t="str">
        <f>+IF(Tabla2[[#This Row],[Variación Stock]]&gt;0,"Sobrante",IF(Tabla2[[#This Row],[Variación Stock]]&lt;0,"Faltante","Sin novedad"))</f>
        <v>Sin novedad</v>
      </c>
    </row>
    <row r="2274" spans="1:14" x14ac:dyDescent="0.25">
      <c r="A2274" s="11">
        <v>46037</v>
      </c>
      <c r="B2274" s="5" t="s">
        <v>336</v>
      </c>
      <c r="C2274" s="3" t="s">
        <v>337</v>
      </c>
      <c r="D2274" s="5" t="s">
        <v>114</v>
      </c>
      <c r="E2274" s="5" t="s">
        <v>112</v>
      </c>
      <c r="F2274" s="6" t="s">
        <v>67</v>
      </c>
      <c r="G2274" s="4" t="s">
        <v>2</v>
      </c>
      <c r="H2274" s="25">
        <v>4986.0833333299997</v>
      </c>
      <c r="I2274" s="8">
        <v>23.62</v>
      </c>
      <c r="J2274" s="9">
        <v>20</v>
      </c>
      <c r="K2274" s="7">
        <v>-3.62</v>
      </c>
      <c r="L2274" s="24">
        <f>+Tabla2[[#This Row],[Stock Inventario]]*Tabla2[[#This Row],[Coste LÃ­nea]]</f>
        <v>99721.666666599995</v>
      </c>
      <c r="M2274" s="24">
        <f>+Tabla2[[#This Row],[Variación Stock]]*Tabla2[[#This Row],[Coste LÃ­nea]]</f>
        <v>-18049.621666654599</v>
      </c>
      <c r="N2274" s="22" t="str">
        <f>+IF(Tabla2[[#This Row],[Variación Stock]]&gt;0,"Sobrante",IF(Tabla2[[#This Row],[Variación Stock]]&lt;0,"Faltante","Sin novedad"))</f>
        <v>Faltante</v>
      </c>
    </row>
    <row r="2275" spans="1:14" x14ac:dyDescent="0.25">
      <c r="A2275" s="11">
        <v>46044</v>
      </c>
      <c r="B2275" s="5" t="s">
        <v>372</v>
      </c>
      <c r="C2275" s="3" t="s">
        <v>337</v>
      </c>
      <c r="D2275" s="5" t="s">
        <v>114</v>
      </c>
      <c r="E2275" s="5" t="s">
        <v>112</v>
      </c>
      <c r="F2275" s="6" t="s">
        <v>67</v>
      </c>
      <c r="G2275" s="4" t="s">
        <v>2</v>
      </c>
      <c r="H2275" s="25">
        <v>4986.0833333299997</v>
      </c>
      <c r="I2275" s="8">
        <v>26.41</v>
      </c>
      <c r="J2275" s="9">
        <v>24</v>
      </c>
      <c r="K2275" s="7">
        <v>-2.41</v>
      </c>
      <c r="L2275" s="24">
        <f>+Tabla2[[#This Row],[Stock Inventario]]*Tabla2[[#This Row],[Coste LÃ­nea]]</f>
        <v>119665.99999991999</v>
      </c>
      <c r="M2275" s="24">
        <f>+Tabla2[[#This Row],[Variación Stock]]*Tabla2[[#This Row],[Coste LÃ­nea]]</f>
        <v>-12016.4608333253</v>
      </c>
      <c r="N2275" s="22" t="str">
        <f>+IF(Tabla2[[#This Row],[Variación Stock]]&gt;0,"Sobrante",IF(Tabla2[[#This Row],[Variación Stock]]&lt;0,"Faltante","Sin novedad"))</f>
        <v>Faltante</v>
      </c>
    </row>
    <row r="2276" spans="1:14" x14ac:dyDescent="0.25">
      <c r="A2276" s="11">
        <v>46037</v>
      </c>
      <c r="B2276" s="5" t="s">
        <v>336</v>
      </c>
      <c r="C2276" s="3" t="s">
        <v>337</v>
      </c>
      <c r="D2276" s="5" t="s">
        <v>114</v>
      </c>
      <c r="E2276" s="5" t="s">
        <v>112</v>
      </c>
      <c r="F2276" s="6" t="s">
        <v>63</v>
      </c>
      <c r="G2276" s="4" t="s">
        <v>2</v>
      </c>
      <c r="H2276" s="25">
        <v>1395.83333333</v>
      </c>
      <c r="I2276" s="8">
        <v>36</v>
      </c>
      <c r="J2276" s="9">
        <v>36</v>
      </c>
      <c r="K2276" s="7">
        <v>0</v>
      </c>
      <c r="L2276" s="24">
        <f>+Tabla2[[#This Row],[Stock Inventario]]*Tabla2[[#This Row],[Coste LÃ­nea]]</f>
        <v>50249.999999879998</v>
      </c>
      <c r="M2276" s="24">
        <f>+Tabla2[[#This Row],[Variación Stock]]*Tabla2[[#This Row],[Coste LÃ­nea]]</f>
        <v>0</v>
      </c>
      <c r="N2276" s="22" t="str">
        <f>+IF(Tabla2[[#This Row],[Variación Stock]]&gt;0,"Sobrante",IF(Tabla2[[#This Row],[Variación Stock]]&lt;0,"Faltante","Sin novedad"))</f>
        <v>Sin novedad</v>
      </c>
    </row>
    <row r="2277" spans="1:14" x14ac:dyDescent="0.25">
      <c r="A2277" s="11">
        <v>46037</v>
      </c>
      <c r="B2277" s="5" t="s">
        <v>336</v>
      </c>
      <c r="C2277" s="3" t="s">
        <v>337</v>
      </c>
      <c r="D2277" s="5" t="s">
        <v>111</v>
      </c>
      <c r="E2277" s="5" t="s">
        <v>112</v>
      </c>
      <c r="F2277" s="6" t="s">
        <v>21</v>
      </c>
      <c r="G2277" s="4" t="s">
        <v>0</v>
      </c>
      <c r="H2277" s="25">
        <v>15769.5</v>
      </c>
      <c r="I2277" s="8">
        <v>47</v>
      </c>
      <c r="J2277" s="9">
        <v>46</v>
      </c>
      <c r="K2277" s="7">
        <v>-1</v>
      </c>
      <c r="L2277" s="24">
        <f>+Tabla2[[#This Row],[Stock Inventario]]*Tabla2[[#This Row],[Coste LÃ­nea]]</f>
        <v>725397</v>
      </c>
      <c r="M2277" s="24">
        <f>+Tabla2[[#This Row],[Variación Stock]]*Tabla2[[#This Row],[Coste LÃ­nea]]</f>
        <v>-15769.5</v>
      </c>
      <c r="N2277" s="22" t="str">
        <f>+IF(Tabla2[[#This Row],[Variación Stock]]&gt;0,"Sobrante",IF(Tabla2[[#This Row],[Variación Stock]]&lt;0,"Faltante","Sin novedad"))</f>
        <v>Faltante</v>
      </c>
    </row>
    <row r="2278" spans="1:14" x14ac:dyDescent="0.25">
      <c r="A2278" s="11">
        <v>46044</v>
      </c>
      <c r="B2278" s="5" t="s">
        <v>372</v>
      </c>
      <c r="C2278" s="3" t="s">
        <v>337</v>
      </c>
      <c r="D2278" s="5" t="s">
        <v>111</v>
      </c>
      <c r="E2278" s="5" t="s">
        <v>112</v>
      </c>
      <c r="F2278" s="6" t="s">
        <v>21</v>
      </c>
      <c r="G2278" s="4" t="s">
        <v>0</v>
      </c>
      <c r="H2278" s="25">
        <v>17377</v>
      </c>
      <c r="I2278" s="8">
        <v>46</v>
      </c>
      <c r="J2278" s="9">
        <v>47</v>
      </c>
      <c r="K2278" s="7">
        <v>1</v>
      </c>
      <c r="L2278" s="24">
        <f>+Tabla2[[#This Row],[Stock Inventario]]*Tabla2[[#This Row],[Coste LÃ­nea]]</f>
        <v>816719</v>
      </c>
      <c r="M2278" s="24">
        <f>+Tabla2[[#This Row],[Variación Stock]]*Tabla2[[#This Row],[Coste LÃ­nea]]</f>
        <v>17377</v>
      </c>
      <c r="N2278" s="22" t="str">
        <f>+IF(Tabla2[[#This Row],[Variación Stock]]&gt;0,"Sobrante",IF(Tabla2[[#This Row],[Variación Stock]]&lt;0,"Faltante","Sin novedad"))</f>
        <v>Sobrante</v>
      </c>
    </row>
    <row r="2279" spans="1:14" x14ac:dyDescent="0.25">
      <c r="A2279" s="11">
        <v>46037</v>
      </c>
      <c r="B2279" s="5" t="s">
        <v>336</v>
      </c>
      <c r="C2279" s="3" t="s">
        <v>337</v>
      </c>
      <c r="D2279" s="5" t="s">
        <v>111</v>
      </c>
      <c r="E2279" s="5" t="s">
        <v>112</v>
      </c>
      <c r="F2279" s="6" t="s">
        <v>126</v>
      </c>
      <c r="G2279" s="4" t="s">
        <v>0</v>
      </c>
      <c r="H2279" s="25">
        <v>12698.95454545</v>
      </c>
      <c r="I2279" s="8">
        <v>30</v>
      </c>
      <c r="J2279" s="9">
        <v>29</v>
      </c>
      <c r="K2279" s="7">
        <v>-1</v>
      </c>
      <c r="L2279" s="24">
        <f>+Tabla2[[#This Row],[Stock Inventario]]*Tabla2[[#This Row],[Coste LÃ­nea]]</f>
        <v>368269.68181804998</v>
      </c>
      <c r="M2279" s="24">
        <f>+Tabla2[[#This Row],[Variación Stock]]*Tabla2[[#This Row],[Coste LÃ­nea]]</f>
        <v>-12698.95454545</v>
      </c>
      <c r="N2279" s="22" t="str">
        <f>+IF(Tabla2[[#This Row],[Variación Stock]]&gt;0,"Sobrante",IF(Tabla2[[#This Row],[Variación Stock]]&lt;0,"Faltante","Sin novedad"))</f>
        <v>Faltante</v>
      </c>
    </row>
    <row r="2280" spans="1:14" x14ac:dyDescent="0.25">
      <c r="A2280" s="11">
        <v>46037</v>
      </c>
      <c r="B2280" s="5" t="s">
        <v>336</v>
      </c>
      <c r="C2280" s="3" t="s">
        <v>337</v>
      </c>
      <c r="D2280" s="5" t="s">
        <v>114</v>
      </c>
      <c r="E2280" s="5" t="s">
        <v>112</v>
      </c>
      <c r="F2280" s="6" t="s">
        <v>68</v>
      </c>
      <c r="G2280" s="4" t="s">
        <v>2</v>
      </c>
      <c r="H2280" s="25">
        <v>4986.0833333299997</v>
      </c>
      <c r="I2280" s="8">
        <v>13</v>
      </c>
      <c r="J2280" s="9">
        <v>13</v>
      </c>
      <c r="K2280" s="7">
        <v>0</v>
      </c>
      <c r="L2280" s="24">
        <f>+Tabla2[[#This Row],[Stock Inventario]]*Tabla2[[#This Row],[Coste LÃ­nea]]</f>
        <v>64819.083333289993</v>
      </c>
      <c r="M2280" s="24">
        <f>+Tabla2[[#This Row],[Variación Stock]]*Tabla2[[#This Row],[Coste LÃ­nea]]</f>
        <v>0</v>
      </c>
      <c r="N2280" s="22" t="str">
        <f>+IF(Tabla2[[#This Row],[Variación Stock]]&gt;0,"Sobrante",IF(Tabla2[[#This Row],[Variación Stock]]&lt;0,"Faltante","Sin novedad"))</f>
        <v>Sin novedad</v>
      </c>
    </row>
    <row r="2281" spans="1:14" x14ac:dyDescent="0.25">
      <c r="A2281" s="11">
        <v>46044</v>
      </c>
      <c r="B2281" s="5" t="s">
        <v>372</v>
      </c>
      <c r="C2281" s="3" t="s">
        <v>337</v>
      </c>
      <c r="D2281" s="5" t="s">
        <v>114</v>
      </c>
      <c r="E2281" s="5" t="s">
        <v>112</v>
      </c>
      <c r="F2281" s="6" t="s">
        <v>68</v>
      </c>
      <c r="G2281" s="4" t="s">
        <v>2</v>
      </c>
      <c r="H2281" s="25">
        <v>4986.0833333299997</v>
      </c>
      <c r="I2281" s="8">
        <v>9</v>
      </c>
      <c r="J2281" s="9">
        <v>9.5</v>
      </c>
      <c r="K2281" s="7">
        <v>0.5</v>
      </c>
      <c r="L2281" s="24">
        <f>+Tabla2[[#This Row],[Stock Inventario]]*Tabla2[[#This Row],[Coste LÃ­nea]]</f>
        <v>47367.791666634999</v>
      </c>
      <c r="M2281" s="24">
        <f>+Tabla2[[#This Row],[Variación Stock]]*Tabla2[[#This Row],[Coste LÃ­nea]]</f>
        <v>2493.0416666649999</v>
      </c>
      <c r="N2281" s="22" t="str">
        <f>+IF(Tabla2[[#This Row],[Variación Stock]]&gt;0,"Sobrante",IF(Tabla2[[#This Row],[Variación Stock]]&lt;0,"Faltante","Sin novedad"))</f>
        <v>Sobrante</v>
      </c>
    </row>
    <row r="2282" spans="1:14" x14ac:dyDescent="0.25">
      <c r="A2282" s="11">
        <v>46037</v>
      </c>
      <c r="B2282" s="5" t="s">
        <v>336</v>
      </c>
      <c r="C2282" s="3" t="s">
        <v>337</v>
      </c>
      <c r="D2282" s="5" t="s">
        <v>114</v>
      </c>
      <c r="E2282" s="5" t="s">
        <v>112</v>
      </c>
      <c r="F2282" s="6" t="s">
        <v>148</v>
      </c>
      <c r="G2282" s="4" t="s">
        <v>2</v>
      </c>
      <c r="H2282" s="25">
        <v>0</v>
      </c>
      <c r="I2282" s="8">
        <v>0</v>
      </c>
      <c r="J2282" s="9">
        <v>0</v>
      </c>
      <c r="K2282" s="7">
        <v>0</v>
      </c>
      <c r="L2282" s="24">
        <f>+Tabla2[[#This Row],[Stock Inventario]]*Tabla2[[#This Row],[Coste LÃ­nea]]</f>
        <v>0</v>
      </c>
      <c r="M2282" s="24">
        <f>+Tabla2[[#This Row],[Variación Stock]]*Tabla2[[#This Row],[Coste LÃ­nea]]</f>
        <v>0</v>
      </c>
      <c r="N2282" s="22" t="str">
        <f>+IF(Tabla2[[#This Row],[Variación Stock]]&gt;0,"Sobrante",IF(Tabla2[[#This Row],[Variación Stock]]&lt;0,"Faltante","Sin novedad"))</f>
        <v>Sin novedad</v>
      </c>
    </row>
    <row r="2283" spans="1:14" hidden="1" x14ac:dyDescent="0.25">
      <c r="A2283" s="11">
        <v>46037</v>
      </c>
      <c r="B2283" s="5" t="s">
        <v>336</v>
      </c>
      <c r="C2283" s="3" t="s">
        <v>337</v>
      </c>
      <c r="D2283" s="5" t="s">
        <v>119</v>
      </c>
      <c r="E2283" s="5" t="s">
        <v>117</v>
      </c>
      <c r="F2283" s="6" t="s">
        <v>9</v>
      </c>
      <c r="G2283" s="4" t="s">
        <v>2</v>
      </c>
      <c r="H2283" s="25">
        <v>485.71428571000001</v>
      </c>
      <c r="I2283" s="8">
        <v>933</v>
      </c>
      <c r="J2283" s="9">
        <v>713</v>
      </c>
      <c r="K2283" s="7">
        <v>-220</v>
      </c>
      <c r="L2283" s="24">
        <f>+Tabla2[[#This Row],[Stock Inventario]]*Tabla2[[#This Row],[Coste LÃ­nea]]</f>
        <v>346314.28571123001</v>
      </c>
      <c r="M2283" s="24">
        <f>+Tabla2[[#This Row],[Variación Stock]]*Tabla2[[#This Row],[Coste LÃ­nea]]</f>
        <v>-106857.14285620001</v>
      </c>
      <c r="N2283" s="22" t="str">
        <f>+IF(Tabla2[[#This Row],[Variación Stock]]&gt;0,"Sobrante",IF(Tabla2[[#This Row],[Variación Stock]]&lt;0,"Faltante","Sin novedad"))</f>
        <v>Faltante</v>
      </c>
    </row>
    <row r="2284" spans="1:14" x14ac:dyDescent="0.25">
      <c r="A2284" s="11">
        <v>46037</v>
      </c>
      <c r="B2284" s="5" t="s">
        <v>336</v>
      </c>
      <c r="C2284" s="3" t="s">
        <v>337</v>
      </c>
      <c r="D2284" s="5" t="s">
        <v>114</v>
      </c>
      <c r="E2284" s="5" t="s">
        <v>112</v>
      </c>
      <c r="F2284" s="6" t="s">
        <v>141</v>
      </c>
      <c r="G2284" s="4" t="s">
        <v>2</v>
      </c>
      <c r="H2284" s="25">
        <v>2120.83</v>
      </c>
      <c r="I2284" s="8">
        <v>0</v>
      </c>
      <c r="J2284" s="9">
        <v>0</v>
      </c>
      <c r="K2284" s="7">
        <v>0</v>
      </c>
      <c r="L2284" s="24">
        <f>+Tabla2[[#This Row],[Stock Inventario]]*Tabla2[[#This Row],[Coste LÃ­nea]]</f>
        <v>0</v>
      </c>
      <c r="M2284" s="24">
        <f>+Tabla2[[#This Row],[Variación Stock]]*Tabla2[[#This Row],[Coste LÃ­nea]]</f>
        <v>0</v>
      </c>
      <c r="N2284" s="22" t="str">
        <f>+IF(Tabla2[[#This Row],[Variación Stock]]&gt;0,"Sobrante",IF(Tabla2[[#This Row],[Variación Stock]]&lt;0,"Faltante","Sin novedad"))</f>
        <v>Sin novedad</v>
      </c>
    </row>
    <row r="2285" spans="1:14" x14ac:dyDescent="0.25">
      <c r="A2285" s="11">
        <v>46037</v>
      </c>
      <c r="B2285" s="5" t="s">
        <v>336</v>
      </c>
      <c r="C2285" s="3" t="s">
        <v>337</v>
      </c>
      <c r="D2285" s="5" t="s">
        <v>114</v>
      </c>
      <c r="E2285" s="5" t="s">
        <v>112</v>
      </c>
      <c r="F2285" s="6" t="s">
        <v>289</v>
      </c>
      <c r="G2285" s="4" t="s">
        <v>2</v>
      </c>
      <c r="H2285" s="25">
        <v>6387.35</v>
      </c>
      <c r="I2285" s="8">
        <v>4</v>
      </c>
      <c r="J2285" s="9">
        <v>4</v>
      </c>
      <c r="K2285" s="7">
        <v>0</v>
      </c>
      <c r="L2285" s="24">
        <f>+Tabla2[[#This Row],[Stock Inventario]]*Tabla2[[#This Row],[Coste LÃ­nea]]</f>
        <v>25549.4</v>
      </c>
      <c r="M2285" s="24">
        <f>+Tabla2[[#This Row],[Variación Stock]]*Tabla2[[#This Row],[Coste LÃ­nea]]</f>
        <v>0</v>
      </c>
      <c r="N2285" s="22" t="str">
        <f>+IF(Tabla2[[#This Row],[Variación Stock]]&gt;0,"Sobrante",IF(Tabla2[[#This Row],[Variación Stock]]&lt;0,"Faltante","Sin novedad"))</f>
        <v>Sin novedad</v>
      </c>
    </row>
    <row r="2286" spans="1:14" x14ac:dyDescent="0.25">
      <c r="A2286" s="11">
        <v>46037</v>
      </c>
      <c r="B2286" s="5" t="s">
        <v>336</v>
      </c>
      <c r="C2286" s="3" t="s">
        <v>337</v>
      </c>
      <c r="D2286" s="5" t="s">
        <v>114</v>
      </c>
      <c r="E2286" s="5" t="s">
        <v>112</v>
      </c>
      <c r="F2286" s="6" t="s">
        <v>70</v>
      </c>
      <c r="G2286" s="4" t="s">
        <v>2</v>
      </c>
      <c r="H2286" s="25">
        <v>1835.41666667</v>
      </c>
      <c r="I2286" s="8">
        <v>0</v>
      </c>
      <c r="J2286" s="9">
        <v>0</v>
      </c>
      <c r="K2286" s="7">
        <v>0</v>
      </c>
      <c r="L2286" s="24">
        <f>+Tabla2[[#This Row],[Stock Inventario]]*Tabla2[[#This Row],[Coste LÃ­nea]]</f>
        <v>0</v>
      </c>
      <c r="M2286" s="24">
        <f>+Tabla2[[#This Row],[Variación Stock]]*Tabla2[[#This Row],[Coste LÃ­nea]]</f>
        <v>0</v>
      </c>
      <c r="N2286" s="22" t="str">
        <f>+IF(Tabla2[[#This Row],[Variación Stock]]&gt;0,"Sobrante",IF(Tabla2[[#This Row],[Variación Stock]]&lt;0,"Faltante","Sin novedad"))</f>
        <v>Sin novedad</v>
      </c>
    </row>
    <row r="2287" spans="1:14" x14ac:dyDescent="0.25">
      <c r="A2287" s="11">
        <v>46037</v>
      </c>
      <c r="B2287" s="5" t="s">
        <v>336</v>
      </c>
      <c r="C2287" s="3" t="s">
        <v>337</v>
      </c>
      <c r="D2287" s="5" t="s">
        <v>115</v>
      </c>
      <c r="E2287" s="5" t="s">
        <v>112</v>
      </c>
      <c r="F2287" s="6" t="s">
        <v>290</v>
      </c>
      <c r="G2287" s="4" t="s">
        <v>2</v>
      </c>
      <c r="H2287" s="25">
        <v>11200</v>
      </c>
      <c r="I2287" s="8">
        <v>22</v>
      </c>
      <c r="J2287" s="9">
        <v>22</v>
      </c>
      <c r="K2287" s="7">
        <v>0</v>
      </c>
      <c r="L2287" s="24">
        <f>+Tabla2[[#This Row],[Stock Inventario]]*Tabla2[[#This Row],[Coste LÃ­nea]]</f>
        <v>246400</v>
      </c>
      <c r="M2287" s="24">
        <f>+Tabla2[[#This Row],[Variación Stock]]*Tabla2[[#This Row],[Coste LÃ­nea]]</f>
        <v>0</v>
      </c>
      <c r="N2287" s="22" t="str">
        <f>+IF(Tabla2[[#This Row],[Variación Stock]]&gt;0,"Sobrante",IF(Tabla2[[#This Row],[Variación Stock]]&lt;0,"Faltante","Sin novedad"))</f>
        <v>Sin novedad</v>
      </c>
    </row>
    <row r="2288" spans="1:14" hidden="1" x14ac:dyDescent="0.25">
      <c r="A2288" s="11">
        <v>46037</v>
      </c>
      <c r="B2288" s="5" t="s">
        <v>336</v>
      </c>
      <c r="C2288" s="3" t="s">
        <v>337</v>
      </c>
      <c r="D2288" s="5" t="s">
        <v>116</v>
      </c>
      <c r="E2288" s="5" t="s">
        <v>117</v>
      </c>
      <c r="F2288" s="6" t="s">
        <v>6</v>
      </c>
      <c r="G2288" s="4" t="s">
        <v>2</v>
      </c>
      <c r="H2288" s="25">
        <v>8800</v>
      </c>
      <c r="I2288" s="8">
        <v>22.5</v>
      </c>
      <c r="J2288" s="9">
        <v>26.75</v>
      </c>
      <c r="K2288" s="7">
        <v>4.25</v>
      </c>
      <c r="L2288" s="24">
        <f>+Tabla2[[#This Row],[Stock Inventario]]*Tabla2[[#This Row],[Coste LÃ­nea]]</f>
        <v>235400</v>
      </c>
      <c r="M2288" s="24">
        <f>+Tabla2[[#This Row],[Variación Stock]]*Tabla2[[#This Row],[Coste LÃ­nea]]</f>
        <v>37400</v>
      </c>
      <c r="N2288" s="22" t="str">
        <f>+IF(Tabla2[[#This Row],[Variación Stock]]&gt;0,"Sobrante",IF(Tabla2[[#This Row],[Variación Stock]]&lt;0,"Faltante","Sin novedad"))</f>
        <v>Sobrante</v>
      </c>
    </row>
    <row r="2289" spans="1:14" x14ac:dyDescent="0.25">
      <c r="A2289" s="11">
        <v>46037</v>
      </c>
      <c r="B2289" s="5" t="s">
        <v>336</v>
      </c>
      <c r="C2289" s="3" t="s">
        <v>337</v>
      </c>
      <c r="D2289" s="5" t="s">
        <v>115</v>
      </c>
      <c r="E2289" s="5" t="s">
        <v>112</v>
      </c>
      <c r="F2289" s="6" t="s">
        <v>74</v>
      </c>
      <c r="G2289" s="4" t="s">
        <v>2</v>
      </c>
      <c r="H2289" s="25">
        <v>3736.1666666699998</v>
      </c>
      <c r="I2289" s="8">
        <v>18</v>
      </c>
      <c r="J2289" s="9">
        <v>18</v>
      </c>
      <c r="K2289" s="7">
        <v>0</v>
      </c>
      <c r="L2289" s="24">
        <f>+Tabla2[[#This Row],[Stock Inventario]]*Tabla2[[#This Row],[Coste LÃ­nea]]</f>
        <v>67251.000000059998</v>
      </c>
      <c r="M2289" s="24">
        <f>+Tabla2[[#This Row],[Variación Stock]]*Tabla2[[#This Row],[Coste LÃ­nea]]</f>
        <v>0</v>
      </c>
      <c r="N2289" s="22" t="str">
        <f>+IF(Tabla2[[#This Row],[Variación Stock]]&gt;0,"Sobrante",IF(Tabla2[[#This Row],[Variación Stock]]&lt;0,"Faltante","Sin novedad"))</f>
        <v>Sin novedad</v>
      </c>
    </row>
    <row r="2290" spans="1:14" x14ac:dyDescent="0.25">
      <c r="A2290" s="11">
        <v>46037</v>
      </c>
      <c r="B2290" s="5" t="s">
        <v>336</v>
      </c>
      <c r="C2290" s="3" t="s">
        <v>337</v>
      </c>
      <c r="D2290" s="5" t="s">
        <v>111</v>
      </c>
      <c r="E2290" s="5" t="s">
        <v>112</v>
      </c>
      <c r="F2290" s="6" t="s">
        <v>51</v>
      </c>
      <c r="G2290" s="4" t="s">
        <v>0</v>
      </c>
      <c r="H2290" s="25">
        <v>9648.9583333299997</v>
      </c>
      <c r="I2290" s="8">
        <v>43.02</v>
      </c>
      <c r="J2290" s="9">
        <v>42</v>
      </c>
      <c r="K2290" s="7">
        <v>-1.02</v>
      </c>
      <c r="L2290" s="24">
        <f>+Tabla2[[#This Row],[Stock Inventario]]*Tabla2[[#This Row],[Coste LÃ­nea]]</f>
        <v>405256.24999986001</v>
      </c>
      <c r="M2290" s="24">
        <f>+Tabla2[[#This Row],[Variación Stock]]*Tabla2[[#This Row],[Coste LÃ­nea]]</f>
        <v>-9841.9374999966003</v>
      </c>
      <c r="N2290" s="22" t="str">
        <f>+IF(Tabla2[[#This Row],[Variación Stock]]&gt;0,"Sobrante",IF(Tabla2[[#This Row],[Variación Stock]]&lt;0,"Faltante","Sin novedad"))</f>
        <v>Faltante</v>
      </c>
    </row>
    <row r="2291" spans="1:14" x14ac:dyDescent="0.25">
      <c r="A2291" s="11">
        <v>46037</v>
      </c>
      <c r="B2291" s="5" t="s">
        <v>336</v>
      </c>
      <c r="C2291" s="3" t="s">
        <v>337</v>
      </c>
      <c r="D2291" s="5" t="s">
        <v>111</v>
      </c>
      <c r="E2291" s="5" t="s">
        <v>112</v>
      </c>
      <c r="F2291" s="6" t="s">
        <v>23</v>
      </c>
      <c r="G2291" s="4" t="s">
        <v>0</v>
      </c>
      <c r="H2291" s="25">
        <v>4320.2272727299996</v>
      </c>
      <c r="I2291" s="8">
        <v>18.5</v>
      </c>
      <c r="J2291" s="9">
        <v>23</v>
      </c>
      <c r="K2291" s="7">
        <v>4.5</v>
      </c>
      <c r="L2291" s="24">
        <f>+Tabla2[[#This Row],[Stock Inventario]]*Tabla2[[#This Row],[Coste LÃ­nea]]</f>
        <v>99365.227272789998</v>
      </c>
      <c r="M2291" s="24">
        <f>+Tabla2[[#This Row],[Variación Stock]]*Tabla2[[#This Row],[Coste LÃ­nea]]</f>
        <v>19441.022727284999</v>
      </c>
      <c r="N2291" s="22" t="str">
        <f>+IF(Tabla2[[#This Row],[Variación Stock]]&gt;0,"Sobrante",IF(Tabla2[[#This Row],[Variación Stock]]&lt;0,"Faltante","Sin novedad"))</f>
        <v>Sobrante</v>
      </c>
    </row>
    <row r="2292" spans="1:14" x14ac:dyDescent="0.25">
      <c r="A2292" s="11">
        <v>46037</v>
      </c>
      <c r="B2292" s="5" t="s">
        <v>336</v>
      </c>
      <c r="C2292" s="3" t="s">
        <v>337</v>
      </c>
      <c r="D2292" s="5" t="s">
        <v>115</v>
      </c>
      <c r="E2292" s="5" t="s">
        <v>112</v>
      </c>
      <c r="F2292" s="6" t="s">
        <v>76</v>
      </c>
      <c r="G2292" s="4" t="s">
        <v>2</v>
      </c>
      <c r="H2292" s="25">
        <v>3567.4583333300002</v>
      </c>
      <c r="I2292" s="8">
        <v>49</v>
      </c>
      <c r="J2292" s="9">
        <v>49</v>
      </c>
      <c r="K2292" s="7">
        <v>0</v>
      </c>
      <c r="L2292" s="24">
        <f>+Tabla2[[#This Row],[Stock Inventario]]*Tabla2[[#This Row],[Coste LÃ­nea]]</f>
        <v>174805.45833317001</v>
      </c>
      <c r="M2292" s="24">
        <f>+Tabla2[[#This Row],[Variación Stock]]*Tabla2[[#This Row],[Coste LÃ­nea]]</f>
        <v>0</v>
      </c>
      <c r="N2292" s="22" t="str">
        <f>+IF(Tabla2[[#This Row],[Variación Stock]]&gt;0,"Sobrante",IF(Tabla2[[#This Row],[Variación Stock]]&lt;0,"Faltante","Sin novedad"))</f>
        <v>Sin novedad</v>
      </c>
    </row>
    <row r="2293" spans="1:14" x14ac:dyDescent="0.25">
      <c r="A2293" s="11">
        <v>46037</v>
      </c>
      <c r="B2293" s="5" t="s">
        <v>336</v>
      </c>
      <c r="C2293" s="3" t="s">
        <v>337</v>
      </c>
      <c r="D2293" s="5" t="s">
        <v>115</v>
      </c>
      <c r="E2293" s="5" t="s">
        <v>112</v>
      </c>
      <c r="F2293" s="6" t="s">
        <v>152</v>
      </c>
      <c r="G2293" s="4" t="s">
        <v>2</v>
      </c>
      <c r="H2293" s="25">
        <v>3099.6666666699998</v>
      </c>
      <c r="I2293" s="8">
        <v>0</v>
      </c>
      <c r="J2293" s="9">
        <v>0</v>
      </c>
      <c r="K2293" s="7">
        <v>0</v>
      </c>
      <c r="L2293" s="24">
        <f>+Tabla2[[#This Row],[Stock Inventario]]*Tabla2[[#This Row],[Coste LÃ­nea]]</f>
        <v>0</v>
      </c>
      <c r="M2293" s="24">
        <f>+Tabla2[[#This Row],[Variación Stock]]*Tabla2[[#This Row],[Coste LÃ­nea]]</f>
        <v>0</v>
      </c>
      <c r="N2293" s="22" t="str">
        <f>+IF(Tabla2[[#This Row],[Variación Stock]]&gt;0,"Sobrante",IF(Tabla2[[#This Row],[Variación Stock]]&lt;0,"Faltante","Sin novedad"))</f>
        <v>Sin novedad</v>
      </c>
    </row>
    <row r="2294" spans="1:14" x14ac:dyDescent="0.25">
      <c r="A2294" s="11">
        <v>46044</v>
      </c>
      <c r="B2294" s="5" t="s">
        <v>372</v>
      </c>
      <c r="C2294" s="3" t="s">
        <v>337</v>
      </c>
      <c r="D2294" s="5" t="s">
        <v>111</v>
      </c>
      <c r="E2294" s="5" t="s">
        <v>112</v>
      </c>
      <c r="F2294" s="6" t="s">
        <v>23</v>
      </c>
      <c r="G2294" s="4" t="s">
        <v>0</v>
      </c>
      <c r="H2294" s="25">
        <v>4724.9090909099996</v>
      </c>
      <c r="I2294" s="8">
        <v>21.34</v>
      </c>
      <c r="J2294" s="9">
        <v>22</v>
      </c>
      <c r="K2294" s="7">
        <v>0.66</v>
      </c>
      <c r="L2294" s="24">
        <f>+Tabla2[[#This Row],[Stock Inventario]]*Tabla2[[#This Row],[Coste LÃ­nea]]</f>
        <v>103948.00000001999</v>
      </c>
      <c r="M2294" s="24">
        <f>+Tabla2[[#This Row],[Variación Stock]]*Tabla2[[#This Row],[Coste LÃ­nea]]</f>
        <v>3118.4400000005999</v>
      </c>
      <c r="N2294" s="22" t="str">
        <f>+IF(Tabla2[[#This Row],[Variación Stock]]&gt;0,"Sobrante",IF(Tabla2[[#This Row],[Variación Stock]]&lt;0,"Faltante","Sin novedad"))</f>
        <v>Sobrante</v>
      </c>
    </row>
    <row r="2295" spans="1:14" x14ac:dyDescent="0.25">
      <c r="A2295" s="11">
        <v>46037</v>
      </c>
      <c r="B2295" s="5" t="s">
        <v>336</v>
      </c>
      <c r="C2295" s="3" t="s">
        <v>337</v>
      </c>
      <c r="D2295" s="5" t="s">
        <v>115</v>
      </c>
      <c r="E2295" s="5" t="s">
        <v>112</v>
      </c>
      <c r="F2295" s="6" t="s">
        <v>73</v>
      </c>
      <c r="G2295" s="4" t="s">
        <v>2</v>
      </c>
      <c r="H2295" s="25">
        <v>3299.9974999999999</v>
      </c>
      <c r="I2295" s="8">
        <v>29</v>
      </c>
      <c r="J2295" s="9">
        <v>29</v>
      </c>
      <c r="K2295" s="7">
        <v>0</v>
      </c>
      <c r="L2295" s="24">
        <f>+Tabla2[[#This Row],[Stock Inventario]]*Tabla2[[#This Row],[Coste LÃ­nea]]</f>
        <v>95699.927500000005</v>
      </c>
      <c r="M2295" s="24">
        <f>+Tabla2[[#This Row],[Variación Stock]]*Tabla2[[#This Row],[Coste LÃ­nea]]</f>
        <v>0</v>
      </c>
      <c r="N2295" s="22" t="str">
        <f>+IF(Tabla2[[#This Row],[Variación Stock]]&gt;0,"Sobrante",IF(Tabla2[[#This Row],[Variación Stock]]&lt;0,"Faltante","Sin novedad"))</f>
        <v>Sin novedad</v>
      </c>
    </row>
    <row r="2296" spans="1:14" x14ac:dyDescent="0.25">
      <c r="A2296" s="11">
        <v>46037</v>
      </c>
      <c r="B2296" s="5" t="s">
        <v>336</v>
      </c>
      <c r="C2296" s="3" t="s">
        <v>337</v>
      </c>
      <c r="D2296" s="5" t="s">
        <v>115</v>
      </c>
      <c r="E2296" s="5" t="s">
        <v>112</v>
      </c>
      <c r="F2296" s="6" t="s">
        <v>153</v>
      </c>
      <c r="G2296" s="4" t="s">
        <v>2</v>
      </c>
      <c r="H2296" s="25">
        <v>3200</v>
      </c>
      <c r="I2296" s="8">
        <v>0</v>
      </c>
      <c r="J2296" s="9">
        <v>0</v>
      </c>
      <c r="K2296" s="7">
        <v>0</v>
      </c>
      <c r="L2296" s="24">
        <f>+Tabla2[[#This Row],[Stock Inventario]]*Tabla2[[#This Row],[Coste LÃ­nea]]</f>
        <v>0</v>
      </c>
      <c r="M2296" s="24">
        <f>+Tabla2[[#This Row],[Variación Stock]]*Tabla2[[#This Row],[Coste LÃ­nea]]</f>
        <v>0</v>
      </c>
      <c r="N2296" s="22" t="str">
        <f>+IF(Tabla2[[#This Row],[Variación Stock]]&gt;0,"Sobrante",IF(Tabla2[[#This Row],[Variación Stock]]&lt;0,"Faltante","Sin novedad"))</f>
        <v>Sin novedad</v>
      </c>
    </row>
    <row r="2297" spans="1:14" x14ac:dyDescent="0.25">
      <c r="A2297" s="11">
        <v>46037</v>
      </c>
      <c r="B2297" s="5" t="s">
        <v>336</v>
      </c>
      <c r="C2297" s="3" t="s">
        <v>337</v>
      </c>
      <c r="D2297" s="5" t="s">
        <v>115</v>
      </c>
      <c r="E2297" s="5" t="s">
        <v>112</v>
      </c>
      <c r="F2297" s="6" t="s">
        <v>77</v>
      </c>
      <c r="G2297" s="4" t="s">
        <v>2</v>
      </c>
      <c r="H2297" s="25">
        <v>3299.9991666699998</v>
      </c>
      <c r="I2297" s="8">
        <v>17</v>
      </c>
      <c r="J2297" s="9">
        <v>17</v>
      </c>
      <c r="K2297" s="7">
        <v>0</v>
      </c>
      <c r="L2297" s="24">
        <f>+Tabla2[[#This Row],[Stock Inventario]]*Tabla2[[#This Row],[Coste LÃ­nea]]</f>
        <v>56099.985833389997</v>
      </c>
      <c r="M2297" s="24">
        <f>+Tabla2[[#This Row],[Variación Stock]]*Tabla2[[#This Row],[Coste LÃ­nea]]</f>
        <v>0</v>
      </c>
      <c r="N2297" s="22" t="str">
        <f>+IF(Tabla2[[#This Row],[Variación Stock]]&gt;0,"Sobrante",IF(Tabla2[[#This Row],[Variación Stock]]&lt;0,"Faltante","Sin novedad"))</f>
        <v>Sin novedad</v>
      </c>
    </row>
    <row r="2298" spans="1:14" x14ac:dyDescent="0.25">
      <c r="A2298" s="11">
        <v>46037</v>
      </c>
      <c r="B2298" s="5" t="s">
        <v>336</v>
      </c>
      <c r="C2298" s="3" t="s">
        <v>337</v>
      </c>
      <c r="D2298" s="5" t="s">
        <v>115</v>
      </c>
      <c r="E2298" s="5" t="s">
        <v>112</v>
      </c>
      <c r="F2298" s="6" t="s">
        <v>78</v>
      </c>
      <c r="G2298" s="4" t="s">
        <v>2</v>
      </c>
      <c r="H2298" s="25">
        <v>3261.8333333300002</v>
      </c>
      <c r="I2298" s="8">
        <v>0</v>
      </c>
      <c r="J2298" s="9">
        <v>0</v>
      </c>
      <c r="K2298" s="7">
        <v>0</v>
      </c>
      <c r="L2298" s="24">
        <f>+Tabla2[[#This Row],[Stock Inventario]]*Tabla2[[#This Row],[Coste LÃ­nea]]</f>
        <v>0</v>
      </c>
      <c r="M2298" s="24">
        <f>+Tabla2[[#This Row],[Variación Stock]]*Tabla2[[#This Row],[Coste LÃ­nea]]</f>
        <v>0</v>
      </c>
      <c r="N2298" s="22" t="str">
        <f>+IF(Tabla2[[#This Row],[Variación Stock]]&gt;0,"Sobrante",IF(Tabla2[[#This Row],[Variación Stock]]&lt;0,"Faltante","Sin novedad"))</f>
        <v>Sin novedad</v>
      </c>
    </row>
    <row r="2299" spans="1:14" hidden="1" x14ac:dyDescent="0.25">
      <c r="A2299" s="11">
        <v>46044</v>
      </c>
      <c r="B2299" s="5" t="s">
        <v>372</v>
      </c>
      <c r="C2299" s="3" t="s">
        <v>337</v>
      </c>
      <c r="D2299" s="5" t="s">
        <v>116</v>
      </c>
      <c r="E2299" s="5" t="s">
        <v>117</v>
      </c>
      <c r="F2299" s="6" t="s">
        <v>6</v>
      </c>
      <c r="G2299" s="4" t="s">
        <v>2</v>
      </c>
      <c r="H2299" s="25">
        <v>8800</v>
      </c>
      <c r="I2299" s="8">
        <v>16.75</v>
      </c>
      <c r="J2299" s="9">
        <v>16</v>
      </c>
      <c r="K2299" s="7">
        <v>-0.75</v>
      </c>
      <c r="L2299" s="24">
        <f>+Tabla2[[#This Row],[Stock Inventario]]*Tabla2[[#This Row],[Coste LÃ­nea]]</f>
        <v>140800</v>
      </c>
      <c r="M2299" s="24">
        <f>+Tabla2[[#This Row],[Variación Stock]]*Tabla2[[#This Row],[Coste LÃ­nea]]</f>
        <v>-6600</v>
      </c>
      <c r="N2299" s="22" t="str">
        <f>+IF(Tabla2[[#This Row],[Variación Stock]]&gt;0,"Sobrante",IF(Tabla2[[#This Row],[Variación Stock]]&lt;0,"Faltante","Sin novedad"))</f>
        <v>Faltante</v>
      </c>
    </row>
    <row r="2300" spans="1:14" hidden="1" x14ac:dyDescent="0.25">
      <c r="A2300" s="11">
        <v>46044</v>
      </c>
      <c r="B2300" s="5" t="s">
        <v>372</v>
      </c>
      <c r="C2300" s="3" t="s">
        <v>337</v>
      </c>
      <c r="D2300" s="5" t="s">
        <v>119</v>
      </c>
      <c r="E2300" s="5" t="s">
        <v>117</v>
      </c>
      <c r="F2300" s="6" t="s">
        <v>8</v>
      </c>
      <c r="G2300" s="4" t="s">
        <v>1</v>
      </c>
      <c r="H2300" s="25">
        <v>51.00376412</v>
      </c>
      <c r="I2300" s="8">
        <v>4589.9597999999996</v>
      </c>
      <c r="J2300" s="9">
        <v>5482</v>
      </c>
      <c r="K2300" s="7">
        <v>892.04022399999997</v>
      </c>
      <c r="L2300" s="24">
        <f>+Tabla2[[#This Row],[Stock Inventario]]*Tabla2[[#This Row],[Coste LÃ­nea]]</f>
        <v>279602.63490583998</v>
      </c>
      <c r="M2300" s="24">
        <f>+Tabla2[[#This Row],[Variación Stock]]*Tabla2[[#This Row],[Coste LÃ­nea]]</f>
        <v>45497.409170447958</v>
      </c>
      <c r="N2300" s="22" t="str">
        <f>+IF(Tabla2[[#This Row],[Variación Stock]]&gt;0,"Sobrante",IF(Tabla2[[#This Row],[Variación Stock]]&lt;0,"Faltante","Sin novedad"))</f>
        <v>Sobrante</v>
      </c>
    </row>
    <row r="2301" spans="1:14" hidden="1" x14ac:dyDescent="0.25">
      <c r="A2301" s="11">
        <v>46037</v>
      </c>
      <c r="B2301" s="5" t="s">
        <v>336</v>
      </c>
      <c r="C2301" s="3" t="s">
        <v>337</v>
      </c>
      <c r="D2301" s="5" t="s">
        <v>119</v>
      </c>
      <c r="E2301" s="5" t="s">
        <v>117</v>
      </c>
      <c r="F2301" s="6" t="s">
        <v>8</v>
      </c>
      <c r="G2301" s="4" t="s">
        <v>1</v>
      </c>
      <c r="H2301" s="25">
        <v>50.691016779999998</v>
      </c>
      <c r="I2301" s="8">
        <v>1610.0263</v>
      </c>
      <c r="J2301" s="9">
        <v>5266</v>
      </c>
      <c r="K2301" s="7">
        <v>3655.9737009999999</v>
      </c>
      <c r="L2301" s="24">
        <f>+Tabla2[[#This Row],[Stock Inventario]]*Tabla2[[#This Row],[Coste LÃ­nea]]</f>
        <v>266938.89436347998</v>
      </c>
      <c r="M2301" s="24">
        <f>+Tabla2[[#This Row],[Variación Stock]]*Tabla2[[#This Row],[Coste LÃ­nea]]</f>
        <v>185325.02422462968</v>
      </c>
      <c r="N2301" s="22" t="str">
        <f>+IF(Tabla2[[#This Row],[Variación Stock]]&gt;0,"Sobrante",IF(Tabla2[[#This Row],[Variación Stock]]&lt;0,"Faltante","Sin novedad"))</f>
        <v>Sobrante</v>
      </c>
    </row>
    <row r="2302" spans="1:14" hidden="1" x14ac:dyDescent="0.25">
      <c r="A2302" s="11">
        <v>46037</v>
      </c>
      <c r="B2302" s="5" t="s">
        <v>336</v>
      </c>
      <c r="C2302" s="3" t="s">
        <v>337</v>
      </c>
      <c r="D2302" s="5" t="s">
        <v>116</v>
      </c>
      <c r="E2302" s="5" t="s">
        <v>117</v>
      </c>
      <c r="F2302" s="6" t="s">
        <v>4</v>
      </c>
      <c r="G2302" s="4" t="s">
        <v>2</v>
      </c>
      <c r="H2302" s="25">
        <v>3120</v>
      </c>
      <c r="I2302" s="8">
        <v>33</v>
      </c>
      <c r="J2302" s="9">
        <v>10</v>
      </c>
      <c r="K2302" s="7">
        <v>-23</v>
      </c>
      <c r="L2302" s="24">
        <f>+Tabla2[[#This Row],[Stock Inventario]]*Tabla2[[#This Row],[Coste LÃ­nea]]</f>
        <v>31200</v>
      </c>
      <c r="M2302" s="24">
        <f>+Tabla2[[#This Row],[Variación Stock]]*Tabla2[[#This Row],[Coste LÃ­nea]]</f>
        <v>-71760</v>
      </c>
      <c r="N2302" s="22" t="str">
        <f>+IF(Tabla2[[#This Row],[Variación Stock]]&gt;0,"Sobrante",IF(Tabla2[[#This Row],[Variación Stock]]&lt;0,"Faltante","Sin novedad"))</f>
        <v>Faltante</v>
      </c>
    </row>
    <row r="2303" spans="1:14" hidden="1" x14ac:dyDescent="0.25">
      <c r="A2303" s="11">
        <v>46037</v>
      </c>
      <c r="B2303" s="5" t="s">
        <v>336</v>
      </c>
      <c r="C2303" s="3" t="s">
        <v>337</v>
      </c>
      <c r="D2303" s="5" t="s">
        <v>116</v>
      </c>
      <c r="E2303" s="5" t="s">
        <v>117</v>
      </c>
      <c r="F2303" s="6" t="s">
        <v>7</v>
      </c>
      <c r="G2303" s="4" t="s">
        <v>2</v>
      </c>
      <c r="H2303" s="25">
        <v>12802.912621359999</v>
      </c>
      <c r="I2303" s="8">
        <v>45.5</v>
      </c>
      <c r="J2303" s="9">
        <v>45.5</v>
      </c>
      <c r="K2303" s="7">
        <v>0</v>
      </c>
      <c r="L2303" s="24">
        <f>+Tabla2[[#This Row],[Stock Inventario]]*Tabla2[[#This Row],[Coste LÃ­nea]]</f>
        <v>582532.52427187993</v>
      </c>
      <c r="M2303" s="24">
        <f>+Tabla2[[#This Row],[Variación Stock]]*Tabla2[[#This Row],[Coste LÃ­nea]]</f>
        <v>0</v>
      </c>
      <c r="N2303" s="22" t="str">
        <f>+IF(Tabla2[[#This Row],[Variación Stock]]&gt;0,"Sobrante",IF(Tabla2[[#This Row],[Variación Stock]]&lt;0,"Faltante","Sin novedad"))</f>
        <v>Sin novedad</v>
      </c>
    </row>
    <row r="2304" spans="1:14" x14ac:dyDescent="0.25">
      <c r="A2304" s="11">
        <v>46037</v>
      </c>
      <c r="B2304" s="5" t="s">
        <v>336</v>
      </c>
      <c r="C2304" s="3" t="s">
        <v>337</v>
      </c>
      <c r="D2304" s="5" t="s">
        <v>118</v>
      </c>
      <c r="E2304" s="5" t="s">
        <v>112</v>
      </c>
      <c r="F2304" s="6" t="s">
        <v>216</v>
      </c>
      <c r="G2304" s="4" t="s">
        <v>2</v>
      </c>
      <c r="H2304" s="25">
        <v>0</v>
      </c>
      <c r="I2304" s="8">
        <v>0</v>
      </c>
      <c r="J2304" s="9">
        <v>0</v>
      </c>
      <c r="K2304" s="7">
        <v>0</v>
      </c>
      <c r="L2304" s="24">
        <f>+Tabla2[[#This Row],[Stock Inventario]]*Tabla2[[#This Row],[Coste LÃ­nea]]</f>
        <v>0</v>
      </c>
      <c r="M2304" s="24">
        <f>+Tabla2[[#This Row],[Variación Stock]]*Tabla2[[#This Row],[Coste LÃ­nea]]</f>
        <v>0</v>
      </c>
      <c r="N2304" s="22" t="str">
        <f>+IF(Tabla2[[#This Row],[Variación Stock]]&gt;0,"Sobrante",IF(Tabla2[[#This Row],[Variación Stock]]&lt;0,"Faltante","Sin novedad"))</f>
        <v>Sin novedad</v>
      </c>
    </row>
    <row r="2305" spans="1:14" x14ac:dyDescent="0.25">
      <c r="A2305" s="11">
        <v>46037</v>
      </c>
      <c r="B2305" s="5" t="s">
        <v>336</v>
      </c>
      <c r="C2305" s="3" t="s">
        <v>337</v>
      </c>
      <c r="D2305" s="5" t="s">
        <v>118</v>
      </c>
      <c r="E2305" s="5" t="s">
        <v>112</v>
      </c>
      <c r="F2305" s="6" t="s">
        <v>292</v>
      </c>
      <c r="G2305" s="4" t="s">
        <v>81</v>
      </c>
      <c r="H2305" s="25">
        <v>0</v>
      </c>
      <c r="I2305" s="8">
        <v>0</v>
      </c>
      <c r="J2305" s="9">
        <v>0</v>
      </c>
      <c r="K2305" s="7">
        <v>0</v>
      </c>
      <c r="L2305" s="24">
        <f>+Tabla2[[#This Row],[Stock Inventario]]*Tabla2[[#This Row],[Coste LÃ­nea]]</f>
        <v>0</v>
      </c>
      <c r="M2305" s="24">
        <f>+Tabla2[[#This Row],[Variación Stock]]*Tabla2[[#This Row],[Coste LÃ­nea]]</f>
        <v>0</v>
      </c>
      <c r="N2305" s="22" t="str">
        <f>+IF(Tabla2[[#This Row],[Variación Stock]]&gt;0,"Sobrante",IF(Tabla2[[#This Row],[Variación Stock]]&lt;0,"Faltante","Sin novedad"))</f>
        <v>Sin novedad</v>
      </c>
    </row>
    <row r="2306" spans="1:14" x14ac:dyDescent="0.25">
      <c r="A2306" s="11">
        <v>46037</v>
      </c>
      <c r="B2306" s="5" t="s">
        <v>336</v>
      </c>
      <c r="C2306" s="3" t="s">
        <v>337</v>
      </c>
      <c r="D2306" s="5" t="s">
        <v>118</v>
      </c>
      <c r="E2306" s="5" t="s">
        <v>112</v>
      </c>
      <c r="F2306" s="6" t="s">
        <v>293</v>
      </c>
      <c r="G2306" s="4" t="s">
        <v>2</v>
      </c>
      <c r="H2306" s="25">
        <v>125043</v>
      </c>
      <c r="I2306" s="8">
        <v>2</v>
      </c>
      <c r="J2306" s="9">
        <v>2</v>
      </c>
      <c r="K2306" s="7">
        <v>0</v>
      </c>
      <c r="L2306" s="24">
        <f>+Tabla2[[#This Row],[Stock Inventario]]*Tabla2[[#This Row],[Coste LÃ­nea]]</f>
        <v>250086</v>
      </c>
      <c r="M2306" s="24">
        <f>+Tabla2[[#This Row],[Variación Stock]]*Tabla2[[#This Row],[Coste LÃ­nea]]</f>
        <v>0</v>
      </c>
      <c r="N2306" s="22" t="str">
        <f>+IF(Tabla2[[#This Row],[Variación Stock]]&gt;0,"Sobrante",IF(Tabla2[[#This Row],[Variación Stock]]&lt;0,"Faltante","Sin novedad"))</f>
        <v>Sin novedad</v>
      </c>
    </row>
    <row r="2307" spans="1:14" x14ac:dyDescent="0.25">
      <c r="A2307" s="11">
        <v>46037</v>
      </c>
      <c r="B2307" s="5" t="s">
        <v>336</v>
      </c>
      <c r="C2307" s="3" t="s">
        <v>337</v>
      </c>
      <c r="D2307" s="5" t="s">
        <v>118</v>
      </c>
      <c r="E2307" s="5" t="s">
        <v>112</v>
      </c>
      <c r="F2307" s="6" t="s">
        <v>294</v>
      </c>
      <c r="G2307" s="4" t="s">
        <v>2</v>
      </c>
      <c r="H2307" s="25">
        <v>22425</v>
      </c>
      <c r="I2307" s="8">
        <v>0</v>
      </c>
      <c r="J2307" s="9">
        <v>0</v>
      </c>
      <c r="K2307" s="7">
        <v>0</v>
      </c>
      <c r="L2307" s="24">
        <f>+Tabla2[[#This Row],[Stock Inventario]]*Tabla2[[#This Row],[Coste LÃ­nea]]</f>
        <v>0</v>
      </c>
      <c r="M2307" s="24">
        <f>+Tabla2[[#This Row],[Variación Stock]]*Tabla2[[#This Row],[Coste LÃ­nea]]</f>
        <v>0</v>
      </c>
      <c r="N2307" s="22" t="str">
        <f>+IF(Tabla2[[#This Row],[Variación Stock]]&gt;0,"Sobrante",IF(Tabla2[[#This Row],[Variación Stock]]&lt;0,"Faltante","Sin novedad"))</f>
        <v>Sin novedad</v>
      </c>
    </row>
    <row r="2308" spans="1:14" x14ac:dyDescent="0.25">
      <c r="A2308" s="11">
        <v>46037</v>
      </c>
      <c r="B2308" s="5" t="s">
        <v>336</v>
      </c>
      <c r="C2308" s="3" t="s">
        <v>337</v>
      </c>
      <c r="D2308" s="5" t="s">
        <v>118</v>
      </c>
      <c r="E2308" s="5" t="s">
        <v>112</v>
      </c>
      <c r="F2308" s="6" t="s">
        <v>295</v>
      </c>
      <c r="G2308" s="4" t="s">
        <v>2</v>
      </c>
      <c r="H2308" s="25">
        <v>71318</v>
      </c>
      <c r="I2308" s="8">
        <v>5</v>
      </c>
      <c r="J2308" s="9">
        <v>5</v>
      </c>
      <c r="K2308" s="7">
        <v>0</v>
      </c>
      <c r="L2308" s="24">
        <f>+Tabla2[[#This Row],[Stock Inventario]]*Tabla2[[#This Row],[Coste LÃ­nea]]</f>
        <v>356590</v>
      </c>
      <c r="M2308" s="24">
        <f>+Tabla2[[#This Row],[Variación Stock]]*Tabla2[[#This Row],[Coste LÃ­nea]]</f>
        <v>0</v>
      </c>
      <c r="N2308" s="22" t="str">
        <f>+IF(Tabla2[[#This Row],[Variación Stock]]&gt;0,"Sobrante",IF(Tabla2[[#This Row],[Variación Stock]]&lt;0,"Faltante","Sin novedad"))</f>
        <v>Sin novedad</v>
      </c>
    </row>
    <row r="2309" spans="1:14" x14ac:dyDescent="0.25">
      <c r="A2309" s="11">
        <v>46037</v>
      </c>
      <c r="B2309" s="5" t="s">
        <v>336</v>
      </c>
      <c r="C2309" s="3" t="s">
        <v>337</v>
      </c>
      <c r="D2309" s="5" t="s">
        <v>118</v>
      </c>
      <c r="E2309" s="5" t="s">
        <v>112</v>
      </c>
      <c r="F2309" s="6" t="s">
        <v>174</v>
      </c>
      <c r="G2309" s="4" t="s">
        <v>0</v>
      </c>
      <c r="H2309" s="25">
        <v>2903.3333333300002</v>
      </c>
      <c r="I2309" s="8">
        <v>0</v>
      </c>
      <c r="J2309" s="9">
        <v>0</v>
      </c>
      <c r="K2309" s="7">
        <v>0</v>
      </c>
      <c r="L2309" s="24">
        <f>+Tabla2[[#This Row],[Stock Inventario]]*Tabla2[[#This Row],[Coste LÃ­nea]]</f>
        <v>0</v>
      </c>
      <c r="M2309" s="24">
        <f>+Tabla2[[#This Row],[Variación Stock]]*Tabla2[[#This Row],[Coste LÃ­nea]]</f>
        <v>0</v>
      </c>
      <c r="N2309" s="22" t="str">
        <f>+IF(Tabla2[[#This Row],[Variación Stock]]&gt;0,"Sobrante",IF(Tabla2[[#This Row],[Variación Stock]]&lt;0,"Faltante","Sin novedad"))</f>
        <v>Sin novedad</v>
      </c>
    </row>
    <row r="2310" spans="1:14" x14ac:dyDescent="0.25">
      <c r="A2310" s="11">
        <v>46037</v>
      </c>
      <c r="B2310" s="5" t="s">
        <v>336</v>
      </c>
      <c r="C2310" s="3" t="s">
        <v>337</v>
      </c>
      <c r="D2310" s="5" t="s">
        <v>118</v>
      </c>
      <c r="E2310" s="5" t="s">
        <v>112</v>
      </c>
      <c r="F2310" s="6" t="s">
        <v>80</v>
      </c>
      <c r="G2310" s="4" t="s">
        <v>2</v>
      </c>
      <c r="H2310" s="25">
        <v>108834</v>
      </c>
      <c r="I2310" s="8">
        <v>4</v>
      </c>
      <c r="J2310" s="9">
        <v>4</v>
      </c>
      <c r="K2310" s="7">
        <v>0</v>
      </c>
      <c r="L2310" s="24">
        <f>+Tabla2[[#This Row],[Stock Inventario]]*Tabla2[[#This Row],[Coste LÃ­nea]]</f>
        <v>435336</v>
      </c>
      <c r="M2310" s="24">
        <f>+Tabla2[[#This Row],[Variación Stock]]*Tabla2[[#This Row],[Coste LÃ­nea]]</f>
        <v>0</v>
      </c>
      <c r="N2310" s="22" t="str">
        <f>+IF(Tabla2[[#This Row],[Variación Stock]]&gt;0,"Sobrante",IF(Tabla2[[#This Row],[Variación Stock]]&lt;0,"Faltante","Sin novedad"))</f>
        <v>Sin novedad</v>
      </c>
    </row>
    <row r="2311" spans="1:14" x14ac:dyDescent="0.25">
      <c r="A2311" s="11">
        <v>46037</v>
      </c>
      <c r="B2311" s="5" t="s">
        <v>336</v>
      </c>
      <c r="C2311" s="3" t="s">
        <v>337</v>
      </c>
      <c r="D2311" s="5" t="s">
        <v>118</v>
      </c>
      <c r="E2311" s="5" t="s">
        <v>112</v>
      </c>
      <c r="F2311" s="6" t="s">
        <v>296</v>
      </c>
      <c r="G2311" s="4" t="s">
        <v>2</v>
      </c>
      <c r="H2311" s="25">
        <v>27250</v>
      </c>
      <c r="I2311" s="8">
        <v>2</v>
      </c>
      <c r="J2311" s="9">
        <v>2</v>
      </c>
      <c r="K2311" s="7">
        <v>0</v>
      </c>
      <c r="L2311" s="24">
        <f>+Tabla2[[#This Row],[Stock Inventario]]*Tabla2[[#This Row],[Coste LÃ­nea]]</f>
        <v>54500</v>
      </c>
      <c r="M2311" s="24">
        <f>+Tabla2[[#This Row],[Variación Stock]]*Tabla2[[#This Row],[Coste LÃ­nea]]</f>
        <v>0</v>
      </c>
      <c r="N2311" s="22" t="str">
        <f>+IF(Tabla2[[#This Row],[Variación Stock]]&gt;0,"Sobrante",IF(Tabla2[[#This Row],[Variación Stock]]&lt;0,"Faltante","Sin novedad"))</f>
        <v>Sin novedad</v>
      </c>
    </row>
    <row r="2312" spans="1:14" x14ac:dyDescent="0.25">
      <c r="A2312" s="11">
        <v>46037</v>
      </c>
      <c r="B2312" s="5" t="s">
        <v>336</v>
      </c>
      <c r="C2312" s="3" t="s">
        <v>337</v>
      </c>
      <c r="D2312" s="5" t="s">
        <v>118</v>
      </c>
      <c r="E2312" s="5" t="s">
        <v>112</v>
      </c>
      <c r="F2312" s="6" t="s">
        <v>297</v>
      </c>
      <c r="G2312" s="4" t="s">
        <v>2</v>
      </c>
      <c r="H2312" s="25">
        <v>87241.5</v>
      </c>
      <c r="I2312" s="8">
        <v>1</v>
      </c>
      <c r="J2312" s="9">
        <v>1</v>
      </c>
      <c r="K2312" s="7">
        <v>0</v>
      </c>
      <c r="L2312" s="24">
        <f>+Tabla2[[#This Row],[Stock Inventario]]*Tabla2[[#This Row],[Coste LÃ­nea]]</f>
        <v>87241.5</v>
      </c>
      <c r="M2312" s="24">
        <f>+Tabla2[[#This Row],[Variación Stock]]*Tabla2[[#This Row],[Coste LÃ­nea]]</f>
        <v>0</v>
      </c>
      <c r="N2312" s="22" t="str">
        <f>+IF(Tabla2[[#This Row],[Variación Stock]]&gt;0,"Sobrante",IF(Tabla2[[#This Row],[Variación Stock]]&lt;0,"Faltante","Sin novedad"))</f>
        <v>Sin novedad</v>
      </c>
    </row>
    <row r="2313" spans="1:14" x14ac:dyDescent="0.25">
      <c r="A2313" s="11">
        <v>46037</v>
      </c>
      <c r="B2313" s="5" t="s">
        <v>336</v>
      </c>
      <c r="C2313" s="3" t="s">
        <v>337</v>
      </c>
      <c r="D2313" s="5" t="s">
        <v>118</v>
      </c>
      <c r="E2313" s="5" t="s">
        <v>112</v>
      </c>
      <c r="F2313" s="6" t="s">
        <v>298</v>
      </c>
      <c r="G2313" s="4" t="s">
        <v>2</v>
      </c>
      <c r="H2313" s="25">
        <v>63897.666666669997</v>
      </c>
      <c r="I2313" s="8">
        <v>6</v>
      </c>
      <c r="J2313" s="9">
        <v>6</v>
      </c>
      <c r="K2313" s="7">
        <v>0</v>
      </c>
      <c r="L2313" s="24">
        <f>+Tabla2[[#This Row],[Stock Inventario]]*Tabla2[[#This Row],[Coste LÃ­nea]]</f>
        <v>383386.00000001997</v>
      </c>
      <c r="M2313" s="24">
        <f>+Tabla2[[#This Row],[Variación Stock]]*Tabla2[[#This Row],[Coste LÃ­nea]]</f>
        <v>0</v>
      </c>
      <c r="N2313" s="22" t="str">
        <f>+IF(Tabla2[[#This Row],[Variación Stock]]&gt;0,"Sobrante",IF(Tabla2[[#This Row],[Variación Stock]]&lt;0,"Faltante","Sin novedad"))</f>
        <v>Sin novedad</v>
      </c>
    </row>
    <row r="2314" spans="1:14" x14ac:dyDescent="0.25">
      <c r="A2314" s="11">
        <v>46037</v>
      </c>
      <c r="B2314" s="5" t="s">
        <v>336</v>
      </c>
      <c r="C2314" s="3" t="s">
        <v>337</v>
      </c>
      <c r="D2314" s="5" t="s">
        <v>118</v>
      </c>
      <c r="E2314" s="5" t="s">
        <v>112</v>
      </c>
      <c r="F2314" s="6" t="s">
        <v>299</v>
      </c>
      <c r="G2314" s="4" t="s">
        <v>2</v>
      </c>
      <c r="H2314" s="25">
        <v>72880</v>
      </c>
      <c r="I2314" s="8">
        <v>3</v>
      </c>
      <c r="J2314" s="9">
        <v>3</v>
      </c>
      <c r="K2314" s="7">
        <v>0</v>
      </c>
      <c r="L2314" s="24">
        <f>+Tabla2[[#This Row],[Stock Inventario]]*Tabla2[[#This Row],[Coste LÃ­nea]]</f>
        <v>218640</v>
      </c>
      <c r="M2314" s="24">
        <f>+Tabla2[[#This Row],[Variación Stock]]*Tabla2[[#This Row],[Coste LÃ­nea]]</f>
        <v>0</v>
      </c>
      <c r="N2314" s="22" t="str">
        <f>+IF(Tabla2[[#This Row],[Variación Stock]]&gt;0,"Sobrante",IF(Tabla2[[#This Row],[Variación Stock]]&lt;0,"Faltante","Sin novedad"))</f>
        <v>Sin novedad</v>
      </c>
    </row>
    <row r="2315" spans="1:14" x14ac:dyDescent="0.25">
      <c r="A2315" s="11">
        <v>46037</v>
      </c>
      <c r="B2315" s="5" t="s">
        <v>336</v>
      </c>
      <c r="C2315" s="3" t="s">
        <v>337</v>
      </c>
      <c r="D2315" s="5" t="s">
        <v>118</v>
      </c>
      <c r="E2315" s="5" t="s">
        <v>112</v>
      </c>
      <c r="F2315" s="6" t="s">
        <v>300</v>
      </c>
      <c r="G2315" s="4" t="s">
        <v>2</v>
      </c>
      <c r="H2315" s="25">
        <v>25109.5</v>
      </c>
      <c r="I2315" s="8">
        <v>0</v>
      </c>
      <c r="J2315" s="9">
        <v>0</v>
      </c>
      <c r="K2315" s="7">
        <v>0</v>
      </c>
      <c r="L2315" s="24">
        <f>+Tabla2[[#This Row],[Stock Inventario]]*Tabla2[[#This Row],[Coste LÃ­nea]]</f>
        <v>0</v>
      </c>
      <c r="M2315" s="24">
        <f>+Tabla2[[#This Row],[Variación Stock]]*Tabla2[[#This Row],[Coste LÃ­nea]]</f>
        <v>0</v>
      </c>
      <c r="N2315" s="22" t="str">
        <f>+IF(Tabla2[[#This Row],[Variación Stock]]&gt;0,"Sobrante",IF(Tabla2[[#This Row],[Variación Stock]]&lt;0,"Faltante","Sin novedad"))</f>
        <v>Sin novedad</v>
      </c>
    </row>
    <row r="2316" spans="1:14" x14ac:dyDescent="0.25">
      <c r="A2316" s="11">
        <v>46037</v>
      </c>
      <c r="B2316" s="5" t="s">
        <v>336</v>
      </c>
      <c r="C2316" s="3" t="s">
        <v>337</v>
      </c>
      <c r="D2316" s="5" t="s">
        <v>118</v>
      </c>
      <c r="E2316" s="5" t="s">
        <v>112</v>
      </c>
      <c r="F2316" s="6" t="s">
        <v>301</v>
      </c>
      <c r="G2316" s="4" t="s">
        <v>81</v>
      </c>
      <c r="H2316" s="25">
        <v>15151.2</v>
      </c>
      <c r="I2316" s="8">
        <v>12</v>
      </c>
      <c r="J2316" s="9">
        <v>12</v>
      </c>
      <c r="K2316" s="7">
        <v>0</v>
      </c>
      <c r="L2316" s="24">
        <f>+Tabla2[[#This Row],[Stock Inventario]]*Tabla2[[#This Row],[Coste LÃ­nea]]</f>
        <v>181814.40000000002</v>
      </c>
      <c r="M2316" s="24">
        <f>+Tabla2[[#This Row],[Variación Stock]]*Tabla2[[#This Row],[Coste LÃ­nea]]</f>
        <v>0</v>
      </c>
      <c r="N2316" s="22" t="str">
        <f>+IF(Tabla2[[#This Row],[Variación Stock]]&gt;0,"Sobrante",IF(Tabla2[[#This Row],[Variación Stock]]&lt;0,"Faltante","Sin novedad"))</f>
        <v>Sin novedad</v>
      </c>
    </row>
    <row r="2317" spans="1:14" x14ac:dyDescent="0.25">
      <c r="A2317" s="11">
        <v>46037</v>
      </c>
      <c r="B2317" s="5" t="s">
        <v>336</v>
      </c>
      <c r="C2317" s="3" t="s">
        <v>337</v>
      </c>
      <c r="D2317" s="5" t="s">
        <v>118</v>
      </c>
      <c r="E2317" s="5" t="s">
        <v>112</v>
      </c>
      <c r="F2317" s="6" t="s">
        <v>302</v>
      </c>
      <c r="G2317" s="4" t="s">
        <v>2</v>
      </c>
      <c r="H2317" s="25">
        <v>444869</v>
      </c>
      <c r="I2317" s="8">
        <v>0</v>
      </c>
      <c r="J2317" s="9">
        <v>0</v>
      </c>
      <c r="K2317" s="7">
        <v>0</v>
      </c>
      <c r="L2317" s="24">
        <f>+Tabla2[[#This Row],[Stock Inventario]]*Tabla2[[#This Row],[Coste LÃ­nea]]</f>
        <v>0</v>
      </c>
      <c r="M2317" s="24">
        <f>+Tabla2[[#This Row],[Variación Stock]]*Tabla2[[#This Row],[Coste LÃ­nea]]</f>
        <v>0</v>
      </c>
      <c r="N2317" s="22" t="str">
        <f>+IF(Tabla2[[#This Row],[Variación Stock]]&gt;0,"Sobrante",IF(Tabla2[[#This Row],[Variación Stock]]&lt;0,"Faltante","Sin novedad"))</f>
        <v>Sin novedad</v>
      </c>
    </row>
    <row r="2318" spans="1:14" x14ac:dyDescent="0.25">
      <c r="A2318" s="11">
        <v>46037</v>
      </c>
      <c r="B2318" s="5" t="s">
        <v>336</v>
      </c>
      <c r="C2318" s="3" t="s">
        <v>337</v>
      </c>
      <c r="D2318" s="5" t="s">
        <v>114</v>
      </c>
      <c r="E2318" s="5" t="s">
        <v>112</v>
      </c>
      <c r="F2318" s="6" t="s">
        <v>62</v>
      </c>
      <c r="G2318" s="4" t="s">
        <v>2</v>
      </c>
      <c r="H2318" s="25">
        <v>1654.1729616299999</v>
      </c>
      <c r="I2318" s="8">
        <v>61.62</v>
      </c>
      <c r="J2318" s="9">
        <v>52</v>
      </c>
      <c r="K2318" s="7">
        <v>-9.6199999999999992</v>
      </c>
      <c r="L2318" s="24">
        <f>+Tabla2[[#This Row],[Stock Inventario]]*Tabla2[[#This Row],[Coste LÃ­nea]]</f>
        <v>86016.994004759996</v>
      </c>
      <c r="M2318" s="24">
        <f>+Tabla2[[#This Row],[Variación Stock]]*Tabla2[[#This Row],[Coste LÃ­nea]]</f>
        <v>-15913.143890880598</v>
      </c>
      <c r="N2318" s="22" t="str">
        <f>+IF(Tabla2[[#This Row],[Variación Stock]]&gt;0,"Sobrante",IF(Tabla2[[#This Row],[Variación Stock]]&lt;0,"Faltante","Sin novedad"))</f>
        <v>Faltante</v>
      </c>
    </row>
    <row r="2319" spans="1:14" x14ac:dyDescent="0.25">
      <c r="A2319" s="11">
        <v>46037</v>
      </c>
      <c r="B2319" s="5" t="s">
        <v>336</v>
      </c>
      <c r="C2319" s="3" t="s">
        <v>337</v>
      </c>
      <c r="D2319" s="5" t="s">
        <v>118</v>
      </c>
      <c r="E2319" s="5" t="s">
        <v>112</v>
      </c>
      <c r="F2319" s="6" t="s">
        <v>82</v>
      </c>
      <c r="G2319" s="4" t="s">
        <v>2</v>
      </c>
      <c r="H2319" s="25">
        <v>63373</v>
      </c>
      <c r="I2319" s="8">
        <v>3</v>
      </c>
      <c r="J2319" s="9">
        <v>3</v>
      </c>
      <c r="K2319" s="7">
        <v>0</v>
      </c>
      <c r="L2319" s="24">
        <f>+Tabla2[[#This Row],[Stock Inventario]]*Tabla2[[#This Row],[Coste LÃ­nea]]</f>
        <v>190119</v>
      </c>
      <c r="M2319" s="24">
        <f>+Tabla2[[#This Row],[Variación Stock]]*Tabla2[[#This Row],[Coste LÃ­nea]]</f>
        <v>0</v>
      </c>
      <c r="N2319" s="22" t="str">
        <f>+IF(Tabla2[[#This Row],[Variación Stock]]&gt;0,"Sobrante",IF(Tabla2[[#This Row],[Variación Stock]]&lt;0,"Faltante","Sin novedad"))</f>
        <v>Sin novedad</v>
      </c>
    </row>
    <row r="2320" spans="1:14" x14ac:dyDescent="0.25">
      <c r="A2320" s="11">
        <v>46037</v>
      </c>
      <c r="B2320" s="5" t="s">
        <v>336</v>
      </c>
      <c r="C2320" s="3" t="s">
        <v>337</v>
      </c>
      <c r="D2320" s="5" t="s">
        <v>118</v>
      </c>
      <c r="E2320" s="5" t="s">
        <v>112</v>
      </c>
      <c r="F2320" s="6" t="s">
        <v>304</v>
      </c>
      <c r="G2320" s="4" t="s">
        <v>2</v>
      </c>
      <c r="H2320" s="25">
        <v>37617</v>
      </c>
      <c r="I2320" s="8">
        <v>8</v>
      </c>
      <c r="J2320" s="9">
        <v>8</v>
      </c>
      <c r="K2320" s="7">
        <v>0</v>
      </c>
      <c r="L2320" s="24">
        <f>+Tabla2[[#This Row],[Stock Inventario]]*Tabla2[[#This Row],[Coste LÃ­nea]]</f>
        <v>300936</v>
      </c>
      <c r="M2320" s="24">
        <f>+Tabla2[[#This Row],[Variación Stock]]*Tabla2[[#This Row],[Coste LÃ­nea]]</f>
        <v>0</v>
      </c>
      <c r="N2320" s="22" t="str">
        <f>+IF(Tabla2[[#This Row],[Variación Stock]]&gt;0,"Sobrante",IF(Tabla2[[#This Row],[Variación Stock]]&lt;0,"Faltante","Sin novedad"))</f>
        <v>Sin novedad</v>
      </c>
    </row>
    <row r="2321" spans="1:14" x14ac:dyDescent="0.25">
      <c r="A2321" s="11">
        <v>46037</v>
      </c>
      <c r="B2321" s="5" t="s">
        <v>336</v>
      </c>
      <c r="C2321" s="3" t="s">
        <v>337</v>
      </c>
      <c r="D2321" s="5" t="s">
        <v>118</v>
      </c>
      <c r="E2321" s="5" t="s">
        <v>112</v>
      </c>
      <c r="F2321" s="6" t="s">
        <v>83</v>
      </c>
      <c r="G2321" s="4" t="s">
        <v>2</v>
      </c>
      <c r="H2321" s="25">
        <v>37608</v>
      </c>
      <c r="I2321" s="8">
        <v>9</v>
      </c>
      <c r="J2321" s="9">
        <v>9</v>
      </c>
      <c r="K2321" s="7">
        <v>0</v>
      </c>
      <c r="L2321" s="24">
        <f>+Tabla2[[#This Row],[Stock Inventario]]*Tabla2[[#This Row],[Coste LÃ­nea]]</f>
        <v>338472</v>
      </c>
      <c r="M2321" s="24">
        <f>+Tabla2[[#This Row],[Variación Stock]]*Tabla2[[#This Row],[Coste LÃ­nea]]</f>
        <v>0</v>
      </c>
      <c r="N2321" s="22" t="str">
        <f>+IF(Tabla2[[#This Row],[Variación Stock]]&gt;0,"Sobrante",IF(Tabla2[[#This Row],[Variación Stock]]&lt;0,"Faltante","Sin novedad"))</f>
        <v>Sin novedad</v>
      </c>
    </row>
    <row r="2322" spans="1:14" x14ac:dyDescent="0.25">
      <c r="A2322" s="11">
        <v>46037</v>
      </c>
      <c r="B2322" s="5" t="s">
        <v>336</v>
      </c>
      <c r="C2322" s="3" t="s">
        <v>337</v>
      </c>
      <c r="D2322" s="5" t="s">
        <v>118</v>
      </c>
      <c r="E2322" s="5" t="s">
        <v>112</v>
      </c>
      <c r="F2322" s="6" t="s">
        <v>84</v>
      </c>
      <c r="G2322" s="4" t="s">
        <v>81</v>
      </c>
      <c r="H2322" s="25">
        <v>9853.7999999999993</v>
      </c>
      <c r="I2322" s="8">
        <v>0</v>
      </c>
      <c r="J2322" s="9">
        <v>0</v>
      </c>
      <c r="K2322" s="7">
        <v>0</v>
      </c>
      <c r="L2322" s="24">
        <f>+Tabla2[[#This Row],[Stock Inventario]]*Tabla2[[#This Row],[Coste LÃ­nea]]</f>
        <v>0</v>
      </c>
      <c r="M2322" s="24">
        <f>+Tabla2[[#This Row],[Variación Stock]]*Tabla2[[#This Row],[Coste LÃ­nea]]</f>
        <v>0</v>
      </c>
      <c r="N2322" s="22" t="str">
        <f>+IF(Tabla2[[#This Row],[Variación Stock]]&gt;0,"Sobrante",IF(Tabla2[[#This Row],[Variación Stock]]&lt;0,"Faltante","Sin novedad"))</f>
        <v>Sin novedad</v>
      </c>
    </row>
    <row r="2323" spans="1:14" x14ac:dyDescent="0.25">
      <c r="A2323" s="11">
        <v>46044</v>
      </c>
      <c r="B2323" s="5" t="s">
        <v>372</v>
      </c>
      <c r="C2323" s="3" t="s">
        <v>337</v>
      </c>
      <c r="D2323" s="5" t="s">
        <v>114</v>
      </c>
      <c r="E2323" s="5" t="s">
        <v>112</v>
      </c>
      <c r="F2323" s="6" t="s">
        <v>62</v>
      </c>
      <c r="G2323" s="4" t="s">
        <v>2</v>
      </c>
      <c r="H2323" s="25">
        <v>1654.1429856300001</v>
      </c>
      <c r="I2323" s="8">
        <v>41.31</v>
      </c>
      <c r="J2323" s="9">
        <v>45</v>
      </c>
      <c r="K2323" s="7">
        <v>3.69</v>
      </c>
      <c r="L2323" s="24">
        <f>+Tabla2[[#This Row],[Stock Inventario]]*Tabla2[[#This Row],[Coste LÃ­nea]]</f>
        <v>74436.434353350007</v>
      </c>
      <c r="M2323" s="24">
        <f>+Tabla2[[#This Row],[Variación Stock]]*Tabla2[[#This Row],[Coste LÃ­nea]]</f>
        <v>6103.7876169747005</v>
      </c>
      <c r="N2323" s="22" t="str">
        <f>+IF(Tabla2[[#This Row],[Variación Stock]]&gt;0,"Sobrante",IF(Tabla2[[#This Row],[Variación Stock]]&lt;0,"Faltante","Sin novedad"))</f>
        <v>Sobrante</v>
      </c>
    </row>
    <row r="2324" spans="1:14" x14ac:dyDescent="0.25">
      <c r="A2324" s="11">
        <v>46037</v>
      </c>
      <c r="B2324" s="5" t="s">
        <v>336</v>
      </c>
      <c r="C2324" s="3" t="s">
        <v>337</v>
      </c>
      <c r="D2324" s="5" t="s">
        <v>118</v>
      </c>
      <c r="E2324" s="5" t="s">
        <v>112</v>
      </c>
      <c r="F2324" s="6" t="s">
        <v>86</v>
      </c>
      <c r="G2324" s="4" t="s">
        <v>81</v>
      </c>
      <c r="H2324" s="25">
        <v>10889.4</v>
      </c>
      <c r="I2324" s="8">
        <v>10</v>
      </c>
      <c r="J2324" s="9">
        <v>10</v>
      </c>
      <c r="K2324" s="7">
        <v>0</v>
      </c>
      <c r="L2324" s="24">
        <f>+Tabla2[[#This Row],[Stock Inventario]]*Tabla2[[#This Row],[Coste LÃ­nea]]</f>
        <v>108894</v>
      </c>
      <c r="M2324" s="24">
        <f>+Tabla2[[#This Row],[Variación Stock]]*Tabla2[[#This Row],[Coste LÃ­nea]]</f>
        <v>0</v>
      </c>
      <c r="N2324" s="22" t="str">
        <f>+IF(Tabla2[[#This Row],[Variación Stock]]&gt;0,"Sobrante",IF(Tabla2[[#This Row],[Variación Stock]]&lt;0,"Faltante","Sin novedad"))</f>
        <v>Sin novedad</v>
      </c>
    </row>
    <row r="2325" spans="1:14" x14ac:dyDescent="0.25">
      <c r="A2325" s="11">
        <v>46037</v>
      </c>
      <c r="B2325" s="5" t="s">
        <v>336</v>
      </c>
      <c r="C2325" s="3" t="s">
        <v>337</v>
      </c>
      <c r="D2325" s="5" t="s">
        <v>118</v>
      </c>
      <c r="E2325" s="5" t="s">
        <v>112</v>
      </c>
      <c r="F2325" s="6" t="s">
        <v>87</v>
      </c>
      <c r="G2325" s="4" t="s">
        <v>2</v>
      </c>
      <c r="H2325" s="25">
        <v>37612</v>
      </c>
      <c r="I2325" s="8">
        <v>7</v>
      </c>
      <c r="J2325" s="9">
        <v>7</v>
      </c>
      <c r="K2325" s="7">
        <v>0</v>
      </c>
      <c r="L2325" s="24">
        <f>+Tabla2[[#This Row],[Stock Inventario]]*Tabla2[[#This Row],[Coste LÃ­nea]]</f>
        <v>263284</v>
      </c>
      <c r="M2325" s="24">
        <f>+Tabla2[[#This Row],[Variación Stock]]*Tabla2[[#This Row],[Coste LÃ­nea]]</f>
        <v>0</v>
      </c>
      <c r="N2325" s="22" t="str">
        <f>+IF(Tabla2[[#This Row],[Variación Stock]]&gt;0,"Sobrante",IF(Tabla2[[#This Row],[Variación Stock]]&lt;0,"Faltante","Sin novedad"))</f>
        <v>Sin novedad</v>
      </c>
    </row>
    <row r="2326" spans="1:14" x14ac:dyDescent="0.25">
      <c r="A2326" s="11">
        <v>46037</v>
      </c>
      <c r="B2326" s="5" t="s">
        <v>336</v>
      </c>
      <c r="C2326" s="3" t="s">
        <v>337</v>
      </c>
      <c r="D2326" s="5" t="s">
        <v>118</v>
      </c>
      <c r="E2326" s="5" t="s">
        <v>112</v>
      </c>
      <c r="F2326" s="6" t="s">
        <v>88</v>
      </c>
      <c r="G2326" s="4" t="s">
        <v>81</v>
      </c>
      <c r="H2326" s="25">
        <v>4385.6000000000004</v>
      </c>
      <c r="I2326" s="8">
        <v>10</v>
      </c>
      <c r="J2326" s="9">
        <v>10</v>
      </c>
      <c r="K2326" s="7">
        <v>0</v>
      </c>
      <c r="L2326" s="24">
        <f>+Tabla2[[#This Row],[Stock Inventario]]*Tabla2[[#This Row],[Coste LÃ­nea]]</f>
        <v>43856</v>
      </c>
      <c r="M2326" s="24">
        <f>+Tabla2[[#This Row],[Variación Stock]]*Tabla2[[#This Row],[Coste LÃ­nea]]</f>
        <v>0</v>
      </c>
      <c r="N2326" s="22" t="str">
        <f>+IF(Tabla2[[#This Row],[Variación Stock]]&gt;0,"Sobrante",IF(Tabla2[[#This Row],[Variación Stock]]&lt;0,"Faltante","Sin novedad"))</f>
        <v>Sin novedad</v>
      </c>
    </row>
    <row r="2327" spans="1:14" x14ac:dyDescent="0.25">
      <c r="A2327" s="11">
        <v>46037</v>
      </c>
      <c r="B2327" s="5" t="s">
        <v>336</v>
      </c>
      <c r="C2327" s="3" t="s">
        <v>337</v>
      </c>
      <c r="D2327" s="5" t="s">
        <v>118</v>
      </c>
      <c r="E2327" s="5" t="s">
        <v>112</v>
      </c>
      <c r="F2327" s="6" t="s">
        <v>89</v>
      </c>
      <c r="G2327" s="4" t="s">
        <v>81</v>
      </c>
      <c r="H2327" s="25">
        <v>4363.6000000000004</v>
      </c>
      <c r="I2327" s="8">
        <v>17</v>
      </c>
      <c r="J2327" s="9">
        <v>17</v>
      </c>
      <c r="K2327" s="7">
        <v>0</v>
      </c>
      <c r="L2327" s="24">
        <f>+Tabla2[[#This Row],[Stock Inventario]]*Tabla2[[#This Row],[Coste LÃ­nea]]</f>
        <v>74181.200000000012</v>
      </c>
      <c r="M2327" s="24">
        <f>+Tabla2[[#This Row],[Variación Stock]]*Tabla2[[#This Row],[Coste LÃ­nea]]</f>
        <v>0</v>
      </c>
      <c r="N2327" s="22" t="str">
        <f>+IF(Tabla2[[#This Row],[Variación Stock]]&gt;0,"Sobrante",IF(Tabla2[[#This Row],[Variación Stock]]&lt;0,"Faltante","Sin novedad"))</f>
        <v>Sin novedad</v>
      </c>
    </row>
    <row r="2328" spans="1:14" x14ac:dyDescent="0.25">
      <c r="A2328" s="11">
        <v>46037</v>
      </c>
      <c r="B2328" s="5" t="s">
        <v>336</v>
      </c>
      <c r="C2328" s="3" t="s">
        <v>337</v>
      </c>
      <c r="D2328" s="5" t="s">
        <v>118</v>
      </c>
      <c r="E2328" s="5" t="s">
        <v>112</v>
      </c>
      <c r="F2328" s="6" t="s">
        <v>90</v>
      </c>
      <c r="G2328" s="4" t="s">
        <v>81</v>
      </c>
      <c r="H2328" s="25">
        <v>4005.2</v>
      </c>
      <c r="I2328" s="8">
        <v>12</v>
      </c>
      <c r="J2328" s="9">
        <v>12</v>
      </c>
      <c r="K2328" s="7">
        <v>0</v>
      </c>
      <c r="L2328" s="24">
        <f>+Tabla2[[#This Row],[Stock Inventario]]*Tabla2[[#This Row],[Coste LÃ­nea]]</f>
        <v>48062.399999999994</v>
      </c>
      <c r="M2328" s="24">
        <f>+Tabla2[[#This Row],[Variación Stock]]*Tabla2[[#This Row],[Coste LÃ­nea]]</f>
        <v>0</v>
      </c>
      <c r="N2328" s="22" t="str">
        <f>+IF(Tabla2[[#This Row],[Variación Stock]]&gt;0,"Sobrante",IF(Tabla2[[#This Row],[Variación Stock]]&lt;0,"Faltante","Sin novedad"))</f>
        <v>Sin novedad</v>
      </c>
    </row>
    <row r="2329" spans="1:14" x14ac:dyDescent="0.25">
      <c r="A2329" s="11">
        <v>46037</v>
      </c>
      <c r="B2329" s="5" t="s">
        <v>336</v>
      </c>
      <c r="C2329" s="3" t="s">
        <v>337</v>
      </c>
      <c r="D2329" s="5" t="s">
        <v>118</v>
      </c>
      <c r="E2329" s="5" t="s">
        <v>112</v>
      </c>
      <c r="F2329" s="6" t="s">
        <v>305</v>
      </c>
      <c r="G2329" s="4" t="s">
        <v>81</v>
      </c>
      <c r="H2329" s="25">
        <v>10705</v>
      </c>
      <c r="I2329" s="8">
        <v>0</v>
      </c>
      <c r="J2329" s="9">
        <v>0</v>
      </c>
      <c r="K2329" s="7">
        <v>0</v>
      </c>
      <c r="L2329" s="24">
        <f>+Tabla2[[#This Row],[Stock Inventario]]*Tabla2[[#This Row],[Coste LÃ­nea]]</f>
        <v>0</v>
      </c>
      <c r="M2329" s="24">
        <f>+Tabla2[[#This Row],[Variación Stock]]*Tabla2[[#This Row],[Coste LÃ­nea]]</f>
        <v>0</v>
      </c>
      <c r="N2329" s="22" t="str">
        <f>+IF(Tabla2[[#This Row],[Variación Stock]]&gt;0,"Sobrante",IF(Tabla2[[#This Row],[Variación Stock]]&lt;0,"Faltante","Sin novedad"))</f>
        <v>Sin novedad</v>
      </c>
    </row>
    <row r="2330" spans="1:14" x14ac:dyDescent="0.25">
      <c r="A2330" s="11">
        <v>46037</v>
      </c>
      <c r="B2330" s="5" t="s">
        <v>336</v>
      </c>
      <c r="C2330" s="3" t="s">
        <v>337</v>
      </c>
      <c r="D2330" s="5" t="s">
        <v>118</v>
      </c>
      <c r="E2330" s="5" t="s">
        <v>112</v>
      </c>
      <c r="F2330" s="6" t="s">
        <v>306</v>
      </c>
      <c r="G2330" s="4" t="s">
        <v>81</v>
      </c>
      <c r="H2330" s="25">
        <v>10715.3</v>
      </c>
      <c r="I2330" s="8">
        <v>10</v>
      </c>
      <c r="J2330" s="9">
        <v>10</v>
      </c>
      <c r="K2330" s="7">
        <v>0</v>
      </c>
      <c r="L2330" s="24">
        <f>+Tabla2[[#This Row],[Stock Inventario]]*Tabla2[[#This Row],[Coste LÃ­nea]]</f>
        <v>107153</v>
      </c>
      <c r="M2330" s="24">
        <f>+Tabla2[[#This Row],[Variación Stock]]*Tabla2[[#This Row],[Coste LÃ­nea]]</f>
        <v>0</v>
      </c>
      <c r="N2330" s="22" t="str">
        <f>+IF(Tabla2[[#This Row],[Variación Stock]]&gt;0,"Sobrante",IF(Tabla2[[#This Row],[Variación Stock]]&lt;0,"Faltante","Sin novedad"))</f>
        <v>Sin novedad</v>
      </c>
    </row>
    <row r="2331" spans="1:14" x14ac:dyDescent="0.25">
      <c r="A2331" s="11">
        <v>46037</v>
      </c>
      <c r="B2331" s="5" t="s">
        <v>336</v>
      </c>
      <c r="C2331" s="3" t="s">
        <v>337</v>
      </c>
      <c r="D2331" s="5" t="s">
        <v>118</v>
      </c>
      <c r="E2331" s="5" t="s">
        <v>112</v>
      </c>
      <c r="F2331" s="6" t="s">
        <v>307</v>
      </c>
      <c r="G2331" s="4" t="s">
        <v>81</v>
      </c>
      <c r="H2331" s="25">
        <v>10710.6</v>
      </c>
      <c r="I2331" s="8">
        <v>28</v>
      </c>
      <c r="J2331" s="9">
        <v>28</v>
      </c>
      <c r="K2331" s="7">
        <v>0</v>
      </c>
      <c r="L2331" s="24">
        <f>+Tabla2[[#This Row],[Stock Inventario]]*Tabla2[[#This Row],[Coste LÃ­nea]]</f>
        <v>299896.8</v>
      </c>
      <c r="M2331" s="24">
        <f>+Tabla2[[#This Row],[Variación Stock]]*Tabla2[[#This Row],[Coste LÃ­nea]]</f>
        <v>0</v>
      </c>
      <c r="N2331" s="22" t="str">
        <f>+IF(Tabla2[[#This Row],[Variación Stock]]&gt;0,"Sobrante",IF(Tabla2[[#This Row],[Variación Stock]]&lt;0,"Faltante","Sin novedad"))</f>
        <v>Sin novedad</v>
      </c>
    </row>
    <row r="2332" spans="1:14" x14ac:dyDescent="0.25">
      <c r="A2332" s="11">
        <v>46037</v>
      </c>
      <c r="B2332" s="5" t="s">
        <v>336</v>
      </c>
      <c r="C2332" s="3" t="s">
        <v>337</v>
      </c>
      <c r="D2332" s="5" t="s">
        <v>118</v>
      </c>
      <c r="E2332" s="5" t="s">
        <v>112</v>
      </c>
      <c r="F2332" s="6" t="s">
        <v>91</v>
      </c>
      <c r="G2332" s="4" t="s">
        <v>2</v>
      </c>
      <c r="H2332" s="25">
        <v>70600.5</v>
      </c>
      <c r="I2332" s="8">
        <v>4</v>
      </c>
      <c r="J2332" s="9">
        <v>4</v>
      </c>
      <c r="K2332" s="7">
        <v>0</v>
      </c>
      <c r="L2332" s="24">
        <f>+Tabla2[[#This Row],[Stock Inventario]]*Tabla2[[#This Row],[Coste LÃ­nea]]</f>
        <v>282402</v>
      </c>
      <c r="M2332" s="24">
        <f>+Tabla2[[#This Row],[Variación Stock]]*Tabla2[[#This Row],[Coste LÃ­nea]]</f>
        <v>0</v>
      </c>
      <c r="N2332" s="22" t="str">
        <f>+IF(Tabla2[[#This Row],[Variación Stock]]&gt;0,"Sobrante",IF(Tabla2[[#This Row],[Variación Stock]]&lt;0,"Faltante","Sin novedad"))</f>
        <v>Sin novedad</v>
      </c>
    </row>
    <row r="2333" spans="1:14" x14ac:dyDescent="0.25">
      <c r="A2333" s="11">
        <v>46037</v>
      </c>
      <c r="B2333" s="5" t="s">
        <v>336</v>
      </c>
      <c r="C2333" s="3" t="s">
        <v>337</v>
      </c>
      <c r="D2333" s="5" t="s">
        <v>118</v>
      </c>
      <c r="E2333" s="5" t="s">
        <v>112</v>
      </c>
      <c r="F2333" s="6" t="s">
        <v>308</v>
      </c>
      <c r="G2333" s="4" t="s">
        <v>81</v>
      </c>
      <c r="H2333" s="25">
        <v>15144</v>
      </c>
      <c r="I2333" s="8">
        <v>12</v>
      </c>
      <c r="J2333" s="9">
        <v>12</v>
      </c>
      <c r="K2333" s="7">
        <v>0</v>
      </c>
      <c r="L2333" s="24">
        <f>+Tabla2[[#This Row],[Stock Inventario]]*Tabla2[[#This Row],[Coste LÃ­nea]]</f>
        <v>181728</v>
      </c>
      <c r="M2333" s="24">
        <f>+Tabla2[[#This Row],[Variación Stock]]*Tabla2[[#This Row],[Coste LÃ­nea]]</f>
        <v>0</v>
      </c>
      <c r="N2333" s="22" t="str">
        <f>+IF(Tabla2[[#This Row],[Variación Stock]]&gt;0,"Sobrante",IF(Tabla2[[#This Row],[Variación Stock]]&lt;0,"Faltante","Sin novedad"))</f>
        <v>Sin novedad</v>
      </c>
    </row>
    <row r="2334" spans="1:14" x14ac:dyDescent="0.25">
      <c r="A2334" s="11">
        <v>46037</v>
      </c>
      <c r="B2334" s="5" t="s">
        <v>336</v>
      </c>
      <c r="C2334" s="3" t="s">
        <v>337</v>
      </c>
      <c r="D2334" s="5" t="s">
        <v>118</v>
      </c>
      <c r="E2334" s="5" t="s">
        <v>112</v>
      </c>
      <c r="F2334" s="6" t="s">
        <v>92</v>
      </c>
      <c r="G2334" s="4" t="s">
        <v>81</v>
      </c>
      <c r="H2334" s="25">
        <v>9700</v>
      </c>
      <c r="I2334" s="8">
        <v>15</v>
      </c>
      <c r="J2334" s="9">
        <v>15</v>
      </c>
      <c r="K2334" s="7">
        <v>0</v>
      </c>
      <c r="L2334" s="24">
        <f>+Tabla2[[#This Row],[Stock Inventario]]*Tabla2[[#This Row],[Coste LÃ­nea]]</f>
        <v>145500</v>
      </c>
      <c r="M2334" s="24">
        <f>+Tabla2[[#This Row],[Variación Stock]]*Tabla2[[#This Row],[Coste LÃ­nea]]</f>
        <v>0</v>
      </c>
      <c r="N2334" s="22" t="str">
        <f>+IF(Tabla2[[#This Row],[Variación Stock]]&gt;0,"Sobrante",IF(Tabla2[[#This Row],[Variación Stock]]&lt;0,"Faltante","Sin novedad"))</f>
        <v>Sin novedad</v>
      </c>
    </row>
    <row r="2335" spans="1:14" x14ac:dyDescent="0.25">
      <c r="A2335" s="11">
        <v>46037</v>
      </c>
      <c r="B2335" s="5" t="s">
        <v>336</v>
      </c>
      <c r="C2335" s="3" t="s">
        <v>337</v>
      </c>
      <c r="D2335" s="5" t="s">
        <v>118</v>
      </c>
      <c r="E2335" s="5" t="s">
        <v>112</v>
      </c>
      <c r="F2335" s="6" t="s">
        <v>186</v>
      </c>
      <c r="G2335" s="4" t="s">
        <v>2</v>
      </c>
      <c r="H2335" s="25">
        <v>48500</v>
      </c>
      <c r="I2335" s="8">
        <v>0</v>
      </c>
      <c r="J2335" s="9">
        <v>0</v>
      </c>
      <c r="K2335" s="7">
        <v>0</v>
      </c>
      <c r="L2335" s="24">
        <f>+Tabla2[[#This Row],[Stock Inventario]]*Tabla2[[#This Row],[Coste LÃ­nea]]</f>
        <v>0</v>
      </c>
      <c r="M2335" s="24">
        <f>+Tabla2[[#This Row],[Variación Stock]]*Tabla2[[#This Row],[Coste LÃ­nea]]</f>
        <v>0</v>
      </c>
      <c r="N2335" s="22" t="str">
        <f>+IF(Tabla2[[#This Row],[Variación Stock]]&gt;0,"Sobrante",IF(Tabla2[[#This Row],[Variación Stock]]&lt;0,"Faltante","Sin novedad"))</f>
        <v>Sin novedad</v>
      </c>
    </row>
    <row r="2336" spans="1:14" x14ac:dyDescent="0.25">
      <c r="A2336" s="11">
        <v>46037</v>
      </c>
      <c r="B2336" s="5" t="s">
        <v>336</v>
      </c>
      <c r="C2336" s="3" t="s">
        <v>337</v>
      </c>
      <c r="D2336" s="5" t="s">
        <v>118</v>
      </c>
      <c r="E2336" s="5" t="s">
        <v>112</v>
      </c>
      <c r="F2336" s="6" t="s">
        <v>309</v>
      </c>
      <c r="G2336" s="4" t="s">
        <v>2</v>
      </c>
      <c r="H2336" s="25">
        <v>83261</v>
      </c>
      <c r="I2336" s="8">
        <v>1</v>
      </c>
      <c r="J2336" s="9">
        <v>1</v>
      </c>
      <c r="K2336" s="7">
        <v>0</v>
      </c>
      <c r="L2336" s="24">
        <f>+Tabla2[[#This Row],[Stock Inventario]]*Tabla2[[#This Row],[Coste LÃ­nea]]</f>
        <v>83261</v>
      </c>
      <c r="M2336" s="24">
        <f>+Tabla2[[#This Row],[Variación Stock]]*Tabla2[[#This Row],[Coste LÃ­nea]]</f>
        <v>0</v>
      </c>
      <c r="N2336" s="22" t="str">
        <f>+IF(Tabla2[[#This Row],[Variación Stock]]&gt;0,"Sobrante",IF(Tabla2[[#This Row],[Variación Stock]]&lt;0,"Faltante","Sin novedad"))</f>
        <v>Sin novedad</v>
      </c>
    </row>
    <row r="2337" spans="1:14" x14ac:dyDescent="0.25">
      <c r="A2337" s="11">
        <v>46037</v>
      </c>
      <c r="B2337" s="5" t="s">
        <v>336</v>
      </c>
      <c r="C2337" s="3" t="s">
        <v>337</v>
      </c>
      <c r="D2337" s="5" t="s">
        <v>118</v>
      </c>
      <c r="E2337" s="5" t="s">
        <v>112</v>
      </c>
      <c r="F2337" s="6" t="s">
        <v>310</v>
      </c>
      <c r="G2337" s="4" t="s">
        <v>2</v>
      </c>
      <c r="H2337" s="25">
        <v>79309.523809499995</v>
      </c>
      <c r="I2337" s="8">
        <v>1</v>
      </c>
      <c r="J2337" s="9">
        <v>1</v>
      </c>
      <c r="K2337" s="7">
        <v>0</v>
      </c>
      <c r="L2337" s="24">
        <f>+Tabla2[[#This Row],[Stock Inventario]]*Tabla2[[#This Row],[Coste LÃ­nea]]</f>
        <v>79309.523809499995</v>
      </c>
      <c r="M2337" s="24">
        <f>+Tabla2[[#This Row],[Variación Stock]]*Tabla2[[#This Row],[Coste LÃ­nea]]</f>
        <v>0</v>
      </c>
      <c r="N2337" s="22" t="str">
        <f>+IF(Tabla2[[#This Row],[Variación Stock]]&gt;0,"Sobrante",IF(Tabla2[[#This Row],[Variación Stock]]&lt;0,"Faltante","Sin novedad"))</f>
        <v>Sin novedad</v>
      </c>
    </row>
    <row r="2338" spans="1:14" x14ac:dyDescent="0.25">
      <c r="A2338" s="11">
        <v>46037</v>
      </c>
      <c r="B2338" s="5" t="s">
        <v>336</v>
      </c>
      <c r="C2338" s="3" t="s">
        <v>337</v>
      </c>
      <c r="D2338" s="5" t="s">
        <v>118</v>
      </c>
      <c r="E2338" s="5" t="s">
        <v>112</v>
      </c>
      <c r="F2338" s="6" t="s">
        <v>311</v>
      </c>
      <c r="G2338" s="4" t="s">
        <v>2</v>
      </c>
      <c r="H2338" s="25">
        <v>79652</v>
      </c>
      <c r="I2338" s="8">
        <v>1</v>
      </c>
      <c r="J2338" s="9">
        <v>1</v>
      </c>
      <c r="K2338" s="7">
        <v>0</v>
      </c>
      <c r="L2338" s="24">
        <f>+Tabla2[[#This Row],[Stock Inventario]]*Tabla2[[#This Row],[Coste LÃ­nea]]</f>
        <v>79652</v>
      </c>
      <c r="M2338" s="24">
        <f>+Tabla2[[#This Row],[Variación Stock]]*Tabla2[[#This Row],[Coste LÃ­nea]]</f>
        <v>0</v>
      </c>
      <c r="N2338" s="22" t="str">
        <f>+IF(Tabla2[[#This Row],[Variación Stock]]&gt;0,"Sobrante",IF(Tabla2[[#This Row],[Variación Stock]]&lt;0,"Faltante","Sin novedad"))</f>
        <v>Sin novedad</v>
      </c>
    </row>
    <row r="2339" spans="1:14" x14ac:dyDescent="0.25">
      <c r="A2339" s="11">
        <v>46037</v>
      </c>
      <c r="B2339" s="5" t="s">
        <v>336</v>
      </c>
      <c r="C2339" s="3" t="s">
        <v>337</v>
      </c>
      <c r="D2339" s="5" t="s">
        <v>118</v>
      </c>
      <c r="E2339" s="5" t="s">
        <v>112</v>
      </c>
      <c r="F2339" s="6" t="s">
        <v>123</v>
      </c>
      <c r="G2339" s="4" t="s">
        <v>0</v>
      </c>
      <c r="H2339" s="25">
        <v>1842.78125</v>
      </c>
      <c r="I2339" s="8">
        <v>32</v>
      </c>
      <c r="J2339" s="9">
        <v>32</v>
      </c>
      <c r="K2339" s="7">
        <v>0</v>
      </c>
      <c r="L2339" s="24">
        <f>+Tabla2[[#This Row],[Stock Inventario]]*Tabla2[[#This Row],[Coste LÃ­nea]]</f>
        <v>58969</v>
      </c>
      <c r="M2339" s="24">
        <f>+Tabla2[[#This Row],[Variación Stock]]*Tabla2[[#This Row],[Coste LÃ­nea]]</f>
        <v>0</v>
      </c>
      <c r="N2339" s="22" t="str">
        <f>+IF(Tabla2[[#This Row],[Variación Stock]]&gt;0,"Sobrante",IF(Tabla2[[#This Row],[Variación Stock]]&lt;0,"Faltante","Sin novedad"))</f>
        <v>Sin novedad</v>
      </c>
    </row>
    <row r="2340" spans="1:14" hidden="1" x14ac:dyDescent="0.25">
      <c r="A2340" s="11">
        <v>46044</v>
      </c>
      <c r="B2340" s="5" t="s">
        <v>372</v>
      </c>
      <c r="C2340" s="3" t="s">
        <v>337</v>
      </c>
      <c r="D2340" s="5" t="s">
        <v>116</v>
      </c>
      <c r="E2340" s="5" t="s">
        <v>117</v>
      </c>
      <c r="F2340" s="6" t="s">
        <v>4</v>
      </c>
      <c r="G2340" s="4" t="s">
        <v>2</v>
      </c>
      <c r="H2340" s="25">
        <v>3250</v>
      </c>
      <c r="I2340" s="8">
        <v>18.5</v>
      </c>
      <c r="J2340" s="9">
        <v>21.5</v>
      </c>
      <c r="K2340" s="7">
        <v>3</v>
      </c>
      <c r="L2340" s="24">
        <f>+Tabla2[[#This Row],[Stock Inventario]]*Tabla2[[#This Row],[Coste LÃ­nea]]</f>
        <v>69875</v>
      </c>
      <c r="M2340" s="24">
        <f>+Tabla2[[#This Row],[Variación Stock]]*Tabla2[[#This Row],[Coste LÃ­nea]]</f>
        <v>9750</v>
      </c>
      <c r="N2340" s="22" t="str">
        <f>+IF(Tabla2[[#This Row],[Variación Stock]]&gt;0,"Sobrante",IF(Tabla2[[#This Row],[Variación Stock]]&lt;0,"Faltante","Sin novedad"))</f>
        <v>Sobrante</v>
      </c>
    </row>
    <row r="2341" spans="1:14" hidden="1" x14ac:dyDescent="0.25">
      <c r="A2341" s="11">
        <v>46037</v>
      </c>
      <c r="B2341" s="5" t="s">
        <v>336</v>
      </c>
      <c r="C2341" s="3" t="s">
        <v>337</v>
      </c>
      <c r="D2341" s="5" t="s">
        <v>116</v>
      </c>
      <c r="E2341" s="5" t="s">
        <v>117</v>
      </c>
      <c r="F2341" s="6" t="s">
        <v>79</v>
      </c>
      <c r="G2341" s="4" t="s">
        <v>2</v>
      </c>
      <c r="H2341" s="25">
        <v>4680</v>
      </c>
      <c r="I2341" s="8">
        <v>20.5</v>
      </c>
      <c r="J2341" s="9">
        <v>34</v>
      </c>
      <c r="K2341" s="7">
        <v>13.5</v>
      </c>
      <c r="L2341" s="24">
        <f>+Tabla2[[#This Row],[Stock Inventario]]*Tabla2[[#This Row],[Coste LÃ­nea]]</f>
        <v>159120</v>
      </c>
      <c r="M2341" s="24">
        <f>+Tabla2[[#This Row],[Variación Stock]]*Tabla2[[#This Row],[Coste LÃ­nea]]</f>
        <v>63180</v>
      </c>
      <c r="N2341" s="22" t="str">
        <f>+IF(Tabla2[[#This Row],[Variación Stock]]&gt;0,"Sobrante",IF(Tabla2[[#This Row],[Variación Stock]]&lt;0,"Faltante","Sin novedad"))</f>
        <v>Sobrante</v>
      </c>
    </row>
    <row r="2342" spans="1:14" hidden="1" x14ac:dyDescent="0.25">
      <c r="A2342" s="11">
        <v>46037</v>
      </c>
      <c r="B2342" s="5" t="s">
        <v>336</v>
      </c>
      <c r="C2342" s="3" t="s">
        <v>337</v>
      </c>
      <c r="D2342" s="5" t="s">
        <v>119</v>
      </c>
      <c r="E2342" s="5" t="s">
        <v>117</v>
      </c>
      <c r="F2342" s="6" t="s">
        <v>10</v>
      </c>
      <c r="G2342" s="4" t="s">
        <v>2</v>
      </c>
      <c r="H2342" s="25">
        <v>17250</v>
      </c>
      <c r="I2342" s="8">
        <v>6</v>
      </c>
      <c r="J2342" s="9">
        <v>6</v>
      </c>
      <c r="K2342" s="7">
        <v>0</v>
      </c>
      <c r="L2342" s="24">
        <f>+Tabla2[[#This Row],[Stock Inventario]]*Tabla2[[#This Row],[Coste LÃ­nea]]</f>
        <v>103500</v>
      </c>
      <c r="M2342" s="24">
        <f>+Tabla2[[#This Row],[Variación Stock]]*Tabla2[[#This Row],[Coste LÃ­nea]]</f>
        <v>0</v>
      </c>
      <c r="N2342" s="22" t="str">
        <f>+IF(Tabla2[[#This Row],[Variación Stock]]&gt;0,"Sobrante",IF(Tabla2[[#This Row],[Variación Stock]]&lt;0,"Faltante","Sin novedad"))</f>
        <v>Sin novedad</v>
      </c>
    </row>
    <row r="2343" spans="1:14" hidden="1" x14ac:dyDescent="0.25">
      <c r="A2343" s="11">
        <v>46044</v>
      </c>
      <c r="B2343" s="5" t="s">
        <v>372</v>
      </c>
      <c r="C2343" s="3" t="s">
        <v>337</v>
      </c>
      <c r="D2343" s="5" t="s">
        <v>116</v>
      </c>
      <c r="E2343" s="5" t="s">
        <v>117</v>
      </c>
      <c r="F2343" s="6" t="s">
        <v>79</v>
      </c>
      <c r="G2343" s="4" t="s">
        <v>2</v>
      </c>
      <c r="H2343" s="25">
        <v>4850</v>
      </c>
      <c r="I2343" s="8">
        <v>38.5</v>
      </c>
      <c r="J2343" s="9">
        <v>35</v>
      </c>
      <c r="K2343" s="7">
        <v>-3.5</v>
      </c>
      <c r="L2343" s="24">
        <f>+Tabla2[[#This Row],[Stock Inventario]]*Tabla2[[#This Row],[Coste LÃ­nea]]</f>
        <v>169750</v>
      </c>
      <c r="M2343" s="24">
        <f>+Tabla2[[#This Row],[Variación Stock]]*Tabla2[[#This Row],[Coste LÃ­nea]]</f>
        <v>-16975</v>
      </c>
      <c r="N2343" s="22" t="str">
        <f>+IF(Tabla2[[#This Row],[Variación Stock]]&gt;0,"Sobrante",IF(Tabla2[[#This Row],[Variación Stock]]&lt;0,"Faltante","Sin novedad"))</f>
        <v>Faltante</v>
      </c>
    </row>
    <row r="2344" spans="1:14" hidden="1" x14ac:dyDescent="0.25">
      <c r="A2344" s="11">
        <v>46044</v>
      </c>
      <c r="B2344" s="5" t="s">
        <v>372</v>
      </c>
      <c r="C2344" s="3" t="s">
        <v>337</v>
      </c>
      <c r="D2344" s="5" t="s">
        <v>119</v>
      </c>
      <c r="E2344" s="5" t="s">
        <v>117</v>
      </c>
      <c r="F2344" s="6" t="s">
        <v>95</v>
      </c>
      <c r="G2344" s="4" t="s">
        <v>1</v>
      </c>
      <c r="H2344" s="25">
        <v>39</v>
      </c>
      <c r="I2344" s="8">
        <v>13594.444299999999</v>
      </c>
      <c r="J2344" s="9">
        <v>9548</v>
      </c>
      <c r="K2344" s="7">
        <v>-4046.4443019999999</v>
      </c>
      <c r="L2344" s="24">
        <f>+Tabla2[[#This Row],[Stock Inventario]]*Tabla2[[#This Row],[Coste LÃ­nea]]</f>
        <v>372372</v>
      </c>
      <c r="M2344" s="24">
        <f>+Tabla2[[#This Row],[Variación Stock]]*Tabla2[[#This Row],[Coste LÃ­nea]]</f>
        <v>-157811.32777800001</v>
      </c>
      <c r="N2344" s="22" t="str">
        <f>+IF(Tabla2[[#This Row],[Variación Stock]]&gt;0,"Sobrante",IF(Tabla2[[#This Row],[Variación Stock]]&lt;0,"Faltante","Sin novedad"))</f>
        <v>Faltante</v>
      </c>
    </row>
    <row r="2345" spans="1:14" hidden="1" x14ac:dyDescent="0.25">
      <c r="A2345" s="11">
        <v>46037</v>
      </c>
      <c r="B2345" s="5" t="s">
        <v>336</v>
      </c>
      <c r="C2345" s="3" t="s">
        <v>337</v>
      </c>
      <c r="D2345" s="5" t="s">
        <v>119</v>
      </c>
      <c r="E2345" s="5" t="s">
        <v>117</v>
      </c>
      <c r="F2345" s="6" t="s">
        <v>95</v>
      </c>
      <c r="G2345" s="4" t="s">
        <v>1</v>
      </c>
      <c r="H2345" s="25">
        <v>39</v>
      </c>
      <c r="I2345" s="8">
        <v>24035.110700000001</v>
      </c>
      <c r="J2345" s="9">
        <v>17150</v>
      </c>
      <c r="K2345" s="7">
        <v>-6885.1107089999996</v>
      </c>
      <c r="L2345" s="24">
        <f>+Tabla2[[#This Row],[Stock Inventario]]*Tabla2[[#This Row],[Coste LÃ­nea]]</f>
        <v>668850</v>
      </c>
      <c r="M2345" s="24">
        <f>+Tabla2[[#This Row],[Variación Stock]]*Tabla2[[#This Row],[Coste LÃ­nea]]</f>
        <v>-268519.31765099999</v>
      </c>
      <c r="N2345" s="22" t="str">
        <f>+IF(Tabla2[[#This Row],[Variación Stock]]&gt;0,"Sobrante",IF(Tabla2[[#This Row],[Variación Stock]]&lt;0,"Faltante","Sin novedad"))</f>
        <v>Faltante</v>
      </c>
    </row>
    <row r="2346" spans="1:14" hidden="1" x14ac:dyDescent="0.25">
      <c r="A2346" s="11">
        <v>46037</v>
      </c>
      <c r="B2346" s="5" t="s">
        <v>336</v>
      </c>
      <c r="C2346" s="3" t="s">
        <v>337</v>
      </c>
      <c r="D2346" s="5" t="s">
        <v>119</v>
      </c>
      <c r="E2346" s="5" t="s">
        <v>117</v>
      </c>
      <c r="F2346" s="6" t="s">
        <v>94</v>
      </c>
      <c r="G2346" s="4" t="s">
        <v>2</v>
      </c>
      <c r="H2346" s="25">
        <v>1500</v>
      </c>
      <c r="I2346" s="8">
        <v>144</v>
      </c>
      <c r="J2346" s="9">
        <v>46</v>
      </c>
      <c r="K2346" s="7">
        <v>-98</v>
      </c>
      <c r="L2346" s="24">
        <f>+Tabla2[[#This Row],[Stock Inventario]]*Tabla2[[#This Row],[Coste LÃ­nea]]</f>
        <v>69000</v>
      </c>
      <c r="M2346" s="24">
        <f>+Tabla2[[#This Row],[Variación Stock]]*Tabla2[[#This Row],[Coste LÃ­nea]]</f>
        <v>-147000</v>
      </c>
      <c r="N2346" s="22" t="str">
        <f>+IF(Tabla2[[#This Row],[Variación Stock]]&gt;0,"Sobrante",IF(Tabla2[[#This Row],[Variación Stock]]&lt;0,"Faltante","Sin novedad"))</f>
        <v>Faltante</v>
      </c>
    </row>
    <row r="2347" spans="1:14" hidden="1" x14ac:dyDescent="0.25">
      <c r="A2347" s="11">
        <v>46044</v>
      </c>
      <c r="B2347" s="5" t="s">
        <v>372</v>
      </c>
      <c r="C2347" s="3" t="s">
        <v>337</v>
      </c>
      <c r="D2347" s="5" t="s">
        <v>119</v>
      </c>
      <c r="E2347" s="5" t="s">
        <v>117</v>
      </c>
      <c r="F2347" s="6" t="s">
        <v>94</v>
      </c>
      <c r="G2347" s="4" t="s">
        <v>2</v>
      </c>
      <c r="H2347" s="25">
        <v>1300</v>
      </c>
      <c r="I2347" s="8">
        <v>80</v>
      </c>
      <c r="J2347" s="9">
        <v>134</v>
      </c>
      <c r="K2347" s="7">
        <v>54</v>
      </c>
      <c r="L2347" s="24">
        <f>+Tabla2[[#This Row],[Stock Inventario]]*Tabla2[[#This Row],[Coste LÃ­nea]]</f>
        <v>174200</v>
      </c>
      <c r="M2347" s="24">
        <f>+Tabla2[[#This Row],[Variación Stock]]*Tabla2[[#This Row],[Coste LÃ­nea]]</f>
        <v>70200</v>
      </c>
      <c r="N2347" s="22" t="str">
        <f>+IF(Tabla2[[#This Row],[Variación Stock]]&gt;0,"Sobrante",IF(Tabla2[[#This Row],[Variación Stock]]&lt;0,"Faltante","Sin novedad"))</f>
        <v>Sobrante</v>
      </c>
    </row>
    <row r="2348" spans="1:14" hidden="1" x14ac:dyDescent="0.25">
      <c r="A2348" s="11">
        <v>46037</v>
      </c>
      <c r="B2348" s="5" t="s">
        <v>336</v>
      </c>
      <c r="C2348" s="3" t="s">
        <v>337</v>
      </c>
      <c r="D2348" s="5" t="s">
        <v>119</v>
      </c>
      <c r="E2348" s="5" t="s">
        <v>117</v>
      </c>
      <c r="F2348" s="6" t="s">
        <v>200</v>
      </c>
      <c r="G2348" s="4" t="s">
        <v>1</v>
      </c>
      <c r="H2348" s="25">
        <v>58.31</v>
      </c>
      <c r="I2348" s="8">
        <v>0</v>
      </c>
      <c r="J2348" s="9">
        <v>0</v>
      </c>
      <c r="K2348" s="7">
        <v>0</v>
      </c>
      <c r="L2348" s="24">
        <f>+Tabla2[[#This Row],[Stock Inventario]]*Tabla2[[#This Row],[Coste LÃ­nea]]</f>
        <v>0</v>
      </c>
      <c r="M2348" s="24">
        <f>+Tabla2[[#This Row],[Variación Stock]]*Tabla2[[#This Row],[Coste LÃ­nea]]</f>
        <v>0</v>
      </c>
      <c r="N2348" s="22" t="str">
        <f>+IF(Tabla2[[#This Row],[Variación Stock]]&gt;0,"Sobrante",IF(Tabla2[[#This Row],[Variación Stock]]&lt;0,"Faltante","Sin novedad"))</f>
        <v>Sin novedad</v>
      </c>
    </row>
    <row r="2349" spans="1:14" hidden="1" x14ac:dyDescent="0.25">
      <c r="A2349" s="11">
        <v>46037</v>
      </c>
      <c r="B2349" s="5" t="s">
        <v>336</v>
      </c>
      <c r="C2349" s="3" t="s">
        <v>337</v>
      </c>
      <c r="D2349" s="5" t="s">
        <v>119</v>
      </c>
      <c r="E2349" s="5" t="s">
        <v>117</v>
      </c>
      <c r="F2349" s="6" t="s">
        <v>11</v>
      </c>
      <c r="G2349" s="4" t="s">
        <v>2</v>
      </c>
      <c r="H2349" s="25">
        <v>415.976</v>
      </c>
      <c r="I2349" s="8">
        <v>17</v>
      </c>
      <c r="J2349" s="9">
        <v>123</v>
      </c>
      <c r="K2349" s="7">
        <v>106</v>
      </c>
      <c r="L2349" s="24">
        <f>+Tabla2[[#This Row],[Stock Inventario]]*Tabla2[[#This Row],[Coste LÃ­nea]]</f>
        <v>51165.048000000003</v>
      </c>
      <c r="M2349" s="24">
        <f>+Tabla2[[#This Row],[Variación Stock]]*Tabla2[[#This Row],[Coste LÃ­nea]]</f>
        <v>44093.455999999998</v>
      </c>
      <c r="N2349" s="22" t="str">
        <f>+IF(Tabla2[[#This Row],[Variación Stock]]&gt;0,"Sobrante",IF(Tabla2[[#This Row],[Variación Stock]]&lt;0,"Faltante","Sin novedad"))</f>
        <v>Sobrante</v>
      </c>
    </row>
    <row r="2350" spans="1:14" hidden="1" x14ac:dyDescent="0.25">
      <c r="A2350" s="11">
        <v>46044</v>
      </c>
      <c r="B2350" s="5" t="s">
        <v>372</v>
      </c>
      <c r="C2350" s="3" t="s">
        <v>337</v>
      </c>
      <c r="D2350" s="5" t="s">
        <v>119</v>
      </c>
      <c r="E2350" s="5" t="s">
        <v>117</v>
      </c>
      <c r="F2350" s="6" t="s">
        <v>11</v>
      </c>
      <c r="G2350" s="4" t="s">
        <v>2</v>
      </c>
      <c r="H2350" s="25">
        <v>415.97500000000002</v>
      </c>
      <c r="I2350" s="8">
        <v>-13</v>
      </c>
      <c r="J2350" s="9">
        <v>172</v>
      </c>
      <c r="K2350" s="7">
        <v>185</v>
      </c>
      <c r="L2350" s="24">
        <f>+Tabla2[[#This Row],[Stock Inventario]]*Tabla2[[#This Row],[Coste LÃ­nea]]</f>
        <v>71547.7</v>
      </c>
      <c r="M2350" s="24">
        <f>+Tabla2[[#This Row],[Variación Stock]]*Tabla2[[#This Row],[Coste LÃ­nea]]</f>
        <v>76955.375</v>
      </c>
      <c r="N2350" s="22" t="str">
        <f>+IF(Tabla2[[#This Row],[Variación Stock]]&gt;0,"Sobrante",IF(Tabla2[[#This Row],[Variación Stock]]&lt;0,"Faltante","Sin novedad"))</f>
        <v>Sobrante</v>
      </c>
    </row>
    <row r="2351" spans="1:14" hidden="1" x14ac:dyDescent="0.25">
      <c r="A2351" s="11">
        <v>46037</v>
      </c>
      <c r="B2351" s="5" t="s">
        <v>336</v>
      </c>
      <c r="C2351" s="3" t="s">
        <v>337</v>
      </c>
      <c r="D2351" s="5" t="s">
        <v>119</v>
      </c>
      <c r="E2351" s="5" t="s">
        <v>117</v>
      </c>
      <c r="F2351" s="6" t="s">
        <v>12</v>
      </c>
      <c r="G2351" s="4" t="s">
        <v>2</v>
      </c>
      <c r="H2351" s="25">
        <v>0</v>
      </c>
      <c r="I2351" s="8">
        <v>32</v>
      </c>
      <c r="J2351" s="9">
        <v>33</v>
      </c>
      <c r="K2351" s="7">
        <v>1</v>
      </c>
      <c r="L2351" s="24">
        <f>+Tabla2[[#This Row],[Stock Inventario]]*Tabla2[[#This Row],[Coste LÃ­nea]]</f>
        <v>0</v>
      </c>
      <c r="M2351" s="24">
        <f>+Tabla2[[#This Row],[Variación Stock]]*Tabla2[[#This Row],[Coste LÃ­nea]]</f>
        <v>0</v>
      </c>
      <c r="N2351" s="22" t="str">
        <f>+IF(Tabla2[[#This Row],[Variación Stock]]&gt;0,"Sobrante",IF(Tabla2[[#This Row],[Variación Stock]]&lt;0,"Faltante","Sin novedad"))</f>
        <v>Sobrante</v>
      </c>
    </row>
    <row r="2352" spans="1:14" hidden="1" x14ac:dyDescent="0.25">
      <c r="A2352" s="11">
        <v>46044</v>
      </c>
      <c r="B2352" s="5" t="s">
        <v>372</v>
      </c>
      <c r="C2352" s="3" t="s">
        <v>337</v>
      </c>
      <c r="D2352" s="5" t="s">
        <v>119</v>
      </c>
      <c r="E2352" s="5" t="s">
        <v>117</v>
      </c>
      <c r="F2352" s="6" t="s">
        <v>12</v>
      </c>
      <c r="G2352" s="4" t="s">
        <v>2</v>
      </c>
      <c r="H2352" s="25">
        <v>0</v>
      </c>
      <c r="I2352" s="8">
        <v>33</v>
      </c>
      <c r="J2352" s="9">
        <v>30</v>
      </c>
      <c r="K2352" s="7">
        <v>-3</v>
      </c>
      <c r="L2352" s="24">
        <f>+Tabla2[[#This Row],[Stock Inventario]]*Tabla2[[#This Row],[Coste LÃ­nea]]</f>
        <v>0</v>
      </c>
      <c r="M2352" s="24">
        <f>+Tabla2[[#This Row],[Variación Stock]]*Tabla2[[#This Row],[Coste LÃ­nea]]</f>
        <v>0</v>
      </c>
      <c r="N2352" s="22" t="str">
        <f>+IF(Tabla2[[#This Row],[Variación Stock]]&gt;0,"Sobrante",IF(Tabla2[[#This Row],[Variación Stock]]&lt;0,"Faltante","Sin novedad"))</f>
        <v>Faltante</v>
      </c>
    </row>
    <row r="2353" spans="1:14" hidden="1" x14ac:dyDescent="0.25">
      <c r="A2353" s="11">
        <v>46037</v>
      </c>
      <c r="B2353" s="5" t="s">
        <v>336</v>
      </c>
      <c r="C2353" s="3" t="s">
        <v>337</v>
      </c>
      <c r="D2353" s="5" t="s">
        <v>116</v>
      </c>
      <c r="E2353" s="5" t="s">
        <v>117</v>
      </c>
      <c r="F2353" s="6" t="s">
        <v>5</v>
      </c>
      <c r="G2353" s="4" t="s">
        <v>1</v>
      </c>
      <c r="H2353" s="25">
        <v>22</v>
      </c>
      <c r="I2353" s="8">
        <v>7233.3333000000002</v>
      </c>
      <c r="J2353" s="9">
        <v>3000</v>
      </c>
      <c r="K2353" s="7">
        <v>-4233.3333400000001</v>
      </c>
      <c r="L2353" s="24">
        <f>+Tabla2[[#This Row],[Stock Inventario]]*Tabla2[[#This Row],[Coste LÃ­nea]]</f>
        <v>66000</v>
      </c>
      <c r="M2353" s="24">
        <f>+Tabla2[[#This Row],[Variación Stock]]*Tabla2[[#This Row],[Coste LÃ­nea]]</f>
        <v>-93133.333480000001</v>
      </c>
      <c r="N2353" s="22" t="str">
        <f>+IF(Tabla2[[#This Row],[Variación Stock]]&gt;0,"Sobrante",IF(Tabla2[[#This Row],[Variación Stock]]&lt;0,"Faltante","Sin novedad"))</f>
        <v>Faltante</v>
      </c>
    </row>
    <row r="2354" spans="1:14" hidden="1" x14ac:dyDescent="0.25">
      <c r="A2354" s="11">
        <v>46037</v>
      </c>
      <c r="B2354" s="5" t="s">
        <v>336</v>
      </c>
      <c r="C2354" s="3" t="s">
        <v>337</v>
      </c>
      <c r="D2354" s="5" t="s">
        <v>120</v>
      </c>
      <c r="E2354" s="5" t="s">
        <v>117</v>
      </c>
      <c r="F2354" s="6" t="s">
        <v>315</v>
      </c>
      <c r="G2354" s="4" t="s">
        <v>2</v>
      </c>
      <c r="H2354" s="25">
        <v>2168.6496757</v>
      </c>
      <c r="I2354" s="8">
        <v>12</v>
      </c>
      <c r="J2354" s="9">
        <v>12</v>
      </c>
      <c r="K2354" s="7">
        <v>0</v>
      </c>
      <c r="L2354" s="24">
        <f>+Tabla2[[#This Row],[Stock Inventario]]*Tabla2[[#This Row],[Coste LÃ­nea]]</f>
        <v>26023.796108399998</v>
      </c>
      <c r="M2354" s="24">
        <f>+Tabla2[[#This Row],[Variación Stock]]*Tabla2[[#This Row],[Coste LÃ­nea]]</f>
        <v>0</v>
      </c>
      <c r="N2354" s="22" t="str">
        <f>+IF(Tabla2[[#This Row],[Variación Stock]]&gt;0,"Sobrante",IF(Tabla2[[#This Row],[Variación Stock]]&lt;0,"Faltante","Sin novedad"))</f>
        <v>Sin novedad</v>
      </c>
    </row>
    <row r="2355" spans="1:14" hidden="1" x14ac:dyDescent="0.25">
      <c r="A2355" s="11">
        <v>46044</v>
      </c>
      <c r="B2355" s="5" t="s">
        <v>372</v>
      </c>
      <c r="C2355" s="3" t="s">
        <v>337</v>
      </c>
      <c r="D2355" s="5" t="s">
        <v>116</v>
      </c>
      <c r="E2355" s="5" t="s">
        <v>117</v>
      </c>
      <c r="F2355" s="6" t="s">
        <v>5</v>
      </c>
      <c r="G2355" s="4" t="s">
        <v>1</v>
      </c>
      <c r="H2355" s="25">
        <v>22</v>
      </c>
      <c r="I2355" s="8">
        <v>-3200</v>
      </c>
      <c r="J2355" s="9">
        <v>0</v>
      </c>
      <c r="K2355" s="7">
        <v>3200</v>
      </c>
      <c r="L2355" s="24">
        <f>+Tabla2[[#This Row],[Stock Inventario]]*Tabla2[[#This Row],[Coste LÃ­nea]]</f>
        <v>0</v>
      </c>
      <c r="M2355" s="24">
        <f>+Tabla2[[#This Row],[Variación Stock]]*Tabla2[[#This Row],[Coste LÃ­nea]]</f>
        <v>70400</v>
      </c>
      <c r="N2355" s="22" t="str">
        <f>+IF(Tabla2[[#This Row],[Variación Stock]]&gt;0,"Sobrante",IF(Tabla2[[#This Row],[Variación Stock]]&lt;0,"Faltante","Sin novedad"))</f>
        <v>Sobrante</v>
      </c>
    </row>
    <row r="2356" spans="1:14" hidden="1" x14ac:dyDescent="0.25">
      <c r="A2356" s="11">
        <v>46037</v>
      </c>
      <c r="B2356" s="5" t="s">
        <v>336</v>
      </c>
      <c r="C2356" s="3" t="s">
        <v>337</v>
      </c>
      <c r="D2356" s="5" t="s">
        <v>119</v>
      </c>
      <c r="E2356" s="5" t="s">
        <v>117</v>
      </c>
      <c r="F2356" s="6" t="s">
        <v>93</v>
      </c>
      <c r="G2356" s="4" t="s">
        <v>1</v>
      </c>
      <c r="H2356" s="25">
        <v>60</v>
      </c>
      <c r="I2356" s="8">
        <v>6321.3333000000002</v>
      </c>
      <c r="J2356" s="9">
        <v>5791</v>
      </c>
      <c r="K2356" s="7">
        <v>-530.33332600000006</v>
      </c>
      <c r="L2356" s="24">
        <f>+Tabla2[[#This Row],[Stock Inventario]]*Tabla2[[#This Row],[Coste LÃ­nea]]</f>
        <v>347460</v>
      </c>
      <c r="M2356" s="24">
        <f>+Tabla2[[#This Row],[Variación Stock]]*Tabla2[[#This Row],[Coste LÃ­nea]]</f>
        <v>-31819.999560000004</v>
      </c>
      <c r="N2356" s="22" t="str">
        <f>+IF(Tabla2[[#This Row],[Variación Stock]]&gt;0,"Sobrante",IF(Tabla2[[#This Row],[Variación Stock]]&lt;0,"Faltante","Sin novedad"))</f>
        <v>Faltante</v>
      </c>
    </row>
    <row r="2357" spans="1:14" hidden="1" x14ac:dyDescent="0.25">
      <c r="A2357" s="11">
        <v>46044</v>
      </c>
      <c r="B2357" s="5" t="s">
        <v>372</v>
      </c>
      <c r="C2357" s="3" t="s">
        <v>337</v>
      </c>
      <c r="D2357" s="5" t="s">
        <v>119</v>
      </c>
      <c r="E2357" s="5" t="s">
        <v>117</v>
      </c>
      <c r="F2357" s="6" t="s">
        <v>93</v>
      </c>
      <c r="G2357" s="4" t="s">
        <v>1</v>
      </c>
      <c r="H2357" s="25">
        <v>54.545000000000002</v>
      </c>
      <c r="I2357" s="8">
        <v>5524.3333000000002</v>
      </c>
      <c r="J2357" s="9">
        <v>5467</v>
      </c>
      <c r="K2357" s="7">
        <v>-57.333316000000003</v>
      </c>
      <c r="L2357" s="24">
        <f>+Tabla2[[#This Row],[Stock Inventario]]*Tabla2[[#This Row],[Coste LÃ­nea]]</f>
        <v>298197.51500000001</v>
      </c>
      <c r="M2357" s="24">
        <f>+Tabla2[[#This Row],[Variación Stock]]*Tabla2[[#This Row],[Coste LÃ­nea]]</f>
        <v>-3127.2457212200002</v>
      </c>
      <c r="N2357" s="22" t="str">
        <f>+IF(Tabla2[[#This Row],[Variación Stock]]&gt;0,"Sobrante",IF(Tabla2[[#This Row],[Variación Stock]]&lt;0,"Faltante","Sin novedad"))</f>
        <v>Faltante</v>
      </c>
    </row>
    <row r="2358" spans="1:14" hidden="1" x14ac:dyDescent="0.25">
      <c r="A2358" s="11">
        <v>46044</v>
      </c>
      <c r="B2358" s="5" t="s">
        <v>372</v>
      </c>
      <c r="C2358" s="3" t="s">
        <v>337</v>
      </c>
      <c r="D2358" s="5" t="s">
        <v>116</v>
      </c>
      <c r="E2358" s="5" t="s">
        <v>117</v>
      </c>
      <c r="F2358" s="6" t="s">
        <v>7</v>
      </c>
      <c r="G2358" s="4" t="s">
        <v>2</v>
      </c>
      <c r="H2358" s="25">
        <v>12764.705882349999</v>
      </c>
      <c r="I2358" s="8">
        <v>19.64</v>
      </c>
      <c r="J2358" s="9">
        <v>38</v>
      </c>
      <c r="K2358" s="7">
        <v>18.36</v>
      </c>
      <c r="L2358" s="24">
        <f>+Tabla2[[#This Row],[Stock Inventario]]*Tabla2[[#This Row],[Coste LÃ­nea]]</f>
        <v>485058.82352929999</v>
      </c>
      <c r="M2358" s="24">
        <f>+Tabla2[[#This Row],[Variación Stock]]*Tabla2[[#This Row],[Coste LÃ­nea]]</f>
        <v>234359.99999994598</v>
      </c>
      <c r="N2358" s="22" t="str">
        <f>+IF(Tabla2[[#This Row],[Variación Stock]]&gt;0,"Sobrante",IF(Tabla2[[#This Row],[Variación Stock]]&lt;0,"Faltante","Sin novedad"))</f>
        <v>Sobrante</v>
      </c>
    </row>
    <row r="2359" spans="1:14" hidden="1" x14ac:dyDescent="0.25">
      <c r="A2359" s="11">
        <v>46037</v>
      </c>
      <c r="B2359" s="5" t="s">
        <v>336</v>
      </c>
      <c r="C2359" s="3" t="s">
        <v>337</v>
      </c>
      <c r="D2359" s="5" t="s">
        <v>120</v>
      </c>
      <c r="E2359" s="5" t="s">
        <v>117</v>
      </c>
      <c r="F2359" s="6" t="s">
        <v>312</v>
      </c>
      <c r="G2359" s="4" t="s">
        <v>1</v>
      </c>
      <c r="H2359" s="25">
        <v>66.842553050000006</v>
      </c>
      <c r="I2359" s="8">
        <v>-2680</v>
      </c>
      <c r="J2359" s="9">
        <v>0</v>
      </c>
      <c r="K2359" s="7">
        <v>2680</v>
      </c>
      <c r="L2359" s="24">
        <f>+Tabla2[[#This Row],[Stock Inventario]]*Tabla2[[#This Row],[Coste LÃ­nea]]</f>
        <v>0</v>
      </c>
      <c r="M2359" s="24">
        <f>+Tabla2[[#This Row],[Variación Stock]]*Tabla2[[#This Row],[Coste LÃ­nea]]</f>
        <v>179138.04217400003</v>
      </c>
      <c r="N2359" s="22" t="str">
        <f>+IF(Tabla2[[#This Row],[Variación Stock]]&gt;0,"Sobrante",IF(Tabla2[[#This Row],[Variación Stock]]&lt;0,"Faltante","Sin novedad"))</f>
        <v>Sobrante</v>
      </c>
    </row>
    <row r="2360" spans="1:14" hidden="1" x14ac:dyDescent="0.25">
      <c r="A2360" s="11">
        <v>46044</v>
      </c>
      <c r="B2360" s="5" t="s">
        <v>372</v>
      </c>
      <c r="C2360" s="3" t="s">
        <v>337</v>
      </c>
      <c r="D2360" s="5" t="s">
        <v>120</v>
      </c>
      <c r="E2360" s="5" t="s">
        <v>117</v>
      </c>
      <c r="F2360" s="6" t="s">
        <v>312</v>
      </c>
      <c r="G2360" s="4" t="s">
        <v>1</v>
      </c>
      <c r="H2360" s="25">
        <v>78.540000000000006</v>
      </c>
      <c r="I2360" s="8">
        <v>1614</v>
      </c>
      <c r="J2360" s="9">
        <v>742</v>
      </c>
      <c r="K2360" s="7">
        <v>-872</v>
      </c>
      <c r="L2360" s="24">
        <f>+Tabla2[[#This Row],[Stock Inventario]]*Tabla2[[#This Row],[Coste LÃ­nea]]</f>
        <v>58276.680000000008</v>
      </c>
      <c r="M2360" s="24">
        <f>+Tabla2[[#This Row],[Variación Stock]]*Tabla2[[#This Row],[Coste LÃ­nea]]</f>
        <v>-68486.880000000005</v>
      </c>
      <c r="N2360" s="22" t="str">
        <f>+IF(Tabla2[[#This Row],[Variación Stock]]&gt;0,"Sobrante",IF(Tabla2[[#This Row],[Variación Stock]]&lt;0,"Faltante","Sin novedad"))</f>
        <v>Faltante</v>
      </c>
    </row>
    <row r="2361" spans="1:14" hidden="1" x14ac:dyDescent="0.25">
      <c r="A2361" s="11">
        <v>46037</v>
      </c>
      <c r="B2361" s="5" t="s">
        <v>336</v>
      </c>
      <c r="C2361" s="3" t="s">
        <v>337</v>
      </c>
      <c r="D2361" s="5" t="s">
        <v>120</v>
      </c>
      <c r="E2361" s="5" t="s">
        <v>117</v>
      </c>
      <c r="F2361" s="6" t="s">
        <v>313</v>
      </c>
      <c r="G2361" s="4" t="s">
        <v>1</v>
      </c>
      <c r="H2361" s="25">
        <v>32.376289980000003</v>
      </c>
      <c r="I2361" s="8">
        <v>8758</v>
      </c>
      <c r="J2361" s="9">
        <v>212</v>
      </c>
      <c r="K2361" s="7">
        <v>-8546</v>
      </c>
      <c r="L2361" s="24">
        <f>+Tabla2[[#This Row],[Stock Inventario]]*Tabla2[[#This Row],[Coste LÃ­nea]]</f>
        <v>6863.773475760001</v>
      </c>
      <c r="M2361" s="24">
        <f>+Tabla2[[#This Row],[Variación Stock]]*Tabla2[[#This Row],[Coste LÃ­nea]]</f>
        <v>-276687.77416908002</v>
      </c>
      <c r="N2361" s="22" t="str">
        <f>+IF(Tabla2[[#This Row],[Variación Stock]]&gt;0,"Sobrante",IF(Tabla2[[#This Row],[Variación Stock]]&lt;0,"Faltante","Sin novedad"))</f>
        <v>Faltante</v>
      </c>
    </row>
    <row r="2362" spans="1:14" hidden="1" x14ac:dyDescent="0.25">
      <c r="A2362" s="11">
        <v>46044</v>
      </c>
      <c r="B2362" s="5" t="s">
        <v>372</v>
      </c>
      <c r="C2362" s="3" t="s">
        <v>337</v>
      </c>
      <c r="D2362" s="5" t="s">
        <v>120</v>
      </c>
      <c r="E2362" s="5" t="s">
        <v>117</v>
      </c>
      <c r="F2362" s="6" t="s">
        <v>313</v>
      </c>
      <c r="G2362" s="4" t="s">
        <v>1</v>
      </c>
      <c r="H2362" s="25">
        <v>38.537011829999997</v>
      </c>
      <c r="I2362" s="8">
        <v>2802</v>
      </c>
      <c r="J2362" s="9">
        <v>994</v>
      </c>
      <c r="K2362" s="7">
        <v>-1808</v>
      </c>
      <c r="L2362" s="24">
        <f>+Tabla2[[#This Row],[Stock Inventario]]*Tabla2[[#This Row],[Coste LÃ­nea]]</f>
        <v>38305.789759020001</v>
      </c>
      <c r="M2362" s="24">
        <f>+Tabla2[[#This Row],[Variación Stock]]*Tabla2[[#This Row],[Coste LÃ­nea]]</f>
        <v>-69674.917388639995</v>
      </c>
      <c r="N2362" s="22" t="str">
        <f>+IF(Tabla2[[#This Row],[Variación Stock]]&gt;0,"Sobrante",IF(Tabla2[[#This Row],[Variación Stock]]&lt;0,"Faltante","Sin novedad"))</f>
        <v>Faltante</v>
      </c>
    </row>
    <row r="2363" spans="1:14" hidden="1" x14ac:dyDescent="0.25">
      <c r="A2363" s="11">
        <v>46037</v>
      </c>
      <c r="B2363" s="5" t="s">
        <v>336</v>
      </c>
      <c r="C2363" s="3" t="s">
        <v>337</v>
      </c>
      <c r="D2363" s="5" t="s">
        <v>323</v>
      </c>
      <c r="E2363" s="5" t="s">
        <v>117</v>
      </c>
      <c r="F2363" s="6" t="s">
        <v>324</v>
      </c>
      <c r="G2363" s="4" t="s">
        <v>2</v>
      </c>
      <c r="H2363" s="25">
        <v>9211.16803282</v>
      </c>
      <c r="I2363" s="8">
        <v>14</v>
      </c>
      <c r="J2363" s="9">
        <v>19</v>
      </c>
      <c r="K2363" s="7">
        <v>5</v>
      </c>
      <c r="L2363" s="24">
        <f>+Tabla2[[#This Row],[Stock Inventario]]*Tabla2[[#This Row],[Coste LÃ­nea]]</f>
        <v>175012.19262357999</v>
      </c>
      <c r="M2363" s="24">
        <f>+Tabla2[[#This Row],[Variación Stock]]*Tabla2[[#This Row],[Coste LÃ­nea]]</f>
        <v>46055.840164100002</v>
      </c>
      <c r="N2363" s="22" t="str">
        <f>+IF(Tabla2[[#This Row],[Variación Stock]]&gt;0,"Sobrante",IF(Tabla2[[#This Row],[Variación Stock]]&lt;0,"Faltante","Sin novedad"))</f>
        <v>Sobrante</v>
      </c>
    </row>
    <row r="2364" spans="1:14" hidden="1" x14ac:dyDescent="0.25">
      <c r="A2364" s="11">
        <v>46044</v>
      </c>
      <c r="B2364" s="5" t="s">
        <v>372</v>
      </c>
      <c r="C2364" s="3" t="s">
        <v>337</v>
      </c>
      <c r="D2364" s="5" t="s">
        <v>323</v>
      </c>
      <c r="E2364" s="5" t="s">
        <v>117</v>
      </c>
      <c r="F2364" s="6" t="s">
        <v>324</v>
      </c>
      <c r="G2364" s="4" t="s">
        <v>2</v>
      </c>
      <c r="H2364" s="25">
        <v>4832.9288793100004</v>
      </c>
      <c r="I2364" s="8">
        <v>17</v>
      </c>
      <c r="J2364" s="9">
        <v>12</v>
      </c>
      <c r="K2364" s="7">
        <v>-5</v>
      </c>
      <c r="L2364" s="24">
        <f>+Tabla2[[#This Row],[Stock Inventario]]*Tabla2[[#This Row],[Coste LÃ­nea]]</f>
        <v>57995.146551720005</v>
      </c>
      <c r="M2364" s="24">
        <f>+Tabla2[[#This Row],[Variación Stock]]*Tabla2[[#This Row],[Coste LÃ­nea]]</f>
        <v>-24164.64439655</v>
      </c>
      <c r="N2364" s="22" t="str">
        <f>+IF(Tabla2[[#This Row],[Variación Stock]]&gt;0,"Sobrante",IF(Tabla2[[#This Row],[Variación Stock]]&lt;0,"Faltante","Sin novedad"))</f>
        <v>Faltante</v>
      </c>
    </row>
    <row r="2365" spans="1:14" hidden="1" x14ac:dyDescent="0.25">
      <c r="A2365" s="11">
        <v>46037</v>
      </c>
      <c r="B2365" s="5" t="s">
        <v>336</v>
      </c>
      <c r="C2365" s="3" t="s">
        <v>337</v>
      </c>
      <c r="D2365" s="5" t="s">
        <v>120</v>
      </c>
      <c r="E2365" s="5" t="s">
        <v>117</v>
      </c>
      <c r="F2365" s="6" t="s">
        <v>321</v>
      </c>
      <c r="G2365" s="4" t="s">
        <v>2</v>
      </c>
      <c r="H2365" s="25">
        <v>16272.235458220001</v>
      </c>
      <c r="I2365" s="8">
        <v>9</v>
      </c>
      <c r="J2365" s="9">
        <v>14</v>
      </c>
      <c r="K2365" s="7">
        <v>5</v>
      </c>
      <c r="L2365" s="24">
        <f>+Tabla2[[#This Row],[Stock Inventario]]*Tabla2[[#This Row],[Coste LÃ­nea]]</f>
        <v>227811.29641508</v>
      </c>
      <c r="M2365" s="24">
        <f>+Tabla2[[#This Row],[Variación Stock]]*Tabla2[[#This Row],[Coste LÃ­nea]]</f>
        <v>81361.177291100001</v>
      </c>
      <c r="N2365" s="22" t="str">
        <f>+IF(Tabla2[[#This Row],[Variación Stock]]&gt;0,"Sobrante",IF(Tabla2[[#This Row],[Variación Stock]]&lt;0,"Faltante","Sin novedad"))</f>
        <v>Sobrante</v>
      </c>
    </row>
    <row r="2366" spans="1:14" hidden="1" x14ac:dyDescent="0.25">
      <c r="A2366" s="11">
        <v>46044</v>
      </c>
      <c r="B2366" s="5" t="s">
        <v>372</v>
      </c>
      <c r="C2366" s="3" t="s">
        <v>337</v>
      </c>
      <c r="D2366" s="5" t="s">
        <v>120</v>
      </c>
      <c r="E2366" s="5" t="s">
        <v>117</v>
      </c>
      <c r="F2366" s="6" t="s">
        <v>321</v>
      </c>
      <c r="G2366" s="4" t="s">
        <v>2</v>
      </c>
      <c r="H2366" s="25">
        <v>16080.436960970001</v>
      </c>
      <c r="I2366" s="8">
        <v>16</v>
      </c>
      <c r="J2366" s="9">
        <v>11</v>
      </c>
      <c r="K2366" s="7">
        <v>-5</v>
      </c>
      <c r="L2366" s="24">
        <f>+Tabla2[[#This Row],[Stock Inventario]]*Tabla2[[#This Row],[Coste LÃ­nea]]</f>
        <v>176884.80657067001</v>
      </c>
      <c r="M2366" s="24">
        <f>+Tabla2[[#This Row],[Variación Stock]]*Tabla2[[#This Row],[Coste LÃ­nea]]</f>
        <v>-80402.184804849996</v>
      </c>
      <c r="N2366" s="22" t="str">
        <f>+IF(Tabla2[[#This Row],[Variación Stock]]&gt;0,"Sobrante",IF(Tabla2[[#This Row],[Variación Stock]]&lt;0,"Faltante","Sin novedad"))</f>
        <v>Faltante</v>
      </c>
    </row>
    <row r="2367" spans="1:14" hidden="1" x14ac:dyDescent="0.25">
      <c r="A2367" s="11">
        <v>46037</v>
      </c>
      <c r="B2367" s="5" t="s">
        <v>336</v>
      </c>
      <c r="C2367" s="3" t="s">
        <v>337</v>
      </c>
      <c r="D2367" s="5" t="s">
        <v>120</v>
      </c>
      <c r="E2367" s="5" t="s">
        <v>117</v>
      </c>
      <c r="F2367" s="6" t="s">
        <v>314</v>
      </c>
      <c r="G2367" s="4" t="s">
        <v>2</v>
      </c>
      <c r="H2367" s="25">
        <v>776.49056369000004</v>
      </c>
      <c r="I2367" s="8">
        <v>-16</v>
      </c>
      <c r="J2367" s="9">
        <v>80</v>
      </c>
      <c r="K2367" s="7">
        <v>96</v>
      </c>
      <c r="L2367" s="24">
        <f>+Tabla2[[#This Row],[Stock Inventario]]*Tabla2[[#This Row],[Coste LÃ­nea]]</f>
        <v>62119.245095200007</v>
      </c>
      <c r="M2367" s="24">
        <f>+Tabla2[[#This Row],[Variación Stock]]*Tabla2[[#This Row],[Coste LÃ­nea]]</f>
        <v>74543.094114239997</v>
      </c>
      <c r="N2367" s="22" t="str">
        <f>+IF(Tabla2[[#This Row],[Variación Stock]]&gt;0,"Sobrante",IF(Tabla2[[#This Row],[Variación Stock]]&lt;0,"Faltante","Sin novedad"))</f>
        <v>Sobrante</v>
      </c>
    </row>
    <row r="2368" spans="1:14" hidden="1" x14ac:dyDescent="0.25">
      <c r="A2368" s="11">
        <v>46044</v>
      </c>
      <c r="B2368" s="5" t="s">
        <v>372</v>
      </c>
      <c r="C2368" s="3" t="s">
        <v>337</v>
      </c>
      <c r="D2368" s="5" t="s">
        <v>120</v>
      </c>
      <c r="E2368" s="5" t="s">
        <v>117</v>
      </c>
      <c r="F2368" s="6" t="s">
        <v>314</v>
      </c>
      <c r="G2368" s="4" t="s">
        <v>2</v>
      </c>
      <c r="H2368" s="25">
        <v>656.61771185999999</v>
      </c>
      <c r="I2368" s="8">
        <v>64</v>
      </c>
      <c r="J2368" s="9">
        <v>62</v>
      </c>
      <c r="K2368" s="7">
        <v>-2</v>
      </c>
      <c r="L2368" s="24">
        <f>+Tabla2[[#This Row],[Stock Inventario]]*Tabla2[[#This Row],[Coste LÃ­nea]]</f>
        <v>40710.298135320001</v>
      </c>
      <c r="M2368" s="24">
        <f>+Tabla2[[#This Row],[Variación Stock]]*Tabla2[[#This Row],[Coste LÃ­nea]]</f>
        <v>-1313.23542372</v>
      </c>
      <c r="N2368" s="22" t="str">
        <f>+IF(Tabla2[[#This Row],[Variación Stock]]&gt;0,"Sobrante",IF(Tabla2[[#This Row],[Variación Stock]]&lt;0,"Faltante","Sin novedad"))</f>
        <v>Faltante</v>
      </c>
    </row>
    <row r="2369" spans="1:14" hidden="1" x14ac:dyDescent="0.25">
      <c r="A2369" s="11">
        <v>46037</v>
      </c>
      <c r="B2369" s="5" t="s">
        <v>336</v>
      </c>
      <c r="C2369" s="3" t="s">
        <v>337</v>
      </c>
      <c r="D2369" s="5" t="s">
        <v>323</v>
      </c>
      <c r="E2369" s="5" t="s">
        <v>117</v>
      </c>
      <c r="F2369" s="6" t="s">
        <v>325</v>
      </c>
      <c r="G2369" s="4" t="s">
        <v>2</v>
      </c>
      <c r="H2369" s="25">
        <v>2050.0821666000002</v>
      </c>
      <c r="I2369" s="8">
        <v>14</v>
      </c>
      <c r="J2369" s="9">
        <v>50</v>
      </c>
      <c r="K2369" s="7">
        <v>36</v>
      </c>
      <c r="L2369" s="24">
        <f>+Tabla2[[#This Row],[Stock Inventario]]*Tabla2[[#This Row],[Coste LÃ­nea]]</f>
        <v>102504.10833</v>
      </c>
      <c r="M2369" s="24">
        <f>+Tabla2[[#This Row],[Variación Stock]]*Tabla2[[#This Row],[Coste LÃ­nea]]</f>
        <v>73802.95799760001</v>
      </c>
      <c r="N2369" s="22" t="str">
        <f>+IF(Tabla2[[#This Row],[Variación Stock]]&gt;0,"Sobrante",IF(Tabla2[[#This Row],[Variación Stock]]&lt;0,"Faltante","Sin novedad"))</f>
        <v>Sobrante</v>
      </c>
    </row>
    <row r="2370" spans="1:14" x14ac:dyDescent="0.25">
      <c r="A2370" s="11">
        <v>46037</v>
      </c>
      <c r="B2370" s="5" t="s">
        <v>336</v>
      </c>
      <c r="C2370" s="3" t="s">
        <v>337</v>
      </c>
      <c r="D2370" s="5" t="s">
        <v>121</v>
      </c>
      <c r="E2370" s="5" t="s">
        <v>112</v>
      </c>
      <c r="F2370" s="6" t="s">
        <v>331</v>
      </c>
      <c r="G2370" s="4" t="s">
        <v>0</v>
      </c>
      <c r="H2370" s="25">
        <v>95</v>
      </c>
      <c r="I2370" s="8">
        <v>29</v>
      </c>
      <c r="J2370" s="9">
        <v>29</v>
      </c>
      <c r="K2370" s="7">
        <v>0</v>
      </c>
      <c r="L2370" s="24">
        <f>+Tabla2[[#This Row],[Stock Inventario]]*Tabla2[[#This Row],[Coste LÃ­nea]]</f>
        <v>2755</v>
      </c>
      <c r="M2370" s="24">
        <f>+Tabla2[[#This Row],[Variación Stock]]*Tabla2[[#This Row],[Coste LÃ­nea]]</f>
        <v>0</v>
      </c>
      <c r="N2370" s="22" t="str">
        <f>+IF(Tabla2[[#This Row],[Variación Stock]]&gt;0,"Sobrante",IF(Tabla2[[#This Row],[Variación Stock]]&lt;0,"Faltante","Sin novedad"))</f>
        <v>Sin novedad</v>
      </c>
    </row>
    <row r="2371" spans="1:14" x14ac:dyDescent="0.25">
      <c r="A2371" s="11">
        <v>46037</v>
      </c>
      <c r="B2371" s="5" t="s">
        <v>336</v>
      </c>
      <c r="C2371" s="3" t="s">
        <v>337</v>
      </c>
      <c r="D2371" s="5" t="s">
        <v>114</v>
      </c>
      <c r="E2371" s="5" t="s">
        <v>112</v>
      </c>
      <c r="F2371" s="6" t="s">
        <v>69</v>
      </c>
      <c r="G2371" s="4" t="s">
        <v>2</v>
      </c>
      <c r="H2371" s="25">
        <v>5133.7083333299997</v>
      </c>
      <c r="I2371" s="8">
        <v>29.12</v>
      </c>
      <c r="J2371" s="9">
        <v>24</v>
      </c>
      <c r="K2371" s="7">
        <v>-5.12</v>
      </c>
      <c r="L2371" s="24">
        <f>+Tabla2[[#This Row],[Stock Inventario]]*Tabla2[[#This Row],[Coste LÃ­nea]]</f>
        <v>123208.99999991999</v>
      </c>
      <c r="M2371" s="24">
        <f>+Tabla2[[#This Row],[Variación Stock]]*Tabla2[[#This Row],[Coste LÃ­nea]]</f>
        <v>-26284.5866666496</v>
      </c>
      <c r="N2371" s="22" t="str">
        <f>+IF(Tabla2[[#This Row],[Variación Stock]]&gt;0,"Sobrante",IF(Tabla2[[#This Row],[Variación Stock]]&lt;0,"Faltante","Sin novedad"))</f>
        <v>Faltante</v>
      </c>
    </row>
    <row r="2372" spans="1:14" x14ac:dyDescent="0.25">
      <c r="A2372" s="11">
        <v>46044</v>
      </c>
      <c r="B2372" s="5" t="s">
        <v>372</v>
      </c>
      <c r="C2372" s="3" t="s">
        <v>337</v>
      </c>
      <c r="D2372" s="5" t="s">
        <v>114</v>
      </c>
      <c r="E2372" s="5" t="s">
        <v>112</v>
      </c>
      <c r="F2372" s="6" t="s">
        <v>69</v>
      </c>
      <c r="G2372" s="4" t="s">
        <v>2</v>
      </c>
      <c r="H2372" s="25">
        <v>5133.6666666700003</v>
      </c>
      <c r="I2372" s="8">
        <v>28.41</v>
      </c>
      <c r="J2372" s="9">
        <v>26</v>
      </c>
      <c r="K2372" s="7">
        <v>-2.41</v>
      </c>
      <c r="L2372" s="24">
        <f>+Tabla2[[#This Row],[Stock Inventario]]*Tabla2[[#This Row],[Coste LÃ­nea]]</f>
        <v>133475.33333342001</v>
      </c>
      <c r="M2372" s="24">
        <f>+Tabla2[[#This Row],[Variación Stock]]*Tabla2[[#This Row],[Coste LÃ­nea]]</f>
        <v>-12372.136666674702</v>
      </c>
      <c r="N2372" s="22" t="str">
        <f>+IF(Tabla2[[#This Row],[Variación Stock]]&gt;0,"Sobrante",IF(Tabla2[[#This Row],[Variación Stock]]&lt;0,"Faltante","Sin novedad"))</f>
        <v>Faltante</v>
      </c>
    </row>
    <row r="2373" spans="1:14" x14ac:dyDescent="0.25">
      <c r="A2373" s="11">
        <v>46037</v>
      </c>
      <c r="B2373" s="5" t="s">
        <v>336</v>
      </c>
      <c r="C2373" s="3" t="s">
        <v>337</v>
      </c>
      <c r="D2373" s="5" t="s">
        <v>111</v>
      </c>
      <c r="E2373" s="5" t="s">
        <v>112</v>
      </c>
      <c r="F2373" s="6" t="s">
        <v>24</v>
      </c>
      <c r="G2373" s="4" t="s">
        <v>0</v>
      </c>
      <c r="H2373" s="25">
        <v>3359.40909091</v>
      </c>
      <c r="I2373" s="8">
        <v>24.02</v>
      </c>
      <c r="J2373" s="9">
        <v>26</v>
      </c>
      <c r="K2373" s="7">
        <v>1.98</v>
      </c>
      <c r="L2373" s="24">
        <f>+Tabla2[[#This Row],[Stock Inventario]]*Tabla2[[#This Row],[Coste LÃ­nea]]</f>
        <v>87344.63636366</v>
      </c>
      <c r="M2373" s="24">
        <f>+Tabla2[[#This Row],[Variación Stock]]*Tabla2[[#This Row],[Coste LÃ­nea]]</f>
        <v>6651.6300000018</v>
      </c>
      <c r="N2373" s="22" t="str">
        <f>+IF(Tabla2[[#This Row],[Variación Stock]]&gt;0,"Sobrante",IF(Tabla2[[#This Row],[Variación Stock]]&lt;0,"Faltante","Sin novedad"))</f>
        <v>Sobrante</v>
      </c>
    </row>
    <row r="2374" spans="1:14" x14ac:dyDescent="0.25">
      <c r="A2374" s="11">
        <v>46037</v>
      </c>
      <c r="B2374" s="5" t="s">
        <v>336</v>
      </c>
      <c r="C2374" s="3" t="s">
        <v>337</v>
      </c>
      <c r="D2374" s="5" t="s">
        <v>111</v>
      </c>
      <c r="E2374" s="5" t="s">
        <v>112</v>
      </c>
      <c r="F2374" s="6" t="s">
        <v>39</v>
      </c>
      <c r="G2374" s="4" t="s">
        <v>0</v>
      </c>
      <c r="H2374" s="25">
        <v>9924</v>
      </c>
      <c r="I2374" s="8">
        <v>12</v>
      </c>
      <c r="J2374" s="9">
        <v>14</v>
      </c>
      <c r="K2374" s="7">
        <v>2</v>
      </c>
      <c r="L2374" s="24">
        <f>+Tabla2[[#This Row],[Stock Inventario]]*Tabla2[[#This Row],[Coste LÃ­nea]]</f>
        <v>138936</v>
      </c>
      <c r="M2374" s="24">
        <f>+Tabla2[[#This Row],[Variación Stock]]*Tabla2[[#This Row],[Coste LÃ­nea]]</f>
        <v>19848</v>
      </c>
      <c r="N2374" s="22" t="str">
        <f>+IF(Tabla2[[#This Row],[Variación Stock]]&gt;0,"Sobrante",IF(Tabla2[[#This Row],[Variación Stock]]&lt;0,"Faltante","Sin novedad"))</f>
        <v>Sobrante</v>
      </c>
    </row>
    <row r="2375" spans="1:14" x14ac:dyDescent="0.25">
      <c r="A2375" s="11">
        <v>46037</v>
      </c>
      <c r="B2375" s="5" t="s">
        <v>336</v>
      </c>
      <c r="C2375" s="3" t="s">
        <v>337</v>
      </c>
      <c r="D2375" s="5" t="s">
        <v>122</v>
      </c>
      <c r="E2375" s="5" t="s">
        <v>112</v>
      </c>
      <c r="F2375" s="6" t="s">
        <v>97</v>
      </c>
      <c r="G2375" s="4" t="s">
        <v>2</v>
      </c>
      <c r="H2375" s="25">
        <v>1234.3916666699999</v>
      </c>
      <c r="I2375" s="8">
        <v>100</v>
      </c>
      <c r="J2375" s="9">
        <v>100</v>
      </c>
      <c r="K2375" s="7">
        <v>0</v>
      </c>
      <c r="L2375" s="24">
        <f>+Tabla2[[#This Row],[Stock Inventario]]*Tabla2[[#This Row],[Coste LÃ­nea]]</f>
        <v>123439.166667</v>
      </c>
      <c r="M2375" s="24">
        <f>+Tabla2[[#This Row],[Variación Stock]]*Tabla2[[#This Row],[Coste LÃ­nea]]</f>
        <v>0</v>
      </c>
      <c r="N2375" s="22" t="str">
        <f>+IF(Tabla2[[#This Row],[Variación Stock]]&gt;0,"Sobrante",IF(Tabla2[[#This Row],[Variación Stock]]&lt;0,"Faltante","Sin novedad"))</f>
        <v>Sin novedad</v>
      </c>
    </row>
    <row r="2376" spans="1:14" x14ac:dyDescent="0.25">
      <c r="A2376" s="11">
        <v>46037</v>
      </c>
      <c r="B2376" s="5" t="s">
        <v>336</v>
      </c>
      <c r="C2376" s="3" t="s">
        <v>337</v>
      </c>
      <c r="D2376" s="5" t="s">
        <v>122</v>
      </c>
      <c r="E2376" s="5" t="s">
        <v>112</v>
      </c>
      <c r="F2376" s="6" t="s">
        <v>98</v>
      </c>
      <c r="G2376" s="4" t="s">
        <v>2</v>
      </c>
      <c r="H2376" s="25">
        <v>1654.21666667</v>
      </c>
      <c r="I2376" s="8">
        <v>134</v>
      </c>
      <c r="J2376" s="9">
        <v>134</v>
      </c>
      <c r="K2376" s="7">
        <v>0</v>
      </c>
      <c r="L2376" s="24">
        <f>+Tabla2[[#This Row],[Stock Inventario]]*Tabla2[[#This Row],[Coste LÃ­nea]]</f>
        <v>221665.03333378001</v>
      </c>
      <c r="M2376" s="24">
        <f>+Tabla2[[#This Row],[Variación Stock]]*Tabla2[[#This Row],[Coste LÃ­nea]]</f>
        <v>0</v>
      </c>
      <c r="N2376" s="22" t="str">
        <f>+IF(Tabla2[[#This Row],[Variación Stock]]&gt;0,"Sobrante",IF(Tabla2[[#This Row],[Variación Stock]]&lt;0,"Faltante","Sin novedad"))</f>
        <v>Sin novedad</v>
      </c>
    </row>
    <row r="2377" spans="1:14" x14ac:dyDescent="0.25">
      <c r="A2377" s="11">
        <v>46037</v>
      </c>
      <c r="B2377" s="5" t="s">
        <v>336</v>
      </c>
      <c r="C2377" s="3" t="s">
        <v>337</v>
      </c>
      <c r="D2377" s="5" t="s">
        <v>122</v>
      </c>
      <c r="E2377" s="5" t="s">
        <v>112</v>
      </c>
      <c r="F2377" s="6" t="s">
        <v>100</v>
      </c>
      <c r="G2377" s="4" t="s">
        <v>2</v>
      </c>
      <c r="H2377" s="25">
        <v>7857</v>
      </c>
      <c r="I2377" s="8">
        <v>12</v>
      </c>
      <c r="J2377" s="9">
        <v>12</v>
      </c>
      <c r="K2377" s="7">
        <v>0</v>
      </c>
      <c r="L2377" s="24">
        <f>+Tabla2[[#This Row],[Stock Inventario]]*Tabla2[[#This Row],[Coste LÃ­nea]]</f>
        <v>94284</v>
      </c>
      <c r="M2377" s="24">
        <f>+Tabla2[[#This Row],[Variación Stock]]*Tabla2[[#This Row],[Coste LÃ­nea]]</f>
        <v>0</v>
      </c>
      <c r="N2377" s="22" t="str">
        <f>+IF(Tabla2[[#This Row],[Variación Stock]]&gt;0,"Sobrante",IF(Tabla2[[#This Row],[Variación Stock]]&lt;0,"Faltante","Sin novedad"))</f>
        <v>Sin novedad</v>
      </c>
    </row>
    <row r="2378" spans="1:14" x14ac:dyDescent="0.25">
      <c r="A2378" s="11">
        <v>46044</v>
      </c>
      <c r="B2378" s="5" t="s">
        <v>372</v>
      </c>
      <c r="C2378" s="3" t="s">
        <v>337</v>
      </c>
      <c r="D2378" s="5" t="s">
        <v>111</v>
      </c>
      <c r="E2378" s="5" t="s">
        <v>112</v>
      </c>
      <c r="F2378" s="6" t="s">
        <v>39</v>
      </c>
      <c r="G2378" s="4" t="s">
        <v>0</v>
      </c>
      <c r="H2378" s="25">
        <v>9924</v>
      </c>
      <c r="I2378" s="8">
        <v>10</v>
      </c>
      <c r="J2378" s="9">
        <v>9</v>
      </c>
      <c r="K2378" s="7">
        <v>-1</v>
      </c>
      <c r="L2378" s="24">
        <f>+Tabla2[[#This Row],[Stock Inventario]]*Tabla2[[#This Row],[Coste LÃ­nea]]</f>
        <v>89316</v>
      </c>
      <c r="M2378" s="24">
        <f>+Tabla2[[#This Row],[Variación Stock]]*Tabla2[[#This Row],[Coste LÃ­nea]]</f>
        <v>-9924</v>
      </c>
      <c r="N2378" s="22" t="str">
        <f>+IF(Tabla2[[#This Row],[Variación Stock]]&gt;0,"Sobrante",IF(Tabla2[[#This Row],[Variación Stock]]&lt;0,"Faltante","Sin novedad"))</f>
        <v>Faltante</v>
      </c>
    </row>
    <row r="2379" spans="1:14" x14ac:dyDescent="0.25">
      <c r="A2379" s="11">
        <v>46037</v>
      </c>
      <c r="B2379" s="5" t="s">
        <v>336</v>
      </c>
      <c r="C2379" s="3" t="s">
        <v>337</v>
      </c>
      <c r="D2379" s="5" t="s">
        <v>122</v>
      </c>
      <c r="E2379" s="5" t="s">
        <v>112</v>
      </c>
      <c r="F2379" s="6" t="s">
        <v>102</v>
      </c>
      <c r="G2379" s="4" t="s">
        <v>2</v>
      </c>
      <c r="H2379" s="25">
        <v>3458.3333333300002</v>
      </c>
      <c r="I2379" s="8">
        <v>7</v>
      </c>
      <c r="J2379" s="9">
        <v>7</v>
      </c>
      <c r="K2379" s="7">
        <v>0</v>
      </c>
      <c r="L2379" s="24">
        <f>+Tabla2[[#This Row],[Stock Inventario]]*Tabla2[[#This Row],[Coste LÃ­nea]]</f>
        <v>24208.333333310002</v>
      </c>
      <c r="M2379" s="24">
        <f>+Tabla2[[#This Row],[Variación Stock]]*Tabla2[[#This Row],[Coste LÃ­nea]]</f>
        <v>0</v>
      </c>
      <c r="N2379" s="22" t="str">
        <f>+IF(Tabla2[[#This Row],[Variación Stock]]&gt;0,"Sobrante",IF(Tabla2[[#This Row],[Variación Stock]]&lt;0,"Faltante","Sin novedad"))</f>
        <v>Sin novedad</v>
      </c>
    </row>
    <row r="2380" spans="1:14" x14ac:dyDescent="0.25">
      <c r="A2380" s="11">
        <v>46037</v>
      </c>
      <c r="B2380" s="5" t="s">
        <v>336</v>
      </c>
      <c r="C2380" s="3" t="s">
        <v>337</v>
      </c>
      <c r="D2380" s="5" t="s">
        <v>122</v>
      </c>
      <c r="E2380" s="5" t="s">
        <v>112</v>
      </c>
      <c r="F2380" s="6" t="s">
        <v>103</v>
      </c>
      <c r="G2380" s="4" t="s">
        <v>2</v>
      </c>
      <c r="H2380" s="25">
        <v>3458.3283333300001</v>
      </c>
      <c r="I2380" s="8">
        <v>5</v>
      </c>
      <c r="J2380" s="9">
        <v>5</v>
      </c>
      <c r="K2380" s="7">
        <v>0</v>
      </c>
      <c r="L2380" s="24">
        <f>+Tabla2[[#This Row],[Stock Inventario]]*Tabla2[[#This Row],[Coste LÃ­nea]]</f>
        <v>17291.641666650001</v>
      </c>
      <c r="M2380" s="24">
        <f>+Tabla2[[#This Row],[Variación Stock]]*Tabla2[[#This Row],[Coste LÃ­nea]]</f>
        <v>0</v>
      </c>
      <c r="N2380" s="22" t="str">
        <f>+IF(Tabla2[[#This Row],[Variación Stock]]&gt;0,"Sobrante",IF(Tabla2[[#This Row],[Variación Stock]]&lt;0,"Faltante","Sin novedad"))</f>
        <v>Sin novedad</v>
      </c>
    </row>
    <row r="2381" spans="1:14" x14ac:dyDescent="0.25">
      <c r="A2381" s="11">
        <v>46037</v>
      </c>
      <c r="B2381" s="5" t="s">
        <v>336</v>
      </c>
      <c r="C2381" s="3" t="s">
        <v>337</v>
      </c>
      <c r="D2381" s="5" t="s">
        <v>122</v>
      </c>
      <c r="E2381" s="5" t="s">
        <v>112</v>
      </c>
      <c r="F2381" s="6" t="s">
        <v>104</v>
      </c>
      <c r="G2381" s="4" t="s">
        <v>2</v>
      </c>
      <c r="H2381" s="25">
        <v>3458.25</v>
      </c>
      <c r="I2381" s="8">
        <v>5</v>
      </c>
      <c r="J2381" s="9">
        <v>5</v>
      </c>
      <c r="K2381" s="7">
        <v>0</v>
      </c>
      <c r="L2381" s="24">
        <f>+Tabla2[[#This Row],[Stock Inventario]]*Tabla2[[#This Row],[Coste LÃ­nea]]</f>
        <v>17291.25</v>
      </c>
      <c r="M2381" s="24">
        <f>+Tabla2[[#This Row],[Variación Stock]]*Tabla2[[#This Row],[Coste LÃ­nea]]</f>
        <v>0</v>
      </c>
      <c r="N2381" s="22" t="str">
        <f>+IF(Tabla2[[#This Row],[Variación Stock]]&gt;0,"Sobrante",IF(Tabla2[[#This Row],[Variación Stock]]&lt;0,"Faltante","Sin novedad"))</f>
        <v>Sin novedad</v>
      </c>
    </row>
    <row r="2382" spans="1:14" x14ac:dyDescent="0.25">
      <c r="A2382" s="11">
        <v>46037</v>
      </c>
      <c r="B2382" s="5" t="s">
        <v>336</v>
      </c>
      <c r="C2382" s="3" t="s">
        <v>337</v>
      </c>
      <c r="D2382" s="5" t="s">
        <v>114</v>
      </c>
      <c r="E2382" s="5" t="s">
        <v>112</v>
      </c>
      <c r="F2382" s="6" t="s">
        <v>64</v>
      </c>
      <c r="G2382" s="4" t="s">
        <v>2</v>
      </c>
      <c r="H2382" s="25">
        <v>5132.5</v>
      </c>
      <c r="I2382" s="8">
        <v>9.5</v>
      </c>
      <c r="J2382" s="9">
        <v>9</v>
      </c>
      <c r="K2382" s="7">
        <v>-0.5</v>
      </c>
      <c r="L2382" s="24">
        <f>+Tabla2[[#This Row],[Stock Inventario]]*Tabla2[[#This Row],[Coste LÃ­nea]]</f>
        <v>46192.5</v>
      </c>
      <c r="M2382" s="24">
        <f>+Tabla2[[#This Row],[Variación Stock]]*Tabla2[[#This Row],[Coste LÃ­nea]]</f>
        <v>-2566.25</v>
      </c>
      <c r="N2382" s="22" t="str">
        <f>+IF(Tabla2[[#This Row],[Variación Stock]]&gt;0,"Sobrante",IF(Tabla2[[#This Row],[Variación Stock]]&lt;0,"Faltante","Sin novedad"))</f>
        <v>Faltante</v>
      </c>
    </row>
    <row r="2383" spans="1:14" x14ac:dyDescent="0.25">
      <c r="A2383" s="11">
        <v>46037</v>
      </c>
      <c r="B2383" s="5" t="s">
        <v>336</v>
      </c>
      <c r="C2383" s="3" t="s">
        <v>337</v>
      </c>
      <c r="D2383" s="5" t="s">
        <v>122</v>
      </c>
      <c r="E2383" s="5" t="s">
        <v>112</v>
      </c>
      <c r="F2383" s="6" t="s">
        <v>106</v>
      </c>
      <c r="G2383" s="4" t="s">
        <v>2</v>
      </c>
      <c r="H2383" s="25">
        <v>3458.25</v>
      </c>
      <c r="I2383" s="8">
        <v>8</v>
      </c>
      <c r="J2383" s="9">
        <v>8</v>
      </c>
      <c r="K2383" s="7">
        <v>0</v>
      </c>
      <c r="L2383" s="24">
        <f>+Tabla2[[#This Row],[Stock Inventario]]*Tabla2[[#This Row],[Coste LÃ­nea]]</f>
        <v>27666</v>
      </c>
      <c r="M2383" s="24">
        <f>+Tabla2[[#This Row],[Variación Stock]]*Tabla2[[#This Row],[Coste LÃ­nea]]</f>
        <v>0</v>
      </c>
      <c r="N2383" s="22" t="str">
        <f>+IF(Tabla2[[#This Row],[Variación Stock]]&gt;0,"Sobrante",IF(Tabla2[[#This Row],[Variación Stock]]&lt;0,"Faltante","Sin novedad"))</f>
        <v>Sin novedad</v>
      </c>
    </row>
    <row r="2384" spans="1:14" x14ac:dyDescent="0.25">
      <c r="A2384" s="11">
        <v>46037</v>
      </c>
      <c r="B2384" s="5" t="s">
        <v>336</v>
      </c>
      <c r="C2384" s="3" t="s">
        <v>337</v>
      </c>
      <c r="D2384" s="5" t="s">
        <v>122</v>
      </c>
      <c r="E2384" s="5" t="s">
        <v>112</v>
      </c>
      <c r="F2384" s="6" t="s">
        <v>107</v>
      </c>
      <c r="G2384" s="4" t="s">
        <v>2</v>
      </c>
      <c r="H2384" s="25">
        <v>3458.3291316700002</v>
      </c>
      <c r="I2384" s="8">
        <v>0</v>
      </c>
      <c r="J2384" s="9">
        <v>0</v>
      </c>
      <c r="K2384" s="7">
        <v>0</v>
      </c>
      <c r="L2384" s="24">
        <f>+Tabla2[[#This Row],[Stock Inventario]]*Tabla2[[#This Row],[Coste LÃ­nea]]</f>
        <v>0</v>
      </c>
      <c r="M2384" s="24">
        <f>+Tabla2[[#This Row],[Variación Stock]]*Tabla2[[#This Row],[Coste LÃ­nea]]</f>
        <v>0</v>
      </c>
      <c r="N2384" s="22" t="str">
        <f>+IF(Tabla2[[#This Row],[Variación Stock]]&gt;0,"Sobrante",IF(Tabla2[[#This Row],[Variación Stock]]&lt;0,"Faltante","Sin novedad"))</f>
        <v>Sin novedad</v>
      </c>
    </row>
    <row r="2385" spans="1:14" x14ac:dyDescent="0.25">
      <c r="A2385" s="11">
        <v>46044</v>
      </c>
      <c r="B2385" s="5" t="s">
        <v>372</v>
      </c>
      <c r="C2385" s="3" t="s">
        <v>337</v>
      </c>
      <c r="D2385" s="5" t="s">
        <v>114</v>
      </c>
      <c r="E2385" s="5" t="s">
        <v>112</v>
      </c>
      <c r="F2385" s="6" t="s">
        <v>64</v>
      </c>
      <c r="G2385" s="4" t="s">
        <v>2</v>
      </c>
      <c r="H2385" s="25">
        <v>5132.5</v>
      </c>
      <c r="I2385" s="8">
        <v>7.5</v>
      </c>
      <c r="J2385" s="9">
        <v>8.5</v>
      </c>
      <c r="K2385" s="7">
        <v>1</v>
      </c>
      <c r="L2385" s="24">
        <f>+Tabla2[[#This Row],[Stock Inventario]]*Tabla2[[#This Row],[Coste LÃ­nea]]</f>
        <v>43626.25</v>
      </c>
      <c r="M2385" s="24">
        <f>+Tabla2[[#This Row],[Variación Stock]]*Tabla2[[#This Row],[Coste LÃ­nea]]</f>
        <v>5132.5</v>
      </c>
      <c r="N2385" s="22" t="str">
        <f>+IF(Tabla2[[#This Row],[Variación Stock]]&gt;0,"Sobrante",IF(Tabla2[[#This Row],[Variación Stock]]&lt;0,"Faltante","Sin novedad"))</f>
        <v>Sobrante</v>
      </c>
    </row>
    <row r="2386" spans="1:14" x14ac:dyDescent="0.25">
      <c r="A2386" s="11">
        <v>46037</v>
      </c>
      <c r="B2386" s="5" t="s">
        <v>336</v>
      </c>
      <c r="C2386" s="3" t="s">
        <v>337</v>
      </c>
      <c r="D2386" s="5" t="s">
        <v>111</v>
      </c>
      <c r="E2386" s="5" t="s">
        <v>112</v>
      </c>
      <c r="F2386" s="6" t="s">
        <v>57</v>
      </c>
      <c r="G2386" s="4" t="s">
        <v>0</v>
      </c>
      <c r="H2386" s="25">
        <v>1993.59090909</v>
      </c>
      <c r="I2386" s="8">
        <v>26</v>
      </c>
      <c r="J2386" s="9">
        <v>28</v>
      </c>
      <c r="K2386" s="7">
        <v>2</v>
      </c>
      <c r="L2386" s="24">
        <f>+Tabla2[[#This Row],[Stock Inventario]]*Tabla2[[#This Row],[Coste LÃ­nea]]</f>
        <v>55820.545454519997</v>
      </c>
      <c r="M2386" s="24">
        <f>+Tabla2[[#This Row],[Variación Stock]]*Tabla2[[#This Row],[Coste LÃ­nea]]</f>
        <v>3987.1818181799999</v>
      </c>
      <c r="N2386" s="22" t="str">
        <f>+IF(Tabla2[[#This Row],[Variación Stock]]&gt;0,"Sobrante",IF(Tabla2[[#This Row],[Variación Stock]]&lt;0,"Faltante","Sin novedad"))</f>
        <v>Sobrante</v>
      </c>
    </row>
    <row r="2387" spans="1:14" x14ac:dyDescent="0.25">
      <c r="A2387" s="11">
        <v>46044</v>
      </c>
      <c r="B2387" s="5" t="s">
        <v>372</v>
      </c>
      <c r="C2387" s="3" t="s">
        <v>337</v>
      </c>
      <c r="D2387" s="5" t="s">
        <v>111</v>
      </c>
      <c r="E2387" s="5" t="s">
        <v>112</v>
      </c>
      <c r="F2387" s="6" t="s">
        <v>57</v>
      </c>
      <c r="G2387" s="4" t="s">
        <v>0</v>
      </c>
      <c r="H2387" s="25">
        <v>1993.59090909</v>
      </c>
      <c r="I2387" s="8">
        <v>24</v>
      </c>
      <c r="J2387" s="9">
        <v>25</v>
      </c>
      <c r="K2387" s="7">
        <v>1</v>
      </c>
      <c r="L2387" s="24">
        <f>+Tabla2[[#This Row],[Stock Inventario]]*Tabla2[[#This Row],[Coste LÃ­nea]]</f>
        <v>49839.772727249998</v>
      </c>
      <c r="M2387" s="24">
        <f>+Tabla2[[#This Row],[Variación Stock]]*Tabla2[[#This Row],[Coste LÃ­nea]]</f>
        <v>1993.59090909</v>
      </c>
      <c r="N2387" s="22" t="str">
        <f>+IF(Tabla2[[#This Row],[Variación Stock]]&gt;0,"Sobrante",IF(Tabla2[[#This Row],[Variación Stock]]&lt;0,"Faltante","Sin novedad"))</f>
        <v>Sobrante</v>
      </c>
    </row>
    <row r="2388" spans="1:14" x14ac:dyDescent="0.25">
      <c r="A2388" s="11">
        <v>46044</v>
      </c>
      <c r="B2388" s="5" t="s">
        <v>372</v>
      </c>
      <c r="C2388" s="3" t="s">
        <v>337</v>
      </c>
      <c r="D2388" s="5" t="s">
        <v>111</v>
      </c>
      <c r="E2388" s="5" t="s">
        <v>112</v>
      </c>
      <c r="F2388" s="6" t="s">
        <v>22</v>
      </c>
      <c r="G2388" s="4" t="s">
        <v>0</v>
      </c>
      <c r="H2388" s="25">
        <v>13020.86363636</v>
      </c>
      <c r="I2388" s="8">
        <v>43</v>
      </c>
      <c r="J2388" s="9">
        <v>43</v>
      </c>
      <c r="K2388" s="7">
        <v>0</v>
      </c>
      <c r="L2388" s="24">
        <f>+Tabla2[[#This Row],[Stock Inventario]]*Tabla2[[#This Row],[Coste LÃ­nea]]</f>
        <v>559897.13636348001</v>
      </c>
      <c r="M2388" s="24">
        <f>+Tabla2[[#This Row],[Variación Stock]]*Tabla2[[#This Row],[Coste LÃ­nea]]</f>
        <v>0</v>
      </c>
      <c r="N2388" s="22" t="str">
        <f>+IF(Tabla2[[#This Row],[Variación Stock]]&gt;0,"Sobrante",IF(Tabla2[[#This Row],[Variación Stock]]&lt;0,"Faltante","Sin novedad"))</f>
        <v>Sin novedad</v>
      </c>
    </row>
    <row r="2389" spans="1:14" hidden="1" x14ac:dyDescent="0.25">
      <c r="A2389" s="11">
        <v>46044</v>
      </c>
      <c r="B2389" s="5" t="s">
        <v>372</v>
      </c>
      <c r="C2389" s="3" t="s">
        <v>337</v>
      </c>
      <c r="D2389" s="5" t="s">
        <v>323</v>
      </c>
      <c r="E2389" s="5" t="s">
        <v>117</v>
      </c>
      <c r="F2389" s="6" t="s">
        <v>325</v>
      </c>
      <c r="G2389" s="4" t="s">
        <v>2</v>
      </c>
      <c r="H2389" s="25">
        <v>2015.4481796</v>
      </c>
      <c r="I2389" s="8">
        <v>71</v>
      </c>
      <c r="J2389" s="9">
        <v>40</v>
      </c>
      <c r="K2389" s="7">
        <v>-31</v>
      </c>
      <c r="L2389" s="24">
        <f>+Tabla2[[#This Row],[Stock Inventario]]*Tabla2[[#This Row],[Coste LÃ­nea]]</f>
        <v>80617.927184</v>
      </c>
      <c r="M2389" s="24">
        <f>+Tabla2[[#This Row],[Variación Stock]]*Tabla2[[#This Row],[Coste LÃ­nea]]</f>
        <v>-62478.893567599996</v>
      </c>
      <c r="N2389" s="22" t="str">
        <f>+IF(Tabla2[[#This Row],[Variación Stock]]&gt;0,"Sobrante",IF(Tabla2[[#This Row],[Variación Stock]]&lt;0,"Faltante","Sin novedad"))</f>
        <v>Faltante</v>
      </c>
    </row>
    <row r="2390" spans="1:14" hidden="1" x14ac:dyDescent="0.25">
      <c r="A2390" s="11">
        <v>46037</v>
      </c>
      <c r="B2390" s="5" t="s">
        <v>336</v>
      </c>
      <c r="C2390" s="3" t="s">
        <v>337</v>
      </c>
      <c r="D2390" s="5" t="s">
        <v>120</v>
      </c>
      <c r="E2390" s="5" t="s">
        <v>117</v>
      </c>
      <c r="F2390" s="6" t="s">
        <v>316</v>
      </c>
      <c r="G2390" s="4" t="s">
        <v>2</v>
      </c>
      <c r="H2390" s="25">
        <v>1521.0488106</v>
      </c>
      <c r="I2390" s="8">
        <v>-50</v>
      </c>
      <c r="J2390" s="9">
        <v>108</v>
      </c>
      <c r="K2390" s="7">
        <v>158</v>
      </c>
      <c r="L2390" s="24">
        <f>+Tabla2[[#This Row],[Stock Inventario]]*Tabla2[[#This Row],[Coste LÃ­nea]]</f>
        <v>164273.27154479999</v>
      </c>
      <c r="M2390" s="24">
        <f>+Tabla2[[#This Row],[Variación Stock]]*Tabla2[[#This Row],[Coste LÃ­nea]]</f>
        <v>240325.71207480002</v>
      </c>
      <c r="N2390" s="22" t="str">
        <f>+IF(Tabla2[[#This Row],[Variación Stock]]&gt;0,"Sobrante",IF(Tabla2[[#This Row],[Variación Stock]]&lt;0,"Faltante","Sin novedad"))</f>
        <v>Sobrante</v>
      </c>
    </row>
    <row r="2391" spans="1:14" x14ac:dyDescent="0.25">
      <c r="A2391" s="11">
        <v>46044</v>
      </c>
      <c r="B2391" s="5" t="s">
        <v>372</v>
      </c>
      <c r="C2391" s="3" t="s">
        <v>337</v>
      </c>
      <c r="D2391" s="5" t="s">
        <v>111</v>
      </c>
      <c r="E2391" s="5" t="s">
        <v>112</v>
      </c>
      <c r="F2391" s="6" t="s">
        <v>364</v>
      </c>
      <c r="G2391" s="4" t="s">
        <v>0</v>
      </c>
      <c r="H2391" s="25">
        <v>10178.90909091</v>
      </c>
      <c r="I2391" s="8">
        <v>43</v>
      </c>
      <c r="J2391" s="9">
        <v>43</v>
      </c>
      <c r="K2391" s="7">
        <v>0</v>
      </c>
      <c r="L2391" s="24">
        <f>+Tabla2[[#This Row],[Stock Inventario]]*Tabla2[[#This Row],[Coste LÃ­nea]]</f>
        <v>437693.09090913</v>
      </c>
      <c r="M2391" s="24">
        <f>+Tabla2[[#This Row],[Variación Stock]]*Tabla2[[#This Row],[Coste LÃ­nea]]</f>
        <v>0</v>
      </c>
      <c r="N2391" s="22" t="str">
        <f>+IF(Tabla2[[#This Row],[Variación Stock]]&gt;0,"Sobrante",IF(Tabla2[[#This Row],[Variación Stock]]&lt;0,"Faltante","Sin novedad"))</f>
        <v>Sin novedad</v>
      </c>
    </row>
    <row r="2392" spans="1:14" x14ac:dyDescent="0.25">
      <c r="A2392" s="11">
        <v>46044</v>
      </c>
      <c r="B2392" s="5" t="s">
        <v>372</v>
      </c>
      <c r="C2392" s="3" t="s">
        <v>337</v>
      </c>
      <c r="D2392" s="5" t="s">
        <v>118</v>
      </c>
      <c r="E2392" s="5" t="s">
        <v>112</v>
      </c>
      <c r="F2392" s="6" t="s">
        <v>80</v>
      </c>
      <c r="G2392" s="4" t="s">
        <v>2</v>
      </c>
      <c r="H2392" s="25">
        <v>108834</v>
      </c>
      <c r="I2392" s="8">
        <v>4</v>
      </c>
      <c r="J2392" s="9">
        <v>4</v>
      </c>
      <c r="K2392" s="7">
        <v>0</v>
      </c>
      <c r="L2392" s="24">
        <f>+Tabla2[[#This Row],[Stock Inventario]]*Tabla2[[#This Row],[Coste LÃ­nea]]</f>
        <v>435336</v>
      </c>
      <c r="M2392" s="24">
        <f>+Tabla2[[#This Row],[Variación Stock]]*Tabla2[[#This Row],[Coste LÃ­nea]]</f>
        <v>0</v>
      </c>
      <c r="N2392" s="22" t="str">
        <f>+IF(Tabla2[[#This Row],[Variación Stock]]&gt;0,"Sobrante",IF(Tabla2[[#This Row],[Variación Stock]]&lt;0,"Faltante","Sin novedad"))</f>
        <v>Sin novedad</v>
      </c>
    </row>
    <row r="2393" spans="1:14" hidden="1" x14ac:dyDescent="0.25">
      <c r="A2393" s="11">
        <v>46044</v>
      </c>
      <c r="B2393" s="5" t="s">
        <v>372</v>
      </c>
      <c r="C2393" s="3" t="s">
        <v>337</v>
      </c>
      <c r="D2393" s="5" t="s">
        <v>120</v>
      </c>
      <c r="E2393" s="5" t="s">
        <v>117</v>
      </c>
      <c r="F2393" s="6" t="s">
        <v>316</v>
      </c>
      <c r="G2393" s="4" t="s">
        <v>2</v>
      </c>
      <c r="H2393" s="25">
        <v>1517.3646666699999</v>
      </c>
      <c r="I2393" s="8">
        <v>37</v>
      </c>
      <c r="J2393" s="9">
        <v>25</v>
      </c>
      <c r="K2393" s="7">
        <v>-12</v>
      </c>
      <c r="L2393" s="24">
        <f>+Tabla2[[#This Row],[Stock Inventario]]*Tabla2[[#This Row],[Coste LÃ­nea]]</f>
        <v>37934.11666675</v>
      </c>
      <c r="M2393" s="24">
        <f>+Tabla2[[#This Row],[Variación Stock]]*Tabla2[[#This Row],[Coste LÃ­nea]]</f>
        <v>-18208.37600004</v>
      </c>
      <c r="N2393" s="22" t="str">
        <f>+IF(Tabla2[[#This Row],[Variación Stock]]&gt;0,"Sobrante",IF(Tabla2[[#This Row],[Variación Stock]]&lt;0,"Faltante","Sin novedad"))</f>
        <v>Faltante</v>
      </c>
    </row>
    <row r="2394" spans="1:14" x14ac:dyDescent="0.25">
      <c r="A2394" s="11">
        <v>46044</v>
      </c>
      <c r="B2394" s="5" t="s">
        <v>372</v>
      </c>
      <c r="C2394" s="3" t="s">
        <v>337</v>
      </c>
      <c r="D2394" s="5" t="s">
        <v>118</v>
      </c>
      <c r="E2394" s="5" t="s">
        <v>112</v>
      </c>
      <c r="F2394" s="6" t="s">
        <v>370</v>
      </c>
      <c r="G2394" s="4" t="s">
        <v>0</v>
      </c>
      <c r="H2394" s="25">
        <v>1842.78125</v>
      </c>
      <c r="I2394" s="8">
        <v>32</v>
      </c>
      <c r="J2394" s="9">
        <v>35</v>
      </c>
      <c r="K2394" s="7">
        <v>3</v>
      </c>
      <c r="L2394" s="24">
        <f>+Tabla2[[#This Row],[Stock Inventario]]*Tabla2[[#This Row],[Coste LÃ­nea]]</f>
        <v>64497.34375</v>
      </c>
      <c r="M2394" s="24">
        <f>+Tabla2[[#This Row],[Variación Stock]]*Tabla2[[#This Row],[Coste LÃ­nea]]</f>
        <v>5528.34375</v>
      </c>
      <c r="N2394" s="22" t="str">
        <f>+IF(Tabla2[[#This Row],[Variación Stock]]&gt;0,"Sobrante",IF(Tabla2[[#This Row],[Variación Stock]]&lt;0,"Faltante","Sin novedad"))</f>
        <v>Sobrante</v>
      </c>
    </row>
    <row r="2395" spans="1:14" hidden="1" x14ac:dyDescent="0.25">
      <c r="A2395" s="11">
        <v>46044</v>
      </c>
      <c r="B2395" s="5" t="s">
        <v>372</v>
      </c>
      <c r="C2395" s="3" t="s">
        <v>337</v>
      </c>
      <c r="D2395" s="5" t="s">
        <v>120</v>
      </c>
      <c r="E2395" s="5" t="s">
        <v>117</v>
      </c>
      <c r="F2395" s="6" t="s">
        <v>376</v>
      </c>
      <c r="G2395" s="4" t="s">
        <v>2</v>
      </c>
      <c r="H2395" s="25">
        <v>2700.3227931299998</v>
      </c>
      <c r="I2395" s="8">
        <v>2</v>
      </c>
      <c r="J2395" s="9">
        <v>8</v>
      </c>
      <c r="K2395" s="7">
        <v>6</v>
      </c>
      <c r="L2395" s="24">
        <f>+Tabla2[[#This Row],[Stock Inventario]]*Tabla2[[#This Row],[Coste LÃ­nea]]</f>
        <v>21602.582345039998</v>
      </c>
      <c r="M2395" s="24">
        <f>+Tabla2[[#This Row],[Variación Stock]]*Tabla2[[#This Row],[Coste LÃ­nea]]</f>
        <v>16201.936758779999</v>
      </c>
      <c r="N2395" s="22" t="str">
        <f>+IF(Tabla2[[#This Row],[Variación Stock]]&gt;0,"Sobrante",IF(Tabla2[[#This Row],[Variación Stock]]&lt;0,"Faltante","Sin novedad"))</f>
        <v>Sobrante</v>
      </c>
    </row>
    <row r="2396" spans="1:14" x14ac:dyDescent="0.25">
      <c r="A2396" s="11">
        <v>46044</v>
      </c>
      <c r="B2396" s="5" t="s">
        <v>372</v>
      </c>
      <c r="C2396" s="3" t="s">
        <v>337</v>
      </c>
      <c r="D2396" s="5" t="s">
        <v>118</v>
      </c>
      <c r="E2396" s="5" t="s">
        <v>112</v>
      </c>
      <c r="F2396" s="6" t="s">
        <v>298</v>
      </c>
      <c r="G2396" s="4" t="s">
        <v>2</v>
      </c>
      <c r="H2396" s="25">
        <v>63897.666666669997</v>
      </c>
      <c r="I2396" s="8">
        <v>6</v>
      </c>
      <c r="J2396" s="9">
        <v>6</v>
      </c>
      <c r="K2396" s="7">
        <v>0</v>
      </c>
      <c r="L2396" s="24">
        <f>+Tabla2[[#This Row],[Stock Inventario]]*Tabla2[[#This Row],[Coste LÃ­nea]]</f>
        <v>383386.00000001997</v>
      </c>
      <c r="M2396" s="24">
        <f>+Tabla2[[#This Row],[Variación Stock]]*Tabla2[[#This Row],[Coste LÃ­nea]]</f>
        <v>0</v>
      </c>
      <c r="N2396" s="22" t="str">
        <f>+IF(Tabla2[[#This Row],[Variación Stock]]&gt;0,"Sobrante",IF(Tabla2[[#This Row],[Variación Stock]]&lt;0,"Faltante","Sin novedad"))</f>
        <v>Sin novedad</v>
      </c>
    </row>
    <row r="2397" spans="1:14" x14ac:dyDescent="0.25">
      <c r="A2397" s="11">
        <v>46044</v>
      </c>
      <c r="B2397" s="5" t="s">
        <v>372</v>
      </c>
      <c r="C2397" s="3" t="s">
        <v>337</v>
      </c>
      <c r="D2397" s="5" t="s">
        <v>111</v>
      </c>
      <c r="E2397" s="5" t="s">
        <v>112</v>
      </c>
      <c r="F2397" s="6" t="s">
        <v>51</v>
      </c>
      <c r="G2397" s="4" t="s">
        <v>0</v>
      </c>
      <c r="H2397" s="25">
        <v>9648.9583333299997</v>
      </c>
      <c r="I2397" s="8">
        <v>38.68</v>
      </c>
      <c r="J2397" s="9">
        <v>39</v>
      </c>
      <c r="K2397" s="7">
        <v>0.32</v>
      </c>
      <c r="L2397" s="24">
        <f>+Tabla2[[#This Row],[Stock Inventario]]*Tabla2[[#This Row],[Coste LÃ­nea]]</f>
        <v>376309.37499986996</v>
      </c>
      <c r="M2397" s="24">
        <f>+Tabla2[[#This Row],[Variación Stock]]*Tabla2[[#This Row],[Coste LÃ­nea]]</f>
        <v>3087.6666666656001</v>
      </c>
      <c r="N2397" s="22" t="str">
        <f>+IF(Tabla2[[#This Row],[Variación Stock]]&gt;0,"Sobrante",IF(Tabla2[[#This Row],[Variación Stock]]&lt;0,"Faltante","Sin novedad"))</f>
        <v>Sobrante</v>
      </c>
    </row>
    <row r="2398" spans="1:14" x14ac:dyDescent="0.25">
      <c r="A2398" s="11">
        <v>46037</v>
      </c>
      <c r="B2398" s="5" t="s">
        <v>336</v>
      </c>
      <c r="C2398" s="3" t="s">
        <v>337</v>
      </c>
      <c r="D2398" s="5" t="s">
        <v>111</v>
      </c>
      <c r="E2398" s="5" t="s">
        <v>112</v>
      </c>
      <c r="F2398" s="6" t="s">
        <v>28</v>
      </c>
      <c r="G2398" s="4" t="s">
        <v>2</v>
      </c>
      <c r="H2398" s="25">
        <v>93956</v>
      </c>
      <c r="I2398" s="8">
        <v>0</v>
      </c>
      <c r="J2398" s="9">
        <v>2</v>
      </c>
      <c r="K2398" s="7">
        <v>2</v>
      </c>
      <c r="L2398" s="24">
        <f>+Tabla2[[#This Row],[Stock Inventario]]*Tabla2[[#This Row],[Coste LÃ­nea]]</f>
        <v>187912</v>
      </c>
      <c r="M2398" s="24">
        <f>+Tabla2[[#This Row],[Variación Stock]]*Tabla2[[#This Row],[Coste LÃ­nea]]</f>
        <v>187912</v>
      </c>
      <c r="N2398" s="22" t="str">
        <f>+IF(Tabla2[[#This Row],[Variación Stock]]&gt;0,"Sobrante",IF(Tabla2[[#This Row],[Variación Stock]]&lt;0,"Faltante","Sin novedad"))</f>
        <v>Sobrante</v>
      </c>
    </row>
    <row r="2399" spans="1:14" x14ac:dyDescent="0.25">
      <c r="A2399" s="11">
        <v>46044</v>
      </c>
      <c r="B2399" s="5" t="s">
        <v>372</v>
      </c>
      <c r="C2399" s="3" t="s">
        <v>337</v>
      </c>
      <c r="D2399" s="5" t="s">
        <v>111</v>
      </c>
      <c r="E2399" s="5" t="s">
        <v>112</v>
      </c>
      <c r="F2399" s="6" t="s">
        <v>365</v>
      </c>
      <c r="G2399" s="4" t="s">
        <v>0</v>
      </c>
      <c r="H2399" s="25">
        <v>12698.95454545</v>
      </c>
      <c r="I2399" s="8">
        <v>29</v>
      </c>
      <c r="J2399" s="9">
        <v>29</v>
      </c>
      <c r="K2399" s="7">
        <v>0</v>
      </c>
      <c r="L2399" s="24">
        <f>+Tabla2[[#This Row],[Stock Inventario]]*Tabla2[[#This Row],[Coste LÃ­nea]]</f>
        <v>368269.68181804998</v>
      </c>
      <c r="M2399" s="24">
        <f>+Tabla2[[#This Row],[Variación Stock]]*Tabla2[[#This Row],[Coste LÃ­nea]]</f>
        <v>0</v>
      </c>
      <c r="N2399" s="22" t="str">
        <f>+IF(Tabla2[[#This Row],[Variación Stock]]&gt;0,"Sobrante",IF(Tabla2[[#This Row],[Variación Stock]]&lt;0,"Faltante","Sin novedad"))</f>
        <v>Sin novedad</v>
      </c>
    </row>
    <row r="2400" spans="1:14" hidden="1" x14ac:dyDescent="0.25">
      <c r="A2400" s="11">
        <v>46037</v>
      </c>
      <c r="B2400" s="5" t="s">
        <v>336</v>
      </c>
      <c r="C2400" s="3" t="s">
        <v>337</v>
      </c>
      <c r="D2400" s="5" t="s">
        <v>120</v>
      </c>
      <c r="E2400" s="5" t="s">
        <v>117</v>
      </c>
      <c r="F2400" s="6" t="s">
        <v>317</v>
      </c>
      <c r="G2400" s="4" t="s">
        <v>2</v>
      </c>
      <c r="H2400" s="25">
        <v>3260.4930431299999</v>
      </c>
      <c r="I2400" s="8">
        <v>116</v>
      </c>
      <c r="J2400" s="9">
        <v>67</v>
      </c>
      <c r="K2400" s="7">
        <v>-49</v>
      </c>
      <c r="L2400" s="24">
        <f>+Tabla2[[#This Row],[Stock Inventario]]*Tabla2[[#This Row],[Coste LÃ­nea]]</f>
        <v>218453.03388971</v>
      </c>
      <c r="M2400" s="24">
        <f>+Tabla2[[#This Row],[Variación Stock]]*Tabla2[[#This Row],[Coste LÃ­nea]]</f>
        <v>-159764.15911337</v>
      </c>
      <c r="N2400" s="22" t="str">
        <f>+IF(Tabla2[[#This Row],[Variación Stock]]&gt;0,"Sobrante",IF(Tabla2[[#This Row],[Variación Stock]]&lt;0,"Faltante","Sin novedad"))</f>
        <v>Faltante</v>
      </c>
    </row>
    <row r="2401" spans="1:14" x14ac:dyDescent="0.25">
      <c r="A2401" s="11">
        <v>46044</v>
      </c>
      <c r="B2401" s="5" t="s">
        <v>372</v>
      </c>
      <c r="C2401" s="3" t="s">
        <v>337</v>
      </c>
      <c r="D2401" s="5" t="s">
        <v>118</v>
      </c>
      <c r="E2401" s="5" t="s">
        <v>112</v>
      </c>
      <c r="F2401" s="6" t="s">
        <v>295</v>
      </c>
      <c r="G2401" s="4" t="s">
        <v>2</v>
      </c>
      <c r="H2401" s="25">
        <v>71318</v>
      </c>
      <c r="I2401" s="8">
        <v>5</v>
      </c>
      <c r="J2401" s="9">
        <v>5</v>
      </c>
      <c r="K2401" s="7">
        <v>0</v>
      </c>
      <c r="L2401" s="24">
        <f>+Tabla2[[#This Row],[Stock Inventario]]*Tabla2[[#This Row],[Coste LÃ­nea]]</f>
        <v>356590</v>
      </c>
      <c r="M2401" s="24">
        <f>+Tabla2[[#This Row],[Variación Stock]]*Tabla2[[#This Row],[Coste LÃ­nea]]</f>
        <v>0</v>
      </c>
      <c r="N2401" s="22" t="str">
        <f>+IF(Tabla2[[#This Row],[Variación Stock]]&gt;0,"Sobrante",IF(Tabla2[[#This Row],[Variación Stock]]&lt;0,"Faltante","Sin novedad"))</f>
        <v>Sin novedad</v>
      </c>
    </row>
    <row r="2402" spans="1:14" hidden="1" x14ac:dyDescent="0.25">
      <c r="A2402" s="11">
        <v>46044</v>
      </c>
      <c r="B2402" s="5" t="s">
        <v>372</v>
      </c>
      <c r="C2402" s="3" t="s">
        <v>337</v>
      </c>
      <c r="D2402" s="5" t="s">
        <v>120</v>
      </c>
      <c r="E2402" s="5" t="s">
        <v>117</v>
      </c>
      <c r="F2402" s="6" t="s">
        <v>96</v>
      </c>
      <c r="G2402" s="4" t="s">
        <v>2</v>
      </c>
      <c r="H2402" s="25">
        <v>3902.6086956499998</v>
      </c>
      <c r="I2402" s="8">
        <v>89</v>
      </c>
      <c r="J2402" s="9">
        <v>89</v>
      </c>
      <c r="K2402" s="7">
        <v>0</v>
      </c>
      <c r="L2402" s="24">
        <f>+Tabla2[[#This Row],[Stock Inventario]]*Tabla2[[#This Row],[Coste LÃ­nea]]</f>
        <v>347332.17391284998</v>
      </c>
      <c r="M2402" s="24">
        <f>+Tabla2[[#This Row],[Variación Stock]]*Tabla2[[#This Row],[Coste LÃ­nea]]</f>
        <v>0</v>
      </c>
      <c r="N2402" s="22" t="str">
        <f>+IF(Tabla2[[#This Row],[Variación Stock]]&gt;0,"Sobrante",IF(Tabla2[[#This Row],[Variación Stock]]&lt;0,"Faltante","Sin novedad"))</f>
        <v>Sin novedad</v>
      </c>
    </row>
    <row r="2403" spans="1:14" x14ac:dyDescent="0.25">
      <c r="A2403" s="11">
        <v>46044</v>
      </c>
      <c r="B2403" s="5" t="s">
        <v>372</v>
      </c>
      <c r="C2403" s="3" t="s">
        <v>337</v>
      </c>
      <c r="D2403" s="5" t="s">
        <v>111</v>
      </c>
      <c r="E2403" s="5" t="s">
        <v>112</v>
      </c>
      <c r="F2403" s="6" t="s">
        <v>288</v>
      </c>
      <c r="G2403" s="4" t="s">
        <v>0</v>
      </c>
      <c r="H2403" s="25">
        <v>4721.625</v>
      </c>
      <c r="I2403" s="8">
        <v>44.34</v>
      </c>
      <c r="J2403" s="9">
        <v>45</v>
      </c>
      <c r="K2403" s="7">
        <v>0.66</v>
      </c>
      <c r="L2403" s="24">
        <f>+Tabla2[[#This Row],[Stock Inventario]]*Tabla2[[#This Row],[Coste LÃ­nea]]</f>
        <v>212473.125</v>
      </c>
      <c r="M2403" s="24">
        <f>+Tabla2[[#This Row],[Variación Stock]]*Tabla2[[#This Row],[Coste LÃ­nea]]</f>
        <v>3116.2725</v>
      </c>
      <c r="N2403" s="22" t="str">
        <f>+IF(Tabla2[[#This Row],[Variación Stock]]&gt;0,"Sobrante",IF(Tabla2[[#This Row],[Variación Stock]]&lt;0,"Faltante","Sin novedad"))</f>
        <v>Sobrante</v>
      </c>
    </row>
    <row r="2404" spans="1:14" x14ac:dyDescent="0.25">
      <c r="A2404" s="11">
        <v>46037</v>
      </c>
      <c r="B2404" s="5" t="s">
        <v>336</v>
      </c>
      <c r="C2404" s="3" t="s">
        <v>337</v>
      </c>
      <c r="D2404" s="5" t="s">
        <v>111</v>
      </c>
      <c r="E2404" s="5" t="s">
        <v>112</v>
      </c>
      <c r="F2404" s="6" t="s">
        <v>58</v>
      </c>
      <c r="G2404" s="4" t="s">
        <v>0</v>
      </c>
      <c r="H2404" s="25">
        <v>6303.0416666700003</v>
      </c>
      <c r="I2404" s="8">
        <v>39</v>
      </c>
      <c r="J2404" s="9">
        <v>43</v>
      </c>
      <c r="K2404" s="7">
        <v>4</v>
      </c>
      <c r="L2404" s="24">
        <f>+Tabla2[[#This Row],[Stock Inventario]]*Tabla2[[#This Row],[Coste LÃ­nea]]</f>
        <v>271030.79166680999</v>
      </c>
      <c r="M2404" s="24">
        <f>+Tabla2[[#This Row],[Variación Stock]]*Tabla2[[#This Row],[Coste LÃ­nea]]</f>
        <v>25212.166666680001</v>
      </c>
      <c r="N2404" s="22" t="str">
        <f>+IF(Tabla2[[#This Row],[Variación Stock]]&gt;0,"Sobrante",IF(Tabla2[[#This Row],[Variación Stock]]&lt;0,"Faltante","Sin novedad"))</f>
        <v>Sobrante</v>
      </c>
    </row>
    <row r="2405" spans="1:14" x14ac:dyDescent="0.25">
      <c r="A2405" s="11">
        <v>46044</v>
      </c>
      <c r="B2405" s="5" t="s">
        <v>372</v>
      </c>
      <c r="C2405" s="3" t="s">
        <v>337</v>
      </c>
      <c r="D2405" s="5" t="s">
        <v>111</v>
      </c>
      <c r="E2405" s="5" t="s">
        <v>112</v>
      </c>
      <c r="F2405" s="6" t="s">
        <v>32</v>
      </c>
      <c r="G2405" s="4" t="s">
        <v>0</v>
      </c>
      <c r="H2405" s="25">
        <v>8628.9583333299997</v>
      </c>
      <c r="I2405" s="8">
        <v>38</v>
      </c>
      <c r="J2405" s="9">
        <v>38</v>
      </c>
      <c r="K2405" s="7">
        <v>0</v>
      </c>
      <c r="L2405" s="24">
        <f>+Tabla2[[#This Row],[Stock Inventario]]*Tabla2[[#This Row],[Coste LÃ­nea]]</f>
        <v>327900.41666653997</v>
      </c>
      <c r="M2405" s="24">
        <f>+Tabla2[[#This Row],[Variación Stock]]*Tabla2[[#This Row],[Coste LÃ­nea]]</f>
        <v>0</v>
      </c>
      <c r="N2405" s="22" t="str">
        <f>+IF(Tabla2[[#This Row],[Variación Stock]]&gt;0,"Sobrante",IF(Tabla2[[#This Row],[Variación Stock]]&lt;0,"Faltante","Sin novedad"))</f>
        <v>Sin novedad</v>
      </c>
    </row>
    <row r="2406" spans="1:14" x14ac:dyDescent="0.25">
      <c r="A2406" s="11">
        <v>46044</v>
      </c>
      <c r="B2406" s="5" t="s">
        <v>372</v>
      </c>
      <c r="C2406" s="3" t="s">
        <v>337</v>
      </c>
      <c r="D2406" s="5" t="s">
        <v>111</v>
      </c>
      <c r="E2406" s="5" t="s">
        <v>112</v>
      </c>
      <c r="F2406" s="6" t="s">
        <v>58</v>
      </c>
      <c r="G2406" s="4" t="s">
        <v>0</v>
      </c>
      <c r="H2406" s="25">
        <v>6303.25</v>
      </c>
      <c r="I2406" s="8">
        <v>64</v>
      </c>
      <c r="J2406" s="9">
        <v>66</v>
      </c>
      <c r="K2406" s="7">
        <v>2</v>
      </c>
      <c r="L2406" s="24">
        <f>+Tabla2[[#This Row],[Stock Inventario]]*Tabla2[[#This Row],[Coste LÃ­nea]]</f>
        <v>416014.5</v>
      </c>
      <c r="M2406" s="24">
        <f>+Tabla2[[#This Row],[Variación Stock]]*Tabla2[[#This Row],[Coste LÃ­nea]]</f>
        <v>12606.5</v>
      </c>
      <c r="N2406" s="22" t="str">
        <f>+IF(Tabla2[[#This Row],[Variación Stock]]&gt;0,"Sobrante",IF(Tabla2[[#This Row],[Variación Stock]]&lt;0,"Faltante","Sin novedad"))</f>
        <v>Sobrante</v>
      </c>
    </row>
    <row r="2407" spans="1:14" x14ac:dyDescent="0.25">
      <c r="A2407" s="11">
        <v>46044</v>
      </c>
      <c r="B2407" s="5" t="s">
        <v>372</v>
      </c>
      <c r="C2407" s="3" t="s">
        <v>337</v>
      </c>
      <c r="D2407" s="5" t="s">
        <v>118</v>
      </c>
      <c r="E2407" s="5" t="s">
        <v>112</v>
      </c>
      <c r="F2407" s="6" t="s">
        <v>308</v>
      </c>
      <c r="G2407" s="4" t="s">
        <v>81</v>
      </c>
      <c r="H2407" s="25">
        <v>15144</v>
      </c>
      <c r="I2407" s="8">
        <v>21</v>
      </c>
      <c r="J2407" s="9">
        <v>21</v>
      </c>
      <c r="K2407" s="7">
        <v>0</v>
      </c>
      <c r="L2407" s="24">
        <f>+Tabla2[[#This Row],[Stock Inventario]]*Tabla2[[#This Row],[Coste LÃ­nea]]</f>
        <v>318024</v>
      </c>
      <c r="M2407" s="24">
        <f>+Tabla2[[#This Row],[Variación Stock]]*Tabla2[[#This Row],[Coste LÃ­nea]]</f>
        <v>0</v>
      </c>
      <c r="N2407" s="22" t="str">
        <f>+IF(Tabla2[[#This Row],[Variación Stock]]&gt;0,"Sobrante",IF(Tabla2[[#This Row],[Variación Stock]]&lt;0,"Faltante","Sin novedad"))</f>
        <v>Sin novedad</v>
      </c>
    </row>
    <row r="2408" spans="1:14" x14ac:dyDescent="0.25">
      <c r="A2408" s="11">
        <v>46044</v>
      </c>
      <c r="B2408" s="5" t="s">
        <v>372</v>
      </c>
      <c r="C2408" s="3" t="s">
        <v>337</v>
      </c>
      <c r="D2408" s="5" t="s">
        <v>118</v>
      </c>
      <c r="E2408" s="5" t="s">
        <v>112</v>
      </c>
      <c r="F2408" s="6" t="s">
        <v>304</v>
      </c>
      <c r="G2408" s="4" t="s">
        <v>2</v>
      </c>
      <c r="H2408" s="25">
        <v>37616.833333330003</v>
      </c>
      <c r="I2408" s="8">
        <v>8</v>
      </c>
      <c r="J2408" s="9">
        <v>8</v>
      </c>
      <c r="K2408" s="7">
        <v>0</v>
      </c>
      <c r="L2408" s="24">
        <f>+Tabla2[[#This Row],[Stock Inventario]]*Tabla2[[#This Row],[Coste LÃ­nea]]</f>
        <v>300934.66666664003</v>
      </c>
      <c r="M2408" s="24">
        <f>+Tabla2[[#This Row],[Variación Stock]]*Tabla2[[#This Row],[Coste LÃ­nea]]</f>
        <v>0</v>
      </c>
      <c r="N2408" s="22" t="str">
        <f>+IF(Tabla2[[#This Row],[Variación Stock]]&gt;0,"Sobrante",IF(Tabla2[[#This Row],[Variación Stock]]&lt;0,"Faltante","Sin novedad"))</f>
        <v>Sin novedad</v>
      </c>
    </row>
    <row r="2409" spans="1:14" x14ac:dyDescent="0.25">
      <c r="A2409" s="11">
        <v>46044</v>
      </c>
      <c r="B2409" s="5" t="s">
        <v>372</v>
      </c>
      <c r="C2409" s="3" t="s">
        <v>337</v>
      </c>
      <c r="D2409" s="5" t="s">
        <v>111</v>
      </c>
      <c r="E2409" s="5" t="s">
        <v>112</v>
      </c>
      <c r="F2409" s="6" t="s">
        <v>59</v>
      </c>
      <c r="G2409" s="4" t="s">
        <v>0</v>
      </c>
      <c r="H2409" s="25">
        <v>3072.2083333300002</v>
      </c>
      <c r="I2409" s="8">
        <v>78.5</v>
      </c>
      <c r="J2409" s="9">
        <v>107</v>
      </c>
      <c r="K2409" s="7">
        <v>28.5</v>
      </c>
      <c r="L2409" s="24">
        <f>+Tabla2[[#This Row],[Stock Inventario]]*Tabla2[[#This Row],[Coste LÃ­nea]]</f>
        <v>328726.29166631005</v>
      </c>
      <c r="M2409" s="24">
        <f>+Tabla2[[#This Row],[Variación Stock]]*Tabla2[[#This Row],[Coste LÃ­nea]]</f>
        <v>87557.937499905005</v>
      </c>
      <c r="N2409" s="22" t="str">
        <f>+IF(Tabla2[[#This Row],[Variación Stock]]&gt;0,"Sobrante",IF(Tabla2[[#This Row],[Variación Stock]]&lt;0,"Faltante","Sin novedad"))</f>
        <v>Sobrante</v>
      </c>
    </row>
    <row r="2410" spans="1:14" x14ac:dyDescent="0.25">
      <c r="A2410" s="11">
        <v>46044</v>
      </c>
      <c r="B2410" s="5" t="s">
        <v>372</v>
      </c>
      <c r="C2410" s="3" t="s">
        <v>337</v>
      </c>
      <c r="D2410" s="5" t="s">
        <v>121</v>
      </c>
      <c r="E2410" s="5" t="s">
        <v>112</v>
      </c>
      <c r="F2410" s="6" t="s">
        <v>333</v>
      </c>
      <c r="G2410" s="4" t="s">
        <v>0</v>
      </c>
      <c r="H2410" s="25">
        <v>3292.65804514</v>
      </c>
      <c r="I2410" s="8">
        <v>88</v>
      </c>
      <c r="J2410" s="9">
        <v>88</v>
      </c>
      <c r="K2410" s="7">
        <v>0</v>
      </c>
      <c r="L2410" s="24">
        <f>+Tabla2[[#This Row],[Stock Inventario]]*Tabla2[[#This Row],[Coste LÃ­nea]]</f>
        <v>289753.90797231998</v>
      </c>
      <c r="M2410" s="24">
        <f>+Tabla2[[#This Row],[Variación Stock]]*Tabla2[[#This Row],[Coste LÃ­nea]]</f>
        <v>0</v>
      </c>
      <c r="N2410" s="22" t="str">
        <f>+IF(Tabla2[[#This Row],[Variación Stock]]&gt;0,"Sobrante",IF(Tabla2[[#This Row],[Variación Stock]]&lt;0,"Faltante","Sin novedad"))</f>
        <v>Sin novedad</v>
      </c>
    </row>
    <row r="2411" spans="1:14" x14ac:dyDescent="0.25">
      <c r="A2411" s="11">
        <v>46044</v>
      </c>
      <c r="B2411" s="5" t="s">
        <v>372</v>
      </c>
      <c r="C2411" s="3" t="s">
        <v>337</v>
      </c>
      <c r="D2411" s="5" t="s">
        <v>111</v>
      </c>
      <c r="E2411" s="5" t="s">
        <v>112</v>
      </c>
      <c r="F2411" s="6" t="s">
        <v>31</v>
      </c>
      <c r="G2411" s="4" t="s">
        <v>0</v>
      </c>
      <c r="H2411" s="25">
        <v>6774.5454545499997</v>
      </c>
      <c r="I2411" s="8">
        <v>42</v>
      </c>
      <c r="J2411" s="9">
        <v>42</v>
      </c>
      <c r="K2411" s="7">
        <v>0</v>
      </c>
      <c r="L2411" s="24">
        <f>+Tabla2[[#This Row],[Stock Inventario]]*Tabla2[[#This Row],[Coste LÃ­nea]]</f>
        <v>284530.90909109998</v>
      </c>
      <c r="M2411" s="24">
        <f>+Tabla2[[#This Row],[Variación Stock]]*Tabla2[[#This Row],[Coste LÃ­nea]]</f>
        <v>0</v>
      </c>
      <c r="N2411" s="22" t="str">
        <f>+IF(Tabla2[[#This Row],[Variación Stock]]&gt;0,"Sobrante",IF(Tabla2[[#This Row],[Variación Stock]]&lt;0,"Faltante","Sin novedad"))</f>
        <v>Sin novedad</v>
      </c>
    </row>
    <row r="2412" spans="1:14" x14ac:dyDescent="0.25">
      <c r="A2412" s="11">
        <v>46044</v>
      </c>
      <c r="B2412" s="5" t="s">
        <v>372</v>
      </c>
      <c r="C2412" s="3" t="s">
        <v>337</v>
      </c>
      <c r="D2412" s="5" t="s">
        <v>118</v>
      </c>
      <c r="E2412" s="5" t="s">
        <v>112</v>
      </c>
      <c r="F2412" s="6" t="s">
        <v>91</v>
      </c>
      <c r="G2412" s="4" t="s">
        <v>2</v>
      </c>
      <c r="H2412" s="25">
        <v>70600.5</v>
      </c>
      <c r="I2412" s="8">
        <v>4</v>
      </c>
      <c r="J2412" s="9">
        <v>4</v>
      </c>
      <c r="K2412" s="7">
        <v>0</v>
      </c>
      <c r="L2412" s="24">
        <f>+Tabla2[[#This Row],[Stock Inventario]]*Tabla2[[#This Row],[Coste LÃ­nea]]</f>
        <v>282402</v>
      </c>
      <c r="M2412" s="24">
        <f>+Tabla2[[#This Row],[Variación Stock]]*Tabla2[[#This Row],[Coste LÃ­nea]]</f>
        <v>0</v>
      </c>
      <c r="N2412" s="22" t="str">
        <f>+IF(Tabla2[[#This Row],[Variación Stock]]&gt;0,"Sobrante",IF(Tabla2[[#This Row],[Variación Stock]]&lt;0,"Faltante","Sin novedad"))</f>
        <v>Sin novedad</v>
      </c>
    </row>
    <row r="2413" spans="1:14" x14ac:dyDescent="0.25">
      <c r="A2413" s="11">
        <v>46037</v>
      </c>
      <c r="B2413" s="5" t="s">
        <v>336</v>
      </c>
      <c r="C2413" s="3" t="s">
        <v>337</v>
      </c>
      <c r="D2413" s="5" t="s">
        <v>111</v>
      </c>
      <c r="E2413" s="5" t="s">
        <v>112</v>
      </c>
      <c r="F2413" s="6" t="s">
        <v>59</v>
      </c>
      <c r="G2413" s="4" t="s">
        <v>0</v>
      </c>
      <c r="H2413" s="25">
        <v>2047.54310345</v>
      </c>
      <c r="I2413" s="8">
        <v>279.5</v>
      </c>
      <c r="J2413" s="9">
        <v>270</v>
      </c>
      <c r="K2413" s="15">
        <v>-9.5</v>
      </c>
      <c r="L2413" s="24">
        <f>+Tabla2[[#This Row],[Stock Inventario]]*Tabla2[[#This Row],[Coste LÃ­nea]]</f>
        <v>552836.63793149998</v>
      </c>
      <c r="M2413" s="24">
        <f>+Tabla2[[#This Row],[Variación Stock]]*Tabla2[[#This Row],[Coste LÃ­nea]]</f>
        <v>-19451.659482775001</v>
      </c>
      <c r="N2413" s="22" t="str">
        <f>+IF(Tabla2[[#This Row],[Variación Stock]]&gt;0,"Sobrante",IF(Tabla2[[#This Row],[Variación Stock]]&lt;0,"Faltante","Sin novedad"))</f>
        <v>Faltante</v>
      </c>
    </row>
    <row r="2414" spans="1:14" x14ac:dyDescent="0.25">
      <c r="A2414" s="11">
        <v>46037</v>
      </c>
      <c r="B2414" s="5" t="s">
        <v>336</v>
      </c>
      <c r="C2414" s="3" t="s">
        <v>337</v>
      </c>
      <c r="D2414" s="5" t="s">
        <v>111</v>
      </c>
      <c r="E2414" s="5" t="s">
        <v>112</v>
      </c>
      <c r="F2414" s="6" t="s">
        <v>40</v>
      </c>
      <c r="G2414" s="4" t="s">
        <v>0</v>
      </c>
      <c r="H2414" s="25">
        <v>2077.8620689700001</v>
      </c>
      <c r="I2414" s="8">
        <v>48</v>
      </c>
      <c r="J2414" s="9">
        <v>64</v>
      </c>
      <c r="K2414" s="7">
        <v>16</v>
      </c>
      <c r="L2414" s="24">
        <f>+Tabla2[[#This Row],[Stock Inventario]]*Tabla2[[#This Row],[Coste LÃ­nea]]</f>
        <v>132983.17241408001</v>
      </c>
      <c r="M2414" s="24">
        <f>+Tabla2[[#This Row],[Variación Stock]]*Tabla2[[#This Row],[Coste LÃ­nea]]</f>
        <v>33245.793103520002</v>
      </c>
      <c r="N2414" s="22" t="str">
        <f>+IF(Tabla2[[#This Row],[Variación Stock]]&gt;0,"Sobrante",IF(Tabla2[[#This Row],[Variación Stock]]&lt;0,"Faltante","Sin novedad"))</f>
        <v>Sobrante</v>
      </c>
    </row>
    <row r="2415" spans="1:14" x14ac:dyDescent="0.25">
      <c r="A2415" s="11">
        <v>46044</v>
      </c>
      <c r="B2415" s="5" t="s">
        <v>372</v>
      </c>
      <c r="C2415" s="3" t="s">
        <v>337</v>
      </c>
      <c r="D2415" s="5" t="s">
        <v>118</v>
      </c>
      <c r="E2415" s="5" t="s">
        <v>112</v>
      </c>
      <c r="F2415" s="6" t="s">
        <v>307</v>
      </c>
      <c r="G2415" s="4" t="s">
        <v>81</v>
      </c>
      <c r="H2415" s="25">
        <v>10710.6</v>
      </c>
      <c r="I2415" s="8">
        <v>24</v>
      </c>
      <c r="J2415" s="9">
        <v>24</v>
      </c>
      <c r="K2415" s="7">
        <v>0</v>
      </c>
      <c r="L2415" s="24">
        <f>+Tabla2[[#This Row],[Stock Inventario]]*Tabla2[[#This Row],[Coste LÃ­nea]]</f>
        <v>257054.40000000002</v>
      </c>
      <c r="M2415" s="24">
        <f>+Tabla2[[#This Row],[Variación Stock]]*Tabla2[[#This Row],[Coste LÃ­nea]]</f>
        <v>0</v>
      </c>
      <c r="N2415" s="22" t="str">
        <f>+IF(Tabla2[[#This Row],[Variación Stock]]&gt;0,"Sobrante",IF(Tabla2[[#This Row],[Variación Stock]]&lt;0,"Faltante","Sin novedad"))</f>
        <v>Sin novedad</v>
      </c>
    </row>
    <row r="2416" spans="1:14" x14ac:dyDescent="0.25">
      <c r="A2416" s="11">
        <v>46044</v>
      </c>
      <c r="B2416" s="5" t="s">
        <v>372</v>
      </c>
      <c r="C2416" s="3" t="s">
        <v>337</v>
      </c>
      <c r="D2416" s="5" t="s">
        <v>111</v>
      </c>
      <c r="E2416" s="5" t="s">
        <v>112</v>
      </c>
      <c r="F2416" s="6" t="s">
        <v>27</v>
      </c>
      <c r="G2416" s="4" t="s">
        <v>0</v>
      </c>
      <c r="H2416" s="25">
        <v>7122.4772727299996</v>
      </c>
      <c r="I2416" s="8">
        <v>36</v>
      </c>
      <c r="J2416" s="9">
        <v>36</v>
      </c>
      <c r="K2416" s="7">
        <v>0</v>
      </c>
      <c r="L2416" s="24">
        <f>+Tabla2[[#This Row],[Stock Inventario]]*Tabla2[[#This Row],[Coste LÃ­nea]]</f>
        <v>256409.18181827999</v>
      </c>
      <c r="M2416" s="24">
        <f>+Tabla2[[#This Row],[Variación Stock]]*Tabla2[[#This Row],[Coste LÃ­nea]]</f>
        <v>0</v>
      </c>
      <c r="N2416" s="22" t="str">
        <f>+IF(Tabla2[[#This Row],[Variación Stock]]&gt;0,"Sobrante",IF(Tabla2[[#This Row],[Variación Stock]]&lt;0,"Faltante","Sin novedad"))</f>
        <v>Sin novedad</v>
      </c>
    </row>
    <row r="2417" spans="1:14" x14ac:dyDescent="0.25">
      <c r="A2417" s="11">
        <v>46044</v>
      </c>
      <c r="B2417" s="5" t="s">
        <v>372</v>
      </c>
      <c r="C2417" s="3" t="s">
        <v>337</v>
      </c>
      <c r="D2417" s="5" t="s">
        <v>118</v>
      </c>
      <c r="E2417" s="5" t="s">
        <v>112</v>
      </c>
      <c r="F2417" s="6" t="s">
        <v>293</v>
      </c>
      <c r="G2417" s="4" t="s">
        <v>2</v>
      </c>
      <c r="H2417" s="25">
        <v>125043</v>
      </c>
      <c r="I2417" s="8">
        <v>2</v>
      </c>
      <c r="J2417" s="9">
        <v>2</v>
      </c>
      <c r="K2417" s="7">
        <v>0</v>
      </c>
      <c r="L2417" s="24">
        <f>+Tabla2[[#This Row],[Stock Inventario]]*Tabla2[[#This Row],[Coste LÃ­nea]]</f>
        <v>250086</v>
      </c>
      <c r="M2417" s="24">
        <f>+Tabla2[[#This Row],[Variación Stock]]*Tabla2[[#This Row],[Coste LÃ­nea]]</f>
        <v>0</v>
      </c>
      <c r="N2417" s="22" t="str">
        <f>+IF(Tabla2[[#This Row],[Variación Stock]]&gt;0,"Sobrante",IF(Tabla2[[#This Row],[Variación Stock]]&lt;0,"Faltante","Sin novedad"))</f>
        <v>Sin novedad</v>
      </c>
    </row>
    <row r="2418" spans="1:14" x14ac:dyDescent="0.25">
      <c r="A2418" s="11">
        <v>46044</v>
      </c>
      <c r="B2418" s="5" t="s">
        <v>372</v>
      </c>
      <c r="C2418" s="3" t="s">
        <v>337</v>
      </c>
      <c r="D2418" s="5" t="s">
        <v>111</v>
      </c>
      <c r="E2418" s="5" t="s">
        <v>112</v>
      </c>
      <c r="F2418" s="6" t="s">
        <v>40</v>
      </c>
      <c r="G2418" s="4" t="s">
        <v>0</v>
      </c>
      <c r="H2418" s="25">
        <v>2172.3017241399998</v>
      </c>
      <c r="I2418" s="8">
        <v>48</v>
      </c>
      <c r="J2418" s="9">
        <v>35</v>
      </c>
      <c r="K2418" s="7">
        <v>-13</v>
      </c>
      <c r="L2418" s="24">
        <f>+Tabla2[[#This Row],[Stock Inventario]]*Tabla2[[#This Row],[Coste LÃ­nea]]</f>
        <v>76030.56034489999</v>
      </c>
      <c r="M2418" s="24">
        <f>+Tabla2[[#This Row],[Variación Stock]]*Tabla2[[#This Row],[Coste LÃ­nea]]</f>
        <v>-28239.922413819997</v>
      </c>
      <c r="N2418" s="22" t="str">
        <f>+IF(Tabla2[[#This Row],[Variación Stock]]&gt;0,"Sobrante",IF(Tabla2[[#This Row],[Variación Stock]]&lt;0,"Faltante","Sin novedad"))</f>
        <v>Faltante</v>
      </c>
    </row>
    <row r="2419" spans="1:14" x14ac:dyDescent="0.25">
      <c r="A2419" s="11">
        <v>46044</v>
      </c>
      <c r="B2419" s="5" t="s">
        <v>372</v>
      </c>
      <c r="C2419" s="3" t="s">
        <v>337</v>
      </c>
      <c r="D2419" s="5" t="s">
        <v>122</v>
      </c>
      <c r="E2419" s="5" t="s">
        <v>112</v>
      </c>
      <c r="F2419" s="6" t="s">
        <v>98</v>
      </c>
      <c r="G2419" s="4" t="s">
        <v>2</v>
      </c>
      <c r="H2419" s="25">
        <v>1654.2666666699999</v>
      </c>
      <c r="I2419" s="8">
        <v>143</v>
      </c>
      <c r="J2419" s="9">
        <v>143</v>
      </c>
      <c r="K2419" s="7">
        <v>0</v>
      </c>
      <c r="L2419" s="24">
        <f>+Tabla2[[#This Row],[Stock Inventario]]*Tabla2[[#This Row],[Coste LÃ­nea]]</f>
        <v>236560.13333380999</v>
      </c>
      <c r="M2419" s="24">
        <f>+Tabla2[[#This Row],[Variación Stock]]*Tabla2[[#This Row],[Coste LÃ­nea]]</f>
        <v>0</v>
      </c>
      <c r="N2419" s="22" t="str">
        <f>+IF(Tabla2[[#This Row],[Variación Stock]]&gt;0,"Sobrante",IF(Tabla2[[#This Row],[Variación Stock]]&lt;0,"Faltante","Sin novedad"))</f>
        <v>Sin novedad</v>
      </c>
    </row>
    <row r="2420" spans="1:14" x14ac:dyDescent="0.25">
      <c r="A2420" s="11">
        <v>46044</v>
      </c>
      <c r="B2420" s="5" t="s">
        <v>372</v>
      </c>
      <c r="C2420" s="3" t="s">
        <v>337</v>
      </c>
      <c r="D2420" s="5" t="s">
        <v>118</v>
      </c>
      <c r="E2420" s="5" t="s">
        <v>112</v>
      </c>
      <c r="F2420" s="6" t="s">
        <v>83</v>
      </c>
      <c r="G2420" s="4" t="s">
        <v>2</v>
      </c>
      <c r="H2420" s="25">
        <v>37608</v>
      </c>
      <c r="I2420" s="8">
        <v>6</v>
      </c>
      <c r="J2420" s="9">
        <v>6</v>
      </c>
      <c r="K2420" s="7">
        <v>0</v>
      </c>
      <c r="L2420" s="24">
        <f>+Tabla2[[#This Row],[Stock Inventario]]*Tabla2[[#This Row],[Coste LÃ­nea]]</f>
        <v>225648</v>
      </c>
      <c r="M2420" s="24">
        <f>+Tabla2[[#This Row],[Variación Stock]]*Tabla2[[#This Row],[Coste LÃ­nea]]</f>
        <v>0</v>
      </c>
      <c r="N2420" s="22" t="str">
        <f>+IF(Tabla2[[#This Row],[Variación Stock]]&gt;0,"Sobrante",IF(Tabla2[[#This Row],[Variación Stock]]&lt;0,"Faltante","Sin novedad"))</f>
        <v>Sin novedad</v>
      </c>
    </row>
    <row r="2421" spans="1:14" hidden="1" x14ac:dyDescent="0.25">
      <c r="A2421" s="11">
        <v>46037</v>
      </c>
      <c r="B2421" s="5" t="s">
        <v>336</v>
      </c>
      <c r="C2421" s="3" t="s">
        <v>337</v>
      </c>
      <c r="D2421" s="5" t="s">
        <v>323</v>
      </c>
      <c r="E2421" s="5" t="s">
        <v>117</v>
      </c>
      <c r="F2421" s="6" t="s">
        <v>326</v>
      </c>
      <c r="G2421" s="4" t="s">
        <v>1</v>
      </c>
      <c r="H2421" s="25">
        <v>31.318912749999999</v>
      </c>
      <c r="I2421" s="8">
        <v>4890</v>
      </c>
      <c r="J2421" s="9">
        <v>9000</v>
      </c>
      <c r="K2421" s="7">
        <v>4110</v>
      </c>
      <c r="L2421" s="24">
        <f>+Tabla2[[#This Row],[Stock Inventario]]*Tabla2[[#This Row],[Coste LÃ­nea]]</f>
        <v>281870.21474999998</v>
      </c>
      <c r="M2421" s="24">
        <f>+Tabla2[[#This Row],[Variación Stock]]*Tabla2[[#This Row],[Coste LÃ­nea]]</f>
        <v>128720.73140249999</v>
      </c>
      <c r="N2421" s="22" t="str">
        <f>+IF(Tabla2[[#This Row],[Variación Stock]]&gt;0,"Sobrante",IF(Tabla2[[#This Row],[Variación Stock]]&lt;0,"Faltante","Sin novedad"))</f>
        <v>Sobrante</v>
      </c>
    </row>
    <row r="2422" spans="1:14" x14ac:dyDescent="0.25">
      <c r="A2422" s="11">
        <v>46044</v>
      </c>
      <c r="B2422" s="5" t="s">
        <v>372</v>
      </c>
      <c r="C2422" s="3" t="s">
        <v>337</v>
      </c>
      <c r="D2422" s="5" t="s">
        <v>118</v>
      </c>
      <c r="E2422" s="5" t="s">
        <v>112</v>
      </c>
      <c r="F2422" s="6" t="s">
        <v>299</v>
      </c>
      <c r="G2422" s="4" t="s">
        <v>2</v>
      </c>
      <c r="H2422" s="25">
        <v>72880</v>
      </c>
      <c r="I2422" s="8">
        <v>3</v>
      </c>
      <c r="J2422" s="9">
        <v>3</v>
      </c>
      <c r="K2422" s="7">
        <v>0</v>
      </c>
      <c r="L2422" s="24">
        <f>+Tabla2[[#This Row],[Stock Inventario]]*Tabla2[[#This Row],[Coste LÃ­nea]]</f>
        <v>218640</v>
      </c>
      <c r="M2422" s="24">
        <f>+Tabla2[[#This Row],[Variación Stock]]*Tabla2[[#This Row],[Coste LÃ­nea]]</f>
        <v>0</v>
      </c>
      <c r="N2422" s="22" t="str">
        <f>+IF(Tabla2[[#This Row],[Variación Stock]]&gt;0,"Sobrante",IF(Tabla2[[#This Row],[Variación Stock]]&lt;0,"Faltante","Sin novedad"))</f>
        <v>Sin novedad</v>
      </c>
    </row>
    <row r="2423" spans="1:14" x14ac:dyDescent="0.25">
      <c r="A2423" s="11">
        <v>46044</v>
      </c>
      <c r="B2423" s="5" t="s">
        <v>372</v>
      </c>
      <c r="C2423" s="3" t="s">
        <v>337</v>
      </c>
      <c r="D2423" s="5" t="s">
        <v>111</v>
      </c>
      <c r="E2423" s="5" t="s">
        <v>112</v>
      </c>
      <c r="F2423" s="6" t="s">
        <v>55</v>
      </c>
      <c r="G2423" s="4" t="s">
        <v>0</v>
      </c>
      <c r="H2423" s="25">
        <v>3171.7162499999999</v>
      </c>
      <c r="I2423" s="8">
        <v>35</v>
      </c>
      <c r="J2423" s="9">
        <v>36</v>
      </c>
      <c r="K2423" s="7">
        <v>1</v>
      </c>
      <c r="L2423" s="24">
        <f>+Tabla2[[#This Row],[Stock Inventario]]*Tabla2[[#This Row],[Coste LÃ­nea]]</f>
        <v>114181.785</v>
      </c>
      <c r="M2423" s="24">
        <f>+Tabla2[[#This Row],[Variación Stock]]*Tabla2[[#This Row],[Coste LÃ­nea]]</f>
        <v>3171.7162499999999</v>
      </c>
      <c r="N2423" s="22" t="str">
        <f>+IF(Tabla2[[#This Row],[Variación Stock]]&gt;0,"Sobrante",IF(Tabla2[[#This Row],[Variación Stock]]&lt;0,"Faltante","Sin novedad"))</f>
        <v>Sobrante</v>
      </c>
    </row>
    <row r="2424" spans="1:14" x14ac:dyDescent="0.25">
      <c r="A2424" s="11">
        <v>46037</v>
      </c>
      <c r="B2424" s="5" t="s">
        <v>336</v>
      </c>
      <c r="C2424" s="3" t="s">
        <v>337</v>
      </c>
      <c r="D2424" s="5" t="s">
        <v>111</v>
      </c>
      <c r="E2424" s="5" t="s">
        <v>112</v>
      </c>
      <c r="F2424" s="6" t="s">
        <v>29</v>
      </c>
      <c r="G2424" s="4" t="s">
        <v>0</v>
      </c>
      <c r="H2424" s="25">
        <v>12951.25</v>
      </c>
      <c r="I2424" s="8">
        <v>-8</v>
      </c>
      <c r="J2424" s="9">
        <v>17</v>
      </c>
      <c r="K2424" s="7">
        <v>25</v>
      </c>
      <c r="L2424" s="24">
        <f>+Tabla2[[#This Row],[Stock Inventario]]*Tabla2[[#This Row],[Coste LÃ­nea]]</f>
        <v>220171.25</v>
      </c>
      <c r="M2424" s="24">
        <f>+Tabla2[[#This Row],[Variación Stock]]*Tabla2[[#This Row],[Coste LÃ­nea]]</f>
        <v>323781.25</v>
      </c>
      <c r="N2424" s="22" t="str">
        <f>+IF(Tabla2[[#This Row],[Variación Stock]]&gt;0,"Sobrante",IF(Tabla2[[#This Row],[Variación Stock]]&lt;0,"Faltante","Sin novedad"))</f>
        <v>Sobrante</v>
      </c>
    </row>
    <row r="2425" spans="1:14" hidden="1" x14ac:dyDescent="0.25">
      <c r="A2425" s="11">
        <v>46044</v>
      </c>
      <c r="B2425" s="5" t="s">
        <v>372</v>
      </c>
      <c r="C2425" s="3" t="s">
        <v>337</v>
      </c>
      <c r="D2425" s="5" t="s">
        <v>323</v>
      </c>
      <c r="E2425" s="5" t="s">
        <v>117</v>
      </c>
      <c r="F2425" s="6" t="s">
        <v>326</v>
      </c>
      <c r="G2425" s="4" t="s">
        <v>1</v>
      </c>
      <c r="H2425" s="25">
        <v>28.99074663</v>
      </c>
      <c r="I2425" s="8">
        <v>20732.678</v>
      </c>
      <c r="J2425" s="9">
        <v>7000</v>
      </c>
      <c r="K2425" s="7">
        <v>-13732.678</v>
      </c>
      <c r="L2425" s="24">
        <f>+Tabla2[[#This Row],[Stock Inventario]]*Tabla2[[#This Row],[Coste LÃ­nea]]</f>
        <v>202935.22641</v>
      </c>
      <c r="M2425" s="24">
        <f>+Tabla2[[#This Row],[Variación Stock]]*Tabla2[[#This Row],[Coste LÃ­nea]]</f>
        <v>-398120.58844937512</v>
      </c>
      <c r="N2425" s="22" t="str">
        <f>+IF(Tabla2[[#This Row],[Variación Stock]]&gt;0,"Sobrante",IF(Tabla2[[#This Row],[Variación Stock]]&lt;0,"Faltante","Sin novedad"))</f>
        <v>Faltante</v>
      </c>
    </row>
    <row r="2426" spans="1:14" x14ac:dyDescent="0.25">
      <c r="A2426" s="11">
        <v>46044</v>
      </c>
      <c r="B2426" s="5" t="s">
        <v>372</v>
      </c>
      <c r="C2426" s="3" t="s">
        <v>337</v>
      </c>
      <c r="D2426" s="5" t="s">
        <v>114</v>
      </c>
      <c r="E2426" s="5" t="s">
        <v>112</v>
      </c>
      <c r="F2426" s="6" t="s">
        <v>60</v>
      </c>
      <c r="G2426" s="4" t="s">
        <v>2</v>
      </c>
      <c r="H2426" s="25">
        <v>2323.7849794200001</v>
      </c>
      <c r="I2426" s="8">
        <v>87</v>
      </c>
      <c r="J2426" s="9">
        <v>87</v>
      </c>
      <c r="K2426" s="7">
        <v>0</v>
      </c>
      <c r="L2426" s="24">
        <f>+Tabla2[[#This Row],[Stock Inventario]]*Tabla2[[#This Row],[Coste LÃ­nea]]</f>
        <v>202169.29320954002</v>
      </c>
      <c r="M2426" s="24">
        <f>+Tabla2[[#This Row],[Variación Stock]]*Tabla2[[#This Row],[Coste LÃ­nea]]</f>
        <v>0</v>
      </c>
      <c r="N2426" s="22" t="str">
        <f>+IF(Tabla2[[#This Row],[Variación Stock]]&gt;0,"Sobrante",IF(Tabla2[[#This Row],[Variación Stock]]&lt;0,"Faltante","Sin novedad"))</f>
        <v>Sin novedad</v>
      </c>
    </row>
    <row r="2427" spans="1:14" x14ac:dyDescent="0.25">
      <c r="A2427" s="11">
        <v>46044</v>
      </c>
      <c r="B2427" s="5" t="s">
        <v>372</v>
      </c>
      <c r="C2427" s="3" t="s">
        <v>337</v>
      </c>
      <c r="D2427" s="5" t="s">
        <v>111</v>
      </c>
      <c r="E2427" s="5" t="s">
        <v>112</v>
      </c>
      <c r="F2427" s="6" t="s">
        <v>18</v>
      </c>
      <c r="G2427" s="4" t="s">
        <v>2</v>
      </c>
      <c r="H2427" s="25">
        <v>100385</v>
      </c>
      <c r="I2427" s="8">
        <v>2</v>
      </c>
      <c r="J2427" s="9">
        <v>2</v>
      </c>
      <c r="K2427" s="7">
        <v>0</v>
      </c>
      <c r="L2427" s="24">
        <f>+Tabla2[[#This Row],[Stock Inventario]]*Tabla2[[#This Row],[Coste LÃ­nea]]</f>
        <v>200770</v>
      </c>
      <c r="M2427" s="24">
        <f>+Tabla2[[#This Row],[Variación Stock]]*Tabla2[[#This Row],[Coste LÃ­nea]]</f>
        <v>0</v>
      </c>
      <c r="N2427" s="22" t="str">
        <f>+IF(Tabla2[[#This Row],[Variación Stock]]&gt;0,"Sobrante",IF(Tabla2[[#This Row],[Variación Stock]]&lt;0,"Faltante","Sin novedad"))</f>
        <v>Sin novedad</v>
      </c>
    </row>
    <row r="2428" spans="1:14" x14ac:dyDescent="0.25">
      <c r="A2428" s="11">
        <v>46044</v>
      </c>
      <c r="B2428" s="5" t="s">
        <v>372</v>
      </c>
      <c r="C2428" s="3" t="s">
        <v>337</v>
      </c>
      <c r="D2428" s="5" t="s">
        <v>111</v>
      </c>
      <c r="E2428" s="5" t="s">
        <v>112</v>
      </c>
      <c r="F2428" s="6" t="s">
        <v>38</v>
      </c>
      <c r="G2428" s="4" t="s">
        <v>0</v>
      </c>
      <c r="H2428" s="25">
        <v>2972.2291666699998</v>
      </c>
      <c r="I2428" s="8">
        <v>67</v>
      </c>
      <c r="J2428" s="9">
        <v>67</v>
      </c>
      <c r="K2428" s="7">
        <v>0</v>
      </c>
      <c r="L2428" s="24">
        <f>+Tabla2[[#This Row],[Stock Inventario]]*Tabla2[[#This Row],[Coste LÃ­nea]]</f>
        <v>199139.35416689</v>
      </c>
      <c r="M2428" s="24">
        <f>+Tabla2[[#This Row],[Variación Stock]]*Tabla2[[#This Row],[Coste LÃ­nea]]</f>
        <v>0</v>
      </c>
      <c r="N2428" s="22" t="str">
        <f>+IF(Tabla2[[#This Row],[Variación Stock]]&gt;0,"Sobrante",IF(Tabla2[[#This Row],[Variación Stock]]&lt;0,"Faltante","Sin novedad"))</f>
        <v>Sin novedad</v>
      </c>
    </row>
    <row r="2429" spans="1:14" x14ac:dyDescent="0.25">
      <c r="A2429" s="11">
        <v>46044</v>
      </c>
      <c r="B2429" s="5" t="s">
        <v>372</v>
      </c>
      <c r="C2429" s="3" t="s">
        <v>337</v>
      </c>
      <c r="D2429" s="5" t="s">
        <v>118</v>
      </c>
      <c r="E2429" s="5" t="s">
        <v>112</v>
      </c>
      <c r="F2429" s="6" t="s">
        <v>82</v>
      </c>
      <c r="G2429" s="4" t="s">
        <v>2</v>
      </c>
      <c r="H2429" s="25">
        <v>63372.666666669997</v>
      </c>
      <c r="I2429" s="8">
        <v>3</v>
      </c>
      <c r="J2429" s="9">
        <v>3</v>
      </c>
      <c r="K2429" s="7">
        <v>0</v>
      </c>
      <c r="L2429" s="24">
        <f>+Tabla2[[#This Row],[Stock Inventario]]*Tabla2[[#This Row],[Coste LÃ­nea]]</f>
        <v>190118.00000000998</v>
      </c>
      <c r="M2429" s="24">
        <f>+Tabla2[[#This Row],[Variación Stock]]*Tabla2[[#This Row],[Coste LÃ­nea]]</f>
        <v>0</v>
      </c>
      <c r="N2429" s="22" t="str">
        <f>+IF(Tabla2[[#This Row],[Variación Stock]]&gt;0,"Sobrante",IF(Tabla2[[#This Row],[Variación Stock]]&lt;0,"Faltante","Sin novedad"))</f>
        <v>Sin novedad</v>
      </c>
    </row>
    <row r="2430" spans="1:14" x14ac:dyDescent="0.25">
      <c r="A2430" s="11">
        <v>46044</v>
      </c>
      <c r="B2430" s="5" t="s">
        <v>372</v>
      </c>
      <c r="C2430" s="3" t="s">
        <v>337</v>
      </c>
      <c r="D2430" s="5" t="s">
        <v>111</v>
      </c>
      <c r="E2430" s="5" t="s">
        <v>112</v>
      </c>
      <c r="F2430" s="6" t="s">
        <v>28</v>
      </c>
      <c r="G2430" s="4" t="s">
        <v>2</v>
      </c>
      <c r="H2430" s="25">
        <v>93956</v>
      </c>
      <c r="I2430" s="8">
        <v>2</v>
      </c>
      <c r="J2430" s="9">
        <v>2</v>
      </c>
      <c r="K2430" s="7">
        <v>0</v>
      </c>
      <c r="L2430" s="24">
        <f>+Tabla2[[#This Row],[Stock Inventario]]*Tabla2[[#This Row],[Coste LÃ­nea]]</f>
        <v>187912</v>
      </c>
      <c r="M2430" s="24">
        <f>+Tabla2[[#This Row],[Variación Stock]]*Tabla2[[#This Row],[Coste LÃ­nea]]</f>
        <v>0</v>
      </c>
      <c r="N2430" s="22" t="str">
        <f>+IF(Tabla2[[#This Row],[Variación Stock]]&gt;0,"Sobrante",IF(Tabla2[[#This Row],[Variación Stock]]&lt;0,"Faltante","Sin novedad"))</f>
        <v>Sin novedad</v>
      </c>
    </row>
    <row r="2431" spans="1:14" x14ac:dyDescent="0.25">
      <c r="A2431" s="11">
        <v>46044</v>
      </c>
      <c r="B2431" s="5" t="s">
        <v>372</v>
      </c>
      <c r="C2431" s="3" t="s">
        <v>337</v>
      </c>
      <c r="D2431" s="5" t="s">
        <v>111</v>
      </c>
      <c r="E2431" s="5" t="s">
        <v>112</v>
      </c>
      <c r="F2431" s="6" t="s">
        <v>29</v>
      </c>
      <c r="G2431" s="4" t="s">
        <v>0</v>
      </c>
      <c r="H2431" s="25">
        <v>12951.25</v>
      </c>
      <c r="I2431" s="8">
        <v>17</v>
      </c>
      <c r="J2431" s="9">
        <v>14</v>
      </c>
      <c r="K2431" s="7">
        <v>-3</v>
      </c>
      <c r="L2431" s="24">
        <f>+Tabla2[[#This Row],[Stock Inventario]]*Tabla2[[#This Row],[Coste LÃ­nea]]</f>
        <v>181317.5</v>
      </c>
      <c r="M2431" s="24">
        <f>+Tabla2[[#This Row],[Variación Stock]]*Tabla2[[#This Row],[Coste LÃ­nea]]</f>
        <v>-38853.75</v>
      </c>
      <c r="N2431" s="22" t="str">
        <f>+IF(Tabla2[[#This Row],[Variación Stock]]&gt;0,"Sobrante",IF(Tabla2[[#This Row],[Variación Stock]]&lt;0,"Faltante","Sin novedad"))</f>
        <v>Faltante</v>
      </c>
    </row>
    <row r="2432" spans="1:14" x14ac:dyDescent="0.25">
      <c r="A2432" s="11">
        <v>46044</v>
      </c>
      <c r="B2432" s="5" t="s">
        <v>372</v>
      </c>
      <c r="C2432" s="3" t="s">
        <v>337</v>
      </c>
      <c r="D2432" s="5" t="s">
        <v>114</v>
      </c>
      <c r="E2432" s="5" t="s">
        <v>112</v>
      </c>
      <c r="F2432" s="6" t="s">
        <v>66</v>
      </c>
      <c r="G2432" s="4" t="s">
        <v>2</v>
      </c>
      <c r="H2432" s="25">
        <v>4986.0833333299997</v>
      </c>
      <c r="I2432" s="8">
        <v>36.5</v>
      </c>
      <c r="J2432" s="9">
        <v>36.5</v>
      </c>
      <c r="K2432" s="7">
        <v>0</v>
      </c>
      <c r="L2432" s="24">
        <f>+Tabla2[[#This Row],[Stock Inventario]]*Tabla2[[#This Row],[Coste LÃ­nea]]</f>
        <v>181992.041666545</v>
      </c>
      <c r="M2432" s="24">
        <f>+Tabla2[[#This Row],[Variación Stock]]*Tabla2[[#This Row],[Coste LÃ­nea]]</f>
        <v>0</v>
      </c>
      <c r="N2432" s="22" t="str">
        <f>+IF(Tabla2[[#This Row],[Variación Stock]]&gt;0,"Sobrante",IF(Tabla2[[#This Row],[Variación Stock]]&lt;0,"Faltante","Sin novedad"))</f>
        <v>Sin novedad</v>
      </c>
    </row>
    <row r="2433" spans="1:14" x14ac:dyDescent="0.25">
      <c r="A2433" s="11">
        <v>46044</v>
      </c>
      <c r="B2433" s="5" t="s">
        <v>372</v>
      </c>
      <c r="C2433" s="3" t="s">
        <v>337</v>
      </c>
      <c r="D2433" s="5" t="s">
        <v>118</v>
      </c>
      <c r="E2433" s="5" t="s">
        <v>112</v>
      </c>
      <c r="F2433" s="6" t="s">
        <v>301</v>
      </c>
      <c r="G2433" s="4" t="s">
        <v>81</v>
      </c>
      <c r="H2433" s="25">
        <v>15151.2</v>
      </c>
      <c r="I2433" s="8">
        <v>12</v>
      </c>
      <c r="J2433" s="9">
        <v>12</v>
      </c>
      <c r="K2433" s="7">
        <v>0</v>
      </c>
      <c r="L2433" s="24">
        <f>+Tabla2[[#This Row],[Stock Inventario]]*Tabla2[[#This Row],[Coste LÃ­nea]]</f>
        <v>181814.40000000002</v>
      </c>
      <c r="M2433" s="24">
        <f>+Tabla2[[#This Row],[Variación Stock]]*Tabla2[[#This Row],[Coste LÃ­nea]]</f>
        <v>0</v>
      </c>
      <c r="N2433" s="22" t="str">
        <f>+IF(Tabla2[[#This Row],[Variación Stock]]&gt;0,"Sobrante",IF(Tabla2[[#This Row],[Variación Stock]]&lt;0,"Faltante","Sin novedad"))</f>
        <v>Sin novedad</v>
      </c>
    </row>
    <row r="2434" spans="1:14" hidden="1" x14ac:dyDescent="0.25">
      <c r="A2434" s="11">
        <v>46037</v>
      </c>
      <c r="B2434" s="5" t="s">
        <v>336</v>
      </c>
      <c r="C2434" s="3" t="s">
        <v>337</v>
      </c>
      <c r="D2434" s="5" t="s">
        <v>323</v>
      </c>
      <c r="E2434" s="5" t="s">
        <v>117</v>
      </c>
      <c r="F2434" s="6" t="s">
        <v>327</v>
      </c>
      <c r="G2434" s="4" t="s">
        <v>1</v>
      </c>
      <c r="H2434" s="25">
        <v>45.287459560000002</v>
      </c>
      <c r="I2434" s="8">
        <v>3925</v>
      </c>
      <c r="J2434" s="9">
        <v>4000</v>
      </c>
      <c r="K2434" s="7">
        <v>75</v>
      </c>
      <c r="L2434" s="24">
        <f>+Tabla2[[#This Row],[Stock Inventario]]*Tabla2[[#This Row],[Coste LÃ­nea]]</f>
        <v>181149.83824000001</v>
      </c>
      <c r="M2434" s="24">
        <f>+Tabla2[[#This Row],[Variación Stock]]*Tabla2[[#This Row],[Coste LÃ­nea]]</f>
        <v>3396.559467</v>
      </c>
      <c r="N2434" s="22" t="str">
        <f>+IF(Tabla2[[#This Row],[Variación Stock]]&gt;0,"Sobrante",IF(Tabla2[[#This Row],[Variación Stock]]&lt;0,"Faltante","Sin novedad"))</f>
        <v>Sobrante</v>
      </c>
    </row>
    <row r="2435" spans="1:14" hidden="1" x14ac:dyDescent="0.25">
      <c r="A2435" s="11">
        <v>46044</v>
      </c>
      <c r="B2435" s="5" t="s">
        <v>372</v>
      </c>
      <c r="C2435" s="3" t="s">
        <v>337</v>
      </c>
      <c r="D2435" s="5" t="s">
        <v>323</v>
      </c>
      <c r="E2435" s="5" t="s">
        <v>117</v>
      </c>
      <c r="F2435" s="6" t="s">
        <v>327</v>
      </c>
      <c r="G2435" s="4" t="s">
        <v>1</v>
      </c>
      <c r="H2435" s="25">
        <v>41.579090909999998</v>
      </c>
      <c r="I2435" s="8">
        <v>3500</v>
      </c>
      <c r="J2435" s="9">
        <v>2000</v>
      </c>
      <c r="K2435" s="7">
        <v>-1500</v>
      </c>
      <c r="L2435" s="24">
        <f>+Tabla2[[#This Row],[Stock Inventario]]*Tabla2[[#This Row],[Coste LÃ­nea]]</f>
        <v>83158.181819999998</v>
      </c>
      <c r="M2435" s="24">
        <f>+Tabla2[[#This Row],[Variación Stock]]*Tabla2[[#This Row],[Coste LÃ­nea]]</f>
        <v>-62368.636364999998</v>
      </c>
      <c r="N2435" s="22" t="str">
        <f>+IF(Tabla2[[#This Row],[Variación Stock]]&gt;0,"Sobrante",IF(Tabla2[[#This Row],[Variación Stock]]&lt;0,"Faltante","Sin novedad"))</f>
        <v>Faltante</v>
      </c>
    </row>
    <row r="2436" spans="1:14" x14ac:dyDescent="0.25">
      <c r="A2436" s="11">
        <v>46044</v>
      </c>
      <c r="B2436" s="5" t="s">
        <v>372</v>
      </c>
      <c r="C2436" s="3" t="s">
        <v>337</v>
      </c>
      <c r="D2436" s="5" t="s">
        <v>111</v>
      </c>
      <c r="E2436" s="5" t="s">
        <v>112</v>
      </c>
      <c r="F2436" s="6" t="s">
        <v>52</v>
      </c>
      <c r="G2436" s="4" t="s">
        <v>0</v>
      </c>
      <c r="H2436" s="25">
        <v>6800.3640183199996</v>
      </c>
      <c r="I2436" s="8">
        <v>26</v>
      </c>
      <c r="J2436" s="9">
        <v>26</v>
      </c>
      <c r="K2436" s="7">
        <v>0</v>
      </c>
      <c r="L2436" s="24">
        <f>+Tabla2[[#This Row],[Stock Inventario]]*Tabla2[[#This Row],[Coste LÃ­nea]]</f>
        <v>176809.46447631999</v>
      </c>
      <c r="M2436" s="24">
        <f>+Tabla2[[#This Row],[Variación Stock]]*Tabla2[[#This Row],[Coste LÃ­nea]]</f>
        <v>0</v>
      </c>
      <c r="N2436" s="22" t="str">
        <f>+IF(Tabla2[[#This Row],[Variación Stock]]&gt;0,"Sobrante",IF(Tabla2[[#This Row],[Variación Stock]]&lt;0,"Faltante","Sin novedad"))</f>
        <v>Sin novedad</v>
      </c>
    </row>
    <row r="2437" spans="1:14" x14ac:dyDescent="0.25">
      <c r="A2437" s="11">
        <v>46044</v>
      </c>
      <c r="B2437" s="5" t="s">
        <v>372</v>
      </c>
      <c r="C2437" s="3" t="s">
        <v>337</v>
      </c>
      <c r="D2437" s="5" t="s">
        <v>114</v>
      </c>
      <c r="E2437" s="5" t="s">
        <v>112</v>
      </c>
      <c r="F2437" s="6" t="s">
        <v>61</v>
      </c>
      <c r="G2437" s="4" t="s">
        <v>2</v>
      </c>
      <c r="H2437" s="25">
        <v>2119.75</v>
      </c>
      <c r="I2437" s="8">
        <v>83</v>
      </c>
      <c r="J2437" s="9">
        <v>83</v>
      </c>
      <c r="K2437" s="7">
        <v>0</v>
      </c>
      <c r="L2437" s="24">
        <f>+Tabla2[[#This Row],[Stock Inventario]]*Tabla2[[#This Row],[Coste LÃ­nea]]</f>
        <v>175939.25</v>
      </c>
      <c r="M2437" s="24">
        <f>+Tabla2[[#This Row],[Variación Stock]]*Tabla2[[#This Row],[Coste LÃ­nea]]</f>
        <v>0</v>
      </c>
      <c r="N2437" s="22" t="str">
        <f>+IF(Tabla2[[#This Row],[Variación Stock]]&gt;0,"Sobrante",IF(Tabla2[[#This Row],[Variación Stock]]&lt;0,"Faltante","Sin novedad"))</f>
        <v>Sin novedad</v>
      </c>
    </row>
    <row r="2438" spans="1:14" x14ac:dyDescent="0.25">
      <c r="A2438" s="11">
        <v>46037</v>
      </c>
      <c r="B2438" s="5" t="s">
        <v>336</v>
      </c>
      <c r="C2438" s="3" t="s">
        <v>337</v>
      </c>
      <c r="D2438" s="5" t="s">
        <v>114</v>
      </c>
      <c r="E2438" s="5" t="s">
        <v>112</v>
      </c>
      <c r="F2438" s="6" t="s">
        <v>3</v>
      </c>
      <c r="G2438" s="4" t="s">
        <v>2</v>
      </c>
      <c r="H2438" s="25">
        <v>1497.59166667</v>
      </c>
      <c r="I2438" s="8">
        <v>188.1</v>
      </c>
      <c r="J2438" s="9">
        <v>186</v>
      </c>
      <c r="K2438" s="7">
        <v>-2.1</v>
      </c>
      <c r="L2438" s="24">
        <f>+Tabla2[[#This Row],[Stock Inventario]]*Tabla2[[#This Row],[Coste LÃ­nea]]</f>
        <v>278552.05000062002</v>
      </c>
      <c r="M2438" s="24">
        <f>+Tabla2[[#This Row],[Variación Stock]]*Tabla2[[#This Row],[Coste LÃ­nea]]</f>
        <v>-3144.942500007</v>
      </c>
      <c r="N2438" s="22" t="str">
        <f>+IF(Tabla2[[#This Row],[Variación Stock]]&gt;0,"Sobrante",IF(Tabla2[[#This Row],[Variación Stock]]&lt;0,"Faltante","Sin novedad"))</f>
        <v>Faltante</v>
      </c>
    </row>
    <row r="2439" spans="1:14" hidden="1" x14ac:dyDescent="0.25">
      <c r="A2439" s="11">
        <v>46037</v>
      </c>
      <c r="B2439" s="5" t="s">
        <v>336</v>
      </c>
      <c r="C2439" s="3" t="s">
        <v>337</v>
      </c>
      <c r="D2439" s="5" t="s">
        <v>120</v>
      </c>
      <c r="E2439" s="5" t="s">
        <v>117</v>
      </c>
      <c r="F2439" s="6" t="s">
        <v>318</v>
      </c>
      <c r="G2439" s="4" t="s">
        <v>2</v>
      </c>
      <c r="H2439" s="25">
        <v>4372.9455555000004</v>
      </c>
      <c r="I2439" s="8">
        <v>-9</v>
      </c>
      <c r="J2439" s="9">
        <v>6</v>
      </c>
      <c r="K2439" s="7">
        <v>15</v>
      </c>
      <c r="L2439" s="24">
        <f>+Tabla2[[#This Row],[Stock Inventario]]*Tabla2[[#This Row],[Coste LÃ­nea]]</f>
        <v>26237.673333000002</v>
      </c>
      <c r="M2439" s="24">
        <f>+Tabla2[[#This Row],[Variación Stock]]*Tabla2[[#This Row],[Coste LÃ­nea]]</f>
        <v>65594.183332500004</v>
      </c>
      <c r="N2439" s="22" t="str">
        <f>+IF(Tabla2[[#This Row],[Variación Stock]]&gt;0,"Sobrante",IF(Tabla2[[#This Row],[Variación Stock]]&lt;0,"Faltante","Sin novedad"))</f>
        <v>Sobrante</v>
      </c>
    </row>
    <row r="2440" spans="1:14" hidden="1" x14ac:dyDescent="0.25">
      <c r="A2440" s="11">
        <v>46044</v>
      </c>
      <c r="B2440" s="5" t="s">
        <v>372</v>
      </c>
      <c r="C2440" s="3" t="s">
        <v>337</v>
      </c>
      <c r="D2440" s="5" t="s">
        <v>120</v>
      </c>
      <c r="E2440" s="5" t="s">
        <v>117</v>
      </c>
      <c r="F2440" s="6" t="s">
        <v>318</v>
      </c>
      <c r="G2440" s="4" t="s">
        <v>2</v>
      </c>
      <c r="H2440" s="25">
        <v>5396.4738635900003</v>
      </c>
      <c r="I2440" s="8">
        <v>25</v>
      </c>
      <c r="J2440" s="9">
        <v>7</v>
      </c>
      <c r="K2440" s="7">
        <v>-18</v>
      </c>
      <c r="L2440" s="24">
        <f>+Tabla2[[#This Row],[Stock Inventario]]*Tabla2[[#This Row],[Coste LÃ­nea]]</f>
        <v>37775.317045130003</v>
      </c>
      <c r="M2440" s="24">
        <f>+Tabla2[[#This Row],[Variación Stock]]*Tabla2[[#This Row],[Coste LÃ­nea]]</f>
        <v>-97136.529544620003</v>
      </c>
      <c r="N2440" s="22" t="str">
        <f>+IF(Tabla2[[#This Row],[Variación Stock]]&gt;0,"Sobrante",IF(Tabla2[[#This Row],[Variación Stock]]&lt;0,"Faltante","Sin novedad"))</f>
        <v>Faltante</v>
      </c>
    </row>
    <row r="2441" spans="1:14" x14ac:dyDescent="0.25">
      <c r="A2441" s="11">
        <v>46044</v>
      </c>
      <c r="B2441" s="5" t="s">
        <v>372</v>
      </c>
      <c r="C2441" s="3" t="s">
        <v>337</v>
      </c>
      <c r="D2441" s="5" t="s">
        <v>111</v>
      </c>
      <c r="E2441" s="5" t="s">
        <v>112</v>
      </c>
      <c r="F2441" s="6" t="s">
        <v>17</v>
      </c>
      <c r="G2441" s="4" t="s">
        <v>0</v>
      </c>
      <c r="H2441" s="25">
        <v>14896.95833333</v>
      </c>
      <c r="I2441" s="8">
        <v>9</v>
      </c>
      <c r="J2441" s="9">
        <v>9</v>
      </c>
      <c r="K2441" s="7">
        <v>0</v>
      </c>
      <c r="L2441" s="24">
        <f>+Tabla2[[#This Row],[Stock Inventario]]*Tabla2[[#This Row],[Coste LÃ­nea]]</f>
        <v>134072.62499996999</v>
      </c>
      <c r="M2441" s="24">
        <f>+Tabla2[[#This Row],[Variación Stock]]*Tabla2[[#This Row],[Coste LÃ­nea]]</f>
        <v>0</v>
      </c>
      <c r="N2441" s="22" t="str">
        <f>+IF(Tabla2[[#This Row],[Variación Stock]]&gt;0,"Sobrante",IF(Tabla2[[#This Row],[Variación Stock]]&lt;0,"Faltante","Sin novedad"))</f>
        <v>Sin novedad</v>
      </c>
    </row>
    <row r="2442" spans="1:14" x14ac:dyDescent="0.25">
      <c r="A2442" s="11">
        <v>46044</v>
      </c>
      <c r="B2442" s="5" t="s">
        <v>372</v>
      </c>
      <c r="C2442" s="3" t="s">
        <v>337</v>
      </c>
      <c r="D2442" s="5" t="s">
        <v>114</v>
      </c>
      <c r="E2442" s="5" t="s">
        <v>112</v>
      </c>
      <c r="F2442" s="6" t="s">
        <v>3</v>
      </c>
      <c r="G2442" s="4" t="s">
        <v>2</v>
      </c>
      <c r="H2442" s="25">
        <v>1497.59166667</v>
      </c>
      <c r="I2442" s="8">
        <v>114.7</v>
      </c>
      <c r="J2442" s="9">
        <v>124.5</v>
      </c>
      <c r="K2442" s="7">
        <v>9.8000000000000007</v>
      </c>
      <c r="L2442" s="24">
        <f>+Tabla2[[#This Row],[Stock Inventario]]*Tabla2[[#This Row],[Coste LÃ­nea]]</f>
        <v>186450.162500415</v>
      </c>
      <c r="M2442" s="24">
        <f>+Tabla2[[#This Row],[Variación Stock]]*Tabla2[[#This Row],[Coste LÃ­nea]]</f>
        <v>14676.398333366002</v>
      </c>
      <c r="N2442" s="22" t="str">
        <f>+IF(Tabla2[[#This Row],[Variación Stock]]&gt;0,"Sobrante",IF(Tabla2[[#This Row],[Variación Stock]]&lt;0,"Faltante","Sin novedad"))</f>
        <v>Sobrante</v>
      </c>
    </row>
    <row r="2443" spans="1:14" x14ac:dyDescent="0.25">
      <c r="A2443" s="11">
        <v>46044</v>
      </c>
      <c r="B2443" s="5" t="s">
        <v>372</v>
      </c>
      <c r="C2443" s="3" t="s">
        <v>337</v>
      </c>
      <c r="D2443" s="5" t="s">
        <v>111</v>
      </c>
      <c r="E2443" s="5" t="s">
        <v>112</v>
      </c>
      <c r="F2443" s="6" t="s">
        <v>35</v>
      </c>
      <c r="G2443" s="4" t="s">
        <v>0</v>
      </c>
      <c r="H2443" s="25">
        <v>6045.125</v>
      </c>
      <c r="I2443" s="8">
        <v>21</v>
      </c>
      <c r="J2443" s="9">
        <v>21</v>
      </c>
      <c r="K2443" s="7">
        <v>0</v>
      </c>
      <c r="L2443" s="24">
        <f>+Tabla2[[#This Row],[Stock Inventario]]*Tabla2[[#This Row],[Coste LÃ­nea]]</f>
        <v>126947.625</v>
      </c>
      <c r="M2443" s="24">
        <f>+Tabla2[[#This Row],[Variación Stock]]*Tabla2[[#This Row],[Coste LÃ­nea]]</f>
        <v>0</v>
      </c>
      <c r="N2443" s="22" t="str">
        <f>+IF(Tabla2[[#This Row],[Variación Stock]]&gt;0,"Sobrante",IF(Tabla2[[#This Row],[Variación Stock]]&lt;0,"Faltante","Sin novedad"))</f>
        <v>Sin novedad</v>
      </c>
    </row>
    <row r="2444" spans="1:14" x14ac:dyDescent="0.25">
      <c r="A2444" s="11">
        <v>46044</v>
      </c>
      <c r="B2444" s="5" t="s">
        <v>372</v>
      </c>
      <c r="C2444" s="3" t="s">
        <v>337</v>
      </c>
      <c r="D2444" s="5" t="s">
        <v>115</v>
      </c>
      <c r="E2444" s="5" t="s">
        <v>112</v>
      </c>
      <c r="F2444" s="6" t="s">
        <v>290</v>
      </c>
      <c r="G2444" s="4" t="s">
        <v>2</v>
      </c>
      <c r="H2444" s="25">
        <v>11200</v>
      </c>
      <c r="I2444" s="8">
        <v>11</v>
      </c>
      <c r="J2444" s="9">
        <v>11</v>
      </c>
      <c r="K2444" s="7">
        <v>0</v>
      </c>
      <c r="L2444" s="24">
        <f>+Tabla2[[#This Row],[Stock Inventario]]*Tabla2[[#This Row],[Coste LÃ­nea]]</f>
        <v>123200</v>
      </c>
      <c r="M2444" s="24">
        <f>+Tabla2[[#This Row],[Variación Stock]]*Tabla2[[#This Row],[Coste LÃ­nea]]</f>
        <v>0</v>
      </c>
      <c r="N2444" s="22" t="str">
        <f>+IF(Tabla2[[#This Row],[Variación Stock]]&gt;0,"Sobrante",IF(Tabla2[[#This Row],[Variación Stock]]&lt;0,"Faltante","Sin novedad"))</f>
        <v>Sin novedad</v>
      </c>
    </row>
    <row r="2445" spans="1:14" x14ac:dyDescent="0.25">
      <c r="A2445" s="11">
        <v>46037</v>
      </c>
      <c r="B2445" s="5" t="s">
        <v>336</v>
      </c>
      <c r="C2445" s="3" t="s">
        <v>337</v>
      </c>
      <c r="D2445" s="5" t="s">
        <v>121</v>
      </c>
      <c r="E2445" s="5" t="s">
        <v>112</v>
      </c>
      <c r="F2445" s="6" t="s">
        <v>332</v>
      </c>
      <c r="G2445" s="4" t="s">
        <v>0</v>
      </c>
      <c r="H2445" s="25">
        <v>2979.9057392099999</v>
      </c>
      <c r="I2445" s="8">
        <v>29</v>
      </c>
      <c r="J2445" s="9">
        <v>31</v>
      </c>
      <c r="K2445" s="7">
        <v>2</v>
      </c>
      <c r="L2445" s="24">
        <f>+Tabla2[[#This Row],[Stock Inventario]]*Tabla2[[#This Row],[Coste LÃ­nea]]</f>
        <v>92377.077915510003</v>
      </c>
      <c r="M2445" s="24">
        <f>+Tabla2[[#This Row],[Variación Stock]]*Tabla2[[#This Row],[Coste LÃ­nea]]</f>
        <v>5959.8114784199997</v>
      </c>
      <c r="N2445" s="22" t="str">
        <f>+IF(Tabla2[[#This Row],[Variación Stock]]&gt;0,"Sobrante",IF(Tabla2[[#This Row],[Variación Stock]]&lt;0,"Faltante","Sin novedad"))</f>
        <v>Sobrante</v>
      </c>
    </row>
    <row r="2446" spans="1:14" x14ac:dyDescent="0.25">
      <c r="A2446" s="11">
        <v>46044</v>
      </c>
      <c r="B2446" s="5" t="s">
        <v>372</v>
      </c>
      <c r="C2446" s="3" t="s">
        <v>337</v>
      </c>
      <c r="D2446" s="5" t="s">
        <v>115</v>
      </c>
      <c r="E2446" s="5" t="s">
        <v>112</v>
      </c>
      <c r="F2446" s="6" t="s">
        <v>74</v>
      </c>
      <c r="G2446" s="4" t="s">
        <v>2</v>
      </c>
      <c r="H2446" s="25">
        <v>3465.1666666699998</v>
      </c>
      <c r="I2446" s="8">
        <v>33</v>
      </c>
      <c r="J2446" s="9">
        <v>33</v>
      </c>
      <c r="K2446" s="7">
        <v>0</v>
      </c>
      <c r="L2446" s="24">
        <f>+Tabla2[[#This Row],[Stock Inventario]]*Tabla2[[#This Row],[Coste LÃ­nea]]</f>
        <v>114350.50000011</v>
      </c>
      <c r="M2446" s="24">
        <f>+Tabla2[[#This Row],[Variación Stock]]*Tabla2[[#This Row],[Coste LÃ­nea]]</f>
        <v>0</v>
      </c>
      <c r="N2446" s="22" t="str">
        <f>+IF(Tabla2[[#This Row],[Variación Stock]]&gt;0,"Sobrante",IF(Tabla2[[#This Row],[Variación Stock]]&lt;0,"Faltante","Sin novedad"))</f>
        <v>Sin novedad</v>
      </c>
    </row>
    <row r="2447" spans="1:14" x14ac:dyDescent="0.25">
      <c r="A2447" s="11">
        <v>46037</v>
      </c>
      <c r="B2447" s="5" t="s">
        <v>336</v>
      </c>
      <c r="C2447" s="3" t="s">
        <v>337</v>
      </c>
      <c r="D2447" s="5" t="s">
        <v>121</v>
      </c>
      <c r="E2447" s="5" t="s">
        <v>112</v>
      </c>
      <c r="F2447" s="6" t="s">
        <v>333</v>
      </c>
      <c r="G2447" s="4" t="s">
        <v>0</v>
      </c>
      <c r="H2447" s="25">
        <v>3055.80310022</v>
      </c>
      <c r="I2447" s="8">
        <v>89</v>
      </c>
      <c r="J2447" s="9">
        <v>88</v>
      </c>
      <c r="K2447" s="7">
        <v>-1</v>
      </c>
      <c r="L2447" s="24">
        <f>+Tabla2[[#This Row],[Stock Inventario]]*Tabla2[[#This Row],[Coste LÃ­nea]]</f>
        <v>268910.67281935998</v>
      </c>
      <c r="M2447" s="24">
        <f>+Tabla2[[#This Row],[Variación Stock]]*Tabla2[[#This Row],[Coste LÃ­nea]]</f>
        <v>-3055.80310022</v>
      </c>
      <c r="N2447" s="22" t="str">
        <f>+IF(Tabla2[[#This Row],[Variación Stock]]&gt;0,"Sobrante",IF(Tabla2[[#This Row],[Variación Stock]]&lt;0,"Faltante","Sin novedad"))</f>
        <v>Faltante</v>
      </c>
    </row>
    <row r="2448" spans="1:14" x14ac:dyDescent="0.25">
      <c r="A2448" s="11">
        <v>46044</v>
      </c>
      <c r="B2448" s="5" t="s">
        <v>372</v>
      </c>
      <c r="C2448" s="3" t="s">
        <v>337</v>
      </c>
      <c r="D2448" s="5" t="s">
        <v>118</v>
      </c>
      <c r="E2448" s="5" t="s">
        <v>112</v>
      </c>
      <c r="F2448" s="6" t="s">
        <v>87</v>
      </c>
      <c r="G2448" s="4" t="s">
        <v>2</v>
      </c>
      <c r="H2448" s="25">
        <v>37612</v>
      </c>
      <c r="I2448" s="8">
        <v>3</v>
      </c>
      <c r="J2448" s="9">
        <v>3</v>
      </c>
      <c r="K2448" s="7">
        <v>0</v>
      </c>
      <c r="L2448" s="24">
        <f>+Tabla2[[#This Row],[Stock Inventario]]*Tabla2[[#This Row],[Coste LÃ­nea]]</f>
        <v>112836</v>
      </c>
      <c r="M2448" s="24">
        <f>+Tabla2[[#This Row],[Variación Stock]]*Tabla2[[#This Row],[Coste LÃ­nea]]</f>
        <v>0</v>
      </c>
      <c r="N2448" s="22" t="str">
        <f>+IF(Tabla2[[#This Row],[Variación Stock]]&gt;0,"Sobrante",IF(Tabla2[[#This Row],[Variación Stock]]&lt;0,"Faltante","Sin novedad"))</f>
        <v>Sin novedad</v>
      </c>
    </row>
    <row r="2449" spans="1:14" x14ac:dyDescent="0.25">
      <c r="A2449" s="11">
        <v>46044</v>
      </c>
      <c r="B2449" s="5" t="s">
        <v>372</v>
      </c>
      <c r="C2449" s="3" t="s">
        <v>337</v>
      </c>
      <c r="D2449" s="5" t="s">
        <v>115</v>
      </c>
      <c r="E2449" s="5" t="s">
        <v>112</v>
      </c>
      <c r="F2449" s="6" t="s">
        <v>291</v>
      </c>
      <c r="G2449" s="4" t="s">
        <v>2</v>
      </c>
      <c r="H2449" s="25">
        <v>4102.8333333299997</v>
      </c>
      <c r="I2449" s="8">
        <v>27</v>
      </c>
      <c r="J2449" s="9">
        <v>27</v>
      </c>
      <c r="K2449" s="7">
        <v>0</v>
      </c>
      <c r="L2449" s="24">
        <f>+Tabla2[[#This Row],[Stock Inventario]]*Tabla2[[#This Row],[Coste LÃ­nea]]</f>
        <v>110776.49999991</v>
      </c>
      <c r="M2449" s="24">
        <f>+Tabla2[[#This Row],[Variación Stock]]*Tabla2[[#This Row],[Coste LÃ­nea]]</f>
        <v>0</v>
      </c>
      <c r="N2449" s="22" t="str">
        <f>+IF(Tabla2[[#This Row],[Variación Stock]]&gt;0,"Sobrante",IF(Tabla2[[#This Row],[Variación Stock]]&lt;0,"Faltante","Sin novedad"))</f>
        <v>Sin novedad</v>
      </c>
    </row>
    <row r="2450" spans="1:14" x14ac:dyDescent="0.25">
      <c r="A2450" s="11">
        <v>46044</v>
      </c>
      <c r="B2450" s="5" t="s">
        <v>372</v>
      </c>
      <c r="C2450" s="3" t="s">
        <v>337</v>
      </c>
      <c r="D2450" s="5" t="s">
        <v>118</v>
      </c>
      <c r="E2450" s="5" t="s">
        <v>112</v>
      </c>
      <c r="F2450" s="6" t="s">
        <v>86</v>
      </c>
      <c r="G2450" s="4" t="s">
        <v>81</v>
      </c>
      <c r="H2450" s="25">
        <v>10889.4</v>
      </c>
      <c r="I2450" s="8">
        <v>10</v>
      </c>
      <c r="J2450" s="9">
        <v>10</v>
      </c>
      <c r="K2450" s="7">
        <v>0</v>
      </c>
      <c r="L2450" s="24">
        <f>+Tabla2[[#This Row],[Stock Inventario]]*Tabla2[[#This Row],[Coste LÃ­nea]]</f>
        <v>108894</v>
      </c>
      <c r="M2450" s="24">
        <f>+Tabla2[[#This Row],[Variación Stock]]*Tabla2[[#This Row],[Coste LÃ­nea]]</f>
        <v>0</v>
      </c>
      <c r="N2450" s="22" t="str">
        <f>+IF(Tabla2[[#This Row],[Variación Stock]]&gt;0,"Sobrante",IF(Tabla2[[#This Row],[Variación Stock]]&lt;0,"Faltante","Sin novedad"))</f>
        <v>Sin novedad</v>
      </c>
    </row>
    <row r="2451" spans="1:14" x14ac:dyDescent="0.25">
      <c r="A2451" s="11">
        <v>46044</v>
      </c>
      <c r="B2451" s="5" t="s">
        <v>372</v>
      </c>
      <c r="C2451" s="3" t="s">
        <v>337</v>
      </c>
      <c r="D2451" s="5" t="s">
        <v>118</v>
      </c>
      <c r="E2451" s="5" t="s">
        <v>112</v>
      </c>
      <c r="F2451" s="6" t="s">
        <v>85</v>
      </c>
      <c r="G2451" s="4" t="s">
        <v>81</v>
      </c>
      <c r="H2451" s="25">
        <v>9853.2000000000007</v>
      </c>
      <c r="I2451" s="8">
        <v>11</v>
      </c>
      <c r="J2451" s="9">
        <v>11</v>
      </c>
      <c r="K2451" s="7">
        <v>0</v>
      </c>
      <c r="L2451" s="24">
        <f>+Tabla2[[#This Row],[Stock Inventario]]*Tabla2[[#This Row],[Coste LÃ­nea]]</f>
        <v>108385.20000000001</v>
      </c>
      <c r="M2451" s="24">
        <f>+Tabla2[[#This Row],[Variación Stock]]*Tabla2[[#This Row],[Coste LÃ­nea]]</f>
        <v>0</v>
      </c>
      <c r="N2451" s="22" t="str">
        <f>+IF(Tabla2[[#This Row],[Variación Stock]]&gt;0,"Sobrante",IF(Tabla2[[#This Row],[Variación Stock]]&lt;0,"Faltante","Sin novedad"))</f>
        <v>Sin novedad</v>
      </c>
    </row>
    <row r="2452" spans="1:14" x14ac:dyDescent="0.25">
      <c r="A2452" s="11">
        <v>46044</v>
      </c>
      <c r="B2452" s="5" t="s">
        <v>372</v>
      </c>
      <c r="C2452" s="3" t="s">
        <v>337</v>
      </c>
      <c r="D2452" s="5" t="s">
        <v>122</v>
      </c>
      <c r="E2452" s="5" t="s">
        <v>112</v>
      </c>
      <c r="F2452" s="6" t="s">
        <v>97</v>
      </c>
      <c r="G2452" s="4" t="s">
        <v>2</v>
      </c>
      <c r="H2452" s="25">
        <v>1234.3916666699999</v>
      </c>
      <c r="I2452" s="8">
        <v>87</v>
      </c>
      <c r="J2452" s="9">
        <v>87</v>
      </c>
      <c r="K2452" s="7">
        <v>0</v>
      </c>
      <c r="L2452" s="24">
        <f>+Tabla2[[#This Row],[Stock Inventario]]*Tabla2[[#This Row],[Coste LÃ­nea]]</f>
        <v>107392.07500029</v>
      </c>
      <c r="M2452" s="24">
        <f>+Tabla2[[#This Row],[Variación Stock]]*Tabla2[[#This Row],[Coste LÃ­nea]]</f>
        <v>0</v>
      </c>
      <c r="N2452" s="22" t="str">
        <f>+IF(Tabla2[[#This Row],[Variación Stock]]&gt;0,"Sobrante",IF(Tabla2[[#This Row],[Variación Stock]]&lt;0,"Faltante","Sin novedad"))</f>
        <v>Sin novedad</v>
      </c>
    </row>
    <row r="2453" spans="1:14" x14ac:dyDescent="0.25">
      <c r="A2453" s="11">
        <v>46044</v>
      </c>
      <c r="B2453" s="5" t="s">
        <v>372</v>
      </c>
      <c r="C2453" s="3" t="s">
        <v>337</v>
      </c>
      <c r="D2453" s="5" t="s">
        <v>118</v>
      </c>
      <c r="E2453" s="5" t="s">
        <v>112</v>
      </c>
      <c r="F2453" s="6" t="s">
        <v>306</v>
      </c>
      <c r="G2453" s="4" t="s">
        <v>81</v>
      </c>
      <c r="H2453" s="25">
        <v>10715.3</v>
      </c>
      <c r="I2453" s="8">
        <v>10</v>
      </c>
      <c r="J2453" s="9">
        <v>10</v>
      </c>
      <c r="K2453" s="7">
        <v>0</v>
      </c>
      <c r="L2453" s="24">
        <f>+Tabla2[[#This Row],[Stock Inventario]]*Tabla2[[#This Row],[Coste LÃ­nea]]</f>
        <v>107153</v>
      </c>
      <c r="M2453" s="24">
        <f>+Tabla2[[#This Row],[Variación Stock]]*Tabla2[[#This Row],[Coste LÃ­nea]]</f>
        <v>0</v>
      </c>
      <c r="N2453" s="22" t="str">
        <f>+IF(Tabla2[[#This Row],[Variación Stock]]&gt;0,"Sobrante",IF(Tabla2[[#This Row],[Variación Stock]]&lt;0,"Faltante","Sin novedad"))</f>
        <v>Sin novedad</v>
      </c>
    </row>
    <row r="2454" spans="1:14" x14ac:dyDescent="0.25">
      <c r="A2454" s="11">
        <v>46037</v>
      </c>
      <c r="B2454" s="5" t="s">
        <v>336</v>
      </c>
      <c r="C2454" s="3" t="s">
        <v>337</v>
      </c>
      <c r="D2454" s="5" t="s">
        <v>121</v>
      </c>
      <c r="E2454" s="5" t="s">
        <v>112</v>
      </c>
      <c r="F2454" s="6" t="s">
        <v>334</v>
      </c>
      <c r="G2454" s="4" t="s">
        <v>0</v>
      </c>
      <c r="H2454" s="25">
        <v>8239.9012388899991</v>
      </c>
      <c r="I2454" s="8">
        <v>27</v>
      </c>
      <c r="J2454" s="9">
        <v>28</v>
      </c>
      <c r="K2454" s="7">
        <v>1</v>
      </c>
      <c r="L2454" s="24">
        <f>+Tabla2[[#This Row],[Stock Inventario]]*Tabla2[[#This Row],[Coste LÃ­nea]]</f>
        <v>230717.23468891997</v>
      </c>
      <c r="M2454" s="24">
        <f>+Tabla2[[#This Row],[Variación Stock]]*Tabla2[[#This Row],[Coste LÃ­nea]]</f>
        <v>8239.9012388899991</v>
      </c>
      <c r="N2454" s="22" t="str">
        <f>+IF(Tabla2[[#This Row],[Variación Stock]]&gt;0,"Sobrante",IF(Tabla2[[#This Row],[Variación Stock]]&lt;0,"Faltante","Sin novedad"))</f>
        <v>Sobrante</v>
      </c>
    </row>
    <row r="2455" spans="1:14" hidden="1" x14ac:dyDescent="0.25">
      <c r="A2455" s="11">
        <v>46044</v>
      </c>
      <c r="B2455" s="5" t="s">
        <v>372</v>
      </c>
      <c r="C2455" s="3" t="s">
        <v>337</v>
      </c>
      <c r="D2455" s="5" t="s">
        <v>119</v>
      </c>
      <c r="E2455" s="5" t="s">
        <v>117</v>
      </c>
      <c r="F2455" s="6" t="s">
        <v>10</v>
      </c>
      <c r="G2455" s="4" t="s">
        <v>2</v>
      </c>
      <c r="H2455" s="25">
        <v>17250.131652659999</v>
      </c>
      <c r="I2455" s="8">
        <v>6</v>
      </c>
      <c r="J2455" s="9">
        <v>6</v>
      </c>
      <c r="K2455" s="7">
        <v>0</v>
      </c>
      <c r="L2455" s="24">
        <f>+Tabla2[[#This Row],[Stock Inventario]]*Tabla2[[#This Row],[Coste LÃ­nea]]</f>
        <v>103500.78991595999</v>
      </c>
      <c r="M2455" s="24">
        <f>+Tabla2[[#This Row],[Variación Stock]]*Tabla2[[#This Row],[Coste LÃ­nea]]</f>
        <v>0</v>
      </c>
      <c r="N2455" s="22" t="str">
        <f>+IF(Tabla2[[#This Row],[Variación Stock]]&gt;0,"Sobrante",IF(Tabla2[[#This Row],[Variación Stock]]&lt;0,"Faltante","Sin novedad"))</f>
        <v>Sin novedad</v>
      </c>
    </row>
    <row r="2456" spans="1:14" x14ac:dyDescent="0.25">
      <c r="A2456" s="11">
        <v>46044</v>
      </c>
      <c r="B2456" s="5" t="s">
        <v>372</v>
      </c>
      <c r="C2456" s="3" t="s">
        <v>337</v>
      </c>
      <c r="D2456" s="5" t="s">
        <v>121</v>
      </c>
      <c r="E2456" s="5" t="s">
        <v>112</v>
      </c>
      <c r="F2456" s="6" t="s">
        <v>331</v>
      </c>
      <c r="G2456" s="4" t="s">
        <v>0</v>
      </c>
      <c r="H2456" s="25">
        <v>3350.3922764200001</v>
      </c>
      <c r="I2456" s="8">
        <v>29</v>
      </c>
      <c r="J2456" s="9">
        <v>29</v>
      </c>
      <c r="K2456" s="7">
        <v>0</v>
      </c>
      <c r="L2456" s="24">
        <f>+Tabla2[[#This Row],[Stock Inventario]]*Tabla2[[#This Row],[Coste LÃ­nea]]</f>
        <v>97161.376016180002</v>
      </c>
      <c r="M2456" s="24">
        <f>+Tabla2[[#This Row],[Variación Stock]]*Tabla2[[#This Row],[Coste LÃ­nea]]</f>
        <v>0</v>
      </c>
      <c r="N2456" s="22" t="str">
        <f>+IF(Tabla2[[#This Row],[Variación Stock]]&gt;0,"Sobrante",IF(Tabla2[[#This Row],[Variación Stock]]&lt;0,"Faltante","Sin novedad"))</f>
        <v>Sin novedad</v>
      </c>
    </row>
    <row r="2457" spans="1:14" x14ac:dyDescent="0.25">
      <c r="A2457" s="11">
        <v>46037</v>
      </c>
      <c r="B2457" s="5" t="s">
        <v>336</v>
      </c>
      <c r="C2457" s="3" t="s">
        <v>337</v>
      </c>
      <c r="D2457" s="5" t="s">
        <v>121</v>
      </c>
      <c r="E2457" s="5" t="s">
        <v>112</v>
      </c>
      <c r="F2457" s="6" t="s">
        <v>335</v>
      </c>
      <c r="G2457" s="4" t="s">
        <v>0</v>
      </c>
      <c r="H2457" s="25">
        <v>4187.4239350999997</v>
      </c>
      <c r="I2457" s="8">
        <v>14</v>
      </c>
      <c r="J2457" s="9">
        <v>17</v>
      </c>
      <c r="K2457" s="7">
        <v>3</v>
      </c>
      <c r="L2457" s="24">
        <f>+Tabla2[[#This Row],[Stock Inventario]]*Tabla2[[#This Row],[Coste LÃ­nea]]</f>
        <v>71186.206896699994</v>
      </c>
      <c r="M2457" s="24">
        <f>+Tabla2[[#This Row],[Variación Stock]]*Tabla2[[#This Row],[Coste LÃ­nea]]</f>
        <v>12562.271805299999</v>
      </c>
      <c r="N2457" s="22" t="str">
        <f>+IF(Tabla2[[#This Row],[Variación Stock]]&gt;0,"Sobrante",IF(Tabla2[[#This Row],[Variación Stock]]&lt;0,"Faltante","Sin novedad"))</f>
        <v>Sobrante</v>
      </c>
    </row>
    <row r="2458" spans="1:14" x14ac:dyDescent="0.25">
      <c r="A2458" s="11">
        <v>46044</v>
      </c>
      <c r="B2458" s="5" t="s">
        <v>372</v>
      </c>
      <c r="C2458" s="3" t="s">
        <v>337</v>
      </c>
      <c r="D2458" s="5" t="s">
        <v>111</v>
      </c>
      <c r="E2458" s="5" t="s">
        <v>112</v>
      </c>
      <c r="F2458" s="6" t="s">
        <v>53</v>
      </c>
      <c r="G2458" s="4" t="s">
        <v>2</v>
      </c>
      <c r="H2458" s="25">
        <v>45099.74</v>
      </c>
      <c r="I2458" s="8">
        <v>2</v>
      </c>
      <c r="J2458" s="9">
        <v>2</v>
      </c>
      <c r="K2458" s="7">
        <v>0</v>
      </c>
      <c r="L2458" s="24">
        <f>+Tabla2[[#This Row],[Stock Inventario]]*Tabla2[[#This Row],[Coste LÃ­nea]]</f>
        <v>90199.48</v>
      </c>
      <c r="M2458" s="24">
        <f>+Tabla2[[#This Row],[Variación Stock]]*Tabla2[[#This Row],[Coste LÃ­nea]]</f>
        <v>0</v>
      </c>
      <c r="N2458" s="22" t="str">
        <f>+IF(Tabla2[[#This Row],[Variación Stock]]&gt;0,"Sobrante",IF(Tabla2[[#This Row],[Variación Stock]]&lt;0,"Faltante","Sin novedad"))</f>
        <v>Sin novedad</v>
      </c>
    </row>
    <row r="2459" spans="1:14" x14ac:dyDescent="0.25">
      <c r="A2459" s="11">
        <v>46037</v>
      </c>
      <c r="B2459" s="5" t="s">
        <v>336</v>
      </c>
      <c r="C2459" s="3" t="s">
        <v>337</v>
      </c>
      <c r="D2459" s="5" t="s">
        <v>111</v>
      </c>
      <c r="E2459" s="5" t="s">
        <v>112</v>
      </c>
      <c r="F2459" s="6" t="s">
        <v>31</v>
      </c>
      <c r="G2459" s="4" t="s">
        <v>0</v>
      </c>
      <c r="H2459" s="25">
        <v>6774.5454545499997</v>
      </c>
      <c r="I2459" s="8">
        <v>43</v>
      </c>
      <c r="J2459" s="9">
        <v>42</v>
      </c>
      <c r="K2459" s="7">
        <v>-1</v>
      </c>
      <c r="L2459" s="24">
        <f>+Tabla2[[#This Row],[Stock Inventario]]*Tabla2[[#This Row],[Coste LÃ­nea]]</f>
        <v>284530.90909109998</v>
      </c>
      <c r="M2459" s="24">
        <f>+Tabla2[[#This Row],[Variación Stock]]*Tabla2[[#This Row],[Coste LÃ­nea]]</f>
        <v>-6774.5454545499997</v>
      </c>
      <c r="N2459" s="22" t="str">
        <f>+IF(Tabla2[[#This Row],[Variación Stock]]&gt;0,"Sobrante",IF(Tabla2[[#This Row],[Variación Stock]]&lt;0,"Faltante","Sin novedad"))</f>
        <v>Faltante</v>
      </c>
    </row>
    <row r="2460" spans="1:14" x14ac:dyDescent="0.25">
      <c r="A2460" s="11">
        <v>46044</v>
      </c>
      <c r="B2460" s="5" t="s">
        <v>372</v>
      </c>
      <c r="C2460" s="3" t="s">
        <v>337</v>
      </c>
      <c r="D2460" s="5" t="s">
        <v>122</v>
      </c>
      <c r="E2460" s="5" t="s">
        <v>112</v>
      </c>
      <c r="F2460" s="6" t="s">
        <v>102</v>
      </c>
      <c r="G2460" s="4" t="s">
        <v>2</v>
      </c>
      <c r="H2460" s="25">
        <v>3458.3270308299998</v>
      </c>
      <c r="I2460" s="8">
        <v>-10</v>
      </c>
      <c r="J2460" s="9">
        <v>2</v>
      </c>
      <c r="K2460" s="7">
        <v>12</v>
      </c>
      <c r="L2460" s="24">
        <f>+Tabla2[[#This Row],[Stock Inventario]]*Tabla2[[#This Row],[Coste LÃ­nea]]</f>
        <v>6916.6540616599996</v>
      </c>
      <c r="M2460" s="24">
        <f>+Tabla2[[#This Row],[Variación Stock]]*Tabla2[[#This Row],[Coste LÃ­nea]]</f>
        <v>41499.924369959997</v>
      </c>
      <c r="N2460" s="22" t="str">
        <f>+IF(Tabla2[[#This Row],[Variación Stock]]&gt;0,"Sobrante",IF(Tabla2[[#This Row],[Variación Stock]]&lt;0,"Faltante","Sin novedad"))</f>
        <v>Sobrante</v>
      </c>
    </row>
    <row r="2461" spans="1:14" x14ac:dyDescent="0.25">
      <c r="A2461" s="11">
        <v>46044</v>
      </c>
      <c r="B2461" s="5" t="s">
        <v>372</v>
      </c>
      <c r="C2461" s="3" t="s">
        <v>337</v>
      </c>
      <c r="D2461" s="5" t="s">
        <v>118</v>
      </c>
      <c r="E2461" s="5" t="s">
        <v>112</v>
      </c>
      <c r="F2461" s="6" t="s">
        <v>297</v>
      </c>
      <c r="G2461" s="4" t="s">
        <v>2</v>
      </c>
      <c r="H2461" s="25">
        <v>87241.5</v>
      </c>
      <c r="I2461" s="8">
        <v>1</v>
      </c>
      <c r="J2461" s="9">
        <v>1</v>
      </c>
      <c r="K2461" s="7">
        <v>0</v>
      </c>
      <c r="L2461" s="24">
        <f>+Tabla2[[#This Row],[Stock Inventario]]*Tabla2[[#This Row],[Coste LÃ­nea]]</f>
        <v>87241.5</v>
      </c>
      <c r="M2461" s="24">
        <f>+Tabla2[[#This Row],[Variación Stock]]*Tabla2[[#This Row],[Coste LÃ­nea]]</f>
        <v>0</v>
      </c>
      <c r="N2461" s="22" t="str">
        <f>+IF(Tabla2[[#This Row],[Variación Stock]]&gt;0,"Sobrante",IF(Tabla2[[#This Row],[Variación Stock]]&lt;0,"Faltante","Sin novedad"))</f>
        <v>Sin novedad</v>
      </c>
    </row>
    <row r="2462" spans="1:14" x14ac:dyDescent="0.25">
      <c r="A2462" s="11">
        <v>46044</v>
      </c>
      <c r="B2462" s="5" t="s">
        <v>372</v>
      </c>
      <c r="C2462" s="3" t="s">
        <v>337</v>
      </c>
      <c r="D2462" s="5" t="s">
        <v>122</v>
      </c>
      <c r="E2462" s="5" t="s">
        <v>112</v>
      </c>
      <c r="F2462" s="6" t="s">
        <v>100</v>
      </c>
      <c r="G2462" s="4" t="s">
        <v>2</v>
      </c>
      <c r="H2462" s="25">
        <v>7857</v>
      </c>
      <c r="I2462" s="8">
        <v>11</v>
      </c>
      <c r="J2462" s="9">
        <v>11</v>
      </c>
      <c r="K2462" s="7">
        <v>0</v>
      </c>
      <c r="L2462" s="24">
        <f>+Tabla2[[#This Row],[Stock Inventario]]*Tabla2[[#This Row],[Coste LÃ­nea]]</f>
        <v>86427</v>
      </c>
      <c r="M2462" s="24">
        <f>+Tabla2[[#This Row],[Variación Stock]]*Tabla2[[#This Row],[Coste LÃ­nea]]</f>
        <v>0</v>
      </c>
      <c r="N2462" s="22" t="str">
        <f>+IF(Tabla2[[#This Row],[Variación Stock]]&gt;0,"Sobrante",IF(Tabla2[[#This Row],[Variación Stock]]&lt;0,"Faltante","Sin novedad"))</f>
        <v>Sin novedad</v>
      </c>
    </row>
    <row r="2463" spans="1:14" x14ac:dyDescent="0.25">
      <c r="A2463" s="11">
        <v>46044</v>
      </c>
      <c r="B2463" s="5" t="s">
        <v>372</v>
      </c>
      <c r="C2463" s="3" t="s">
        <v>337</v>
      </c>
      <c r="D2463" s="5" t="s">
        <v>111</v>
      </c>
      <c r="E2463" s="5" t="s">
        <v>112</v>
      </c>
      <c r="F2463" s="6" t="s">
        <v>37</v>
      </c>
      <c r="G2463" s="4" t="s">
        <v>0</v>
      </c>
      <c r="H2463" s="25">
        <v>4279.4583333299997</v>
      </c>
      <c r="I2463" s="8">
        <v>20</v>
      </c>
      <c r="J2463" s="9">
        <v>20</v>
      </c>
      <c r="K2463" s="7">
        <v>0</v>
      </c>
      <c r="L2463" s="24">
        <f>+Tabla2[[#This Row],[Stock Inventario]]*Tabla2[[#This Row],[Coste LÃ­nea]]</f>
        <v>85589.166666599995</v>
      </c>
      <c r="M2463" s="24">
        <f>+Tabla2[[#This Row],[Variación Stock]]*Tabla2[[#This Row],[Coste LÃ­nea]]</f>
        <v>0</v>
      </c>
      <c r="N2463" s="22" t="str">
        <f>+IF(Tabla2[[#This Row],[Variación Stock]]&gt;0,"Sobrante",IF(Tabla2[[#This Row],[Variación Stock]]&lt;0,"Faltante","Sin novedad"))</f>
        <v>Sin novedad</v>
      </c>
    </row>
    <row r="2464" spans="1:14" x14ac:dyDescent="0.25">
      <c r="A2464" s="11">
        <v>46044</v>
      </c>
      <c r="B2464" s="5" t="s">
        <v>372</v>
      </c>
      <c r="C2464" s="3" t="s">
        <v>337</v>
      </c>
      <c r="D2464" s="5" t="s">
        <v>121</v>
      </c>
      <c r="E2464" s="5" t="s">
        <v>112</v>
      </c>
      <c r="F2464" s="6" t="s">
        <v>332</v>
      </c>
      <c r="G2464" s="4" t="s">
        <v>0</v>
      </c>
      <c r="H2464" s="25">
        <v>2901.3961267599998</v>
      </c>
      <c r="I2464" s="8">
        <v>29</v>
      </c>
      <c r="J2464" s="9">
        <v>29</v>
      </c>
      <c r="K2464" s="7">
        <v>0</v>
      </c>
      <c r="L2464" s="24">
        <f>+Tabla2[[#This Row],[Stock Inventario]]*Tabla2[[#This Row],[Coste LÃ­nea]]</f>
        <v>84140.487676039993</v>
      </c>
      <c r="M2464" s="24">
        <f>+Tabla2[[#This Row],[Variación Stock]]*Tabla2[[#This Row],[Coste LÃ­nea]]</f>
        <v>0</v>
      </c>
      <c r="N2464" s="22" t="str">
        <f>+IF(Tabla2[[#This Row],[Variación Stock]]&gt;0,"Sobrante",IF(Tabla2[[#This Row],[Variación Stock]]&lt;0,"Faltante","Sin novedad"))</f>
        <v>Sin novedad</v>
      </c>
    </row>
    <row r="2465" spans="1:14" x14ac:dyDescent="0.25">
      <c r="A2465" s="11">
        <v>46037</v>
      </c>
      <c r="B2465" s="5" t="s">
        <v>336</v>
      </c>
      <c r="C2465" s="3" t="s">
        <v>337</v>
      </c>
      <c r="D2465" s="5" t="s">
        <v>122</v>
      </c>
      <c r="E2465" s="5" t="s">
        <v>112</v>
      </c>
      <c r="F2465" s="6" t="s">
        <v>105</v>
      </c>
      <c r="G2465" s="4" t="s">
        <v>2</v>
      </c>
      <c r="H2465" s="25">
        <v>3458.25</v>
      </c>
      <c r="I2465" s="8">
        <v>12</v>
      </c>
      <c r="J2465" s="9">
        <v>6</v>
      </c>
      <c r="K2465" s="7">
        <v>-6</v>
      </c>
      <c r="L2465" s="24">
        <f>+Tabla2[[#This Row],[Stock Inventario]]*Tabla2[[#This Row],[Coste LÃ­nea]]</f>
        <v>20749.5</v>
      </c>
      <c r="M2465" s="24">
        <f>+Tabla2[[#This Row],[Variación Stock]]*Tabla2[[#This Row],[Coste LÃ­nea]]</f>
        <v>-20749.5</v>
      </c>
      <c r="N2465" s="22" t="str">
        <f>+IF(Tabla2[[#This Row],[Variación Stock]]&gt;0,"Sobrante",IF(Tabla2[[#This Row],[Variación Stock]]&lt;0,"Faltante","Sin novedad"))</f>
        <v>Faltante</v>
      </c>
    </row>
    <row r="2466" spans="1:14" hidden="1" x14ac:dyDescent="0.25">
      <c r="A2466" s="11">
        <v>46037</v>
      </c>
      <c r="B2466" s="5" t="s">
        <v>336</v>
      </c>
      <c r="C2466" s="3" t="s">
        <v>337</v>
      </c>
      <c r="D2466" s="5" t="s">
        <v>120</v>
      </c>
      <c r="E2466" s="5" t="s">
        <v>117</v>
      </c>
      <c r="F2466" s="6" t="s">
        <v>319</v>
      </c>
      <c r="G2466" s="4" t="s">
        <v>2</v>
      </c>
      <c r="H2466" s="25">
        <v>2106.3735325100001</v>
      </c>
      <c r="I2466" s="8">
        <v>32</v>
      </c>
      <c r="J2466" s="9">
        <v>16</v>
      </c>
      <c r="K2466" s="7">
        <v>-16</v>
      </c>
      <c r="L2466" s="24">
        <f>+Tabla2[[#This Row],[Stock Inventario]]*Tabla2[[#This Row],[Coste LÃ­nea]]</f>
        <v>33701.976520160002</v>
      </c>
      <c r="M2466" s="24">
        <f>+Tabla2[[#This Row],[Variación Stock]]*Tabla2[[#This Row],[Coste LÃ­nea]]</f>
        <v>-33701.976520160002</v>
      </c>
      <c r="N2466" s="22" t="str">
        <f>+IF(Tabla2[[#This Row],[Variación Stock]]&gt;0,"Sobrante",IF(Tabla2[[#This Row],[Variación Stock]]&lt;0,"Faltante","Sin novedad"))</f>
        <v>Faltante</v>
      </c>
    </row>
    <row r="2467" spans="1:14" x14ac:dyDescent="0.25">
      <c r="A2467" s="11">
        <v>46044</v>
      </c>
      <c r="B2467" s="5" t="s">
        <v>372</v>
      </c>
      <c r="C2467" s="3" t="s">
        <v>337</v>
      </c>
      <c r="D2467" s="5" t="s">
        <v>111</v>
      </c>
      <c r="E2467" s="5" t="s">
        <v>112</v>
      </c>
      <c r="F2467" s="6" t="s">
        <v>24</v>
      </c>
      <c r="G2467" s="4" t="s">
        <v>0</v>
      </c>
      <c r="H2467" s="25">
        <v>3359.40909091</v>
      </c>
      <c r="I2467" s="8">
        <v>24.34</v>
      </c>
      <c r="J2467" s="9">
        <v>24</v>
      </c>
      <c r="K2467" s="7">
        <v>-0.34</v>
      </c>
      <c r="L2467" s="24">
        <f>+Tabla2[[#This Row],[Stock Inventario]]*Tabla2[[#This Row],[Coste LÃ­nea]]</f>
        <v>80625.818181840004</v>
      </c>
      <c r="M2467" s="24">
        <f>+Tabla2[[#This Row],[Variación Stock]]*Tabla2[[#This Row],[Coste LÃ­nea]]</f>
        <v>-1142.1990909094002</v>
      </c>
      <c r="N2467" s="22" t="str">
        <f>+IF(Tabla2[[#This Row],[Variación Stock]]&gt;0,"Sobrante",IF(Tabla2[[#This Row],[Variación Stock]]&lt;0,"Faltante","Sin novedad"))</f>
        <v>Faltante</v>
      </c>
    </row>
    <row r="2468" spans="1:14" hidden="1" x14ac:dyDescent="0.25">
      <c r="A2468" s="11">
        <v>46044</v>
      </c>
      <c r="B2468" s="5" t="s">
        <v>372</v>
      </c>
      <c r="C2468" s="3" t="s">
        <v>337</v>
      </c>
      <c r="D2468" s="5" t="s">
        <v>120</v>
      </c>
      <c r="E2468" s="5" t="s">
        <v>117</v>
      </c>
      <c r="F2468" s="6" t="s">
        <v>319</v>
      </c>
      <c r="G2468" s="4" t="s">
        <v>2</v>
      </c>
      <c r="H2468" s="25">
        <v>3371.9832877099998</v>
      </c>
      <c r="I2468" s="8">
        <v>24</v>
      </c>
      <c r="J2468" s="9">
        <v>15</v>
      </c>
      <c r="K2468" s="7">
        <v>-9</v>
      </c>
      <c r="L2468" s="24">
        <f>+Tabla2[[#This Row],[Stock Inventario]]*Tabla2[[#This Row],[Coste LÃ­nea]]</f>
        <v>50579.749315649999</v>
      </c>
      <c r="M2468" s="24">
        <f>+Tabla2[[#This Row],[Variación Stock]]*Tabla2[[#This Row],[Coste LÃ­nea]]</f>
        <v>-30347.849589389996</v>
      </c>
      <c r="N2468" s="22" t="str">
        <f>+IF(Tabla2[[#This Row],[Variación Stock]]&gt;0,"Sobrante",IF(Tabla2[[#This Row],[Variación Stock]]&lt;0,"Faltante","Sin novedad"))</f>
        <v>Faltante</v>
      </c>
    </row>
    <row r="2469" spans="1:14" x14ac:dyDescent="0.25">
      <c r="A2469" s="11">
        <v>46044</v>
      </c>
      <c r="B2469" s="5" t="s">
        <v>372</v>
      </c>
      <c r="C2469" s="3" t="s">
        <v>337</v>
      </c>
      <c r="D2469" s="5" t="s">
        <v>118</v>
      </c>
      <c r="E2469" s="5" t="s">
        <v>112</v>
      </c>
      <c r="F2469" s="6" t="s">
        <v>311</v>
      </c>
      <c r="G2469" s="4" t="s">
        <v>2</v>
      </c>
      <c r="H2469" s="25">
        <v>79652</v>
      </c>
      <c r="I2469" s="8">
        <v>1</v>
      </c>
      <c r="J2469" s="9">
        <v>1</v>
      </c>
      <c r="K2469" s="7">
        <v>0</v>
      </c>
      <c r="L2469" s="24">
        <f>+Tabla2[[#This Row],[Stock Inventario]]*Tabla2[[#This Row],[Coste LÃ­nea]]</f>
        <v>79652</v>
      </c>
      <c r="M2469" s="24">
        <f>+Tabla2[[#This Row],[Variación Stock]]*Tabla2[[#This Row],[Coste LÃ­nea]]</f>
        <v>0</v>
      </c>
      <c r="N2469" s="22" t="str">
        <f>+IF(Tabla2[[#This Row],[Variación Stock]]&gt;0,"Sobrante",IF(Tabla2[[#This Row],[Variación Stock]]&lt;0,"Faltante","Sin novedad"))</f>
        <v>Sin novedad</v>
      </c>
    </row>
    <row r="2470" spans="1:14" x14ac:dyDescent="0.25">
      <c r="A2470" s="11">
        <v>46044</v>
      </c>
      <c r="B2470" s="5" t="s">
        <v>372</v>
      </c>
      <c r="C2470" s="3" t="s">
        <v>337</v>
      </c>
      <c r="D2470" s="5" t="s">
        <v>111</v>
      </c>
      <c r="E2470" s="5" t="s">
        <v>112</v>
      </c>
      <c r="F2470" s="6" t="s">
        <v>46</v>
      </c>
      <c r="G2470" s="4" t="s">
        <v>0</v>
      </c>
      <c r="H2470" s="25">
        <v>2056.3333333300002</v>
      </c>
      <c r="I2470" s="8">
        <v>38</v>
      </c>
      <c r="J2470" s="9">
        <v>38</v>
      </c>
      <c r="K2470" s="7">
        <v>0</v>
      </c>
      <c r="L2470" s="24">
        <f>+Tabla2[[#This Row],[Stock Inventario]]*Tabla2[[#This Row],[Coste LÃ­nea]]</f>
        <v>78140.666666540012</v>
      </c>
      <c r="M2470" s="24">
        <f>+Tabla2[[#This Row],[Variación Stock]]*Tabla2[[#This Row],[Coste LÃ­nea]]</f>
        <v>0</v>
      </c>
      <c r="N2470" s="22" t="str">
        <f>+IF(Tabla2[[#This Row],[Variación Stock]]&gt;0,"Sobrante",IF(Tabla2[[#This Row],[Variación Stock]]&lt;0,"Faltante","Sin novedad"))</f>
        <v>Sin novedad</v>
      </c>
    </row>
    <row r="2471" spans="1:14" x14ac:dyDescent="0.25">
      <c r="A2471" s="11">
        <v>46044</v>
      </c>
      <c r="B2471" s="5" t="s">
        <v>372</v>
      </c>
      <c r="C2471" s="3" t="s">
        <v>337</v>
      </c>
      <c r="D2471" s="5" t="s">
        <v>122</v>
      </c>
      <c r="E2471" s="5" t="s">
        <v>112</v>
      </c>
      <c r="F2471" s="6" t="s">
        <v>105</v>
      </c>
      <c r="G2471" s="4" t="s">
        <v>2</v>
      </c>
      <c r="H2471" s="25">
        <v>3458.25</v>
      </c>
      <c r="I2471" s="8">
        <v>4</v>
      </c>
      <c r="J2471" s="9">
        <v>10</v>
      </c>
      <c r="K2471" s="7">
        <v>6</v>
      </c>
      <c r="L2471" s="24">
        <f>+Tabla2[[#This Row],[Stock Inventario]]*Tabla2[[#This Row],[Coste LÃ­nea]]</f>
        <v>34582.5</v>
      </c>
      <c r="M2471" s="24">
        <f>+Tabla2[[#This Row],[Variación Stock]]*Tabla2[[#This Row],[Coste LÃ­nea]]</f>
        <v>20749.5</v>
      </c>
      <c r="N2471" s="22" t="str">
        <f>+IF(Tabla2[[#This Row],[Variación Stock]]&gt;0,"Sobrante",IF(Tabla2[[#This Row],[Variación Stock]]&lt;0,"Faltante","Sin novedad"))</f>
        <v>Sobrante</v>
      </c>
    </row>
    <row r="2472" spans="1:14" x14ac:dyDescent="0.25">
      <c r="A2472" s="11">
        <v>46037</v>
      </c>
      <c r="B2472" s="5" t="s">
        <v>336</v>
      </c>
      <c r="C2472" s="3" t="s">
        <v>337</v>
      </c>
      <c r="D2472" s="5" t="s">
        <v>122</v>
      </c>
      <c r="E2472" s="5" t="s">
        <v>112</v>
      </c>
      <c r="F2472" s="6" t="s">
        <v>108</v>
      </c>
      <c r="G2472" s="4" t="s">
        <v>2</v>
      </c>
      <c r="H2472" s="25">
        <v>2766.665</v>
      </c>
      <c r="I2472" s="8">
        <v>5</v>
      </c>
      <c r="J2472" s="9">
        <v>9</v>
      </c>
      <c r="K2472" s="7">
        <v>4</v>
      </c>
      <c r="L2472" s="24">
        <f>+Tabla2[[#This Row],[Stock Inventario]]*Tabla2[[#This Row],[Coste LÃ­nea]]</f>
        <v>24899.985000000001</v>
      </c>
      <c r="M2472" s="24">
        <f>+Tabla2[[#This Row],[Variación Stock]]*Tabla2[[#This Row],[Coste LÃ­nea]]</f>
        <v>11066.66</v>
      </c>
      <c r="N2472" s="22" t="str">
        <f>+IF(Tabla2[[#This Row],[Variación Stock]]&gt;0,"Sobrante",IF(Tabla2[[#This Row],[Variación Stock]]&lt;0,"Faltante","Sin novedad"))</f>
        <v>Sobrante</v>
      </c>
    </row>
    <row r="2473" spans="1:14" x14ac:dyDescent="0.25">
      <c r="A2473" s="11">
        <v>46044</v>
      </c>
      <c r="B2473" s="5" t="s">
        <v>372</v>
      </c>
      <c r="C2473" s="3" t="s">
        <v>337</v>
      </c>
      <c r="D2473" s="5" t="s">
        <v>122</v>
      </c>
      <c r="E2473" s="5" t="s">
        <v>112</v>
      </c>
      <c r="F2473" s="6" t="s">
        <v>108</v>
      </c>
      <c r="G2473" s="4" t="s">
        <v>2</v>
      </c>
      <c r="H2473" s="25">
        <v>2766.665</v>
      </c>
      <c r="I2473" s="8">
        <v>9</v>
      </c>
      <c r="J2473" s="9">
        <v>0</v>
      </c>
      <c r="K2473" s="7">
        <v>-9</v>
      </c>
      <c r="L2473" s="24">
        <f>+Tabla2[[#This Row],[Stock Inventario]]*Tabla2[[#This Row],[Coste LÃ­nea]]</f>
        <v>0</v>
      </c>
      <c r="M2473" s="24">
        <f>+Tabla2[[#This Row],[Variación Stock]]*Tabla2[[#This Row],[Coste LÃ­nea]]</f>
        <v>-24899.985000000001</v>
      </c>
      <c r="N2473" s="22" t="str">
        <f>+IF(Tabla2[[#This Row],[Variación Stock]]&gt;0,"Sobrante",IF(Tabla2[[#This Row],[Variación Stock]]&lt;0,"Faltante","Sin novedad"))</f>
        <v>Faltante</v>
      </c>
    </row>
    <row r="2474" spans="1:14" x14ac:dyDescent="0.25">
      <c r="A2474" s="11">
        <v>46044</v>
      </c>
      <c r="B2474" s="5" t="s">
        <v>372</v>
      </c>
      <c r="C2474" s="3" t="s">
        <v>337</v>
      </c>
      <c r="D2474" s="5" t="s">
        <v>118</v>
      </c>
      <c r="E2474" s="5" t="s">
        <v>112</v>
      </c>
      <c r="F2474" s="6" t="s">
        <v>309</v>
      </c>
      <c r="G2474" s="4" t="s">
        <v>2</v>
      </c>
      <c r="H2474" s="25">
        <v>74130.252101000005</v>
      </c>
      <c r="I2474" s="8">
        <v>1</v>
      </c>
      <c r="J2474" s="9">
        <v>1</v>
      </c>
      <c r="K2474" s="7">
        <v>0</v>
      </c>
      <c r="L2474" s="24">
        <f>+Tabla2[[#This Row],[Stock Inventario]]*Tabla2[[#This Row],[Coste LÃ­nea]]</f>
        <v>74130.252101000005</v>
      </c>
      <c r="M2474" s="24">
        <f>+Tabla2[[#This Row],[Variación Stock]]*Tabla2[[#This Row],[Coste LÃ­nea]]</f>
        <v>0</v>
      </c>
      <c r="N2474" s="22" t="str">
        <f>+IF(Tabla2[[#This Row],[Variación Stock]]&gt;0,"Sobrante",IF(Tabla2[[#This Row],[Variación Stock]]&lt;0,"Faltante","Sin novedad"))</f>
        <v>Sin novedad</v>
      </c>
    </row>
    <row r="2475" spans="1:14" x14ac:dyDescent="0.25">
      <c r="A2475" s="11">
        <v>46044</v>
      </c>
      <c r="B2475" s="5" t="s">
        <v>372</v>
      </c>
      <c r="C2475" s="3" t="s">
        <v>337</v>
      </c>
      <c r="D2475" s="5" t="s">
        <v>118</v>
      </c>
      <c r="E2475" s="5" t="s">
        <v>112</v>
      </c>
      <c r="F2475" s="6" t="s">
        <v>310</v>
      </c>
      <c r="G2475" s="4" t="s">
        <v>2</v>
      </c>
      <c r="H2475" s="25">
        <v>73956.022408999997</v>
      </c>
      <c r="I2475" s="8">
        <v>1</v>
      </c>
      <c r="J2475" s="9">
        <v>1</v>
      </c>
      <c r="K2475" s="7">
        <v>0</v>
      </c>
      <c r="L2475" s="24">
        <f>+Tabla2[[#This Row],[Stock Inventario]]*Tabla2[[#This Row],[Coste LÃ­nea]]</f>
        <v>73956.022408999997</v>
      </c>
      <c r="M2475" s="24">
        <f>+Tabla2[[#This Row],[Variación Stock]]*Tabla2[[#This Row],[Coste LÃ­nea]]</f>
        <v>0</v>
      </c>
      <c r="N2475" s="22" t="str">
        <f>+IF(Tabla2[[#This Row],[Variación Stock]]&gt;0,"Sobrante",IF(Tabla2[[#This Row],[Variación Stock]]&lt;0,"Faltante","Sin novedad"))</f>
        <v>Sin novedad</v>
      </c>
    </row>
    <row r="2476" spans="1:14" x14ac:dyDescent="0.25">
      <c r="A2476" s="11">
        <v>46037</v>
      </c>
      <c r="B2476" s="5" t="s">
        <v>336</v>
      </c>
      <c r="C2476" s="3" t="s">
        <v>337</v>
      </c>
      <c r="D2476" s="5" t="s">
        <v>122</v>
      </c>
      <c r="E2476" s="5" t="s">
        <v>112</v>
      </c>
      <c r="F2476" s="6" t="s">
        <v>109</v>
      </c>
      <c r="G2476" s="4" t="s">
        <v>2</v>
      </c>
      <c r="H2476" s="25">
        <v>3458.3333333300002</v>
      </c>
      <c r="I2476" s="8">
        <v>4</v>
      </c>
      <c r="J2476" s="9">
        <v>0</v>
      </c>
      <c r="K2476" s="7">
        <v>-4</v>
      </c>
      <c r="L2476" s="24">
        <f>+Tabla2[[#This Row],[Stock Inventario]]*Tabla2[[#This Row],[Coste LÃ­nea]]</f>
        <v>0</v>
      </c>
      <c r="M2476" s="24">
        <f>+Tabla2[[#This Row],[Variación Stock]]*Tabla2[[#This Row],[Coste LÃ­nea]]</f>
        <v>-13833.333333320001</v>
      </c>
      <c r="N2476" s="22" t="str">
        <f>+IF(Tabla2[[#This Row],[Variación Stock]]&gt;0,"Sobrante",IF(Tabla2[[#This Row],[Variación Stock]]&lt;0,"Faltante","Sin novedad"))</f>
        <v>Faltante</v>
      </c>
    </row>
    <row r="2477" spans="1:14" hidden="1" x14ac:dyDescent="0.25">
      <c r="A2477" s="11">
        <v>46037</v>
      </c>
      <c r="B2477" s="5" t="s">
        <v>336</v>
      </c>
      <c r="C2477" s="3" t="s">
        <v>337</v>
      </c>
      <c r="D2477" s="5" t="s">
        <v>323</v>
      </c>
      <c r="E2477" s="5" t="s">
        <v>117</v>
      </c>
      <c r="F2477" s="6" t="s">
        <v>328</v>
      </c>
      <c r="G2477" s="4" t="s">
        <v>2</v>
      </c>
      <c r="H2477" s="25">
        <v>31393.863636329999</v>
      </c>
      <c r="I2477" s="8">
        <v>7.1</v>
      </c>
      <c r="J2477" s="9">
        <v>23</v>
      </c>
      <c r="K2477" s="7">
        <v>15.9</v>
      </c>
      <c r="L2477" s="24">
        <f>+Tabla2[[#This Row],[Stock Inventario]]*Tabla2[[#This Row],[Coste LÃ­nea]]</f>
        <v>722058.86363558995</v>
      </c>
      <c r="M2477" s="24">
        <f>+Tabla2[[#This Row],[Variación Stock]]*Tabla2[[#This Row],[Coste LÃ­nea]]</f>
        <v>499162.43181764701</v>
      </c>
      <c r="N2477" s="22" t="str">
        <f>+IF(Tabla2[[#This Row],[Variación Stock]]&gt;0,"Sobrante",IF(Tabla2[[#This Row],[Variación Stock]]&lt;0,"Faltante","Sin novedad"))</f>
        <v>Sobrante</v>
      </c>
    </row>
    <row r="2478" spans="1:14" hidden="1" x14ac:dyDescent="0.25">
      <c r="A2478" s="11">
        <v>46044</v>
      </c>
      <c r="B2478" s="5" t="s">
        <v>372</v>
      </c>
      <c r="C2478" s="3" t="s">
        <v>337</v>
      </c>
      <c r="D2478" s="5" t="s">
        <v>323</v>
      </c>
      <c r="E2478" s="5" t="s">
        <v>117</v>
      </c>
      <c r="F2478" s="6" t="s">
        <v>328</v>
      </c>
      <c r="G2478" s="4" t="s">
        <v>2</v>
      </c>
      <c r="H2478" s="25">
        <v>20272.394615379999</v>
      </c>
      <c r="I2478" s="8">
        <v>29.42</v>
      </c>
      <c r="J2478" s="9">
        <v>21</v>
      </c>
      <c r="K2478" s="15">
        <v>-8.42</v>
      </c>
      <c r="L2478" s="24">
        <f>+Tabla2[[#This Row],[Stock Inventario]]*Tabla2[[#This Row],[Coste LÃ­nea]]</f>
        <v>425720.28692297998</v>
      </c>
      <c r="M2478" s="24">
        <f>+Tabla2[[#This Row],[Variación Stock]]*Tabla2[[#This Row],[Coste LÃ­nea]]</f>
        <v>-170693.5626614996</v>
      </c>
      <c r="N2478" s="22" t="str">
        <f>+IF(Tabla2[[#This Row],[Variación Stock]]&gt;0,"Sobrante",IF(Tabla2[[#This Row],[Variación Stock]]&lt;0,"Faltante","Sin novedad"))</f>
        <v>Faltante</v>
      </c>
    </row>
    <row r="2479" spans="1:14" hidden="1" x14ac:dyDescent="0.25">
      <c r="A2479" s="11">
        <v>46037</v>
      </c>
      <c r="B2479" s="5" t="s">
        <v>336</v>
      </c>
      <c r="C2479" s="3" t="s">
        <v>337</v>
      </c>
      <c r="D2479" s="5" t="s">
        <v>323</v>
      </c>
      <c r="E2479" s="5" t="s">
        <v>117</v>
      </c>
      <c r="F2479" s="6" t="s">
        <v>329</v>
      </c>
      <c r="G2479" s="4" t="s">
        <v>2</v>
      </c>
      <c r="H2479" s="25">
        <v>9204.3375632700008</v>
      </c>
      <c r="I2479" s="8">
        <v>26</v>
      </c>
      <c r="J2479" s="9">
        <v>46</v>
      </c>
      <c r="K2479" s="7">
        <v>20</v>
      </c>
      <c r="L2479" s="24">
        <f>+Tabla2[[#This Row],[Stock Inventario]]*Tabla2[[#This Row],[Coste LÃ­nea]]</f>
        <v>423399.52791042003</v>
      </c>
      <c r="M2479" s="24">
        <f>+Tabla2[[#This Row],[Variación Stock]]*Tabla2[[#This Row],[Coste LÃ­nea]]</f>
        <v>184086.75126540003</v>
      </c>
      <c r="N2479" s="22" t="str">
        <f>+IF(Tabla2[[#This Row],[Variación Stock]]&gt;0,"Sobrante",IF(Tabla2[[#This Row],[Variación Stock]]&lt;0,"Faltante","Sin novedad"))</f>
        <v>Sobrante</v>
      </c>
    </row>
    <row r="2480" spans="1:14" x14ac:dyDescent="0.25">
      <c r="A2480" s="11">
        <v>46044</v>
      </c>
      <c r="B2480" s="5" t="s">
        <v>372</v>
      </c>
      <c r="C2480" s="3" t="s">
        <v>337</v>
      </c>
      <c r="D2480" s="5" t="s">
        <v>111</v>
      </c>
      <c r="E2480" s="5" t="s">
        <v>112</v>
      </c>
      <c r="F2480" s="6" t="s">
        <v>48</v>
      </c>
      <c r="G2480" s="4" t="s">
        <v>0</v>
      </c>
      <c r="H2480" s="25">
        <v>1729.16666667</v>
      </c>
      <c r="I2480" s="8">
        <v>39</v>
      </c>
      <c r="J2480" s="9">
        <v>39</v>
      </c>
      <c r="K2480" s="7">
        <v>0</v>
      </c>
      <c r="L2480" s="24">
        <f>+Tabla2[[#This Row],[Stock Inventario]]*Tabla2[[#This Row],[Coste LÃ­nea]]</f>
        <v>67437.500000130007</v>
      </c>
      <c r="M2480" s="24">
        <f>+Tabla2[[#This Row],[Variación Stock]]*Tabla2[[#This Row],[Coste LÃ­nea]]</f>
        <v>0</v>
      </c>
      <c r="N2480" s="22" t="str">
        <f>+IF(Tabla2[[#This Row],[Variación Stock]]&gt;0,"Sobrante",IF(Tabla2[[#This Row],[Variación Stock]]&lt;0,"Faltante","Sin novedad"))</f>
        <v>Sin novedad</v>
      </c>
    </row>
    <row r="2481" spans="1:14" x14ac:dyDescent="0.25">
      <c r="A2481" s="11">
        <v>46044</v>
      </c>
      <c r="B2481" s="5" t="s">
        <v>372</v>
      </c>
      <c r="C2481" s="3" t="s">
        <v>337</v>
      </c>
      <c r="D2481" s="5" t="s">
        <v>121</v>
      </c>
      <c r="E2481" s="5" t="s">
        <v>112</v>
      </c>
      <c r="F2481" s="6" t="s">
        <v>377</v>
      </c>
      <c r="G2481" s="4" t="s">
        <v>0</v>
      </c>
      <c r="H2481" s="25">
        <v>4481.6813725399998</v>
      </c>
      <c r="I2481" s="8">
        <v>15</v>
      </c>
      <c r="J2481" s="9">
        <v>15</v>
      </c>
      <c r="K2481" s="7">
        <v>0</v>
      </c>
      <c r="L2481" s="24">
        <f>+Tabla2[[#This Row],[Stock Inventario]]*Tabla2[[#This Row],[Coste LÃ­nea]]</f>
        <v>67225.220588099997</v>
      </c>
      <c r="M2481" s="24">
        <f>+Tabla2[[#This Row],[Variación Stock]]*Tabla2[[#This Row],[Coste LÃ­nea]]</f>
        <v>0</v>
      </c>
      <c r="N2481" s="22" t="str">
        <f>+IF(Tabla2[[#This Row],[Variación Stock]]&gt;0,"Sobrante",IF(Tabla2[[#This Row],[Variación Stock]]&lt;0,"Faltante","Sin novedad"))</f>
        <v>Sin novedad</v>
      </c>
    </row>
    <row r="2482" spans="1:14" x14ac:dyDescent="0.25">
      <c r="A2482" s="11">
        <v>46044</v>
      </c>
      <c r="B2482" s="5" t="s">
        <v>372</v>
      </c>
      <c r="C2482" s="3" t="s">
        <v>337</v>
      </c>
      <c r="D2482" s="5" t="s">
        <v>118</v>
      </c>
      <c r="E2482" s="5" t="s">
        <v>112</v>
      </c>
      <c r="F2482" s="6" t="s">
        <v>89</v>
      </c>
      <c r="G2482" s="4" t="s">
        <v>81</v>
      </c>
      <c r="H2482" s="25">
        <v>4363.6000000000004</v>
      </c>
      <c r="I2482" s="8">
        <v>15</v>
      </c>
      <c r="J2482" s="9">
        <v>15</v>
      </c>
      <c r="K2482" s="7">
        <v>0</v>
      </c>
      <c r="L2482" s="24">
        <f>+Tabla2[[#This Row],[Stock Inventario]]*Tabla2[[#This Row],[Coste LÃ­nea]]</f>
        <v>65454.000000000007</v>
      </c>
      <c r="M2482" s="24">
        <f>+Tabla2[[#This Row],[Variación Stock]]*Tabla2[[#This Row],[Coste LÃ­nea]]</f>
        <v>0</v>
      </c>
      <c r="N2482" s="22" t="str">
        <f>+IF(Tabla2[[#This Row],[Variación Stock]]&gt;0,"Sobrante",IF(Tabla2[[#This Row],[Variación Stock]]&lt;0,"Faltante","Sin novedad"))</f>
        <v>Sin novedad</v>
      </c>
    </row>
    <row r="2483" spans="1:14" x14ac:dyDescent="0.25">
      <c r="A2483" s="11">
        <v>46044</v>
      </c>
      <c r="B2483" s="5" t="s">
        <v>372</v>
      </c>
      <c r="C2483" s="3" t="s">
        <v>337</v>
      </c>
      <c r="D2483" s="5" t="s">
        <v>122</v>
      </c>
      <c r="E2483" s="5" t="s">
        <v>112</v>
      </c>
      <c r="F2483" s="6" t="s">
        <v>109</v>
      </c>
      <c r="G2483" s="4" t="s">
        <v>2</v>
      </c>
      <c r="H2483" s="25">
        <v>3458.3333333300002</v>
      </c>
      <c r="I2483" s="8">
        <v>-1</v>
      </c>
      <c r="J2483" s="9">
        <v>8</v>
      </c>
      <c r="K2483" s="7">
        <v>9</v>
      </c>
      <c r="L2483" s="24">
        <f>+Tabla2[[#This Row],[Stock Inventario]]*Tabla2[[#This Row],[Coste LÃ­nea]]</f>
        <v>27666.666666640001</v>
      </c>
      <c r="M2483" s="24">
        <f>+Tabla2[[#This Row],[Variación Stock]]*Tabla2[[#This Row],[Coste LÃ­nea]]</f>
        <v>31124.999999970001</v>
      </c>
      <c r="N2483" s="22" t="str">
        <f>+IF(Tabla2[[#This Row],[Variación Stock]]&gt;0,"Sobrante",IF(Tabla2[[#This Row],[Variación Stock]]&lt;0,"Faltante","Sin novedad"))</f>
        <v>Sobrante</v>
      </c>
    </row>
    <row r="2484" spans="1:14" x14ac:dyDescent="0.25">
      <c r="A2484" s="11">
        <v>46044</v>
      </c>
      <c r="B2484" s="5" t="s">
        <v>372</v>
      </c>
      <c r="C2484" s="3" t="s">
        <v>337</v>
      </c>
      <c r="D2484" s="5" t="s">
        <v>115</v>
      </c>
      <c r="E2484" s="5" t="s">
        <v>112</v>
      </c>
      <c r="F2484" s="6" t="s">
        <v>71</v>
      </c>
      <c r="G2484" s="4" t="s">
        <v>2</v>
      </c>
      <c r="H2484" s="25">
        <v>2335.0666666699999</v>
      </c>
      <c r="I2484" s="8">
        <v>26</v>
      </c>
      <c r="J2484" s="9">
        <v>26</v>
      </c>
      <c r="K2484" s="7">
        <v>0</v>
      </c>
      <c r="L2484" s="24">
        <f>+Tabla2[[#This Row],[Stock Inventario]]*Tabla2[[#This Row],[Coste LÃ­nea]]</f>
        <v>60711.733333419994</v>
      </c>
      <c r="M2484" s="24">
        <f>+Tabla2[[#This Row],[Variación Stock]]*Tabla2[[#This Row],[Coste LÃ­nea]]</f>
        <v>0</v>
      </c>
      <c r="N2484" s="22" t="str">
        <f>+IF(Tabla2[[#This Row],[Variación Stock]]&gt;0,"Sobrante",IF(Tabla2[[#This Row],[Variación Stock]]&lt;0,"Faltante","Sin novedad"))</f>
        <v>Sin novedad</v>
      </c>
    </row>
    <row r="2485" spans="1:14" hidden="1" x14ac:dyDescent="0.25">
      <c r="A2485" s="11">
        <v>46044</v>
      </c>
      <c r="B2485" s="5" t="s">
        <v>372</v>
      </c>
      <c r="C2485" s="3" t="s">
        <v>337</v>
      </c>
      <c r="D2485" s="5" t="s">
        <v>323</v>
      </c>
      <c r="E2485" s="5" t="s">
        <v>117</v>
      </c>
      <c r="F2485" s="6" t="s">
        <v>329</v>
      </c>
      <c r="G2485" s="4" t="s">
        <v>2</v>
      </c>
      <c r="H2485" s="25">
        <v>7157.6045853699998</v>
      </c>
      <c r="I2485" s="8">
        <v>51</v>
      </c>
      <c r="J2485" s="9">
        <v>31</v>
      </c>
      <c r="K2485" s="7">
        <v>-20</v>
      </c>
      <c r="L2485" s="24">
        <f>+Tabla2[[#This Row],[Stock Inventario]]*Tabla2[[#This Row],[Coste LÃ­nea]]</f>
        <v>221885.74214647</v>
      </c>
      <c r="M2485" s="24">
        <f>+Tabla2[[#This Row],[Variación Stock]]*Tabla2[[#This Row],[Coste LÃ­nea]]</f>
        <v>-143152.09170739999</v>
      </c>
      <c r="N2485" s="22" t="str">
        <f>+IF(Tabla2[[#This Row],[Variación Stock]]&gt;0,"Sobrante",IF(Tabla2[[#This Row],[Variación Stock]]&lt;0,"Faltante","Sin novedad"))</f>
        <v>Faltante</v>
      </c>
    </row>
    <row r="2486" spans="1:14" hidden="1" x14ac:dyDescent="0.25">
      <c r="A2486" s="11">
        <v>46037</v>
      </c>
      <c r="B2486" s="5" t="s">
        <v>336</v>
      </c>
      <c r="C2486" s="3" t="s">
        <v>337</v>
      </c>
      <c r="D2486" s="5" t="s">
        <v>323</v>
      </c>
      <c r="E2486" s="5" t="s">
        <v>117</v>
      </c>
      <c r="F2486" s="6" t="s">
        <v>330</v>
      </c>
      <c r="G2486" s="4" t="s">
        <v>2</v>
      </c>
      <c r="H2486" s="25">
        <v>7663.94653397</v>
      </c>
      <c r="I2486" s="8">
        <v>11</v>
      </c>
      <c r="J2486" s="9">
        <v>47</v>
      </c>
      <c r="K2486" s="7">
        <v>36</v>
      </c>
      <c r="L2486" s="24">
        <f>+Tabla2[[#This Row],[Stock Inventario]]*Tabla2[[#This Row],[Coste LÃ­nea]]</f>
        <v>360205.48709658999</v>
      </c>
      <c r="M2486" s="24">
        <f>+Tabla2[[#This Row],[Variación Stock]]*Tabla2[[#This Row],[Coste LÃ­nea]]</f>
        <v>275902.07522291999</v>
      </c>
      <c r="N2486" s="22" t="str">
        <f>+IF(Tabla2[[#This Row],[Variación Stock]]&gt;0,"Sobrante",IF(Tabla2[[#This Row],[Variación Stock]]&lt;0,"Faltante","Sin novedad"))</f>
        <v>Sobrante</v>
      </c>
    </row>
    <row r="2487" spans="1:14" x14ac:dyDescent="0.25">
      <c r="A2487" s="11">
        <v>46037</v>
      </c>
      <c r="B2487" s="5" t="s">
        <v>336</v>
      </c>
      <c r="C2487" s="3" t="s">
        <v>337</v>
      </c>
      <c r="D2487" s="5" t="s">
        <v>111</v>
      </c>
      <c r="E2487" s="5" t="s">
        <v>112</v>
      </c>
      <c r="F2487" s="6" t="s">
        <v>32</v>
      </c>
      <c r="G2487" s="4" t="s">
        <v>0</v>
      </c>
      <c r="H2487" s="25">
        <v>8628.9583333299997</v>
      </c>
      <c r="I2487" s="8">
        <v>40</v>
      </c>
      <c r="J2487" s="9">
        <v>38</v>
      </c>
      <c r="K2487" s="7">
        <v>-2</v>
      </c>
      <c r="L2487" s="24">
        <f>+Tabla2[[#This Row],[Stock Inventario]]*Tabla2[[#This Row],[Coste LÃ­nea]]</f>
        <v>327900.41666653997</v>
      </c>
      <c r="M2487" s="24">
        <f>+Tabla2[[#This Row],[Variación Stock]]*Tabla2[[#This Row],[Coste LÃ­nea]]</f>
        <v>-17257.916666659999</v>
      </c>
      <c r="N2487" s="22" t="str">
        <f>+IF(Tabla2[[#This Row],[Variación Stock]]&gt;0,"Sobrante",IF(Tabla2[[#This Row],[Variación Stock]]&lt;0,"Faltante","Sin novedad"))</f>
        <v>Faltante</v>
      </c>
    </row>
    <row r="2488" spans="1:14" x14ac:dyDescent="0.25">
      <c r="A2488" s="11">
        <v>46044</v>
      </c>
      <c r="B2488" s="5" t="s">
        <v>372</v>
      </c>
      <c r="C2488" s="3" t="s">
        <v>337</v>
      </c>
      <c r="D2488" s="5" t="s">
        <v>118</v>
      </c>
      <c r="E2488" s="5" t="s">
        <v>112</v>
      </c>
      <c r="F2488" s="6" t="s">
        <v>296</v>
      </c>
      <c r="G2488" s="4" t="s">
        <v>2</v>
      </c>
      <c r="H2488" s="25">
        <v>27250</v>
      </c>
      <c r="I2488" s="8">
        <v>2</v>
      </c>
      <c r="J2488" s="9">
        <v>2</v>
      </c>
      <c r="K2488" s="7">
        <v>0</v>
      </c>
      <c r="L2488" s="24">
        <f>+Tabla2[[#This Row],[Stock Inventario]]*Tabla2[[#This Row],[Coste LÃ­nea]]</f>
        <v>54500</v>
      </c>
      <c r="M2488" s="24">
        <f>+Tabla2[[#This Row],[Variación Stock]]*Tabla2[[#This Row],[Coste LÃ­nea]]</f>
        <v>0</v>
      </c>
      <c r="N2488" s="22" t="str">
        <f>+IF(Tabla2[[#This Row],[Variación Stock]]&gt;0,"Sobrante",IF(Tabla2[[#This Row],[Variación Stock]]&lt;0,"Faltante","Sin novedad"))</f>
        <v>Sin novedad</v>
      </c>
    </row>
    <row r="2489" spans="1:14" x14ac:dyDescent="0.25">
      <c r="A2489" s="11">
        <v>46044</v>
      </c>
      <c r="B2489" s="5" t="s">
        <v>372</v>
      </c>
      <c r="C2489" s="3" t="s">
        <v>337</v>
      </c>
      <c r="D2489" s="5" t="s">
        <v>121</v>
      </c>
      <c r="E2489" s="5" t="s">
        <v>112</v>
      </c>
      <c r="F2489" s="6" t="s">
        <v>334</v>
      </c>
      <c r="G2489" s="4" t="s">
        <v>0</v>
      </c>
      <c r="H2489" s="25">
        <v>1929.2098808600001</v>
      </c>
      <c r="I2489" s="8">
        <v>28</v>
      </c>
      <c r="J2489" s="9">
        <v>28</v>
      </c>
      <c r="K2489" s="7">
        <v>0</v>
      </c>
      <c r="L2489" s="24">
        <f>+Tabla2[[#This Row],[Stock Inventario]]*Tabla2[[#This Row],[Coste LÃ­nea]]</f>
        <v>54017.876664080002</v>
      </c>
      <c r="M2489" s="24">
        <f>+Tabla2[[#This Row],[Variación Stock]]*Tabla2[[#This Row],[Coste LÃ­nea]]</f>
        <v>0</v>
      </c>
      <c r="N2489" s="22" t="str">
        <f>+IF(Tabla2[[#This Row],[Variación Stock]]&gt;0,"Sobrante",IF(Tabla2[[#This Row],[Variación Stock]]&lt;0,"Faltante","Sin novedad"))</f>
        <v>Sin novedad</v>
      </c>
    </row>
    <row r="2490" spans="1:14" x14ac:dyDescent="0.25">
      <c r="A2490" s="11">
        <v>46044</v>
      </c>
      <c r="B2490" s="5" t="s">
        <v>372</v>
      </c>
      <c r="C2490" s="3" t="s">
        <v>337</v>
      </c>
      <c r="D2490" s="5" t="s">
        <v>111</v>
      </c>
      <c r="E2490" s="5" t="s">
        <v>112</v>
      </c>
      <c r="F2490" s="6" t="s">
        <v>33</v>
      </c>
      <c r="G2490" s="4" t="s">
        <v>0</v>
      </c>
      <c r="H2490" s="25">
        <v>3754.15625</v>
      </c>
      <c r="I2490" s="8">
        <v>61</v>
      </c>
      <c r="J2490" s="9">
        <v>64</v>
      </c>
      <c r="K2490" s="7">
        <v>3</v>
      </c>
      <c r="L2490" s="24">
        <f>+Tabla2[[#This Row],[Stock Inventario]]*Tabla2[[#This Row],[Coste LÃ­nea]]</f>
        <v>240266</v>
      </c>
      <c r="M2490" s="24">
        <f>+Tabla2[[#This Row],[Variación Stock]]*Tabla2[[#This Row],[Coste LÃ­nea]]</f>
        <v>11262.46875</v>
      </c>
      <c r="N2490" s="22" t="str">
        <f>+IF(Tabla2[[#This Row],[Variación Stock]]&gt;0,"Sobrante",IF(Tabla2[[#This Row],[Variación Stock]]&lt;0,"Faltante","Sin novedad"))</f>
        <v>Sobrante</v>
      </c>
    </row>
    <row r="2491" spans="1:14" hidden="1" x14ac:dyDescent="0.25">
      <c r="A2491" s="11">
        <v>46044</v>
      </c>
      <c r="B2491" s="5" t="s">
        <v>372</v>
      </c>
      <c r="C2491" s="3" t="s">
        <v>337</v>
      </c>
      <c r="D2491" s="5" t="s">
        <v>323</v>
      </c>
      <c r="E2491" s="5" t="s">
        <v>117</v>
      </c>
      <c r="F2491" s="6" t="s">
        <v>330</v>
      </c>
      <c r="G2491" s="4" t="s">
        <v>2</v>
      </c>
      <c r="H2491" s="25">
        <v>1575.4194626999999</v>
      </c>
      <c r="I2491" s="8">
        <v>77</v>
      </c>
      <c r="J2491" s="9">
        <v>44</v>
      </c>
      <c r="K2491" s="7">
        <v>-33</v>
      </c>
      <c r="L2491" s="24">
        <f>+Tabla2[[#This Row],[Stock Inventario]]*Tabla2[[#This Row],[Coste LÃ­nea]]</f>
        <v>69318.456358800002</v>
      </c>
      <c r="M2491" s="24">
        <f>+Tabla2[[#This Row],[Variación Stock]]*Tabla2[[#This Row],[Coste LÃ­nea]]</f>
        <v>-51988.842269100001</v>
      </c>
      <c r="N2491" s="22" t="str">
        <f>+IF(Tabla2[[#This Row],[Variación Stock]]&gt;0,"Sobrante",IF(Tabla2[[#This Row],[Variación Stock]]&lt;0,"Faltante","Sin novedad"))</f>
        <v>Faltante</v>
      </c>
    </row>
    <row r="2492" spans="1:14" x14ac:dyDescent="0.25">
      <c r="A2492" s="11">
        <v>46044</v>
      </c>
      <c r="B2492" s="5" t="s">
        <v>372</v>
      </c>
      <c r="C2492" s="3" t="s">
        <v>337</v>
      </c>
      <c r="D2492" s="5" t="s">
        <v>111</v>
      </c>
      <c r="E2492" s="5" t="s">
        <v>112</v>
      </c>
      <c r="F2492" s="6" t="s">
        <v>26</v>
      </c>
      <c r="G2492" s="4" t="s">
        <v>0</v>
      </c>
      <c r="H2492" s="25">
        <v>8389.75</v>
      </c>
      <c r="I2492" s="8">
        <v>6</v>
      </c>
      <c r="J2492" s="9">
        <v>6</v>
      </c>
      <c r="K2492" s="7">
        <v>0</v>
      </c>
      <c r="L2492" s="24">
        <f>+Tabla2[[#This Row],[Stock Inventario]]*Tabla2[[#This Row],[Coste LÃ­nea]]</f>
        <v>50338.5</v>
      </c>
      <c r="M2492" s="24">
        <f>+Tabla2[[#This Row],[Variación Stock]]*Tabla2[[#This Row],[Coste LÃ­nea]]</f>
        <v>0</v>
      </c>
      <c r="N2492" s="22" t="str">
        <f>+IF(Tabla2[[#This Row],[Variación Stock]]&gt;0,"Sobrante",IF(Tabla2[[#This Row],[Variación Stock]]&lt;0,"Faltante","Sin novedad"))</f>
        <v>Sin novedad</v>
      </c>
    </row>
    <row r="2493" spans="1:14" hidden="1" x14ac:dyDescent="0.25">
      <c r="A2493" s="11">
        <v>46037</v>
      </c>
      <c r="B2493" s="5" t="s">
        <v>336</v>
      </c>
      <c r="C2493" s="3" t="s">
        <v>337</v>
      </c>
      <c r="D2493" s="5" t="s">
        <v>120</v>
      </c>
      <c r="E2493" s="5" t="s">
        <v>117</v>
      </c>
      <c r="F2493" s="6" t="s">
        <v>322</v>
      </c>
      <c r="G2493" s="4" t="s">
        <v>2</v>
      </c>
      <c r="H2493" s="25">
        <v>1889.6690877799999</v>
      </c>
      <c r="I2493" s="8">
        <v>24</v>
      </c>
      <c r="J2493" s="9">
        <v>26</v>
      </c>
      <c r="K2493" s="7">
        <v>2</v>
      </c>
      <c r="L2493" s="24">
        <f>+Tabla2[[#This Row],[Stock Inventario]]*Tabla2[[#This Row],[Coste LÃ­nea]]</f>
        <v>49131.396282279995</v>
      </c>
      <c r="M2493" s="24">
        <f>+Tabla2[[#This Row],[Variación Stock]]*Tabla2[[#This Row],[Coste LÃ­nea]]</f>
        <v>3779.3381755599999</v>
      </c>
      <c r="N2493" s="22" t="str">
        <f>+IF(Tabla2[[#This Row],[Variación Stock]]&gt;0,"Sobrante",IF(Tabla2[[#This Row],[Variación Stock]]&lt;0,"Faltante","Sin novedad"))</f>
        <v>Sobrante</v>
      </c>
    </row>
    <row r="2494" spans="1:14" x14ac:dyDescent="0.25">
      <c r="A2494" s="11">
        <v>46044</v>
      </c>
      <c r="B2494" s="5" t="s">
        <v>372</v>
      </c>
      <c r="C2494" s="3" t="s">
        <v>337</v>
      </c>
      <c r="D2494" s="5" t="s">
        <v>114</v>
      </c>
      <c r="E2494" s="5" t="s">
        <v>112</v>
      </c>
      <c r="F2494" s="6" t="s">
        <v>63</v>
      </c>
      <c r="G2494" s="4" t="s">
        <v>2</v>
      </c>
      <c r="H2494" s="25">
        <v>1395.83333333</v>
      </c>
      <c r="I2494" s="8">
        <v>35</v>
      </c>
      <c r="J2494" s="9">
        <v>35</v>
      </c>
      <c r="K2494" s="7">
        <v>0</v>
      </c>
      <c r="L2494" s="24">
        <f>+Tabla2[[#This Row],[Stock Inventario]]*Tabla2[[#This Row],[Coste LÃ­nea]]</f>
        <v>48854.166666550002</v>
      </c>
      <c r="M2494" s="24">
        <f>+Tabla2[[#This Row],[Variación Stock]]*Tabla2[[#This Row],[Coste LÃ­nea]]</f>
        <v>0</v>
      </c>
      <c r="N2494" s="22" t="str">
        <f>+IF(Tabla2[[#This Row],[Variación Stock]]&gt;0,"Sobrante",IF(Tabla2[[#This Row],[Variación Stock]]&lt;0,"Faltante","Sin novedad"))</f>
        <v>Sin novedad</v>
      </c>
    </row>
    <row r="2495" spans="1:14" hidden="1" x14ac:dyDescent="0.25">
      <c r="A2495" s="11">
        <v>46044</v>
      </c>
      <c r="B2495" s="5" t="s">
        <v>372</v>
      </c>
      <c r="C2495" s="3" t="s">
        <v>337</v>
      </c>
      <c r="D2495" s="5" t="s">
        <v>120</v>
      </c>
      <c r="E2495" s="5" t="s">
        <v>117</v>
      </c>
      <c r="F2495" s="6" t="s">
        <v>322</v>
      </c>
      <c r="G2495" s="4" t="s">
        <v>2</v>
      </c>
      <c r="H2495" s="25">
        <v>2218.6638458100001</v>
      </c>
      <c r="I2495" s="8">
        <v>-6</v>
      </c>
      <c r="J2495" s="9">
        <v>31</v>
      </c>
      <c r="K2495" s="7">
        <v>37</v>
      </c>
      <c r="L2495" s="24">
        <f>+Tabla2[[#This Row],[Stock Inventario]]*Tabla2[[#This Row],[Coste LÃ­nea]]</f>
        <v>68778.579220109998</v>
      </c>
      <c r="M2495" s="24">
        <f>+Tabla2[[#This Row],[Variación Stock]]*Tabla2[[#This Row],[Coste LÃ­nea]]</f>
        <v>82090.562294970005</v>
      </c>
      <c r="N2495" s="22" t="str">
        <f>+IF(Tabla2[[#This Row],[Variación Stock]]&gt;0,"Sobrante",IF(Tabla2[[#This Row],[Variación Stock]]&lt;0,"Faltante","Sin novedad"))</f>
        <v>Sobrante</v>
      </c>
    </row>
    <row r="2496" spans="1:14" x14ac:dyDescent="0.25">
      <c r="A2496" s="11">
        <v>46044</v>
      </c>
      <c r="B2496" s="5" t="s">
        <v>372</v>
      </c>
      <c r="C2496" s="3" t="s">
        <v>337</v>
      </c>
      <c r="D2496" s="5" t="s">
        <v>111</v>
      </c>
      <c r="E2496" s="5" t="s">
        <v>112</v>
      </c>
      <c r="F2496" s="6" t="s">
        <v>49</v>
      </c>
      <c r="G2496" s="4" t="s">
        <v>2</v>
      </c>
      <c r="H2496" s="25">
        <v>23367.5</v>
      </c>
      <c r="I2496" s="8">
        <v>2</v>
      </c>
      <c r="J2496" s="9">
        <v>2</v>
      </c>
      <c r="K2496" s="7">
        <v>0</v>
      </c>
      <c r="L2496" s="24">
        <f>+Tabla2[[#This Row],[Stock Inventario]]*Tabla2[[#This Row],[Coste LÃ­nea]]</f>
        <v>46735</v>
      </c>
      <c r="M2496" s="24">
        <f>+Tabla2[[#This Row],[Variación Stock]]*Tabla2[[#This Row],[Coste LÃ­nea]]</f>
        <v>0</v>
      </c>
      <c r="N2496" s="22" t="str">
        <f>+IF(Tabla2[[#This Row],[Variación Stock]]&gt;0,"Sobrante",IF(Tabla2[[#This Row],[Variación Stock]]&lt;0,"Faltante","Sin novedad"))</f>
        <v>Sin novedad</v>
      </c>
    </row>
    <row r="2497" spans="1:14" x14ac:dyDescent="0.25">
      <c r="A2497" s="11">
        <v>46044</v>
      </c>
      <c r="B2497" s="5" t="s">
        <v>372</v>
      </c>
      <c r="C2497" s="3" t="s">
        <v>337</v>
      </c>
      <c r="D2497" s="5" t="s">
        <v>111</v>
      </c>
      <c r="E2497" s="5" t="s">
        <v>112</v>
      </c>
      <c r="F2497" s="6" t="s">
        <v>47</v>
      </c>
      <c r="G2497" s="4" t="s">
        <v>2</v>
      </c>
      <c r="H2497" s="25">
        <v>22770</v>
      </c>
      <c r="I2497" s="8">
        <v>2</v>
      </c>
      <c r="J2497" s="9">
        <v>2</v>
      </c>
      <c r="K2497" s="7">
        <v>0</v>
      </c>
      <c r="L2497" s="24">
        <f>+Tabla2[[#This Row],[Stock Inventario]]*Tabla2[[#This Row],[Coste LÃ­nea]]</f>
        <v>45540</v>
      </c>
      <c r="M2497" s="24">
        <f>+Tabla2[[#This Row],[Variación Stock]]*Tabla2[[#This Row],[Coste LÃ­nea]]</f>
        <v>0</v>
      </c>
      <c r="N2497" s="22" t="str">
        <f>+IF(Tabla2[[#This Row],[Variación Stock]]&gt;0,"Sobrante",IF(Tabla2[[#This Row],[Variación Stock]]&lt;0,"Faltante","Sin novedad"))</f>
        <v>Sin novedad</v>
      </c>
    </row>
    <row r="2498" spans="1:14" x14ac:dyDescent="0.25">
      <c r="A2498" s="11">
        <v>46044</v>
      </c>
      <c r="B2498" s="5" t="s">
        <v>372</v>
      </c>
      <c r="C2498" s="3" t="s">
        <v>337</v>
      </c>
      <c r="D2498" s="5" t="s">
        <v>111</v>
      </c>
      <c r="E2498" s="5" t="s">
        <v>112</v>
      </c>
      <c r="F2498" s="6" t="s">
        <v>41</v>
      </c>
      <c r="G2498" s="4" t="s">
        <v>0</v>
      </c>
      <c r="H2498" s="25">
        <v>2904.0416666699998</v>
      </c>
      <c r="I2498" s="8">
        <v>15</v>
      </c>
      <c r="J2498" s="9">
        <v>18</v>
      </c>
      <c r="K2498" s="7">
        <v>3</v>
      </c>
      <c r="L2498" s="24">
        <f>+Tabla2[[#This Row],[Stock Inventario]]*Tabla2[[#This Row],[Coste LÃ­nea]]</f>
        <v>52272.750000059998</v>
      </c>
      <c r="M2498" s="24">
        <f>+Tabla2[[#This Row],[Variación Stock]]*Tabla2[[#This Row],[Coste LÃ­nea]]</f>
        <v>8712.125000009999</v>
      </c>
      <c r="N2498" s="22" t="str">
        <f>+IF(Tabla2[[#This Row],[Variación Stock]]&gt;0,"Sobrante",IF(Tabla2[[#This Row],[Variación Stock]]&lt;0,"Faltante","Sin novedad"))</f>
        <v>Sobrante</v>
      </c>
    </row>
    <row r="2499" spans="1:14" x14ac:dyDescent="0.25">
      <c r="A2499" s="11">
        <v>46044</v>
      </c>
      <c r="B2499" s="5" t="s">
        <v>372</v>
      </c>
      <c r="C2499" s="3" t="s">
        <v>337</v>
      </c>
      <c r="D2499" s="5" t="s">
        <v>115</v>
      </c>
      <c r="E2499" s="5" t="s">
        <v>112</v>
      </c>
      <c r="F2499" s="6" t="s">
        <v>77</v>
      </c>
      <c r="G2499" s="4" t="s">
        <v>2</v>
      </c>
      <c r="H2499" s="25">
        <v>2773.5</v>
      </c>
      <c r="I2499" s="8">
        <v>15</v>
      </c>
      <c r="J2499" s="9">
        <v>15</v>
      </c>
      <c r="K2499" s="7">
        <v>0</v>
      </c>
      <c r="L2499" s="24">
        <f>+Tabla2[[#This Row],[Stock Inventario]]*Tabla2[[#This Row],[Coste LÃ­nea]]</f>
        <v>41602.5</v>
      </c>
      <c r="M2499" s="24">
        <f>+Tabla2[[#This Row],[Variación Stock]]*Tabla2[[#This Row],[Coste LÃ­nea]]</f>
        <v>0</v>
      </c>
      <c r="N2499" s="22" t="str">
        <f>+IF(Tabla2[[#This Row],[Variación Stock]]&gt;0,"Sobrante",IF(Tabla2[[#This Row],[Variación Stock]]&lt;0,"Faltante","Sin novedad"))</f>
        <v>Sin novedad</v>
      </c>
    </row>
    <row r="2500" spans="1:14" hidden="1" x14ac:dyDescent="0.25">
      <c r="A2500" s="11">
        <v>46037</v>
      </c>
      <c r="B2500" s="5" t="s">
        <v>336</v>
      </c>
      <c r="C2500" s="3" t="s">
        <v>337</v>
      </c>
      <c r="D2500" s="5" t="s">
        <v>120</v>
      </c>
      <c r="E2500" s="5" t="s">
        <v>117</v>
      </c>
      <c r="F2500" s="6" t="s">
        <v>320</v>
      </c>
      <c r="G2500" s="4" t="s">
        <v>2</v>
      </c>
      <c r="H2500" s="25">
        <v>6620.7003902899996</v>
      </c>
      <c r="I2500" s="8">
        <v>0</v>
      </c>
      <c r="J2500" s="9">
        <v>8</v>
      </c>
      <c r="K2500" s="7">
        <v>8</v>
      </c>
      <c r="L2500" s="24">
        <f>+Tabla2[[#This Row],[Stock Inventario]]*Tabla2[[#This Row],[Coste LÃ­nea]]</f>
        <v>52965.603122319997</v>
      </c>
      <c r="M2500" s="24">
        <f>+Tabla2[[#This Row],[Variación Stock]]*Tabla2[[#This Row],[Coste LÃ­nea]]</f>
        <v>52965.603122319997</v>
      </c>
      <c r="N2500" s="22" t="str">
        <f>+IF(Tabla2[[#This Row],[Variación Stock]]&gt;0,"Sobrante",IF(Tabla2[[#This Row],[Variación Stock]]&lt;0,"Faltante","Sin novedad"))</f>
        <v>Sobrante</v>
      </c>
    </row>
    <row r="2501" spans="1:14" x14ac:dyDescent="0.25">
      <c r="A2501" s="11">
        <v>46044</v>
      </c>
      <c r="B2501" s="5" t="s">
        <v>372</v>
      </c>
      <c r="C2501" s="3" t="s">
        <v>337</v>
      </c>
      <c r="D2501" s="5" t="s">
        <v>111</v>
      </c>
      <c r="E2501" s="5" t="s">
        <v>112</v>
      </c>
      <c r="F2501" s="6" t="s">
        <v>50</v>
      </c>
      <c r="G2501" s="4" t="s">
        <v>0</v>
      </c>
      <c r="H2501" s="25">
        <v>1658.625</v>
      </c>
      <c r="I2501" s="8">
        <v>24</v>
      </c>
      <c r="J2501" s="9">
        <v>24</v>
      </c>
      <c r="K2501" s="7">
        <v>0</v>
      </c>
      <c r="L2501" s="24">
        <f>+Tabla2[[#This Row],[Stock Inventario]]*Tabla2[[#This Row],[Coste LÃ­nea]]</f>
        <v>39807</v>
      </c>
      <c r="M2501" s="24">
        <f>+Tabla2[[#This Row],[Variación Stock]]*Tabla2[[#This Row],[Coste LÃ­nea]]</f>
        <v>0</v>
      </c>
      <c r="N2501" s="22" t="str">
        <f>+IF(Tabla2[[#This Row],[Variación Stock]]&gt;0,"Sobrante",IF(Tabla2[[#This Row],[Variación Stock]]&lt;0,"Faltante","Sin novedad"))</f>
        <v>Sin novedad</v>
      </c>
    </row>
    <row r="2502" spans="1:14" x14ac:dyDescent="0.25">
      <c r="A2502" s="11">
        <v>46044</v>
      </c>
      <c r="B2502" s="5" t="s">
        <v>372</v>
      </c>
      <c r="C2502" s="3" t="s">
        <v>337</v>
      </c>
      <c r="D2502" s="5" t="s">
        <v>118</v>
      </c>
      <c r="E2502" s="5" t="s">
        <v>112</v>
      </c>
      <c r="F2502" s="6" t="s">
        <v>88</v>
      </c>
      <c r="G2502" s="4" t="s">
        <v>81</v>
      </c>
      <c r="H2502" s="25">
        <v>4385.6000000000004</v>
      </c>
      <c r="I2502" s="8">
        <v>9</v>
      </c>
      <c r="J2502" s="9">
        <v>9</v>
      </c>
      <c r="K2502" s="7">
        <v>0</v>
      </c>
      <c r="L2502" s="24">
        <f>+Tabla2[[#This Row],[Stock Inventario]]*Tabla2[[#This Row],[Coste LÃ­nea]]</f>
        <v>39470.400000000001</v>
      </c>
      <c r="M2502" s="24">
        <f>+Tabla2[[#This Row],[Variación Stock]]*Tabla2[[#This Row],[Coste LÃ­nea]]</f>
        <v>0</v>
      </c>
      <c r="N2502" s="22" t="str">
        <f>+IF(Tabla2[[#This Row],[Variación Stock]]&gt;0,"Sobrante",IF(Tabla2[[#This Row],[Variación Stock]]&lt;0,"Faltante","Sin novedad"))</f>
        <v>Sin novedad</v>
      </c>
    </row>
    <row r="2503" spans="1:14" x14ac:dyDescent="0.25">
      <c r="A2503" s="11">
        <v>46044</v>
      </c>
      <c r="B2503" s="5" t="s">
        <v>372</v>
      </c>
      <c r="C2503" s="3" t="s">
        <v>337</v>
      </c>
      <c r="D2503" s="5" t="s">
        <v>118</v>
      </c>
      <c r="E2503" s="5" t="s">
        <v>112</v>
      </c>
      <c r="F2503" s="6" t="s">
        <v>90</v>
      </c>
      <c r="G2503" s="4" t="s">
        <v>81</v>
      </c>
      <c r="H2503" s="25">
        <v>4385.2</v>
      </c>
      <c r="I2503" s="8">
        <v>9</v>
      </c>
      <c r="J2503" s="9">
        <v>9</v>
      </c>
      <c r="K2503" s="7">
        <v>0</v>
      </c>
      <c r="L2503" s="24">
        <f>+Tabla2[[#This Row],[Stock Inventario]]*Tabla2[[#This Row],[Coste LÃ­nea]]</f>
        <v>39466.799999999996</v>
      </c>
      <c r="M2503" s="24">
        <f>+Tabla2[[#This Row],[Variación Stock]]*Tabla2[[#This Row],[Coste LÃ­nea]]</f>
        <v>0</v>
      </c>
      <c r="N2503" s="22" t="str">
        <f>+IF(Tabla2[[#This Row],[Variación Stock]]&gt;0,"Sobrante",IF(Tabla2[[#This Row],[Variación Stock]]&lt;0,"Faltante","Sin novedad"))</f>
        <v>Sin novedad</v>
      </c>
    </row>
    <row r="2504" spans="1:14" hidden="1" x14ac:dyDescent="0.25">
      <c r="A2504" s="11">
        <v>46044</v>
      </c>
      <c r="B2504" s="5" t="s">
        <v>372</v>
      </c>
      <c r="C2504" s="3" t="s">
        <v>337</v>
      </c>
      <c r="D2504" s="5" t="s">
        <v>120</v>
      </c>
      <c r="E2504" s="5" t="s">
        <v>117</v>
      </c>
      <c r="F2504" s="6" t="s">
        <v>320</v>
      </c>
      <c r="G2504" s="4" t="s">
        <v>2</v>
      </c>
      <c r="H2504" s="25">
        <v>6495.1191714500001</v>
      </c>
      <c r="I2504" s="8">
        <v>13</v>
      </c>
      <c r="J2504" s="9">
        <v>5</v>
      </c>
      <c r="K2504" s="7">
        <v>-8</v>
      </c>
      <c r="L2504" s="24">
        <f>+Tabla2[[#This Row],[Stock Inventario]]*Tabla2[[#This Row],[Coste LÃ­nea]]</f>
        <v>32475.595857250002</v>
      </c>
      <c r="M2504" s="24">
        <f>+Tabla2[[#This Row],[Variación Stock]]*Tabla2[[#This Row],[Coste LÃ­nea]]</f>
        <v>-51960.953371600001</v>
      </c>
      <c r="N2504" s="22" t="str">
        <f>+IF(Tabla2[[#This Row],[Variación Stock]]&gt;0,"Sobrante",IF(Tabla2[[#This Row],[Variación Stock]]&lt;0,"Faltante","Sin novedad"))</f>
        <v>Faltante</v>
      </c>
    </row>
    <row r="2505" spans="1:14" x14ac:dyDescent="0.25">
      <c r="A2505" s="11">
        <v>46044</v>
      </c>
      <c r="B2505" s="5" t="s">
        <v>372</v>
      </c>
      <c r="C2505" s="3" t="s">
        <v>337</v>
      </c>
      <c r="D2505" s="5" t="s">
        <v>111</v>
      </c>
      <c r="E2505" s="5" t="s">
        <v>112</v>
      </c>
      <c r="F2505" s="6" t="s">
        <v>42</v>
      </c>
      <c r="G2505" s="4" t="s">
        <v>0</v>
      </c>
      <c r="H2505" s="25">
        <v>2906.3333333300002</v>
      </c>
      <c r="I2505" s="8">
        <v>15</v>
      </c>
      <c r="J2505" s="9">
        <v>19</v>
      </c>
      <c r="K2505" s="7">
        <v>4</v>
      </c>
      <c r="L2505" s="24">
        <f>+Tabla2[[#This Row],[Stock Inventario]]*Tabla2[[#This Row],[Coste LÃ­nea]]</f>
        <v>55220.333333270006</v>
      </c>
      <c r="M2505" s="24">
        <f>+Tabla2[[#This Row],[Variación Stock]]*Tabla2[[#This Row],[Coste LÃ­nea]]</f>
        <v>11625.333333320001</v>
      </c>
      <c r="N2505" s="22" t="str">
        <f>+IF(Tabla2[[#This Row],[Variación Stock]]&gt;0,"Sobrante",IF(Tabla2[[#This Row],[Variación Stock]]&lt;0,"Faltante","Sin novedad"))</f>
        <v>Sobrante</v>
      </c>
    </row>
    <row r="2506" spans="1:14" hidden="1" x14ac:dyDescent="0.25">
      <c r="A2506" s="11">
        <v>46037</v>
      </c>
      <c r="B2506" s="5" t="s">
        <v>336</v>
      </c>
      <c r="C2506" s="3" t="s">
        <v>337</v>
      </c>
      <c r="D2506" s="5" t="s">
        <v>120</v>
      </c>
      <c r="E2506" s="5" t="s">
        <v>117</v>
      </c>
      <c r="F2506" s="6" t="s">
        <v>96</v>
      </c>
      <c r="G2506" s="4" t="s">
        <v>2</v>
      </c>
      <c r="H2506" s="25">
        <v>4080</v>
      </c>
      <c r="I2506" s="8">
        <v>-7</v>
      </c>
      <c r="J2506" s="9">
        <v>83</v>
      </c>
      <c r="K2506" s="7">
        <v>90</v>
      </c>
      <c r="L2506" s="24">
        <f>+Tabla2[[#This Row],[Stock Inventario]]*Tabla2[[#This Row],[Coste LÃ­nea]]</f>
        <v>338640</v>
      </c>
      <c r="M2506" s="24">
        <f>+Tabla2[[#This Row],[Variación Stock]]*Tabla2[[#This Row],[Coste LÃ­nea]]</f>
        <v>367200</v>
      </c>
      <c r="N2506" s="22" t="str">
        <f>+IF(Tabla2[[#This Row],[Variación Stock]]&gt;0,"Sobrante",IF(Tabla2[[#This Row],[Variación Stock]]&lt;0,"Faltante","Sin novedad"))</f>
        <v>Sobrante</v>
      </c>
    </row>
    <row r="2507" spans="1:14" hidden="1" x14ac:dyDescent="0.25">
      <c r="A2507" s="11">
        <v>46037</v>
      </c>
      <c r="B2507" s="5" t="s">
        <v>336</v>
      </c>
      <c r="C2507" s="3" t="s">
        <v>337</v>
      </c>
      <c r="D2507" s="5" t="s">
        <v>119</v>
      </c>
      <c r="E2507" s="5" t="s">
        <v>117</v>
      </c>
      <c r="F2507" s="6" t="s">
        <v>13</v>
      </c>
      <c r="G2507" s="4" t="s">
        <v>2</v>
      </c>
      <c r="H2507" s="25">
        <v>8166.6666666700003</v>
      </c>
      <c r="I2507" s="8">
        <v>-3000</v>
      </c>
      <c r="J2507" s="9">
        <v>0</v>
      </c>
      <c r="K2507" s="7">
        <v>3000</v>
      </c>
      <c r="L2507" s="24">
        <f>+Tabla2[[#This Row],[Stock Inventario]]*Tabla2[[#This Row],[Coste LÃ­nea]]</f>
        <v>0</v>
      </c>
      <c r="M2507" s="24">
        <f>+Tabla2[[#This Row],[Variación Stock]]*Tabla2[[#This Row],[Coste LÃ­nea]]</f>
        <v>24500000.000010002</v>
      </c>
      <c r="N2507" s="22" t="str">
        <f>+IF(Tabla2[[#This Row],[Variación Stock]]&gt;0,"Sobrante",IF(Tabla2[[#This Row],[Variación Stock]]&lt;0,"Faltante","Sin novedad"))</f>
        <v>Sobrante</v>
      </c>
    </row>
    <row r="2508" spans="1:14" x14ac:dyDescent="0.25">
      <c r="A2508" s="11">
        <v>46044</v>
      </c>
      <c r="B2508" s="5" t="s">
        <v>372</v>
      </c>
      <c r="C2508" s="3" t="s">
        <v>337</v>
      </c>
      <c r="D2508" s="5" t="s">
        <v>115</v>
      </c>
      <c r="E2508" s="5" t="s">
        <v>112</v>
      </c>
      <c r="F2508" s="6" t="s">
        <v>72</v>
      </c>
      <c r="G2508" s="4" t="s">
        <v>2</v>
      </c>
      <c r="H2508" s="25">
        <v>2183.46666667</v>
      </c>
      <c r="I2508" s="8">
        <v>17</v>
      </c>
      <c r="J2508" s="9">
        <v>17</v>
      </c>
      <c r="K2508" s="7">
        <v>0</v>
      </c>
      <c r="L2508" s="24">
        <f>+Tabla2[[#This Row],[Stock Inventario]]*Tabla2[[#This Row],[Coste LÃ­nea]]</f>
        <v>37118.933333389999</v>
      </c>
      <c r="M2508" s="24">
        <f>+Tabla2[[#This Row],[Variación Stock]]*Tabla2[[#This Row],[Coste LÃ­nea]]</f>
        <v>0</v>
      </c>
      <c r="N2508" s="22" t="str">
        <f>+IF(Tabla2[[#This Row],[Variación Stock]]&gt;0,"Sobrante",IF(Tabla2[[#This Row],[Variación Stock]]&lt;0,"Faltante","Sin novedad"))</f>
        <v>Sin novedad</v>
      </c>
    </row>
    <row r="2509" spans="1:14" x14ac:dyDescent="0.25">
      <c r="A2509" s="11">
        <v>46037</v>
      </c>
      <c r="B2509" s="5" t="s">
        <v>336</v>
      </c>
      <c r="C2509" s="3" t="s">
        <v>337</v>
      </c>
      <c r="D2509" s="5" t="s">
        <v>111</v>
      </c>
      <c r="E2509" s="5" t="s">
        <v>112</v>
      </c>
      <c r="F2509" s="6" t="s">
        <v>42</v>
      </c>
      <c r="G2509" s="4" t="s">
        <v>0</v>
      </c>
      <c r="H2509" s="25">
        <v>2628.875</v>
      </c>
      <c r="I2509" s="8">
        <v>16</v>
      </c>
      <c r="J2509" s="9">
        <v>15</v>
      </c>
      <c r="K2509" s="7">
        <v>-1</v>
      </c>
      <c r="L2509" s="24">
        <f>+Tabla2[[#This Row],[Stock Inventario]]*Tabla2[[#This Row],[Coste LÃ­nea]]</f>
        <v>39433.125</v>
      </c>
      <c r="M2509" s="24">
        <f>+Tabla2[[#This Row],[Variación Stock]]*Tabla2[[#This Row],[Coste LÃ­nea]]</f>
        <v>-2628.875</v>
      </c>
      <c r="N2509" s="22" t="str">
        <f>+IF(Tabla2[[#This Row],[Variación Stock]]&gt;0,"Sobrante",IF(Tabla2[[#This Row],[Variación Stock]]&lt;0,"Faltante","Sin novedad"))</f>
        <v>Faltante</v>
      </c>
    </row>
    <row r="2510" spans="1:14" hidden="1" x14ac:dyDescent="0.25">
      <c r="A2510" s="11">
        <v>46044</v>
      </c>
      <c r="B2510" s="5" t="s">
        <v>372</v>
      </c>
      <c r="C2510" s="3" t="s">
        <v>337</v>
      </c>
      <c r="D2510" s="5" t="s">
        <v>119</v>
      </c>
      <c r="E2510" s="5" t="s">
        <v>117</v>
      </c>
      <c r="F2510" s="6" t="s">
        <v>13</v>
      </c>
      <c r="G2510" s="4" t="s">
        <v>2</v>
      </c>
      <c r="H2510" s="25">
        <v>8166.6666666700003</v>
      </c>
      <c r="I2510" s="8">
        <v>-1</v>
      </c>
      <c r="J2510" s="9">
        <v>0</v>
      </c>
      <c r="K2510" s="7">
        <v>1</v>
      </c>
      <c r="L2510" s="24">
        <f>+Tabla2[[#This Row],[Stock Inventario]]*Tabla2[[#This Row],[Coste LÃ­nea]]</f>
        <v>0</v>
      </c>
      <c r="M2510" s="24">
        <f>+Tabla2[[#This Row],[Variación Stock]]*Tabla2[[#This Row],[Coste LÃ­nea]]</f>
        <v>8166.6666666700003</v>
      </c>
      <c r="N2510" s="22" t="str">
        <f>+IF(Tabla2[[#This Row],[Variación Stock]]&gt;0,"Sobrante",IF(Tabla2[[#This Row],[Variación Stock]]&lt;0,"Faltante","Sin novedad"))</f>
        <v>Sobrante</v>
      </c>
    </row>
    <row r="2511" spans="1:14" x14ac:dyDescent="0.25">
      <c r="A2511" s="11">
        <v>46044</v>
      </c>
      <c r="B2511" s="5" t="s">
        <v>372</v>
      </c>
      <c r="C2511" s="3" t="s">
        <v>337</v>
      </c>
      <c r="D2511" s="5" t="s">
        <v>115</v>
      </c>
      <c r="E2511" s="5" t="s">
        <v>112</v>
      </c>
      <c r="F2511" s="6" t="s">
        <v>73</v>
      </c>
      <c r="G2511" s="4" t="s">
        <v>2</v>
      </c>
      <c r="H2511" s="25">
        <v>3121.3333333300002</v>
      </c>
      <c r="I2511" s="8">
        <v>10</v>
      </c>
      <c r="J2511" s="9">
        <v>10</v>
      </c>
      <c r="K2511" s="7">
        <v>0</v>
      </c>
      <c r="L2511" s="24">
        <f>+Tabla2[[#This Row],[Stock Inventario]]*Tabla2[[#This Row],[Coste LÃ­nea]]</f>
        <v>31213.333333300001</v>
      </c>
      <c r="M2511" s="24">
        <f>+Tabla2[[#This Row],[Variación Stock]]*Tabla2[[#This Row],[Coste LÃ­nea]]</f>
        <v>0</v>
      </c>
      <c r="N2511" s="22" t="str">
        <f>+IF(Tabla2[[#This Row],[Variación Stock]]&gt;0,"Sobrante",IF(Tabla2[[#This Row],[Variación Stock]]&lt;0,"Faltante","Sin novedad"))</f>
        <v>Sin novedad</v>
      </c>
    </row>
    <row r="2512" spans="1:14" x14ac:dyDescent="0.25">
      <c r="A2512" s="11">
        <v>46044</v>
      </c>
      <c r="B2512" s="5" t="s">
        <v>372</v>
      </c>
      <c r="C2512" s="3" t="s">
        <v>337</v>
      </c>
      <c r="D2512" s="5" t="s">
        <v>122</v>
      </c>
      <c r="E2512" s="5" t="s">
        <v>112</v>
      </c>
      <c r="F2512" s="6" t="s">
        <v>103</v>
      </c>
      <c r="G2512" s="4" t="s">
        <v>2</v>
      </c>
      <c r="H2512" s="25">
        <v>3458.3283333300001</v>
      </c>
      <c r="I2512" s="8">
        <v>9</v>
      </c>
      <c r="J2512" s="9">
        <v>9</v>
      </c>
      <c r="K2512" s="7">
        <v>0</v>
      </c>
      <c r="L2512" s="24">
        <f>+Tabla2[[#This Row],[Stock Inventario]]*Tabla2[[#This Row],[Coste LÃ­nea]]</f>
        <v>31124.954999969999</v>
      </c>
      <c r="M2512" s="24">
        <f>+Tabla2[[#This Row],[Variación Stock]]*Tabla2[[#This Row],[Coste LÃ­nea]]</f>
        <v>0</v>
      </c>
      <c r="N2512" s="22" t="str">
        <f>+IF(Tabla2[[#This Row],[Variación Stock]]&gt;0,"Sobrante",IF(Tabla2[[#This Row],[Variación Stock]]&lt;0,"Faltante","Sin novedad"))</f>
        <v>Sin novedad</v>
      </c>
    </row>
    <row r="2513" spans="1:14" x14ac:dyDescent="0.25">
      <c r="A2513" s="11">
        <v>46044</v>
      </c>
      <c r="B2513" s="5" t="s">
        <v>372</v>
      </c>
      <c r="C2513" s="3" t="s">
        <v>337</v>
      </c>
      <c r="D2513" s="5" t="s">
        <v>122</v>
      </c>
      <c r="E2513" s="5" t="s">
        <v>112</v>
      </c>
      <c r="F2513" s="6" t="s">
        <v>104</v>
      </c>
      <c r="G2513" s="4" t="s">
        <v>2</v>
      </c>
      <c r="H2513" s="25">
        <v>3458.25</v>
      </c>
      <c r="I2513" s="8">
        <v>9</v>
      </c>
      <c r="J2513" s="9">
        <v>9</v>
      </c>
      <c r="K2513" s="7">
        <v>0</v>
      </c>
      <c r="L2513" s="24">
        <f>+Tabla2[[#This Row],[Stock Inventario]]*Tabla2[[#This Row],[Coste LÃ­nea]]</f>
        <v>31124.25</v>
      </c>
      <c r="M2513" s="24">
        <f>+Tabla2[[#This Row],[Variación Stock]]*Tabla2[[#This Row],[Coste LÃ­nea]]</f>
        <v>0</v>
      </c>
      <c r="N2513" s="22" t="str">
        <f>+IF(Tabla2[[#This Row],[Variación Stock]]&gt;0,"Sobrante",IF(Tabla2[[#This Row],[Variación Stock]]&lt;0,"Faltante","Sin novedad"))</f>
        <v>Sin novedad</v>
      </c>
    </row>
    <row r="2514" spans="1:14" x14ac:dyDescent="0.25">
      <c r="A2514" s="11">
        <v>46044</v>
      </c>
      <c r="B2514" s="5" t="s">
        <v>372</v>
      </c>
      <c r="C2514" s="3" t="s">
        <v>337</v>
      </c>
      <c r="D2514" s="5" t="s">
        <v>111</v>
      </c>
      <c r="E2514" s="5" t="s">
        <v>112</v>
      </c>
      <c r="F2514" s="6" t="s">
        <v>25</v>
      </c>
      <c r="G2514" s="4" t="s">
        <v>0</v>
      </c>
      <c r="H2514" s="25">
        <v>6003.25</v>
      </c>
      <c r="I2514" s="8">
        <v>5.34</v>
      </c>
      <c r="J2514" s="9">
        <v>5</v>
      </c>
      <c r="K2514" s="7">
        <v>-0.34</v>
      </c>
      <c r="L2514" s="24">
        <f>+Tabla2[[#This Row],[Stock Inventario]]*Tabla2[[#This Row],[Coste LÃ­nea]]</f>
        <v>30016.25</v>
      </c>
      <c r="M2514" s="24">
        <f>+Tabla2[[#This Row],[Variación Stock]]*Tabla2[[#This Row],[Coste LÃ­nea]]</f>
        <v>-2041.1050000000002</v>
      </c>
      <c r="N2514" s="22" t="str">
        <f>+IF(Tabla2[[#This Row],[Variación Stock]]&gt;0,"Sobrante",IF(Tabla2[[#This Row],[Variación Stock]]&lt;0,"Faltante","Sin novedad"))</f>
        <v>Faltante</v>
      </c>
    </row>
    <row r="2515" spans="1:14" x14ac:dyDescent="0.25">
      <c r="A2515" s="11">
        <v>46037</v>
      </c>
      <c r="B2515" s="5" t="s">
        <v>336</v>
      </c>
      <c r="C2515" s="3" t="s">
        <v>337</v>
      </c>
      <c r="D2515" s="5" t="s">
        <v>118</v>
      </c>
      <c r="E2515" s="5" t="s">
        <v>112</v>
      </c>
      <c r="F2515" s="6" t="s">
        <v>303</v>
      </c>
      <c r="G2515" s="4" t="s">
        <v>81</v>
      </c>
      <c r="H2515" s="25">
        <v>15144.3</v>
      </c>
      <c r="I2515" s="8">
        <v>37</v>
      </c>
      <c r="J2515" s="9">
        <v>38</v>
      </c>
      <c r="K2515" s="7">
        <v>1</v>
      </c>
      <c r="L2515" s="24">
        <f>+Tabla2[[#This Row],[Stock Inventario]]*Tabla2[[#This Row],[Coste LÃ­nea]]</f>
        <v>575483.4</v>
      </c>
      <c r="M2515" s="24">
        <f>+Tabla2[[#This Row],[Variación Stock]]*Tabla2[[#This Row],[Coste LÃ­nea]]</f>
        <v>15144.3</v>
      </c>
      <c r="N2515" s="22" t="str">
        <f>+IF(Tabla2[[#This Row],[Variación Stock]]&gt;0,"Sobrante",IF(Tabla2[[#This Row],[Variación Stock]]&lt;0,"Faltante","Sin novedad"))</f>
        <v>Sobrante</v>
      </c>
    </row>
    <row r="2516" spans="1:14" x14ac:dyDescent="0.25">
      <c r="A2516" s="11">
        <v>46044</v>
      </c>
      <c r="B2516" s="5" t="s">
        <v>372</v>
      </c>
      <c r="C2516" s="3" t="s">
        <v>337</v>
      </c>
      <c r="D2516" s="5" t="s">
        <v>111</v>
      </c>
      <c r="E2516" s="5" t="s">
        <v>112</v>
      </c>
      <c r="F2516" s="6" t="s">
        <v>45</v>
      </c>
      <c r="G2516" s="4" t="s">
        <v>2</v>
      </c>
      <c r="H2516" s="25">
        <v>26517.26</v>
      </c>
      <c r="I2516" s="8">
        <v>1</v>
      </c>
      <c r="J2516" s="9">
        <v>1</v>
      </c>
      <c r="K2516" s="7">
        <v>0</v>
      </c>
      <c r="L2516" s="24">
        <f>+Tabla2[[#This Row],[Stock Inventario]]*Tabla2[[#This Row],[Coste LÃ­nea]]</f>
        <v>26517.26</v>
      </c>
      <c r="M2516" s="24">
        <f>+Tabla2[[#This Row],[Variación Stock]]*Tabla2[[#This Row],[Coste LÃ­nea]]</f>
        <v>0</v>
      </c>
      <c r="N2516" s="22" t="str">
        <f>+IF(Tabla2[[#This Row],[Variación Stock]]&gt;0,"Sobrante",IF(Tabla2[[#This Row],[Variación Stock]]&lt;0,"Faltante","Sin novedad"))</f>
        <v>Sin novedad</v>
      </c>
    </row>
    <row r="2517" spans="1:14" x14ac:dyDescent="0.25">
      <c r="A2517" s="11">
        <v>46044</v>
      </c>
      <c r="B2517" s="5" t="s">
        <v>372</v>
      </c>
      <c r="C2517" s="3" t="s">
        <v>337</v>
      </c>
      <c r="D2517" s="5" t="s">
        <v>114</v>
      </c>
      <c r="E2517" s="5" t="s">
        <v>112</v>
      </c>
      <c r="F2517" s="6" t="s">
        <v>289</v>
      </c>
      <c r="G2517" s="4" t="s">
        <v>2</v>
      </c>
      <c r="H2517" s="25">
        <v>6387.35</v>
      </c>
      <c r="I2517" s="8">
        <v>4</v>
      </c>
      <c r="J2517" s="9">
        <v>4</v>
      </c>
      <c r="K2517" s="7">
        <v>0</v>
      </c>
      <c r="L2517" s="24">
        <f>+Tabla2[[#This Row],[Stock Inventario]]*Tabla2[[#This Row],[Coste LÃ­nea]]</f>
        <v>25549.4</v>
      </c>
      <c r="M2517" s="24">
        <f>+Tabla2[[#This Row],[Variación Stock]]*Tabla2[[#This Row],[Coste LÃ­nea]]</f>
        <v>0</v>
      </c>
      <c r="N2517" s="22" t="str">
        <f>+IF(Tabla2[[#This Row],[Variación Stock]]&gt;0,"Sobrante",IF(Tabla2[[#This Row],[Variación Stock]]&lt;0,"Faltante","Sin novedad"))</f>
        <v>Sin novedad</v>
      </c>
    </row>
    <row r="2518" spans="1:14" hidden="1" x14ac:dyDescent="0.25">
      <c r="A2518" s="11">
        <v>46037</v>
      </c>
      <c r="B2518" s="5" t="s">
        <v>336</v>
      </c>
      <c r="C2518" s="3" t="s">
        <v>337</v>
      </c>
      <c r="D2518" s="5" t="s">
        <v>119</v>
      </c>
      <c r="E2518" s="5" t="s">
        <v>117</v>
      </c>
      <c r="F2518" s="6" t="s">
        <v>14</v>
      </c>
      <c r="G2518" s="4" t="s">
        <v>1</v>
      </c>
      <c r="H2518" s="25">
        <v>31.416</v>
      </c>
      <c r="I2518" s="8">
        <v>24600</v>
      </c>
      <c r="J2518" s="9">
        <v>4000</v>
      </c>
      <c r="K2518" s="7">
        <v>-20600</v>
      </c>
      <c r="L2518" s="24">
        <f>+Tabla2[[#This Row],[Stock Inventario]]*Tabla2[[#This Row],[Coste LÃ­nea]]</f>
        <v>125664</v>
      </c>
      <c r="M2518" s="24">
        <f>+Tabla2[[#This Row],[Variación Stock]]*Tabla2[[#This Row],[Coste LÃ­nea]]</f>
        <v>-647169.6</v>
      </c>
      <c r="N2518" s="22" t="str">
        <f>+IF(Tabla2[[#This Row],[Variación Stock]]&gt;0,"Sobrante",IF(Tabla2[[#This Row],[Variación Stock]]&lt;0,"Faltante","Sin novedad"))</f>
        <v>Faltante</v>
      </c>
    </row>
    <row r="2519" spans="1:14" x14ac:dyDescent="0.25">
      <c r="A2519" s="11">
        <v>46044</v>
      </c>
      <c r="B2519" s="5" t="s">
        <v>372</v>
      </c>
      <c r="C2519" s="3" t="s">
        <v>337</v>
      </c>
      <c r="D2519" s="5" t="s">
        <v>122</v>
      </c>
      <c r="E2519" s="5" t="s">
        <v>112</v>
      </c>
      <c r="F2519" s="6" t="s">
        <v>106</v>
      </c>
      <c r="G2519" s="4" t="s">
        <v>2</v>
      </c>
      <c r="H2519" s="25">
        <v>3458.25</v>
      </c>
      <c r="I2519" s="8">
        <v>6</v>
      </c>
      <c r="J2519" s="9">
        <v>6</v>
      </c>
      <c r="K2519" s="7">
        <v>0</v>
      </c>
      <c r="L2519" s="24">
        <f>+Tabla2[[#This Row],[Stock Inventario]]*Tabla2[[#This Row],[Coste LÃ­nea]]</f>
        <v>20749.5</v>
      </c>
      <c r="M2519" s="24">
        <f>+Tabla2[[#This Row],[Variación Stock]]*Tabla2[[#This Row],[Coste LÃ­nea]]</f>
        <v>0</v>
      </c>
      <c r="N2519" s="22" t="str">
        <f>+IF(Tabla2[[#This Row],[Variación Stock]]&gt;0,"Sobrante",IF(Tabla2[[#This Row],[Variación Stock]]&lt;0,"Faltante","Sin novedad"))</f>
        <v>Sin novedad</v>
      </c>
    </row>
    <row r="2520" spans="1:14" x14ac:dyDescent="0.25">
      <c r="A2520" s="11">
        <v>46044</v>
      </c>
      <c r="B2520" s="5" t="s">
        <v>372</v>
      </c>
      <c r="C2520" s="3" t="s">
        <v>337</v>
      </c>
      <c r="D2520" s="5" t="s">
        <v>118</v>
      </c>
      <c r="E2520" s="5" t="s">
        <v>112</v>
      </c>
      <c r="F2520" s="6" t="s">
        <v>303</v>
      </c>
      <c r="G2520" s="4" t="s">
        <v>81</v>
      </c>
      <c r="H2520" s="25">
        <v>15145.266666670001</v>
      </c>
      <c r="I2520" s="8">
        <v>22</v>
      </c>
      <c r="J2520" s="9">
        <v>21</v>
      </c>
      <c r="K2520" s="7">
        <v>-1</v>
      </c>
      <c r="L2520" s="24">
        <f>+Tabla2[[#This Row],[Stock Inventario]]*Tabla2[[#This Row],[Coste LÃ­nea]]</f>
        <v>318050.60000007</v>
      </c>
      <c r="M2520" s="24">
        <f>+Tabla2[[#This Row],[Variación Stock]]*Tabla2[[#This Row],[Coste LÃ­nea]]</f>
        <v>-15145.266666670001</v>
      </c>
      <c r="N2520" s="22" t="str">
        <f>+IF(Tabla2[[#This Row],[Variación Stock]]&gt;0,"Sobrante",IF(Tabla2[[#This Row],[Variación Stock]]&lt;0,"Faltante","Sin novedad"))</f>
        <v>Faltante</v>
      </c>
    </row>
    <row r="2521" spans="1:14" x14ac:dyDescent="0.25">
      <c r="A2521" s="11">
        <v>46037</v>
      </c>
      <c r="B2521" s="5" t="s">
        <v>336</v>
      </c>
      <c r="C2521" s="3" t="s">
        <v>337</v>
      </c>
      <c r="D2521" s="5" t="s">
        <v>118</v>
      </c>
      <c r="E2521" s="5" t="s">
        <v>112</v>
      </c>
      <c r="F2521" s="6" t="s">
        <v>85</v>
      </c>
      <c r="G2521" s="4" t="s">
        <v>81</v>
      </c>
      <c r="H2521" s="25">
        <v>9853.2000000000007</v>
      </c>
      <c r="I2521" s="8">
        <v>10</v>
      </c>
      <c r="J2521" s="9">
        <v>11</v>
      </c>
      <c r="K2521" s="7">
        <v>1</v>
      </c>
      <c r="L2521" s="24">
        <f>+Tabla2[[#This Row],[Stock Inventario]]*Tabla2[[#This Row],[Coste LÃ­nea]]</f>
        <v>108385.20000000001</v>
      </c>
      <c r="M2521" s="24">
        <f>+Tabla2[[#This Row],[Variación Stock]]*Tabla2[[#This Row],[Coste LÃ­nea]]</f>
        <v>9853.2000000000007</v>
      </c>
      <c r="N2521" s="22" t="str">
        <f>+IF(Tabla2[[#This Row],[Variación Stock]]&gt;0,"Sobrante",IF(Tabla2[[#This Row],[Variación Stock]]&lt;0,"Faltante","Sin novedad"))</f>
        <v>Sobrante</v>
      </c>
    </row>
    <row r="2522" spans="1:14" x14ac:dyDescent="0.25">
      <c r="A2522" s="11">
        <v>46044</v>
      </c>
      <c r="B2522" s="5" t="s">
        <v>372</v>
      </c>
      <c r="C2522" s="3" t="s">
        <v>337</v>
      </c>
      <c r="D2522" s="5" t="s">
        <v>111</v>
      </c>
      <c r="E2522" s="5" t="s">
        <v>112</v>
      </c>
      <c r="F2522" s="6" t="s">
        <v>285</v>
      </c>
      <c r="G2522" s="4" t="s">
        <v>2</v>
      </c>
      <c r="H2522" s="25">
        <v>0</v>
      </c>
      <c r="I2522" s="8">
        <v>2</v>
      </c>
      <c r="J2522" s="9">
        <v>2</v>
      </c>
      <c r="K2522" s="7">
        <v>0</v>
      </c>
      <c r="L2522" s="24">
        <f>+Tabla2[[#This Row],[Stock Inventario]]*Tabla2[[#This Row],[Coste LÃ­nea]]</f>
        <v>0</v>
      </c>
      <c r="M2522" s="24">
        <f>+Tabla2[[#This Row],[Variación Stock]]*Tabla2[[#This Row],[Coste LÃ­nea]]</f>
        <v>0</v>
      </c>
      <c r="N2522" s="22" t="str">
        <f>+IF(Tabla2[[#This Row],[Variación Stock]]&gt;0,"Sobrante",IF(Tabla2[[#This Row],[Variación Stock]]&lt;0,"Faltante","Sin novedad"))</f>
        <v>Sin novedad</v>
      </c>
    </row>
    <row r="2523" spans="1:14" x14ac:dyDescent="0.25">
      <c r="A2523" s="11">
        <v>46044</v>
      </c>
      <c r="B2523" s="5" t="s">
        <v>372</v>
      </c>
      <c r="C2523" s="3" t="s">
        <v>337</v>
      </c>
      <c r="D2523" s="5" t="s">
        <v>111</v>
      </c>
      <c r="E2523" s="5" t="s">
        <v>112</v>
      </c>
      <c r="F2523" s="6" t="s">
        <v>286</v>
      </c>
      <c r="G2523" s="4" t="s">
        <v>0</v>
      </c>
      <c r="H2523" s="25">
        <v>0</v>
      </c>
      <c r="I2523" s="8">
        <v>0</v>
      </c>
      <c r="J2523" s="9">
        <v>0</v>
      </c>
      <c r="K2523" s="7">
        <v>0</v>
      </c>
      <c r="L2523" s="24">
        <f>+Tabla2[[#This Row],[Stock Inventario]]*Tabla2[[#This Row],[Coste LÃ­nea]]</f>
        <v>0</v>
      </c>
      <c r="M2523" s="24">
        <f>+Tabla2[[#This Row],[Variación Stock]]*Tabla2[[#This Row],[Coste LÃ­nea]]</f>
        <v>0</v>
      </c>
      <c r="N2523" s="22" t="str">
        <f>+IF(Tabla2[[#This Row],[Variación Stock]]&gt;0,"Sobrante",IF(Tabla2[[#This Row],[Variación Stock]]&lt;0,"Faltante","Sin novedad"))</f>
        <v>Sin novedad</v>
      </c>
    </row>
    <row r="2524" spans="1:14" x14ac:dyDescent="0.25">
      <c r="A2524" s="11">
        <v>46044</v>
      </c>
      <c r="B2524" s="5" t="s">
        <v>372</v>
      </c>
      <c r="C2524" s="3" t="s">
        <v>337</v>
      </c>
      <c r="D2524" s="5" t="s">
        <v>111</v>
      </c>
      <c r="E2524" s="5" t="s">
        <v>112</v>
      </c>
      <c r="F2524" s="6" t="s">
        <v>130</v>
      </c>
      <c r="G2524" s="4" t="s">
        <v>0</v>
      </c>
      <c r="H2524" s="25">
        <v>0</v>
      </c>
      <c r="I2524" s="8">
        <v>0</v>
      </c>
      <c r="J2524" s="9">
        <v>0</v>
      </c>
      <c r="K2524" s="7">
        <v>0</v>
      </c>
      <c r="L2524" s="24">
        <f>+Tabla2[[#This Row],[Stock Inventario]]*Tabla2[[#This Row],[Coste LÃ­nea]]</f>
        <v>0</v>
      </c>
      <c r="M2524" s="24">
        <f>+Tabla2[[#This Row],[Variación Stock]]*Tabla2[[#This Row],[Coste LÃ­nea]]</f>
        <v>0</v>
      </c>
      <c r="N2524" s="22" t="str">
        <f>+IF(Tabla2[[#This Row],[Variación Stock]]&gt;0,"Sobrante",IF(Tabla2[[#This Row],[Variación Stock]]&lt;0,"Faltante","Sin novedad"))</f>
        <v>Sin novedad</v>
      </c>
    </row>
    <row r="2525" spans="1:14" x14ac:dyDescent="0.25">
      <c r="A2525" s="11">
        <v>46044</v>
      </c>
      <c r="B2525" s="5" t="s">
        <v>372</v>
      </c>
      <c r="C2525" s="3" t="s">
        <v>337</v>
      </c>
      <c r="D2525" s="5" t="s">
        <v>111</v>
      </c>
      <c r="E2525" s="5" t="s">
        <v>112</v>
      </c>
      <c r="F2525" s="6" t="s">
        <v>366</v>
      </c>
      <c r="G2525" s="4" t="s">
        <v>0</v>
      </c>
      <c r="H2525" s="25">
        <v>1794</v>
      </c>
      <c r="I2525" s="8">
        <v>64</v>
      </c>
      <c r="J2525" s="9">
        <v>0</v>
      </c>
      <c r="K2525" s="7">
        <v>-64</v>
      </c>
      <c r="L2525" s="24">
        <f>+Tabla2[[#This Row],[Stock Inventario]]*Tabla2[[#This Row],[Coste LÃ­nea]]</f>
        <v>0</v>
      </c>
      <c r="M2525" s="24">
        <f>+Tabla2[[#This Row],[Variación Stock]]*Tabla2[[#This Row],[Coste LÃ­nea]]</f>
        <v>-114816</v>
      </c>
      <c r="N2525" s="22" t="str">
        <f>+IF(Tabla2[[#This Row],[Variación Stock]]&gt;0,"Sobrante",IF(Tabla2[[#This Row],[Variación Stock]]&lt;0,"Faltante","Sin novedad"))</f>
        <v>Faltante</v>
      </c>
    </row>
    <row r="2526" spans="1:14" x14ac:dyDescent="0.25">
      <c r="A2526" s="11">
        <v>46044</v>
      </c>
      <c r="B2526" s="5" t="s">
        <v>372</v>
      </c>
      <c r="C2526" s="3" t="s">
        <v>337</v>
      </c>
      <c r="D2526" s="5" t="s">
        <v>111</v>
      </c>
      <c r="E2526" s="5" t="s">
        <v>112</v>
      </c>
      <c r="F2526" s="6" t="s">
        <v>15</v>
      </c>
      <c r="G2526" s="4" t="s">
        <v>0</v>
      </c>
      <c r="H2526" s="25">
        <v>11819.5</v>
      </c>
      <c r="I2526" s="8">
        <v>0</v>
      </c>
      <c r="J2526" s="9">
        <v>0</v>
      </c>
      <c r="K2526" s="7">
        <v>0</v>
      </c>
      <c r="L2526" s="24">
        <f>+Tabla2[[#This Row],[Stock Inventario]]*Tabla2[[#This Row],[Coste LÃ­nea]]</f>
        <v>0</v>
      </c>
      <c r="M2526" s="24">
        <f>+Tabla2[[#This Row],[Variación Stock]]*Tabla2[[#This Row],[Coste LÃ­nea]]</f>
        <v>0</v>
      </c>
      <c r="N2526" s="22" t="str">
        <f>+IF(Tabla2[[#This Row],[Variación Stock]]&gt;0,"Sobrante",IF(Tabla2[[#This Row],[Variación Stock]]&lt;0,"Faltante","Sin novedad"))</f>
        <v>Sin novedad</v>
      </c>
    </row>
    <row r="2527" spans="1:14" x14ac:dyDescent="0.25">
      <c r="A2527" s="11">
        <v>46044</v>
      </c>
      <c r="B2527" s="5" t="s">
        <v>372</v>
      </c>
      <c r="C2527" s="3" t="s">
        <v>337</v>
      </c>
      <c r="D2527" s="5" t="s">
        <v>111</v>
      </c>
      <c r="E2527" s="5" t="s">
        <v>112</v>
      </c>
      <c r="F2527" s="6" t="s">
        <v>30</v>
      </c>
      <c r="G2527" s="4" t="s">
        <v>0</v>
      </c>
      <c r="H2527" s="25">
        <v>3673.5</v>
      </c>
      <c r="I2527" s="8">
        <v>0</v>
      </c>
      <c r="J2527" s="9">
        <v>0</v>
      </c>
      <c r="K2527" s="7">
        <v>0</v>
      </c>
      <c r="L2527" s="24">
        <f>+Tabla2[[#This Row],[Stock Inventario]]*Tabla2[[#This Row],[Coste LÃ­nea]]</f>
        <v>0</v>
      </c>
      <c r="M2527" s="24">
        <f>+Tabla2[[#This Row],[Variación Stock]]*Tabla2[[#This Row],[Coste LÃ­nea]]</f>
        <v>0</v>
      </c>
      <c r="N2527" s="22" t="str">
        <f>+IF(Tabla2[[#This Row],[Variación Stock]]&gt;0,"Sobrante",IF(Tabla2[[#This Row],[Variación Stock]]&lt;0,"Faltante","Sin novedad"))</f>
        <v>Sin novedad</v>
      </c>
    </row>
    <row r="2528" spans="1:14" x14ac:dyDescent="0.25">
      <c r="A2528" s="11">
        <v>46044</v>
      </c>
      <c r="B2528" s="5" t="s">
        <v>372</v>
      </c>
      <c r="C2528" s="3" t="s">
        <v>337</v>
      </c>
      <c r="D2528" s="5" t="s">
        <v>111</v>
      </c>
      <c r="E2528" s="5" t="s">
        <v>112</v>
      </c>
      <c r="F2528" s="6" t="s">
        <v>138</v>
      </c>
      <c r="G2528" s="4" t="s">
        <v>0</v>
      </c>
      <c r="H2528" s="25">
        <v>4504.1666666700003</v>
      </c>
      <c r="I2528" s="8">
        <v>0</v>
      </c>
      <c r="J2528" s="9">
        <v>0</v>
      </c>
      <c r="K2528" s="7">
        <v>0</v>
      </c>
      <c r="L2528" s="24">
        <f>+Tabla2[[#This Row],[Stock Inventario]]*Tabla2[[#This Row],[Coste LÃ­nea]]</f>
        <v>0</v>
      </c>
      <c r="M2528" s="24">
        <f>+Tabla2[[#This Row],[Variación Stock]]*Tabla2[[#This Row],[Coste LÃ­nea]]</f>
        <v>0</v>
      </c>
      <c r="N2528" s="22" t="str">
        <f>+IF(Tabla2[[#This Row],[Variación Stock]]&gt;0,"Sobrante",IF(Tabla2[[#This Row],[Variación Stock]]&lt;0,"Faltante","Sin novedad"))</f>
        <v>Sin novedad</v>
      </c>
    </row>
    <row r="2529" spans="1:14" x14ac:dyDescent="0.25">
      <c r="A2529" s="11">
        <v>46044</v>
      </c>
      <c r="B2529" s="5" t="s">
        <v>372</v>
      </c>
      <c r="C2529" s="3" t="s">
        <v>337</v>
      </c>
      <c r="D2529" s="5" t="s">
        <v>111</v>
      </c>
      <c r="E2529" s="5" t="s">
        <v>112</v>
      </c>
      <c r="F2529" s="6" t="s">
        <v>54</v>
      </c>
      <c r="G2529" s="4" t="s">
        <v>0</v>
      </c>
      <c r="H2529" s="25">
        <v>0</v>
      </c>
      <c r="I2529" s="8">
        <v>0</v>
      </c>
      <c r="J2529" s="9">
        <v>0</v>
      </c>
      <c r="K2529" s="7">
        <v>0</v>
      </c>
      <c r="L2529" s="24">
        <f>+Tabla2[[#This Row],[Stock Inventario]]*Tabla2[[#This Row],[Coste LÃ­nea]]</f>
        <v>0</v>
      </c>
      <c r="M2529" s="24">
        <f>+Tabla2[[#This Row],[Variación Stock]]*Tabla2[[#This Row],[Coste LÃ­nea]]</f>
        <v>0</v>
      </c>
      <c r="N2529" s="22" t="str">
        <f>+IF(Tabla2[[#This Row],[Variación Stock]]&gt;0,"Sobrante",IF(Tabla2[[#This Row],[Variación Stock]]&lt;0,"Faltante","Sin novedad"))</f>
        <v>Sin novedad</v>
      </c>
    </row>
    <row r="2530" spans="1:14" x14ac:dyDescent="0.25">
      <c r="A2530" s="11">
        <v>46044</v>
      </c>
      <c r="B2530" s="5" t="s">
        <v>372</v>
      </c>
      <c r="C2530" s="3" t="s">
        <v>337</v>
      </c>
      <c r="D2530" s="5" t="s">
        <v>111</v>
      </c>
      <c r="E2530" s="5" t="s">
        <v>112</v>
      </c>
      <c r="F2530" s="6" t="s">
        <v>56</v>
      </c>
      <c r="G2530" s="4" t="s">
        <v>0</v>
      </c>
      <c r="H2530" s="25">
        <v>5291.6666666700003</v>
      </c>
      <c r="I2530" s="8">
        <v>0</v>
      </c>
      <c r="J2530" s="9">
        <v>0</v>
      </c>
      <c r="K2530" s="7">
        <v>0</v>
      </c>
      <c r="L2530" s="24">
        <f>+Tabla2[[#This Row],[Stock Inventario]]*Tabla2[[#This Row],[Coste LÃ­nea]]</f>
        <v>0</v>
      </c>
      <c r="M2530" s="24">
        <f>+Tabla2[[#This Row],[Variación Stock]]*Tabla2[[#This Row],[Coste LÃ­nea]]</f>
        <v>0</v>
      </c>
      <c r="N2530" s="22" t="str">
        <f>+IF(Tabla2[[#This Row],[Variación Stock]]&gt;0,"Sobrante",IF(Tabla2[[#This Row],[Variación Stock]]&lt;0,"Faltante","Sin novedad"))</f>
        <v>Sin novedad</v>
      </c>
    </row>
    <row r="2531" spans="1:14" x14ac:dyDescent="0.25">
      <c r="A2531" s="11">
        <v>46037</v>
      </c>
      <c r="B2531" s="5" t="s">
        <v>336</v>
      </c>
      <c r="C2531" s="3" t="s">
        <v>337</v>
      </c>
      <c r="D2531" s="5" t="s">
        <v>111</v>
      </c>
      <c r="E2531" s="5" t="s">
        <v>112</v>
      </c>
      <c r="F2531" s="6" t="s">
        <v>43</v>
      </c>
      <c r="G2531" s="4" t="s">
        <v>0</v>
      </c>
      <c r="H2531" s="25">
        <v>3022.8541666699998</v>
      </c>
      <c r="I2531" s="8">
        <v>44</v>
      </c>
      <c r="J2531" s="9">
        <v>40</v>
      </c>
      <c r="K2531" s="7">
        <v>-4</v>
      </c>
      <c r="L2531" s="24">
        <f>+Tabla2[[#This Row],[Stock Inventario]]*Tabla2[[#This Row],[Coste LÃ­nea]]</f>
        <v>120914.1666668</v>
      </c>
      <c r="M2531" s="24">
        <f>+Tabla2[[#This Row],[Variación Stock]]*Tabla2[[#This Row],[Coste LÃ­nea]]</f>
        <v>-12091.416666679999</v>
      </c>
      <c r="N2531" s="22" t="str">
        <f>+IF(Tabla2[[#This Row],[Variación Stock]]&gt;0,"Sobrante",IF(Tabla2[[#This Row],[Variación Stock]]&lt;0,"Faltante","Sin novedad"))</f>
        <v>Faltante</v>
      </c>
    </row>
    <row r="2532" spans="1:14" x14ac:dyDescent="0.25">
      <c r="A2532" s="11">
        <v>46044</v>
      </c>
      <c r="B2532" s="5" t="s">
        <v>372</v>
      </c>
      <c r="C2532" s="3" t="s">
        <v>337</v>
      </c>
      <c r="D2532" s="5" t="s">
        <v>114</v>
      </c>
      <c r="E2532" s="5" t="s">
        <v>112</v>
      </c>
      <c r="F2532" s="6" t="s">
        <v>146</v>
      </c>
      <c r="G2532" s="4" t="s">
        <v>2</v>
      </c>
      <c r="H2532" s="25">
        <v>0</v>
      </c>
      <c r="I2532" s="8">
        <v>0</v>
      </c>
      <c r="J2532" s="9">
        <v>0</v>
      </c>
      <c r="K2532" s="7">
        <v>0</v>
      </c>
      <c r="L2532" s="24">
        <f>+Tabla2[[#This Row],[Stock Inventario]]*Tabla2[[#This Row],[Coste LÃ­nea]]</f>
        <v>0</v>
      </c>
      <c r="M2532" s="24">
        <f>+Tabla2[[#This Row],[Variación Stock]]*Tabla2[[#This Row],[Coste LÃ­nea]]</f>
        <v>0</v>
      </c>
      <c r="N2532" s="22" t="str">
        <f>+IF(Tabla2[[#This Row],[Variación Stock]]&gt;0,"Sobrante",IF(Tabla2[[#This Row],[Variación Stock]]&lt;0,"Faltante","Sin novedad"))</f>
        <v>Sin novedad</v>
      </c>
    </row>
    <row r="2533" spans="1:14" x14ac:dyDescent="0.25">
      <c r="A2533" s="11">
        <v>46044</v>
      </c>
      <c r="B2533" s="5" t="s">
        <v>372</v>
      </c>
      <c r="C2533" s="3" t="s">
        <v>337</v>
      </c>
      <c r="D2533" s="5" t="s">
        <v>114</v>
      </c>
      <c r="E2533" s="5" t="s">
        <v>112</v>
      </c>
      <c r="F2533" s="6" t="s">
        <v>147</v>
      </c>
      <c r="G2533" s="4" t="s">
        <v>2</v>
      </c>
      <c r="H2533" s="25">
        <v>3333.3333333300002</v>
      </c>
      <c r="I2533" s="8">
        <v>0</v>
      </c>
      <c r="J2533" s="9">
        <v>0</v>
      </c>
      <c r="K2533" s="7">
        <v>0</v>
      </c>
      <c r="L2533" s="24">
        <f>+Tabla2[[#This Row],[Stock Inventario]]*Tabla2[[#This Row],[Coste LÃ­nea]]</f>
        <v>0</v>
      </c>
      <c r="M2533" s="24">
        <f>+Tabla2[[#This Row],[Variación Stock]]*Tabla2[[#This Row],[Coste LÃ­nea]]</f>
        <v>0</v>
      </c>
      <c r="N2533" s="22" t="str">
        <f>+IF(Tabla2[[#This Row],[Variación Stock]]&gt;0,"Sobrante",IF(Tabla2[[#This Row],[Variación Stock]]&lt;0,"Faltante","Sin novedad"))</f>
        <v>Sin novedad</v>
      </c>
    </row>
    <row r="2534" spans="1:14" x14ac:dyDescent="0.25">
      <c r="A2534" s="11">
        <v>46044</v>
      </c>
      <c r="B2534" s="5" t="s">
        <v>372</v>
      </c>
      <c r="C2534" s="3" t="s">
        <v>337</v>
      </c>
      <c r="D2534" s="5" t="s">
        <v>114</v>
      </c>
      <c r="E2534" s="5" t="s">
        <v>112</v>
      </c>
      <c r="F2534" s="6" t="s">
        <v>110</v>
      </c>
      <c r="G2534" s="4" t="s">
        <v>2</v>
      </c>
      <c r="H2534" s="25">
        <v>0</v>
      </c>
      <c r="I2534" s="8">
        <v>0</v>
      </c>
      <c r="J2534" s="9">
        <v>0</v>
      </c>
      <c r="K2534" s="7">
        <v>0</v>
      </c>
      <c r="L2534" s="24">
        <f>+Tabla2[[#This Row],[Stock Inventario]]*Tabla2[[#This Row],[Coste LÃ­nea]]</f>
        <v>0</v>
      </c>
      <c r="M2534" s="24">
        <f>+Tabla2[[#This Row],[Variación Stock]]*Tabla2[[#This Row],[Coste LÃ­nea]]</f>
        <v>0</v>
      </c>
      <c r="N2534" s="22" t="str">
        <f>+IF(Tabla2[[#This Row],[Variación Stock]]&gt;0,"Sobrante",IF(Tabla2[[#This Row],[Variación Stock]]&lt;0,"Faltante","Sin novedad"))</f>
        <v>Sin novedad</v>
      </c>
    </row>
    <row r="2535" spans="1:14" x14ac:dyDescent="0.25">
      <c r="A2535" s="11">
        <v>46044</v>
      </c>
      <c r="B2535" s="5" t="s">
        <v>372</v>
      </c>
      <c r="C2535" s="3" t="s">
        <v>337</v>
      </c>
      <c r="D2535" s="5" t="s">
        <v>114</v>
      </c>
      <c r="E2535" s="5" t="s">
        <v>112</v>
      </c>
      <c r="F2535" s="6" t="s">
        <v>148</v>
      </c>
      <c r="G2535" s="4" t="s">
        <v>2</v>
      </c>
      <c r="H2535" s="25">
        <v>0</v>
      </c>
      <c r="I2535" s="8">
        <v>0</v>
      </c>
      <c r="J2535" s="9">
        <v>0</v>
      </c>
      <c r="K2535" s="7">
        <v>0</v>
      </c>
      <c r="L2535" s="24">
        <f>+Tabla2[[#This Row],[Stock Inventario]]*Tabla2[[#This Row],[Coste LÃ­nea]]</f>
        <v>0</v>
      </c>
      <c r="M2535" s="24">
        <f>+Tabla2[[#This Row],[Variación Stock]]*Tabla2[[#This Row],[Coste LÃ­nea]]</f>
        <v>0</v>
      </c>
      <c r="N2535" s="22" t="str">
        <f>+IF(Tabla2[[#This Row],[Variación Stock]]&gt;0,"Sobrante",IF(Tabla2[[#This Row],[Variación Stock]]&lt;0,"Faltante","Sin novedad"))</f>
        <v>Sin novedad</v>
      </c>
    </row>
    <row r="2536" spans="1:14" x14ac:dyDescent="0.25">
      <c r="A2536" s="11">
        <v>46044</v>
      </c>
      <c r="B2536" s="5" t="s">
        <v>372</v>
      </c>
      <c r="C2536" s="3" t="s">
        <v>337</v>
      </c>
      <c r="D2536" s="5" t="s">
        <v>114</v>
      </c>
      <c r="E2536" s="5" t="s">
        <v>112</v>
      </c>
      <c r="F2536" s="6" t="s">
        <v>373</v>
      </c>
      <c r="G2536" s="4" t="s">
        <v>2</v>
      </c>
      <c r="H2536" s="25">
        <v>2120.83</v>
      </c>
      <c r="I2536" s="8">
        <v>0</v>
      </c>
      <c r="J2536" s="9">
        <v>0</v>
      </c>
      <c r="K2536" s="7">
        <v>0</v>
      </c>
      <c r="L2536" s="24">
        <f>+Tabla2[[#This Row],[Stock Inventario]]*Tabla2[[#This Row],[Coste LÃ­nea]]</f>
        <v>0</v>
      </c>
      <c r="M2536" s="24">
        <f>+Tabla2[[#This Row],[Variación Stock]]*Tabla2[[#This Row],[Coste LÃ­nea]]</f>
        <v>0</v>
      </c>
      <c r="N2536" s="22" t="str">
        <f>+IF(Tabla2[[#This Row],[Variación Stock]]&gt;0,"Sobrante",IF(Tabla2[[#This Row],[Variación Stock]]&lt;0,"Faltante","Sin novedad"))</f>
        <v>Sin novedad</v>
      </c>
    </row>
    <row r="2537" spans="1:14" x14ac:dyDescent="0.25">
      <c r="A2537" s="11">
        <v>46044</v>
      </c>
      <c r="B2537" s="5" t="s">
        <v>372</v>
      </c>
      <c r="C2537" s="3" t="s">
        <v>337</v>
      </c>
      <c r="D2537" s="5" t="s">
        <v>114</v>
      </c>
      <c r="E2537" s="5" t="s">
        <v>112</v>
      </c>
      <c r="F2537" s="6" t="s">
        <v>70</v>
      </c>
      <c r="G2537" s="4" t="s">
        <v>2</v>
      </c>
      <c r="H2537" s="25">
        <v>1835.41666667</v>
      </c>
      <c r="I2537" s="8">
        <v>0</v>
      </c>
      <c r="J2537" s="9">
        <v>0</v>
      </c>
      <c r="K2537" s="7">
        <v>0</v>
      </c>
      <c r="L2537" s="24">
        <f>+Tabla2[[#This Row],[Stock Inventario]]*Tabla2[[#This Row],[Coste LÃ­nea]]</f>
        <v>0</v>
      </c>
      <c r="M2537" s="24">
        <f>+Tabla2[[#This Row],[Variación Stock]]*Tabla2[[#This Row],[Coste LÃ­nea]]</f>
        <v>0</v>
      </c>
      <c r="N2537" s="22" t="str">
        <f>+IF(Tabla2[[#This Row],[Variación Stock]]&gt;0,"Sobrante",IF(Tabla2[[#This Row],[Variación Stock]]&lt;0,"Faltante","Sin novedad"))</f>
        <v>Sin novedad</v>
      </c>
    </row>
    <row r="2538" spans="1:14" x14ac:dyDescent="0.25">
      <c r="A2538" s="11">
        <v>46044</v>
      </c>
      <c r="B2538" s="5" t="s">
        <v>372</v>
      </c>
      <c r="C2538" s="3" t="s">
        <v>337</v>
      </c>
      <c r="D2538" s="5" t="s">
        <v>115</v>
      </c>
      <c r="E2538" s="5" t="s">
        <v>112</v>
      </c>
      <c r="F2538" s="6" t="s">
        <v>368</v>
      </c>
      <c r="G2538" s="4" t="s">
        <v>2</v>
      </c>
      <c r="H2538" s="25">
        <v>3099.6666666699998</v>
      </c>
      <c r="I2538" s="8">
        <v>0</v>
      </c>
      <c r="J2538" s="9">
        <v>0</v>
      </c>
      <c r="K2538" s="7">
        <v>0</v>
      </c>
      <c r="L2538" s="24">
        <f>+Tabla2[[#This Row],[Stock Inventario]]*Tabla2[[#This Row],[Coste LÃ­nea]]</f>
        <v>0</v>
      </c>
      <c r="M2538" s="24">
        <f>+Tabla2[[#This Row],[Variación Stock]]*Tabla2[[#This Row],[Coste LÃ­nea]]</f>
        <v>0</v>
      </c>
      <c r="N2538" s="22" t="str">
        <f>+IF(Tabla2[[#This Row],[Variación Stock]]&gt;0,"Sobrante",IF(Tabla2[[#This Row],[Variación Stock]]&lt;0,"Faltante","Sin novedad"))</f>
        <v>Sin novedad</v>
      </c>
    </row>
    <row r="2539" spans="1:14" x14ac:dyDescent="0.25">
      <c r="A2539" s="11">
        <v>46044</v>
      </c>
      <c r="B2539" s="5" t="s">
        <v>372</v>
      </c>
      <c r="C2539" s="3" t="s">
        <v>337</v>
      </c>
      <c r="D2539" s="5" t="s">
        <v>115</v>
      </c>
      <c r="E2539" s="5" t="s">
        <v>112</v>
      </c>
      <c r="F2539" s="6" t="s">
        <v>153</v>
      </c>
      <c r="G2539" s="4" t="s">
        <v>2</v>
      </c>
      <c r="H2539" s="25">
        <v>3200</v>
      </c>
      <c r="I2539" s="8">
        <v>0</v>
      </c>
      <c r="J2539" s="9">
        <v>0</v>
      </c>
      <c r="K2539" s="7">
        <v>0</v>
      </c>
      <c r="L2539" s="24">
        <f>+Tabla2[[#This Row],[Stock Inventario]]*Tabla2[[#This Row],[Coste LÃ­nea]]</f>
        <v>0</v>
      </c>
      <c r="M2539" s="24">
        <f>+Tabla2[[#This Row],[Variación Stock]]*Tabla2[[#This Row],[Coste LÃ­nea]]</f>
        <v>0</v>
      </c>
      <c r="N2539" s="22" t="str">
        <f>+IF(Tabla2[[#This Row],[Variación Stock]]&gt;0,"Sobrante",IF(Tabla2[[#This Row],[Variación Stock]]&lt;0,"Faltante","Sin novedad"))</f>
        <v>Sin novedad</v>
      </c>
    </row>
    <row r="2540" spans="1:14" x14ac:dyDescent="0.25">
      <c r="A2540" s="11">
        <v>46044</v>
      </c>
      <c r="B2540" s="5" t="s">
        <v>372</v>
      </c>
      <c r="C2540" s="3" t="s">
        <v>337</v>
      </c>
      <c r="D2540" s="5" t="s">
        <v>115</v>
      </c>
      <c r="E2540" s="5" t="s">
        <v>112</v>
      </c>
      <c r="F2540" s="6" t="s">
        <v>78</v>
      </c>
      <c r="G2540" s="4" t="s">
        <v>2</v>
      </c>
      <c r="H2540" s="25">
        <v>3261.8333333300002</v>
      </c>
      <c r="I2540" s="8">
        <v>0</v>
      </c>
      <c r="J2540" s="9">
        <v>0</v>
      </c>
      <c r="K2540" s="7">
        <v>0</v>
      </c>
      <c r="L2540" s="24">
        <f>+Tabla2[[#This Row],[Stock Inventario]]*Tabla2[[#This Row],[Coste LÃ­nea]]</f>
        <v>0</v>
      </c>
      <c r="M2540" s="24">
        <f>+Tabla2[[#This Row],[Variación Stock]]*Tabla2[[#This Row],[Coste LÃ­nea]]</f>
        <v>0</v>
      </c>
      <c r="N2540" s="22" t="str">
        <f>+IF(Tabla2[[#This Row],[Variación Stock]]&gt;0,"Sobrante",IF(Tabla2[[#This Row],[Variación Stock]]&lt;0,"Faltante","Sin novedad"))</f>
        <v>Sin novedad</v>
      </c>
    </row>
    <row r="2541" spans="1:14" hidden="1" x14ac:dyDescent="0.25">
      <c r="A2541" s="11">
        <v>46044</v>
      </c>
      <c r="B2541" s="5" t="s">
        <v>372</v>
      </c>
      <c r="C2541" s="3" t="s">
        <v>337</v>
      </c>
      <c r="D2541" s="5" t="s">
        <v>119</v>
      </c>
      <c r="E2541" s="5" t="s">
        <v>117</v>
      </c>
      <c r="F2541" s="6" t="s">
        <v>14</v>
      </c>
      <c r="G2541" s="4" t="s">
        <v>1</v>
      </c>
      <c r="H2541" s="25">
        <v>31.416</v>
      </c>
      <c r="I2541" s="8">
        <v>3000</v>
      </c>
      <c r="J2541" s="9">
        <v>0</v>
      </c>
      <c r="K2541" s="7">
        <v>-3000</v>
      </c>
      <c r="L2541" s="24">
        <f>+Tabla2[[#This Row],[Stock Inventario]]*Tabla2[[#This Row],[Coste LÃ­nea]]</f>
        <v>0</v>
      </c>
      <c r="M2541" s="24">
        <f>+Tabla2[[#This Row],[Variación Stock]]*Tabla2[[#This Row],[Coste LÃ­nea]]</f>
        <v>-94248</v>
      </c>
      <c r="N2541" s="22" t="str">
        <f>+IF(Tabla2[[#This Row],[Variación Stock]]&gt;0,"Sobrante",IF(Tabla2[[#This Row],[Variación Stock]]&lt;0,"Faltante","Sin novedad"))</f>
        <v>Faltante</v>
      </c>
    </row>
    <row r="2542" spans="1:14" x14ac:dyDescent="0.25">
      <c r="A2542" s="11">
        <v>46044</v>
      </c>
      <c r="B2542" s="5" t="s">
        <v>372</v>
      </c>
      <c r="C2542" s="3" t="s">
        <v>337</v>
      </c>
      <c r="D2542" s="5" t="s">
        <v>118</v>
      </c>
      <c r="E2542" s="5" t="s">
        <v>112</v>
      </c>
      <c r="F2542" s="6" t="s">
        <v>374</v>
      </c>
      <c r="G2542" s="4" t="s">
        <v>2</v>
      </c>
      <c r="H2542" s="25">
        <v>0</v>
      </c>
      <c r="I2542" s="8">
        <v>0</v>
      </c>
      <c r="J2542" s="9">
        <v>0</v>
      </c>
      <c r="K2542" s="7">
        <v>0</v>
      </c>
      <c r="L2542" s="24">
        <f>+Tabla2[[#This Row],[Stock Inventario]]*Tabla2[[#This Row],[Coste LÃ­nea]]</f>
        <v>0</v>
      </c>
      <c r="M2542" s="24">
        <f>+Tabla2[[#This Row],[Variación Stock]]*Tabla2[[#This Row],[Coste LÃ­nea]]</f>
        <v>0</v>
      </c>
      <c r="N2542" s="22" t="str">
        <f>+IF(Tabla2[[#This Row],[Variación Stock]]&gt;0,"Sobrante",IF(Tabla2[[#This Row],[Variación Stock]]&lt;0,"Faltante","Sin novedad"))</f>
        <v>Sin novedad</v>
      </c>
    </row>
    <row r="2543" spans="1:14" x14ac:dyDescent="0.25">
      <c r="A2543" s="11">
        <v>46044</v>
      </c>
      <c r="B2543" s="5" t="s">
        <v>372</v>
      </c>
      <c r="C2543" s="3" t="s">
        <v>337</v>
      </c>
      <c r="D2543" s="5" t="s">
        <v>118</v>
      </c>
      <c r="E2543" s="5" t="s">
        <v>112</v>
      </c>
      <c r="F2543" s="6" t="s">
        <v>292</v>
      </c>
      <c r="G2543" s="4" t="s">
        <v>81</v>
      </c>
      <c r="H2543" s="25">
        <v>0</v>
      </c>
      <c r="I2543" s="8">
        <v>0</v>
      </c>
      <c r="J2543" s="9">
        <v>0</v>
      </c>
      <c r="K2543" s="7">
        <v>0</v>
      </c>
      <c r="L2543" s="24">
        <f>+Tabla2[[#This Row],[Stock Inventario]]*Tabla2[[#This Row],[Coste LÃ­nea]]</f>
        <v>0</v>
      </c>
      <c r="M2543" s="24">
        <f>+Tabla2[[#This Row],[Variación Stock]]*Tabla2[[#This Row],[Coste LÃ­nea]]</f>
        <v>0</v>
      </c>
      <c r="N2543" s="22" t="str">
        <f>+IF(Tabla2[[#This Row],[Variación Stock]]&gt;0,"Sobrante",IF(Tabla2[[#This Row],[Variación Stock]]&lt;0,"Faltante","Sin novedad"))</f>
        <v>Sin novedad</v>
      </c>
    </row>
    <row r="2544" spans="1:14" x14ac:dyDescent="0.25">
      <c r="A2544" s="11">
        <v>46044</v>
      </c>
      <c r="B2544" s="5" t="s">
        <v>372</v>
      </c>
      <c r="C2544" s="3" t="s">
        <v>337</v>
      </c>
      <c r="D2544" s="5" t="s">
        <v>118</v>
      </c>
      <c r="E2544" s="5" t="s">
        <v>112</v>
      </c>
      <c r="F2544" s="6" t="s">
        <v>294</v>
      </c>
      <c r="G2544" s="4" t="s">
        <v>2</v>
      </c>
      <c r="H2544" s="25">
        <v>22425</v>
      </c>
      <c r="I2544" s="8">
        <v>0</v>
      </c>
      <c r="J2544" s="9">
        <v>0</v>
      </c>
      <c r="K2544" s="7">
        <v>0</v>
      </c>
      <c r="L2544" s="24">
        <f>+Tabla2[[#This Row],[Stock Inventario]]*Tabla2[[#This Row],[Coste LÃ­nea]]</f>
        <v>0</v>
      </c>
      <c r="M2544" s="24">
        <f>+Tabla2[[#This Row],[Variación Stock]]*Tabla2[[#This Row],[Coste LÃ­nea]]</f>
        <v>0</v>
      </c>
      <c r="N2544" s="22" t="str">
        <f>+IF(Tabla2[[#This Row],[Variación Stock]]&gt;0,"Sobrante",IF(Tabla2[[#This Row],[Variación Stock]]&lt;0,"Faltante","Sin novedad"))</f>
        <v>Sin novedad</v>
      </c>
    </row>
    <row r="2545" spans="1:14" x14ac:dyDescent="0.25">
      <c r="A2545" s="11">
        <v>46044</v>
      </c>
      <c r="B2545" s="5" t="s">
        <v>372</v>
      </c>
      <c r="C2545" s="3" t="s">
        <v>337</v>
      </c>
      <c r="D2545" s="5" t="s">
        <v>118</v>
      </c>
      <c r="E2545" s="5" t="s">
        <v>112</v>
      </c>
      <c r="F2545" s="6" t="s">
        <v>174</v>
      </c>
      <c r="G2545" s="4" t="s">
        <v>0</v>
      </c>
      <c r="H2545" s="25">
        <v>2903.3333333300002</v>
      </c>
      <c r="I2545" s="8">
        <v>0</v>
      </c>
      <c r="J2545" s="9">
        <v>0</v>
      </c>
      <c r="K2545" s="7">
        <v>0</v>
      </c>
      <c r="L2545" s="24">
        <f>+Tabla2[[#This Row],[Stock Inventario]]*Tabla2[[#This Row],[Coste LÃ­nea]]</f>
        <v>0</v>
      </c>
      <c r="M2545" s="24">
        <f>+Tabla2[[#This Row],[Variación Stock]]*Tabla2[[#This Row],[Coste LÃ­nea]]</f>
        <v>0</v>
      </c>
      <c r="N2545" s="22" t="str">
        <f>+IF(Tabla2[[#This Row],[Variación Stock]]&gt;0,"Sobrante",IF(Tabla2[[#This Row],[Variación Stock]]&lt;0,"Faltante","Sin novedad"))</f>
        <v>Sin novedad</v>
      </c>
    </row>
    <row r="2546" spans="1:14" x14ac:dyDescent="0.25">
      <c r="A2546" s="11">
        <v>46044</v>
      </c>
      <c r="B2546" s="5" t="s">
        <v>372</v>
      </c>
      <c r="C2546" s="3" t="s">
        <v>337</v>
      </c>
      <c r="D2546" s="5" t="s">
        <v>118</v>
      </c>
      <c r="E2546" s="5" t="s">
        <v>112</v>
      </c>
      <c r="F2546" s="6" t="s">
        <v>300</v>
      </c>
      <c r="G2546" s="4" t="s">
        <v>2</v>
      </c>
      <c r="H2546" s="25">
        <v>25109.5</v>
      </c>
      <c r="I2546" s="8">
        <v>0</v>
      </c>
      <c r="J2546" s="9">
        <v>0</v>
      </c>
      <c r="K2546" s="7">
        <v>0</v>
      </c>
      <c r="L2546" s="24">
        <f>+Tabla2[[#This Row],[Stock Inventario]]*Tabla2[[#This Row],[Coste LÃ­nea]]</f>
        <v>0</v>
      </c>
      <c r="M2546" s="24">
        <f>+Tabla2[[#This Row],[Variación Stock]]*Tabla2[[#This Row],[Coste LÃ­nea]]</f>
        <v>0</v>
      </c>
      <c r="N2546" s="22" t="str">
        <f>+IF(Tabla2[[#This Row],[Variación Stock]]&gt;0,"Sobrante",IF(Tabla2[[#This Row],[Variación Stock]]&lt;0,"Faltante","Sin novedad"))</f>
        <v>Sin novedad</v>
      </c>
    </row>
    <row r="2547" spans="1:14" x14ac:dyDescent="0.25">
      <c r="A2547" s="11">
        <v>46044</v>
      </c>
      <c r="B2547" s="5" t="s">
        <v>372</v>
      </c>
      <c r="C2547" s="3" t="s">
        <v>337</v>
      </c>
      <c r="D2547" s="5" t="s">
        <v>118</v>
      </c>
      <c r="E2547" s="5" t="s">
        <v>112</v>
      </c>
      <c r="F2547" s="6" t="s">
        <v>302</v>
      </c>
      <c r="G2547" s="4" t="s">
        <v>2</v>
      </c>
      <c r="H2547" s="25">
        <v>444869</v>
      </c>
      <c r="I2547" s="8">
        <v>0</v>
      </c>
      <c r="J2547" s="9">
        <v>0</v>
      </c>
      <c r="K2547" s="7">
        <v>0</v>
      </c>
      <c r="L2547" s="24">
        <f>+Tabla2[[#This Row],[Stock Inventario]]*Tabla2[[#This Row],[Coste LÃ­nea]]</f>
        <v>0</v>
      </c>
      <c r="M2547" s="24">
        <f>+Tabla2[[#This Row],[Variación Stock]]*Tabla2[[#This Row],[Coste LÃ­nea]]</f>
        <v>0</v>
      </c>
      <c r="N2547" s="22" t="str">
        <f>+IF(Tabla2[[#This Row],[Variación Stock]]&gt;0,"Sobrante",IF(Tabla2[[#This Row],[Variación Stock]]&lt;0,"Faltante","Sin novedad"))</f>
        <v>Sin novedad</v>
      </c>
    </row>
    <row r="2548" spans="1:14" x14ac:dyDescent="0.25">
      <c r="A2548" s="11">
        <v>46044</v>
      </c>
      <c r="B2548" s="5" t="s">
        <v>372</v>
      </c>
      <c r="C2548" s="3" t="s">
        <v>337</v>
      </c>
      <c r="D2548" s="5" t="s">
        <v>118</v>
      </c>
      <c r="E2548" s="5" t="s">
        <v>112</v>
      </c>
      <c r="F2548" s="6" t="s">
        <v>84</v>
      </c>
      <c r="G2548" s="4" t="s">
        <v>81</v>
      </c>
      <c r="H2548" s="25">
        <v>9853.7999999999993</v>
      </c>
      <c r="I2548" s="8">
        <v>0</v>
      </c>
      <c r="J2548" s="9">
        <v>0</v>
      </c>
      <c r="K2548" s="7">
        <v>0</v>
      </c>
      <c r="L2548" s="24">
        <f>+Tabla2[[#This Row],[Stock Inventario]]*Tabla2[[#This Row],[Coste LÃ­nea]]</f>
        <v>0</v>
      </c>
      <c r="M2548" s="24">
        <f>+Tabla2[[#This Row],[Variación Stock]]*Tabla2[[#This Row],[Coste LÃ­nea]]</f>
        <v>0</v>
      </c>
      <c r="N2548" s="22" t="str">
        <f>+IF(Tabla2[[#This Row],[Variación Stock]]&gt;0,"Sobrante",IF(Tabla2[[#This Row],[Variación Stock]]&lt;0,"Faltante","Sin novedad"))</f>
        <v>Sin novedad</v>
      </c>
    </row>
    <row r="2549" spans="1:14" x14ac:dyDescent="0.25">
      <c r="A2549" s="11">
        <v>46044</v>
      </c>
      <c r="B2549" s="5" t="s">
        <v>372</v>
      </c>
      <c r="C2549" s="3" t="s">
        <v>337</v>
      </c>
      <c r="D2549" s="5" t="s">
        <v>118</v>
      </c>
      <c r="E2549" s="5" t="s">
        <v>112</v>
      </c>
      <c r="F2549" s="6" t="s">
        <v>375</v>
      </c>
      <c r="G2549" s="4" t="s">
        <v>81</v>
      </c>
      <c r="H2549" s="25">
        <v>10705</v>
      </c>
      <c r="I2549" s="8">
        <v>0</v>
      </c>
      <c r="J2549" s="9">
        <v>0</v>
      </c>
      <c r="K2549" s="7">
        <v>0</v>
      </c>
      <c r="L2549" s="24">
        <f>+Tabla2[[#This Row],[Stock Inventario]]*Tabla2[[#This Row],[Coste LÃ­nea]]</f>
        <v>0</v>
      </c>
      <c r="M2549" s="24">
        <f>+Tabla2[[#This Row],[Variación Stock]]*Tabla2[[#This Row],[Coste LÃ­nea]]</f>
        <v>0</v>
      </c>
      <c r="N2549" s="22" t="str">
        <f>+IF(Tabla2[[#This Row],[Variación Stock]]&gt;0,"Sobrante",IF(Tabla2[[#This Row],[Variación Stock]]&lt;0,"Faltante","Sin novedad"))</f>
        <v>Sin novedad</v>
      </c>
    </row>
    <row r="2550" spans="1:14" x14ac:dyDescent="0.25">
      <c r="A2550" s="11">
        <v>46044</v>
      </c>
      <c r="B2550" s="5" t="s">
        <v>372</v>
      </c>
      <c r="C2550" s="3" t="s">
        <v>337</v>
      </c>
      <c r="D2550" s="5" t="s">
        <v>118</v>
      </c>
      <c r="E2550" s="5" t="s">
        <v>112</v>
      </c>
      <c r="F2550" s="6" t="s">
        <v>92</v>
      </c>
      <c r="G2550" s="4" t="s">
        <v>81</v>
      </c>
      <c r="H2550" s="25">
        <v>10705.05</v>
      </c>
      <c r="I2550" s="8">
        <v>0</v>
      </c>
      <c r="J2550" s="9">
        <v>0</v>
      </c>
      <c r="K2550" s="7">
        <v>0</v>
      </c>
      <c r="L2550" s="24">
        <f>+Tabla2[[#This Row],[Stock Inventario]]*Tabla2[[#This Row],[Coste LÃ­nea]]</f>
        <v>0</v>
      </c>
      <c r="M2550" s="24">
        <f>+Tabla2[[#This Row],[Variación Stock]]*Tabla2[[#This Row],[Coste LÃ­nea]]</f>
        <v>0</v>
      </c>
      <c r="N2550" s="22" t="str">
        <f>+IF(Tabla2[[#This Row],[Variación Stock]]&gt;0,"Sobrante",IF(Tabla2[[#This Row],[Variación Stock]]&lt;0,"Faltante","Sin novedad"))</f>
        <v>Sin novedad</v>
      </c>
    </row>
    <row r="2551" spans="1:14" x14ac:dyDescent="0.25">
      <c r="A2551" s="11">
        <v>46044</v>
      </c>
      <c r="B2551" s="5" t="s">
        <v>372</v>
      </c>
      <c r="C2551" s="3" t="s">
        <v>337</v>
      </c>
      <c r="D2551" s="5" t="s">
        <v>118</v>
      </c>
      <c r="E2551" s="5" t="s">
        <v>112</v>
      </c>
      <c r="F2551" s="6" t="s">
        <v>186</v>
      </c>
      <c r="G2551" s="4" t="s">
        <v>2</v>
      </c>
      <c r="H2551" s="25">
        <v>48500</v>
      </c>
      <c r="I2551" s="8">
        <v>0</v>
      </c>
      <c r="J2551" s="9">
        <v>0</v>
      </c>
      <c r="K2551" s="7">
        <v>0</v>
      </c>
      <c r="L2551" s="24">
        <f>+Tabla2[[#This Row],[Stock Inventario]]*Tabla2[[#This Row],[Coste LÃ­nea]]</f>
        <v>0</v>
      </c>
      <c r="M2551" s="24">
        <f>+Tabla2[[#This Row],[Variación Stock]]*Tabla2[[#This Row],[Coste LÃ­nea]]</f>
        <v>0</v>
      </c>
      <c r="N2551" s="22" t="str">
        <f>+IF(Tabla2[[#This Row],[Variación Stock]]&gt;0,"Sobrante",IF(Tabla2[[#This Row],[Variación Stock]]&lt;0,"Faltante","Sin novedad"))</f>
        <v>Sin novedad</v>
      </c>
    </row>
    <row r="2552" spans="1:14" x14ac:dyDescent="0.25">
      <c r="A2552" s="11">
        <v>46044</v>
      </c>
      <c r="B2552" s="5" t="s">
        <v>372</v>
      </c>
      <c r="C2552" s="3" t="s">
        <v>337</v>
      </c>
      <c r="D2552" s="5" t="s">
        <v>111</v>
      </c>
      <c r="E2552" s="5" t="s">
        <v>112</v>
      </c>
      <c r="F2552" s="6" t="s">
        <v>43</v>
      </c>
      <c r="G2552" s="4" t="s">
        <v>0</v>
      </c>
      <c r="H2552" s="25">
        <v>2545.0104166699998</v>
      </c>
      <c r="I2552" s="8">
        <v>33</v>
      </c>
      <c r="J2552" s="9">
        <v>35</v>
      </c>
      <c r="K2552" s="7">
        <v>2</v>
      </c>
      <c r="L2552" s="24">
        <f>+Tabla2[[#This Row],[Stock Inventario]]*Tabla2[[#This Row],[Coste LÃ­nea]]</f>
        <v>89075.364583449991</v>
      </c>
      <c r="M2552" s="24">
        <f>+Tabla2[[#This Row],[Variación Stock]]*Tabla2[[#This Row],[Coste LÃ­nea]]</f>
        <v>5090.0208333399996</v>
      </c>
      <c r="N2552" s="22" t="str">
        <f>+IF(Tabla2[[#This Row],[Variación Stock]]&gt;0,"Sobrante",IF(Tabla2[[#This Row],[Variación Stock]]&lt;0,"Faltante","Sin novedad"))</f>
        <v>Sobrante</v>
      </c>
    </row>
    <row r="2553" spans="1:14" x14ac:dyDescent="0.25">
      <c r="A2553" s="11">
        <v>46044</v>
      </c>
      <c r="B2553" s="5" t="s">
        <v>372</v>
      </c>
      <c r="C2553" s="3" t="s">
        <v>337</v>
      </c>
      <c r="D2553" s="5" t="s">
        <v>111</v>
      </c>
      <c r="E2553" s="5" t="s">
        <v>112</v>
      </c>
      <c r="F2553" s="6" t="s">
        <v>113</v>
      </c>
      <c r="G2553" s="4" t="s">
        <v>0</v>
      </c>
      <c r="H2553" s="25">
        <v>15318.181818180001</v>
      </c>
      <c r="I2553" s="8">
        <v>34</v>
      </c>
      <c r="J2553" s="9">
        <v>32</v>
      </c>
      <c r="K2553" s="7">
        <v>-2</v>
      </c>
      <c r="L2553" s="24">
        <f>+Tabla2[[#This Row],[Stock Inventario]]*Tabla2[[#This Row],[Coste LÃ­nea]]</f>
        <v>490181.81818176003</v>
      </c>
      <c r="M2553" s="24">
        <f>+Tabla2[[#This Row],[Variación Stock]]*Tabla2[[#This Row],[Coste LÃ­nea]]</f>
        <v>-30636.363636360002</v>
      </c>
      <c r="N2553" s="22" t="str">
        <f>+IF(Tabla2[[#This Row],[Variación Stock]]&gt;0,"Sobrante",IF(Tabla2[[#This Row],[Variación Stock]]&lt;0,"Faltante","Sin novedad"))</f>
        <v>Faltante</v>
      </c>
    </row>
    <row r="2554" spans="1:14" x14ac:dyDescent="0.25">
      <c r="A2554" s="11">
        <v>46037</v>
      </c>
      <c r="B2554" s="5" t="s">
        <v>336</v>
      </c>
      <c r="C2554" s="3" t="s">
        <v>337</v>
      </c>
      <c r="D2554" s="5" t="s">
        <v>111</v>
      </c>
      <c r="E2554" s="5" t="s">
        <v>112</v>
      </c>
      <c r="F2554" s="6" t="s">
        <v>113</v>
      </c>
      <c r="G2554" s="4" t="s">
        <v>0</v>
      </c>
      <c r="H2554" s="25">
        <v>15318.181818180001</v>
      </c>
      <c r="I2554" s="8">
        <v>32</v>
      </c>
      <c r="J2554" s="9">
        <v>34</v>
      </c>
      <c r="K2554" s="7">
        <v>2</v>
      </c>
      <c r="L2554" s="24">
        <f>+Tabla2[[#This Row],[Stock Inventario]]*Tabla2[[#This Row],[Coste LÃ­nea]]</f>
        <v>520818.18181812001</v>
      </c>
      <c r="M2554" s="24">
        <f>+Tabla2[[#This Row],[Variación Stock]]*Tabla2[[#This Row],[Coste LÃ­nea]]</f>
        <v>30636.363636360002</v>
      </c>
      <c r="N2554" s="22" t="str">
        <f>+IF(Tabla2[[#This Row],[Variación Stock]]&gt;0,"Sobrante",IF(Tabla2[[#This Row],[Variación Stock]]&lt;0,"Faltante","Sin novedad"))</f>
        <v>Sobrante</v>
      </c>
    </row>
    <row r="2555" spans="1:14" hidden="1" x14ac:dyDescent="0.25">
      <c r="A2555" s="11">
        <v>46044</v>
      </c>
      <c r="B2555" s="5" t="s">
        <v>372</v>
      </c>
      <c r="C2555" s="3" t="s">
        <v>337</v>
      </c>
      <c r="D2555" s="5" t="s">
        <v>119</v>
      </c>
      <c r="E2555" s="5" t="s">
        <v>117</v>
      </c>
      <c r="F2555" s="6" t="s">
        <v>200</v>
      </c>
      <c r="G2555" s="4" t="s">
        <v>1</v>
      </c>
      <c r="H2555" s="25">
        <v>58.31</v>
      </c>
      <c r="I2555" s="8">
        <v>0</v>
      </c>
      <c r="J2555" s="9">
        <v>0</v>
      </c>
      <c r="K2555" s="7">
        <v>0</v>
      </c>
      <c r="L2555" s="24">
        <f>+Tabla2[[#This Row],[Stock Inventario]]*Tabla2[[#This Row],[Coste LÃ­nea]]</f>
        <v>0</v>
      </c>
      <c r="M2555" s="24">
        <f>+Tabla2[[#This Row],[Variación Stock]]*Tabla2[[#This Row],[Coste LÃ­nea]]</f>
        <v>0</v>
      </c>
      <c r="N2555" s="22" t="str">
        <f>+IF(Tabla2[[#This Row],[Variación Stock]]&gt;0,"Sobrante",IF(Tabla2[[#This Row],[Variación Stock]]&lt;0,"Faltante","Sin novedad"))</f>
        <v>Sin novedad</v>
      </c>
    </row>
    <row r="2556" spans="1:14" hidden="1" x14ac:dyDescent="0.25">
      <c r="A2556" s="11">
        <v>46044</v>
      </c>
      <c r="B2556" s="5" t="s">
        <v>372</v>
      </c>
      <c r="C2556" s="3" t="s">
        <v>337</v>
      </c>
      <c r="D2556" s="5" t="s">
        <v>120</v>
      </c>
      <c r="E2556" s="5" t="s">
        <v>117</v>
      </c>
      <c r="F2556" s="6" t="s">
        <v>315</v>
      </c>
      <c r="G2556" s="4" t="s">
        <v>2</v>
      </c>
      <c r="H2556" s="25">
        <v>2224.8677035000001</v>
      </c>
      <c r="I2556" s="8">
        <v>0</v>
      </c>
      <c r="J2556" s="9">
        <v>0</v>
      </c>
      <c r="K2556" s="7">
        <v>0</v>
      </c>
      <c r="L2556" s="24">
        <f>+Tabla2[[#This Row],[Stock Inventario]]*Tabla2[[#This Row],[Coste LÃ­nea]]</f>
        <v>0</v>
      </c>
      <c r="M2556" s="24">
        <f>+Tabla2[[#This Row],[Variación Stock]]*Tabla2[[#This Row],[Coste LÃ­nea]]</f>
        <v>0</v>
      </c>
      <c r="N2556" s="22" t="str">
        <f>+IF(Tabla2[[#This Row],[Variación Stock]]&gt;0,"Sobrante",IF(Tabla2[[#This Row],[Variación Stock]]&lt;0,"Faltante","Sin novedad"))</f>
        <v>Sin novedad</v>
      </c>
    </row>
    <row r="2557" spans="1:14" hidden="1" x14ac:dyDescent="0.25">
      <c r="A2557" s="11">
        <v>46044</v>
      </c>
      <c r="B2557" s="5" t="s">
        <v>372</v>
      </c>
      <c r="C2557" s="3" t="s">
        <v>337</v>
      </c>
      <c r="D2557" s="5" t="s">
        <v>323</v>
      </c>
      <c r="E2557" s="5" t="s">
        <v>117</v>
      </c>
      <c r="F2557" s="6" t="s">
        <v>344</v>
      </c>
      <c r="G2557" s="4" t="s">
        <v>1</v>
      </c>
      <c r="H2557" s="25">
        <v>15.035785089999999</v>
      </c>
      <c r="I2557" s="8">
        <v>0</v>
      </c>
      <c r="J2557" s="9">
        <v>0</v>
      </c>
      <c r="K2557" s="7">
        <v>0</v>
      </c>
      <c r="L2557" s="24">
        <f>+Tabla2[[#This Row],[Stock Inventario]]*Tabla2[[#This Row],[Coste LÃ­nea]]</f>
        <v>0</v>
      </c>
      <c r="M2557" s="24">
        <f>+Tabla2[[#This Row],[Variación Stock]]*Tabla2[[#This Row],[Coste LÃ­nea]]</f>
        <v>0</v>
      </c>
      <c r="N2557" s="22" t="str">
        <f>+IF(Tabla2[[#This Row],[Variación Stock]]&gt;0,"Sobrante",IF(Tabla2[[#This Row],[Variación Stock]]&lt;0,"Faltante","Sin novedad"))</f>
        <v>Sin novedad</v>
      </c>
    </row>
    <row r="2558" spans="1:14" x14ac:dyDescent="0.25">
      <c r="A2558" s="11">
        <v>46044</v>
      </c>
      <c r="B2558" s="5" t="s">
        <v>372</v>
      </c>
      <c r="C2558" s="3" t="s">
        <v>337</v>
      </c>
      <c r="D2558" s="5" t="s">
        <v>122</v>
      </c>
      <c r="E2558" s="5" t="s">
        <v>112</v>
      </c>
      <c r="F2558" s="6" t="s">
        <v>107</v>
      </c>
      <c r="G2558" s="4" t="s">
        <v>2</v>
      </c>
      <c r="H2558" s="25">
        <v>3458.3291316700002</v>
      </c>
      <c r="I2558" s="8">
        <v>0</v>
      </c>
      <c r="J2558" s="9">
        <v>0</v>
      </c>
      <c r="K2558" s="7">
        <v>0</v>
      </c>
      <c r="L2558" s="24">
        <f>+Tabla2[[#This Row],[Stock Inventario]]*Tabla2[[#This Row],[Coste LÃ­nea]]</f>
        <v>0</v>
      </c>
      <c r="M2558" s="24">
        <f>+Tabla2[[#This Row],[Variación Stock]]*Tabla2[[#This Row],[Coste LÃ­nea]]</f>
        <v>0</v>
      </c>
      <c r="N2558" s="22" t="str">
        <f>+IF(Tabla2[[#This Row],[Variación Stock]]&gt;0,"Sobrante",IF(Tabla2[[#This Row],[Variación Stock]]&lt;0,"Faltante","Sin novedad"))</f>
        <v>Sin novedad</v>
      </c>
    </row>
    <row r="2559" spans="1:14" x14ac:dyDescent="0.25">
      <c r="A2559" s="11">
        <v>46044</v>
      </c>
      <c r="B2559" s="5" t="s">
        <v>372</v>
      </c>
      <c r="C2559" s="3" t="s">
        <v>337</v>
      </c>
      <c r="D2559" s="5" t="s">
        <v>111</v>
      </c>
      <c r="E2559" s="5" t="s">
        <v>112</v>
      </c>
      <c r="F2559" s="6" t="s">
        <v>34</v>
      </c>
      <c r="G2559" s="4" t="s">
        <v>0</v>
      </c>
      <c r="H2559" s="25">
        <v>5896.9583333299997</v>
      </c>
      <c r="I2559" s="8">
        <v>63</v>
      </c>
      <c r="J2559" s="9">
        <v>58</v>
      </c>
      <c r="K2559" s="7">
        <v>-5</v>
      </c>
      <c r="L2559" s="24">
        <f>+Tabla2[[#This Row],[Stock Inventario]]*Tabla2[[#This Row],[Coste LÃ­nea]]</f>
        <v>342023.58333314001</v>
      </c>
      <c r="M2559" s="24">
        <f>+Tabla2[[#This Row],[Variación Stock]]*Tabla2[[#This Row],[Coste LÃ­nea]]</f>
        <v>-29484.791666649999</v>
      </c>
      <c r="N2559" s="22" t="str">
        <f>+IF(Tabla2[[#This Row],[Variación Stock]]&gt;0,"Sobrante",IF(Tabla2[[#This Row],[Variación Stock]]&lt;0,"Faltante","Sin novedad"))</f>
        <v>Faltante</v>
      </c>
    </row>
    <row r="2560" spans="1:14" x14ac:dyDescent="0.25">
      <c r="A2560" s="11">
        <v>46053</v>
      </c>
      <c r="B2560" s="5" t="s">
        <v>394</v>
      </c>
      <c r="C2560" s="3" t="s">
        <v>337</v>
      </c>
      <c r="D2560" s="5" t="s">
        <v>111</v>
      </c>
      <c r="E2560" s="5" t="s">
        <v>112</v>
      </c>
      <c r="F2560" s="6" t="s">
        <v>285</v>
      </c>
      <c r="G2560" s="4" t="s">
        <v>2</v>
      </c>
      <c r="H2560" s="25">
        <f>3500*12</f>
        <v>42000</v>
      </c>
      <c r="I2560" s="8">
        <v>2</v>
      </c>
      <c r="J2560" s="9">
        <v>2</v>
      </c>
      <c r="K2560" s="7">
        <v>0</v>
      </c>
      <c r="L2560" s="24">
        <f>+Tabla2[[#This Row],[Stock Inventario]]*Tabla2[[#This Row],[Coste LÃ­nea]]</f>
        <v>84000</v>
      </c>
      <c r="M2560" s="24">
        <f>+Tabla2[[#This Row],[Variación Stock]]*Tabla2[[#This Row],[Coste LÃ­nea]]</f>
        <v>0</v>
      </c>
      <c r="N2560" s="22" t="str">
        <f>+IF(Tabla2[[#This Row],[Variación Stock]]&gt;0,"Sobrante",IF(Tabla2[[#This Row],[Variación Stock]]&lt;0,"Faltante","Sin novedad"))</f>
        <v>Sin novedad</v>
      </c>
    </row>
    <row r="2561" spans="1:14" x14ac:dyDescent="0.25">
      <c r="A2561" s="11">
        <v>46053</v>
      </c>
      <c r="B2561" s="5" t="s">
        <v>394</v>
      </c>
      <c r="C2561" s="3" t="s">
        <v>337</v>
      </c>
      <c r="D2561" s="5" t="s">
        <v>111</v>
      </c>
      <c r="E2561" s="5" t="s">
        <v>112</v>
      </c>
      <c r="F2561" s="6" t="s">
        <v>44</v>
      </c>
      <c r="G2561" s="4" t="s">
        <v>0</v>
      </c>
      <c r="H2561" s="25">
        <v>3500</v>
      </c>
      <c r="I2561" s="8">
        <v>24</v>
      </c>
      <c r="J2561" s="9">
        <v>24</v>
      </c>
      <c r="K2561" s="7">
        <v>0</v>
      </c>
      <c r="L2561" s="24">
        <f>+Tabla2[[#This Row],[Stock Inventario]]*Tabla2[[#This Row],[Coste LÃ­nea]]</f>
        <v>84000</v>
      </c>
      <c r="M2561" s="24">
        <f>+Tabla2[[#This Row],[Variación Stock]]*Tabla2[[#This Row],[Coste LÃ­nea]]</f>
        <v>0</v>
      </c>
      <c r="N2561" s="22" t="str">
        <f>+IF(Tabla2[[#This Row],[Variación Stock]]&gt;0,"Sobrante",IF(Tabla2[[#This Row],[Variación Stock]]&lt;0,"Faltante","Sin novedad"))</f>
        <v>Sin novedad</v>
      </c>
    </row>
    <row r="2562" spans="1:14" hidden="1" x14ac:dyDescent="0.25">
      <c r="A2562" s="11">
        <v>46053</v>
      </c>
      <c r="B2562" s="5" t="s">
        <v>394</v>
      </c>
      <c r="C2562" s="3" t="s">
        <v>337</v>
      </c>
      <c r="D2562" s="5" t="s">
        <v>829</v>
      </c>
      <c r="E2562" s="5" t="s">
        <v>117</v>
      </c>
      <c r="F2562" s="6" t="s">
        <v>831</v>
      </c>
      <c r="G2562" s="4" t="s">
        <v>1</v>
      </c>
      <c r="H2562" s="25">
        <v>86.679012349999994</v>
      </c>
      <c r="I2562" s="8">
        <v>-4760</v>
      </c>
      <c r="J2562" s="9">
        <v>1830</v>
      </c>
      <c r="K2562" s="7">
        <v>6590</v>
      </c>
      <c r="L2562" s="24">
        <f>+Tabla2[[#This Row],[Stock Inventario]]*Tabla2[[#This Row],[Coste LÃ­nea]]</f>
        <v>158622.59260049998</v>
      </c>
      <c r="M2562" s="24">
        <f>+Tabla2[[#This Row],[Variación Stock]]*Tabla2[[#This Row],[Coste LÃ­nea]]</f>
        <v>571214.69138649991</v>
      </c>
      <c r="N2562" s="22" t="str">
        <f>+IF(Tabla2[[#This Row],[Variación Stock]]&gt;0,"Sobrante",IF(Tabla2[[#This Row],[Variación Stock]]&lt;0,"Faltante","Sin novedad"))</f>
        <v>Sobrante</v>
      </c>
    </row>
    <row r="2563" spans="1:14" hidden="1" x14ac:dyDescent="0.25">
      <c r="A2563" s="11">
        <v>46053</v>
      </c>
      <c r="B2563" s="5" t="s">
        <v>394</v>
      </c>
      <c r="C2563" s="3" t="s">
        <v>337</v>
      </c>
      <c r="D2563" s="5" t="s">
        <v>829</v>
      </c>
      <c r="E2563" s="5" t="s">
        <v>117</v>
      </c>
      <c r="F2563" s="6" t="s">
        <v>832</v>
      </c>
      <c r="G2563" s="4" t="s">
        <v>1</v>
      </c>
      <c r="H2563" s="25">
        <v>43.443333330000002</v>
      </c>
      <c r="I2563" s="8">
        <v>2990</v>
      </c>
      <c r="J2563" s="9">
        <v>1000</v>
      </c>
      <c r="K2563" s="7">
        <v>-1990</v>
      </c>
      <c r="L2563" s="24">
        <f>+Tabla2[[#This Row],[Stock Inventario]]*Tabla2[[#This Row],[Coste LÃ­nea]]</f>
        <v>43443.333330000001</v>
      </c>
      <c r="M2563" s="24">
        <f>+Tabla2[[#This Row],[Variación Stock]]*Tabla2[[#This Row],[Coste LÃ­nea]]</f>
        <v>-86452.233326700007</v>
      </c>
      <c r="N2563" s="22" t="str">
        <f>+IF(Tabla2[[#This Row],[Variación Stock]]&gt;0,"Sobrante",IF(Tabla2[[#This Row],[Variación Stock]]&lt;0,"Faltante","Sin novedad"))</f>
        <v>Faltante</v>
      </c>
    </row>
    <row r="2564" spans="1:14" hidden="1" x14ac:dyDescent="0.25">
      <c r="A2564" s="11">
        <v>46053</v>
      </c>
      <c r="B2564" s="5" t="s">
        <v>394</v>
      </c>
      <c r="C2564" s="3" t="s">
        <v>337</v>
      </c>
      <c r="D2564" s="5" t="s">
        <v>829</v>
      </c>
      <c r="E2564" s="5" t="s">
        <v>117</v>
      </c>
      <c r="F2564" s="6" t="s">
        <v>833</v>
      </c>
      <c r="G2564" s="4" t="s">
        <v>1</v>
      </c>
      <c r="H2564" s="25">
        <v>18.85916667</v>
      </c>
      <c r="I2564" s="8">
        <v>4625.4781000000003</v>
      </c>
      <c r="J2564" s="9">
        <v>14550</v>
      </c>
      <c r="K2564" s="7">
        <v>924.52187600000002</v>
      </c>
      <c r="L2564" s="24">
        <f>+Tabla2[[#This Row],[Stock Inventario]]*Tabla2[[#This Row],[Coste LÃ­nea]]</f>
        <v>274400.87504850002</v>
      </c>
      <c r="M2564" s="24">
        <f>+Tabla2[[#This Row],[Variación Stock]]*Tabla2[[#This Row],[Coste LÃ­nea]]</f>
        <v>17435.712149545074</v>
      </c>
      <c r="N2564" s="22" t="str">
        <f>+IF(Tabla2[[#This Row],[Variación Stock]]&gt;0,"Sobrante",IF(Tabla2[[#This Row],[Variación Stock]]&lt;0,"Faltante","Sin novedad"))</f>
        <v>Sobrante</v>
      </c>
    </row>
    <row r="2565" spans="1:14" hidden="1" x14ac:dyDescent="0.25">
      <c r="A2565" s="11">
        <v>46053</v>
      </c>
      <c r="B2565" s="5" t="s">
        <v>394</v>
      </c>
      <c r="C2565" s="3" t="s">
        <v>337</v>
      </c>
      <c r="D2565" s="5" t="s">
        <v>829</v>
      </c>
      <c r="E2565" s="5" t="s">
        <v>117</v>
      </c>
      <c r="F2565" s="6" t="s">
        <v>830</v>
      </c>
      <c r="G2565" s="4" t="s">
        <v>1</v>
      </c>
      <c r="H2565" s="25">
        <v>8.2499666699999992</v>
      </c>
      <c r="I2565" s="8">
        <v>225550</v>
      </c>
      <c r="J2565" s="9">
        <v>22000</v>
      </c>
      <c r="K2565" s="7">
        <v>-203550</v>
      </c>
      <c r="L2565" s="24">
        <f>+Tabla2[[#This Row],[Stock Inventario]]*Tabla2[[#This Row],[Coste LÃ­nea]]</f>
        <v>181499.26673999999</v>
      </c>
      <c r="M2565" s="24">
        <f>+Tabla2[[#This Row],[Variación Stock]]*Tabla2[[#This Row],[Coste LÃ­nea]]</f>
        <v>-1679280.7156784998</v>
      </c>
      <c r="N2565" s="22" t="str">
        <f>+IF(Tabla2[[#This Row],[Variación Stock]]&gt;0,"Sobrante",IF(Tabla2[[#This Row],[Variación Stock]]&lt;0,"Faltante","Sin novedad"))</f>
        <v>Faltante</v>
      </c>
    </row>
    <row r="2566" spans="1:14" hidden="1" x14ac:dyDescent="0.25">
      <c r="A2566" s="11">
        <v>46053</v>
      </c>
      <c r="B2566" s="5" t="s">
        <v>394</v>
      </c>
      <c r="C2566" s="3" t="s">
        <v>337</v>
      </c>
      <c r="D2566" s="5" t="s">
        <v>818</v>
      </c>
      <c r="E2566" s="5" t="s">
        <v>117</v>
      </c>
      <c r="F2566" s="6" t="s">
        <v>819</v>
      </c>
      <c r="G2566" s="4" t="s">
        <v>1</v>
      </c>
      <c r="H2566" s="25">
        <v>50.792000000000002</v>
      </c>
      <c r="I2566" s="8">
        <v>-15</v>
      </c>
      <c r="J2566" s="9">
        <v>0</v>
      </c>
      <c r="K2566" s="7">
        <v>15</v>
      </c>
      <c r="L2566" s="24">
        <f>+Tabla2[[#This Row],[Stock Inventario]]*Tabla2[[#This Row],[Coste LÃ­nea]]</f>
        <v>0</v>
      </c>
      <c r="M2566" s="24">
        <f>+Tabla2[[#This Row],[Variación Stock]]*Tabla2[[#This Row],[Coste LÃ­nea]]</f>
        <v>761.88</v>
      </c>
      <c r="N2566" s="22" t="str">
        <f>+IF(Tabla2[[#This Row],[Variación Stock]]&gt;0,"Sobrante",IF(Tabla2[[#This Row],[Variación Stock]]&lt;0,"Faltante","Sin novedad"))</f>
        <v>Sobrante</v>
      </c>
    </row>
    <row r="2567" spans="1:14" hidden="1" x14ac:dyDescent="0.25">
      <c r="A2567" s="11">
        <v>46053</v>
      </c>
      <c r="B2567" s="5" t="s">
        <v>394</v>
      </c>
      <c r="C2567" s="3" t="s">
        <v>337</v>
      </c>
      <c r="D2567" s="5" t="s">
        <v>818</v>
      </c>
      <c r="E2567" s="5" t="s">
        <v>117</v>
      </c>
      <c r="F2567" s="6" t="s">
        <v>820</v>
      </c>
      <c r="G2567" s="4" t="s">
        <v>1</v>
      </c>
      <c r="H2567" s="25">
        <v>68.056896550000005</v>
      </c>
      <c r="I2567" s="8">
        <v>1063</v>
      </c>
      <c r="J2567" s="9">
        <v>1180</v>
      </c>
      <c r="K2567" s="7">
        <v>-463</v>
      </c>
      <c r="L2567" s="24">
        <f>+Tabla2[[#This Row],[Stock Inventario]]*Tabla2[[#This Row],[Coste LÃ­nea]]</f>
        <v>80307.137929000004</v>
      </c>
      <c r="M2567" s="24">
        <f>+Tabla2[[#This Row],[Variación Stock]]*Tabla2[[#This Row],[Coste LÃ­nea]]</f>
        <v>-31510.343102650004</v>
      </c>
      <c r="N2567" s="22" t="str">
        <f>+IF(Tabla2[[#This Row],[Variación Stock]]&gt;0,"Sobrante",IF(Tabla2[[#This Row],[Variación Stock]]&lt;0,"Faltante","Sin novedad"))</f>
        <v>Faltante</v>
      </c>
    </row>
    <row r="2568" spans="1:14" hidden="1" x14ac:dyDescent="0.25">
      <c r="A2568" s="11">
        <v>46053</v>
      </c>
      <c r="B2568" s="5" t="s">
        <v>394</v>
      </c>
      <c r="C2568" s="3" t="s">
        <v>337</v>
      </c>
      <c r="D2568" s="5" t="s">
        <v>803</v>
      </c>
      <c r="E2568" s="5" t="s">
        <v>117</v>
      </c>
      <c r="F2568" s="6" t="s">
        <v>805</v>
      </c>
      <c r="G2568" s="4" t="s">
        <v>1</v>
      </c>
      <c r="H2568" s="25">
        <v>18.52965</v>
      </c>
      <c r="I2568" s="8">
        <v>0</v>
      </c>
      <c r="J2568" s="9">
        <v>0</v>
      </c>
      <c r="K2568" s="7">
        <v>0</v>
      </c>
      <c r="L2568" s="24">
        <f>+Tabla2[[#This Row],[Stock Inventario]]*Tabla2[[#This Row],[Coste LÃ­nea]]</f>
        <v>0</v>
      </c>
      <c r="M2568" s="24">
        <f>+Tabla2[[#This Row],[Variación Stock]]*Tabla2[[#This Row],[Coste LÃ­nea]]</f>
        <v>0</v>
      </c>
      <c r="N2568" s="22" t="str">
        <f>+IF(Tabla2[[#This Row],[Variación Stock]]&gt;0,"Sobrante",IF(Tabla2[[#This Row],[Variación Stock]]&lt;0,"Faltante","Sin novedad"))</f>
        <v>Sin novedad</v>
      </c>
    </row>
    <row r="2569" spans="1:14" x14ac:dyDescent="0.25">
      <c r="A2569" s="11">
        <v>46053</v>
      </c>
      <c r="B2569" s="5" t="s">
        <v>394</v>
      </c>
      <c r="C2569" s="3" t="s">
        <v>337</v>
      </c>
      <c r="D2569" s="5" t="s">
        <v>603</v>
      </c>
      <c r="E2569" s="5" t="s">
        <v>112</v>
      </c>
      <c r="F2569" s="6" t="s">
        <v>606</v>
      </c>
      <c r="G2569" s="4" t="s">
        <v>1</v>
      </c>
      <c r="H2569" s="25">
        <v>129.33199999999999</v>
      </c>
      <c r="I2569" s="8">
        <v>0</v>
      </c>
      <c r="J2569" s="9">
        <v>0</v>
      </c>
      <c r="K2569" s="7">
        <v>0</v>
      </c>
      <c r="L2569" s="24">
        <f>+Tabla2[[#This Row],[Stock Inventario]]*Tabla2[[#This Row],[Coste LÃ­nea]]</f>
        <v>0</v>
      </c>
      <c r="M2569" s="24">
        <f>+Tabla2[[#This Row],[Variación Stock]]*Tabla2[[#This Row],[Coste LÃ­nea]]</f>
        <v>0</v>
      </c>
      <c r="N2569" s="22" t="str">
        <f>+IF(Tabla2[[#This Row],[Variación Stock]]&gt;0,"Sobrante",IF(Tabla2[[#This Row],[Variación Stock]]&lt;0,"Faltante","Sin novedad"))</f>
        <v>Sin novedad</v>
      </c>
    </row>
    <row r="2570" spans="1:14" x14ac:dyDescent="0.25">
      <c r="A2570" s="11">
        <v>46053</v>
      </c>
      <c r="B2570" s="5" t="s">
        <v>394</v>
      </c>
      <c r="C2570" s="3" t="s">
        <v>337</v>
      </c>
      <c r="D2570" s="5" t="s">
        <v>122</v>
      </c>
      <c r="E2570" s="5" t="s">
        <v>112</v>
      </c>
      <c r="F2570" s="6" t="s">
        <v>99</v>
      </c>
      <c r="G2570" s="4" t="s">
        <v>2</v>
      </c>
      <c r="H2570" s="25">
        <v>7330</v>
      </c>
      <c r="I2570" s="8">
        <v>24</v>
      </c>
      <c r="J2570" s="9">
        <v>24</v>
      </c>
      <c r="K2570" s="7">
        <v>0</v>
      </c>
      <c r="L2570" s="24">
        <f>+Tabla2[[#This Row],[Stock Inventario]]*Tabla2[[#This Row],[Coste LÃ­nea]]</f>
        <v>175920</v>
      </c>
      <c r="M2570" s="24">
        <f>+Tabla2[[#This Row],[Variación Stock]]*Tabla2[[#This Row],[Coste LÃ­nea]]</f>
        <v>0</v>
      </c>
      <c r="N2570" s="22" t="str">
        <f>+IF(Tabla2[[#This Row],[Variación Stock]]&gt;0,"Sobrante",IF(Tabla2[[#This Row],[Variación Stock]]&lt;0,"Faltante","Sin novedad"))</f>
        <v>Sin novedad</v>
      </c>
    </row>
    <row r="2571" spans="1:14" x14ac:dyDescent="0.25">
      <c r="A2571" s="11">
        <v>46053</v>
      </c>
      <c r="B2571" s="5" t="s">
        <v>394</v>
      </c>
      <c r="C2571" s="3" t="s">
        <v>337</v>
      </c>
      <c r="D2571" s="5" t="s">
        <v>603</v>
      </c>
      <c r="E2571" s="5" t="s">
        <v>112</v>
      </c>
      <c r="F2571" s="6" t="s">
        <v>616</v>
      </c>
      <c r="G2571" s="4" t="s">
        <v>1</v>
      </c>
      <c r="H2571" s="25">
        <v>38</v>
      </c>
      <c r="I2571" s="8">
        <v>-2148.4209999999998</v>
      </c>
      <c r="J2571" s="9">
        <v>200</v>
      </c>
      <c r="K2571" s="7">
        <v>2348.4209820000001</v>
      </c>
      <c r="L2571" s="24">
        <f>+Tabla2[[#This Row],[Stock Inventario]]*Tabla2[[#This Row],[Coste LÃ­nea]]</f>
        <v>7600</v>
      </c>
      <c r="M2571" s="24">
        <f>+Tabla2[[#This Row],[Variación Stock]]*Tabla2[[#This Row],[Coste LÃ­nea]]</f>
        <v>89239.997316000008</v>
      </c>
      <c r="N2571" s="22" t="str">
        <f>+IF(Tabla2[[#This Row],[Variación Stock]]&gt;0,"Sobrante",IF(Tabla2[[#This Row],[Variación Stock]]&lt;0,"Faltante","Sin novedad"))</f>
        <v>Sobrante</v>
      </c>
    </row>
    <row r="2572" spans="1:14" x14ac:dyDescent="0.25">
      <c r="A2572" s="11">
        <v>46053</v>
      </c>
      <c r="B2572" s="5" t="s">
        <v>394</v>
      </c>
      <c r="C2572" s="3" t="s">
        <v>337</v>
      </c>
      <c r="D2572" s="5" t="s">
        <v>122</v>
      </c>
      <c r="E2572" s="5" t="s">
        <v>112</v>
      </c>
      <c r="F2572" s="6" t="s">
        <v>101</v>
      </c>
      <c r="G2572" s="4" t="s">
        <v>2</v>
      </c>
      <c r="H2572" s="25">
        <v>1408.33333333</v>
      </c>
      <c r="I2572" s="8">
        <v>27</v>
      </c>
      <c r="J2572" s="9">
        <v>0</v>
      </c>
      <c r="K2572" s="7">
        <v>-27</v>
      </c>
      <c r="L2572" s="24">
        <f>+Tabla2[[#This Row],[Stock Inventario]]*Tabla2[[#This Row],[Coste LÃ­nea]]</f>
        <v>0</v>
      </c>
      <c r="M2572" s="24">
        <f>+Tabla2[[#This Row],[Variación Stock]]*Tabla2[[#This Row],[Coste LÃ­nea]]</f>
        <v>-38024.999999909996</v>
      </c>
      <c r="N2572" s="22" t="str">
        <f>+IF(Tabla2[[#This Row],[Variación Stock]]&gt;0,"Sobrante",IF(Tabla2[[#This Row],[Variación Stock]]&lt;0,"Faltante","Sin novedad"))</f>
        <v>Faltante</v>
      </c>
    </row>
    <row r="2573" spans="1:14" x14ac:dyDescent="0.25">
      <c r="A2573" s="11">
        <v>46053</v>
      </c>
      <c r="B2573" s="5" t="s">
        <v>394</v>
      </c>
      <c r="C2573" s="3" t="s">
        <v>337</v>
      </c>
      <c r="D2573" s="5" t="s">
        <v>122</v>
      </c>
      <c r="E2573" s="5" t="s">
        <v>112</v>
      </c>
      <c r="F2573" s="6" t="s">
        <v>100</v>
      </c>
      <c r="G2573" s="4" t="s">
        <v>2</v>
      </c>
      <c r="H2573" s="25">
        <v>7857</v>
      </c>
      <c r="I2573" s="8">
        <v>4</v>
      </c>
      <c r="J2573" s="9">
        <v>4</v>
      </c>
      <c r="K2573" s="7">
        <v>0</v>
      </c>
      <c r="L2573" s="24">
        <f>+Tabla2[[#This Row],[Stock Inventario]]*Tabla2[[#This Row],[Coste LÃ­nea]]</f>
        <v>31428</v>
      </c>
      <c r="M2573" s="24">
        <f>+Tabla2[[#This Row],[Variación Stock]]*Tabla2[[#This Row],[Coste LÃ­nea]]</f>
        <v>0</v>
      </c>
      <c r="N2573" s="22" t="str">
        <f>+IF(Tabla2[[#This Row],[Variación Stock]]&gt;0,"Sobrante",IF(Tabla2[[#This Row],[Variación Stock]]&lt;0,"Faltante","Sin novedad"))</f>
        <v>Sin novedad</v>
      </c>
    </row>
    <row r="2574" spans="1:14" x14ac:dyDescent="0.25">
      <c r="A2574" s="11">
        <v>46053</v>
      </c>
      <c r="B2574" s="5" t="s">
        <v>394</v>
      </c>
      <c r="C2574" s="3" t="s">
        <v>337</v>
      </c>
      <c r="D2574" s="5" t="s">
        <v>114</v>
      </c>
      <c r="E2574" s="5" t="s">
        <v>112</v>
      </c>
      <c r="F2574" s="6" t="s">
        <v>65</v>
      </c>
      <c r="G2574" s="4" t="s">
        <v>2</v>
      </c>
      <c r="H2574" s="25">
        <v>5132.4583333299997</v>
      </c>
      <c r="I2574" s="8">
        <v>21.5</v>
      </c>
      <c r="J2574" s="9">
        <v>18</v>
      </c>
      <c r="K2574" s="7">
        <v>-3.5</v>
      </c>
      <c r="L2574" s="24">
        <f>+Tabla2[[#This Row],[Stock Inventario]]*Tabla2[[#This Row],[Coste LÃ­nea]]</f>
        <v>92384.249999939988</v>
      </c>
      <c r="M2574" s="24">
        <f>+Tabla2[[#This Row],[Variación Stock]]*Tabla2[[#This Row],[Coste LÃ­nea]]</f>
        <v>-17963.604166655001</v>
      </c>
      <c r="N2574" s="22" t="str">
        <f>+IF(Tabla2[[#This Row],[Variación Stock]]&gt;0,"Sobrante",IF(Tabla2[[#This Row],[Variación Stock]]&lt;0,"Faltante","Sin novedad"))</f>
        <v>Faltante</v>
      </c>
    </row>
    <row r="2575" spans="1:14" hidden="1" x14ac:dyDescent="0.25">
      <c r="A2575" s="11">
        <v>46053</v>
      </c>
      <c r="B2575" s="5" t="s">
        <v>394</v>
      </c>
      <c r="C2575" s="3" t="s">
        <v>337</v>
      </c>
      <c r="D2575" s="5" t="s">
        <v>471</v>
      </c>
      <c r="E2575" s="5" t="s">
        <v>117</v>
      </c>
      <c r="F2575" s="6" t="s">
        <v>542</v>
      </c>
      <c r="G2575" s="4" t="s">
        <v>1</v>
      </c>
      <c r="H2575" s="25">
        <v>14</v>
      </c>
      <c r="I2575" s="8">
        <v>32202.740399999999</v>
      </c>
      <c r="J2575" s="9">
        <v>5460</v>
      </c>
      <c r="K2575" s="7">
        <v>-26742.740358999999</v>
      </c>
      <c r="L2575" s="24">
        <f>+Tabla2[[#This Row],[Stock Inventario]]*Tabla2[[#This Row],[Coste LÃ­nea]]</f>
        <v>76440</v>
      </c>
      <c r="M2575" s="24">
        <f>+Tabla2[[#This Row],[Variación Stock]]*Tabla2[[#This Row],[Coste LÃ­nea]]</f>
        <v>-374398.36502600001</v>
      </c>
      <c r="N2575" s="22" t="str">
        <f>+IF(Tabla2[[#This Row],[Variación Stock]]&gt;0,"Sobrante",IF(Tabla2[[#This Row],[Variación Stock]]&lt;0,"Faltante","Sin novedad"))</f>
        <v>Faltante</v>
      </c>
    </row>
    <row r="2576" spans="1:14" x14ac:dyDescent="0.25">
      <c r="A2576" s="11">
        <v>46053</v>
      </c>
      <c r="B2576" s="5" t="s">
        <v>394</v>
      </c>
      <c r="C2576" s="3" t="s">
        <v>337</v>
      </c>
      <c r="D2576" s="5" t="s">
        <v>111</v>
      </c>
      <c r="E2576" s="5" t="s">
        <v>112</v>
      </c>
      <c r="F2576" s="6" t="s">
        <v>45</v>
      </c>
      <c r="G2576" s="4" t="s">
        <v>2</v>
      </c>
      <c r="H2576" s="25">
        <v>26517.26</v>
      </c>
      <c r="I2576" s="8">
        <v>0</v>
      </c>
      <c r="J2576" s="9">
        <v>0</v>
      </c>
      <c r="K2576" s="7">
        <v>0</v>
      </c>
      <c r="L2576" s="24">
        <f>+Tabla2[[#This Row],[Stock Inventario]]*Tabla2[[#This Row],[Coste LÃ­nea]]</f>
        <v>0</v>
      </c>
      <c r="M2576" s="24">
        <f>+Tabla2[[#This Row],[Variación Stock]]*Tabla2[[#This Row],[Coste LÃ­nea]]</f>
        <v>0</v>
      </c>
      <c r="N2576" s="22" t="str">
        <f>+IF(Tabla2[[#This Row],[Variación Stock]]&gt;0,"Sobrante",IF(Tabla2[[#This Row],[Variación Stock]]&lt;0,"Faltante","Sin novedad"))</f>
        <v>Sin novedad</v>
      </c>
    </row>
    <row r="2577" spans="1:14" x14ac:dyDescent="0.25">
      <c r="A2577" s="11">
        <v>46053</v>
      </c>
      <c r="B2577" s="5" t="s">
        <v>394</v>
      </c>
      <c r="C2577" s="3" t="s">
        <v>337</v>
      </c>
      <c r="D2577" s="5" t="s">
        <v>111</v>
      </c>
      <c r="E2577" s="5" t="s">
        <v>112</v>
      </c>
      <c r="F2577" s="6" t="s">
        <v>46</v>
      </c>
      <c r="G2577" s="4" t="s">
        <v>0</v>
      </c>
      <c r="H2577" s="25">
        <v>2056.3333333300002</v>
      </c>
      <c r="I2577" s="8">
        <v>38</v>
      </c>
      <c r="J2577" s="9">
        <v>38</v>
      </c>
      <c r="K2577" s="7">
        <v>0</v>
      </c>
      <c r="L2577" s="24">
        <f>+Tabla2[[#This Row],[Stock Inventario]]*Tabla2[[#This Row],[Coste LÃ­nea]]</f>
        <v>78140.666666540012</v>
      </c>
      <c r="M2577" s="24">
        <f>+Tabla2[[#This Row],[Variación Stock]]*Tabla2[[#This Row],[Coste LÃ­nea]]</f>
        <v>0</v>
      </c>
      <c r="N2577" s="22" t="str">
        <f>+IF(Tabla2[[#This Row],[Variación Stock]]&gt;0,"Sobrante",IF(Tabla2[[#This Row],[Variación Stock]]&lt;0,"Faltante","Sin novedad"))</f>
        <v>Sin novedad</v>
      </c>
    </row>
    <row r="2578" spans="1:14" x14ac:dyDescent="0.25">
      <c r="A2578" s="11">
        <v>46053</v>
      </c>
      <c r="B2578" s="5" t="s">
        <v>394</v>
      </c>
      <c r="C2578" s="3" t="s">
        <v>337</v>
      </c>
      <c r="D2578" s="5" t="s">
        <v>111</v>
      </c>
      <c r="E2578" s="5" t="s">
        <v>112</v>
      </c>
      <c r="F2578" s="6" t="s">
        <v>47</v>
      </c>
      <c r="G2578" s="4" t="s">
        <v>2</v>
      </c>
      <c r="H2578" s="25">
        <v>24693.34</v>
      </c>
      <c r="I2578" s="8">
        <v>2</v>
      </c>
      <c r="J2578" s="9">
        <v>2</v>
      </c>
      <c r="K2578" s="7">
        <v>0</v>
      </c>
      <c r="L2578" s="24">
        <f>+Tabla2[[#This Row],[Stock Inventario]]*Tabla2[[#This Row],[Coste LÃ­nea]]</f>
        <v>49386.68</v>
      </c>
      <c r="M2578" s="24">
        <f>+Tabla2[[#This Row],[Variación Stock]]*Tabla2[[#This Row],[Coste LÃ­nea]]</f>
        <v>0</v>
      </c>
      <c r="N2578" s="22" t="str">
        <f>+IF(Tabla2[[#This Row],[Variación Stock]]&gt;0,"Sobrante",IF(Tabla2[[#This Row],[Variación Stock]]&lt;0,"Faltante","Sin novedad"))</f>
        <v>Sin novedad</v>
      </c>
    </row>
    <row r="2579" spans="1:14" x14ac:dyDescent="0.25">
      <c r="A2579" s="11">
        <v>46053</v>
      </c>
      <c r="B2579" s="5" t="s">
        <v>394</v>
      </c>
      <c r="C2579" s="3" t="s">
        <v>337</v>
      </c>
      <c r="D2579" s="5" t="s">
        <v>111</v>
      </c>
      <c r="E2579" s="5" t="s">
        <v>112</v>
      </c>
      <c r="F2579" s="6" t="s">
        <v>48</v>
      </c>
      <c r="G2579" s="4" t="s">
        <v>0</v>
      </c>
      <c r="H2579" s="25">
        <v>1729.16666667</v>
      </c>
      <c r="I2579" s="8">
        <v>39</v>
      </c>
      <c r="J2579" s="9">
        <v>39</v>
      </c>
      <c r="K2579" s="7">
        <v>0</v>
      </c>
      <c r="L2579" s="24">
        <f>+Tabla2[[#This Row],[Stock Inventario]]*Tabla2[[#This Row],[Coste LÃ­nea]]</f>
        <v>67437.500000130007</v>
      </c>
      <c r="M2579" s="24">
        <f>+Tabla2[[#This Row],[Variación Stock]]*Tabla2[[#This Row],[Coste LÃ­nea]]</f>
        <v>0</v>
      </c>
      <c r="N2579" s="22" t="str">
        <f>+IF(Tabla2[[#This Row],[Variación Stock]]&gt;0,"Sobrante",IF(Tabla2[[#This Row],[Variación Stock]]&lt;0,"Faltante","Sin novedad"))</f>
        <v>Sin novedad</v>
      </c>
    </row>
    <row r="2580" spans="1:14" x14ac:dyDescent="0.25">
      <c r="A2580" s="11">
        <v>46053</v>
      </c>
      <c r="B2580" s="5" t="s">
        <v>394</v>
      </c>
      <c r="C2580" s="3" t="s">
        <v>337</v>
      </c>
      <c r="D2580" s="5" t="s">
        <v>111</v>
      </c>
      <c r="E2580" s="5" t="s">
        <v>112</v>
      </c>
      <c r="F2580" s="6" t="s">
        <v>49</v>
      </c>
      <c r="G2580" s="4" t="s">
        <v>2</v>
      </c>
      <c r="H2580" s="25">
        <v>23367.465</v>
      </c>
      <c r="I2580" s="8">
        <v>2</v>
      </c>
      <c r="J2580" s="9">
        <v>2</v>
      </c>
      <c r="K2580" s="7">
        <v>0</v>
      </c>
      <c r="L2580" s="24">
        <f>+Tabla2[[#This Row],[Stock Inventario]]*Tabla2[[#This Row],[Coste LÃ­nea]]</f>
        <v>46734.93</v>
      </c>
      <c r="M2580" s="24">
        <f>+Tabla2[[#This Row],[Variación Stock]]*Tabla2[[#This Row],[Coste LÃ­nea]]</f>
        <v>0</v>
      </c>
      <c r="N2580" s="22" t="str">
        <f>+IF(Tabla2[[#This Row],[Variación Stock]]&gt;0,"Sobrante",IF(Tabla2[[#This Row],[Variación Stock]]&lt;0,"Faltante","Sin novedad"))</f>
        <v>Sin novedad</v>
      </c>
    </row>
    <row r="2581" spans="1:14" x14ac:dyDescent="0.25">
      <c r="A2581" s="11">
        <v>46053</v>
      </c>
      <c r="B2581" s="5" t="s">
        <v>394</v>
      </c>
      <c r="C2581" s="3" t="s">
        <v>337</v>
      </c>
      <c r="D2581" s="5" t="s">
        <v>111</v>
      </c>
      <c r="E2581" s="5" t="s">
        <v>112</v>
      </c>
      <c r="F2581" s="6" t="s">
        <v>50</v>
      </c>
      <c r="G2581" s="4" t="s">
        <v>0</v>
      </c>
      <c r="H2581" s="25">
        <v>1658.625</v>
      </c>
      <c r="I2581" s="8">
        <v>18</v>
      </c>
      <c r="J2581" s="9">
        <v>19</v>
      </c>
      <c r="K2581" s="7">
        <v>1</v>
      </c>
      <c r="L2581" s="24">
        <f>+Tabla2[[#This Row],[Stock Inventario]]*Tabla2[[#This Row],[Coste LÃ­nea]]</f>
        <v>31513.875</v>
      </c>
      <c r="M2581" s="24">
        <f>+Tabla2[[#This Row],[Variación Stock]]*Tabla2[[#This Row],[Coste LÃ­nea]]</f>
        <v>1658.625</v>
      </c>
      <c r="N2581" s="22" t="str">
        <f>+IF(Tabla2[[#This Row],[Variación Stock]]&gt;0,"Sobrante",IF(Tabla2[[#This Row],[Variación Stock]]&lt;0,"Faltante","Sin novedad"))</f>
        <v>Sobrante</v>
      </c>
    </row>
    <row r="2582" spans="1:14" hidden="1" x14ac:dyDescent="0.25">
      <c r="A2582" s="11">
        <v>46053</v>
      </c>
      <c r="B2582" s="5" t="s">
        <v>394</v>
      </c>
      <c r="C2582" s="3" t="s">
        <v>337</v>
      </c>
      <c r="D2582" s="5" t="s">
        <v>471</v>
      </c>
      <c r="E2582" s="5" t="s">
        <v>117</v>
      </c>
      <c r="F2582" s="6" t="s">
        <v>478</v>
      </c>
      <c r="G2582" s="4" t="s">
        <v>1</v>
      </c>
      <c r="H2582" s="25">
        <v>14</v>
      </c>
      <c r="I2582" s="8">
        <v>1007</v>
      </c>
      <c r="J2582" s="9">
        <v>2134</v>
      </c>
      <c r="K2582" s="7">
        <v>127</v>
      </c>
      <c r="L2582" s="24">
        <f>+Tabla2[[#This Row],[Stock Inventario]]*Tabla2[[#This Row],[Coste LÃ­nea]]</f>
        <v>29876</v>
      </c>
      <c r="M2582" s="24">
        <f>+Tabla2[[#This Row],[Variación Stock]]*Tabla2[[#This Row],[Coste LÃ­nea]]</f>
        <v>1778</v>
      </c>
      <c r="N2582" s="22" t="str">
        <f>+IF(Tabla2[[#This Row],[Variación Stock]]&gt;0,"Sobrante",IF(Tabla2[[#This Row],[Variación Stock]]&lt;0,"Faltante","Sin novedad"))</f>
        <v>Sobrante</v>
      </c>
    </row>
    <row r="2583" spans="1:14" hidden="1" x14ac:dyDescent="0.25">
      <c r="A2583" s="11">
        <v>46053</v>
      </c>
      <c r="B2583" s="5" t="s">
        <v>394</v>
      </c>
      <c r="C2583" s="3" t="s">
        <v>337</v>
      </c>
      <c r="D2583" s="5" t="s">
        <v>471</v>
      </c>
      <c r="E2583" s="5" t="s">
        <v>117</v>
      </c>
      <c r="F2583" s="6" t="s">
        <v>479</v>
      </c>
      <c r="G2583" s="4" t="s">
        <v>1</v>
      </c>
      <c r="H2583" s="25">
        <v>7.5</v>
      </c>
      <c r="I2583" s="8">
        <v>0</v>
      </c>
      <c r="J2583" s="9">
        <v>0</v>
      </c>
      <c r="K2583" s="7">
        <v>0</v>
      </c>
      <c r="L2583" s="24">
        <f>+Tabla2[[#This Row],[Stock Inventario]]*Tabla2[[#This Row],[Coste LÃ­nea]]</f>
        <v>0</v>
      </c>
      <c r="M2583" s="24">
        <f>+Tabla2[[#This Row],[Variación Stock]]*Tabla2[[#This Row],[Coste LÃ­nea]]</f>
        <v>0</v>
      </c>
      <c r="N2583" s="22" t="str">
        <f>+IF(Tabla2[[#This Row],[Variación Stock]]&gt;0,"Sobrante",IF(Tabla2[[#This Row],[Variación Stock]]&lt;0,"Faltante","Sin novedad"))</f>
        <v>Sin novedad</v>
      </c>
    </row>
    <row r="2584" spans="1:14" hidden="1" x14ac:dyDescent="0.25">
      <c r="A2584" s="11">
        <v>46053</v>
      </c>
      <c r="B2584" s="5" t="s">
        <v>394</v>
      </c>
      <c r="C2584" s="3" t="s">
        <v>337</v>
      </c>
      <c r="D2584" s="5" t="s">
        <v>471</v>
      </c>
      <c r="E2584" s="5" t="s">
        <v>117</v>
      </c>
      <c r="F2584" s="6" t="s">
        <v>480</v>
      </c>
      <c r="G2584" s="4" t="s">
        <v>1</v>
      </c>
      <c r="H2584" s="25">
        <v>10</v>
      </c>
      <c r="I2584" s="8">
        <v>4266.0604999999996</v>
      </c>
      <c r="J2584" s="9">
        <v>3362</v>
      </c>
      <c r="K2584" s="7">
        <v>-4904.0604776</v>
      </c>
      <c r="L2584" s="24">
        <f>+Tabla2[[#This Row],[Stock Inventario]]*Tabla2[[#This Row],[Coste LÃ­nea]]</f>
        <v>33620</v>
      </c>
      <c r="M2584" s="24">
        <f>+Tabla2[[#This Row],[Variación Stock]]*Tabla2[[#This Row],[Coste LÃ­nea]]</f>
        <v>-49040.604776</v>
      </c>
      <c r="N2584" s="22" t="str">
        <f>+IF(Tabla2[[#This Row],[Variación Stock]]&gt;0,"Sobrante",IF(Tabla2[[#This Row],[Variación Stock]]&lt;0,"Faltante","Sin novedad"))</f>
        <v>Faltante</v>
      </c>
    </row>
    <row r="2585" spans="1:14" hidden="1" x14ac:dyDescent="0.25">
      <c r="A2585" s="11">
        <v>46053</v>
      </c>
      <c r="B2585" s="5" t="s">
        <v>394</v>
      </c>
      <c r="C2585" s="3" t="s">
        <v>337</v>
      </c>
      <c r="D2585" s="5" t="s">
        <v>471</v>
      </c>
      <c r="E2585" s="5" t="s">
        <v>117</v>
      </c>
      <c r="F2585" s="6" t="s">
        <v>476</v>
      </c>
      <c r="G2585" s="4" t="s">
        <v>1</v>
      </c>
      <c r="H2585" s="25">
        <v>19</v>
      </c>
      <c r="I2585" s="8">
        <v>3320</v>
      </c>
      <c r="J2585" s="9">
        <v>1434</v>
      </c>
      <c r="K2585" s="7">
        <v>-1886</v>
      </c>
      <c r="L2585" s="24">
        <f>+Tabla2[[#This Row],[Stock Inventario]]*Tabla2[[#This Row],[Coste LÃ­nea]]</f>
        <v>27246</v>
      </c>
      <c r="M2585" s="24">
        <f>+Tabla2[[#This Row],[Variación Stock]]*Tabla2[[#This Row],[Coste LÃ­nea]]</f>
        <v>-35834</v>
      </c>
      <c r="N2585" s="22" t="str">
        <f>+IF(Tabla2[[#This Row],[Variación Stock]]&gt;0,"Sobrante",IF(Tabla2[[#This Row],[Variación Stock]]&lt;0,"Faltante","Sin novedad"))</f>
        <v>Faltante</v>
      </c>
    </row>
    <row r="2586" spans="1:14" hidden="1" x14ac:dyDescent="0.25">
      <c r="A2586" s="11">
        <v>46053</v>
      </c>
      <c r="B2586" s="5" t="s">
        <v>394</v>
      </c>
      <c r="C2586" s="3" t="s">
        <v>337</v>
      </c>
      <c r="D2586" s="5" t="s">
        <v>471</v>
      </c>
      <c r="E2586" s="5" t="s">
        <v>117</v>
      </c>
      <c r="F2586" s="6" t="s">
        <v>481</v>
      </c>
      <c r="G2586" s="4" t="s">
        <v>1</v>
      </c>
      <c r="H2586" s="25">
        <v>28</v>
      </c>
      <c r="I2586" s="8">
        <v>12646.1587</v>
      </c>
      <c r="J2586" s="9">
        <v>1538</v>
      </c>
      <c r="K2586" s="7">
        <v>-12108.1587346</v>
      </c>
      <c r="L2586" s="24">
        <f>+Tabla2[[#This Row],[Stock Inventario]]*Tabla2[[#This Row],[Coste LÃ­nea]]</f>
        <v>43064</v>
      </c>
      <c r="M2586" s="24">
        <f>+Tabla2[[#This Row],[Variación Stock]]*Tabla2[[#This Row],[Coste LÃ­nea]]</f>
        <v>-339028.44456879998</v>
      </c>
      <c r="N2586" s="22" t="str">
        <f>+IF(Tabla2[[#This Row],[Variación Stock]]&gt;0,"Sobrante",IF(Tabla2[[#This Row],[Variación Stock]]&lt;0,"Faltante","Sin novedad"))</f>
        <v>Faltante</v>
      </c>
    </row>
    <row r="2587" spans="1:14" hidden="1" x14ac:dyDescent="0.25">
      <c r="A2587" s="11">
        <v>46053</v>
      </c>
      <c r="B2587" s="5" t="s">
        <v>394</v>
      </c>
      <c r="C2587" s="3" t="s">
        <v>337</v>
      </c>
      <c r="D2587" s="5" t="s">
        <v>803</v>
      </c>
      <c r="E2587" s="5" t="s">
        <v>117</v>
      </c>
      <c r="F2587" s="6" t="s">
        <v>806</v>
      </c>
      <c r="G2587" s="4" t="s">
        <v>1</v>
      </c>
      <c r="H2587" s="25">
        <v>20.111000000000001</v>
      </c>
      <c r="I2587" s="8">
        <v>6367.7671</v>
      </c>
      <c r="J2587" s="9">
        <v>1360</v>
      </c>
      <c r="K2587" s="7">
        <v>-5007.7670500000004</v>
      </c>
      <c r="L2587" s="24">
        <f>+Tabla2[[#This Row],[Stock Inventario]]*Tabla2[[#This Row],[Coste LÃ­nea]]</f>
        <v>27350.959999999999</v>
      </c>
      <c r="M2587" s="24">
        <f>+Tabla2[[#This Row],[Variación Stock]]*Tabla2[[#This Row],[Coste LÃ­nea]]</f>
        <v>-100711.20314255002</v>
      </c>
      <c r="N2587" s="22" t="str">
        <f>+IF(Tabla2[[#This Row],[Variación Stock]]&gt;0,"Sobrante",IF(Tabla2[[#This Row],[Variación Stock]]&lt;0,"Faltante","Sin novedad"))</f>
        <v>Faltante</v>
      </c>
    </row>
    <row r="2588" spans="1:14" hidden="1" x14ac:dyDescent="0.25">
      <c r="A2588" s="11">
        <v>46053</v>
      </c>
      <c r="B2588" s="5" t="s">
        <v>394</v>
      </c>
      <c r="C2588" s="3" t="s">
        <v>337</v>
      </c>
      <c r="D2588" s="5" t="s">
        <v>471</v>
      </c>
      <c r="E2588" s="5" t="s">
        <v>117</v>
      </c>
      <c r="F2588" s="6" t="s">
        <v>482</v>
      </c>
      <c r="G2588" s="4" t="s">
        <v>1</v>
      </c>
      <c r="H2588" s="25">
        <v>19.8</v>
      </c>
      <c r="I2588" s="8">
        <v>5619.8128999999999</v>
      </c>
      <c r="J2588" s="9">
        <v>1045</v>
      </c>
      <c r="K2588" s="7">
        <v>-5574.8128999999999</v>
      </c>
      <c r="L2588" s="24">
        <f>+Tabla2[[#This Row],[Stock Inventario]]*Tabla2[[#This Row],[Coste LÃ­nea]]</f>
        <v>20691</v>
      </c>
      <c r="M2588" s="24">
        <f>+Tabla2[[#This Row],[Variación Stock]]*Tabla2[[#This Row],[Coste LÃ­nea]]</f>
        <v>-110381.29541999999</v>
      </c>
      <c r="N2588" s="22" t="str">
        <f>+IF(Tabla2[[#This Row],[Variación Stock]]&gt;0,"Sobrante",IF(Tabla2[[#This Row],[Variación Stock]]&lt;0,"Faltante","Sin novedad"))</f>
        <v>Faltante</v>
      </c>
    </row>
    <row r="2589" spans="1:14" hidden="1" x14ac:dyDescent="0.25">
      <c r="A2589" s="11">
        <v>46053</v>
      </c>
      <c r="B2589" s="5" t="s">
        <v>394</v>
      </c>
      <c r="C2589" s="3" t="s">
        <v>337</v>
      </c>
      <c r="D2589" s="5" t="s">
        <v>396</v>
      </c>
      <c r="E2589" s="5" t="s">
        <v>117</v>
      </c>
      <c r="F2589" s="6" t="s">
        <v>412</v>
      </c>
      <c r="G2589" s="4" t="s">
        <v>1</v>
      </c>
      <c r="H2589" s="25">
        <v>20.059999999999999</v>
      </c>
      <c r="I2589" s="8">
        <v>2180</v>
      </c>
      <c r="J2589" s="9">
        <v>1000</v>
      </c>
      <c r="K2589" s="7">
        <v>-1180</v>
      </c>
      <c r="L2589" s="24">
        <f>+Tabla2[[#This Row],[Stock Inventario]]*Tabla2[[#This Row],[Coste LÃ­nea]]</f>
        <v>20060</v>
      </c>
      <c r="M2589" s="24">
        <f>+Tabla2[[#This Row],[Variación Stock]]*Tabla2[[#This Row],[Coste LÃ­nea]]</f>
        <v>-23670.799999999999</v>
      </c>
      <c r="N2589" s="22" t="str">
        <f>+IF(Tabla2[[#This Row],[Variación Stock]]&gt;0,"Sobrante",IF(Tabla2[[#This Row],[Variación Stock]]&lt;0,"Faltante","Sin novedad"))</f>
        <v>Faltante</v>
      </c>
    </row>
    <row r="2590" spans="1:14" hidden="1" x14ac:dyDescent="0.25">
      <c r="A2590" s="11">
        <v>46053</v>
      </c>
      <c r="B2590" s="5" t="s">
        <v>394</v>
      </c>
      <c r="C2590" s="3" t="s">
        <v>337</v>
      </c>
      <c r="D2590" s="5" t="s">
        <v>803</v>
      </c>
      <c r="E2590" s="5" t="s">
        <v>117</v>
      </c>
      <c r="F2590" s="6" t="s">
        <v>807</v>
      </c>
      <c r="G2590" s="4" t="s">
        <v>1</v>
      </c>
      <c r="H2590" s="25">
        <v>40.9694</v>
      </c>
      <c r="I2590" s="8">
        <v>-204</v>
      </c>
      <c r="J2590" s="9">
        <v>1000</v>
      </c>
      <c r="K2590" s="7">
        <v>1204</v>
      </c>
      <c r="L2590" s="24">
        <f>+Tabla2[[#This Row],[Stock Inventario]]*Tabla2[[#This Row],[Coste LÃ­nea]]</f>
        <v>40969.4</v>
      </c>
      <c r="M2590" s="24">
        <f>+Tabla2[[#This Row],[Variación Stock]]*Tabla2[[#This Row],[Coste LÃ­nea]]</f>
        <v>49327.157599999999</v>
      </c>
      <c r="N2590" s="22" t="str">
        <f>+IF(Tabla2[[#This Row],[Variación Stock]]&gt;0,"Sobrante",IF(Tabla2[[#This Row],[Variación Stock]]&lt;0,"Faltante","Sin novedad"))</f>
        <v>Sobrante</v>
      </c>
    </row>
    <row r="2591" spans="1:14" hidden="1" x14ac:dyDescent="0.25">
      <c r="A2591" s="11">
        <v>46053</v>
      </c>
      <c r="B2591" s="5" t="s">
        <v>394</v>
      </c>
      <c r="C2591" s="3" t="s">
        <v>337</v>
      </c>
      <c r="D2591" s="5" t="s">
        <v>559</v>
      </c>
      <c r="E2591" s="5" t="s">
        <v>1080</v>
      </c>
      <c r="F2591" s="6" t="s">
        <v>569</v>
      </c>
      <c r="G2591" s="4" t="s">
        <v>2</v>
      </c>
      <c r="H2591" s="25">
        <v>271.26</v>
      </c>
      <c r="I2591" s="8">
        <v>400</v>
      </c>
      <c r="J2591" s="9">
        <v>100</v>
      </c>
      <c r="K2591" s="7">
        <v>-300</v>
      </c>
      <c r="L2591" s="24">
        <f>+Tabla2[[#This Row],[Stock Inventario]]*Tabla2[[#This Row],[Coste LÃ­nea]]</f>
        <v>27126</v>
      </c>
      <c r="M2591" s="24">
        <f>+Tabla2[[#This Row],[Variación Stock]]*Tabla2[[#This Row],[Coste LÃ­nea]]</f>
        <v>-81378</v>
      </c>
      <c r="N2591" s="22" t="str">
        <f>+IF(Tabla2[[#This Row],[Variación Stock]]&gt;0,"Sobrante",IF(Tabla2[[#This Row],[Variación Stock]]&lt;0,"Faltante","Sin novedad"))</f>
        <v>Faltante</v>
      </c>
    </row>
    <row r="2592" spans="1:14" hidden="1" x14ac:dyDescent="0.25">
      <c r="A2592" s="11">
        <v>46053</v>
      </c>
      <c r="B2592" s="5" t="s">
        <v>394</v>
      </c>
      <c r="C2592" s="3" t="s">
        <v>337</v>
      </c>
      <c r="D2592" s="5" t="s">
        <v>559</v>
      </c>
      <c r="E2592" s="5" t="s">
        <v>1080</v>
      </c>
      <c r="F2592" s="6" t="s">
        <v>560</v>
      </c>
      <c r="G2592" s="4" t="s">
        <v>2</v>
      </c>
      <c r="H2592" s="25">
        <v>470.00240000000002</v>
      </c>
      <c r="I2592" s="8">
        <v>-2</v>
      </c>
      <c r="J2592" s="9">
        <v>0</v>
      </c>
      <c r="K2592" s="7">
        <v>2</v>
      </c>
      <c r="L2592" s="24">
        <f>+Tabla2[[#This Row],[Stock Inventario]]*Tabla2[[#This Row],[Coste LÃ­nea]]</f>
        <v>0</v>
      </c>
      <c r="M2592" s="24">
        <f>+Tabla2[[#This Row],[Variación Stock]]*Tabla2[[#This Row],[Coste LÃ­nea]]</f>
        <v>940.00480000000005</v>
      </c>
      <c r="N2592" s="22" t="str">
        <f>+IF(Tabla2[[#This Row],[Variación Stock]]&gt;0,"Sobrante",IF(Tabla2[[#This Row],[Variación Stock]]&lt;0,"Faltante","Sin novedad"))</f>
        <v>Sobrante</v>
      </c>
    </row>
    <row r="2593" spans="1:14" hidden="1" x14ac:dyDescent="0.25">
      <c r="A2593" s="11">
        <v>46053</v>
      </c>
      <c r="B2593" s="5" t="s">
        <v>394</v>
      </c>
      <c r="C2593" s="3" t="s">
        <v>337</v>
      </c>
      <c r="D2593" s="5" t="s">
        <v>559</v>
      </c>
      <c r="E2593" s="5" t="s">
        <v>1080</v>
      </c>
      <c r="F2593" s="6" t="s">
        <v>563</v>
      </c>
      <c r="G2593" s="4" t="s">
        <v>2</v>
      </c>
      <c r="H2593" s="25">
        <v>470.00240000000002</v>
      </c>
      <c r="I2593" s="8">
        <v>-2</v>
      </c>
      <c r="J2593" s="9">
        <v>0</v>
      </c>
      <c r="K2593" s="7">
        <v>2</v>
      </c>
      <c r="L2593" s="24">
        <f>+Tabla2[[#This Row],[Stock Inventario]]*Tabla2[[#This Row],[Coste LÃ­nea]]</f>
        <v>0</v>
      </c>
      <c r="M2593" s="24">
        <f>+Tabla2[[#This Row],[Variación Stock]]*Tabla2[[#This Row],[Coste LÃ­nea]]</f>
        <v>940.00480000000005</v>
      </c>
      <c r="N2593" s="22" t="str">
        <f>+IF(Tabla2[[#This Row],[Variación Stock]]&gt;0,"Sobrante",IF(Tabla2[[#This Row],[Variación Stock]]&lt;0,"Faltante","Sin novedad"))</f>
        <v>Sobrante</v>
      </c>
    </row>
    <row r="2594" spans="1:14" hidden="1" x14ac:dyDescent="0.25">
      <c r="A2594" s="11">
        <v>46053</v>
      </c>
      <c r="B2594" s="5" t="s">
        <v>394</v>
      </c>
      <c r="C2594" s="3" t="s">
        <v>337</v>
      </c>
      <c r="D2594" s="5" t="s">
        <v>559</v>
      </c>
      <c r="E2594" s="5" t="s">
        <v>1080</v>
      </c>
      <c r="F2594" s="6" t="s">
        <v>570</v>
      </c>
      <c r="G2594" s="4" t="s">
        <v>2</v>
      </c>
      <c r="H2594" s="25">
        <v>521.92999999999995</v>
      </c>
      <c r="I2594" s="8">
        <v>200</v>
      </c>
      <c r="J2594" s="9">
        <v>17</v>
      </c>
      <c r="K2594" s="7">
        <v>-183</v>
      </c>
      <c r="L2594" s="24">
        <f>+Tabla2[[#This Row],[Stock Inventario]]*Tabla2[[#This Row],[Coste LÃ­nea]]</f>
        <v>8872.81</v>
      </c>
      <c r="M2594" s="24">
        <f>+Tabla2[[#This Row],[Variación Stock]]*Tabla2[[#This Row],[Coste LÃ­nea]]</f>
        <v>-95513.189999999988</v>
      </c>
      <c r="N2594" s="22" t="str">
        <f>+IF(Tabla2[[#This Row],[Variación Stock]]&gt;0,"Sobrante",IF(Tabla2[[#This Row],[Variación Stock]]&lt;0,"Faltante","Sin novedad"))</f>
        <v>Faltante</v>
      </c>
    </row>
    <row r="2595" spans="1:14" hidden="1" x14ac:dyDescent="0.25">
      <c r="A2595" s="11">
        <v>46053</v>
      </c>
      <c r="B2595" s="5" t="s">
        <v>394</v>
      </c>
      <c r="C2595" s="3" t="s">
        <v>337</v>
      </c>
      <c r="D2595" s="5" t="s">
        <v>559</v>
      </c>
      <c r="E2595" s="5" t="s">
        <v>1080</v>
      </c>
      <c r="F2595" s="6" t="s">
        <v>571</v>
      </c>
      <c r="G2595" s="4" t="s">
        <v>2</v>
      </c>
      <c r="H2595" s="25">
        <v>681.28</v>
      </c>
      <c r="I2595" s="8">
        <v>200</v>
      </c>
      <c r="J2595" s="9">
        <v>142</v>
      </c>
      <c r="K2595" s="7">
        <v>-58</v>
      </c>
      <c r="L2595" s="24">
        <f>+Tabla2[[#This Row],[Stock Inventario]]*Tabla2[[#This Row],[Coste LÃ­nea]]</f>
        <v>96741.759999999995</v>
      </c>
      <c r="M2595" s="24">
        <f>+Tabla2[[#This Row],[Variación Stock]]*Tabla2[[#This Row],[Coste LÃ­nea]]</f>
        <v>-39514.239999999998</v>
      </c>
      <c r="N2595" s="22" t="str">
        <f>+IF(Tabla2[[#This Row],[Variación Stock]]&gt;0,"Sobrante",IF(Tabla2[[#This Row],[Variación Stock]]&lt;0,"Faltante","Sin novedad"))</f>
        <v>Faltante</v>
      </c>
    </row>
    <row r="2596" spans="1:14" hidden="1" x14ac:dyDescent="0.25">
      <c r="A2596" s="11">
        <v>46053</v>
      </c>
      <c r="B2596" s="5" t="s">
        <v>394</v>
      </c>
      <c r="C2596" s="3" t="s">
        <v>337</v>
      </c>
      <c r="D2596" s="5" t="s">
        <v>471</v>
      </c>
      <c r="E2596" s="5" t="s">
        <v>117</v>
      </c>
      <c r="F2596" s="6" t="s">
        <v>483</v>
      </c>
      <c r="G2596" s="4" t="s">
        <v>1</v>
      </c>
      <c r="H2596" s="25">
        <v>13</v>
      </c>
      <c r="I2596" s="8">
        <v>494</v>
      </c>
      <c r="J2596" s="9">
        <v>500</v>
      </c>
      <c r="K2596" s="7">
        <v>-644</v>
      </c>
      <c r="L2596" s="24">
        <f>+Tabla2[[#This Row],[Stock Inventario]]*Tabla2[[#This Row],[Coste LÃ­nea]]</f>
        <v>6500</v>
      </c>
      <c r="M2596" s="24">
        <f>+Tabla2[[#This Row],[Variación Stock]]*Tabla2[[#This Row],[Coste LÃ­nea]]</f>
        <v>-8372</v>
      </c>
      <c r="N2596" s="22" t="str">
        <f>+IF(Tabla2[[#This Row],[Variación Stock]]&gt;0,"Sobrante",IF(Tabla2[[#This Row],[Variación Stock]]&lt;0,"Faltante","Sin novedad"))</f>
        <v>Faltante</v>
      </c>
    </row>
    <row r="2597" spans="1:14" x14ac:dyDescent="0.25">
      <c r="A2597" s="11">
        <v>46053</v>
      </c>
      <c r="B2597" s="5" t="s">
        <v>394</v>
      </c>
      <c r="C2597" s="3" t="s">
        <v>337</v>
      </c>
      <c r="D2597" s="5" t="s">
        <v>118</v>
      </c>
      <c r="E2597" s="5" t="s">
        <v>112</v>
      </c>
      <c r="F2597" s="6" t="s">
        <v>293</v>
      </c>
      <c r="G2597" s="4" t="s">
        <v>2</v>
      </c>
      <c r="H2597" s="25">
        <v>125043</v>
      </c>
      <c r="I2597" s="8">
        <v>2</v>
      </c>
      <c r="J2597" s="9">
        <v>2</v>
      </c>
      <c r="K2597" s="7">
        <v>0</v>
      </c>
      <c r="L2597" s="24">
        <f>+Tabla2[[#This Row],[Stock Inventario]]*Tabla2[[#This Row],[Coste LÃ­nea]]</f>
        <v>250086</v>
      </c>
      <c r="M2597" s="24">
        <f>+Tabla2[[#This Row],[Variación Stock]]*Tabla2[[#This Row],[Coste LÃ­nea]]</f>
        <v>0</v>
      </c>
      <c r="N2597" s="22" t="str">
        <f>+IF(Tabla2[[#This Row],[Variación Stock]]&gt;0,"Sobrante",IF(Tabla2[[#This Row],[Variación Stock]]&lt;0,"Faltante","Sin novedad"))</f>
        <v>Sin novedad</v>
      </c>
    </row>
    <row r="2598" spans="1:14" hidden="1" x14ac:dyDescent="0.25">
      <c r="A2598" s="11">
        <v>46053</v>
      </c>
      <c r="B2598" s="5" t="s">
        <v>394</v>
      </c>
      <c r="C2598" s="3" t="s">
        <v>337</v>
      </c>
      <c r="D2598" s="5" t="s">
        <v>626</v>
      </c>
      <c r="E2598" s="5" t="s">
        <v>1079</v>
      </c>
      <c r="F2598" s="6" t="s">
        <v>635</v>
      </c>
      <c r="G2598" s="4" t="s">
        <v>1</v>
      </c>
      <c r="H2598" s="25">
        <v>13.83777778</v>
      </c>
      <c r="I2598" s="8">
        <v>3600</v>
      </c>
      <c r="J2598" s="9">
        <v>0</v>
      </c>
      <c r="K2598" s="7">
        <v>-3600</v>
      </c>
      <c r="L2598" s="24">
        <f>+Tabla2[[#This Row],[Stock Inventario]]*Tabla2[[#This Row],[Coste LÃ­nea]]</f>
        <v>0</v>
      </c>
      <c r="M2598" s="24">
        <f>+Tabla2[[#This Row],[Variación Stock]]*Tabla2[[#This Row],[Coste LÃ­nea]]</f>
        <v>-49816.000007999995</v>
      </c>
      <c r="N2598" s="22" t="str">
        <f>+IF(Tabla2[[#This Row],[Variación Stock]]&gt;0,"Sobrante",IF(Tabla2[[#This Row],[Variación Stock]]&lt;0,"Faltante","Sin novedad"))</f>
        <v>Faltante</v>
      </c>
    </row>
    <row r="2599" spans="1:14" hidden="1" x14ac:dyDescent="0.25">
      <c r="A2599" s="11">
        <v>46053</v>
      </c>
      <c r="B2599" s="5" t="s">
        <v>394</v>
      </c>
      <c r="C2599" s="3" t="s">
        <v>337</v>
      </c>
      <c r="D2599" s="5" t="s">
        <v>824</v>
      </c>
      <c r="E2599" s="5" t="s">
        <v>117</v>
      </c>
      <c r="F2599" s="6" t="s">
        <v>825</v>
      </c>
      <c r="G2599" s="4" t="s">
        <v>1</v>
      </c>
      <c r="H2599" s="25">
        <v>173.386</v>
      </c>
      <c r="I2599" s="8">
        <v>0</v>
      </c>
      <c r="J2599" s="9">
        <v>0</v>
      </c>
      <c r="K2599" s="7">
        <v>0</v>
      </c>
      <c r="L2599" s="24">
        <f>+Tabla2[[#This Row],[Stock Inventario]]*Tabla2[[#This Row],[Coste LÃ­nea]]</f>
        <v>0</v>
      </c>
      <c r="M2599" s="24">
        <f>+Tabla2[[#This Row],[Variación Stock]]*Tabla2[[#This Row],[Coste LÃ­nea]]</f>
        <v>0</v>
      </c>
      <c r="N2599" s="22" t="str">
        <f>+IF(Tabla2[[#This Row],[Variación Stock]]&gt;0,"Sobrante",IF(Tabla2[[#This Row],[Variación Stock]]&lt;0,"Faltante","Sin novedad"))</f>
        <v>Sin novedad</v>
      </c>
    </row>
    <row r="2600" spans="1:14" hidden="1" x14ac:dyDescent="0.25">
      <c r="A2600" s="11">
        <v>46053</v>
      </c>
      <c r="B2600" s="5" t="s">
        <v>394</v>
      </c>
      <c r="C2600" s="3" t="s">
        <v>337</v>
      </c>
      <c r="D2600" s="5" t="s">
        <v>396</v>
      </c>
      <c r="E2600" s="5" t="s">
        <v>117</v>
      </c>
      <c r="F2600" s="6" t="s">
        <v>458</v>
      </c>
      <c r="G2600" s="4" t="s">
        <v>1</v>
      </c>
      <c r="H2600" s="25">
        <v>12.150080000000001</v>
      </c>
      <c r="I2600" s="8">
        <v>0</v>
      </c>
      <c r="J2600" s="9">
        <v>0</v>
      </c>
      <c r="K2600" s="7">
        <v>0</v>
      </c>
      <c r="L2600" s="24">
        <f>+Tabla2[[#This Row],[Stock Inventario]]*Tabla2[[#This Row],[Coste LÃ­nea]]</f>
        <v>0</v>
      </c>
      <c r="M2600" s="24">
        <f>+Tabla2[[#This Row],[Variación Stock]]*Tabla2[[#This Row],[Coste LÃ­nea]]</f>
        <v>0</v>
      </c>
      <c r="N2600" s="22" t="str">
        <f>+IF(Tabla2[[#This Row],[Variación Stock]]&gt;0,"Sobrante",IF(Tabla2[[#This Row],[Variación Stock]]&lt;0,"Faltante","Sin novedad"))</f>
        <v>Sin novedad</v>
      </c>
    </row>
    <row r="2601" spans="1:14" x14ac:dyDescent="0.25">
      <c r="A2601" s="11">
        <v>46053</v>
      </c>
      <c r="B2601" s="5" t="s">
        <v>394</v>
      </c>
      <c r="C2601" s="3" t="s">
        <v>337</v>
      </c>
      <c r="D2601" s="5" t="s">
        <v>111</v>
      </c>
      <c r="E2601" s="5" t="s">
        <v>112</v>
      </c>
      <c r="F2601" s="6" t="s">
        <v>35</v>
      </c>
      <c r="G2601" s="4" t="s">
        <v>0</v>
      </c>
      <c r="H2601" s="25">
        <v>6045.125</v>
      </c>
      <c r="I2601" s="8">
        <v>21</v>
      </c>
      <c r="J2601" s="9">
        <v>21</v>
      </c>
      <c r="K2601" s="7">
        <v>0</v>
      </c>
      <c r="L2601" s="24">
        <f>+Tabla2[[#This Row],[Stock Inventario]]*Tabla2[[#This Row],[Coste LÃ­nea]]</f>
        <v>126947.625</v>
      </c>
      <c r="M2601" s="24">
        <f>+Tabla2[[#This Row],[Variación Stock]]*Tabla2[[#This Row],[Coste LÃ­nea]]</f>
        <v>0</v>
      </c>
      <c r="N2601" s="22" t="str">
        <f>+IF(Tabla2[[#This Row],[Variación Stock]]&gt;0,"Sobrante",IF(Tabla2[[#This Row],[Variación Stock]]&lt;0,"Faltante","Sin novedad"))</f>
        <v>Sin novedad</v>
      </c>
    </row>
    <row r="2602" spans="1:14" hidden="1" x14ac:dyDescent="0.25">
      <c r="A2602" s="11">
        <v>46053</v>
      </c>
      <c r="B2602" s="5" t="s">
        <v>394</v>
      </c>
      <c r="C2602" s="3" t="s">
        <v>337</v>
      </c>
      <c r="D2602" s="5" t="s">
        <v>803</v>
      </c>
      <c r="E2602" s="5" t="s">
        <v>117</v>
      </c>
      <c r="F2602" s="6" t="s">
        <v>804</v>
      </c>
      <c r="G2602" s="4" t="s">
        <v>1</v>
      </c>
      <c r="H2602" s="25">
        <v>120</v>
      </c>
      <c r="I2602" s="8">
        <v>0</v>
      </c>
      <c r="J2602" s="9">
        <v>0</v>
      </c>
      <c r="K2602" s="7">
        <v>0</v>
      </c>
      <c r="L2602" s="24">
        <f>+Tabla2[[#This Row],[Stock Inventario]]*Tabla2[[#This Row],[Coste LÃ­nea]]</f>
        <v>0</v>
      </c>
      <c r="M2602" s="24">
        <f>+Tabla2[[#This Row],[Variación Stock]]*Tabla2[[#This Row],[Coste LÃ­nea]]</f>
        <v>0</v>
      </c>
      <c r="N2602" s="22" t="str">
        <f>+IF(Tabla2[[#This Row],[Variación Stock]]&gt;0,"Sobrante",IF(Tabla2[[#This Row],[Variación Stock]]&lt;0,"Faltante","Sin novedad"))</f>
        <v>Sin novedad</v>
      </c>
    </row>
    <row r="2603" spans="1:14" x14ac:dyDescent="0.25">
      <c r="A2603" s="11">
        <v>46053</v>
      </c>
      <c r="B2603" s="5" t="s">
        <v>394</v>
      </c>
      <c r="C2603" s="3" t="s">
        <v>337</v>
      </c>
      <c r="D2603" s="5" t="s">
        <v>111</v>
      </c>
      <c r="E2603" s="5" t="s">
        <v>112</v>
      </c>
      <c r="F2603" s="6" t="s">
        <v>36</v>
      </c>
      <c r="G2603" s="4" t="s">
        <v>0</v>
      </c>
      <c r="H2603" s="25">
        <v>3951.875</v>
      </c>
      <c r="I2603" s="8">
        <v>80</v>
      </c>
      <c r="J2603" s="9">
        <v>82</v>
      </c>
      <c r="K2603" s="7">
        <v>2</v>
      </c>
      <c r="L2603" s="24">
        <f>+Tabla2[[#This Row],[Stock Inventario]]*Tabla2[[#This Row],[Coste LÃ­nea]]</f>
        <v>324053.75</v>
      </c>
      <c r="M2603" s="24">
        <f>+Tabla2[[#This Row],[Variación Stock]]*Tabla2[[#This Row],[Coste LÃ­nea]]</f>
        <v>7903.75</v>
      </c>
      <c r="N2603" s="22" t="str">
        <f>+IF(Tabla2[[#This Row],[Variación Stock]]&gt;0,"Sobrante",IF(Tabla2[[#This Row],[Variación Stock]]&lt;0,"Faltante","Sin novedad"))</f>
        <v>Sobrante</v>
      </c>
    </row>
    <row r="2604" spans="1:14" hidden="1" x14ac:dyDescent="0.25">
      <c r="A2604" s="11">
        <v>46053</v>
      </c>
      <c r="B2604" s="5" t="s">
        <v>394</v>
      </c>
      <c r="C2604" s="3" t="s">
        <v>337</v>
      </c>
      <c r="D2604" s="5" t="s">
        <v>471</v>
      </c>
      <c r="E2604" s="5" t="s">
        <v>117</v>
      </c>
      <c r="F2604" s="6" t="s">
        <v>484</v>
      </c>
      <c r="G2604" s="4" t="s">
        <v>1</v>
      </c>
      <c r="H2604" s="25">
        <v>2200</v>
      </c>
      <c r="I2604" s="8">
        <v>4095</v>
      </c>
      <c r="J2604" s="9">
        <v>1072000</v>
      </c>
      <c r="K2604" s="7">
        <v>1067905</v>
      </c>
      <c r="L2604" s="24">
        <f>+Tabla2[[#This Row],[Stock Inventario]]*Tabla2[[#This Row],[Coste LÃ­nea]]</f>
        <v>2358400000</v>
      </c>
      <c r="M2604" s="24">
        <f>+Tabla2[[#This Row],[Variación Stock]]*Tabla2[[#This Row],[Coste LÃ­nea]]</f>
        <v>2349391000</v>
      </c>
      <c r="N2604" s="22" t="str">
        <f>+IF(Tabla2[[#This Row],[Variación Stock]]&gt;0,"Sobrante",IF(Tabla2[[#This Row],[Variación Stock]]&lt;0,"Faltante","Sin novedad"))</f>
        <v>Sobrante</v>
      </c>
    </row>
    <row r="2605" spans="1:14" hidden="1" x14ac:dyDescent="0.25">
      <c r="A2605" s="11">
        <v>46053</v>
      </c>
      <c r="B2605" s="5" t="s">
        <v>394</v>
      </c>
      <c r="C2605" s="3" t="s">
        <v>337</v>
      </c>
      <c r="D2605" s="5" t="s">
        <v>471</v>
      </c>
      <c r="E2605" s="5" t="s">
        <v>117</v>
      </c>
      <c r="F2605" s="6" t="s">
        <v>485</v>
      </c>
      <c r="G2605" s="4" t="s">
        <v>1</v>
      </c>
      <c r="H2605" s="25">
        <v>60</v>
      </c>
      <c r="I2605" s="8">
        <v>0</v>
      </c>
      <c r="J2605" s="9">
        <v>0</v>
      </c>
      <c r="K2605" s="7">
        <v>0</v>
      </c>
      <c r="L2605" s="24">
        <f>+Tabla2[[#This Row],[Stock Inventario]]*Tabla2[[#This Row],[Coste LÃ­nea]]</f>
        <v>0</v>
      </c>
      <c r="M2605" s="24">
        <f>+Tabla2[[#This Row],[Variación Stock]]*Tabla2[[#This Row],[Coste LÃ­nea]]</f>
        <v>0</v>
      </c>
      <c r="N2605" s="22" t="str">
        <f>+IF(Tabla2[[#This Row],[Variación Stock]]&gt;0,"Sobrante",IF(Tabla2[[#This Row],[Variación Stock]]&lt;0,"Faltante","Sin novedad"))</f>
        <v>Sin novedad</v>
      </c>
    </row>
    <row r="2606" spans="1:14" hidden="1" x14ac:dyDescent="0.25">
      <c r="A2606" s="11">
        <v>46053</v>
      </c>
      <c r="B2606" s="5" t="s">
        <v>394</v>
      </c>
      <c r="C2606" s="3" t="s">
        <v>337</v>
      </c>
      <c r="D2606" s="5" t="s">
        <v>547</v>
      </c>
      <c r="E2606" s="5" t="s">
        <v>117</v>
      </c>
      <c r="F2606" s="6" t="s">
        <v>552</v>
      </c>
      <c r="G2606" s="4" t="s">
        <v>1</v>
      </c>
      <c r="H2606" s="25">
        <v>18.725999999999999</v>
      </c>
      <c r="I2606" s="8">
        <v>5380</v>
      </c>
      <c r="J2606" s="9">
        <v>1914</v>
      </c>
      <c r="K2606" s="7">
        <v>-3466</v>
      </c>
      <c r="L2606" s="24">
        <f>+Tabla2[[#This Row],[Stock Inventario]]*Tabla2[[#This Row],[Coste LÃ­nea]]</f>
        <v>35841.563999999998</v>
      </c>
      <c r="M2606" s="24">
        <f>+Tabla2[[#This Row],[Variación Stock]]*Tabla2[[#This Row],[Coste LÃ­nea]]</f>
        <v>-64904.315999999999</v>
      </c>
      <c r="N2606" s="22" t="str">
        <f>+IF(Tabla2[[#This Row],[Variación Stock]]&gt;0,"Sobrante",IF(Tabla2[[#This Row],[Variación Stock]]&lt;0,"Faltante","Sin novedad"))</f>
        <v>Faltante</v>
      </c>
    </row>
    <row r="2607" spans="1:14" hidden="1" x14ac:dyDescent="0.25">
      <c r="A2607" s="11">
        <v>46053</v>
      </c>
      <c r="B2607" s="5" t="s">
        <v>394</v>
      </c>
      <c r="C2607" s="3" t="s">
        <v>337</v>
      </c>
      <c r="D2607" s="5" t="s">
        <v>396</v>
      </c>
      <c r="E2607" s="5" t="s">
        <v>117</v>
      </c>
      <c r="F2607" s="6" t="s">
        <v>403</v>
      </c>
      <c r="G2607" s="4" t="s">
        <v>1</v>
      </c>
      <c r="H2607" s="25">
        <v>202.15</v>
      </c>
      <c r="I2607" s="8">
        <v>380</v>
      </c>
      <c r="J2607" s="9">
        <v>340</v>
      </c>
      <c r="K2607" s="7">
        <v>-40</v>
      </c>
      <c r="L2607" s="24">
        <f>+Tabla2[[#This Row],[Stock Inventario]]*Tabla2[[#This Row],[Coste LÃ­nea]]</f>
        <v>68731</v>
      </c>
      <c r="M2607" s="24">
        <f>+Tabla2[[#This Row],[Variación Stock]]*Tabla2[[#This Row],[Coste LÃ­nea]]</f>
        <v>-8086</v>
      </c>
      <c r="N2607" s="22" t="str">
        <f>+IF(Tabla2[[#This Row],[Variación Stock]]&gt;0,"Sobrante",IF(Tabla2[[#This Row],[Variación Stock]]&lt;0,"Faltante","Sin novedad"))</f>
        <v>Faltante</v>
      </c>
    </row>
    <row r="2608" spans="1:14" x14ac:dyDescent="0.25">
      <c r="A2608" s="11">
        <v>46053</v>
      </c>
      <c r="B2608" s="5" t="s">
        <v>394</v>
      </c>
      <c r="C2608" s="3" t="s">
        <v>337</v>
      </c>
      <c r="D2608" s="5" t="s">
        <v>603</v>
      </c>
      <c r="E2608" s="5" t="s">
        <v>112</v>
      </c>
      <c r="F2608" s="6" t="s">
        <v>611</v>
      </c>
      <c r="G2608" s="4" t="s">
        <v>2</v>
      </c>
      <c r="H2608" s="25">
        <v>1600</v>
      </c>
      <c r="I2608" s="8">
        <v>0</v>
      </c>
      <c r="J2608" s="9">
        <v>0</v>
      </c>
      <c r="K2608" s="7">
        <v>0</v>
      </c>
      <c r="L2608" s="24">
        <f>+Tabla2[[#This Row],[Stock Inventario]]*Tabla2[[#This Row],[Coste LÃ­nea]]</f>
        <v>0</v>
      </c>
      <c r="M2608" s="24">
        <f>+Tabla2[[#This Row],[Variación Stock]]*Tabla2[[#This Row],[Coste LÃ­nea]]</f>
        <v>0</v>
      </c>
      <c r="N2608" s="22" t="str">
        <f>+IF(Tabla2[[#This Row],[Variación Stock]]&gt;0,"Sobrante",IF(Tabla2[[#This Row],[Variación Stock]]&lt;0,"Faltante","Sin novedad"))</f>
        <v>Sin novedad</v>
      </c>
    </row>
    <row r="2609" spans="1:14" hidden="1" x14ac:dyDescent="0.25">
      <c r="A2609" s="11">
        <v>46053</v>
      </c>
      <c r="B2609" s="5" t="s">
        <v>394</v>
      </c>
      <c r="C2609" s="3" t="s">
        <v>337</v>
      </c>
      <c r="D2609" s="5" t="s">
        <v>396</v>
      </c>
      <c r="E2609" s="5" t="s">
        <v>117</v>
      </c>
      <c r="F2609" s="6" t="s">
        <v>429</v>
      </c>
      <c r="G2609" s="4" t="s">
        <v>1</v>
      </c>
      <c r="H2609" s="25">
        <v>10.616</v>
      </c>
      <c r="I2609" s="8">
        <v>71000</v>
      </c>
      <c r="J2609" s="9">
        <v>42000</v>
      </c>
      <c r="K2609" s="7">
        <v>-29000</v>
      </c>
      <c r="L2609" s="24">
        <f>+Tabla2[[#This Row],[Stock Inventario]]*Tabla2[[#This Row],[Coste LÃ­nea]]</f>
        <v>445872</v>
      </c>
      <c r="M2609" s="24">
        <f>+Tabla2[[#This Row],[Variación Stock]]*Tabla2[[#This Row],[Coste LÃ­nea]]</f>
        <v>-307864</v>
      </c>
      <c r="N2609" s="22" t="str">
        <f>+IF(Tabla2[[#This Row],[Variación Stock]]&gt;0,"Sobrante",IF(Tabla2[[#This Row],[Variación Stock]]&lt;0,"Faltante","Sin novedad"))</f>
        <v>Faltante</v>
      </c>
    </row>
    <row r="2610" spans="1:14" hidden="1" x14ac:dyDescent="0.25">
      <c r="A2610" s="11">
        <v>46053</v>
      </c>
      <c r="B2610" s="5" t="s">
        <v>394</v>
      </c>
      <c r="C2610" s="3" t="s">
        <v>337</v>
      </c>
      <c r="D2610" s="5" t="s">
        <v>471</v>
      </c>
      <c r="E2610" s="5" t="s">
        <v>117</v>
      </c>
      <c r="F2610" s="6" t="s">
        <v>486</v>
      </c>
      <c r="G2610" s="4" t="s">
        <v>1</v>
      </c>
      <c r="H2610" s="25">
        <v>11.98</v>
      </c>
      <c r="I2610" s="8">
        <v>0</v>
      </c>
      <c r="J2610" s="9">
        <v>0</v>
      </c>
      <c r="K2610" s="7">
        <v>0</v>
      </c>
      <c r="L2610" s="24">
        <f>+Tabla2[[#This Row],[Stock Inventario]]*Tabla2[[#This Row],[Coste LÃ­nea]]</f>
        <v>0</v>
      </c>
      <c r="M2610" s="24">
        <f>+Tabla2[[#This Row],[Variación Stock]]*Tabla2[[#This Row],[Coste LÃ­nea]]</f>
        <v>0</v>
      </c>
      <c r="N2610" s="22" t="str">
        <f>+IF(Tabla2[[#This Row],[Variación Stock]]&gt;0,"Sobrante",IF(Tabla2[[#This Row],[Variación Stock]]&lt;0,"Faltante","Sin novedad"))</f>
        <v>Sin novedad</v>
      </c>
    </row>
    <row r="2611" spans="1:14" hidden="1" x14ac:dyDescent="0.25">
      <c r="A2611" s="11">
        <v>46053</v>
      </c>
      <c r="B2611" s="5" t="s">
        <v>394</v>
      </c>
      <c r="C2611" s="3" t="s">
        <v>337</v>
      </c>
      <c r="D2611" s="5" t="s">
        <v>396</v>
      </c>
      <c r="E2611" s="5" t="s">
        <v>117</v>
      </c>
      <c r="F2611" s="6" t="s">
        <v>430</v>
      </c>
      <c r="G2611" s="4" t="s">
        <v>1</v>
      </c>
      <c r="H2611" s="25">
        <v>18.245000000000001</v>
      </c>
      <c r="I2611" s="8">
        <v>2500</v>
      </c>
      <c r="J2611" s="9">
        <v>2000</v>
      </c>
      <c r="K2611" s="7">
        <v>-500</v>
      </c>
      <c r="L2611" s="24">
        <f>+Tabla2[[#This Row],[Stock Inventario]]*Tabla2[[#This Row],[Coste LÃ­nea]]</f>
        <v>36490</v>
      </c>
      <c r="M2611" s="24">
        <f>+Tabla2[[#This Row],[Variación Stock]]*Tabla2[[#This Row],[Coste LÃ­nea]]</f>
        <v>-9122.5</v>
      </c>
      <c r="N2611" s="22" t="str">
        <f>+IF(Tabla2[[#This Row],[Variación Stock]]&gt;0,"Sobrante",IF(Tabla2[[#This Row],[Variación Stock]]&lt;0,"Faltante","Sin novedad"))</f>
        <v>Faltante</v>
      </c>
    </row>
    <row r="2612" spans="1:14" hidden="1" x14ac:dyDescent="0.25">
      <c r="A2612" s="11">
        <v>46053</v>
      </c>
      <c r="B2612" s="5" t="s">
        <v>394</v>
      </c>
      <c r="C2612" s="3" t="s">
        <v>337</v>
      </c>
      <c r="D2612" s="5" t="s">
        <v>119</v>
      </c>
      <c r="E2612" s="5" t="s">
        <v>117</v>
      </c>
      <c r="F2612" s="6" t="s">
        <v>192</v>
      </c>
      <c r="G2612" s="4" t="s">
        <v>2</v>
      </c>
      <c r="H2612" s="25">
        <v>8233.3333333299997</v>
      </c>
      <c r="I2612" s="8">
        <v>0</v>
      </c>
      <c r="J2612" s="9">
        <v>0</v>
      </c>
      <c r="K2612" s="7">
        <v>0</v>
      </c>
      <c r="L2612" s="24">
        <f>+Tabla2[[#This Row],[Stock Inventario]]*Tabla2[[#This Row],[Coste LÃ­nea]]</f>
        <v>0</v>
      </c>
      <c r="M2612" s="24">
        <f>+Tabla2[[#This Row],[Variación Stock]]*Tabla2[[#This Row],[Coste LÃ­nea]]</f>
        <v>0</v>
      </c>
      <c r="N2612" s="22" t="str">
        <f>+IF(Tabla2[[#This Row],[Variación Stock]]&gt;0,"Sobrante",IF(Tabla2[[#This Row],[Variación Stock]]&lt;0,"Faltante","Sin novedad"))</f>
        <v>Sin novedad</v>
      </c>
    </row>
    <row r="2613" spans="1:14" hidden="1" x14ac:dyDescent="0.25">
      <c r="A2613" s="11">
        <v>46053</v>
      </c>
      <c r="B2613" s="5" t="s">
        <v>394</v>
      </c>
      <c r="C2613" s="3" t="s">
        <v>337</v>
      </c>
      <c r="D2613" s="5" t="s">
        <v>396</v>
      </c>
      <c r="E2613" s="5" t="s">
        <v>117</v>
      </c>
      <c r="F2613" s="6" t="s">
        <v>431</v>
      </c>
      <c r="G2613" s="4" t="s">
        <v>1</v>
      </c>
      <c r="H2613" s="25">
        <v>4.8816800000000002</v>
      </c>
      <c r="I2613" s="8">
        <v>24549.679599999999</v>
      </c>
      <c r="J2613" s="9">
        <v>14070</v>
      </c>
      <c r="K2613" s="7">
        <v>-22979.679599999999</v>
      </c>
      <c r="L2613" s="24">
        <f>+Tabla2[[#This Row],[Stock Inventario]]*Tabla2[[#This Row],[Coste LÃ­nea]]</f>
        <v>68685.237600000008</v>
      </c>
      <c r="M2613" s="24">
        <f>+Tabla2[[#This Row],[Variación Stock]]*Tabla2[[#This Row],[Coste LÃ­nea]]</f>
        <v>-112179.44230972801</v>
      </c>
      <c r="N2613" s="22" t="str">
        <f>+IF(Tabla2[[#This Row],[Variación Stock]]&gt;0,"Sobrante",IF(Tabla2[[#This Row],[Variación Stock]]&lt;0,"Faltante","Sin novedad"))</f>
        <v>Faltante</v>
      </c>
    </row>
    <row r="2614" spans="1:14" hidden="1" x14ac:dyDescent="0.25">
      <c r="A2614" s="11">
        <v>46053</v>
      </c>
      <c r="B2614" s="5" t="s">
        <v>394</v>
      </c>
      <c r="C2614" s="3" t="s">
        <v>337</v>
      </c>
      <c r="D2614" s="5" t="s">
        <v>396</v>
      </c>
      <c r="E2614" s="5" t="s">
        <v>117</v>
      </c>
      <c r="F2614" s="6" t="s">
        <v>432</v>
      </c>
      <c r="G2614" s="4" t="s">
        <v>2</v>
      </c>
      <c r="H2614" s="25">
        <v>32.939</v>
      </c>
      <c r="I2614" s="8">
        <v>256</v>
      </c>
      <c r="J2614" s="9">
        <v>80</v>
      </c>
      <c r="K2614" s="7">
        <v>-176</v>
      </c>
      <c r="L2614" s="24">
        <f>+Tabla2[[#This Row],[Stock Inventario]]*Tabla2[[#This Row],[Coste LÃ­nea]]</f>
        <v>2635.12</v>
      </c>
      <c r="M2614" s="24">
        <f>+Tabla2[[#This Row],[Variación Stock]]*Tabla2[[#This Row],[Coste LÃ­nea]]</f>
        <v>-5797.2640000000001</v>
      </c>
      <c r="N2614" s="22" t="str">
        <f>+IF(Tabla2[[#This Row],[Variación Stock]]&gt;0,"Sobrante",IF(Tabla2[[#This Row],[Variación Stock]]&lt;0,"Faltante","Sin novedad"))</f>
        <v>Faltante</v>
      </c>
    </row>
    <row r="2615" spans="1:14" x14ac:dyDescent="0.25">
      <c r="A2615" s="11">
        <v>46053</v>
      </c>
      <c r="B2615" s="5" t="s">
        <v>394</v>
      </c>
      <c r="C2615" s="3" t="s">
        <v>337</v>
      </c>
      <c r="D2615" s="5" t="s">
        <v>111</v>
      </c>
      <c r="E2615" s="5" t="s">
        <v>112</v>
      </c>
      <c r="F2615" s="6" t="s">
        <v>16</v>
      </c>
      <c r="G2615" s="4" t="s">
        <v>0</v>
      </c>
      <c r="H2615" s="25">
        <v>2309.40625</v>
      </c>
      <c r="I2615" s="8">
        <v>4</v>
      </c>
      <c r="J2615" s="9">
        <v>4</v>
      </c>
      <c r="K2615" s="7">
        <v>0</v>
      </c>
      <c r="L2615" s="24">
        <f>+Tabla2[[#This Row],[Stock Inventario]]*Tabla2[[#This Row],[Coste LÃ­nea]]</f>
        <v>9237.625</v>
      </c>
      <c r="M2615" s="24">
        <f>+Tabla2[[#This Row],[Variación Stock]]*Tabla2[[#This Row],[Coste LÃ­nea]]</f>
        <v>0</v>
      </c>
      <c r="N2615" s="22" t="str">
        <f>+IF(Tabla2[[#This Row],[Variación Stock]]&gt;0,"Sobrante",IF(Tabla2[[#This Row],[Variación Stock]]&lt;0,"Faltante","Sin novedad"))</f>
        <v>Sin novedad</v>
      </c>
    </row>
    <row r="2616" spans="1:14" hidden="1" x14ac:dyDescent="0.25">
      <c r="A2616" s="11">
        <v>46053</v>
      </c>
      <c r="B2616" s="5" t="s">
        <v>394</v>
      </c>
      <c r="C2616" s="3" t="s">
        <v>337</v>
      </c>
      <c r="D2616" s="5" t="s">
        <v>471</v>
      </c>
      <c r="E2616" s="5" t="s">
        <v>117</v>
      </c>
      <c r="F2616" s="6" t="s">
        <v>475</v>
      </c>
      <c r="G2616" s="4" t="s">
        <v>1</v>
      </c>
      <c r="H2616" s="25">
        <v>6.5</v>
      </c>
      <c r="I2616" s="8">
        <v>480</v>
      </c>
      <c r="J2616" s="9">
        <v>0</v>
      </c>
      <c r="K2616" s="7">
        <v>-480</v>
      </c>
      <c r="L2616" s="24">
        <f>+Tabla2[[#This Row],[Stock Inventario]]*Tabla2[[#This Row],[Coste LÃ­nea]]</f>
        <v>0</v>
      </c>
      <c r="M2616" s="24">
        <f>+Tabla2[[#This Row],[Variación Stock]]*Tabla2[[#This Row],[Coste LÃ­nea]]</f>
        <v>-3120</v>
      </c>
      <c r="N2616" s="22" t="str">
        <f>+IF(Tabla2[[#This Row],[Variación Stock]]&gt;0,"Sobrante",IF(Tabla2[[#This Row],[Variación Stock]]&lt;0,"Faltante","Sin novedad"))</f>
        <v>Faltante</v>
      </c>
    </row>
    <row r="2617" spans="1:14" hidden="1" x14ac:dyDescent="0.25">
      <c r="A2617" s="11">
        <v>46053</v>
      </c>
      <c r="B2617" s="5" t="s">
        <v>394</v>
      </c>
      <c r="C2617" s="3" t="s">
        <v>337</v>
      </c>
      <c r="D2617" s="5" t="s">
        <v>471</v>
      </c>
      <c r="E2617" s="5" t="s">
        <v>117</v>
      </c>
      <c r="F2617" s="6" t="s">
        <v>487</v>
      </c>
      <c r="G2617" s="4" t="s">
        <v>1</v>
      </c>
      <c r="H2617" s="25">
        <v>7</v>
      </c>
      <c r="I2617" s="8">
        <v>2791</v>
      </c>
      <c r="J2617" s="9">
        <v>0</v>
      </c>
      <c r="K2617" s="7">
        <v>-3191</v>
      </c>
      <c r="L2617" s="24">
        <f>+Tabla2[[#This Row],[Stock Inventario]]*Tabla2[[#This Row],[Coste LÃ­nea]]</f>
        <v>0</v>
      </c>
      <c r="M2617" s="24">
        <f>+Tabla2[[#This Row],[Variación Stock]]*Tabla2[[#This Row],[Coste LÃ­nea]]</f>
        <v>-22337</v>
      </c>
      <c r="N2617" s="22" t="str">
        <f>+IF(Tabla2[[#This Row],[Variación Stock]]&gt;0,"Sobrante",IF(Tabla2[[#This Row],[Variación Stock]]&lt;0,"Faltante","Sin novedad"))</f>
        <v>Faltante</v>
      </c>
    </row>
    <row r="2618" spans="1:14" hidden="1" x14ac:dyDescent="0.25">
      <c r="A2618" s="11">
        <v>46053</v>
      </c>
      <c r="B2618" s="5" t="s">
        <v>394</v>
      </c>
      <c r="C2618" s="3" t="s">
        <v>337</v>
      </c>
      <c r="D2618" s="5" t="s">
        <v>559</v>
      </c>
      <c r="E2618" s="5" t="s">
        <v>1080</v>
      </c>
      <c r="F2618" s="6" t="s">
        <v>562</v>
      </c>
      <c r="G2618" s="4" t="s">
        <v>2</v>
      </c>
      <c r="H2618" s="25">
        <v>1700</v>
      </c>
      <c r="I2618" s="8">
        <v>0</v>
      </c>
      <c r="J2618" s="9">
        <v>0</v>
      </c>
      <c r="K2618" s="7">
        <v>0</v>
      </c>
      <c r="L2618" s="24">
        <f>+Tabla2[[#This Row],[Stock Inventario]]*Tabla2[[#This Row],[Coste LÃ­nea]]</f>
        <v>0</v>
      </c>
      <c r="M2618" s="24">
        <f>+Tabla2[[#This Row],[Variación Stock]]*Tabla2[[#This Row],[Coste LÃ­nea]]</f>
        <v>0</v>
      </c>
      <c r="N2618" s="22" t="str">
        <f>+IF(Tabla2[[#This Row],[Variación Stock]]&gt;0,"Sobrante",IF(Tabla2[[#This Row],[Variación Stock]]&lt;0,"Faltante","Sin novedad"))</f>
        <v>Sin novedad</v>
      </c>
    </row>
    <row r="2619" spans="1:14" hidden="1" x14ac:dyDescent="0.25">
      <c r="A2619" s="11">
        <v>46053</v>
      </c>
      <c r="B2619" s="5" t="s">
        <v>394</v>
      </c>
      <c r="C2619" s="3" t="s">
        <v>337</v>
      </c>
      <c r="D2619" s="5" t="s">
        <v>626</v>
      </c>
      <c r="E2619" s="5" t="s">
        <v>1079</v>
      </c>
      <c r="F2619" s="6" t="s">
        <v>677</v>
      </c>
      <c r="G2619" s="4" t="s">
        <v>2</v>
      </c>
      <c r="H2619" s="25">
        <v>320</v>
      </c>
      <c r="I2619" s="8">
        <v>0</v>
      </c>
      <c r="J2619" s="9">
        <v>0</v>
      </c>
      <c r="K2619" s="7">
        <v>0</v>
      </c>
      <c r="L2619" s="24">
        <f>+Tabla2[[#This Row],[Stock Inventario]]*Tabla2[[#This Row],[Coste LÃ­nea]]</f>
        <v>0</v>
      </c>
      <c r="M2619" s="24">
        <f>+Tabla2[[#This Row],[Variación Stock]]*Tabla2[[#This Row],[Coste LÃ­nea]]</f>
        <v>0</v>
      </c>
      <c r="N2619" s="22" t="str">
        <f>+IF(Tabla2[[#This Row],[Variación Stock]]&gt;0,"Sobrante",IF(Tabla2[[#This Row],[Variación Stock]]&lt;0,"Faltante","Sin novedad"))</f>
        <v>Sin novedad</v>
      </c>
    </row>
    <row r="2620" spans="1:14" hidden="1" x14ac:dyDescent="0.25">
      <c r="A2620" s="11">
        <v>46053</v>
      </c>
      <c r="B2620" s="5" t="s">
        <v>394</v>
      </c>
      <c r="C2620" s="3" t="s">
        <v>337</v>
      </c>
      <c r="D2620" s="5" t="s">
        <v>559</v>
      </c>
      <c r="E2620" s="5" t="s">
        <v>1080</v>
      </c>
      <c r="F2620" s="6" t="s">
        <v>587</v>
      </c>
      <c r="G2620" s="4" t="s">
        <v>2</v>
      </c>
      <c r="H2620" s="25">
        <v>320</v>
      </c>
      <c r="I2620" s="8">
        <v>0</v>
      </c>
      <c r="J2620" s="9">
        <v>0</v>
      </c>
      <c r="K2620" s="7">
        <v>0</v>
      </c>
      <c r="L2620" s="24">
        <f>+Tabla2[[#This Row],[Stock Inventario]]*Tabla2[[#This Row],[Coste LÃ­nea]]</f>
        <v>0</v>
      </c>
      <c r="M2620" s="24">
        <f>+Tabla2[[#This Row],[Variación Stock]]*Tabla2[[#This Row],[Coste LÃ­nea]]</f>
        <v>0</v>
      </c>
      <c r="N2620" s="22" t="str">
        <f>+IF(Tabla2[[#This Row],[Variación Stock]]&gt;0,"Sobrante",IF(Tabla2[[#This Row],[Variación Stock]]&lt;0,"Faltante","Sin novedad"))</f>
        <v>Sin novedad</v>
      </c>
    </row>
    <row r="2621" spans="1:14" hidden="1" x14ac:dyDescent="0.25">
      <c r="A2621" s="11">
        <v>46053</v>
      </c>
      <c r="B2621" s="5" t="s">
        <v>394</v>
      </c>
      <c r="C2621" s="3" t="s">
        <v>337</v>
      </c>
      <c r="D2621" s="5" t="s">
        <v>626</v>
      </c>
      <c r="E2621" s="5" t="s">
        <v>1079</v>
      </c>
      <c r="F2621" s="6" t="s">
        <v>639</v>
      </c>
      <c r="G2621" s="4" t="s">
        <v>2</v>
      </c>
      <c r="H2621" s="25">
        <v>55.92</v>
      </c>
      <c r="I2621" s="8">
        <v>400</v>
      </c>
      <c r="J2621" s="9">
        <v>0</v>
      </c>
      <c r="K2621" s="7">
        <v>-400</v>
      </c>
      <c r="L2621" s="24">
        <f>+Tabla2[[#This Row],[Stock Inventario]]*Tabla2[[#This Row],[Coste LÃ­nea]]</f>
        <v>0</v>
      </c>
      <c r="M2621" s="24">
        <f>+Tabla2[[#This Row],[Variación Stock]]*Tabla2[[#This Row],[Coste LÃ­nea]]</f>
        <v>-22368</v>
      </c>
      <c r="N2621" s="22" t="str">
        <f>+IF(Tabla2[[#This Row],[Variación Stock]]&gt;0,"Sobrante",IF(Tabla2[[#This Row],[Variación Stock]]&lt;0,"Faltante","Sin novedad"))</f>
        <v>Faltante</v>
      </c>
    </row>
    <row r="2622" spans="1:14" hidden="1" x14ac:dyDescent="0.25">
      <c r="A2622" s="11">
        <v>46053</v>
      </c>
      <c r="B2622" s="5" t="s">
        <v>394</v>
      </c>
      <c r="C2622" s="3" t="s">
        <v>337</v>
      </c>
      <c r="D2622" s="5" t="s">
        <v>559</v>
      </c>
      <c r="E2622" s="5" t="s">
        <v>1080</v>
      </c>
      <c r="F2622" s="6" t="s">
        <v>602</v>
      </c>
      <c r="G2622" s="4" t="s">
        <v>2</v>
      </c>
      <c r="H2622" s="25">
        <v>1550</v>
      </c>
      <c r="I2622" s="8">
        <v>0</v>
      </c>
      <c r="J2622" s="9">
        <v>14</v>
      </c>
      <c r="K2622" s="7">
        <v>14</v>
      </c>
      <c r="L2622" s="24">
        <f>+Tabla2[[#This Row],[Stock Inventario]]*Tabla2[[#This Row],[Coste LÃ­nea]]</f>
        <v>21700</v>
      </c>
      <c r="M2622" s="24">
        <f>+Tabla2[[#This Row],[Variación Stock]]*Tabla2[[#This Row],[Coste LÃ­nea]]</f>
        <v>21700</v>
      </c>
      <c r="N2622" s="22" t="str">
        <f>+IF(Tabla2[[#This Row],[Variación Stock]]&gt;0,"Sobrante",IF(Tabla2[[#This Row],[Variación Stock]]&lt;0,"Faltante","Sin novedad"))</f>
        <v>Sobrante</v>
      </c>
    </row>
    <row r="2623" spans="1:14" hidden="1" x14ac:dyDescent="0.25">
      <c r="A2623" s="11">
        <v>46053</v>
      </c>
      <c r="B2623" s="5" t="s">
        <v>394</v>
      </c>
      <c r="C2623" s="3" t="s">
        <v>337</v>
      </c>
      <c r="D2623" s="5" t="s">
        <v>626</v>
      </c>
      <c r="E2623" s="5" t="s">
        <v>1079</v>
      </c>
      <c r="F2623" s="6" t="s">
        <v>630</v>
      </c>
      <c r="G2623" s="4" t="s">
        <v>2</v>
      </c>
      <c r="H2623" s="25">
        <v>672.27</v>
      </c>
      <c r="I2623" s="8">
        <v>100</v>
      </c>
      <c r="J2623" s="9">
        <v>70</v>
      </c>
      <c r="K2623" s="7">
        <v>-30</v>
      </c>
      <c r="L2623" s="24">
        <f>+Tabla2[[#This Row],[Stock Inventario]]*Tabla2[[#This Row],[Coste LÃ­nea]]</f>
        <v>47058.9</v>
      </c>
      <c r="M2623" s="24">
        <f>+Tabla2[[#This Row],[Variación Stock]]*Tabla2[[#This Row],[Coste LÃ­nea]]</f>
        <v>-20168.099999999999</v>
      </c>
      <c r="N2623" s="22" t="str">
        <f>+IF(Tabla2[[#This Row],[Variación Stock]]&gt;0,"Sobrante",IF(Tabla2[[#This Row],[Variación Stock]]&lt;0,"Faltante","Sin novedad"))</f>
        <v>Faltante</v>
      </c>
    </row>
    <row r="2624" spans="1:14" hidden="1" x14ac:dyDescent="0.25">
      <c r="A2624" s="11">
        <v>46053</v>
      </c>
      <c r="B2624" s="5" t="s">
        <v>394</v>
      </c>
      <c r="C2624" s="3" t="s">
        <v>337</v>
      </c>
      <c r="D2624" s="5" t="s">
        <v>559</v>
      </c>
      <c r="E2624" s="5" t="s">
        <v>1080</v>
      </c>
      <c r="F2624" s="6" t="s">
        <v>572</v>
      </c>
      <c r="G2624" s="4" t="s">
        <v>2</v>
      </c>
      <c r="H2624" s="25">
        <v>39.03</v>
      </c>
      <c r="I2624" s="8">
        <v>244</v>
      </c>
      <c r="J2624" s="9">
        <v>200</v>
      </c>
      <c r="K2624" s="7">
        <v>-44</v>
      </c>
      <c r="L2624" s="24">
        <f>+Tabla2[[#This Row],[Stock Inventario]]*Tabla2[[#This Row],[Coste LÃ­nea]]</f>
        <v>7806</v>
      </c>
      <c r="M2624" s="24">
        <f>+Tabla2[[#This Row],[Variación Stock]]*Tabla2[[#This Row],[Coste LÃ­nea]]</f>
        <v>-1717.3200000000002</v>
      </c>
      <c r="N2624" s="22" t="str">
        <f>+IF(Tabla2[[#This Row],[Variación Stock]]&gt;0,"Sobrante",IF(Tabla2[[#This Row],[Variación Stock]]&lt;0,"Faltante","Sin novedad"))</f>
        <v>Faltante</v>
      </c>
    </row>
    <row r="2625" spans="1:14" hidden="1" x14ac:dyDescent="0.25">
      <c r="A2625" s="11">
        <v>46053</v>
      </c>
      <c r="B2625" s="5" t="s">
        <v>394</v>
      </c>
      <c r="C2625" s="3" t="s">
        <v>337</v>
      </c>
      <c r="D2625" s="5" t="s">
        <v>559</v>
      </c>
      <c r="E2625" s="5" t="s">
        <v>1080</v>
      </c>
      <c r="F2625" s="6" t="s">
        <v>573</v>
      </c>
      <c r="G2625" s="4" t="s">
        <v>2</v>
      </c>
      <c r="H2625" s="25">
        <v>976.55</v>
      </c>
      <c r="I2625" s="8">
        <v>75</v>
      </c>
      <c r="J2625" s="9">
        <v>100</v>
      </c>
      <c r="K2625" s="7">
        <v>25</v>
      </c>
      <c r="L2625" s="24">
        <f>+Tabla2[[#This Row],[Stock Inventario]]*Tabla2[[#This Row],[Coste LÃ­nea]]</f>
        <v>97655</v>
      </c>
      <c r="M2625" s="24">
        <f>+Tabla2[[#This Row],[Variación Stock]]*Tabla2[[#This Row],[Coste LÃ­nea]]</f>
        <v>24413.75</v>
      </c>
      <c r="N2625" s="22" t="str">
        <f>+IF(Tabla2[[#This Row],[Variación Stock]]&gt;0,"Sobrante",IF(Tabla2[[#This Row],[Variación Stock]]&lt;0,"Faltante","Sin novedad"))</f>
        <v>Sobrante</v>
      </c>
    </row>
    <row r="2626" spans="1:14" hidden="1" x14ac:dyDescent="0.25">
      <c r="A2626" s="11">
        <v>46053</v>
      </c>
      <c r="B2626" s="5" t="s">
        <v>394</v>
      </c>
      <c r="C2626" s="3" t="s">
        <v>337</v>
      </c>
      <c r="D2626" s="5" t="s">
        <v>559</v>
      </c>
      <c r="E2626" s="5" t="s">
        <v>1080</v>
      </c>
      <c r="F2626" s="6" t="s">
        <v>574</v>
      </c>
      <c r="G2626" s="4" t="s">
        <v>2</v>
      </c>
      <c r="H2626" s="25">
        <v>385.44</v>
      </c>
      <c r="I2626" s="8">
        <v>125</v>
      </c>
      <c r="J2626" s="9">
        <v>100</v>
      </c>
      <c r="K2626" s="7">
        <v>-25</v>
      </c>
      <c r="L2626" s="24">
        <f>+Tabla2[[#This Row],[Stock Inventario]]*Tabla2[[#This Row],[Coste LÃ­nea]]</f>
        <v>38544</v>
      </c>
      <c r="M2626" s="24">
        <f>+Tabla2[[#This Row],[Variación Stock]]*Tabla2[[#This Row],[Coste LÃ­nea]]</f>
        <v>-9636</v>
      </c>
      <c r="N2626" s="22" t="str">
        <f>+IF(Tabla2[[#This Row],[Variación Stock]]&gt;0,"Sobrante",IF(Tabla2[[#This Row],[Variación Stock]]&lt;0,"Faltante","Sin novedad"))</f>
        <v>Faltante</v>
      </c>
    </row>
    <row r="2627" spans="1:14" hidden="1" x14ac:dyDescent="0.25">
      <c r="A2627" s="11">
        <v>46053</v>
      </c>
      <c r="B2627" s="5" t="s">
        <v>394</v>
      </c>
      <c r="C2627" s="3" t="s">
        <v>337</v>
      </c>
      <c r="D2627" s="5" t="s">
        <v>559</v>
      </c>
      <c r="E2627" s="5" t="s">
        <v>1080</v>
      </c>
      <c r="F2627" s="6" t="s">
        <v>588</v>
      </c>
      <c r="G2627" s="4" t="s">
        <v>2</v>
      </c>
      <c r="H2627" s="25">
        <v>129.59</v>
      </c>
      <c r="I2627" s="8">
        <v>0</v>
      </c>
      <c r="J2627" s="9">
        <v>0</v>
      </c>
      <c r="K2627" s="7">
        <v>0</v>
      </c>
      <c r="L2627" s="24">
        <f>+Tabla2[[#This Row],[Stock Inventario]]*Tabla2[[#This Row],[Coste LÃ­nea]]</f>
        <v>0</v>
      </c>
      <c r="M2627" s="24">
        <f>+Tabla2[[#This Row],[Variación Stock]]*Tabla2[[#This Row],[Coste LÃ­nea]]</f>
        <v>0</v>
      </c>
      <c r="N2627" s="22" t="str">
        <f>+IF(Tabla2[[#This Row],[Variación Stock]]&gt;0,"Sobrante",IF(Tabla2[[#This Row],[Variación Stock]]&lt;0,"Faltante","Sin novedad"))</f>
        <v>Sin novedad</v>
      </c>
    </row>
    <row r="2628" spans="1:14" hidden="1" x14ac:dyDescent="0.25">
      <c r="A2628" s="11">
        <v>46053</v>
      </c>
      <c r="B2628" s="5" t="s">
        <v>394</v>
      </c>
      <c r="C2628" s="3" t="s">
        <v>337</v>
      </c>
      <c r="D2628" s="5" t="s">
        <v>559</v>
      </c>
      <c r="E2628" s="5" t="s">
        <v>1080</v>
      </c>
      <c r="F2628" s="6" t="s">
        <v>575</v>
      </c>
      <c r="G2628" s="4" t="s">
        <v>2</v>
      </c>
      <c r="H2628" s="25">
        <f>36235.5/50</f>
        <v>724.71</v>
      </c>
      <c r="I2628" s="8">
        <v>89</v>
      </c>
      <c r="J2628" s="9">
        <v>100</v>
      </c>
      <c r="K2628" s="7">
        <v>11</v>
      </c>
      <c r="L2628" s="24">
        <f>+Tabla2[[#This Row],[Stock Inventario]]*Tabla2[[#This Row],[Coste LÃ­nea]]</f>
        <v>72471</v>
      </c>
      <c r="M2628" s="24">
        <f>+Tabla2[[#This Row],[Variación Stock]]*Tabla2[[#This Row],[Coste LÃ­nea]]</f>
        <v>7971.81</v>
      </c>
      <c r="N2628" s="22" t="str">
        <f>+IF(Tabla2[[#This Row],[Variación Stock]]&gt;0,"Sobrante",IF(Tabla2[[#This Row],[Variación Stock]]&lt;0,"Faltante","Sin novedad"))</f>
        <v>Sobrante</v>
      </c>
    </row>
    <row r="2629" spans="1:14" hidden="1" x14ac:dyDescent="0.25">
      <c r="A2629" s="11">
        <v>46053</v>
      </c>
      <c r="B2629" s="5" t="s">
        <v>394</v>
      </c>
      <c r="C2629" s="3" t="s">
        <v>337</v>
      </c>
      <c r="D2629" s="5" t="s">
        <v>626</v>
      </c>
      <c r="E2629" s="5" t="s">
        <v>1079</v>
      </c>
      <c r="F2629" s="6" t="s">
        <v>631</v>
      </c>
      <c r="G2629" s="4" t="s">
        <v>2</v>
      </c>
      <c r="H2629" s="25">
        <v>877</v>
      </c>
      <c r="I2629" s="8">
        <v>0</v>
      </c>
      <c r="J2629" s="9">
        <v>0</v>
      </c>
      <c r="K2629" s="7">
        <v>0</v>
      </c>
      <c r="L2629" s="24">
        <f>+Tabla2[[#This Row],[Stock Inventario]]*Tabla2[[#This Row],[Coste LÃ­nea]]</f>
        <v>0</v>
      </c>
      <c r="M2629" s="24">
        <f>+Tabla2[[#This Row],[Variación Stock]]*Tabla2[[#This Row],[Coste LÃ­nea]]</f>
        <v>0</v>
      </c>
      <c r="N2629" s="22" t="str">
        <f>+IF(Tabla2[[#This Row],[Variación Stock]]&gt;0,"Sobrante",IF(Tabla2[[#This Row],[Variación Stock]]&lt;0,"Faltante","Sin novedad"))</f>
        <v>Sin novedad</v>
      </c>
    </row>
    <row r="2630" spans="1:14" hidden="1" x14ac:dyDescent="0.25">
      <c r="A2630" s="11">
        <v>46053</v>
      </c>
      <c r="B2630" s="5" t="s">
        <v>394</v>
      </c>
      <c r="C2630" s="3" t="s">
        <v>337</v>
      </c>
      <c r="D2630" s="5" t="s">
        <v>559</v>
      </c>
      <c r="E2630" s="5" t="s">
        <v>1080</v>
      </c>
      <c r="F2630" s="6" t="s">
        <v>584</v>
      </c>
      <c r="G2630" s="4" t="s">
        <v>2</v>
      </c>
      <c r="H2630" s="25">
        <v>22</v>
      </c>
      <c r="I2630" s="8">
        <v>0</v>
      </c>
      <c r="J2630" s="9">
        <v>0</v>
      </c>
      <c r="K2630" s="7">
        <v>0</v>
      </c>
      <c r="L2630" s="24">
        <f>+Tabla2[[#This Row],[Stock Inventario]]*Tabla2[[#This Row],[Coste LÃ­nea]]</f>
        <v>0</v>
      </c>
      <c r="M2630" s="24">
        <f>+Tabla2[[#This Row],[Variación Stock]]*Tabla2[[#This Row],[Coste LÃ­nea]]</f>
        <v>0</v>
      </c>
      <c r="N2630" s="22" t="str">
        <f>+IF(Tabla2[[#This Row],[Variación Stock]]&gt;0,"Sobrante",IF(Tabla2[[#This Row],[Variación Stock]]&lt;0,"Faltante","Sin novedad"))</f>
        <v>Sin novedad</v>
      </c>
    </row>
    <row r="2631" spans="1:14" hidden="1" x14ac:dyDescent="0.25">
      <c r="A2631" s="11">
        <v>46053</v>
      </c>
      <c r="B2631" s="5" t="s">
        <v>394</v>
      </c>
      <c r="C2631" s="3" t="s">
        <v>337</v>
      </c>
      <c r="D2631" s="5" t="s">
        <v>626</v>
      </c>
      <c r="E2631" s="5" t="s">
        <v>1079</v>
      </c>
      <c r="F2631" s="6" t="s">
        <v>632</v>
      </c>
      <c r="G2631" s="4" t="s">
        <v>2</v>
      </c>
      <c r="H2631" s="25">
        <v>17</v>
      </c>
      <c r="I2631" s="8">
        <v>10</v>
      </c>
      <c r="J2631" s="9">
        <v>0</v>
      </c>
      <c r="K2631" s="7">
        <v>-10</v>
      </c>
      <c r="L2631" s="24">
        <f>+Tabla2[[#This Row],[Stock Inventario]]*Tabla2[[#This Row],[Coste LÃ­nea]]</f>
        <v>0</v>
      </c>
      <c r="M2631" s="24">
        <f>+Tabla2[[#This Row],[Variación Stock]]*Tabla2[[#This Row],[Coste LÃ­nea]]</f>
        <v>-170</v>
      </c>
      <c r="N2631" s="22" t="str">
        <f>+IF(Tabla2[[#This Row],[Variación Stock]]&gt;0,"Sobrante",IF(Tabla2[[#This Row],[Variación Stock]]&lt;0,"Faltante","Sin novedad"))</f>
        <v>Faltante</v>
      </c>
    </row>
    <row r="2632" spans="1:14" hidden="1" x14ac:dyDescent="0.25">
      <c r="A2632" s="11">
        <v>46053</v>
      </c>
      <c r="B2632" s="5" t="s">
        <v>394</v>
      </c>
      <c r="C2632" s="3" t="s">
        <v>337</v>
      </c>
      <c r="D2632" s="5" t="s">
        <v>559</v>
      </c>
      <c r="E2632" s="5" t="s">
        <v>1080</v>
      </c>
      <c r="F2632" s="6" t="s">
        <v>585</v>
      </c>
      <c r="G2632" s="4" t="s">
        <v>2</v>
      </c>
      <c r="H2632" s="25">
        <v>22</v>
      </c>
      <c r="I2632" s="8">
        <v>0</v>
      </c>
      <c r="J2632" s="9">
        <v>0</v>
      </c>
      <c r="K2632" s="7">
        <v>0</v>
      </c>
      <c r="L2632" s="24">
        <f>+Tabla2[[#This Row],[Stock Inventario]]*Tabla2[[#This Row],[Coste LÃ­nea]]</f>
        <v>0</v>
      </c>
      <c r="M2632" s="24">
        <f>+Tabla2[[#This Row],[Variación Stock]]*Tabla2[[#This Row],[Coste LÃ­nea]]</f>
        <v>0</v>
      </c>
      <c r="N2632" s="22" t="str">
        <f>+IF(Tabla2[[#This Row],[Variación Stock]]&gt;0,"Sobrante",IF(Tabla2[[#This Row],[Variación Stock]]&lt;0,"Faltante","Sin novedad"))</f>
        <v>Sin novedad</v>
      </c>
    </row>
    <row r="2633" spans="1:14" hidden="1" x14ac:dyDescent="0.25">
      <c r="A2633" s="11">
        <v>46053</v>
      </c>
      <c r="B2633" s="5" t="s">
        <v>394</v>
      </c>
      <c r="C2633" s="3" t="s">
        <v>337</v>
      </c>
      <c r="D2633" s="5" t="s">
        <v>559</v>
      </c>
      <c r="E2633" s="5" t="s">
        <v>1080</v>
      </c>
      <c r="F2633" s="6" t="s">
        <v>565</v>
      </c>
      <c r="G2633" s="4" t="s">
        <v>2</v>
      </c>
      <c r="H2633" s="25">
        <v>302</v>
      </c>
      <c r="I2633" s="8">
        <v>0</v>
      </c>
      <c r="J2633" s="9">
        <v>0</v>
      </c>
      <c r="K2633" s="7">
        <v>0</v>
      </c>
      <c r="L2633" s="24">
        <f>+Tabla2[[#This Row],[Stock Inventario]]*Tabla2[[#This Row],[Coste LÃ­nea]]</f>
        <v>0</v>
      </c>
      <c r="M2633" s="24">
        <f>+Tabla2[[#This Row],[Variación Stock]]*Tabla2[[#This Row],[Coste LÃ­nea]]</f>
        <v>0</v>
      </c>
      <c r="N2633" s="22" t="str">
        <f>+IF(Tabla2[[#This Row],[Variación Stock]]&gt;0,"Sobrante",IF(Tabla2[[#This Row],[Variación Stock]]&lt;0,"Faltante","Sin novedad"))</f>
        <v>Sin novedad</v>
      </c>
    </row>
    <row r="2634" spans="1:14" hidden="1" x14ac:dyDescent="0.25">
      <c r="A2634" s="11">
        <v>46053</v>
      </c>
      <c r="B2634" s="5" t="s">
        <v>394</v>
      </c>
      <c r="C2634" s="3" t="s">
        <v>337</v>
      </c>
      <c r="D2634" s="5" t="s">
        <v>559</v>
      </c>
      <c r="E2634" s="5" t="s">
        <v>1080</v>
      </c>
      <c r="F2634" s="6" t="s">
        <v>561</v>
      </c>
      <c r="G2634" s="4" t="s">
        <v>2</v>
      </c>
      <c r="H2634" s="25">
        <v>302</v>
      </c>
      <c r="I2634" s="8">
        <v>0</v>
      </c>
      <c r="J2634" s="9">
        <v>0</v>
      </c>
      <c r="K2634" s="7">
        <v>0</v>
      </c>
      <c r="L2634" s="24">
        <f>+Tabla2[[#This Row],[Stock Inventario]]*Tabla2[[#This Row],[Coste LÃ­nea]]</f>
        <v>0</v>
      </c>
      <c r="M2634" s="24">
        <f>+Tabla2[[#This Row],[Variación Stock]]*Tabla2[[#This Row],[Coste LÃ­nea]]</f>
        <v>0</v>
      </c>
      <c r="N2634" s="22" t="str">
        <f>+IF(Tabla2[[#This Row],[Variación Stock]]&gt;0,"Sobrante",IF(Tabla2[[#This Row],[Variación Stock]]&lt;0,"Faltante","Sin novedad"))</f>
        <v>Sin novedad</v>
      </c>
    </row>
    <row r="2635" spans="1:14" hidden="1" x14ac:dyDescent="0.25">
      <c r="A2635" s="11">
        <v>46053</v>
      </c>
      <c r="B2635" s="5" t="s">
        <v>394</v>
      </c>
      <c r="C2635" s="3" t="s">
        <v>337</v>
      </c>
      <c r="D2635" s="5" t="s">
        <v>626</v>
      </c>
      <c r="E2635" s="5" t="s">
        <v>1079</v>
      </c>
      <c r="F2635" s="6" t="s">
        <v>629</v>
      </c>
      <c r="G2635" s="4" t="s">
        <v>2</v>
      </c>
      <c r="H2635" s="25">
        <v>1300</v>
      </c>
      <c r="I2635" s="8">
        <v>0</v>
      </c>
      <c r="J2635" s="9">
        <v>0</v>
      </c>
      <c r="K2635" s="7">
        <v>0</v>
      </c>
      <c r="L2635" s="24">
        <f>+Tabla2[[#This Row],[Stock Inventario]]*Tabla2[[#This Row],[Coste LÃ­nea]]</f>
        <v>0</v>
      </c>
      <c r="M2635" s="24">
        <f>+Tabla2[[#This Row],[Variación Stock]]*Tabla2[[#This Row],[Coste LÃ­nea]]</f>
        <v>0</v>
      </c>
      <c r="N2635" s="22" t="str">
        <f>+IF(Tabla2[[#This Row],[Variación Stock]]&gt;0,"Sobrante",IF(Tabla2[[#This Row],[Variación Stock]]&lt;0,"Faltante","Sin novedad"))</f>
        <v>Sin novedad</v>
      </c>
    </row>
    <row r="2636" spans="1:14" hidden="1" x14ac:dyDescent="0.25">
      <c r="A2636" s="11">
        <v>46053</v>
      </c>
      <c r="B2636" s="5" t="s">
        <v>394</v>
      </c>
      <c r="C2636" s="3" t="s">
        <v>337</v>
      </c>
      <c r="D2636" s="5" t="s">
        <v>559</v>
      </c>
      <c r="E2636" s="5" t="s">
        <v>1080</v>
      </c>
      <c r="F2636" s="6" t="s">
        <v>586</v>
      </c>
      <c r="G2636" s="4" t="s">
        <v>2</v>
      </c>
      <c r="H2636" s="25">
        <v>11</v>
      </c>
      <c r="I2636" s="8">
        <v>1310</v>
      </c>
      <c r="J2636" s="9">
        <v>2</v>
      </c>
      <c r="K2636" s="7">
        <v>-1308</v>
      </c>
      <c r="L2636" s="24">
        <f>+Tabla2[[#This Row],[Stock Inventario]]*Tabla2[[#This Row],[Coste LÃ­nea]]</f>
        <v>22</v>
      </c>
      <c r="M2636" s="24">
        <f>+Tabla2[[#This Row],[Variación Stock]]*Tabla2[[#This Row],[Coste LÃ­nea]]</f>
        <v>-14388</v>
      </c>
      <c r="N2636" s="22" t="str">
        <f>+IF(Tabla2[[#This Row],[Variación Stock]]&gt;0,"Sobrante",IF(Tabla2[[#This Row],[Variación Stock]]&lt;0,"Faltante","Sin novedad"))</f>
        <v>Faltante</v>
      </c>
    </row>
    <row r="2637" spans="1:14" hidden="1" x14ac:dyDescent="0.25">
      <c r="A2637" s="11">
        <v>46053</v>
      </c>
      <c r="B2637" s="5" t="s">
        <v>394</v>
      </c>
      <c r="C2637" s="3" t="s">
        <v>337</v>
      </c>
      <c r="D2637" s="5" t="s">
        <v>559</v>
      </c>
      <c r="E2637" s="5" t="s">
        <v>1080</v>
      </c>
      <c r="F2637" s="6" t="s">
        <v>566</v>
      </c>
      <c r="G2637" s="4" t="s">
        <v>2</v>
      </c>
      <c r="H2637" s="25">
        <v>25</v>
      </c>
      <c r="I2637" s="8">
        <v>808</v>
      </c>
      <c r="J2637" s="9">
        <v>3</v>
      </c>
      <c r="K2637" s="7">
        <v>-805</v>
      </c>
      <c r="L2637" s="24">
        <f>+Tabla2[[#This Row],[Stock Inventario]]*Tabla2[[#This Row],[Coste LÃ­nea]]</f>
        <v>75</v>
      </c>
      <c r="M2637" s="24">
        <f>+Tabla2[[#This Row],[Variación Stock]]*Tabla2[[#This Row],[Coste LÃ­nea]]</f>
        <v>-20125</v>
      </c>
      <c r="N2637" s="22" t="str">
        <f>+IF(Tabla2[[#This Row],[Variación Stock]]&gt;0,"Sobrante",IF(Tabla2[[#This Row],[Variación Stock]]&lt;0,"Faltante","Sin novedad"))</f>
        <v>Faltante</v>
      </c>
    </row>
    <row r="2638" spans="1:14" hidden="1" x14ac:dyDescent="0.25">
      <c r="A2638" s="11">
        <v>46053</v>
      </c>
      <c r="B2638" s="5" t="s">
        <v>394</v>
      </c>
      <c r="C2638" s="3" t="s">
        <v>337</v>
      </c>
      <c r="D2638" s="5" t="s">
        <v>626</v>
      </c>
      <c r="E2638" s="5" t="s">
        <v>1079</v>
      </c>
      <c r="F2638" s="6" t="s">
        <v>633</v>
      </c>
      <c r="G2638" s="4" t="s">
        <v>2</v>
      </c>
      <c r="H2638" s="25">
        <v>714.29</v>
      </c>
      <c r="I2638" s="8">
        <v>150</v>
      </c>
      <c r="J2638" s="9">
        <v>80</v>
      </c>
      <c r="K2638" s="7">
        <v>-70</v>
      </c>
      <c r="L2638" s="24">
        <f>+Tabla2[[#This Row],[Stock Inventario]]*Tabla2[[#This Row],[Coste LÃ­nea]]</f>
        <v>57143.199999999997</v>
      </c>
      <c r="M2638" s="24">
        <f>+Tabla2[[#This Row],[Variación Stock]]*Tabla2[[#This Row],[Coste LÃ­nea]]</f>
        <v>-50000.299999999996</v>
      </c>
      <c r="N2638" s="22" t="str">
        <f>+IF(Tabla2[[#This Row],[Variación Stock]]&gt;0,"Sobrante",IF(Tabla2[[#This Row],[Variación Stock]]&lt;0,"Faltante","Sin novedad"))</f>
        <v>Faltante</v>
      </c>
    </row>
    <row r="2639" spans="1:14" hidden="1" x14ac:dyDescent="0.25">
      <c r="A2639" s="11">
        <v>46053</v>
      </c>
      <c r="B2639" s="5" t="s">
        <v>394</v>
      </c>
      <c r="C2639" s="3" t="s">
        <v>337</v>
      </c>
      <c r="D2639" s="5" t="s">
        <v>559</v>
      </c>
      <c r="E2639" s="5" t="s">
        <v>1080</v>
      </c>
      <c r="F2639" s="6" t="s">
        <v>589</v>
      </c>
      <c r="G2639" s="4" t="s">
        <v>2</v>
      </c>
      <c r="H2639" s="25">
        <v>348.29199999999997</v>
      </c>
      <c r="I2639" s="8">
        <v>0</v>
      </c>
      <c r="J2639" s="9">
        <v>0</v>
      </c>
      <c r="K2639" s="7">
        <v>0</v>
      </c>
      <c r="L2639" s="24">
        <f>+Tabla2[[#This Row],[Stock Inventario]]*Tabla2[[#This Row],[Coste LÃ­nea]]</f>
        <v>0</v>
      </c>
      <c r="M2639" s="24">
        <f>+Tabla2[[#This Row],[Variación Stock]]*Tabla2[[#This Row],[Coste LÃ­nea]]</f>
        <v>0</v>
      </c>
      <c r="N2639" s="22" t="str">
        <f>+IF(Tabla2[[#This Row],[Variación Stock]]&gt;0,"Sobrante",IF(Tabla2[[#This Row],[Variación Stock]]&lt;0,"Faltante","Sin novedad"))</f>
        <v>Sin novedad</v>
      </c>
    </row>
    <row r="2640" spans="1:14" x14ac:dyDescent="0.25">
      <c r="A2640" s="11">
        <v>46053</v>
      </c>
      <c r="B2640" s="5" t="s">
        <v>394</v>
      </c>
      <c r="C2640" s="3" t="s">
        <v>337</v>
      </c>
      <c r="D2640" s="5" t="s">
        <v>111</v>
      </c>
      <c r="E2640" s="5" t="s">
        <v>112</v>
      </c>
      <c r="F2640" s="6" t="s">
        <v>140</v>
      </c>
      <c r="G2640" s="4" t="s">
        <v>0</v>
      </c>
      <c r="H2640" s="25">
        <v>5958.3333333299997</v>
      </c>
      <c r="I2640" s="8">
        <v>0</v>
      </c>
      <c r="J2640" s="9">
        <v>0</v>
      </c>
      <c r="K2640" s="7">
        <v>0</v>
      </c>
      <c r="L2640" s="24">
        <f>+Tabla2[[#This Row],[Stock Inventario]]*Tabla2[[#This Row],[Coste LÃ­nea]]</f>
        <v>0</v>
      </c>
      <c r="M2640" s="24">
        <f>+Tabla2[[#This Row],[Variación Stock]]*Tabla2[[#This Row],[Coste LÃ­nea]]</f>
        <v>0</v>
      </c>
      <c r="N2640" s="22" t="str">
        <f>+IF(Tabla2[[#This Row],[Variación Stock]]&gt;0,"Sobrante",IF(Tabla2[[#This Row],[Variación Stock]]&lt;0,"Faltante","Sin novedad"))</f>
        <v>Sin novedad</v>
      </c>
    </row>
    <row r="2641" spans="1:14" hidden="1" x14ac:dyDescent="0.25">
      <c r="A2641" s="11">
        <v>46053</v>
      </c>
      <c r="B2641" s="5" t="s">
        <v>394</v>
      </c>
      <c r="C2641" s="3" t="s">
        <v>337</v>
      </c>
      <c r="D2641" s="5" t="s">
        <v>471</v>
      </c>
      <c r="E2641" s="5" t="s">
        <v>117</v>
      </c>
      <c r="F2641" s="6" t="s">
        <v>473</v>
      </c>
      <c r="G2641" s="4" t="s">
        <v>1</v>
      </c>
      <c r="H2641" s="25">
        <v>350</v>
      </c>
      <c r="I2641" s="8">
        <v>-12</v>
      </c>
      <c r="J2641" s="9">
        <v>0</v>
      </c>
      <c r="K2641" s="7">
        <v>12</v>
      </c>
      <c r="L2641" s="24">
        <f>+Tabla2[[#This Row],[Stock Inventario]]*Tabla2[[#This Row],[Coste LÃ­nea]]</f>
        <v>0</v>
      </c>
      <c r="M2641" s="24">
        <f>+Tabla2[[#This Row],[Variación Stock]]*Tabla2[[#This Row],[Coste LÃ­nea]]</f>
        <v>4200</v>
      </c>
      <c r="N2641" s="22" t="str">
        <f>+IF(Tabla2[[#This Row],[Variación Stock]]&gt;0,"Sobrante",IF(Tabla2[[#This Row],[Variación Stock]]&lt;0,"Faltante","Sin novedad"))</f>
        <v>Sobrante</v>
      </c>
    </row>
    <row r="2642" spans="1:14" hidden="1" x14ac:dyDescent="0.25">
      <c r="A2642" s="11">
        <v>46053</v>
      </c>
      <c r="B2642" s="5" t="s">
        <v>394</v>
      </c>
      <c r="C2642" s="3" t="s">
        <v>337</v>
      </c>
      <c r="D2642" s="5" t="s">
        <v>626</v>
      </c>
      <c r="E2642" s="5" t="s">
        <v>1079</v>
      </c>
      <c r="F2642" s="6" t="s">
        <v>640</v>
      </c>
      <c r="G2642" s="4" t="s">
        <v>1</v>
      </c>
      <c r="H2642" s="25">
        <v>25.0914</v>
      </c>
      <c r="I2642" s="8">
        <v>5000</v>
      </c>
      <c r="J2642" s="9">
        <v>5000</v>
      </c>
      <c r="K2642" s="7">
        <v>0</v>
      </c>
      <c r="L2642" s="24">
        <f>+Tabla2[[#This Row],[Stock Inventario]]*Tabla2[[#This Row],[Coste LÃ­nea]]</f>
        <v>125457</v>
      </c>
      <c r="M2642" s="24">
        <f>+Tabla2[[#This Row],[Variación Stock]]*Tabla2[[#This Row],[Coste LÃ­nea]]</f>
        <v>0</v>
      </c>
      <c r="N2642" s="22" t="str">
        <f>+IF(Tabla2[[#This Row],[Variación Stock]]&gt;0,"Sobrante",IF(Tabla2[[#This Row],[Variación Stock]]&lt;0,"Faltante","Sin novedad"))</f>
        <v>Sin novedad</v>
      </c>
    </row>
    <row r="2643" spans="1:14" x14ac:dyDescent="0.25">
      <c r="A2643" s="11">
        <v>46053</v>
      </c>
      <c r="B2643" s="5" t="s">
        <v>394</v>
      </c>
      <c r="C2643" s="3" t="s">
        <v>337</v>
      </c>
      <c r="D2643" s="5" t="s">
        <v>114</v>
      </c>
      <c r="E2643" s="5" t="s">
        <v>112</v>
      </c>
      <c r="F2643" s="6" t="s">
        <v>373</v>
      </c>
      <c r="G2643" s="4" t="s">
        <v>2</v>
      </c>
      <c r="H2643" s="25">
        <v>2120.83</v>
      </c>
      <c r="I2643" s="8">
        <v>0</v>
      </c>
      <c r="J2643" s="9">
        <v>0</v>
      </c>
      <c r="K2643" s="7">
        <v>0</v>
      </c>
      <c r="L2643" s="24">
        <f>+Tabla2[[#This Row],[Stock Inventario]]*Tabla2[[#This Row],[Coste LÃ­nea]]</f>
        <v>0</v>
      </c>
      <c r="M2643" s="24">
        <f>+Tabla2[[#This Row],[Variación Stock]]*Tabla2[[#This Row],[Coste LÃ­nea]]</f>
        <v>0</v>
      </c>
      <c r="N2643" s="22" t="str">
        <f>+IF(Tabla2[[#This Row],[Variación Stock]]&gt;0,"Sobrante",IF(Tabla2[[#This Row],[Variación Stock]]&lt;0,"Faltante","Sin novedad"))</f>
        <v>Sin novedad</v>
      </c>
    </row>
    <row r="2644" spans="1:14" hidden="1" x14ac:dyDescent="0.25">
      <c r="A2644" s="11">
        <v>46053</v>
      </c>
      <c r="B2644" s="5" t="s">
        <v>394</v>
      </c>
      <c r="C2644" s="3" t="s">
        <v>337</v>
      </c>
      <c r="D2644" s="5" t="s">
        <v>471</v>
      </c>
      <c r="E2644" s="5" t="s">
        <v>117</v>
      </c>
      <c r="F2644" s="6" t="s">
        <v>474</v>
      </c>
      <c r="G2644" s="4" t="s">
        <v>1</v>
      </c>
      <c r="H2644" s="25">
        <v>5</v>
      </c>
      <c r="I2644" s="8">
        <v>-11112.6829</v>
      </c>
      <c r="J2644" s="9">
        <v>868</v>
      </c>
      <c r="K2644" s="7">
        <v>10380.682919999999</v>
      </c>
      <c r="L2644" s="24">
        <f>+Tabla2[[#This Row],[Stock Inventario]]*Tabla2[[#This Row],[Coste LÃ­nea]]</f>
        <v>4340</v>
      </c>
      <c r="M2644" s="24">
        <f>+Tabla2[[#This Row],[Variación Stock]]*Tabla2[[#This Row],[Coste LÃ­nea]]</f>
        <v>51903.414599999996</v>
      </c>
      <c r="N2644" s="22" t="str">
        <f>+IF(Tabla2[[#This Row],[Variación Stock]]&gt;0,"Sobrante",IF(Tabla2[[#This Row],[Variación Stock]]&lt;0,"Faltante","Sin novedad"))</f>
        <v>Sobrante</v>
      </c>
    </row>
    <row r="2645" spans="1:14" hidden="1" x14ac:dyDescent="0.25">
      <c r="A2645" s="11">
        <v>46053</v>
      </c>
      <c r="B2645" s="5" t="s">
        <v>394</v>
      </c>
      <c r="C2645" s="3" t="s">
        <v>337</v>
      </c>
      <c r="D2645" s="5" t="s">
        <v>471</v>
      </c>
      <c r="E2645" s="5" t="s">
        <v>117</v>
      </c>
      <c r="F2645" s="6" t="s">
        <v>540</v>
      </c>
      <c r="G2645" s="4" t="s">
        <v>1</v>
      </c>
      <c r="H2645" s="25">
        <v>310</v>
      </c>
      <c r="I2645" s="8">
        <v>564.55550000000005</v>
      </c>
      <c r="J2645" s="9">
        <v>150</v>
      </c>
      <c r="K2645" s="7">
        <v>-714.55554719999998</v>
      </c>
      <c r="L2645" s="24">
        <f>+Tabla2[[#This Row],[Stock Inventario]]*Tabla2[[#This Row],[Coste LÃ­nea]]</f>
        <v>46500</v>
      </c>
      <c r="M2645" s="24">
        <f>+Tabla2[[#This Row],[Variación Stock]]*Tabla2[[#This Row],[Coste LÃ­nea]]</f>
        <v>-221512.21963199999</v>
      </c>
      <c r="N2645" s="22" t="str">
        <f>+IF(Tabla2[[#This Row],[Variación Stock]]&gt;0,"Sobrante",IF(Tabla2[[#This Row],[Variación Stock]]&lt;0,"Faltante","Sin novedad"))</f>
        <v>Faltante</v>
      </c>
    </row>
    <row r="2646" spans="1:14" x14ac:dyDescent="0.25">
      <c r="A2646" s="11">
        <v>46053</v>
      </c>
      <c r="B2646" s="5" t="s">
        <v>394</v>
      </c>
      <c r="C2646" s="3" t="s">
        <v>337</v>
      </c>
      <c r="D2646" s="5" t="s">
        <v>111</v>
      </c>
      <c r="E2646" s="5" t="s">
        <v>112</v>
      </c>
      <c r="F2646" s="6" t="s">
        <v>17</v>
      </c>
      <c r="G2646" s="4" t="s">
        <v>0</v>
      </c>
      <c r="H2646" s="25">
        <v>14896.95833333</v>
      </c>
      <c r="I2646" s="8">
        <v>9</v>
      </c>
      <c r="J2646" s="9">
        <v>9</v>
      </c>
      <c r="K2646" s="7">
        <v>0</v>
      </c>
      <c r="L2646" s="24">
        <f>+Tabla2[[#This Row],[Stock Inventario]]*Tabla2[[#This Row],[Coste LÃ­nea]]</f>
        <v>134072.62499996999</v>
      </c>
      <c r="M2646" s="24">
        <f>+Tabla2[[#This Row],[Variación Stock]]*Tabla2[[#This Row],[Coste LÃ­nea]]</f>
        <v>0</v>
      </c>
      <c r="N2646" s="22" t="str">
        <f>+IF(Tabla2[[#This Row],[Variación Stock]]&gt;0,"Sobrante",IF(Tabla2[[#This Row],[Variación Stock]]&lt;0,"Faltante","Sin novedad"))</f>
        <v>Sin novedad</v>
      </c>
    </row>
    <row r="2647" spans="1:14" x14ac:dyDescent="0.25">
      <c r="A2647" s="11">
        <v>46053</v>
      </c>
      <c r="B2647" s="5" t="s">
        <v>394</v>
      </c>
      <c r="C2647" s="3" t="s">
        <v>337</v>
      </c>
      <c r="D2647" s="5" t="s">
        <v>111</v>
      </c>
      <c r="E2647" s="5" t="s">
        <v>112</v>
      </c>
      <c r="F2647" s="6" t="s">
        <v>18</v>
      </c>
      <c r="G2647" s="4" t="s">
        <v>2</v>
      </c>
      <c r="H2647" s="25">
        <v>95560</v>
      </c>
      <c r="I2647" s="8">
        <v>1</v>
      </c>
      <c r="J2647" s="9">
        <v>1</v>
      </c>
      <c r="K2647" s="7">
        <v>0</v>
      </c>
      <c r="L2647" s="24">
        <f>+Tabla2[[#This Row],[Stock Inventario]]*Tabla2[[#This Row],[Coste LÃ­nea]]</f>
        <v>95560</v>
      </c>
      <c r="M2647" s="24">
        <f>+Tabla2[[#This Row],[Variación Stock]]*Tabla2[[#This Row],[Coste LÃ­nea]]</f>
        <v>0</v>
      </c>
      <c r="N2647" s="22" t="str">
        <f>+IF(Tabla2[[#This Row],[Variación Stock]]&gt;0,"Sobrante",IF(Tabla2[[#This Row],[Variación Stock]]&lt;0,"Faltante","Sin novedad"))</f>
        <v>Sin novedad</v>
      </c>
    </row>
    <row r="2648" spans="1:14" x14ac:dyDescent="0.25">
      <c r="A2648" s="11">
        <v>46053</v>
      </c>
      <c r="B2648" s="5" t="s">
        <v>394</v>
      </c>
      <c r="C2648" s="3" t="s">
        <v>337</v>
      </c>
      <c r="D2648" s="5" t="s">
        <v>111</v>
      </c>
      <c r="E2648" s="5" t="s">
        <v>112</v>
      </c>
      <c r="F2648" s="6" t="s">
        <v>19</v>
      </c>
      <c r="G2648" s="4" t="s">
        <v>0</v>
      </c>
      <c r="H2648" s="25">
        <v>6746.25</v>
      </c>
      <c r="I2648" s="8">
        <v>61</v>
      </c>
      <c r="J2648" s="9">
        <v>61</v>
      </c>
      <c r="K2648" s="7">
        <v>0</v>
      </c>
      <c r="L2648" s="24">
        <f>+Tabla2[[#This Row],[Stock Inventario]]*Tabla2[[#This Row],[Coste LÃ­nea]]</f>
        <v>411521.25</v>
      </c>
      <c r="M2648" s="24">
        <f>+Tabla2[[#This Row],[Variación Stock]]*Tabla2[[#This Row],[Coste LÃ­nea]]</f>
        <v>0</v>
      </c>
      <c r="N2648" s="22" t="str">
        <f>+IF(Tabla2[[#This Row],[Variación Stock]]&gt;0,"Sobrante",IF(Tabla2[[#This Row],[Variación Stock]]&lt;0,"Faltante","Sin novedad"))</f>
        <v>Sin novedad</v>
      </c>
    </row>
    <row r="2649" spans="1:14" x14ac:dyDescent="0.25">
      <c r="A2649" s="11">
        <v>46053</v>
      </c>
      <c r="B2649" s="5" t="s">
        <v>394</v>
      </c>
      <c r="C2649" s="3" t="s">
        <v>337</v>
      </c>
      <c r="D2649" s="5" t="s">
        <v>111</v>
      </c>
      <c r="E2649" s="5" t="s">
        <v>112</v>
      </c>
      <c r="F2649" s="6" t="s">
        <v>131</v>
      </c>
      <c r="G2649" s="4" t="s">
        <v>0</v>
      </c>
      <c r="H2649" s="25">
        <v>7147.1666666700003</v>
      </c>
      <c r="I2649" s="8">
        <v>0</v>
      </c>
      <c r="J2649" s="9">
        <v>0</v>
      </c>
      <c r="K2649" s="7">
        <v>0</v>
      </c>
      <c r="L2649" s="24">
        <f>+Tabla2[[#This Row],[Stock Inventario]]*Tabla2[[#This Row],[Coste LÃ­nea]]</f>
        <v>0</v>
      </c>
      <c r="M2649" s="24">
        <f>+Tabla2[[#This Row],[Variación Stock]]*Tabla2[[#This Row],[Coste LÃ­nea]]</f>
        <v>0</v>
      </c>
      <c r="N2649" s="22" t="str">
        <f>+IF(Tabla2[[#This Row],[Variación Stock]]&gt;0,"Sobrante",IF(Tabla2[[#This Row],[Variación Stock]]&lt;0,"Faltante","Sin novedad"))</f>
        <v>Sin novedad</v>
      </c>
    </row>
    <row r="2650" spans="1:14" x14ac:dyDescent="0.25">
      <c r="A2650" s="11">
        <v>46053</v>
      </c>
      <c r="B2650" s="5" t="s">
        <v>394</v>
      </c>
      <c r="C2650" s="3" t="s">
        <v>337</v>
      </c>
      <c r="D2650" s="5" t="s">
        <v>111</v>
      </c>
      <c r="E2650" s="5" t="s">
        <v>112</v>
      </c>
      <c r="F2650" s="6" t="s">
        <v>138</v>
      </c>
      <c r="G2650" s="4" t="s">
        <v>0</v>
      </c>
      <c r="H2650" s="25">
        <v>4504.1666666700003</v>
      </c>
      <c r="I2650" s="8">
        <v>0</v>
      </c>
      <c r="J2650" s="9">
        <v>0</v>
      </c>
      <c r="K2650" s="7">
        <v>0</v>
      </c>
      <c r="L2650" s="24">
        <f>+Tabla2[[#This Row],[Stock Inventario]]*Tabla2[[#This Row],[Coste LÃ­nea]]</f>
        <v>0</v>
      </c>
      <c r="M2650" s="24">
        <f>+Tabla2[[#This Row],[Variación Stock]]*Tabla2[[#This Row],[Coste LÃ­nea]]</f>
        <v>0</v>
      </c>
      <c r="N2650" s="22" t="str">
        <f>+IF(Tabla2[[#This Row],[Variación Stock]]&gt;0,"Sobrante",IF(Tabla2[[#This Row],[Variación Stock]]&lt;0,"Faltante","Sin novedad"))</f>
        <v>Sin novedad</v>
      </c>
    </row>
    <row r="2651" spans="1:14" x14ac:dyDescent="0.25">
      <c r="A2651" s="11">
        <v>46053</v>
      </c>
      <c r="B2651" s="5" t="s">
        <v>394</v>
      </c>
      <c r="C2651" s="3" t="s">
        <v>337</v>
      </c>
      <c r="D2651" s="5" t="s">
        <v>111</v>
      </c>
      <c r="E2651" s="5" t="s">
        <v>112</v>
      </c>
      <c r="F2651" s="6" t="s">
        <v>20</v>
      </c>
      <c r="G2651" s="4" t="s">
        <v>0</v>
      </c>
      <c r="H2651" s="25">
        <v>7461.7272727299996</v>
      </c>
      <c r="I2651" s="8">
        <v>17.670000000000002</v>
      </c>
      <c r="J2651" s="9">
        <v>17</v>
      </c>
      <c r="K2651" s="7">
        <v>-0.67</v>
      </c>
      <c r="L2651" s="24">
        <f>+Tabla2[[#This Row],[Stock Inventario]]*Tabla2[[#This Row],[Coste LÃ­nea]]</f>
        <v>126849.36363640999</v>
      </c>
      <c r="M2651" s="24">
        <f>+Tabla2[[#This Row],[Variación Stock]]*Tabla2[[#This Row],[Coste LÃ­nea]]</f>
        <v>-4999.3572727291003</v>
      </c>
      <c r="N2651" s="22" t="str">
        <f>+IF(Tabla2[[#This Row],[Variación Stock]]&gt;0,"Sobrante",IF(Tabla2[[#This Row],[Variación Stock]]&lt;0,"Faltante","Sin novedad"))</f>
        <v>Faltante</v>
      </c>
    </row>
    <row r="2652" spans="1:14" hidden="1" x14ac:dyDescent="0.25">
      <c r="A2652" s="11">
        <v>46053</v>
      </c>
      <c r="B2652" s="5" t="s">
        <v>394</v>
      </c>
      <c r="C2652" s="3" t="s">
        <v>337</v>
      </c>
      <c r="D2652" s="5" t="s">
        <v>396</v>
      </c>
      <c r="E2652" s="5" t="s">
        <v>117</v>
      </c>
      <c r="F2652" s="6" t="s">
        <v>397</v>
      </c>
      <c r="G2652" s="4" t="s">
        <v>1</v>
      </c>
      <c r="H2652" s="25">
        <v>150</v>
      </c>
      <c r="I2652" s="8">
        <v>0</v>
      </c>
      <c r="J2652" s="9">
        <v>0</v>
      </c>
      <c r="K2652" s="7">
        <v>0</v>
      </c>
      <c r="L2652" s="24">
        <f>+Tabla2[[#This Row],[Stock Inventario]]*Tabla2[[#This Row],[Coste LÃ­nea]]</f>
        <v>0</v>
      </c>
      <c r="M2652" s="24">
        <f>+Tabla2[[#This Row],[Variación Stock]]*Tabla2[[#This Row],[Coste LÃ­nea]]</f>
        <v>0</v>
      </c>
      <c r="N2652" s="22" t="str">
        <f>+IF(Tabla2[[#This Row],[Variación Stock]]&gt;0,"Sobrante",IF(Tabla2[[#This Row],[Variación Stock]]&lt;0,"Faltante","Sin novedad"))</f>
        <v>Sin novedad</v>
      </c>
    </row>
    <row r="2653" spans="1:14" x14ac:dyDescent="0.25">
      <c r="A2653" s="11">
        <v>46053</v>
      </c>
      <c r="B2653" s="5" t="s">
        <v>394</v>
      </c>
      <c r="C2653" s="3" t="s">
        <v>337</v>
      </c>
      <c r="D2653" s="5" t="s">
        <v>603</v>
      </c>
      <c r="E2653" s="5" t="s">
        <v>112</v>
      </c>
      <c r="F2653" s="6" t="s">
        <v>612</v>
      </c>
      <c r="G2653" s="4" t="s">
        <v>1</v>
      </c>
      <c r="H2653" s="25">
        <v>49.252538629999997</v>
      </c>
      <c r="I2653" s="8">
        <v>2308</v>
      </c>
      <c r="J2653" s="9">
        <v>4500</v>
      </c>
      <c r="K2653" s="7">
        <v>2192</v>
      </c>
      <c r="L2653" s="24">
        <f>+Tabla2[[#This Row],[Stock Inventario]]*Tabla2[[#This Row],[Coste LÃ­nea]]</f>
        <v>221636.42383499999</v>
      </c>
      <c r="M2653" s="24">
        <f>+Tabla2[[#This Row],[Variación Stock]]*Tabla2[[#This Row],[Coste LÃ­nea]]</f>
        <v>107961.56467696</v>
      </c>
      <c r="N2653" s="22" t="str">
        <f>+IF(Tabla2[[#This Row],[Variación Stock]]&gt;0,"Sobrante",IF(Tabla2[[#This Row],[Variación Stock]]&lt;0,"Faltante","Sin novedad"))</f>
        <v>Sobrante</v>
      </c>
    </row>
    <row r="2654" spans="1:14" hidden="1" x14ac:dyDescent="0.25">
      <c r="A2654" s="11">
        <v>46053</v>
      </c>
      <c r="B2654" s="5" t="s">
        <v>394</v>
      </c>
      <c r="C2654" s="3" t="s">
        <v>337</v>
      </c>
      <c r="D2654" s="5" t="s">
        <v>547</v>
      </c>
      <c r="E2654" s="5" t="s">
        <v>117</v>
      </c>
      <c r="F2654" s="6" t="s">
        <v>558</v>
      </c>
      <c r="G2654" s="4" t="s">
        <v>1</v>
      </c>
      <c r="H2654" s="25">
        <v>8</v>
      </c>
      <c r="I2654" s="8">
        <v>3590</v>
      </c>
      <c r="J2654" s="9">
        <v>3200</v>
      </c>
      <c r="K2654" s="7">
        <v>-390</v>
      </c>
      <c r="L2654" s="24">
        <f>+Tabla2[[#This Row],[Stock Inventario]]*Tabla2[[#This Row],[Coste LÃ­nea]]</f>
        <v>25600</v>
      </c>
      <c r="M2654" s="24">
        <f>+Tabla2[[#This Row],[Variación Stock]]*Tabla2[[#This Row],[Coste LÃ­nea]]</f>
        <v>-3120</v>
      </c>
      <c r="N2654" s="22" t="str">
        <f>+IF(Tabla2[[#This Row],[Variación Stock]]&gt;0,"Sobrante",IF(Tabla2[[#This Row],[Variación Stock]]&lt;0,"Faltante","Sin novedad"))</f>
        <v>Faltante</v>
      </c>
    </row>
    <row r="2655" spans="1:14" x14ac:dyDescent="0.25">
      <c r="A2655" s="11">
        <v>46053</v>
      </c>
      <c r="B2655" s="5" t="s">
        <v>394</v>
      </c>
      <c r="C2655" s="3" t="s">
        <v>337</v>
      </c>
      <c r="D2655" s="5" t="s">
        <v>603</v>
      </c>
      <c r="E2655" s="5" t="s">
        <v>112</v>
      </c>
      <c r="F2655" s="6" t="s">
        <v>605</v>
      </c>
      <c r="G2655" s="4" t="s">
        <v>2</v>
      </c>
      <c r="H2655" s="25">
        <v>1222.2222222222222</v>
      </c>
      <c r="I2655" s="8">
        <v>26</v>
      </c>
      <c r="J2655" s="9">
        <v>1</v>
      </c>
      <c r="K2655" s="7">
        <v>-26</v>
      </c>
      <c r="L2655" s="24">
        <f>+Tabla2[[#This Row],[Stock Inventario]]*Tabla2[[#This Row],[Coste LÃ­nea]]</f>
        <v>1222.2222222222222</v>
      </c>
      <c r="M2655" s="24">
        <f>+Tabla2[[#This Row],[Variación Stock]]*Tabla2[[#This Row],[Coste LÃ­nea]]</f>
        <v>-31777.777777777777</v>
      </c>
      <c r="N2655" s="22" t="str">
        <f>+IF(Tabla2[[#This Row],[Variación Stock]]&gt;0,"Sobrante",IF(Tabla2[[#This Row],[Variación Stock]]&lt;0,"Faltante","Sin novedad"))</f>
        <v>Faltante</v>
      </c>
    </row>
    <row r="2656" spans="1:14" hidden="1" x14ac:dyDescent="0.25">
      <c r="A2656" s="11">
        <v>46053</v>
      </c>
      <c r="B2656" s="5" t="s">
        <v>394</v>
      </c>
      <c r="C2656" s="3" t="s">
        <v>337</v>
      </c>
      <c r="D2656" s="5" t="s">
        <v>119</v>
      </c>
      <c r="E2656" s="5" t="s">
        <v>117</v>
      </c>
      <c r="F2656" s="6" t="s">
        <v>9</v>
      </c>
      <c r="G2656" s="4" t="s">
        <v>2</v>
      </c>
      <c r="H2656" s="25">
        <v>514.28571428999999</v>
      </c>
      <c r="I2656" s="8">
        <v>1372</v>
      </c>
      <c r="J2656" s="9">
        <v>1264</v>
      </c>
      <c r="K2656" s="15">
        <v>-108</v>
      </c>
      <c r="L2656" s="24">
        <f>+Tabla2[[#This Row],[Stock Inventario]]*Tabla2[[#This Row],[Coste LÃ­nea]]</f>
        <v>650057.14286255999</v>
      </c>
      <c r="M2656" s="24">
        <f>+Tabla2[[#This Row],[Variación Stock]]*Tabla2[[#This Row],[Coste LÃ­nea]]</f>
        <v>-55542.857143319998</v>
      </c>
      <c r="N2656" s="22" t="str">
        <f>+IF(Tabla2[[#This Row],[Variación Stock]]&gt;0,"Sobrante",IF(Tabla2[[#This Row],[Variación Stock]]&lt;0,"Faltante","Sin novedad"))</f>
        <v>Faltante</v>
      </c>
    </row>
    <row r="2657" spans="1:14" hidden="1" x14ac:dyDescent="0.25">
      <c r="A2657" s="11">
        <v>46053</v>
      </c>
      <c r="B2657" s="5" t="s">
        <v>394</v>
      </c>
      <c r="C2657" s="3" t="s">
        <v>337</v>
      </c>
      <c r="D2657" s="5" t="s">
        <v>471</v>
      </c>
      <c r="E2657" s="5" t="s">
        <v>117</v>
      </c>
      <c r="F2657" s="6" t="s">
        <v>488</v>
      </c>
      <c r="G2657" s="4" t="s">
        <v>1</v>
      </c>
      <c r="H2657" s="25">
        <v>6.5</v>
      </c>
      <c r="I2657" s="8">
        <v>-9711.1108000000004</v>
      </c>
      <c r="J2657" s="9">
        <v>0</v>
      </c>
      <c r="K2657" s="7">
        <v>9711.1107539999994</v>
      </c>
      <c r="L2657" s="24">
        <f>+Tabla2[[#This Row],[Stock Inventario]]*Tabla2[[#This Row],[Coste LÃ­nea]]</f>
        <v>0</v>
      </c>
      <c r="M2657" s="24">
        <f>+Tabla2[[#This Row],[Variación Stock]]*Tabla2[[#This Row],[Coste LÃ­nea]]</f>
        <v>63122.219900999997</v>
      </c>
      <c r="N2657" s="22" t="str">
        <f>+IF(Tabla2[[#This Row],[Variación Stock]]&gt;0,"Sobrante",IF(Tabla2[[#This Row],[Variación Stock]]&lt;0,"Faltante","Sin novedad"))</f>
        <v>Sobrante</v>
      </c>
    </row>
    <row r="2658" spans="1:14" x14ac:dyDescent="0.25">
      <c r="A2658" s="11">
        <v>46053</v>
      </c>
      <c r="B2658" s="5" t="s">
        <v>394</v>
      </c>
      <c r="C2658" s="3" t="s">
        <v>337</v>
      </c>
      <c r="D2658" s="5" t="s">
        <v>111</v>
      </c>
      <c r="E2658" s="5" t="s">
        <v>112</v>
      </c>
      <c r="F2658" s="6" t="s">
        <v>37</v>
      </c>
      <c r="G2658" s="4" t="s">
        <v>0</v>
      </c>
      <c r="H2658" s="25">
        <v>4318.125</v>
      </c>
      <c r="I2658" s="8">
        <v>50</v>
      </c>
      <c r="J2658" s="9">
        <v>51</v>
      </c>
      <c r="K2658" s="7">
        <v>1</v>
      </c>
      <c r="L2658" s="24">
        <f>+Tabla2[[#This Row],[Stock Inventario]]*Tabla2[[#This Row],[Coste LÃ­nea]]</f>
        <v>220224.375</v>
      </c>
      <c r="M2658" s="24">
        <f>+Tabla2[[#This Row],[Variación Stock]]*Tabla2[[#This Row],[Coste LÃ­nea]]</f>
        <v>4318.125</v>
      </c>
      <c r="N2658" s="22" t="str">
        <f>+IF(Tabla2[[#This Row],[Variación Stock]]&gt;0,"Sobrante",IF(Tabla2[[#This Row],[Variación Stock]]&lt;0,"Faltante","Sin novedad"))</f>
        <v>Sobrante</v>
      </c>
    </row>
    <row r="2659" spans="1:14" x14ac:dyDescent="0.25">
      <c r="A2659" s="11">
        <v>46053</v>
      </c>
      <c r="B2659" s="5" t="s">
        <v>394</v>
      </c>
      <c r="C2659" s="3" t="s">
        <v>337</v>
      </c>
      <c r="D2659" s="5" t="s">
        <v>114</v>
      </c>
      <c r="E2659" s="5" t="s">
        <v>112</v>
      </c>
      <c r="F2659" s="6" t="s">
        <v>233</v>
      </c>
      <c r="G2659" s="4" t="s">
        <v>2</v>
      </c>
      <c r="H2659" s="25">
        <v>1860.01</v>
      </c>
      <c r="I2659" s="8">
        <v>0</v>
      </c>
      <c r="J2659" s="9">
        <v>0</v>
      </c>
      <c r="K2659" s="7">
        <v>0</v>
      </c>
      <c r="L2659" s="24">
        <f>+Tabla2[[#This Row],[Stock Inventario]]*Tabla2[[#This Row],[Coste LÃ­nea]]</f>
        <v>0</v>
      </c>
      <c r="M2659" s="24">
        <f>+Tabla2[[#This Row],[Variación Stock]]*Tabla2[[#This Row],[Coste LÃ­nea]]</f>
        <v>0</v>
      </c>
      <c r="N2659" s="22" t="str">
        <f>+IF(Tabla2[[#This Row],[Variación Stock]]&gt;0,"Sobrante",IF(Tabla2[[#This Row],[Variación Stock]]&lt;0,"Faltante","Sin novedad"))</f>
        <v>Sin novedad</v>
      </c>
    </row>
    <row r="2660" spans="1:14" hidden="1" x14ac:dyDescent="0.25">
      <c r="A2660" s="11">
        <v>46053</v>
      </c>
      <c r="B2660" s="5" t="s">
        <v>394</v>
      </c>
      <c r="C2660" s="3" t="s">
        <v>337</v>
      </c>
      <c r="D2660" s="5" t="s">
        <v>803</v>
      </c>
      <c r="E2660" s="5" t="s">
        <v>117</v>
      </c>
      <c r="F2660" s="6" t="s">
        <v>811</v>
      </c>
      <c r="G2660" s="4" t="s">
        <v>1</v>
      </c>
      <c r="H2660" s="25">
        <v>247.38325990999999</v>
      </c>
      <c r="I2660" s="8">
        <v>68</v>
      </c>
      <c r="J2660" s="9">
        <v>0</v>
      </c>
      <c r="K2660" s="7">
        <v>-68</v>
      </c>
      <c r="L2660" s="24">
        <f>+Tabla2[[#This Row],[Stock Inventario]]*Tabla2[[#This Row],[Coste LÃ­nea]]</f>
        <v>0</v>
      </c>
      <c r="M2660" s="24">
        <f>+Tabla2[[#This Row],[Variación Stock]]*Tabla2[[#This Row],[Coste LÃ­nea]]</f>
        <v>-16822.061673879998</v>
      </c>
      <c r="N2660" s="22" t="str">
        <f>+IF(Tabla2[[#This Row],[Variación Stock]]&gt;0,"Sobrante",IF(Tabla2[[#This Row],[Variación Stock]]&lt;0,"Faltante","Sin novedad"))</f>
        <v>Faltante</v>
      </c>
    </row>
    <row r="2661" spans="1:14" hidden="1" x14ac:dyDescent="0.25">
      <c r="A2661" s="11">
        <v>46053</v>
      </c>
      <c r="B2661" s="5" t="s">
        <v>394</v>
      </c>
      <c r="C2661" s="3" t="s">
        <v>337</v>
      </c>
      <c r="D2661" s="5" t="s">
        <v>396</v>
      </c>
      <c r="E2661" s="5" t="s">
        <v>117</v>
      </c>
      <c r="F2661" s="6" t="s">
        <v>433</v>
      </c>
      <c r="G2661" s="4" t="s">
        <v>1</v>
      </c>
      <c r="H2661" s="25">
        <v>58</v>
      </c>
      <c r="I2661" s="8">
        <v>-42</v>
      </c>
      <c r="J2661" s="9">
        <v>0</v>
      </c>
      <c r="K2661" s="7">
        <v>42</v>
      </c>
      <c r="L2661" s="24">
        <f>+Tabla2[[#This Row],[Stock Inventario]]*Tabla2[[#This Row],[Coste LÃ­nea]]</f>
        <v>0</v>
      </c>
      <c r="M2661" s="24">
        <f>+Tabla2[[#This Row],[Variación Stock]]*Tabla2[[#This Row],[Coste LÃ­nea]]</f>
        <v>2436</v>
      </c>
      <c r="N2661" s="22" t="str">
        <f>+IF(Tabla2[[#This Row],[Variación Stock]]&gt;0,"Sobrante",IF(Tabla2[[#This Row],[Variación Stock]]&lt;0,"Faltante","Sin novedad"))</f>
        <v>Sobrante</v>
      </c>
    </row>
    <row r="2662" spans="1:14" hidden="1" x14ac:dyDescent="0.25">
      <c r="A2662" s="11">
        <v>46053</v>
      </c>
      <c r="B2662" s="5" t="s">
        <v>394</v>
      </c>
      <c r="C2662" s="3" t="s">
        <v>337</v>
      </c>
      <c r="D2662" s="5" t="s">
        <v>803</v>
      </c>
      <c r="E2662" s="5" t="s">
        <v>117</v>
      </c>
      <c r="F2662" s="6" t="s">
        <v>808</v>
      </c>
      <c r="G2662" s="4" t="s">
        <v>1</v>
      </c>
      <c r="H2662" s="25">
        <v>35.85341176</v>
      </c>
      <c r="I2662" s="8">
        <v>0</v>
      </c>
      <c r="J2662" s="9">
        <v>0</v>
      </c>
      <c r="K2662" s="7">
        <v>0</v>
      </c>
      <c r="L2662" s="24">
        <f>+Tabla2[[#This Row],[Stock Inventario]]*Tabla2[[#This Row],[Coste LÃ­nea]]</f>
        <v>0</v>
      </c>
      <c r="M2662" s="24">
        <f>+Tabla2[[#This Row],[Variación Stock]]*Tabla2[[#This Row],[Coste LÃ­nea]]</f>
        <v>0</v>
      </c>
      <c r="N2662" s="22" t="str">
        <f>+IF(Tabla2[[#This Row],[Variación Stock]]&gt;0,"Sobrante",IF(Tabla2[[#This Row],[Variación Stock]]&lt;0,"Faltante","Sin novedad"))</f>
        <v>Sin novedad</v>
      </c>
    </row>
    <row r="2663" spans="1:14" hidden="1" x14ac:dyDescent="0.25">
      <c r="A2663" s="11">
        <v>46053</v>
      </c>
      <c r="B2663" s="5" t="s">
        <v>394</v>
      </c>
      <c r="C2663" s="3" t="s">
        <v>337</v>
      </c>
      <c r="D2663" s="5" t="s">
        <v>119</v>
      </c>
      <c r="E2663" s="5" t="s">
        <v>117</v>
      </c>
      <c r="F2663" s="6" t="s">
        <v>193</v>
      </c>
      <c r="G2663" s="4" t="s">
        <v>1</v>
      </c>
      <c r="H2663" s="25">
        <v>63</v>
      </c>
      <c r="I2663" s="8">
        <v>0</v>
      </c>
      <c r="J2663" s="9">
        <v>0</v>
      </c>
      <c r="K2663" s="7">
        <v>0</v>
      </c>
      <c r="L2663" s="24">
        <f>+Tabla2[[#This Row],[Stock Inventario]]*Tabla2[[#This Row],[Coste LÃ­nea]]</f>
        <v>0</v>
      </c>
      <c r="M2663" s="24">
        <f>+Tabla2[[#This Row],[Variación Stock]]*Tabla2[[#This Row],[Coste LÃ­nea]]</f>
        <v>0</v>
      </c>
      <c r="N2663" s="22" t="str">
        <f>+IF(Tabla2[[#This Row],[Variación Stock]]&gt;0,"Sobrante",IF(Tabla2[[#This Row],[Variación Stock]]&lt;0,"Faltante","Sin novedad"))</f>
        <v>Sin novedad</v>
      </c>
    </row>
    <row r="2664" spans="1:14" hidden="1" x14ac:dyDescent="0.25">
      <c r="A2664" s="11">
        <v>46053</v>
      </c>
      <c r="B2664" s="5" t="s">
        <v>394</v>
      </c>
      <c r="C2664" s="3" t="s">
        <v>337</v>
      </c>
      <c r="D2664" s="5" t="s">
        <v>116</v>
      </c>
      <c r="E2664" s="5" t="s">
        <v>117</v>
      </c>
      <c r="F2664" s="6" t="s">
        <v>157</v>
      </c>
      <c r="G2664" s="4" t="s">
        <v>1</v>
      </c>
      <c r="H2664" s="25">
        <v>30.99415205</v>
      </c>
      <c r="I2664" s="8">
        <v>0</v>
      </c>
      <c r="J2664" s="9">
        <v>0</v>
      </c>
      <c r="K2664" s="7">
        <v>0</v>
      </c>
      <c r="L2664" s="24">
        <f>+Tabla2[[#This Row],[Stock Inventario]]*Tabla2[[#This Row],[Coste LÃ­nea]]</f>
        <v>0</v>
      </c>
      <c r="M2664" s="24">
        <f>+Tabla2[[#This Row],[Variación Stock]]*Tabla2[[#This Row],[Coste LÃ­nea]]</f>
        <v>0</v>
      </c>
      <c r="N2664" s="22" t="str">
        <f>+IF(Tabla2[[#This Row],[Variación Stock]]&gt;0,"Sobrante",IF(Tabla2[[#This Row],[Variación Stock]]&lt;0,"Faltante","Sin novedad"))</f>
        <v>Sin novedad</v>
      </c>
    </row>
    <row r="2665" spans="1:14" hidden="1" x14ac:dyDescent="0.25">
      <c r="A2665" s="11">
        <v>46053</v>
      </c>
      <c r="B2665" s="5" t="s">
        <v>394</v>
      </c>
      <c r="C2665" s="3" t="s">
        <v>337</v>
      </c>
      <c r="D2665" s="5" t="s">
        <v>471</v>
      </c>
      <c r="E2665" s="5" t="s">
        <v>117</v>
      </c>
      <c r="F2665" s="6" t="s">
        <v>489</v>
      </c>
      <c r="G2665" s="4" t="s">
        <v>1</v>
      </c>
      <c r="H2665" s="25">
        <v>5</v>
      </c>
      <c r="I2665" s="8">
        <v>-800</v>
      </c>
      <c r="J2665" s="9">
        <v>0</v>
      </c>
      <c r="K2665" s="7">
        <v>800</v>
      </c>
      <c r="L2665" s="24">
        <f>+Tabla2[[#This Row],[Stock Inventario]]*Tabla2[[#This Row],[Coste LÃ­nea]]</f>
        <v>0</v>
      </c>
      <c r="M2665" s="24">
        <f>+Tabla2[[#This Row],[Variación Stock]]*Tabla2[[#This Row],[Coste LÃ­nea]]</f>
        <v>4000</v>
      </c>
      <c r="N2665" s="22" t="str">
        <f>+IF(Tabla2[[#This Row],[Variación Stock]]&gt;0,"Sobrante",IF(Tabla2[[#This Row],[Variación Stock]]&lt;0,"Faltante","Sin novedad"))</f>
        <v>Sobrante</v>
      </c>
    </row>
    <row r="2666" spans="1:14" hidden="1" x14ac:dyDescent="0.25">
      <c r="A2666" s="11">
        <v>46053</v>
      </c>
      <c r="B2666" s="5" t="s">
        <v>394</v>
      </c>
      <c r="C2666" s="3" t="s">
        <v>337</v>
      </c>
      <c r="D2666" s="5" t="s">
        <v>396</v>
      </c>
      <c r="E2666" s="5" t="s">
        <v>117</v>
      </c>
      <c r="F2666" s="6" t="s">
        <v>465</v>
      </c>
      <c r="G2666" s="4" t="s">
        <v>1</v>
      </c>
      <c r="H2666" s="25">
        <v>21</v>
      </c>
      <c r="I2666" s="8">
        <v>0</v>
      </c>
      <c r="J2666" s="9">
        <v>0</v>
      </c>
      <c r="K2666" s="7">
        <v>0</v>
      </c>
      <c r="L2666" s="24">
        <f>+Tabla2[[#This Row],[Stock Inventario]]*Tabla2[[#This Row],[Coste LÃ­nea]]</f>
        <v>0</v>
      </c>
      <c r="M2666" s="24">
        <f>+Tabla2[[#This Row],[Variación Stock]]*Tabla2[[#This Row],[Coste LÃ­nea]]</f>
        <v>0</v>
      </c>
      <c r="N2666" s="22" t="str">
        <f>+IF(Tabla2[[#This Row],[Variación Stock]]&gt;0,"Sobrante",IF(Tabla2[[#This Row],[Variación Stock]]&lt;0,"Faltante","Sin novedad"))</f>
        <v>Sin novedad</v>
      </c>
    </row>
    <row r="2667" spans="1:14" hidden="1" x14ac:dyDescent="0.25">
      <c r="A2667" s="11">
        <v>46053</v>
      </c>
      <c r="B2667" s="5" t="s">
        <v>394</v>
      </c>
      <c r="C2667" s="3" t="s">
        <v>337</v>
      </c>
      <c r="D2667" s="5" t="s">
        <v>471</v>
      </c>
      <c r="E2667" s="5" t="s">
        <v>117</v>
      </c>
      <c r="F2667" s="6" t="s">
        <v>490</v>
      </c>
      <c r="G2667" s="4" t="s">
        <v>1</v>
      </c>
      <c r="H2667" s="25">
        <v>4</v>
      </c>
      <c r="I2667" s="8">
        <v>28770.74</v>
      </c>
      <c r="J2667" s="9">
        <v>21950</v>
      </c>
      <c r="K2667" s="7">
        <v>-25620.740046999999</v>
      </c>
      <c r="L2667" s="24">
        <f>+Tabla2[[#This Row],[Stock Inventario]]*Tabla2[[#This Row],[Coste LÃ­nea]]</f>
        <v>87800</v>
      </c>
      <c r="M2667" s="24">
        <f>+Tabla2[[#This Row],[Variación Stock]]*Tabla2[[#This Row],[Coste LÃ­nea]]</f>
        <v>-102482.960188</v>
      </c>
      <c r="N2667" s="22" t="str">
        <f>+IF(Tabla2[[#This Row],[Variación Stock]]&gt;0,"Sobrante",IF(Tabla2[[#This Row],[Variación Stock]]&lt;0,"Faltante","Sin novedad"))</f>
        <v>Faltante</v>
      </c>
    </row>
    <row r="2668" spans="1:14" hidden="1" x14ac:dyDescent="0.25">
      <c r="A2668" s="11">
        <v>46053</v>
      </c>
      <c r="B2668" s="5" t="s">
        <v>394</v>
      </c>
      <c r="C2668" s="3" t="s">
        <v>337</v>
      </c>
      <c r="D2668" s="5" t="s">
        <v>471</v>
      </c>
      <c r="E2668" s="5" t="s">
        <v>117</v>
      </c>
      <c r="F2668" s="6" t="s">
        <v>491</v>
      </c>
      <c r="G2668" s="4" t="s">
        <v>1</v>
      </c>
      <c r="H2668" s="25">
        <v>6.5</v>
      </c>
      <c r="I2668" s="8">
        <v>14800</v>
      </c>
      <c r="J2668" s="9">
        <v>0</v>
      </c>
      <c r="K2668" s="7">
        <v>-14800</v>
      </c>
      <c r="L2668" s="24">
        <f>+Tabla2[[#This Row],[Stock Inventario]]*Tabla2[[#This Row],[Coste LÃ­nea]]</f>
        <v>0</v>
      </c>
      <c r="M2668" s="24">
        <f>+Tabla2[[#This Row],[Variación Stock]]*Tabla2[[#This Row],[Coste LÃ­nea]]</f>
        <v>-96200</v>
      </c>
      <c r="N2668" s="22" t="str">
        <f>+IF(Tabla2[[#This Row],[Variación Stock]]&gt;0,"Sobrante",IF(Tabla2[[#This Row],[Variación Stock]]&lt;0,"Faltante","Sin novedad"))</f>
        <v>Faltante</v>
      </c>
    </row>
    <row r="2669" spans="1:14" hidden="1" x14ac:dyDescent="0.25">
      <c r="A2669" s="11">
        <v>46053</v>
      </c>
      <c r="B2669" s="5" t="s">
        <v>394</v>
      </c>
      <c r="C2669" s="3" t="s">
        <v>337</v>
      </c>
      <c r="D2669" s="5" t="s">
        <v>471</v>
      </c>
      <c r="E2669" s="5" t="s">
        <v>117</v>
      </c>
      <c r="F2669" s="6" t="s">
        <v>492</v>
      </c>
      <c r="G2669" s="4" t="s">
        <v>1</v>
      </c>
      <c r="H2669" s="25">
        <v>5.2</v>
      </c>
      <c r="I2669" s="8">
        <v>7130.9521999999997</v>
      </c>
      <c r="J2669" s="9">
        <v>2182</v>
      </c>
      <c r="K2669" s="7">
        <v>-6848.9522280000001</v>
      </c>
      <c r="L2669" s="24">
        <f>+Tabla2[[#This Row],[Stock Inventario]]*Tabla2[[#This Row],[Coste LÃ­nea]]</f>
        <v>11346.4</v>
      </c>
      <c r="M2669" s="24">
        <f>+Tabla2[[#This Row],[Variación Stock]]*Tabla2[[#This Row],[Coste LÃ­nea]]</f>
        <v>-35614.551585599998</v>
      </c>
      <c r="N2669" s="22" t="str">
        <f>+IF(Tabla2[[#This Row],[Variación Stock]]&gt;0,"Sobrante",IF(Tabla2[[#This Row],[Variación Stock]]&lt;0,"Faltante","Sin novedad"))</f>
        <v>Faltante</v>
      </c>
    </row>
    <row r="2670" spans="1:14" hidden="1" x14ac:dyDescent="0.25">
      <c r="A2670" s="11">
        <v>46053</v>
      </c>
      <c r="B2670" s="5" t="s">
        <v>394</v>
      </c>
      <c r="C2670" s="3" t="s">
        <v>337</v>
      </c>
      <c r="D2670" s="5" t="s">
        <v>471</v>
      </c>
      <c r="E2670" s="5" t="s">
        <v>117</v>
      </c>
      <c r="F2670" s="6" t="s">
        <v>493</v>
      </c>
      <c r="G2670" s="4" t="s">
        <v>1</v>
      </c>
      <c r="H2670" s="25">
        <v>16</v>
      </c>
      <c r="I2670" s="8">
        <v>870</v>
      </c>
      <c r="J2670" s="9">
        <v>98</v>
      </c>
      <c r="K2670" s="7">
        <v>-932</v>
      </c>
      <c r="L2670" s="24">
        <f>+Tabla2[[#This Row],[Stock Inventario]]*Tabla2[[#This Row],[Coste LÃ­nea]]</f>
        <v>1568</v>
      </c>
      <c r="M2670" s="24">
        <f>+Tabla2[[#This Row],[Variación Stock]]*Tabla2[[#This Row],[Coste LÃ­nea]]</f>
        <v>-14912</v>
      </c>
      <c r="N2670" s="22" t="str">
        <f>+IF(Tabla2[[#This Row],[Variación Stock]]&gt;0,"Sobrante",IF(Tabla2[[#This Row],[Variación Stock]]&lt;0,"Faltante","Sin novedad"))</f>
        <v>Faltante</v>
      </c>
    </row>
    <row r="2671" spans="1:14" hidden="1" x14ac:dyDescent="0.25">
      <c r="A2671" s="11">
        <v>46053</v>
      </c>
      <c r="B2671" s="5" t="s">
        <v>394</v>
      </c>
      <c r="C2671" s="3" t="s">
        <v>337</v>
      </c>
      <c r="D2671" s="5" t="s">
        <v>818</v>
      </c>
      <c r="E2671" s="5" t="s">
        <v>117</v>
      </c>
      <c r="F2671" s="6" t="s">
        <v>821</v>
      </c>
      <c r="G2671" s="4" t="s">
        <v>1</v>
      </c>
      <c r="H2671" s="25">
        <v>31.81697479</v>
      </c>
      <c r="I2671" s="8">
        <v>0</v>
      </c>
      <c r="J2671" s="9">
        <v>0</v>
      </c>
      <c r="K2671" s="7">
        <v>0</v>
      </c>
      <c r="L2671" s="24">
        <f>+Tabla2[[#This Row],[Stock Inventario]]*Tabla2[[#This Row],[Coste LÃ­nea]]</f>
        <v>0</v>
      </c>
      <c r="M2671" s="24">
        <f>+Tabla2[[#This Row],[Variación Stock]]*Tabla2[[#This Row],[Coste LÃ­nea]]</f>
        <v>0</v>
      </c>
      <c r="N2671" s="22" t="str">
        <f>+IF(Tabla2[[#This Row],[Variación Stock]]&gt;0,"Sobrante",IF(Tabla2[[#This Row],[Variación Stock]]&lt;0,"Faltante","Sin novedad"))</f>
        <v>Sin novedad</v>
      </c>
    </row>
    <row r="2672" spans="1:14" x14ac:dyDescent="0.25">
      <c r="A2672" s="11">
        <v>46053</v>
      </c>
      <c r="B2672" s="5" t="s">
        <v>394</v>
      </c>
      <c r="C2672" s="3" t="s">
        <v>337</v>
      </c>
      <c r="D2672" s="5" t="s">
        <v>115</v>
      </c>
      <c r="E2672" s="5" t="s">
        <v>112</v>
      </c>
      <c r="F2672" s="6" t="s">
        <v>71</v>
      </c>
      <c r="G2672" s="4" t="s">
        <v>2</v>
      </c>
      <c r="H2672" s="25">
        <v>2335.0666666699999</v>
      </c>
      <c r="I2672" s="8">
        <v>18</v>
      </c>
      <c r="J2672" s="9">
        <v>18</v>
      </c>
      <c r="K2672" s="7">
        <v>0</v>
      </c>
      <c r="L2672" s="24">
        <f>+Tabla2[[#This Row],[Stock Inventario]]*Tabla2[[#This Row],[Coste LÃ­nea]]</f>
        <v>42031.200000059995</v>
      </c>
      <c r="M2672" s="24">
        <f>+Tabla2[[#This Row],[Variación Stock]]*Tabla2[[#This Row],[Coste LÃ­nea]]</f>
        <v>0</v>
      </c>
      <c r="N2672" s="22" t="str">
        <f>+IF(Tabla2[[#This Row],[Variación Stock]]&gt;0,"Sobrante",IF(Tabla2[[#This Row],[Variación Stock]]&lt;0,"Faltante","Sin novedad"))</f>
        <v>Sin novedad</v>
      </c>
    </row>
    <row r="2673" spans="1:14" x14ac:dyDescent="0.25">
      <c r="A2673" s="11">
        <v>46053</v>
      </c>
      <c r="B2673" s="5" t="s">
        <v>394</v>
      </c>
      <c r="C2673" s="3" t="s">
        <v>337</v>
      </c>
      <c r="D2673" s="5" t="s">
        <v>115</v>
      </c>
      <c r="E2673" s="5" t="s">
        <v>112</v>
      </c>
      <c r="F2673" s="6" t="s">
        <v>72</v>
      </c>
      <c r="G2673" s="4" t="s">
        <v>2</v>
      </c>
      <c r="H2673" s="25">
        <v>2183.46666667</v>
      </c>
      <c r="I2673" s="8">
        <v>7</v>
      </c>
      <c r="J2673" s="9">
        <v>7</v>
      </c>
      <c r="K2673" s="7">
        <v>0</v>
      </c>
      <c r="L2673" s="24">
        <f>+Tabla2[[#This Row],[Stock Inventario]]*Tabla2[[#This Row],[Coste LÃ­nea]]</f>
        <v>15284.26666669</v>
      </c>
      <c r="M2673" s="24">
        <f>+Tabla2[[#This Row],[Variación Stock]]*Tabla2[[#This Row],[Coste LÃ­nea]]</f>
        <v>0</v>
      </c>
      <c r="N2673" s="22" t="str">
        <f>+IF(Tabla2[[#This Row],[Variación Stock]]&gt;0,"Sobrante",IF(Tabla2[[#This Row],[Variación Stock]]&lt;0,"Faltante","Sin novedad"))</f>
        <v>Sin novedad</v>
      </c>
    </row>
    <row r="2674" spans="1:14" x14ac:dyDescent="0.25">
      <c r="A2674" s="11">
        <v>46053</v>
      </c>
      <c r="B2674" s="5" t="s">
        <v>394</v>
      </c>
      <c r="C2674" s="3" t="s">
        <v>337</v>
      </c>
      <c r="D2674" s="5" t="s">
        <v>115</v>
      </c>
      <c r="E2674" s="5" t="s">
        <v>112</v>
      </c>
      <c r="F2674" s="6" t="s">
        <v>73</v>
      </c>
      <c r="G2674" s="4" t="s">
        <v>2</v>
      </c>
      <c r="H2674" s="25">
        <v>3348.5729166699998</v>
      </c>
      <c r="I2674" s="8">
        <v>14</v>
      </c>
      <c r="J2674" s="9">
        <v>14</v>
      </c>
      <c r="K2674" s="7">
        <v>0</v>
      </c>
      <c r="L2674" s="24">
        <f>+Tabla2[[#This Row],[Stock Inventario]]*Tabla2[[#This Row],[Coste LÃ­nea]]</f>
        <v>46880.020833379996</v>
      </c>
      <c r="M2674" s="24">
        <f>+Tabla2[[#This Row],[Variación Stock]]*Tabla2[[#This Row],[Coste LÃ­nea]]</f>
        <v>0</v>
      </c>
      <c r="N2674" s="22" t="str">
        <f>+IF(Tabla2[[#This Row],[Variación Stock]]&gt;0,"Sobrante",IF(Tabla2[[#This Row],[Variación Stock]]&lt;0,"Faltante","Sin novedad"))</f>
        <v>Sin novedad</v>
      </c>
    </row>
    <row r="2675" spans="1:14" x14ac:dyDescent="0.25">
      <c r="A2675" s="11">
        <v>46053</v>
      </c>
      <c r="B2675" s="5" t="s">
        <v>394</v>
      </c>
      <c r="C2675" s="3" t="s">
        <v>337</v>
      </c>
      <c r="D2675" s="5" t="s">
        <v>115</v>
      </c>
      <c r="E2675" s="5" t="s">
        <v>112</v>
      </c>
      <c r="F2675" s="6" t="s">
        <v>153</v>
      </c>
      <c r="G2675" s="4" t="s">
        <v>2</v>
      </c>
      <c r="H2675" s="25">
        <v>3200</v>
      </c>
      <c r="I2675" s="8">
        <v>0</v>
      </c>
      <c r="J2675" s="9">
        <v>0</v>
      </c>
      <c r="K2675" s="7">
        <v>0</v>
      </c>
      <c r="L2675" s="24">
        <f>+Tabla2[[#This Row],[Stock Inventario]]*Tabla2[[#This Row],[Coste LÃ­nea]]</f>
        <v>0</v>
      </c>
      <c r="M2675" s="24">
        <f>+Tabla2[[#This Row],[Variación Stock]]*Tabla2[[#This Row],[Coste LÃ­nea]]</f>
        <v>0</v>
      </c>
      <c r="N2675" s="22" t="str">
        <f>+IF(Tabla2[[#This Row],[Variación Stock]]&gt;0,"Sobrante",IF(Tabla2[[#This Row],[Variación Stock]]&lt;0,"Faltante","Sin novedad"))</f>
        <v>Sin novedad</v>
      </c>
    </row>
    <row r="2676" spans="1:14" x14ac:dyDescent="0.25">
      <c r="A2676" s="11">
        <v>46053</v>
      </c>
      <c r="B2676" s="5" t="s">
        <v>394</v>
      </c>
      <c r="C2676" s="3" t="s">
        <v>337</v>
      </c>
      <c r="D2676" s="5" t="s">
        <v>115</v>
      </c>
      <c r="E2676" s="5" t="s">
        <v>112</v>
      </c>
      <c r="F2676" s="6" t="s">
        <v>77</v>
      </c>
      <c r="G2676" s="4" t="s">
        <v>2</v>
      </c>
      <c r="H2676" s="25">
        <v>2773.5</v>
      </c>
      <c r="I2676" s="8">
        <v>10</v>
      </c>
      <c r="J2676" s="9">
        <v>10</v>
      </c>
      <c r="K2676" s="7">
        <v>0</v>
      </c>
      <c r="L2676" s="24">
        <f>+Tabla2[[#This Row],[Stock Inventario]]*Tabla2[[#This Row],[Coste LÃ­nea]]</f>
        <v>27735</v>
      </c>
      <c r="M2676" s="24">
        <f>+Tabla2[[#This Row],[Variación Stock]]*Tabla2[[#This Row],[Coste LÃ­nea]]</f>
        <v>0</v>
      </c>
      <c r="N2676" s="22" t="str">
        <f>+IF(Tabla2[[#This Row],[Variación Stock]]&gt;0,"Sobrante",IF(Tabla2[[#This Row],[Variación Stock]]&lt;0,"Faltante","Sin novedad"))</f>
        <v>Sin novedad</v>
      </c>
    </row>
    <row r="2677" spans="1:14" x14ac:dyDescent="0.25">
      <c r="A2677" s="11">
        <v>46053</v>
      </c>
      <c r="B2677" s="5" t="s">
        <v>394</v>
      </c>
      <c r="C2677" s="3" t="s">
        <v>337</v>
      </c>
      <c r="D2677" s="5" t="s">
        <v>115</v>
      </c>
      <c r="E2677" s="5" t="s">
        <v>112</v>
      </c>
      <c r="F2677" s="6" t="s">
        <v>74</v>
      </c>
      <c r="G2677" s="4" t="s">
        <v>2</v>
      </c>
      <c r="H2677" s="25">
        <v>3736.0833333300002</v>
      </c>
      <c r="I2677" s="8">
        <v>20</v>
      </c>
      <c r="J2677" s="9">
        <v>20</v>
      </c>
      <c r="K2677" s="7">
        <v>0</v>
      </c>
      <c r="L2677" s="24">
        <f>+Tabla2[[#This Row],[Stock Inventario]]*Tabla2[[#This Row],[Coste LÃ­nea]]</f>
        <v>74721.666666600009</v>
      </c>
      <c r="M2677" s="24">
        <f>+Tabla2[[#This Row],[Variación Stock]]*Tabla2[[#This Row],[Coste LÃ­nea]]</f>
        <v>0</v>
      </c>
      <c r="N2677" s="22" t="str">
        <f>+IF(Tabla2[[#This Row],[Variación Stock]]&gt;0,"Sobrante",IF(Tabla2[[#This Row],[Variación Stock]]&lt;0,"Faltante","Sin novedad"))</f>
        <v>Sin novedad</v>
      </c>
    </row>
    <row r="2678" spans="1:14" x14ac:dyDescent="0.25">
      <c r="A2678" s="11">
        <v>46053</v>
      </c>
      <c r="B2678" s="5" t="s">
        <v>394</v>
      </c>
      <c r="C2678" s="3" t="s">
        <v>337</v>
      </c>
      <c r="D2678" s="5" t="s">
        <v>115</v>
      </c>
      <c r="E2678" s="5" t="s">
        <v>112</v>
      </c>
      <c r="F2678" s="6" t="s">
        <v>291</v>
      </c>
      <c r="G2678" s="4" t="s">
        <v>2</v>
      </c>
      <c r="H2678" s="25">
        <v>4102.8541666700003</v>
      </c>
      <c r="I2678" s="8">
        <v>8</v>
      </c>
      <c r="J2678" s="9">
        <v>7</v>
      </c>
      <c r="K2678" s="7">
        <v>-1</v>
      </c>
      <c r="L2678" s="24">
        <f>+Tabla2[[#This Row],[Stock Inventario]]*Tabla2[[#This Row],[Coste LÃ­nea]]</f>
        <v>28719.979166690002</v>
      </c>
      <c r="M2678" s="24">
        <f>+Tabla2[[#This Row],[Variación Stock]]*Tabla2[[#This Row],[Coste LÃ­nea]]</f>
        <v>-4102.8541666700003</v>
      </c>
      <c r="N2678" s="22" t="str">
        <f>+IF(Tabla2[[#This Row],[Variación Stock]]&gt;0,"Sobrante",IF(Tabla2[[#This Row],[Variación Stock]]&lt;0,"Faltante","Sin novedad"))</f>
        <v>Faltante</v>
      </c>
    </row>
    <row r="2679" spans="1:14" x14ac:dyDescent="0.25">
      <c r="A2679" s="11">
        <v>46053</v>
      </c>
      <c r="B2679" s="5" t="s">
        <v>394</v>
      </c>
      <c r="C2679" s="3" t="s">
        <v>337</v>
      </c>
      <c r="D2679" s="5" t="s">
        <v>115</v>
      </c>
      <c r="E2679" s="5" t="s">
        <v>112</v>
      </c>
      <c r="F2679" s="6" t="s">
        <v>78</v>
      </c>
      <c r="G2679" s="4" t="s">
        <v>2</v>
      </c>
      <c r="H2679" s="25">
        <v>3261.8333333300002</v>
      </c>
      <c r="I2679" s="8">
        <v>0</v>
      </c>
      <c r="J2679" s="9">
        <v>0</v>
      </c>
      <c r="K2679" s="7">
        <v>0</v>
      </c>
      <c r="L2679" s="24">
        <f>+Tabla2[[#This Row],[Stock Inventario]]*Tabla2[[#This Row],[Coste LÃ­nea]]</f>
        <v>0</v>
      </c>
      <c r="M2679" s="24">
        <f>+Tabla2[[#This Row],[Variación Stock]]*Tabla2[[#This Row],[Coste LÃ­nea]]</f>
        <v>0</v>
      </c>
      <c r="N2679" s="22" t="str">
        <f>+IF(Tabla2[[#This Row],[Variación Stock]]&gt;0,"Sobrante",IF(Tabla2[[#This Row],[Variación Stock]]&lt;0,"Faltante","Sin novedad"))</f>
        <v>Sin novedad</v>
      </c>
    </row>
    <row r="2680" spans="1:14" x14ac:dyDescent="0.25">
      <c r="A2680" s="11">
        <v>46053</v>
      </c>
      <c r="B2680" s="5" t="s">
        <v>394</v>
      </c>
      <c r="C2680" s="3" t="s">
        <v>337</v>
      </c>
      <c r="D2680" s="5" t="s">
        <v>115</v>
      </c>
      <c r="E2680" s="5" t="s">
        <v>112</v>
      </c>
      <c r="F2680" s="6" t="s">
        <v>367</v>
      </c>
      <c r="G2680" s="4" t="s">
        <v>2</v>
      </c>
      <c r="H2680" s="25">
        <v>2298.1333333299999</v>
      </c>
      <c r="I2680" s="8">
        <v>6.47</v>
      </c>
      <c r="J2680" s="9">
        <v>5</v>
      </c>
      <c r="K2680" s="7">
        <v>-1.47</v>
      </c>
      <c r="L2680" s="24">
        <f>+Tabla2[[#This Row],[Stock Inventario]]*Tabla2[[#This Row],[Coste LÃ­nea]]</f>
        <v>11490.666666649999</v>
      </c>
      <c r="M2680" s="24">
        <f>+Tabla2[[#This Row],[Variación Stock]]*Tabla2[[#This Row],[Coste LÃ­nea]]</f>
        <v>-3378.2559999951</v>
      </c>
      <c r="N2680" s="22" t="str">
        <f>+IF(Tabla2[[#This Row],[Variación Stock]]&gt;0,"Sobrante",IF(Tabla2[[#This Row],[Variación Stock]]&lt;0,"Faltante","Sin novedad"))</f>
        <v>Faltante</v>
      </c>
    </row>
    <row r="2681" spans="1:14" x14ac:dyDescent="0.25">
      <c r="A2681" s="11">
        <v>46053</v>
      </c>
      <c r="B2681" s="5" t="s">
        <v>394</v>
      </c>
      <c r="C2681" s="3" t="s">
        <v>337</v>
      </c>
      <c r="D2681" s="5" t="s">
        <v>115</v>
      </c>
      <c r="E2681" s="5" t="s">
        <v>112</v>
      </c>
      <c r="F2681" s="6" t="s">
        <v>368</v>
      </c>
      <c r="G2681" s="4" t="s">
        <v>2</v>
      </c>
      <c r="H2681" s="25">
        <v>3099.6666666699998</v>
      </c>
      <c r="I2681" s="8">
        <v>0</v>
      </c>
      <c r="J2681" s="9">
        <v>0</v>
      </c>
      <c r="K2681" s="7">
        <v>0</v>
      </c>
      <c r="L2681" s="24">
        <f>+Tabla2[[#This Row],[Stock Inventario]]*Tabla2[[#This Row],[Coste LÃ­nea]]</f>
        <v>0</v>
      </c>
      <c r="M2681" s="24">
        <f>+Tabla2[[#This Row],[Variación Stock]]*Tabla2[[#This Row],[Coste LÃ­nea]]</f>
        <v>0</v>
      </c>
      <c r="N2681" s="22" t="str">
        <f>+IF(Tabla2[[#This Row],[Variación Stock]]&gt;0,"Sobrante",IF(Tabla2[[#This Row],[Variación Stock]]&lt;0,"Faltante","Sin novedad"))</f>
        <v>Sin novedad</v>
      </c>
    </row>
    <row r="2682" spans="1:14" x14ac:dyDescent="0.25">
      <c r="A2682" s="11">
        <v>46053</v>
      </c>
      <c r="B2682" s="5" t="s">
        <v>394</v>
      </c>
      <c r="C2682" s="3" t="s">
        <v>337</v>
      </c>
      <c r="D2682" s="5" t="s">
        <v>115</v>
      </c>
      <c r="E2682" s="5" t="s">
        <v>112</v>
      </c>
      <c r="F2682" s="6" t="s">
        <v>76</v>
      </c>
      <c r="G2682" s="4" t="s">
        <v>2</v>
      </c>
      <c r="H2682" s="25">
        <v>3567.44444445</v>
      </c>
      <c r="I2682" s="8">
        <v>35</v>
      </c>
      <c r="J2682" s="9">
        <v>35</v>
      </c>
      <c r="K2682" s="7">
        <v>0</v>
      </c>
      <c r="L2682" s="24">
        <f>+Tabla2[[#This Row],[Stock Inventario]]*Tabla2[[#This Row],[Coste LÃ­nea]]</f>
        <v>124860.55555575</v>
      </c>
      <c r="M2682" s="24">
        <f>+Tabla2[[#This Row],[Variación Stock]]*Tabla2[[#This Row],[Coste LÃ­nea]]</f>
        <v>0</v>
      </c>
      <c r="N2682" s="22" t="str">
        <f>+IF(Tabla2[[#This Row],[Variación Stock]]&gt;0,"Sobrante",IF(Tabla2[[#This Row],[Variación Stock]]&lt;0,"Faltante","Sin novedad"))</f>
        <v>Sin novedad</v>
      </c>
    </row>
    <row r="2683" spans="1:14" x14ac:dyDescent="0.25">
      <c r="A2683" s="11">
        <v>46053</v>
      </c>
      <c r="B2683" s="5" t="s">
        <v>394</v>
      </c>
      <c r="C2683" s="3" t="s">
        <v>337</v>
      </c>
      <c r="D2683" s="5" t="s">
        <v>115</v>
      </c>
      <c r="E2683" s="5" t="s">
        <v>112</v>
      </c>
      <c r="F2683" s="6" t="s">
        <v>290</v>
      </c>
      <c r="G2683" s="4" t="s">
        <v>2</v>
      </c>
      <c r="H2683" s="25">
        <v>11200</v>
      </c>
      <c r="I2683" s="8">
        <v>30</v>
      </c>
      <c r="J2683" s="9">
        <v>30</v>
      </c>
      <c r="K2683" s="7">
        <v>0</v>
      </c>
      <c r="L2683" s="24">
        <f>+Tabla2[[#This Row],[Stock Inventario]]*Tabla2[[#This Row],[Coste LÃ­nea]]</f>
        <v>336000</v>
      </c>
      <c r="M2683" s="24">
        <f>+Tabla2[[#This Row],[Variación Stock]]*Tabla2[[#This Row],[Coste LÃ­nea]]</f>
        <v>0</v>
      </c>
      <c r="N2683" s="22" t="str">
        <f>+IF(Tabla2[[#This Row],[Variación Stock]]&gt;0,"Sobrante",IF(Tabla2[[#This Row],[Variación Stock]]&lt;0,"Faltante","Sin novedad"))</f>
        <v>Sin novedad</v>
      </c>
    </row>
    <row r="2684" spans="1:14" hidden="1" x14ac:dyDescent="0.25">
      <c r="A2684" s="11">
        <v>46053</v>
      </c>
      <c r="B2684" s="5" t="s">
        <v>394</v>
      </c>
      <c r="C2684" s="3" t="s">
        <v>337</v>
      </c>
      <c r="D2684" s="5" t="s">
        <v>471</v>
      </c>
      <c r="E2684" s="5" t="s">
        <v>117</v>
      </c>
      <c r="F2684" s="6" t="s">
        <v>494</v>
      </c>
      <c r="G2684" s="4" t="s">
        <v>1</v>
      </c>
      <c r="H2684" s="25">
        <v>26</v>
      </c>
      <c r="I2684" s="8">
        <v>-900</v>
      </c>
      <c r="J2684" s="9">
        <v>0</v>
      </c>
      <c r="K2684" s="7">
        <v>900</v>
      </c>
      <c r="L2684" s="24">
        <f>+Tabla2[[#This Row],[Stock Inventario]]*Tabla2[[#This Row],[Coste LÃ­nea]]</f>
        <v>0</v>
      </c>
      <c r="M2684" s="24">
        <f>+Tabla2[[#This Row],[Variación Stock]]*Tabla2[[#This Row],[Coste LÃ­nea]]</f>
        <v>23400</v>
      </c>
      <c r="N2684" s="22" t="str">
        <f>+IF(Tabla2[[#This Row],[Variación Stock]]&gt;0,"Sobrante",IF(Tabla2[[#This Row],[Variación Stock]]&lt;0,"Faltante","Sin novedad"))</f>
        <v>Sobrante</v>
      </c>
    </row>
    <row r="2685" spans="1:14" hidden="1" x14ac:dyDescent="0.25">
      <c r="A2685" s="11">
        <v>46053</v>
      </c>
      <c r="B2685" s="5" t="s">
        <v>394</v>
      </c>
      <c r="C2685" s="3" t="s">
        <v>337</v>
      </c>
      <c r="D2685" s="5" t="s">
        <v>471</v>
      </c>
      <c r="E2685" s="5" t="s">
        <v>117</v>
      </c>
      <c r="F2685" s="6" t="s">
        <v>495</v>
      </c>
      <c r="G2685" s="4" t="s">
        <v>1</v>
      </c>
      <c r="H2685" s="25">
        <v>29</v>
      </c>
      <c r="I2685" s="8">
        <v>14140.5558</v>
      </c>
      <c r="J2685" s="9">
        <v>3740</v>
      </c>
      <c r="K2685" s="7">
        <v>-12400.555832</v>
      </c>
      <c r="L2685" s="24">
        <f>+Tabla2[[#This Row],[Stock Inventario]]*Tabla2[[#This Row],[Coste LÃ­nea]]</f>
        <v>108460</v>
      </c>
      <c r="M2685" s="24">
        <f>+Tabla2[[#This Row],[Variación Stock]]*Tabla2[[#This Row],[Coste LÃ­nea]]</f>
        <v>-359616.11912799999</v>
      </c>
      <c r="N2685" s="22" t="str">
        <f>+IF(Tabla2[[#This Row],[Variación Stock]]&gt;0,"Sobrante",IF(Tabla2[[#This Row],[Variación Stock]]&lt;0,"Faltante","Sin novedad"))</f>
        <v>Faltante</v>
      </c>
    </row>
    <row r="2686" spans="1:14" hidden="1" x14ac:dyDescent="0.25">
      <c r="A2686" s="11">
        <v>46053</v>
      </c>
      <c r="B2686" s="5" t="s">
        <v>394</v>
      </c>
      <c r="C2686" s="3" t="s">
        <v>337</v>
      </c>
      <c r="D2686" s="5" t="s">
        <v>396</v>
      </c>
      <c r="E2686" s="5" t="s">
        <v>117</v>
      </c>
      <c r="F2686" s="6" t="s">
        <v>410</v>
      </c>
      <c r="G2686" s="4" t="s">
        <v>1</v>
      </c>
      <c r="H2686" s="25">
        <v>35.5</v>
      </c>
      <c r="I2686" s="8">
        <v>1160</v>
      </c>
      <c r="J2686" s="9">
        <v>1430</v>
      </c>
      <c r="K2686" s="7">
        <v>270</v>
      </c>
      <c r="L2686" s="24">
        <f>+Tabla2[[#This Row],[Stock Inventario]]*Tabla2[[#This Row],[Coste LÃ­nea]]</f>
        <v>50765</v>
      </c>
      <c r="M2686" s="24">
        <f>+Tabla2[[#This Row],[Variación Stock]]*Tabla2[[#This Row],[Coste LÃ­nea]]</f>
        <v>9585</v>
      </c>
      <c r="N2686" s="22" t="str">
        <f>+IF(Tabla2[[#This Row],[Variación Stock]]&gt;0,"Sobrante",IF(Tabla2[[#This Row],[Variación Stock]]&lt;0,"Faltante","Sin novedad"))</f>
        <v>Sobrante</v>
      </c>
    </row>
    <row r="2687" spans="1:14" hidden="1" x14ac:dyDescent="0.25">
      <c r="A2687" s="11">
        <v>46053</v>
      </c>
      <c r="B2687" s="5" t="s">
        <v>394</v>
      </c>
      <c r="C2687" s="3" t="s">
        <v>337</v>
      </c>
      <c r="D2687" s="5" t="s">
        <v>116</v>
      </c>
      <c r="E2687" s="5" t="s">
        <v>117</v>
      </c>
      <c r="F2687" s="6" t="s">
        <v>6</v>
      </c>
      <c r="G2687" s="4" t="s">
        <v>2</v>
      </c>
      <c r="H2687" s="25">
        <v>9663.3333333299997</v>
      </c>
      <c r="I2687" s="8">
        <v>39</v>
      </c>
      <c r="J2687" s="9">
        <v>39</v>
      </c>
      <c r="K2687" s="7">
        <v>0</v>
      </c>
      <c r="L2687" s="24">
        <f>+Tabla2[[#This Row],[Stock Inventario]]*Tabla2[[#This Row],[Coste LÃ­nea]]</f>
        <v>376869.99999986996</v>
      </c>
      <c r="M2687" s="24">
        <f>+Tabla2[[#This Row],[Variación Stock]]*Tabla2[[#This Row],[Coste LÃ­nea]]</f>
        <v>0</v>
      </c>
      <c r="N2687" s="22" t="str">
        <f>+IF(Tabla2[[#This Row],[Variación Stock]]&gt;0,"Sobrante",IF(Tabla2[[#This Row],[Variación Stock]]&lt;0,"Faltante","Sin novedad"))</f>
        <v>Sin novedad</v>
      </c>
    </row>
    <row r="2688" spans="1:14" hidden="1" x14ac:dyDescent="0.25">
      <c r="A2688" s="11">
        <v>46053</v>
      </c>
      <c r="B2688" s="5" t="s">
        <v>394</v>
      </c>
      <c r="C2688" s="3" t="s">
        <v>337</v>
      </c>
      <c r="D2688" s="5" t="s">
        <v>116</v>
      </c>
      <c r="E2688" s="5" t="s">
        <v>117</v>
      </c>
      <c r="F2688" s="6" t="s">
        <v>546</v>
      </c>
      <c r="G2688" s="4" t="s">
        <v>1</v>
      </c>
      <c r="H2688" s="25">
        <v>28</v>
      </c>
      <c r="I2688" s="8">
        <v>0</v>
      </c>
      <c r="J2688" s="9">
        <v>0</v>
      </c>
      <c r="K2688" s="7">
        <v>0</v>
      </c>
      <c r="L2688" s="24">
        <f>+Tabla2[[#This Row],[Stock Inventario]]*Tabla2[[#This Row],[Coste LÃ­nea]]</f>
        <v>0</v>
      </c>
      <c r="M2688" s="24">
        <f>+Tabla2[[#This Row],[Variación Stock]]*Tabla2[[#This Row],[Coste LÃ­nea]]</f>
        <v>0</v>
      </c>
      <c r="N2688" s="22" t="str">
        <f>+IF(Tabla2[[#This Row],[Variación Stock]]&gt;0,"Sobrante",IF(Tabla2[[#This Row],[Variación Stock]]&lt;0,"Faltante","Sin novedad"))</f>
        <v>Sin novedad</v>
      </c>
    </row>
    <row r="2689" spans="1:14" x14ac:dyDescent="0.25">
      <c r="A2689" s="11">
        <v>46053</v>
      </c>
      <c r="B2689" s="5" t="s">
        <v>394</v>
      </c>
      <c r="C2689" s="3" t="s">
        <v>337</v>
      </c>
      <c r="D2689" s="5" t="s">
        <v>114</v>
      </c>
      <c r="E2689" s="5" t="s">
        <v>112</v>
      </c>
      <c r="F2689" s="6" t="s">
        <v>66</v>
      </c>
      <c r="G2689" s="4" t="s">
        <v>2</v>
      </c>
      <c r="H2689" s="25">
        <v>4986.125</v>
      </c>
      <c r="I2689" s="8">
        <v>29</v>
      </c>
      <c r="J2689" s="9">
        <v>29</v>
      </c>
      <c r="K2689" s="7">
        <v>0</v>
      </c>
      <c r="L2689" s="24">
        <f>+Tabla2[[#This Row],[Stock Inventario]]*Tabla2[[#This Row],[Coste LÃ­nea]]</f>
        <v>144597.625</v>
      </c>
      <c r="M2689" s="24">
        <f>+Tabla2[[#This Row],[Variación Stock]]*Tabla2[[#This Row],[Coste LÃ­nea]]</f>
        <v>0</v>
      </c>
      <c r="N2689" s="22" t="str">
        <f>+IF(Tabla2[[#This Row],[Variación Stock]]&gt;0,"Sobrante",IF(Tabla2[[#This Row],[Variación Stock]]&lt;0,"Faltante","Sin novedad"))</f>
        <v>Sin novedad</v>
      </c>
    </row>
    <row r="2690" spans="1:14" hidden="1" x14ac:dyDescent="0.25">
      <c r="A2690" s="11">
        <v>46053</v>
      </c>
      <c r="B2690" s="5" t="s">
        <v>394</v>
      </c>
      <c r="C2690" s="3" t="s">
        <v>337</v>
      </c>
      <c r="D2690" s="5" t="s">
        <v>471</v>
      </c>
      <c r="E2690" s="5" t="s">
        <v>117</v>
      </c>
      <c r="F2690" s="6" t="s">
        <v>496</v>
      </c>
      <c r="G2690" s="4" t="s">
        <v>1</v>
      </c>
      <c r="H2690" s="25">
        <v>9</v>
      </c>
      <c r="I2690" s="8">
        <v>10087.5949</v>
      </c>
      <c r="J2690" s="9">
        <v>2230</v>
      </c>
      <c r="K2690" s="7">
        <v>-10857.594869299999</v>
      </c>
      <c r="L2690" s="24">
        <f>+Tabla2[[#This Row],[Stock Inventario]]*Tabla2[[#This Row],[Coste LÃ­nea]]</f>
        <v>20070</v>
      </c>
      <c r="M2690" s="24">
        <f>+Tabla2[[#This Row],[Variación Stock]]*Tabla2[[#This Row],[Coste LÃ­nea]]</f>
        <v>-97718.353823699988</v>
      </c>
      <c r="N2690" s="22" t="str">
        <f>+IF(Tabla2[[#This Row],[Variación Stock]]&gt;0,"Sobrante",IF(Tabla2[[#This Row],[Variación Stock]]&lt;0,"Faltante","Sin novedad"))</f>
        <v>Faltante</v>
      </c>
    </row>
    <row r="2691" spans="1:14" x14ac:dyDescent="0.25">
      <c r="A2691" s="11">
        <v>46053</v>
      </c>
      <c r="B2691" s="5" t="s">
        <v>394</v>
      </c>
      <c r="C2691" s="3" t="s">
        <v>337</v>
      </c>
      <c r="D2691" s="5" t="s">
        <v>111</v>
      </c>
      <c r="E2691" s="5" t="s">
        <v>112</v>
      </c>
      <c r="F2691" s="6" t="s">
        <v>38</v>
      </c>
      <c r="G2691" s="4" t="s">
        <v>0</v>
      </c>
      <c r="H2691" s="25">
        <v>2789.3636363599999</v>
      </c>
      <c r="I2691" s="8">
        <v>110</v>
      </c>
      <c r="J2691" s="9">
        <v>87</v>
      </c>
      <c r="K2691" s="7">
        <v>-23</v>
      </c>
      <c r="L2691" s="24">
        <f>+Tabla2[[#This Row],[Stock Inventario]]*Tabla2[[#This Row],[Coste LÃ­nea]]</f>
        <v>242674.63636331999</v>
      </c>
      <c r="M2691" s="24">
        <f>+Tabla2[[#This Row],[Variación Stock]]*Tabla2[[#This Row],[Coste LÃ­nea]]</f>
        <v>-64155.363636279995</v>
      </c>
      <c r="N2691" s="22" t="str">
        <f>+IF(Tabla2[[#This Row],[Variación Stock]]&gt;0,"Sobrante",IF(Tabla2[[#This Row],[Variación Stock]]&lt;0,"Faltante","Sin novedad"))</f>
        <v>Faltante</v>
      </c>
    </row>
    <row r="2692" spans="1:14" hidden="1" x14ac:dyDescent="0.25">
      <c r="A2692" s="11">
        <v>46053</v>
      </c>
      <c r="B2692" s="5" t="s">
        <v>394</v>
      </c>
      <c r="C2692" s="3" t="s">
        <v>337</v>
      </c>
      <c r="D2692" s="5" t="s">
        <v>803</v>
      </c>
      <c r="E2692" s="5" t="s">
        <v>117</v>
      </c>
      <c r="F2692" s="6" t="s">
        <v>809</v>
      </c>
      <c r="G2692" s="4" t="s">
        <v>1</v>
      </c>
      <c r="H2692" s="25">
        <v>46.806453779999998</v>
      </c>
      <c r="I2692" s="8">
        <v>-26</v>
      </c>
      <c r="J2692" s="9">
        <v>0</v>
      </c>
      <c r="K2692" s="7">
        <v>26</v>
      </c>
      <c r="L2692" s="24">
        <f>+Tabla2[[#This Row],[Stock Inventario]]*Tabla2[[#This Row],[Coste LÃ­nea]]</f>
        <v>0</v>
      </c>
      <c r="M2692" s="24">
        <f>+Tabla2[[#This Row],[Variación Stock]]*Tabla2[[#This Row],[Coste LÃ­nea]]</f>
        <v>1216.9677982799999</v>
      </c>
      <c r="N2692" s="22" t="str">
        <f>+IF(Tabla2[[#This Row],[Variación Stock]]&gt;0,"Sobrante",IF(Tabla2[[#This Row],[Variación Stock]]&lt;0,"Faltante","Sin novedad"))</f>
        <v>Sobrante</v>
      </c>
    </row>
    <row r="2693" spans="1:14" hidden="1" x14ac:dyDescent="0.25">
      <c r="A2693" s="11">
        <v>46053</v>
      </c>
      <c r="B2693" s="5" t="s">
        <v>394</v>
      </c>
      <c r="C2693" s="3" t="s">
        <v>337</v>
      </c>
      <c r="D2693" s="5" t="s">
        <v>396</v>
      </c>
      <c r="E2693" s="5" t="s">
        <v>117</v>
      </c>
      <c r="F2693" s="6" t="s">
        <v>459</v>
      </c>
      <c r="G2693" s="4" t="s">
        <v>1</v>
      </c>
      <c r="H2693" s="25">
        <v>82.471081679999998</v>
      </c>
      <c r="I2693" s="8">
        <v>-190</v>
      </c>
      <c r="J2693" s="9">
        <v>200</v>
      </c>
      <c r="K2693" s="7">
        <v>390</v>
      </c>
      <c r="L2693" s="24">
        <f>+Tabla2[[#This Row],[Stock Inventario]]*Tabla2[[#This Row],[Coste LÃ­nea]]</f>
        <v>16494.216335999998</v>
      </c>
      <c r="M2693" s="24">
        <f>+Tabla2[[#This Row],[Variación Stock]]*Tabla2[[#This Row],[Coste LÃ­nea]]</f>
        <v>32163.721855199998</v>
      </c>
      <c r="N2693" s="22" t="str">
        <f>+IF(Tabla2[[#This Row],[Variación Stock]]&gt;0,"Sobrante",IF(Tabla2[[#This Row],[Variación Stock]]&lt;0,"Faltante","Sin novedad"))</f>
        <v>Sobrante</v>
      </c>
    </row>
    <row r="2694" spans="1:14" x14ac:dyDescent="0.25">
      <c r="A2694" s="11">
        <v>46053</v>
      </c>
      <c r="B2694" s="5" t="s">
        <v>394</v>
      </c>
      <c r="C2694" s="3" t="s">
        <v>337</v>
      </c>
      <c r="D2694" s="5" t="s">
        <v>114</v>
      </c>
      <c r="E2694" s="5" t="s">
        <v>112</v>
      </c>
      <c r="F2694" s="6" t="s">
        <v>110</v>
      </c>
      <c r="G2694" s="4" t="s">
        <v>2</v>
      </c>
      <c r="H2694" s="25">
        <v>4126.8333333299997</v>
      </c>
      <c r="I2694" s="8">
        <v>0</v>
      </c>
      <c r="J2694" s="9">
        <v>0</v>
      </c>
      <c r="K2694" s="7">
        <v>0</v>
      </c>
      <c r="L2694" s="24">
        <f>+Tabla2[[#This Row],[Stock Inventario]]*Tabla2[[#This Row],[Coste LÃ­nea]]</f>
        <v>0</v>
      </c>
      <c r="M2694" s="24">
        <f>+Tabla2[[#This Row],[Variación Stock]]*Tabla2[[#This Row],[Coste LÃ­nea]]</f>
        <v>0</v>
      </c>
      <c r="N2694" s="22" t="str">
        <f>+IF(Tabla2[[#This Row],[Variación Stock]]&gt;0,"Sobrante",IF(Tabla2[[#This Row],[Variación Stock]]&lt;0,"Faltante","Sin novedad"))</f>
        <v>Sin novedad</v>
      </c>
    </row>
    <row r="2695" spans="1:14" x14ac:dyDescent="0.25">
      <c r="A2695" s="11">
        <v>46053</v>
      </c>
      <c r="B2695" s="5" t="s">
        <v>394</v>
      </c>
      <c r="C2695" s="3" t="s">
        <v>337</v>
      </c>
      <c r="D2695" s="5" t="s">
        <v>114</v>
      </c>
      <c r="E2695" s="5" t="s">
        <v>112</v>
      </c>
      <c r="F2695" s="6" t="s">
        <v>60</v>
      </c>
      <c r="G2695" s="4" t="s">
        <v>2</v>
      </c>
      <c r="H2695" s="25">
        <v>1769.5210905399999</v>
      </c>
      <c r="I2695" s="8">
        <v>98</v>
      </c>
      <c r="J2695" s="9">
        <v>62</v>
      </c>
      <c r="K2695" s="7">
        <v>-36</v>
      </c>
      <c r="L2695" s="24">
        <f>+Tabla2[[#This Row],[Stock Inventario]]*Tabla2[[#This Row],[Coste LÃ­nea]]</f>
        <v>109710.30761347999</v>
      </c>
      <c r="M2695" s="24">
        <f>+Tabla2[[#This Row],[Variación Stock]]*Tabla2[[#This Row],[Coste LÃ­nea]]</f>
        <v>-63702.759259439998</v>
      </c>
      <c r="N2695" s="22" t="str">
        <f>+IF(Tabla2[[#This Row],[Variación Stock]]&gt;0,"Sobrante",IF(Tabla2[[#This Row],[Variación Stock]]&lt;0,"Faltante","Sin novedad"))</f>
        <v>Faltante</v>
      </c>
    </row>
    <row r="2696" spans="1:14" x14ac:dyDescent="0.25">
      <c r="A2696" s="11">
        <v>46053</v>
      </c>
      <c r="B2696" s="5" t="s">
        <v>394</v>
      </c>
      <c r="C2696" s="3" t="s">
        <v>337</v>
      </c>
      <c r="D2696" s="5" t="s">
        <v>114</v>
      </c>
      <c r="E2696" s="5" t="s">
        <v>112</v>
      </c>
      <c r="F2696" s="6" t="s">
        <v>61</v>
      </c>
      <c r="G2696" s="4" t="s">
        <v>2</v>
      </c>
      <c r="H2696" s="25">
        <v>2119.6875</v>
      </c>
      <c r="I2696" s="8">
        <v>23</v>
      </c>
      <c r="J2696" s="9">
        <v>59</v>
      </c>
      <c r="K2696" s="7">
        <v>36</v>
      </c>
      <c r="L2696" s="24">
        <f>+Tabla2[[#This Row],[Stock Inventario]]*Tabla2[[#This Row],[Coste LÃ­nea]]</f>
        <v>125061.5625</v>
      </c>
      <c r="M2696" s="24">
        <f>+Tabla2[[#This Row],[Variación Stock]]*Tabla2[[#This Row],[Coste LÃ­nea]]</f>
        <v>76308.75</v>
      </c>
      <c r="N2696" s="22" t="str">
        <f>+IF(Tabla2[[#This Row],[Variación Stock]]&gt;0,"Sobrante",IF(Tabla2[[#This Row],[Variación Stock]]&lt;0,"Faltante","Sin novedad"))</f>
        <v>Sobrante</v>
      </c>
    </row>
    <row r="2697" spans="1:14" hidden="1" x14ac:dyDescent="0.25">
      <c r="A2697" s="11">
        <v>46053</v>
      </c>
      <c r="B2697" s="5" t="s">
        <v>394</v>
      </c>
      <c r="C2697" s="3" t="s">
        <v>337</v>
      </c>
      <c r="D2697" s="5" t="s">
        <v>824</v>
      </c>
      <c r="E2697" s="5" t="s">
        <v>117</v>
      </c>
      <c r="F2697" s="6" t="s">
        <v>826</v>
      </c>
      <c r="G2697" s="4" t="s">
        <v>1</v>
      </c>
      <c r="H2697" s="25">
        <v>41.195</v>
      </c>
      <c r="I2697" s="8">
        <v>1500</v>
      </c>
      <c r="J2697" s="9">
        <v>3316</v>
      </c>
      <c r="K2697" s="7">
        <v>1816</v>
      </c>
      <c r="L2697" s="24">
        <f>+Tabla2[[#This Row],[Stock Inventario]]*Tabla2[[#This Row],[Coste LÃ­nea]]</f>
        <v>136602.62</v>
      </c>
      <c r="M2697" s="24">
        <f>+Tabla2[[#This Row],[Variación Stock]]*Tabla2[[#This Row],[Coste LÃ­nea]]</f>
        <v>74810.12</v>
      </c>
      <c r="N2697" s="22" t="str">
        <f>+IF(Tabla2[[#This Row],[Variación Stock]]&gt;0,"Sobrante",IF(Tabla2[[#This Row],[Variación Stock]]&lt;0,"Faltante","Sin novedad"))</f>
        <v>Sobrante</v>
      </c>
    </row>
    <row r="2698" spans="1:14" hidden="1" x14ac:dyDescent="0.25">
      <c r="A2698" s="11">
        <v>46053</v>
      </c>
      <c r="B2698" s="5" t="s">
        <v>394</v>
      </c>
      <c r="C2698" s="3" t="s">
        <v>337</v>
      </c>
      <c r="D2698" s="5" t="s">
        <v>471</v>
      </c>
      <c r="E2698" s="5" t="s">
        <v>117</v>
      </c>
      <c r="F2698" s="6" t="s">
        <v>497</v>
      </c>
      <c r="G2698" s="4" t="s">
        <v>1</v>
      </c>
      <c r="H2698" s="25">
        <v>8.1999999999999993</v>
      </c>
      <c r="I2698" s="8">
        <v>11905.661599999999</v>
      </c>
      <c r="J2698" s="9">
        <v>4440</v>
      </c>
      <c r="K2698" s="7">
        <v>-7465.6616000000004</v>
      </c>
      <c r="L2698" s="24">
        <f>+Tabla2[[#This Row],[Stock Inventario]]*Tabla2[[#This Row],[Coste LÃ­nea]]</f>
        <v>36408</v>
      </c>
      <c r="M2698" s="24">
        <f>+Tabla2[[#This Row],[Variación Stock]]*Tabla2[[#This Row],[Coste LÃ­nea]]</f>
        <v>-61218.42512</v>
      </c>
      <c r="N2698" s="22" t="str">
        <f>+IF(Tabla2[[#This Row],[Variación Stock]]&gt;0,"Sobrante",IF(Tabla2[[#This Row],[Variación Stock]]&lt;0,"Faltante","Sin novedad"))</f>
        <v>Faltante</v>
      </c>
    </row>
    <row r="2699" spans="1:14" x14ac:dyDescent="0.25">
      <c r="A2699" s="11">
        <v>46053</v>
      </c>
      <c r="B2699" s="5" t="s">
        <v>394</v>
      </c>
      <c r="C2699" s="3" t="s">
        <v>337</v>
      </c>
      <c r="D2699" s="5" t="s">
        <v>114</v>
      </c>
      <c r="E2699" s="5" t="s">
        <v>112</v>
      </c>
      <c r="F2699" s="6" t="s">
        <v>67</v>
      </c>
      <c r="G2699" s="4" t="s">
        <v>2</v>
      </c>
      <c r="H2699" s="25">
        <v>4986.0833333299997</v>
      </c>
      <c r="I2699" s="8">
        <v>26.54</v>
      </c>
      <c r="J2699" s="9">
        <v>24</v>
      </c>
      <c r="K2699" s="7">
        <v>-2.54</v>
      </c>
      <c r="L2699" s="24">
        <f>+Tabla2[[#This Row],[Stock Inventario]]*Tabla2[[#This Row],[Coste LÃ­nea]]</f>
        <v>119665.99999991999</v>
      </c>
      <c r="M2699" s="24">
        <f>+Tabla2[[#This Row],[Variación Stock]]*Tabla2[[#This Row],[Coste LÃ­nea]]</f>
        <v>-12664.651666658199</v>
      </c>
      <c r="N2699" s="22" t="str">
        <f>+IF(Tabla2[[#This Row],[Variación Stock]]&gt;0,"Sobrante",IF(Tabla2[[#This Row],[Variación Stock]]&lt;0,"Faltante","Sin novedad"))</f>
        <v>Faltante</v>
      </c>
    </row>
    <row r="2700" spans="1:14" hidden="1" x14ac:dyDescent="0.25">
      <c r="A2700" s="11">
        <v>46053</v>
      </c>
      <c r="B2700" s="5" t="s">
        <v>394</v>
      </c>
      <c r="C2700" s="3" t="s">
        <v>337</v>
      </c>
      <c r="D2700" s="5" t="s">
        <v>471</v>
      </c>
      <c r="E2700" s="5" t="s">
        <v>117</v>
      </c>
      <c r="F2700" s="6" t="s">
        <v>498</v>
      </c>
      <c r="G2700" s="4" t="s">
        <v>1</v>
      </c>
      <c r="H2700" s="25">
        <v>24</v>
      </c>
      <c r="I2700" s="8">
        <v>6689.8829999999998</v>
      </c>
      <c r="J2700" s="9">
        <v>820</v>
      </c>
      <c r="K2700" s="7">
        <v>-6619.8830183999999</v>
      </c>
      <c r="L2700" s="24">
        <f>+Tabla2[[#This Row],[Stock Inventario]]*Tabla2[[#This Row],[Coste LÃ­nea]]</f>
        <v>19680</v>
      </c>
      <c r="M2700" s="24">
        <f>+Tabla2[[#This Row],[Variación Stock]]*Tabla2[[#This Row],[Coste LÃ­nea]]</f>
        <v>-158877.1924416</v>
      </c>
      <c r="N2700" s="22" t="str">
        <f>+IF(Tabla2[[#This Row],[Variación Stock]]&gt;0,"Sobrante",IF(Tabla2[[#This Row],[Variación Stock]]&lt;0,"Faltante","Sin novedad"))</f>
        <v>Faltante</v>
      </c>
    </row>
    <row r="2701" spans="1:14" hidden="1" x14ac:dyDescent="0.25">
      <c r="A2701" s="11">
        <v>46053</v>
      </c>
      <c r="B2701" s="5" t="s">
        <v>394</v>
      </c>
      <c r="C2701" s="3" t="s">
        <v>337</v>
      </c>
      <c r="D2701" s="5" t="s">
        <v>119</v>
      </c>
      <c r="E2701" s="5" t="s">
        <v>117</v>
      </c>
      <c r="F2701" s="6" t="s">
        <v>10</v>
      </c>
      <c r="G2701" s="4" t="s">
        <v>2</v>
      </c>
      <c r="H2701" s="25">
        <v>25875</v>
      </c>
      <c r="I2701" s="8">
        <v>4</v>
      </c>
      <c r="J2701" s="9">
        <v>4</v>
      </c>
      <c r="K2701" s="7">
        <v>0</v>
      </c>
      <c r="L2701" s="24">
        <f>+Tabla2[[#This Row],[Stock Inventario]]*Tabla2[[#This Row],[Coste LÃ­nea]]</f>
        <v>103500</v>
      </c>
      <c r="M2701" s="24">
        <f>+Tabla2[[#This Row],[Variación Stock]]*Tabla2[[#This Row],[Coste LÃ­nea]]</f>
        <v>0</v>
      </c>
      <c r="N2701" s="22" t="str">
        <f>+IF(Tabla2[[#This Row],[Variación Stock]]&gt;0,"Sobrante",IF(Tabla2[[#This Row],[Variación Stock]]&lt;0,"Faltante","Sin novedad"))</f>
        <v>Sin novedad</v>
      </c>
    </row>
    <row r="2702" spans="1:14" hidden="1" x14ac:dyDescent="0.25">
      <c r="A2702" s="11">
        <v>46053</v>
      </c>
      <c r="B2702" s="5" t="s">
        <v>394</v>
      </c>
      <c r="C2702" s="3" t="s">
        <v>337</v>
      </c>
      <c r="D2702" s="5" t="s">
        <v>396</v>
      </c>
      <c r="E2702" s="5" t="s">
        <v>117</v>
      </c>
      <c r="F2702" s="6" t="s">
        <v>434</v>
      </c>
      <c r="G2702" s="4" t="s">
        <v>1</v>
      </c>
      <c r="H2702" s="25">
        <v>159.88999999999999</v>
      </c>
      <c r="I2702" s="8">
        <v>2000</v>
      </c>
      <c r="J2702" s="9">
        <v>0</v>
      </c>
      <c r="K2702" s="7">
        <v>-2500</v>
      </c>
      <c r="L2702" s="24">
        <f>+Tabla2[[#This Row],[Stock Inventario]]*Tabla2[[#This Row],[Coste LÃ­nea]]</f>
        <v>0</v>
      </c>
      <c r="M2702" s="24">
        <f>+Tabla2[[#This Row],[Variación Stock]]*Tabla2[[#This Row],[Coste LÃ­nea]]</f>
        <v>-399724.99999999994</v>
      </c>
      <c r="N2702" s="22" t="str">
        <f>+IF(Tabla2[[#This Row],[Variación Stock]]&gt;0,"Sobrante",IF(Tabla2[[#This Row],[Variación Stock]]&lt;0,"Faltante","Sin novedad"))</f>
        <v>Faltante</v>
      </c>
    </row>
    <row r="2703" spans="1:14" hidden="1" x14ac:dyDescent="0.25">
      <c r="A2703" s="11">
        <v>46053</v>
      </c>
      <c r="B2703" s="5" t="s">
        <v>394</v>
      </c>
      <c r="C2703" s="3" t="s">
        <v>337</v>
      </c>
      <c r="D2703" s="5" t="s">
        <v>396</v>
      </c>
      <c r="E2703" s="5" t="s">
        <v>117</v>
      </c>
      <c r="F2703" s="6" t="s">
        <v>466</v>
      </c>
      <c r="G2703" s="4" t="s">
        <v>1</v>
      </c>
      <c r="H2703" s="25">
        <v>10.735200000000001</v>
      </c>
      <c r="I2703" s="8">
        <v>0</v>
      </c>
      <c r="J2703" s="9">
        <v>0</v>
      </c>
      <c r="K2703" s="7">
        <v>0</v>
      </c>
      <c r="L2703" s="24">
        <f>+Tabla2[[#This Row],[Stock Inventario]]*Tabla2[[#This Row],[Coste LÃ­nea]]</f>
        <v>0</v>
      </c>
      <c r="M2703" s="24">
        <f>+Tabla2[[#This Row],[Variación Stock]]*Tabla2[[#This Row],[Coste LÃ­nea]]</f>
        <v>0</v>
      </c>
      <c r="N2703" s="22" t="str">
        <f>+IF(Tabla2[[#This Row],[Variación Stock]]&gt;0,"Sobrante",IF(Tabla2[[#This Row],[Variación Stock]]&lt;0,"Faltante","Sin novedad"))</f>
        <v>Sin novedad</v>
      </c>
    </row>
    <row r="2704" spans="1:14" hidden="1" x14ac:dyDescent="0.25">
      <c r="A2704" s="11">
        <v>46053</v>
      </c>
      <c r="B2704" s="5" t="s">
        <v>394</v>
      </c>
      <c r="C2704" s="3" t="s">
        <v>337</v>
      </c>
      <c r="D2704" s="5" t="s">
        <v>815</v>
      </c>
      <c r="E2704" s="5" t="s">
        <v>117</v>
      </c>
      <c r="F2704" s="6" t="s">
        <v>817</v>
      </c>
      <c r="G2704" s="4" t="s">
        <v>2</v>
      </c>
      <c r="H2704" s="25">
        <v>2500</v>
      </c>
      <c r="I2704" s="8">
        <v>0</v>
      </c>
      <c r="J2704" s="9">
        <v>0</v>
      </c>
      <c r="K2704" s="7">
        <v>0</v>
      </c>
      <c r="L2704" s="24">
        <f>+Tabla2[[#This Row],[Stock Inventario]]*Tabla2[[#This Row],[Coste LÃ­nea]]</f>
        <v>0</v>
      </c>
      <c r="M2704" s="24">
        <f>+Tabla2[[#This Row],[Variación Stock]]*Tabla2[[#This Row],[Coste LÃ­nea]]</f>
        <v>0</v>
      </c>
      <c r="N2704" s="22" t="str">
        <f>+IF(Tabla2[[#This Row],[Variación Stock]]&gt;0,"Sobrante",IF(Tabla2[[#This Row],[Variación Stock]]&lt;0,"Faltante","Sin novedad"))</f>
        <v>Sin novedad</v>
      </c>
    </row>
    <row r="2705" spans="1:14" hidden="1" x14ac:dyDescent="0.25">
      <c r="A2705" s="11">
        <v>46053</v>
      </c>
      <c r="B2705" s="5" t="s">
        <v>394</v>
      </c>
      <c r="C2705" s="3" t="s">
        <v>337</v>
      </c>
      <c r="D2705" s="5" t="s">
        <v>803</v>
      </c>
      <c r="E2705" s="5" t="s">
        <v>117</v>
      </c>
      <c r="F2705" s="6" t="s">
        <v>813</v>
      </c>
      <c r="G2705" s="4" t="s">
        <v>1</v>
      </c>
      <c r="H2705" s="25">
        <v>68.37</v>
      </c>
      <c r="I2705" s="8">
        <v>826</v>
      </c>
      <c r="J2705" s="9">
        <v>790</v>
      </c>
      <c r="K2705" s="7">
        <v>-536</v>
      </c>
      <c r="L2705" s="24">
        <f>+Tabla2[[#This Row],[Stock Inventario]]*Tabla2[[#This Row],[Coste LÃ­nea]]</f>
        <v>54012.3</v>
      </c>
      <c r="M2705" s="24">
        <f>+Tabla2[[#This Row],[Variación Stock]]*Tabla2[[#This Row],[Coste LÃ­nea]]</f>
        <v>-36646.32</v>
      </c>
      <c r="N2705" s="22" t="str">
        <f>+IF(Tabla2[[#This Row],[Variación Stock]]&gt;0,"Sobrante",IF(Tabla2[[#This Row],[Variación Stock]]&lt;0,"Faltante","Sin novedad"))</f>
        <v>Faltante</v>
      </c>
    </row>
    <row r="2706" spans="1:14" hidden="1" x14ac:dyDescent="0.25">
      <c r="A2706" s="11">
        <v>46053</v>
      </c>
      <c r="B2706" s="5" t="s">
        <v>394</v>
      </c>
      <c r="C2706" s="3" t="s">
        <v>337</v>
      </c>
      <c r="D2706" s="5" t="s">
        <v>559</v>
      </c>
      <c r="E2706" s="5" t="s">
        <v>1080</v>
      </c>
      <c r="F2706" s="6" t="s">
        <v>576</v>
      </c>
      <c r="G2706" s="4" t="s">
        <v>2</v>
      </c>
      <c r="H2706" s="25">
        <v>1388.73</v>
      </c>
      <c r="I2706" s="8">
        <v>0</v>
      </c>
      <c r="J2706" s="9">
        <v>0</v>
      </c>
      <c r="K2706" s="7">
        <v>0</v>
      </c>
      <c r="L2706" s="24">
        <f>+Tabla2[[#This Row],[Stock Inventario]]*Tabla2[[#This Row],[Coste LÃ­nea]]</f>
        <v>0</v>
      </c>
      <c r="M2706" s="24">
        <f>+Tabla2[[#This Row],[Variación Stock]]*Tabla2[[#This Row],[Coste LÃ­nea]]</f>
        <v>0</v>
      </c>
      <c r="N2706" s="22" t="str">
        <f>+IF(Tabla2[[#This Row],[Variación Stock]]&gt;0,"Sobrante",IF(Tabla2[[#This Row],[Variación Stock]]&lt;0,"Faltante","Sin novedad"))</f>
        <v>Sin novedad</v>
      </c>
    </row>
    <row r="2707" spans="1:14" hidden="1" x14ac:dyDescent="0.25">
      <c r="A2707" s="11">
        <v>46053</v>
      </c>
      <c r="B2707" s="5" t="s">
        <v>394</v>
      </c>
      <c r="C2707" s="3" t="s">
        <v>337</v>
      </c>
      <c r="D2707" s="5" t="s">
        <v>116</v>
      </c>
      <c r="E2707" s="5" t="s">
        <v>117</v>
      </c>
      <c r="F2707" s="6" t="s">
        <v>253</v>
      </c>
      <c r="G2707" s="4" t="s">
        <v>1</v>
      </c>
      <c r="H2707" s="25">
        <v>26.941605840000001</v>
      </c>
      <c r="I2707" s="8">
        <v>0</v>
      </c>
      <c r="J2707" s="9">
        <v>0</v>
      </c>
      <c r="K2707" s="7">
        <v>0</v>
      </c>
      <c r="L2707" s="24">
        <f>+Tabla2[[#This Row],[Stock Inventario]]*Tabla2[[#This Row],[Coste LÃ­nea]]</f>
        <v>0</v>
      </c>
      <c r="M2707" s="24">
        <f>+Tabla2[[#This Row],[Variación Stock]]*Tabla2[[#This Row],[Coste LÃ­nea]]</f>
        <v>0</v>
      </c>
      <c r="N2707" s="22" t="str">
        <f>+IF(Tabla2[[#This Row],[Variación Stock]]&gt;0,"Sobrante",IF(Tabla2[[#This Row],[Variación Stock]]&lt;0,"Faltante","Sin novedad"))</f>
        <v>Sin novedad</v>
      </c>
    </row>
    <row r="2708" spans="1:14" hidden="1" x14ac:dyDescent="0.25">
      <c r="A2708" s="11">
        <v>46053</v>
      </c>
      <c r="B2708" s="5" t="s">
        <v>394</v>
      </c>
      <c r="C2708" s="3" t="s">
        <v>337</v>
      </c>
      <c r="D2708" s="5" t="s">
        <v>396</v>
      </c>
      <c r="E2708" s="5" t="s">
        <v>117</v>
      </c>
      <c r="F2708" s="6" t="s">
        <v>435</v>
      </c>
      <c r="G2708" s="4" t="s">
        <v>1</v>
      </c>
      <c r="H2708" s="25">
        <v>83.553333330000001</v>
      </c>
      <c r="I2708" s="8">
        <v>750</v>
      </c>
      <c r="J2708" s="9">
        <v>0</v>
      </c>
      <c r="K2708" s="7">
        <v>-750</v>
      </c>
      <c r="L2708" s="24">
        <f>+Tabla2[[#This Row],[Stock Inventario]]*Tabla2[[#This Row],[Coste LÃ­nea]]</f>
        <v>0</v>
      </c>
      <c r="M2708" s="24">
        <f>+Tabla2[[#This Row],[Variación Stock]]*Tabla2[[#This Row],[Coste LÃ­nea]]</f>
        <v>-62664.999997500003</v>
      </c>
      <c r="N2708" s="22" t="str">
        <f>+IF(Tabla2[[#This Row],[Variación Stock]]&gt;0,"Sobrante",IF(Tabla2[[#This Row],[Variación Stock]]&lt;0,"Faltante","Sin novedad"))</f>
        <v>Faltante</v>
      </c>
    </row>
    <row r="2709" spans="1:14" hidden="1" x14ac:dyDescent="0.25">
      <c r="A2709" s="11">
        <v>46053</v>
      </c>
      <c r="B2709" s="5" t="s">
        <v>394</v>
      </c>
      <c r="C2709" s="3" t="s">
        <v>337</v>
      </c>
      <c r="D2709" s="5" t="s">
        <v>547</v>
      </c>
      <c r="E2709" s="5" t="s">
        <v>117</v>
      </c>
      <c r="F2709" s="6" t="s">
        <v>548</v>
      </c>
      <c r="G2709" s="4" t="s">
        <v>1</v>
      </c>
      <c r="H2709" s="25">
        <v>21.274999999999999</v>
      </c>
      <c r="I2709" s="8">
        <v>0</v>
      </c>
      <c r="J2709" s="9">
        <v>0</v>
      </c>
      <c r="K2709" s="7">
        <v>0</v>
      </c>
      <c r="L2709" s="24">
        <f>+Tabla2[[#This Row],[Stock Inventario]]*Tabla2[[#This Row],[Coste LÃ­nea]]</f>
        <v>0</v>
      </c>
      <c r="M2709" s="24">
        <f>+Tabla2[[#This Row],[Variación Stock]]*Tabla2[[#This Row],[Coste LÃ­nea]]</f>
        <v>0</v>
      </c>
      <c r="N2709" s="22" t="str">
        <f>+IF(Tabla2[[#This Row],[Variación Stock]]&gt;0,"Sobrante",IF(Tabla2[[#This Row],[Variación Stock]]&lt;0,"Faltante","Sin novedad"))</f>
        <v>Sin novedad</v>
      </c>
    </row>
    <row r="2710" spans="1:14" hidden="1" x14ac:dyDescent="0.25">
      <c r="A2710" s="11">
        <v>46053</v>
      </c>
      <c r="B2710" s="5" t="s">
        <v>394</v>
      </c>
      <c r="C2710" s="3" t="s">
        <v>337</v>
      </c>
      <c r="D2710" s="5" t="s">
        <v>396</v>
      </c>
      <c r="E2710" s="5" t="s">
        <v>117</v>
      </c>
      <c r="F2710" s="6" t="s">
        <v>436</v>
      </c>
      <c r="G2710" s="4" t="s">
        <v>1</v>
      </c>
      <c r="H2710" s="25">
        <v>42.05</v>
      </c>
      <c r="I2710" s="8">
        <v>0</v>
      </c>
      <c r="J2710" s="9">
        <v>0</v>
      </c>
      <c r="K2710" s="7">
        <v>0</v>
      </c>
      <c r="L2710" s="24">
        <f>+Tabla2[[#This Row],[Stock Inventario]]*Tabla2[[#This Row],[Coste LÃ­nea]]</f>
        <v>0</v>
      </c>
      <c r="M2710" s="24">
        <f>+Tabla2[[#This Row],[Variación Stock]]*Tabla2[[#This Row],[Coste LÃ­nea]]</f>
        <v>0</v>
      </c>
      <c r="N2710" s="22" t="str">
        <f>+IF(Tabla2[[#This Row],[Variación Stock]]&gt;0,"Sobrante",IF(Tabla2[[#This Row],[Variación Stock]]&lt;0,"Faltante","Sin novedad"))</f>
        <v>Sin novedad</v>
      </c>
    </row>
    <row r="2711" spans="1:14" hidden="1" x14ac:dyDescent="0.25">
      <c r="A2711" s="11">
        <v>46053</v>
      </c>
      <c r="B2711" s="5" t="s">
        <v>394</v>
      </c>
      <c r="C2711" s="3" t="s">
        <v>337</v>
      </c>
      <c r="D2711" s="5" t="s">
        <v>547</v>
      </c>
      <c r="E2711" s="5" t="s">
        <v>117</v>
      </c>
      <c r="F2711" s="6" t="s">
        <v>553</v>
      </c>
      <c r="G2711" s="4" t="s">
        <v>1</v>
      </c>
      <c r="H2711" s="25">
        <v>17.858762890000001</v>
      </c>
      <c r="I2711" s="8">
        <v>-11670</v>
      </c>
      <c r="J2711" s="9">
        <v>11600</v>
      </c>
      <c r="K2711" s="7">
        <v>13570</v>
      </c>
      <c r="L2711" s="24">
        <f>+Tabla2[[#This Row],[Stock Inventario]]*Tabla2[[#This Row],[Coste LÃ­nea]]</f>
        <v>207161.64952400001</v>
      </c>
      <c r="M2711" s="24">
        <f>+Tabla2[[#This Row],[Variación Stock]]*Tabla2[[#This Row],[Coste LÃ­nea]]</f>
        <v>242343.41241730002</v>
      </c>
      <c r="N2711" s="22" t="str">
        <f>+IF(Tabla2[[#This Row],[Variación Stock]]&gt;0,"Sobrante",IF(Tabla2[[#This Row],[Variación Stock]]&lt;0,"Faltante","Sin novedad"))</f>
        <v>Sobrante</v>
      </c>
    </row>
    <row r="2712" spans="1:14" hidden="1" x14ac:dyDescent="0.25">
      <c r="A2712" s="11">
        <v>46053</v>
      </c>
      <c r="B2712" s="5" t="s">
        <v>394</v>
      </c>
      <c r="C2712" s="3" t="s">
        <v>337</v>
      </c>
      <c r="D2712" s="5" t="s">
        <v>547</v>
      </c>
      <c r="E2712" s="5" t="s">
        <v>117</v>
      </c>
      <c r="F2712" s="6" t="s">
        <v>554</v>
      </c>
      <c r="G2712" s="4" t="s">
        <v>1</v>
      </c>
      <c r="H2712" s="25">
        <v>28.84</v>
      </c>
      <c r="I2712" s="8">
        <v>-1000</v>
      </c>
      <c r="J2712" s="9">
        <v>448</v>
      </c>
      <c r="K2712" s="7">
        <v>1448</v>
      </c>
      <c r="L2712" s="24">
        <f>+Tabla2[[#This Row],[Stock Inventario]]*Tabla2[[#This Row],[Coste LÃ­nea]]</f>
        <v>12920.32</v>
      </c>
      <c r="M2712" s="24">
        <f>+Tabla2[[#This Row],[Variación Stock]]*Tabla2[[#This Row],[Coste LÃ­nea]]</f>
        <v>41760.32</v>
      </c>
      <c r="N2712" s="22" t="str">
        <f>+IF(Tabla2[[#This Row],[Variación Stock]]&gt;0,"Sobrante",IF(Tabla2[[#This Row],[Variación Stock]]&lt;0,"Faltante","Sin novedad"))</f>
        <v>Sobrante</v>
      </c>
    </row>
    <row r="2713" spans="1:14" hidden="1" x14ac:dyDescent="0.25">
      <c r="A2713" s="11">
        <v>46053</v>
      </c>
      <c r="B2713" s="5" t="s">
        <v>394</v>
      </c>
      <c r="C2713" s="3" t="s">
        <v>337</v>
      </c>
      <c r="D2713" s="5" t="s">
        <v>559</v>
      </c>
      <c r="E2713" s="5" t="s">
        <v>1080</v>
      </c>
      <c r="F2713" s="6" t="s">
        <v>577</v>
      </c>
      <c r="G2713" s="4" t="s">
        <v>2</v>
      </c>
      <c r="H2713" s="25">
        <v>179.65</v>
      </c>
      <c r="I2713" s="8">
        <v>0</v>
      </c>
      <c r="J2713" s="9">
        <v>100</v>
      </c>
      <c r="K2713" s="7">
        <v>100</v>
      </c>
      <c r="L2713" s="24">
        <f>+Tabla2[[#This Row],[Stock Inventario]]*Tabla2[[#This Row],[Coste LÃ­nea]]</f>
        <v>17965</v>
      </c>
      <c r="M2713" s="24">
        <f>+Tabla2[[#This Row],[Variación Stock]]*Tabla2[[#This Row],[Coste LÃ­nea]]</f>
        <v>17965</v>
      </c>
      <c r="N2713" s="22" t="str">
        <f>+IF(Tabla2[[#This Row],[Variación Stock]]&gt;0,"Sobrante",IF(Tabla2[[#This Row],[Variación Stock]]&lt;0,"Faltante","Sin novedad"))</f>
        <v>Sobrante</v>
      </c>
    </row>
    <row r="2714" spans="1:14" hidden="1" x14ac:dyDescent="0.25">
      <c r="A2714" s="11">
        <v>46053</v>
      </c>
      <c r="B2714" s="5" t="s">
        <v>394</v>
      </c>
      <c r="C2714" s="3" t="s">
        <v>337</v>
      </c>
      <c r="D2714" s="5" t="s">
        <v>559</v>
      </c>
      <c r="E2714" s="5" t="s">
        <v>1080</v>
      </c>
      <c r="F2714" s="6" t="s">
        <v>578</v>
      </c>
      <c r="G2714" s="4" t="s">
        <v>2</v>
      </c>
      <c r="H2714" s="25">
        <v>179.65</v>
      </c>
      <c r="I2714" s="8">
        <v>100</v>
      </c>
      <c r="J2714" s="9">
        <v>50</v>
      </c>
      <c r="K2714" s="7">
        <v>-50</v>
      </c>
      <c r="L2714" s="24">
        <f>+Tabla2[[#This Row],[Stock Inventario]]*Tabla2[[#This Row],[Coste LÃ­nea]]</f>
        <v>8982.5</v>
      </c>
      <c r="M2714" s="24">
        <f>+Tabla2[[#This Row],[Variación Stock]]*Tabla2[[#This Row],[Coste LÃ­nea]]</f>
        <v>-8982.5</v>
      </c>
      <c r="N2714" s="22" t="str">
        <f>+IF(Tabla2[[#This Row],[Variación Stock]]&gt;0,"Sobrante",IF(Tabla2[[#This Row],[Variación Stock]]&lt;0,"Faltante","Sin novedad"))</f>
        <v>Faltante</v>
      </c>
    </row>
    <row r="2715" spans="1:14" hidden="1" x14ac:dyDescent="0.25">
      <c r="A2715" s="11">
        <v>46053</v>
      </c>
      <c r="B2715" s="5" t="s">
        <v>394</v>
      </c>
      <c r="C2715" s="3" t="s">
        <v>337</v>
      </c>
      <c r="D2715" s="5" t="s">
        <v>396</v>
      </c>
      <c r="E2715" s="5" t="s">
        <v>117</v>
      </c>
      <c r="F2715" s="6" t="s">
        <v>467</v>
      </c>
      <c r="G2715" s="4" t="s">
        <v>2</v>
      </c>
      <c r="H2715" s="25">
        <v>4.7356828193832596</v>
      </c>
      <c r="I2715" s="8">
        <v>0</v>
      </c>
      <c r="J2715" s="9">
        <v>0</v>
      </c>
      <c r="K2715" s="7">
        <v>0</v>
      </c>
      <c r="L2715" s="24">
        <f>+Tabla2[[#This Row],[Stock Inventario]]*Tabla2[[#This Row],[Coste LÃ­nea]]</f>
        <v>0</v>
      </c>
      <c r="M2715" s="24">
        <f>+Tabla2[[#This Row],[Variación Stock]]*Tabla2[[#This Row],[Coste LÃ­nea]]</f>
        <v>0</v>
      </c>
      <c r="N2715" s="22" t="str">
        <f>+IF(Tabla2[[#This Row],[Variación Stock]]&gt;0,"Sobrante",IF(Tabla2[[#This Row],[Variación Stock]]&lt;0,"Faltante","Sin novedad"))</f>
        <v>Sin novedad</v>
      </c>
    </row>
    <row r="2716" spans="1:14" hidden="1" x14ac:dyDescent="0.25">
      <c r="A2716" s="11">
        <v>46053</v>
      </c>
      <c r="B2716" s="5" t="s">
        <v>394</v>
      </c>
      <c r="C2716" s="3" t="s">
        <v>337</v>
      </c>
      <c r="D2716" s="5" t="s">
        <v>471</v>
      </c>
      <c r="E2716" s="5" t="s">
        <v>117</v>
      </c>
      <c r="F2716" s="6" t="s">
        <v>499</v>
      </c>
      <c r="G2716" s="4" t="s">
        <v>1</v>
      </c>
      <c r="H2716" s="25">
        <v>5.8</v>
      </c>
      <c r="I2716" s="8">
        <v>0</v>
      </c>
      <c r="J2716" s="9">
        <v>0</v>
      </c>
      <c r="K2716" s="7">
        <v>0</v>
      </c>
      <c r="L2716" s="24">
        <f>+Tabla2[[#This Row],[Stock Inventario]]*Tabla2[[#This Row],[Coste LÃ­nea]]</f>
        <v>0</v>
      </c>
      <c r="M2716" s="24">
        <f>+Tabla2[[#This Row],[Variación Stock]]*Tabla2[[#This Row],[Coste LÃ­nea]]</f>
        <v>0</v>
      </c>
      <c r="N2716" s="22" t="str">
        <f>+IF(Tabla2[[#This Row],[Variación Stock]]&gt;0,"Sobrante",IF(Tabla2[[#This Row],[Variación Stock]]&lt;0,"Faltante","Sin novedad"))</f>
        <v>Sin novedad</v>
      </c>
    </row>
    <row r="2717" spans="1:14" hidden="1" x14ac:dyDescent="0.25">
      <c r="A2717" s="11">
        <v>46053</v>
      </c>
      <c r="B2717" s="5" t="s">
        <v>394</v>
      </c>
      <c r="C2717" s="3" t="s">
        <v>337</v>
      </c>
      <c r="D2717" s="5" t="s">
        <v>626</v>
      </c>
      <c r="E2717" s="5" t="s">
        <v>1079</v>
      </c>
      <c r="F2717" s="6" t="s">
        <v>636</v>
      </c>
      <c r="G2717" s="4" t="s">
        <v>2</v>
      </c>
      <c r="H2717" s="25">
        <v>648.20000000000005</v>
      </c>
      <c r="I2717" s="8">
        <v>0</v>
      </c>
      <c r="J2717" s="9">
        <v>0</v>
      </c>
      <c r="K2717" s="7">
        <v>0</v>
      </c>
      <c r="L2717" s="24">
        <f>+Tabla2[[#This Row],[Stock Inventario]]*Tabla2[[#This Row],[Coste LÃ­nea]]</f>
        <v>0</v>
      </c>
      <c r="M2717" s="24">
        <f>+Tabla2[[#This Row],[Variación Stock]]*Tabla2[[#This Row],[Coste LÃ­nea]]</f>
        <v>0</v>
      </c>
      <c r="N2717" s="22" t="str">
        <f>+IF(Tabla2[[#This Row],[Variación Stock]]&gt;0,"Sobrante",IF(Tabla2[[#This Row],[Variación Stock]]&lt;0,"Faltante","Sin novedad"))</f>
        <v>Sin novedad</v>
      </c>
    </row>
    <row r="2718" spans="1:14" hidden="1" x14ac:dyDescent="0.25">
      <c r="A2718" s="11">
        <v>46053</v>
      </c>
      <c r="B2718" s="5" t="s">
        <v>394</v>
      </c>
      <c r="C2718" s="3" t="s">
        <v>337</v>
      </c>
      <c r="D2718" s="5" t="s">
        <v>626</v>
      </c>
      <c r="E2718" s="5" t="s">
        <v>1079</v>
      </c>
      <c r="F2718" s="6" t="s">
        <v>641</v>
      </c>
      <c r="G2718" s="4" t="s">
        <v>2</v>
      </c>
      <c r="H2718" s="25">
        <v>895.4</v>
      </c>
      <c r="I2718" s="8">
        <v>80</v>
      </c>
      <c r="J2718" s="9">
        <v>0</v>
      </c>
      <c r="K2718" s="7">
        <v>-80</v>
      </c>
      <c r="L2718" s="24">
        <f>+Tabla2[[#This Row],[Stock Inventario]]*Tabla2[[#This Row],[Coste LÃ­nea]]</f>
        <v>0</v>
      </c>
      <c r="M2718" s="24">
        <f>+Tabla2[[#This Row],[Variación Stock]]*Tabla2[[#This Row],[Coste LÃ­nea]]</f>
        <v>-71632</v>
      </c>
      <c r="N2718" s="22" t="str">
        <f>+IF(Tabla2[[#This Row],[Variación Stock]]&gt;0,"Sobrante",IF(Tabla2[[#This Row],[Variación Stock]]&lt;0,"Faltante","Sin novedad"))</f>
        <v>Faltante</v>
      </c>
    </row>
    <row r="2719" spans="1:14" hidden="1" x14ac:dyDescent="0.25">
      <c r="A2719" s="11">
        <v>46053</v>
      </c>
      <c r="B2719" s="5" t="s">
        <v>394</v>
      </c>
      <c r="C2719" s="3" t="s">
        <v>337</v>
      </c>
      <c r="D2719" s="5" t="s">
        <v>626</v>
      </c>
      <c r="E2719" s="5" t="s">
        <v>1079</v>
      </c>
      <c r="F2719" s="6" t="s">
        <v>642</v>
      </c>
      <c r="G2719" s="4" t="s">
        <v>1</v>
      </c>
      <c r="H2719" s="25">
        <v>31.364249999999998</v>
      </c>
      <c r="I2719" s="8">
        <v>0</v>
      </c>
      <c r="J2719" s="9">
        <v>0</v>
      </c>
      <c r="K2719" s="7">
        <v>0</v>
      </c>
      <c r="L2719" s="24">
        <f>+Tabla2[[#This Row],[Stock Inventario]]*Tabla2[[#This Row],[Coste LÃ­nea]]</f>
        <v>0</v>
      </c>
      <c r="M2719" s="24">
        <f>+Tabla2[[#This Row],[Variación Stock]]*Tabla2[[#This Row],[Coste LÃ­nea]]</f>
        <v>0</v>
      </c>
      <c r="N2719" s="22" t="str">
        <f>+IF(Tabla2[[#This Row],[Variación Stock]]&gt;0,"Sobrante",IF(Tabla2[[#This Row],[Variación Stock]]&lt;0,"Faltante","Sin novedad"))</f>
        <v>Sin novedad</v>
      </c>
    </row>
    <row r="2720" spans="1:14" hidden="1" x14ac:dyDescent="0.25">
      <c r="A2720" s="11">
        <v>46053</v>
      </c>
      <c r="B2720" s="5" t="s">
        <v>394</v>
      </c>
      <c r="C2720" s="3" t="s">
        <v>337</v>
      </c>
      <c r="D2720" s="5" t="s">
        <v>626</v>
      </c>
      <c r="E2720" s="5" t="s">
        <v>1079</v>
      </c>
      <c r="F2720" s="6" t="s">
        <v>637</v>
      </c>
      <c r="G2720" s="4" t="s">
        <v>1</v>
      </c>
      <c r="H2720" s="25">
        <v>83.811999999999998</v>
      </c>
      <c r="I2720" s="8">
        <v>0</v>
      </c>
      <c r="J2720" s="9">
        <v>0</v>
      </c>
      <c r="K2720" s="7">
        <v>0</v>
      </c>
      <c r="L2720" s="24">
        <f>+Tabla2[[#This Row],[Stock Inventario]]*Tabla2[[#This Row],[Coste LÃ­nea]]</f>
        <v>0</v>
      </c>
      <c r="M2720" s="24">
        <f>+Tabla2[[#This Row],[Variación Stock]]*Tabla2[[#This Row],[Coste LÃ­nea]]</f>
        <v>0</v>
      </c>
      <c r="N2720" s="22" t="str">
        <f>+IF(Tabla2[[#This Row],[Variación Stock]]&gt;0,"Sobrante",IF(Tabla2[[#This Row],[Variación Stock]]&lt;0,"Faltante","Sin novedad"))</f>
        <v>Sin novedad</v>
      </c>
    </row>
    <row r="2721" spans="1:14" hidden="1" x14ac:dyDescent="0.25">
      <c r="A2721" s="11">
        <v>46053</v>
      </c>
      <c r="B2721" s="5" t="s">
        <v>394</v>
      </c>
      <c r="C2721" s="3" t="s">
        <v>337</v>
      </c>
      <c r="D2721" s="5" t="s">
        <v>626</v>
      </c>
      <c r="E2721" s="5" t="s">
        <v>1079</v>
      </c>
      <c r="F2721" s="6" t="s">
        <v>628</v>
      </c>
      <c r="G2721" s="4" t="s">
        <v>2</v>
      </c>
      <c r="H2721" s="25">
        <v>5350</v>
      </c>
      <c r="I2721" s="8">
        <v>0</v>
      </c>
      <c r="J2721" s="9">
        <v>0</v>
      </c>
      <c r="K2721" s="7">
        <v>0</v>
      </c>
      <c r="L2721" s="24">
        <f>+Tabla2[[#This Row],[Stock Inventario]]*Tabla2[[#This Row],[Coste LÃ­nea]]</f>
        <v>0</v>
      </c>
      <c r="M2721" s="24">
        <f>+Tabla2[[#This Row],[Variación Stock]]*Tabla2[[#This Row],[Coste LÃ­nea]]</f>
        <v>0</v>
      </c>
      <c r="N2721" s="22" t="str">
        <f>+IF(Tabla2[[#This Row],[Variación Stock]]&gt;0,"Sobrante",IF(Tabla2[[#This Row],[Variación Stock]]&lt;0,"Faltante","Sin novedad"))</f>
        <v>Sin novedad</v>
      </c>
    </row>
    <row r="2722" spans="1:14" hidden="1" x14ac:dyDescent="0.25">
      <c r="A2722" s="11">
        <v>46053</v>
      </c>
      <c r="B2722" s="5" t="s">
        <v>394</v>
      </c>
      <c r="C2722" s="3" t="s">
        <v>337</v>
      </c>
      <c r="D2722" s="5" t="s">
        <v>626</v>
      </c>
      <c r="E2722" s="5" t="s">
        <v>1079</v>
      </c>
      <c r="F2722" s="6" t="s">
        <v>643</v>
      </c>
      <c r="G2722" s="4" t="s">
        <v>2</v>
      </c>
      <c r="H2722" s="25">
        <v>5089.6666666700003</v>
      </c>
      <c r="I2722" s="8">
        <v>0</v>
      </c>
      <c r="J2722" s="9">
        <v>0</v>
      </c>
      <c r="K2722" s="7">
        <v>0</v>
      </c>
      <c r="L2722" s="24">
        <f>+Tabla2[[#This Row],[Stock Inventario]]*Tabla2[[#This Row],[Coste LÃ­nea]]</f>
        <v>0</v>
      </c>
      <c r="M2722" s="24">
        <f>+Tabla2[[#This Row],[Variación Stock]]*Tabla2[[#This Row],[Coste LÃ­nea]]</f>
        <v>0</v>
      </c>
      <c r="N2722" s="22" t="str">
        <f>+IF(Tabla2[[#This Row],[Variación Stock]]&gt;0,"Sobrante",IF(Tabla2[[#This Row],[Variación Stock]]&lt;0,"Faltante","Sin novedad"))</f>
        <v>Sin novedad</v>
      </c>
    </row>
    <row r="2723" spans="1:14" x14ac:dyDescent="0.25">
      <c r="A2723" s="11">
        <v>46053</v>
      </c>
      <c r="B2723" s="5" t="s">
        <v>394</v>
      </c>
      <c r="C2723" s="3" t="s">
        <v>337</v>
      </c>
      <c r="D2723" s="5" t="s">
        <v>111</v>
      </c>
      <c r="E2723" s="5" t="s">
        <v>112</v>
      </c>
      <c r="F2723" s="6" t="s">
        <v>15</v>
      </c>
      <c r="G2723" s="4" t="s">
        <v>0</v>
      </c>
      <c r="H2723" s="25">
        <v>11819.5</v>
      </c>
      <c r="I2723" s="8">
        <v>0</v>
      </c>
      <c r="J2723" s="9">
        <v>0</v>
      </c>
      <c r="K2723" s="7">
        <v>0</v>
      </c>
      <c r="L2723" s="24">
        <f>+Tabla2[[#This Row],[Stock Inventario]]*Tabla2[[#This Row],[Coste LÃ­nea]]</f>
        <v>0</v>
      </c>
      <c r="M2723" s="24">
        <f>+Tabla2[[#This Row],[Variación Stock]]*Tabla2[[#This Row],[Coste LÃ­nea]]</f>
        <v>0</v>
      </c>
      <c r="N2723" s="22" t="str">
        <f>+IF(Tabla2[[#This Row],[Variación Stock]]&gt;0,"Sobrante",IF(Tabla2[[#This Row],[Variación Stock]]&lt;0,"Faltante","Sin novedad"))</f>
        <v>Sin novedad</v>
      </c>
    </row>
    <row r="2724" spans="1:14" x14ac:dyDescent="0.25">
      <c r="A2724" s="11">
        <v>46053</v>
      </c>
      <c r="B2724" s="5" t="s">
        <v>394</v>
      </c>
      <c r="C2724" s="3" t="s">
        <v>337</v>
      </c>
      <c r="D2724" s="5" t="s">
        <v>111</v>
      </c>
      <c r="E2724" s="5" t="s">
        <v>112</v>
      </c>
      <c r="F2724" s="6" t="s">
        <v>21</v>
      </c>
      <c r="G2724" s="4" t="s">
        <v>0</v>
      </c>
      <c r="H2724" s="25">
        <v>17377</v>
      </c>
      <c r="I2724" s="8">
        <v>25</v>
      </c>
      <c r="J2724" s="9">
        <v>25</v>
      </c>
      <c r="K2724" s="7">
        <v>0</v>
      </c>
      <c r="L2724" s="24">
        <f>+Tabla2[[#This Row],[Stock Inventario]]*Tabla2[[#This Row],[Coste LÃ­nea]]</f>
        <v>434425</v>
      </c>
      <c r="M2724" s="24">
        <f>+Tabla2[[#This Row],[Variación Stock]]*Tabla2[[#This Row],[Coste LÃ­nea]]</f>
        <v>0</v>
      </c>
      <c r="N2724" s="22" t="str">
        <f>+IF(Tabla2[[#This Row],[Variación Stock]]&gt;0,"Sobrante",IF(Tabla2[[#This Row],[Variación Stock]]&lt;0,"Faltante","Sin novedad"))</f>
        <v>Sin novedad</v>
      </c>
    </row>
    <row r="2725" spans="1:14" x14ac:dyDescent="0.25">
      <c r="A2725" s="11">
        <v>46053</v>
      </c>
      <c r="B2725" s="5" t="s">
        <v>394</v>
      </c>
      <c r="C2725" s="3" t="s">
        <v>337</v>
      </c>
      <c r="D2725" s="5" t="s">
        <v>111</v>
      </c>
      <c r="E2725" s="5" t="s">
        <v>112</v>
      </c>
      <c r="F2725" s="6" t="s">
        <v>22</v>
      </c>
      <c r="G2725" s="4" t="s">
        <v>0</v>
      </c>
      <c r="H2725" s="25">
        <v>13020.86363636</v>
      </c>
      <c r="I2725" s="8">
        <v>43</v>
      </c>
      <c r="J2725" s="9">
        <v>43</v>
      </c>
      <c r="K2725" s="7">
        <v>0</v>
      </c>
      <c r="L2725" s="24">
        <f>+Tabla2[[#This Row],[Stock Inventario]]*Tabla2[[#This Row],[Coste LÃ­nea]]</f>
        <v>559897.13636348001</v>
      </c>
      <c r="M2725" s="24">
        <f>+Tabla2[[#This Row],[Variación Stock]]*Tabla2[[#This Row],[Coste LÃ­nea]]</f>
        <v>0</v>
      </c>
      <c r="N2725" s="22" t="str">
        <f>+IF(Tabla2[[#This Row],[Variación Stock]]&gt;0,"Sobrante",IF(Tabla2[[#This Row],[Variación Stock]]&lt;0,"Faltante","Sin novedad"))</f>
        <v>Sin novedad</v>
      </c>
    </row>
    <row r="2726" spans="1:14" x14ac:dyDescent="0.25">
      <c r="A2726" s="11">
        <v>46053</v>
      </c>
      <c r="B2726" s="5" t="s">
        <v>394</v>
      </c>
      <c r="C2726" s="3" t="s">
        <v>337</v>
      </c>
      <c r="D2726" s="5" t="s">
        <v>111</v>
      </c>
      <c r="E2726" s="5" t="s">
        <v>112</v>
      </c>
      <c r="F2726" s="6" t="s">
        <v>364</v>
      </c>
      <c r="G2726" s="4" t="s">
        <v>0</v>
      </c>
      <c r="H2726" s="25">
        <v>10178.90909091</v>
      </c>
      <c r="I2726" s="8">
        <v>43</v>
      </c>
      <c r="J2726" s="9">
        <v>43</v>
      </c>
      <c r="K2726" s="7">
        <v>0</v>
      </c>
      <c r="L2726" s="24">
        <f>+Tabla2[[#This Row],[Stock Inventario]]*Tabla2[[#This Row],[Coste LÃ­nea]]</f>
        <v>437693.09090913</v>
      </c>
      <c r="M2726" s="24">
        <f>+Tabla2[[#This Row],[Variación Stock]]*Tabla2[[#This Row],[Coste LÃ­nea]]</f>
        <v>0</v>
      </c>
      <c r="N2726" s="22" t="str">
        <f>+IF(Tabla2[[#This Row],[Variación Stock]]&gt;0,"Sobrante",IF(Tabla2[[#This Row],[Variación Stock]]&lt;0,"Faltante","Sin novedad"))</f>
        <v>Sin novedad</v>
      </c>
    </row>
    <row r="2727" spans="1:14" x14ac:dyDescent="0.25">
      <c r="A2727" s="11">
        <v>46053</v>
      </c>
      <c r="B2727" s="5" t="s">
        <v>394</v>
      </c>
      <c r="C2727" s="3" t="s">
        <v>337</v>
      </c>
      <c r="D2727" s="5" t="s">
        <v>111</v>
      </c>
      <c r="E2727" s="5" t="s">
        <v>112</v>
      </c>
      <c r="F2727" s="6" t="s">
        <v>365</v>
      </c>
      <c r="G2727" s="4" t="s">
        <v>0</v>
      </c>
      <c r="H2727" s="25">
        <v>12698.95454545</v>
      </c>
      <c r="I2727" s="8">
        <v>27</v>
      </c>
      <c r="J2727" s="9">
        <v>28</v>
      </c>
      <c r="K2727" s="7">
        <v>1</v>
      </c>
      <c r="L2727" s="24">
        <f>+Tabla2[[#This Row],[Stock Inventario]]*Tabla2[[#This Row],[Coste LÃ­nea]]</f>
        <v>355570.72727259999</v>
      </c>
      <c r="M2727" s="24">
        <f>+Tabla2[[#This Row],[Variación Stock]]*Tabla2[[#This Row],[Coste LÃ­nea]]</f>
        <v>12698.95454545</v>
      </c>
      <c r="N2727" s="22" t="str">
        <f>+IF(Tabla2[[#This Row],[Variación Stock]]&gt;0,"Sobrante",IF(Tabla2[[#This Row],[Variación Stock]]&lt;0,"Faltante","Sin novedad"))</f>
        <v>Sobrante</v>
      </c>
    </row>
    <row r="2728" spans="1:14" hidden="1" x14ac:dyDescent="0.25">
      <c r="A2728" s="11">
        <v>46053</v>
      </c>
      <c r="B2728" s="5" t="s">
        <v>394</v>
      </c>
      <c r="C2728" s="3" t="s">
        <v>337</v>
      </c>
      <c r="D2728" s="5" t="s">
        <v>818</v>
      </c>
      <c r="E2728" s="5" t="s">
        <v>117</v>
      </c>
      <c r="F2728" s="6" t="s">
        <v>822</v>
      </c>
      <c r="G2728" s="4" t="s">
        <v>1</v>
      </c>
      <c r="H2728" s="25">
        <v>19.744680850000002</v>
      </c>
      <c r="I2728" s="8">
        <v>0</v>
      </c>
      <c r="J2728" s="9">
        <v>0</v>
      </c>
      <c r="K2728" s="7">
        <v>0</v>
      </c>
      <c r="L2728" s="24">
        <f>+Tabla2[[#This Row],[Stock Inventario]]*Tabla2[[#This Row],[Coste LÃ­nea]]</f>
        <v>0</v>
      </c>
      <c r="M2728" s="24">
        <f>+Tabla2[[#This Row],[Variación Stock]]*Tabla2[[#This Row],[Coste LÃ­nea]]</f>
        <v>0</v>
      </c>
      <c r="N2728" s="22" t="str">
        <f>+IF(Tabla2[[#This Row],[Variación Stock]]&gt;0,"Sobrante",IF(Tabla2[[#This Row],[Variación Stock]]&lt;0,"Faltante","Sin novedad"))</f>
        <v>Sin novedad</v>
      </c>
    </row>
    <row r="2729" spans="1:14" x14ac:dyDescent="0.25">
      <c r="A2729" s="11">
        <v>46053</v>
      </c>
      <c r="B2729" s="5" t="s">
        <v>394</v>
      </c>
      <c r="C2729" s="3" t="s">
        <v>337</v>
      </c>
      <c r="D2729" s="5" t="s">
        <v>114</v>
      </c>
      <c r="E2729" s="5" t="s">
        <v>112</v>
      </c>
      <c r="F2729" s="6" t="s">
        <v>68</v>
      </c>
      <c r="G2729" s="4" t="s">
        <v>2</v>
      </c>
      <c r="H2729" s="25">
        <v>4986.0833333299997</v>
      </c>
      <c r="I2729" s="8">
        <v>2.5</v>
      </c>
      <c r="J2729" s="9">
        <v>15.5</v>
      </c>
      <c r="K2729" s="7">
        <v>13</v>
      </c>
      <c r="L2729" s="24">
        <f>+Tabla2[[#This Row],[Stock Inventario]]*Tabla2[[#This Row],[Coste LÃ­nea]]</f>
        <v>77284.291666614998</v>
      </c>
      <c r="M2729" s="24">
        <f>+Tabla2[[#This Row],[Variación Stock]]*Tabla2[[#This Row],[Coste LÃ­nea]]</f>
        <v>64819.083333289993</v>
      </c>
      <c r="N2729" s="22" t="str">
        <f>+IF(Tabla2[[#This Row],[Variación Stock]]&gt;0,"Sobrante",IF(Tabla2[[#This Row],[Variación Stock]]&lt;0,"Faltante","Sin novedad"))</f>
        <v>Sobrante</v>
      </c>
    </row>
    <row r="2730" spans="1:14" hidden="1" x14ac:dyDescent="0.25">
      <c r="A2730" s="11">
        <v>46053</v>
      </c>
      <c r="B2730" s="5" t="s">
        <v>394</v>
      </c>
      <c r="C2730" s="3" t="s">
        <v>337</v>
      </c>
      <c r="D2730" s="5" t="s">
        <v>626</v>
      </c>
      <c r="E2730" s="5" t="s">
        <v>1079</v>
      </c>
      <c r="F2730" s="6" t="s">
        <v>644</v>
      </c>
      <c r="G2730" s="4" t="s">
        <v>2</v>
      </c>
      <c r="H2730" s="25">
        <v>6295</v>
      </c>
      <c r="I2730" s="8">
        <v>0</v>
      </c>
      <c r="J2730" s="9">
        <v>0</v>
      </c>
      <c r="K2730" s="7">
        <v>0</v>
      </c>
      <c r="L2730" s="24">
        <f>+Tabla2[[#This Row],[Stock Inventario]]*Tabla2[[#This Row],[Coste LÃ­nea]]</f>
        <v>0</v>
      </c>
      <c r="M2730" s="24">
        <f>+Tabla2[[#This Row],[Variación Stock]]*Tabla2[[#This Row],[Coste LÃ­nea]]</f>
        <v>0</v>
      </c>
      <c r="N2730" s="22" t="str">
        <f>+IF(Tabla2[[#This Row],[Variación Stock]]&gt;0,"Sobrante",IF(Tabla2[[#This Row],[Variación Stock]]&lt;0,"Faltante","Sin novedad"))</f>
        <v>Sin novedad</v>
      </c>
    </row>
    <row r="2731" spans="1:14" hidden="1" x14ac:dyDescent="0.25">
      <c r="A2731" s="11">
        <v>46053</v>
      </c>
      <c r="B2731" s="5" t="s">
        <v>394</v>
      </c>
      <c r="C2731" s="3" t="s">
        <v>337</v>
      </c>
      <c r="D2731" s="5" t="s">
        <v>803</v>
      </c>
      <c r="E2731" s="5" t="s">
        <v>117</v>
      </c>
      <c r="F2731" s="6" t="s">
        <v>814</v>
      </c>
      <c r="G2731" s="4" t="s">
        <v>1</v>
      </c>
      <c r="H2731" s="25">
        <v>16.600000000000001</v>
      </c>
      <c r="I2731" s="8">
        <v>0</v>
      </c>
      <c r="J2731" s="9">
        <v>0</v>
      </c>
      <c r="K2731" s="7">
        <v>0</v>
      </c>
      <c r="L2731" s="24">
        <f>+Tabla2[[#This Row],[Stock Inventario]]*Tabla2[[#This Row],[Coste LÃ­nea]]</f>
        <v>0</v>
      </c>
      <c r="M2731" s="24">
        <f>+Tabla2[[#This Row],[Variación Stock]]*Tabla2[[#This Row],[Coste LÃ­nea]]</f>
        <v>0</v>
      </c>
      <c r="N2731" s="22" t="str">
        <f>+IF(Tabla2[[#This Row],[Variación Stock]]&gt;0,"Sobrante",IF(Tabla2[[#This Row],[Variación Stock]]&lt;0,"Faltante","Sin novedad"))</f>
        <v>Sin novedad</v>
      </c>
    </row>
    <row r="2732" spans="1:14" hidden="1" x14ac:dyDescent="0.25">
      <c r="A2732" s="11">
        <v>46053</v>
      </c>
      <c r="B2732" s="5" t="s">
        <v>394</v>
      </c>
      <c r="C2732" s="3" t="s">
        <v>337</v>
      </c>
      <c r="D2732" s="5" t="s">
        <v>471</v>
      </c>
      <c r="E2732" s="5" t="s">
        <v>117</v>
      </c>
      <c r="F2732" s="6" t="s">
        <v>500</v>
      </c>
      <c r="G2732" s="4" t="s">
        <v>1</v>
      </c>
      <c r="H2732" s="25">
        <v>4.5</v>
      </c>
      <c r="I2732" s="8">
        <v>550</v>
      </c>
      <c r="J2732" s="9">
        <v>500</v>
      </c>
      <c r="K2732" s="7">
        <v>-600</v>
      </c>
      <c r="L2732" s="24">
        <f>+Tabla2[[#This Row],[Stock Inventario]]*Tabla2[[#This Row],[Coste LÃ­nea]]</f>
        <v>2250</v>
      </c>
      <c r="M2732" s="24">
        <f>+Tabla2[[#This Row],[Variación Stock]]*Tabla2[[#This Row],[Coste LÃ­nea]]</f>
        <v>-2700</v>
      </c>
      <c r="N2732" s="22" t="str">
        <f>+IF(Tabla2[[#This Row],[Variación Stock]]&gt;0,"Sobrante",IF(Tabla2[[#This Row],[Variación Stock]]&lt;0,"Faltante","Sin novedad"))</f>
        <v>Faltante</v>
      </c>
    </row>
    <row r="2733" spans="1:14" hidden="1" x14ac:dyDescent="0.25">
      <c r="A2733" s="11">
        <v>46053</v>
      </c>
      <c r="B2733" s="5" t="s">
        <v>394</v>
      </c>
      <c r="C2733" s="3" t="s">
        <v>337</v>
      </c>
      <c r="D2733" s="5" t="s">
        <v>626</v>
      </c>
      <c r="E2733" s="5" t="s">
        <v>1079</v>
      </c>
      <c r="F2733" s="6" t="s">
        <v>645</v>
      </c>
      <c r="G2733" s="4" t="s">
        <v>2</v>
      </c>
      <c r="H2733" s="25">
        <v>5182.3333333299997</v>
      </c>
      <c r="I2733" s="8">
        <v>0</v>
      </c>
      <c r="J2733" s="9">
        <v>0</v>
      </c>
      <c r="K2733" s="7">
        <v>0</v>
      </c>
      <c r="L2733" s="24">
        <f>+Tabla2[[#This Row],[Stock Inventario]]*Tabla2[[#This Row],[Coste LÃ­nea]]</f>
        <v>0</v>
      </c>
      <c r="M2733" s="24">
        <f>+Tabla2[[#This Row],[Variación Stock]]*Tabla2[[#This Row],[Coste LÃ­nea]]</f>
        <v>0</v>
      </c>
      <c r="N2733" s="22" t="str">
        <f>+IF(Tabla2[[#This Row],[Variación Stock]]&gt;0,"Sobrante",IF(Tabla2[[#This Row],[Variación Stock]]&lt;0,"Faltante","Sin novedad"))</f>
        <v>Sin novedad</v>
      </c>
    </row>
    <row r="2734" spans="1:14" hidden="1" x14ac:dyDescent="0.25">
      <c r="A2734" s="11">
        <v>46053</v>
      </c>
      <c r="B2734" s="5" t="s">
        <v>394</v>
      </c>
      <c r="C2734" s="3" t="s">
        <v>337</v>
      </c>
      <c r="D2734" s="5" t="s">
        <v>626</v>
      </c>
      <c r="E2734" s="5" t="s">
        <v>1079</v>
      </c>
      <c r="F2734" s="6" t="s">
        <v>646</v>
      </c>
      <c r="G2734" s="4" t="s">
        <v>2</v>
      </c>
      <c r="H2734" s="25">
        <v>5182.3333333299997</v>
      </c>
      <c r="I2734" s="8">
        <v>14</v>
      </c>
      <c r="J2734" s="9">
        <v>0</v>
      </c>
      <c r="K2734" s="7">
        <v>-14</v>
      </c>
      <c r="L2734" s="24">
        <f>+Tabla2[[#This Row],[Stock Inventario]]*Tabla2[[#This Row],[Coste LÃ­nea]]</f>
        <v>0</v>
      </c>
      <c r="M2734" s="24">
        <f>+Tabla2[[#This Row],[Variación Stock]]*Tabla2[[#This Row],[Coste LÃ­nea]]</f>
        <v>-72552.666666620004</v>
      </c>
      <c r="N2734" s="22" t="str">
        <f>+IF(Tabla2[[#This Row],[Variación Stock]]&gt;0,"Sobrante",IF(Tabla2[[#This Row],[Variación Stock]]&lt;0,"Faltante","Sin novedad"))</f>
        <v>Faltante</v>
      </c>
    </row>
    <row r="2735" spans="1:14" hidden="1" x14ac:dyDescent="0.25">
      <c r="A2735" s="11">
        <v>46053</v>
      </c>
      <c r="B2735" s="5" t="s">
        <v>394</v>
      </c>
      <c r="C2735" s="3" t="s">
        <v>337</v>
      </c>
      <c r="D2735" s="5" t="s">
        <v>626</v>
      </c>
      <c r="E2735" s="5" t="s">
        <v>1079</v>
      </c>
      <c r="F2735" s="6" t="s">
        <v>647</v>
      </c>
      <c r="G2735" s="4" t="s">
        <v>2</v>
      </c>
      <c r="H2735" s="25">
        <v>2371.6999999999998</v>
      </c>
      <c r="I2735" s="8">
        <v>24</v>
      </c>
      <c r="J2735" s="9">
        <v>7</v>
      </c>
      <c r="K2735" s="7">
        <v>-17</v>
      </c>
      <c r="L2735" s="24">
        <f>+Tabla2[[#This Row],[Stock Inventario]]*Tabla2[[#This Row],[Coste LÃ­nea]]</f>
        <v>16601.899999999998</v>
      </c>
      <c r="M2735" s="24">
        <f>+Tabla2[[#This Row],[Variación Stock]]*Tabla2[[#This Row],[Coste LÃ­nea]]</f>
        <v>-40318.899999999994</v>
      </c>
      <c r="N2735" s="22" t="str">
        <f>+IF(Tabla2[[#This Row],[Variación Stock]]&gt;0,"Sobrante",IF(Tabla2[[#This Row],[Variación Stock]]&lt;0,"Faltante","Sin novedad"))</f>
        <v>Faltante</v>
      </c>
    </row>
    <row r="2736" spans="1:14" hidden="1" x14ac:dyDescent="0.25">
      <c r="A2736" s="11">
        <v>46053</v>
      </c>
      <c r="B2736" s="5" t="s">
        <v>394</v>
      </c>
      <c r="C2736" s="3" t="s">
        <v>337</v>
      </c>
      <c r="D2736" s="5" t="s">
        <v>626</v>
      </c>
      <c r="E2736" s="5" t="s">
        <v>1079</v>
      </c>
      <c r="F2736" s="6" t="s">
        <v>648</v>
      </c>
      <c r="G2736" s="4" t="s">
        <v>2</v>
      </c>
      <c r="H2736" s="25">
        <v>5136</v>
      </c>
      <c r="I2736" s="8">
        <v>0</v>
      </c>
      <c r="J2736" s="9">
        <v>0</v>
      </c>
      <c r="K2736" s="7">
        <v>0</v>
      </c>
      <c r="L2736" s="24">
        <f>+Tabla2[[#This Row],[Stock Inventario]]*Tabla2[[#This Row],[Coste LÃ­nea]]</f>
        <v>0</v>
      </c>
      <c r="M2736" s="24">
        <f>+Tabla2[[#This Row],[Variación Stock]]*Tabla2[[#This Row],[Coste LÃ­nea]]</f>
        <v>0</v>
      </c>
      <c r="N2736" s="22" t="str">
        <f>+IF(Tabla2[[#This Row],[Variación Stock]]&gt;0,"Sobrante",IF(Tabla2[[#This Row],[Variación Stock]]&lt;0,"Faltante","Sin novedad"))</f>
        <v>Sin novedad</v>
      </c>
    </row>
    <row r="2737" spans="1:14" hidden="1" x14ac:dyDescent="0.25">
      <c r="A2737" s="11">
        <v>46053</v>
      </c>
      <c r="B2737" s="5" t="s">
        <v>394</v>
      </c>
      <c r="C2737" s="3" t="s">
        <v>337</v>
      </c>
      <c r="D2737" s="5" t="s">
        <v>626</v>
      </c>
      <c r="E2737" s="5" t="s">
        <v>1079</v>
      </c>
      <c r="F2737" s="6" t="s">
        <v>649</v>
      </c>
      <c r="G2737" s="4" t="s">
        <v>2</v>
      </c>
      <c r="H2737" s="25">
        <v>3026.25</v>
      </c>
      <c r="I2737" s="8">
        <v>0</v>
      </c>
      <c r="J2737" s="9">
        <v>0</v>
      </c>
      <c r="K2737" s="7">
        <v>0</v>
      </c>
      <c r="L2737" s="24">
        <f>+Tabla2[[#This Row],[Stock Inventario]]*Tabla2[[#This Row],[Coste LÃ­nea]]</f>
        <v>0</v>
      </c>
      <c r="M2737" s="24">
        <f>+Tabla2[[#This Row],[Variación Stock]]*Tabla2[[#This Row],[Coste LÃ­nea]]</f>
        <v>0</v>
      </c>
      <c r="N2737" s="22" t="str">
        <f>+IF(Tabla2[[#This Row],[Variación Stock]]&gt;0,"Sobrante",IF(Tabla2[[#This Row],[Variación Stock]]&lt;0,"Faltante","Sin novedad"))</f>
        <v>Sin novedad</v>
      </c>
    </row>
    <row r="2738" spans="1:14" hidden="1" x14ac:dyDescent="0.25">
      <c r="A2738" s="11">
        <v>46053</v>
      </c>
      <c r="B2738" s="5" t="s">
        <v>394</v>
      </c>
      <c r="C2738" s="3" t="s">
        <v>337</v>
      </c>
      <c r="D2738" s="5" t="s">
        <v>626</v>
      </c>
      <c r="E2738" s="5" t="s">
        <v>1079</v>
      </c>
      <c r="F2738" s="6" t="s">
        <v>650</v>
      </c>
      <c r="G2738" s="4" t="s">
        <v>2</v>
      </c>
      <c r="H2738" s="25">
        <v>1477.16666667</v>
      </c>
      <c r="I2738" s="8">
        <v>0</v>
      </c>
      <c r="J2738" s="9">
        <v>0</v>
      </c>
      <c r="K2738" s="7">
        <v>0</v>
      </c>
      <c r="L2738" s="24">
        <f>+Tabla2[[#This Row],[Stock Inventario]]*Tabla2[[#This Row],[Coste LÃ­nea]]</f>
        <v>0</v>
      </c>
      <c r="M2738" s="24">
        <f>+Tabla2[[#This Row],[Variación Stock]]*Tabla2[[#This Row],[Coste LÃ­nea]]</f>
        <v>0</v>
      </c>
      <c r="N2738" s="22" t="str">
        <f>+IF(Tabla2[[#This Row],[Variación Stock]]&gt;0,"Sobrante",IF(Tabla2[[#This Row],[Variación Stock]]&lt;0,"Faltante","Sin novedad"))</f>
        <v>Sin novedad</v>
      </c>
    </row>
    <row r="2739" spans="1:14" x14ac:dyDescent="0.25">
      <c r="A2739" s="11">
        <v>46053</v>
      </c>
      <c r="B2739" s="5" t="s">
        <v>394</v>
      </c>
      <c r="C2739" s="3" t="s">
        <v>337</v>
      </c>
      <c r="D2739" s="5" t="s">
        <v>118</v>
      </c>
      <c r="E2739" s="5" t="s">
        <v>112</v>
      </c>
      <c r="F2739" s="6" t="s">
        <v>294</v>
      </c>
      <c r="G2739" s="4" t="s">
        <v>2</v>
      </c>
      <c r="H2739" s="25">
        <v>22425</v>
      </c>
      <c r="I2739" s="8">
        <v>0</v>
      </c>
      <c r="J2739" s="9">
        <v>0</v>
      </c>
      <c r="K2739" s="7">
        <v>0</v>
      </c>
      <c r="L2739" s="24">
        <f>+Tabla2[[#This Row],[Stock Inventario]]*Tabla2[[#This Row],[Coste LÃ­nea]]</f>
        <v>0</v>
      </c>
      <c r="M2739" s="24">
        <f>+Tabla2[[#This Row],[Variación Stock]]*Tabla2[[#This Row],[Coste LÃ­nea]]</f>
        <v>0</v>
      </c>
      <c r="N2739" s="22" t="str">
        <f>+IF(Tabla2[[#This Row],[Variación Stock]]&gt;0,"Sobrante",IF(Tabla2[[#This Row],[Variación Stock]]&lt;0,"Faltante","Sin novedad"))</f>
        <v>Sin novedad</v>
      </c>
    </row>
    <row r="2740" spans="1:14" x14ac:dyDescent="0.25">
      <c r="A2740" s="11">
        <v>46053</v>
      </c>
      <c r="B2740" s="5" t="s">
        <v>394</v>
      </c>
      <c r="C2740" s="3" t="s">
        <v>337</v>
      </c>
      <c r="D2740" s="5" t="s">
        <v>118</v>
      </c>
      <c r="E2740" s="5" t="s">
        <v>112</v>
      </c>
      <c r="F2740" s="6" t="s">
        <v>295</v>
      </c>
      <c r="G2740" s="4" t="s">
        <v>2</v>
      </c>
      <c r="H2740" s="25">
        <v>71318</v>
      </c>
      <c r="I2740" s="8">
        <v>5</v>
      </c>
      <c r="J2740" s="9">
        <v>5</v>
      </c>
      <c r="K2740" s="7">
        <v>0</v>
      </c>
      <c r="L2740" s="24">
        <f>+Tabla2[[#This Row],[Stock Inventario]]*Tabla2[[#This Row],[Coste LÃ­nea]]</f>
        <v>356590</v>
      </c>
      <c r="M2740" s="24">
        <f>+Tabla2[[#This Row],[Variación Stock]]*Tabla2[[#This Row],[Coste LÃ­nea]]</f>
        <v>0</v>
      </c>
      <c r="N2740" s="22" t="str">
        <f>+IF(Tabla2[[#This Row],[Variación Stock]]&gt;0,"Sobrante",IF(Tabla2[[#This Row],[Variación Stock]]&lt;0,"Faltante","Sin novedad"))</f>
        <v>Sin novedad</v>
      </c>
    </row>
    <row r="2741" spans="1:14" x14ac:dyDescent="0.25">
      <c r="A2741" s="11">
        <v>46053</v>
      </c>
      <c r="B2741" s="5" t="s">
        <v>394</v>
      </c>
      <c r="C2741" s="3" t="s">
        <v>337</v>
      </c>
      <c r="D2741" s="5" t="s">
        <v>118</v>
      </c>
      <c r="E2741" s="5" t="s">
        <v>112</v>
      </c>
      <c r="F2741" s="6" t="s">
        <v>174</v>
      </c>
      <c r="G2741" s="4" t="s">
        <v>0</v>
      </c>
      <c r="H2741" s="25">
        <v>2903.3333333300002</v>
      </c>
      <c r="I2741" s="8">
        <v>0</v>
      </c>
      <c r="J2741" s="9">
        <v>0</v>
      </c>
      <c r="K2741" s="7">
        <v>0</v>
      </c>
      <c r="L2741" s="24">
        <f>+Tabla2[[#This Row],[Stock Inventario]]*Tabla2[[#This Row],[Coste LÃ­nea]]</f>
        <v>0</v>
      </c>
      <c r="M2741" s="24">
        <f>+Tabla2[[#This Row],[Variación Stock]]*Tabla2[[#This Row],[Coste LÃ­nea]]</f>
        <v>0</v>
      </c>
      <c r="N2741" s="22" t="str">
        <f>+IF(Tabla2[[#This Row],[Variación Stock]]&gt;0,"Sobrante",IF(Tabla2[[#This Row],[Variación Stock]]&lt;0,"Faltante","Sin novedad"))</f>
        <v>Sin novedad</v>
      </c>
    </row>
    <row r="2742" spans="1:14" hidden="1" x14ac:dyDescent="0.25">
      <c r="A2742" s="11">
        <v>46053</v>
      </c>
      <c r="B2742" s="5" t="s">
        <v>394</v>
      </c>
      <c r="C2742" s="3" t="s">
        <v>337</v>
      </c>
      <c r="D2742" s="5" t="s">
        <v>626</v>
      </c>
      <c r="E2742" s="5" t="s">
        <v>1079</v>
      </c>
      <c r="F2742" s="6" t="s">
        <v>651</v>
      </c>
      <c r="G2742" s="4" t="s">
        <v>2</v>
      </c>
      <c r="H2742" s="25">
        <f>54706/5000</f>
        <v>10.9412</v>
      </c>
      <c r="I2742" s="8">
        <v>0</v>
      </c>
      <c r="J2742" s="9">
        <v>0</v>
      </c>
      <c r="K2742" s="7">
        <v>0</v>
      </c>
      <c r="L2742" s="24">
        <f>+Tabla2[[#This Row],[Stock Inventario]]*Tabla2[[#This Row],[Coste LÃ­nea]]</f>
        <v>0</v>
      </c>
      <c r="M2742" s="24">
        <f>+Tabla2[[#This Row],[Variación Stock]]*Tabla2[[#This Row],[Coste LÃ­nea]]</f>
        <v>0</v>
      </c>
      <c r="N2742" s="22" t="str">
        <f>+IF(Tabla2[[#This Row],[Variación Stock]]&gt;0,"Sobrante",IF(Tabla2[[#This Row],[Variación Stock]]&lt;0,"Faltante","Sin novedad"))</f>
        <v>Sin novedad</v>
      </c>
    </row>
    <row r="2743" spans="1:14" hidden="1" x14ac:dyDescent="0.25">
      <c r="A2743" s="11">
        <v>46053</v>
      </c>
      <c r="B2743" s="5" t="s">
        <v>394</v>
      </c>
      <c r="C2743" s="3" t="s">
        <v>337</v>
      </c>
      <c r="D2743" s="5" t="s">
        <v>827</v>
      </c>
      <c r="E2743" s="5" t="s">
        <v>117</v>
      </c>
      <c r="F2743" s="6" t="s">
        <v>828</v>
      </c>
      <c r="G2743" s="4" t="s">
        <v>1</v>
      </c>
      <c r="H2743" s="25">
        <v>15.153499999999999</v>
      </c>
      <c r="I2743" s="8">
        <v>500</v>
      </c>
      <c r="J2743" s="9">
        <v>1500</v>
      </c>
      <c r="K2743" s="7">
        <v>-1000.000018</v>
      </c>
      <c r="L2743" s="24">
        <f>+Tabla2[[#This Row],[Stock Inventario]]*Tabla2[[#This Row],[Coste LÃ­nea]]</f>
        <v>22730.25</v>
      </c>
      <c r="M2743" s="24">
        <f>+Tabla2[[#This Row],[Variación Stock]]*Tabla2[[#This Row],[Coste LÃ­nea]]</f>
        <v>-15153.500272762998</v>
      </c>
      <c r="N2743" s="22" t="str">
        <f>+IF(Tabla2[[#This Row],[Variación Stock]]&gt;0,"Sobrante",IF(Tabla2[[#This Row],[Variación Stock]]&lt;0,"Faltante","Sin novedad"))</f>
        <v>Faltante</v>
      </c>
    </row>
    <row r="2744" spans="1:14" hidden="1" x14ac:dyDescent="0.25">
      <c r="A2744" s="11">
        <v>46053</v>
      </c>
      <c r="B2744" s="5" t="s">
        <v>394</v>
      </c>
      <c r="C2744" s="3" t="s">
        <v>337</v>
      </c>
      <c r="D2744" s="5" t="s">
        <v>119</v>
      </c>
      <c r="E2744" s="5" t="s">
        <v>117</v>
      </c>
      <c r="F2744" s="6" t="s">
        <v>8</v>
      </c>
      <c r="G2744" s="4" t="s">
        <v>1</v>
      </c>
      <c r="H2744" s="25">
        <v>51.135831379999999</v>
      </c>
      <c r="I2744" s="8">
        <v>8978.1447000000007</v>
      </c>
      <c r="J2744" s="9">
        <v>21400</v>
      </c>
      <c r="K2744" s="7">
        <v>12421.855294999999</v>
      </c>
      <c r="L2744" s="24">
        <f>+Tabla2[[#This Row],[Stock Inventario]]*Tabla2[[#This Row],[Coste LÃ­nea]]</f>
        <v>1094306.7915320001</v>
      </c>
      <c r="M2744" s="24">
        <f>+Tabla2[[#This Row],[Variación Stock]]*Tabla2[[#This Row],[Coste LÃ­nea]]</f>
        <v>635201.89779188007</v>
      </c>
      <c r="N2744" s="22" t="str">
        <f>+IF(Tabla2[[#This Row],[Variación Stock]]&gt;0,"Sobrante",IF(Tabla2[[#This Row],[Variación Stock]]&lt;0,"Faltante","Sin novedad"))</f>
        <v>Sobrante</v>
      </c>
    </row>
    <row r="2745" spans="1:14" hidden="1" x14ac:dyDescent="0.25">
      <c r="A2745" s="11">
        <v>46053</v>
      </c>
      <c r="B2745" s="5" t="s">
        <v>394</v>
      </c>
      <c r="C2745" s="3" t="s">
        <v>337</v>
      </c>
      <c r="D2745" s="5" t="s">
        <v>116</v>
      </c>
      <c r="E2745" s="5" t="s">
        <v>117</v>
      </c>
      <c r="F2745" s="6" t="s">
        <v>4</v>
      </c>
      <c r="G2745" s="4" t="s">
        <v>2</v>
      </c>
      <c r="H2745" s="25">
        <v>3250</v>
      </c>
      <c r="I2745" s="8">
        <v>38.5</v>
      </c>
      <c r="J2745" s="9">
        <v>22</v>
      </c>
      <c r="K2745" s="7">
        <v>-16.5</v>
      </c>
      <c r="L2745" s="24">
        <f>+Tabla2[[#This Row],[Stock Inventario]]*Tabla2[[#This Row],[Coste LÃ­nea]]</f>
        <v>71500</v>
      </c>
      <c r="M2745" s="24">
        <f>+Tabla2[[#This Row],[Variación Stock]]*Tabla2[[#This Row],[Coste LÃ­nea]]</f>
        <v>-53625</v>
      </c>
      <c r="N2745" s="22" t="str">
        <f>+IF(Tabla2[[#This Row],[Variación Stock]]&gt;0,"Sobrante",IF(Tabla2[[#This Row],[Variación Stock]]&lt;0,"Faltante","Sin novedad"))</f>
        <v>Faltante</v>
      </c>
    </row>
    <row r="2746" spans="1:14" hidden="1" x14ac:dyDescent="0.25">
      <c r="A2746" s="11">
        <v>46053</v>
      </c>
      <c r="B2746" s="5" t="s">
        <v>394</v>
      </c>
      <c r="C2746" s="3" t="s">
        <v>337</v>
      </c>
      <c r="D2746" s="5" t="s">
        <v>116</v>
      </c>
      <c r="E2746" s="5" t="s">
        <v>117</v>
      </c>
      <c r="F2746" s="6" t="s">
        <v>79</v>
      </c>
      <c r="G2746" s="4" t="s">
        <v>2</v>
      </c>
      <c r="H2746" s="25">
        <v>4850</v>
      </c>
      <c r="I2746" s="8">
        <v>24.5</v>
      </c>
      <c r="J2746" s="9">
        <v>31</v>
      </c>
      <c r="K2746" s="7">
        <v>6.5</v>
      </c>
      <c r="L2746" s="24">
        <f>+Tabla2[[#This Row],[Stock Inventario]]*Tabla2[[#This Row],[Coste LÃ­nea]]</f>
        <v>150350</v>
      </c>
      <c r="M2746" s="24">
        <f>+Tabla2[[#This Row],[Variación Stock]]*Tabla2[[#This Row],[Coste LÃ­nea]]</f>
        <v>31525</v>
      </c>
      <c r="N2746" s="22" t="str">
        <f>+IF(Tabla2[[#This Row],[Variación Stock]]&gt;0,"Sobrante",IF(Tabla2[[#This Row],[Variación Stock]]&lt;0,"Faltante","Sin novedad"))</f>
        <v>Sobrante</v>
      </c>
    </row>
    <row r="2747" spans="1:14" hidden="1" x14ac:dyDescent="0.25">
      <c r="A2747" s="11">
        <v>46053</v>
      </c>
      <c r="B2747" s="5" t="s">
        <v>394</v>
      </c>
      <c r="C2747" s="3" t="s">
        <v>337</v>
      </c>
      <c r="D2747" s="5" t="s">
        <v>119</v>
      </c>
      <c r="E2747" s="5" t="s">
        <v>117</v>
      </c>
      <c r="F2747" s="6" t="s">
        <v>95</v>
      </c>
      <c r="G2747" s="4" t="s">
        <v>1</v>
      </c>
      <c r="H2747" s="25">
        <v>39</v>
      </c>
      <c r="I2747" s="8">
        <v>26653.5553</v>
      </c>
      <c r="J2747" s="9">
        <v>21210</v>
      </c>
      <c r="K2747" s="15">
        <v>-5443.5553019999998</v>
      </c>
      <c r="L2747" s="24">
        <f>+Tabla2[[#This Row],[Stock Inventario]]*Tabla2[[#This Row],[Coste LÃ­nea]]</f>
        <v>827190</v>
      </c>
      <c r="M2747" s="24">
        <f>+Tabla2[[#This Row],[Variación Stock]]*Tabla2[[#This Row],[Coste LÃ­nea]]</f>
        <v>-212298.656778</v>
      </c>
      <c r="N2747" s="22" t="str">
        <f>+IF(Tabla2[[#This Row],[Variación Stock]]&gt;0,"Sobrante",IF(Tabla2[[#This Row],[Variación Stock]]&lt;0,"Faltante","Sin novedad"))</f>
        <v>Faltante</v>
      </c>
    </row>
    <row r="2748" spans="1:14" x14ac:dyDescent="0.25">
      <c r="A2748" s="11">
        <v>46053</v>
      </c>
      <c r="B2748" s="5" t="s">
        <v>394</v>
      </c>
      <c r="C2748" s="3" t="s">
        <v>337</v>
      </c>
      <c r="D2748" s="5" t="s">
        <v>118</v>
      </c>
      <c r="E2748" s="5" t="s">
        <v>112</v>
      </c>
      <c r="F2748" s="6" t="s">
        <v>80</v>
      </c>
      <c r="G2748" s="4" t="s">
        <v>2</v>
      </c>
      <c r="H2748" s="25">
        <v>108834</v>
      </c>
      <c r="I2748" s="8">
        <v>4</v>
      </c>
      <c r="J2748" s="9">
        <v>4</v>
      </c>
      <c r="K2748" s="7">
        <v>0</v>
      </c>
      <c r="L2748" s="24">
        <f>+Tabla2[[#This Row],[Stock Inventario]]*Tabla2[[#This Row],[Coste LÃ­nea]]</f>
        <v>435336</v>
      </c>
      <c r="M2748" s="24">
        <f>+Tabla2[[#This Row],[Variación Stock]]*Tabla2[[#This Row],[Coste LÃ­nea]]</f>
        <v>0</v>
      </c>
      <c r="N2748" s="22" t="str">
        <f>+IF(Tabla2[[#This Row],[Variación Stock]]&gt;0,"Sobrante",IF(Tabla2[[#This Row],[Variación Stock]]&lt;0,"Faltante","Sin novedad"))</f>
        <v>Sin novedad</v>
      </c>
    </row>
    <row r="2749" spans="1:14" hidden="1" x14ac:dyDescent="0.25">
      <c r="A2749" s="11">
        <v>46053</v>
      </c>
      <c r="B2749" s="5" t="s">
        <v>394</v>
      </c>
      <c r="C2749" s="3" t="s">
        <v>337</v>
      </c>
      <c r="D2749" s="5" t="s">
        <v>471</v>
      </c>
      <c r="E2749" s="5" t="s">
        <v>117</v>
      </c>
      <c r="F2749" s="6" t="s">
        <v>501</v>
      </c>
      <c r="G2749" s="4" t="s">
        <v>1</v>
      </c>
      <c r="H2749" s="25">
        <v>70</v>
      </c>
      <c r="I2749" s="8">
        <v>-9</v>
      </c>
      <c r="J2749" s="9">
        <v>0</v>
      </c>
      <c r="K2749" s="7">
        <v>9</v>
      </c>
      <c r="L2749" s="24">
        <f>+Tabla2[[#This Row],[Stock Inventario]]*Tabla2[[#This Row],[Coste LÃ­nea]]</f>
        <v>0</v>
      </c>
      <c r="M2749" s="24">
        <f>+Tabla2[[#This Row],[Variación Stock]]*Tabla2[[#This Row],[Coste LÃ­nea]]</f>
        <v>630</v>
      </c>
      <c r="N2749" s="22" t="str">
        <f>+IF(Tabla2[[#This Row],[Variación Stock]]&gt;0,"Sobrante",IF(Tabla2[[#This Row],[Variación Stock]]&lt;0,"Faltante","Sin novedad"))</f>
        <v>Sobrante</v>
      </c>
    </row>
    <row r="2750" spans="1:14" hidden="1" x14ac:dyDescent="0.25">
      <c r="A2750" s="11">
        <v>46053</v>
      </c>
      <c r="B2750" s="5" t="s">
        <v>394</v>
      </c>
      <c r="C2750" s="3" t="s">
        <v>337</v>
      </c>
      <c r="D2750" s="5" t="s">
        <v>471</v>
      </c>
      <c r="E2750" s="5" t="s">
        <v>117</v>
      </c>
      <c r="F2750" s="6" t="s">
        <v>541</v>
      </c>
      <c r="G2750" s="4" t="s">
        <v>1</v>
      </c>
      <c r="H2750" s="25">
        <v>180</v>
      </c>
      <c r="I2750" s="8">
        <v>279</v>
      </c>
      <c r="J2750" s="9">
        <v>75</v>
      </c>
      <c r="K2750" s="7">
        <v>-404</v>
      </c>
      <c r="L2750" s="24">
        <f>+Tabla2[[#This Row],[Stock Inventario]]*Tabla2[[#This Row],[Coste LÃ­nea]]</f>
        <v>13500</v>
      </c>
      <c r="M2750" s="24">
        <f>+Tabla2[[#This Row],[Variación Stock]]*Tabla2[[#This Row],[Coste LÃ­nea]]</f>
        <v>-72720</v>
      </c>
      <c r="N2750" s="22" t="str">
        <f>+IF(Tabla2[[#This Row],[Variación Stock]]&gt;0,"Sobrante",IF(Tabla2[[#This Row],[Variación Stock]]&lt;0,"Faltante","Sin novedad"))</f>
        <v>Faltante</v>
      </c>
    </row>
    <row r="2751" spans="1:14" x14ac:dyDescent="0.25">
      <c r="A2751" s="11">
        <v>46053</v>
      </c>
      <c r="B2751" s="5" t="s">
        <v>394</v>
      </c>
      <c r="C2751" s="3" t="s">
        <v>337</v>
      </c>
      <c r="D2751" s="5" t="s">
        <v>118</v>
      </c>
      <c r="E2751" s="5" t="s">
        <v>112</v>
      </c>
      <c r="F2751" s="6" t="s">
        <v>296</v>
      </c>
      <c r="G2751" s="4" t="s">
        <v>2</v>
      </c>
      <c r="H2751" s="25">
        <v>27250</v>
      </c>
      <c r="I2751" s="8">
        <v>1</v>
      </c>
      <c r="J2751" s="9">
        <v>1</v>
      </c>
      <c r="K2751" s="7">
        <v>0</v>
      </c>
      <c r="L2751" s="24">
        <f>+Tabla2[[#This Row],[Stock Inventario]]*Tabla2[[#This Row],[Coste LÃ­nea]]</f>
        <v>27250</v>
      </c>
      <c r="M2751" s="24">
        <f>+Tabla2[[#This Row],[Variación Stock]]*Tabla2[[#This Row],[Coste LÃ­nea]]</f>
        <v>0</v>
      </c>
      <c r="N2751" s="22" t="str">
        <f>+IF(Tabla2[[#This Row],[Variación Stock]]&gt;0,"Sobrante",IF(Tabla2[[#This Row],[Variación Stock]]&lt;0,"Faltante","Sin novedad"))</f>
        <v>Sin novedad</v>
      </c>
    </row>
    <row r="2752" spans="1:14" x14ac:dyDescent="0.25">
      <c r="A2752" s="11">
        <v>46053</v>
      </c>
      <c r="B2752" s="5" t="s">
        <v>394</v>
      </c>
      <c r="C2752" s="3" t="s">
        <v>337</v>
      </c>
      <c r="D2752" s="5" t="s">
        <v>118</v>
      </c>
      <c r="E2752" s="5" t="s">
        <v>112</v>
      </c>
      <c r="F2752" s="6" t="s">
        <v>297</v>
      </c>
      <c r="G2752" s="4" t="s">
        <v>2</v>
      </c>
      <c r="H2752" s="25">
        <v>87241.5</v>
      </c>
      <c r="I2752" s="8">
        <v>1</v>
      </c>
      <c r="J2752" s="9">
        <v>1</v>
      </c>
      <c r="K2752" s="7">
        <v>0</v>
      </c>
      <c r="L2752" s="24">
        <f>+Tabla2[[#This Row],[Stock Inventario]]*Tabla2[[#This Row],[Coste LÃ­nea]]</f>
        <v>87241.5</v>
      </c>
      <c r="M2752" s="24">
        <f>+Tabla2[[#This Row],[Variación Stock]]*Tabla2[[#This Row],[Coste LÃ­nea]]</f>
        <v>0</v>
      </c>
      <c r="N2752" s="22" t="str">
        <f>+IF(Tabla2[[#This Row],[Variación Stock]]&gt;0,"Sobrante",IF(Tabla2[[#This Row],[Variación Stock]]&lt;0,"Faltante","Sin novedad"))</f>
        <v>Sin novedad</v>
      </c>
    </row>
    <row r="2753" spans="1:14" x14ac:dyDescent="0.25">
      <c r="A2753" s="11">
        <v>46053</v>
      </c>
      <c r="B2753" s="5" t="s">
        <v>394</v>
      </c>
      <c r="C2753" s="3" t="s">
        <v>337</v>
      </c>
      <c r="D2753" s="5" t="s">
        <v>603</v>
      </c>
      <c r="E2753" s="5" t="s">
        <v>112</v>
      </c>
      <c r="F2753" s="6" t="s">
        <v>617</v>
      </c>
      <c r="G2753" s="4" t="s">
        <v>1</v>
      </c>
      <c r="H2753" s="25">
        <v>17</v>
      </c>
      <c r="I2753" s="8">
        <v>1075.2104999999999</v>
      </c>
      <c r="J2753" s="9">
        <v>1500</v>
      </c>
      <c r="K2753" s="7">
        <v>-575.21047799999997</v>
      </c>
      <c r="L2753" s="24">
        <f>+Tabla2[[#This Row],[Stock Inventario]]*Tabla2[[#This Row],[Coste LÃ­nea]]</f>
        <v>25500</v>
      </c>
      <c r="M2753" s="24">
        <f>+Tabla2[[#This Row],[Variación Stock]]*Tabla2[[#This Row],[Coste LÃ­nea]]</f>
        <v>-9778.5781260000003</v>
      </c>
      <c r="N2753" s="22" t="str">
        <f>+IF(Tabla2[[#This Row],[Variación Stock]]&gt;0,"Sobrante",IF(Tabla2[[#This Row],[Variación Stock]]&lt;0,"Faltante","Sin novedad"))</f>
        <v>Faltante</v>
      </c>
    </row>
    <row r="2754" spans="1:14" hidden="1" x14ac:dyDescent="0.25">
      <c r="A2754" s="11">
        <v>46053</v>
      </c>
      <c r="B2754" s="5" t="s">
        <v>394</v>
      </c>
      <c r="C2754" s="3" t="s">
        <v>337</v>
      </c>
      <c r="D2754" s="5" t="s">
        <v>471</v>
      </c>
      <c r="E2754" s="5" t="s">
        <v>117</v>
      </c>
      <c r="F2754" s="6" t="s">
        <v>502</v>
      </c>
      <c r="G2754" s="4" t="s">
        <v>1</v>
      </c>
      <c r="H2754" s="25">
        <v>16</v>
      </c>
      <c r="I2754" s="8">
        <v>7982.7370000000001</v>
      </c>
      <c r="J2754" s="9">
        <v>700</v>
      </c>
      <c r="K2754" s="7">
        <v>-8282.7369990000007</v>
      </c>
      <c r="L2754" s="24">
        <f>+Tabla2[[#This Row],[Stock Inventario]]*Tabla2[[#This Row],[Coste LÃ­nea]]</f>
        <v>11200</v>
      </c>
      <c r="M2754" s="24">
        <f>+Tabla2[[#This Row],[Variación Stock]]*Tabla2[[#This Row],[Coste LÃ­nea]]</f>
        <v>-132523.79198400001</v>
      </c>
      <c r="N2754" s="22" t="str">
        <f>+IF(Tabla2[[#This Row],[Variación Stock]]&gt;0,"Sobrante",IF(Tabla2[[#This Row],[Variación Stock]]&lt;0,"Faltante","Sin novedad"))</f>
        <v>Faltante</v>
      </c>
    </row>
    <row r="2755" spans="1:14" x14ac:dyDescent="0.25">
      <c r="A2755" s="11">
        <v>46053</v>
      </c>
      <c r="B2755" s="5" t="s">
        <v>394</v>
      </c>
      <c r="C2755" s="3" t="s">
        <v>337</v>
      </c>
      <c r="D2755" s="5" t="s">
        <v>603</v>
      </c>
      <c r="E2755" s="5" t="s">
        <v>112</v>
      </c>
      <c r="F2755" s="6" t="s">
        <v>610</v>
      </c>
      <c r="G2755" s="4" t="s">
        <v>1</v>
      </c>
      <c r="H2755" s="25">
        <v>22.174666670000001</v>
      </c>
      <c r="I2755" s="8">
        <v>-20080.485799999999</v>
      </c>
      <c r="J2755" s="9">
        <v>19500</v>
      </c>
      <c r="K2755" s="7">
        <v>39580.485800000002</v>
      </c>
      <c r="L2755" s="24">
        <f>+Tabla2[[#This Row],[Stock Inventario]]*Tabla2[[#This Row],[Coste LÃ­nea]]</f>
        <v>432406.00006500003</v>
      </c>
      <c r="M2755" s="24">
        <f>+Tabla2[[#This Row],[Variación Stock]]*Tabla2[[#This Row],[Coste LÃ­nea]]</f>
        <v>877684.0792516683</v>
      </c>
      <c r="N2755" s="22" t="str">
        <f>+IF(Tabla2[[#This Row],[Variación Stock]]&gt;0,"Sobrante",IF(Tabla2[[#This Row],[Variación Stock]]&lt;0,"Faltante","Sin novedad"))</f>
        <v>Sobrante</v>
      </c>
    </row>
    <row r="2756" spans="1:14" hidden="1" x14ac:dyDescent="0.25">
      <c r="A2756" s="11">
        <v>46053</v>
      </c>
      <c r="B2756" s="5" t="s">
        <v>394</v>
      </c>
      <c r="C2756" s="3" t="s">
        <v>337</v>
      </c>
      <c r="D2756" s="5" t="s">
        <v>396</v>
      </c>
      <c r="E2756" s="5" t="s">
        <v>117</v>
      </c>
      <c r="F2756" s="6" t="s">
        <v>400</v>
      </c>
      <c r="G2756" s="4" t="s">
        <v>1</v>
      </c>
      <c r="H2756" s="25">
        <v>20</v>
      </c>
      <c r="I2756" s="8">
        <v>0</v>
      </c>
      <c r="J2756" s="9">
        <v>2000</v>
      </c>
      <c r="K2756" s="7">
        <v>2000</v>
      </c>
      <c r="L2756" s="24">
        <f>+Tabla2[[#This Row],[Stock Inventario]]*Tabla2[[#This Row],[Coste LÃ­nea]]</f>
        <v>40000</v>
      </c>
      <c r="M2756" s="24">
        <f>+Tabla2[[#This Row],[Variación Stock]]*Tabla2[[#This Row],[Coste LÃ­nea]]</f>
        <v>40000</v>
      </c>
      <c r="N2756" s="22" t="str">
        <f>+IF(Tabla2[[#This Row],[Variación Stock]]&gt;0,"Sobrante",IF(Tabla2[[#This Row],[Variación Stock]]&lt;0,"Faltante","Sin novedad"))</f>
        <v>Sobrante</v>
      </c>
    </row>
    <row r="2757" spans="1:14" hidden="1" x14ac:dyDescent="0.25">
      <c r="A2757" s="11">
        <v>46053</v>
      </c>
      <c r="B2757" s="5" t="s">
        <v>394</v>
      </c>
      <c r="C2757" s="3" t="s">
        <v>337</v>
      </c>
      <c r="D2757" s="5" t="s">
        <v>626</v>
      </c>
      <c r="E2757" s="5" t="s">
        <v>1079</v>
      </c>
      <c r="F2757" s="6" t="s">
        <v>652</v>
      </c>
      <c r="G2757" s="4" t="s">
        <v>1</v>
      </c>
      <c r="H2757" s="25">
        <v>76.721052630000003</v>
      </c>
      <c r="I2757" s="8">
        <v>0</v>
      </c>
      <c r="J2757" s="9">
        <v>0</v>
      </c>
      <c r="K2757" s="7">
        <v>0</v>
      </c>
      <c r="L2757" s="24">
        <f>+Tabla2[[#This Row],[Stock Inventario]]*Tabla2[[#This Row],[Coste LÃ­nea]]</f>
        <v>0</v>
      </c>
      <c r="M2757" s="24">
        <f>+Tabla2[[#This Row],[Variación Stock]]*Tabla2[[#This Row],[Coste LÃ­nea]]</f>
        <v>0</v>
      </c>
      <c r="N2757" s="22" t="str">
        <f>+IF(Tabla2[[#This Row],[Variación Stock]]&gt;0,"Sobrante",IF(Tabla2[[#This Row],[Variación Stock]]&lt;0,"Faltante","Sin novedad"))</f>
        <v>Sin novedad</v>
      </c>
    </row>
    <row r="2758" spans="1:14" x14ac:dyDescent="0.25">
      <c r="A2758" s="11">
        <v>46053</v>
      </c>
      <c r="B2758" s="5" t="s">
        <v>394</v>
      </c>
      <c r="C2758" s="3" t="s">
        <v>337</v>
      </c>
      <c r="D2758" s="5" t="s">
        <v>111</v>
      </c>
      <c r="E2758" s="5" t="s">
        <v>112</v>
      </c>
      <c r="F2758" s="6" t="s">
        <v>51</v>
      </c>
      <c r="G2758" s="4" t="s">
        <v>0</v>
      </c>
      <c r="H2758" s="25">
        <v>9648.9583333299997</v>
      </c>
      <c r="I2758" s="8">
        <v>27.38</v>
      </c>
      <c r="J2758" s="9">
        <v>27</v>
      </c>
      <c r="K2758" s="7">
        <v>-0.38</v>
      </c>
      <c r="L2758" s="24">
        <f>+Tabla2[[#This Row],[Stock Inventario]]*Tabla2[[#This Row],[Coste LÃ­nea]]</f>
        <v>260521.87499990998</v>
      </c>
      <c r="M2758" s="24">
        <f>+Tabla2[[#This Row],[Variación Stock]]*Tabla2[[#This Row],[Coste LÃ­nea]]</f>
        <v>-3666.6041666654</v>
      </c>
      <c r="N2758" s="22" t="str">
        <f>+IF(Tabla2[[#This Row],[Variación Stock]]&gt;0,"Sobrante",IF(Tabla2[[#This Row],[Variación Stock]]&lt;0,"Faltante","Sin novedad"))</f>
        <v>Faltante</v>
      </c>
    </row>
    <row r="2759" spans="1:14" x14ac:dyDescent="0.25">
      <c r="A2759" s="11">
        <v>46053</v>
      </c>
      <c r="B2759" s="5" t="s">
        <v>394</v>
      </c>
      <c r="C2759" s="3" t="s">
        <v>337</v>
      </c>
      <c r="D2759" s="5" t="s">
        <v>111</v>
      </c>
      <c r="E2759" s="5" t="s">
        <v>112</v>
      </c>
      <c r="F2759" s="6" t="s">
        <v>23</v>
      </c>
      <c r="G2759" s="4" t="s">
        <v>0</v>
      </c>
      <c r="H2759" s="25">
        <v>4724.9090909099996</v>
      </c>
      <c r="I2759" s="8">
        <v>6.68</v>
      </c>
      <c r="J2759" s="9">
        <v>18</v>
      </c>
      <c r="K2759" s="7">
        <v>11.32</v>
      </c>
      <c r="L2759" s="24">
        <f>+Tabla2[[#This Row],[Stock Inventario]]*Tabla2[[#This Row],[Coste LÃ­nea]]</f>
        <v>85048.363636379989</v>
      </c>
      <c r="M2759" s="24">
        <f>+Tabla2[[#This Row],[Variación Stock]]*Tabla2[[#This Row],[Coste LÃ­nea]]</f>
        <v>53485.970909101197</v>
      </c>
      <c r="N2759" s="22" t="str">
        <f>+IF(Tabla2[[#This Row],[Variación Stock]]&gt;0,"Sobrante",IF(Tabla2[[#This Row],[Variación Stock]]&lt;0,"Faltante","Sin novedad"))</f>
        <v>Sobrante</v>
      </c>
    </row>
    <row r="2760" spans="1:14" x14ac:dyDescent="0.25">
      <c r="A2760" s="11">
        <v>46053</v>
      </c>
      <c r="B2760" s="5" t="s">
        <v>394</v>
      </c>
      <c r="C2760" s="3" t="s">
        <v>337</v>
      </c>
      <c r="D2760" s="5" t="s">
        <v>111</v>
      </c>
      <c r="E2760" s="5" t="s">
        <v>112</v>
      </c>
      <c r="F2760" s="6" t="s">
        <v>52</v>
      </c>
      <c r="G2760" s="4" t="s">
        <v>0</v>
      </c>
      <c r="H2760" s="25">
        <v>6800.3640183199996</v>
      </c>
      <c r="I2760" s="8">
        <v>22.68</v>
      </c>
      <c r="J2760" s="9">
        <v>22</v>
      </c>
      <c r="K2760" s="7">
        <v>-0.68</v>
      </c>
      <c r="L2760" s="24">
        <f>+Tabla2[[#This Row],[Stock Inventario]]*Tabla2[[#This Row],[Coste LÃ­nea]]</f>
        <v>149608.00840304</v>
      </c>
      <c r="M2760" s="24">
        <f>+Tabla2[[#This Row],[Variación Stock]]*Tabla2[[#This Row],[Coste LÃ­nea]]</f>
        <v>-4624.2475324575998</v>
      </c>
      <c r="N2760" s="22" t="str">
        <f>+IF(Tabla2[[#This Row],[Variación Stock]]&gt;0,"Sobrante",IF(Tabla2[[#This Row],[Variación Stock]]&lt;0,"Faltante","Sin novedad"))</f>
        <v>Faltante</v>
      </c>
    </row>
    <row r="2761" spans="1:14" x14ac:dyDescent="0.25">
      <c r="A2761" s="11">
        <v>46053</v>
      </c>
      <c r="B2761" s="5" t="s">
        <v>394</v>
      </c>
      <c r="C2761" s="3" t="s">
        <v>337</v>
      </c>
      <c r="D2761" s="5" t="s">
        <v>114</v>
      </c>
      <c r="E2761" s="5" t="s">
        <v>112</v>
      </c>
      <c r="F2761" s="6" t="s">
        <v>62</v>
      </c>
      <c r="G2761" s="4" t="s">
        <v>2</v>
      </c>
      <c r="H2761" s="25">
        <v>1646.59232617</v>
      </c>
      <c r="I2761" s="8">
        <v>32.18</v>
      </c>
      <c r="J2761" s="9">
        <v>36.5</v>
      </c>
      <c r="K2761" s="7">
        <v>4.32</v>
      </c>
      <c r="L2761" s="24">
        <f>+Tabla2[[#This Row],[Stock Inventario]]*Tabla2[[#This Row],[Coste LÃ­nea]]</f>
        <v>60100.619905205</v>
      </c>
      <c r="M2761" s="24">
        <f>+Tabla2[[#This Row],[Variación Stock]]*Tabla2[[#This Row],[Coste LÃ­nea]]</f>
        <v>7113.2788490544008</v>
      </c>
      <c r="N2761" s="22" t="str">
        <f>+IF(Tabla2[[#This Row],[Variación Stock]]&gt;0,"Sobrante",IF(Tabla2[[#This Row],[Variación Stock]]&lt;0,"Faltante","Sin novedad"))</f>
        <v>Sobrante</v>
      </c>
    </row>
    <row r="2762" spans="1:14" x14ac:dyDescent="0.25">
      <c r="A2762" s="11">
        <v>46053</v>
      </c>
      <c r="B2762" s="5" t="s">
        <v>394</v>
      </c>
      <c r="C2762" s="3" t="s">
        <v>337</v>
      </c>
      <c r="D2762" s="5" t="s">
        <v>114</v>
      </c>
      <c r="E2762" s="5" t="s">
        <v>112</v>
      </c>
      <c r="F2762" s="6" t="s">
        <v>69</v>
      </c>
      <c r="G2762" s="4" t="s">
        <v>2</v>
      </c>
      <c r="H2762" s="25">
        <v>5133.6666666700003</v>
      </c>
      <c r="I2762" s="8">
        <v>22.54</v>
      </c>
      <c r="J2762" s="9">
        <v>23</v>
      </c>
      <c r="K2762" s="7">
        <v>0.46</v>
      </c>
      <c r="L2762" s="24">
        <f>+Tabla2[[#This Row],[Stock Inventario]]*Tabla2[[#This Row],[Coste LÃ­nea]]</f>
        <v>118074.33333341</v>
      </c>
      <c r="M2762" s="24">
        <f>+Tabla2[[#This Row],[Variación Stock]]*Tabla2[[#This Row],[Coste LÃ­nea]]</f>
        <v>2361.4866666682001</v>
      </c>
      <c r="N2762" s="22" t="str">
        <f>+IF(Tabla2[[#This Row],[Variación Stock]]&gt;0,"Sobrante",IF(Tabla2[[#This Row],[Variación Stock]]&lt;0,"Faltante","Sin novedad"))</f>
        <v>Sobrante</v>
      </c>
    </row>
    <row r="2763" spans="1:14" x14ac:dyDescent="0.25">
      <c r="A2763" s="11">
        <v>46053</v>
      </c>
      <c r="B2763" s="5" t="s">
        <v>394</v>
      </c>
      <c r="C2763" s="3" t="s">
        <v>337</v>
      </c>
      <c r="D2763" s="5" t="s">
        <v>111</v>
      </c>
      <c r="E2763" s="5" t="s">
        <v>112</v>
      </c>
      <c r="F2763" s="6" t="s">
        <v>24</v>
      </c>
      <c r="G2763" s="4" t="s">
        <v>0</v>
      </c>
      <c r="H2763" s="25">
        <v>3359.40909091</v>
      </c>
      <c r="I2763" s="8">
        <v>15.4</v>
      </c>
      <c r="J2763" s="9">
        <v>20</v>
      </c>
      <c r="K2763" s="7">
        <v>4.5999999999999996</v>
      </c>
      <c r="L2763" s="24">
        <f>+Tabla2[[#This Row],[Stock Inventario]]*Tabla2[[#This Row],[Coste LÃ­nea]]</f>
        <v>67188.181818199999</v>
      </c>
      <c r="M2763" s="24">
        <f>+Tabla2[[#This Row],[Variación Stock]]*Tabla2[[#This Row],[Coste LÃ­nea]]</f>
        <v>15453.281818185998</v>
      </c>
      <c r="N2763" s="22" t="str">
        <f>+IF(Tabla2[[#This Row],[Variación Stock]]&gt;0,"Sobrante",IF(Tabla2[[#This Row],[Variación Stock]]&lt;0,"Faltante","Sin novedad"))</f>
        <v>Sobrante</v>
      </c>
    </row>
    <row r="2764" spans="1:14" hidden="1" x14ac:dyDescent="0.25">
      <c r="A2764" s="11">
        <v>46053</v>
      </c>
      <c r="B2764" s="5" t="s">
        <v>394</v>
      </c>
      <c r="C2764" s="3" t="s">
        <v>337</v>
      </c>
      <c r="D2764" s="5" t="s">
        <v>626</v>
      </c>
      <c r="E2764" s="5" t="s">
        <v>1079</v>
      </c>
      <c r="F2764" s="6" t="s">
        <v>653</v>
      </c>
      <c r="G2764" s="4" t="s">
        <v>2</v>
      </c>
      <c r="H2764" s="25">
        <v>424.55</v>
      </c>
      <c r="I2764" s="8">
        <v>20</v>
      </c>
      <c r="J2764" s="9">
        <v>12</v>
      </c>
      <c r="K2764" s="7">
        <v>-8</v>
      </c>
      <c r="L2764" s="24">
        <f>+Tabla2[[#This Row],[Stock Inventario]]*Tabla2[[#This Row],[Coste LÃ­nea]]</f>
        <v>5094.6000000000004</v>
      </c>
      <c r="M2764" s="24">
        <f>+Tabla2[[#This Row],[Variación Stock]]*Tabla2[[#This Row],[Coste LÃ­nea]]</f>
        <v>-3396.4</v>
      </c>
      <c r="N2764" s="22" t="str">
        <f>+IF(Tabla2[[#This Row],[Variación Stock]]&gt;0,"Sobrante",IF(Tabla2[[#This Row],[Variación Stock]]&lt;0,"Faltante","Sin novedad"))</f>
        <v>Faltante</v>
      </c>
    </row>
    <row r="2765" spans="1:14" hidden="1" x14ac:dyDescent="0.25">
      <c r="A2765" s="11">
        <v>46053</v>
      </c>
      <c r="B2765" s="5" t="s">
        <v>394</v>
      </c>
      <c r="C2765" s="3" t="s">
        <v>337</v>
      </c>
      <c r="D2765" s="5" t="s">
        <v>626</v>
      </c>
      <c r="E2765" s="5" t="s">
        <v>1079</v>
      </c>
      <c r="F2765" s="6" t="s">
        <v>654</v>
      </c>
      <c r="G2765" s="4" t="s">
        <v>2</v>
      </c>
      <c r="H2765" s="25">
        <v>4703.0555555600004</v>
      </c>
      <c r="I2765" s="8">
        <v>18</v>
      </c>
      <c r="J2765" s="9">
        <v>12</v>
      </c>
      <c r="K2765" s="7">
        <v>-6</v>
      </c>
      <c r="L2765" s="24">
        <f>+Tabla2[[#This Row],[Stock Inventario]]*Tabla2[[#This Row],[Coste LÃ­nea]]</f>
        <v>56436.666666720004</v>
      </c>
      <c r="M2765" s="24">
        <f>+Tabla2[[#This Row],[Variación Stock]]*Tabla2[[#This Row],[Coste LÃ­nea]]</f>
        <v>-28218.333333360002</v>
      </c>
      <c r="N2765" s="22" t="str">
        <f>+IF(Tabla2[[#This Row],[Variación Stock]]&gt;0,"Sobrante",IF(Tabla2[[#This Row],[Variación Stock]]&lt;0,"Faltante","Sin novedad"))</f>
        <v>Faltante</v>
      </c>
    </row>
    <row r="2766" spans="1:14" x14ac:dyDescent="0.25">
      <c r="A2766" s="11">
        <v>46053</v>
      </c>
      <c r="B2766" s="5" t="s">
        <v>394</v>
      </c>
      <c r="C2766" s="3" t="s">
        <v>337</v>
      </c>
      <c r="D2766" s="5" t="s">
        <v>603</v>
      </c>
      <c r="E2766" s="5" t="s">
        <v>112</v>
      </c>
      <c r="F2766" s="6" t="s">
        <v>623</v>
      </c>
      <c r="G2766" s="4" t="s">
        <v>1</v>
      </c>
      <c r="H2766" s="25">
        <v>482.66444444000001</v>
      </c>
      <c r="I2766" s="8">
        <v>167</v>
      </c>
      <c r="J2766" s="9">
        <v>0</v>
      </c>
      <c r="K2766" s="7">
        <v>-167</v>
      </c>
      <c r="L2766" s="24">
        <f>+Tabla2[[#This Row],[Stock Inventario]]*Tabla2[[#This Row],[Coste LÃ­nea]]</f>
        <v>0</v>
      </c>
      <c r="M2766" s="24">
        <f>+Tabla2[[#This Row],[Variación Stock]]*Tabla2[[#This Row],[Coste LÃ­nea]]</f>
        <v>-80604.962221480004</v>
      </c>
      <c r="N2766" s="22" t="str">
        <f>+IF(Tabla2[[#This Row],[Variación Stock]]&gt;0,"Sobrante",IF(Tabla2[[#This Row],[Variación Stock]]&lt;0,"Faltante","Sin novedad"))</f>
        <v>Faltante</v>
      </c>
    </row>
    <row r="2767" spans="1:14" x14ac:dyDescent="0.25">
      <c r="A2767" s="11">
        <v>46053</v>
      </c>
      <c r="B2767" s="5" t="s">
        <v>394</v>
      </c>
      <c r="C2767" s="3" t="s">
        <v>337</v>
      </c>
      <c r="D2767" s="5" t="s">
        <v>111</v>
      </c>
      <c r="E2767" s="5" t="s">
        <v>112</v>
      </c>
      <c r="F2767" s="6" t="s">
        <v>39</v>
      </c>
      <c r="G2767" s="4" t="s">
        <v>0</v>
      </c>
      <c r="H2767" s="25">
        <v>10145.63636364</v>
      </c>
      <c r="I2767" s="8">
        <v>13</v>
      </c>
      <c r="J2767" s="9">
        <v>16</v>
      </c>
      <c r="K2767" s="7">
        <v>3</v>
      </c>
      <c r="L2767" s="24">
        <f>+Tabla2[[#This Row],[Stock Inventario]]*Tabla2[[#This Row],[Coste LÃ­nea]]</f>
        <v>162330.18181824</v>
      </c>
      <c r="M2767" s="24">
        <f>+Tabla2[[#This Row],[Variación Stock]]*Tabla2[[#This Row],[Coste LÃ­nea]]</f>
        <v>30436.909090920002</v>
      </c>
      <c r="N2767" s="22" t="str">
        <f>+IF(Tabla2[[#This Row],[Variación Stock]]&gt;0,"Sobrante",IF(Tabla2[[#This Row],[Variación Stock]]&lt;0,"Faltante","Sin novedad"))</f>
        <v>Sobrante</v>
      </c>
    </row>
    <row r="2768" spans="1:14" hidden="1" x14ac:dyDescent="0.25">
      <c r="A2768" s="11">
        <v>46053</v>
      </c>
      <c r="B2768" s="5" t="s">
        <v>394</v>
      </c>
      <c r="C2768" s="3" t="s">
        <v>337</v>
      </c>
      <c r="D2768" s="5" t="s">
        <v>559</v>
      </c>
      <c r="E2768" s="5" t="s">
        <v>1080</v>
      </c>
      <c r="F2768" s="6" t="s">
        <v>590</v>
      </c>
      <c r="G2768" s="4" t="s">
        <v>2</v>
      </c>
      <c r="H2768" s="25">
        <v>119.25</v>
      </c>
      <c r="I2768" s="8">
        <v>258</v>
      </c>
      <c r="J2768" s="9">
        <v>200</v>
      </c>
      <c r="K2768" s="7">
        <v>-58</v>
      </c>
      <c r="L2768" s="24">
        <f>+Tabla2[[#This Row],[Stock Inventario]]*Tabla2[[#This Row],[Coste LÃ­nea]]</f>
        <v>23850</v>
      </c>
      <c r="M2768" s="24">
        <f>+Tabla2[[#This Row],[Variación Stock]]*Tabla2[[#This Row],[Coste LÃ­nea]]</f>
        <v>-6916.5</v>
      </c>
      <c r="N2768" s="22" t="str">
        <f>+IF(Tabla2[[#This Row],[Variación Stock]]&gt;0,"Sobrante",IF(Tabla2[[#This Row],[Variación Stock]]&lt;0,"Faltante","Sin novedad"))</f>
        <v>Faltante</v>
      </c>
    </row>
    <row r="2769" spans="1:14" hidden="1" x14ac:dyDescent="0.25">
      <c r="A2769" s="11">
        <v>46053</v>
      </c>
      <c r="B2769" s="5" t="s">
        <v>394</v>
      </c>
      <c r="C2769" s="3" t="s">
        <v>337</v>
      </c>
      <c r="D2769" s="5" t="s">
        <v>626</v>
      </c>
      <c r="E2769" s="5" t="s">
        <v>1079</v>
      </c>
      <c r="F2769" s="6" t="s">
        <v>655</v>
      </c>
      <c r="G2769" s="4" t="s">
        <v>2</v>
      </c>
      <c r="H2769" s="25">
        <v>217.31714285999999</v>
      </c>
      <c r="I2769" s="8">
        <v>7</v>
      </c>
      <c r="J2769" s="9">
        <v>200</v>
      </c>
      <c r="K2769" s="7">
        <v>193</v>
      </c>
      <c r="L2769" s="24">
        <f>+Tabla2[[#This Row],[Stock Inventario]]*Tabla2[[#This Row],[Coste LÃ­nea]]</f>
        <v>43463.428571999997</v>
      </c>
      <c r="M2769" s="24">
        <f>+Tabla2[[#This Row],[Variación Stock]]*Tabla2[[#This Row],[Coste LÃ­nea]]</f>
        <v>41942.208571980002</v>
      </c>
      <c r="N2769" s="22" t="str">
        <f>+IF(Tabla2[[#This Row],[Variación Stock]]&gt;0,"Sobrante",IF(Tabla2[[#This Row],[Variación Stock]]&lt;0,"Faltante","Sin novedad"))</f>
        <v>Sobrante</v>
      </c>
    </row>
    <row r="2770" spans="1:14" hidden="1" x14ac:dyDescent="0.25">
      <c r="A2770" s="11">
        <v>46053</v>
      </c>
      <c r="B2770" s="5" t="s">
        <v>394</v>
      </c>
      <c r="C2770" s="3" t="s">
        <v>337</v>
      </c>
      <c r="D2770" s="5" t="s">
        <v>626</v>
      </c>
      <c r="E2770" s="5" t="s">
        <v>1079</v>
      </c>
      <c r="F2770" s="6" t="s">
        <v>656</v>
      </c>
      <c r="G2770" s="4" t="s">
        <v>2</v>
      </c>
      <c r="H2770" s="25">
        <v>217.32</v>
      </c>
      <c r="I2770" s="8">
        <v>900</v>
      </c>
      <c r="J2770" s="9">
        <v>200</v>
      </c>
      <c r="K2770" s="7">
        <v>-700</v>
      </c>
      <c r="L2770" s="24">
        <f>+Tabla2[[#This Row],[Stock Inventario]]*Tabla2[[#This Row],[Coste LÃ­nea]]</f>
        <v>43464</v>
      </c>
      <c r="M2770" s="24">
        <f>+Tabla2[[#This Row],[Variación Stock]]*Tabla2[[#This Row],[Coste LÃ­nea]]</f>
        <v>-152124</v>
      </c>
      <c r="N2770" s="22" t="str">
        <f>+IF(Tabla2[[#This Row],[Variación Stock]]&gt;0,"Sobrante",IF(Tabla2[[#This Row],[Variación Stock]]&lt;0,"Faltante","Sin novedad"))</f>
        <v>Faltante</v>
      </c>
    </row>
    <row r="2771" spans="1:14" hidden="1" x14ac:dyDescent="0.25">
      <c r="A2771" s="11">
        <v>46053</v>
      </c>
      <c r="B2771" s="5" t="s">
        <v>394</v>
      </c>
      <c r="C2771" s="3" t="s">
        <v>337</v>
      </c>
      <c r="D2771" s="5" t="s">
        <v>626</v>
      </c>
      <c r="E2771" s="5" t="s">
        <v>1079</v>
      </c>
      <c r="F2771" s="6" t="s">
        <v>627</v>
      </c>
      <c r="G2771" s="4" t="s">
        <v>2</v>
      </c>
      <c r="H2771" s="25">
        <v>217.32</v>
      </c>
      <c r="I2771" s="8">
        <v>4</v>
      </c>
      <c r="J2771" s="9">
        <v>100</v>
      </c>
      <c r="K2771" s="7">
        <v>96</v>
      </c>
      <c r="L2771" s="24">
        <f>+Tabla2[[#This Row],[Stock Inventario]]*Tabla2[[#This Row],[Coste LÃ­nea]]</f>
        <v>21732</v>
      </c>
      <c r="M2771" s="24">
        <f>+Tabla2[[#This Row],[Variación Stock]]*Tabla2[[#This Row],[Coste LÃ­nea]]</f>
        <v>20862.72</v>
      </c>
      <c r="N2771" s="22" t="str">
        <f>+IF(Tabla2[[#This Row],[Variación Stock]]&gt;0,"Sobrante",IF(Tabla2[[#This Row],[Variación Stock]]&lt;0,"Faltante","Sin novedad"))</f>
        <v>Sobrante</v>
      </c>
    </row>
    <row r="2772" spans="1:14" hidden="1" x14ac:dyDescent="0.25">
      <c r="A2772" s="11">
        <v>46053</v>
      </c>
      <c r="B2772" s="5" t="s">
        <v>394</v>
      </c>
      <c r="C2772" s="3" t="s">
        <v>337</v>
      </c>
      <c r="D2772" s="5" t="s">
        <v>471</v>
      </c>
      <c r="E2772" s="5" t="s">
        <v>117</v>
      </c>
      <c r="F2772" s="6" t="s">
        <v>503</v>
      </c>
      <c r="G2772" s="4" t="s">
        <v>1</v>
      </c>
      <c r="H2772" s="25">
        <v>2.8</v>
      </c>
      <c r="I2772" s="8">
        <v>2900</v>
      </c>
      <c r="J2772" s="9">
        <v>0</v>
      </c>
      <c r="K2772" s="7">
        <v>-2900</v>
      </c>
      <c r="L2772" s="24">
        <f>+Tabla2[[#This Row],[Stock Inventario]]*Tabla2[[#This Row],[Coste LÃ­nea]]</f>
        <v>0</v>
      </c>
      <c r="M2772" s="24">
        <f>+Tabla2[[#This Row],[Variación Stock]]*Tabla2[[#This Row],[Coste LÃ­nea]]</f>
        <v>-8119.9999999999991</v>
      </c>
      <c r="N2772" s="22" t="str">
        <f>+IF(Tabla2[[#This Row],[Variación Stock]]&gt;0,"Sobrante",IF(Tabla2[[#This Row],[Variación Stock]]&lt;0,"Faltante","Sin novedad"))</f>
        <v>Faltante</v>
      </c>
    </row>
    <row r="2773" spans="1:14" hidden="1" x14ac:dyDescent="0.25">
      <c r="A2773" s="11">
        <v>46053</v>
      </c>
      <c r="B2773" s="5" t="s">
        <v>394</v>
      </c>
      <c r="C2773" s="3" t="s">
        <v>337</v>
      </c>
      <c r="D2773" s="5" t="s">
        <v>471</v>
      </c>
      <c r="E2773" s="5" t="s">
        <v>117</v>
      </c>
      <c r="F2773" s="6" t="s">
        <v>543</v>
      </c>
      <c r="G2773" s="4" t="s">
        <v>1</v>
      </c>
      <c r="H2773" s="25">
        <v>9</v>
      </c>
      <c r="I2773" s="8">
        <v>-4860</v>
      </c>
      <c r="J2773" s="9">
        <v>0</v>
      </c>
      <c r="K2773" s="7">
        <v>4860</v>
      </c>
      <c r="L2773" s="24">
        <f>+Tabla2[[#This Row],[Stock Inventario]]*Tabla2[[#This Row],[Coste LÃ­nea]]</f>
        <v>0</v>
      </c>
      <c r="M2773" s="24">
        <f>+Tabla2[[#This Row],[Variación Stock]]*Tabla2[[#This Row],[Coste LÃ­nea]]</f>
        <v>43740</v>
      </c>
      <c r="N2773" s="22" t="str">
        <f>+IF(Tabla2[[#This Row],[Variación Stock]]&gt;0,"Sobrante",IF(Tabla2[[#This Row],[Variación Stock]]&lt;0,"Faltante","Sin novedad"))</f>
        <v>Sobrante</v>
      </c>
    </row>
    <row r="2774" spans="1:14" hidden="1" x14ac:dyDescent="0.25">
      <c r="A2774" s="11">
        <v>46053</v>
      </c>
      <c r="B2774" s="5" t="s">
        <v>394</v>
      </c>
      <c r="C2774" s="3" t="s">
        <v>337</v>
      </c>
      <c r="D2774" s="5" t="s">
        <v>471</v>
      </c>
      <c r="E2774" s="5" t="s">
        <v>117</v>
      </c>
      <c r="F2774" s="6" t="s">
        <v>504</v>
      </c>
      <c r="G2774" s="4" t="s">
        <v>1</v>
      </c>
      <c r="H2774" s="25">
        <v>6.8</v>
      </c>
      <c r="I2774" s="8">
        <v>-1675.5554999999999</v>
      </c>
      <c r="J2774" s="9">
        <v>690</v>
      </c>
      <c r="K2774" s="7">
        <v>1865.5554770000001</v>
      </c>
      <c r="L2774" s="24">
        <f>+Tabla2[[#This Row],[Stock Inventario]]*Tabla2[[#This Row],[Coste LÃ­nea]]</f>
        <v>4692</v>
      </c>
      <c r="M2774" s="24">
        <f>+Tabla2[[#This Row],[Variación Stock]]*Tabla2[[#This Row],[Coste LÃ­nea]]</f>
        <v>12685.7772436</v>
      </c>
      <c r="N2774" s="22" t="str">
        <f>+IF(Tabla2[[#This Row],[Variación Stock]]&gt;0,"Sobrante",IF(Tabla2[[#This Row],[Variación Stock]]&lt;0,"Faltante","Sin novedad"))</f>
        <v>Sobrante</v>
      </c>
    </row>
    <row r="2775" spans="1:14" hidden="1" x14ac:dyDescent="0.25">
      <c r="A2775" s="11">
        <v>46053</v>
      </c>
      <c r="B2775" s="5" t="s">
        <v>394</v>
      </c>
      <c r="C2775" s="3" t="s">
        <v>337</v>
      </c>
      <c r="D2775" s="5" t="s">
        <v>396</v>
      </c>
      <c r="E2775" s="5" t="s">
        <v>117</v>
      </c>
      <c r="F2775" s="6" t="s">
        <v>437</v>
      </c>
      <c r="G2775" s="4" t="s">
        <v>1</v>
      </c>
      <c r="H2775" s="25">
        <v>4.2671999999999999</v>
      </c>
      <c r="I2775" s="8">
        <v>15295</v>
      </c>
      <c r="J2775" s="9">
        <v>2100</v>
      </c>
      <c r="K2775" s="7">
        <v>-15694.999980000001</v>
      </c>
      <c r="L2775" s="24">
        <f>+Tabla2[[#This Row],[Stock Inventario]]*Tabla2[[#This Row],[Coste LÃ­nea]]</f>
        <v>8961.119999999999</v>
      </c>
      <c r="M2775" s="24">
        <f>+Tabla2[[#This Row],[Variación Stock]]*Tabla2[[#This Row],[Coste LÃ­nea]]</f>
        <v>-66973.703914655998</v>
      </c>
      <c r="N2775" s="22" t="str">
        <f>+IF(Tabla2[[#This Row],[Variación Stock]]&gt;0,"Sobrante",IF(Tabla2[[#This Row],[Variación Stock]]&lt;0,"Faltante","Sin novedad"))</f>
        <v>Faltante</v>
      </c>
    </row>
    <row r="2776" spans="1:14" hidden="1" x14ac:dyDescent="0.25">
      <c r="A2776" s="11">
        <v>46053</v>
      </c>
      <c r="B2776" s="5" t="s">
        <v>394</v>
      </c>
      <c r="C2776" s="3" t="s">
        <v>337</v>
      </c>
      <c r="D2776" s="5" t="s">
        <v>396</v>
      </c>
      <c r="E2776" s="5" t="s">
        <v>117</v>
      </c>
      <c r="F2776" s="6" t="s">
        <v>438</v>
      </c>
      <c r="G2776" s="4" t="s">
        <v>1</v>
      </c>
      <c r="H2776" s="25">
        <v>3.7180833299999998</v>
      </c>
      <c r="I2776" s="8">
        <v>0</v>
      </c>
      <c r="J2776" s="9">
        <v>0</v>
      </c>
      <c r="K2776" s="7">
        <v>0</v>
      </c>
      <c r="L2776" s="24">
        <f>+Tabla2[[#This Row],[Stock Inventario]]*Tabla2[[#This Row],[Coste LÃ­nea]]</f>
        <v>0</v>
      </c>
      <c r="M2776" s="24">
        <f>+Tabla2[[#This Row],[Variación Stock]]*Tabla2[[#This Row],[Coste LÃ­nea]]</f>
        <v>0</v>
      </c>
      <c r="N2776" s="22" t="str">
        <f>+IF(Tabla2[[#This Row],[Variación Stock]]&gt;0,"Sobrante",IF(Tabla2[[#This Row],[Variación Stock]]&lt;0,"Faltante","Sin novedad"))</f>
        <v>Sin novedad</v>
      </c>
    </row>
    <row r="2777" spans="1:14" hidden="1" x14ac:dyDescent="0.25">
      <c r="A2777" s="11">
        <v>46053</v>
      </c>
      <c r="B2777" s="5" t="s">
        <v>394</v>
      </c>
      <c r="C2777" s="3" t="s">
        <v>337</v>
      </c>
      <c r="D2777" s="5" t="s">
        <v>559</v>
      </c>
      <c r="E2777" s="5" t="s">
        <v>1080</v>
      </c>
      <c r="F2777" s="6" t="s">
        <v>583</v>
      </c>
      <c r="G2777" s="4" t="s">
        <v>2</v>
      </c>
      <c r="H2777" s="25">
        <v>136.85</v>
      </c>
      <c r="I2777" s="8">
        <v>0</v>
      </c>
      <c r="J2777" s="9">
        <v>1</v>
      </c>
      <c r="K2777" s="7">
        <v>1</v>
      </c>
      <c r="L2777" s="24">
        <f>+Tabla2[[#This Row],[Stock Inventario]]*Tabla2[[#This Row],[Coste LÃ­nea]]</f>
        <v>136.85</v>
      </c>
      <c r="M2777" s="24">
        <f>+Tabla2[[#This Row],[Variación Stock]]*Tabla2[[#This Row],[Coste LÃ­nea]]</f>
        <v>136.85</v>
      </c>
      <c r="N2777" s="22" t="str">
        <f>+IF(Tabla2[[#This Row],[Variación Stock]]&gt;0,"Sobrante",IF(Tabla2[[#This Row],[Variación Stock]]&lt;0,"Faltante","Sin novedad"))</f>
        <v>Sobrante</v>
      </c>
    </row>
    <row r="2778" spans="1:14" hidden="1" x14ac:dyDescent="0.25">
      <c r="A2778" s="11">
        <v>46053</v>
      </c>
      <c r="B2778" s="5" t="s">
        <v>394</v>
      </c>
      <c r="C2778" s="3" t="s">
        <v>337</v>
      </c>
      <c r="D2778" s="5" t="s">
        <v>471</v>
      </c>
      <c r="E2778" s="5" t="s">
        <v>117</v>
      </c>
      <c r="F2778" s="6" t="s">
        <v>545</v>
      </c>
      <c r="G2778" s="4" t="s">
        <v>1</v>
      </c>
      <c r="H2778" s="25">
        <v>33</v>
      </c>
      <c r="I2778" s="8">
        <v>3122</v>
      </c>
      <c r="J2778" s="9">
        <v>1074</v>
      </c>
      <c r="K2778" s="7">
        <v>-2047.9999969</v>
      </c>
      <c r="L2778" s="24">
        <f>+Tabla2[[#This Row],[Stock Inventario]]*Tabla2[[#This Row],[Coste LÃ­nea]]</f>
        <v>35442</v>
      </c>
      <c r="M2778" s="24">
        <f>+Tabla2[[#This Row],[Variación Stock]]*Tabla2[[#This Row],[Coste LÃ­nea]]</f>
        <v>-67583.999897700007</v>
      </c>
      <c r="N2778" s="22" t="str">
        <f>+IF(Tabla2[[#This Row],[Variación Stock]]&gt;0,"Sobrante",IF(Tabla2[[#This Row],[Variación Stock]]&lt;0,"Faltante","Sin novedad"))</f>
        <v>Faltante</v>
      </c>
    </row>
    <row r="2779" spans="1:14" x14ac:dyDescent="0.25">
      <c r="A2779" s="11">
        <v>46053</v>
      </c>
      <c r="B2779" s="5" t="s">
        <v>394</v>
      </c>
      <c r="C2779" s="3" t="s">
        <v>337</v>
      </c>
      <c r="D2779" s="5" t="s">
        <v>603</v>
      </c>
      <c r="E2779" s="5" t="s">
        <v>112</v>
      </c>
      <c r="F2779" s="6" t="s">
        <v>618</v>
      </c>
      <c r="G2779" s="4" t="s">
        <v>1</v>
      </c>
      <c r="H2779" s="25">
        <v>16</v>
      </c>
      <c r="I2779" s="8">
        <v>-2928.8245999999999</v>
      </c>
      <c r="J2779" s="9">
        <v>1012</v>
      </c>
      <c r="K2779" s="7">
        <v>3940.8246316999998</v>
      </c>
      <c r="L2779" s="24">
        <f>+Tabla2[[#This Row],[Stock Inventario]]*Tabla2[[#This Row],[Coste LÃ­nea]]</f>
        <v>16192</v>
      </c>
      <c r="M2779" s="24">
        <f>+Tabla2[[#This Row],[Variación Stock]]*Tabla2[[#This Row],[Coste LÃ­nea]]</f>
        <v>63053.194107199997</v>
      </c>
      <c r="N2779" s="22" t="str">
        <f>+IF(Tabla2[[#This Row],[Variación Stock]]&gt;0,"Sobrante",IF(Tabla2[[#This Row],[Variación Stock]]&lt;0,"Faltante","Sin novedad"))</f>
        <v>Sobrante</v>
      </c>
    </row>
    <row r="2780" spans="1:14" hidden="1" x14ac:dyDescent="0.25">
      <c r="A2780" s="11">
        <v>46053</v>
      </c>
      <c r="B2780" s="5" t="s">
        <v>394</v>
      </c>
      <c r="C2780" s="3" t="s">
        <v>337</v>
      </c>
      <c r="D2780" s="5" t="s">
        <v>626</v>
      </c>
      <c r="E2780" s="5" t="s">
        <v>1079</v>
      </c>
      <c r="F2780" s="6" t="s">
        <v>657</v>
      </c>
      <c r="G2780" s="4" t="s">
        <v>1</v>
      </c>
      <c r="H2780" s="25">
        <v>2.6021000000000001</v>
      </c>
      <c r="I2780" s="8">
        <v>60000</v>
      </c>
      <c r="J2780" s="9">
        <v>0</v>
      </c>
      <c r="K2780" s="7">
        <v>-60000</v>
      </c>
      <c r="L2780" s="24">
        <f>+Tabla2[[#This Row],[Stock Inventario]]*Tabla2[[#This Row],[Coste LÃ­nea]]</f>
        <v>0</v>
      </c>
      <c r="M2780" s="24">
        <f>+Tabla2[[#This Row],[Variación Stock]]*Tabla2[[#This Row],[Coste LÃ­nea]]</f>
        <v>-156126</v>
      </c>
      <c r="N2780" s="22" t="str">
        <f>+IF(Tabla2[[#This Row],[Variación Stock]]&gt;0,"Sobrante",IF(Tabla2[[#This Row],[Variación Stock]]&lt;0,"Faltante","Sin novedad"))</f>
        <v>Faltante</v>
      </c>
    </row>
    <row r="2781" spans="1:14" hidden="1" x14ac:dyDescent="0.25">
      <c r="A2781" s="11">
        <v>46053</v>
      </c>
      <c r="B2781" s="5" t="s">
        <v>394</v>
      </c>
      <c r="C2781" s="3" t="s">
        <v>337</v>
      </c>
      <c r="D2781" s="5" t="s">
        <v>471</v>
      </c>
      <c r="E2781" s="5" t="s">
        <v>117</v>
      </c>
      <c r="F2781" s="6" t="s">
        <v>505</v>
      </c>
      <c r="G2781" s="4" t="s">
        <v>2</v>
      </c>
      <c r="H2781" s="25">
        <v>4000</v>
      </c>
      <c r="I2781" s="8">
        <v>497.5</v>
      </c>
      <c r="J2781" s="9">
        <v>1</v>
      </c>
      <c r="K2781" s="7">
        <v>-496.5</v>
      </c>
      <c r="L2781" s="24">
        <f>+Tabla2[[#This Row],[Stock Inventario]]*Tabla2[[#This Row],[Coste LÃ­nea]]</f>
        <v>4000</v>
      </c>
      <c r="M2781" s="24">
        <f>+Tabla2[[#This Row],[Variación Stock]]*Tabla2[[#This Row],[Coste LÃ­nea]]</f>
        <v>-1986000</v>
      </c>
      <c r="N2781" s="22" t="str">
        <f>+IF(Tabla2[[#This Row],[Variación Stock]]&gt;0,"Sobrante",IF(Tabla2[[#This Row],[Variación Stock]]&lt;0,"Faltante","Sin novedad"))</f>
        <v>Faltante</v>
      </c>
    </row>
    <row r="2782" spans="1:14" x14ac:dyDescent="0.25">
      <c r="A2782" s="11">
        <v>46053</v>
      </c>
      <c r="B2782" s="5" t="s">
        <v>394</v>
      </c>
      <c r="C2782" s="3" t="s">
        <v>337</v>
      </c>
      <c r="D2782" s="5" t="s">
        <v>603</v>
      </c>
      <c r="E2782" s="5" t="s">
        <v>112</v>
      </c>
      <c r="F2782" s="6" t="s">
        <v>624</v>
      </c>
      <c r="G2782" s="4" t="s">
        <v>1</v>
      </c>
      <c r="H2782" s="25">
        <v>100</v>
      </c>
      <c r="I2782" s="8">
        <v>252</v>
      </c>
      <c r="J2782" s="9">
        <v>252</v>
      </c>
      <c r="K2782" s="7">
        <v>0</v>
      </c>
      <c r="L2782" s="24">
        <f>+Tabla2[[#This Row],[Stock Inventario]]*Tabla2[[#This Row],[Coste LÃ­nea]]</f>
        <v>25200</v>
      </c>
      <c r="M2782" s="24">
        <f>+Tabla2[[#This Row],[Variación Stock]]*Tabla2[[#This Row],[Coste LÃ­nea]]</f>
        <v>0</v>
      </c>
      <c r="N2782" s="22" t="str">
        <f>+IF(Tabla2[[#This Row],[Variación Stock]]&gt;0,"Sobrante",IF(Tabla2[[#This Row],[Variación Stock]]&lt;0,"Faltante","Sin novedad"))</f>
        <v>Sin novedad</v>
      </c>
    </row>
    <row r="2783" spans="1:14" hidden="1" x14ac:dyDescent="0.25">
      <c r="A2783" s="11">
        <v>46053</v>
      </c>
      <c r="B2783" s="5" t="s">
        <v>394</v>
      </c>
      <c r="C2783" s="3" t="s">
        <v>337</v>
      </c>
      <c r="D2783" s="5" t="s">
        <v>396</v>
      </c>
      <c r="E2783" s="5" t="s">
        <v>117</v>
      </c>
      <c r="F2783" s="6" t="s">
        <v>423</v>
      </c>
      <c r="G2783" s="4" t="s">
        <v>1</v>
      </c>
      <c r="H2783" s="25">
        <v>69.02</v>
      </c>
      <c r="I2783" s="8">
        <v>492</v>
      </c>
      <c r="J2783" s="9">
        <v>0</v>
      </c>
      <c r="K2783" s="7">
        <v>-492</v>
      </c>
      <c r="L2783" s="24">
        <f>+Tabla2[[#This Row],[Stock Inventario]]*Tabla2[[#This Row],[Coste LÃ­nea]]</f>
        <v>0</v>
      </c>
      <c r="M2783" s="24">
        <f>+Tabla2[[#This Row],[Variación Stock]]*Tabla2[[#This Row],[Coste LÃ­nea]]</f>
        <v>-33957.839999999997</v>
      </c>
      <c r="N2783" s="22" t="str">
        <f>+IF(Tabla2[[#This Row],[Variación Stock]]&gt;0,"Sobrante",IF(Tabla2[[#This Row],[Variación Stock]]&lt;0,"Faltante","Sin novedad"))</f>
        <v>Faltante</v>
      </c>
    </row>
    <row r="2784" spans="1:14" hidden="1" x14ac:dyDescent="0.25">
      <c r="A2784" s="11">
        <v>46053</v>
      </c>
      <c r="B2784" s="5" t="s">
        <v>394</v>
      </c>
      <c r="C2784" s="3" t="s">
        <v>337</v>
      </c>
      <c r="D2784" s="5" t="s">
        <v>396</v>
      </c>
      <c r="E2784" s="5" t="s">
        <v>117</v>
      </c>
      <c r="F2784" s="6" t="s">
        <v>469</v>
      </c>
      <c r="G2784" s="4" t="s">
        <v>2</v>
      </c>
      <c r="H2784" s="25">
        <v>354.16666666999998</v>
      </c>
      <c r="I2784" s="8">
        <v>346</v>
      </c>
      <c r="J2784" s="9">
        <v>136</v>
      </c>
      <c r="K2784" s="7">
        <v>-210</v>
      </c>
      <c r="L2784" s="24">
        <f>+Tabla2[[#This Row],[Stock Inventario]]*Tabla2[[#This Row],[Coste LÃ­nea]]</f>
        <v>48166.66666712</v>
      </c>
      <c r="M2784" s="24">
        <f>+Tabla2[[#This Row],[Variación Stock]]*Tabla2[[#This Row],[Coste LÃ­nea]]</f>
        <v>-74375.000000699991</v>
      </c>
      <c r="N2784" s="22" t="str">
        <f>+IF(Tabla2[[#This Row],[Variación Stock]]&gt;0,"Sobrante",IF(Tabla2[[#This Row],[Variación Stock]]&lt;0,"Faltante","Sin novedad"))</f>
        <v>Faltante</v>
      </c>
    </row>
    <row r="2785" spans="1:14" hidden="1" x14ac:dyDescent="0.25">
      <c r="A2785" s="11">
        <v>46053</v>
      </c>
      <c r="B2785" s="5" t="s">
        <v>394</v>
      </c>
      <c r="C2785" s="3" t="s">
        <v>337</v>
      </c>
      <c r="D2785" s="5" t="s">
        <v>396</v>
      </c>
      <c r="E2785" s="5" t="s">
        <v>117</v>
      </c>
      <c r="F2785" s="6" t="s">
        <v>470</v>
      </c>
      <c r="G2785" s="4" t="s">
        <v>2</v>
      </c>
      <c r="H2785" s="25">
        <v>726.66666667000004</v>
      </c>
      <c r="I2785" s="8">
        <v>171</v>
      </c>
      <c r="J2785" s="9">
        <v>26</v>
      </c>
      <c r="K2785" s="7">
        <v>-145</v>
      </c>
      <c r="L2785" s="24">
        <f>+Tabla2[[#This Row],[Stock Inventario]]*Tabla2[[#This Row],[Coste LÃ­nea]]</f>
        <v>18893.33333342</v>
      </c>
      <c r="M2785" s="24">
        <f>+Tabla2[[#This Row],[Variación Stock]]*Tabla2[[#This Row],[Coste LÃ­nea]]</f>
        <v>-105366.66666715</v>
      </c>
      <c r="N2785" s="22" t="str">
        <f>+IF(Tabla2[[#This Row],[Variación Stock]]&gt;0,"Sobrante",IF(Tabla2[[#This Row],[Variación Stock]]&lt;0,"Faltante","Sin novedad"))</f>
        <v>Faltante</v>
      </c>
    </row>
    <row r="2786" spans="1:14" hidden="1" x14ac:dyDescent="0.25">
      <c r="A2786" s="11">
        <v>46053</v>
      </c>
      <c r="B2786" s="5" t="s">
        <v>394</v>
      </c>
      <c r="C2786" s="3" t="s">
        <v>337</v>
      </c>
      <c r="D2786" s="5" t="s">
        <v>626</v>
      </c>
      <c r="E2786" s="5" t="s">
        <v>1079</v>
      </c>
      <c r="F2786" s="6" t="s">
        <v>658</v>
      </c>
      <c r="G2786" s="4" t="s">
        <v>2</v>
      </c>
      <c r="H2786" s="25">
        <v>68049</v>
      </c>
      <c r="I2786" s="8">
        <v>0</v>
      </c>
      <c r="J2786" s="9">
        <v>2</v>
      </c>
      <c r="K2786" s="7">
        <v>2</v>
      </c>
      <c r="L2786" s="24">
        <f>+Tabla2[[#This Row],[Stock Inventario]]*Tabla2[[#This Row],[Coste LÃ­nea]]</f>
        <v>136098</v>
      </c>
      <c r="M2786" s="24">
        <f>+Tabla2[[#This Row],[Variación Stock]]*Tabla2[[#This Row],[Coste LÃ­nea]]</f>
        <v>136098</v>
      </c>
      <c r="N2786" s="22" t="str">
        <f>+IF(Tabla2[[#This Row],[Variación Stock]]&gt;0,"Sobrante",IF(Tabla2[[#This Row],[Variación Stock]]&lt;0,"Faltante","Sin novedad"))</f>
        <v>Sobrante</v>
      </c>
    </row>
    <row r="2787" spans="1:14" hidden="1" x14ac:dyDescent="0.25">
      <c r="A2787" s="11">
        <v>46053</v>
      </c>
      <c r="B2787" s="5" t="s">
        <v>394</v>
      </c>
      <c r="C2787" s="3" t="s">
        <v>337</v>
      </c>
      <c r="D2787" s="5" t="s">
        <v>626</v>
      </c>
      <c r="E2787" s="5" t="s">
        <v>1079</v>
      </c>
      <c r="F2787" s="6" t="s">
        <v>638</v>
      </c>
      <c r="G2787" s="4" t="s">
        <v>2</v>
      </c>
      <c r="H2787" s="25">
        <v>4516</v>
      </c>
      <c r="I2787" s="8">
        <v>1</v>
      </c>
      <c r="J2787" s="9">
        <v>0</v>
      </c>
      <c r="K2787" s="7">
        <v>-1</v>
      </c>
      <c r="L2787" s="24">
        <f>+Tabla2[[#This Row],[Stock Inventario]]*Tabla2[[#This Row],[Coste LÃ­nea]]</f>
        <v>0</v>
      </c>
      <c r="M2787" s="24">
        <f>+Tabla2[[#This Row],[Variación Stock]]*Tabla2[[#This Row],[Coste LÃ­nea]]</f>
        <v>-4516</v>
      </c>
      <c r="N2787" s="22" t="str">
        <f>+IF(Tabla2[[#This Row],[Variación Stock]]&gt;0,"Sobrante",IF(Tabla2[[#This Row],[Variación Stock]]&lt;0,"Faltante","Sin novedad"))</f>
        <v>Faltante</v>
      </c>
    </row>
    <row r="2788" spans="1:14" hidden="1" x14ac:dyDescent="0.25">
      <c r="A2788" s="11">
        <v>46053</v>
      </c>
      <c r="B2788" s="5" t="s">
        <v>394</v>
      </c>
      <c r="C2788" s="3" t="s">
        <v>337</v>
      </c>
      <c r="D2788" s="5" t="s">
        <v>471</v>
      </c>
      <c r="E2788" s="5" t="s">
        <v>117</v>
      </c>
      <c r="F2788" s="6" t="s">
        <v>506</v>
      </c>
      <c r="G2788" s="4" t="s">
        <v>1</v>
      </c>
      <c r="H2788" s="25">
        <v>10.5</v>
      </c>
      <c r="I2788" s="8">
        <v>1805.7778000000001</v>
      </c>
      <c r="J2788" s="9">
        <v>506</v>
      </c>
      <c r="K2788" s="7">
        <v>-1299.7777845000001</v>
      </c>
      <c r="L2788" s="24">
        <f>+Tabla2[[#This Row],[Stock Inventario]]*Tabla2[[#This Row],[Coste LÃ­nea]]</f>
        <v>5313</v>
      </c>
      <c r="M2788" s="24">
        <f>+Tabla2[[#This Row],[Variación Stock]]*Tabla2[[#This Row],[Coste LÃ­nea]]</f>
        <v>-13647.666737250001</v>
      </c>
      <c r="N2788" s="22" t="str">
        <f>+IF(Tabla2[[#This Row],[Variación Stock]]&gt;0,"Sobrante",IF(Tabla2[[#This Row],[Variación Stock]]&lt;0,"Faltante","Sin novedad"))</f>
        <v>Faltante</v>
      </c>
    </row>
    <row r="2789" spans="1:14" x14ac:dyDescent="0.25">
      <c r="A2789" s="11">
        <v>46053</v>
      </c>
      <c r="B2789" s="5" t="s">
        <v>394</v>
      </c>
      <c r="C2789" s="3" t="s">
        <v>337</v>
      </c>
      <c r="D2789" s="5" t="s">
        <v>603</v>
      </c>
      <c r="E2789" s="5" t="s">
        <v>112</v>
      </c>
      <c r="F2789" s="6" t="s">
        <v>613</v>
      </c>
      <c r="G2789" s="4" t="s">
        <v>0</v>
      </c>
      <c r="H2789" s="25">
        <v>638.27160492999997</v>
      </c>
      <c r="I2789" s="8">
        <v>15</v>
      </c>
      <c r="J2789" s="9">
        <v>496</v>
      </c>
      <c r="K2789" s="7">
        <v>481</v>
      </c>
      <c r="L2789" s="24">
        <f>+Tabla2[[#This Row],[Stock Inventario]]*Tabla2[[#This Row],[Coste LÃ­nea]]</f>
        <v>316582.71604527999</v>
      </c>
      <c r="M2789" s="24">
        <f>+Tabla2[[#This Row],[Variación Stock]]*Tabla2[[#This Row],[Coste LÃ­nea]]</f>
        <v>307008.64197132998</v>
      </c>
      <c r="N2789" s="22" t="str">
        <f>+IF(Tabla2[[#This Row],[Variación Stock]]&gt;0,"Sobrante",IF(Tabla2[[#This Row],[Variación Stock]]&lt;0,"Faltante","Sin novedad"))</f>
        <v>Sobrante</v>
      </c>
    </row>
    <row r="2790" spans="1:14" x14ac:dyDescent="0.25">
      <c r="A2790" s="11">
        <v>46053</v>
      </c>
      <c r="B2790" s="5" t="s">
        <v>394</v>
      </c>
      <c r="C2790" s="3" t="s">
        <v>337</v>
      </c>
      <c r="D2790" s="5" t="s">
        <v>114</v>
      </c>
      <c r="E2790" s="5" t="s">
        <v>112</v>
      </c>
      <c r="F2790" s="6" t="s">
        <v>148</v>
      </c>
      <c r="G2790" s="4" t="s">
        <v>2</v>
      </c>
      <c r="H2790" s="25">
        <v>4986.1810224199999</v>
      </c>
      <c r="I2790" s="8">
        <v>-0.56999999999999995</v>
      </c>
      <c r="J2790" s="9">
        <v>0</v>
      </c>
      <c r="K2790" s="7">
        <v>0.56999999999999995</v>
      </c>
      <c r="L2790" s="24">
        <f>+Tabla2[[#This Row],[Stock Inventario]]*Tabla2[[#This Row],[Coste LÃ­nea]]</f>
        <v>0</v>
      </c>
      <c r="M2790" s="24">
        <f>+Tabla2[[#This Row],[Variación Stock]]*Tabla2[[#This Row],[Coste LÃ­nea]]</f>
        <v>2842.1231827793995</v>
      </c>
      <c r="N2790" s="22" t="str">
        <f>+IF(Tabla2[[#This Row],[Variación Stock]]&gt;0,"Sobrante",IF(Tabla2[[#This Row],[Variación Stock]]&lt;0,"Faltante","Sin novedad"))</f>
        <v>Sobrante</v>
      </c>
    </row>
    <row r="2791" spans="1:14" x14ac:dyDescent="0.25">
      <c r="A2791" s="11">
        <v>46053</v>
      </c>
      <c r="B2791" s="5" t="s">
        <v>394</v>
      </c>
      <c r="C2791" s="3" t="s">
        <v>337</v>
      </c>
      <c r="D2791" s="5" t="s">
        <v>114</v>
      </c>
      <c r="E2791" s="5" t="s">
        <v>112</v>
      </c>
      <c r="F2791" s="6" t="s">
        <v>64</v>
      </c>
      <c r="G2791" s="4" t="s">
        <v>2</v>
      </c>
      <c r="H2791" s="25">
        <v>5132.5</v>
      </c>
      <c r="I2791" s="8">
        <v>7.5</v>
      </c>
      <c r="J2791" s="9">
        <v>7.5</v>
      </c>
      <c r="K2791" s="7">
        <v>0</v>
      </c>
      <c r="L2791" s="24">
        <f>+Tabla2[[#This Row],[Stock Inventario]]*Tabla2[[#This Row],[Coste LÃ­nea]]</f>
        <v>38493.75</v>
      </c>
      <c r="M2791" s="24">
        <f>+Tabla2[[#This Row],[Variación Stock]]*Tabla2[[#This Row],[Coste LÃ­nea]]</f>
        <v>0</v>
      </c>
      <c r="N2791" s="22" t="str">
        <f>+IF(Tabla2[[#This Row],[Variación Stock]]&gt;0,"Sobrante",IF(Tabla2[[#This Row],[Variación Stock]]&lt;0,"Faltante","Sin novedad"))</f>
        <v>Sin novedad</v>
      </c>
    </row>
    <row r="2792" spans="1:14" hidden="1" x14ac:dyDescent="0.25">
      <c r="A2792" s="11">
        <v>46053</v>
      </c>
      <c r="B2792" s="5" t="s">
        <v>394</v>
      </c>
      <c r="C2792" s="3" t="s">
        <v>337</v>
      </c>
      <c r="D2792" s="5" t="s">
        <v>396</v>
      </c>
      <c r="E2792" s="5" t="s">
        <v>117</v>
      </c>
      <c r="F2792" s="6" t="s">
        <v>398</v>
      </c>
      <c r="G2792" s="4" t="s">
        <v>1</v>
      </c>
      <c r="H2792" s="25">
        <v>65</v>
      </c>
      <c r="I2792" s="8">
        <v>0</v>
      </c>
      <c r="J2792" s="9">
        <v>0</v>
      </c>
      <c r="K2792" s="7">
        <v>0</v>
      </c>
      <c r="L2792" s="24">
        <f>+Tabla2[[#This Row],[Stock Inventario]]*Tabla2[[#This Row],[Coste LÃ­nea]]</f>
        <v>0</v>
      </c>
      <c r="M2792" s="24">
        <f>+Tabla2[[#This Row],[Variación Stock]]*Tabla2[[#This Row],[Coste LÃ­nea]]</f>
        <v>0</v>
      </c>
      <c r="N2792" s="22" t="str">
        <f>+IF(Tabla2[[#This Row],[Variación Stock]]&gt;0,"Sobrante",IF(Tabla2[[#This Row],[Variación Stock]]&lt;0,"Faltante","Sin novedad"))</f>
        <v>Sin novedad</v>
      </c>
    </row>
    <row r="2793" spans="1:14" x14ac:dyDescent="0.25">
      <c r="A2793" s="11">
        <v>46053</v>
      </c>
      <c r="B2793" s="5" t="s">
        <v>394</v>
      </c>
      <c r="C2793" s="3" t="s">
        <v>337</v>
      </c>
      <c r="D2793" s="5" t="s">
        <v>111</v>
      </c>
      <c r="E2793" s="5" t="s">
        <v>112</v>
      </c>
      <c r="F2793" s="6" t="s">
        <v>57</v>
      </c>
      <c r="G2793" s="4" t="s">
        <v>0</v>
      </c>
      <c r="H2793" s="25">
        <v>1993.59090909</v>
      </c>
      <c r="I2793" s="8">
        <v>5</v>
      </c>
      <c r="J2793" s="9">
        <v>15</v>
      </c>
      <c r="K2793" s="7">
        <v>10</v>
      </c>
      <c r="L2793" s="24">
        <f>+Tabla2[[#This Row],[Stock Inventario]]*Tabla2[[#This Row],[Coste LÃ­nea]]</f>
        <v>29903.863636350001</v>
      </c>
      <c r="M2793" s="24">
        <f>+Tabla2[[#This Row],[Variación Stock]]*Tabla2[[#This Row],[Coste LÃ­nea]]</f>
        <v>19935.909090900001</v>
      </c>
      <c r="N2793" s="22" t="str">
        <f>+IF(Tabla2[[#This Row],[Variación Stock]]&gt;0,"Sobrante",IF(Tabla2[[#This Row],[Variación Stock]]&lt;0,"Faltante","Sin novedad"))</f>
        <v>Sobrante</v>
      </c>
    </row>
    <row r="2794" spans="1:14" x14ac:dyDescent="0.25">
      <c r="A2794" s="11">
        <v>46053</v>
      </c>
      <c r="B2794" s="5" t="s">
        <v>394</v>
      </c>
      <c r="C2794" s="3" t="s">
        <v>337</v>
      </c>
      <c r="D2794" s="5" t="s">
        <v>118</v>
      </c>
      <c r="E2794" s="5" t="s">
        <v>112</v>
      </c>
      <c r="F2794" s="6" t="s">
        <v>298</v>
      </c>
      <c r="G2794" s="4" t="s">
        <v>2</v>
      </c>
      <c r="H2794" s="25">
        <v>63897.666666669997</v>
      </c>
      <c r="I2794" s="8">
        <v>6</v>
      </c>
      <c r="J2794" s="9">
        <v>6</v>
      </c>
      <c r="K2794" s="7">
        <v>0</v>
      </c>
      <c r="L2794" s="24">
        <f>+Tabla2[[#This Row],[Stock Inventario]]*Tabla2[[#This Row],[Coste LÃ­nea]]</f>
        <v>383386.00000001997</v>
      </c>
      <c r="M2794" s="24">
        <f>+Tabla2[[#This Row],[Variación Stock]]*Tabla2[[#This Row],[Coste LÃ­nea]]</f>
        <v>0</v>
      </c>
      <c r="N2794" s="22" t="str">
        <f>+IF(Tabla2[[#This Row],[Variación Stock]]&gt;0,"Sobrante",IF(Tabla2[[#This Row],[Variación Stock]]&lt;0,"Faltante","Sin novedad"))</f>
        <v>Sin novedad</v>
      </c>
    </row>
    <row r="2795" spans="1:14" hidden="1" x14ac:dyDescent="0.25">
      <c r="A2795" s="11">
        <v>46053</v>
      </c>
      <c r="B2795" s="5" t="s">
        <v>394</v>
      </c>
      <c r="C2795" s="3" t="s">
        <v>337</v>
      </c>
      <c r="D2795" s="5" t="s">
        <v>119</v>
      </c>
      <c r="E2795" s="5" t="s">
        <v>117</v>
      </c>
      <c r="F2795" s="6" t="s">
        <v>94</v>
      </c>
      <c r="G2795" s="4" t="s">
        <v>2</v>
      </c>
      <c r="H2795" s="25">
        <v>1500</v>
      </c>
      <c r="I2795" s="8">
        <v>393</v>
      </c>
      <c r="J2795" s="9">
        <v>125</v>
      </c>
      <c r="K2795" s="7">
        <v>-268</v>
      </c>
      <c r="L2795" s="24">
        <f>+Tabla2[[#This Row],[Stock Inventario]]*Tabla2[[#This Row],[Coste LÃ­nea]]</f>
        <v>187500</v>
      </c>
      <c r="M2795" s="24">
        <f>+Tabla2[[#This Row],[Variación Stock]]*Tabla2[[#This Row],[Coste LÃ­nea]]</f>
        <v>-402000</v>
      </c>
      <c r="N2795" s="22" t="str">
        <f>+IF(Tabla2[[#This Row],[Variación Stock]]&gt;0,"Sobrante",IF(Tabla2[[#This Row],[Variación Stock]]&lt;0,"Faltante","Sin novedad"))</f>
        <v>Faltante</v>
      </c>
    </row>
    <row r="2796" spans="1:14" hidden="1" x14ac:dyDescent="0.25">
      <c r="A2796" s="11">
        <v>46053</v>
      </c>
      <c r="B2796" s="5" t="s">
        <v>394</v>
      </c>
      <c r="C2796" s="3" t="s">
        <v>337</v>
      </c>
      <c r="D2796" s="5" t="s">
        <v>471</v>
      </c>
      <c r="E2796" s="5" t="s">
        <v>117</v>
      </c>
      <c r="F2796" s="6" t="s">
        <v>507</v>
      </c>
      <c r="G2796" s="4" t="s">
        <v>1</v>
      </c>
      <c r="H2796" s="25">
        <v>35</v>
      </c>
      <c r="I2796" s="8">
        <v>162</v>
      </c>
      <c r="J2796" s="9">
        <v>250</v>
      </c>
      <c r="K2796" s="7">
        <v>88</v>
      </c>
      <c r="L2796" s="24">
        <f>+Tabla2[[#This Row],[Stock Inventario]]*Tabla2[[#This Row],[Coste LÃ­nea]]</f>
        <v>8750</v>
      </c>
      <c r="M2796" s="24">
        <f>+Tabla2[[#This Row],[Variación Stock]]*Tabla2[[#This Row],[Coste LÃ­nea]]</f>
        <v>3080</v>
      </c>
      <c r="N2796" s="22" t="str">
        <f>+IF(Tabla2[[#This Row],[Variación Stock]]&gt;0,"Sobrante",IF(Tabla2[[#This Row],[Variación Stock]]&lt;0,"Faltante","Sin novedad"))</f>
        <v>Sobrante</v>
      </c>
    </row>
    <row r="2797" spans="1:14" hidden="1" x14ac:dyDescent="0.25">
      <c r="A2797" s="11">
        <v>46053</v>
      </c>
      <c r="B2797" s="5" t="s">
        <v>394</v>
      </c>
      <c r="C2797" s="3" t="s">
        <v>337</v>
      </c>
      <c r="D2797" s="5" t="s">
        <v>547</v>
      </c>
      <c r="E2797" s="5" t="s">
        <v>117</v>
      </c>
      <c r="F2797" s="6" t="s">
        <v>555</v>
      </c>
      <c r="G2797" s="4" t="s">
        <v>1</v>
      </c>
      <c r="H2797" s="25">
        <v>4.609</v>
      </c>
      <c r="I2797" s="8">
        <v>20534.53</v>
      </c>
      <c r="J2797" s="9">
        <v>3388</v>
      </c>
      <c r="K2797" s="7">
        <v>-17146.53</v>
      </c>
      <c r="L2797" s="24">
        <f>+Tabla2[[#This Row],[Stock Inventario]]*Tabla2[[#This Row],[Coste LÃ­nea]]</f>
        <v>15615.291999999999</v>
      </c>
      <c r="M2797" s="24">
        <f>+Tabla2[[#This Row],[Variación Stock]]*Tabla2[[#This Row],[Coste LÃ­nea]]</f>
        <v>-79028.356769999999</v>
      </c>
      <c r="N2797" s="22" t="str">
        <f>+IF(Tabla2[[#This Row],[Variación Stock]]&gt;0,"Sobrante",IF(Tabla2[[#This Row],[Variación Stock]]&lt;0,"Faltante","Sin novedad"))</f>
        <v>Faltante</v>
      </c>
    </row>
    <row r="2798" spans="1:14" hidden="1" x14ac:dyDescent="0.25">
      <c r="A2798" s="11">
        <v>46053</v>
      </c>
      <c r="B2798" s="5" t="s">
        <v>394</v>
      </c>
      <c r="C2798" s="3" t="s">
        <v>337</v>
      </c>
      <c r="D2798" s="5" t="s">
        <v>471</v>
      </c>
      <c r="E2798" s="5" t="s">
        <v>117</v>
      </c>
      <c r="F2798" s="6" t="s">
        <v>508</v>
      </c>
      <c r="G2798" s="4" t="s">
        <v>1</v>
      </c>
      <c r="H2798" s="25">
        <v>3.6</v>
      </c>
      <c r="I2798" s="8">
        <v>-570</v>
      </c>
      <c r="J2798" s="9">
        <v>0</v>
      </c>
      <c r="K2798" s="7">
        <v>570</v>
      </c>
      <c r="L2798" s="24">
        <f>+Tabla2[[#This Row],[Stock Inventario]]*Tabla2[[#This Row],[Coste LÃ­nea]]</f>
        <v>0</v>
      </c>
      <c r="M2798" s="24">
        <f>+Tabla2[[#This Row],[Variación Stock]]*Tabla2[[#This Row],[Coste LÃ­nea]]</f>
        <v>2052</v>
      </c>
      <c r="N2798" s="22" t="str">
        <f>+IF(Tabla2[[#This Row],[Variación Stock]]&gt;0,"Sobrante",IF(Tabla2[[#This Row],[Variación Stock]]&lt;0,"Faltante","Sin novedad"))</f>
        <v>Sobrante</v>
      </c>
    </row>
    <row r="2799" spans="1:14" x14ac:dyDescent="0.25">
      <c r="A2799" s="11">
        <v>46053</v>
      </c>
      <c r="B2799" s="5" t="s">
        <v>394</v>
      </c>
      <c r="C2799" s="3" t="s">
        <v>337</v>
      </c>
      <c r="D2799" s="5" t="s">
        <v>114</v>
      </c>
      <c r="E2799" s="5" t="s">
        <v>112</v>
      </c>
      <c r="F2799" s="6" t="s">
        <v>146</v>
      </c>
      <c r="G2799" s="4" t="s">
        <v>2</v>
      </c>
      <c r="H2799" s="25">
        <v>4900</v>
      </c>
      <c r="I2799" s="8">
        <v>0</v>
      </c>
      <c r="J2799" s="9">
        <v>0</v>
      </c>
      <c r="K2799" s="7">
        <v>0</v>
      </c>
      <c r="L2799" s="24">
        <f>+Tabla2[[#This Row],[Stock Inventario]]*Tabla2[[#This Row],[Coste LÃ­nea]]</f>
        <v>0</v>
      </c>
      <c r="M2799" s="24">
        <f>+Tabla2[[#This Row],[Variación Stock]]*Tabla2[[#This Row],[Coste LÃ­nea]]</f>
        <v>0</v>
      </c>
      <c r="N2799" s="22" t="str">
        <f>+IF(Tabla2[[#This Row],[Variación Stock]]&gt;0,"Sobrante",IF(Tabla2[[#This Row],[Variación Stock]]&lt;0,"Faltante","Sin novedad"))</f>
        <v>Sin novedad</v>
      </c>
    </row>
    <row r="2800" spans="1:14" x14ac:dyDescent="0.25">
      <c r="A2800" s="11">
        <v>46053</v>
      </c>
      <c r="B2800" s="5" t="s">
        <v>394</v>
      </c>
      <c r="C2800" s="3" t="s">
        <v>337</v>
      </c>
      <c r="D2800" s="5" t="s">
        <v>111</v>
      </c>
      <c r="E2800" s="5" t="s">
        <v>112</v>
      </c>
      <c r="F2800" s="6" t="s">
        <v>25</v>
      </c>
      <c r="G2800" s="4" t="s">
        <v>0</v>
      </c>
      <c r="H2800" s="25">
        <v>6549</v>
      </c>
      <c r="I2800" s="8">
        <v>27</v>
      </c>
      <c r="J2800" s="9">
        <v>28</v>
      </c>
      <c r="K2800" s="7">
        <v>1</v>
      </c>
      <c r="L2800" s="24">
        <f>+Tabla2[[#This Row],[Stock Inventario]]*Tabla2[[#This Row],[Coste LÃ­nea]]</f>
        <v>183372</v>
      </c>
      <c r="M2800" s="24">
        <f>+Tabla2[[#This Row],[Variación Stock]]*Tabla2[[#This Row],[Coste LÃ­nea]]</f>
        <v>6549</v>
      </c>
      <c r="N2800" s="22" t="str">
        <f>+IF(Tabla2[[#This Row],[Variación Stock]]&gt;0,"Sobrante",IF(Tabla2[[#This Row],[Variación Stock]]&lt;0,"Faltante","Sin novedad"))</f>
        <v>Sobrante</v>
      </c>
    </row>
    <row r="2801" spans="1:14" hidden="1" x14ac:dyDescent="0.25">
      <c r="A2801" s="11">
        <v>46053</v>
      </c>
      <c r="B2801" s="5" t="s">
        <v>394</v>
      </c>
      <c r="C2801" s="3" t="s">
        <v>337</v>
      </c>
      <c r="D2801" s="5" t="s">
        <v>471</v>
      </c>
      <c r="E2801" s="5" t="s">
        <v>117</v>
      </c>
      <c r="F2801" s="6" t="s">
        <v>509</v>
      </c>
      <c r="G2801" s="4" t="s">
        <v>1</v>
      </c>
      <c r="H2801" s="25">
        <v>5.2</v>
      </c>
      <c r="I2801" s="8">
        <v>0</v>
      </c>
      <c r="J2801" s="9">
        <v>0</v>
      </c>
      <c r="K2801" s="7">
        <v>0</v>
      </c>
      <c r="L2801" s="24">
        <f>+Tabla2[[#This Row],[Stock Inventario]]*Tabla2[[#This Row],[Coste LÃ­nea]]</f>
        <v>0</v>
      </c>
      <c r="M2801" s="24">
        <f>+Tabla2[[#This Row],[Variación Stock]]*Tabla2[[#This Row],[Coste LÃ­nea]]</f>
        <v>0</v>
      </c>
      <c r="N2801" s="22" t="str">
        <f>+IF(Tabla2[[#This Row],[Variación Stock]]&gt;0,"Sobrante",IF(Tabla2[[#This Row],[Variación Stock]]&lt;0,"Faltante","Sin novedad"))</f>
        <v>Sin novedad</v>
      </c>
    </row>
    <row r="2802" spans="1:14" x14ac:dyDescent="0.25">
      <c r="A2802" s="11">
        <v>46053</v>
      </c>
      <c r="B2802" s="5" t="s">
        <v>394</v>
      </c>
      <c r="C2802" s="3" t="s">
        <v>337</v>
      </c>
      <c r="D2802" s="5" t="s">
        <v>603</v>
      </c>
      <c r="E2802" s="5" t="s">
        <v>112</v>
      </c>
      <c r="F2802" s="6" t="s">
        <v>625</v>
      </c>
      <c r="G2802" s="4" t="s">
        <v>1</v>
      </c>
      <c r="H2802" s="25">
        <v>4.5</v>
      </c>
      <c r="I2802" s="8">
        <v>40624.909099999997</v>
      </c>
      <c r="J2802" s="9">
        <v>34000</v>
      </c>
      <c r="K2802" s="7">
        <v>-36624.909140000003</v>
      </c>
      <c r="L2802" s="24">
        <f>+Tabla2[[#This Row],[Stock Inventario]]*Tabla2[[#This Row],[Coste LÃ­nea]]</f>
        <v>153000</v>
      </c>
      <c r="M2802" s="24">
        <f>+Tabla2[[#This Row],[Variación Stock]]*Tabla2[[#This Row],[Coste LÃ­nea]]</f>
        <v>-164812.09113000002</v>
      </c>
      <c r="N2802" s="22" t="str">
        <f>+IF(Tabla2[[#This Row],[Variación Stock]]&gt;0,"Sobrante",IF(Tabla2[[#This Row],[Variación Stock]]&lt;0,"Faltante","Sin novedad"))</f>
        <v>Faltante</v>
      </c>
    </row>
    <row r="2803" spans="1:14" hidden="1" x14ac:dyDescent="0.25">
      <c r="A2803" s="11">
        <v>46053</v>
      </c>
      <c r="B2803" s="5" t="s">
        <v>394</v>
      </c>
      <c r="C2803" s="3" t="s">
        <v>337</v>
      </c>
      <c r="D2803" s="5" t="s">
        <v>471</v>
      </c>
      <c r="E2803" s="5" t="s">
        <v>117</v>
      </c>
      <c r="F2803" s="6" t="s">
        <v>544</v>
      </c>
      <c r="G2803" s="4" t="s">
        <v>1</v>
      </c>
      <c r="H2803" s="25">
        <v>4.5</v>
      </c>
      <c r="I2803" s="8">
        <v>122562.09420000001</v>
      </c>
      <c r="J2803" s="9">
        <v>22514</v>
      </c>
      <c r="K2803" s="7">
        <v>-100048.094174</v>
      </c>
      <c r="L2803" s="24">
        <f>+Tabla2[[#This Row],[Stock Inventario]]*Tabla2[[#This Row],[Coste LÃ­nea]]</f>
        <v>101313</v>
      </c>
      <c r="M2803" s="24">
        <f>+Tabla2[[#This Row],[Variación Stock]]*Tabla2[[#This Row],[Coste LÃ­nea]]</f>
        <v>-450216.42378299998</v>
      </c>
      <c r="N2803" s="22" t="str">
        <f>+IF(Tabla2[[#This Row],[Variación Stock]]&gt;0,"Sobrante",IF(Tabla2[[#This Row],[Variación Stock]]&lt;0,"Faltante","Sin novedad"))</f>
        <v>Faltante</v>
      </c>
    </row>
    <row r="2804" spans="1:14" hidden="1" x14ac:dyDescent="0.25">
      <c r="A2804" s="11">
        <v>46053</v>
      </c>
      <c r="B2804" s="5" t="s">
        <v>394</v>
      </c>
      <c r="C2804" s="3" t="s">
        <v>337</v>
      </c>
      <c r="D2804" s="5" t="s">
        <v>471</v>
      </c>
      <c r="E2804" s="5" t="s">
        <v>117</v>
      </c>
      <c r="F2804" s="6" t="s">
        <v>510</v>
      </c>
      <c r="G2804" s="4" t="s">
        <v>1</v>
      </c>
      <c r="H2804" s="25">
        <v>6</v>
      </c>
      <c r="I2804" s="8">
        <v>-700</v>
      </c>
      <c r="J2804" s="9">
        <v>0</v>
      </c>
      <c r="K2804" s="7">
        <v>700</v>
      </c>
      <c r="L2804" s="24">
        <f>+Tabla2[[#This Row],[Stock Inventario]]*Tabla2[[#This Row],[Coste LÃ­nea]]</f>
        <v>0</v>
      </c>
      <c r="M2804" s="24">
        <f>+Tabla2[[#This Row],[Variación Stock]]*Tabla2[[#This Row],[Coste LÃ­nea]]</f>
        <v>4200</v>
      </c>
      <c r="N2804" s="22" t="str">
        <f>+IF(Tabla2[[#This Row],[Variación Stock]]&gt;0,"Sobrante",IF(Tabla2[[#This Row],[Variación Stock]]&lt;0,"Faltante","Sin novedad"))</f>
        <v>Sobrante</v>
      </c>
    </row>
    <row r="2805" spans="1:14" hidden="1" x14ac:dyDescent="0.25">
      <c r="A2805" s="11">
        <v>46053</v>
      </c>
      <c r="B2805" s="5" t="s">
        <v>394</v>
      </c>
      <c r="C2805" s="3" t="s">
        <v>337</v>
      </c>
      <c r="D2805" s="5" t="s">
        <v>626</v>
      </c>
      <c r="E2805" s="5" t="s">
        <v>1079</v>
      </c>
      <c r="F2805" s="6" t="s">
        <v>659</v>
      </c>
      <c r="G2805" s="4" t="s">
        <v>2</v>
      </c>
      <c r="H2805" s="25">
        <v>48438</v>
      </c>
      <c r="I2805" s="8">
        <v>0</v>
      </c>
      <c r="J2805" s="9">
        <v>1</v>
      </c>
      <c r="K2805" s="7">
        <v>1</v>
      </c>
      <c r="L2805" s="24">
        <f>+Tabla2[[#This Row],[Stock Inventario]]*Tabla2[[#This Row],[Coste LÃ­nea]]</f>
        <v>48438</v>
      </c>
      <c r="M2805" s="24">
        <f>+Tabla2[[#This Row],[Variación Stock]]*Tabla2[[#This Row],[Coste LÃ­nea]]</f>
        <v>48438</v>
      </c>
      <c r="N2805" s="22" t="str">
        <f>+IF(Tabla2[[#This Row],[Variación Stock]]&gt;0,"Sobrante",IF(Tabla2[[#This Row],[Variación Stock]]&lt;0,"Faltante","Sin novedad"))</f>
        <v>Sobrante</v>
      </c>
    </row>
    <row r="2806" spans="1:14" hidden="1" x14ac:dyDescent="0.25">
      <c r="A2806" s="11">
        <v>46053</v>
      </c>
      <c r="B2806" s="5" t="s">
        <v>394</v>
      </c>
      <c r="C2806" s="3" t="s">
        <v>337</v>
      </c>
      <c r="D2806" s="5" t="s">
        <v>626</v>
      </c>
      <c r="E2806" s="5" t="s">
        <v>1079</v>
      </c>
      <c r="F2806" s="6" t="s">
        <v>673</v>
      </c>
      <c r="G2806" s="4" t="s">
        <v>2</v>
      </c>
      <c r="H2806" s="25">
        <v>14013</v>
      </c>
      <c r="I2806" s="8">
        <v>0</v>
      </c>
      <c r="J2806" s="9">
        <v>0</v>
      </c>
      <c r="K2806" s="7">
        <v>0</v>
      </c>
      <c r="L2806" s="24">
        <f>+Tabla2[[#This Row],[Stock Inventario]]*Tabla2[[#This Row],[Coste LÃ­nea]]</f>
        <v>0</v>
      </c>
      <c r="M2806" s="24">
        <f>+Tabla2[[#This Row],[Variación Stock]]*Tabla2[[#This Row],[Coste LÃ­nea]]</f>
        <v>0</v>
      </c>
      <c r="N2806" s="22" t="str">
        <f>+IF(Tabla2[[#This Row],[Variación Stock]]&gt;0,"Sobrante",IF(Tabla2[[#This Row],[Variación Stock]]&lt;0,"Faltante","Sin novedad"))</f>
        <v>Sin novedad</v>
      </c>
    </row>
    <row r="2807" spans="1:14" hidden="1" x14ac:dyDescent="0.25">
      <c r="A2807" s="11">
        <v>46053</v>
      </c>
      <c r="B2807" s="5" t="s">
        <v>394</v>
      </c>
      <c r="C2807" s="3" t="s">
        <v>337</v>
      </c>
      <c r="D2807" s="5" t="s">
        <v>626</v>
      </c>
      <c r="E2807" s="5" t="s">
        <v>1079</v>
      </c>
      <c r="F2807" s="6" t="s">
        <v>660</v>
      </c>
      <c r="G2807" s="4" t="s">
        <v>2</v>
      </c>
      <c r="H2807" s="25">
        <v>49574.75</v>
      </c>
      <c r="I2807" s="8">
        <v>10</v>
      </c>
      <c r="J2807" s="9">
        <v>0</v>
      </c>
      <c r="K2807" s="7">
        <v>-14</v>
      </c>
      <c r="L2807" s="24">
        <f>+Tabla2[[#This Row],[Stock Inventario]]*Tabla2[[#This Row],[Coste LÃ­nea]]</f>
        <v>0</v>
      </c>
      <c r="M2807" s="24">
        <f>+Tabla2[[#This Row],[Variación Stock]]*Tabla2[[#This Row],[Coste LÃ­nea]]</f>
        <v>-694046.5</v>
      </c>
      <c r="N2807" s="22" t="str">
        <f>+IF(Tabla2[[#This Row],[Variación Stock]]&gt;0,"Sobrante",IF(Tabla2[[#This Row],[Variación Stock]]&lt;0,"Faltante","Sin novedad"))</f>
        <v>Faltante</v>
      </c>
    </row>
    <row r="2808" spans="1:14" hidden="1" x14ac:dyDescent="0.25">
      <c r="A2808" s="11">
        <v>46053</v>
      </c>
      <c r="B2808" s="5" t="s">
        <v>394</v>
      </c>
      <c r="C2808" s="3" t="s">
        <v>337</v>
      </c>
      <c r="D2808" s="5" t="s">
        <v>626</v>
      </c>
      <c r="E2808" s="5" t="s">
        <v>1079</v>
      </c>
      <c r="F2808" s="6" t="s">
        <v>661</v>
      </c>
      <c r="G2808" s="4" t="s">
        <v>2</v>
      </c>
      <c r="H2808" s="25">
        <v>83812</v>
      </c>
      <c r="I2808" s="8">
        <v>0</v>
      </c>
      <c r="J2808" s="9">
        <v>0</v>
      </c>
      <c r="K2808" s="7">
        <v>0</v>
      </c>
      <c r="L2808" s="24">
        <f>+Tabla2[[#This Row],[Stock Inventario]]*Tabla2[[#This Row],[Coste LÃ­nea]]</f>
        <v>0</v>
      </c>
      <c r="M2808" s="24">
        <f>+Tabla2[[#This Row],[Variación Stock]]*Tabla2[[#This Row],[Coste LÃ­nea]]</f>
        <v>0</v>
      </c>
      <c r="N2808" s="22" t="str">
        <f>+IF(Tabla2[[#This Row],[Variación Stock]]&gt;0,"Sobrante",IF(Tabla2[[#This Row],[Variación Stock]]&lt;0,"Faltante","Sin novedad"))</f>
        <v>Sin novedad</v>
      </c>
    </row>
    <row r="2809" spans="1:14" hidden="1" x14ac:dyDescent="0.25">
      <c r="A2809" s="11">
        <v>46053</v>
      </c>
      <c r="B2809" s="5" t="s">
        <v>394</v>
      </c>
      <c r="C2809" s="3" t="s">
        <v>337</v>
      </c>
      <c r="D2809" s="5" t="s">
        <v>471</v>
      </c>
      <c r="E2809" s="5" t="s">
        <v>117</v>
      </c>
      <c r="F2809" s="6" t="s">
        <v>511</v>
      </c>
      <c r="G2809" s="4" t="s">
        <v>1</v>
      </c>
      <c r="H2809" s="25">
        <v>6.5</v>
      </c>
      <c r="I2809" s="8">
        <v>3000</v>
      </c>
      <c r="J2809" s="9">
        <v>0</v>
      </c>
      <c r="K2809" s="7">
        <v>-3000</v>
      </c>
      <c r="L2809" s="24">
        <f>+Tabla2[[#This Row],[Stock Inventario]]*Tabla2[[#This Row],[Coste LÃ­nea]]</f>
        <v>0</v>
      </c>
      <c r="M2809" s="24">
        <f>+Tabla2[[#This Row],[Variación Stock]]*Tabla2[[#This Row],[Coste LÃ­nea]]</f>
        <v>-19500</v>
      </c>
      <c r="N2809" s="22" t="str">
        <f>+IF(Tabla2[[#This Row],[Variación Stock]]&gt;0,"Sobrante",IF(Tabla2[[#This Row],[Variación Stock]]&lt;0,"Faltante","Sin novedad"))</f>
        <v>Faltante</v>
      </c>
    </row>
    <row r="2810" spans="1:14" hidden="1" x14ac:dyDescent="0.25">
      <c r="A2810" s="11">
        <v>46053</v>
      </c>
      <c r="B2810" s="5" t="s">
        <v>394</v>
      </c>
      <c r="C2810" s="3" t="s">
        <v>337</v>
      </c>
      <c r="D2810" s="5" t="s">
        <v>818</v>
      </c>
      <c r="E2810" s="5" t="s">
        <v>117</v>
      </c>
      <c r="F2810" s="6" t="s">
        <v>823</v>
      </c>
      <c r="G2810" s="4" t="s">
        <v>1</v>
      </c>
      <c r="H2810" s="25">
        <v>47.895873020000003</v>
      </c>
      <c r="I2810" s="8">
        <v>-1125</v>
      </c>
      <c r="J2810" s="9">
        <v>1800</v>
      </c>
      <c r="K2810" s="7">
        <v>2925</v>
      </c>
      <c r="L2810" s="24">
        <f>+Tabla2[[#This Row],[Stock Inventario]]*Tabla2[[#This Row],[Coste LÃ­nea]]</f>
        <v>86212.571436000013</v>
      </c>
      <c r="M2810" s="24">
        <f>+Tabla2[[#This Row],[Variación Stock]]*Tabla2[[#This Row],[Coste LÃ­nea]]</f>
        <v>140095.4285835</v>
      </c>
      <c r="N2810" s="22" t="str">
        <f>+IF(Tabla2[[#This Row],[Variación Stock]]&gt;0,"Sobrante",IF(Tabla2[[#This Row],[Variación Stock]]&lt;0,"Faltante","Sin novedad"))</f>
        <v>Sobrante</v>
      </c>
    </row>
    <row r="2811" spans="1:14" hidden="1" x14ac:dyDescent="0.25">
      <c r="A2811" s="11">
        <v>46053</v>
      </c>
      <c r="B2811" s="5" t="s">
        <v>394</v>
      </c>
      <c r="C2811" s="3" t="s">
        <v>337</v>
      </c>
      <c r="D2811" s="5" t="s">
        <v>396</v>
      </c>
      <c r="E2811" s="5" t="s">
        <v>117</v>
      </c>
      <c r="F2811" s="6" t="s">
        <v>401</v>
      </c>
      <c r="G2811" s="4" t="s">
        <v>1</v>
      </c>
      <c r="H2811" s="25">
        <v>15</v>
      </c>
      <c r="I2811" s="8">
        <v>11969</v>
      </c>
      <c r="J2811" s="9">
        <v>5538</v>
      </c>
      <c r="K2811" s="7">
        <v>-6431</v>
      </c>
      <c r="L2811" s="24">
        <f>+Tabla2[[#This Row],[Stock Inventario]]*Tabla2[[#This Row],[Coste LÃ­nea]]</f>
        <v>83070</v>
      </c>
      <c r="M2811" s="24">
        <f>+Tabla2[[#This Row],[Variación Stock]]*Tabla2[[#This Row],[Coste LÃ­nea]]</f>
        <v>-96465</v>
      </c>
      <c r="N2811" s="22" t="str">
        <f>+IF(Tabla2[[#This Row],[Variación Stock]]&gt;0,"Sobrante",IF(Tabla2[[#This Row],[Variación Stock]]&lt;0,"Faltante","Sin novedad"))</f>
        <v>Faltante</v>
      </c>
    </row>
    <row r="2812" spans="1:14" hidden="1" x14ac:dyDescent="0.25">
      <c r="A2812" s="11">
        <v>46053</v>
      </c>
      <c r="B2812" s="5" t="s">
        <v>394</v>
      </c>
      <c r="C2812" s="3" t="s">
        <v>337</v>
      </c>
      <c r="D2812" s="5" t="s">
        <v>396</v>
      </c>
      <c r="E2812" s="5" t="s">
        <v>117</v>
      </c>
      <c r="F2812" s="6" t="s">
        <v>439</v>
      </c>
      <c r="G2812" s="4" t="s">
        <v>1</v>
      </c>
      <c r="H2812" s="25">
        <v>21.75438596</v>
      </c>
      <c r="I2812" s="8">
        <v>3870</v>
      </c>
      <c r="J2812" s="9">
        <v>2920</v>
      </c>
      <c r="K2812" s="7">
        <v>-2375</v>
      </c>
      <c r="L2812" s="24">
        <f>+Tabla2[[#This Row],[Stock Inventario]]*Tabla2[[#This Row],[Coste LÃ­nea]]</f>
        <v>63522.807003200003</v>
      </c>
      <c r="M2812" s="24">
        <f>+Tabla2[[#This Row],[Variación Stock]]*Tabla2[[#This Row],[Coste LÃ­nea]]</f>
        <v>-51666.666655000001</v>
      </c>
      <c r="N2812" s="22" t="str">
        <f>+IF(Tabla2[[#This Row],[Variación Stock]]&gt;0,"Sobrante",IF(Tabla2[[#This Row],[Variación Stock]]&lt;0,"Faltante","Sin novedad"))</f>
        <v>Faltante</v>
      </c>
    </row>
    <row r="2813" spans="1:14" hidden="1" x14ac:dyDescent="0.25">
      <c r="A2813" s="11">
        <v>46053</v>
      </c>
      <c r="B2813" s="5" t="s">
        <v>394</v>
      </c>
      <c r="C2813" s="3" t="s">
        <v>337</v>
      </c>
      <c r="D2813" s="5" t="s">
        <v>396</v>
      </c>
      <c r="E2813" s="5" t="s">
        <v>117</v>
      </c>
      <c r="F2813" s="6" t="s">
        <v>440</v>
      </c>
      <c r="G2813" s="4" t="s">
        <v>1</v>
      </c>
      <c r="H2813" s="25">
        <v>20.079999999999998</v>
      </c>
      <c r="I2813" s="8">
        <v>170</v>
      </c>
      <c r="J2813" s="9">
        <v>0</v>
      </c>
      <c r="K2813" s="7">
        <v>-170</v>
      </c>
      <c r="L2813" s="24">
        <f>+Tabla2[[#This Row],[Stock Inventario]]*Tabla2[[#This Row],[Coste LÃ­nea]]</f>
        <v>0</v>
      </c>
      <c r="M2813" s="24">
        <f>+Tabla2[[#This Row],[Variación Stock]]*Tabla2[[#This Row],[Coste LÃ­nea]]</f>
        <v>-3413.6</v>
      </c>
      <c r="N2813" s="22" t="str">
        <f>+IF(Tabla2[[#This Row],[Variación Stock]]&gt;0,"Sobrante",IF(Tabla2[[#This Row],[Variación Stock]]&lt;0,"Faltante","Sin novedad"))</f>
        <v>Faltante</v>
      </c>
    </row>
    <row r="2814" spans="1:14" x14ac:dyDescent="0.25">
      <c r="A2814" s="11">
        <v>46053</v>
      </c>
      <c r="B2814" s="5" t="s">
        <v>394</v>
      </c>
      <c r="C2814" s="3" t="s">
        <v>337</v>
      </c>
      <c r="D2814" s="5" t="s">
        <v>122</v>
      </c>
      <c r="E2814" s="5" t="s">
        <v>112</v>
      </c>
      <c r="F2814" s="6" t="s">
        <v>97</v>
      </c>
      <c r="G2814" s="4" t="s">
        <v>2</v>
      </c>
      <c r="H2814" s="25">
        <v>1234.3916666699999</v>
      </c>
      <c r="I2814" s="8">
        <v>72</v>
      </c>
      <c r="J2814" s="9">
        <v>73</v>
      </c>
      <c r="K2814" s="7">
        <v>1</v>
      </c>
      <c r="L2814" s="24">
        <f>+Tabla2[[#This Row],[Stock Inventario]]*Tabla2[[#This Row],[Coste LÃ­nea]]</f>
        <v>90110.591666909997</v>
      </c>
      <c r="M2814" s="24">
        <f>+Tabla2[[#This Row],[Variación Stock]]*Tabla2[[#This Row],[Coste LÃ­nea]]</f>
        <v>1234.3916666699999</v>
      </c>
      <c r="N2814" s="22" t="str">
        <f>+IF(Tabla2[[#This Row],[Variación Stock]]&gt;0,"Sobrante",IF(Tabla2[[#This Row],[Variación Stock]]&lt;0,"Faltante","Sin novedad"))</f>
        <v>Sobrante</v>
      </c>
    </row>
    <row r="2815" spans="1:14" x14ac:dyDescent="0.25">
      <c r="A2815" s="11">
        <v>46053</v>
      </c>
      <c r="B2815" s="5" t="s">
        <v>394</v>
      </c>
      <c r="C2815" s="3" t="s">
        <v>337</v>
      </c>
      <c r="D2815" s="5" t="s">
        <v>122</v>
      </c>
      <c r="E2815" s="5" t="s">
        <v>112</v>
      </c>
      <c r="F2815" s="6" t="s">
        <v>98</v>
      </c>
      <c r="G2815" s="4" t="s">
        <v>2</v>
      </c>
      <c r="H2815" s="25">
        <v>1654.21666667</v>
      </c>
      <c r="I2815" s="8">
        <v>87</v>
      </c>
      <c r="J2815" s="9">
        <v>84</v>
      </c>
      <c r="K2815" s="7">
        <v>-3</v>
      </c>
      <c r="L2815" s="24">
        <f>+Tabla2[[#This Row],[Stock Inventario]]*Tabla2[[#This Row],[Coste LÃ­nea]]</f>
        <v>138954.20000027999</v>
      </c>
      <c r="M2815" s="24">
        <f>+Tabla2[[#This Row],[Variación Stock]]*Tabla2[[#This Row],[Coste LÃ­nea]]</f>
        <v>-4962.6500000100004</v>
      </c>
      <c r="N2815" s="22" t="str">
        <f>+IF(Tabla2[[#This Row],[Variación Stock]]&gt;0,"Sobrante",IF(Tabla2[[#This Row],[Variación Stock]]&lt;0,"Faltante","Sin novedad"))</f>
        <v>Faltante</v>
      </c>
    </row>
    <row r="2816" spans="1:14" x14ac:dyDescent="0.25">
      <c r="A2816" s="11">
        <v>46053</v>
      </c>
      <c r="B2816" s="5" t="s">
        <v>394</v>
      </c>
      <c r="C2816" s="3" t="s">
        <v>337</v>
      </c>
      <c r="D2816" s="5" t="s">
        <v>603</v>
      </c>
      <c r="E2816" s="5" t="s">
        <v>112</v>
      </c>
      <c r="F2816" s="6" t="s">
        <v>608</v>
      </c>
      <c r="G2816" s="4" t="s">
        <v>2</v>
      </c>
      <c r="H2816" s="25">
        <v>2571.4285714299999</v>
      </c>
      <c r="I2816" s="8">
        <v>23</v>
      </c>
      <c r="J2816" s="9">
        <v>16</v>
      </c>
      <c r="K2816" s="7">
        <v>-7</v>
      </c>
      <c r="L2816" s="24">
        <f>+Tabla2[[#This Row],[Stock Inventario]]*Tabla2[[#This Row],[Coste LÃ­nea]]</f>
        <v>41142.857142879999</v>
      </c>
      <c r="M2816" s="24">
        <f>+Tabla2[[#This Row],[Variación Stock]]*Tabla2[[#This Row],[Coste LÃ­nea]]</f>
        <v>-18000.000000010001</v>
      </c>
      <c r="N2816" s="22" t="str">
        <f>+IF(Tabla2[[#This Row],[Variación Stock]]&gt;0,"Sobrante",IF(Tabla2[[#This Row],[Variación Stock]]&lt;0,"Faltante","Sin novedad"))</f>
        <v>Faltante</v>
      </c>
    </row>
    <row r="2817" spans="1:14" hidden="1" x14ac:dyDescent="0.25">
      <c r="A2817" s="11">
        <v>46053</v>
      </c>
      <c r="B2817" s="5" t="s">
        <v>394</v>
      </c>
      <c r="C2817" s="3" t="s">
        <v>337</v>
      </c>
      <c r="D2817" s="5" t="s">
        <v>471</v>
      </c>
      <c r="E2817" s="5" t="s">
        <v>117</v>
      </c>
      <c r="F2817" s="6" t="s">
        <v>512</v>
      </c>
      <c r="G2817" s="4" t="s">
        <v>1</v>
      </c>
      <c r="H2817" s="25">
        <v>8.6</v>
      </c>
      <c r="I2817" s="8">
        <v>0</v>
      </c>
      <c r="J2817" s="9">
        <v>0</v>
      </c>
      <c r="K2817" s="7">
        <v>0</v>
      </c>
      <c r="L2817" s="24">
        <f>+Tabla2[[#This Row],[Stock Inventario]]*Tabla2[[#This Row],[Coste LÃ­nea]]</f>
        <v>0</v>
      </c>
      <c r="M2817" s="24">
        <f>+Tabla2[[#This Row],[Variación Stock]]*Tabla2[[#This Row],[Coste LÃ­nea]]</f>
        <v>0</v>
      </c>
      <c r="N2817" s="22" t="str">
        <f>+IF(Tabla2[[#This Row],[Variación Stock]]&gt;0,"Sobrante",IF(Tabla2[[#This Row],[Variación Stock]]&lt;0,"Faltante","Sin novedad"))</f>
        <v>Sin novedad</v>
      </c>
    </row>
    <row r="2818" spans="1:14" hidden="1" x14ac:dyDescent="0.25">
      <c r="A2818" s="11">
        <v>46053</v>
      </c>
      <c r="B2818" s="5" t="s">
        <v>394</v>
      </c>
      <c r="C2818" s="3" t="s">
        <v>337</v>
      </c>
      <c r="D2818" s="5" t="s">
        <v>559</v>
      </c>
      <c r="E2818" s="5" t="s">
        <v>1080</v>
      </c>
      <c r="F2818" s="6" t="s">
        <v>567</v>
      </c>
      <c r="G2818" s="4" t="s">
        <v>2</v>
      </c>
      <c r="H2818" s="25">
        <v>2203.4</v>
      </c>
      <c r="I2818" s="8">
        <v>0</v>
      </c>
      <c r="J2818" s="9">
        <v>0</v>
      </c>
      <c r="K2818" s="7">
        <v>0</v>
      </c>
      <c r="L2818" s="24">
        <f>+Tabla2[[#This Row],[Stock Inventario]]*Tabla2[[#This Row],[Coste LÃ­nea]]</f>
        <v>0</v>
      </c>
      <c r="M2818" s="24">
        <f>+Tabla2[[#This Row],[Variación Stock]]*Tabla2[[#This Row],[Coste LÃ­nea]]</f>
        <v>0</v>
      </c>
      <c r="N2818" s="22" t="str">
        <f>+IF(Tabla2[[#This Row],[Variación Stock]]&gt;0,"Sobrante",IF(Tabla2[[#This Row],[Variación Stock]]&lt;0,"Faltante","Sin novedad"))</f>
        <v>Sin novedad</v>
      </c>
    </row>
    <row r="2819" spans="1:14" hidden="1" x14ac:dyDescent="0.25">
      <c r="A2819" s="11">
        <v>46053</v>
      </c>
      <c r="B2819" s="5" t="s">
        <v>394</v>
      </c>
      <c r="C2819" s="3" t="s">
        <v>337</v>
      </c>
      <c r="D2819" s="5" t="s">
        <v>471</v>
      </c>
      <c r="E2819" s="5" t="s">
        <v>117</v>
      </c>
      <c r="F2819" s="6" t="s">
        <v>513</v>
      </c>
      <c r="G2819" s="4" t="s">
        <v>1</v>
      </c>
      <c r="H2819" s="25">
        <v>3.8</v>
      </c>
      <c r="I2819" s="8">
        <v>5837.1428999999998</v>
      </c>
      <c r="J2819" s="9">
        <v>1150</v>
      </c>
      <c r="K2819" s="7">
        <v>-4687.1429159999998</v>
      </c>
      <c r="L2819" s="24">
        <f>+Tabla2[[#This Row],[Stock Inventario]]*Tabla2[[#This Row],[Coste LÃ­nea]]</f>
        <v>4370</v>
      </c>
      <c r="M2819" s="24">
        <f>+Tabla2[[#This Row],[Variación Stock]]*Tabla2[[#This Row],[Coste LÃ­nea]]</f>
        <v>-17811.143080799997</v>
      </c>
      <c r="N2819" s="22" t="str">
        <f>+IF(Tabla2[[#This Row],[Variación Stock]]&gt;0,"Sobrante",IF(Tabla2[[#This Row],[Variación Stock]]&lt;0,"Faltante","Sin novedad"))</f>
        <v>Faltante</v>
      </c>
    </row>
    <row r="2820" spans="1:14" x14ac:dyDescent="0.25">
      <c r="A2820" s="11">
        <v>46053</v>
      </c>
      <c r="B2820" s="5" t="s">
        <v>394</v>
      </c>
      <c r="C2820" s="3" t="s">
        <v>337</v>
      </c>
      <c r="D2820" s="5" t="s">
        <v>603</v>
      </c>
      <c r="E2820" s="5" t="s">
        <v>112</v>
      </c>
      <c r="F2820" s="6" t="s">
        <v>619</v>
      </c>
      <c r="G2820" s="4" t="s">
        <v>1</v>
      </c>
      <c r="H2820" s="25">
        <v>3.8</v>
      </c>
      <c r="I2820" s="8">
        <v>677.85720000000003</v>
      </c>
      <c r="J2820" s="9">
        <v>1404</v>
      </c>
      <c r="K2820" s="7">
        <v>-173.85717199999999</v>
      </c>
      <c r="L2820" s="24">
        <f>+Tabla2[[#This Row],[Stock Inventario]]*Tabla2[[#This Row],[Coste LÃ­nea]]</f>
        <v>5335.2</v>
      </c>
      <c r="M2820" s="24">
        <f>+Tabla2[[#This Row],[Variación Stock]]*Tabla2[[#This Row],[Coste LÃ­nea]]</f>
        <v>-660.65725359999999</v>
      </c>
      <c r="N2820" s="22" t="str">
        <f>+IF(Tabla2[[#This Row],[Variación Stock]]&gt;0,"Sobrante",IF(Tabla2[[#This Row],[Variación Stock]]&lt;0,"Faltante","Sin novedad"))</f>
        <v>Faltante</v>
      </c>
    </row>
    <row r="2821" spans="1:14" hidden="1" x14ac:dyDescent="0.25">
      <c r="A2821" s="11">
        <v>46053</v>
      </c>
      <c r="B2821" s="5" t="s">
        <v>394</v>
      </c>
      <c r="C2821" s="3" t="s">
        <v>337</v>
      </c>
      <c r="D2821" s="5" t="s">
        <v>396</v>
      </c>
      <c r="E2821" s="5" t="s">
        <v>117</v>
      </c>
      <c r="F2821" s="6" t="s">
        <v>413</v>
      </c>
      <c r="G2821" s="4" t="s">
        <v>1</v>
      </c>
      <c r="H2821" s="25">
        <v>21.08</v>
      </c>
      <c r="I2821" s="8">
        <v>1610</v>
      </c>
      <c r="J2821" s="9">
        <v>240</v>
      </c>
      <c r="K2821" s="7">
        <v>-1370</v>
      </c>
      <c r="L2821" s="24">
        <f>+Tabla2[[#This Row],[Stock Inventario]]*Tabla2[[#This Row],[Coste LÃ­nea]]</f>
        <v>5059.2</v>
      </c>
      <c r="M2821" s="24">
        <f>+Tabla2[[#This Row],[Variación Stock]]*Tabla2[[#This Row],[Coste LÃ­nea]]</f>
        <v>-28879.599999999999</v>
      </c>
      <c r="N2821" s="22" t="str">
        <f>+IF(Tabla2[[#This Row],[Variación Stock]]&gt;0,"Sobrante",IF(Tabla2[[#This Row],[Variación Stock]]&lt;0,"Faltante","Sin novedad"))</f>
        <v>Faltante</v>
      </c>
    </row>
    <row r="2822" spans="1:14" hidden="1" x14ac:dyDescent="0.25">
      <c r="A2822" s="11">
        <v>46053</v>
      </c>
      <c r="B2822" s="5" t="s">
        <v>394</v>
      </c>
      <c r="C2822" s="3" t="s">
        <v>337</v>
      </c>
      <c r="D2822" s="5" t="s">
        <v>547</v>
      </c>
      <c r="E2822" s="5" t="s">
        <v>117</v>
      </c>
      <c r="F2822" s="6" t="s">
        <v>556</v>
      </c>
      <c r="G2822" s="4" t="s">
        <v>1</v>
      </c>
      <c r="H2822" s="25">
        <v>54.083333330000002</v>
      </c>
      <c r="I2822" s="8">
        <v>893.07119999999998</v>
      </c>
      <c r="J2822" s="9">
        <v>722</v>
      </c>
      <c r="K2822" s="7">
        <v>-171.0712</v>
      </c>
      <c r="L2822" s="24">
        <f>+Tabla2[[#This Row],[Stock Inventario]]*Tabla2[[#This Row],[Coste LÃ­nea]]</f>
        <v>39048.166664260003</v>
      </c>
      <c r="M2822" s="24">
        <f>+Tabla2[[#This Row],[Variación Stock]]*Tabla2[[#This Row],[Coste LÃ­nea]]</f>
        <v>-9252.1007327630959</v>
      </c>
      <c r="N2822" s="22" t="str">
        <f>+IF(Tabla2[[#This Row],[Variación Stock]]&gt;0,"Sobrante",IF(Tabla2[[#This Row],[Variación Stock]]&lt;0,"Faltante","Sin novedad"))</f>
        <v>Faltante</v>
      </c>
    </row>
    <row r="2823" spans="1:14" x14ac:dyDescent="0.25">
      <c r="A2823" s="11">
        <v>46053</v>
      </c>
      <c r="B2823" s="5" t="s">
        <v>394</v>
      </c>
      <c r="C2823" s="3" t="s">
        <v>337</v>
      </c>
      <c r="D2823" s="5" t="s">
        <v>603</v>
      </c>
      <c r="E2823" s="5" t="s">
        <v>112</v>
      </c>
      <c r="F2823" s="6" t="s">
        <v>620</v>
      </c>
      <c r="G2823" s="4" t="s">
        <v>1</v>
      </c>
      <c r="H2823" s="25">
        <v>11.8</v>
      </c>
      <c r="I2823" s="8">
        <v>899.48410000000001</v>
      </c>
      <c r="J2823" s="9">
        <v>664</v>
      </c>
      <c r="K2823" s="7">
        <v>-235.484116</v>
      </c>
      <c r="L2823" s="24">
        <f>+Tabla2[[#This Row],[Stock Inventario]]*Tabla2[[#This Row],[Coste LÃ­nea]]</f>
        <v>7835.2000000000007</v>
      </c>
      <c r="M2823" s="24">
        <f>+Tabla2[[#This Row],[Variación Stock]]*Tabla2[[#This Row],[Coste LÃ­nea]]</f>
        <v>-2778.7125688000001</v>
      </c>
      <c r="N2823" s="22" t="str">
        <f>+IF(Tabla2[[#This Row],[Variación Stock]]&gt;0,"Sobrante",IF(Tabla2[[#This Row],[Variación Stock]]&lt;0,"Faltante","Sin novedad"))</f>
        <v>Faltante</v>
      </c>
    </row>
    <row r="2824" spans="1:14" hidden="1" x14ac:dyDescent="0.25">
      <c r="A2824" s="11">
        <v>46053</v>
      </c>
      <c r="B2824" s="5" t="s">
        <v>394</v>
      </c>
      <c r="C2824" s="3" t="s">
        <v>337</v>
      </c>
      <c r="D2824" s="5" t="s">
        <v>471</v>
      </c>
      <c r="E2824" s="5" t="s">
        <v>117</v>
      </c>
      <c r="F2824" s="6" t="s">
        <v>514</v>
      </c>
      <c r="G2824" s="4" t="s">
        <v>1</v>
      </c>
      <c r="H2824" s="25">
        <v>11.8</v>
      </c>
      <c r="I2824" s="8">
        <v>-1096</v>
      </c>
      <c r="J2824" s="9">
        <v>0</v>
      </c>
      <c r="K2824" s="7">
        <v>436</v>
      </c>
      <c r="L2824" s="24">
        <f>+Tabla2[[#This Row],[Stock Inventario]]*Tabla2[[#This Row],[Coste LÃ­nea]]</f>
        <v>0</v>
      </c>
      <c r="M2824" s="24">
        <f>+Tabla2[[#This Row],[Variación Stock]]*Tabla2[[#This Row],[Coste LÃ­nea]]</f>
        <v>5144.8</v>
      </c>
      <c r="N2824" s="22" t="str">
        <f>+IF(Tabla2[[#This Row],[Variación Stock]]&gt;0,"Sobrante",IF(Tabla2[[#This Row],[Variación Stock]]&lt;0,"Faltante","Sin novedad"))</f>
        <v>Sobrante</v>
      </c>
    </row>
    <row r="2825" spans="1:14" x14ac:dyDescent="0.25">
      <c r="A2825" s="11">
        <v>46053</v>
      </c>
      <c r="B2825" s="5" t="s">
        <v>394</v>
      </c>
      <c r="C2825" s="3" t="s">
        <v>337</v>
      </c>
      <c r="D2825" s="5" t="s">
        <v>603</v>
      </c>
      <c r="E2825" s="5" t="s">
        <v>112</v>
      </c>
      <c r="F2825" s="6" t="s">
        <v>621</v>
      </c>
      <c r="G2825" s="4" t="s">
        <v>1</v>
      </c>
      <c r="H2825" s="25">
        <v>12</v>
      </c>
      <c r="I2825" s="8">
        <v>-1163.579</v>
      </c>
      <c r="J2825" s="9">
        <v>1114</v>
      </c>
      <c r="K2825" s="7">
        <v>1517.578966</v>
      </c>
      <c r="L2825" s="24">
        <f>+Tabla2[[#This Row],[Stock Inventario]]*Tabla2[[#This Row],[Coste LÃ­nea]]</f>
        <v>13368</v>
      </c>
      <c r="M2825" s="24">
        <f>+Tabla2[[#This Row],[Variación Stock]]*Tabla2[[#This Row],[Coste LÃ­nea]]</f>
        <v>18210.947592</v>
      </c>
      <c r="N2825" s="22" t="str">
        <f>+IF(Tabla2[[#This Row],[Variación Stock]]&gt;0,"Sobrante",IF(Tabla2[[#This Row],[Variación Stock]]&lt;0,"Faltante","Sin novedad"))</f>
        <v>Sobrante</v>
      </c>
    </row>
    <row r="2826" spans="1:14" hidden="1" x14ac:dyDescent="0.25">
      <c r="A2826" s="11">
        <v>46053</v>
      </c>
      <c r="B2826" s="5" t="s">
        <v>394</v>
      </c>
      <c r="C2826" s="3" t="s">
        <v>337</v>
      </c>
      <c r="D2826" s="5" t="s">
        <v>471</v>
      </c>
      <c r="E2826" s="5" t="s">
        <v>117</v>
      </c>
      <c r="F2826" s="6" t="s">
        <v>515</v>
      </c>
      <c r="G2826" s="4" t="s">
        <v>1</v>
      </c>
      <c r="H2826" s="25">
        <v>6</v>
      </c>
      <c r="I2826" s="8">
        <v>4750</v>
      </c>
      <c r="J2826" s="9">
        <v>0</v>
      </c>
      <c r="K2826" s="7">
        <v>-4750</v>
      </c>
      <c r="L2826" s="24">
        <f>+Tabla2[[#This Row],[Stock Inventario]]*Tabla2[[#This Row],[Coste LÃ­nea]]</f>
        <v>0</v>
      </c>
      <c r="M2826" s="24">
        <f>+Tabla2[[#This Row],[Variación Stock]]*Tabla2[[#This Row],[Coste LÃ­nea]]</f>
        <v>-28500</v>
      </c>
      <c r="N2826" s="22" t="str">
        <f>+IF(Tabla2[[#This Row],[Variación Stock]]&gt;0,"Sobrante",IF(Tabla2[[#This Row],[Variación Stock]]&lt;0,"Faltante","Sin novedad"))</f>
        <v>Faltante</v>
      </c>
    </row>
    <row r="2827" spans="1:14" x14ac:dyDescent="0.25">
      <c r="A2827" s="11">
        <v>46053</v>
      </c>
      <c r="B2827" s="5" t="s">
        <v>394</v>
      </c>
      <c r="C2827" s="3" t="s">
        <v>337</v>
      </c>
      <c r="D2827" s="5" t="s">
        <v>118</v>
      </c>
      <c r="E2827" s="5" t="s">
        <v>112</v>
      </c>
      <c r="F2827" s="6" t="s">
        <v>370</v>
      </c>
      <c r="G2827" s="4" t="s">
        <v>0</v>
      </c>
      <c r="H2827" s="25">
        <v>2902.8333333300002</v>
      </c>
      <c r="I2827" s="8">
        <v>41</v>
      </c>
      <c r="J2827" s="9">
        <v>38</v>
      </c>
      <c r="K2827" s="7">
        <v>-3</v>
      </c>
      <c r="L2827" s="24">
        <f>+Tabla2[[#This Row],[Stock Inventario]]*Tabla2[[#This Row],[Coste LÃ­nea]]</f>
        <v>110307.66666654001</v>
      </c>
      <c r="M2827" s="24">
        <f>+Tabla2[[#This Row],[Variación Stock]]*Tabla2[[#This Row],[Coste LÃ­nea]]</f>
        <v>-8708.499999990001</v>
      </c>
      <c r="N2827" s="22" t="str">
        <f>+IF(Tabla2[[#This Row],[Variación Stock]]&gt;0,"Sobrante",IF(Tabla2[[#This Row],[Variación Stock]]&lt;0,"Faltante","Sin novedad"))</f>
        <v>Faltante</v>
      </c>
    </row>
    <row r="2828" spans="1:14" hidden="1" x14ac:dyDescent="0.25">
      <c r="A2828" s="11">
        <v>46053</v>
      </c>
      <c r="B2828" s="5" t="s">
        <v>394</v>
      </c>
      <c r="C2828" s="3" t="s">
        <v>337</v>
      </c>
      <c r="D2828" s="5" t="s">
        <v>396</v>
      </c>
      <c r="E2828" s="5" t="s">
        <v>117</v>
      </c>
      <c r="F2828" s="6" t="s">
        <v>424</v>
      </c>
      <c r="G2828" s="4" t="s">
        <v>1</v>
      </c>
      <c r="H2828" s="25">
        <v>130.9</v>
      </c>
      <c r="I2828" s="8">
        <v>690</v>
      </c>
      <c r="J2828" s="9">
        <v>500</v>
      </c>
      <c r="K2828" s="7">
        <v>-190</v>
      </c>
      <c r="L2828" s="24">
        <f>+Tabla2[[#This Row],[Stock Inventario]]*Tabla2[[#This Row],[Coste LÃ­nea]]</f>
        <v>65450</v>
      </c>
      <c r="M2828" s="24">
        <f>+Tabla2[[#This Row],[Variación Stock]]*Tabla2[[#This Row],[Coste LÃ­nea]]</f>
        <v>-24871</v>
      </c>
      <c r="N2828" s="22" t="str">
        <f>+IF(Tabla2[[#This Row],[Variación Stock]]&gt;0,"Sobrante",IF(Tabla2[[#This Row],[Variación Stock]]&lt;0,"Faltante","Sin novedad"))</f>
        <v>Faltante</v>
      </c>
    </row>
    <row r="2829" spans="1:14" hidden="1" x14ac:dyDescent="0.25">
      <c r="A2829" s="11">
        <v>46053</v>
      </c>
      <c r="B2829" s="5" t="s">
        <v>394</v>
      </c>
      <c r="C2829" s="3" t="s">
        <v>337</v>
      </c>
      <c r="D2829" s="5" t="s">
        <v>396</v>
      </c>
      <c r="E2829" s="5" t="s">
        <v>117</v>
      </c>
      <c r="F2829" s="6" t="s">
        <v>402</v>
      </c>
      <c r="G2829" s="4" t="s">
        <v>1</v>
      </c>
      <c r="H2829" s="25">
        <v>32</v>
      </c>
      <c r="I2829" s="8">
        <v>3672</v>
      </c>
      <c r="J2829" s="9">
        <v>1322</v>
      </c>
      <c r="K2829" s="7">
        <v>-2350</v>
      </c>
      <c r="L2829" s="24">
        <f>+Tabla2[[#This Row],[Stock Inventario]]*Tabla2[[#This Row],[Coste LÃ­nea]]</f>
        <v>42304</v>
      </c>
      <c r="M2829" s="24">
        <f>+Tabla2[[#This Row],[Variación Stock]]*Tabla2[[#This Row],[Coste LÃ­nea]]</f>
        <v>-75200</v>
      </c>
      <c r="N2829" s="22" t="str">
        <f>+IF(Tabla2[[#This Row],[Variación Stock]]&gt;0,"Sobrante",IF(Tabla2[[#This Row],[Variación Stock]]&lt;0,"Faltante","Sin novedad"))</f>
        <v>Faltante</v>
      </c>
    </row>
    <row r="2830" spans="1:14" hidden="1" x14ac:dyDescent="0.25">
      <c r="A2830" s="11">
        <v>46053</v>
      </c>
      <c r="B2830" s="5" t="s">
        <v>394</v>
      </c>
      <c r="C2830" s="3" t="s">
        <v>337</v>
      </c>
      <c r="D2830" s="5" t="s">
        <v>396</v>
      </c>
      <c r="E2830" s="5" t="s">
        <v>117</v>
      </c>
      <c r="F2830" s="6" t="s">
        <v>441</v>
      </c>
      <c r="G2830" s="4" t="s">
        <v>1</v>
      </c>
      <c r="H2830" s="25">
        <v>25.38</v>
      </c>
      <c r="I2830" s="8">
        <v>525</v>
      </c>
      <c r="J2830" s="9">
        <v>3176</v>
      </c>
      <c r="K2830" s="7">
        <v>-949</v>
      </c>
      <c r="L2830" s="24">
        <f>+Tabla2[[#This Row],[Stock Inventario]]*Tabla2[[#This Row],[Coste LÃ­nea]]</f>
        <v>80606.87999999999</v>
      </c>
      <c r="M2830" s="24">
        <f>+Tabla2[[#This Row],[Variación Stock]]*Tabla2[[#This Row],[Coste LÃ­nea]]</f>
        <v>-24085.62</v>
      </c>
      <c r="N2830" s="22" t="str">
        <f>+IF(Tabla2[[#This Row],[Variación Stock]]&gt;0,"Sobrante",IF(Tabla2[[#This Row],[Variación Stock]]&lt;0,"Faltante","Sin novedad"))</f>
        <v>Faltante</v>
      </c>
    </row>
    <row r="2831" spans="1:14" hidden="1" x14ac:dyDescent="0.25">
      <c r="A2831" s="11">
        <v>46053</v>
      </c>
      <c r="B2831" s="5" t="s">
        <v>394</v>
      </c>
      <c r="C2831" s="3" t="s">
        <v>337</v>
      </c>
      <c r="D2831" s="5" t="s">
        <v>396</v>
      </c>
      <c r="E2831" s="5" t="s">
        <v>117</v>
      </c>
      <c r="F2831" s="6" t="s">
        <v>442</v>
      </c>
      <c r="G2831" s="4" t="s">
        <v>1</v>
      </c>
      <c r="H2831" s="25">
        <v>22.30079576</v>
      </c>
      <c r="I2831" s="8">
        <v>-1120</v>
      </c>
      <c r="J2831" s="9">
        <v>0</v>
      </c>
      <c r="K2831" s="7">
        <v>1120</v>
      </c>
      <c r="L2831" s="24">
        <f>+Tabla2[[#This Row],[Stock Inventario]]*Tabla2[[#This Row],[Coste LÃ­nea]]</f>
        <v>0</v>
      </c>
      <c r="M2831" s="24">
        <f>+Tabla2[[#This Row],[Variación Stock]]*Tabla2[[#This Row],[Coste LÃ­nea]]</f>
        <v>24976.891251199999</v>
      </c>
      <c r="N2831" s="22" t="str">
        <f>+IF(Tabla2[[#This Row],[Variación Stock]]&gt;0,"Sobrante",IF(Tabla2[[#This Row],[Variación Stock]]&lt;0,"Faltante","Sin novedad"))</f>
        <v>Sobrante</v>
      </c>
    </row>
    <row r="2832" spans="1:14" hidden="1" x14ac:dyDescent="0.25">
      <c r="A2832" s="11">
        <v>46053</v>
      </c>
      <c r="B2832" s="5" t="s">
        <v>394</v>
      </c>
      <c r="C2832" s="3" t="s">
        <v>337</v>
      </c>
      <c r="D2832" s="5" t="s">
        <v>471</v>
      </c>
      <c r="E2832" s="5" t="s">
        <v>117</v>
      </c>
      <c r="F2832" s="6" t="s">
        <v>516</v>
      </c>
      <c r="G2832" s="4" t="s">
        <v>1</v>
      </c>
      <c r="H2832" s="25">
        <v>5.8</v>
      </c>
      <c r="I2832" s="8">
        <v>-1400</v>
      </c>
      <c r="J2832" s="9">
        <v>750</v>
      </c>
      <c r="K2832" s="7">
        <v>2150</v>
      </c>
      <c r="L2832" s="24">
        <f>+Tabla2[[#This Row],[Stock Inventario]]*Tabla2[[#This Row],[Coste LÃ­nea]]</f>
        <v>4350</v>
      </c>
      <c r="M2832" s="24">
        <f>+Tabla2[[#This Row],[Variación Stock]]*Tabla2[[#This Row],[Coste LÃ­nea]]</f>
        <v>12470</v>
      </c>
      <c r="N2832" s="22" t="str">
        <f>+IF(Tabla2[[#This Row],[Variación Stock]]&gt;0,"Sobrante",IF(Tabla2[[#This Row],[Variación Stock]]&lt;0,"Faltante","Sin novedad"))</f>
        <v>Sobrante</v>
      </c>
    </row>
    <row r="2833" spans="1:14" hidden="1" x14ac:dyDescent="0.25">
      <c r="A2833" s="11">
        <v>46053</v>
      </c>
      <c r="B2833" s="5" t="s">
        <v>394</v>
      </c>
      <c r="C2833" s="3" t="s">
        <v>337</v>
      </c>
      <c r="D2833" s="5" t="s">
        <v>119</v>
      </c>
      <c r="E2833" s="5" t="s">
        <v>117</v>
      </c>
      <c r="F2833" s="6" t="s">
        <v>11</v>
      </c>
      <c r="G2833" s="4" t="s">
        <v>2</v>
      </c>
      <c r="H2833" s="25">
        <v>436.01333333000002</v>
      </c>
      <c r="I2833" s="8">
        <v>124</v>
      </c>
      <c r="J2833" s="9">
        <v>181</v>
      </c>
      <c r="K2833" s="7">
        <v>57</v>
      </c>
      <c r="L2833" s="24">
        <f>+Tabla2[[#This Row],[Stock Inventario]]*Tabla2[[#This Row],[Coste LÃ­nea]]</f>
        <v>78918.413332730008</v>
      </c>
      <c r="M2833" s="24">
        <f>+Tabla2[[#This Row],[Variación Stock]]*Tabla2[[#This Row],[Coste LÃ­nea]]</f>
        <v>24852.759999810001</v>
      </c>
      <c r="N2833" s="22" t="str">
        <f>+IF(Tabla2[[#This Row],[Variación Stock]]&gt;0,"Sobrante",IF(Tabla2[[#This Row],[Variación Stock]]&lt;0,"Faltante","Sin novedad"))</f>
        <v>Sobrante</v>
      </c>
    </row>
    <row r="2834" spans="1:14" x14ac:dyDescent="0.25">
      <c r="A2834" s="11">
        <v>46053</v>
      </c>
      <c r="B2834" s="5" t="s">
        <v>394</v>
      </c>
      <c r="C2834" s="3" t="s">
        <v>337</v>
      </c>
      <c r="D2834" s="5" t="s">
        <v>118</v>
      </c>
      <c r="E2834" s="5" t="s">
        <v>112</v>
      </c>
      <c r="F2834" s="6" t="s">
        <v>309</v>
      </c>
      <c r="G2834" s="4" t="s">
        <v>2</v>
      </c>
      <c r="H2834" s="25">
        <v>97200</v>
      </c>
      <c r="I2834" s="8">
        <v>1</v>
      </c>
      <c r="J2834" s="9">
        <v>1</v>
      </c>
      <c r="K2834" s="7">
        <v>0</v>
      </c>
      <c r="L2834" s="24">
        <f>+Tabla2[[#This Row],[Stock Inventario]]*Tabla2[[#This Row],[Coste LÃ­nea]]</f>
        <v>97200</v>
      </c>
      <c r="M2834" s="24">
        <f>+Tabla2[[#This Row],[Variación Stock]]*Tabla2[[#This Row],[Coste LÃ­nea]]</f>
        <v>0</v>
      </c>
      <c r="N2834" s="22" t="str">
        <f>+IF(Tabla2[[#This Row],[Variación Stock]]&gt;0,"Sobrante",IF(Tabla2[[#This Row],[Variación Stock]]&lt;0,"Faltante","Sin novedad"))</f>
        <v>Sin novedad</v>
      </c>
    </row>
    <row r="2835" spans="1:14" x14ac:dyDescent="0.25">
      <c r="A2835" s="11">
        <v>46053</v>
      </c>
      <c r="B2835" s="5" t="s">
        <v>394</v>
      </c>
      <c r="C2835" s="3" t="s">
        <v>337</v>
      </c>
      <c r="D2835" s="5" t="s">
        <v>118</v>
      </c>
      <c r="E2835" s="5" t="s">
        <v>112</v>
      </c>
      <c r="F2835" s="6" t="s">
        <v>310</v>
      </c>
      <c r="G2835" s="4" t="s">
        <v>2</v>
      </c>
      <c r="H2835" s="25">
        <v>73956.022408999997</v>
      </c>
      <c r="I2835" s="8">
        <v>1</v>
      </c>
      <c r="J2835" s="9">
        <v>1</v>
      </c>
      <c r="K2835" s="7">
        <v>0</v>
      </c>
      <c r="L2835" s="24">
        <f>+Tabla2[[#This Row],[Stock Inventario]]*Tabla2[[#This Row],[Coste LÃ­nea]]</f>
        <v>73956.022408999997</v>
      </c>
      <c r="M2835" s="24">
        <f>+Tabla2[[#This Row],[Variación Stock]]*Tabla2[[#This Row],[Coste LÃ­nea]]</f>
        <v>0</v>
      </c>
      <c r="N2835" s="22" t="str">
        <f>+IF(Tabla2[[#This Row],[Variación Stock]]&gt;0,"Sobrante",IF(Tabla2[[#This Row],[Variación Stock]]&lt;0,"Faltante","Sin novedad"))</f>
        <v>Sin novedad</v>
      </c>
    </row>
    <row r="2836" spans="1:14" hidden="1" x14ac:dyDescent="0.25">
      <c r="A2836" s="11">
        <v>46053</v>
      </c>
      <c r="B2836" s="5" t="s">
        <v>394</v>
      </c>
      <c r="C2836" s="3" t="s">
        <v>337</v>
      </c>
      <c r="D2836" s="5" t="s">
        <v>471</v>
      </c>
      <c r="E2836" s="5" t="s">
        <v>117</v>
      </c>
      <c r="F2836" s="6" t="s">
        <v>472</v>
      </c>
      <c r="G2836" s="4" t="s">
        <v>1</v>
      </c>
      <c r="H2836" s="25">
        <v>4.5</v>
      </c>
      <c r="I2836" s="8">
        <v>0</v>
      </c>
      <c r="J2836" s="9">
        <v>0</v>
      </c>
      <c r="K2836" s="7">
        <v>0</v>
      </c>
      <c r="L2836" s="24">
        <f>+Tabla2[[#This Row],[Stock Inventario]]*Tabla2[[#This Row],[Coste LÃ­nea]]</f>
        <v>0</v>
      </c>
      <c r="M2836" s="24">
        <f>+Tabla2[[#This Row],[Variación Stock]]*Tabla2[[#This Row],[Coste LÃ­nea]]</f>
        <v>0</v>
      </c>
      <c r="N2836" s="22" t="str">
        <f>+IF(Tabla2[[#This Row],[Variación Stock]]&gt;0,"Sobrante",IF(Tabla2[[#This Row],[Variación Stock]]&lt;0,"Faltante","Sin novedad"))</f>
        <v>Sin novedad</v>
      </c>
    </row>
    <row r="2837" spans="1:14" hidden="1" x14ac:dyDescent="0.25">
      <c r="A2837" s="11">
        <v>46053</v>
      </c>
      <c r="B2837" s="5" t="s">
        <v>394</v>
      </c>
      <c r="C2837" s="3" t="s">
        <v>337</v>
      </c>
      <c r="D2837" s="5" t="s">
        <v>396</v>
      </c>
      <c r="E2837" s="5" t="s">
        <v>117</v>
      </c>
      <c r="F2837" s="6" t="s">
        <v>443</v>
      </c>
      <c r="G2837" s="4" t="s">
        <v>2</v>
      </c>
      <c r="H2837" s="25">
        <v>171.97888889000001</v>
      </c>
      <c r="I2837" s="8">
        <v>1800</v>
      </c>
      <c r="J2837" s="9">
        <v>0</v>
      </c>
      <c r="K2837" s="7">
        <v>-2700</v>
      </c>
      <c r="L2837" s="24">
        <f>+Tabla2[[#This Row],[Stock Inventario]]*Tabla2[[#This Row],[Coste LÃ­nea]]</f>
        <v>0</v>
      </c>
      <c r="M2837" s="24">
        <f>+Tabla2[[#This Row],[Variación Stock]]*Tabla2[[#This Row],[Coste LÃ­nea]]</f>
        <v>-464343.00000300002</v>
      </c>
      <c r="N2837" s="22" t="str">
        <f>+IF(Tabla2[[#This Row],[Variación Stock]]&gt;0,"Sobrante",IF(Tabla2[[#This Row],[Variación Stock]]&lt;0,"Faltante","Sin novedad"))</f>
        <v>Faltante</v>
      </c>
    </row>
    <row r="2838" spans="1:14" x14ac:dyDescent="0.25">
      <c r="A2838" s="11">
        <v>46053</v>
      </c>
      <c r="B2838" s="5" t="s">
        <v>394</v>
      </c>
      <c r="C2838" s="3" t="s">
        <v>337</v>
      </c>
      <c r="D2838" s="5" t="s">
        <v>111</v>
      </c>
      <c r="E2838" s="5" t="s">
        <v>112</v>
      </c>
      <c r="F2838" s="6" t="s">
        <v>26</v>
      </c>
      <c r="G2838" s="4" t="s">
        <v>0</v>
      </c>
      <c r="H2838" s="25">
        <v>8389.75</v>
      </c>
      <c r="I2838" s="8">
        <v>6</v>
      </c>
      <c r="J2838" s="9">
        <v>6</v>
      </c>
      <c r="K2838" s="7">
        <v>0</v>
      </c>
      <c r="L2838" s="24">
        <f>+Tabla2[[#This Row],[Stock Inventario]]*Tabla2[[#This Row],[Coste LÃ­nea]]</f>
        <v>50338.5</v>
      </c>
      <c r="M2838" s="24">
        <f>+Tabla2[[#This Row],[Variación Stock]]*Tabla2[[#This Row],[Coste LÃ­nea]]</f>
        <v>0</v>
      </c>
      <c r="N2838" s="22" t="str">
        <f>+IF(Tabla2[[#This Row],[Variación Stock]]&gt;0,"Sobrante",IF(Tabla2[[#This Row],[Variación Stock]]&lt;0,"Faltante","Sin novedad"))</f>
        <v>Sin novedad</v>
      </c>
    </row>
    <row r="2839" spans="1:14" x14ac:dyDescent="0.25">
      <c r="A2839" s="11">
        <v>46053</v>
      </c>
      <c r="B2839" s="5" t="s">
        <v>394</v>
      </c>
      <c r="C2839" s="3" t="s">
        <v>337</v>
      </c>
      <c r="D2839" s="5" t="s">
        <v>111</v>
      </c>
      <c r="E2839" s="5" t="s">
        <v>112</v>
      </c>
      <c r="F2839" s="6" t="s">
        <v>27</v>
      </c>
      <c r="G2839" s="4" t="s">
        <v>0</v>
      </c>
      <c r="H2839" s="25">
        <v>7122.4772727299996</v>
      </c>
      <c r="I2839" s="8">
        <v>14</v>
      </c>
      <c r="J2839" s="9">
        <v>16</v>
      </c>
      <c r="K2839" s="7">
        <v>2</v>
      </c>
      <c r="L2839" s="24">
        <f>+Tabla2[[#This Row],[Stock Inventario]]*Tabla2[[#This Row],[Coste LÃ­nea]]</f>
        <v>113959.63636367999</v>
      </c>
      <c r="M2839" s="24">
        <f>+Tabla2[[#This Row],[Variación Stock]]*Tabla2[[#This Row],[Coste LÃ­nea]]</f>
        <v>14244.954545459999</v>
      </c>
      <c r="N2839" s="22" t="str">
        <f>+IF(Tabla2[[#This Row],[Variación Stock]]&gt;0,"Sobrante",IF(Tabla2[[#This Row],[Variación Stock]]&lt;0,"Faltante","Sin novedad"))</f>
        <v>Sobrante</v>
      </c>
    </row>
    <row r="2840" spans="1:14" hidden="1" x14ac:dyDescent="0.25">
      <c r="A2840" s="11">
        <v>46053</v>
      </c>
      <c r="B2840" s="5" t="s">
        <v>394</v>
      </c>
      <c r="C2840" s="3" t="s">
        <v>337</v>
      </c>
      <c r="D2840" s="5" t="s">
        <v>559</v>
      </c>
      <c r="E2840" s="5" t="s">
        <v>1080</v>
      </c>
      <c r="F2840" s="6" t="s">
        <v>579</v>
      </c>
      <c r="G2840" s="4" t="s">
        <v>2</v>
      </c>
      <c r="H2840" s="25">
        <v>155.53399999999999</v>
      </c>
      <c r="I2840" s="8">
        <v>300</v>
      </c>
      <c r="J2840" s="9">
        <v>4</v>
      </c>
      <c r="K2840" s="7">
        <v>-296</v>
      </c>
      <c r="L2840" s="24">
        <f>+Tabla2[[#This Row],[Stock Inventario]]*Tabla2[[#This Row],[Coste LÃ­nea]]</f>
        <v>622.13599999999997</v>
      </c>
      <c r="M2840" s="24">
        <f>+Tabla2[[#This Row],[Variación Stock]]*Tabla2[[#This Row],[Coste LÃ­nea]]</f>
        <v>-46038.063999999998</v>
      </c>
      <c r="N2840" s="22" t="str">
        <f>+IF(Tabla2[[#This Row],[Variación Stock]]&gt;0,"Sobrante",IF(Tabla2[[#This Row],[Variación Stock]]&lt;0,"Faltante","Sin novedad"))</f>
        <v>Faltante</v>
      </c>
    </row>
    <row r="2841" spans="1:14" hidden="1" x14ac:dyDescent="0.25">
      <c r="A2841" s="11">
        <v>46053</v>
      </c>
      <c r="B2841" s="5" t="s">
        <v>394</v>
      </c>
      <c r="C2841" s="3" t="s">
        <v>337</v>
      </c>
      <c r="D2841" s="5" t="s">
        <v>396</v>
      </c>
      <c r="E2841" s="5" t="s">
        <v>117</v>
      </c>
      <c r="F2841" s="6" t="s">
        <v>418</v>
      </c>
      <c r="G2841" s="4" t="s">
        <v>1</v>
      </c>
      <c r="H2841" s="25">
        <v>40.047916669999999</v>
      </c>
      <c r="I2841" s="8">
        <v>371</v>
      </c>
      <c r="J2841" s="9">
        <v>520</v>
      </c>
      <c r="K2841" s="7">
        <v>-811</v>
      </c>
      <c r="L2841" s="24">
        <f>+Tabla2[[#This Row],[Stock Inventario]]*Tabla2[[#This Row],[Coste LÃ­nea]]</f>
        <v>20824.916668400001</v>
      </c>
      <c r="M2841" s="24">
        <f>+Tabla2[[#This Row],[Variación Stock]]*Tabla2[[#This Row],[Coste LÃ­nea]]</f>
        <v>-32478.860419370001</v>
      </c>
      <c r="N2841" s="22" t="str">
        <f>+IF(Tabla2[[#This Row],[Variación Stock]]&gt;0,"Sobrante",IF(Tabla2[[#This Row],[Variación Stock]]&lt;0,"Faltante","Sin novedad"))</f>
        <v>Faltante</v>
      </c>
    </row>
    <row r="2842" spans="1:14" hidden="1" x14ac:dyDescent="0.25">
      <c r="A2842" s="11">
        <v>46053</v>
      </c>
      <c r="B2842" s="5" t="s">
        <v>394</v>
      </c>
      <c r="C2842" s="3" t="s">
        <v>337</v>
      </c>
      <c r="D2842" s="5" t="s">
        <v>396</v>
      </c>
      <c r="E2842" s="5" t="s">
        <v>117</v>
      </c>
      <c r="F2842" s="6" t="s">
        <v>460</v>
      </c>
      <c r="G2842" s="4" t="s">
        <v>1</v>
      </c>
      <c r="H2842" s="25">
        <v>18.829166669999999</v>
      </c>
      <c r="I2842" s="8">
        <v>0</v>
      </c>
      <c r="J2842" s="9">
        <v>0</v>
      </c>
      <c r="K2842" s="7">
        <v>0</v>
      </c>
      <c r="L2842" s="24">
        <f>+Tabla2[[#This Row],[Stock Inventario]]*Tabla2[[#This Row],[Coste LÃ­nea]]</f>
        <v>0</v>
      </c>
      <c r="M2842" s="24">
        <f>+Tabla2[[#This Row],[Variación Stock]]*Tabla2[[#This Row],[Coste LÃ­nea]]</f>
        <v>0</v>
      </c>
      <c r="N2842" s="22" t="str">
        <f>+IF(Tabla2[[#This Row],[Variación Stock]]&gt;0,"Sobrante",IF(Tabla2[[#This Row],[Variación Stock]]&lt;0,"Faltante","Sin novedad"))</f>
        <v>Sin novedad</v>
      </c>
    </row>
    <row r="2843" spans="1:14" hidden="1" x14ac:dyDescent="0.25">
      <c r="A2843" s="11">
        <v>46053</v>
      </c>
      <c r="B2843" s="5" t="s">
        <v>394</v>
      </c>
      <c r="C2843" s="3" t="s">
        <v>337</v>
      </c>
      <c r="D2843" s="5" t="s">
        <v>396</v>
      </c>
      <c r="E2843" s="5" t="s">
        <v>117</v>
      </c>
      <c r="F2843" s="6" t="s">
        <v>425</v>
      </c>
      <c r="G2843" s="4" t="s">
        <v>1</v>
      </c>
      <c r="H2843" s="25">
        <v>16.5</v>
      </c>
      <c r="I2843" s="8">
        <v>11275</v>
      </c>
      <c r="J2843" s="9">
        <v>11000</v>
      </c>
      <c r="K2843" s="7">
        <v>-275.00002000000001</v>
      </c>
      <c r="L2843" s="24">
        <f>+Tabla2[[#This Row],[Stock Inventario]]*Tabla2[[#This Row],[Coste LÃ­nea]]</f>
        <v>181500</v>
      </c>
      <c r="M2843" s="24">
        <f>+Tabla2[[#This Row],[Variación Stock]]*Tabla2[[#This Row],[Coste LÃ­nea]]</f>
        <v>-4537.5003299999998</v>
      </c>
      <c r="N2843" s="22" t="str">
        <f>+IF(Tabla2[[#This Row],[Variación Stock]]&gt;0,"Sobrante",IF(Tabla2[[#This Row],[Variación Stock]]&lt;0,"Faltante","Sin novedad"))</f>
        <v>Faltante</v>
      </c>
    </row>
    <row r="2844" spans="1:14" x14ac:dyDescent="0.25">
      <c r="A2844" s="11">
        <v>46053</v>
      </c>
      <c r="B2844" s="5" t="s">
        <v>394</v>
      </c>
      <c r="C2844" s="3" t="s">
        <v>337</v>
      </c>
      <c r="D2844" s="5" t="s">
        <v>118</v>
      </c>
      <c r="E2844" s="5" t="s">
        <v>112</v>
      </c>
      <c r="F2844" s="6" t="s">
        <v>299</v>
      </c>
      <c r="G2844" s="4" t="s">
        <v>2</v>
      </c>
      <c r="H2844" s="25">
        <v>72880</v>
      </c>
      <c r="I2844" s="8">
        <v>3</v>
      </c>
      <c r="J2844" s="9">
        <v>3</v>
      </c>
      <c r="K2844" s="7">
        <v>0</v>
      </c>
      <c r="L2844" s="24">
        <f>+Tabla2[[#This Row],[Stock Inventario]]*Tabla2[[#This Row],[Coste LÃ­nea]]</f>
        <v>218640</v>
      </c>
      <c r="M2844" s="24">
        <f>+Tabla2[[#This Row],[Variación Stock]]*Tabla2[[#This Row],[Coste LÃ­nea]]</f>
        <v>0</v>
      </c>
      <c r="N2844" s="22" t="str">
        <f>+IF(Tabla2[[#This Row],[Variación Stock]]&gt;0,"Sobrante",IF(Tabla2[[#This Row],[Variación Stock]]&lt;0,"Faltante","Sin novedad"))</f>
        <v>Sin novedad</v>
      </c>
    </row>
    <row r="2845" spans="1:14" x14ac:dyDescent="0.25">
      <c r="A2845" s="11">
        <v>46053</v>
      </c>
      <c r="B2845" s="5" t="s">
        <v>394</v>
      </c>
      <c r="C2845" s="3" t="s">
        <v>337</v>
      </c>
      <c r="D2845" s="5" t="s">
        <v>118</v>
      </c>
      <c r="E2845" s="5" t="s">
        <v>112</v>
      </c>
      <c r="F2845" s="6" t="s">
        <v>300</v>
      </c>
      <c r="G2845" s="4" t="s">
        <v>2</v>
      </c>
      <c r="H2845" s="25">
        <v>25109.5</v>
      </c>
      <c r="I2845" s="8">
        <v>0</v>
      </c>
      <c r="J2845" s="9">
        <v>0</v>
      </c>
      <c r="K2845" s="7">
        <v>0</v>
      </c>
      <c r="L2845" s="24">
        <f>+Tabla2[[#This Row],[Stock Inventario]]*Tabla2[[#This Row],[Coste LÃ­nea]]</f>
        <v>0</v>
      </c>
      <c r="M2845" s="24">
        <f>+Tabla2[[#This Row],[Variación Stock]]*Tabla2[[#This Row],[Coste LÃ­nea]]</f>
        <v>0</v>
      </c>
      <c r="N2845" s="22" t="str">
        <f>+IF(Tabla2[[#This Row],[Variación Stock]]&gt;0,"Sobrante",IF(Tabla2[[#This Row],[Variación Stock]]&lt;0,"Faltante","Sin novedad"))</f>
        <v>Sin novedad</v>
      </c>
    </row>
    <row r="2846" spans="1:14" hidden="1" x14ac:dyDescent="0.25">
      <c r="A2846" s="11">
        <v>46053</v>
      </c>
      <c r="B2846" s="5" t="s">
        <v>394</v>
      </c>
      <c r="C2846" s="3" t="s">
        <v>337</v>
      </c>
      <c r="D2846" s="5" t="s">
        <v>396</v>
      </c>
      <c r="E2846" s="5" t="s">
        <v>117</v>
      </c>
      <c r="F2846" s="6" t="s">
        <v>399</v>
      </c>
      <c r="G2846" s="4" t="s">
        <v>1</v>
      </c>
      <c r="H2846" s="25">
        <v>37.000436970000003</v>
      </c>
      <c r="I2846" s="8">
        <v>91</v>
      </c>
      <c r="J2846" s="9">
        <v>0</v>
      </c>
      <c r="K2846" s="7">
        <v>-91</v>
      </c>
      <c r="L2846" s="24">
        <f>+Tabla2[[#This Row],[Stock Inventario]]*Tabla2[[#This Row],[Coste LÃ­nea]]</f>
        <v>0</v>
      </c>
      <c r="M2846" s="24">
        <f>+Tabla2[[#This Row],[Variación Stock]]*Tabla2[[#This Row],[Coste LÃ­nea]]</f>
        <v>-3367.0397642700004</v>
      </c>
      <c r="N2846" s="22" t="str">
        <f>+IF(Tabla2[[#This Row],[Variación Stock]]&gt;0,"Sobrante",IF(Tabla2[[#This Row],[Variación Stock]]&lt;0,"Faltante","Sin novedad"))</f>
        <v>Faltante</v>
      </c>
    </row>
    <row r="2847" spans="1:14" hidden="1" x14ac:dyDescent="0.25">
      <c r="A2847" s="11">
        <v>46053</v>
      </c>
      <c r="B2847" s="5" t="s">
        <v>394</v>
      </c>
      <c r="C2847" s="3" t="s">
        <v>337</v>
      </c>
      <c r="D2847" s="5" t="s">
        <v>396</v>
      </c>
      <c r="E2847" s="5" t="s">
        <v>117</v>
      </c>
      <c r="F2847" s="6" t="s">
        <v>414</v>
      </c>
      <c r="G2847" s="4" t="s">
        <v>1</v>
      </c>
      <c r="H2847" s="25">
        <v>32.000190480000001</v>
      </c>
      <c r="I2847" s="8">
        <v>500</v>
      </c>
      <c r="J2847" s="9">
        <v>500</v>
      </c>
      <c r="K2847" s="7">
        <v>0</v>
      </c>
      <c r="L2847" s="24">
        <f>+Tabla2[[#This Row],[Stock Inventario]]*Tabla2[[#This Row],[Coste LÃ­nea]]</f>
        <v>16000.095240000001</v>
      </c>
      <c r="M2847" s="24">
        <f>+Tabla2[[#This Row],[Variación Stock]]*Tabla2[[#This Row],[Coste LÃ­nea]]</f>
        <v>0</v>
      </c>
      <c r="N2847" s="22" t="str">
        <f>+IF(Tabla2[[#This Row],[Variación Stock]]&gt;0,"Sobrante",IF(Tabla2[[#This Row],[Variación Stock]]&lt;0,"Faltante","Sin novedad"))</f>
        <v>Sin novedad</v>
      </c>
    </row>
    <row r="2848" spans="1:14" hidden="1" x14ac:dyDescent="0.25">
      <c r="A2848" s="11">
        <v>46053</v>
      </c>
      <c r="B2848" s="5" t="s">
        <v>394</v>
      </c>
      <c r="C2848" s="3" t="s">
        <v>337</v>
      </c>
      <c r="D2848" s="5" t="s">
        <v>471</v>
      </c>
      <c r="E2848" s="5" t="s">
        <v>117</v>
      </c>
      <c r="F2848" s="6" t="s">
        <v>517</v>
      </c>
      <c r="G2848" s="4" t="s">
        <v>1</v>
      </c>
      <c r="H2848" s="25">
        <v>9.5</v>
      </c>
      <c r="I2848" s="8">
        <v>2000</v>
      </c>
      <c r="J2848" s="9">
        <v>0</v>
      </c>
      <c r="K2848" s="7">
        <v>-2000</v>
      </c>
      <c r="L2848" s="24">
        <f>+Tabla2[[#This Row],[Stock Inventario]]*Tabla2[[#This Row],[Coste LÃ­nea]]</f>
        <v>0</v>
      </c>
      <c r="M2848" s="24">
        <f>+Tabla2[[#This Row],[Variación Stock]]*Tabla2[[#This Row],[Coste LÃ­nea]]</f>
        <v>-19000</v>
      </c>
      <c r="N2848" s="22" t="str">
        <f>+IF(Tabla2[[#This Row],[Variación Stock]]&gt;0,"Sobrante",IF(Tabla2[[#This Row],[Variación Stock]]&lt;0,"Faltante","Sin novedad"))</f>
        <v>Faltante</v>
      </c>
    </row>
    <row r="2849" spans="1:14" hidden="1" x14ac:dyDescent="0.25">
      <c r="A2849" s="11">
        <v>46053</v>
      </c>
      <c r="B2849" s="5" t="s">
        <v>394</v>
      </c>
      <c r="C2849" s="3" t="s">
        <v>337</v>
      </c>
      <c r="D2849" s="5" t="s">
        <v>396</v>
      </c>
      <c r="E2849" s="5" t="s">
        <v>117</v>
      </c>
      <c r="F2849" s="6" t="s">
        <v>444</v>
      </c>
      <c r="G2849" s="4" t="s">
        <v>1</v>
      </c>
      <c r="H2849" s="25">
        <v>22.523250000000001</v>
      </c>
      <c r="I2849" s="8">
        <v>160</v>
      </c>
      <c r="J2849" s="9">
        <v>160</v>
      </c>
      <c r="K2849" s="7">
        <v>0</v>
      </c>
      <c r="L2849" s="24">
        <f>+Tabla2[[#This Row],[Stock Inventario]]*Tabla2[[#This Row],[Coste LÃ­nea]]</f>
        <v>3603.7200000000003</v>
      </c>
      <c r="M2849" s="24">
        <f>+Tabla2[[#This Row],[Variación Stock]]*Tabla2[[#This Row],[Coste LÃ­nea]]</f>
        <v>0</v>
      </c>
      <c r="N2849" s="22" t="str">
        <f>+IF(Tabla2[[#This Row],[Variación Stock]]&gt;0,"Sobrante",IF(Tabla2[[#This Row],[Variación Stock]]&lt;0,"Faltante","Sin novedad"))</f>
        <v>Sin novedad</v>
      </c>
    </row>
    <row r="2850" spans="1:14" x14ac:dyDescent="0.25">
      <c r="A2850" s="11">
        <v>46053</v>
      </c>
      <c r="B2850" s="5" t="s">
        <v>394</v>
      </c>
      <c r="C2850" s="3" t="s">
        <v>337</v>
      </c>
      <c r="D2850" s="5" t="s">
        <v>603</v>
      </c>
      <c r="E2850" s="5" t="s">
        <v>112</v>
      </c>
      <c r="F2850" s="6" t="s">
        <v>622</v>
      </c>
      <c r="G2850" s="4" t="s">
        <v>1</v>
      </c>
      <c r="H2850" s="25">
        <v>8.5</v>
      </c>
      <c r="I2850" s="8">
        <v>4720</v>
      </c>
      <c r="J2850" s="9">
        <v>1384</v>
      </c>
      <c r="K2850" s="7">
        <v>-4936</v>
      </c>
      <c r="L2850" s="24">
        <f>+Tabla2[[#This Row],[Stock Inventario]]*Tabla2[[#This Row],[Coste LÃ­nea]]</f>
        <v>11764</v>
      </c>
      <c r="M2850" s="24">
        <f>+Tabla2[[#This Row],[Variación Stock]]*Tabla2[[#This Row],[Coste LÃ­nea]]</f>
        <v>-41956</v>
      </c>
      <c r="N2850" s="22" t="str">
        <f>+IF(Tabla2[[#This Row],[Variación Stock]]&gt;0,"Sobrante",IF(Tabla2[[#This Row],[Variación Stock]]&lt;0,"Faltante","Sin novedad"))</f>
        <v>Faltante</v>
      </c>
    </row>
    <row r="2851" spans="1:14" hidden="1" x14ac:dyDescent="0.25">
      <c r="A2851" s="11">
        <v>46053</v>
      </c>
      <c r="B2851" s="5" t="s">
        <v>394</v>
      </c>
      <c r="C2851" s="3" t="s">
        <v>337</v>
      </c>
      <c r="D2851" s="5" t="s">
        <v>396</v>
      </c>
      <c r="E2851" s="5" t="s">
        <v>117</v>
      </c>
      <c r="F2851" s="6" t="s">
        <v>216</v>
      </c>
      <c r="G2851" s="4" t="s">
        <v>1</v>
      </c>
      <c r="H2851" s="25">
        <v>345.67500000000001</v>
      </c>
      <c r="I2851" s="8">
        <v>0</v>
      </c>
      <c r="J2851" s="9">
        <v>0</v>
      </c>
      <c r="K2851" s="7">
        <v>0</v>
      </c>
      <c r="L2851" s="24">
        <f>+Tabla2[[#This Row],[Stock Inventario]]*Tabla2[[#This Row],[Coste LÃ­nea]]</f>
        <v>0</v>
      </c>
      <c r="M2851" s="24">
        <f>+Tabla2[[#This Row],[Variación Stock]]*Tabla2[[#This Row],[Coste LÃ­nea]]</f>
        <v>0</v>
      </c>
      <c r="N2851" s="22" t="str">
        <f>+IF(Tabla2[[#This Row],[Variación Stock]]&gt;0,"Sobrante",IF(Tabla2[[#This Row],[Variación Stock]]&lt;0,"Faltante","Sin novedad"))</f>
        <v>Sin novedad</v>
      </c>
    </row>
    <row r="2852" spans="1:14" x14ac:dyDescent="0.25">
      <c r="A2852" s="11">
        <v>46053</v>
      </c>
      <c r="B2852" s="5" t="s">
        <v>394</v>
      </c>
      <c r="C2852" s="3" t="s">
        <v>337</v>
      </c>
      <c r="D2852" s="5" t="s">
        <v>118</v>
      </c>
      <c r="E2852" s="5" t="s">
        <v>112</v>
      </c>
      <c r="F2852" s="6" t="s">
        <v>152</v>
      </c>
      <c r="G2852" s="4" t="s">
        <v>2</v>
      </c>
      <c r="H2852" s="25">
        <v>345.67500000000001</v>
      </c>
      <c r="I2852" s="8">
        <v>0</v>
      </c>
      <c r="J2852" s="9">
        <v>0</v>
      </c>
      <c r="K2852" s="7">
        <v>0</v>
      </c>
      <c r="L2852" s="24">
        <f>+Tabla2[[#This Row],[Stock Inventario]]*Tabla2[[#This Row],[Coste LÃ­nea]]</f>
        <v>0</v>
      </c>
      <c r="M2852" s="24">
        <f>+Tabla2[[#This Row],[Variación Stock]]*Tabla2[[#This Row],[Coste LÃ­nea]]</f>
        <v>0</v>
      </c>
      <c r="N2852" s="22" t="str">
        <f>+IF(Tabla2[[#This Row],[Variación Stock]]&gt;0,"Sobrante",IF(Tabla2[[#This Row],[Variación Stock]]&lt;0,"Faltante","Sin novedad"))</f>
        <v>Sin novedad</v>
      </c>
    </row>
    <row r="2853" spans="1:14" hidden="1" x14ac:dyDescent="0.25">
      <c r="A2853" s="11">
        <v>46053</v>
      </c>
      <c r="B2853" s="5" t="s">
        <v>394</v>
      </c>
      <c r="C2853" s="3" t="s">
        <v>337</v>
      </c>
      <c r="D2853" s="5" t="s">
        <v>120</v>
      </c>
      <c r="E2853" s="5" t="s">
        <v>117</v>
      </c>
      <c r="F2853" s="6" t="s">
        <v>216</v>
      </c>
      <c r="G2853" s="4" t="s">
        <v>2</v>
      </c>
      <c r="H2853" s="25">
        <v>345.67500000000001</v>
      </c>
      <c r="I2853" s="8">
        <v>0</v>
      </c>
      <c r="J2853" s="9">
        <v>0</v>
      </c>
      <c r="K2853" s="7">
        <v>0</v>
      </c>
      <c r="L2853" s="24">
        <f>+Tabla2[[#This Row],[Stock Inventario]]*Tabla2[[#This Row],[Coste LÃ­nea]]</f>
        <v>0</v>
      </c>
      <c r="M2853" s="24">
        <f>+Tabla2[[#This Row],[Variación Stock]]*Tabla2[[#This Row],[Coste LÃ­nea]]</f>
        <v>0</v>
      </c>
      <c r="N2853" s="22" t="str">
        <f>+IF(Tabla2[[#This Row],[Variación Stock]]&gt;0,"Sobrante",IF(Tabla2[[#This Row],[Variación Stock]]&lt;0,"Faltante","Sin novedad"))</f>
        <v>Sin novedad</v>
      </c>
    </row>
    <row r="2854" spans="1:14" hidden="1" x14ac:dyDescent="0.25">
      <c r="A2854" s="11">
        <v>46053</v>
      </c>
      <c r="B2854" s="5" t="s">
        <v>394</v>
      </c>
      <c r="C2854" s="3" t="s">
        <v>337</v>
      </c>
      <c r="D2854" s="5" t="s">
        <v>120</v>
      </c>
      <c r="E2854" s="5" t="s">
        <v>117</v>
      </c>
      <c r="F2854" s="6" t="s">
        <v>216</v>
      </c>
      <c r="G2854" s="4" t="s">
        <v>0</v>
      </c>
      <c r="H2854" s="25">
        <v>2004.6129487200001</v>
      </c>
      <c r="I2854" s="8">
        <v>-2</v>
      </c>
      <c r="J2854" s="9">
        <v>0</v>
      </c>
      <c r="K2854" s="7">
        <v>2</v>
      </c>
      <c r="L2854" s="24">
        <f>+Tabla2[[#This Row],[Stock Inventario]]*Tabla2[[#This Row],[Coste LÃ­nea]]</f>
        <v>0</v>
      </c>
      <c r="M2854" s="24">
        <f>+Tabla2[[#This Row],[Variación Stock]]*Tabla2[[#This Row],[Coste LÃ­nea]]</f>
        <v>4009.2258974400002</v>
      </c>
      <c r="N2854" s="22" t="str">
        <f>+IF(Tabla2[[#This Row],[Variación Stock]]&gt;0,"Sobrante",IF(Tabla2[[#This Row],[Variación Stock]]&lt;0,"Faltante","Sin novedad"))</f>
        <v>Sobrante</v>
      </c>
    </row>
    <row r="2855" spans="1:14" hidden="1" x14ac:dyDescent="0.25">
      <c r="A2855" s="11">
        <v>46053</v>
      </c>
      <c r="B2855" s="5" t="s">
        <v>394</v>
      </c>
      <c r="C2855" s="3" t="s">
        <v>337</v>
      </c>
      <c r="D2855" s="5" t="s">
        <v>120</v>
      </c>
      <c r="E2855" s="5" t="s">
        <v>117</v>
      </c>
      <c r="F2855" s="6" t="s">
        <v>216</v>
      </c>
      <c r="G2855" s="4" t="s">
        <v>1</v>
      </c>
      <c r="H2855" s="25">
        <v>126.77026882</v>
      </c>
      <c r="I2855" s="8">
        <v>0</v>
      </c>
      <c r="J2855" s="9">
        <v>0</v>
      </c>
      <c r="K2855" s="7">
        <v>0</v>
      </c>
      <c r="L2855" s="24">
        <f>+Tabla2[[#This Row],[Stock Inventario]]*Tabla2[[#This Row],[Coste LÃ­nea]]</f>
        <v>0</v>
      </c>
      <c r="M2855" s="24">
        <f>+Tabla2[[#This Row],[Variación Stock]]*Tabla2[[#This Row],[Coste LÃ­nea]]</f>
        <v>0</v>
      </c>
      <c r="N2855" s="22" t="str">
        <f>+IF(Tabla2[[#This Row],[Variación Stock]]&gt;0,"Sobrante",IF(Tabla2[[#This Row],[Variación Stock]]&lt;0,"Faltante","Sin novedad"))</f>
        <v>Sin novedad</v>
      </c>
    </row>
    <row r="2856" spans="1:14" hidden="1" x14ac:dyDescent="0.25">
      <c r="A2856" s="11">
        <v>46053</v>
      </c>
      <c r="B2856" s="5" t="s">
        <v>394</v>
      </c>
      <c r="C2856" s="3" t="s">
        <v>337</v>
      </c>
      <c r="D2856" s="5" t="s">
        <v>120</v>
      </c>
      <c r="E2856" s="5" t="s">
        <v>117</v>
      </c>
      <c r="F2856" s="6" t="s">
        <v>216</v>
      </c>
      <c r="G2856" s="4" t="s">
        <v>1</v>
      </c>
      <c r="H2856" s="25">
        <v>2.0401540699999998</v>
      </c>
      <c r="I2856" s="8">
        <v>0</v>
      </c>
      <c r="J2856" s="9">
        <v>0</v>
      </c>
      <c r="K2856" s="7">
        <v>0</v>
      </c>
      <c r="L2856" s="24">
        <f>+Tabla2[[#This Row],[Stock Inventario]]*Tabla2[[#This Row],[Coste LÃ­nea]]</f>
        <v>0</v>
      </c>
      <c r="M2856" s="24">
        <f>+Tabla2[[#This Row],[Variación Stock]]*Tabla2[[#This Row],[Coste LÃ­nea]]</f>
        <v>0</v>
      </c>
      <c r="N2856" s="22" t="str">
        <f>+IF(Tabla2[[#This Row],[Variación Stock]]&gt;0,"Sobrante",IF(Tabla2[[#This Row],[Variación Stock]]&lt;0,"Faltante","Sin novedad"))</f>
        <v>Sin novedad</v>
      </c>
    </row>
    <row r="2857" spans="1:14" hidden="1" x14ac:dyDescent="0.25">
      <c r="A2857" s="11">
        <v>46053</v>
      </c>
      <c r="B2857" s="5" t="s">
        <v>394</v>
      </c>
      <c r="C2857" s="3" t="s">
        <v>337</v>
      </c>
      <c r="D2857" s="5" t="s">
        <v>323</v>
      </c>
      <c r="E2857" s="5" t="s">
        <v>117</v>
      </c>
      <c r="F2857" s="6" t="s">
        <v>216</v>
      </c>
      <c r="G2857" s="4" t="s">
        <v>2</v>
      </c>
      <c r="H2857" s="25">
        <v>2.0401540699999998</v>
      </c>
      <c r="I2857" s="8">
        <v>0</v>
      </c>
      <c r="J2857" s="9">
        <v>0</v>
      </c>
      <c r="K2857" s="7">
        <v>0</v>
      </c>
      <c r="L2857" s="24">
        <f>+Tabla2[[#This Row],[Stock Inventario]]*Tabla2[[#This Row],[Coste LÃ­nea]]</f>
        <v>0</v>
      </c>
      <c r="M2857" s="24">
        <f>+Tabla2[[#This Row],[Variación Stock]]*Tabla2[[#This Row],[Coste LÃ­nea]]</f>
        <v>0</v>
      </c>
      <c r="N2857" s="22" t="str">
        <f>+IF(Tabla2[[#This Row],[Variación Stock]]&gt;0,"Sobrante",IF(Tabla2[[#This Row],[Variación Stock]]&lt;0,"Faltante","Sin novedad"))</f>
        <v>Sin novedad</v>
      </c>
    </row>
    <row r="2858" spans="1:14" hidden="1" x14ac:dyDescent="0.25">
      <c r="A2858" s="11">
        <v>46053</v>
      </c>
      <c r="B2858" s="5" t="s">
        <v>394</v>
      </c>
      <c r="C2858" s="3" t="s">
        <v>337</v>
      </c>
      <c r="D2858" s="5" t="s">
        <v>323</v>
      </c>
      <c r="E2858" s="5" t="s">
        <v>117</v>
      </c>
      <c r="F2858" s="6" t="s">
        <v>216</v>
      </c>
      <c r="G2858" s="4" t="s">
        <v>1</v>
      </c>
      <c r="H2858" s="25">
        <v>2.0401540699999998</v>
      </c>
      <c r="I2858" s="8">
        <v>0</v>
      </c>
      <c r="J2858" s="9">
        <v>0</v>
      </c>
      <c r="K2858" s="7">
        <v>0</v>
      </c>
      <c r="L2858" s="24">
        <f>+Tabla2[[#This Row],[Stock Inventario]]*Tabla2[[#This Row],[Coste LÃ­nea]]</f>
        <v>0</v>
      </c>
      <c r="M2858" s="24">
        <f>+Tabla2[[#This Row],[Variación Stock]]*Tabla2[[#This Row],[Coste LÃ­nea]]</f>
        <v>0</v>
      </c>
      <c r="N2858" s="22" t="str">
        <f>+IF(Tabla2[[#This Row],[Variación Stock]]&gt;0,"Sobrante",IF(Tabla2[[#This Row],[Variación Stock]]&lt;0,"Faltante","Sin novedad"))</f>
        <v>Sin novedad</v>
      </c>
    </row>
    <row r="2859" spans="1:14" x14ac:dyDescent="0.25">
      <c r="A2859" s="11">
        <v>46053</v>
      </c>
      <c r="B2859" s="5" t="s">
        <v>394</v>
      </c>
      <c r="C2859" s="3" t="s">
        <v>337</v>
      </c>
      <c r="D2859" s="5" t="s">
        <v>121</v>
      </c>
      <c r="E2859" s="5" t="s">
        <v>112</v>
      </c>
      <c r="F2859" s="6" t="s">
        <v>152</v>
      </c>
      <c r="G2859" s="4" t="s">
        <v>1</v>
      </c>
      <c r="H2859" s="25">
        <v>41.52380952</v>
      </c>
      <c r="I2859" s="8">
        <v>7128</v>
      </c>
      <c r="J2859" s="9">
        <v>0</v>
      </c>
      <c r="K2859" s="7">
        <v>-7128</v>
      </c>
      <c r="L2859" s="24">
        <f>+Tabla2[[#This Row],[Stock Inventario]]*Tabla2[[#This Row],[Coste LÃ­nea]]</f>
        <v>0</v>
      </c>
      <c r="M2859" s="24">
        <f>+Tabla2[[#This Row],[Variación Stock]]*Tabla2[[#This Row],[Coste LÃ­nea]]</f>
        <v>-295981.71425855998</v>
      </c>
      <c r="N2859" s="22" t="str">
        <f>+IF(Tabla2[[#This Row],[Variación Stock]]&gt;0,"Sobrante",IF(Tabla2[[#This Row],[Variación Stock]]&lt;0,"Faltante","Sin novedad"))</f>
        <v>Faltante</v>
      </c>
    </row>
    <row r="2860" spans="1:14" hidden="1" x14ac:dyDescent="0.25">
      <c r="A2860" s="11">
        <v>46053</v>
      </c>
      <c r="B2860" s="5" t="s">
        <v>394</v>
      </c>
      <c r="C2860" s="3" t="s">
        <v>337</v>
      </c>
      <c r="D2860" s="5" t="s">
        <v>396</v>
      </c>
      <c r="E2860" s="5" t="s">
        <v>117</v>
      </c>
      <c r="F2860" s="6" t="s">
        <v>461</v>
      </c>
      <c r="G2860" s="4" t="s">
        <v>1</v>
      </c>
      <c r="H2860" s="25">
        <v>115</v>
      </c>
      <c r="I2860" s="8">
        <v>-27</v>
      </c>
      <c r="J2860" s="9">
        <v>0</v>
      </c>
      <c r="K2860" s="7">
        <v>27</v>
      </c>
      <c r="L2860" s="24">
        <f>+Tabla2[[#This Row],[Stock Inventario]]*Tabla2[[#This Row],[Coste LÃ­nea]]</f>
        <v>0</v>
      </c>
      <c r="M2860" s="24">
        <f>+Tabla2[[#This Row],[Variación Stock]]*Tabla2[[#This Row],[Coste LÃ­nea]]</f>
        <v>3105</v>
      </c>
      <c r="N2860" s="22" t="str">
        <f>+IF(Tabla2[[#This Row],[Variación Stock]]&gt;0,"Sobrante",IF(Tabla2[[#This Row],[Variación Stock]]&lt;0,"Faltante","Sin novedad"))</f>
        <v>Sobrante</v>
      </c>
    </row>
    <row r="2861" spans="1:14" hidden="1" x14ac:dyDescent="0.25">
      <c r="A2861" s="11">
        <v>46053</v>
      </c>
      <c r="B2861" s="5" t="s">
        <v>394</v>
      </c>
      <c r="C2861" s="3" t="s">
        <v>337</v>
      </c>
      <c r="D2861" s="5" t="s">
        <v>396</v>
      </c>
      <c r="E2861" s="5" t="s">
        <v>117</v>
      </c>
      <c r="F2861" s="6" t="s">
        <v>415</v>
      </c>
      <c r="G2861" s="4" t="s">
        <v>1</v>
      </c>
      <c r="H2861" s="25">
        <v>123.75920000000001</v>
      </c>
      <c r="I2861" s="8">
        <v>853</v>
      </c>
      <c r="J2861" s="9">
        <v>500</v>
      </c>
      <c r="K2861" s="7">
        <v>-353</v>
      </c>
      <c r="L2861" s="24">
        <f>+Tabla2[[#This Row],[Stock Inventario]]*Tabla2[[#This Row],[Coste LÃ­nea]]</f>
        <v>61879.600000000006</v>
      </c>
      <c r="M2861" s="24">
        <f>+Tabla2[[#This Row],[Variación Stock]]*Tabla2[[#This Row],[Coste LÃ­nea]]</f>
        <v>-43686.997600000002</v>
      </c>
      <c r="N2861" s="22" t="str">
        <f>+IF(Tabla2[[#This Row],[Variación Stock]]&gt;0,"Sobrante",IF(Tabla2[[#This Row],[Variación Stock]]&lt;0,"Faltante","Sin novedad"))</f>
        <v>Faltante</v>
      </c>
    </row>
    <row r="2862" spans="1:14" hidden="1" x14ac:dyDescent="0.25">
      <c r="A2862" s="11">
        <v>46053</v>
      </c>
      <c r="B2862" s="5" t="s">
        <v>394</v>
      </c>
      <c r="C2862" s="3" t="s">
        <v>337</v>
      </c>
      <c r="D2862" s="5" t="s">
        <v>471</v>
      </c>
      <c r="E2862" s="5" t="s">
        <v>117</v>
      </c>
      <c r="F2862" s="6" t="s">
        <v>518</v>
      </c>
      <c r="G2862" s="4" t="s">
        <v>1</v>
      </c>
      <c r="H2862" s="25">
        <v>10</v>
      </c>
      <c r="I2862" s="8">
        <v>-150</v>
      </c>
      <c r="J2862" s="9">
        <v>0</v>
      </c>
      <c r="K2862" s="7">
        <v>150</v>
      </c>
      <c r="L2862" s="24">
        <f>+Tabla2[[#This Row],[Stock Inventario]]*Tabla2[[#This Row],[Coste LÃ­nea]]</f>
        <v>0</v>
      </c>
      <c r="M2862" s="24">
        <f>+Tabla2[[#This Row],[Variación Stock]]*Tabla2[[#This Row],[Coste LÃ­nea]]</f>
        <v>1500</v>
      </c>
      <c r="N2862" s="22" t="str">
        <f>+IF(Tabla2[[#This Row],[Variación Stock]]&gt;0,"Sobrante",IF(Tabla2[[#This Row],[Variación Stock]]&lt;0,"Faltante","Sin novedad"))</f>
        <v>Sobrante</v>
      </c>
    </row>
    <row r="2863" spans="1:14" x14ac:dyDescent="0.25">
      <c r="A2863" s="11">
        <v>46053</v>
      </c>
      <c r="B2863" s="5" t="s">
        <v>394</v>
      </c>
      <c r="C2863" s="3" t="s">
        <v>337</v>
      </c>
      <c r="D2863" s="5" t="s">
        <v>111</v>
      </c>
      <c r="E2863" s="5" t="s">
        <v>112</v>
      </c>
      <c r="F2863" s="6" t="s">
        <v>28</v>
      </c>
      <c r="G2863" s="4" t="s">
        <v>2</v>
      </c>
      <c r="H2863" s="25">
        <v>93956</v>
      </c>
      <c r="I2863" s="8">
        <v>2</v>
      </c>
      <c r="J2863" s="9">
        <v>2</v>
      </c>
      <c r="K2863" s="7">
        <v>0</v>
      </c>
      <c r="L2863" s="24">
        <f>+Tabla2[[#This Row],[Stock Inventario]]*Tabla2[[#This Row],[Coste LÃ­nea]]</f>
        <v>187912</v>
      </c>
      <c r="M2863" s="24">
        <f>+Tabla2[[#This Row],[Variación Stock]]*Tabla2[[#This Row],[Coste LÃ­nea]]</f>
        <v>0</v>
      </c>
      <c r="N2863" s="22" t="str">
        <f>+IF(Tabla2[[#This Row],[Variación Stock]]&gt;0,"Sobrante",IF(Tabla2[[#This Row],[Variación Stock]]&lt;0,"Faltante","Sin novedad"))</f>
        <v>Sin novedad</v>
      </c>
    </row>
    <row r="2864" spans="1:14" hidden="1" x14ac:dyDescent="0.25">
      <c r="A2864" s="11">
        <v>46053</v>
      </c>
      <c r="B2864" s="5" t="s">
        <v>394</v>
      </c>
      <c r="C2864" s="3" t="s">
        <v>337</v>
      </c>
      <c r="D2864" s="5" t="s">
        <v>471</v>
      </c>
      <c r="E2864" s="5" t="s">
        <v>117</v>
      </c>
      <c r="F2864" s="6" t="s">
        <v>477</v>
      </c>
      <c r="G2864" s="4" t="s">
        <v>1</v>
      </c>
      <c r="H2864" s="25">
        <v>12</v>
      </c>
      <c r="I2864" s="8">
        <v>714</v>
      </c>
      <c r="J2864" s="9">
        <v>230</v>
      </c>
      <c r="K2864" s="7">
        <v>-484</v>
      </c>
      <c r="L2864" s="24">
        <f>+Tabla2[[#This Row],[Stock Inventario]]*Tabla2[[#This Row],[Coste LÃ­nea]]</f>
        <v>2760</v>
      </c>
      <c r="M2864" s="24">
        <f>+Tabla2[[#This Row],[Variación Stock]]*Tabla2[[#This Row],[Coste LÃ­nea]]</f>
        <v>-5808</v>
      </c>
      <c r="N2864" s="22" t="str">
        <f>+IF(Tabla2[[#This Row],[Variación Stock]]&gt;0,"Sobrante",IF(Tabla2[[#This Row],[Variación Stock]]&lt;0,"Faltante","Sin novedad"))</f>
        <v>Faltante</v>
      </c>
    </row>
    <row r="2865" spans="1:14" hidden="1" x14ac:dyDescent="0.25">
      <c r="A2865" s="11">
        <v>46053</v>
      </c>
      <c r="B2865" s="5" t="s">
        <v>394</v>
      </c>
      <c r="C2865" s="3" t="s">
        <v>337</v>
      </c>
      <c r="D2865" s="5" t="s">
        <v>559</v>
      </c>
      <c r="E2865" s="5" t="s">
        <v>1080</v>
      </c>
      <c r="F2865" s="6" t="s">
        <v>591</v>
      </c>
      <c r="G2865" s="4" t="s">
        <v>2</v>
      </c>
      <c r="H2865" s="25">
        <v>12.108333330000001</v>
      </c>
      <c r="I2865" s="8">
        <v>0</v>
      </c>
      <c r="J2865" s="9">
        <v>0</v>
      </c>
      <c r="K2865" s="7">
        <v>0</v>
      </c>
      <c r="L2865" s="24">
        <f>+Tabla2[[#This Row],[Stock Inventario]]*Tabla2[[#This Row],[Coste LÃ­nea]]</f>
        <v>0</v>
      </c>
      <c r="M2865" s="24">
        <f>+Tabla2[[#This Row],[Variación Stock]]*Tabla2[[#This Row],[Coste LÃ­nea]]</f>
        <v>0</v>
      </c>
      <c r="N2865" s="22" t="str">
        <f>+IF(Tabla2[[#This Row],[Variación Stock]]&gt;0,"Sobrante",IF(Tabla2[[#This Row],[Variación Stock]]&lt;0,"Faltante","Sin novedad"))</f>
        <v>Sin novedad</v>
      </c>
    </row>
    <row r="2866" spans="1:14" hidden="1" x14ac:dyDescent="0.25">
      <c r="A2866" s="11">
        <v>46053</v>
      </c>
      <c r="B2866" s="5" t="s">
        <v>394</v>
      </c>
      <c r="C2866" s="3" t="s">
        <v>337</v>
      </c>
      <c r="D2866" s="5" t="s">
        <v>119</v>
      </c>
      <c r="E2866" s="5" t="s">
        <v>117</v>
      </c>
      <c r="F2866" s="6" t="s">
        <v>12</v>
      </c>
      <c r="G2866" s="4" t="s">
        <v>2</v>
      </c>
      <c r="H2866" s="25">
        <v>773.5</v>
      </c>
      <c r="I2866" s="8">
        <v>0</v>
      </c>
      <c r="J2866" s="9">
        <v>8</v>
      </c>
      <c r="K2866" s="7">
        <v>8</v>
      </c>
      <c r="L2866" s="24">
        <f>+Tabla2[[#This Row],[Stock Inventario]]*Tabla2[[#This Row],[Coste LÃ­nea]]</f>
        <v>6188</v>
      </c>
      <c r="M2866" s="24">
        <f>+Tabla2[[#This Row],[Variación Stock]]*Tabla2[[#This Row],[Coste LÃ­nea]]</f>
        <v>6188</v>
      </c>
      <c r="N2866" s="22" t="str">
        <f>+IF(Tabla2[[#This Row],[Variación Stock]]&gt;0,"Sobrante",IF(Tabla2[[#This Row],[Variación Stock]]&lt;0,"Faltante","Sin novedad"))</f>
        <v>Sobrante</v>
      </c>
    </row>
    <row r="2867" spans="1:14" hidden="1" x14ac:dyDescent="0.25">
      <c r="A2867" s="11">
        <v>46053</v>
      </c>
      <c r="B2867" s="5" t="s">
        <v>394</v>
      </c>
      <c r="C2867" s="3" t="s">
        <v>337</v>
      </c>
      <c r="D2867" s="5" t="s">
        <v>815</v>
      </c>
      <c r="E2867" s="5" t="s">
        <v>117</v>
      </c>
      <c r="F2867" s="6" t="s">
        <v>816</v>
      </c>
      <c r="G2867" s="4" t="s">
        <v>1</v>
      </c>
      <c r="H2867" s="25">
        <v>5.4166666699999997</v>
      </c>
      <c r="I2867" s="8">
        <v>600</v>
      </c>
      <c r="J2867" s="9">
        <v>0</v>
      </c>
      <c r="K2867" s="7">
        <v>-600</v>
      </c>
      <c r="L2867" s="24">
        <f>+Tabla2[[#This Row],[Stock Inventario]]*Tabla2[[#This Row],[Coste LÃ­nea]]</f>
        <v>0</v>
      </c>
      <c r="M2867" s="24">
        <f>+Tabla2[[#This Row],[Variación Stock]]*Tabla2[[#This Row],[Coste LÃ­nea]]</f>
        <v>-3250.0000019999998</v>
      </c>
      <c r="N2867" s="22" t="str">
        <f>+IF(Tabla2[[#This Row],[Variación Stock]]&gt;0,"Sobrante",IF(Tabla2[[#This Row],[Variación Stock]]&lt;0,"Faltante","Sin novedad"))</f>
        <v>Faltante</v>
      </c>
    </row>
    <row r="2868" spans="1:14" x14ac:dyDescent="0.25">
      <c r="A2868" s="11">
        <v>46053</v>
      </c>
      <c r="B2868" s="5" t="s">
        <v>394</v>
      </c>
      <c r="C2868" s="3" t="s">
        <v>337</v>
      </c>
      <c r="D2868" s="5" t="s">
        <v>603</v>
      </c>
      <c r="E2868" s="5" t="s">
        <v>112</v>
      </c>
      <c r="F2868" s="6" t="s">
        <v>614</v>
      </c>
      <c r="G2868" s="4" t="s">
        <v>2</v>
      </c>
      <c r="H2868" s="25">
        <v>90.245000000000005</v>
      </c>
      <c r="I2868" s="8">
        <v>200</v>
      </c>
      <c r="J2868" s="9">
        <v>0</v>
      </c>
      <c r="K2868" s="7">
        <v>-200</v>
      </c>
      <c r="L2868" s="24">
        <f>+Tabla2[[#This Row],[Stock Inventario]]*Tabla2[[#This Row],[Coste LÃ­nea]]</f>
        <v>0</v>
      </c>
      <c r="M2868" s="24">
        <f>+Tabla2[[#This Row],[Variación Stock]]*Tabla2[[#This Row],[Coste LÃ­nea]]</f>
        <v>-18049</v>
      </c>
      <c r="N2868" s="22" t="str">
        <f>+IF(Tabla2[[#This Row],[Variación Stock]]&gt;0,"Sobrante",IF(Tabla2[[#This Row],[Variación Stock]]&lt;0,"Faltante","Sin novedad"))</f>
        <v>Faltante</v>
      </c>
    </row>
    <row r="2869" spans="1:14" hidden="1" x14ac:dyDescent="0.25">
      <c r="A2869" s="11">
        <v>46053</v>
      </c>
      <c r="B2869" s="5" t="s">
        <v>394</v>
      </c>
      <c r="C2869" s="3" t="s">
        <v>337</v>
      </c>
      <c r="D2869" s="5" t="s">
        <v>396</v>
      </c>
      <c r="E2869" s="5" t="s">
        <v>117</v>
      </c>
      <c r="F2869" s="6" t="s">
        <v>445</v>
      </c>
      <c r="G2869" s="4" t="s">
        <v>1</v>
      </c>
      <c r="H2869" s="25">
        <v>18.048999999999999</v>
      </c>
      <c r="I2869" s="8">
        <v>0</v>
      </c>
      <c r="J2869" s="9">
        <v>0</v>
      </c>
      <c r="K2869" s="7">
        <v>0</v>
      </c>
      <c r="L2869" s="24">
        <f>+Tabla2[[#This Row],[Stock Inventario]]*Tabla2[[#This Row],[Coste LÃ­nea]]</f>
        <v>0</v>
      </c>
      <c r="M2869" s="24">
        <f>+Tabla2[[#This Row],[Variación Stock]]*Tabla2[[#This Row],[Coste LÃ­nea]]</f>
        <v>0</v>
      </c>
      <c r="N2869" s="22" t="str">
        <f>+IF(Tabla2[[#This Row],[Variación Stock]]&gt;0,"Sobrante",IF(Tabla2[[#This Row],[Variación Stock]]&lt;0,"Faltante","Sin novedad"))</f>
        <v>Sin novedad</v>
      </c>
    </row>
    <row r="2870" spans="1:14" hidden="1" x14ac:dyDescent="0.25">
      <c r="A2870" s="11">
        <v>46053</v>
      </c>
      <c r="B2870" s="5" t="s">
        <v>394</v>
      </c>
      <c r="C2870" s="3" t="s">
        <v>337</v>
      </c>
      <c r="D2870" s="5" t="s">
        <v>471</v>
      </c>
      <c r="E2870" s="5" t="s">
        <v>117</v>
      </c>
      <c r="F2870" s="6" t="s">
        <v>519</v>
      </c>
      <c r="G2870" s="4" t="s">
        <v>1</v>
      </c>
      <c r="H2870" s="25">
        <v>6.6</v>
      </c>
      <c r="I2870" s="8">
        <v>0</v>
      </c>
      <c r="J2870" s="9">
        <v>0</v>
      </c>
      <c r="K2870" s="7">
        <v>0</v>
      </c>
      <c r="L2870" s="24">
        <f>+Tabla2[[#This Row],[Stock Inventario]]*Tabla2[[#This Row],[Coste LÃ­nea]]</f>
        <v>0</v>
      </c>
      <c r="M2870" s="24">
        <f>+Tabla2[[#This Row],[Variación Stock]]*Tabla2[[#This Row],[Coste LÃ­nea]]</f>
        <v>0</v>
      </c>
      <c r="N2870" s="22" t="str">
        <f>+IF(Tabla2[[#This Row],[Variación Stock]]&gt;0,"Sobrante",IF(Tabla2[[#This Row],[Variación Stock]]&lt;0,"Faltante","Sin novedad"))</f>
        <v>Sin novedad</v>
      </c>
    </row>
    <row r="2871" spans="1:14" hidden="1" x14ac:dyDescent="0.25">
      <c r="A2871" s="11">
        <v>46053</v>
      </c>
      <c r="B2871" s="5" t="s">
        <v>394</v>
      </c>
      <c r="C2871" s="3" t="s">
        <v>337</v>
      </c>
      <c r="D2871" s="5" t="s">
        <v>471</v>
      </c>
      <c r="E2871" s="5" t="s">
        <v>117</v>
      </c>
      <c r="F2871" s="6" t="s">
        <v>520</v>
      </c>
      <c r="G2871" s="4" t="s">
        <v>1</v>
      </c>
      <c r="H2871" s="25">
        <v>4.5</v>
      </c>
      <c r="I2871" s="8">
        <v>22953.45</v>
      </c>
      <c r="J2871" s="9">
        <v>9260</v>
      </c>
      <c r="K2871" s="7">
        <v>-26693.449994999999</v>
      </c>
      <c r="L2871" s="24">
        <f>+Tabla2[[#This Row],[Stock Inventario]]*Tabla2[[#This Row],[Coste LÃ­nea]]</f>
        <v>41670</v>
      </c>
      <c r="M2871" s="24">
        <f>+Tabla2[[#This Row],[Variación Stock]]*Tabla2[[#This Row],[Coste LÃ­nea]]</f>
        <v>-120120.5249775</v>
      </c>
      <c r="N2871" s="22" t="str">
        <f>+IF(Tabla2[[#This Row],[Variación Stock]]&gt;0,"Sobrante",IF(Tabla2[[#This Row],[Variación Stock]]&lt;0,"Faltante","Sin novedad"))</f>
        <v>Faltante</v>
      </c>
    </row>
    <row r="2872" spans="1:14" hidden="1" x14ac:dyDescent="0.25">
      <c r="A2872" s="11">
        <v>46053</v>
      </c>
      <c r="B2872" s="5" t="s">
        <v>394</v>
      </c>
      <c r="C2872" s="3" t="s">
        <v>337</v>
      </c>
      <c r="D2872" s="5" t="s">
        <v>396</v>
      </c>
      <c r="E2872" s="5" t="s">
        <v>117</v>
      </c>
      <c r="F2872" s="6" t="s">
        <v>446</v>
      </c>
      <c r="G2872" s="4" t="s">
        <v>1</v>
      </c>
      <c r="H2872" s="25">
        <v>15.50333333</v>
      </c>
      <c r="I2872" s="8">
        <v>-14910</v>
      </c>
      <c r="J2872" s="9">
        <v>14200</v>
      </c>
      <c r="K2872" s="7">
        <v>20110</v>
      </c>
      <c r="L2872" s="24">
        <f>+Tabla2[[#This Row],[Stock Inventario]]*Tabla2[[#This Row],[Coste LÃ­nea]]</f>
        <v>220147.33328600001</v>
      </c>
      <c r="M2872" s="24">
        <f>+Tabla2[[#This Row],[Variación Stock]]*Tabla2[[#This Row],[Coste LÃ­nea]]</f>
        <v>311772.03326629999</v>
      </c>
      <c r="N2872" s="22" t="str">
        <f>+IF(Tabla2[[#This Row],[Variación Stock]]&gt;0,"Sobrante",IF(Tabla2[[#This Row],[Variación Stock]]&lt;0,"Faltante","Sin novedad"))</f>
        <v>Sobrante</v>
      </c>
    </row>
    <row r="2873" spans="1:14" hidden="1" x14ac:dyDescent="0.25">
      <c r="A2873" s="11">
        <v>46053</v>
      </c>
      <c r="B2873" s="5" t="s">
        <v>394</v>
      </c>
      <c r="C2873" s="3" t="s">
        <v>337</v>
      </c>
      <c r="D2873" s="5" t="s">
        <v>471</v>
      </c>
      <c r="E2873" s="5" t="s">
        <v>117</v>
      </c>
      <c r="F2873" s="6" t="s">
        <v>521</v>
      </c>
      <c r="G2873" s="4" t="s">
        <v>1</v>
      </c>
      <c r="H2873" s="25">
        <v>6.5</v>
      </c>
      <c r="I2873" s="8">
        <v>860</v>
      </c>
      <c r="J2873" s="9">
        <v>4302</v>
      </c>
      <c r="K2873" s="7">
        <v>3442</v>
      </c>
      <c r="L2873" s="24">
        <f>+Tabla2[[#This Row],[Stock Inventario]]*Tabla2[[#This Row],[Coste LÃ­nea]]</f>
        <v>27963</v>
      </c>
      <c r="M2873" s="24">
        <f>+Tabla2[[#This Row],[Variación Stock]]*Tabla2[[#This Row],[Coste LÃ­nea]]</f>
        <v>22373</v>
      </c>
      <c r="N2873" s="22" t="str">
        <f>+IF(Tabla2[[#This Row],[Variación Stock]]&gt;0,"Sobrante",IF(Tabla2[[#This Row],[Variación Stock]]&lt;0,"Faltante","Sin novedad"))</f>
        <v>Sobrante</v>
      </c>
    </row>
    <row r="2874" spans="1:14" hidden="1" x14ac:dyDescent="0.25">
      <c r="A2874" s="11">
        <v>46053</v>
      </c>
      <c r="B2874" s="5" t="s">
        <v>394</v>
      </c>
      <c r="C2874" s="3" t="s">
        <v>337</v>
      </c>
      <c r="D2874" s="5" t="s">
        <v>803</v>
      </c>
      <c r="E2874" s="5" t="s">
        <v>117</v>
      </c>
      <c r="F2874" s="6" t="s">
        <v>810</v>
      </c>
      <c r="G2874" s="4" t="s">
        <v>1</v>
      </c>
      <c r="H2874" s="25">
        <v>17.410252100000001</v>
      </c>
      <c r="I2874" s="8">
        <v>0</v>
      </c>
      <c r="J2874" s="9">
        <v>0</v>
      </c>
      <c r="K2874" s="7">
        <v>0</v>
      </c>
      <c r="L2874" s="24">
        <f>+Tabla2[[#This Row],[Stock Inventario]]*Tabla2[[#This Row],[Coste LÃ­nea]]</f>
        <v>0</v>
      </c>
      <c r="M2874" s="24">
        <f>+Tabla2[[#This Row],[Variación Stock]]*Tabla2[[#This Row],[Coste LÃ­nea]]</f>
        <v>0</v>
      </c>
      <c r="N2874" s="22" t="str">
        <f>+IF(Tabla2[[#This Row],[Variación Stock]]&gt;0,"Sobrante",IF(Tabla2[[#This Row],[Variación Stock]]&lt;0,"Faltante","Sin novedad"))</f>
        <v>Sin novedad</v>
      </c>
    </row>
    <row r="2875" spans="1:14" hidden="1" x14ac:dyDescent="0.25">
      <c r="A2875" s="11">
        <v>46053</v>
      </c>
      <c r="B2875" s="5" t="s">
        <v>394</v>
      </c>
      <c r="C2875" s="3" t="s">
        <v>337</v>
      </c>
      <c r="D2875" s="5" t="s">
        <v>396</v>
      </c>
      <c r="E2875" s="5" t="s">
        <v>117</v>
      </c>
      <c r="F2875" s="6" t="s">
        <v>447</v>
      </c>
      <c r="G2875" s="4" t="s">
        <v>1</v>
      </c>
      <c r="H2875" s="25">
        <v>26.683</v>
      </c>
      <c r="I2875" s="8">
        <v>0</v>
      </c>
      <c r="J2875" s="9">
        <v>0</v>
      </c>
      <c r="K2875" s="7">
        <v>0</v>
      </c>
      <c r="L2875" s="24">
        <f>+Tabla2[[#This Row],[Stock Inventario]]*Tabla2[[#This Row],[Coste LÃ­nea]]</f>
        <v>0</v>
      </c>
      <c r="M2875" s="24">
        <f>+Tabla2[[#This Row],[Variación Stock]]*Tabla2[[#This Row],[Coste LÃ­nea]]</f>
        <v>0</v>
      </c>
      <c r="N2875" s="22" t="str">
        <f>+IF(Tabla2[[#This Row],[Variación Stock]]&gt;0,"Sobrante",IF(Tabla2[[#This Row],[Variación Stock]]&lt;0,"Faltante","Sin novedad"))</f>
        <v>Sin novedad</v>
      </c>
    </row>
    <row r="2876" spans="1:14" hidden="1" x14ac:dyDescent="0.25">
      <c r="A2876" s="11">
        <v>46053</v>
      </c>
      <c r="B2876" s="5" t="s">
        <v>394</v>
      </c>
      <c r="C2876" s="3" t="s">
        <v>337</v>
      </c>
      <c r="D2876" s="5" t="s">
        <v>396</v>
      </c>
      <c r="E2876" s="5" t="s">
        <v>117</v>
      </c>
      <c r="F2876" s="6" t="s">
        <v>408</v>
      </c>
      <c r="G2876" s="4" t="s">
        <v>1</v>
      </c>
      <c r="H2876" s="25">
        <v>2150</v>
      </c>
      <c r="I2876" s="8">
        <v>0</v>
      </c>
      <c r="J2876" s="9">
        <v>0</v>
      </c>
      <c r="K2876" s="7">
        <v>0</v>
      </c>
      <c r="L2876" s="24">
        <f>+Tabla2[[#This Row],[Stock Inventario]]*Tabla2[[#This Row],[Coste LÃ­nea]]</f>
        <v>0</v>
      </c>
      <c r="M2876" s="24">
        <f>+Tabla2[[#This Row],[Variación Stock]]*Tabla2[[#This Row],[Coste LÃ­nea]]</f>
        <v>0</v>
      </c>
      <c r="N2876" s="22" t="str">
        <f>+IF(Tabla2[[#This Row],[Variación Stock]]&gt;0,"Sobrante",IF(Tabla2[[#This Row],[Variación Stock]]&lt;0,"Faltante","Sin novedad"))</f>
        <v>Sin novedad</v>
      </c>
    </row>
    <row r="2877" spans="1:14" hidden="1" x14ac:dyDescent="0.25">
      <c r="A2877" s="11">
        <v>46053</v>
      </c>
      <c r="B2877" s="5" t="s">
        <v>394</v>
      </c>
      <c r="C2877" s="3" t="s">
        <v>337</v>
      </c>
      <c r="D2877" s="5" t="s">
        <v>116</v>
      </c>
      <c r="E2877" s="5" t="s">
        <v>117</v>
      </c>
      <c r="F2877" s="6" t="s">
        <v>255</v>
      </c>
      <c r="G2877" s="4" t="s">
        <v>1</v>
      </c>
      <c r="H2877" s="25">
        <v>32</v>
      </c>
      <c r="I2877" s="8">
        <v>0</v>
      </c>
      <c r="J2877" s="9">
        <v>0</v>
      </c>
      <c r="K2877" s="7">
        <v>0</v>
      </c>
      <c r="L2877" s="24">
        <f>+Tabla2[[#This Row],[Stock Inventario]]*Tabla2[[#This Row],[Coste LÃ­nea]]</f>
        <v>0</v>
      </c>
      <c r="M2877" s="24">
        <f>+Tabla2[[#This Row],[Variación Stock]]*Tabla2[[#This Row],[Coste LÃ­nea]]</f>
        <v>0</v>
      </c>
      <c r="N2877" s="22" t="str">
        <f>+IF(Tabla2[[#This Row],[Variación Stock]]&gt;0,"Sobrante",IF(Tabla2[[#This Row],[Variación Stock]]&lt;0,"Faltante","Sin novedad"))</f>
        <v>Sin novedad</v>
      </c>
    </row>
    <row r="2878" spans="1:14" hidden="1" x14ac:dyDescent="0.25">
      <c r="A2878" s="11">
        <v>46053</v>
      </c>
      <c r="B2878" s="5" t="s">
        <v>394</v>
      </c>
      <c r="C2878" s="3" t="s">
        <v>337</v>
      </c>
      <c r="D2878" s="5" t="s">
        <v>116</v>
      </c>
      <c r="E2878" s="5" t="s">
        <v>117</v>
      </c>
      <c r="F2878" s="6" t="s">
        <v>5</v>
      </c>
      <c r="G2878" s="4" t="s">
        <v>1</v>
      </c>
      <c r="H2878" s="25">
        <v>23</v>
      </c>
      <c r="I2878" s="8">
        <v>-300</v>
      </c>
      <c r="J2878" s="9">
        <v>4000</v>
      </c>
      <c r="K2878" s="7">
        <v>4299.9999900000003</v>
      </c>
      <c r="L2878" s="24">
        <f>+Tabla2[[#This Row],[Stock Inventario]]*Tabla2[[#This Row],[Coste LÃ­nea]]</f>
        <v>92000</v>
      </c>
      <c r="M2878" s="24">
        <f>+Tabla2[[#This Row],[Variación Stock]]*Tabla2[[#This Row],[Coste LÃ­nea]]</f>
        <v>98899.999770000009</v>
      </c>
      <c r="N2878" s="22" t="str">
        <f>+IF(Tabla2[[#This Row],[Variación Stock]]&gt;0,"Sobrante",IF(Tabla2[[#This Row],[Variación Stock]]&lt;0,"Faltante","Sin novedad"))</f>
        <v>Sobrante</v>
      </c>
    </row>
    <row r="2879" spans="1:14" hidden="1" x14ac:dyDescent="0.25">
      <c r="A2879" s="11">
        <v>46053</v>
      </c>
      <c r="B2879" s="5" t="s">
        <v>394</v>
      </c>
      <c r="C2879" s="3" t="s">
        <v>337</v>
      </c>
      <c r="D2879" s="5" t="s">
        <v>559</v>
      </c>
      <c r="E2879" s="5" t="s">
        <v>1080</v>
      </c>
      <c r="F2879" s="6" t="s">
        <v>592</v>
      </c>
      <c r="G2879" s="4" t="s">
        <v>2</v>
      </c>
      <c r="H2879" s="25">
        <v>105046</v>
      </c>
      <c r="I2879" s="8">
        <v>2</v>
      </c>
      <c r="J2879" s="9">
        <v>1</v>
      </c>
      <c r="K2879" s="7">
        <v>-1</v>
      </c>
      <c r="L2879" s="24">
        <f>+Tabla2[[#This Row],[Stock Inventario]]*Tabla2[[#This Row],[Coste LÃ­nea]]</f>
        <v>105046</v>
      </c>
      <c r="M2879" s="24">
        <f>+Tabla2[[#This Row],[Variación Stock]]*Tabla2[[#This Row],[Coste LÃ­nea]]</f>
        <v>-105046</v>
      </c>
      <c r="N2879" s="22" t="str">
        <f>+IF(Tabla2[[#This Row],[Variación Stock]]&gt;0,"Sobrante",IF(Tabla2[[#This Row],[Variación Stock]]&lt;0,"Faltante","Sin novedad"))</f>
        <v>Faltante</v>
      </c>
    </row>
    <row r="2880" spans="1:14" hidden="1" x14ac:dyDescent="0.25">
      <c r="A2880" s="11">
        <v>46053</v>
      </c>
      <c r="B2880" s="5" t="s">
        <v>394</v>
      </c>
      <c r="C2880" s="3" t="s">
        <v>337</v>
      </c>
      <c r="D2880" s="5" t="s">
        <v>471</v>
      </c>
      <c r="E2880" s="5" t="s">
        <v>117</v>
      </c>
      <c r="F2880" s="6" t="s">
        <v>522</v>
      </c>
      <c r="G2880" s="4" t="s">
        <v>1</v>
      </c>
      <c r="H2880" s="25">
        <v>5.5</v>
      </c>
      <c r="I2880" s="8">
        <v>1000</v>
      </c>
      <c r="J2880" s="9">
        <v>0</v>
      </c>
      <c r="K2880" s="7">
        <v>-1000</v>
      </c>
      <c r="L2880" s="24">
        <f>+Tabla2[[#This Row],[Stock Inventario]]*Tabla2[[#This Row],[Coste LÃ­nea]]</f>
        <v>0</v>
      </c>
      <c r="M2880" s="24">
        <f>+Tabla2[[#This Row],[Variación Stock]]*Tabla2[[#This Row],[Coste LÃ­nea]]</f>
        <v>-5500</v>
      </c>
      <c r="N2880" s="22" t="str">
        <f>+IF(Tabla2[[#This Row],[Variación Stock]]&gt;0,"Sobrante",IF(Tabla2[[#This Row],[Variación Stock]]&lt;0,"Faltante","Sin novedad"))</f>
        <v>Faltante</v>
      </c>
    </row>
    <row r="2881" spans="1:14" hidden="1" x14ac:dyDescent="0.25">
      <c r="A2881" s="11">
        <v>46053</v>
      </c>
      <c r="B2881" s="5" t="s">
        <v>394</v>
      </c>
      <c r="C2881" s="3" t="s">
        <v>337</v>
      </c>
      <c r="D2881" s="5" t="s">
        <v>471</v>
      </c>
      <c r="E2881" s="5" t="s">
        <v>117</v>
      </c>
      <c r="F2881" s="6" t="s">
        <v>523</v>
      </c>
      <c r="G2881" s="4" t="s">
        <v>1</v>
      </c>
      <c r="H2881" s="25">
        <v>8</v>
      </c>
      <c r="I2881" s="8">
        <v>5550</v>
      </c>
      <c r="J2881" s="9">
        <v>0</v>
      </c>
      <c r="K2881" s="7">
        <v>-5550</v>
      </c>
      <c r="L2881" s="24">
        <f>+Tabla2[[#This Row],[Stock Inventario]]*Tabla2[[#This Row],[Coste LÃ­nea]]</f>
        <v>0</v>
      </c>
      <c r="M2881" s="24">
        <f>+Tabla2[[#This Row],[Variación Stock]]*Tabla2[[#This Row],[Coste LÃ­nea]]</f>
        <v>-44400</v>
      </c>
      <c r="N2881" s="22" t="str">
        <f>+IF(Tabla2[[#This Row],[Variación Stock]]&gt;0,"Sobrante",IF(Tabla2[[#This Row],[Variación Stock]]&lt;0,"Faltante","Sin novedad"))</f>
        <v>Faltante</v>
      </c>
    </row>
    <row r="2882" spans="1:14" x14ac:dyDescent="0.25">
      <c r="A2882" s="11">
        <v>46053</v>
      </c>
      <c r="B2882" s="5" t="s">
        <v>394</v>
      </c>
      <c r="C2882" s="3" t="s">
        <v>337</v>
      </c>
      <c r="D2882" s="5" t="s">
        <v>603</v>
      </c>
      <c r="E2882" s="5" t="s">
        <v>112</v>
      </c>
      <c r="F2882" s="6" t="s">
        <v>604</v>
      </c>
      <c r="G2882" s="4" t="s">
        <v>1</v>
      </c>
      <c r="H2882" s="25">
        <v>350</v>
      </c>
      <c r="I2882" s="8">
        <v>-111</v>
      </c>
      <c r="J2882" s="9">
        <v>0</v>
      </c>
      <c r="K2882" s="7">
        <v>111</v>
      </c>
      <c r="L2882" s="24">
        <f>+Tabla2[[#This Row],[Stock Inventario]]*Tabla2[[#This Row],[Coste LÃ­nea]]</f>
        <v>0</v>
      </c>
      <c r="M2882" s="24">
        <f>+Tabla2[[#This Row],[Variación Stock]]*Tabla2[[#This Row],[Coste LÃ­nea]]</f>
        <v>38850</v>
      </c>
      <c r="N2882" s="22" t="str">
        <f>+IF(Tabla2[[#This Row],[Variación Stock]]&gt;0,"Sobrante",IF(Tabla2[[#This Row],[Variación Stock]]&lt;0,"Faltante","Sin novedad"))</f>
        <v>Sobrante</v>
      </c>
    </row>
    <row r="2883" spans="1:14" hidden="1" x14ac:dyDescent="0.25">
      <c r="A2883" s="11">
        <v>46053</v>
      </c>
      <c r="B2883" s="5" t="s">
        <v>394</v>
      </c>
      <c r="C2883" s="3" t="s">
        <v>337</v>
      </c>
      <c r="D2883" s="5" t="s">
        <v>626</v>
      </c>
      <c r="E2883" s="5" t="s">
        <v>1079</v>
      </c>
      <c r="F2883" s="6" t="s">
        <v>674</v>
      </c>
      <c r="G2883" s="4" t="s">
        <v>2</v>
      </c>
      <c r="H2883" s="25">
        <v>59619</v>
      </c>
      <c r="I2883" s="8">
        <v>0</v>
      </c>
      <c r="J2883" s="9">
        <v>1</v>
      </c>
      <c r="K2883" s="7">
        <v>1</v>
      </c>
      <c r="L2883" s="24">
        <f>+Tabla2[[#This Row],[Stock Inventario]]*Tabla2[[#This Row],[Coste LÃ­nea]]</f>
        <v>59619</v>
      </c>
      <c r="M2883" s="24">
        <f>+Tabla2[[#This Row],[Variación Stock]]*Tabla2[[#This Row],[Coste LÃ­nea]]</f>
        <v>59619</v>
      </c>
      <c r="N2883" s="22" t="str">
        <f>+IF(Tabla2[[#This Row],[Variación Stock]]&gt;0,"Sobrante",IF(Tabla2[[#This Row],[Variación Stock]]&lt;0,"Faltante","Sin novedad"))</f>
        <v>Sobrante</v>
      </c>
    </row>
    <row r="2884" spans="1:14" hidden="1" x14ac:dyDescent="0.25">
      <c r="A2884" s="11">
        <v>46053</v>
      </c>
      <c r="B2884" s="5" t="s">
        <v>394</v>
      </c>
      <c r="C2884" s="3" t="s">
        <v>337</v>
      </c>
      <c r="D2884" s="5" t="s">
        <v>626</v>
      </c>
      <c r="E2884" s="5" t="s">
        <v>1079</v>
      </c>
      <c r="F2884" s="6" t="s">
        <v>662</v>
      </c>
      <c r="G2884" s="4" t="s">
        <v>2</v>
      </c>
      <c r="H2884" s="25">
        <v>88060</v>
      </c>
      <c r="I2884" s="8">
        <v>0</v>
      </c>
      <c r="J2884" s="9">
        <v>0</v>
      </c>
      <c r="K2884" s="7">
        <v>0</v>
      </c>
      <c r="L2884" s="24">
        <f>+Tabla2[[#This Row],[Stock Inventario]]*Tabla2[[#This Row],[Coste LÃ­nea]]</f>
        <v>0</v>
      </c>
      <c r="M2884" s="24">
        <f>+Tabla2[[#This Row],[Variación Stock]]*Tabla2[[#This Row],[Coste LÃ­nea]]</f>
        <v>0</v>
      </c>
      <c r="N2884" s="22" t="str">
        <f>+IF(Tabla2[[#This Row],[Variación Stock]]&gt;0,"Sobrante",IF(Tabla2[[#This Row],[Variación Stock]]&lt;0,"Faltante","Sin novedad"))</f>
        <v>Sin novedad</v>
      </c>
    </row>
    <row r="2885" spans="1:14" hidden="1" x14ac:dyDescent="0.25">
      <c r="A2885" s="11">
        <v>46053</v>
      </c>
      <c r="B2885" s="5" t="s">
        <v>394</v>
      </c>
      <c r="C2885" s="3" t="s">
        <v>337</v>
      </c>
      <c r="D2885" s="5" t="s">
        <v>471</v>
      </c>
      <c r="E2885" s="5" t="s">
        <v>117</v>
      </c>
      <c r="F2885" s="6" t="s">
        <v>525</v>
      </c>
      <c r="G2885" s="4" t="s">
        <v>1</v>
      </c>
      <c r="H2885" s="25">
        <v>5.2</v>
      </c>
      <c r="I2885" s="8">
        <v>677.4194</v>
      </c>
      <c r="J2885" s="9">
        <v>0</v>
      </c>
      <c r="K2885" s="7">
        <v>-677.41935000000001</v>
      </c>
      <c r="L2885" s="24">
        <f>+Tabla2[[#This Row],[Stock Inventario]]*Tabla2[[#This Row],[Coste LÃ­nea]]</f>
        <v>0</v>
      </c>
      <c r="M2885" s="24">
        <f>+Tabla2[[#This Row],[Variación Stock]]*Tabla2[[#This Row],[Coste LÃ­nea]]</f>
        <v>-3522.5806200000002</v>
      </c>
      <c r="N2885" s="22" t="str">
        <f>+IF(Tabla2[[#This Row],[Variación Stock]]&gt;0,"Sobrante",IF(Tabla2[[#This Row],[Variación Stock]]&lt;0,"Faltante","Sin novedad"))</f>
        <v>Faltante</v>
      </c>
    </row>
    <row r="2886" spans="1:14" hidden="1" x14ac:dyDescent="0.25">
      <c r="A2886" s="11">
        <v>46053</v>
      </c>
      <c r="B2886" s="5" t="s">
        <v>394</v>
      </c>
      <c r="C2886" s="3" t="s">
        <v>337</v>
      </c>
      <c r="D2886" s="5" t="s">
        <v>471</v>
      </c>
      <c r="E2886" s="5" t="s">
        <v>117</v>
      </c>
      <c r="F2886" s="6" t="s">
        <v>524</v>
      </c>
      <c r="G2886" s="4" t="s">
        <v>1</v>
      </c>
      <c r="H2886" s="25">
        <v>5.8</v>
      </c>
      <c r="I2886" s="8">
        <v>2550</v>
      </c>
      <c r="J2886" s="9">
        <v>330</v>
      </c>
      <c r="K2886" s="7">
        <v>-2220</v>
      </c>
      <c r="L2886" s="24">
        <f>+Tabla2[[#This Row],[Stock Inventario]]*Tabla2[[#This Row],[Coste LÃ­nea]]</f>
        <v>1914</v>
      </c>
      <c r="M2886" s="24">
        <f>+Tabla2[[#This Row],[Variación Stock]]*Tabla2[[#This Row],[Coste LÃ­nea]]</f>
        <v>-12876</v>
      </c>
      <c r="N2886" s="22" t="str">
        <f>+IF(Tabla2[[#This Row],[Variación Stock]]&gt;0,"Sobrante",IF(Tabla2[[#This Row],[Variación Stock]]&lt;0,"Faltante","Sin novedad"))</f>
        <v>Faltante</v>
      </c>
    </row>
    <row r="2887" spans="1:14" hidden="1" x14ac:dyDescent="0.25">
      <c r="A2887" s="11">
        <v>46053</v>
      </c>
      <c r="B2887" s="5" t="s">
        <v>394</v>
      </c>
      <c r="C2887" s="3" t="s">
        <v>337</v>
      </c>
      <c r="D2887" s="5" t="s">
        <v>396</v>
      </c>
      <c r="E2887" s="5" t="s">
        <v>117</v>
      </c>
      <c r="F2887" s="6" t="s">
        <v>416</v>
      </c>
      <c r="G2887" s="4" t="s">
        <v>1</v>
      </c>
      <c r="H2887" s="25">
        <v>101.6566</v>
      </c>
      <c r="I2887" s="8">
        <v>0</v>
      </c>
      <c r="J2887" s="9">
        <v>0</v>
      </c>
      <c r="K2887" s="7">
        <v>0</v>
      </c>
      <c r="L2887" s="24">
        <f>+Tabla2[[#This Row],[Stock Inventario]]*Tabla2[[#This Row],[Coste LÃ­nea]]</f>
        <v>0</v>
      </c>
      <c r="M2887" s="24">
        <f>+Tabla2[[#This Row],[Variación Stock]]*Tabla2[[#This Row],[Coste LÃ­nea]]</f>
        <v>0</v>
      </c>
      <c r="N2887" s="22" t="str">
        <f>+IF(Tabla2[[#This Row],[Variación Stock]]&gt;0,"Sobrante",IF(Tabla2[[#This Row],[Variación Stock]]&lt;0,"Faltante","Sin novedad"))</f>
        <v>Sin novedad</v>
      </c>
    </row>
    <row r="2888" spans="1:14" hidden="1" x14ac:dyDescent="0.25">
      <c r="A2888" s="11">
        <v>46053</v>
      </c>
      <c r="B2888" s="5" t="s">
        <v>394</v>
      </c>
      <c r="C2888" s="3" t="s">
        <v>337</v>
      </c>
      <c r="D2888" s="5" t="s">
        <v>396</v>
      </c>
      <c r="E2888" s="5" t="s">
        <v>117</v>
      </c>
      <c r="F2888" s="6" t="s">
        <v>448</v>
      </c>
      <c r="G2888" s="4" t="s">
        <v>1</v>
      </c>
      <c r="H2888" s="25">
        <v>94.618942730000001</v>
      </c>
      <c r="I2888" s="8">
        <v>551.37630000000001</v>
      </c>
      <c r="J2888" s="9">
        <v>626</v>
      </c>
      <c r="K2888" s="7">
        <v>74.623671999999999</v>
      </c>
      <c r="L2888" s="24">
        <f>+Tabla2[[#This Row],[Stock Inventario]]*Tabla2[[#This Row],[Coste LÃ­nea]]</f>
        <v>59231.458148980004</v>
      </c>
      <c r="M2888" s="24">
        <f>+Tabla2[[#This Row],[Variación Stock]]*Tabla2[[#This Row],[Coste LÃ­nea]]</f>
        <v>7060.8129472703049</v>
      </c>
      <c r="N2888" s="22" t="str">
        <f>+IF(Tabla2[[#This Row],[Variación Stock]]&gt;0,"Sobrante",IF(Tabla2[[#This Row],[Variación Stock]]&lt;0,"Faltante","Sin novedad"))</f>
        <v>Sobrante</v>
      </c>
    </row>
    <row r="2889" spans="1:14" hidden="1" x14ac:dyDescent="0.25">
      <c r="A2889" s="11">
        <v>46053</v>
      </c>
      <c r="B2889" s="5" t="s">
        <v>394</v>
      </c>
      <c r="C2889" s="3" t="s">
        <v>337</v>
      </c>
      <c r="D2889" s="5" t="s">
        <v>396</v>
      </c>
      <c r="E2889" s="5" t="s">
        <v>117</v>
      </c>
      <c r="F2889" s="6" t="s">
        <v>419</v>
      </c>
      <c r="G2889" s="4" t="s">
        <v>1</v>
      </c>
      <c r="H2889" s="25">
        <v>416.51208402999998</v>
      </c>
      <c r="I2889" s="8">
        <v>-32</v>
      </c>
      <c r="J2889" s="9">
        <v>500</v>
      </c>
      <c r="K2889" s="7">
        <v>532</v>
      </c>
      <c r="L2889" s="24">
        <f>+Tabla2[[#This Row],[Stock Inventario]]*Tabla2[[#This Row],[Coste LÃ­nea]]</f>
        <v>208256.04201499998</v>
      </c>
      <c r="M2889" s="24">
        <f>+Tabla2[[#This Row],[Variación Stock]]*Tabla2[[#This Row],[Coste LÃ­nea]]</f>
        <v>221584.42870396</v>
      </c>
      <c r="N2889" s="22" t="str">
        <f>+IF(Tabla2[[#This Row],[Variación Stock]]&gt;0,"Sobrante",IF(Tabla2[[#This Row],[Variación Stock]]&lt;0,"Faltante","Sin novedad"))</f>
        <v>Sobrante</v>
      </c>
    </row>
    <row r="2890" spans="1:14" hidden="1" x14ac:dyDescent="0.25">
      <c r="A2890" s="11">
        <v>46053</v>
      </c>
      <c r="B2890" s="5" t="s">
        <v>394</v>
      </c>
      <c r="C2890" s="3" t="s">
        <v>337</v>
      </c>
      <c r="D2890" s="5" t="s">
        <v>559</v>
      </c>
      <c r="E2890" s="5" t="s">
        <v>1080</v>
      </c>
      <c r="F2890" s="6" t="s">
        <v>568</v>
      </c>
      <c r="G2890" s="4" t="s">
        <v>2</v>
      </c>
      <c r="H2890" s="25">
        <v>146.71799999999999</v>
      </c>
      <c r="I2890" s="8">
        <v>1</v>
      </c>
      <c r="J2890" s="9">
        <v>0</v>
      </c>
      <c r="K2890" s="7">
        <v>-1</v>
      </c>
      <c r="L2890" s="24">
        <f>+Tabla2[[#This Row],[Stock Inventario]]*Tabla2[[#This Row],[Coste LÃ­nea]]</f>
        <v>0</v>
      </c>
      <c r="M2890" s="24">
        <f>+Tabla2[[#This Row],[Variación Stock]]*Tabla2[[#This Row],[Coste LÃ­nea]]</f>
        <v>-146.71799999999999</v>
      </c>
      <c r="N2890" s="22" t="str">
        <f>+IF(Tabla2[[#This Row],[Variación Stock]]&gt;0,"Sobrante",IF(Tabla2[[#This Row],[Variación Stock]]&lt;0,"Faltante","Sin novedad"))</f>
        <v>Faltante</v>
      </c>
    </row>
    <row r="2891" spans="1:14" x14ac:dyDescent="0.25">
      <c r="A2891" s="11">
        <v>46053</v>
      </c>
      <c r="B2891" s="5" t="s">
        <v>394</v>
      </c>
      <c r="C2891" s="3" t="s">
        <v>337</v>
      </c>
      <c r="D2891" s="5" t="s">
        <v>111</v>
      </c>
      <c r="E2891" s="5" t="s">
        <v>112</v>
      </c>
      <c r="F2891" s="6" t="s">
        <v>288</v>
      </c>
      <c r="G2891" s="4" t="s">
        <v>0</v>
      </c>
      <c r="H2891" s="25">
        <v>4721.625</v>
      </c>
      <c r="I2891" s="8">
        <v>25.34</v>
      </c>
      <c r="J2891" s="9">
        <v>30</v>
      </c>
      <c r="K2891" s="7">
        <v>4.66</v>
      </c>
      <c r="L2891" s="24">
        <f>+Tabla2[[#This Row],[Stock Inventario]]*Tabla2[[#This Row],[Coste LÃ­nea]]</f>
        <v>141648.75</v>
      </c>
      <c r="M2891" s="24">
        <f>+Tabla2[[#This Row],[Variación Stock]]*Tabla2[[#This Row],[Coste LÃ­nea]]</f>
        <v>22002.772499999999</v>
      </c>
      <c r="N2891" s="22" t="str">
        <f>+IF(Tabla2[[#This Row],[Variación Stock]]&gt;0,"Sobrante",IF(Tabla2[[#This Row],[Variación Stock]]&lt;0,"Faltante","Sin novedad"))</f>
        <v>Sobrante</v>
      </c>
    </row>
    <row r="2892" spans="1:14" x14ac:dyDescent="0.25">
      <c r="A2892" s="11">
        <v>46053</v>
      </c>
      <c r="B2892" s="5" t="s">
        <v>394</v>
      </c>
      <c r="C2892" s="3" t="s">
        <v>337</v>
      </c>
      <c r="D2892" s="5" t="s">
        <v>111</v>
      </c>
      <c r="E2892" s="5" t="s">
        <v>112</v>
      </c>
      <c r="F2892" s="6" t="s">
        <v>58</v>
      </c>
      <c r="G2892" s="4" t="s">
        <v>0</v>
      </c>
      <c r="H2892" s="25">
        <v>6303.25</v>
      </c>
      <c r="I2892" s="8">
        <v>56</v>
      </c>
      <c r="J2892" s="9">
        <v>62</v>
      </c>
      <c r="K2892" s="7">
        <v>6</v>
      </c>
      <c r="L2892" s="24">
        <f>+Tabla2[[#This Row],[Stock Inventario]]*Tabla2[[#This Row],[Coste LÃ­nea]]</f>
        <v>390801.5</v>
      </c>
      <c r="M2892" s="24">
        <f>+Tabla2[[#This Row],[Variación Stock]]*Tabla2[[#This Row],[Coste LÃ­nea]]</f>
        <v>37819.5</v>
      </c>
      <c r="N2892" s="22" t="str">
        <f>+IF(Tabla2[[#This Row],[Variación Stock]]&gt;0,"Sobrante",IF(Tabla2[[#This Row],[Variación Stock]]&lt;0,"Faltante","Sin novedad"))</f>
        <v>Sobrante</v>
      </c>
    </row>
    <row r="2893" spans="1:14" x14ac:dyDescent="0.25">
      <c r="A2893" s="11">
        <v>46053</v>
      </c>
      <c r="B2893" s="5" t="s">
        <v>394</v>
      </c>
      <c r="C2893" s="3" t="s">
        <v>337</v>
      </c>
      <c r="D2893" s="5" t="s">
        <v>111</v>
      </c>
      <c r="E2893" s="5" t="s">
        <v>112</v>
      </c>
      <c r="F2893" s="6" t="s">
        <v>59</v>
      </c>
      <c r="G2893" s="4" t="s">
        <v>0</v>
      </c>
      <c r="H2893" s="25">
        <v>3390.1034482800001</v>
      </c>
      <c r="I2893" s="8">
        <v>138</v>
      </c>
      <c r="J2893" s="9">
        <v>146</v>
      </c>
      <c r="K2893" s="7">
        <v>8</v>
      </c>
      <c r="L2893" s="24">
        <f>+Tabla2[[#This Row],[Stock Inventario]]*Tabla2[[#This Row],[Coste LÃ­nea]]</f>
        <v>494955.10344888002</v>
      </c>
      <c r="M2893" s="24">
        <f>+Tabla2[[#This Row],[Variación Stock]]*Tabla2[[#This Row],[Coste LÃ­nea]]</f>
        <v>27120.827586240001</v>
      </c>
      <c r="N2893" s="22" t="str">
        <f>+IF(Tabla2[[#This Row],[Variación Stock]]&gt;0,"Sobrante",IF(Tabla2[[#This Row],[Variación Stock]]&lt;0,"Faltante","Sin novedad"))</f>
        <v>Sobrante</v>
      </c>
    </row>
    <row r="2894" spans="1:14" hidden="1" x14ac:dyDescent="0.25">
      <c r="A2894" s="11">
        <v>46053</v>
      </c>
      <c r="B2894" s="5" t="s">
        <v>394</v>
      </c>
      <c r="C2894" s="3" t="s">
        <v>337</v>
      </c>
      <c r="D2894" s="5" t="s">
        <v>396</v>
      </c>
      <c r="E2894" s="5" t="s">
        <v>117</v>
      </c>
      <c r="F2894" s="6" t="s">
        <v>462</v>
      </c>
      <c r="G2894" s="4" t="s">
        <v>1</v>
      </c>
      <c r="H2894" s="25">
        <v>90</v>
      </c>
      <c r="I2894" s="8">
        <v>0</v>
      </c>
      <c r="J2894" s="9">
        <v>0</v>
      </c>
      <c r="K2894" s="7">
        <v>0</v>
      </c>
      <c r="L2894" s="24">
        <f>+Tabla2[[#This Row],[Stock Inventario]]*Tabla2[[#This Row],[Coste LÃ­nea]]</f>
        <v>0</v>
      </c>
      <c r="M2894" s="24">
        <f>+Tabla2[[#This Row],[Variación Stock]]*Tabla2[[#This Row],[Coste LÃ­nea]]</f>
        <v>0</v>
      </c>
      <c r="N2894" s="22" t="str">
        <f>+IF(Tabla2[[#This Row],[Variación Stock]]&gt;0,"Sobrante",IF(Tabla2[[#This Row],[Variación Stock]]&lt;0,"Faltante","Sin novedad"))</f>
        <v>Sin novedad</v>
      </c>
    </row>
    <row r="2895" spans="1:14" hidden="1" x14ac:dyDescent="0.25">
      <c r="A2895" s="11">
        <v>46053</v>
      </c>
      <c r="B2895" s="5" t="s">
        <v>394</v>
      </c>
      <c r="C2895" s="3" t="s">
        <v>337</v>
      </c>
      <c r="D2895" s="5" t="s">
        <v>559</v>
      </c>
      <c r="E2895" s="5" t="s">
        <v>1080</v>
      </c>
      <c r="F2895" s="6" t="s">
        <v>580</v>
      </c>
      <c r="G2895" s="4" t="s">
        <v>2</v>
      </c>
      <c r="H2895" s="25">
        <v>71.420168070000003</v>
      </c>
      <c r="I2895" s="8">
        <v>1600</v>
      </c>
      <c r="J2895" s="9">
        <v>400</v>
      </c>
      <c r="K2895" s="7">
        <v>-1200</v>
      </c>
      <c r="L2895" s="24">
        <f>+Tabla2[[#This Row],[Stock Inventario]]*Tabla2[[#This Row],[Coste LÃ­nea]]</f>
        <v>28568.067228</v>
      </c>
      <c r="M2895" s="24">
        <f>+Tabla2[[#This Row],[Variación Stock]]*Tabla2[[#This Row],[Coste LÃ­nea]]</f>
        <v>-85704.201684</v>
      </c>
      <c r="N2895" s="22" t="str">
        <f>+IF(Tabla2[[#This Row],[Variación Stock]]&gt;0,"Sobrante",IF(Tabla2[[#This Row],[Variación Stock]]&lt;0,"Faltante","Sin novedad"))</f>
        <v>Faltante</v>
      </c>
    </row>
    <row r="2896" spans="1:14" hidden="1" x14ac:dyDescent="0.25">
      <c r="A2896" s="11">
        <v>46053</v>
      </c>
      <c r="B2896" s="5" t="s">
        <v>394</v>
      </c>
      <c r="C2896" s="3" t="s">
        <v>337</v>
      </c>
      <c r="D2896" s="5" t="s">
        <v>471</v>
      </c>
      <c r="E2896" s="5" t="s">
        <v>117</v>
      </c>
      <c r="F2896" s="6" t="s">
        <v>526</v>
      </c>
      <c r="G2896" s="4" t="s">
        <v>1</v>
      </c>
      <c r="H2896" s="25">
        <v>3.5</v>
      </c>
      <c r="I2896" s="8">
        <v>27907.272700000001</v>
      </c>
      <c r="J2896" s="9">
        <v>2168</v>
      </c>
      <c r="K2896" s="7">
        <v>-26739.272688000001</v>
      </c>
      <c r="L2896" s="24">
        <f>+Tabla2[[#This Row],[Stock Inventario]]*Tabla2[[#This Row],[Coste LÃ­nea]]</f>
        <v>7588</v>
      </c>
      <c r="M2896" s="24">
        <f>+Tabla2[[#This Row],[Variación Stock]]*Tabla2[[#This Row],[Coste LÃ­nea]]</f>
        <v>-93587.454408000005</v>
      </c>
      <c r="N2896" s="22" t="str">
        <f>+IF(Tabla2[[#This Row],[Variación Stock]]&gt;0,"Sobrante",IF(Tabla2[[#This Row],[Variación Stock]]&lt;0,"Faltante","Sin novedad"))</f>
        <v>Faltante</v>
      </c>
    </row>
    <row r="2897" spans="1:14" hidden="1" x14ac:dyDescent="0.25">
      <c r="A2897" s="11">
        <v>46053</v>
      </c>
      <c r="B2897" s="5" t="s">
        <v>394</v>
      </c>
      <c r="C2897" s="3" t="s">
        <v>337</v>
      </c>
      <c r="D2897" s="5" t="s">
        <v>471</v>
      </c>
      <c r="E2897" s="5" t="s">
        <v>117</v>
      </c>
      <c r="F2897" s="6" t="s">
        <v>527</v>
      </c>
      <c r="G2897" s="4" t="s">
        <v>1</v>
      </c>
      <c r="H2897" s="25">
        <v>3.3</v>
      </c>
      <c r="I2897" s="8">
        <v>68300</v>
      </c>
      <c r="J2897" s="9">
        <v>15500</v>
      </c>
      <c r="K2897" s="7">
        <v>-72800</v>
      </c>
      <c r="L2897" s="24">
        <f>+Tabla2[[#This Row],[Stock Inventario]]*Tabla2[[#This Row],[Coste LÃ­nea]]</f>
        <v>51150</v>
      </c>
      <c r="M2897" s="24">
        <f>+Tabla2[[#This Row],[Variación Stock]]*Tabla2[[#This Row],[Coste LÃ­nea]]</f>
        <v>-240240</v>
      </c>
      <c r="N2897" s="22" t="str">
        <f>+IF(Tabla2[[#This Row],[Variación Stock]]&gt;0,"Sobrante",IF(Tabla2[[#This Row],[Variación Stock]]&lt;0,"Faltante","Sin novedad"))</f>
        <v>Faltante</v>
      </c>
    </row>
    <row r="2898" spans="1:14" hidden="1" x14ac:dyDescent="0.25">
      <c r="A2898" s="11">
        <v>46053</v>
      </c>
      <c r="B2898" s="5" t="s">
        <v>394</v>
      </c>
      <c r="C2898" s="3" t="s">
        <v>337</v>
      </c>
      <c r="D2898" s="5" t="s">
        <v>559</v>
      </c>
      <c r="E2898" s="5" t="s">
        <v>1080</v>
      </c>
      <c r="F2898" s="6" t="s">
        <v>581</v>
      </c>
      <c r="G2898" s="4" t="s">
        <v>2</v>
      </c>
      <c r="H2898" s="25">
        <v>876.05042015000004</v>
      </c>
      <c r="I2898" s="8">
        <v>0</v>
      </c>
      <c r="J2898" s="9">
        <v>0</v>
      </c>
      <c r="K2898" s="7">
        <v>0</v>
      </c>
      <c r="L2898" s="24">
        <f>+Tabla2[[#This Row],[Stock Inventario]]*Tabla2[[#This Row],[Coste LÃ­nea]]</f>
        <v>0</v>
      </c>
      <c r="M2898" s="24">
        <f>+Tabla2[[#This Row],[Variación Stock]]*Tabla2[[#This Row],[Coste LÃ­nea]]</f>
        <v>0</v>
      </c>
      <c r="N2898" s="22" t="str">
        <f>+IF(Tabla2[[#This Row],[Variación Stock]]&gt;0,"Sobrante",IF(Tabla2[[#This Row],[Variación Stock]]&lt;0,"Faltante","Sin novedad"))</f>
        <v>Sin novedad</v>
      </c>
    </row>
    <row r="2899" spans="1:14" x14ac:dyDescent="0.25">
      <c r="A2899" s="11">
        <v>46053</v>
      </c>
      <c r="B2899" s="5" t="s">
        <v>394</v>
      </c>
      <c r="C2899" s="3" t="s">
        <v>337</v>
      </c>
      <c r="D2899" s="5" t="s">
        <v>603</v>
      </c>
      <c r="E2899" s="5" t="s">
        <v>112</v>
      </c>
      <c r="F2899" s="6" t="s">
        <v>607</v>
      </c>
      <c r="G2899" s="4" t="s">
        <v>2</v>
      </c>
      <c r="H2899" s="25">
        <v>3500</v>
      </c>
      <c r="I2899" s="8">
        <v>17</v>
      </c>
      <c r="J2899" s="9">
        <v>21</v>
      </c>
      <c r="K2899" s="7">
        <v>4</v>
      </c>
      <c r="L2899" s="24">
        <f>+Tabla2[[#This Row],[Stock Inventario]]*Tabla2[[#This Row],[Coste LÃ­nea]]</f>
        <v>73500</v>
      </c>
      <c r="M2899" s="24">
        <f>+Tabla2[[#This Row],[Variación Stock]]*Tabla2[[#This Row],[Coste LÃ­nea]]</f>
        <v>14000</v>
      </c>
      <c r="N2899" s="22" t="str">
        <f>+IF(Tabla2[[#This Row],[Variación Stock]]&gt;0,"Sobrante",IF(Tabla2[[#This Row],[Variación Stock]]&lt;0,"Faltante","Sin novedad"))</f>
        <v>Sobrante</v>
      </c>
    </row>
    <row r="2900" spans="1:14" hidden="1" x14ac:dyDescent="0.25">
      <c r="A2900" s="11">
        <v>46053</v>
      </c>
      <c r="B2900" s="5" t="s">
        <v>394</v>
      </c>
      <c r="C2900" s="3" t="s">
        <v>337</v>
      </c>
      <c r="D2900" s="5" t="s">
        <v>396</v>
      </c>
      <c r="E2900" s="5" t="s">
        <v>117</v>
      </c>
      <c r="F2900" s="6" t="s">
        <v>457</v>
      </c>
      <c r="G2900" s="4" t="s">
        <v>1</v>
      </c>
      <c r="H2900" s="25">
        <v>15</v>
      </c>
      <c r="I2900" s="8">
        <v>1500</v>
      </c>
      <c r="J2900" s="9">
        <v>0</v>
      </c>
      <c r="K2900" s="7">
        <v>-2000</v>
      </c>
      <c r="L2900" s="24">
        <f>+Tabla2[[#This Row],[Stock Inventario]]*Tabla2[[#This Row],[Coste LÃ­nea]]</f>
        <v>0</v>
      </c>
      <c r="M2900" s="24">
        <f>+Tabla2[[#This Row],[Variación Stock]]*Tabla2[[#This Row],[Coste LÃ­nea]]</f>
        <v>-30000</v>
      </c>
      <c r="N2900" s="22" t="str">
        <f>+IF(Tabla2[[#This Row],[Variación Stock]]&gt;0,"Sobrante",IF(Tabla2[[#This Row],[Variación Stock]]&lt;0,"Faltante","Sin novedad"))</f>
        <v>Faltante</v>
      </c>
    </row>
    <row r="2901" spans="1:14" hidden="1" x14ac:dyDescent="0.25">
      <c r="A2901" s="11">
        <v>46053</v>
      </c>
      <c r="B2901" s="5" t="s">
        <v>394</v>
      </c>
      <c r="C2901" s="3" t="s">
        <v>337</v>
      </c>
      <c r="D2901" s="5" t="s">
        <v>119</v>
      </c>
      <c r="E2901" s="5" t="s">
        <v>117</v>
      </c>
      <c r="F2901" s="6" t="s">
        <v>200</v>
      </c>
      <c r="G2901" s="4" t="s">
        <v>1</v>
      </c>
      <c r="H2901" s="25">
        <v>58.31</v>
      </c>
      <c r="I2901" s="8">
        <v>0</v>
      </c>
      <c r="J2901" s="9">
        <v>0</v>
      </c>
      <c r="K2901" s="7">
        <v>0</v>
      </c>
      <c r="L2901" s="24">
        <f>+Tabla2[[#This Row],[Stock Inventario]]*Tabla2[[#This Row],[Coste LÃ­nea]]</f>
        <v>0</v>
      </c>
      <c r="M2901" s="24">
        <f>+Tabla2[[#This Row],[Variación Stock]]*Tabla2[[#This Row],[Coste LÃ­nea]]</f>
        <v>0</v>
      </c>
      <c r="N2901" s="22" t="str">
        <f>+IF(Tabla2[[#This Row],[Variación Stock]]&gt;0,"Sobrante",IF(Tabla2[[#This Row],[Variación Stock]]&lt;0,"Faltante","Sin novedad"))</f>
        <v>Sin novedad</v>
      </c>
    </row>
    <row r="2902" spans="1:14" hidden="1" x14ac:dyDescent="0.25">
      <c r="A2902" s="11">
        <v>46053</v>
      </c>
      <c r="B2902" s="5" t="s">
        <v>394</v>
      </c>
      <c r="C2902" s="3" t="s">
        <v>337</v>
      </c>
      <c r="D2902" s="5" t="s">
        <v>396</v>
      </c>
      <c r="E2902" s="5" t="s">
        <v>117</v>
      </c>
      <c r="F2902" s="6" t="s">
        <v>449</v>
      </c>
      <c r="G2902" s="4" t="s">
        <v>1</v>
      </c>
      <c r="H2902" s="25">
        <v>50.166874999999997</v>
      </c>
      <c r="I2902" s="8">
        <v>4000</v>
      </c>
      <c r="J2902" s="9">
        <v>1560</v>
      </c>
      <c r="K2902" s="7">
        <v>-3240</v>
      </c>
      <c r="L2902" s="24">
        <f>+Tabla2[[#This Row],[Stock Inventario]]*Tabla2[[#This Row],[Coste LÃ­nea]]</f>
        <v>78260.324999999997</v>
      </c>
      <c r="M2902" s="24">
        <f>+Tabla2[[#This Row],[Variación Stock]]*Tabla2[[#This Row],[Coste LÃ­nea]]</f>
        <v>-162540.67499999999</v>
      </c>
      <c r="N2902" s="22" t="str">
        <f>+IF(Tabla2[[#This Row],[Variación Stock]]&gt;0,"Sobrante",IF(Tabla2[[#This Row],[Variación Stock]]&lt;0,"Faltante","Sin novedad"))</f>
        <v>Faltante</v>
      </c>
    </row>
    <row r="2903" spans="1:14" hidden="1" x14ac:dyDescent="0.25">
      <c r="A2903" s="11">
        <v>46053</v>
      </c>
      <c r="B2903" s="5" t="s">
        <v>394</v>
      </c>
      <c r="C2903" s="3" t="s">
        <v>337</v>
      </c>
      <c r="D2903" s="5" t="s">
        <v>626</v>
      </c>
      <c r="E2903" s="5" t="s">
        <v>1079</v>
      </c>
      <c r="F2903" s="6" t="s">
        <v>675</v>
      </c>
      <c r="G2903" s="4" t="s">
        <v>2</v>
      </c>
      <c r="H2903" s="25">
        <v>59619</v>
      </c>
      <c r="I2903" s="8">
        <v>0</v>
      </c>
      <c r="J2903" s="9">
        <v>0</v>
      </c>
      <c r="K2903" s="7">
        <v>0</v>
      </c>
      <c r="L2903" s="24">
        <f>+Tabla2[[#This Row],[Stock Inventario]]*Tabla2[[#This Row],[Coste LÃ­nea]]</f>
        <v>0</v>
      </c>
      <c r="M2903" s="24">
        <f>+Tabla2[[#This Row],[Variación Stock]]*Tabla2[[#This Row],[Coste LÃ­nea]]</f>
        <v>0</v>
      </c>
      <c r="N2903" s="22" t="str">
        <f>+IF(Tabla2[[#This Row],[Variación Stock]]&gt;0,"Sobrante",IF(Tabla2[[#This Row],[Variación Stock]]&lt;0,"Faltante","Sin novedad"))</f>
        <v>Sin novedad</v>
      </c>
    </row>
    <row r="2904" spans="1:14" hidden="1" x14ac:dyDescent="0.25">
      <c r="A2904" s="11">
        <v>46053</v>
      </c>
      <c r="B2904" s="5" t="s">
        <v>394</v>
      </c>
      <c r="C2904" s="3" t="s">
        <v>337</v>
      </c>
      <c r="D2904" s="5" t="s">
        <v>547</v>
      </c>
      <c r="E2904" s="5" t="s">
        <v>117</v>
      </c>
      <c r="F2904" s="6" t="s">
        <v>549</v>
      </c>
      <c r="G2904" s="4" t="s">
        <v>1</v>
      </c>
      <c r="H2904" s="25">
        <v>67.9405</v>
      </c>
      <c r="I2904" s="8">
        <v>-5715</v>
      </c>
      <c r="J2904" s="9">
        <v>0</v>
      </c>
      <c r="K2904" s="7">
        <v>5715</v>
      </c>
      <c r="L2904" s="24">
        <f>+Tabla2[[#This Row],[Stock Inventario]]*Tabla2[[#This Row],[Coste LÃ­nea]]</f>
        <v>0</v>
      </c>
      <c r="M2904" s="24">
        <f>+Tabla2[[#This Row],[Variación Stock]]*Tabla2[[#This Row],[Coste LÃ­nea]]</f>
        <v>388279.95750000002</v>
      </c>
      <c r="N2904" s="22" t="str">
        <f>+IF(Tabla2[[#This Row],[Variación Stock]]&gt;0,"Sobrante",IF(Tabla2[[#This Row],[Variación Stock]]&lt;0,"Faltante","Sin novedad"))</f>
        <v>Sobrante</v>
      </c>
    </row>
    <row r="2905" spans="1:14" hidden="1" x14ac:dyDescent="0.25">
      <c r="A2905" s="11">
        <v>46053</v>
      </c>
      <c r="B2905" s="5" t="s">
        <v>394</v>
      </c>
      <c r="C2905" s="3" t="s">
        <v>337</v>
      </c>
      <c r="D2905" s="5" t="s">
        <v>547</v>
      </c>
      <c r="E2905" s="5" t="s">
        <v>117</v>
      </c>
      <c r="F2905" s="6" t="s">
        <v>557</v>
      </c>
      <c r="G2905" s="4" t="s">
        <v>1</v>
      </c>
      <c r="H2905" s="25">
        <v>22.35</v>
      </c>
      <c r="I2905" s="8">
        <v>1000</v>
      </c>
      <c r="J2905" s="9">
        <v>0</v>
      </c>
      <c r="K2905" s="7">
        <v>-1000</v>
      </c>
      <c r="L2905" s="24">
        <f>+Tabla2[[#This Row],[Stock Inventario]]*Tabla2[[#This Row],[Coste LÃ­nea]]</f>
        <v>0</v>
      </c>
      <c r="M2905" s="24">
        <f>+Tabla2[[#This Row],[Variación Stock]]*Tabla2[[#This Row],[Coste LÃ­nea]]</f>
        <v>-22350</v>
      </c>
      <c r="N2905" s="22" t="str">
        <f>+IF(Tabla2[[#This Row],[Variación Stock]]&gt;0,"Sobrante",IF(Tabla2[[#This Row],[Variación Stock]]&lt;0,"Faltante","Sin novedad"))</f>
        <v>Faltante</v>
      </c>
    </row>
    <row r="2906" spans="1:14" hidden="1" x14ac:dyDescent="0.25">
      <c r="A2906" s="11">
        <v>46053</v>
      </c>
      <c r="B2906" s="5" t="s">
        <v>394</v>
      </c>
      <c r="C2906" s="3" t="s">
        <v>337</v>
      </c>
      <c r="D2906" s="5" t="s">
        <v>547</v>
      </c>
      <c r="E2906" s="5" t="s">
        <v>117</v>
      </c>
      <c r="F2906" s="6" t="s">
        <v>550</v>
      </c>
      <c r="G2906" s="4" t="s">
        <v>1</v>
      </c>
      <c r="H2906" s="25">
        <v>133.01733333000001</v>
      </c>
      <c r="I2906" s="8">
        <v>0</v>
      </c>
      <c r="J2906" s="9">
        <v>12080</v>
      </c>
      <c r="K2906" s="7">
        <v>12080</v>
      </c>
      <c r="L2906" s="24">
        <f>+Tabla2[[#This Row],[Stock Inventario]]*Tabla2[[#This Row],[Coste LÃ­nea]]</f>
        <v>1606849.3866264001</v>
      </c>
      <c r="M2906" s="24">
        <f>+Tabla2[[#This Row],[Variación Stock]]*Tabla2[[#This Row],[Coste LÃ­nea]]</f>
        <v>1606849.3866264001</v>
      </c>
      <c r="N2906" s="22" t="str">
        <f>+IF(Tabla2[[#This Row],[Variación Stock]]&gt;0,"Sobrante",IF(Tabla2[[#This Row],[Variación Stock]]&lt;0,"Faltante","Sin novedad"))</f>
        <v>Sobrante</v>
      </c>
    </row>
    <row r="2907" spans="1:14" hidden="1" x14ac:dyDescent="0.25">
      <c r="A2907" s="11">
        <v>46053</v>
      </c>
      <c r="B2907" s="5" t="s">
        <v>394</v>
      </c>
      <c r="C2907" s="3" t="s">
        <v>337</v>
      </c>
      <c r="D2907" s="5" t="s">
        <v>547</v>
      </c>
      <c r="E2907" s="5" t="s">
        <v>117</v>
      </c>
      <c r="F2907" s="6" t="s">
        <v>551</v>
      </c>
      <c r="G2907" s="4" t="s">
        <v>1</v>
      </c>
      <c r="H2907" s="25">
        <v>38.370370370000003</v>
      </c>
      <c r="I2907" s="8">
        <v>370</v>
      </c>
      <c r="J2907" s="9">
        <v>750</v>
      </c>
      <c r="K2907" s="7">
        <v>380</v>
      </c>
      <c r="L2907" s="24">
        <f>+Tabla2[[#This Row],[Stock Inventario]]*Tabla2[[#This Row],[Coste LÃ­nea]]</f>
        <v>28777.777777500003</v>
      </c>
      <c r="M2907" s="24">
        <f>+Tabla2[[#This Row],[Variación Stock]]*Tabla2[[#This Row],[Coste LÃ­nea]]</f>
        <v>14580.740740600002</v>
      </c>
      <c r="N2907" s="22" t="str">
        <f>+IF(Tabla2[[#This Row],[Variación Stock]]&gt;0,"Sobrante",IF(Tabla2[[#This Row],[Variación Stock]]&lt;0,"Faltante","Sin novedad"))</f>
        <v>Sobrante</v>
      </c>
    </row>
    <row r="2908" spans="1:14" x14ac:dyDescent="0.25">
      <c r="A2908" s="11">
        <v>46053</v>
      </c>
      <c r="B2908" s="5" t="s">
        <v>394</v>
      </c>
      <c r="C2908" s="3" t="s">
        <v>337</v>
      </c>
      <c r="D2908" s="5" t="s">
        <v>118</v>
      </c>
      <c r="E2908" s="5" t="s">
        <v>112</v>
      </c>
      <c r="F2908" s="6" t="s">
        <v>301</v>
      </c>
      <c r="G2908" s="4" t="s">
        <v>81</v>
      </c>
      <c r="H2908" s="25">
        <v>15151.2</v>
      </c>
      <c r="I2908" s="8">
        <v>12</v>
      </c>
      <c r="J2908" s="9">
        <v>12</v>
      </c>
      <c r="K2908" s="7">
        <v>0</v>
      </c>
      <c r="L2908" s="24">
        <f>+Tabla2[[#This Row],[Stock Inventario]]*Tabla2[[#This Row],[Coste LÃ­nea]]</f>
        <v>181814.40000000002</v>
      </c>
      <c r="M2908" s="24">
        <f>+Tabla2[[#This Row],[Variación Stock]]*Tabla2[[#This Row],[Coste LÃ­nea]]</f>
        <v>0</v>
      </c>
      <c r="N2908" s="22" t="str">
        <f>+IF(Tabla2[[#This Row],[Variación Stock]]&gt;0,"Sobrante",IF(Tabla2[[#This Row],[Variación Stock]]&lt;0,"Faltante","Sin novedad"))</f>
        <v>Sin novedad</v>
      </c>
    </row>
    <row r="2909" spans="1:14" x14ac:dyDescent="0.25">
      <c r="A2909" s="11">
        <v>46053</v>
      </c>
      <c r="B2909" s="5" t="s">
        <v>394</v>
      </c>
      <c r="C2909" s="3" t="s">
        <v>337</v>
      </c>
      <c r="D2909" s="5" t="s">
        <v>114</v>
      </c>
      <c r="E2909" s="5" t="s">
        <v>112</v>
      </c>
      <c r="F2909" s="6" t="s">
        <v>289</v>
      </c>
      <c r="G2909" s="4" t="s">
        <v>2</v>
      </c>
      <c r="H2909" s="25">
        <v>6387.35</v>
      </c>
      <c r="I2909" s="8">
        <v>4</v>
      </c>
      <c r="J2909" s="9">
        <v>4</v>
      </c>
      <c r="K2909" s="7">
        <v>0</v>
      </c>
      <c r="L2909" s="24">
        <f>+Tabla2[[#This Row],[Stock Inventario]]*Tabla2[[#This Row],[Coste LÃ­nea]]</f>
        <v>25549.4</v>
      </c>
      <c r="M2909" s="24">
        <f>+Tabla2[[#This Row],[Variación Stock]]*Tabla2[[#This Row],[Coste LÃ­nea]]</f>
        <v>0</v>
      </c>
      <c r="N2909" s="22" t="str">
        <f>+IF(Tabla2[[#This Row],[Variación Stock]]&gt;0,"Sobrante",IF(Tabla2[[#This Row],[Variación Stock]]&lt;0,"Faltante","Sin novedad"))</f>
        <v>Sin novedad</v>
      </c>
    </row>
    <row r="2910" spans="1:14" hidden="1" x14ac:dyDescent="0.25">
      <c r="A2910" s="11">
        <v>46053</v>
      </c>
      <c r="B2910" s="5" t="s">
        <v>394</v>
      </c>
      <c r="C2910" s="3" t="s">
        <v>337</v>
      </c>
      <c r="D2910" s="5" t="s">
        <v>471</v>
      </c>
      <c r="E2910" s="5" t="s">
        <v>117</v>
      </c>
      <c r="F2910" s="6" t="s">
        <v>528</v>
      </c>
      <c r="G2910" s="4" t="s">
        <v>1</v>
      </c>
      <c r="H2910" s="25">
        <v>2.8</v>
      </c>
      <c r="I2910" s="8">
        <v>0</v>
      </c>
      <c r="J2910" s="9">
        <v>0</v>
      </c>
      <c r="K2910" s="7">
        <v>0</v>
      </c>
      <c r="L2910" s="24">
        <f>+Tabla2[[#This Row],[Stock Inventario]]*Tabla2[[#This Row],[Coste LÃ­nea]]</f>
        <v>0</v>
      </c>
      <c r="M2910" s="24">
        <f>+Tabla2[[#This Row],[Variación Stock]]*Tabla2[[#This Row],[Coste LÃ­nea]]</f>
        <v>0</v>
      </c>
      <c r="N2910" s="22" t="str">
        <f>+IF(Tabla2[[#This Row],[Variación Stock]]&gt;0,"Sobrante",IF(Tabla2[[#This Row],[Variación Stock]]&lt;0,"Faltante","Sin novedad"))</f>
        <v>Sin novedad</v>
      </c>
    </row>
    <row r="2911" spans="1:14" hidden="1" x14ac:dyDescent="0.25">
      <c r="A2911" s="11">
        <v>46053</v>
      </c>
      <c r="B2911" s="5" t="s">
        <v>394</v>
      </c>
      <c r="C2911" s="3" t="s">
        <v>337</v>
      </c>
      <c r="D2911" s="5" t="s">
        <v>471</v>
      </c>
      <c r="E2911" s="5" t="s">
        <v>117</v>
      </c>
      <c r="F2911" s="6" t="s">
        <v>529</v>
      </c>
      <c r="G2911" s="4" t="s">
        <v>1</v>
      </c>
      <c r="H2911" s="25">
        <v>4</v>
      </c>
      <c r="I2911" s="8">
        <v>-65.882400000000004</v>
      </c>
      <c r="J2911" s="9">
        <v>0</v>
      </c>
      <c r="K2911" s="7">
        <v>65.882355000000004</v>
      </c>
      <c r="L2911" s="24">
        <f>+Tabla2[[#This Row],[Stock Inventario]]*Tabla2[[#This Row],[Coste LÃ­nea]]</f>
        <v>0</v>
      </c>
      <c r="M2911" s="24">
        <f>+Tabla2[[#This Row],[Variación Stock]]*Tabla2[[#This Row],[Coste LÃ­nea]]</f>
        <v>263.52942000000002</v>
      </c>
      <c r="N2911" s="22" t="str">
        <f>+IF(Tabla2[[#This Row],[Variación Stock]]&gt;0,"Sobrante",IF(Tabla2[[#This Row],[Variación Stock]]&lt;0,"Faltante","Sin novedad"))</f>
        <v>Sobrante</v>
      </c>
    </row>
    <row r="2912" spans="1:14" hidden="1" x14ac:dyDescent="0.25">
      <c r="A2912" s="11">
        <v>46053</v>
      </c>
      <c r="B2912" s="5" t="s">
        <v>394</v>
      </c>
      <c r="C2912" s="3" t="s">
        <v>337</v>
      </c>
      <c r="D2912" s="5" t="s">
        <v>626</v>
      </c>
      <c r="E2912" s="5" t="s">
        <v>1079</v>
      </c>
      <c r="F2912" s="6" t="s">
        <v>634</v>
      </c>
      <c r="G2912" s="4" t="s">
        <v>1</v>
      </c>
      <c r="H2912" s="25">
        <v>169.75</v>
      </c>
      <c r="I2912" s="8">
        <v>1000</v>
      </c>
      <c r="J2912" s="9">
        <v>0</v>
      </c>
      <c r="K2912" s="7">
        <v>-1000</v>
      </c>
      <c r="L2912" s="24">
        <f>+Tabla2[[#This Row],[Stock Inventario]]*Tabla2[[#This Row],[Coste LÃ­nea]]</f>
        <v>0</v>
      </c>
      <c r="M2912" s="24">
        <f>+Tabla2[[#This Row],[Variación Stock]]*Tabla2[[#This Row],[Coste LÃ­nea]]</f>
        <v>-169750</v>
      </c>
      <c r="N2912" s="22" t="str">
        <f>+IF(Tabla2[[#This Row],[Variación Stock]]&gt;0,"Sobrante",IF(Tabla2[[#This Row],[Variación Stock]]&lt;0,"Faltante","Sin novedad"))</f>
        <v>Faltante</v>
      </c>
    </row>
    <row r="2913" spans="1:14" hidden="1" x14ac:dyDescent="0.25">
      <c r="A2913" s="11">
        <v>46053</v>
      </c>
      <c r="B2913" s="5" t="s">
        <v>394</v>
      </c>
      <c r="C2913" s="3" t="s">
        <v>337</v>
      </c>
      <c r="D2913" s="5" t="s">
        <v>559</v>
      </c>
      <c r="E2913" s="5" t="s">
        <v>1080</v>
      </c>
      <c r="F2913" s="6" t="s">
        <v>564</v>
      </c>
      <c r="G2913" s="4" t="s">
        <v>2</v>
      </c>
      <c r="H2913" s="25">
        <v>59.5</v>
      </c>
      <c r="I2913" s="8">
        <v>1000</v>
      </c>
      <c r="J2913" s="9">
        <v>1</v>
      </c>
      <c r="K2913" s="7">
        <v>-999</v>
      </c>
      <c r="L2913" s="24">
        <f>+Tabla2[[#This Row],[Stock Inventario]]*Tabla2[[#This Row],[Coste LÃ­nea]]</f>
        <v>59.5</v>
      </c>
      <c r="M2913" s="24">
        <f>+Tabla2[[#This Row],[Variación Stock]]*Tabla2[[#This Row],[Coste LÃ­nea]]</f>
        <v>-59440.5</v>
      </c>
      <c r="N2913" s="22" t="str">
        <f>+IF(Tabla2[[#This Row],[Variación Stock]]&gt;0,"Sobrante",IF(Tabla2[[#This Row],[Variación Stock]]&lt;0,"Faltante","Sin novedad"))</f>
        <v>Faltante</v>
      </c>
    </row>
    <row r="2914" spans="1:14" hidden="1" x14ac:dyDescent="0.25">
      <c r="A2914" s="11">
        <v>46053</v>
      </c>
      <c r="B2914" s="5" t="s">
        <v>394</v>
      </c>
      <c r="C2914" s="3" t="s">
        <v>337</v>
      </c>
      <c r="D2914" s="5" t="s">
        <v>559</v>
      </c>
      <c r="E2914" s="5" t="s">
        <v>1080</v>
      </c>
      <c r="F2914" s="6" t="s">
        <v>593</v>
      </c>
      <c r="G2914" s="4" t="s">
        <v>2</v>
      </c>
      <c r="H2914" s="25">
        <v>77631</v>
      </c>
      <c r="I2914" s="8">
        <v>0</v>
      </c>
      <c r="J2914" s="9">
        <v>0</v>
      </c>
      <c r="K2914" s="7">
        <v>0</v>
      </c>
      <c r="L2914" s="24">
        <f>+Tabla2[[#This Row],[Stock Inventario]]*Tabla2[[#This Row],[Coste LÃ­nea]]</f>
        <v>0</v>
      </c>
      <c r="M2914" s="24">
        <f>+Tabla2[[#This Row],[Variación Stock]]*Tabla2[[#This Row],[Coste LÃ­nea]]</f>
        <v>0</v>
      </c>
      <c r="N2914" s="22" t="str">
        <f>+IF(Tabla2[[#This Row],[Variación Stock]]&gt;0,"Sobrante",IF(Tabla2[[#This Row],[Variación Stock]]&lt;0,"Faltante","Sin novedad"))</f>
        <v>Sin novedad</v>
      </c>
    </row>
    <row r="2915" spans="1:14" hidden="1" x14ac:dyDescent="0.25">
      <c r="A2915" s="11">
        <v>46053</v>
      </c>
      <c r="B2915" s="5" t="s">
        <v>394</v>
      </c>
      <c r="C2915" s="3" t="s">
        <v>337</v>
      </c>
      <c r="D2915" s="5" t="s">
        <v>559</v>
      </c>
      <c r="E2915" s="5" t="s">
        <v>1080</v>
      </c>
      <c r="F2915" s="6" t="s">
        <v>594</v>
      </c>
      <c r="G2915" s="4" t="s">
        <v>2</v>
      </c>
      <c r="H2915" s="25">
        <v>4498.8055555600004</v>
      </c>
      <c r="I2915" s="8">
        <v>29</v>
      </c>
      <c r="J2915" s="9">
        <v>7</v>
      </c>
      <c r="K2915" s="7">
        <v>-22</v>
      </c>
      <c r="L2915" s="24">
        <f>+Tabla2[[#This Row],[Stock Inventario]]*Tabla2[[#This Row],[Coste LÃ­nea]]</f>
        <v>31491.638888920003</v>
      </c>
      <c r="M2915" s="24">
        <f>+Tabla2[[#This Row],[Variación Stock]]*Tabla2[[#This Row],[Coste LÃ­nea]]</f>
        <v>-98973.722222320008</v>
      </c>
      <c r="N2915" s="22" t="str">
        <f>+IF(Tabla2[[#This Row],[Variación Stock]]&gt;0,"Sobrante",IF(Tabla2[[#This Row],[Variación Stock]]&lt;0,"Faltante","Sin novedad"))</f>
        <v>Faltante</v>
      </c>
    </row>
    <row r="2916" spans="1:14" hidden="1" x14ac:dyDescent="0.25">
      <c r="A2916" s="11">
        <v>46053</v>
      </c>
      <c r="B2916" s="5" t="s">
        <v>394</v>
      </c>
      <c r="C2916" s="3" t="s">
        <v>337</v>
      </c>
      <c r="D2916" s="5" t="s">
        <v>471</v>
      </c>
      <c r="E2916" s="5" t="s">
        <v>117</v>
      </c>
      <c r="F2916" s="6" t="s">
        <v>530</v>
      </c>
      <c r="G2916" s="4" t="s">
        <v>1</v>
      </c>
      <c r="H2916" s="25">
        <v>9.5</v>
      </c>
      <c r="I2916" s="8">
        <v>-49.578899999999997</v>
      </c>
      <c r="J2916" s="9">
        <v>0</v>
      </c>
      <c r="K2916" s="7">
        <v>49.578947999999997</v>
      </c>
      <c r="L2916" s="24">
        <f>+Tabla2[[#This Row],[Stock Inventario]]*Tabla2[[#This Row],[Coste LÃ­nea]]</f>
        <v>0</v>
      </c>
      <c r="M2916" s="24">
        <f>+Tabla2[[#This Row],[Variación Stock]]*Tabla2[[#This Row],[Coste LÃ­nea]]</f>
        <v>471.00000599999998</v>
      </c>
      <c r="N2916" s="22" t="str">
        <f>+IF(Tabla2[[#This Row],[Variación Stock]]&gt;0,"Sobrante",IF(Tabla2[[#This Row],[Variación Stock]]&lt;0,"Faltante","Sin novedad"))</f>
        <v>Sobrante</v>
      </c>
    </row>
    <row r="2917" spans="1:14" x14ac:dyDescent="0.25">
      <c r="A2917" s="11">
        <v>46053</v>
      </c>
      <c r="B2917" s="5" t="s">
        <v>394</v>
      </c>
      <c r="C2917" s="3" t="s">
        <v>337</v>
      </c>
      <c r="D2917" s="5" t="s">
        <v>111</v>
      </c>
      <c r="E2917" s="5" t="s">
        <v>112</v>
      </c>
      <c r="F2917" s="6" t="s">
        <v>40</v>
      </c>
      <c r="G2917" s="4" t="s">
        <v>0</v>
      </c>
      <c r="H2917" s="25">
        <v>1988.9655172400001</v>
      </c>
      <c r="I2917" s="8">
        <v>17</v>
      </c>
      <c r="J2917" s="9">
        <v>19</v>
      </c>
      <c r="K2917" s="7">
        <v>2</v>
      </c>
      <c r="L2917" s="24">
        <f>+Tabla2[[#This Row],[Stock Inventario]]*Tabla2[[#This Row],[Coste LÃ­nea]]</f>
        <v>37790.344827560002</v>
      </c>
      <c r="M2917" s="24">
        <f>+Tabla2[[#This Row],[Variación Stock]]*Tabla2[[#This Row],[Coste LÃ­nea]]</f>
        <v>3977.9310344800001</v>
      </c>
      <c r="N2917" s="22" t="str">
        <f>+IF(Tabla2[[#This Row],[Variación Stock]]&gt;0,"Sobrante",IF(Tabla2[[#This Row],[Variación Stock]]&lt;0,"Faltante","Sin novedad"))</f>
        <v>Sobrante</v>
      </c>
    </row>
    <row r="2918" spans="1:14" x14ac:dyDescent="0.25">
      <c r="A2918" s="11">
        <v>46053</v>
      </c>
      <c r="B2918" s="5" t="s">
        <v>394</v>
      </c>
      <c r="C2918" s="3" t="s">
        <v>337</v>
      </c>
      <c r="D2918" s="5" t="s">
        <v>111</v>
      </c>
      <c r="E2918" s="5" t="s">
        <v>112</v>
      </c>
      <c r="F2918" s="6" t="s">
        <v>53</v>
      </c>
      <c r="G2918" s="4" t="s">
        <v>2</v>
      </c>
      <c r="H2918" s="25">
        <v>45099.74</v>
      </c>
      <c r="I2918" s="8">
        <v>2</v>
      </c>
      <c r="J2918" s="9">
        <v>2</v>
      </c>
      <c r="K2918" s="7">
        <v>0</v>
      </c>
      <c r="L2918" s="24">
        <f>+Tabla2[[#This Row],[Stock Inventario]]*Tabla2[[#This Row],[Coste LÃ­nea]]</f>
        <v>90199.48</v>
      </c>
      <c r="M2918" s="24">
        <f>+Tabla2[[#This Row],[Variación Stock]]*Tabla2[[#This Row],[Coste LÃ­nea]]</f>
        <v>0</v>
      </c>
      <c r="N2918" s="22" t="str">
        <f>+IF(Tabla2[[#This Row],[Variación Stock]]&gt;0,"Sobrante",IF(Tabla2[[#This Row],[Variación Stock]]&lt;0,"Faltante","Sin novedad"))</f>
        <v>Sin novedad</v>
      </c>
    </row>
    <row r="2919" spans="1:14" x14ac:dyDescent="0.25">
      <c r="A2919" s="11">
        <v>46053</v>
      </c>
      <c r="B2919" s="5" t="s">
        <v>394</v>
      </c>
      <c r="C2919" s="3" t="s">
        <v>337</v>
      </c>
      <c r="D2919" s="5" t="s">
        <v>111</v>
      </c>
      <c r="E2919" s="5" t="s">
        <v>112</v>
      </c>
      <c r="F2919" s="6" t="s">
        <v>54</v>
      </c>
      <c r="G2919" s="4" t="s">
        <v>0</v>
      </c>
      <c r="H2919" s="25">
        <v>2134.5416666699998</v>
      </c>
      <c r="I2919" s="8">
        <v>0</v>
      </c>
      <c r="J2919" s="9">
        <v>0</v>
      </c>
      <c r="K2919" s="7">
        <v>0</v>
      </c>
      <c r="L2919" s="24">
        <f>+Tabla2[[#This Row],[Stock Inventario]]*Tabla2[[#This Row],[Coste LÃ­nea]]</f>
        <v>0</v>
      </c>
      <c r="M2919" s="24">
        <f>+Tabla2[[#This Row],[Variación Stock]]*Tabla2[[#This Row],[Coste LÃ­nea]]</f>
        <v>0</v>
      </c>
      <c r="N2919" s="22" t="str">
        <f>+IF(Tabla2[[#This Row],[Variación Stock]]&gt;0,"Sobrante",IF(Tabla2[[#This Row],[Variación Stock]]&lt;0,"Faltante","Sin novedad"))</f>
        <v>Sin novedad</v>
      </c>
    </row>
    <row r="2920" spans="1:14" x14ac:dyDescent="0.25">
      <c r="A2920" s="11">
        <v>46053</v>
      </c>
      <c r="B2920" s="5" t="s">
        <v>394</v>
      </c>
      <c r="C2920" s="3" t="s">
        <v>337</v>
      </c>
      <c r="D2920" s="5" t="s">
        <v>111</v>
      </c>
      <c r="E2920" s="5" t="s">
        <v>112</v>
      </c>
      <c r="F2920" s="6" t="s">
        <v>55</v>
      </c>
      <c r="G2920" s="4" t="s">
        <v>0</v>
      </c>
      <c r="H2920" s="25">
        <v>3171.7162499999999</v>
      </c>
      <c r="I2920" s="8">
        <v>32</v>
      </c>
      <c r="J2920" s="9">
        <v>32</v>
      </c>
      <c r="K2920" s="7">
        <v>0</v>
      </c>
      <c r="L2920" s="24">
        <f>+Tabla2[[#This Row],[Stock Inventario]]*Tabla2[[#This Row],[Coste LÃ­nea]]</f>
        <v>101494.92</v>
      </c>
      <c r="M2920" s="24">
        <f>+Tabla2[[#This Row],[Variación Stock]]*Tabla2[[#This Row],[Coste LÃ­nea]]</f>
        <v>0</v>
      </c>
      <c r="N2920" s="22" t="str">
        <f>+IF(Tabla2[[#This Row],[Variación Stock]]&gt;0,"Sobrante",IF(Tabla2[[#This Row],[Variación Stock]]&lt;0,"Faltante","Sin novedad"))</f>
        <v>Sin novedad</v>
      </c>
    </row>
    <row r="2921" spans="1:14" x14ac:dyDescent="0.25">
      <c r="A2921" s="11">
        <v>46053</v>
      </c>
      <c r="B2921" s="5" t="s">
        <v>394</v>
      </c>
      <c r="C2921" s="3" t="s">
        <v>337</v>
      </c>
      <c r="D2921" s="5" t="s">
        <v>111</v>
      </c>
      <c r="E2921" s="5" t="s">
        <v>112</v>
      </c>
      <c r="F2921" s="6" t="s">
        <v>362</v>
      </c>
      <c r="G2921" s="4" t="s">
        <v>0</v>
      </c>
      <c r="H2921" s="25">
        <v>8500</v>
      </c>
      <c r="I2921" s="8">
        <v>0</v>
      </c>
      <c r="J2921" s="9">
        <v>0</v>
      </c>
      <c r="K2921" s="7">
        <v>0</v>
      </c>
      <c r="L2921" s="24">
        <f>+Tabla2[[#This Row],[Stock Inventario]]*Tabla2[[#This Row],[Coste LÃ­nea]]</f>
        <v>0</v>
      </c>
      <c r="M2921" s="24">
        <f>+Tabla2[[#This Row],[Variación Stock]]*Tabla2[[#This Row],[Coste LÃ­nea]]</f>
        <v>0</v>
      </c>
      <c r="N2921" s="22" t="str">
        <f>+IF(Tabla2[[#This Row],[Variación Stock]]&gt;0,"Sobrante",IF(Tabla2[[#This Row],[Variación Stock]]&lt;0,"Faltante","Sin novedad"))</f>
        <v>Sin novedad</v>
      </c>
    </row>
    <row r="2922" spans="1:14" x14ac:dyDescent="0.25">
      <c r="A2922" s="11">
        <v>46053</v>
      </c>
      <c r="B2922" s="5" t="s">
        <v>394</v>
      </c>
      <c r="C2922" s="3" t="s">
        <v>337</v>
      </c>
      <c r="D2922" s="5" t="s">
        <v>111</v>
      </c>
      <c r="E2922" s="5" t="s">
        <v>112</v>
      </c>
      <c r="F2922" s="6" t="s">
        <v>144</v>
      </c>
      <c r="G2922" s="4" t="s">
        <v>0</v>
      </c>
      <c r="H2922" s="25">
        <v>2121</v>
      </c>
      <c r="I2922" s="8">
        <v>0</v>
      </c>
      <c r="J2922" s="9">
        <v>0</v>
      </c>
      <c r="K2922" s="7">
        <v>0</v>
      </c>
      <c r="L2922" s="24">
        <f>+Tabla2[[#This Row],[Stock Inventario]]*Tabla2[[#This Row],[Coste LÃ­nea]]</f>
        <v>0</v>
      </c>
      <c r="M2922" s="24">
        <f>+Tabla2[[#This Row],[Variación Stock]]*Tabla2[[#This Row],[Coste LÃ­nea]]</f>
        <v>0</v>
      </c>
      <c r="N2922" s="22" t="str">
        <f>+IF(Tabla2[[#This Row],[Variación Stock]]&gt;0,"Sobrante",IF(Tabla2[[#This Row],[Variación Stock]]&lt;0,"Faltante","Sin novedad"))</f>
        <v>Sin novedad</v>
      </c>
    </row>
    <row r="2923" spans="1:14" x14ac:dyDescent="0.25">
      <c r="A2923" s="11">
        <v>46053</v>
      </c>
      <c r="B2923" s="5" t="s">
        <v>394</v>
      </c>
      <c r="C2923" s="3" t="s">
        <v>337</v>
      </c>
      <c r="D2923" s="5" t="s">
        <v>111</v>
      </c>
      <c r="E2923" s="5" t="s">
        <v>112</v>
      </c>
      <c r="F2923" s="6" t="s">
        <v>29</v>
      </c>
      <c r="G2923" s="4" t="s">
        <v>0</v>
      </c>
      <c r="H2923" s="25">
        <v>12951.25</v>
      </c>
      <c r="I2923" s="8">
        <v>10</v>
      </c>
      <c r="J2923" s="9">
        <v>11</v>
      </c>
      <c r="K2923" s="7">
        <v>1</v>
      </c>
      <c r="L2923" s="24">
        <f>+Tabla2[[#This Row],[Stock Inventario]]*Tabla2[[#This Row],[Coste LÃ­nea]]</f>
        <v>142463.75</v>
      </c>
      <c r="M2923" s="24">
        <f>+Tabla2[[#This Row],[Variación Stock]]*Tabla2[[#This Row],[Coste LÃ­nea]]</f>
        <v>12951.25</v>
      </c>
      <c r="N2923" s="22" t="str">
        <f>+IF(Tabla2[[#This Row],[Variación Stock]]&gt;0,"Sobrante",IF(Tabla2[[#This Row],[Variación Stock]]&lt;0,"Faltante","Sin novedad"))</f>
        <v>Sobrante</v>
      </c>
    </row>
    <row r="2924" spans="1:14" x14ac:dyDescent="0.25">
      <c r="A2924" s="11">
        <v>46053</v>
      </c>
      <c r="B2924" s="5" t="s">
        <v>394</v>
      </c>
      <c r="C2924" s="3" t="s">
        <v>337</v>
      </c>
      <c r="D2924" s="5" t="s">
        <v>111</v>
      </c>
      <c r="E2924" s="5" t="s">
        <v>112</v>
      </c>
      <c r="F2924" s="6" t="s">
        <v>56</v>
      </c>
      <c r="G2924" s="4" t="s">
        <v>0</v>
      </c>
      <c r="H2924" s="25">
        <v>5291.6666666700003</v>
      </c>
      <c r="I2924" s="8">
        <v>0</v>
      </c>
      <c r="J2924" s="9">
        <v>0</v>
      </c>
      <c r="K2924" s="7">
        <v>0</v>
      </c>
      <c r="L2924" s="24">
        <f>+Tabla2[[#This Row],[Stock Inventario]]*Tabla2[[#This Row],[Coste LÃ­nea]]</f>
        <v>0</v>
      </c>
      <c r="M2924" s="24">
        <f>+Tabla2[[#This Row],[Variación Stock]]*Tabla2[[#This Row],[Coste LÃ­nea]]</f>
        <v>0</v>
      </c>
      <c r="N2924" s="22" t="str">
        <f>+IF(Tabla2[[#This Row],[Variación Stock]]&gt;0,"Sobrante",IF(Tabla2[[#This Row],[Variación Stock]]&lt;0,"Faltante","Sin novedad"))</f>
        <v>Sin novedad</v>
      </c>
    </row>
    <row r="2925" spans="1:14" hidden="1" x14ac:dyDescent="0.25">
      <c r="A2925" s="11">
        <v>46053</v>
      </c>
      <c r="B2925" s="5" t="s">
        <v>394</v>
      </c>
      <c r="C2925" s="3" t="s">
        <v>337</v>
      </c>
      <c r="D2925" s="5" t="s">
        <v>396</v>
      </c>
      <c r="E2925" s="5" t="s">
        <v>117</v>
      </c>
      <c r="F2925" s="6" t="s">
        <v>450</v>
      </c>
      <c r="G2925" s="4" t="s">
        <v>1</v>
      </c>
      <c r="H2925" s="25">
        <v>2.4009999999999998</v>
      </c>
      <c r="I2925" s="8">
        <v>6839.5616</v>
      </c>
      <c r="J2925" s="9">
        <v>3480</v>
      </c>
      <c r="K2925" s="7">
        <v>-4359.5615690000004</v>
      </c>
      <c r="L2925" s="24">
        <f>+Tabla2[[#This Row],[Stock Inventario]]*Tabla2[[#This Row],[Coste LÃ­nea]]</f>
        <v>8355.48</v>
      </c>
      <c r="M2925" s="24">
        <f>+Tabla2[[#This Row],[Variación Stock]]*Tabla2[[#This Row],[Coste LÃ­nea]]</f>
        <v>-10467.307327169001</v>
      </c>
      <c r="N2925" s="22" t="str">
        <f>+IF(Tabla2[[#This Row],[Variación Stock]]&gt;0,"Sobrante",IF(Tabla2[[#This Row],[Variación Stock]]&lt;0,"Faltante","Sin novedad"))</f>
        <v>Faltante</v>
      </c>
    </row>
    <row r="2926" spans="1:14" hidden="1" x14ac:dyDescent="0.25">
      <c r="A2926" s="11">
        <v>46053</v>
      </c>
      <c r="B2926" s="5" t="s">
        <v>394</v>
      </c>
      <c r="C2926" s="3" t="s">
        <v>337</v>
      </c>
      <c r="D2926" s="5" t="s">
        <v>396</v>
      </c>
      <c r="E2926" s="5" t="s">
        <v>117</v>
      </c>
      <c r="F2926" s="6" t="s">
        <v>420</v>
      </c>
      <c r="G2926" s="4" t="s">
        <v>1</v>
      </c>
      <c r="H2926" s="25">
        <v>24.8</v>
      </c>
      <c r="I2926" s="8">
        <v>0</v>
      </c>
      <c r="J2926" s="9">
        <v>0</v>
      </c>
      <c r="K2926" s="7">
        <v>0</v>
      </c>
      <c r="L2926" s="24">
        <f>+Tabla2[[#This Row],[Stock Inventario]]*Tabla2[[#This Row],[Coste LÃ­nea]]</f>
        <v>0</v>
      </c>
      <c r="M2926" s="24">
        <f>+Tabla2[[#This Row],[Variación Stock]]*Tabla2[[#This Row],[Coste LÃ­nea]]</f>
        <v>0</v>
      </c>
      <c r="N2926" s="22" t="str">
        <f>+IF(Tabla2[[#This Row],[Variación Stock]]&gt;0,"Sobrante",IF(Tabla2[[#This Row],[Variación Stock]]&lt;0,"Faltante","Sin novedad"))</f>
        <v>Sin novedad</v>
      </c>
    </row>
    <row r="2927" spans="1:14" hidden="1" x14ac:dyDescent="0.25">
      <c r="A2927" s="11">
        <v>46053</v>
      </c>
      <c r="B2927" s="5" t="s">
        <v>394</v>
      </c>
      <c r="C2927" s="3" t="s">
        <v>337</v>
      </c>
      <c r="D2927" s="5" t="s">
        <v>119</v>
      </c>
      <c r="E2927" s="5" t="s">
        <v>117</v>
      </c>
      <c r="F2927" s="6" t="s">
        <v>93</v>
      </c>
      <c r="G2927" s="4" t="s">
        <v>1</v>
      </c>
      <c r="H2927" s="25">
        <v>60</v>
      </c>
      <c r="I2927" s="8">
        <v>21712.555499999999</v>
      </c>
      <c r="J2927" s="9">
        <v>14524</v>
      </c>
      <c r="K2927" s="15">
        <v>-7188.5555039999999</v>
      </c>
      <c r="L2927" s="24">
        <f>+Tabla2[[#This Row],[Stock Inventario]]*Tabla2[[#This Row],[Coste LÃ­nea]]</f>
        <v>871440</v>
      </c>
      <c r="M2927" s="24">
        <f>+Tabla2[[#This Row],[Variación Stock]]*Tabla2[[#This Row],[Coste LÃ­nea]]</f>
        <v>-431313.33023999998</v>
      </c>
      <c r="N2927" s="22" t="str">
        <f>+IF(Tabla2[[#This Row],[Variación Stock]]&gt;0,"Sobrante",IF(Tabla2[[#This Row],[Variación Stock]]&lt;0,"Faltante","Sin novedad"))</f>
        <v>Faltante</v>
      </c>
    </row>
    <row r="2928" spans="1:14" x14ac:dyDescent="0.25">
      <c r="A2928" s="11">
        <v>46053</v>
      </c>
      <c r="B2928" s="5" t="s">
        <v>394</v>
      </c>
      <c r="C2928" s="3" t="s">
        <v>337</v>
      </c>
      <c r="D2928" s="5" t="s">
        <v>603</v>
      </c>
      <c r="E2928" s="5" t="s">
        <v>112</v>
      </c>
      <c r="F2928" s="6" t="s">
        <v>609</v>
      </c>
      <c r="G2928" s="4" t="s">
        <v>1</v>
      </c>
      <c r="H2928" s="25">
        <v>43.459558819999998</v>
      </c>
      <c r="I2928" s="8">
        <v>-1544</v>
      </c>
      <c r="J2928" s="9">
        <v>0</v>
      </c>
      <c r="K2928" s="7">
        <v>1544</v>
      </c>
      <c r="L2928" s="24">
        <f>+Tabla2[[#This Row],[Stock Inventario]]*Tabla2[[#This Row],[Coste LÃ­nea]]</f>
        <v>0</v>
      </c>
      <c r="M2928" s="24">
        <f>+Tabla2[[#This Row],[Variación Stock]]*Tabla2[[#This Row],[Coste LÃ­nea]]</f>
        <v>67101.558818079997</v>
      </c>
      <c r="N2928" s="22" t="str">
        <f>+IF(Tabla2[[#This Row],[Variación Stock]]&gt;0,"Sobrante",IF(Tabla2[[#This Row],[Variación Stock]]&lt;0,"Faltante","Sin novedad"))</f>
        <v>Sobrante</v>
      </c>
    </row>
    <row r="2929" spans="1:14" hidden="1" x14ac:dyDescent="0.25">
      <c r="A2929" s="11">
        <v>46053</v>
      </c>
      <c r="B2929" s="5" t="s">
        <v>394</v>
      </c>
      <c r="C2929" s="3" t="s">
        <v>337</v>
      </c>
      <c r="D2929" s="5" t="s">
        <v>396</v>
      </c>
      <c r="E2929" s="5" t="s">
        <v>117</v>
      </c>
      <c r="F2929" s="6" t="s">
        <v>463</v>
      </c>
      <c r="G2929" s="4" t="s">
        <v>1</v>
      </c>
      <c r="H2929" s="25">
        <v>11</v>
      </c>
      <c r="I2929" s="8">
        <v>0</v>
      </c>
      <c r="J2929" s="9">
        <v>0</v>
      </c>
      <c r="K2929" s="7">
        <v>0</v>
      </c>
      <c r="L2929" s="24">
        <f>+Tabla2[[#This Row],[Stock Inventario]]*Tabla2[[#This Row],[Coste LÃ­nea]]</f>
        <v>0</v>
      </c>
      <c r="M2929" s="24">
        <f>+Tabla2[[#This Row],[Variación Stock]]*Tabla2[[#This Row],[Coste LÃ­nea]]</f>
        <v>0</v>
      </c>
      <c r="N2929" s="22" t="str">
        <f>+IF(Tabla2[[#This Row],[Variación Stock]]&gt;0,"Sobrante",IF(Tabla2[[#This Row],[Variación Stock]]&lt;0,"Faltante","Sin novedad"))</f>
        <v>Sin novedad</v>
      </c>
    </row>
    <row r="2930" spans="1:14" hidden="1" x14ac:dyDescent="0.25">
      <c r="A2930" s="11">
        <v>46053</v>
      </c>
      <c r="B2930" s="5" t="s">
        <v>394</v>
      </c>
      <c r="C2930" s="3" t="s">
        <v>337</v>
      </c>
      <c r="D2930" s="5" t="s">
        <v>803</v>
      </c>
      <c r="E2930" s="5" t="s">
        <v>117</v>
      </c>
      <c r="F2930" s="6" t="s">
        <v>812</v>
      </c>
      <c r="G2930" s="4" t="s">
        <v>1</v>
      </c>
      <c r="H2930" s="25">
        <v>26.269315670000001</v>
      </c>
      <c r="I2930" s="8">
        <v>13486</v>
      </c>
      <c r="J2930" s="9">
        <v>2922</v>
      </c>
      <c r="K2930" s="7">
        <v>-10564</v>
      </c>
      <c r="L2930" s="24">
        <f>+Tabla2[[#This Row],[Stock Inventario]]*Tabla2[[#This Row],[Coste LÃ­nea]]</f>
        <v>76758.940387740004</v>
      </c>
      <c r="M2930" s="24">
        <f>+Tabla2[[#This Row],[Variación Stock]]*Tabla2[[#This Row],[Coste LÃ­nea]]</f>
        <v>-277509.05073788</v>
      </c>
      <c r="N2930" s="22" t="str">
        <f>+IF(Tabla2[[#This Row],[Variación Stock]]&gt;0,"Sobrante",IF(Tabla2[[#This Row],[Variación Stock]]&lt;0,"Faltante","Sin novedad"))</f>
        <v>Faltante</v>
      </c>
    </row>
    <row r="2931" spans="1:14" hidden="1" x14ac:dyDescent="0.25">
      <c r="A2931" s="11">
        <v>46053</v>
      </c>
      <c r="B2931" s="5" t="s">
        <v>394</v>
      </c>
      <c r="C2931" s="3" t="s">
        <v>337</v>
      </c>
      <c r="D2931" s="5" t="s">
        <v>396</v>
      </c>
      <c r="E2931" s="5" t="s">
        <v>117</v>
      </c>
      <c r="F2931" s="6" t="s">
        <v>468</v>
      </c>
      <c r="G2931" s="4" t="s">
        <v>1</v>
      </c>
      <c r="H2931" s="25">
        <v>8.9250000000000007</v>
      </c>
      <c r="I2931" s="8">
        <v>-28253</v>
      </c>
      <c r="J2931" s="9">
        <v>2000</v>
      </c>
      <c r="K2931" s="7">
        <v>30253</v>
      </c>
      <c r="L2931" s="24">
        <f>+Tabla2[[#This Row],[Stock Inventario]]*Tabla2[[#This Row],[Coste LÃ­nea]]</f>
        <v>17850</v>
      </c>
      <c r="M2931" s="24">
        <f>+Tabla2[[#This Row],[Variación Stock]]*Tabla2[[#This Row],[Coste LÃ­nea]]</f>
        <v>270008.02500000002</v>
      </c>
      <c r="N2931" s="22" t="str">
        <f>+IF(Tabla2[[#This Row],[Variación Stock]]&gt;0,"Sobrante",IF(Tabla2[[#This Row],[Variación Stock]]&lt;0,"Faltante","Sin novedad"))</f>
        <v>Sobrante</v>
      </c>
    </row>
    <row r="2932" spans="1:14" hidden="1" x14ac:dyDescent="0.25">
      <c r="A2932" s="11">
        <v>46053</v>
      </c>
      <c r="B2932" s="5" t="s">
        <v>394</v>
      </c>
      <c r="C2932" s="3" t="s">
        <v>337</v>
      </c>
      <c r="D2932" s="5" t="s">
        <v>396</v>
      </c>
      <c r="E2932" s="5" t="s">
        <v>117</v>
      </c>
      <c r="F2932" s="6" t="s">
        <v>451</v>
      </c>
      <c r="G2932" s="4" t="s">
        <v>1</v>
      </c>
      <c r="H2932" s="25">
        <v>18.828045979999999</v>
      </c>
      <c r="I2932" s="8">
        <v>5285</v>
      </c>
      <c r="J2932" s="9">
        <v>4890</v>
      </c>
      <c r="K2932" s="7">
        <v>-395</v>
      </c>
      <c r="L2932" s="24">
        <f>+Tabla2[[#This Row],[Stock Inventario]]*Tabla2[[#This Row],[Coste LÃ­nea]]</f>
        <v>92069.144842199996</v>
      </c>
      <c r="M2932" s="24">
        <f>+Tabla2[[#This Row],[Variación Stock]]*Tabla2[[#This Row],[Coste LÃ­nea]]</f>
        <v>-7437.0781620999996</v>
      </c>
      <c r="N2932" s="22" t="str">
        <f>+IF(Tabla2[[#This Row],[Variación Stock]]&gt;0,"Sobrante",IF(Tabla2[[#This Row],[Variación Stock]]&lt;0,"Faltante","Sin novedad"))</f>
        <v>Faltante</v>
      </c>
    </row>
    <row r="2933" spans="1:14" hidden="1" x14ac:dyDescent="0.25">
      <c r="A2933" s="11">
        <v>46053</v>
      </c>
      <c r="B2933" s="5" t="s">
        <v>394</v>
      </c>
      <c r="C2933" s="3" t="s">
        <v>337</v>
      </c>
      <c r="D2933" s="5" t="s">
        <v>396</v>
      </c>
      <c r="E2933" s="5" t="s">
        <v>117</v>
      </c>
      <c r="F2933" s="6" t="s">
        <v>409</v>
      </c>
      <c r="G2933" s="4" t="s">
        <v>1</v>
      </c>
      <c r="H2933" s="25">
        <v>89.0625</v>
      </c>
      <c r="I2933" s="8">
        <v>-30</v>
      </c>
      <c r="J2933" s="9">
        <v>0</v>
      </c>
      <c r="K2933" s="7">
        <v>30</v>
      </c>
      <c r="L2933" s="24">
        <f>+Tabla2[[#This Row],[Stock Inventario]]*Tabla2[[#This Row],[Coste LÃ­nea]]</f>
        <v>0</v>
      </c>
      <c r="M2933" s="24">
        <f>+Tabla2[[#This Row],[Variación Stock]]*Tabla2[[#This Row],[Coste LÃ­nea]]</f>
        <v>2671.875</v>
      </c>
      <c r="N2933" s="22" t="str">
        <f>+IF(Tabla2[[#This Row],[Variación Stock]]&gt;0,"Sobrante",IF(Tabla2[[#This Row],[Variación Stock]]&lt;0,"Faltante","Sin novedad"))</f>
        <v>Sobrante</v>
      </c>
    </row>
    <row r="2934" spans="1:14" hidden="1" x14ac:dyDescent="0.25">
      <c r="A2934" s="11">
        <v>46053</v>
      </c>
      <c r="B2934" s="5" t="s">
        <v>394</v>
      </c>
      <c r="C2934" s="3" t="s">
        <v>337</v>
      </c>
      <c r="D2934" s="5" t="s">
        <v>559</v>
      </c>
      <c r="E2934" s="5" t="s">
        <v>1080</v>
      </c>
      <c r="F2934" s="6" t="s">
        <v>595</v>
      </c>
      <c r="G2934" s="4" t="s">
        <v>2</v>
      </c>
      <c r="H2934" s="25">
        <v>81.81</v>
      </c>
      <c r="I2934" s="8">
        <v>112</v>
      </c>
      <c r="J2934" s="9">
        <v>30</v>
      </c>
      <c r="K2934" s="7">
        <v>-82</v>
      </c>
      <c r="L2934" s="24">
        <f>+Tabla2[[#This Row],[Stock Inventario]]*Tabla2[[#This Row],[Coste LÃ­nea]]</f>
        <v>2454.3000000000002</v>
      </c>
      <c r="M2934" s="24">
        <f>+Tabla2[[#This Row],[Variación Stock]]*Tabla2[[#This Row],[Coste LÃ­nea]]</f>
        <v>-6708.42</v>
      </c>
      <c r="N2934" s="22" t="str">
        <f>+IF(Tabla2[[#This Row],[Variación Stock]]&gt;0,"Sobrante",IF(Tabla2[[#This Row],[Variación Stock]]&lt;0,"Faltante","Sin novedad"))</f>
        <v>Faltante</v>
      </c>
    </row>
    <row r="2935" spans="1:14" hidden="1" x14ac:dyDescent="0.25">
      <c r="A2935" s="11">
        <v>46053</v>
      </c>
      <c r="B2935" s="5" t="s">
        <v>394</v>
      </c>
      <c r="C2935" s="3" t="s">
        <v>337</v>
      </c>
      <c r="D2935" s="5" t="s">
        <v>471</v>
      </c>
      <c r="E2935" s="5" t="s">
        <v>117</v>
      </c>
      <c r="F2935" s="6" t="s">
        <v>531</v>
      </c>
      <c r="G2935" s="4" t="s">
        <v>1</v>
      </c>
      <c r="H2935" s="25">
        <v>2</v>
      </c>
      <c r="I2935" s="8">
        <v>8100</v>
      </c>
      <c r="J2935" s="9">
        <v>0</v>
      </c>
      <c r="K2935" s="7">
        <v>-8100</v>
      </c>
      <c r="L2935" s="24">
        <f>+Tabla2[[#This Row],[Stock Inventario]]*Tabla2[[#This Row],[Coste LÃ­nea]]</f>
        <v>0</v>
      </c>
      <c r="M2935" s="24">
        <f>+Tabla2[[#This Row],[Variación Stock]]*Tabla2[[#This Row],[Coste LÃ­nea]]</f>
        <v>-16200</v>
      </c>
      <c r="N2935" s="22" t="str">
        <f>+IF(Tabla2[[#This Row],[Variación Stock]]&gt;0,"Sobrante",IF(Tabla2[[#This Row],[Variación Stock]]&lt;0,"Faltante","Sin novedad"))</f>
        <v>Faltante</v>
      </c>
    </row>
    <row r="2936" spans="1:14" x14ac:dyDescent="0.25">
      <c r="A2936" s="11">
        <v>46053</v>
      </c>
      <c r="B2936" s="5" t="s">
        <v>394</v>
      </c>
      <c r="C2936" s="3" t="s">
        <v>337</v>
      </c>
      <c r="D2936" s="5" t="s">
        <v>114</v>
      </c>
      <c r="E2936" s="5" t="s">
        <v>112</v>
      </c>
      <c r="F2936" s="6" t="s">
        <v>3</v>
      </c>
      <c r="G2936" s="4" t="s">
        <v>2</v>
      </c>
      <c r="H2936" s="25">
        <v>2000</v>
      </c>
      <c r="I2936" s="8">
        <v>126.6</v>
      </c>
      <c r="J2936" s="9">
        <v>111.5</v>
      </c>
      <c r="K2936" s="7">
        <v>-15.1</v>
      </c>
      <c r="L2936" s="24">
        <f>+Tabla2[[#This Row],[Stock Inventario]]*Tabla2[[#This Row],[Coste LÃ­nea]]</f>
        <v>223000</v>
      </c>
      <c r="M2936" s="24">
        <f>+Tabla2[[#This Row],[Variación Stock]]*Tabla2[[#This Row],[Coste LÃ­nea]]</f>
        <v>-30200</v>
      </c>
      <c r="N2936" s="22" t="str">
        <f>+IF(Tabla2[[#This Row],[Variación Stock]]&gt;0,"Sobrante",IF(Tabla2[[#This Row],[Variación Stock]]&lt;0,"Faltante","Sin novedad"))</f>
        <v>Faltante</v>
      </c>
    </row>
    <row r="2937" spans="1:14" hidden="1" x14ac:dyDescent="0.25">
      <c r="A2937" s="11">
        <v>46053</v>
      </c>
      <c r="B2937" s="5" t="s">
        <v>394</v>
      </c>
      <c r="C2937" s="3" t="s">
        <v>337</v>
      </c>
      <c r="D2937" s="5" t="s">
        <v>396</v>
      </c>
      <c r="E2937" s="5" t="s">
        <v>117</v>
      </c>
      <c r="F2937" s="6" t="s">
        <v>404</v>
      </c>
      <c r="G2937" s="4" t="s">
        <v>1</v>
      </c>
      <c r="H2937" s="25">
        <v>44.212727270000002</v>
      </c>
      <c r="I2937" s="8">
        <v>-495</v>
      </c>
      <c r="J2937" s="9">
        <v>0</v>
      </c>
      <c r="K2937" s="7">
        <v>495</v>
      </c>
      <c r="L2937" s="24">
        <f>+Tabla2[[#This Row],[Stock Inventario]]*Tabla2[[#This Row],[Coste LÃ­nea]]</f>
        <v>0</v>
      </c>
      <c r="M2937" s="24">
        <f>+Tabla2[[#This Row],[Variación Stock]]*Tabla2[[#This Row],[Coste LÃ­nea]]</f>
        <v>21885.29999865</v>
      </c>
      <c r="N2937" s="22" t="str">
        <f>+IF(Tabla2[[#This Row],[Variación Stock]]&gt;0,"Sobrante",IF(Tabla2[[#This Row],[Variación Stock]]&lt;0,"Faltante","Sin novedad"))</f>
        <v>Sobrante</v>
      </c>
    </row>
    <row r="2938" spans="1:14" hidden="1" x14ac:dyDescent="0.25">
      <c r="A2938" s="11">
        <v>46053</v>
      </c>
      <c r="B2938" s="5" t="s">
        <v>394</v>
      </c>
      <c r="C2938" s="3" t="s">
        <v>337</v>
      </c>
      <c r="D2938" s="5" t="s">
        <v>396</v>
      </c>
      <c r="E2938" s="5" t="s">
        <v>117</v>
      </c>
      <c r="F2938" s="6" t="s">
        <v>421</v>
      </c>
      <c r="G2938" s="4" t="s">
        <v>1</v>
      </c>
      <c r="H2938" s="25">
        <v>77.43726667</v>
      </c>
      <c r="I2938" s="8">
        <v>0</v>
      </c>
      <c r="J2938" s="9">
        <v>190</v>
      </c>
      <c r="K2938" s="7">
        <v>190</v>
      </c>
      <c r="L2938" s="24">
        <f>+Tabla2[[#This Row],[Stock Inventario]]*Tabla2[[#This Row],[Coste LÃ­nea]]</f>
        <v>14713.080667300001</v>
      </c>
      <c r="M2938" s="24">
        <f>+Tabla2[[#This Row],[Variación Stock]]*Tabla2[[#This Row],[Coste LÃ­nea]]</f>
        <v>14713.080667300001</v>
      </c>
      <c r="N2938" s="22" t="str">
        <f>+IF(Tabla2[[#This Row],[Variación Stock]]&gt;0,"Sobrante",IF(Tabla2[[#This Row],[Variación Stock]]&lt;0,"Faltante","Sin novedad"))</f>
        <v>Sobrante</v>
      </c>
    </row>
    <row r="2939" spans="1:14" hidden="1" x14ac:dyDescent="0.25">
      <c r="A2939" s="11">
        <v>46053</v>
      </c>
      <c r="B2939" s="5" t="s">
        <v>394</v>
      </c>
      <c r="C2939" s="3" t="s">
        <v>337</v>
      </c>
      <c r="D2939" s="5" t="s">
        <v>396</v>
      </c>
      <c r="E2939" s="5" t="s">
        <v>117</v>
      </c>
      <c r="F2939" s="6" t="s">
        <v>411</v>
      </c>
      <c r="G2939" s="4" t="s">
        <v>1</v>
      </c>
      <c r="H2939" s="25">
        <v>152.13461538000001</v>
      </c>
      <c r="I2939" s="8">
        <v>0</v>
      </c>
      <c r="J2939" s="9">
        <v>0</v>
      </c>
      <c r="K2939" s="7">
        <v>0</v>
      </c>
      <c r="L2939" s="24">
        <f>+Tabla2[[#This Row],[Stock Inventario]]*Tabla2[[#This Row],[Coste LÃ­nea]]</f>
        <v>0</v>
      </c>
      <c r="M2939" s="24">
        <f>+Tabla2[[#This Row],[Variación Stock]]*Tabla2[[#This Row],[Coste LÃ­nea]]</f>
        <v>0</v>
      </c>
      <c r="N2939" s="22" t="str">
        <f>+IF(Tabla2[[#This Row],[Variación Stock]]&gt;0,"Sobrante",IF(Tabla2[[#This Row],[Variación Stock]]&lt;0,"Faltante","Sin novedad"))</f>
        <v>Sin novedad</v>
      </c>
    </row>
    <row r="2940" spans="1:14" hidden="1" x14ac:dyDescent="0.25">
      <c r="A2940" s="11">
        <v>46053</v>
      </c>
      <c r="B2940" s="5" t="s">
        <v>394</v>
      </c>
      <c r="C2940" s="3" t="s">
        <v>337</v>
      </c>
      <c r="D2940" s="5" t="s">
        <v>559</v>
      </c>
      <c r="E2940" s="5" t="s">
        <v>1080</v>
      </c>
      <c r="F2940" s="6" t="s">
        <v>596</v>
      </c>
      <c r="G2940" s="4" t="s">
        <v>2</v>
      </c>
      <c r="H2940" s="25">
        <v>52.875555560000002</v>
      </c>
      <c r="I2940" s="8">
        <v>7200</v>
      </c>
      <c r="J2940" s="9">
        <v>8800</v>
      </c>
      <c r="K2940" s="7">
        <v>1600</v>
      </c>
      <c r="L2940" s="24">
        <f>+Tabla2[[#This Row],[Stock Inventario]]*Tabla2[[#This Row],[Coste LÃ­nea]]</f>
        <v>465304.888928</v>
      </c>
      <c r="M2940" s="24">
        <f>+Tabla2[[#This Row],[Variación Stock]]*Tabla2[[#This Row],[Coste LÃ­nea]]</f>
        <v>84600.888896000004</v>
      </c>
      <c r="N2940" s="22" t="str">
        <f>+IF(Tabla2[[#This Row],[Variación Stock]]&gt;0,"Sobrante",IF(Tabla2[[#This Row],[Variación Stock]]&lt;0,"Faltante","Sin novedad"))</f>
        <v>Sobrante</v>
      </c>
    </row>
    <row r="2941" spans="1:14" hidden="1" x14ac:dyDescent="0.25">
      <c r="A2941" s="11">
        <v>46053</v>
      </c>
      <c r="B2941" s="5" t="s">
        <v>394</v>
      </c>
      <c r="C2941" s="3" t="s">
        <v>337</v>
      </c>
      <c r="D2941" s="5" t="s">
        <v>559</v>
      </c>
      <c r="E2941" s="5" t="s">
        <v>1080</v>
      </c>
      <c r="F2941" s="6" t="s">
        <v>597</v>
      </c>
      <c r="G2941" s="4" t="s">
        <v>2</v>
      </c>
      <c r="H2941" s="25">
        <v>377.23</v>
      </c>
      <c r="I2941" s="8">
        <v>0</v>
      </c>
      <c r="J2941" s="9">
        <v>0</v>
      </c>
      <c r="K2941" s="7">
        <v>0</v>
      </c>
      <c r="L2941" s="24">
        <f>+Tabla2[[#This Row],[Stock Inventario]]*Tabla2[[#This Row],[Coste LÃ­nea]]</f>
        <v>0</v>
      </c>
      <c r="M2941" s="24">
        <f>+Tabla2[[#This Row],[Variación Stock]]*Tabla2[[#This Row],[Coste LÃ­nea]]</f>
        <v>0</v>
      </c>
      <c r="N2941" s="22" t="str">
        <f>+IF(Tabla2[[#This Row],[Variación Stock]]&gt;0,"Sobrante",IF(Tabla2[[#This Row],[Variación Stock]]&lt;0,"Faltante","Sin novedad"))</f>
        <v>Sin novedad</v>
      </c>
    </row>
    <row r="2942" spans="1:14" hidden="1" x14ac:dyDescent="0.25">
      <c r="A2942" s="11">
        <v>46053</v>
      </c>
      <c r="B2942" s="5" t="s">
        <v>394</v>
      </c>
      <c r="C2942" s="3" t="s">
        <v>337</v>
      </c>
      <c r="D2942" s="5" t="s">
        <v>396</v>
      </c>
      <c r="E2942" s="5" t="s">
        <v>117</v>
      </c>
      <c r="F2942" s="6" t="s">
        <v>405</v>
      </c>
      <c r="G2942" s="4" t="s">
        <v>2</v>
      </c>
      <c r="H2942" s="25">
        <v>450</v>
      </c>
      <c r="I2942" s="8">
        <v>-21</v>
      </c>
      <c r="J2942" s="9">
        <v>0</v>
      </c>
      <c r="K2942" s="7">
        <v>21</v>
      </c>
      <c r="L2942" s="24">
        <f>+Tabla2[[#This Row],[Stock Inventario]]*Tabla2[[#This Row],[Coste LÃ­nea]]</f>
        <v>0</v>
      </c>
      <c r="M2942" s="24">
        <f>+Tabla2[[#This Row],[Variación Stock]]*Tabla2[[#This Row],[Coste LÃ­nea]]</f>
        <v>9450</v>
      </c>
      <c r="N2942" s="22" t="str">
        <f>+IF(Tabla2[[#This Row],[Variación Stock]]&gt;0,"Sobrante",IF(Tabla2[[#This Row],[Variación Stock]]&lt;0,"Faltante","Sin novedad"))</f>
        <v>Sobrante</v>
      </c>
    </row>
    <row r="2943" spans="1:14" x14ac:dyDescent="0.25">
      <c r="A2943" s="11">
        <v>46053</v>
      </c>
      <c r="B2943" s="5" t="s">
        <v>394</v>
      </c>
      <c r="C2943" s="3" t="s">
        <v>337</v>
      </c>
      <c r="D2943" s="5" t="s">
        <v>111</v>
      </c>
      <c r="E2943" s="5" t="s">
        <v>112</v>
      </c>
      <c r="F2943" s="6" t="s">
        <v>30</v>
      </c>
      <c r="G2943" s="4" t="s">
        <v>0</v>
      </c>
      <c r="H2943" s="25">
        <v>3673.5</v>
      </c>
      <c r="I2943" s="8">
        <v>0</v>
      </c>
      <c r="J2943" s="9">
        <v>0</v>
      </c>
      <c r="K2943" s="7">
        <v>0</v>
      </c>
      <c r="L2943" s="24">
        <f>+Tabla2[[#This Row],[Stock Inventario]]*Tabla2[[#This Row],[Coste LÃ­nea]]</f>
        <v>0</v>
      </c>
      <c r="M2943" s="24">
        <f>+Tabla2[[#This Row],[Variación Stock]]*Tabla2[[#This Row],[Coste LÃ­nea]]</f>
        <v>0</v>
      </c>
      <c r="N2943" s="22" t="str">
        <f>+IF(Tabla2[[#This Row],[Variación Stock]]&gt;0,"Sobrante",IF(Tabla2[[#This Row],[Variación Stock]]&lt;0,"Faltante","Sin novedad"))</f>
        <v>Sin novedad</v>
      </c>
    </row>
    <row r="2944" spans="1:14" x14ac:dyDescent="0.25">
      <c r="A2944" s="11">
        <v>46053</v>
      </c>
      <c r="B2944" s="5" t="s">
        <v>394</v>
      </c>
      <c r="C2944" s="3" t="s">
        <v>337</v>
      </c>
      <c r="D2944" s="5" t="s">
        <v>114</v>
      </c>
      <c r="E2944" s="5" t="s">
        <v>112</v>
      </c>
      <c r="F2944" s="6" t="s">
        <v>147</v>
      </c>
      <c r="G2944" s="4" t="s">
        <v>2</v>
      </c>
      <c r="H2944" s="25">
        <v>1944.4444444000001</v>
      </c>
      <c r="I2944" s="8">
        <v>0</v>
      </c>
      <c r="J2944" s="9">
        <v>0</v>
      </c>
      <c r="K2944" s="7">
        <v>0</v>
      </c>
      <c r="L2944" s="24">
        <f>+Tabla2[[#This Row],[Stock Inventario]]*Tabla2[[#This Row],[Coste LÃ­nea]]</f>
        <v>0</v>
      </c>
      <c r="M2944" s="24">
        <f>+Tabla2[[#This Row],[Variación Stock]]*Tabla2[[#This Row],[Coste LÃ­nea]]</f>
        <v>0</v>
      </c>
      <c r="N2944" s="22" t="str">
        <f>+IF(Tabla2[[#This Row],[Variación Stock]]&gt;0,"Sobrante",IF(Tabla2[[#This Row],[Variación Stock]]&lt;0,"Faltante","Sin novedad"))</f>
        <v>Sin novedad</v>
      </c>
    </row>
    <row r="2945" spans="1:14" x14ac:dyDescent="0.25">
      <c r="A2945" s="11">
        <v>46053</v>
      </c>
      <c r="B2945" s="5" t="s">
        <v>394</v>
      </c>
      <c r="C2945" s="3" t="s">
        <v>337</v>
      </c>
      <c r="D2945" s="5" t="s">
        <v>114</v>
      </c>
      <c r="E2945" s="5" t="s">
        <v>112</v>
      </c>
      <c r="F2945" s="6" t="s">
        <v>70</v>
      </c>
      <c r="G2945" s="4" t="s">
        <v>2</v>
      </c>
      <c r="H2945" s="25">
        <v>1835.41666667</v>
      </c>
      <c r="I2945" s="8">
        <v>0</v>
      </c>
      <c r="J2945" s="9">
        <v>0</v>
      </c>
      <c r="K2945" s="7">
        <v>0</v>
      </c>
      <c r="L2945" s="24">
        <f>+Tabla2[[#This Row],[Stock Inventario]]*Tabla2[[#This Row],[Coste LÃ­nea]]</f>
        <v>0</v>
      </c>
      <c r="M2945" s="24">
        <f>+Tabla2[[#This Row],[Variación Stock]]*Tabla2[[#This Row],[Coste LÃ­nea]]</f>
        <v>0</v>
      </c>
      <c r="N2945" s="22" t="str">
        <f>+IF(Tabla2[[#This Row],[Variación Stock]]&gt;0,"Sobrante",IF(Tabla2[[#This Row],[Variación Stock]]&lt;0,"Faltante","Sin novedad"))</f>
        <v>Sin novedad</v>
      </c>
    </row>
    <row r="2946" spans="1:14" hidden="1" x14ac:dyDescent="0.25">
      <c r="A2946" s="11">
        <v>46053</v>
      </c>
      <c r="B2946" s="5" t="s">
        <v>394</v>
      </c>
      <c r="C2946" s="3" t="s">
        <v>337</v>
      </c>
      <c r="D2946" s="5" t="s">
        <v>116</v>
      </c>
      <c r="E2946" s="5" t="s">
        <v>117</v>
      </c>
      <c r="F2946" s="6" t="s">
        <v>7</v>
      </c>
      <c r="G2946" s="4" t="s">
        <v>2</v>
      </c>
      <c r="H2946" s="25">
        <v>13082.95454545</v>
      </c>
      <c r="I2946" s="8">
        <v>79</v>
      </c>
      <c r="J2946" s="9">
        <v>63</v>
      </c>
      <c r="K2946" s="15">
        <v>-16</v>
      </c>
      <c r="L2946" s="24">
        <f>+Tabla2[[#This Row],[Stock Inventario]]*Tabla2[[#This Row],[Coste LÃ­nea]]</f>
        <v>824226.13636334997</v>
      </c>
      <c r="M2946" s="24">
        <f>+Tabla2[[#This Row],[Variación Stock]]*Tabla2[[#This Row],[Coste LÃ­nea]]</f>
        <v>-209327.2727272</v>
      </c>
      <c r="N2946" s="22" t="str">
        <f>+IF(Tabla2[[#This Row],[Variación Stock]]&gt;0,"Sobrante",IF(Tabla2[[#This Row],[Variación Stock]]&lt;0,"Faltante","Sin novedad"))</f>
        <v>Faltante</v>
      </c>
    </row>
    <row r="2947" spans="1:14" hidden="1" x14ac:dyDescent="0.25">
      <c r="A2947" s="11">
        <v>46053</v>
      </c>
      <c r="B2947" s="5" t="s">
        <v>394</v>
      </c>
      <c r="C2947" s="3" t="s">
        <v>337</v>
      </c>
      <c r="D2947" s="5" t="s">
        <v>396</v>
      </c>
      <c r="E2947" s="5" t="s">
        <v>117</v>
      </c>
      <c r="F2947" s="6" t="s">
        <v>422</v>
      </c>
      <c r="G2947" s="4" t="s">
        <v>1</v>
      </c>
      <c r="H2947" s="25">
        <v>24</v>
      </c>
      <c r="I2947" s="8">
        <v>0</v>
      </c>
      <c r="J2947" s="9">
        <v>0</v>
      </c>
      <c r="K2947" s="7">
        <v>0</v>
      </c>
      <c r="L2947" s="24">
        <f>+Tabla2[[#This Row],[Stock Inventario]]*Tabla2[[#This Row],[Coste LÃ­nea]]</f>
        <v>0</v>
      </c>
      <c r="M2947" s="24">
        <f>+Tabla2[[#This Row],[Variación Stock]]*Tabla2[[#This Row],[Coste LÃ­nea]]</f>
        <v>0</v>
      </c>
      <c r="N2947" s="22" t="str">
        <f>+IF(Tabla2[[#This Row],[Variación Stock]]&gt;0,"Sobrante",IF(Tabla2[[#This Row],[Variación Stock]]&lt;0,"Faltante","Sin novedad"))</f>
        <v>Sin novedad</v>
      </c>
    </row>
    <row r="2948" spans="1:14" hidden="1" x14ac:dyDescent="0.25">
      <c r="A2948" s="11">
        <v>46053</v>
      </c>
      <c r="B2948" s="5" t="s">
        <v>394</v>
      </c>
      <c r="C2948" s="3" t="s">
        <v>337</v>
      </c>
      <c r="D2948" s="5" t="s">
        <v>396</v>
      </c>
      <c r="E2948" s="5" t="s">
        <v>117</v>
      </c>
      <c r="F2948" s="6" t="s">
        <v>452</v>
      </c>
      <c r="G2948" s="4" t="s">
        <v>1</v>
      </c>
      <c r="H2948" s="25">
        <v>37.777775699999999</v>
      </c>
      <c r="I2948" s="8">
        <v>3503</v>
      </c>
      <c r="J2948" s="9">
        <v>3500</v>
      </c>
      <c r="K2948" s="7">
        <v>-3</v>
      </c>
      <c r="L2948" s="24">
        <f>+Tabla2[[#This Row],[Stock Inventario]]*Tabla2[[#This Row],[Coste LÃ­nea]]</f>
        <v>132222.21494999999</v>
      </c>
      <c r="M2948" s="24">
        <f>+Tabla2[[#This Row],[Variación Stock]]*Tabla2[[#This Row],[Coste LÃ­nea]]</f>
        <v>-113.33332709999999</v>
      </c>
      <c r="N2948" s="22" t="str">
        <f>+IF(Tabla2[[#This Row],[Variación Stock]]&gt;0,"Sobrante",IF(Tabla2[[#This Row],[Variación Stock]]&lt;0,"Faltante","Sin novedad"))</f>
        <v>Faltante</v>
      </c>
    </row>
    <row r="2949" spans="1:14" hidden="1" x14ac:dyDescent="0.25">
      <c r="A2949" s="11">
        <v>46053</v>
      </c>
      <c r="B2949" s="5" t="s">
        <v>394</v>
      </c>
      <c r="C2949" s="3" t="s">
        <v>337</v>
      </c>
      <c r="D2949" s="5" t="s">
        <v>396</v>
      </c>
      <c r="E2949" s="5" t="s">
        <v>117</v>
      </c>
      <c r="F2949" s="6" t="s">
        <v>453</v>
      </c>
      <c r="G2949" s="4" t="s">
        <v>2</v>
      </c>
      <c r="H2949" s="25">
        <v>54.34</v>
      </c>
      <c r="I2949" s="8">
        <v>0</v>
      </c>
      <c r="J2949" s="9">
        <v>0</v>
      </c>
      <c r="K2949" s="7">
        <v>0</v>
      </c>
      <c r="L2949" s="24">
        <f>+Tabla2[[#This Row],[Stock Inventario]]*Tabla2[[#This Row],[Coste LÃ­nea]]</f>
        <v>0</v>
      </c>
      <c r="M2949" s="24">
        <f>+Tabla2[[#This Row],[Variación Stock]]*Tabla2[[#This Row],[Coste LÃ­nea]]</f>
        <v>0</v>
      </c>
      <c r="N2949" s="22" t="str">
        <f>+IF(Tabla2[[#This Row],[Variación Stock]]&gt;0,"Sobrante",IF(Tabla2[[#This Row],[Variación Stock]]&lt;0,"Faltante","Sin novedad"))</f>
        <v>Sin novedad</v>
      </c>
    </row>
    <row r="2950" spans="1:14" hidden="1" x14ac:dyDescent="0.25">
      <c r="A2950" s="11">
        <v>46053</v>
      </c>
      <c r="B2950" s="5" t="s">
        <v>394</v>
      </c>
      <c r="C2950" s="3" t="s">
        <v>337</v>
      </c>
      <c r="D2950" s="5" t="s">
        <v>396</v>
      </c>
      <c r="E2950" s="5" t="s">
        <v>117</v>
      </c>
      <c r="F2950" s="6" t="s">
        <v>406</v>
      </c>
      <c r="G2950" s="4" t="s">
        <v>2</v>
      </c>
      <c r="H2950" s="25">
        <v>709.24</v>
      </c>
      <c r="I2950" s="8">
        <v>105.5</v>
      </c>
      <c r="J2950" s="9">
        <v>50</v>
      </c>
      <c r="K2950" s="7">
        <v>-55.5</v>
      </c>
      <c r="L2950" s="24">
        <f>+Tabla2[[#This Row],[Stock Inventario]]*Tabla2[[#This Row],[Coste LÃ­nea]]</f>
        <v>35462</v>
      </c>
      <c r="M2950" s="24">
        <f>+Tabla2[[#This Row],[Variación Stock]]*Tabla2[[#This Row],[Coste LÃ­nea]]</f>
        <v>-39362.82</v>
      </c>
      <c r="N2950" s="22" t="str">
        <f>+IF(Tabla2[[#This Row],[Variación Stock]]&gt;0,"Sobrante",IF(Tabla2[[#This Row],[Variación Stock]]&lt;0,"Faltante","Sin novedad"))</f>
        <v>Faltante</v>
      </c>
    </row>
    <row r="2951" spans="1:14" x14ac:dyDescent="0.25">
      <c r="A2951" s="11">
        <v>46053</v>
      </c>
      <c r="B2951" s="5" t="s">
        <v>394</v>
      </c>
      <c r="C2951" s="3" t="s">
        <v>337</v>
      </c>
      <c r="D2951" s="5" t="s">
        <v>114</v>
      </c>
      <c r="E2951" s="5" t="s">
        <v>112</v>
      </c>
      <c r="F2951" s="6" t="s">
        <v>63</v>
      </c>
      <c r="G2951" s="4" t="s">
        <v>2</v>
      </c>
      <c r="H2951" s="25">
        <v>1395.79166667</v>
      </c>
      <c r="I2951" s="8">
        <v>57</v>
      </c>
      <c r="J2951" s="9">
        <v>57</v>
      </c>
      <c r="K2951" s="7">
        <v>0</v>
      </c>
      <c r="L2951" s="24">
        <f>+Tabla2[[#This Row],[Stock Inventario]]*Tabla2[[#This Row],[Coste LÃ­nea]]</f>
        <v>79560.125000190004</v>
      </c>
      <c r="M2951" s="24">
        <f>+Tabla2[[#This Row],[Variación Stock]]*Tabla2[[#This Row],[Coste LÃ­nea]]</f>
        <v>0</v>
      </c>
      <c r="N2951" s="22" t="str">
        <f>+IF(Tabla2[[#This Row],[Variación Stock]]&gt;0,"Sobrante",IF(Tabla2[[#This Row],[Variación Stock]]&lt;0,"Faltante","Sin novedad"))</f>
        <v>Sin novedad</v>
      </c>
    </row>
    <row r="2952" spans="1:14" hidden="1" x14ac:dyDescent="0.25">
      <c r="A2952" s="11">
        <v>46053</v>
      </c>
      <c r="B2952" s="5" t="s">
        <v>394</v>
      </c>
      <c r="C2952" s="3" t="s">
        <v>337</v>
      </c>
      <c r="D2952" s="5" t="s">
        <v>396</v>
      </c>
      <c r="E2952" s="5" t="s">
        <v>117</v>
      </c>
      <c r="F2952" s="6" t="s">
        <v>407</v>
      </c>
      <c r="G2952" s="4" t="s">
        <v>1</v>
      </c>
      <c r="H2952" s="25">
        <v>33.08368067</v>
      </c>
      <c r="I2952" s="8">
        <v>462.45460000000003</v>
      </c>
      <c r="J2952" s="9">
        <v>0</v>
      </c>
      <c r="K2952" s="7">
        <v>-462.45455199999998</v>
      </c>
      <c r="L2952" s="24">
        <f>+Tabla2[[#This Row],[Stock Inventario]]*Tabla2[[#This Row],[Coste LÃ­nea]]</f>
        <v>0</v>
      </c>
      <c r="M2952" s="24">
        <f>+Tabla2[[#This Row],[Variación Stock]]*Tabla2[[#This Row],[Coste LÃ­nea]]</f>
        <v>-15299.698722755909</v>
      </c>
      <c r="N2952" s="22" t="str">
        <f>+IF(Tabla2[[#This Row],[Variación Stock]]&gt;0,"Sobrante",IF(Tabla2[[#This Row],[Variación Stock]]&lt;0,"Faltante","Sin novedad"))</f>
        <v>Faltante</v>
      </c>
    </row>
    <row r="2953" spans="1:14" hidden="1" x14ac:dyDescent="0.25">
      <c r="A2953" s="11">
        <v>46053</v>
      </c>
      <c r="B2953" s="5" t="s">
        <v>394</v>
      </c>
      <c r="C2953" s="3" t="s">
        <v>337</v>
      </c>
      <c r="D2953" s="5" t="s">
        <v>396</v>
      </c>
      <c r="E2953" s="5" t="s">
        <v>117</v>
      </c>
      <c r="F2953" s="6" t="s">
        <v>417</v>
      </c>
      <c r="G2953" s="4" t="s">
        <v>1</v>
      </c>
      <c r="H2953" s="25">
        <v>14.19373109</v>
      </c>
      <c r="I2953" s="8">
        <v>-6.5</v>
      </c>
      <c r="J2953" s="9">
        <v>0</v>
      </c>
      <c r="K2953" s="7">
        <v>6.5</v>
      </c>
      <c r="L2953" s="24">
        <f>+Tabla2[[#This Row],[Stock Inventario]]*Tabla2[[#This Row],[Coste LÃ­nea]]</f>
        <v>0</v>
      </c>
      <c r="M2953" s="24">
        <f>+Tabla2[[#This Row],[Variación Stock]]*Tabla2[[#This Row],[Coste LÃ­nea]]</f>
        <v>92.259252085</v>
      </c>
      <c r="N2953" s="22" t="str">
        <f>+IF(Tabla2[[#This Row],[Variación Stock]]&gt;0,"Sobrante",IF(Tabla2[[#This Row],[Variación Stock]]&lt;0,"Faltante","Sin novedad"))</f>
        <v>Sobrante</v>
      </c>
    </row>
    <row r="2954" spans="1:14" hidden="1" x14ac:dyDescent="0.25">
      <c r="A2954" s="11">
        <v>46053</v>
      </c>
      <c r="B2954" s="5" t="s">
        <v>394</v>
      </c>
      <c r="C2954" s="3" t="s">
        <v>337</v>
      </c>
      <c r="D2954" s="5" t="s">
        <v>120</v>
      </c>
      <c r="E2954" s="5" t="s">
        <v>117</v>
      </c>
      <c r="F2954" s="6" t="s">
        <v>678</v>
      </c>
      <c r="G2954" s="4" t="s">
        <v>1</v>
      </c>
      <c r="H2954" s="25">
        <v>18.46795453</v>
      </c>
      <c r="I2954" s="8">
        <v>1351</v>
      </c>
      <c r="J2954" s="9">
        <v>0</v>
      </c>
      <c r="K2954" s="7">
        <v>-1351</v>
      </c>
      <c r="L2954" s="24">
        <f>+Tabla2[[#This Row],[Stock Inventario]]*Tabla2[[#This Row],[Coste LÃ­nea]]</f>
        <v>0</v>
      </c>
      <c r="M2954" s="24">
        <f>+Tabla2[[#This Row],[Variación Stock]]*Tabla2[[#This Row],[Coste LÃ­nea]]</f>
        <v>-24950.206570030001</v>
      </c>
      <c r="N2954" s="22" t="str">
        <f>+IF(Tabla2[[#This Row],[Variación Stock]]&gt;0,"Sobrante",IF(Tabla2[[#This Row],[Variación Stock]]&lt;0,"Faltante","Sin novedad"))</f>
        <v>Faltante</v>
      </c>
    </row>
    <row r="2955" spans="1:14" hidden="1" x14ac:dyDescent="0.25">
      <c r="A2955" s="11">
        <v>46053</v>
      </c>
      <c r="B2955" s="5" t="s">
        <v>394</v>
      </c>
      <c r="C2955" s="3" t="s">
        <v>337</v>
      </c>
      <c r="D2955" s="5" t="s">
        <v>323</v>
      </c>
      <c r="E2955" s="5" t="s">
        <v>117</v>
      </c>
      <c r="F2955" s="6" t="s">
        <v>769</v>
      </c>
      <c r="G2955" s="4" t="s">
        <v>1</v>
      </c>
      <c r="H2955" s="25">
        <v>72.601667000000006</v>
      </c>
      <c r="I2955" s="8">
        <v>-580</v>
      </c>
      <c r="J2955" s="9">
        <v>90</v>
      </c>
      <c r="K2955" s="7">
        <v>670</v>
      </c>
      <c r="L2955" s="24">
        <f>+Tabla2[[#This Row],[Stock Inventario]]*Tabla2[[#This Row],[Coste LÃ­nea]]</f>
        <v>6534.1500300000007</v>
      </c>
      <c r="M2955" s="24">
        <f>+Tabla2[[#This Row],[Variación Stock]]*Tabla2[[#This Row],[Coste LÃ­nea]]</f>
        <v>48643.116890000005</v>
      </c>
      <c r="N2955" s="22" t="str">
        <f>+IF(Tabla2[[#This Row],[Variación Stock]]&gt;0,"Sobrante",IF(Tabla2[[#This Row],[Variación Stock]]&lt;0,"Faltante","Sin novedad"))</f>
        <v>Sobrante</v>
      </c>
    </row>
    <row r="2956" spans="1:14" hidden="1" x14ac:dyDescent="0.25">
      <c r="A2956" s="11">
        <v>46053</v>
      </c>
      <c r="B2956" s="5" t="s">
        <v>394</v>
      </c>
      <c r="C2956" s="3" t="s">
        <v>337</v>
      </c>
      <c r="D2956" s="5" t="s">
        <v>120</v>
      </c>
      <c r="E2956" s="5" t="s">
        <v>117</v>
      </c>
      <c r="F2956" s="6" t="s">
        <v>679</v>
      </c>
      <c r="G2956" s="4" t="s">
        <v>1</v>
      </c>
      <c r="H2956" s="25">
        <v>30.109111110000001</v>
      </c>
      <c r="I2956" s="8">
        <v>-491</v>
      </c>
      <c r="J2956" s="9">
        <v>0</v>
      </c>
      <c r="K2956" s="7">
        <v>491</v>
      </c>
      <c r="L2956" s="24">
        <f>+Tabla2[[#This Row],[Stock Inventario]]*Tabla2[[#This Row],[Coste LÃ­nea]]</f>
        <v>0</v>
      </c>
      <c r="M2956" s="24">
        <f>+Tabla2[[#This Row],[Variación Stock]]*Tabla2[[#This Row],[Coste LÃ­nea]]</f>
        <v>14783.57355501</v>
      </c>
      <c r="N2956" s="22" t="str">
        <f>+IF(Tabla2[[#This Row],[Variación Stock]]&gt;0,"Sobrante",IF(Tabla2[[#This Row],[Variación Stock]]&lt;0,"Faltante","Sin novedad"))</f>
        <v>Sobrante</v>
      </c>
    </row>
    <row r="2957" spans="1:14" hidden="1" x14ac:dyDescent="0.25">
      <c r="A2957" s="11">
        <v>46053</v>
      </c>
      <c r="B2957" s="5" t="s">
        <v>394</v>
      </c>
      <c r="C2957" s="3" t="s">
        <v>337</v>
      </c>
      <c r="D2957" s="5" t="s">
        <v>120</v>
      </c>
      <c r="E2957" s="5" t="s">
        <v>117</v>
      </c>
      <c r="F2957" s="6" t="s">
        <v>680</v>
      </c>
      <c r="G2957" s="4" t="s">
        <v>1</v>
      </c>
      <c r="H2957" s="25">
        <v>30.36706689</v>
      </c>
      <c r="I2957" s="8">
        <v>0</v>
      </c>
      <c r="J2957" s="9">
        <v>0</v>
      </c>
      <c r="K2957" s="7">
        <v>0</v>
      </c>
      <c r="L2957" s="24">
        <f>+Tabla2[[#This Row],[Stock Inventario]]*Tabla2[[#This Row],[Coste LÃ­nea]]</f>
        <v>0</v>
      </c>
      <c r="M2957" s="24">
        <f>+Tabla2[[#This Row],[Variación Stock]]*Tabla2[[#This Row],[Coste LÃ­nea]]</f>
        <v>0</v>
      </c>
      <c r="N2957" s="22" t="str">
        <f>+IF(Tabla2[[#This Row],[Variación Stock]]&gt;0,"Sobrante",IF(Tabla2[[#This Row],[Variación Stock]]&lt;0,"Faltante","Sin novedad"))</f>
        <v>Sin novedad</v>
      </c>
    </row>
    <row r="2958" spans="1:14" hidden="1" x14ac:dyDescent="0.25">
      <c r="A2958" s="11">
        <v>46053</v>
      </c>
      <c r="B2958" s="5" t="s">
        <v>394</v>
      </c>
      <c r="C2958" s="3" t="s">
        <v>337</v>
      </c>
      <c r="D2958" s="5" t="s">
        <v>120</v>
      </c>
      <c r="E2958" s="5" t="s">
        <v>117</v>
      </c>
      <c r="F2958" s="6" t="s">
        <v>681</v>
      </c>
      <c r="G2958" s="4" t="s">
        <v>1</v>
      </c>
      <c r="H2958" s="25">
        <v>25.010719009999999</v>
      </c>
      <c r="I2958" s="8">
        <v>1772</v>
      </c>
      <c r="J2958" s="9">
        <v>0</v>
      </c>
      <c r="K2958" s="7">
        <v>-1772</v>
      </c>
      <c r="L2958" s="24">
        <f>+Tabla2[[#This Row],[Stock Inventario]]*Tabla2[[#This Row],[Coste LÃ­nea]]</f>
        <v>0</v>
      </c>
      <c r="M2958" s="24">
        <f>+Tabla2[[#This Row],[Variación Stock]]*Tabla2[[#This Row],[Coste LÃ­nea]]</f>
        <v>-44318.994085719998</v>
      </c>
      <c r="N2958" s="22" t="str">
        <f>+IF(Tabla2[[#This Row],[Variación Stock]]&gt;0,"Sobrante",IF(Tabla2[[#This Row],[Variación Stock]]&lt;0,"Faltante","Sin novedad"))</f>
        <v>Faltante</v>
      </c>
    </row>
    <row r="2959" spans="1:14" hidden="1" x14ac:dyDescent="0.25">
      <c r="A2959" s="11">
        <v>46053</v>
      </c>
      <c r="B2959" s="5" t="s">
        <v>394</v>
      </c>
      <c r="C2959" s="3" t="s">
        <v>337</v>
      </c>
      <c r="D2959" s="5" t="s">
        <v>120</v>
      </c>
      <c r="E2959" s="5" t="s">
        <v>117</v>
      </c>
      <c r="F2959" s="6" t="s">
        <v>682</v>
      </c>
      <c r="G2959" s="4" t="s">
        <v>1</v>
      </c>
      <c r="H2959" s="25">
        <v>27.358149999999998</v>
      </c>
      <c r="I2959" s="8">
        <v>0</v>
      </c>
      <c r="J2959" s="9">
        <v>0</v>
      </c>
      <c r="K2959" s="7">
        <v>0</v>
      </c>
      <c r="L2959" s="24">
        <f>+Tabla2[[#This Row],[Stock Inventario]]*Tabla2[[#This Row],[Coste LÃ­nea]]</f>
        <v>0</v>
      </c>
      <c r="M2959" s="24">
        <f>+Tabla2[[#This Row],[Variación Stock]]*Tabla2[[#This Row],[Coste LÃ­nea]]</f>
        <v>0</v>
      </c>
      <c r="N2959" s="22" t="str">
        <f>+IF(Tabla2[[#This Row],[Variación Stock]]&gt;0,"Sobrante",IF(Tabla2[[#This Row],[Variación Stock]]&lt;0,"Faltante","Sin novedad"))</f>
        <v>Sin novedad</v>
      </c>
    </row>
    <row r="2960" spans="1:14" hidden="1" x14ac:dyDescent="0.25">
      <c r="A2960" s="11">
        <v>46053</v>
      </c>
      <c r="B2960" s="5" t="s">
        <v>394</v>
      </c>
      <c r="C2960" s="3" t="s">
        <v>337</v>
      </c>
      <c r="D2960" s="5" t="s">
        <v>120</v>
      </c>
      <c r="E2960" s="5" t="s">
        <v>117</v>
      </c>
      <c r="F2960" s="6" t="s">
        <v>683</v>
      </c>
      <c r="G2960" s="4" t="s">
        <v>1</v>
      </c>
      <c r="H2960" s="25">
        <v>32.015888930000003</v>
      </c>
      <c r="I2960" s="8">
        <v>-480</v>
      </c>
      <c r="J2960" s="9">
        <v>1464</v>
      </c>
      <c r="K2960" s="7">
        <v>1944</v>
      </c>
      <c r="L2960" s="24">
        <f>+Tabla2[[#This Row],[Stock Inventario]]*Tabla2[[#This Row],[Coste LÃ­nea]]</f>
        <v>46871.261393520006</v>
      </c>
      <c r="M2960" s="24">
        <f>+Tabla2[[#This Row],[Variación Stock]]*Tabla2[[#This Row],[Coste LÃ­nea]]</f>
        <v>62238.888079920005</v>
      </c>
      <c r="N2960" s="22" t="str">
        <f>+IF(Tabla2[[#This Row],[Variación Stock]]&gt;0,"Sobrante",IF(Tabla2[[#This Row],[Variación Stock]]&lt;0,"Faltante","Sin novedad"))</f>
        <v>Sobrante</v>
      </c>
    </row>
    <row r="2961" spans="1:14" hidden="1" x14ac:dyDescent="0.25">
      <c r="A2961" s="11">
        <v>46053</v>
      </c>
      <c r="B2961" s="5" t="s">
        <v>394</v>
      </c>
      <c r="C2961" s="3" t="s">
        <v>337</v>
      </c>
      <c r="D2961" s="5" t="s">
        <v>323</v>
      </c>
      <c r="E2961" s="5" t="s">
        <v>117</v>
      </c>
      <c r="F2961" s="6" t="s">
        <v>347</v>
      </c>
      <c r="G2961" s="4" t="s">
        <v>1</v>
      </c>
      <c r="H2961" s="25">
        <v>12.51466177</v>
      </c>
      <c r="I2961" s="8">
        <v>6330</v>
      </c>
      <c r="J2961" s="9">
        <v>2764</v>
      </c>
      <c r="K2961" s="7">
        <v>-3566</v>
      </c>
      <c r="L2961" s="24">
        <f>+Tabla2[[#This Row],[Stock Inventario]]*Tabla2[[#This Row],[Coste LÃ­nea]]</f>
        <v>34590.525132280003</v>
      </c>
      <c r="M2961" s="24">
        <f>+Tabla2[[#This Row],[Variación Stock]]*Tabla2[[#This Row],[Coste LÃ­nea]]</f>
        <v>-44627.28387182</v>
      </c>
      <c r="N2961" s="22" t="str">
        <f>+IF(Tabla2[[#This Row],[Variación Stock]]&gt;0,"Sobrante",IF(Tabla2[[#This Row],[Variación Stock]]&lt;0,"Faltante","Sin novedad"))</f>
        <v>Faltante</v>
      </c>
    </row>
    <row r="2962" spans="1:14" x14ac:dyDescent="0.25">
      <c r="A2962" s="11">
        <v>46053</v>
      </c>
      <c r="B2962" s="5" t="s">
        <v>394</v>
      </c>
      <c r="C2962" s="3" t="s">
        <v>337</v>
      </c>
      <c r="D2962" s="5" t="s">
        <v>121</v>
      </c>
      <c r="E2962" s="5" t="s">
        <v>112</v>
      </c>
      <c r="F2962" s="6" t="s">
        <v>783</v>
      </c>
      <c r="G2962" s="4" t="s">
        <v>1</v>
      </c>
      <c r="H2962" s="25">
        <v>4.0679999999999996</v>
      </c>
      <c r="I2962" s="8">
        <v>23071</v>
      </c>
      <c r="J2962" s="9">
        <v>4180</v>
      </c>
      <c r="K2962" s="7">
        <v>-18891</v>
      </c>
      <c r="L2962" s="24">
        <f>+Tabla2[[#This Row],[Stock Inventario]]*Tabla2[[#This Row],[Coste LÃ­nea]]</f>
        <v>17004.239999999998</v>
      </c>
      <c r="M2962" s="24">
        <f>+Tabla2[[#This Row],[Variación Stock]]*Tabla2[[#This Row],[Coste LÃ­nea]]</f>
        <v>-76848.587999999989</v>
      </c>
      <c r="N2962" s="22" t="str">
        <f>+IF(Tabla2[[#This Row],[Variación Stock]]&gt;0,"Sobrante",IF(Tabla2[[#This Row],[Variación Stock]]&lt;0,"Faltante","Sin novedad"))</f>
        <v>Faltante</v>
      </c>
    </row>
    <row r="2963" spans="1:14" x14ac:dyDescent="0.25">
      <c r="A2963" s="11">
        <v>46053</v>
      </c>
      <c r="B2963" s="5" t="s">
        <v>394</v>
      </c>
      <c r="C2963" s="3" t="s">
        <v>337</v>
      </c>
      <c r="D2963" s="5" t="s">
        <v>121</v>
      </c>
      <c r="E2963" s="5" t="s">
        <v>112</v>
      </c>
      <c r="F2963" s="6" t="s">
        <v>835</v>
      </c>
      <c r="G2963" s="4" t="s">
        <v>1</v>
      </c>
      <c r="H2963" s="25">
        <v>6.9158522400000004</v>
      </c>
      <c r="I2963" s="8">
        <v>-2472</v>
      </c>
      <c r="J2963" s="9">
        <v>0</v>
      </c>
      <c r="K2963" s="7">
        <v>2472</v>
      </c>
      <c r="L2963" s="24">
        <f>+Tabla2[[#This Row],[Stock Inventario]]*Tabla2[[#This Row],[Coste LÃ­nea]]</f>
        <v>0</v>
      </c>
      <c r="M2963" s="24">
        <f>+Tabla2[[#This Row],[Variación Stock]]*Tabla2[[#This Row],[Coste LÃ­nea]]</f>
        <v>17095.98673728</v>
      </c>
      <c r="N2963" s="22" t="str">
        <f>+IF(Tabla2[[#This Row],[Variación Stock]]&gt;0,"Sobrante",IF(Tabla2[[#This Row],[Variación Stock]]&lt;0,"Faltante","Sin novedad"))</f>
        <v>Sobrante</v>
      </c>
    </row>
    <row r="2964" spans="1:14" x14ac:dyDescent="0.25">
      <c r="A2964" s="11">
        <v>46053</v>
      </c>
      <c r="B2964" s="5" t="s">
        <v>394</v>
      </c>
      <c r="C2964" s="3" t="s">
        <v>337</v>
      </c>
      <c r="D2964" s="5" t="s">
        <v>121</v>
      </c>
      <c r="E2964" s="5" t="s">
        <v>112</v>
      </c>
      <c r="F2964" s="6" t="s">
        <v>784</v>
      </c>
      <c r="G2964" s="4" t="s">
        <v>1</v>
      </c>
      <c r="H2964" s="25">
        <v>5.3544533300000001</v>
      </c>
      <c r="I2964" s="8">
        <v>1463</v>
      </c>
      <c r="J2964" s="9">
        <v>672</v>
      </c>
      <c r="K2964" s="7">
        <v>-791</v>
      </c>
      <c r="L2964" s="24">
        <f>+Tabla2[[#This Row],[Stock Inventario]]*Tabla2[[#This Row],[Coste LÃ­nea]]</f>
        <v>3598.1926377600003</v>
      </c>
      <c r="M2964" s="24">
        <f>+Tabla2[[#This Row],[Variación Stock]]*Tabla2[[#This Row],[Coste LÃ­nea]]</f>
        <v>-4235.3725840300003</v>
      </c>
      <c r="N2964" s="22" t="str">
        <f>+IF(Tabla2[[#This Row],[Variación Stock]]&gt;0,"Sobrante",IF(Tabla2[[#This Row],[Variación Stock]]&lt;0,"Faltante","Sin novedad"))</f>
        <v>Faltante</v>
      </c>
    </row>
    <row r="2965" spans="1:14" x14ac:dyDescent="0.25">
      <c r="A2965" s="11">
        <v>46053</v>
      </c>
      <c r="B2965" s="5" t="s">
        <v>394</v>
      </c>
      <c r="C2965" s="3" t="s">
        <v>337</v>
      </c>
      <c r="D2965" s="5" t="s">
        <v>121</v>
      </c>
      <c r="E2965" s="5" t="s">
        <v>112</v>
      </c>
      <c r="F2965" s="6" t="s">
        <v>785</v>
      </c>
      <c r="G2965" s="4" t="s">
        <v>1</v>
      </c>
      <c r="H2965" s="25">
        <v>2.9635938500000001</v>
      </c>
      <c r="I2965" s="8">
        <v>7064</v>
      </c>
      <c r="J2965" s="9">
        <v>2912</v>
      </c>
      <c r="K2965" s="7">
        <v>-4152</v>
      </c>
      <c r="L2965" s="24">
        <f>+Tabla2[[#This Row],[Stock Inventario]]*Tabla2[[#This Row],[Coste LÃ­nea]]</f>
        <v>8629.9852912000006</v>
      </c>
      <c r="M2965" s="24">
        <f>+Tabla2[[#This Row],[Variación Stock]]*Tabla2[[#This Row],[Coste LÃ­nea]]</f>
        <v>-12304.8416652</v>
      </c>
      <c r="N2965" s="22" t="str">
        <f>+IF(Tabla2[[#This Row],[Variación Stock]]&gt;0,"Sobrante",IF(Tabla2[[#This Row],[Variación Stock]]&lt;0,"Faltante","Sin novedad"))</f>
        <v>Faltante</v>
      </c>
    </row>
    <row r="2966" spans="1:14" hidden="1" x14ac:dyDescent="0.25">
      <c r="A2966" s="11">
        <v>46053</v>
      </c>
      <c r="B2966" s="5" t="s">
        <v>394</v>
      </c>
      <c r="C2966" s="3" t="s">
        <v>337</v>
      </c>
      <c r="D2966" s="5" t="s">
        <v>323</v>
      </c>
      <c r="E2966" s="5" t="s">
        <v>117</v>
      </c>
      <c r="F2966" s="6" t="s">
        <v>770</v>
      </c>
      <c r="G2966" s="4" t="s">
        <v>1</v>
      </c>
      <c r="H2966" s="25">
        <v>5.7526719999999996</v>
      </c>
      <c r="I2966" s="8">
        <v>-600</v>
      </c>
      <c r="J2966" s="9">
        <v>0</v>
      </c>
      <c r="K2966" s="7">
        <v>600</v>
      </c>
      <c r="L2966" s="24">
        <f>+Tabla2[[#This Row],[Stock Inventario]]*Tabla2[[#This Row],[Coste LÃ­nea]]</f>
        <v>0</v>
      </c>
      <c r="M2966" s="24">
        <f>+Tabla2[[#This Row],[Variación Stock]]*Tabla2[[#This Row],[Coste LÃ­nea]]</f>
        <v>3451.6031999999996</v>
      </c>
      <c r="N2966" s="22" t="str">
        <f>+IF(Tabla2[[#This Row],[Variación Stock]]&gt;0,"Sobrante",IF(Tabla2[[#This Row],[Variación Stock]]&lt;0,"Faltante","Sin novedad"))</f>
        <v>Sobrante</v>
      </c>
    </row>
    <row r="2967" spans="1:14" x14ac:dyDescent="0.25">
      <c r="A2967" s="11">
        <v>46053</v>
      </c>
      <c r="B2967" s="5" t="s">
        <v>394</v>
      </c>
      <c r="C2967" s="3" t="s">
        <v>337</v>
      </c>
      <c r="D2967" s="5" t="s">
        <v>121</v>
      </c>
      <c r="E2967" s="5" t="s">
        <v>112</v>
      </c>
      <c r="F2967" s="6" t="s">
        <v>786</v>
      </c>
      <c r="G2967" s="4" t="s">
        <v>1</v>
      </c>
      <c r="H2967" s="25">
        <v>12.08168</v>
      </c>
      <c r="I2967" s="8">
        <v>10122</v>
      </c>
      <c r="J2967" s="9">
        <v>4134</v>
      </c>
      <c r="K2967" s="7">
        <v>-5988</v>
      </c>
      <c r="L2967" s="24">
        <f>+Tabla2[[#This Row],[Stock Inventario]]*Tabla2[[#This Row],[Coste LÃ­nea]]</f>
        <v>49945.665120000005</v>
      </c>
      <c r="M2967" s="24">
        <f>+Tabla2[[#This Row],[Variación Stock]]*Tabla2[[#This Row],[Coste LÃ­nea]]</f>
        <v>-72345.099839999995</v>
      </c>
      <c r="N2967" s="22" t="str">
        <f>+IF(Tabla2[[#This Row],[Variación Stock]]&gt;0,"Sobrante",IF(Tabla2[[#This Row],[Variación Stock]]&lt;0,"Faltante","Sin novedad"))</f>
        <v>Faltante</v>
      </c>
    </row>
    <row r="2968" spans="1:14" x14ac:dyDescent="0.25">
      <c r="A2968" s="11">
        <v>46053</v>
      </c>
      <c r="B2968" s="5" t="s">
        <v>394</v>
      </c>
      <c r="C2968" s="3" t="s">
        <v>337</v>
      </c>
      <c r="D2968" s="5" t="s">
        <v>121</v>
      </c>
      <c r="E2968" s="5" t="s">
        <v>112</v>
      </c>
      <c r="F2968" s="6" t="s">
        <v>787</v>
      </c>
      <c r="G2968" s="4" t="s">
        <v>1</v>
      </c>
      <c r="H2968" s="25">
        <v>20.683798719999999</v>
      </c>
      <c r="I2968" s="8">
        <v>422</v>
      </c>
      <c r="J2968" s="9">
        <v>396</v>
      </c>
      <c r="K2968" s="7">
        <v>-26</v>
      </c>
      <c r="L2968" s="24">
        <f>+Tabla2[[#This Row],[Stock Inventario]]*Tabla2[[#This Row],[Coste LÃ­nea]]</f>
        <v>8190.7842931199993</v>
      </c>
      <c r="M2968" s="24">
        <f>+Tabla2[[#This Row],[Variación Stock]]*Tabla2[[#This Row],[Coste LÃ­nea]]</f>
        <v>-537.77876672000002</v>
      </c>
      <c r="N2968" s="22" t="str">
        <f>+IF(Tabla2[[#This Row],[Variación Stock]]&gt;0,"Sobrante",IF(Tabla2[[#This Row],[Variación Stock]]&lt;0,"Faltante","Sin novedad"))</f>
        <v>Faltante</v>
      </c>
    </row>
    <row r="2969" spans="1:14" x14ac:dyDescent="0.25">
      <c r="A2969" s="11">
        <v>46053</v>
      </c>
      <c r="B2969" s="5" t="s">
        <v>394</v>
      </c>
      <c r="C2969" s="3" t="s">
        <v>337</v>
      </c>
      <c r="D2969" s="5" t="s">
        <v>121</v>
      </c>
      <c r="E2969" s="5" t="s">
        <v>112</v>
      </c>
      <c r="F2969" s="6" t="s">
        <v>788</v>
      </c>
      <c r="G2969" s="4" t="s">
        <v>1</v>
      </c>
      <c r="H2969" s="25">
        <v>3.8775692300000002</v>
      </c>
      <c r="I2969" s="8">
        <v>768</v>
      </c>
      <c r="J2969" s="9">
        <v>0</v>
      </c>
      <c r="K2969" s="7">
        <v>-768</v>
      </c>
      <c r="L2969" s="24">
        <f>+Tabla2[[#This Row],[Stock Inventario]]*Tabla2[[#This Row],[Coste LÃ­nea]]</f>
        <v>0</v>
      </c>
      <c r="M2969" s="24">
        <f>+Tabla2[[#This Row],[Variación Stock]]*Tabla2[[#This Row],[Coste LÃ­nea]]</f>
        <v>-2977.97316864</v>
      </c>
      <c r="N2969" s="22" t="str">
        <f>+IF(Tabla2[[#This Row],[Variación Stock]]&gt;0,"Sobrante",IF(Tabla2[[#This Row],[Variación Stock]]&lt;0,"Faltante","Sin novedad"))</f>
        <v>Faltante</v>
      </c>
    </row>
    <row r="2970" spans="1:14" x14ac:dyDescent="0.25">
      <c r="A2970" s="11">
        <v>46053</v>
      </c>
      <c r="B2970" s="5" t="s">
        <v>394</v>
      </c>
      <c r="C2970" s="3" t="s">
        <v>337</v>
      </c>
      <c r="D2970" s="5" t="s">
        <v>121</v>
      </c>
      <c r="E2970" s="5" t="s">
        <v>112</v>
      </c>
      <c r="F2970" s="6" t="s">
        <v>789</v>
      </c>
      <c r="G2970" s="4" t="s">
        <v>1</v>
      </c>
      <c r="H2970" s="25">
        <v>28.178271890000001</v>
      </c>
      <c r="I2970" s="8">
        <v>994</v>
      </c>
      <c r="J2970" s="9">
        <v>716</v>
      </c>
      <c r="K2970" s="7">
        <v>-278</v>
      </c>
      <c r="L2970" s="24">
        <f>+Tabla2[[#This Row],[Stock Inventario]]*Tabla2[[#This Row],[Coste LÃ­nea]]</f>
        <v>20175.64267324</v>
      </c>
      <c r="M2970" s="24">
        <f>+Tabla2[[#This Row],[Variación Stock]]*Tabla2[[#This Row],[Coste LÃ­nea]]</f>
        <v>-7833.5595854200001</v>
      </c>
      <c r="N2970" s="22" t="str">
        <f>+IF(Tabla2[[#This Row],[Variación Stock]]&gt;0,"Sobrante",IF(Tabla2[[#This Row],[Variación Stock]]&lt;0,"Faltante","Sin novedad"))</f>
        <v>Faltante</v>
      </c>
    </row>
    <row r="2971" spans="1:14" x14ac:dyDescent="0.25">
      <c r="A2971" s="11">
        <v>46053</v>
      </c>
      <c r="B2971" s="5" t="s">
        <v>394</v>
      </c>
      <c r="C2971" s="3" t="s">
        <v>337</v>
      </c>
      <c r="D2971" s="5" t="s">
        <v>121</v>
      </c>
      <c r="E2971" s="5" t="s">
        <v>112</v>
      </c>
      <c r="F2971" s="6" t="s">
        <v>790</v>
      </c>
      <c r="G2971" s="4" t="s">
        <v>1</v>
      </c>
      <c r="H2971" s="25">
        <v>5.64667429</v>
      </c>
      <c r="I2971" s="8">
        <v>2026</v>
      </c>
      <c r="J2971" s="9">
        <v>2452</v>
      </c>
      <c r="K2971" s="7">
        <v>426</v>
      </c>
      <c r="L2971" s="24">
        <f>+Tabla2[[#This Row],[Stock Inventario]]*Tabla2[[#This Row],[Coste LÃ­nea]]</f>
        <v>13845.645359079999</v>
      </c>
      <c r="M2971" s="24">
        <f>+Tabla2[[#This Row],[Variación Stock]]*Tabla2[[#This Row],[Coste LÃ­nea]]</f>
        <v>2405.4832475399999</v>
      </c>
      <c r="N2971" s="22" t="str">
        <f>+IF(Tabla2[[#This Row],[Variación Stock]]&gt;0,"Sobrante",IF(Tabla2[[#This Row],[Variación Stock]]&lt;0,"Faltante","Sin novedad"))</f>
        <v>Sobrante</v>
      </c>
    </row>
    <row r="2972" spans="1:14" hidden="1" x14ac:dyDescent="0.25">
      <c r="A2972" s="11">
        <v>46053</v>
      </c>
      <c r="B2972" s="5" t="s">
        <v>394</v>
      </c>
      <c r="C2972" s="3" t="s">
        <v>337</v>
      </c>
      <c r="D2972" s="5" t="s">
        <v>120</v>
      </c>
      <c r="E2972" s="5" t="s">
        <v>117</v>
      </c>
      <c r="F2972" s="6" t="s">
        <v>684</v>
      </c>
      <c r="G2972" s="4" t="s">
        <v>2</v>
      </c>
      <c r="H2972" s="25">
        <v>260.61510199000003</v>
      </c>
      <c r="I2972" s="8">
        <v>0</v>
      </c>
      <c r="J2972" s="9">
        <v>0</v>
      </c>
      <c r="K2972" s="7">
        <v>0</v>
      </c>
      <c r="L2972" s="24">
        <f>+Tabla2[[#This Row],[Stock Inventario]]*Tabla2[[#This Row],[Coste LÃ­nea]]</f>
        <v>0</v>
      </c>
      <c r="M2972" s="24">
        <f>+Tabla2[[#This Row],[Variación Stock]]*Tabla2[[#This Row],[Coste LÃ­nea]]</f>
        <v>0</v>
      </c>
      <c r="N2972" s="22" t="str">
        <f>+IF(Tabla2[[#This Row],[Variación Stock]]&gt;0,"Sobrante",IF(Tabla2[[#This Row],[Variación Stock]]&lt;0,"Faltante","Sin novedad"))</f>
        <v>Sin novedad</v>
      </c>
    </row>
    <row r="2973" spans="1:14" hidden="1" x14ac:dyDescent="0.25">
      <c r="A2973" s="11">
        <v>46053</v>
      </c>
      <c r="B2973" s="5" t="s">
        <v>394</v>
      </c>
      <c r="C2973" s="3" t="s">
        <v>337</v>
      </c>
      <c r="D2973" s="5" t="s">
        <v>120</v>
      </c>
      <c r="E2973" s="5" t="s">
        <v>117</v>
      </c>
      <c r="F2973" s="6" t="s">
        <v>685</v>
      </c>
      <c r="G2973" s="4" t="s">
        <v>1</v>
      </c>
      <c r="H2973" s="25">
        <v>4.0698580900000003</v>
      </c>
      <c r="I2973" s="8">
        <v>-67318</v>
      </c>
      <c r="J2973" s="9">
        <v>9160</v>
      </c>
      <c r="K2973" s="7">
        <v>76477.999997000006</v>
      </c>
      <c r="L2973" s="24">
        <f>+Tabla2[[#This Row],[Stock Inventario]]*Tabla2[[#This Row],[Coste LÃ­nea]]</f>
        <v>37279.900104400003</v>
      </c>
      <c r="M2973" s="24">
        <f>+Tabla2[[#This Row],[Variación Stock]]*Tabla2[[#This Row],[Coste LÃ­nea]]</f>
        <v>311254.60699481046</v>
      </c>
      <c r="N2973" s="22" t="str">
        <f>+IF(Tabla2[[#This Row],[Variación Stock]]&gt;0,"Sobrante",IF(Tabla2[[#This Row],[Variación Stock]]&lt;0,"Faltante","Sin novedad"))</f>
        <v>Sobrante</v>
      </c>
    </row>
    <row r="2974" spans="1:14" hidden="1" x14ac:dyDescent="0.25">
      <c r="A2974" s="11">
        <v>46053</v>
      </c>
      <c r="B2974" s="5" t="s">
        <v>394</v>
      </c>
      <c r="C2974" s="3" t="s">
        <v>337</v>
      </c>
      <c r="D2974" s="5" t="s">
        <v>120</v>
      </c>
      <c r="E2974" s="5" t="s">
        <v>117</v>
      </c>
      <c r="F2974" s="6" t="s">
        <v>686</v>
      </c>
      <c r="G2974" s="4" t="s">
        <v>1</v>
      </c>
      <c r="H2974" s="25">
        <v>0.80859347000000004</v>
      </c>
      <c r="I2974" s="8">
        <v>823</v>
      </c>
      <c r="J2974" s="9">
        <v>3842</v>
      </c>
      <c r="K2974" s="7">
        <v>3019</v>
      </c>
      <c r="L2974" s="24">
        <f>+Tabla2[[#This Row],[Stock Inventario]]*Tabla2[[#This Row],[Coste LÃ­nea]]</f>
        <v>3106.6161117400002</v>
      </c>
      <c r="M2974" s="24">
        <f>+Tabla2[[#This Row],[Variación Stock]]*Tabla2[[#This Row],[Coste LÃ­nea]]</f>
        <v>2441.1436859300002</v>
      </c>
      <c r="N2974" s="22" t="str">
        <f>+IF(Tabla2[[#This Row],[Variación Stock]]&gt;0,"Sobrante",IF(Tabla2[[#This Row],[Variación Stock]]&lt;0,"Faltante","Sin novedad"))</f>
        <v>Sobrante</v>
      </c>
    </row>
    <row r="2975" spans="1:14" hidden="1" x14ac:dyDescent="0.25">
      <c r="A2975" s="11">
        <v>46053</v>
      </c>
      <c r="B2975" s="5" t="s">
        <v>394</v>
      </c>
      <c r="C2975" s="3" t="s">
        <v>337</v>
      </c>
      <c r="D2975" s="5" t="s">
        <v>120</v>
      </c>
      <c r="E2975" s="5" t="s">
        <v>117</v>
      </c>
      <c r="F2975" s="6" t="s">
        <v>687</v>
      </c>
      <c r="G2975" s="4" t="s">
        <v>1</v>
      </c>
      <c r="H2975" s="25">
        <v>5.91968519</v>
      </c>
      <c r="I2975" s="8">
        <v>-28836.999599999999</v>
      </c>
      <c r="J2975" s="9">
        <v>12500</v>
      </c>
      <c r="K2975" s="7">
        <v>41336.999600000003</v>
      </c>
      <c r="L2975" s="24">
        <f>+Tabla2[[#This Row],[Stock Inventario]]*Tabla2[[#This Row],[Coste LÃ­nea]]</f>
        <v>73996.064874999996</v>
      </c>
      <c r="M2975" s="24">
        <f>+Tabla2[[#This Row],[Variación Stock]]*Tabla2[[#This Row],[Coste LÃ­nea]]</f>
        <v>244702.02433115593</v>
      </c>
      <c r="N2975" s="22" t="str">
        <f>+IF(Tabla2[[#This Row],[Variación Stock]]&gt;0,"Sobrante",IF(Tabla2[[#This Row],[Variación Stock]]&lt;0,"Faltante","Sin novedad"))</f>
        <v>Sobrante</v>
      </c>
    </row>
    <row r="2976" spans="1:14" hidden="1" x14ac:dyDescent="0.25">
      <c r="A2976" s="11">
        <v>46053</v>
      </c>
      <c r="B2976" s="5" t="s">
        <v>394</v>
      </c>
      <c r="C2976" s="3" t="s">
        <v>337</v>
      </c>
      <c r="D2976" s="5" t="s">
        <v>120</v>
      </c>
      <c r="E2976" s="5" t="s">
        <v>117</v>
      </c>
      <c r="F2976" s="6" t="s">
        <v>688</v>
      </c>
      <c r="G2976" s="4" t="s">
        <v>1</v>
      </c>
      <c r="H2976" s="25">
        <v>10.55083286</v>
      </c>
      <c r="I2976" s="8">
        <v>6146</v>
      </c>
      <c r="J2976" s="9">
        <v>0</v>
      </c>
      <c r="K2976" s="7">
        <v>-6146</v>
      </c>
      <c r="L2976" s="24">
        <f>+Tabla2[[#This Row],[Stock Inventario]]*Tabla2[[#This Row],[Coste LÃ­nea]]</f>
        <v>0</v>
      </c>
      <c r="M2976" s="24">
        <f>+Tabla2[[#This Row],[Variación Stock]]*Tabla2[[#This Row],[Coste LÃ­nea]]</f>
        <v>-64845.418757560001</v>
      </c>
      <c r="N2976" s="22" t="str">
        <f>+IF(Tabla2[[#This Row],[Variación Stock]]&gt;0,"Sobrante",IF(Tabla2[[#This Row],[Variación Stock]]&lt;0,"Faltante","Sin novedad"))</f>
        <v>Faltante</v>
      </c>
    </row>
    <row r="2977" spans="1:14" hidden="1" x14ac:dyDescent="0.25">
      <c r="A2977" s="11">
        <v>46053</v>
      </c>
      <c r="B2977" s="5" t="s">
        <v>394</v>
      </c>
      <c r="C2977" s="3" t="s">
        <v>337</v>
      </c>
      <c r="D2977" s="5" t="s">
        <v>323</v>
      </c>
      <c r="E2977" s="5" t="s">
        <v>117</v>
      </c>
      <c r="F2977" s="6" t="s">
        <v>771</v>
      </c>
      <c r="G2977" s="4" t="s">
        <v>1</v>
      </c>
      <c r="H2977" s="25">
        <v>14.203966660000001</v>
      </c>
      <c r="I2977" s="8">
        <v>3154</v>
      </c>
      <c r="J2977" s="9">
        <v>90</v>
      </c>
      <c r="K2977" s="7">
        <v>-3064</v>
      </c>
      <c r="L2977" s="24">
        <f>+Tabla2[[#This Row],[Stock Inventario]]*Tabla2[[#This Row],[Coste LÃ­nea]]</f>
        <v>1278.3569994000002</v>
      </c>
      <c r="M2977" s="24">
        <f>+Tabla2[[#This Row],[Variación Stock]]*Tabla2[[#This Row],[Coste LÃ­nea]]</f>
        <v>-43520.953846240001</v>
      </c>
      <c r="N2977" s="22" t="str">
        <f>+IF(Tabla2[[#This Row],[Variación Stock]]&gt;0,"Sobrante",IF(Tabla2[[#This Row],[Variación Stock]]&lt;0,"Faltante","Sin novedad"))</f>
        <v>Faltante</v>
      </c>
    </row>
    <row r="2978" spans="1:14" hidden="1" x14ac:dyDescent="0.25">
      <c r="A2978" s="11">
        <v>46053</v>
      </c>
      <c r="B2978" s="5" t="s">
        <v>394</v>
      </c>
      <c r="C2978" s="3" t="s">
        <v>337</v>
      </c>
      <c r="D2978" s="5" t="s">
        <v>120</v>
      </c>
      <c r="E2978" s="5" t="s">
        <v>117</v>
      </c>
      <c r="F2978" s="6" t="s">
        <v>312</v>
      </c>
      <c r="G2978" s="4" t="s">
        <v>1</v>
      </c>
      <c r="H2978" s="25">
        <v>83.749250000000004</v>
      </c>
      <c r="I2978" s="8">
        <v>-2020</v>
      </c>
      <c r="J2978" s="9">
        <v>130</v>
      </c>
      <c r="K2978" s="7">
        <v>2150</v>
      </c>
      <c r="L2978" s="24">
        <f>+Tabla2[[#This Row],[Stock Inventario]]*Tabla2[[#This Row],[Coste LÃ­nea]]</f>
        <v>10887.4025</v>
      </c>
      <c r="M2978" s="24">
        <f>+Tabla2[[#This Row],[Variación Stock]]*Tabla2[[#This Row],[Coste LÃ­nea]]</f>
        <v>180060.88750000001</v>
      </c>
      <c r="N2978" s="22" t="str">
        <f>+IF(Tabla2[[#This Row],[Variación Stock]]&gt;0,"Sobrante",IF(Tabla2[[#This Row],[Variación Stock]]&lt;0,"Faltante","Sin novedad"))</f>
        <v>Sobrante</v>
      </c>
    </row>
    <row r="2979" spans="1:14" hidden="1" x14ac:dyDescent="0.25">
      <c r="A2979" s="11">
        <v>46053</v>
      </c>
      <c r="B2979" s="5" t="s">
        <v>394</v>
      </c>
      <c r="C2979" s="3" t="s">
        <v>337</v>
      </c>
      <c r="D2979" s="5" t="s">
        <v>323</v>
      </c>
      <c r="E2979" s="5" t="s">
        <v>117</v>
      </c>
      <c r="F2979" s="6" t="s">
        <v>772</v>
      </c>
      <c r="G2979" s="4" t="s">
        <v>2</v>
      </c>
      <c r="H2979" s="25">
        <v>7.9000060000000003</v>
      </c>
      <c r="I2979" s="8">
        <v>0</v>
      </c>
      <c r="J2979" s="9">
        <v>0</v>
      </c>
      <c r="K2979" s="7">
        <v>0</v>
      </c>
      <c r="L2979" s="24">
        <f>+Tabla2[[#This Row],[Stock Inventario]]*Tabla2[[#This Row],[Coste LÃ­nea]]</f>
        <v>0</v>
      </c>
      <c r="M2979" s="24">
        <f>+Tabla2[[#This Row],[Variación Stock]]*Tabla2[[#This Row],[Coste LÃ­nea]]</f>
        <v>0</v>
      </c>
      <c r="N2979" s="22" t="str">
        <f>+IF(Tabla2[[#This Row],[Variación Stock]]&gt;0,"Sobrante",IF(Tabla2[[#This Row],[Variación Stock]]&lt;0,"Faltante","Sin novedad"))</f>
        <v>Sin novedad</v>
      </c>
    </row>
    <row r="2980" spans="1:14" hidden="1" x14ac:dyDescent="0.25">
      <c r="A2980" s="11">
        <v>46053</v>
      </c>
      <c r="B2980" s="5" t="s">
        <v>394</v>
      </c>
      <c r="C2980" s="3" t="s">
        <v>337</v>
      </c>
      <c r="D2980" s="5" t="s">
        <v>120</v>
      </c>
      <c r="E2980" s="5" t="s">
        <v>117</v>
      </c>
      <c r="F2980" s="6" t="s">
        <v>689</v>
      </c>
      <c r="G2980" s="4" t="s">
        <v>1</v>
      </c>
      <c r="H2980" s="25">
        <v>12.4006852</v>
      </c>
      <c r="I2980" s="8">
        <v>26506</v>
      </c>
      <c r="J2980" s="9">
        <v>7030</v>
      </c>
      <c r="K2980" s="7">
        <v>-19476</v>
      </c>
      <c r="L2980" s="24">
        <f>+Tabla2[[#This Row],[Stock Inventario]]*Tabla2[[#This Row],[Coste LÃ­nea]]</f>
        <v>87176.816955999995</v>
      </c>
      <c r="M2980" s="24">
        <f>+Tabla2[[#This Row],[Variación Stock]]*Tabla2[[#This Row],[Coste LÃ­nea]]</f>
        <v>-241515.7449552</v>
      </c>
      <c r="N2980" s="22" t="str">
        <f>+IF(Tabla2[[#This Row],[Variación Stock]]&gt;0,"Sobrante",IF(Tabla2[[#This Row],[Variación Stock]]&lt;0,"Faltante","Sin novedad"))</f>
        <v>Faltante</v>
      </c>
    </row>
    <row r="2981" spans="1:14" hidden="1" x14ac:dyDescent="0.25">
      <c r="A2981" s="11">
        <v>46053</v>
      </c>
      <c r="B2981" s="5" t="s">
        <v>394</v>
      </c>
      <c r="C2981" s="3" t="s">
        <v>337</v>
      </c>
      <c r="D2981" s="5" t="s">
        <v>323</v>
      </c>
      <c r="E2981" s="5" t="s">
        <v>117</v>
      </c>
      <c r="F2981" s="6" t="s">
        <v>780</v>
      </c>
      <c r="G2981" s="4" t="s">
        <v>1</v>
      </c>
      <c r="H2981" s="25">
        <v>16.683164909999999</v>
      </c>
      <c r="I2981" s="8">
        <v>-1766</v>
      </c>
      <c r="J2981" s="9">
        <v>144</v>
      </c>
      <c r="K2981" s="7">
        <v>1910</v>
      </c>
      <c r="L2981" s="24">
        <f>+Tabla2[[#This Row],[Stock Inventario]]*Tabla2[[#This Row],[Coste LÃ­nea]]</f>
        <v>2402.3757470399996</v>
      </c>
      <c r="M2981" s="24">
        <f>+Tabla2[[#This Row],[Variación Stock]]*Tabla2[[#This Row],[Coste LÃ­nea]]</f>
        <v>31864.844978099998</v>
      </c>
      <c r="N2981" s="22" t="str">
        <f>+IF(Tabla2[[#This Row],[Variación Stock]]&gt;0,"Sobrante",IF(Tabla2[[#This Row],[Variación Stock]]&lt;0,"Faltante","Sin novedad"))</f>
        <v>Sobrante</v>
      </c>
    </row>
    <row r="2982" spans="1:14" hidden="1" x14ac:dyDescent="0.25">
      <c r="A2982" s="11">
        <v>46053</v>
      </c>
      <c r="B2982" s="5" t="s">
        <v>394</v>
      </c>
      <c r="C2982" s="3" t="s">
        <v>337</v>
      </c>
      <c r="D2982" s="5" t="s">
        <v>120</v>
      </c>
      <c r="E2982" s="5" t="s">
        <v>117</v>
      </c>
      <c r="F2982" s="6" t="s">
        <v>690</v>
      </c>
      <c r="G2982" s="4" t="s">
        <v>1</v>
      </c>
      <c r="H2982" s="25">
        <v>12.96927698</v>
      </c>
      <c r="I2982" s="8">
        <v>-11280</v>
      </c>
      <c r="J2982" s="9">
        <v>5320</v>
      </c>
      <c r="K2982" s="7">
        <v>16600</v>
      </c>
      <c r="L2982" s="24">
        <f>+Tabla2[[#This Row],[Stock Inventario]]*Tabla2[[#This Row],[Coste LÃ­nea]]</f>
        <v>68996.553533600003</v>
      </c>
      <c r="M2982" s="24">
        <f>+Tabla2[[#This Row],[Variación Stock]]*Tabla2[[#This Row],[Coste LÃ­nea]]</f>
        <v>215289.99786800001</v>
      </c>
      <c r="N2982" s="22" t="str">
        <f>+IF(Tabla2[[#This Row],[Variación Stock]]&gt;0,"Sobrante",IF(Tabla2[[#This Row],[Variación Stock]]&lt;0,"Faltante","Sin novedad"))</f>
        <v>Sobrante</v>
      </c>
    </row>
    <row r="2983" spans="1:14" hidden="1" x14ac:dyDescent="0.25">
      <c r="A2983" s="11">
        <v>46053</v>
      </c>
      <c r="B2983" s="5" t="s">
        <v>394</v>
      </c>
      <c r="C2983" s="3" t="s">
        <v>337</v>
      </c>
      <c r="D2983" s="5" t="s">
        <v>120</v>
      </c>
      <c r="E2983" s="5" t="s">
        <v>117</v>
      </c>
      <c r="F2983" s="6" t="s">
        <v>691</v>
      </c>
      <c r="G2983" s="4" t="s">
        <v>1</v>
      </c>
      <c r="H2983" s="25">
        <v>13.132463810000001</v>
      </c>
      <c r="I2983" s="8">
        <v>0</v>
      </c>
      <c r="J2983" s="9">
        <v>0</v>
      </c>
      <c r="K2983" s="7">
        <v>0</v>
      </c>
      <c r="L2983" s="24">
        <f>+Tabla2[[#This Row],[Stock Inventario]]*Tabla2[[#This Row],[Coste LÃ­nea]]</f>
        <v>0</v>
      </c>
      <c r="M2983" s="24">
        <f>+Tabla2[[#This Row],[Variación Stock]]*Tabla2[[#This Row],[Coste LÃ­nea]]</f>
        <v>0</v>
      </c>
      <c r="N2983" s="22" t="str">
        <f>+IF(Tabla2[[#This Row],[Variación Stock]]&gt;0,"Sobrante",IF(Tabla2[[#This Row],[Variación Stock]]&lt;0,"Faltante","Sin novedad"))</f>
        <v>Sin novedad</v>
      </c>
    </row>
    <row r="2984" spans="1:14" hidden="1" x14ac:dyDescent="0.25">
      <c r="A2984" s="11">
        <v>46053</v>
      </c>
      <c r="B2984" s="5" t="s">
        <v>394</v>
      </c>
      <c r="C2984" s="3" t="s">
        <v>337</v>
      </c>
      <c r="D2984" s="5" t="s">
        <v>120</v>
      </c>
      <c r="E2984" s="5" t="s">
        <v>117</v>
      </c>
      <c r="F2984" s="6" t="s">
        <v>313</v>
      </c>
      <c r="G2984" s="4" t="s">
        <v>1</v>
      </c>
      <c r="H2984" s="25">
        <v>38.54204695</v>
      </c>
      <c r="I2984" s="8">
        <v>2974</v>
      </c>
      <c r="J2984" s="9">
        <v>1200</v>
      </c>
      <c r="K2984" s="7">
        <v>-1774</v>
      </c>
      <c r="L2984" s="24">
        <f>+Tabla2[[#This Row],[Stock Inventario]]*Tabla2[[#This Row],[Coste LÃ­nea]]</f>
        <v>46250.456339999997</v>
      </c>
      <c r="M2984" s="24">
        <f>+Tabla2[[#This Row],[Variación Stock]]*Tabla2[[#This Row],[Coste LÃ­nea]]</f>
        <v>-68373.591289300006</v>
      </c>
      <c r="N2984" s="22" t="str">
        <f>+IF(Tabla2[[#This Row],[Variación Stock]]&gt;0,"Sobrante",IF(Tabla2[[#This Row],[Variación Stock]]&lt;0,"Faltante","Sin novedad"))</f>
        <v>Faltante</v>
      </c>
    </row>
    <row r="2985" spans="1:14" hidden="1" x14ac:dyDescent="0.25">
      <c r="A2985" s="11">
        <v>46053</v>
      </c>
      <c r="B2985" s="5" t="s">
        <v>394</v>
      </c>
      <c r="C2985" s="3" t="s">
        <v>337</v>
      </c>
      <c r="D2985" s="5" t="s">
        <v>120</v>
      </c>
      <c r="E2985" s="5" t="s">
        <v>117</v>
      </c>
      <c r="F2985" s="6" t="s">
        <v>692</v>
      </c>
      <c r="G2985" s="4" t="s">
        <v>1</v>
      </c>
      <c r="H2985" s="25">
        <v>12.5218083</v>
      </c>
      <c r="I2985" s="8">
        <v>0</v>
      </c>
      <c r="J2985" s="9">
        <v>0</v>
      </c>
      <c r="K2985" s="7">
        <v>0</v>
      </c>
      <c r="L2985" s="24">
        <f>+Tabla2[[#This Row],[Stock Inventario]]*Tabla2[[#This Row],[Coste LÃ­nea]]</f>
        <v>0</v>
      </c>
      <c r="M2985" s="24">
        <f>+Tabla2[[#This Row],[Variación Stock]]*Tabla2[[#This Row],[Coste LÃ­nea]]</f>
        <v>0</v>
      </c>
      <c r="N2985" s="22" t="str">
        <f>+IF(Tabla2[[#This Row],[Variación Stock]]&gt;0,"Sobrante",IF(Tabla2[[#This Row],[Variación Stock]]&lt;0,"Faltante","Sin novedad"))</f>
        <v>Sin novedad</v>
      </c>
    </row>
    <row r="2986" spans="1:14" hidden="1" x14ac:dyDescent="0.25">
      <c r="A2986" s="11">
        <v>46053</v>
      </c>
      <c r="B2986" s="5" t="s">
        <v>394</v>
      </c>
      <c r="C2986" s="3" t="s">
        <v>337</v>
      </c>
      <c r="D2986" s="5" t="s">
        <v>120</v>
      </c>
      <c r="E2986" s="5" t="s">
        <v>117</v>
      </c>
      <c r="F2986" s="6" t="s">
        <v>693</v>
      </c>
      <c r="G2986" s="4" t="s">
        <v>1</v>
      </c>
      <c r="H2986" s="25">
        <v>9.3004967000000001</v>
      </c>
      <c r="I2986" s="8">
        <v>3266</v>
      </c>
      <c r="J2986" s="9">
        <v>968</v>
      </c>
      <c r="K2986" s="7">
        <v>-2298</v>
      </c>
      <c r="L2986" s="24">
        <f>+Tabla2[[#This Row],[Stock Inventario]]*Tabla2[[#This Row],[Coste LÃ­nea]]</f>
        <v>9002.8808055999998</v>
      </c>
      <c r="M2986" s="24">
        <f>+Tabla2[[#This Row],[Variación Stock]]*Tabla2[[#This Row],[Coste LÃ­nea]]</f>
        <v>-21372.541416600001</v>
      </c>
      <c r="N2986" s="22" t="str">
        <f>+IF(Tabla2[[#This Row],[Variación Stock]]&gt;0,"Sobrante",IF(Tabla2[[#This Row],[Variación Stock]]&lt;0,"Faltante","Sin novedad"))</f>
        <v>Faltante</v>
      </c>
    </row>
    <row r="2987" spans="1:14" hidden="1" x14ac:dyDescent="0.25">
      <c r="A2987" s="11">
        <v>46053</v>
      </c>
      <c r="B2987" s="5" t="s">
        <v>394</v>
      </c>
      <c r="C2987" s="3" t="s">
        <v>337</v>
      </c>
      <c r="D2987" s="5" t="s">
        <v>323</v>
      </c>
      <c r="E2987" s="5" t="s">
        <v>117</v>
      </c>
      <c r="F2987" s="6" t="s">
        <v>324</v>
      </c>
      <c r="G2987" s="4" t="s">
        <v>2</v>
      </c>
      <c r="H2987" s="25">
        <v>4832.9288793100004</v>
      </c>
      <c r="I2987" s="8">
        <v>13</v>
      </c>
      <c r="J2987" s="9">
        <v>13</v>
      </c>
      <c r="K2987" s="7">
        <v>0</v>
      </c>
      <c r="L2987" s="24">
        <f>+Tabla2[[#This Row],[Stock Inventario]]*Tabla2[[#This Row],[Coste LÃ­nea]]</f>
        <v>62828.075431030004</v>
      </c>
      <c r="M2987" s="24">
        <f>+Tabla2[[#This Row],[Variación Stock]]*Tabla2[[#This Row],[Coste LÃ­nea]]</f>
        <v>0</v>
      </c>
      <c r="N2987" s="22" t="str">
        <f>+IF(Tabla2[[#This Row],[Variación Stock]]&gt;0,"Sobrante",IF(Tabla2[[#This Row],[Variación Stock]]&lt;0,"Faltante","Sin novedad"))</f>
        <v>Sin novedad</v>
      </c>
    </row>
    <row r="2988" spans="1:14" hidden="1" x14ac:dyDescent="0.25">
      <c r="A2988" s="11">
        <v>46053</v>
      </c>
      <c r="B2988" s="5" t="s">
        <v>394</v>
      </c>
      <c r="C2988" s="3" t="s">
        <v>337</v>
      </c>
      <c r="D2988" s="5" t="s">
        <v>120</v>
      </c>
      <c r="E2988" s="5" t="s">
        <v>117</v>
      </c>
      <c r="F2988" s="6" t="s">
        <v>261</v>
      </c>
      <c r="G2988" s="4" t="s">
        <v>2</v>
      </c>
      <c r="H2988" s="25">
        <v>3795.1097861200001</v>
      </c>
      <c r="I2988" s="8">
        <v>0</v>
      </c>
      <c r="J2988" s="9">
        <v>0</v>
      </c>
      <c r="K2988" s="7">
        <v>0</v>
      </c>
      <c r="L2988" s="24">
        <f>+Tabla2[[#This Row],[Stock Inventario]]*Tabla2[[#This Row],[Coste LÃ­nea]]</f>
        <v>0</v>
      </c>
      <c r="M2988" s="24">
        <f>+Tabla2[[#This Row],[Variación Stock]]*Tabla2[[#This Row],[Coste LÃ­nea]]</f>
        <v>0</v>
      </c>
      <c r="N2988" s="22" t="str">
        <f>+IF(Tabla2[[#This Row],[Variación Stock]]&gt;0,"Sobrante",IF(Tabla2[[#This Row],[Variación Stock]]&lt;0,"Faltante","Sin novedad"))</f>
        <v>Sin novedad</v>
      </c>
    </row>
    <row r="2989" spans="1:14" hidden="1" x14ac:dyDescent="0.25">
      <c r="A2989" s="11">
        <v>46053</v>
      </c>
      <c r="B2989" s="5" t="s">
        <v>394</v>
      </c>
      <c r="C2989" s="3" t="s">
        <v>337</v>
      </c>
      <c r="D2989" s="5" t="s">
        <v>323</v>
      </c>
      <c r="E2989" s="5" t="s">
        <v>117</v>
      </c>
      <c r="F2989" s="6" t="s">
        <v>348</v>
      </c>
      <c r="G2989" s="4" t="s">
        <v>1</v>
      </c>
      <c r="H2989" s="25">
        <v>13.779523259999999</v>
      </c>
      <c r="I2989" s="8">
        <v>8626</v>
      </c>
      <c r="J2989" s="9">
        <v>0</v>
      </c>
      <c r="K2989" s="15">
        <v>-8626</v>
      </c>
      <c r="L2989" s="24">
        <f>+Tabla2[[#This Row],[Stock Inventario]]*Tabla2[[#This Row],[Coste LÃ­nea]]</f>
        <v>0</v>
      </c>
      <c r="M2989" s="24">
        <f>+Tabla2[[#This Row],[Variación Stock]]*Tabla2[[#This Row],[Coste LÃ­nea]]</f>
        <v>-118862.16764076</v>
      </c>
      <c r="N2989" s="22" t="str">
        <f>+IF(Tabla2[[#This Row],[Variación Stock]]&gt;0,"Sobrante",IF(Tabla2[[#This Row],[Variación Stock]]&lt;0,"Faltante","Sin novedad"))</f>
        <v>Faltante</v>
      </c>
    </row>
    <row r="2990" spans="1:14" hidden="1" x14ac:dyDescent="0.25">
      <c r="A2990" s="11">
        <v>46053</v>
      </c>
      <c r="B2990" s="5" t="s">
        <v>394</v>
      </c>
      <c r="C2990" s="3" t="s">
        <v>337</v>
      </c>
      <c r="D2990" s="5" t="s">
        <v>120</v>
      </c>
      <c r="E2990" s="5" t="s">
        <v>117</v>
      </c>
      <c r="F2990" s="6" t="s">
        <v>694</v>
      </c>
      <c r="G2990" s="4" t="s">
        <v>1</v>
      </c>
      <c r="H2990" s="25">
        <v>10.294228159999999</v>
      </c>
      <c r="I2990" s="8">
        <v>-4310</v>
      </c>
      <c r="J2990" s="9">
        <v>1702</v>
      </c>
      <c r="K2990" s="7">
        <v>6012</v>
      </c>
      <c r="L2990" s="24">
        <f>+Tabla2[[#This Row],[Stock Inventario]]*Tabla2[[#This Row],[Coste LÃ­nea]]</f>
        <v>17520.77632832</v>
      </c>
      <c r="M2990" s="24">
        <f>+Tabla2[[#This Row],[Variación Stock]]*Tabla2[[#This Row],[Coste LÃ­nea]]</f>
        <v>61888.899697919995</v>
      </c>
      <c r="N2990" s="22" t="str">
        <f>+IF(Tabla2[[#This Row],[Variación Stock]]&gt;0,"Sobrante",IF(Tabla2[[#This Row],[Variación Stock]]&lt;0,"Faltante","Sin novedad"))</f>
        <v>Sobrante</v>
      </c>
    </row>
    <row r="2991" spans="1:14" hidden="1" x14ac:dyDescent="0.25">
      <c r="A2991" s="11">
        <v>46053</v>
      </c>
      <c r="B2991" s="5" t="s">
        <v>394</v>
      </c>
      <c r="C2991" s="3" t="s">
        <v>337</v>
      </c>
      <c r="D2991" s="5" t="s">
        <v>120</v>
      </c>
      <c r="E2991" s="5" t="s">
        <v>117</v>
      </c>
      <c r="F2991" s="6" t="s">
        <v>695</v>
      </c>
      <c r="G2991" s="4" t="s">
        <v>1</v>
      </c>
      <c r="H2991" s="25">
        <v>10.878091039999999</v>
      </c>
      <c r="I2991" s="8">
        <v>-14833</v>
      </c>
      <c r="J2991" s="9">
        <v>1364</v>
      </c>
      <c r="K2991" s="7">
        <v>16197</v>
      </c>
      <c r="L2991" s="24">
        <f>+Tabla2[[#This Row],[Stock Inventario]]*Tabla2[[#This Row],[Coste LÃ­nea]]</f>
        <v>14837.716178559998</v>
      </c>
      <c r="M2991" s="24">
        <f>+Tabla2[[#This Row],[Variación Stock]]*Tabla2[[#This Row],[Coste LÃ­nea]]</f>
        <v>176192.44057487999</v>
      </c>
      <c r="N2991" s="22" t="str">
        <f>+IF(Tabla2[[#This Row],[Variación Stock]]&gt;0,"Sobrante",IF(Tabla2[[#This Row],[Variación Stock]]&lt;0,"Faltante","Sin novedad"))</f>
        <v>Sobrante</v>
      </c>
    </row>
    <row r="2992" spans="1:14" hidden="1" x14ac:dyDescent="0.25">
      <c r="A2992" s="11">
        <v>46053</v>
      </c>
      <c r="B2992" s="5" t="s">
        <v>394</v>
      </c>
      <c r="C2992" s="3" t="s">
        <v>337</v>
      </c>
      <c r="D2992" s="5" t="s">
        <v>120</v>
      </c>
      <c r="E2992" s="5" t="s">
        <v>117</v>
      </c>
      <c r="F2992" s="6" t="s">
        <v>696</v>
      </c>
      <c r="G2992" s="4" t="s">
        <v>1</v>
      </c>
      <c r="H2992" s="25">
        <v>13.54967794</v>
      </c>
      <c r="I2992" s="8">
        <v>-5089</v>
      </c>
      <c r="J2992" s="9">
        <v>0</v>
      </c>
      <c r="K2992" s="7">
        <v>5089</v>
      </c>
      <c r="L2992" s="24">
        <f>+Tabla2[[#This Row],[Stock Inventario]]*Tabla2[[#This Row],[Coste LÃ­nea]]</f>
        <v>0</v>
      </c>
      <c r="M2992" s="24">
        <f>+Tabla2[[#This Row],[Variación Stock]]*Tabla2[[#This Row],[Coste LÃ­nea]]</f>
        <v>68954.311036660001</v>
      </c>
      <c r="N2992" s="22" t="str">
        <f>+IF(Tabla2[[#This Row],[Variación Stock]]&gt;0,"Sobrante",IF(Tabla2[[#This Row],[Variación Stock]]&lt;0,"Faltante","Sin novedad"))</f>
        <v>Sobrante</v>
      </c>
    </row>
    <row r="2993" spans="1:14" hidden="1" x14ac:dyDescent="0.25">
      <c r="A2993" s="11">
        <v>46053</v>
      </c>
      <c r="B2993" s="5" t="s">
        <v>394</v>
      </c>
      <c r="C2993" s="3" t="s">
        <v>337</v>
      </c>
      <c r="D2993" s="5" t="s">
        <v>120</v>
      </c>
      <c r="E2993" s="5" t="s">
        <v>117</v>
      </c>
      <c r="F2993" s="6" t="s">
        <v>697</v>
      </c>
      <c r="G2993" s="4" t="s">
        <v>1</v>
      </c>
      <c r="H2993" s="25">
        <v>104.14896632999999</v>
      </c>
      <c r="I2993" s="8">
        <v>0</v>
      </c>
      <c r="J2993" s="9">
        <v>0</v>
      </c>
      <c r="K2993" s="7">
        <v>0</v>
      </c>
      <c r="L2993" s="24">
        <f>+Tabla2[[#This Row],[Stock Inventario]]*Tabla2[[#This Row],[Coste LÃ­nea]]</f>
        <v>0</v>
      </c>
      <c r="M2993" s="24">
        <f>+Tabla2[[#This Row],[Variación Stock]]*Tabla2[[#This Row],[Coste LÃ­nea]]</f>
        <v>0</v>
      </c>
      <c r="N2993" s="22" t="str">
        <f>+IF(Tabla2[[#This Row],[Variación Stock]]&gt;0,"Sobrante",IF(Tabla2[[#This Row],[Variación Stock]]&lt;0,"Faltante","Sin novedad"))</f>
        <v>Sin novedad</v>
      </c>
    </row>
    <row r="2994" spans="1:14" x14ac:dyDescent="0.25">
      <c r="A2994" s="11">
        <v>46053</v>
      </c>
      <c r="B2994" s="5" t="s">
        <v>394</v>
      </c>
      <c r="C2994" s="3" t="s">
        <v>337</v>
      </c>
      <c r="D2994" s="5" t="s">
        <v>121</v>
      </c>
      <c r="E2994" s="5" t="s">
        <v>112</v>
      </c>
      <c r="F2994" s="6" t="s">
        <v>355</v>
      </c>
      <c r="G2994" s="4" t="s">
        <v>1</v>
      </c>
      <c r="H2994" s="25">
        <v>45.040723980000003</v>
      </c>
      <c r="I2994" s="8">
        <v>-1084</v>
      </c>
      <c r="J2994" s="9">
        <v>584</v>
      </c>
      <c r="K2994" s="7">
        <v>1668</v>
      </c>
      <c r="L2994" s="24">
        <f>+Tabla2[[#This Row],[Stock Inventario]]*Tabla2[[#This Row],[Coste LÃ­nea]]</f>
        <v>26303.782804320002</v>
      </c>
      <c r="M2994" s="24">
        <f>+Tabla2[[#This Row],[Variación Stock]]*Tabla2[[#This Row],[Coste LÃ­nea]]</f>
        <v>75127.927598640003</v>
      </c>
      <c r="N2994" s="22" t="str">
        <f>+IF(Tabla2[[#This Row],[Variación Stock]]&gt;0,"Sobrante",IF(Tabla2[[#This Row],[Variación Stock]]&lt;0,"Faltante","Sin novedad"))</f>
        <v>Sobrante</v>
      </c>
    </row>
    <row r="2995" spans="1:14" hidden="1" x14ac:dyDescent="0.25">
      <c r="A2995" s="11">
        <v>46053</v>
      </c>
      <c r="B2995" s="5" t="s">
        <v>394</v>
      </c>
      <c r="C2995" s="3" t="s">
        <v>337</v>
      </c>
      <c r="D2995" s="5" t="s">
        <v>323</v>
      </c>
      <c r="E2995" s="5" t="s">
        <v>117</v>
      </c>
      <c r="F2995" s="6" t="s">
        <v>773</v>
      </c>
      <c r="G2995" s="4" t="s">
        <v>1</v>
      </c>
      <c r="H2995" s="25">
        <v>8.2292859999999995E-2</v>
      </c>
      <c r="I2995" s="8">
        <v>0</v>
      </c>
      <c r="J2995" s="9">
        <v>0</v>
      </c>
      <c r="K2995" s="7">
        <v>0</v>
      </c>
      <c r="L2995" s="24">
        <f>+Tabla2[[#This Row],[Stock Inventario]]*Tabla2[[#This Row],[Coste LÃ­nea]]</f>
        <v>0</v>
      </c>
      <c r="M2995" s="24">
        <f>+Tabla2[[#This Row],[Variación Stock]]*Tabla2[[#This Row],[Coste LÃ­nea]]</f>
        <v>0</v>
      </c>
      <c r="N2995" s="22" t="str">
        <f>+IF(Tabla2[[#This Row],[Variación Stock]]&gt;0,"Sobrante",IF(Tabla2[[#This Row],[Variación Stock]]&lt;0,"Faltante","Sin novedad"))</f>
        <v>Sin novedad</v>
      </c>
    </row>
    <row r="2996" spans="1:14" x14ac:dyDescent="0.25">
      <c r="A2996" s="11">
        <v>46053</v>
      </c>
      <c r="B2996" s="5" t="s">
        <v>394</v>
      </c>
      <c r="C2996" s="3" t="s">
        <v>337</v>
      </c>
      <c r="D2996" s="5" t="s">
        <v>121</v>
      </c>
      <c r="E2996" s="5" t="s">
        <v>112</v>
      </c>
      <c r="F2996" s="6" t="s">
        <v>791</v>
      </c>
      <c r="G2996" s="4" t="s">
        <v>1</v>
      </c>
      <c r="H2996" s="25">
        <v>16.416571430000001</v>
      </c>
      <c r="I2996" s="8">
        <v>0</v>
      </c>
      <c r="J2996" s="9">
        <v>0</v>
      </c>
      <c r="K2996" s="7">
        <v>0</v>
      </c>
      <c r="L2996" s="24">
        <f>+Tabla2[[#This Row],[Stock Inventario]]*Tabla2[[#This Row],[Coste LÃ­nea]]</f>
        <v>0</v>
      </c>
      <c r="M2996" s="24">
        <f>+Tabla2[[#This Row],[Variación Stock]]*Tabla2[[#This Row],[Coste LÃ­nea]]</f>
        <v>0</v>
      </c>
      <c r="N2996" s="22" t="str">
        <f>+IF(Tabla2[[#This Row],[Variación Stock]]&gt;0,"Sobrante",IF(Tabla2[[#This Row],[Variación Stock]]&lt;0,"Faltante","Sin novedad"))</f>
        <v>Sin novedad</v>
      </c>
    </row>
    <row r="2997" spans="1:14" hidden="1" x14ac:dyDescent="0.25">
      <c r="A2997" s="11">
        <v>46053</v>
      </c>
      <c r="B2997" s="5" t="s">
        <v>394</v>
      </c>
      <c r="C2997" s="3" t="s">
        <v>337</v>
      </c>
      <c r="D2997" s="5" t="s">
        <v>120</v>
      </c>
      <c r="E2997" s="5" t="s">
        <v>117</v>
      </c>
      <c r="F2997" s="6" t="s">
        <v>321</v>
      </c>
      <c r="G2997" s="4" t="s">
        <v>2</v>
      </c>
      <c r="H2997" s="25">
        <v>17671.085396940001</v>
      </c>
      <c r="I2997" s="8">
        <v>10</v>
      </c>
      <c r="J2997" s="9">
        <v>10</v>
      </c>
      <c r="K2997" s="7">
        <v>0</v>
      </c>
      <c r="L2997" s="24">
        <f>+Tabla2[[#This Row],[Stock Inventario]]*Tabla2[[#This Row],[Coste LÃ­nea]]</f>
        <v>176710.85396940002</v>
      </c>
      <c r="M2997" s="24">
        <f>+Tabla2[[#This Row],[Variación Stock]]*Tabla2[[#This Row],[Coste LÃ­nea]]</f>
        <v>0</v>
      </c>
      <c r="N2997" s="22" t="str">
        <f>+IF(Tabla2[[#This Row],[Variación Stock]]&gt;0,"Sobrante",IF(Tabla2[[#This Row],[Variación Stock]]&lt;0,"Faltante","Sin novedad"))</f>
        <v>Sin novedad</v>
      </c>
    </row>
    <row r="2998" spans="1:14" hidden="1" x14ac:dyDescent="0.25">
      <c r="A2998" s="11">
        <v>46053</v>
      </c>
      <c r="B2998" s="5" t="s">
        <v>394</v>
      </c>
      <c r="C2998" s="3" t="s">
        <v>337</v>
      </c>
      <c r="D2998" s="5" t="s">
        <v>120</v>
      </c>
      <c r="E2998" s="5" t="s">
        <v>117</v>
      </c>
      <c r="F2998" s="6" t="s">
        <v>698</v>
      </c>
      <c r="G2998" s="4" t="s">
        <v>1</v>
      </c>
      <c r="H2998" s="25">
        <v>34.6045406</v>
      </c>
      <c r="I2998" s="8">
        <v>-140</v>
      </c>
      <c r="J2998" s="9">
        <v>186</v>
      </c>
      <c r="K2998" s="7">
        <v>326</v>
      </c>
      <c r="L2998" s="24">
        <f>+Tabla2[[#This Row],[Stock Inventario]]*Tabla2[[#This Row],[Coste LÃ­nea]]</f>
        <v>6436.4445515999996</v>
      </c>
      <c r="M2998" s="24">
        <f>+Tabla2[[#This Row],[Variación Stock]]*Tabla2[[#This Row],[Coste LÃ­nea]]</f>
        <v>11281.0802356</v>
      </c>
      <c r="N2998" s="22" t="str">
        <f>+IF(Tabla2[[#This Row],[Variación Stock]]&gt;0,"Sobrante",IF(Tabla2[[#This Row],[Variación Stock]]&lt;0,"Faltante","Sin novedad"))</f>
        <v>Sobrante</v>
      </c>
    </row>
    <row r="2999" spans="1:14" hidden="1" x14ac:dyDescent="0.25">
      <c r="A2999" s="11">
        <v>46053</v>
      </c>
      <c r="B2999" s="5" t="s">
        <v>394</v>
      </c>
      <c r="C2999" s="3" t="s">
        <v>337</v>
      </c>
      <c r="D2999" s="5" t="s">
        <v>120</v>
      </c>
      <c r="E2999" s="5" t="s">
        <v>117</v>
      </c>
      <c r="F2999" s="6" t="s">
        <v>314</v>
      </c>
      <c r="G2999" s="4" t="s">
        <v>2</v>
      </c>
      <c r="H2999" s="25">
        <v>648.57965839999997</v>
      </c>
      <c r="I2999" s="8">
        <v>46</v>
      </c>
      <c r="J2999" s="9">
        <v>46</v>
      </c>
      <c r="K2999" s="7">
        <v>0</v>
      </c>
      <c r="L2999" s="24">
        <f>+Tabla2[[#This Row],[Stock Inventario]]*Tabla2[[#This Row],[Coste LÃ­nea]]</f>
        <v>29834.664286399999</v>
      </c>
      <c r="M2999" s="24">
        <f>+Tabla2[[#This Row],[Variación Stock]]*Tabla2[[#This Row],[Coste LÃ­nea]]</f>
        <v>0</v>
      </c>
      <c r="N2999" s="22" t="str">
        <f>+IF(Tabla2[[#This Row],[Variación Stock]]&gt;0,"Sobrante",IF(Tabla2[[#This Row],[Variación Stock]]&lt;0,"Faltante","Sin novedad"))</f>
        <v>Sin novedad</v>
      </c>
    </row>
    <row r="3000" spans="1:14" hidden="1" x14ac:dyDescent="0.25">
      <c r="A3000" s="11">
        <v>46053</v>
      </c>
      <c r="B3000" s="5" t="s">
        <v>394</v>
      </c>
      <c r="C3000" s="3" t="s">
        <v>337</v>
      </c>
      <c r="D3000" s="5" t="s">
        <v>120</v>
      </c>
      <c r="E3000" s="5" t="s">
        <v>117</v>
      </c>
      <c r="F3000" s="6" t="s">
        <v>699</v>
      </c>
      <c r="G3000" s="4" t="s">
        <v>2</v>
      </c>
      <c r="H3000" s="25">
        <v>5928.1262500000003</v>
      </c>
      <c r="I3000" s="8">
        <v>7</v>
      </c>
      <c r="J3000" s="9">
        <v>46</v>
      </c>
      <c r="K3000" s="7">
        <v>39</v>
      </c>
      <c r="L3000" s="24">
        <f>+Tabla2[[#This Row],[Stock Inventario]]*Tabla2[[#This Row],[Coste LÃ­nea]]</f>
        <v>272693.8075</v>
      </c>
      <c r="M3000" s="24">
        <f>+Tabla2[[#This Row],[Variación Stock]]*Tabla2[[#This Row],[Coste LÃ­nea]]</f>
        <v>231196.92375000002</v>
      </c>
      <c r="N3000" s="22" t="str">
        <f>+IF(Tabla2[[#This Row],[Variación Stock]]&gt;0,"Sobrante",IF(Tabla2[[#This Row],[Variación Stock]]&lt;0,"Faltante","Sin novedad"))</f>
        <v>Sobrante</v>
      </c>
    </row>
    <row r="3001" spans="1:14" hidden="1" x14ac:dyDescent="0.25">
      <c r="A3001" s="11">
        <v>46053</v>
      </c>
      <c r="B3001" s="5" t="s">
        <v>394</v>
      </c>
      <c r="C3001" s="3" t="s">
        <v>337</v>
      </c>
      <c r="D3001" s="5" t="s">
        <v>120</v>
      </c>
      <c r="E3001" s="5" t="s">
        <v>117</v>
      </c>
      <c r="F3001" s="6" t="s">
        <v>206</v>
      </c>
      <c r="G3001" s="4" t="s">
        <v>2</v>
      </c>
      <c r="H3001" s="25">
        <v>287.72525953000002</v>
      </c>
      <c r="I3001" s="8">
        <v>0</v>
      </c>
      <c r="J3001" s="9">
        <v>0</v>
      </c>
      <c r="K3001" s="7">
        <v>0</v>
      </c>
      <c r="L3001" s="24">
        <f>+Tabla2[[#This Row],[Stock Inventario]]*Tabla2[[#This Row],[Coste LÃ­nea]]</f>
        <v>0</v>
      </c>
      <c r="M3001" s="24">
        <f>+Tabla2[[#This Row],[Variación Stock]]*Tabla2[[#This Row],[Coste LÃ­nea]]</f>
        <v>0</v>
      </c>
      <c r="N3001" s="22" t="str">
        <f>+IF(Tabla2[[#This Row],[Variación Stock]]&gt;0,"Sobrante",IF(Tabla2[[#This Row],[Variación Stock]]&lt;0,"Faltante","Sin novedad"))</f>
        <v>Sin novedad</v>
      </c>
    </row>
    <row r="3002" spans="1:14" hidden="1" x14ac:dyDescent="0.25">
      <c r="A3002" s="11">
        <v>46053</v>
      </c>
      <c r="B3002" s="5" t="s">
        <v>394</v>
      </c>
      <c r="C3002" s="3" t="s">
        <v>337</v>
      </c>
      <c r="D3002" s="5" t="s">
        <v>323</v>
      </c>
      <c r="E3002" s="5" t="s">
        <v>117</v>
      </c>
      <c r="F3002" s="6" t="s">
        <v>325</v>
      </c>
      <c r="G3002" s="4" t="s">
        <v>2</v>
      </c>
      <c r="H3002" s="25">
        <v>1645.2914033699999</v>
      </c>
      <c r="I3002" s="8">
        <v>43</v>
      </c>
      <c r="J3002" s="9">
        <v>41</v>
      </c>
      <c r="K3002" s="15">
        <v>-2</v>
      </c>
      <c r="L3002" s="24">
        <f>+Tabla2[[#This Row],[Stock Inventario]]*Tabla2[[#This Row],[Coste LÃ­nea]]</f>
        <v>67456.947538170003</v>
      </c>
      <c r="M3002" s="24">
        <f>+Tabla2[[#This Row],[Variación Stock]]*Tabla2[[#This Row],[Coste LÃ­nea]]</f>
        <v>-3290.5828067399998</v>
      </c>
      <c r="N3002" s="22" t="str">
        <f>+IF(Tabla2[[#This Row],[Variación Stock]]&gt;0,"Sobrante",IF(Tabla2[[#This Row],[Variación Stock]]&lt;0,"Faltante","Sin novedad"))</f>
        <v>Faltante</v>
      </c>
    </row>
    <row r="3003" spans="1:14" hidden="1" x14ac:dyDescent="0.25">
      <c r="A3003" s="11">
        <v>46053</v>
      </c>
      <c r="B3003" s="5" t="s">
        <v>394</v>
      </c>
      <c r="C3003" s="3" t="s">
        <v>337</v>
      </c>
      <c r="D3003" s="5" t="s">
        <v>120</v>
      </c>
      <c r="E3003" s="5" t="s">
        <v>117</v>
      </c>
      <c r="F3003" s="6" t="s">
        <v>315</v>
      </c>
      <c r="G3003" s="4" t="s">
        <v>2</v>
      </c>
      <c r="H3003" s="25">
        <v>2289.3502371</v>
      </c>
      <c r="I3003" s="8">
        <v>23</v>
      </c>
      <c r="J3003" s="9">
        <v>23</v>
      </c>
      <c r="K3003" s="7">
        <v>0</v>
      </c>
      <c r="L3003" s="24">
        <f>+Tabla2[[#This Row],[Stock Inventario]]*Tabla2[[#This Row],[Coste LÃ­nea]]</f>
        <v>52655.055453299996</v>
      </c>
      <c r="M3003" s="24">
        <f>+Tabla2[[#This Row],[Variación Stock]]*Tabla2[[#This Row],[Coste LÃ­nea]]</f>
        <v>0</v>
      </c>
      <c r="N3003" s="22" t="str">
        <f>+IF(Tabla2[[#This Row],[Variación Stock]]&gt;0,"Sobrante",IF(Tabla2[[#This Row],[Variación Stock]]&lt;0,"Faltante","Sin novedad"))</f>
        <v>Sin novedad</v>
      </c>
    </row>
    <row r="3004" spans="1:14" hidden="1" x14ac:dyDescent="0.25">
      <c r="A3004" s="11">
        <v>46053</v>
      </c>
      <c r="B3004" s="5" t="s">
        <v>394</v>
      </c>
      <c r="C3004" s="3" t="s">
        <v>337</v>
      </c>
      <c r="D3004" s="5" t="s">
        <v>120</v>
      </c>
      <c r="E3004" s="5" t="s">
        <v>117</v>
      </c>
      <c r="F3004" s="6" t="s">
        <v>700</v>
      </c>
      <c r="G3004" s="4" t="s">
        <v>1</v>
      </c>
      <c r="H3004" s="25">
        <v>1.2377491899999999</v>
      </c>
      <c r="I3004" s="8">
        <v>0</v>
      </c>
      <c r="J3004" s="9">
        <v>0</v>
      </c>
      <c r="K3004" s="7">
        <v>0</v>
      </c>
      <c r="L3004" s="24">
        <f>+Tabla2[[#This Row],[Stock Inventario]]*Tabla2[[#This Row],[Coste LÃ­nea]]</f>
        <v>0</v>
      </c>
      <c r="M3004" s="24">
        <f>+Tabla2[[#This Row],[Variación Stock]]*Tabla2[[#This Row],[Coste LÃ­nea]]</f>
        <v>0</v>
      </c>
      <c r="N3004" s="22" t="str">
        <f>+IF(Tabla2[[#This Row],[Variación Stock]]&gt;0,"Sobrante",IF(Tabla2[[#This Row],[Variación Stock]]&lt;0,"Faltante","Sin novedad"))</f>
        <v>Sin novedad</v>
      </c>
    </row>
    <row r="3005" spans="1:14" hidden="1" x14ac:dyDescent="0.25">
      <c r="A3005" s="11">
        <v>46053</v>
      </c>
      <c r="B3005" s="5" t="s">
        <v>394</v>
      </c>
      <c r="C3005" s="3" t="s">
        <v>337</v>
      </c>
      <c r="D3005" s="5" t="s">
        <v>120</v>
      </c>
      <c r="E3005" s="5" t="s">
        <v>117</v>
      </c>
      <c r="F3005" s="6" t="s">
        <v>701</v>
      </c>
      <c r="G3005" s="4" t="s">
        <v>1</v>
      </c>
      <c r="H3005" s="25">
        <v>31.59727268</v>
      </c>
      <c r="I3005" s="8">
        <v>0</v>
      </c>
      <c r="J3005" s="9">
        <v>0</v>
      </c>
      <c r="K3005" s="7">
        <v>0</v>
      </c>
      <c r="L3005" s="24">
        <f>+Tabla2[[#This Row],[Stock Inventario]]*Tabla2[[#This Row],[Coste LÃ­nea]]</f>
        <v>0</v>
      </c>
      <c r="M3005" s="24">
        <f>+Tabla2[[#This Row],[Variación Stock]]*Tabla2[[#This Row],[Coste LÃ­nea]]</f>
        <v>0</v>
      </c>
      <c r="N3005" s="22" t="str">
        <f>+IF(Tabla2[[#This Row],[Variación Stock]]&gt;0,"Sobrante",IF(Tabla2[[#This Row],[Variación Stock]]&lt;0,"Faltante","Sin novedad"))</f>
        <v>Sin novedad</v>
      </c>
    </row>
    <row r="3006" spans="1:14" hidden="1" x14ac:dyDescent="0.25">
      <c r="A3006" s="11">
        <v>46053</v>
      </c>
      <c r="B3006" s="5" t="s">
        <v>394</v>
      </c>
      <c r="C3006" s="3" t="s">
        <v>337</v>
      </c>
      <c r="D3006" s="5" t="s">
        <v>120</v>
      </c>
      <c r="E3006" s="5" t="s">
        <v>117</v>
      </c>
      <c r="F3006" s="6" t="s">
        <v>702</v>
      </c>
      <c r="G3006" s="4" t="s">
        <v>2</v>
      </c>
      <c r="H3006" s="25">
        <v>1110.3705716899999</v>
      </c>
      <c r="I3006" s="8">
        <v>3</v>
      </c>
      <c r="J3006" s="9">
        <v>8</v>
      </c>
      <c r="K3006" s="7">
        <v>5</v>
      </c>
      <c r="L3006" s="24">
        <f>+Tabla2[[#This Row],[Stock Inventario]]*Tabla2[[#This Row],[Coste LÃ­nea]]</f>
        <v>8882.9645735199992</v>
      </c>
      <c r="M3006" s="24">
        <f>+Tabla2[[#This Row],[Variación Stock]]*Tabla2[[#This Row],[Coste LÃ­nea]]</f>
        <v>5551.85285845</v>
      </c>
      <c r="N3006" s="22" t="str">
        <f>+IF(Tabla2[[#This Row],[Variación Stock]]&gt;0,"Sobrante",IF(Tabla2[[#This Row],[Variación Stock]]&lt;0,"Faltante","Sin novedad"))</f>
        <v>Sobrante</v>
      </c>
    </row>
    <row r="3007" spans="1:14" hidden="1" x14ac:dyDescent="0.25">
      <c r="A3007" s="11">
        <v>46053</v>
      </c>
      <c r="B3007" s="5" t="s">
        <v>394</v>
      </c>
      <c r="C3007" s="3" t="s">
        <v>337</v>
      </c>
      <c r="D3007" s="5" t="s">
        <v>120</v>
      </c>
      <c r="E3007" s="5" t="s">
        <v>117</v>
      </c>
      <c r="F3007" s="6" t="s">
        <v>392</v>
      </c>
      <c r="G3007" s="4" t="s">
        <v>2</v>
      </c>
      <c r="H3007" s="25">
        <v>3833.3333333300002</v>
      </c>
      <c r="I3007" s="8">
        <v>0</v>
      </c>
      <c r="J3007" s="9">
        <v>0</v>
      </c>
      <c r="K3007" s="7">
        <v>0</v>
      </c>
      <c r="L3007" s="24">
        <f>+Tabla2[[#This Row],[Stock Inventario]]*Tabla2[[#This Row],[Coste LÃ­nea]]</f>
        <v>0</v>
      </c>
      <c r="M3007" s="24">
        <f>+Tabla2[[#This Row],[Variación Stock]]*Tabla2[[#This Row],[Coste LÃ­nea]]</f>
        <v>0</v>
      </c>
      <c r="N3007" s="22" t="str">
        <f>+IF(Tabla2[[#This Row],[Variación Stock]]&gt;0,"Sobrante",IF(Tabla2[[#This Row],[Variación Stock]]&lt;0,"Faltante","Sin novedad"))</f>
        <v>Sin novedad</v>
      </c>
    </row>
    <row r="3008" spans="1:14" hidden="1" x14ac:dyDescent="0.25">
      <c r="A3008" s="11">
        <v>46053</v>
      </c>
      <c r="B3008" s="5" t="s">
        <v>394</v>
      </c>
      <c r="C3008" s="3" t="s">
        <v>337</v>
      </c>
      <c r="D3008" s="5" t="s">
        <v>323</v>
      </c>
      <c r="E3008" s="5" t="s">
        <v>117</v>
      </c>
      <c r="F3008" s="6" t="s">
        <v>345</v>
      </c>
      <c r="G3008" s="4" t="s">
        <v>1</v>
      </c>
      <c r="H3008" s="25">
        <v>20.981048869999999</v>
      </c>
      <c r="I3008" s="8">
        <v>0</v>
      </c>
      <c r="J3008" s="9">
        <v>0</v>
      </c>
      <c r="K3008" s="7">
        <v>0</v>
      </c>
      <c r="L3008" s="24">
        <f>+Tabla2[[#This Row],[Stock Inventario]]*Tabla2[[#This Row],[Coste LÃ­nea]]</f>
        <v>0</v>
      </c>
      <c r="M3008" s="24">
        <f>+Tabla2[[#This Row],[Variación Stock]]*Tabla2[[#This Row],[Coste LÃ­nea]]</f>
        <v>0</v>
      </c>
      <c r="N3008" s="22" t="str">
        <f>+IF(Tabla2[[#This Row],[Variación Stock]]&gt;0,"Sobrante",IF(Tabla2[[#This Row],[Variación Stock]]&lt;0,"Faltante","Sin novedad"))</f>
        <v>Sin novedad</v>
      </c>
    </row>
    <row r="3009" spans="1:14" hidden="1" x14ac:dyDescent="0.25">
      <c r="A3009" s="11">
        <v>46053</v>
      </c>
      <c r="B3009" s="5" t="s">
        <v>394</v>
      </c>
      <c r="C3009" s="3" t="s">
        <v>337</v>
      </c>
      <c r="D3009" s="5" t="s">
        <v>120</v>
      </c>
      <c r="E3009" s="5" t="s">
        <v>117</v>
      </c>
      <c r="F3009" s="6" t="s">
        <v>703</v>
      </c>
      <c r="G3009" s="4" t="s">
        <v>1</v>
      </c>
      <c r="H3009" s="25">
        <v>2</v>
      </c>
      <c r="I3009" s="8">
        <v>910</v>
      </c>
      <c r="J3009" s="9">
        <v>0</v>
      </c>
      <c r="K3009" s="7">
        <v>-910</v>
      </c>
      <c r="L3009" s="24">
        <f>+Tabla2[[#This Row],[Stock Inventario]]*Tabla2[[#This Row],[Coste LÃ­nea]]</f>
        <v>0</v>
      </c>
      <c r="M3009" s="24">
        <f>+Tabla2[[#This Row],[Variación Stock]]*Tabla2[[#This Row],[Coste LÃ­nea]]</f>
        <v>-1820</v>
      </c>
      <c r="N3009" s="22" t="str">
        <f>+IF(Tabla2[[#This Row],[Variación Stock]]&gt;0,"Sobrante",IF(Tabla2[[#This Row],[Variación Stock]]&lt;0,"Faltante","Sin novedad"))</f>
        <v>Faltante</v>
      </c>
    </row>
    <row r="3010" spans="1:14" hidden="1" x14ac:dyDescent="0.25">
      <c r="A3010" s="11">
        <v>46053</v>
      </c>
      <c r="B3010" s="5" t="s">
        <v>394</v>
      </c>
      <c r="C3010" s="3" t="s">
        <v>337</v>
      </c>
      <c r="D3010" s="5" t="s">
        <v>120</v>
      </c>
      <c r="E3010" s="5" t="s">
        <v>117</v>
      </c>
      <c r="F3010" s="6" t="s">
        <v>704</v>
      </c>
      <c r="G3010" s="4" t="s">
        <v>1</v>
      </c>
      <c r="H3010" s="25">
        <v>18.415007580000001</v>
      </c>
      <c r="I3010" s="8">
        <v>743.8</v>
      </c>
      <c r="J3010" s="9">
        <v>6840</v>
      </c>
      <c r="K3010" s="7">
        <v>6096.2000500000004</v>
      </c>
      <c r="L3010" s="24">
        <f>+Tabla2[[#This Row],[Stock Inventario]]*Tabla2[[#This Row],[Coste LÃ­nea]]</f>
        <v>125958.6518472</v>
      </c>
      <c r="M3010" s="24">
        <f>+Tabla2[[#This Row],[Variación Stock]]*Tabla2[[#This Row],[Coste LÃ­nea]]</f>
        <v>112261.5701299464</v>
      </c>
      <c r="N3010" s="22" t="str">
        <f>+IF(Tabla2[[#This Row],[Variación Stock]]&gt;0,"Sobrante",IF(Tabla2[[#This Row],[Variación Stock]]&lt;0,"Faltante","Sin novedad"))</f>
        <v>Sobrante</v>
      </c>
    </row>
    <row r="3011" spans="1:14" hidden="1" x14ac:dyDescent="0.25">
      <c r="A3011" s="11">
        <v>46053</v>
      </c>
      <c r="B3011" s="5" t="s">
        <v>394</v>
      </c>
      <c r="C3011" s="3" t="s">
        <v>337</v>
      </c>
      <c r="D3011" s="5" t="s">
        <v>120</v>
      </c>
      <c r="E3011" s="5" t="s">
        <v>117</v>
      </c>
      <c r="F3011" s="6" t="s">
        <v>705</v>
      </c>
      <c r="G3011" s="4" t="s">
        <v>1</v>
      </c>
      <c r="H3011" s="25">
        <v>1.88845906</v>
      </c>
      <c r="I3011" s="8">
        <v>0</v>
      </c>
      <c r="J3011" s="9">
        <v>0</v>
      </c>
      <c r="K3011" s="7">
        <v>0</v>
      </c>
      <c r="L3011" s="24">
        <f>+Tabla2[[#This Row],[Stock Inventario]]*Tabla2[[#This Row],[Coste LÃ­nea]]</f>
        <v>0</v>
      </c>
      <c r="M3011" s="24">
        <f>+Tabla2[[#This Row],[Variación Stock]]*Tabla2[[#This Row],[Coste LÃ­nea]]</f>
        <v>0</v>
      </c>
      <c r="N3011" s="22" t="str">
        <f>+IF(Tabla2[[#This Row],[Variación Stock]]&gt;0,"Sobrante",IF(Tabla2[[#This Row],[Variación Stock]]&lt;0,"Faltante","Sin novedad"))</f>
        <v>Sin novedad</v>
      </c>
    </row>
    <row r="3012" spans="1:14" hidden="1" x14ac:dyDescent="0.25">
      <c r="A3012" s="11">
        <v>46053</v>
      </c>
      <c r="B3012" s="5" t="s">
        <v>394</v>
      </c>
      <c r="C3012" s="3" t="s">
        <v>337</v>
      </c>
      <c r="D3012" s="5" t="s">
        <v>120</v>
      </c>
      <c r="E3012" s="5" t="s">
        <v>117</v>
      </c>
      <c r="F3012" s="6" t="s">
        <v>343</v>
      </c>
      <c r="G3012" s="4" t="s">
        <v>1</v>
      </c>
      <c r="H3012" s="25">
        <v>240</v>
      </c>
      <c r="I3012" s="8">
        <v>-3</v>
      </c>
      <c r="J3012" s="9">
        <v>0</v>
      </c>
      <c r="K3012" s="7">
        <v>3</v>
      </c>
      <c r="L3012" s="24">
        <f>+Tabla2[[#This Row],[Stock Inventario]]*Tabla2[[#This Row],[Coste LÃ­nea]]</f>
        <v>0</v>
      </c>
      <c r="M3012" s="24">
        <f>+Tabla2[[#This Row],[Variación Stock]]*Tabla2[[#This Row],[Coste LÃ­nea]]</f>
        <v>720</v>
      </c>
      <c r="N3012" s="22" t="str">
        <f>+IF(Tabla2[[#This Row],[Variación Stock]]&gt;0,"Sobrante",IF(Tabla2[[#This Row],[Variación Stock]]&lt;0,"Faltante","Sin novedad"))</f>
        <v>Sobrante</v>
      </c>
    </row>
    <row r="3013" spans="1:14" hidden="1" x14ac:dyDescent="0.25">
      <c r="A3013" s="11">
        <v>46053</v>
      </c>
      <c r="B3013" s="5" t="s">
        <v>394</v>
      </c>
      <c r="C3013" s="3" t="s">
        <v>337</v>
      </c>
      <c r="D3013" s="5" t="s">
        <v>323</v>
      </c>
      <c r="E3013" s="5" t="s">
        <v>117</v>
      </c>
      <c r="F3013" s="6" t="s">
        <v>349</v>
      </c>
      <c r="G3013" s="4" t="s">
        <v>1</v>
      </c>
      <c r="H3013" s="25">
        <v>11.406611420000001</v>
      </c>
      <c r="I3013" s="8">
        <v>4000</v>
      </c>
      <c r="J3013" s="9">
        <v>2000</v>
      </c>
      <c r="K3013" s="7">
        <v>-2000.0000010000001</v>
      </c>
      <c r="L3013" s="24">
        <f>+Tabla2[[#This Row],[Stock Inventario]]*Tabla2[[#This Row],[Coste LÃ­nea]]</f>
        <v>22813.222840000002</v>
      </c>
      <c r="M3013" s="24">
        <f>+Tabla2[[#This Row],[Variación Stock]]*Tabla2[[#This Row],[Coste LÃ­nea]]</f>
        <v>-22813.222851406616</v>
      </c>
      <c r="N3013" s="22" t="str">
        <f>+IF(Tabla2[[#This Row],[Variación Stock]]&gt;0,"Sobrante",IF(Tabla2[[#This Row],[Variación Stock]]&lt;0,"Faltante","Sin novedad"))</f>
        <v>Faltante</v>
      </c>
    </row>
    <row r="3014" spans="1:14" hidden="1" x14ac:dyDescent="0.25">
      <c r="A3014" s="11">
        <v>46053</v>
      </c>
      <c r="B3014" s="5" t="s">
        <v>394</v>
      </c>
      <c r="C3014" s="3" t="s">
        <v>337</v>
      </c>
      <c r="D3014" s="5" t="s">
        <v>120</v>
      </c>
      <c r="E3014" s="5" t="s">
        <v>117</v>
      </c>
      <c r="F3014" s="6" t="s">
        <v>706</v>
      </c>
      <c r="G3014" s="4" t="s">
        <v>1</v>
      </c>
      <c r="H3014" s="25">
        <v>18.58584578</v>
      </c>
      <c r="I3014" s="8">
        <v>-2430</v>
      </c>
      <c r="J3014" s="9">
        <v>0</v>
      </c>
      <c r="K3014" s="7">
        <v>2430</v>
      </c>
      <c r="L3014" s="24">
        <f>+Tabla2[[#This Row],[Stock Inventario]]*Tabla2[[#This Row],[Coste LÃ­nea]]</f>
        <v>0</v>
      </c>
      <c r="M3014" s="24">
        <f>+Tabla2[[#This Row],[Variación Stock]]*Tabla2[[#This Row],[Coste LÃ­nea]]</f>
        <v>45163.605245400002</v>
      </c>
      <c r="N3014" s="22" t="str">
        <f>+IF(Tabla2[[#This Row],[Variación Stock]]&gt;0,"Sobrante",IF(Tabla2[[#This Row],[Variación Stock]]&lt;0,"Faltante","Sin novedad"))</f>
        <v>Sobrante</v>
      </c>
    </row>
    <row r="3015" spans="1:14" x14ac:dyDescent="0.25">
      <c r="A3015" s="11">
        <v>46053</v>
      </c>
      <c r="B3015" s="5" t="s">
        <v>394</v>
      </c>
      <c r="C3015" s="3" t="s">
        <v>337</v>
      </c>
      <c r="D3015" s="5" t="s">
        <v>121</v>
      </c>
      <c r="E3015" s="5" t="s">
        <v>112</v>
      </c>
      <c r="F3015" s="6" t="s">
        <v>792</v>
      </c>
      <c r="G3015" s="4" t="s">
        <v>1</v>
      </c>
      <c r="H3015" s="25">
        <v>16.936054859999999</v>
      </c>
      <c r="I3015" s="8">
        <v>-30</v>
      </c>
      <c r="J3015" s="9">
        <v>0</v>
      </c>
      <c r="K3015" s="7">
        <v>30</v>
      </c>
      <c r="L3015" s="24">
        <f>+Tabla2[[#This Row],[Stock Inventario]]*Tabla2[[#This Row],[Coste LÃ­nea]]</f>
        <v>0</v>
      </c>
      <c r="M3015" s="24">
        <f>+Tabla2[[#This Row],[Variación Stock]]*Tabla2[[#This Row],[Coste LÃ­nea]]</f>
        <v>508.08164579999993</v>
      </c>
      <c r="N3015" s="22" t="str">
        <f>+IF(Tabla2[[#This Row],[Variación Stock]]&gt;0,"Sobrante",IF(Tabla2[[#This Row],[Variación Stock]]&lt;0,"Faltante","Sin novedad"))</f>
        <v>Sobrante</v>
      </c>
    </row>
    <row r="3016" spans="1:14" hidden="1" x14ac:dyDescent="0.25">
      <c r="A3016" s="11">
        <v>46053</v>
      </c>
      <c r="B3016" s="5" t="s">
        <v>394</v>
      </c>
      <c r="C3016" s="3" t="s">
        <v>337</v>
      </c>
      <c r="D3016" s="5" t="s">
        <v>120</v>
      </c>
      <c r="E3016" s="5" t="s">
        <v>117</v>
      </c>
      <c r="F3016" s="6" t="s">
        <v>766</v>
      </c>
      <c r="G3016" s="4" t="s">
        <v>2</v>
      </c>
      <c r="H3016" s="25">
        <v>83.322999999999993</v>
      </c>
      <c r="I3016" s="8">
        <v>1101</v>
      </c>
      <c r="J3016" s="9">
        <v>0</v>
      </c>
      <c r="K3016" s="7">
        <v>-1101</v>
      </c>
      <c r="L3016" s="24">
        <f>+Tabla2[[#This Row],[Stock Inventario]]*Tabla2[[#This Row],[Coste LÃ­nea]]</f>
        <v>0</v>
      </c>
      <c r="M3016" s="24">
        <f>+Tabla2[[#This Row],[Variación Stock]]*Tabla2[[#This Row],[Coste LÃ­nea]]</f>
        <v>-91738.622999999992</v>
      </c>
      <c r="N3016" s="22" t="str">
        <f>+IF(Tabla2[[#This Row],[Variación Stock]]&gt;0,"Sobrante",IF(Tabla2[[#This Row],[Variación Stock]]&lt;0,"Faltante","Sin novedad"))</f>
        <v>Faltante</v>
      </c>
    </row>
    <row r="3017" spans="1:14" x14ac:dyDescent="0.25">
      <c r="A3017" s="11">
        <v>46053</v>
      </c>
      <c r="B3017" s="5" t="s">
        <v>394</v>
      </c>
      <c r="C3017" s="3" t="s">
        <v>337</v>
      </c>
      <c r="D3017" s="5" t="s">
        <v>121</v>
      </c>
      <c r="E3017" s="5" t="s">
        <v>112</v>
      </c>
      <c r="F3017" s="6" t="s">
        <v>353</v>
      </c>
      <c r="G3017" s="4" t="s">
        <v>1</v>
      </c>
      <c r="H3017" s="25">
        <v>58.412030450000003</v>
      </c>
      <c r="I3017" s="8">
        <v>-1518</v>
      </c>
      <c r="J3017" s="9">
        <v>400</v>
      </c>
      <c r="K3017" s="7">
        <v>1918</v>
      </c>
      <c r="L3017" s="24">
        <f>+Tabla2[[#This Row],[Stock Inventario]]*Tabla2[[#This Row],[Coste LÃ­nea]]</f>
        <v>23364.812180000001</v>
      </c>
      <c r="M3017" s="24">
        <f>+Tabla2[[#This Row],[Variación Stock]]*Tabla2[[#This Row],[Coste LÃ­nea]]</f>
        <v>112034.2744031</v>
      </c>
      <c r="N3017" s="22" t="str">
        <f>+IF(Tabla2[[#This Row],[Variación Stock]]&gt;0,"Sobrante",IF(Tabla2[[#This Row],[Variación Stock]]&lt;0,"Faltante","Sin novedad"))</f>
        <v>Sobrante</v>
      </c>
    </row>
    <row r="3018" spans="1:14" hidden="1" x14ac:dyDescent="0.25">
      <c r="A3018" s="11">
        <v>46053</v>
      </c>
      <c r="B3018" s="5" t="s">
        <v>394</v>
      </c>
      <c r="C3018" s="3" t="s">
        <v>337</v>
      </c>
      <c r="D3018" s="5" t="s">
        <v>120</v>
      </c>
      <c r="E3018" s="5" t="s">
        <v>117</v>
      </c>
      <c r="F3018" s="6" t="s">
        <v>707</v>
      </c>
      <c r="G3018" s="4" t="s">
        <v>1</v>
      </c>
      <c r="H3018" s="25">
        <v>15.798591500000001</v>
      </c>
      <c r="I3018" s="8">
        <v>-1230</v>
      </c>
      <c r="J3018" s="9">
        <v>414</v>
      </c>
      <c r="K3018" s="7">
        <v>1644</v>
      </c>
      <c r="L3018" s="24">
        <f>+Tabla2[[#This Row],[Stock Inventario]]*Tabla2[[#This Row],[Coste LÃ­nea]]</f>
        <v>6540.6168809999999</v>
      </c>
      <c r="M3018" s="24">
        <f>+Tabla2[[#This Row],[Variación Stock]]*Tabla2[[#This Row],[Coste LÃ­nea]]</f>
        <v>25972.884426000001</v>
      </c>
      <c r="N3018" s="22" t="str">
        <f>+IF(Tabla2[[#This Row],[Variación Stock]]&gt;0,"Sobrante",IF(Tabla2[[#This Row],[Variación Stock]]&lt;0,"Faltante","Sin novedad"))</f>
        <v>Sobrante</v>
      </c>
    </row>
    <row r="3019" spans="1:14" hidden="1" x14ac:dyDescent="0.25">
      <c r="A3019" s="11">
        <v>46053</v>
      </c>
      <c r="B3019" s="5" t="s">
        <v>394</v>
      </c>
      <c r="C3019" s="3" t="s">
        <v>337</v>
      </c>
      <c r="D3019" s="5" t="s">
        <v>120</v>
      </c>
      <c r="E3019" s="5" t="s">
        <v>117</v>
      </c>
      <c r="F3019" s="6" t="s">
        <v>708</v>
      </c>
      <c r="G3019" s="4" t="s">
        <v>1</v>
      </c>
      <c r="H3019" s="25">
        <v>24.960225869999999</v>
      </c>
      <c r="I3019" s="8">
        <v>4984</v>
      </c>
      <c r="J3019" s="9">
        <v>0</v>
      </c>
      <c r="K3019" s="7">
        <v>-4984</v>
      </c>
      <c r="L3019" s="24">
        <f>+Tabla2[[#This Row],[Stock Inventario]]*Tabla2[[#This Row],[Coste LÃ­nea]]</f>
        <v>0</v>
      </c>
      <c r="M3019" s="24">
        <f>+Tabla2[[#This Row],[Variación Stock]]*Tabla2[[#This Row],[Coste LÃ­nea]]</f>
        <v>-124401.76573607999</v>
      </c>
      <c r="N3019" s="22" t="str">
        <f>+IF(Tabla2[[#This Row],[Variación Stock]]&gt;0,"Sobrante",IF(Tabla2[[#This Row],[Variación Stock]]&lt;0,"Faltante","Sin novedad"))</f>
        <v>Faltante</v>
      </c>
    </row>
    <row r="3020" spans="1:14" hidden="1" x14ac:dyDescent="0.25">
      <c r="A3020" s="11">
        <v>46053</v>
      </c>
      <c r="B3020" s="5" t="s">
        <v>394</v>
      </c>
      <c r="C3020" s="3" t="s">
        <v>337</v>
      </c>
      <c r="D3020" s="5" t="s">
        <v>120</v>
      </c>
      <c r="E3020" s="5" t="s">
        <v>117</v>
      </c>
      <c r="F3020" s="6" t="s">
        <v>709</v>
      </c>
      <c r="G3020" s="4" t="s">
        <v>2</v>
      </c>
      <c r="H3020" s="25">
        <v>53.101138890000001</v>
      </c>
      <c r="I3020" s="8">
        <v>0</v>
      </c>
      <c r="J3020" s="9">
        <v>0</v>
      </c>
      <c r="K3020" s="7">
        <v>0</v>
      </c>
      <c r="L3020" s="24">
        <f>+Tabla2[[#This Row],[Stock Inventario]]*Tabla2[[#This Row],[Coste LÃ­nea]]</f>
        <v>0</v>
      </c>
      <c r="M3020" s="24">
        <f>+Tabla2[[#This Row],[Variación Stock]]*Tabla2[[#This Row],[Coste LÃ­nea]]</f>
        <v>0</v>
      </c>
      <c r="N3020" s="22" t="str">
        <f>+IF(Tabla2[[#This Row],[Variación Stock]]&gt;0,"Sobrante",IF(Tabla2[[#This Row],[Variación Stock]]&lt;0,"Faltante","Sin novedad"))</f>
        <v>Sin novedad</v>
      </c>
    </row>
    <row r="3021" spans="1:14" hidden="1" x14ac:dyDescent="0.25">
      <c r="A3021" s="11">
        <v>46053</v>
      </c>
      <c r="B3021" s="5" t="s">
        <v>394</v>
      </c>
      <c r="C3021" s="3" t="s">
        <v>337</v>
      </c>
      <c r="D3021" s="5" t="s">
        <v>120</v>
      </c>
      <c r="E3021" s="5" t="s">
        <v>117</v>
      </c>
      <c r="F3021" s="6" t="s">
        <v>710</v>
      </c>
      <c r="G3021" s="4" t="s">
        <v>1</v>
      </c>
      <c r="H3021" s="25">
        <v>14.77931856</v>
      </c>
      <c r="I3021" s="8">
        <v>-352</v>
      </c>
      <c r="J3021" s="9">
        <v>930</v>
      </c>
      <c r="K3021" s="7">
        <v>1282</v>
      </c>
      <c r="L3021" s="24">
        <f>+Tabla2[[#This Row],[Stock Inventario]]*Tabla2[[#This Row],[Coste LÃ­nea]]</f>
        <v>13744.766260800001</v>
      </c>
      <c r="M3021" s="24">
        <f>+Tabla2[[#This Row],[Variación Stock]]*Tabla2[[#This Row],[Coste LÃ­nea]]</f>
        <v>18947.086393919999</v>
      </c>
      <c r="N3021" s="22" t="str">
        <f>+IF(Tabla2[[#This Row],[Variación Stock]]&gt;0,"Sobrante",IF(Tabla2[[#This Row],[Variación Stock]]&lt;0,"Faltante","Sin novedad"))</f>
        <v>Sobrante</v>
      </c>
    </row>
    <row r="3022" spans="1:14" hidden="1" x14ac:dyDescent="0.25">
      <c r="A3022" s="11">
        <v>46053</v>
      </c>
      <c r="B3022" s="5" t="s">
        <v>394</v>
      </c>
      <c r="C3022" s="3" t="s">
        <v>337</v>
      </c>
      <c r="D3022" s="5" t="s">
        <v>120</v>
      </c>
      <c r="E3022" s="5" t="s">
        <v>117</v>
      </c>
      <c r="F3022" s="6" t="s">
        <v>711</v>
      </c>
      <c r="G3022" s="4" t="s">
        <v>1</v>
      </c>
      <c r="H3022" s="25">
        <v>12.823530269999999</v>
      </c>
      <c r="I3022" s="8">
        <v>-10379</v>
      </c>
      <c r="J3022" s="9">
        <v>0</v>
      </c>
      <c r="K3022" s="7">
        <v>10379</v>
      </c>
      <c r="L3022" s="24">
        <f>+Tabla2[[#This Row],[Stock Inventario]]*Tabla2[[#This Row],[Coste LÃ­nea]]</f>
        <v>0</v>
      </c>
      <c r="M3022" s="24">
        <f>+Tabla2[[#This Row],[Variación Stock]]*Tabla2[[#This Row],[Coste LÃ­nea]]</f>
        <v>133095.42067232999</v>
      </c>
      <c r="N3022" s="22" t="str">
        <f>+IF(Tabla2[[#This Row],[Variación Stock]]&gt;0,"Sobrante",IF(Tabla2[[#This Row],[Variación Stock]]&lt;0,"Faltante","Sin novedad"))</f>
        <v>Sobrante</v>
      </c>
    </row>
    <row r="3023" spans="1:14" hidden="1" x14ac:dyDescent="0.25">
      <c r="A3023" s="11">
        <v>46053</v>
      </c>
      <c r="B3023" s="5" t="s">
        <v>394</v>
      </c>
      <c r="C3023" s="3" t="s">
        <v>337</v>
      </c>
      <c r="D3023" s="5" t="s">
        <v>120</v>
      </c>
      <c r="E3023" s="5" t="s">
        <v>117</v>
      </c>
      <c r="F3023" s="6" t="s">
        <v>316</v>
      </c>
      <c r="G3023" s="4" t="s">
        <v>2</v>
      </c>
      <c r="H3023" s="25">
        <v>1756.7813333300001</v>
      </c>
      <c r="I3023" s="8">
        <v>-10</v>
      </c>
      <c r="J3023" s="9">
        <v>73</v>
      </c>
      <c r="K3023" s="7">
        <v>83</v>
      </c>
      <c r="L3023" s="24">
        <f>+Tabla2[[#This Row],[Stock Inventario]]*Tabla2[[#This Row],[Coste LÃ­nea]]</f>
        <v>128245.03733309</v>
      </c>
      <c r="M3023" s="24">
        <f>+Tabla2[[#This Row],[Variación Stock]]*Tabla2[[#This Row],[Coste LÃ­nea]]</f>
        <v>145812.85066639</v>
      </c>
      <c r="N3023" s="22" t="str">
        <f>+IF(Tabla2[[#This Row],[Variación Stock]]&gt;0,"Sobrante",IF(Tabla2[[#This Row],[Variación Stock]]&lt;0,"Faltante","Sin novedad"))</f>
        <v>Sobrante</v>
      </c>
    </row>
    <row r="3024" spans="1:14" hidden="1" x14ac:dyDescent="0.25">
      <c r="A3024" s="11">
        <v>46053</v>
      </c>
      <c r="B3024" s="5" t="s">
        <v>394</v>
      </c>
      <c r="C3024" s="3" t="s">
        <v>337</v>
      </c>
      <c r="D3024" s="5" t="s">
        <v>120</v>
      </c>
      <c r="E3024" s="5" t="s">
        <v>117</v>
      </c>
      <c r="F3024" s="6" t="s">
        <v>376</v>
      </c>
      <c r="G3024" s="4" t="s">
        <v>2</v>
      </c>
      <c r="H3024" s="25">
        <v>2900.3227931299998</v>
      </c>
      <c r="I3024" s="8">
        <v>-98</v>
      </c>
      <c r="J3024" s="9">
        <v>47</v>
      </c>
      <c r="K3024" s="7">
        <v>145</v>
      </c>
      <c r="L3024" s="24">
        <f>+Tabla2[[#This Row],[Stock Inventario]]*Tabla2[[#This Row],[Coste LÃ­nea]]</f>
        <v>136315.17127711</v>
      </c>
      <c r="M3024" s="24">
        <f>+Tabla2[[#This Row],[Variación Stock]]*Tabla2[[#This Row],[Coste LÃ­nea]]</f>
        <v>420546.80500384996</v>
      </c>
      <c r="N3024" s="22" t="str">
        <f>+IF(Tabla2[[#This Row],[Variación Stock]]&gt;0,"Sobrante",IF(Tabla2[[#This Row],[Variación Stock]]&lt;0,"Faltante","Sin novedad"))</f>
        <v>Sobrante</v>
      </c>
    </row>
    <row r="3025" spans="1:14" hidden="1" x14ac:dyDescent="0.25">
      <c r="A3025" s="11">
        <v>46053</v>
      </c>
      <c r="B3025" s="5" t="s">
        <v>394</v>
      </c>
      <c r="C3025" s="3" t="s">
        <v>337</v>
      </c>
      <c r="D3025" s="5" t="s">
        <v>120</v>
      </c>
      <c r="E3025" s="5" t="s">
        <v>117</v>
      </c>
      <c r="F3025" s="6" t="s">
        <v>712</v>
      </c>
      <c r="G3025" s="4" t="s">
        <v>1</v>
      </c>
      <c r="H3025" s="25">
        <v>15.157083310000001</v>
      </c>
      <c r="I3025" s="8">
        <v>-18056</v>
      </c>
      <c r="J3025" s="9">
        <v>1388</v>
      </c>
      <c r="K3025" s="7">
        <v>19444</v>
      </c>
      <c r="L3025" s="24">
        <f>+Tabla2[[#This Row],[Stock Inventario]]*Tabla2[[#This Row],[Coste LÃ­nea]]</f>
        <v>21038.03163428</v>
      </c>
      <c r="M3025" s="24">
        <f>+Tabla2[[#This Row],[Variación Stock]]*Tabla2[[#This Row],[Coste LÃ­nea]]</f>
        <v>294714.32787964004</v>
      </c>
      <c r="N3025" s="22" t="str">
        <f>+IF(Tabla2[[#This Row],[Variación Stock]]&gt;0,"Sobrante",IF(Tabla2[[#This Row],[Variación Stock]]&lt;0,"Faltante","Sin novedad"))</f>
        <v>Sobrante</v>
      </c>
    </row>
    <row r="3026" spans="1:14" hidden="1" x14ac:dyDescent="0.25">
      <c r="A3026" s="11">
        <v>46053</v>
      </c>
      <c r="B3026" s="5" t="s">
        <v>394</v>
      </c>
      <c r="C3026" s="3" t="s">
        <v>337</v>
      </c>
      <c r="D3026" s="5" t="s">
        <v>120</v>
      </c>
      <c r="E3026" s="5" t="s">
        <v>117</v>
      </c>
      <c r="F3026" s="6" t="s">
        <v>713</v>
      </c>
      <c r="G3026" s="4" t="s">
        <v>1</v>
      </c>
      <c r="H3026" s="25">
        <v>30.21137307</v>
      </c>
      <c r="I3026" s="8">
        <v>0</v>
      </c>
      <c r="J3026" s="9">
        <v>0</v>
      </c>
      <c r="K3026" s="7">
        <v>0</v>
      </c>
      <c r="L3026" s="24">
        <f>+Tabla2[[#This Row],[Stock Inventario]]*Tabla2[[#This Row],[Coste LÃ­nea]]</f>
        <v>0</v>
      </c>
      <c r="M3026" s="24">
        <f>+Tabla2[[#This Row],[Variación Stock]]*Tabla2[[#This Row],[Coste LÃ­nea]]</f>
        <v>0</v>
      </c>
      <c r="N3026" s="22" t="str">
        <f>+IF(Tabla2[[#This Row],[Variación Stock]]&gt;0,"Sobrante",IF(Tabla2[[#This Row],[Variación Stock]]&lt;0,"Faltante","Sin novedad"))</f>
        <v>Sin novedad</v>
      </c>
    </row>
    <row r="3027" spans="1:14" x14ac:dyDescent="0.25">
      <c r="A3027" s="11">
        <v>46053</v>
      </c>
      <c r="B3027" s="5" t="s">
        <v>394</v>
      </c>
      <c r="C3027" s="3" t="s">
        <v>337</v>
      </c>
      <c r="D3027" s="5" t="s">
        <v>121</v>
      </c>
      <c r="E3027" s="5" t="s">
        <v>112</v>
      </c>
      <c r="F3027" s="6" t="s">
        <v>356</v>
      </c>
      <c r="G3027" s="4" t="s">
        <v>1</v>
      </c>
      <c r="H3027" s="25">
        <v>10.8</v>
      </c>
      <c r="I3027" s="8">
        <v>-627</v>
      </c>
      <c r="J3027" s="9">
        <v>0</v>
      </c>
      <c r="K3027" s="7">
        <v>627</v>
      </c>
      <c r="L3027" s="24">
        <f>+Tabla2[[#This Row],[Stock Inventario]]*Tabla2[[#This Row],[Coste LÃ­nea]]</f>
        <v>0</v>
      </c>
      <c r="M3027" s="24">
        <f>+Tabla2[[#This Row],[Variación Stock]]*Tabla2[[#This Row],[Coste LÃ­nea]]</f>
        <v>6771.6</v>
      </c>
      <c r="N3027" s="22" t="str">
        <f>+IF(Tabla2[[#This Row],[Variación Stock]]&gt;0,"Sobrante",IF(Tabla2[[#This Row],[Variación Stock]]&lt;0,"Faltante","Sin novedad"))</f>
        <v>Sobrante</v>
      </c>
    </row>
    <row r="3028" spans="1:14" x14ac:dyDescent="0.25">
      <c r="A3028" s="11">
        <v>46053</v>
      </c>
      <c r="B3028" s="5" t="s">
        <v>394</v>
      </c>
      <c r="C3028" s="3" t="s">
        <v>337</v>
      </c>
      <c r="D3028" s="5" t="s">
        <v>121</v>
      </c>
      <c r="E3028" s="5" t="s">
        <v>112</v>
      </c>
      <c r="F3028" s="6" t="s">
        <v>331</v>
      </c>
      <c r="G3028" s="4" t="s">
        <v>0</v>
      </c>
      <c r="H3028" s="25">
        <v>3676.0409307599998</v>
      </c>
      <c r="I3028" s="8">
        <v>21.5</v>
      </c>
      <c r="J3028" s="9">
        <v>21</v>
      </c>
      <c r="K3028" s="7">
        <v>-0.5</v>
      </c>
      <c r="L3028" s="24">
        <f>+Tabla2[[#This Row],[Stock Inventario]]*Tabla2[[#This Row],[Coste LÃ­nea]]</f>
        <v>77196.859545959989</v>
      </c>
      <c r="M3028" s="24">
        <f>+Tabla2[[#This Row],[Variación Stock]]*Tabla2[[#This Row],[Coste LÃ­nea]]</f>
        <v>-1838.0204653799999</v>
      </c>
      <c r="N3028" s="22" t="str">
        <f>+IF(Tabla2[[#This Row],[Variación Stock]]&gt;0,"Sobrante",IF(Tabla2[[#This Row],[Variación Stock]]&lt;0,"Faltante","Sin novedad"))</f>
        <v>Faltante</v>
      </c>
    </row>
    <row r="3029" spans="1:14" x14ac:dyDescent="0.25">
      <c r="A3029" s="11">
        <v>46053</v>
      </c>
      <c r="B3029" s="5" t="s">
        <v>394</v>
      </c>
      <c r="C3029" s="3" t="s">
        <v>337</v>
      </c>
      <c r="D3029" s="5" t="s">
        <v>121</v>
      </c>
      <c r="E3029" s="5" t="s">
        <v>112</v>
      </c>
      <c r="F3029" s="6" t="s">
        <v>332</v>
      </c>
      <c r="G3029" s="4" t="s">
        <v>0</v>
      </c>
      <c r="H3029" s="25">
        <v>3183.4720738300002</v>
      </c>
      <c r="I3029" s="8">
        <v>1</v>
      </c>
      <c r="J3029" s="9">
        <v>4</v>
      </c>
      <c r="K3029" s="7">
        <v>3</v>
      </c>
      <c r="L3029" s="24">
        <f>+Tabla2[[#This Row],[Stock Inventario]]*Tabla2[[#This Row],[Coste LÃ­nea]]</f>
        <v>12733.888295320001</v>
      </c>
      <c r="M3029" s="24">
        <f>+Tabla2[[#This Row],[Variación Stock]]*Tabla2[[#This Row],[Coste LÃ­nea]]</f>
        <v>9550.4162214900007</v>
      </c>
      <c r="N3029" s="22" t="str">
        <f>+IF(Tabla2[[#This Row],[Variación Stock]]&gt;0,"Sobrante",IF(Tabla2[[#This Row],[Variación Stock]]&lt;0,"Faltante","Sin novedad"))</f>
        <v>Sobrante</v>
      </c>
    </row>
    <row r="3030" spans="1:14" x14ac:dyDescent="0.25">
      <c r="A3030" s="11">
        <v>46053</v>
      </c>
      <c r="B3030" s="5" t="s">
        <v>394</v>
      </c>
      <c r="C3030" s="3" t="s">
        <v>337</v>
      </c>
      <c r="D3030" s="5" t="s">
        <v>121</v>
      </c>
      <c r="E3030" s="5" t="s">
        <v>112</v>
      </c>
      <c r="F3030" s="6" t="s">
        <v>333</v>
      </c>
      <c r="G3030" s="4" t="s">
        <v>0</v>
      </c>
      <c r="H3030" s="25">
        <v>3620.8961526200001</v>
      </c>
      <c r="I3030" s="8">
        <v>84</v>
      </c>
      <c r="J3030" s="9">
        <v>84</v>
      </c>
      <c r="K3030" s="7">
        <v>0</v>
      </c>
      <c r="L3030" s="24">
        <f>+Tabla2[[#This Row],[Stock Inventario]]*Tabla2[[#This Row],[Coste LÃ­nea]]</f>
        <v>304155.27682008001</v>
      </c>
      <c r="M3030" s="24">
        <f>+Tabla2[[#This Row],[Variación Stock]]*Tabla2[[#This Row],[Coste LÃ­nea]]</f>
        <v>0</v>
      </c>
      <c r="N3030" s="22" t="str">
        <f>+IF(Tabla2[[#This Row],[Variación Stock]]&gt;0,"Sobrante",IF(Tabla2[[#This Row],[Variación Stock]]&lt;0,"Faltante","Sin novedad"))</f>
        <v>Sin novedad</v>
      </c>
    </row>
    <row r="3031" spans="1:14" x14ac:dyDescent="0.25">
      <c r="A3031" s="11">
        <v>46053</v>
      </c>
      <c r="B3031" s="5" t="s">
        <v>394</v>
      </c>
      <c r="C3031" s="3" t="s">
        <v>337</v>
      </c>
      <c r="D3031" s="5" t="s">
        <v>121</v>
      </c>
      <c r="E3031" s="5" t="s">
        <v>112</v>
      </c>
      <c r="F3031" s="6" t="s">
        <v>377</v>
      </c>
      <c r="G3031" s="4" t="s">
        <v>0</v>
      </c>
      <c r="H3031" s="25">
        <v>4963.6632860099999</v>
      </c>
      <c r="I3031" s="8">
        <v>1</v>
      </c>
      <c r="J3031" s="9">
        <v>2</v>
      </c>
      <c r="K3031" s="7">
        <v>1</v>
      </c>
      <c r="L3031" s="24">
        <f>+Tabla2[[#This Row],[Stock Inventario]]*Tabla2[[#This Row],[Coste LÃ­nea]]</f>
        <v>9927.3265720199997</v>
      </c>
      <c r="M3031" s="24">
        <f>+Tabla2[[#This Row],[Variación Stock]]*Tabla2[[#This Row],[Coste LÃ­nea]]</f>
        <v>4963.6632860099999</v>
      </c>
      <c r="N3031" s="22" t="str">
        <f>+IF(Tabla2[[#This Row],[Variación Stock]]&gt;0,"Sobrante",IF(Tabla2[[#This Row],[Variación Stock]]&lt;0,"Faltante","Sin novedad"))</f>
        <v>Sobrante</v>
      </c>
    </row>
    <row r="3032" spans="1:14" x14ac:dyDescent="0.25">
      <c r="A3032" s="11">
        <v>46053</v>
      </c>
      <c r="B3032" s="5" t="s">
        <v>394</v>
      </c>
      <c r="C3032" s="3" t="s">
        <v>337</v>
      </c>
      <c r="D3032" s="5" t="s">
        <v>121</v>
      </c>
      <c r="E3032" s="5" t="s">
        <v>112</v>
      </c>
      <c r="F3032" s="6" t="s">
        <v>334</v>
      </c>
      <c r="G3032" s="4" t="s">
        <v>0</v>
      </c>
      <c r="H3032" s="25">
        <v>2119.8143934300001</v>
      </c>
      <c r="I3032" s="8">
        <v>26</v>
      </c>
      <c r="J3032" s="9">
        <v>26</v>
      </c>
      <c r="K3032" s="7">
        <v>0</v>
      </c>
      <c r="L3032" s="24">
        <f>+Tabla2[[#This Row],[Stock Inventario]]*Tabla2[[#This Row],[Coste LÃ­nea]]</f>
        <v>55115.174229180004</v>
      </c>
      <c r="M3032" s="24">
        <f>+Tabla2[[#This Row],[Variación Stock]]*Tabla2[[#This Row],[Coste LÃ­nea]]</f>
        <v>0</v>
      </c>
      <c r="N3032" s="22" t="str">
        <f>+IF(Tabla2[[#This Row],[Variación Stock]]&gt;0,"Sobrante",IF(Tabla2[[#This Row],[Variación Stock]]&lt;0,"Faltante","Sin novedad"))</f>
        <v>Sin novedad</v>
      </c>
    </row>
    <row r="3033" spans="1:14" hidden="1" x14ac:dyDescent="0.25">
      <c r="A3033" s="11">
        <v>46053</v>
      </c>
      <c r="B3033" s="5" t="s">
        <v>394</v>
      </c>
      <c r="C3033" s="3" t="s">
        <v>337</v>
      </c>
      <c r="D3033" s="5" t="s">
        <v>323</v>
      </c>
      <c r="E3033" s="5" t="s">
        <v>117</v>
      </c>
      <c r="F3033" s="6" t="s">
        <v>774</v>
      </c>
      <c r="G3033" s="4" t="s">
        <v>1</v>
      </c>
      <c r="H3033" s="25">
        <v>25.837315660000002</v>
      </c>
      <c r="I3033" s="8">
        <v>0</v>
      </c>
      <c r="J3033" s="9">
        <v>0</v>
      </c>
      <c r="K3033" s="7">
        <v>0</v>
      </c>
      <c r="L3033" s="24">
        <f>+Tabla2[[#This Row],[Stock Inventario]]*Tabla2[[#This Row],[Coste LÃ­nea]]</f>
        <v>0</v>
      </c>
      <c r="M3033" s="24">
        <f>+Tabla2[[#This Row],[Variación Stock]]*Tabla2[[#This Row],[Coste LÃ­nea]]</f>
        <v>0</v>
      </c>
      <c r="N3033" s="22" t="str">
        <f>+IF(Tabla2[[#This Row],[Variación Stock]]&gt;0,"Sobrante",IF(Tabla2[[#This Row],[Variación Stock]]&lt;0,"Faltante","Sin novedad"))</f>
        <v>Sin novedad</v>
      </c>
    </row>
    <row r="3034" spans="1:14" hidden="1" x14ac:dyDescent="0.25">
      <c r="A3034" s="11">
        <v>46053</v>
      </c>
      <c r="B3034" s="5" t="s">
        <v>394</v>
      </c>
      <c r="C3034" s="3" t="s">
        <v>337</v>
      </c>
      <c r="D3034" s="5" t="s">
        <v>120</v>
      </c>
      <c r="E3034" s="5" t="s">
        <v>117</v>
      </c>
      <c r="F3034" s="6" t="s">
        <v>768</v>
      </c>
      <c r="G3034" s="4" t="s">
        <v>1</v>
      </c>
      <c r="H3034" s="25">
        <v>13.386050259999999</v>
      </c>
      <c r="I3034" s="8">
        <v>-1600</v>
      </c>
      <c r="J3034" s="9">
        <v>0</v>
      </c>
      <c r="K3034" s="7">
        <v>1600</v>
      </c>
      <c r="L3034" s="24">
        <f>+Tabla2[[#This Row],[Stock Inventario]]*Tabla2[[#This Row],[Coste LÃ­nea]]</f>
        <v>0</v>
      </c>
      <c r="M3034" s="24">
        <f>+Tabla2[[#This Row],[Variación Stock]]*Tabla2[[#This Row],[Coste LÃ­nea]]</f>
        <v>21417.680415999999</v>
      </c>
      <c r="N3034" s="22" t="str">
        <f>+IF(Tabla2[[#This Row],[Variación Stock]]&gt;0,"Sobrante",IF(Tabla2[[#This Row],[Variación Stock]]&lt;0,"Faltante","Sin novedad"))</f>
        <v>Sobrante</v>
      </c>
    </row>
    <row r="3035" spans="1:14" hidden="1" x14ac:dyDescent="0.25">
      <c r="A3035" s="11">
        <v>46053</v>
      </c>
      <c r="B3035" s="5" t="s">
        <v>394</v>
      </c>
      <c r="C3035" s="3" t="s">
        <v>337</v>
      </c>
      <c r="D3035" s="5" t="s">
        <v>120</v>
      </c>
      <c r="E3035" s="5" t="s">
        <v>117</v>
      </c>
      <c r="F3035" s="6" t="s">
        <v>714</v>
      </c>
      <c r="G3035" s="4" t="s">
        <v>1</v>
      </c>
      <c r="H3035" s="25">
        <v>21.21158569</v>
      </c>
      <c r="I3035" s="8">
        <v>1330</v>
      </c>
      <c r="J3035" s="9">
        <v>0</v>
      </c>
      <c r="K3035" s="7">
        <v>-1330</v>
      </c>
      <c r="L3035" s="24">
        <f>+Tabla2[[#This Row],[Stock Inventario]]*Tabla2[[#This Row],[Coste LÃ­nea]]</f>
        <v>0</v>
      </c>
      <c r="M3035" s="24">
        <f>+Tabla2[[#This Row],[Variación Stock]]*Tabla2[[#This Row],[Coste LÃ­nea]]</f>
        <v>-28211.408967700001</v>
      </c>
      <c r="N3035" s="22" t="str">
        <f>+IF(Tabla2[[#This Row],[Variación Stock]]&gt;0,"Sobrante",IF(Tabla2[[#This Row],[Variación Stock]]&lt;0,"Faltante","Sin novedad"))</f>
        <v>Faltante</v>
      </c>
    </row>
    <row r="3036" spans="1:14" hidden="1" x14ac:dyDescent="0.25">
      <c r="A3036" s="11">
        <v>46053</v>
      </c>
      <c r="B3036" s="5" t="s">
        <v>394</v>
      </c>
      <c r="C3036" s="3" t="s">
        <v>337</v>
      </c>
      <c r="D3036" s="5" t="s">
        <v>120</v>
      </c>
      <c r="E3036" s="5" t="s">
        <v>117</v>
      </c>
      <c r="F3036" s="6" t="s">
        <v>715</v>
      </c>
      <c r="G3036" s="4" t="s">
        <v>1</v>
      </c>
      <c r="H3036" s="25">
        <v>55.369784940000002</v>
      </c>
      <c r="I3036" s="8">
        <v>-596</v>
      </c>
      <c r="J3036" s="9">
        <v>600</v>
      </c>
      <c r="K3036" s="7">
        <v>1196</v>
      </c>
      <c r="L3036" s="24">
        <f>+Tabla2[[#This Row],[Stock Inventario]]*Tabla2[[#This Row],[Coste LÃ­nea]]</f>
        <v>33221.870964000002</v>
      </c>
      <c r="M3036" s="24">
        <f>+Tabla2[[#This Row],[Variación Stock]]*Tabla2[[#This Row],[Coste LÃ­nea]]</f>
        <v>66222.262788239997</v>
      </c>
      <c r="N3036" s="22" t="str">
        <f>+IF(Tabla2[[#This Row],[Variación Stock]]&gt;0,"Sobrante",IF(Tabla2[[#This Row],[Variación Stock]]&lt;0,"Faltante","Sin novedad"))</f>
        <v>Sobrante</v>
      </c>
    </row>
    <row r="3037" spans="1:14" hidden="1" x14ac:dyDescent="0.25">
      <c r="A3037" s="11">
        <v>46053</v>
      </c>
      <c r="B3037" s="5" t="s">
        <v>394</v>
      </c>
      <c r="C3037" s="3" t="s">
        <v>337</v>
      </c>
      <c r="D3037" s="5" t="s">
        <v>323</v>
      </c>
      <c r="E3037" s="5" t="s">
        <v>117</v>
      </c>
      <c r="F3037" s="6" t="s">
        <v>775</v>
      </c>
      <c r="G3037" s="4" t="s">
        <v>1</v>
      </c>
      <c r="H3037" s="25">
        <v>22.263002109999999</v>
      </c>
      <c r="I3037" s="8">
        <v>0</v>
      </c>
      <c r="J3037" s="9">
        <v>0</v>
      </c>
      <c r="K3037" s="7">
        <v>0</v>
      </c>
      <c r="L3037" s="24">
        <f>+Tabla2[[#This Row],[Stock Inventario]]*Tabla2[[#This Row],[Coste LÃ­nea]]</f>
        <v>0</v>
      </c>
      <c r="M3037" s="24">
        <f>+Tabla2[[#This Row],[Variación Stock]]*Tabla2[[#This Row],[Coste LÃ­nea]]</f>
        <v>0</v>
      </c>
      <c r="N3037" s="22" t="str">
        <f>+IF(Tabla2[[#This Row],[Variación Stock]]&gt;0,"Sobrante",IF(Tabla2[[#This Row],[Variación Stock]]&lt;0,"Faltante","Sin novedad"))</f>
        <v>Sin novedad</v>
      </c>
    </row>
    <row r="3038" spans="1:14" hidden="1" x14ac:dyDescent="0.25">
      <c r="A3038" s="11">
        <v>46053</v>
      </c>
      <c r="B3038" s="5" t="s">
        <v>394</v>
      </c>
      <c r="C3038" s="3" t="s">
        <v>337</v>
      </c>
      <c r="D3038" s="5" t="s">
        <v>120</v>
      </c>
      <c r="E3038" s="5" t="s">
        <v>117</v>
      </c>
      <c r="F3038" s="6" t="s">
        <v>716</v>
      </c>
      <c r="G3038" s="4" t="s">
        <v>1</v>
      </c>
      <c r="H3038" s="25">
        <v>17.69502954</v>
      </c>
      <c r="I3038" s="8">
        <v>518</v>
      </c>
      <c r="J3038" s="9">
        <v>0</v>
      </c>
      <c r="K3038" s="7">
        <v>-518</v>
      </c>
      <c r="L3038" s="24">
        <f>+Tabla2[[#This Row],[Stock Inventario]]*Tabla2[[#This Row],[Coste LÃ­nea]]</f>
        <v>0</v>
      </c>
      <c r="M3038" s="24">
        <f>+Tabla2[[#This Row],[Variación Stock]]*Tabla2[[#This Row],[Coste LÃ­nea]]</f>
        <v>-9166.0253017199993</v>
      </c>
      <c r="N3038" s="22" t="str">
        <f>+IF(Tabla2[[#This Row],[Variación Stock]]&gt;0,"Sobrante",IF(Tabla2[[#This Row],[Variación Stock]]&lt;0,"Faltante","Sin novedad"))</f>
        <v>Faltante</v>
      </c>
    </row>
    <row r="3039" spans="1:14" hidden="1" x14ac:dyDescent="0.25">
      <c r="A3039" s="11">
        <v>46053</v>
      </c>
      <c r="B3039" s="5" t="s">
        <v>394</v>
      </c>
      <c r="C3039" s="3" t="s">
        <v>337</v>
      </c>
      <c r="D3039" s="5" t="s">
        <v>323</v>
      </c>
      <c r="E3039" s="5" t="s">
        <v>117</v>
      </c>
      <c r="F3039" s="6" t="s">
        <v>350</v>
      </c>
      <c r="G3039" s="4" t="s">
        <v>1</v>
      </c>
      <c r="H3039" s="25">
        <v>36.819758819999997</v>
      </c>
      <c r="I3039" s="8">
        <v>-101</v>
      </c>
      <c r="J3039" s="9">
        <v>60</v>
      </c>
      <c r="K3039" s="7">
        <v>161</v>
      </c>
      <c r="L3039" s="24">
        <f>+Tabla2[[#This Row],[Stock Inventario]]*Tabla2[[#This Row],[Coste LÃ­nea]]</f>
        <v>2209.1855292</v>
      </c>
      <c r="M3039" s="24">
        <f>+Tabla2[[#This Row],[Variación Stock]]*Tabla2[[#This Row],[Coste LÃ­nea]]</f>
        <v>5927.9811700199998</v>
      </c>
      <c r="N3039" s="22" t="str">
        <f>+IF(Tabla2[[#This Row],[Variación Stock]]&gt;0,"Sobrante",IF(Tabla2[[#This Row],[Variación Stock]]&lt;0,"Faltante","Sin novedad"))</f>
        <v>Sobrante</v>
      </c>
    </row>
    <row r="3040" spans="1:14" hidden="1" x14ac:dyDescent="0.25">
      <c r="A3040" s="11">
        <v>46053</v>
      </c>
      <c r="B3040" s="5" t="s">
        <v>394</v>
      </c>
      <c r="C3040" s="3" t="s">
        <v>337</v>
      </c>
      <c r="D3040" s="5" t="s">
        <v>120</v>
      </c>
      <c r="E3040" s="5" t="s">
        <v>117</v>
      </c>
      <c r="F3040" s="6" t="s">
        <v>717</v>
      </c>
      <c r="G3040" s="4" t="s">
        <v>1</v>
      </c>
      <c r="H3040" s="25">
        <v>29.053270170000001</v>
      </c>
      <c r="I3040" s="8">
        <v>-420</v>
      </c>
      <c r="J3040" s="9">
        <v>0</v>
      </c>
      <c r="K3040" s="7">
        <v>420</v>
      </c>
      <c r="L3040" s="24">
        <f>+Tabla2[[#This Row],[Stock Inventario]]*Tabla2[[#This Row],[Coste LÃ­nea]]</f>
        <v>0</v>
      </c>
      <c r="M3040" s="24">
        <f>+Tabla2[[#This Row],[Variación Stock]]*Tabla2[[#This Row],[Coste LÃ­nea]]</f>
        <v>12202.3734714</v>
      </c>
      <c r="N3040" s="22" t="str">
        <f>+IF(Tabla2[[#This Row],[Variación Stock]]&gt;0,"Sobrante",IF(Tabla2[[#This Row],[Variación Stock]]&lt;0,"Faltante","Sin novedad"))</f>
        <v>Sobrante</v>
      </c>
    </row>
    <row r="3041" spans="1:14" hidden="1" x14ac:dyDescent="0.25">
      <c r="A3041" s="11">
        <v>46053</v>
      </c>
      <c r="B3041" s="5" t="s">
        <v>394</v>
      </c>
      <c r="C3041" s="3" t="s">
        <v>337</v>
      </c>
      <c r="D3041" s="5" t="s">
        <v>120</v>
      </c>
      <c r="E3041" s="5" t="s">
        <v>117</v>
      </c>
      <c r="F3041" s="6" t="s">
        <v>718</v>
      </c>
      <c r="G3041" s="4" t="s">
        <v>1</v>
      </c>
      <c r="H3041" s="25">
        <v>10.464042109999999</v>
      </c>
      <c r="I3041" s="8">
        <v>0</v>
      </c>
      <c r="J3041" s="9">
        <v>4992</v>
      </c>
      <c r="K3041" s="7">
        <v>4992</v>
      </c>
      <c r="L3041" s="24">
        <f>+Tabla2[[#This Row],[Stock Inventario]]*Tabla2[[#This Row],[Coste LÃ­nea]]</f>
        <v>52236.498213119994</v>
      </c>
      <c r="M3041" s="24">
        <f>+Tabla2[[#This Row],[Variación Stock]]*Tabla2[[#This Row],[Coste LÃ­nea]]</f>
        <v>52236.498213119994</v>
      </c>
      <c r="N3041" s="22" t="str">
        <f>+IF(Tabla2[[#This Row],[Variación Stock]]&gt;0,"Sobrante",IF(Tabla2[[#This Row],[Variación Stock]]&lt;0,"Faltante","Sin novedad"))</f>
        <v>Sobrante</v>
      </c>
    </row>
    <row r="3042" spans="1:14" hidden="1" x14ac:dyDescent="0.25">
      <c r="A3042" s="11">
        <v>46053</v>
      </c>
      <c r="B3042" s="5" t="s">
        <v>394</v>
      </c>
      <c r="C3042" s="3" t="s">
        <v>337</v>
      </c>
      <c r="D3042" s="5" t="s">
        <v>120</v>
      </c>
      <c r="E3042" s="5" t="s">
        <v>117</v>
      </c>
      <c r="F3042" s="6" t="s">
        <v>719</v>
      </c>
      <c r="G3042" s="4" t="s">
        <v>1</v>
      </c>
      <c r="H3042" s="25">
        <v>50.627536280000001</v>
      </c>
      <c r="I3042" s="8">
        <v>-1200</v>
      </c>
      <c r="J3042" s="9">
        <v>0</v>
      </c>
      <c r="K3042" s="7">
        <v>1200</v>
      </c>
      <c r="L3042" s="24">
        <f>+Tabla2[[#This Row],[Stock Inventario]]*Tabla2[[#This Row],[Coste LÃ­nea]]</f>
        <v>0</v>
      </c>
      <c r="M3042" s="24">
        <f>+Tabla2[[#This Row],[Variación Stock]]*Tabla2[[#This Row],[Coste LÃ­nea]]</f>
        <v>60753.043536000005</v>
      </c>
      <c r="N3042" s="22" t="str">
        <f>+IF(Tabla2[[#This Row],[Variación Stock]]&gt;0,"Sobrante",IF(Tabla2[[#This Row],[Variación Stock]]&lt;0,"Faltante","Sin novedad"))</f>
        <v>Sobrante</v>
      </c>
    </row>
    <row r="3043" spans="1:14" hidden="1" x14ac:dyDescent="0.25">
      <c r="A3043" s="11">
        <v>46053</v>
      </c>
      <c r="B3043" s="5" t="s">
        <v>394</v>
      </c>
      <c r="C3043" s="3" t="s">
        <v>337</v>
      </c>
      <c r="D3043" s="5" t="s">
        <v>120</v>
      </c>
      <c r="E3043" s="5" t="s">
        <v>117</v>
      </c>
      <c r="F3043" s="6" t="s">
        <v>767</v>
      </c>
      <c r="G3043" s="4" t="s">
        <v>2</v>
      </c>
      <c r="H3043" s="25">
        <v>1965.2784650900001</v>
      </c>
      <c r="I3043" s="8">
        <v>-17</v>
      </c>
      <c r="J3043" s="9">
        <v>4</v>
      </c>
      <c r="K3043" s="7">
        <v>21</v>
      </c>
      <c r="L3043" s="24">
        <f>+Tabla2[[#This Row],[Stock Inventario]]*Tabla2[[#This Row],[Coste LÃ­nea]]</f>
        <v>7861.1138603600002</v>
      </c>
      <c r="M3043" s="24">
        <f>+Tabla2[[#This Row],[Variación Stock]]*Tabla2[[#This Row],[Coste LÃ­nea]]</f>
        <v>41270.847766890001</v>
      </c>
      <c r="N3043" s="22" t="str">
        <f>+IF(Tabla2[[#This Row],[Variación Stock]]&gt;0,"Sobrante",IF(Tabla2[[#This Row],[Variación Stock]]&lt;0,"Faltante","Sin novedad"))</f>
        <v>Sobrante</v>
      </c>
    </row>
    <row r="3044" spans="1:14" hidden="1" x14ac:dyDescent="0.25">
      <c r="A3044" s="11">
        <v>46053</v>
      </c>
      <c r="B3044" s="5" t="s">
        <v>394</v>
      </c>
      <c r="C3044" s="3" t="s">
        <v>337</v>
      </c>
      <c r="D3044" s="5" t="s">
        <v>120</v>
      </c>
      <c r="E3044" s="5" t="s">
        <v>117</v>
      </c>
      <c r="F3044" s="6" t="s">
        <v>720</v>
      </c>
      <c r="G3044" s="4" t="s">
        <v>2</v>
      </c>
      <c r="H3044" s="25">
        <v>547.73333338999998</v>
      </c>
      <c r="I3044" s="8">
        <v>3.5</v>
      </c>
      <c r="J3044" s="9">
        <v>10</v>
      </c>
      <c r="K3044" s="7">
        <v>6.5</v>
      </c>
      <c r="L3044" s="24">
        <f>+Tabla2[[#This Row],[Stock Inventario]]*Tabla2[[#This Row],[Coste LÃ­nea]]</f>
        <v>5477.3333339000001</v>
      </c>
      <c r="M3044" s="24">
        <f>+Tabla2[[#This Row],[Variación Stock]]*Tabla2[[#This Row],[Coste LÃ­nea]]</f>
        <v>3560.266667035</v>
      </c>
      <c r="N3044" s="22" t="str">
        <f>+IF(Tabla2[[#This Row],[Variación Stock]]&gt;0,"Sobrante",IF(Tabla2[[#This Row],[Variación Stock]]&lt;0,"Faltante","Sin novedad"))</f>
        <v>Sobrante</v>
      </c>
    </row>
    <row r="3045" spans="1:14" hidden="1" x14ac:dyDescent="0.25">
      <c r="A3045" s="11">
        <v>46053</v>
      </c>
      <c r="B3045" s="5" t="s">
        <v>394</v>
      </c>
      <c r="C3045" s="3" t="s">
        <v>337</v>
      </c>
      <c r="D3045" s="5" t="s">
        <v>120</v>
      </c>
      <c r="E3045" s="5" t="s">
        <v>117</v>
      </c>
      <c r="F3045" s="6" t="s">
        <v>721</v>
      </c>
      <c r="G3045" s="4" t="s">
        <v>2</v>
      </c>
      <c r="H3045" s="25">
        <v>750.85294122000005</v>
      </c>
      <c r="I3045" s="8">
        <v>1148</v>
      </c>
      <c r="J3045" s="9">
        <v>2</v>
      </c>
      <c r="K3045" s="7">
        <v>-1146</v>
      </c>
      <c r="L3045" s="24">
        <f>+Tabla2[[#This Row],[Stock Inventario]]*Tabla2[[#This Row],[Coste LÃ­nea]]</f>
        <v>1501.7058824400001</v>
      </c>
      <c r="M3045" s="24">
        <f>+Tabla2[[#This Row],[Variación Stock]]*Tabla2[[#This Row],[Coste LÃ­nea]]</f>
        <v>-860477.47063812008</v>
      </c>
      <c r="N3045" s="22" t="str">
        <f>+IF(Tabla2[[#This Row],[Variación Stock]]&gt;0,"Sobrante",IF(Tabla2[[#This Row],[Variación Stock]]&lt;0,"Faltante","Sin novedad"))</f>
        <v>Faltante</v>
      </c>
    </row>
    <row r="3046" spans="1:14" x14ac:dyDescent="0.25">
      <c r="A3046" s="11">
        <v>46053</v>
      </c>
      <c r="B3046" s="5" t="s">
        <v>394</v>
      </c>
      <c r="C3046" s="3" t="s">
        <v>337</v>
      </c>
      <c r="D3046" s="5" t="s">
        <v>121</v>
      </c>
      <c r="E3046" s="5" t="s">
        <v>112</v>
      </c>
      <c r="F3046" s="6" t="s">
        <v>802</v>
      </c>
      <c r="G3046" s="4" t="s">
        <v>1</v>
      </c>
      <c r="H3046" s="25">
        <v>21.83529412</v>
      </c>
      <c r="I3046" s="8">
        <v>449</v>
      </c>
      <c r="J3046" s="9">
        <v>0</v>
      </c>
      <c r="K3046" s="7">
        <v>-449</v>
      </c>
      <c r="L3046" s="24">
        <f>+Tabla2[[#This Row],[Stock Inventario]]*Tabla2[[#This Row],[Coste LÃ­nea]]</f>
        <v>0</v>
      </c>
      <c r="M3046" s="24">
        <f>+Tabla2[[#This Row],[Variación Stock]]*Tabla2[[#This Row],[Coste LÃ­nea]]</f>
        <v>-9804.0470598800002</v>
      </c>
      <c r="N3046" s="22" t="str">
        <f>+IF(Tabla2[[#This Row],[Variación Stock]]&gt;0,"Sobrante",IF(Tabla2[[#This Row],[Variación Stock]]&lt;0,"Faltante","Sin novedad"))</f>
        <v>Faltante</v>
      </c>
    </row>
    <row r="3047" spans="1:14" hidden="1" x14ac:dyDescent="0.25">
      <c r="A3047" s="11">
        <v>46053</v>
      </c>
      <c r="B3047" s="5" t="s">
        <v>394</v>
      </c>
      <c r="C3047" s="3" t="s">
        <v>337</v>
      </c>
      <c r="D3047" s="5" t="s">
        <v>323</v>
      </c>
      <c r="E3047" s="5" t="s">
        <v>117</v>
      </c>
      <c r="F3047" s="6" t="s">
        <v>351</v>
      </c>
      <c r="G3047" s="4" t="s">
        <v>2</v>
      </c>
      <c r="H3047" s="25">
        <v>1309.5238095499999</v>
      </c>
      <c r="I3047" s="8">
        <v>76</v>
      </c>
      <c r="J3047" s="9">
        <v>0</v>
      </c>
      <c r="K3047" s="15">
        <v>-76</v>
      </c>
      <c r="L3047" s="24">
        <f>+Tabla2[[#This Row],[Stock Inventario]]*Tabla2[[#This Row],[Coste LÃ­nea]]</f>
        <v>0</v>
      </c>
      <c r="M3047" s="24">
        <f>+Tabla2[[#This Row],[Variación Stock]]*Tabla2[[#This Row],[Coste LÃ­nea]]</f>
        <v>-99523.809525799996</v>
      </c>
      <c r="N3047" s="22" t="str">
        <f>+IF(Tabla2[[#This Row],[Variación Stock]]&gt;0,"Sobrante",IF(Tabla2[[#This Row],[Variación Stock]]&lt;0,"Faltante","Sin novedad"))</f>
        <v>Faltante</v>
      </c>
    </row>
    <row r="3048" spans="1:14" hidden="1" x14ac:dyDescent="0.25">
      <c r="A3048" s="11">
        <v>46053</v>
      </c>
      <c r="B3048" s="5" t="s">
        <v>394</v>
      </c>
      <c r="C3048" s="3" t="s">
        <v>337</v>
      </c>
      <c r="D3048" s="5" t="s">
        <v>120</v>
      </c>
      <c r="E3048" s="5" t="s">
        <v>117</v>
      </c>
      <c r="F3048" s="6" t="s">
        <v>722</v>
      </c>
      <c r="G3048" s="4" t="s">
        <v>1</v>
      </c>
      <c r="H3048" s="25">
        <v>6.5112592500000002</v>
      </c>
      <c r="I3048" s="8">
        <v>-18853</v>
      </c>
      <c r="J3048" s="9">
        <v>13</v>
      </c>
      <c r="K3048" s="7">
        <v>18866</v>
      </c>
      <c r="L3048" s="24">
        <f>+Tabla2[[#This Row],[Stock Inventario]]*Tabla2[[#This Row],[Coste LÃ­nea]]</f>
        <v>84.646370250000004</v>
      </c>
      <c r="M3048" s="24">
        <f>+Tabla2[[#This Row],[Variación Stock]]*Tabla2[[#This Row],[Coste LÃ­nea]]</f>
        <v>122841.41701050001</v>
      </c>
      <c r="N3048" s="22" t="str">
        <f>+IF(Tabla2[[#This Row],[Variación Stock]]&gt;0,"Sobrante",IF(Tabla2[[#This Row],[Variación Stock]]&lt;0,"Faltante","Sin novedad"))</f>
        <v>Sobrante</v>
      </c>
    </row>
    <row r="3049" spans="1:14" hidden="1" x14ac:dyDescent="0.25">
      <c r="A3049" s="11">
        <v>46053</v>
      </c>
      <c r="B3049" s="5" t="s">
        <v>394</v>
      </c>
      <c r="C3049" s="3" t="s">
        <v>337</v>
      </c>
      <c r="D3049" s="5" t="s">
        <v>120</v>
      </c>
      <c r="E3049" s="5" t="s">
        <v>117</v>
      </c>
      <c r="F3049" s="6" t="s">
        <v>723</v>
      </c>
      <c r="G3049" s="4" t="s">
        <v>1</v>
      </c>
      <c r="H3049" s="25">
        <v>28.93669178</v>
      </c>
      <c r="I3049" s="8">
        <v>3610</v>
      </c>
      <c r="J3049" s="9">
        <v>0</v>
      </c>
      <c r="K3049" s="7">
        <v>-3610</v>
      </c>
      <c r="L3049" s="24">
        <f>+Tabla2[[#This Row],[Stock Inventario]]*Tabla2[[#This Row],[Coste LÃ­nea]]</f>
        <v>0</v>
      </c>
      <c r="M3049" s="24">
        <f>+Tabla2[[#This Row],[Variación Stock]]*Tabla2[[#This Row],[Coste LÃ­nea]]</f>
        <v>-104461.4573258</v>
      </c>
      <c r="N3049" s="22" t="str">
        <f>+IF(Tabla2[[#This Row],[Variación Stock]]&gt;0,"Sobrante",IF(Tabla2[[#This Row],[Variación Stock]]&lt;0,"Faltante","Sin novedad"))</f>
        <v>Faltante</v>
      </c>
    </row>
    <row r="3050" spans="1:14" hidden="1" x14ac:dyDescent="0.25">
      <c r="A3050" s="11">
        <v>46053</v>
      </c>
      <c r="B3050" s="5" t="s">
        <v>394</v>
      </c>
      <c r="C3050" s="3" t="s">
        <v>337</v>
      </c>
      <c r="D3050" s="5" t="s">
        <v>323</v>
      </c>
      <c r="E3050" s="5" t="s">
        <v>117</v>
      </c>
      <c r="F3050" s="6" t="s">
        <v>326</v>
      </c>
      <c r="G3050" s="4" t="s">
        <v>1</v>
      </c>
      <c r="H3050" s="25">
        <v>23.276470440000001</v>
      </c>
      <c r="I3050" s="8">
        <v>9186</v>
      </c>
      <c r="J3050" s="9">
        <v>6270</v>
      </c>
      <c r="K3050" s="7">
        <v>-2915.9999969999999</v>
      </c>
      <c r="L3050" s="24">
        <f>+Tabla2[[#This Row],[Stock Inventario]]*Tabla2[[#This Row],[Coste LÃ­nea]]</f>
        <v>145943.46965879999</v>
      </c>
      <c r="M3050" s="24">
        <f>+Tabla2[[#This Row],[Variación Stock]]*Tabla2[[#This Row],[Coste LÃ­nea]]</f>
        <v>-67874.187733210594</v>
      </c>
      <c r="N3050" s="22" t="str">
        <f>+IF(Tabla2[[#This Row],[Variación Stock]]&gt;0,"Sobrante",IF(Tabla2[[#This Row],[Variación Stock]]&lt;0,"Faltante","Sin novedad"))</f>
        <v>Faltante</v>
      </c>
    </row>
    <row r="3051" spans="1:14" hidden="1" x14ac:dyDescent="0.25">
      <c r="A3051" s="11">
        <v>46053</v>
      </c>
      <c r="B3051" s="5" t="s">
        <v>394</v>
      </c>
      <c r="C3051" s="3" t="s">
        <v>337</v>
      </c>
      <c r="D3051" s="5" t="s">
        <v>323</v>
      </c>
      <c r="E3051" s="5" t="s">
        <v>117</v>
      </c>
      <c r="F3051" s="6" t="s">
        <v>327</v>
      </c>
      <c r="G3051" s="4" t="s">
        <v>1</v>
      </c>
      <c r="H3051" s="25">
        <v>56.626137929999999</v>
      </c>
      <c r="I3051" s="8">
        <v>2050.8000000000002</v>
      </c>
      <c r="J3051" s="9">
        <v>1600</v>
      </c>
      <c r="K3051" s="7">
        <v>-450.8</v>
      </c>
      <c r="L3051" s="24">
        <f>+Tabla2[[#This Row],[Stock Inventario]]*Tabla2[[#This Row],[Coste LÃ­nea]]</f>
        <v>90601.820687999993</v>
      </c>
      <c r="M3051" s="24">
        <f>+Tabla2[[#This Row],[Variación Stock]]*Tabla2[[#This Row],[Coste LÃ­nea]]</f>
        <v>-25527.062978843998</v>
      </c>
      <c r="N3051" s="22" t="str">
        <f>+IF(Tabla2[[#This Row],[Variación Stock]]&gt;0,"Sobrante",IF(Tabla2[[#This Row],[Variación Stock]]&lt;0,"Faltante","Sin novedad"))</f>
        <v>Faltante</v>
      </c>
    </row>
    <row r="3052" spans="1:14" hidden="1" x14ac:dyDescent="0.25">
      <c r="A3052" s="11">
        <v>46053</v>
      </c>
      <c r="B3052" s="5" t="s">
        <v>394</v>
      </c>
      <c r="C3052" s="3" t="s">
        <v>337</v>
      </c>
      <c r="D3052" s="5" t="s">
        <v>120</v>
      </c>
      <c r="E3052" s="5" t="s">
        <v>117</v>
      </c>
      <c r="F3052" s="6" t="s">
        <v>724</v>
      </c>
      <c r="G3052" s="4" t="s">
        <v>1</v>
      </c>
      <c r="H3052" s="25">
        <v>19.172740739999998</v>
      </c>
      <c r="I3052" s="8">
        <v>4517</v>
      </c>
      <c r="J3052" s="9">
        <v>1306</v>
      </c>
      <c r="K3052" s="7">
        <v>-3211</v>
      </c>
      <c r="L3052" s="24">
        <f>+Tabla2[[#This Row],[Stock Inventario]]*Tabla2[[#This Row],[Coste LÃ­nea]]</f>
        <v>25039.599406439997</v>
      </c>
      <c r="M3052" s="24">
        <f>+Tabla2[[#This Row],[Variación Stock]]*Tabla2[[#This Row],[Coste LÃ­nea]]</f>
        <v>-61563.670516139995</v>
      </c>
      <c r="N3052" s="22" t="str">
        <f>+IF(Tabla2[[#This Row],[Variación Stock]]&gt;0,"Sobrante",IF(Tabla2[[#This Row],[Variación Stock]]&lt;0,"Faltante","Sin novedad"))</f>
        <v>Faltante</v>
      </c>
    </row>
    <row r="3053" spans="1:14" hidden="1" x14ac:dyDescent="0.25">
      <c r="A3053" s="11">
        <v>46053</v>
      </c>
      <c r="B3053" s="5" t="s">
        <v>394</v>
      </c>
      <c r="C3053" s="3" t="s">
        <v>337</v>
      </c>
      <c r="D3053" s="5" t="s">
        <v>120</v>
      </c>
      <c r="E3053" s="5" t="s">
        <v>117</v>
      </c>
      <c r="F3053" s="6" t="s">
        <v>725</v>
      </c>
      <c r="G3053" s="4" t="s">
        <v>1</v>
      </c>
      <c r="H3053" s="25">
        <v>9.5113465999999995</v>
      </c>
      <c r="I3053" s="8">
        <v>-2285</v>
      </c>
      <c r="J3053" s="9">
        <v>0</v>
      </c>
      <c r="K3053" s="7">
        <v>2285</v>
      </c>
      <c r="L3053" s="24">
        <f>+Tabla2[[#This Row],[Stock Inventario]]*Tabla2[[#This Row],[Coste LÃ­nea]]</f>
        <v>0</v>
      </c>
      <c r="M3053" s="24">
        <f>+Tabla2[[#This Row],[Variación Stock]]*Tabla2[[#This Row],[Coste LÃ­nea]]</f>
        <v>21733.426981000001</v>
      </c>
      <c r="N3053" s="22" t="str">
        <f>+IF(Tabla2[[#This Row],[Variación Stock]]&gt;0,"Sobrante",IF(Tabla2[[#This Row],[Variación Stock]]&lt;0,"Faltante","Sin novedad"))</f>
        <v>Sobrante</v>
      </c>
    </row>
    <row r="3054" spans="1:14" hidden="1" x14ac:dyDescent="0.25">
      <c r="A3054" s="11">
        <v>46053</v>
      </c>
      <c r="B3054" s="5" t="s">
        <v>394</v>
      </c>
      <c r="C3054" s="3" t="s">
        <v>337</v>
      </c>
      <c r="D3054" s="5" t="s">
        <v>323</v>
      </c>
      <c r="E3054" s="5" t="s">
        <v>117</v>
      </c>
      <c r="F3054" s="6" t="s">
        <v>776</v>
      </c>
      <c r="G3054" s="4" t="s">
        <v>1</v>
      </c>
      <c r="H3054" s="25">
        <v>4.2</v>
      </c>
      <c r="I3054" s="8">
        <v>1408</v>
      </c>
      <c r="J3054" s="9">
        <v>0</v>
      </c>
      <c r="K3054" s="7">
        <v>-1408</v>
      </c>
      <c r="L3054" s="24">
        <f>+Tabla2[[#This Row],[Stock Inventario]]*Tabla2[[#This Row],[Coste LÃ­nea]]</f>
        <v>0</v>
      </c>
      <c r="M3054" s="24">
        <f>+Tabla2[[#This Row],[Variación Stock]]*Tabla2[[#This Row],[Coste LÃ­nea]]</f>
        <v>-5913.6</v>
      </c>
      <c r="N3054" s="22" t="str">
        <f>+IF(Tabla2[[#This Row],[Variación Stock]]&gt;0,"Sobrante",IF(Tabla2[[#This Row],[Variación Stock]]&lt;0,"Faltante","Sin novedad"))</f>
        <v>Faltante</v>
      </c>
    </row>
    <row r="3055" spans="1:14" hidden="1" x14ac:dyDescent="0.25">
      <c r="A3055" s="11">
        <v>46053</v>
      </c>
      <c r="B3055" s="5" t="s">
        <v>394</v>
      </c>
      <c r="C3055" s="3" t="s">
        <v>337</v>
      </c>
      <c r="D3055" s="5" t="s">
        <v>120</v>
      </c>
      <c r="E3055" s="5" t="s">
        <v>117</v>
      </c>
      <c r="F3055" s="6" t="s">
        <v>726</v>
      </c>
      <c r="G3055" s="4" t="s">
        <v>1</v>
      </c>
      <c r="H3055" s="25">
        <v>15.3146948</v>
      </c>
      <c r="I3055" s="8">
        <v>0</v>
      </c>
      <c r="J3055" s="9">
        <v>0</v>
      </c>
      <c r="K3055" s="7">
        <v>0</v>
      </c>
      <c r="L3055" s="24">
        <f>+Tabla2[[#This Row],[Stock Inventario]]*Tabla2[[#This Row],[Coste LÃ­nea]]</f>
        <v>0</v>
      </c>
      <c r="M3055" s="24">
        <f>+Tabla2[[#This Row],[Variación Stock]]*Tabla2[[#This Row],[Coste LÃ­nea]]</f>
        <v>0</v>
      </c>
      <c r="N3055" s="22" t="str">
        <f>+IF(Tabla2[[#This Row],[Variación Stock]]&gt;0,"Sobrante",IF(Tabla2[[#This Row],[Variación Stock]]&lt;0,"Faltante","Sin novedad"))</f>
        <v>Sin novedad</v>
      </c>
    </row>
    <row r="3056" spans="1:14" hidden="1" x14ac:dyDescent="0.25">
      <c r="A3056" s="11">
        <v>46053</v>
      </c>
      <c r="B3056" s="5" t="s">
        <v>394</v>
      </c>
      <c r="C3056" s="3" t="s">
        <v>337</v>
      </c>
      <c r="D3056" s="5" t="s">
        <v>120</v>
      </c>
      <c r="E3056" s="5" t="s">
        <v>117</v>
      </c>
      <c r="F3056" s="6" t="s">
        <v>727</v>
      </c>
      <c r="G3056" s="4" t="s">
        <v>1</v>
      </c>
      <c r="H3056" s="25">
        <v>15</v>
      </c>
      <c r="I3056" s="8">
        <v>-840</v>
      </c>
      <c r="J3056" s="9">
        <v>0</v>
      </c>
      <c r="K3056" s="7">
        <v>840</v>
      </c>
      <c r="L3056" s="24">
        <f>+Tabla2[[#This Row],[Stock Inventario]]*Tabla2[[#This Row],[Coste LÃ­nea]]</f>
        <v>0</v>
      </c>
      <c r="M3056" s="24">
        <f>+Tabla2[[#This Row],[Variación Stock]]*Tabla2[[#This Row],[Coste LÃ­nea]]</f>
        <v>12600</v>
      </c>
      <c r="N3056" s="22" t="str">
        <f>+IF(Tabla2[[#This Row],[Variación Stock]]&gt;0,"Sobrante",IF(Tabla2[[#This Row],[Variación Stock]]&lt;0,"Faltante","Sin novedad"))</f>
        <v>Sobrante</v>
      </c>
    </row>
    <row r="3057" spans="1:14" hidden="1" x14ac:dyDescent="0.25">
      <c r="A3057" s="11">
        <v>46053</v>
      </c>
      <c r="B3057" s="5" t="s">
        <v>394</v>
      </c>
      <c r="C3057" s="3" t="s">
        <v>337</v>
      </c>
      <c r="D3057" s="5" t="s">
        <v>120</v>
      </c>
      <c r="E3057" s="5" t="s">
        <v>117</v>
      </c>
      <c r="F3057" s="6" t="s">
        <v>728</v>
      </c>
      <c r="G3057" s="4" t="s">
        <v>1</v>
      </c>
      <c r="H3057" s="25">
        <v>60.755781599999999</v>
      </c>
      <c r="I3057" s="8">
        <v>2116</v>
      </c>
      <c r="J3057" s="9">
        <v>0</v>
      </c>
      <c r="K3057" s="7">
        <v>-2116</v>
      </c>
      <c r="L3057" s="24">
        <f>+Tabla2[[#This Row],[Stock Inventario]]*Tabla2[[#This Row],[Coste LÃ­nea]]</f>
        <v>0</v>
      </c>
      <c r="M3057" s="24">
        <f>+Tabla2[[#This Row],[Variación Stock]]*Tabla2[[#This Row],[Coste LÃ­nea]]</f>
        <v>-128559.23386559999</v>
      </c>
      <c r="N3057" s="22" t="str">
        <f>+IF(Tabla2[[#This Row],[Variación Stock]]&gt;0,"Sobrante",IF(Tabla2[[#This Row],[Variación Stock]]&lt;0,"Faltante","Sin novedad"))</f>
        <v>Faltante</v>
      </c>
    </row>
    <row r="3058" spans="1:14" x14ac:dyDescent="0.25">
      <c r="A3058" s="11">
        <v>46053</v>
      </c>
      <c r="B3058" s="5" t="s">
        <v>394</v>
      </c>
      <c r="C3058" s="3" t="s">
        <v>337</v>
      </c>
      <c r="D3058" s="5" t="s">
        <v>121</v>
      </c>
      <c r="E3058" s="5" t="s">
        <v>112</v>
      </c>
      <c r="F3058" s="6" t="s">
        <v>793</v>
      </c>
      <c r="G3058" s="4" t="s">
        <v>1</v>
      </c>
      <c r="H3058" s="25">
        <v>54.742867339999997</v>
      </c>
      <c r="I3058" s="8">
        <v>0</v>
      </c>
      <c r="J3058" s="9">
        <v>0</v>
      </c>
      <c r="K3058" s="7">
        <v>0</v>
      </c>
      <c r="L3058" s="24">
        <f>+Tabla2[[#This Row],[Stock Inventario]]*Tabla2[[#This Row],[Coste LÃ­nea]]</f>
        <v>0</v>
      </c>
      <c r="M3058" s="24">
        <f>+Tabla2[[#This Row],[Variación Stock]]*Tabla2[[#This Row],[Coste LÃ­nea]]</f>
        <v>0</v>
      </c>
      <c r="N3058" s="22" t="str">
        <f>+IF(Tabla2[[#This Row],[Variación Stock]]&gt;0,"Sobrante",IF(Tabla2[[#This Row],[Variación Stock]]&lt;0,"Faltante","Sin novedad"))</f>
        <v>Sin novedad</v>
      </c>
    </row>
    <row r="3059" spans="1:14" hidden="1" x14ac:dyDescent="0.25">
      <c r="A3059" s="11">
        <v>46053</v>
      </c>
      <c r="B3059" s="5" t="s">
        <v>394</v>
      </c>
      <c r="C3059" s="3" t="s">
        <v>337</v>
      </c>
      <c r="D3059" s="5" t="s">
        <v>323</v>
      </c>
      <c r="E3059" s="5" t="s">
        <v>117</v>
      </c>
      <c r="F3059" s="6" t="s">
        <v>781</v>
      </c>
      <c r="G3059" s="4" t="s">
        <v>2</v>
      </c>
      <c r="H3059" s="25">
        <v>6070.3696800199996</v>
      </c>
      <c r="I3059" s="8">
        <v>0</v>
      </c>
      <c r="J3059" s="9">
        <v>0</v>
      </c>
      <c r="K3059" s="7">
        <v>0</v>
      </c>
      <c r="L3059" s="24">
        <f>+Tabla2[[#This Row],[Stock Inventario]]*Tabla2[[#This Row],[Coste LÃ­nea]]</f>
        <v>0</v>
      </c>
      <c r="M3059" s="24">
        <f>+Tabla2[[#This Row],[Variación Stock]]*Tabla2[[#This Row],[Coste LÃ­nea]]</f>
        <v>0</v>
      </c>
      <c r="N3059" s="22" t="str">
        <f>+IF(Tabla2[[#This Row],[Variación Stock]]&gt;0,"Sobrante",IF(Tabla2[[#This Row],[Variación Stock]]&lt;0,"Faltante","Sin novedad"))</f>
        <v>Sin novedad</v>
      </c>
    </row>
    <row r="3060" spans="1:14" hidden="1" x14ac:dyDescent="0.25">
      <c r="A3060" s="11">
        <v>46053</v>
      </c>
      <c r="B3060" s="5" t="s">
        <v>394</v>
      </c>
      <c r="C3060" s="3" t="s">
        <v>337</v>
      </c>
      <c r="D3060" s="5" t="s">
        <v>120</v>
      </c>
      <c r="E3060" s="5" t="s">
        <v>117</v>
      </c>
      <c r="F3060" s="6" t="s">
        <v>729</v>
      </c>
      <c r="G3060" s="4" t="s">
        <v>1</v>
      </c>
      <c r="H3060" s="25">
        <v>21.61672257</v>
      </c>
      <c r="I3060" s="8">
        <v>1980</v>
      </c>
      <c r="J3060" s="9">
        <v>0</v>
      </c>
      <c r="K3060" s="7">
        <v>-1980</v>
      </c>
      <c r="L3060" s="24">
        <f>+Tabla2[[#This Row],[Stock Inventario]]*Tabla2[[#This Row],[Coste LÃ­nea]]</f>
        <v>0</v>
      </c>
      <c r="M3060" s="24">
        <f>+Tabla2[[#This Row],[Variación Stock]]*Tabla2[[#This Row],[Coste LÃ­nea]]</f>
        <v>-42801.110688599998</v>
      </c>
      <c r="N3060" s="22" t="str">
        <f>+IF(Tabla2[[#This Row],[Variación Stock]]&gt;0,"Sobrante",IF(Tabla2[[#This Row],[Variación Stock]]&lt;0,"Faltante","Sin novedad"))</f>
        <v>Faltante</v>
      </c>
    </row>
    <row r="3061" spans="1:14" x14ac:dyDescent="0.25">
      <c r="A3061" s="11">
        <v>46053</v>
      </c>
      <c r="B3061" s="5" t="s">
        <v>394</v>
      </c>
      <c r="C3061" s="3" t="s">
        <v>337</v>
      </c>
      <c r="D3061" s="5" t="s">
        <v>121</v>
      </c>
      <c r="E3061" s="5" t="s">
        <v>112</v>
      </c>
      <c r="F3061" s="6" t="s">
        <v>357</v>
      </c>
      <c r="G3061" s="4" t="s">
        <v>1</v>
      </c>
      <c r="H3061" s="25">
        <v>85.424136300000001</v>
      </c>
      <c r="I3061" s="8">
        <v>337</v>
      </c>
      <c r="J3061" s="9">
        <v>386</v>
      </c>
      <c r="K3061" s="7">
        <v>49</v>
      </c>
      <c r="L3061" s="24">
        <f>+Tabla2[[#This Row],[Stock Inventario]]*Tabla2[[#This Row],[Coste LÃ­nea]]</f>
        <v>32973.716611800002</v>
      </c>
      <c r="M3061" s="24">
        <f>+Tabla2[[#This Row],[Variación Stock]]*Tabla2[[#This Row],[Coste LÃ­nea]]</f>
        <v>4185.7826787000004</v>
      </c>
      <c r="N3061" s="22" t="str">
        <f>+IF(Tabla2[[#This Row],[Variación Stock]]&gt;0,"Sobrante",IF(Tabla2[[#This Row],[Variación Stock]]&lt;0,"Faltante","Sin novedad"))</f>
        <v>Sobrante</v>
      </c>
    </row>
    <row r="3062" spans="1:14" hidden="1" x14ac:dyDescent="0.25">
      <c r="A3062" s="11">
        <v>46053</v>
      </c>
      <c r="B3062" s="5" t="s">
        <v>394</v>
      </c>
      <c r="C3062" s="3" t="s">
        <v>337</v>
      </c>
      <c r="D3062" s="5" t="s">
        <v>120</v>
      </c>
      <c r="E3062" s="5" t="s">
        <v>117</v>
      </c>
      <c r="F3062" s="6" t="s">
        <v>730</v>
      </c>
      <c r="G3062" s="4" t="s">
        <v>1</v>
      </c>
      <c r="H3062" s="25">
        <v>50.394806379999999</v>
      </c>
      <c r="I3062" s="8">
        <v>0</v>
      </c>
      <c r="J3062" s="9">
        <v>0</v>
      </c>
      <c r="K3062" s="7">
        <v>0</v>
      </c>
      <c r="L3062" s="24">
        <f>+Tabla2[[#This Row],[Stock Inventario]]*Tabla2[[#This Row],[Coste LÃ­nea]]</f>
        <v>0</v>
      </c>
      <c r="M3062" s="24">
        <f>+Tabla2[[#This Row],[Variación Stock]]*Tabla2[[#This Row],[Coste LÃ­nea]]</f>
        <v>0</v>
      </c>
      <c r="N3062" s="22" t="str">
        <f>+IF(Tabla2[[#This Row],[Variación Stock]]&gt;0,"Sobrante",IF(Tabla2[[#This Row],[Variación Stock]]&lt;0,"Faltante","Sin novedad"))</f>
        <v>Sin novedad</v>
      </c>
    </row>
    <row r="3063" spans="1:14" hidden="1" x14ac:dyDescent="0.25">
      <c r="A3063" s="11">
        <v>46053</v>
      </c>
      <c r="B3063" s="5" t="s">
        <v>394</v>
      </c>
      <c r="C3063" s="3" t="s">
        <v>337</v>
      </c>
      <c r="D3063" s="5" t="s">
        <v>120</v>
      </c>
      <c r="E3063" s="5" t="s">
        <v>117</v>
      </c>
      <c r="F3063" s="6" t="s">
        <v>318</v>
      </c>
      <c r="G3063" s="4" t="s">
        <v>2</v>
      </c>
      <c r="H3063" s="25">
        <v>5928.1262500000003</v>
      </c>
      <c r="I3063" s="8">
        <v>-1</v>
      </c>
      <c r="J3063" s="9">
        <v>0</v>
      </c>
      <c r="K3063" s="7">
        <v>1</v>
      </c>
      <c r="L3063" s="24">
        <f>+Tabla2[[#This Row],[Stock Inventario]]*Tabla2[[#This Row],[Coste LÃ­nea]]</f>
        <v>0</v>
      </c>
      <c r="M3063" s="24">
        <f>+Tabla2[[#This Row],[Variación Stock]]*Tabla2[[#This Row],[Coste LÃ­nea]]</f>
        <v>5928.1262500000003</v>
      </c>
      <c r="N3063" s="22" t="str">
        <f>+IF(Tabla2[[#This Row],[Variación Stock]]&gt;0,"Sobrante",IF(Tabla2[[#This Row],[Variación Stock]]&lt;0,"Faltante","Sin novedad"))</f>
        <v>Sobrante</v>
      </c>
    </row>
    <row r="3064" spans="1:14" hidden="1" x14ac:dyDescent="0.25">
      <c r="A3064" s="11">
        <v>46053</v>
      </c>
      <c r="B3064" s="5" t="s">
        <v>394</v>
      </c>
      <c r="C3064" s="3" t="s">
        <v>337</v>
      </c>
      <c r="D3064" s="5" t="s">
        <v>120</v>
      </c>
      <c r="E3064" s="5" t="s">
        <v>117</v>
      </c>
      <c r="F3064" s="6" t="s">
        <v>319</v>
      </c>
      <c r="G3064" s="4" t="s">
        <v>2</v>
      </c>
      <c r="H3064" s="25">
        <v>3455.3301711399999</v>
      </c>
      <c r="I3064" s="8">
        <v>30</v>
      </c>
      <c r="J3064" s="9">
        <v>3</v>
      </c>
      <c r="K3064" s="7">
        <v>-27</v>
      </c>
      <c r="L3064" s="24">
        <f>+Tabla2[[#This Row],[Stock Inventario]]*Tabla2[[#This Row],[Coste LÃ­nea]]</f>
        <v>10365.99051342</v>
      </c>
      <c r="M3064" s="24">
        <f>+Tabla2[[#This Row],[Variación Stock]]*Tabla2[[#This Row],[Coste LÃ­nea]]</f>
        <v>-93293.914620779993</v>
      </c>
      <c r="N3064" s="22" t="str">
        <f>+IF(Tabla2[[#This Row],[Variación Stock]]&gt;0,"Sobrante",IF(Tabla2[[#This Row],[Variación Stock]]&lt;0,"Faltante","Sin novedad"))</f>
        <v>Faltante</v>
      </c>
    </row>
    <row r="3065" spans="1:14" hidden="1" x14ac:dyDescent="0.25">
      <c r="A3065" s="11">
        <v>46053</v>
      </c>
      <c r="B3065" s="5" t="s">
        <v>394</v>
      </c>
      <c r="C3065" s="3" t="s">
        <v>337</v>
      </c>
      <c r="D3065" s="5" t="s">
        <v>120</v>
      </c>
      <c r="E3065" s="5" t="s">
        <v>117</v>
      </c>
      <c r="F3065" s="6" t="s">
        <v>731</v>
      </c>
      <c r="G3065" s="4" t="s">
        <v>1</v>
      </c>
      <c r="H3065" s="25">
        <v>9.5823249399999995</v>
      </c>
      <c r="I3065" s="8">
        <v>1646</v>
      </c>
      <c r="J3065" s="9">
        <v>314</v>
      </c>
      <c r="K3065" s="7">
        <v>-1332</v>
      </c>
      <c r="L3065" s="24">
        <f>+Tabla2[[#This Row],[Stock Inventario]]*Tabla2[[#This Row],[Coste LÃ­nea]]</f>
        <v>3008.8500311599996</v>
      </c>
      <c r="M3065" s="24">
        <f>+Tabla2[[#This Row],[Variación Stock]]*Tabla2[[#This Row],[Coste LÃ­nea]]</f>
        <v>-12763.656820079999</v>
      </c>
      <c r="N3065" s="22" t="str">
        <f>+IF(Tabla2[[#This Row],[Variación Stock]]&gt;0,"Sobrante",IF(Tabla2[[#This Row],[Variación Stock]]&lt;0,"Faltante","Sin novedad"))</f>
        <v>Faltante</v>
      </c>
    </row>
    <row r="3066" spans="1:14" hidden="1" x14ac:dyDescent="0.25">
      <c r="A3066" s="11">
        <v>46053</v>
      </c>
      <c r="B3066" s="5" t="s">
        <v>394</v>
      </c>
      <c r="C3066" s="3" t="s">
        <v>337</v>
      </c>
      <c r="D3066" s="5" t="s">
        <v>120</v>
      </c>
      <c r="E3066" s="5" t="s">
        <v>117</v>
      </c>
      <c r="F3066" s="6" t="s">
        <v>732</v>
      </c>
      <c r="G3066" s="4" t="s">
        <v>1</v>
      </c>
      <c r="H3066" s="25">
        <v>18.616711599999999</v>
      </c>
      <c r="I3066" s="8">
        <v>5636</v>
      </c>
      <c r="J3066" s="9">
        <v>0</v>
      </c>
      <c r="K3066" s="7">
        <v>-5636</v>
      </c>
      <c r="L3066" s="24">
        <f>+Tabla2[[#This Row],[Stock Inventario]]*Tabla2[[#This Row],[Coste LÃ­nea]]</f>
        <v>0</v>
      </c>
      <c r="M3066" s="24">
        <f>+Tabla2[[#This Row],[Variación Stock]]*Tabla2[[#This Row],[Coste LÃ­nea]]</f>
        <v>-104923.7865776</v>
      </c>
      <c r="N3066" s="22" t="str">
        <f>+IF(Tabla2[[#This Row],[Variación Stock]]&gt;0,"Sobrante",IF(Tabla2[[#This Row],[Variación Stock]]&lt;0,"Faltante","Sin novedad"))</f>
        <v>Faltante</v>
      </c>
    </row>
    <row r="3067" spans="1:14" hidden="1" x14ac:dyDescent="0.25">
      <c r="A3067" s="11">
        <v>46053</v>
      </c>
      <c r="B3067" s="5" t="s">
        <v>394</v>
      </c>
      <c r="C3067" s="3" t="s">
        <v>337</v>
      </c>
      <c r="D3067" s="5" t="s">
        <v>323</v>
      </c>
      <c r="E3067" s="5" t="s">
        <v>117</v>
      </c>
      <c r="F3067" s="6" t="s">
        <v>328</v>
      </c>
      <c r="G3067" s="4" t="s">
        <v>2</v>
      </c>
      <c r="H3067" s="25">
        <v>20261.49076923</v>
      </c>
      <c r="I3067" s="8">
        <v>27.96</v>
      </c>
      <c r="J3067" s="9">
        <v>36</v>
      </c>
      <c r="K3067" s="7">
        <v>8.0399999999999991</v>
      </c>
      <c r="L3067" s="24">
        <f>+Tabla2[[#This Row],[Stock Inventario]]*Tabla2[[#This Row],[Coste LÃ­nea]]</f>
        <v>729413.66769228003</v>
      </c>
      <c r="M3067" s="24">
        <f>+Tabla2[[#This Row],[Variación Stock]]*Tabla2[[#This Row],[Coste LÃ­nea]]</f>
        <v>162902.38578460919</v>
      </c>
      <c r="N3067" s="22" t="str">
        <f>+IF(Tabla2[[#This Row],[Variación Stock]]&gt;0,"Sobrante",IF(Tabla2[[#This Row],[Variación Stock]]&lt;0,"Faltante","Sin novedad"))</f>
        <v>Sobrante</v>
      </c>
    </row>
    <row r="3068" spans="1:14" hidden="1" x14ac:dyDescent="0.25">
      <c r="A3068" s="11">
        <v>46053</v>
      </c>
      <c r="B3068" s="5" t="s">
        <v>394</v>
      </c>
      <c r="C3068" s="3" t="s">
        <v>337</v>
      </c>
      <c r="D3068" s="5" t="s">
        <v>323</v>
      </c>
      <c r="E3068" s="5" t="s">
        <v>117</v>
      </c>
      <c r="F3068" s="6" t="s">
        <v>329</v>
      </c>
      <c r="G3068" s="4" t="s">
        <v>2</v>
      </c>
      <c r="H3068" s="25">
        <v>7153.7631219499999</v>
      </c>
      <c r="I3068" s="8">
        <v>64</v>
      </c>
      <c r="J3068" s="9">
        <v>43</v>
      </c>
      <c r="K3068" s="15">
        <v>-21</v>
      </c>
      <c r="L3068" s="24">
        <f>+Tabla2[[#This Row],[Stock Inventario]]*Tabla2[[#This Row],[Coste LÃ­nea]]</f>
        <v>307611.81424385001</v>
      </c>
      <c r="M3068" s="24">
        <f>+Tabla2[[#This Row],[Variación Stock]]*Tabla2[[#This Row],[Coste LÃ­nea]]</f>
        <v>-150229.02556094999</v>
      </c>
      <c r="N3068" s="22" t="str">
        <f>+IF(Tabla2[[#This Row],[Variación Stock]]&gt;0,"Sobrante",IF(Tabla2[[#This Row],[Variación Stock]]&lt;0,"Faltante","Sin novedad"))</f>
        <v>Faltante</v>
      </c>
    </row>
    <row r="3069" spans="1:14" hidden="1" x14ac:dyDescent="0.25">
      <c r="A3069" s="11">
        <v>46053</v>
      </c>
      <c r="B3069" s="5" t="s">
        <v>394</v>
      </c>
      <c r="C3069" s="3" t="s">
        <v>337</v>
      </c>
      <c r="D3069" s="5" t="s">
        <v>120</v>
      </c>
      <c r="E3069" s="5" t="s">
        <v>117</v>
      </c>
      <c r="F3069" s="6" t="s">
        <v>733</v>
      </c>
      <c r="G3069" s="4" t="s">
        <v>1</v>
      </c>
      <c r="H3069" s="25">
        <v>43.594779029999998</v>
      </c>
      <c r="I3069" s="8">
        <v>650</v>
      </c>
      <c r="J3069" s="9">
        <v>0</v>
      </c>
      <c r="K3069" s="7">
        <v>-650</v>
      </c>
      <c r="L3069" s="24">
        <f>+Tabla2[[#This Row],[Stock Inventario]]*Tabla2[[#This Row],[Coste LÃ­nea]]</f>
        <v>0</v>
      </c>
      <c r="M3069" s="24">
        <f>+Tabla2[[#This Row],[Variación Stock]]*Tabla2[[#This Row],[Coste LÃ­nea]]</f>
        <v>-28336.606369499998</v>
      </c>
      <c r="N3069" s="22" t="str">
        <f>+IF(Tabla2[[#This Row],[Variación Stock]]&gt;0,"Sobrante",IF(Tabla2[[#This Row],[Variación Stock]]&lt;0,"Faltante","Sin novedad"))</f>
        <v>Faltante</v>
      </c>
    </row>
    <row r="3070" spans="1:14" hidden="1" x14ac:dyDescent="0.25">
      <c r="A3070" s="11">
        <v>46053</v>
      </c>
      <c r="B3070" s="5" t="s">
        <v>394</v>
      </c>
      <c r="C3070" s="3" t="s">
        <v>337</v>
      </c>
      <c r="D3070" s="5" t="s">
        <v>120</v>
      </c>
      <c r="E3070" s="5" t="s">
        <v>117</v>
      </c>
      <c r="F3070" s="6" t="s">
        <v>734</v>
      </c>
      <c r="G3070" s="4" t="s">
        <v>1</v>
      </c>
      <c r="H3070" s="25">
        <v>16.654198109999999</v>
      </c>
      <c r="I3070" s="8">
        <v>0</v>
      </c>
      <c r="J3070" s="9">
        <v>720</v>
      </c>
      <c r="K3070" s="7">
        <v>720</v>
      </c>
      <c r="L3070" s="24">
        <f>+Tabla2[[#This Row],[Stock Inventario]]*Tabla2[[#This Row],[Coste LÃ­nea]]</f>
        <v>11991.0226392</v>
      </c>
      <c r="M3070" s="24">
        <f>+Tabla2[[#This Row],[Variación Stock]]*Tabla2[[#This Row],[Coste LÃ­nea]]</f>
        <v>11991.0226392</v>
      </c>
      <c r="N3070" s="22" t="str">
        <f>+IF(Tabla2[[#This Row],[Variación Stock]]&gt;0,"Sobrante",IF(Tabla2[[#This Row],[Variación Stock]]&lt;0,"Faltante","Sin novedad"))</f>
        <v>Sobrante</v>
      </c>
    </row>
    <row r="3071" spans="1:14" hidden="1" x14ac:dyDescent="0.25">
      <c r="A3071" s="11">
        <v>46053</v>
      </c>
      <c r="B3071" s="5" t="s">
        <v>394</v>
      </c>
      <c r="C3071" s="3" t="s">
        <v>337</v>
      </c>
      <c r="D3071" s="5" t="s">
        <v>120</v>
      </c>
      <c r="E3071" s="5" t="s">
        <v>117</v>
      </c>
      <c r="F3071" s="6" t="s">
        <v>735</v>
      </c>
      <c r="G3071" s="4" t="s">
        <v>1</v>
      </c>
      <c r="H3071" s="25">
        <v>10.29076948</v>
      </c>
      <c r="I3071" s="8">
        <v>1614</v>
      </c>
      <c r="J3071" s="9">
        <v>0</v>
      </c>
      <c r="K3071" s="7">
        <v>-1614</v>
      </c>
      <c r="L3071" s="24">
        <f>+Tabla2[[#This Row],[Stock Inventario]]*Tabla2[[#This Row],[Coste LÃ­nea]]</f>
        <v>0</v>
      </c>
      <c r="M3071" s="24">
        <f>+Tabla2[[#This Row],[Variación Stock]]*Tabla2[[#This Row],[Coste LÃ­nea]]</f>
        <v>-16609.301940720001</v>
      </c>
      <c r="N3071" s="22" t="str">
        <f>+IF(Tabla2[[#This Row],[Variación Stock]]&gt;0,"Sobrante",IF(Tabla2[[#This Row],[Variación Stock]]&lt;0,"Faltante","Sin novedad"))</f>
        <v>Faltante</v>
      </c>
    </row>
    <row r="3072" spans="1:14" hidden="1" x14ac:dyDescent="0.25">
      <c r="A3072" s="11">
        <v>46053</v>
      </c>
      <c r="B3072" s="5" t="s">
        <v>394</v>
      </c>
      <c r="C3072" s="3" t="s">
        <v>337</v>
      </c>
      <c r="D3072" s="5" t="s">
        <v>120</v>
      </c>
      <c r="E3072" s="5" t="s">
        <v>117</v>
      </c>
      <c r="F3072" s="6" t="s">
        <v>736</v>
      </c>
      <c r="G3072" s="4" t="s">
        <v>1</v>
      </c>
      <c r="H3072" s="25">
        <v>11.667654199999999</v>
      </c>
      <c r="I3072" s="8">
        <v>-114</v>
      </c>
      <c r="J3072" s="9">
        <v>210</v>
      </c>
      <c r="K3072" s="7">
        <v>324</v>
      </c>
      <c r="L3072" s="24">
        <f>+Tabla2[[#This Row],[Stock Inventario]]*Tabla2[[#This Row],[Coste LÃ­nea]]</f>
        <v>2450.2073820000001</v>
      </c>
      <c r="M3072" s="24">
        <f>+Tabla2[[#This Row],[Variación Stock]]*Tabla2[[#This Row],[Coste LÃ­nea]]</f>
        <v>3780.3199608</v>
      </c>
      <c r="N3072" s="22" t="str">
        <f>+IF(Tabla2[[#This Row],[Variación Stock]]&gt;0,"Sobrante",IF(Tabla2[[#This Row],[Variación Stock]]&lt;0,"Faltante","Sin novedad"))</f>
        <v>Sobrante</v>
      </c>
    </row>
    <row r="3073" spans="1:14" hidden="1" x14ac:dyDescent="0.25">
      <c r="A3073" s="11">
        <v>46053</v>
      </c>
      <c r="B3073" s="5" t="s">
        <v>394</v>
      </c>
      <c r="C3073" s="3" t="s">
        <v>337</v>
      </c>
      <c r="D3073" s="5" t="s">
        <v>323</v>
      </c>
      <c r="E3073" s="5" t="s">
        <v>117</v>
      </c>
      <c r="F3073" s="6" t="s">
        <v>777</v>
      </c>
      <c r="G3073" s="4" t="s">
        <v>1</v>
      </c>
      <c r="H3073" s="25">
        <v>23.65629702</v>
      </c>
      <c r="I3073" s="8">
        <v>0</v>
      </c>
      <c r="J3073" s="9">
        <v>0</v>
      </c>
      <c r="K3073" s="7">
        <v>0</v>
      </c>
      <c r="L3073" s="24">
        <f>+Tabla2[[#This Row],[Stock Inventario]]*Tabla2[[#This Row],[Coste LÃ­nea]]</f>
        <v>0</v>
      </c>
      <c r="M3073" s="24">
        <f>+Tabla2[[#This Row],[Variación Stock]]*Tabla2[[#This Row],[Coste LÃ­nea]]</f>
        <v>0</v>
      </c>
      <c r="N3073" s="22" t="str">
        <f>+IF(Tabla2[[#This Row],[Variación Stock]]&gt;0,"Sobrante",IF(Tabla2[[#This Row],[Variación Stock]]&lt;0,"Faltante","Sin novedad"))</f>
        <v>Sin novedad</v>
      </c>
    </row>
    <row r="3074" spans="1:14" hidden="1" x14ac:dyDescent="0.25">
      <c r="A3074" s="11">
        <v>46053</v>
      </c>
      <c r="B3074" s="5" t="s">
        <v>394</v>
      </c>
      <c r="C3074" s="3" t="s">
        <v>337</v>
      </c>
      <c r="D3074" s="5" t="s">
        <v>323</v>
      </c>
      <c r="E3074" s="5" t="s">
        <v>117</v>
      </c>
      <c r="F3074" s="6" t="s">
        <v>778</v>
      </c>
      <c r="G3074" s="4" t="s">
        <v>1</v>
      </c>
      <c r="H3074" s="25">
        <v>40.097522099999999</v>
      </c>
      <c r="I3074" s="8">
        <v>0</v>
      </c>
      <c r="J3074" s="9">
        <v>0</v>
      </c>
      <c r="K3074" s="7">
        <v>0</v>
      </c>
      <c r="L3074" s="24">
        <f>+Tabla2[[#This Row],[Stock Inventario]]*Tabla2[[#This Row],[Coste LÃ­nea]]</f>
        <v>0</v>
      </c>
      <c r="M3074" s="24">
        <f>+Tabla2[[#This Row],[Variación Stock]]*Tabla2[[#This Row],[Coste LÃ­nea]]</f>
        <v>0</v>
      </c>
      <c r="N3074" s="22" t="str">
        <f>+IF(Tabla2[[#This Row],[Variación Stock]]&gt;0,"Sobrante",IF(Tabla2[[#This Row],[Variación Stock]]&lt;0,"Faltante","Sin novedad"))</f>
        <v>Sin novedad</v>
      </c>
    </row>
    <row r="3075" spans="1:14" hidden="1" x14ac:dyDescent="0.25">
      <c r="A3075" s="11">
        <v>46053</v>
      </c>
      <c r="B3075" s="5" t="s">
        <v>394</v>
      </c>
      <c r="C3075" s="3" t="s">
        <v>337</v>
      </c>
      <c r="D3075" s="5" t="s">
        <v>120</v>
      </c>
      <c r="E3075" s="5" t="s">
        <v>117</v>
      </c>
      <c r="F3075" s="6" t="s">
        <v>737</v>
      </c>
      <c r="G3075" s="4" t="s">
        <v>1</v>
      </c>
      <c r="H3075" s="25">
        <v>28.271326989999999</v>
      </c>
      <c r="I3075" s="8">
        <v>0</v>
      </c>
      <c r="J3075" s="9">
        <v>0</v>
      </c>
      <c r="K3075" s="7">
        <v>0</v>
      </c>
      <c r="L3075" s="24">
        <f>+Tabla2[[#This Row],[Stock Inventario]]*Tabla2[[#This Row],[Coste LÃ­nea]]</f>
        <v>0</v>
      </c>
      <c r="M3075" s="24">
        <f>+Tabla2[[#This Row],[Variación Stock]]*Tabla2[[#This Row],[Coste LÃ­nea]]</f>
        <v>0</v>
      </c>
      <c r="N3075" s="22" t="str">
        <f>+IF(Tabla2[[#This Row],[Variación Stock]]&gt;0,"Sobrante",IF(Tabla2[[#This Row],[Variación Stock]]&lt;0,"Faltante","Sin novedad"))</f>
        <v>Sin novedad</v>
      </c>
    </row>
    <row r="3076" spans="1:14" hidden="1" x14ac:dyDescent="0.25">
      <c r="A3076" s="11">
        <v>46053</v>
      </c>
      <c r="B3076" s="5" t="s">
        <v>394</v>
      </c>
      <c r="C3076" s="3" t="s">
        <v>337</v>
      </c>
      <c r="D3076" s="5" t="s">
        <v>120</v>
      </c>
      <c r="E3076" s="5" t="s">
        <v>117</v>
      </c>
      <c r="F3076" s="6" t="s">
        <v>738</v>
      </c>
      <c r="G3076" s="4" t="s">
        <v>1</v>
      </c>
      <c r="H3076" s="25">
        <v>39.179842819999998</v>
      </c>
      <c r="I3076" s="8">
        <v>-1280</v>
      </c>
      <c r="J3076" s="9">
        <v>0</v>
      </c>
      <c r="K3076" s="7">
        <v>1280</v>
      </c>
      <c r="L3076" s="24">
        <f>+Tabla2[[#This Row],[Stock Inventario]]*Tabla2[[#This Row],[Coste LÃ­nea]]</f>
        <v>0</v>
      </c>
      <c r="M3076" s="24">
        <f>+Tabla2[[#This Row],[Variación Stock]]*Tabla2[[#This Row],[Coste LÃ­nea]]</f>
        <v>50150.198809599999</v>
      </c>
      <c r="N3076" s="22" t="str">
        <f>+IF(Tabla2[[#This Row],[Variación Stock]]&gt;0,"Sobrante",IF(Tabla2[[#This Row],[Variación Stock]]&lt;0,"Faltante","Sin novedad"))</f>
        <v>Sobrante</v>
      </c>
    </row>
    <row r="3077" spans="1:14" hidden="1" x14ac:dyDescent="0.25">
      <c r="A3077" s="11">
        <v>46053</v>
      </c>
      <c r="B3077" s="5" t="s">
        <v>394</v>
      </c>
      <c r="C3077" s="3" t="s">
        <v>337</v>
      </c>
      <c r="D3077" s="5" t="s">
        <v>120</v>
      </c>
      <c r="E3077" s="5" t="s">
        <v>117</v>
      </c>
      <c r="F3077" s="6" t="s">
        <v>739</v>
      </c>
      <c r="G3077" s="4" t="s">
        <v>1</v>
      </c>
      <c r="H3077" s="25">
        <v>5.5221637000000001</v>
      </c>
      <c r="I3077" s="8">
        <v>728</v>
      </c>
      <c r="J3077" s="9">
        <v>120</v>
      </c>
      <c r="K3077" s="7">
        <v>-608</v>
      </c>
      <c r="L3077" s="24">
        <f>+Tabla2[[#This Row],[Stock Inventario]]*Tabla2[[#This Row],[Coste LÃ­nea]]</f>
        <v>662.65964400000007</v>
      </c>
      <c r="M3077" s="24">
        <f>+Tabla2[[#This Row],[Variación Stock]]*Tabla2[[#This Row],[Coste LÃ­nea]]</f>
        <v>-3357.4755296000003</v>
      </c>
      <c r="N3077" s="22" t="str">
        <f>+IF(Tabla2[[#This Row],[Variación Stock]]&gt;0,"Sobrante",IF(Tabla2[[#This Row],[Variación Stock]]&lt;0,"Faltante","Sin novedad"))</f>
        <v>Faltante</v>
      </c>
    </row>
    <row r="3078" spans="1:14" hidden="1" x14ac:dyDescent="0.25">
      <c r="A3078" s="11">
        <v>46053</v>
      </c>
      <c r="B3078" s="5" t="s">
        <v>394</v>
      </c>
      <c r="C3078" s="3" t="s">
        <v>337</v>
      </c>
      <c r="D3078" s="5" t="s">
        <v>120</v>
      </c>
      <c r="E3078" s="5" t="s">
        <v>117</v>
      </c>
      <c r="F3078" s="6" t="s">
        <v>740</v>
      </c>
      <c r="G3078" s="4" t="s">
        <v>1</v>
      </c>
      <c r="H3078" s="25">
        <v>0.48846031000000001</v>
      </c>
      <c r="I3078" s="8">
        <v>0</v>
      </c>
      <c r="J3078" s="9">
        <v>0</v>
      </c>
      <c r="K3078" s="7">
        <v>0</v>
      </c>
      <c r="L3078" s="24">
        <f>+Tabla2[[#This Row],[Stock Inventario]]*Tabla2[[#This Row],[Coste LÃ­nea]]</f>
        <v>0</v>
      </c>
      <c r="M3078" s="24">
        <f>+Tabla2[[#This Row],[Variación Stock]]*Tabla2[[#This Row],[Coste LÃ­nea]]</f>
        <v>0</v>
      </c>
      <c r="N3078" s="22" t="str">
        <f>+IF(Tabla2[[#This Row],[Variación Stock]]&gt;0,"Sobrante",IF(Tabla2[[#This Row],[Variación Stock]]&lt;0,"Faltante","Sin novedad"))</f>
        <v>Sin novedad</v>
      </c>
    </row>
    <row r="3079" spans="1:14" x14ac:dyDescent="0.25">
      <c r="A3079" s="11">
        <v>46053</v>
      </c>
      <c r="B3079" s="5" t="s">
        <v>394</v>
      </c>
      <c r="C3079" s="3" t="s">
        <v>337</v>
      </c>
      <c r="D3079" s="5" t="s">
        <v>121</v>
      </c>
      <c r="E3079" s="5" t="s">
        <v>112</v>
      </c>
      <c r="F3079" s="6" t="s">
        <v>794</v>
      </c>
      <c r="G3079" s="4" t="s">
        <v>1</v>
      </c>
      <c r="H3079" s="25">
        <v>103.4045</v>
      </c>
      <c r="I3079" s="8">
        <v>0</v>
      </c>
      <c r="J3079" s="9">
        <v>0</v>
      </c>
      <c r="K3079" s="7">
        <v>0</v>
      </c>
      <c r="L3079" s="24">
        <f>+Tabla2[[#This Row],[Stock Inventario]]*Tabla2[[#This Row],[Coste LÃ­nea]]</f>
        <v>0</v>
      </c>
      <c r="M3079" s="24">
        <f>+Tabla2[[#This Row],[Variación Stock]]*Tabla2[[#This Row],[Coste LÃ­nea]]</f>
        <v>0</v>
      </c>
      <c r="N3079" s="22" t="str">
        <f>+IF(Tabla2[[#This Row],[Variación Stock]]&gt;0,"Sobrante",IF(Tabla2[[#This Row],[Variación Stock]]&lt;0,"Faltante","Sin novedad"))</f>
        <v>Sin novedad</v>
      </c>
    </row>
    <row r="3080" spans="1:14" x14ac:dyDescent="0.25">
      <c r="A3080" s="11">
        <v>46053</v>
      </c>
      <c r="B3080" s="5" t="s">
        <v>394</v>
      </c>
      <c r="C3080" s="3" t="s">
        <v>337</v>
      </c>
      <c r="D3080" s="5" t="s">
        <v>121</v>
      </c>
      <c r="E3080" s="5" t="s">
        <v>112</v>
      </c>
      <c r="F3080" s="6" t="s">
        <v>795</v>
      </c>
      <c r="G3080" s="4" t="s">
        <v>1</v>
      </c>
      <c r="H3080" s="25">
        <v>64.225250000000003</v>
      </c>
      <c r="I3080" s="8">
        <v>18</v>
      </c>
      <c r="J3080" s="9">
        <v>300</v>
      </c>
      <c r="K3080" s="7">
        <v>282</v>
      </c>
      <c r="L3080" s="24">
        <f>+Tabla2[[#This Row],[Stock Inventario]]*Tabla2[[#This Row],[Coste LÃ­nea]]</f>
        <v>19267.575000000001</v>
      </c>
      <c r="M3080" s="24">
        <f>+Tabla2[[#This Row],[Variación Stock]]*Tabla2[[#This Row],[Coste LÃ­nea]]</f>
        <v>18111.520500000002</v>
      </c>
      <c r="N3080" s="22" t="str">
        <f>+IF(Tabla2[[#This Row],[Variación Stock]]&gt;0,"Sobrante",IF(Tabla2[[#This Row],[Variación Stock]]&lt;0,"Faltante","Sin novedad"))</f>
        <v>Sobrante</v>
      </c>
    </row>
    <row r="3081" spans="1:14" x14ac:dyDescent="0.25">
      <c r="A3081" s="11">
        <v>46053</v>
      </c>
      <c r="B3081" s="5" t="s">
        <v>394</v>
      </c>
      <c r="C3081" s="3" t="s">
        <v>337</v>
      </c>
      <c r="D3081" s="5" t="s">
        <v>121</v>
      </c>
      <c r="E3081" s="5" t="s">
        <v>112</v>
      </c>
      <c r="F3081" s="6" t="s">
        <v>796</v>
      </c>
      <c r="G3081" s="4" t="s">
        <v>1</v>
      </c>
      <c r="H3081" s="25">
        <v>97.15130164</v>
      </c>
      <c r="I3081" s="8">
        <v>175</v>
      </c>
      <c r="J3081" s="9">
        <v>0</v>
      </c>
      <c r="K3081" s="7">
        <v>-175</v>
      </c>
      <c r="L3081" s="24">
        <f>+Tabla2[[#This Row],[Stock Inventario]]*Tabla2[[#This Row],[Coste LÃ­nea]]</f>
        <v>0</v>
      </c>
      <c r="M3081" s="24">
        <f>+Tabla2[[#This Row],[Variación Stock]]*Tabla2[[#This Row],[Coste LÃ­nea]]</f>
        <v>-17001.477787</v>
      </c>
      <c r="N3081" s="22" t="str">
        <f>+IF(Tabla2[[#This Row],[Variación Stock]]&gt;0,"Sobrante",IF(Tabla2[[#This Row],[Variación Stock]]&lt;0,"Faltante","Sin novedad"))</f>
        <v>Faltante</v>
      </c>
    </row>
    <row r="3082" spans="1:14" hidden="1" x14ac:dyDescent="0.25">
      <c r="A3082" s="11">
        <v>46053</v>
      </c>
      <c r="B3082" s="5" t="s">
        <v>394</v>
      </c>
      <c r="C3082" s="3" t="s">
        <v>337</v>
      </c>
      <c r="D3082" s="5" t="s">
        <v>120</v>
      </c>
      <c r="E3082" s="5" t="s">
        <v>117</v>
      </c>
      <c r="F3082" s="6" t="s">
        <v>741</v>
      </c>
      <c r="G3082" s="4" t="s">
        <v>1</v>
      </c>
      <c r="H3082" s="25">
        <v>17.5872606</v>
      </c>
      <c r="I3082" s="8">
        <v>2888</v>
      </c>
      <c r="J3082" s="9">
        <v>474</v>
      </c>
      <c r="K3082" s="7">
        <v>-2414</v>
      </c>
      <c r="L3082" s="24">
        <f>+Tabla2[[#This Row],[Stock Inventario]]*Tabla2[[#This Row],[Coste LÃ­nea]]</f>
        <v>8336.3615243999993</v>
      </c>
      <c r="M3082" s="24">
        <f>+Tabla2[[#This Row],[Variación Stock]]*Tabla2[[#This Row],[Coste LÃ­nea]]</f>
        <v>-42455.647088400001</v>
      </c>
      <c r="N3082" s="22" t="str">
        <f>+IF(Tabla2[[#This Row],[Variación Stock]]&gt;0,"Sobrante",IF(Tabla2[[#This Row],[Variación Stock]]&lt;0,"Faltante","Sin novedad"))</f>
        <v>Faltante</v>
      </c>
    </row>
    <row r="3083" spans="1:14" hidden="1" x14ac:dyDescent="0.25">
      <c r="A3083" s="11">
        <v>46053</v>
      </c>
      <c r="B3083" s="5" t="s">
        <v>394</v>
      </c>
      <c r="C3083" s="3" t="s">
        <v>337</v>
      </c>
      <c r="D3083" s="5" t="s">
        <v>120</v>
      </c>
      <c r="E3083" s="5" t="s">
        <v>117</v>
      </c>
      <c r="F3083" s="6" t="s">
        <v>742</v>
      </c>
      <c r="G3083" s="4" t="s">
        <v>1</v>
      </c>
      <c r="H3083" s="25">
        <v>9.22912979</v>
      </c>
      <c r="I3083" s="8">
        <v>0</v>
      </c>
      <c r="J3083" s="9">
        <v>0</v>
      </c>
      <c r="K3083" s="7">
        <v>0</v>
      </c>
      <c r="L3083" s="24">
        <f>+Tabla2[[#This Row],[Stock Inventario]]*Tabla2[[#This Row],[Coste LÃ­nea]]</f>
        <v>0</v>
      </c>
      <c r="M3083" s="24">
        <f>+Tabla2[[#This Row],[Variación Stock]]*Tabla2[[#This Row],[Coste LÃ­nea]]</f>
        <v>0</v>
      </c>
      <c r="N3083" s="22" t="str">
        <f>+IF(Tabla2[[#This Row],[Variación Stock]]&gt;0,"Sobrante",IF(Tabla2[[#This Row],[Variación Stock]]&lt;0,"Faltante","Sin novedad"))</f>
        <v>Sin novedad</v>
      </c>
    </row>
    <row r="3084" spans="1:14" hidden="1" x14ac:dyDescent="0.25">
      <c r="A3084" s="11">
        <v>46053</v>
      </c>
      <c r="B3084" s="5" t="s">
        <v>394</v>
      </c>
      <c r="C3084" s="3" t="s">
        <v>337</v>
      </c>
      <c r="D3084" s="5" t="s">
        <v>120</v>
      </c>
      <c r="E3084" s="5" t="s">
        <v>117</v>
      </c>
      <c r="F3084" s="6" t="s">
        <v>268</v>
      </c>
      <c r="G3084" s="4" t="s">
        <v>1</v>
      </c>
      <c r="H3084" s="25">
        <v>10.515454200000001</v>
      </c>
      <c r="I3084" s="8">
        <v>0</v>
      </c>
      <c r="J3084" s="9">
        <v>0</v>
      </c>
      <c r="K3084" s="7">
        <v>0</v>
      </c>
      <c r="L3084" s="24">
        <f>+Tabla2[[#This Row],[Stock Inventario]]*Tabla2[[#This Row],[Coste LÃ­nea]]</f>
        <v>0</v>
      </c>
      <c r="M3084" s="24">
        <f>+Tabla2[[#This Row],[Variación Stock]]*Tabla2[[#This Row],[Coste LÃ­nea]]</f>
        <v>0</v>
      </c>
      <c r="N3084" s="22" t="str">
        <f>+IF(Tabla2[[#This Row],[Variación Stock]]&gt;0,"Sobrante",IF(Tabla2[[#This Row],[Variación Stock]]&lt;0,"Faltante","Sin novedad"))</f>
        <v>Sin novedad</v>
      </c>
    </row>
    <row r="3085" spans="1:14" hidden="1" x14ac:dyDescent="0.25">
      <c r="A3085" s="11">
        <v>46053</v>
      </c>
      <c r="B3085" s="5" t="s">
        <v>394</v>
      </c>
      <c r="C3085" s="3" t="s">
        <v>337</v>
      </c>
      <c r="D3085" s="5" t="s">
        <v>120</v>
      </c>
      <c r="E3085" s="5" t="s">
        <v>117</v>
      </c>
      <c r="F3085" s="6" t="s">
        <v>743</v>
      </c>
      <c r="G3085" s="4" t="s">
        <v>1</v>
      </c>
      <c r="H3085" s="25">
        <v>21.345157799999999</v>
      </c>
      <c r="I3085" s="8">
        <v>-210</v>
      </c>
      <c r="J3085" s="9">
        <v>0</v>
      </c>
      <c r="K3085" s="7">
        <v>210</v>
      </c>
      <c r="L3085" s="24">
        <f>+Tabla2[[#This Row],[Stock Inventario]]*Tabla2[[#This Row],[Coste LÃ­nea]]</f>
        <v>0</v>
      </c>
      <c r="M3085" s="24">
        <f>+Tabla2[[#This Row],[Variación Stock]]*Tabla2[[#This Row],[Coste LÃ­nea]]</f>
        <v>4482.4831379999996</v>
      </c>
      <c r="N3085" s="22" t="str">
        <f>+IF(Tabla2[[#This Row],[Variación Stock]]&gt;0,"Sobrante",IF(Tabla2[[#This Row],[Variación Stock]]&lt;0,"Faltante","Sin novedad"))</f>
        <v>Sobrante</v>
      </c>
    </row>
    <row r="3086" spans="1:14" hidden="1" x14ac:dyDescent="0.25">
      <c r="A3086" s="11">
        <v>46053</v>
      </c>
      <c r="B3086" s="5" t="s">
        <v>394</v>
      </c>
      <c r="C3086" s="3" t="s">
        <v>337</v>
      </c>
      <c r="D3086" s="5" t="s">
        <v>120</v>
      </c>
      <c r="E3086" s="5" t="s">
        <v>117</v>
      </c>
      <c r="F3086" s="6" t="s">
        <v>744</v>
      </c>
      <c r="G3086" s="4" t="s">
        <v>1</v>
      </c>
      <c r="H3086" s="25">
        <v>4.6939230800000002</v>
      </c>
      <c r="I3086" s="8">
        <v>-6666</v>
      </c>
      <c r="J3086" s="9">
        <v>2700</v>
      </c>
      <c r="K3086" s="7">
        <v>9366</v>
      </c>
      <c r="L3086" s="24">
        <f>+Tabla2[[#This Row],[Stock Inventario]]*Tabla2[[#This Row],[Coste LÃ­nea]]</f>
        <v>12673.592316</v>
      </c>
      <c r="M3086" s="24">
        <f>+Tabla2[[#This Row],[Variación Stock]]*Tabla2[[#This Row],[Coste LÃ­nea]]</f>
        <v>43963.283567279999</v>
      </c>
      <c r="N3086" s="22" t="str">
        <f>+IF(Tabla2[[#This Row],[Variación Stock]]&gt;0,"Sobrante",IF(Tabla2[[#This Row],[Variación Stock]]&lt;0,"Faltante","Sin novedad"))</f>
        <v>Sobrante</v>
      </c>
    </row>
    <row r="3087" spans="1:14" hidden="1" x14ac:dyDescent="0.25">
      <c r="A3087" s="11">
        <v>46053</v>
      </c>
      <c r="B3087" s="5" t="s">
        <v>394</v>
      </c>
      <c r="C3087" s="3" t="s">
        <v>337</v>
      </c>
      <c r="D3087" s="5" t="s">
        <v>120</v>
      </c>
      <c r="E3087" s="5" t="s">
        <v>117</v>
      </c>
      <c r="F3087" s="6" t="s">
        <v>745</v>
      </c>
      <c r="G3087" s="4" t="s">
        <v>1</v>
      </c>
      <c r="H3087" s="25">
        <v>18.82540569</v>
      </c>
      <c r="I3087" s="8">
        <v>-1600</v>
      </c>
      <c r="J3087" s="9">
        <v>700</v>
      </c>
      <c r="K3087" s="7">
        <v>2300</v>
      </c>
      <c r="L3087" s="24">
        <f>+Tabla2[[#This Row],[Stock Inventario]]*Tabla2[[#This Row],[Coste LÃ­nea]]</f>
        <v>13177.783982999999</v>
      </c>
      <c r="M3087" s="24">
        <f>+Tabla2[[#This Row],[Variación Stock]]*Tabla2[[#This Row],[Coste LÃ­nea]]</f>
        <v>43298.433086999998</v>
      </c>
      <c r="N3087" s="22" t="str">
        <f>+IF(Tabla2[[#This Row],[Variación Stock]]&gt;0,"Sobrante",IF(Tabla2[[#This Row],[Variación Stock]]&lt;0,"Faltante","Sin novedad"))</f>
        <v>Sobrante</v>
      </c>
    </row>
    <row r="3088" spans="1:14" hidden="1" x14ac:dyDescent="0.25">
      <c r="A3088" s="11">
        <v>46053</v>
      </c>
      <c r="B3088" s="5" t="s">
        <v>394</v>
      </c>
      <c r="C3088" s="3" t="s">
        <v>337</v>
      </c>
      <c r="D3088" s="5" t="s">
        <v>120</v>
      </c>
      <c r="E3088" s="5" t="s">
        <v>117</v>
      </c>
      <c r="F3088" s="6" t="s">
        <v>746</v>
      </c>
      <c r="G3088" s="4" t="s">
        <v>1</v>
      </c>
      <c r="H3088" s="25">
        <v>18.24759727</v>
      </c>
      <c r="I3088" s="8">
        <v>-2961</v>
      </c>
      <c r="J3088" s="9">
        <v>522</v>
      </c>
      <c r="K3088" s="7">
        <v>3483</v>
      </c>
      <c r="L3088" s="24">
        <f>+Tabla2[[#This Row],[Stock Inventario]]*Tabla2[[#This Row],[Coste LÃ­nea]]</f>
        <v>9525.24577494</v>
      </c>
      <c r="M3088" s="24">
        <f>+Tabla2[[#This Row],[Variación Stock]]*Tabla2[[#This Row],[Coste LÃ­nea]]</f>
        <v>63556.381291409998</v>
      </c>
      <c r="N3088" s="22" t="str">
        <f>+IF(Tabla2[[#This Row],[Variación Stock]]&gt;0,"Sobrante",IF(Tabla2[[#This Row],[Variación Stock]]&lt;0,"Faltante","Sin novedad"))</f>
        <v>Sobrante</v>
      </c>
    </row>
    <row r="3089" spans="1:14" hidden="1" x14ac:dyDescent="0.25">
      <c r="A3089" s="11">
        <v>46053</v>
      </c>
      <c r="B3089" s="5" t="s">
        <v>394</v>
      </c>
      <c r="C3089" s="3" t="s">
        <v>337</v>
      </c>
      <c r="D3089" s="5" t="s">
        <v>120</v>
      </c>
      <c r="E3089" s="5" t="s">
        <v>117</v>
      </c>
      <c r="F3089" s="6" t="s">
        <v>747</v>
      </c>
      <c r="G3089" s="4" t="s">
        <v>1</v>
      </c>
      <c r="H3089" s="25">
        <v>34.307072980000001</v>
      </c>
      <c r="I3089" s="8">
        <v>314</v>
      </c>
      <c r="J3089" s="9">
        <v>0</v>
      </c>
      <c r="K3089" s="7">
        <v>-314</v>
      </c>
      <c r="L3089" s="24">
        <f>+Tabla2[[#This Row],[Stock Inventario]]*Tabla2[[#This Row],[Coste LÃ­nea]]</f>
        <v>0</v>
      </c>
      <c r="M3089" s="24">
        <f>+Tabla2[[#This Row],[Variación Stock]]*Tabla2[[#This Row],[Coste LÃ­nea]]</f>
        <v>-10772.42091572</v>
      </c>
      <c r="N3089" s="22" t="str">
        <f>+IF(Tabla2[[#This Row],[Variación Stock]]&gt;0,"Sobrante",IF(Tabla2[[#This Row],[Variación Stock]]&lt;0,"Faltante","Sin novedad"))</f>
        <v>Faltante</v>
      </c>
    </row>
    <row r="3090" spans="1:14" hidden="1" x14ac:dyDescent="0.25">
      <c r="A3090" s="11">
        <v>46053</v>
      </c>
      <c r="B3090" s="5" t="s">
        <v>394</v>
      </c>
      <c r="C3090" s="3" t="s">
        <v>337</v>
      </c>
      <c r="D3090" s="5" t="s">
        <v>120</v>
      </c>
      <c r="E3090" s="5" t="s">
        <v>117</v>
      </c>
      <c r="F3090" s="6" t="s">
        <v>748</v>
      </c>
      <c r="G3090" s="4" t="s">
        <v>1</v>
      </c>
      <c r="H3090" s="25">
        <v>19.89036192</v>
      </c>
      <c r="I3090" s="8">
        <v>0</v>
      </c>
      <c r="J3090" s="9">
        <v>0</v>
      </c>
      <c r="K3090" s="7">
        <v>0</v>
      </c>
      <c r="L3090" s="24">
        <f>+Tabla2[[#This Row],[Stock Inventario]]*Tabla2[[#This Row],[Coste LÃ­nea]]</f>
        <v>0</v>
      </c>
      <c r="M3090" s="24">
        <f>+Tabla2[[#This Row],[Variación Stock]]*Tabla2[[#This Row],[Coste LÃ­nea]]</f>
        <v>0</v>
      </c>
      <c r="N3090" s="22" t="str">
        <f>+IF(Tabla2[[#This Row],[Variación Stock]]&gt;0,"Sobrante",IF(Tabla2[[#This Row],[Variación Stock]]&lt;0,"Faltante","Sin novedad"))</f>
        <v>Sin novedad</v>
      </c>
    </row>
    <row r="3091" spans="1:14" hidden="1" x14ac:dyDescent="0.25">
      <c r="A3091" s="11">
        <v>46053</v>
      </c>
      <c r="B3091" s="5" t="s">
        <v>394</v>
      </c>
      <c r="C3091" s="3" t="s">
        <v>337</v>
      </c>
      <c r="D3091" s="5" t="s">
        <v>120</v>
      </c>
      <c r="E3091" s="5" t="s">
        <v>117</v>
      </c>
      <c r="F3091" s="6" t="s">
        <v>749</v>
      </c>
      <c r="G3091" s="4" t="s">
        <v>1</v>
      </c>
      <c r="H3091" s="25">
        <v>23.56623544</v>
      </c>
      <c r="I3091" s="8">
        <v>202</v>
      </c>
      <c r="J3091" s="9">
        <v>490</v>
      </c>
      <c r="K3091" s="7">
        <v>288</v>
      </c>
      <c r="L3091" s="24">
        <f>+Tabla2[[#This Row],[Stock Inventario]]*Tabla2[[#This Row],[Coste LÃ­nea]]</f>
        <v>11547.455365600001</v>
      </c>
      <c r="M3091" s="24">
        <f>+Tabla2[[#This Row],[Variación Stock]]*Tabla2[[#This Row],[Coste LÃ­nea]]</f>
        <v>6787.0758067200004</v>
      </c>
      <c r="N3091" s="22" t="str">
        <f>+IF(Tabla2[[#This Row],[Variación Stock]]&gt;0,"Sobrante",IF(Tabla2[[#This Row],[Variación Stock]]&lt;0,"Faltante","Sin novedad"))</f>
        <v>Sobrante</v>
      </c>
    </row>
    <row r="3092" spans="1:14" hidden="1" x14ac:dyDescent="0.25">
      <c r="A3092" s="11">
        <v>46053</v>
      </c>
      <c r="B3092" s="5" t="s">
        <v>394</v>
      </c>
      <c r="C3092" s="3" t="s">
        <v>337</v>
      </c>
      <c r="D3092" s="5" t="s">
        <v>120</v>
      </c>
      <c r="E3092" s="5" t="s">
        <v>117</v>
      </c>
      <c r="F3092" s="6" t="s">
        <v>750</v>
      </c>
      <c r="G3092" s="4" t="s">
        <v>1</v>
      </c>
      <c r="H3092" s="25">
        <v>28.326653239999999</v>
      </c>
      <c r="I3092" s="8">
        <v>5918</v>
      </c>
      <c r="J3092" s="9">
        <v>618</v>
      </c>
      <c r="K3092" s="7">
        <v>-5300</v>
      </c>
      <c r="L3092" s="24">
        <f>+Tabla2[[#This Row],[Stock Inventario]]*Tabla2[[#This Row],[Coste LÃ­nea]]</f>
        <v>17505.871702320001</v>
      </c>
      <c r="M3092" s="24">
        <f>+Tabla2[[#This Row],[Variación Stock]]*Tabla2[[#This Row],[Coste LÃ­nea]]</f>
        <v>-150131.26217199999</v>
      </c>
      <c r="N3092" s="22" t="str">
        <f>+IF(Tabla2[[#This Row],[Variación Stock]]&gt;0,"Sobrante",IF(Tabla2[[#This Row],[Variación Stock]]&lt;0,"Faltante","Sin novedad"))</f>
        <v>Faltante</v>
      </c>
    </row>
    <row r="3093" spans="1:14" hidden="1" x14ac:dyDescent="0.25">
      <c r="A3093" s="11">
        <v>46053</v>
      </c>
      <c r="B3093" s="5" t="s">
        <v>394</v>
      </c>
      <c r="C3093" s="3" t="s">
        <v>337</v>
      </c>
      <c r="D3093" s="5" t="s">
        <v>120</v>
      </c>
      <c r="E3093" s="5" t="s">
        <v>117</v>
      </c>
      <c r="F3093" s="6" t="s">
        <v>751</v>
      </c>
      <c r="G3093" s="4" t="s">
        <v>1</v>
      </c>
      <c r="H3093" s="25">
        <v>25.46326681</v>
      </c>
      <c r="I3093" s="8">
        <v>-88</v>
      </c>
      <c r="J3093" s="9">
        <v>670</v>
      </c>
      <c r="K3093" s="7">
        <v>758</v>
      </c>
      <c r="L3093" s="24">
        <f>+Tabla2[[#This Row],[Stock Inventario]]*Tabla2[[#This Row],[Coste LÃ­nea]]</f>
        <v>17060.3887627</v>
      </c>
      <c r="M3093" s="24">
        <f>+Tabla2[[#This Row],[Variación Stock]]*Tabla2[[#This Row],[Coste LÃ­nea]]</f>
        <v>19301.156241979999</v>
      </c>
      <c r="N3093" s="22" t="str">
        <f>+IF(Tabla2[[#This Row],[Variación Stock]]&gt;0,"Sobrante",IF(Tabla2[[#This Row],[Variación Stock]]&lt;0,"Faltante","Sin novedad"))</f>
        <v>Sobrante</v>
      </c>
    </row>
    <row r="3094" spans="1:14" hidden="1" x14ac:dyDescent="0.25">
      <c r="A3094" s="11">
        <v>46053</v>
      </c>
      <c r="B3094" s="5" t="s">
        <v>394</v>
      </c>
      <c r="C3094" s="3" t="s">
        <v>337</v>
      </c>
      <c r="D3094" s="5" t="s">
        <v>120</v>
      </c>
      <c r="E3094" s="5" t="s">
        <v>117</v>
      </c>
      <c r="F3094" s="6" t="s">
        <v>752</v>
      </c>
      <c r="G3094" s="4" t="s">
        <v>1</v>
      </c>
      <c r="H3094" s="25">
        <v>9.8114576299999996</v>
      </c>
      <c r="I3094" s="8">
        <v>0</v>
      </c>
      <c r="J3094" s="9">
        <v>0</v>
      </c>
      <c r="K3094" s="7">
        <v>0</v>
      </c>
      <c r="L3094" s="24">
        <f>+Tabla2[[#This Row],[Stock Inventario]]*Tabla2[[#This Row],[Coste LÃ­nea]]</f>
        <v>0</v>
      </c>
      <c r="M3094" s="24">
        <f>+Tabla2[[#This Row],[Variación Stock]]*Tabla2[[#This Row],[Coste LÃ­nea]]</f>
        <v>0</v>
      </c>
      <c r="N3094" s="22" t="str">
        <f>+IF(Tabla2[[#This Row],[Variación Stock]]&gt;0,"Sobrante",IF(Tabla2[[#This Row],[Variación Stock]]&lt;0,"Faltante","Sin novedad"))</f>
        <v>Sin novedad</v>
      </c>
    </row>
    <row r="3095" spans="1:14" hidden="1" x14ac:dyDescent="0.25">
      <c r="A3095" s="11">
        <v>46053</v>
      </c>
      <c r="B3095" s="5" t="s">
        <v>394</v>
      </c>
      <c r="C3095" s="3" t="s">
        <v>337</v>
      </c>
      <c r="D3095" s="5" t="s">
        <v>120</v>
      </c>
      <c r="E3095" s="5" t="s">
        <v>117</v>
      </c>
      <c r="F3095" s="6" t="s">
        <v>753</v>
      </c>
      <c r="G3095" s="4" t="s">
        <v>1</v>
      </c>
      <c r="H3095" s="25">
        <v>12.2948936</v>
      </c>
      <c r="I3095" s="8">
        <v>-1540</v>
      </c>
      <c r="J3095" s="9">
        <v>0</v>
      </c>
      <c r="K3095" s="7">
        <v>1540</v>
      </c>
      <c r="L3095" s="24">
        <f>+Tabla2[[#This Row],[Stock Inventario]]*Tabla2[[#This Row],[Coste LÃ­nea]]</f>
        <v>0</v>
      </c>
      <c r="M3095" s="24">
        <f>+Tabla2[[#This Row],[Variación Stock]]*Tabla2[[#This Row],[Coste LÃ­nea]]</f>
        <v>18934.136144</v>
      </c>
      <c r="N3095" s="22" t="str">
        <f>+IF(Tabla2[[#This Row],[Variación Stock]]&gt;0,"Sobrante",IF(Tabla2[[#This Row],[Variación Stock]]&lt;0,"Faltante","Sin novedad"))</f>
        <v>Sobrante</v>
      </c>
    </row>
    <row r="3096" spans="1:14" hidden="1" x14ac:dyDescent="0.25">
      <c r="A3096" s="11">
        <v>46053</v>
      </c>
      <c r="B3096" s="5" t="s">
        <v>394</v>
      </c>
      <c r="C3096" s="3" t="s">
        <v>337</v>
      </c>
      <c r="D3096" s="5" t="s">
        <v>120</v>
      </c>
      <c r="E3096" s="5" t="s">
        <v>117</v>
      </c>
      <c r="F3096" s="6" t="s">
        <v>754</v>
      </c>
      <c r="G3096" s="4" t="s">
        <v>1</v>
      </c>
      <c r="H3096" s="25">
        <v>8.1954436299999998</v>
      </c>
      <c r="I3096" s="8">
        <v>0</v>
      </c>
      <c r="J3096" s="9">
        <v>0</v>
      </c>
      <c r="K3096" s="7">
        <v>0</v>
      </c>
      <c r="L3096" s="24">
        <f>+Tabla2[[#This Row],[Stock Inventario]]*Tabla2[[#This Row],[Coste LÃ­nea]]</f>
        <v>0</v>
      </c>
      <c r="M3096" s="24">
        <f>+Tabla2[[#This Row],[Variación Stock]]*Tabla2[[#This Row],[Coste LÃ­nea]]</f>
        <v>0</v>
      </c>
      <c r="N3096" s="22" t="str">
        <f>+IF(Tabla2[[#This Row],[Variación Stock]]&gt;0,"Sobrante",IF(Tabla2[[#This Row],[Variación Stock]]&lt;0,"Faltante","Sin novedad"))</f>
        <v>Sin novedad</v>
      </c>
    </row>
    <row r="3097" spans="1:14" hidden="1" x14ac:dyDescent="0.25">
      <c r="A3097" s="11">
        <v>46053</v>
      </c>
      <c r="B3097" s="5" t="s">
        <v>394</v>
      </c>
      <c r="C3097" s="3" t="s">
        <v>337</v>
      </c>
      <c r="D3097" s="5" t="s">
        <v>120</v>
      </c>
      <c r="E3097" s="5" t="s">
        <v>117</v>
      </c>
      <c r="F3097" s="6" t="s">
        <v>755</v>
      </c>
      <c r="G3097" s="4" t="s">
        <v>1</v>
      </c>
      <c r="H3097" s="25">
        <v>120.63729954</v>
      </c>
      <c r="I3097" s="8">
        <v>980</v>
      </c>
      <c r="J3097" s="9">
        <v>1274</v>
      </c>
      <c r="K3097" s="7">
        <v>294</v>
      </c>
      <c r="L3097" s="24">
        <f>+Tabla2[[#This Row],[Stock Inventario]]*Tabla2[[#This Row],[Coste LÃ­nea]]</f>
        <v>153691.91961396</v>
      </c>
      <c r="M3097" s="24">
        <f>+Tabla2[[#This Row],[Variación Stock]]*Tabla2[[#This Row],[Coste LÃ­nea]]</f>
        <v>35467.366064759997</v>
      </c>
      <c r="N3097" s="22" t="str">
        <f>+IF(Tabla2[[#This Row],[Variación Stock]]&gt;0,"Sobrante",IF(Tabla2[[#This Row],[Variación Stock]]&lt;0,"Faltante","Sin novedad"))</f>
        <v>Sobrante</v>
      </c>
    </row>
    <row r="3098" spans="1:14" x14ac:dyDescent="0.25">
      <c r="A3098" s="11">
        <v>46053</v>
      </c>
      <c r="B3098" s="5" t="s">
        <v>394</v>
      </c>
      <c r="C3098" s="3" t="s">
        <v>337</v>
      </c>
      <c r="D3098" s="5" t="s">
        <v>121</v>
      </c>
      <c r="E3098" s="5" t="s">
        <v>112</v>
      </c>
      <c r="F3098" s="6" t="s">
        <v>797</v>
      </c>
      <c r="G3098" s="4" t="s">
        <v>1</v>
      </c>
      <c r="H3098" s="25">
        <v>10.224150870000001</v>
      </c>
      <c r="I3098" s="8">
        <v>0</v>
      </c>
      <c r="J3098" s="9">
        <v>0</v>
      </c>
      <c r="K3098" s="7">
        <v>0</v>
      </c>
      <c r="L3098" s="24">
        <f>+Tabla2[[#This Row],[Stock Inventario]]*Tabla2[[#This Row],[Coste LÃ­nea]]</f>
        <v>0</v>
      </c>
      <c r="M3098" s="24">
        <f>+Tabla2[[#This Row],[Variación Stock]]*Tabla2[[#This Row],[Coste LÃ­nea]]</f>
        <v>0</v>
      </c>
      <c r="N3098" s="22" t="str">
        <f>+IF(Tabla2[[#This Row],[Variación Stock]]&gt;0,"Sobrante",IF(Tabla2[[#This Row],[Variación Stock]]&lt;0,"Faltante","Sin novedad"))</f>
        <v>Sin novedad</v>
      </c>
    </row>
    <row r="3099" spans="1:14" hidden="1" x14ac:dyDescent="0.25">
      <c r="A3099" s="11">
        <v>46053</v>
      </c>
      <c r="B3099" s="5" t="s">
        <v>394</v>
      </c>
      <c r="C3099" s="3" t="s">
        <v>337</v>
      </c>
      <c r="D3099" s="5" t="s">
        <v>120</v>
      </c>
      <c r="E3099" s="5" t="s">
        <v>117</v>
      </c>
      <c r="F3099" s="6" t="s">
        <v>756</v>
      </c>
      <c r="G3099" s="4" t="s">
        <v>2</v>
      </c>
      <c r="H3099" s="25">
        <v>2361.1109812499999</v>
      </c>
      <c r="I3099" s="8">
        <v>-8</v>
      </c>
      <c r="J3099" s="9">
        <v>7</v>
      </c>
      <c r="K3099" s="7">
        <v>15</v>
      </c>
      <c r="L3099" s="24">
        <f>+Tabla2[[#This Row],[Stock Inventario]]*Tabla2[[#This Row],[Coste LÃ­nea]]</f>
        <v>16527.776868749999</v>
      </c>
      <c r="M3099" s="24">
        <f>+Tabla2[[#This Row],[Variación Stock]]*Tabla2[[#This Row],[Coste LÃ­nea]]</f>
        <v>35416.664718749998</v>
      </c>
      <c r="N3099" s="22" t="str">
        <f>+IF(Tabla2[[#This Row],[Variación Stock]]&gt;0,"Sobrante",IF(Tabla2[[#This Row],[Variación Stock]]&lt;0,"Faltante","Sin novedad"))</f>
        <v>Sobrante</v>
      </c>
    </row>
    <row r="3100" spans="1:14" hidden="1" x14ac:dyDescent="0.25">
      <c r="A3100" s="11">
        <v>46053</v>
      </c>
      <c r="B3100" s="5" t="s">
        <v>394</v>
      </c>
      <c r="C3100" s="3" t="s">
        <v>337</v>
      </c>
      <c r="D3100" s="5" t="s">
        <v>323</v>
      </c>
      <c r="E3100" s="5" t="s">
        <v>117</v>
      </c>
      <c r="F3100" s="6" t="s">
        <v>330</v>
      </c>
      <c r="G3100" s="4" t="s">
        <v>2</v>
      </c>
      <c r="H3100" s="25">
        <v>1794.7556159000001</v>
      </c>
      <c r="I3100" s="8">
        <v>47</v>
      </c>
      <c r="J3100" s="9">
        <v>47</v>
      </c>
      <c r="K3100" s="7">
        <v>0</v>
      </c>
      <c r="L3100" s="24">
        <f>+Tabla2[[#This Row],[Stock Inventario]]*Tabla2[[#This Row],[Coste LÃ­nea]]</f>
        <v>84353.513947300002</v>
      </c>
      <c r="M3100" s="24">
        <f>+Tabla2[[#This Row],[Variación Stock]]*Tabla2[[#This Row],[Coste LÃ­nea]]</f>
        <v>0</v>
      </c>
      <c r="N3100" s="22" t="str">
        <f>+IF(Tabla2[[#This Row],[Variación Stock]]&gt;0,"Sobrante",IF(Tabla2[[#This Row],[Variación Stock]]&lt;0,"Faltante","Sin novedad"))</f>
        <v>Sin novedad</v>
      </c>
    </row>
    <row r="3101" spans="1:14" hidden="1" x14ac:dyDescent="0.25">
      <c r="A3101" s="11">
        <v>46053</v>
      </c>
      <c r="B3101" s="5" t="s">
        <v>394</v>
      </c>
      <c r="C3101" s="3" t="s">
        <v>337</v>
      </c>
      <c r="D3101" s="5" t="s">
        <v>120</v>
      </c>
      <c r="E3101" s="5" t="s">
        <v>117</v>
      </c>
      <c r="F3101" s="6" t="s">
        <v>322</v>
      </c>
      <c r="G3101" s="4" t="s">
        <v>2</v>
      </c>
      <c r="H3101" s="25">
        <v>2624.3985064200001</v>
      </c>
      <c r="I3101" s="8">
        <v>41</v>
      </c>
      <c r="J3101" s="9">
        <v>13</v>
      </c>
      <c r="K3101" s="7">
        <v>-28</v>
      </c>
      <c r="L3101" s="24">
        <f>+Tabla2[[#This Row],[Stock Inventario]]*Tabla2[[#This Row],[Coste LÃ­nea]]</f>
        <v>34117.180583460002</v>
      </c>
      <c r="M3101" s="24">
        <f>+Tabla2[[#This Row],[Variación Stock]]*Tabla2[[#This Row],[Coste LÃ­nea]]</f>
        <v>-73483.158179760008</v>
      </c>
      <c r="N3101" s="22" t="str">
        <f>+IF(Tabla2[[#This Row],[Variación Stock]]&gt;0,"Sobrante",IF(Tabla2[[#This Row],[Variación Stock]]&lt;0,"Faltante","Sin novedad"))</f>
        <v>Faltante</v>
      </c>
    </row>
    <row r="3102" spans="1:14" hidden="1" x14ac:dyDescent="0.25">
      <c r="A3102" s="11">
        <v>46053</v>
      </c>
      <c r="B3102" s="5" t="s">
        <v>394</v>
      </c>
      <c r="C3102" s="3" t="s">
        <v>337</v>
      </c>
      <c r="D3102" s="5" t="s">
        <v>120</v>
      </c>
      <c r="E3102" s="5" t="s">
        <v>117</v>
      </c>
      <c r="F3102" s="6" t="s">
        <v>757</v>
      </c>
      <c r="G3102" s="4" t="s">
        <v>1</v>
      </c>
      <c r="H3102" s="25">
        <v>18.653928700000002</v>
      </c>
      <c r="I3102" s="8">
        <v>3080</v>
      </c>
      <c r="J3102" s="9">
        <v>1624</v>
      </c>
      <c r="K3102" s="7">
        <v>-1456</v>
      </c>
      <c r="L3102" s="24">
        <f>+Tabla2[[#This Row],[Stock Inventario]]*Tabla2[[#This Row],[Coste LÃ­nea]]</f>
        <v>30293.980208800003</v>
      </c>
      <c r="M3102" s="24">
        <f>+Tabla2[[#This Row],[Variación Stock]]*Tabla2[[#This Row],[Coste LÃ­nea]]</f>
        <v>-27160.120187200002</v>
      </c>
      <c r="N3102" s="22" t="str">
        <f>+IF(Tabla2[[#This Row],[Variación Stock]]&gt;0,"Sobrante",IF(Tabla2[[#This Row],[Variación Stock]]&lt;0,"Faltante","Sin novedad"))</f>
        <v>Faltante</v>
      </c>
    </row>
    <row r="3103" spans="1:14" x14ac:dyDescent="0.25">
      <c r="A3103" s="11">
        <v>46053</v>
      </c>
      <c r="B3103" s="5" t="s">
        <v>394</v>
      </c>
      <c r="C3103" s="3" t="s">
        <v>337</v>
      </c>
      <c r="D3103" s="5" t="s">
        <v>121</v>
      </c>
      <c r="E3103" s="5" t="s">
        <v>112</v>
      </c>
      <c r="F3103" s="6" t="s">
        <v>798</v>
      </c>
      <c r="G3103" s="4" t="s">
        <v>1</v>
      </c>
      <c r="H3103" s="25">
        <v>29.620005989999999</v>
      </c>
      <c r="I3103" s="8">
        <v>344</v>
      </c>
      <c r="J3103" s="9">
        <v>826</v>
      </c>
      <c r="K3103" s="7">
        <v>482</v>
      </c>
      <c r="L3103" s="24">
        <f>+Tabla2[[#This Row],[Stock Inventario]]*Tabla2[[#This Row],[Coste LÃ­nea]]</f>
        <v>24466.124947739998</v>
      </c>
      <c r="M3103" s="24">
        <f>+Tabla2[[#This Row],[Variación Stock]]*Tabla2[[#This Row],[Coste LÃ­nea]]</f>
        <v>14276.842887179999</v>
      </c>
      <c r="N3103" s="22" t="str">
        <f>+IF(Tabla2[[#This Row],[Variación Stock]]&gt;0,"Sobrante",IF(Tabla2[[#This Row],[Variación Stock]]&lt;0,"Faltante","Sin novedad"))</f>
        <v>Sobrante</v>
      </c>
    </row>
    <row r="3104" spans="1:14" x14ac:dyDescent="0.25">
      <c r="A3104" s="11">
        <v>46053</v>
      </c>
      <c r="B3104" s="5" t="s">
        <v>394</v>
      </c>
      <c r="C3104" s="3" t="s">
        <v>337</v>
      </c>
      <c r="D3104" s="5" t="s">
        <v>121</v>
      </c>
      <c r="E3104" s="5" t="s">
        <v>112</v>
      </c>
      <c r="F3104" s="6" t="s">
        <v>799</v>
      </c>
      <c r="G3104" s="4" t="s">
        <v>1</v>
      </c>
      <c r="H3104" s="25">
        <v>46.119862300000001</v>
      </c>
      <c r="I3104" s="8">
        <v>-166</v>
      </c>
      <c r="J3104" s="9">
        <v>0</v>
      </c>
      <c r="K3104" s="7">
        <v>166</v>
      </c>
      <c r="L3104" s="24">
        <f>+Tabla2[[#This Row],[Stock Inventario]]*Tabla2[[#This Row],[Coste LÃ­nea]]</f>
        <v>0</v>
      </c>
      <c r="M3104" s="24">
        <f>+Tabla2[[#This Row],[Variación Stock]]*Tabla2[[#This Row],[Coste LÃ­nea]]</f>
        <v>7655.8971418000001</v>
      </c>
      <c r="N3104" s="22" t="str">
        <f>+IF(Tabla2[[#This Row],[Variación Stock]]&gt;0,"Sobrante",IF(Tabla2[[#This Row],[Variación Stock]]&lt;0,"Faltante","Sin novedad"))</f>
        <v>Sobrante</v>
      </c>
    </row>
    <row r="3105" spans="1:14" x14ac:dyDescent="0.25">
      <c r="A3105" s="11">
        <v>46053</v>
      </c>
      <c r="B3105" s="5" t="s">
        <v>394</v>
      </c>
      <c r="C3105" s="3" t="s">
        <v>337</v>
      </c>
      <c r="D3105" s="5" t="s">
        <v>121</v>
      </c>
      <c r="E3105" s="5" t="s">
        <v>112</v>
      </c>
      <c r="F3105" s="6" t="s">
        <v>800</v>
      </c>
      <c r="G3105" s="4" t="s">
        <v>1</v>
      </c>
      <c r="H3105" s="25">
        <v>46.119862300000001</v>
      </c>
      <c r="I3105" s="8">
        <v>826</v>
      </c>
      <c r="J3105" s="9">
        <v>0</v>
      </c>
      <c r="K3105" s="7">
        <v>-826</v>
      </c>
      <c r="L3105" s="24">
        <f>+Tabla2[[#This Row],[Stock Inventario]]*Tabla2[[#This Row],[Coste LÃ­nea]]</f>
        <v>0</v>
      </c>
      <c r="M3105" s="24">
        <f>+Tabla2[[#This Row],[Variación Stock]]*Tabla2[[#This Row],[Coste LÃ­nea]]</f>
        <v>-38095.0062598</v>
      </c>
      <c r="N3105" s="22" t="str">
        <f>+IF(Tabla2[[#This Row],[Variación Stock]]&gt;0,"Sobrante",IF(Tabla2[[#This Row],[Variación Stock]]&lt;0,"Faltante","Sin novedad"))</f>
        <v>Faltante</v>
      </c>
    </row>
    <row r="3106" spans="1:14" hidden="1" x14ac:dyDescent="0.25">
      <c r="A3106" s="11">
        <v>46053</v>
      </c>
      <c r="B3106" s="5" t="s">
        <v>394</v>
      </c>
      <c r="C3106" s="3" t="s">
        <v>337</v>
      </c>
      <c r="D3106" s="5" t="s">
        <v>120</v>
      </c>
      <c r="E3106" s="5" t="s">
        <v>117</v>
      </c>
      <c r="F3106" s="6" t="s">
        <v>758</v>
      </c>
      <c r="G3106" s="4" t="s">
        <v>2</v>
      </c>
      <c r="H3106" s="25">
        <v>9148.2894567000003</v>
      </c>
      <c r="I3106" s="8">
        <v>-8</v>
      </c>
      <c r="J3106" s="9">
        <v>0</v>
      </c>
      <c r="K3106" s="7">
        <v>8</v>
      </c>
      <c r="L3106" s="24">
        <f>+Tabla2[[#This Row],[Stock Inventario]]*Tabla2[[#This Row],[Coste LÃ­nea]]</f>
        <v>0</v>
      </c>
      <c r="M3106" s="24">
        <f>+Tabla2[[#This Row],[Variación Stock]]*Tabla2[[#This Row],[Coste LÃ­nea]]</f>
        <v>73186.315653600002</v>
      </c>
      <c r="N3106" s="22" t="str">
        <f>+IF(Tabla2[[#This Row],[Variación Stock]]&gt;0,"Sobrante",IF(Tabla2[[#This Row],[Variación Stock]]&lt;0,"Faltante","Sin novedad"))</f>
        <v>Sobrante</v>
      </c>
    </row>
    <row r="3107" spans="1:14" hidden="1" x14ac:dyDescent="0.25">
      <c r="A3107" s="11">
        <v>46053</v>
      </c>
      <c r="B3107" s="5" t="s">
        <v>394</v>
      </c>
      <c r="C3107" s="3" t="s">
        <v>337</v>
      </c>
      <c r="D3107" s="5" t="s">
        <v>120</v>
      </c>
      <c r="E3107" s="5" t="s">
        <v>117</v>
      </c>
      <c r="F3107" s="6" t="s">
        <v>759</v>
      </c>
      <c r="G3107" s="4" t="s">
        <v>1</v>
      </c>
      <c r="H3107" s="25">
        <v>27.49856028</v>
      </c>
      <c r="I3107" s="8">
        <v>-1020</v>
      </c>
      <c r="J3107" s="9">
        <v>388</v>
      </c>
      <c r="K3107" s="7">
        <v>1408</v>
      </c>
      <c r="L3107" s="24">
        <f>+Tabla2[[#This Row],[Stock Inventario]]*Tabla2[[#This Row],[Coste LÃ­nea]]</f>
        <v>10669.44138864</v>
      </c>
      <c r="M3107" s="24">
        <f>+Tabla2[[#This Row],[Variación Stock]]*Tabla2[[#This Row],[Coste LÃ­nea]]</f>
        <v>38717.972874239997</v>
      </c>
      <c r="N3107" s="22" t="str">
        <f>+IF(Tabla2[[#This Row],[Variación Stock]]&gt;0,"Sobrante",IF(Tabla2[[#This Row],[Variación Stock]]&lt;0,"Faltante","Sin novedad"))</f>
        <v>Sobrante</v>
      </c>
    </row>
    <row r="3108" spans="1:14" hidden="1" x14ac:dyDescent="0.25">
      <c r="A3108" s="11">
        <v>46053</v>
      </c>
      <c r="B3108" s="5" t="s">
        <v>394</v>
      </c>
      <c r="C3108" s="3" t="s">
        <v>337</v>
      </c>
      <c r="D3108" s="5" t="s">
        <v>120</v>
      </c>
      <c r="E3108" s="5" t="s">
        <v>117</v>
      </c>
      <c r="F3108" s="6" t="s">
        <v>760</v>
      </c>
      <c r="G3108" s="4" t="s">
        <v>1</v>
      </c>
      <c r="H3108" s="25">
        <v>6.6714090099999996</v>
      </c>
      <c r="I3108" s="8">
        <v>-40</v>
      </c>
      <c r="J3108" s="9">
        <v>0</v>
      </c>
      <c r="K3108" s="7">
        <v>40</v>
      </c>
      <c r="L3108" s="24">
        <f>+Tabla2[[#This Row],[Stock Inventario]]*Tabla2[[#This Row],[Coste LÃ­nea]]</f>
        <v>0</v>
      </c>
      <c r="M3108" s="24">
        <f>+Tabla2[[#This Row],[Variación Stock]]*Tabla2[[#This Row],[Coste LÃ­nea]]</f>
        <v>266.85636039999997</v>
      </c>
      <c r="N3108" s="22" t="str">
        <f>+IF(Tabla2[[#This Row],[Variación Stock]]&gt;0,"Sobrante",IF(Tabla2[[#This Row],[Variación Stock]]&lt;0,"Faltante","Sin novedad"))</f>
        <v>Sobrante</v>
      </c>
    </row>
    <row r="3109" spans="1:14" hidden="1" x14ac:dyDescent="0.25">
      <c r="A3109" s="11">
        <v>46053</v>
      </c>
      <c r="B3109" s="5" t="s">
        <v>394</v>
      </c>
      <c r="C3109" s="3" t="s">
        <v>337</v>
      </c>
      <c r="D3109" s="5" t="s">
        <v>120</v>
      </c>
      <c r="E3109" s="5" t="s">
        <v>117</v>
      </c>
      <c r="F3109" s="6" t="s">
        <v>761</v>
      </c>
      <c r="G3109" s="4" t="s">
        <v>1</v>
      </c>
      <c r="H3109" s="25">
        <v>32.101201889999999</v>
      </c>
      <c r="I3109" s="8">
        <v>2040</v>
      </c>
      <c r="J3109" s="9">
        <v>684</v>
      </c>
      <c r="K3109" s="7">
        <v>-1356</v>
      </c>
      <c r="L3109" s="24">
        <f>+Tabla2[[#This Row],[Stock Inventario]]*Tabla2[[#This Row],[Coste LÃ­nea]]</f>
        <v>21957.222092759999</v>
      </c>
      <c r="M3109" s="24">
        <f>+Tabla2[[#This Row],[Variación Stock]]*Tabla2[[#This Row],[Coste LÃ­nea]]</f>
        <v>-43529.229762839997</v>
      </c>
      <c r="N3109" s="22" t="str">
        <f>+IF(Tabla2[[#This Row],[Variación Stock]]&gt;0,"Sobrante",IF(Tabla2[[#This Row],[Variación Stock]]&lt;0,"Faltante","Sin novedad"))</f>
        <v>Faltante</v>
      </c>
    </row>
    <row r="3110" spans="1:14" x14ac:dyDescent="0.25">
      <c r="A3110" s="11">
        <v>46053</v>
      </c>
      <c r="B3110" s="5" t="s">
        <v>394</v>
      </c>
      <c r="C3110" s="3" t="s">
        <v>337</v>
      </c>
      <c r="D3110" s="5" t="s">
        <v>121</v>
      </c>
      <c r="E3110" s="5" t="s">
        <v>112</v>
      </c>
      <c r="F3110" s="6" t="s">
        <v>354</v>
      </c>
      <c r="G3110" s="4" t="s">
        <v>1</v>
      </c>
      <c r="H3110" s="25">
        <v>66.666666669999998</v>
      </c>
      <c r="I3110" s="8">
        <v>912</v>
      </c>
      <c r="J3110" s="9">
        <v>506</v>
      </c>
      <c r="K3110" s="7">
        <v>-406</v>
      </c>
      <c r="L3110" s="24">
        <f>+Tabla2[[#This Row],[Stock Inventario]]*Tabla2[[#This Row],[Coste LÃ­nea]]</f>
        <v>33733.333335019997</v>
      </c>
      <c r="M3110" s="24">
        <f>+Tabla2[[#This Row],[Variación Stock]]*Tabla2[[#This Row],[Coste LÃ­nea]]</f>
        <v>-27066.66666802</v>
      </c>
      <c r="N3110" s="22" t="str">
        <f>+IF(Tabla2[[#This Row],[Variación Stock]]&gt;0,"Sobrante",IF(Tabla2[[#This Row],[Variación Stock]]&lt;0,"Faltante","Sin novedad"))</f>
        <v>Faltante</v>
      </c>
    </row>
    <row r="3111" spans="1:14" hidden="1" x14ac:dyDescent="0.25">
      <c r="A3111" s="11">
        <v>46053</v>
      </c>
      <c r="B3111" s="5" t="s">
        <v>394</v>
      </c>
      <c r="C3111" s="3" t="s">
        <v>337</v>
      </c>
      <c r="D3111" s="5" t="s">
        <v>120</v>
      </c>
      <c r="E3111" s="5" t="s">
        <v>117</v>
      </c>
      <c r="F3111" s="6" t="s">
        <v>320</v>
      </c>
      <c r="G3111" s="4" t="s">
        <v>2</v>
      </c>
      <c r="H3111" s="25">
        <v>6476.7767878900004</v>
      </c>
      <c r="I3111" s="8">
        <v>7</v>
      </c>
      <c r="J3111" s="9">
        <v>7</v>
      </c>
      <c r="K3111" s="7">
        <v>0</v>
      </c>
      <c r="L3111" s="24">
        <f>+Tabla2[[#This Row],[Stock Inventario]]*Tabla2[[#This Row],[Coste LÃ­nea]]</f>
        <v>45337.437515230005</v>
      </c>
      <c r="M3111" s="24">
        <f>+Tabla2[[#This Row],[Variación Stock]]*Tabla2[[#This Row],[Coste LÃ­nea]]</f>
        <v>0</v>
      </c>
      <c r="N3111" s="22" t="str">
        <f>+IF(Tabla2[[#This Row],[Variación Stock]]&gt;0,"Sobrante",IF(Tabla2[[#This Row],[Variación Stock]]&lt;0,"Faltante","Sin novedad"))</f>
        <v>Sin novedad</v>
      </c>
    </row>
    <row r="3112" spans="1:14" hidden="1" x14ac:dyDescent="0.25">
      <c r="A3112" s="11">
        <v>46053</v>
      </c>
      <c r="B3112" s="5" t="s">
        <v>394</v>
      </c>
      <c r="C3112" s="3" t="s">
        <v>337</v>
      </c>
      <c r="D3112" s="5" t="s">
        <v>120</v>
      </c>
      <c r="E3112" s="5" t="s">
        <v>117</v>
      </c>
      <c r="F3112" s="6" t="s">
        <v>762</v>
      </c>
      <c r="G3112" s="4" t="s">
        <v>1</v>
      </c>
      <c r="H3112" s="25">
        <v>35.738049760000003</v>
      </c>
      <c r="I3112" s="8">
        <v>-6820</v>
      </c>
      <c r="J3112" s="9">
        <v>320</v>
      </c>
      <c r="K3112" s="7">
        <v>7140</v>
      </c>
      <c r="L3112" s="24">
        <f>+Tabla2[[#This Row],[Stock Inventario]]*Tabla2[[#This Row],[Coste LÃ­nea]]</f>
        <v>11436.1759232</v>
      </c>
      <c r="M3112" s="24">
        <f>+Tabla2[[#This Row],[Variación Stock]]*Tabla2[[#This Row],[Coste LÃ­nea]]</f>
        <v>255169.67528640002</v>
      </c>
      <c r="N3112" s="22" t="str">
        <f>+IF(Tabla2[[#This Row],[Variación Stock]]&gt;0,"Sobrante",IF(Tabla2[[#This Row],[Variación Stock]]&lt;0,"Faltante","Sin novedad"))</f>
        <v>Sobrante</v>
      </c>
    </row>
    <row r="3113" spans="1:14" hidden="1" x14ac:dyDescent="0.25">
      <c r="A3113" s="11">
        <v>46053</v>
      </c>
      <c r="B3113" s="5" t="s">
        <v>394</v>
      </c>
      <c r="C3113" s="3" t="s">
        <v>337</v>
      </c>
      <c r="D3113" s="5" t="s">
        <v>120</v>
      </c>
      <c r="E3113" s="5" t="s">
        <v>117</v>
      </c>
      <c r="F3113" s="6" t="s">
        <v>96</v>
      </c>
      <c r="G3113" s="4" t="s">
        <v>2</v>
      </c>
      <c r="H3113" s="25">
        <v>4161.4534161499996</v>
      </c>
      <c r="I3113" s="8">
        <v>39</v>
      </c>
      <c r="J3113" s="9">
        <v>40</v>
      </c>
      <c r="K3113" s="7">
        <v>1</v>
      </c>
      <c r="L3113" s="24">
        <f>+Tabla2[[#This Row],[Stock Inventario]]*Tabla2[[#This Row],[Coste LÃ­nea]]</f>
        <v>166458.13664599997</v>
      </c>
      <c r="M3113" s="24">
        <f>+Tabla2[[#This Row],[Variación Stock]]*Tabla2[[#This Row],[Coste LÃ­nea]]</f>
        <v>4161.4534161499996</v>
      </c>
      <c r="N3113" s="22" t="str">
        <f>+IF(Tabla2[[#This Row],[Variación Stock]]&gt;0,"Sobrante",IF(Tabla2[[#This Row],[Variación Stock]]&lt;0,"Faltante","Sin novedad"))</f>
        <v>Sobrante</v>
      </c>
    </row>
    <row r="3114" spans="1:14" hidden="1" x14ac:dyDescent="0.25">
      <c r="A3114" s="11">
        <v>46053</v>
      </c>
      <c r="B3114" s="5" t="s">
        <v>394</v>
      </c>
      <c r="C3114" s="3" t="s">
        <v>337</v>
      </c>
      <c r="D3114" s="5" t="s">
        <v>323</v>
      </c>
      <c r="E3114" s="5" t="s">
        <v>117</v>
      </c>
      <c r="F3114" s="6" t="s">
        <v>779</v>
      </c>
      <c r="G3114" s="4" t="s">
        <v>1</v>
      </c>
      <c r="H3114" s="25">
        <v>1</v>
      </c>
      <c r="I3114" s="8">
        <v>-964.54539999999997</v>
      </c>
      <c r="J3114" s="9">
        <v>4200</v>
      </c>
      <c r="K3114" s="7">
        <v>5164.5454479999999</v>
      </c>
      <c r="L3114" s="24">
        <f>+Tabla2[[#This Row],[Stock Inventario]]*Tabla2[[#This Row],[Coste LÃ­nea]]</f>
        <v>4200</v>
      </c>
      <c r="M3114" s="24">
        <f>+Tabla2[[#This Row],[Variación Stock]]*Tabla2[[#This Row],[Coste LÃ­nea]]</f>
        <v>5164.5454479999999</v>
      </c>
      <c r="N3114" s="22" t="str">
        <f>+IF(Tabla2[[#This Row],[Variación Stock]]&gt;0,"Sobrante",IF(Tabla2[[#This Row],[Variación Stock]]&lt;0,"Faltante","Sin novedad"))</f>
        <v>Sobrante</v>
      </c>
    </row>
    <row r="3115" spans="1:14" hidden="1" x14ac:dyDescent="0.25">
      <c r="A3115" s="11">
        <v>46053</v>
      </c>
      <c r="B3115" s="5" t="s">
        <v>394</v>
      </c>
      <c r="C3115" s="3" t="s">
        <v>337</v>
      </c>
      <c r="D3115" s="5" t="s">
        <v>120</v>
      </c>
      <c r="E3115" s="5" t="s">
        <v>117</v>
      </c>
      <c r="F3115" s="6" t="s">
        <v>763</v>
      </c>
      <c r="G3115" s="4" t="s">
        <v>1</v>
      </c>
      <c r="H3115" s="25">
        <v>23.716363470000001</v>
      </c>
      <c r="I3115" s="8">
        <v>1180</v>
      </c>
      <c r="J3115" s="9">
        <v>0</v>
      </c>
      <c r="K3115" s="7">
        <v>-1180</v>
      </c>
      <c r="L3115" s="24">
        <f>+Tabla2[[#This Row],[Stock Inventario]]*Tabla2[[#This Row],[Coste LÃ­nea]]</f>
        <v>0</v>
      </c>
      <c r="M3115" s="24">
        <f>+Tabla2[[#This Row],[Variación Stock]]*Tabla2[[#This Row],[Coste LÃ­nea]]</f>
        <v>-27985.308894600003</v>
      </c>
      <c r="N3115" s="22" t="str">
        <f>+IF(Tabla2[[#This Row],[Variación Stock]]&gt;0,"Sobrante",IF(Tabla2[[#This Row],[Variación Stock]]&lt;0,"Faltante","Sin novedad"))</f>
        <v>Faltante</v>
      </c>
    </row>
    <row r="3116" spans="1:14" hidden="1" x14ac:dyDescent="0.25">
      <c r="A3116" s="11">
        <v>46053</v>
      </c>
      <c r="B3116" s="5" t="s">
        <v>394</v>
      </c>
      <c r="C3116" s="3" t="s">
        <v>337</v>
      </c>
      <c r="D3116" s="5" t="s">
        <v>120</v>
      </c>
      <c r="E3116" s="5" t="s">
        <v>117</v>
      </c>
      <c r="F3116" s="6" t="s">
        <v>764</v>
      </c>
      <c r="G3116" s="4" t="s">
        <v>1</v>
      </c>
      <c r="H3116" s="25">
        <v>34.65981884</v>
      </c>
      <c r="I3116" s="8">
        <v>196</v>
      </c>
      <c r="J3116" s="9">
        <v>650</v>
      </c>
      <c r="K3116" s="7">
        <v>454</v>
      </c>
      <c r="L3116" s="24">
        <f>+Tabla2[[#This Row],[Stock Inventario]]*Tabla2[[#This Row],[Coste LÃ­nea]]</f>
        <v>22528.882246000001</v>
      </c>
      <c r="M3116" s="24">
        <f>+Tabla2[[#This Row],[Variación Stock]]*Tabla2[[#This Row],[Coste LÃ­nea]]</f>
        <v>15735.557753360001</v>
      </c>
      <c r="N3116" s="22" t="str">
        <f>+IF(Tabla2[[#This Row],[Variación Stock]]&gt;0,"Sobrante",IF(Tabla2[[#This Row],[Variación Stock]]&lt;0,"Faltante","Sin novedad"))</f>
        <v>Sobrante</v>
      </c>
    </row>
    <row r="3117" spans="1:14" hidden="1" x14ac:dyDescent="0.25">
      <c r="A3117" s="11">
        <v>46053</v>
      </c>
      <c r="B3117" s="5" t="s">
        <v>394</v>
      </c>
      <c r="C3117" s="3" t="s">
        <v>337</v>
      </c>
      <c r="D3117" s="5" t="s">
        <v>323</v>
      </c>
      <c r="E3117" s="5" t="s">
        <v>117</v>
      </c>
      <c r="F3117" s="6" t="s">
        <v>782</v>
      </c>
      <c r="G3117" s="4" t="s">
        <v>2</v>
      </c>
      <c r="H3117" s="25">
        <v>637.92764901999999</v>
      </c>
      <c r="I3117" s="8">
        <v>0</v>
      </c>
      <c r="J3117" s="9">
        <v>0</v>
      </c>
      <c r="K3117" s="7">
        <v>0</v>
      </c>
      <c r="L3117" s="24">
        <f>+Tabla2[[#This Row],[Stock Inventario]]*Tabla2[[#This Row],[Coste LÃ­nea]]</f>
        <v>0</v>
      </c>
      <c r="M3117" s="24">
        <f>+Tabla2[[#This Row],[Variación Stock]]*Tabla2[[#This Row],[Coste LÃ­nea]]</f>
        <v>0</v>
      </c>
      <c r="N3117" s="22" t="str">
        <f>+IF(Tabla2[[#This Row],[Variación Stock]]&gt;0,"Sobrante",IF(Tabla2[[#This Row],[Variación Stock]]&lt;0,"Faltante","Sin novedad"))</f>
        <v>Sin novedad</v>
      </c>
    </row>
    <row r="3118" spans="1:14" hidden="1" x14ac:dyDescent="0.25">
      <c r="A3118" s="11">
        <v>46053</v>
      </c>
      <c r="B3118" s="5" t="s">
        <v>394</v>
      </c>
      <c r="C3118" s="3" t="s">
        <v>337</v>
      </c>
      <c r="D3118" s="5" t="s">
        <v>120</v>
      </c>
      <c r="E3118" s="5" t="s">
        <v>117</v>
      </c>
      <c r="F3118" s="6" t="s">
        <v>765</v>
      </c>
      <c r="G3118" s="4" t="s">
        <v>2</v>
      </c>
      <c r="H3118" s="25">
        <v>435.94936706999999</v>
      </c>
      <c r="I3118" s="8">
        <v>1245</v>
      </c>
      <c r="J3118" s="9">
        <v>53</v>
      </c>
      <c r="K3118" s="7">
        <v>-1192</v>
      </c>
      <c r="L3118" s="24">
        <f>+Tabla2[[#This Row],[Stock Inventario]]*Tabla2[[#This Row],[Coste LÃ­nea]]</f>
        <v>23105.316454709999</v>
      </c>
      <c r="M3118" s="24">
        <f>+Tabla2[[#This Row],[Variación Stock]]*Tabla2[[#This Row],[Coste LÃ­nea]]</f>
        <v>-519651.64554743998</v>
      </c>
      <c r="N3118" s="22" t="str">
        <f>+IF(Tabla2[[#This Row],[Variación Stock]]&gt;0,"Sobrante",IF(Tabla2[[#This Row],[Variación Stock]]&lt;0,"Faltante","Sin novedad"))</f>
        <v>Faltante</v>
      </c>
    </row>
    <row r="3119" spans="1:14" x14ac:dyDescent="0.25">
      <c r="A3119" s="11">
        <v>46053</v>
      </c>
      <c r="B3119" s="5" t="s">
        <v>394</v>
      </c>
      <c r="C3119" s="3" t="s">
        <v>337</v>
      </c>
      <c r="D3119" s="5" t="s">
        <v>121</v>
      </c>
      <c r="E3119" s="5" t="s">
        <v>112</v>
      </c>
      <c r="F3119" s="6" t="s">
        <v>801</v>
      </c>
      <c r="G3119" s="4" t="s">
        <v>1</v>
      </c>
      <c r="H3119" s="25">
        <v>16.463414660000002</v>
      </c>
      <c r="I3119" s="8">
        <v>21369</v>
      </c>
      <c r="J3119" s="9">
        <v>0</v>
      </c>
      <c r="K3119" s="7">
        <v>-21369</v>
      </c>
      <c r="L3119" s="24">
        <f>+Tabla2[[#This Row],[Stock Inventario]]*Tabla2[[#This Row],[Coste LÃ­nea]]</f>
        <v>0</v>
      </c>
      <c r="M3119" s="24">
        <f>+Tabla2[[#This Row],[Variación Stock]]*Tabla2[[#This Row],[Coste LÃ­nea]]</f>
        <v>-351806.70786954003</v>
      </c>
      <c r="N3119" s="22" t="str">
        <f>+IF(Tabla2[[#This Row],[Variación Stock]]&gt;0,"Sobrante",IF(Tabla2[[#This Row],[Variación Stock]]&lt;0,"Faltante","Sin novedad"))</f>
        <v>Faltante</v>
      </c>
    </row>
    <row r="3120" spans="1:14" x14ac:dyDescent="0.25">
      <c r="A3120" s="11">
        <v>46053</v>
      </c>
      <c r="B3120" s="5" t="s">
        <v>394</v>
      </c>
      <c r="C3120" s="3" t="s">
        <v>337</v>
      </c>
      <c r="D3120" s="5" t="s">
        <v>603</v>
      </c>
      <c r="E3120" s="5" t="s">
        <v>112</v>
      </c>
      <c r="F3120" s="6" t="s">
        <v>615</v>
      </c>
      <c r="G3120" s="4" t="s">
        <v>0</v>
      </c>
      <c r="H3120" s="25">
        <v>1738.90909091</v>
      </c>
      <c r="I3120" s="8">
        <v>48</v>
      </c>
      <c r="J3120" s="9">
        <v>60</v>
      </c>
      <c r="K3120" s="7">
        <v>12</v>
      </c>
      <c r="L3120" s="24">
        <f>+Tabla2[[#This Row],[Stock Inventario]]*Tabla2[[#This Row],[Coste LÃ­nea]]</f>
        <v>104334.5454546</v>
      </c>
      <c r="M3120" s="24">
        <f>+Tabla2[[#This Row],[Variación Stock]]*Tabla2[[#This Row],[Coste LÃ­nea]]</f>
        <v>20866.909090920002</v>
      </c>
      <c r="N3120" s="22" t="str">
        <f>+IF(Tabla2[[#This Row],[Variación Stock]]&gt;0,"Sobrante",IF(Tabla2[[#This Row],[Variación Stock]]&lt;0,"Faltante","Sin novedad"))</f>
        <v>Sobrante</v>
      </c>
    </row>
    <row r="3121" spans="1:14" hidden="1" x14ac:dyDescent="0.25">
      <c r="A3121" s="11">
        <v>46053</v>
      </c>
      <c r="B3121" s="5" t="s">
        <v>394</v>
      </c>
      <c r="C3121" s="3" t="s">
        <v>337</v>
      </c>
      <c r="D3121" s="5" t="s">
        <v>396</v>
      </c>
      <c r="E3121" s="5" t="s">
        <v>117</v>
      </c>
      <c r="F3121" s="6" t="s">
        <v>454</v>
      </c>
      <c r="G3121" s="4" t="s">
        <v>0</v>
      </c>
      <c r="H3121" s="25">
        <v>1594</v>
      </c>
      <c r="I3121" s="8">
        <v>13338.67</v>
      </c>
      <c r="J3121" s="9">
        <v>0</v>
      </c>
      <c r="K3121" s="7">
        <v>-13338.67</v>
      </c>
      <c r="L3121" s="24">
        <f>+Tabla2[[#This Row],[Stock Inventario]]*Tabla2[[#This Row],[Coste LÃ­nea]]</f>
        <v>0</v>
      </c>
      <c r="M3121" s="24">
        <f>+Tabla2[[#This Row],[Variación Stock]]*Tabla2[[#This Row],[Coste LÃ­nea]]</f>
        <v>-21261839.98</v>
      </c>
      <c r="N3121" s="22" t="str">
        <f>+IF(Tabla2[[#This Row],[Variación Stock]]&gt;0,"Sobrante",IF(Tabla2[[#This Row],[Variación Stock]]&lt;0,"Faltante","Sin novedad"))</f>
        <v>Faltante</v>
      </c>
    </row>
    <row r="3122" spans="1:14" hidden="1" x14ac:dyDescent="0.25">
      <c r="A3122" s="11">
        <v>46053</v>
      </c>
      <c r="B3122" s="5" t="s">
        <v>394</v>
      </c>
      <c r="C3122" s="3" t="s">
        <v>337</v>
      </c>
      <c r="D3122" s="5" t="s">
        <v>626</v>
      </c>
      <c r="E3122" s="5" t="s">
        <v>1079</v>
      </c>
      <c r="F3122" s="6" t="s">
        <v>663</v>
      </c>
      <c r="G3122" s="4" t="s">
        <v>1</v>
      </c>
      <c r="H3122" s="25">
        <v>11.7532</v>
      </c>
      <c r="I3122" s="8">
        <v>0</v>
      </c>
      <c r="J3122" s="9">
        <v>0</v>
      </c>
      <c r="K3122" s="7">
        <v>0</v>
      </c>
      <c r="L3122" s="24">
        <f>+Tabla2[[#This Row],[Stock Inventario]]*Tabla2[[#This Row],[Coste LÃ­nea]]</f>
        <v>0</v>
      </c>
      <c r="M3122" s="24">
        <f>+Tabla2[[#This Row],[Variación Stock]]*Tabla2[[#This Row],[Coste LÃ­nea]]</f>
        <v>0</v>
      </c>
      <c r="N3122" s="22" t="str">
        <f>+IF(Tabla2[[#This Row],[Variación Stock]]&gt;0,"Sobrante",IF(Tabla2[[#This Row],[Variación Stock]]&lt;0,"Faltante","Sin novedad"))</f>
        <v>Sin novedad</v>
      </c>
    </row>
    <row r="3123" spans="1:14" hidden="1" x14ac:dyDescent="0.25">
      <c r="A3123" s="11">
        <v>46053</v>
      </c>
      <c r="B3123" s="5" t="s">
        <v>394</v>
      </c>
      <c r="C3123" s="3" t="s">
        <v>337</v>
      </c>
      <c r="D3123" s="5" t="s">
        <v>626</v>
      </c>
      <c r="E3123" s="5" t="s">
        <v>1079</v>
      </c>
      <c r="F3123" s="6" t="s">
        <v>664</v>
      </c>
      <c r="G3123" s="4" t="s">
        <v>1</v>
      </c>
      <c r="H3123" s="25">
        <v>69.447999999999993</v>
      </c>
      <c r="I3123" s="8">
        <v>0</v>
      </c>
      <c r="J3123" s="9">
        <v>0</v>
      </c>
      <c r="K3123" s="7">
        <v>0</v>
      </c>
      <c r="L3123" s="24">
        <f>+Tabla2[[#This Row],[Stock Inventario]]*Tabla2[[#This Row],[Coste LÃ­nea]]</f>
        <v>0</v>
      </c>
      <c r="M3123" s="24">
        <f>+Tabla2[[#This Row],[Variación Stock]]*Tabla2[[#This Row],[Coste LÃ­nea]]</f>
        <v>0</v>
      </c>
      <c r="N3123" s="22" t="str">
        <f>+IF(Tabla2[[#This Row],[Variación Stock]]&gt;0,"Sobrante",IF(Tabla2[[#This Row],[Variación Stock]]&lt;0,"Faltante","Sin novedad"))</f>
        <v>Sin novedad</v>
      </c>
    </row>
    <row r="3124" spans="1:14" hidden="1" x14ac:dyDescent="0.25">
      <c r="A3124" s="11">
        <v>46053</v>
      </c>
      <c r="B3124" s="5" t="s">
        <v>394</v>
      </c>
      <c r="C3124" s="3" t="s">
        <v>337</v>
      </c>
      <c r="D3124" s="5" t="s">
        <v>626</v>
      </c>
      <c r="E3124" s="5" t="s">
        <v>1079</v>
      </c>
      <c r="F3124" s="6" t="s">
        <v>665</v>
      </c>
      <c r="G3124" s="4" t="s">
        <v>1</v>
      </c>
      <c r="H3124" s="25">
        <v>22.645399999999999</v>
      </c>
      <c r="I3124" s="8">
        <v>0</v>
      </c>
      <c r="J3124" s="9">
        <v>0</v>
      </c>
      <c r="K3124" s="7">
        <v>0</v>
      </c>
      <c r="L3124" s="24">
        <f>+Tabla2[[#This Row],[Stock Inventario]]*Tabla2[[#This Row],[Coste LÃ­nea]]</f>
        <v>0</v>
      </c>
      <c r="M3124" s="24">
        <f>+Tabla2[[#This Row],[Variación Stock]]*Tabla2[[#This Row],[Coste LÃ­nea]]</f>
        <v>0</v>
      </c>
      <c r="N3124" s="22" t="str">
        <f>+IF(Tabla2[[#This Row],[Variación Stock]]&gt;0,"Sobrante",IF(Tabla2[[#This Row],[Variación Stock]]&lt;0,"Faltante","Sin novedad"))</f>
        <v>Sin novedad</v>
      </c>
    </row>
    <row r="3125" spans="1:14" x14ac:dyDescent="0.25">
      <c r="A3125" s="11">
        <v>46053</v>
      </c>
      <c r="B3125" s="5" t="s">
        <v>394</v>
      </c>
      <c r="C3125" s="3" t="s">
        <v>337</v>
      </c>
      <c r="D3125" s="5" t="s">
        <v>111</v>
      </c>
      <c r="E3125" s="5" t="s">
        <v>112</v>
      </c>
      <c r="F3125" s="6" t="s">
        <v>31</v>
      </c>
      <c r="G3125" s="4" t="s">
        <v>0</v>
      </c>
      <c r="H3125" s="25">
        <v>6774.5454545499997</v>
      </c>
      <c r="I3125" s="8">
        <v>44.34</v>
      </c>
      <c r="J3125" s="9">
        <v>46</v>
      </c>
      <c r="K3125" s="7">
        <v>1.66</v>
      </c>
      <c r="L3125" s="24">
        <f>+Tabla2[[#This Row],[Stock Inventario]]*Tabla2[[#This Row],[Coste LÃ­nea]]</f>
        <v>311629.09090929996</v>
      </c>
      <c r="M3125" s="24">
        <f>+Tabla2[[#This Row],[Variación Stock]]*Tabla2[[#This Row],[Coste LÃ­nea]]</f>
        <v>11245.745454552998</v>
      </c>
      <c r="N3125" s="22" t="str">
        <f>+IF(Tabla2[[#This Row],[Variación Stock]]&gt;0,"Sobrante",IF(Tabla2[[#This Row],[Variación Stock]]&lt;0,"Faltante","Sin novedad"))</f>
        <v>Sobrante</v>
      </c>
    </row>
    <row r="3126" spans="1:14" hidden="1" x14ac:dyDescent="0.25">
      <c r="A3126" s="11">
        <v>46053</v>
      </c>
      <c r="B3126" s="5" t="s">
        <v>394</v>
      </c>
      <c r="C3126" s="3" t="s">
        <v>337</v>
      </c>
      <c r="D3126" s="5" t="s">
        <v>559</v>
      </c>
      <c r="E3126" s="5" t="s">
        <v>1080</v>
      </c>
      <c r="F3126" s="6" t="s">
        <v>598</v>
      </c>
      <c r="G3126" s="4" t="s">
        <v>2</v>
      </c>
      <c r="H3126" s="25">
        <v>62.83</v>
      </c>
      <c r="I3126" s="8">
        <v>98</v>
      </c>
      <c r="J3126" s="9">
        <v>35</v>
      </c>
      <c r="K3126" s="7">
        <v>-63</v>
      </c>
      <c r="L3126" s="24">
        <f>+Tabla2[[#This Row],[Stock Inventario]]*Tabla2[[#This Row],[Coste LÃ­nea]]</f>
        <v>2199.0499999999997</v>
      </c>
      <c r="M3126" s="24">
        <f>+Tabla2[[#This Row],[Variación Stock]]*Tabla2[[#This Row],[Coste LÃ­nea]]</f>
        <v>-3958.29</v>
      </c>
      <c r="N3126" s="22" t="str">
        <f>+IF(Tabla2[[#This Row],[Variación Stock]]&gt;0,"Sobrante",IF(Tabla2[[#This Row],[Variación Stock]]&lt;0,"Faltante","Sin novedad"))</f>
        <v>Faltante</v>
      </c>
    </row>
    <row r="3127" spans="1:14" hidden="1" x14ac:dyDescent="0.25">
      <c r="A3127" s="11">
        <v>46053</v>
      </c>
      <c r="B3127" s="5" t="s">
        <v>394</v>
      </c>
      <c r="C3127" s="3" t="s">
        <v>337</v>
      </c>
      <c r="D3127" s="5" t="s">
        <v>559</v>
      </c>
      <c r="E3127" s="5" t="s">
        <v>1080</v>
      </c>
      <c r="F3127" s="6" t="s">
        <v>599</v>
      </c>
      <c r="G3127" s="4" t="s">
        <v>2</v>
      </c>
      <c r="H3127" s="25">
        <v>76.944999999999993</v>
      </c>
      <c r="I3127" s="8">
        <v>0</v>
      </c>
      <c r="J3127" s="9">
        <v>30</v>
      </c>
      <c r="K3127" s="7">
        <v>30</v>
      </c>
      <c r="L3127" s="24">
        <f>+Tabla2[[#This Row],[Stock Inventario]]*Tabla2[[#This Row],[Coste LÃ­nea]]</f>
        <v>2308.35</v>
      </c>
      <c r="M3127" s="24">
        <f>+Tabla2[[#This Row],[Variación Stock]]*Tabla2[[#This Row],[Coste LÃ­nea]]</f>
        <v>2308.35</v>
      </c>
      <c r="N3127" s="22" t="str">
        <f>+IF(Tabla2[[#This Row],[Variación Stock]]&gt;0,"Sobrante",IF(Tabla2[[#This Row],[Variación Stock]]&lt;0,"Faltante","Sin novedad"))</f>
        <v>Sobrante</v>
      </c>
    </row>
    <row r="3128" spans="1:14" hidden="1" x14ac:dyDescent="0.25">
      <c r="A3128" s="11">
        <v>46053</v>
      </c>
      <c r="B3128" s="5" t="s">
        <v>394</v>
      </c>
      <c r="C3128" s="3" t="s">
        <v>337</v>
      </c>
      <c r="D3128" s="5" t="s">
        <v>559</v>
      </c>
      <c r="E3128" s="5" t="s">
        <v>1080</v>
      </c>
      <c r="F3128" s="6" t="s">
        <v>600</v>
      </c>
      <c r="G3128" s="4" t="s">
        <v>2</v>
      </c>
      <c r="H3128" s="25">
        <v>3748.5</v>
      </c>
      <c r="I3128" s="8">
        <v>0</v>
      </c>
      <c r="J3128" s="9">
        <v>0</v>
      </c>
      <c r="K3128" s="7">
        <v>0</v>
      </c>
      <c r="L3128" s="24">
        <f>+Tabla2[[#This Row],[Stock Inventario]]*Tabla2[[#This Row],[Coste LÃ­nea]]</f>
        <v>0</v>
      </c>
      <c r="M3128" s="24">
        <f>+Tabla2[[#This Row],[Variación Stock]]*Tabla2[[#This Row],[Coste LÃ­nea]]</f>
        <v>0</v>
      </c>
      <c r="N3128" s="22" t="str">
        <f>+IF(Tabla2[[#This Row],[Variación Stock]]&gt;0,"Sobrante",IF(Tabla2[[#This Row],[Variación Stock]]&lt;0,"Faltante","Sin novedad"))</f>
        <v>Sin novedad</v>
      </c>
    </row>
    <row r="3129" spans="1:14" x14ac:dyDescent="0.25">
      <c r="A3129" s="11">
        <v>46053</v>
      </c>
      <c r="B3129" s="5" t="s">
        <v>394</v>
      </c>
      <c r="C3129" s="3" t="s">
        <v>337</v>
      </c>
      <c r="D3129" s="5" t="s">
        <v>122</v>
      </c>
      <c r="E3129" s="5" t="s">
        <v>112</v>
      </c>
      <c r="F3129" s="6" t="s">
        <v>102</v>
      </c>
      <c r="G3129" s="4" t="s">
        <v>2</v>
      </c>
      <c r="H3129" s="25">
        <v>3458.3291316700002</v>
      </c>
      <c r="I3129" s="8">
        <v>16</v>
      </c>
      <c r="J3129" s="9">
        <v>16</v>
      </c>
      <c r="K3129" s="7">
        <v>0</v>
      </c>
      <c r="L3129" s="24">
        <f>+Tabla2[[#This Row],[Stock Inventario]]*Tabla2[[#This Row],[Coste LÃ­nea]]</f>
        <v>55333.266106720002</v>
      </c>
      <c r="M3129" s="24">
        <f>+Tabla2[[#This Row],[Variación Stock]]*Tabla2[[#This Row],[Coste LÃ­nea]]</f>
        <v>0</v>
      </c>
      <c r="N3129" s="22" t="str">
        <f>+IF(Tabla2[[#This Row],[Variación Stock]]&gt;0,"Sobrante",IF(Tabla2[[#This Row],[Variación Stock]]&lt;0,"Faltante","Sin novedad"))</f>
        <v>Sin novedad</v>
      </c>
    </row>
    <row r="3130" spans="1:14" x14ac:dyDescent="0.25">
      <c r="A3130" s="11">
        <v>46053</v>
      </c>
      <c r="B3130" s="5" t="s">
        <v>394</v>
      </c>
      <c r="C3130" s="3" t="s">
        <v>337</v>
      </c>
      <c r="D3130" s="5" t="s">
        <v>122</v>
      </c>
      <c r="E3130" s="5" t="s">
        <v>112</v>
      </c>
      <c r="F3130" s="6" t="s">
        <v>103</v>
      </c>
      <c r="G3130" s="4" t="s">
        <v>2</v>
      </c>
      <c r="H3130" s="25">
        <v>3458.3283333300001</v>
      </c>
      <c r="I3130" s="8">
        <v>7</v>
      </c>
      <c r="J3130" s="9">
        <v>7</v>
      </c>
      <c r="K3130" s="7">
        <v>0</v>
      </c>
      <c r="L3130" s="24">
        <f>+Tabla2[[#This Row],[Stock Inventario]]*Tabla2[[#This Row],[Coste LÃ­nea]]</f>
        <v>24208.298333310002</v>
      </c>
      <c r="M3130" s="24">
        <f>+Tabla2[[#This Row],[Variación Stock]]*Tabla2[[#This Row],[Coste LÃ­nea]]</f>
        <v>0</v>
      </c>
      <c r="N3130" s="22" t="str">
        <f>+IF(Tabla2[[#This Row],[Variación Stock]]&gt;0,"Sobrante",IF(Tabla2[[#This Row],[Variación Stock]]&lt;0,"Faltante","Sin novedad"))</f>
        <v>Sin novedad</v>
      </c>
    </row>
    <row r="3131" spans="1:14" x14ac:dyDescent="0.25">
      <c r="A3131" s="11">
        <v>46053</v>
      </c>
      <c r="B3131" s="5" t="s">
        <v>394</v>
      </c>
      <c r="C3131" s="3" t="s">
        <v>337</v>
      </c>
      <c r="D3131" s="5" t="s">
        <v>122</v>
      </c>
      <c r="E3131" s="5" t="s">
        <v>112</v>
      </c>
      <c r="F3131" s="6" t="s">
        <v>104</v>
      </c>
      <c r="G3131" s="4" t="s">
        <v>2</v>
      </c>
      <c r="H3131" s="25">
        <v>3458.25</v>
      </c>
      <c r="I3131" s="8">
        <v>0</v>
      </c>
      <c r="J3131" s="9">
        <v>0</v>
      </c>
      <c r="K3131" s="7">
        <v>0</v>
      </c>
      <c r="L3131" s="24">
        <f>+Tabla2[[#This Row],[Stock Inventario]]*Tabla2[[#This Row],[Coste LÃ­nea]]</f>
        <v>0</v>
      </c>
      <c r="M3131" s="24">
        <f>+Tabla2[[#This Row],[Variación Stock]]*Tabla2[[#This Row],[Coste LÃ­nea]]</f>
        <v>0</v>
      </c>
      <c r="N3131" s="22" t="str">
        <f>+IF(Tabla2[[#This Row],[Variación Stock]]&gt;0,"Sobrante",IF(Tabla2[[#This Row],[Variación Stock]]&lt;0,"Faltante","Sin novedad"))</f>
        <v>Sin novedad</v>
      </c>
    </row>
    <row r="3132" spans="1:14" x14ac:dyDescent="0.25">
      <c r="A3132" s="11">
        <v>46053</v>
      </c>
      <c r="B3132" s="5" t="s">
        <v>394</v>
      </c>
      <c r="C3132" s="3" t="s">
        <v>337</v>
      </c>
      <c r="D3132" s="5" t="s">
        <v>122</v>
      </c>
      <c r="E3132" s="5" t="s">
        <v>112</v>
      </c>
      <c r="F3132" s="6" t="s">
        <v>105</v>
      </c>
      <c r="G3132" s="4" t="s">
        <v>2</v>
      </c>
      <c r="H3132" s="25">
        <v>3458.25</v>
      </c>
      <c r="I3132" s="8">
        <v>7</v>
      </c>
      <c r="J3132" s="9">
        <v>7</v>
      </c>
      <c r="K3132" s="7">
        <v>0</v>
      </c>
      <c r="L3132" s="24">
        <f>+Tabla2[[#This Row],[Stock Inventario]]*Tabla2[[#This Row],[Coste LÃ­nea]]</f>
        <v>24207.75</v>
      </c>
      <c r="M3132" s="24">
        <f>+Tabla2[[#This Row],[Variación Stock]]*Tabla2[[#This Row],[Coste LÃ­nea]]</f>
        <v>0</v>
      </c>
      <c r="N3132" s="22" t="str">
        <f>+IF(Tabla2[[#This Row],[Variación Stock]]&gt;0,"Sobrante",IF(Tabla2[[#This Row],[Variación Stock]]&lt;0,"Faltante","Sin novedad"))</f>
        <v>Sin novedad</v>
      </c>
    </row>
    <row r="3133" spans="1:14" x14ac:dyDescent="0.25">
      <c r="A3133" s="11">
        <v>46053</v>
      </c>
      <c r="B3133" s="5" t="s">
        <v>394</v>
      </c>
      <c r="C3133" s="3" t="s">
        <v>337</v>
      </c>
      <c r="D3133" s="5" t="s">
        <v>122</v>
      </c>
      <c r="E3133" s="5" t="s">
        <v>112</v>
      </c>
      <c r="F3133" s="6" t="s">
        <v>106</v>
      </c>
      <c r="G3133" s="4" t="s">
        <v>2</v>
      </c>
      <c r="H3133" s="25">
        <v>3458.25</v>
      </c>
      <c r="I3133" s="8">
        <v>1</v>
      </c>
      <c r="J3133" s="9">
        <v>1</v>
      </c>
      <c r="K3133" s="7">
        <v>0</v>
      </c>
      <c r="L3133" s="24">
        <f>+Tabla2[[#This Row],[Stock Inventario]]*Tabla2[[#This Row],[Coste LÃ­nea]]</f>
        <v>3458.25</v>
      </c>
      <c r="M3133" s="24">
        <f>+Tabla2[[#This Row],[Variación Stock]]*Tabla2[[#This Row],[Coste LÃ­nea]]</f>
        <v>0</v>
      </c>
      <c r="N3133" s="22" t="str">
        <f>+IF(Tabla2[[#This Row],[Variación Stock]]&gt;0,"Sobrante",IF(Tabla2[[#This Row],[Variación Stock]]&lt;0,"Faltante","Sin novedad"))</f>
        <v>Sin novedad</v>
      </c>
    </row>
    <row r="3134" spans="1:14" x14ac:dyDescent="0.25">
      <c r="A3134" s="11">
        <v>46053</v>
      </c>
      <c r="B3134" s="5" t="s">
        <v>394</v>
      </c>
      <c r="C3134" s="3" t="s">
        <v>337</v>
      </c>
      <c r="D3134" s="5" t="s">
        <v>122</v>
      </c>
      <c r="E3134" s="5" t="s">
        <v>112</v>
      </c>
      <c r="F3134" s="6" t="s">
        <v>107</v>
      </c>
      <c r="G3134" s="4" t="s">
        <v>2</v>
      </c>
      <c r="H3134" s="25">
        <v>3458.25</v>
      </c>
      <c r="I3134" s="8">
        <v>6</v>
      </c>
      <c r="J3134" s="9">
        <v>6</v>
      </c>
      <c r="K3134" s="7">
        <v>0</v>
      </c>
      <c r="L3134" s="24">
        <f>+Tabla2[[#This Row],[Stock Inventario]]*Tabla2[[#This Row],[Coste LÃ­nea]]</f>
        <v>20749.5</v>
      </c>
      <c r="M3134" s="24">
        <f>+Tabla2[[#This Row],[Variación Stock]]*Tabla2[[#This Row],[Coste LÃ­nea]]</f>
        <v>0</v>
      </c>
      <c r="N3134" s="22" t="str">
        <f>+IF(Tabla2[[#This Row],[Variación Stock]]&gt;0,"Sobrante",IF(Tabla2[[#This Row],[Variación Stock]]&lt;0,"Faltante","Sin novedad"))</f>
        <v>Sin novedad</v>
      </c>
    </row>
    <row r="3135" spans="1:14" x14ac:dyDescent="0.25">
      <c r="A3135" s="11">
        <v>46053</v>
      </c>
      <c r="B3135" s="5" t="s">
        <v>394</v>
      </c>
      <c r="C3135" s="3" t="s">
        <v>337</v>
      </c>
      <c r="D3135" s="5" t="s">
        <v>122</v>
      </c>
      <c r="E3135" s="5" t="s">
        <v>112</v>
      </c>
      <c r="F3135" s="6" t="s">
        <v>108</v>
      </c>
      <c r="G3135" s="4" t="s">
        <v>2</v>
      </c>
      <c r="H3135" s="25">
        <v>3458.25</v>
      </c>
      <c r="I3135" s="8">
        <v>0</v>
      </c>
      <c r="J3135" s="9">
        <v>0</v>
      </c>
      <c r="K3135" s="7">
        <v>0</v>
      </c>
      <c r="L3135" s="24">
        <f>+Tabla2[[#This Row],[Stock Inventario]]*Tabla2[[#This Row],[Coste LÃ­nea]]</f>
        <v>0</v>
      </c>
      <c r="M3135" s="24">
        <f>+Tabla2[[#This Row],[Variación Stock]]*Tabla2[[#This Row],[Coste LÃ­nea]]</f>
        <v>0</v>
      </c>
      <c r="N3135" s="22" t="str">
        <f>+IF(Tabla2[[#This Row],[Variación Stock]]&gt;0,"Sobrante",IF(Tabla2[[#This Row],[Variación Stock]]&lt;0,"Faltante","Sin novedad"))</f>
        <v>Sin novedad</v>
      </c>
    </row>
    <row r="3136" spans="1:14" x14ac:dyDescent="0.25">
      <c r="A3136" s="11">
        <v>46053</v>
      </c>
      <c r="B3136" s="5" t="s">
        <v>394</v>
      </c>
      <c r="C3136" s="3" t="s">
        <v>337</v>
      </c>
      <c r="D3136" s="5" t="s">
        <v>122</v>
      </c>
      <c r="E3136" s="5" t="s">
        <v>112</v>
      </c>
      <c r="F3136" s="6" t="s">
        <v>109</v>
      </c>
      <c r="G3136" s="4" t="s">
        <v>2</v>
      </c>
      <c r="H3136" s="25">
        <v>3458.25</v>
      </c>
      <c r="I3136" s="8">
        <v>8</v>
      </c>
      <c r="J3136" s="9">
        <v>8</v>
      </c>
      <c r="K3136" s="7">
        <v>0</v>
      </c>
      <c r="L3136" s="24">
        <f>+Tabla2[[#This Row],[Stock Inventario]]*Tabla2[[#This Row],[Coste LÃ­nea]]</f>
        <v>27666</v>
      </c>
      <c r="M3136" s="24">
        <f>+Tabla2[[#This Row],[Variación Stock]]*Tabla2[[#This Row],[Coste LÃ­nea]]</f>
        <v>0</v>
      </c>
      <c r="N3136" s="22" t="str">
        <f>+IF(Tabla2[[#This Row],[Variación Stock]]&gt;0,"Sobrante",IF(Tabla2[[#This Row],[Variación Stock]]&lt;0,"Faltante","Sin novedad"))</f>
        <v>Sin novedad</v>
      </c>
    </row>
    <row r="3137" spans="1:14" hidden="1" x14ac:dyDescent="0.25">
      <c r="A3137" s="11">
        <v>46053</v>
      </c>
      <c r="B3137" s="5" t="s">
        <v>394</v>
      </c>
      <c r="C3137" s="3" t="s">
        <v>337</v>
      </c>
      <c r="D3137" s="5" t="s">
        <v>396</v>
      </c>
      <c r="E3137" s="5" t="s">
        <v>117</v>
      </c>
      <c r="F3137" s="6" t="s">
        <v>426</v>
      </c>
      <c r="G3137" s="4" t="s">
        <v>1</v>
      </c>
      <c r="H3137" s="25">
        <v>17.850000000000001</v>
      </c>
      <c r="I3137" s="8">
        <v>0</v>
      </c>
      <c r="J3137" s="9">
        <v>0</v>
      </c>
      <c r="K3137" s="7">
        <v>0</v>
      </c>
      <c r="L3137" s="24">
        <f>+Tabla2[[#This Row],[Stock Inventario]]*Tabla2[[#This Row],[Coste LÃ­nea]]</f>
        <v>0</v>
      </c>
      <c r="M3137" s="24">
        <f>+Tabla2[[#This Row],[Variación Stock]]*Tabla2[[#This Row],[Coste LÃ­nea]]</f>
        <v>0</v>
      </c>
      <c r="N3137" s="22" t="str">
        <f>+IF(Tabla2[[#This Row],[Variación Stock]]&gt;0,"Sobrante",IF(Tabla2[[#This Row],[Variación Stock]]&lt;0,"Faltante","Sin novedad"))</f>
        <v>Sin novedad</v>
      </c>
    </row>
    <row r="3138" spans="1:14" hidden="1" x14ac:dyDescent="0.25">
      <c r="A3138" s="11">
        <v>46053</v>
      </c>
      <c r="B3138" s="5" t="s">
        <v>394</v>
      </c>
      <c r="C3138" s="3" t="s">
        <v>337</v>
      </c>
      <c r="D3138" s="5" t="s">
        <v>559</v>
      </c>
      <c r="E3138" s="5" t="s">
        <v>1080</v>
      </c>
      <c r="F3138" s="6" t="s">
        <v>601</v>
      </c>
      <c r="G3138" s="4" t="s">
        <v>2</v>
      </c>
      <c r="H3138" s="25">
        <v>135.84</v>
      </c>
      <c r="I3138" s="8">
        <v>207</v>
      </c>
      <c r="J3138" s="9">
        <v>100</v>
      </c>
      <c r="K3138" s="7">
        <v>-107</v>
      </c>
      <c r="L3138" s="24">
        <f>+Tabla2[[#This Row],[Stock Inventario]]*Tabla2[[#This Row],[Coste LÃ­nea]]</f>
        <v>13584</v>
      </c>
      <c r="M3138" s="24">
        <f>+Tabla2[[#This Row],[Variación Stock]]*Tabla2[[#This Row],[Coste LÃ­nea]]</f>
        <v>-14534.880000000001</v>
      </c>
      <c r="N3138" s="22" t="str">
        <f>+IF(Tabla2[[#This Row],[Variación Stock]]&gt;0,"Sobrante",IF(Tabla2[[#This Row],[Variación Stock]]&lt;0,"Faltante","Sin novedad"))</f>
        <v>Faltante</v>
      </c>
    </row>
    <row r="3139" spans="1:14" x14ac:dyDescent="0.25">
      <c r="A3139" s="11">
        <v>46053</v>
      </c>
      <c r="B3139" s="5" t="s">
        <v>394</v>
      </c>
      <c r="C3139" s="3" t="s">
        <v>337</v>
      </c>
      <c r="D3139" s="5" t="s">
        <v>111</v>
      </c>
      <c r="E3139" s="5" t="s">
        <v>112</v>
      </c>
      <c r="F3139" s="6" t="s">
        <v>286</v>
      </c>
      <c r="G3139" s="4" t="s">
        <v>0</v>
      </c>
      <c r="H3139" s="25">
        <v>8628.9583333299997</v>
      </c>
      <c r="I3139" s="8">
        <v>0</v>
      </c>
      <c r="J3139" s="9">
        <v>0</v>
      </c>
      <c r="K3139" s="7">
        <v>0</v>
      </c>
      <c r="L3139" s="24">
        <f>+Tabla2[[#This Row],[Stock Inventario]]*Tabla2[[#This Row],[Coste LÃ­nea]]</f>
        <v>0</v>
      </c>
      <c r="M3139" s="24">
        <f>+Tabla2[[#This Row],[Variación Stock]]*Tabla2[[#This Row],[Coste LÃ­nea]]</f>
        <v>0</v>
      </c>
      <c r="N3139" s="22" t="str">
        <f>+IF(Tabla2[[#This Row],[Variación Stock]]&gt;0,"Sobrante",IF(Tabla2[[#This Row],[Variación Stock]]&lt;0,"Faltante","Sin novedad"))</f>
        <v>Sin novedad</v>
      </c>
    </row>
    <row r="3140" spans="1:14" x14ac:dyDescent="0.25">
      <c r="A3140" s="11">
        <v>46053</v>
      </c>
      <c r="B3140" s="5" t="s">
        <v>394</v>
      </c>
      <c r="C3140" s="3" t="s">
        <v>337</v>
      </c>
      <c r="D3140" s="5" t="s">
        <v>111</v>
      </c>
      <c r="E3140" s="5" t="s">
        <v>112</v>
      </c>
      <c r="F3140" s="6" t="s">
        <v>32</v>
      </c>
      <c r="G3140" s="4" t="s">
        <v>0</v>
      </c>
      <c r="H3140" s="25">
        <v>8628.9583333299997</v>
      </c>
      <c r="I3140" s="8">
        <v>38</v>
      </c>
      <c r="J3140" s="9">
        <v>40</v>
      </c>
      <c r="K3140" s="7">
        <v>2</v>
      </c>
      <c r="L3140" s="24">
        <f>+Tabla2[[#This Row],[Stock Inventario]]*Tabla2[[#This Row],[Coste LÃ­nea]]</f>
        <v>345158.33333319996</v>
      </c>
      <c r="M3140" s="24">
        <f>+Tabla2[[#This Row],[Variación Stock]]*Tabla2[[#This Row],[Coste LÃ­nea]]</f>
        <v>17257.916666659999</v>
      </c>
      <c r="N3140" s="22" t="str">
        <f>+IF(Tabla2[[#This Row],[Variación Stock]]&gt;0,"Sobrante",IF(Tabla2[[#This Row],[Variación Stock]]&lt;0,"Faltante","Sin novedad"))</f>
        <v>Sobrante</v>
      </c>
    </row>
    <row r="3141" spans="1:14" x14ac:dyDescent="0.25">
      <c r="A3141" s="11">
        <v>46053</v>
      </c>
      <c r="B3141" s="5" t="s">
        <v>394</v>
      </c>
      <c r="C3141" s="3" t="s">
        <v>337</v>
      </c>
      <c r="D3141" s="5" t="s">
        <v>111</v>
      </c>
      <c r="E3141" s="5" t="s">
        <v>112</v>
      </c>
      <c r="F3141" s="6" t="s">
        <v>33</v>
      </c>
      <c r="G3141" s="4" t="s">
        <v>0</v>
      </c>
      <c r="H3141" s="25">
        <v>4004.4333333300001</v>
      </c>
      <c r="I3141" s="8">
        <v>64</v>
      </c>
      <c r="J3141" s="9">
        <v>65</v>
      </c>
      <c r="K3141" s="7">
        <v>1</v>
      </c>
      <c r="L3141" s="24">
        <f>+Tabla2[[#This Row],[Stock Inventario]]*Tabla2[[#This Row],[Coste LÃ­nea]]</f>
        <v>260288.16666645001</v>
      </c>
      <c r="M3141" s="24">
        <f>+Tabla2[[#This Row],[Variación Stock]]*Tabla2[[#This Row],[Coste LÃ­nea]]</f>
        <v>4004.4333333300001</v>
      </c>
      <c r="N3141" s="22" t="str">
        <f>+IF(Tabla2[[#This Row],[Variación Stock]]&gt;0,"Sobrante",IF(Tabla2[[#This Row],[Variación Stock]]&lt;0,"Faltante","Sin novedad"))</f>
        <v>Sobrante</v>
      </c>
    </row>
    <row r="3142" spans="1:14" x14ac:dyDescent="0.25">
      <c r="A3142" s="11">
        <v>46053</v>
      </c>
      <c r="B3142" s="5" t="s">
        <v>394</v>
      </c>
      <c r="C3142" s="3" t="s">
        <v>337</v>
      </c>
      <c r="D3142" s="5" t="s">
        <v>111</v>
      </c>
      <c r="E3142" s="5" t="s">
        <v>112</v>
      </c>
      <c r="F3142" s="6" t="s">
        <v>379</v>
      </c>
      <c r="G3142" s="4" t="s">
        <v>0</v>
      </c>
      <c r="H3142" s="25">
        <v>14293.772727269999</v>
      </c>
      <c r="I3142" s="8">
        <v>22</v>
      </c>
      <c r="J3142" s="9">
        <v>22</v>
      </c>
      <c r="K3142" s="7">
        <v>0</v>
      </c>
      <c r="L3142" s="24">
        <f>+Tabla2[[#This Row],[Stock Inventario]]*Tabla2[[#This Row],[Coste LÃ­nea]]</f>
        <v>314462.99999993999</v>
      </c>
      <c r="M3142" s="24">
        <f>+Tabla2[[#This Row],[Variación Stock]]*Tabla2[[#This Row],[Coste LÃ­nea]]</f>
        <v>0</v>
      </c>
      <c r="N3142" s="22" t="str">
        <f>+IF(Tabla2[[#This Row],[Variación Stock]]&gt;0,"Sobrante",IF(Tabla2[[#This Row],[Variación Stock]]&lt;0,"Faltante","Sin novedad"))</f>
        <v>Sin novedad</v>
      </c>
    </row>
    <row r="3143" spans="1:14" x14ac:dyDescent="0.25">
      <c r="A3143" s="11">
        <v>46053</v>
      </c>
      <c r="B3143" s="5" t="s">
        <v>394</v>
      </c>
      <c r="C3143" s="3" t="s">
        <v>337</v>
      </c>
      <c r="D3143" s="5" t="s">
        <v>111</v>
      </c>
      <c r="E3143" s="5" t="s">
        <v>112</v>
      </c>
      <c r="F3143" s="6" t="s">
        <v>380</v>
      </c>
      <c r="G3143" s="4" t="s">
        <v>0</v>
      </c>
      <c r="H3143" s="25">
        <v>10667.40909091</v>
      </c>
      <c r="I3143" s="8">
        <v>22</v>
      </c>
      <c r="J3143" s="9">
        <v>22</v>
      </c>
      <c r="K3143" s="7">
        <v>0</v>
      </c>
      <c r="L3143" s="24">
        <f>+Tabla2[[#This Row],[Stock Inventario]]*Tabla2[[#This Row],[Coste LÃ­nea]]</f>
        <v>234683.00000001999</v>
      </c>
      <c r="M3143" s="24">
        <f>+Tabla2[[#This Row],[Variación Stock]]*Tabla2[[#This Row],[Coste LÃ­nea]]</f>
        <v>0</v>
      </c>
      <c r="N3143" s="22" t="str">
        <f>+IF(Tabla2[[#This Row],[Variación Stock]]&gt;0,"Sobrante",IF(Tabla2[[#This Row],[Variación Stock]]&lt;0,"Faltante","Sin novedad"))</f>
        <v>Sin novedad</v>
      </c>
    </row>
    <row r="3144" spans="1:14" x14ac:dyDescent="0.25">
      <c r="A3144" s="11">
        <v>46053</v>
      </c>
      <c r="B3144" s="5" t="s">
        <v>394</v>
      </c>
      <c r="C3144" s="3" t="s">
        <v>337</v>
      </c>
      <c r="D3144" s="5" t="s">
        <v>111</v>
      </c>
      <c r="E3144" s="5" t="s">
        <v>112</v>
      </c>
      <c r="F3144" s="6" t="s">
        <v>381</v>
      </c>
      <c r="G3144" s="4" t="s">
        <v>0</v>
      </c>
      <c r="H3144" s="25">
        <v>8874.3181818199992</v>
      </c>
      <c r="I3144" s="8">
        <v>76</v>
      </c>
      <c r="J3144" s="9">
        <v>77</v>
      </c>
      <c r="K3144" s="7">
        <v>1</v>
      </c>
      <c r="L3144" s="24">
        <f>+Tabla2[[#This Row],[Stock Inventario]]*Tabla2[[#This Row],[Coste LÃ­nea]]</f>
        <v>683322.50000013993</v>
      </c>
      <c r="M3144" s="24">
        <f>+Tabla2[[#This Row],[Variación Stock]]*Tabla2[[#This Row],[Coste LÃ­nea]]</f>
        <v>8874.3181818199992</v>
      </c>
      <c r="N3144" s="22" t="str">
        <f>+IF(Tabla2[[#This Row],[Variación Stock]]&gt;0,"Sobrante",IF(Tabla2[[#This Row],[Variación Stock]]&lt;0,"Faltante","Sin novedad"))</f>
        <v>Sobrante</v>
      </c>
    </row>
    <row r="3145" spans="1:14" hidden="1" x14ac:dyDescent="0.25">
      <c r="A3145" s="11">
        <v>46053</v>
      </c>
      <c r="B3145" s="5" t="s">
        <v>394</v>
      </c>
      <c r="C3145" s="3" t="s">
        <v>337</v>
      </c>
      <c r="D3145" s="5" t="s">
        <v>119</v>
      </c>
      <c r="E3145" s="5" t="s">
        <v>117</v>
      </c>
      <c r="F3145" s="6" t="s">
        <v>13</v>
      </c>
      <c r="G3145" s="4" t="s">
        <v>2</v>
      </c>
      <c r="H3145" s="25">
        <v>8166.6666666700003</v>
      </c>
      <c r="I3145" s="8">
        <v>0</v>
      </c>
      <c r="J3145" s="9">
        <v>0</v>
      </c>
      <c r="K3145" s="7">
        <v>0</v>
      </c>
      <c r="L3145" s="24">
        <f>+Tabla2[[#This Row],[Stock Inventario]]*Tabla2[[#This Row],[Coste LÃ­nea]]</f>
        <v>0</v>
      </c>
      <c r="M3145" s="24">
        <f>+Tabla2[[#This Row],[Variación Stock]]*Tabla2[[#This Row],[Coste LÃ­nea]]</f>
        <v>0</v>
      </c>
      <c r="N3145" s="22" t="str">
        <f>+IF(Tabla2[[#This Row],[Variación Stock]]&gt;0,"Sobrante",IF(Tabla2[[#This Row],[Variación Stock]]&lt;0,"Faltante","Sin novedad"))</f>
        <v>Sin novedad</v>
      </c>
    </row>
    <row r="3146" spans="1:14" hidden="1" x14ac:dyDescent="0.25">
      <c r="A3146" s="11">
        <v>46053</v>
      </c>
      <c r="B3146" s="5" t="s">
        <v>394</v>
      </c>
      <c r="C3146" s="3" t="s">
        <v>337</v>
      </c>
      <c r="D3146" s="5" t="s">
        <v>119</v>
      </c>
      <c r="E3146" s="5" t="s">
        <v>117</v>
      </c>
      <c r="F3146" s="6" t="s">
        <v>199</v>
      </c>
      <c r="G3146" s="4" t="s">
        <v>1</v>
      </c>
      <c r="H3146" s="25">
        <v>454.81299999999999</v>
      </c>
      <c r="I3146" s="8">
        <v>0</v>
      </c>
      <c r="J3146" s="9">
        <v>0</v>
      </c>
      <c r="K3146" s="7">
        <v>0</v>
      </c>
      <c r="L3146" s="24">
        <f>+Tabla2[[#This Row],[Stock Inventario]]*Tabla2[[#This Row],[Coste LÃ­nea]]</f>
        <v>0</v>
      </c>
      <c r="M3146" s="24">
        <f>+Tabla2[[#This Row],[Variación Stock]]*Tabla2[[#This Row],[Coste LÃ­nea]]</f>
        <v>0</v>
      </c>
      <c r="N3146" s="22" t="str">
        <f>+IF(Tabla2[[#This Row],[Variación Stock]]&gt;0,"Sobrante",IF(Tabla2[[#This Row],[Variación Stock]]&lt;0,"Faltante","Sin novedad"))</f>
        <v>Sin novedad</v>
      </c>
    </row>
    <row r="3147" spans="1:14" hidden="1" x14ac:dyDescent="0.25">
      <c r="A3147" s="11">
        <v>46053</v>
      </c>
      <c r="B3147" s="5" t="s">
        <v>394</v>
      </c>
      <c r="C3147" s="3" t="s">
        <v>337</v>
      </c>
      <c r="D3147" s="5" t="s">
        <v>626</v>
      </c>
      <c r="E3147" s="5" t="s">
        <v>1079</v>
      </c>
      <c r="F3147" s="6" t="s">
        <v>666</v>
      </c>
      <c r="G3147" s="4" t="s">
        <v>2</v>
      </c>
      <c r="H3147" s="25">
        <v>45452</v>
      </c>
      <c r="I3147" s="8">
        <v>0</v>
      </c>
      <c r="J3147" s="9">
        <v>1</v>
      </c>
      <c r="K3147" s="7">
        <v>0</v>
      </c>
      <c r="L3147" s="24">
        <f>+Tabla2[[#This Row],[Stock Inventario]]*Tabla2[[#This Row],[Coste LÃ­nea]]</f>
        <v>45452</v>
      </c>
      <c r="M3147" s="24">
        <f>+Tabla2[[#This Row],[Variación Stock]]*Tabla2[[#This Row],[Coste LÃ­nea]]</f>
        <v>0</v>
      </c>
      <c r="N3147" s="22" t="str">
        <f>+IF(Tabla2[[#This Row],[Variación Stock]]&gt;0,"Sobrante",IF(Tabla2[[#This Row],[Variación Stock]]&lt;0,"Faltante","Sin novedad"))</f>
        <v>Sin novedad</v>
      </c>
    </row>
    <row r="3148" spans="1:14" hidden="1" x14ac:dyDescent="0.25">
      <c r="A3148" s="11">
        <v>46053</v>
      </c>
      <c r="B3148" s="5" t="s">
        <v>394</v>
      </c>
      <c r="C3148" s="3" t="s">
        <v>337</v>
      </c>
      <c r="D3148" s="5" t="s">
        <v>626</v>
      </c>
      <c r="E3148" s="5" t="s">
        <v>1079</v>
      </c>
      <c r="F3148" s="6" t="s">
        <v>667</v>
      </c>
      <c r="G3148" s="4" t="s">
        <v>2</v>
      </c>
      <c r="H3148" s="25">
        <v>56142</v>
      </c>
      <c r="I3148" s="8">
        <v>2</v>
      </c>
      <c r="J3148" s="9">
        <v>1</v>
      </c>
      <c r="K3148" s="7">
        <v>-1</v>
      </c>
      <c r="L3148" s="24">
        <f>+Tabla2[[#This Row],[Stock Inventario]]*Tabla2[[#This Row],[Coste LÃ­nea]]</f>
        <v>56142</v>
      </c>
      <c r="M3148" s="24">
        <f>+Tabla2[[#This Row],[Variación Stock]]*Tabla2[[#This Row],[Coste LÃ­nea]]</f>
        <v>-56142</v>
      </c>
      <c r="N3148" s="22" t="str">
        <f>+IF(Tabla2[[#This Row],[Variación Stock]]&gt;0,"Sobrante",IF(Tabla2[[#This Row],[Variación Stock]]&lt;0,"Faltante","Sin novedad"))</f>
        <v>Faltante</v>
      </c>
    </row>
    <row r="3149" spans="1:14" hidden="1" x14ac:dyDescent="0.25">
      <c r="A3149" s="11">
        <v>46053</v>
      </c>
      <c r="B3149" s="5" t="s">
        <v>394</v>
      </c>
      <c r="C3149" s="3" t="s">
        <v>337</v>
      </c>
      <c r="D3149" s="5" t="s">
        <v>626</v>
      </c>
      <c r="E3149" s="5" t="s">
        <v>1079</v>
      </c>
      <c r="F3149" s="6" t="s">
        <v>668</v>
      </c>
      <c r="G3149" s="4" t="s">
        <v>2</v>
      </c>
      <c r="H3149" s="25">
        <v>40422</v>
      </c>
      <c r="I3149" s="8">
        <v>1</v>
      </c>
      <c r="J3149" s="9">
        <v>1</v>
      </c>
      <c r="K3149" s="7">
        <v>0</v>
      </c>
      <c r="L3149" s="24">
        <f>+Tabla2[[#This Row],[Stock Inventario]]*Tabla2[[#This Row],[Coste LÃ­nea]]</f>
        <v>40422</v>
      </c>
      <c r="M3149" s="24">
        <f>+Tabla2[[#This Row],[Variación Stock]]*Tabla2[[#This Row],[Coste LÃ­nea]]</f>
        <v>0</v>
      </c>
      <c r="N3149" s="22" t="str">
        <f>+IF(Tabla2[[#This Row],[Variación Stock]]&gt;0,"Sobrante",IF(Tabla2[[#This Row],[Variación Stock]]&lt;0,"Faltante","Sin novedad"))</f>
        <v>Sin novedad</v>
      </c>
    </row>
    <row r="3150" spans="1:14" hidden="1" x14ac:dyDescent="0.25">
      <c r="A3150" s="11">
        <v>46053</v>
      </c>
      <c r="B3150" s="5" t="s">
        <v>394</v>
      </c>
      <c r="C3150" s="3" t="s">
        <v>337</v>
      </c>
      <c r="D3150" s="5" t="s">
        <v>626</v>
      </c>
      <c r="E3150" s="5" t="s">
        <v>1079</v>
      </c>
      <c r="F3150" s="6" t="s">
        <v>669</v>
      </c>
      <c r="G3150" s="4" t="s">
        <v>2</v>
      </c>
      <c r="H3150" s="25">
        <v>8771.4285714300004</v>
      </c>
      <c r="I3150" s="8">
        <v>0</v>
      </c>
      <c r="J3150" s="9">
        <v>0</v>
      </c>
      <c r="K3150" s="7">
        <v>0</v>
      </c>
      <c r="L3150" s="24">
        <f>+Tabla2[[#This Row],[Stock Inventario]]*Tabla2[[#This Row],[Coste LÃ­nea]]</f>
        <v>0</v>
      </c>
      <c r="M3150" s="24">
        <f>+Tabla2[[#This Row],[Variación Stock]]*Tabla2[[#This Row],[Coste LÃ­nea]]</f>
        <v>0</v>
      </c>
      <c r="N3150" s="22" t="str">
        <f>+IF(Tabla2[[#This Row],[Variación Stock]]&gt;0,"Sobrante",IF(Tabla2[[#This Row],[Variación Stock]]&lt;0,"Faltante","Sin novedad"))</f>
        <v>Sin novedad</v>
      </c>
    </row>
    <row r="3151" spans="1:14" hidden="1" x14ac:dyDescent="0.25">
      <c r="A3151" s="11">
        <v>46053</v>
      </c>
      <c r="B3151" s="5" t="s">
        <v>394</v>
      </c>
      <c r="C3151" s="3" t="s">
        <v>337</v>
      </c>
      <c r="D3151" s="5" t="s">
        <v>626</v>
      </c>
      <c r="E3151" s="5" t="s">
        <v>1079</v>
      </c>
      <c r="F3151" s="6" t="s">
        <v>670</v>
      </c>
      <c r="G3151" s="4" t="s">
        <v>2</v>
      </c>
      <c r="H3151" s="25">
        <v>24179.127451</v>
      </c>
      <c r="I3151" s="8">
        <v>0</v>
      </c>
      <c r="J3151" s="9">
        <v>0</v>
      </c>
      <c r="K3151" s="7">
        <v>0</v>
      </c>
      <c r="L3151" s="24">
        <f>+Tabla2[[#This Row],[Stock Inventario]]*Tabla2[[#This Row],[Coste LÃ­nea]]</f>
        <v>0</v>
      </c>
      <c r="M3151" s="24">
        <f>+Tabla2[[#This Row],[Variación Stock]]*Tabla2[[#This Row],[Coste LÃ­nea]]</f>
        <v>0</v>
      </c>
      <c r="N3151" s="22" t="str">
        <f>+IF(Tabla2[[#This Row],[Variación Stock]]&gt;0,"Sobrante",IF(Tabla2[[#This Row],[Variación Stock]]&lt;0,"Faltante","Sin novedad"))</f>
        <v>Sin novedad</v>
      </c>
    </row>
    <row r="3152" spans="1:14" hidden="1" x14ac:dyDescent="0.25">
      <c r="A3152" s="11">
        <v>46053</v>
      </c>
      <c r="B3152" s="5" t="s">
        <v>394</v>
      </c>
      <c r="C3152" s="3" t="s">
        <v>337</v>
      </c>
      <c r="D3152" s="5" t="s">
        <v>626</v>
      </c>
      <c r="E3152" s="5" t="s">
        <v>1079</v>
      </c>
      <c r="F3152" s="6" t="s">
        <v>676</v>
      </c>
      <c r="G3152" s="4" t="s">
        <v>2</v>
      </c>
      <c r="H3152" s="25">
        <v>18934.621848800001</v>
      </c>
      <c r="I3152" s="8">
        <v>5</v>
      </c>
      <c r="J3152" s="9">
        <v>0</v>
      </c>
      <c r="K3152" s="7">
        <v>-5</v>
      </c>
      <c r="L3152" s="24">
        <f>+Tabla2[[#This Row],[Stock Inventario]]*Tabla2[[#This Row],[Coste LÃ­nea]]</f>
        <v>0</v>
      </c>
      <c r="M3152" s="24">
        <f>+Tabla2[[#This Row],[Variación Stock]]*Tabla2[[#This Row],[Coste LÃ­nea]]</f>
        <v>-94673.109244000007</v>
      </c>
      <c r="N3152" s="22" t="str">
        <f>+IF(Tabla2[[#This Row],[Variación Stock]]&gt;0,"Sobrante",IF(Tabla2[[#This Row],[Variación Stock]]&lt;0,"Faltante","Sin novedad"))</f>
        <v>Faltante</v>
      </c>
    </row>
    <row r="3153" spans="1:14" hidden="1" x14ac:dyDescent="0.25">
      <c r="A3153" s="11">
        <v>46053</v>
      </c>
      <c r="B3153" s="5" t="s">
        <v>394</v>
      </c>
      <c r="C3153" s="3" t="s">
        <v>337</v>
      </c>
      <c r="D3153" s="5" t="s">
        <v>396</v>
      </c>
      <c r="E3153" s="5" t="s">
        <v>117</v>
      </c>
      <c r="F3153" s="6" t="s">
        <v>427</v>
      </c>
      <c r="G3153" s="4" t="s">
        <v>1</v>
      </c>
      <c r="H3153" s="25">
        <v>99</v>
      </c>
      <c r="I3153" s="8">
        <v>260</v>
      </c>
      <c r="J3153" s="9">
        <v>450</v>
      </c>
      <c r="K3153" s="7">
        <v>190</v>
      </c>
      <c r="L3153" s="24">
        <f>+Tabla2[[#This Row],[Stock Inventario]]*Tabla2[[#This Row],[Coste LÃ­nea]]</f>
        <v>44550</v>
      </c>
      <c r="M3153" s="24">
        <f>+Tabla2[[#This Row],[Variación Stock]]*Tabla2[[#This Row],[Coste LÃ­nea]]</f>
        <v>18810</v>
      </c>
      <c r="N3153" s="22" t="str">
        <f>+IF(Tabla2[[#This Row],[Variación Stock]]&gt;0,"Sobrante",IF(Tabla2[[#This Row],[Variación Stock]]&lt;0,"Faltante","Sin novedad"))</f>
        <v>Sobrante</v>
      </c>
    </row>
    <row r="3154" spans="1:14" hidden="1" x14ac:dyDescent="0.25">
      <c r="A3154" s="11">
        <v>46053</v>
      </c>
      <c r="B3154" s="5" t="s">
        <v>394</v>
      </c>
      <c r="C3154" s="3" t="s">
        <v>337</v>
      </c>
      <c r="D3154" s="5" t="s">
        <v>471</v>
      </c>
      <c r="E3154" s="5" t="s">
        <v>117</v>
      </c>
      <c r="F3154" s="6" t="s">
        <v>532</v>
      </c>
      <c r="G3154" s="4" t="s">
        <v>1</v>
      </c>
      <c r="H3154" s="25">
        <v>12</v>
      </c>
      <c r="I3154" s="8">
        <v>-2733.9996999999998</v>
      </c>
      <c r="J3154" s="9">
        <v>1558</v>
      </c>
      <c r="K3154" s="7">
        <v>2991.9997250000001</v>
      </c>
      <c r="L3154" s="24">
        <f>+Tabla2[[#This Row],[Stock Inventario]]*Tabla2[[#This Row],[Coste LÃ­nea]]</f>
        <v>18696</v>
      </c>
      <c r="M3154" s="24">
        <f>+Tabla2[[#This Row],[Variación Stock]]*Tabla2[[#This Row],[Coste LÃ­nea]]</f>
        <v>35903.996700000003</v>
      </c>
      <c r="N3154" s="22" t="str">
        <f>+IF(Tabla2[[#This Row],[Variación Stock]]&gt;0,"Sobrante",IF(Tabla2[[#This Row],[Variación Stock]]&lt;0,"Faltante","Sin novedad"))</f>
        <v>Sobrante</v>
      </c>
    </row>
    <row r="3155" spans="1:14" hidden="1" x14ac:dyDescent="0.25">
      <c r="A3155" s="11">
        <v>46053</v>
      </c>
      <c r="B3155" s="5" t="s">
        <v>394</v>
      </c>
      <c r="C3155" s="3" t="s">
        <v>337</v>
      </c>
      <c r="D3155" s="5" t="s">
        <v>471</v>
      </c>
      <c r="E3155" s="5" t="s">
        <v>117</v>
      </c>
      <c r="F3155" s="6" t="s">
        <v>533</v>
      </c>
      <c r="G3155" s="4" t="s">
        <v>1</v>
      </c>
      <c r="H3155" s="25">
        <v>5</v>
      </c>
      <c r="I3155" s="8">
        <v>6951.3567999999996</v>
      </c>
      <c r="J3155" s="9">
        <v>3120</v>
      </c>
      <c r="K3155" s="7">
        <v>-5831.3568150000001</v>
      </c>
      <c r="L3155" s="24">
        <f>+Tabla2[[#This Row],[Stock Inventario]]*Tabla2[[#This Row],[Coste LÃ­nea]]</f>
        <v>15600</v>
      </c>
      <c r="M3155" s="24">
        <f>+Tabla2[[#This Row],[Variación Stock]]*Tabla2[[#This Row],[Coste LÃ­nea]]</f>
        <v>-29156.784075</v>
      </c>
      <c r="N3155" s="22" t="str">
        <f>+IF(Tabla2[[#This Row],[Variación Stock]]&gt;0,"Sobrante",IF(Tabla2[[#This Row],[Variación Stock]]&lt;0,"Faltante","Sin novedad"))</f>
        <v>Faltante</v>
      </c>
    </row>
    <row r="3156" spans="1:14" hidden="1" x14ac:dyDescent="0.25">
      <c r="A3156" s="11">
        <v>46053</v>
      </c>
      <c r="B3156" s="5" t="s">
        <v>394</v>
      </c>
      <c r="C3156" s="3" t="s">
        <v>337</v>
      </c>
      <c r="D3156" s="5" t="s">
        <v>471</v>
      </c>
      <c r="E3156" s="5" t="s">
        <v>117</v>
      </c>
      <c r="F3156" s="6" t="s">
        <v>534</v>
      </c>
      <c r="G3156" s="4" t="s">
        <v>1</v>
      </c>
      <c r="H3156" s="25">
        <v>37.5</v>
      </c>
      <c r="I3156" s="8">
        <v>2128.5263</v>
      </c>
      <c r="J3156" s="9">
        <v>700</v>
      </c>
      <c r="K3156" s="7">
        <v>-2228.5262905999998</v>
      </c>
      <c r="L3156" s="24">
        <f>+Tabla2[[#This Row],[Stock Inventario]]*Tabla2[[#This Row],[Coste LÃ­nea]]</f>
        <v>26250</v>
      </c>
      <c r="M3156" s="24">
        <f>+Tabla2[[#This Row],[Variación Stock]]*Tabla2[[#This Row],[Coste LÃ­nea]]</f>
        <v>-83569.735897499995</v>
      </c>
      <c r="N3156" s="22" t="str">
        <f>+IF(Tabla2[[#This Row],[Variación Stock]]&gt;0,"Sobrante",IF(Tabla2[[#This Row],[Variación Stock]]&lt;0,"Faltante","Sin novedad"))</f>
        <v>Faltante</v>
      </c>
    </row>
    <row r="3157" spans="1:14" hidden="1" x14ac:dyDescent="0.25">
      <c r="A3157" s="11">
        <v>46053</v>
      </c>
      <c r="B3157" s="5" t="s">
        <v>394</v>
      </c>
      <c r="C3157" s="3" t="s">
        <v>337</v>
      </c>
      <c r="D3157" s="5" t="s">
        <v>471</v>
      </c>
      <c r="E3157" s="5" t="s">
        <v>117</v>
      </c>
      <c r="F3157" s="6" t="s">
        <v>535</v>
      </c>
      <c r="G3157" s="4" t="s">
        <v>1</v>
      </c>
      <c r="H3157" s="25">
        <v>15.5</v>
      </c>
      <c r="I3157" s="8">
        <v>0</v>
      </c>
      <c r="J3157" s="9">
        <v>0</v>
      </c>
      <c r="K3157" s="7">
        <v>0</v>
      </c>
      <c r="L3157" s="24">
        <f>+Tabla2[[#This Row],[Stock Inventario]]*Tabla2[[#This Row],[Coste LÃ­nea]]</f>
        <v>0</v>
      </c>
      <c r="M3157" s="24">
        <f>+Tabla2[[#This Row],[Variación Stock]]*Tabla2[[#This Row],[Coste LÃ­nea]]</f>
        <v>0</v>
      </c>
      <c r="N3157" s="22" t="str">
        <f>+IF(Tabla2[[#This Row],[Variación Stock]]&gt;0,"Sobrante",IF(Tabla2[[#This Row],[Variación Stock]]&lt;0,"Faltante","Sin novedad"))</f>
        <v>Sin novedad</v>
      </c>
    </row>
    <row r="3158" spans="1:14" hidden="1" x14ac:dyDescent="0.25">
      <c r="A3158" s="11">
        <v>46053</v>
      </c>
      <c r="B3158" s="5" t="s">
        <v>394</v>
      </c>
      <c r="C3158" s="3" t="s">
        <v>337</v>
      </c>
      <c r="D3158" s="5" t="s">
        <v>471</v>
      </c>
      <c r="E3158" s="5" t="s">
        <v>117</v>
      </c>
      <c r="F3158" s="6" t="s">
        <v>536</v>
      </c>
      <c r="G3158" s="4" t="s">
        <v>1</v>
      </c>
      <c r="H3158" s="25">
        <v>6</v>
      </c>
      <c r="I3158" s="8">
        <v>535</v>
      </c>
      <c r="J3158" s="9">
        <v>0</v>
      </c>
      <c r="K3158" s="7">
        <v>-535.00000199999999</v>
      </c>
      <c r="L3158" s="24">
        <f>+Tabla2[[#This Row],[Stock Inventario]]*Tabla2[[#This Row],[Coste LÃ­nea]]</f>
        <v>0</v>
      </c>
      <c r="M3158" s="24">
        <f>+Tabla2[[#This Row],[Variación Stock]]*Tabla2[[#This Row],[Coste LÃ­nea]]</f>
        <v>-3210.000012</v>
      </c>
      <c r="N3158" s="22" t="str">
        <f>+IF(Tabla2[[#This Row],[Variación Stock]]&gt;0,"Sobrante",IF(Tabla2[[#This Row],[Variación Stock]]&lt;0,"Faltante","Sin novedad"))</f>
        <v>Faltante</v>
      </c>
    </row>
    <row r="3159" spans="1:14" hidden="1" x14ac:dyDescent="0.25">
      <c r="A3159" s="11">
        <v>46053</v>
      </c>
      <c r="B3159" s="5" t="s">
        <v>394</v>
      </c>
      <c r="C3159" s="3" t="s">
        <v>337</v>
      </c>
      <c r="D3159" s="5" t="s">
        <v>119</v>
      </c>
      <c r="E3159" s="5" t="s">
        <v>117</v>
      </c>
      <c r="F3159" s="6" t="s">
        <v>14</v>
      </c>
      <c r="G3159" s="4" t="s">
        <v>1</v>
      </c>
      <c r="H3159" s="25">
        <v>33.499699999999997</v>
      </c>
      <c r="I3159" s="8">
        <v>34000</v>
      </c>
      <c r="J3159" s="9">
        <v>15000</v>
      </c>
      <c r="K3159" s="7">
        <v>-19000</v>
      </c>
      <c r="L3159" s="24">
        <f>+Tabla2[[#This Row],[Stock Inventario]]*Tabla2[[#This Row],[Coste LÃ­nea]]</f>
        <v>502495.49999999994</v>
      </c>
      <c r="M3159" s="24">
        <f>+Tabla2[[#This Row],[Variación Stock]]*Tabla2[[#This Row],[Coste LÃ­nea]]</f>
        <v>-636494.29999999993</v>
      </c>
      <c r="N3159" s="22" t="str">
        <f>+IF(Tabla2[[#This Row],[Variación Stock]]&gt;0,"Sobrante",IF(Tabla2[[#This Row],[Variación Stock]]&lt;0,"Faltante","Sin novedad"))</f>
        <v>Faltante</v>
      </c>
    </row>
    <row r="3160" spans="1:14" hidden="1" x14ac:dyDescent="0.25">
      <c r="A3160" s="11">
        <v>46053</v>
      </c>
      <c r="B3160" s="5" t="s">
        <v>394</v>
      </c>
      <c r="C3160" s="3" t="s">
        <v>337</v>
      </c>
      <c r="D3160" s="5" t="s">
        <v>626</v>
      </c>
      <c r="E3160" s="5" t="s">
        <v>1079</v>
      </c>
      <c r="F3160" s="6" t="s">
        <v>671</v>
      </c>
      <c r="G3160" s="4" t="s">
        <v>1</v>
      </c>
      <c r="H3160" s="25">
        <v>20.623699999999999</v>
      </c>
      <c r="I3160" s="8">
        <v>50000</v>
      </c>
      <c r="J3160" s="9">
        <v>20000</v>
      </c>
      <c r="K3160" s="7">
        <v>-30000</v>
      </c>
      <c r="L3160" s="24">
        <f>+Tabla2[[#This Row],[Stock Inventario]]*Tabla2[[#This Row],[Coste LÃ­nea]]</f>
        <v>412474</v>
      </c>
      <c r="M3160" s="24">
        <f>+Tabla2[[#This Row],[Variación Stock]]*Tabla2[[#This Row],[Coste LÃ­nea]]</f>
        <v>-618711</v>
      </c>
      <c r="N3160" s="22" t="str">
        <f>+IF(Tabla2[[#This Row],[Variación Stock]]&gt;0,"Sobrante",IF(Tabla2[[#This Row],[Variación Stock]]&lt;0,"Faltante","Sin novedad"))</f>
        <v>Faltante</v>
      </c>
    </row>
    <row r="3161" spans="1:14" hidden="1" x14ac:dyDescent="0.25">
      <c r="A3161" s="11">
        <v>46053</v>
      </c>
      <c r="B3161" s="5" t="s">
        <v>394</v>
      </c>
      <c r="C3161" s="3" t="s">
        <v>337</v>
      </c>
      <c r="D3161" s="5" t="s">
        <v>471</v>
      </c>
      <c r="E3161" s="5" t="s">
        <v>117</v>
      </c>
      <c r="F3161" s="6" t="s">
        <v>537</v>
      </c>
      <c r="G3161" s="4" t="s">
        <v>1</v>
      </c>
      <c r="H3161" s="25">
        <v>30</v>
      </c>
      <c r="I3161" s="8">
        <v>-1170</v>
      </c>
      <c r="J3161" s="9">
        <v>0</v>
      </c>
      <c r="K3161" s="7">
        <v>1170</v>
      </c>
      <c r="L3161" s="24">
        <f>+Tabla2[[#This Row],[Stock Inventario]]*Tabla2[[#This Row],[Coste LÃ­nea]]</f>
        <v>0</v>
      </c>
      <c r="M3161" s="24">
        <f>+Tabla2[[#This Row],[Variación Stock]]*Tabla2[[#This Row],[Coste LÃ­nea]]</f>
        <v>35100</v>
      </c>
      <c r="N3161" s="22" t="str">
        <f>+IF(Tabla2[[#This Row],[Variación Stock]]&gt;0,"Sobrante",IF(Tabla2[[#This Row],[Variación Stock]]&lt;0,"Faltante","Sin novedad"))</f>
        <v>Sobrante</v>
      </c>
    </row>
    <row r="3162" spans="1:14" hidden="1" x14ac:dyDescent="0.25">
      <c r="A3162" s="11">
        <v>46053</v>
      </c>
      <c r="B3162" s="5" t="s">
        <v>394</v>
      </c>
      <c r="C3162" s="3" t="s">
        <v>337</v>
      </c>
      <c r="D3162" s="5" t="s">
        <v>559</v>
      </c>
      <c r="E3162" s="5" t="s">
        <v>1080</v>
      </c>
      <c r="F3162" s="6" t="s">
        <v>582</v>
      </c>
      <c r="G3162" s="4" t="s">
        <v>2</v>
      </c>
      <c r="H3162" s="25">
        <v>6497</v>
      </c>
      <c r="I3162" s="8">
        <v>1</v>
      </c>
      <c r="J3162" s="9">
        <v>0</v>
      </c>
      <c r="K3162" s="7">
        <v>-1</v>
      </c>
      <c r="L3162" s="24">
        <f>+Tabla2[[#This Row],[Stock Inventario]]*Tabla2[[#This Row],[Coste LÃ­nea]]</f>
        <v>0</v>
      </c>
      <c r="M3162" s="24">
        <f>+Tabla2[[#This Row],[Variación Stock]]*Tabla2[[#This Row],[Coste LÃ­nea]]</f>
        <v>-6497</v>
      </c>
      <c r="N3162" s="22" t="str">
        <f>+IF(Tabla2[[#This Row],[Variación Stock]]&gt;0,"Sobrante",IF(Tabla2[[#This Row],[Variación Stock]]&lt;0,"Faltante","Sin novedad"))</f>
        <v>Faltante</v>
      </c>
    </row>
    <row r="3163" spans="1:14" x14ac:dyDescent="0.25">
      <c r="A3163" s="11">
        <v>46053</v>
      </c>
      <c r="B3163" s="5" t="s">
        <v>394</v>
      </c>
      <c r="C3163" s="3" t="s">
        <v>337</v>
      </c>
      <c r="D3163" s="5" t="s">
        <v>111</v>
      </c>
      <c r="E3163" s="5" t="s">
        <v>112</v>
      </c>
      <c r="F3163" s="6" t="s">
        <v>41</v>
      </c>
      <c r="G3163" s="4" t="s">
        <v>0</v>
      </c>
      <c r="H3163" s="25">
        <v>2904.0416666699998</v>
      </c>
      <c r="I3163" s="8">
        <v>12.72</v>
      </c>
      <c r="J3163" s="9">
        <v>37</v>
      </c>
      <c r="K3163" s="7">
        <v>24.28</v>
      </c>
      <c r="L3163" s="24">
        <f>+Tabla2[[#This Row],[Stock Inventario]]*Tabla2[[#This Row],[Coste LÃ­nea]]</f>
        <v>107449.54166679</v>
      </c>
      <c r="M3163" s="24">
        <f>+Tabla2[[#This Row],[Variación Stock]]*Tabla2[[#This Row],[Coste LÃ­nea]]</f>
        <v>70510.131666747606</v>
      </c>
      <c r="N3163" s="22" t="str">
        <f>+IF(Tabla2[[#This Row],[Variación Stock]]&gt;0,"Sobrante",IF(Tabla2[[#This Row],[Variación Stock]]&lt;0,"Faltante","Sin novedad"))</f>
        <v>Sobrante</v>
      </c>
    </row>
    <row r="3164" spans="1:14" x14ac:dyDescent="0.25">
      <c r="A3164" s="11">
        <v>46053</v>
      </c>
      <c r="B3164" s="5" t="s">
        <v>394</v>
      </c>
      <c r="C3164" s="3" t="s">
        <v>337</v>
      </c>
      <c r="D3164" s="5" t="s">
        <v>111</v>
      </c>
      <c r="E3164" s="5" t="s">
        <v>112</v>
      </c>
      <c r="F3164" s="6" t="s">
        <v>42</v>
      </c>
      <c r="G3164" s="4" t="s">
        <v>0</v>
      </c>
      <c r="H3164" s="25">
        <v>2906.3333333300002</v>
      </c>
      <c r="I3164" s="8">
        <v>18.34</v>
      </c>
      <c r="J3164" s="9">
        <v>19</v>
      </c>
      <c r="K3164" s="7">
        <v>0.66</v>
      </c>
      <c r="L3164" s="24">
        <f>+Tabla2[[#This Row],[Stock Inventario]]*Tabla2[[#This Row],[Coste LÃ­nea]]</f>
        <v>55220.333333270006</v>
      </c>
      <c r="M3164" s="24">
        <f>+Tabla2[[#This Row],[Variación Stock]]*Tabla2[[#This Row],[Coste LÃ­nea]]</f>
        <v>1918.1799999978002</v>
      </c>
      <c r="N3164" s="22" t="str">
        <f>+IF(Tabla2[[#This Row],[Variación Stock]]&gt;0,"Sobrante",IF(Tabla2[[#This Row],[Variación Stock]]&lt;0,"Faltante","Sin novedad"))</f>
        <v>Sobrante</v>
      </c>
    </row>
    <row r="3165" spans="1:14" x14ac:dyDescent="0.25">
      <c r="A3165" s="11">
        <v>46053</v>
      </c>
      <c r="B3165" s="5" t="s">
        <v>394</v>
      </c>
      <c r="C3165" s="3" t="s">
        <v>337</v>
      </c>
      <c r="D3165" s="5" t="s">
        <v>118</v>
      </c>
      <c r="E3165" s="5" t="s">
        <v>112</v>
      </c>
      <c r="F3165" s="6" t="s">
        <v>302</v>
      </c>
      <c r="G3165" s="4" t="s">
        <v>2</v>
      </c>
      <c r="H3165" s="25">
        <v>444869</v>
      </c>
      <c r="I3165" s="8">
        <v>0</v>
      </c>
      <c r="J3165" s="9">
        <v>0</v>
      </c>
      <c r="K3165" s="7">
        <v>0</v>
      </c>
      <c r="L3165" s="24">
        <f>+Tabla2[[#This Row],[Stock Inventario]]*Tabla2[[#This Row],[Coste LÃ­nea]]</f>
        <v>0</v>
      </c>
      <c r="M3165" s="24">
        <f>+Tabla2[[#This Row],[Variación Stock]]*Tabla2[[#This Row],[Coste LÃ­nea]]</f>
        <v>0</v>
      </c>
      <c r="N3165" s="22" t="str">
        <f>+IF(Tabla2[[#This Row],[Variación Stock]]&gt;0,"Sobrante",IF(Tabla2[[#This Row],[Variación Stock]]&lt;0,"Faltante","Sin novedad"))</f>
        <v>Sin novedad</v>
      </c>
    </row>
    <row r="3166" spans="1:14" hidden="1" x14ac:dyDescent="0.25">
      <c r="A3166" s="11">
        <v>46053</v>
      </c>
      <c r="B3166" s="5" t="s">
        <v>394</v>
      </c>
      <c r="C3166" s="3" t="s">
        <v>337</v>
      </c>
      <c r="D3166" s="5" t="s">
        <v>829</v>
      </c>
      <c r="E3166" s="5" t="s">
        <v>117</v>
      </c>
      <c r="F3166" s="6" t="s">
        <v>834</v>
      </c>
      <c r="G3166" s="4" t="s">
        <v>1</v>
      </c>
      <c r="H3166" s="25">
        <v>10.193790849999999</v>
      </c>
      <c r="I3166" s="8">
        <v>4000</v>
      </c>
      <c r="J3166" s="9">
        <v>0</v>
      </c>
      <c r="K3166" s="7">
        <v>-4000</v>
      </c>
      <c r="L3166" s="24">
        <f>+Tabla2[[#This Row],[Stock Inventario]]*Tabla2[[#This Row],[Coste LÃ­nea]]</f>
        <v>0</v>
      </c>
      <c r="M3166" s="24">
        <f>+Tabla2[[#This Row],[Variación Stock]]*Tabla2[[#This Row],[Coste LÃ­nea]]</f>
        <v>-40775.163399999998</v>
      </c>
      <c r="N3166" s="22" t="str">
        <f>+IF(Tabla2[[#This Row],[Variación Stock]]&gt;0,"Sobrante",IF(Tabla2[[#This Row],[Variación Stock]]&lt;0,"Faltante","Sin novedad"))</f>
        <v>Faltante</v>
      </c>
    </row>
    <row r="3167" spans="1:14" x14ac:dyDescent="0.25">
      <c r="A3167" s="11">
        <v>46053</v>
      </c>
      <c r="B3167" s="5" t="s">
        <v>394</v>
      </c>
      <c r="C3167" s="3" t="s">
        <v>337</v>
      </c>
      <c r="D3167" s="5" t="s">
        <v>118</v>
      </c>
      <c r="E3167" s="5" t="s">
        <v>112</v>
      </c>
      <c r="F3167" s="6" t="s">
        <v>303</v>
      </c>
      <c r="G3167" s="4" t="s">
        <v>81</v>
      </c>
      <c r="H3167" s="25">
        <v>15145.3</v>
      </c>
      <c r="I3167" s="8">
        <v>32</v>
      </c>
      <c r="J3167" s="9">
        <v>27</v>
      </c>
      <c r="K3167" s="7">
        <v>-5</v>
      </c>
      <c r="L3167" s="24">
        <f>+Tabla2[[#This Row],[Stock Inventario]]*Tabla2[[#This Row],[Coste LÃ­nea]]</f>
        <v>408923.1</v>
      </c>
      <c r="M3167" s="24">
        <f>+Tabla2[[#This Row],[Variación Stock]]*Tabla2[[#This Row],[Coste LÃ­nea]]</f>
        <v>-75726.5</v>
      </c>
      <c r="N3167" s="22" t="str">
        <f>+IF(Tabla2[[#This Row],[Variación Stock]]&gt;0,"Sobrante",IF(Tabla2[[#This Row],[Variación Stock]]&lt;0,"Faltante","Sin novedad"))</f>
        <v>Faltante</v>
      </c>
    </row>
    <row r="3168" spans="1:14" hidden="1" x14ac:dyDescent="0.25">
      <c r="A3168" s="11">
        <v>46053</v>
      </c>
      <c r="B3168" s="5" t="s">
        <v>394</v>
      </c>
      <c r="C3168" s="3" t="s">
        <v>337</v>
      </c>
      <c r="D3168" s="5" t="s">
        <v>396</v>
      </c>
      <c r="E3168" s="5" t="s">
        <v>117</v>
      </c>
      <c r="F3168" s="6" t="s">
        <v>455</v>
      </c>
      <c r="G3168" s="4" t="s">
        <v>1</v>
      </c>
      <c r="H3168" s="25">
        <v>16.262250000000002</v>
      </c>
      <c r="I3168" s="8">
        <v>4180</v>
      </c>
      <c r="J3168" s="9">
        <v>1000</v>
      </c>
      <c r="K3168" s="7">
        <v>-3180</v>
      </c>
      <c r="L3168" s="24">
        <f>+Tabla2[[#This Row],[Stock Inventario]]*Tabla2[[#This Row],[Coste LÃ­nea]]</f>
        <v>16262.250000000002</v>
      </c>
      <c r="M3168" s="24">
        <f>+Tabla2[[#This Row],[Variación Stock]]*Tabla2[[#This Row],[Coste LÃ­nea]]</f>
        <v>-51713.955000000002</v>
      </c>
      <c r="N3168" s="22" t="str">
        <f>+IF(Tabla2[[#This Row],[Variación Stock]]&gt;0,"Sobrante",IF(Tabla2[[#This Row],[Variación Stock]]&lt;0,"Faltante","Sin novedad"))</f>
        <v>Faltante</v>
      </c>
    </row>
    <row r="3169" spans="1:14" x14ac:dyDescent="0.25">
      <c r="A3169" s="11">
        <v>46053</v>
      </c>
      <c r="B3169" s="5" t="s">
        <v>394</v>
      </c>
      <c r="C3169" s="3" t="s">
        <v>337</v>
      </c>
      <c r="D3169" s="5" t="s">
        <v>118</v>
      </c>
      <c r="E3169" s="5" t="s">
        <v>112</v>
      </c>
      <c r="F3169" s="6" t="s">
        <v>82</v>
      </c>
      <c r="G3169" s="4" t="s">
        <v>2</v>
      </c>
      <c r="H3169" s="25">
        <v>63372.666666669997</v>
      </c>
      <c r="I3169" s="8">
        <v>3</v>
      </c>
      <c r="J3169" s="9">
        <v>3</v>
      </c>
      <c r="K3169" s="7">
        <v>0</v>
      </c>
      <c r="L3169" s="24">
        <f>+Tabla2[[#This Row],[Stock Inventario]]*Tabla2[[#This Row],[Coste LÃ­nea]]</f>
        <v>190118.00000000998</v>
      </c>
      <c r="M3169" s="24">
        <f>+Tabla2[[#This Row],[Variación Stock]]*Tabla2[[#This Row],[Coste LÃ­nea]]</f>
        <v>0</v>
      </c>
      <c r="N3169" s="22" t="str">
        <f>+IF(Tabla2[[#This Row],[Variación Stock]]&gt;0,"Sobrante",IF(Tabla2[[#This Row],[Variación Stock]]&lt;0,"Faltante","Sin novedad"))</f>
        <v>Sin novedad</v>
      </c>
    </row>
    <row r="3170" spans="1:14" x14ac:dyDescent="0.25">
      <c r="A3170" s="11">
        <v>46053</v>
      </c>
      <c r="B3170" s="5" t="s">
        <v>394</v>
      </c>
      <c r="C3170" s="3" t="s">
        <v>337</v>
      </c>
      <c r="D3170" s="5" t="s">
        <v>118</v>
      </c>
      <c r="E3170" s="5" t="s">
        <v>112</v>
      </c>
      <c r="F3170" s="6" t="s">
        <v>304</v>
      </c>
      <c r="G3170" s="4" t="s">
        <v>2</v>
      </c>
      <c r="H3170" s="25">
        <v>37616.5</v>
      </c>
      <c r="I3170" s="8">
        <v>4</v>
      </c>
      <c r="J3170" s="9">
        <v>4</v>
      </c>
      <c r="K3170" s="7">
        <v>0</v>
      </c>
      <c r="L3170" s="24">
        <f>+Tabla2[[#This Row],[Stock Inventario]]*Tabla2[[#This Row],[Coste LÃ­nea]]</f>
        <v>150466</v>
      </c>
      <c r="M3170" s="24">
        <f>+Tabla2[[#This Row],[Variación Stock]]*Tabla2[[#This Row],[Coste LÃ­nea]]</f>
        <v>0</v>
      </c>
      <c r="N3170" s="22" t="str">
        <f>+IF(Tabla2[[#This Row],[Variación Stock]]&gt;0,"Sobrante",IF(Tabla2[[#This Row],[Variación Stock]]&lt;0,"Faltante","Sin novedad"))</f>
        <v>Sin novedad</v>
      </c>
    </row>
    <row r="3171" spans="1:14" x14ac:dyDescent="0.25">
      <c r="A3171" s="11">
        <v>46053</v>
      </c>
      <c r="B3171" s="5" t="s">
        <v>394</v>
      </c>
      <c r="C3171" s="3" t="s">
        <v>337</v>
      </c>
      <c r="D3171" s="5" t="s">
        <v>118</v>
      </c>
      <c r="E3171" s="5" t="s">
        <v>112</v>
      </c>
      <c r="F3171" s="6" t="s">
        <v>83</v>
      </c>
      <c r="G3171" s="4" t="s">
        <v>2</v>
      </c>
      <c r="H3171" s="25">
        <v>37607.75</v>
      </c>
      <c r="I3171" s="8">
        <v>7</v>
      </c>
      <c r="J3171" s="9">
        <v>7</v>
      </c>
      <c r="K3171" s="7">
        <v>0</v>
      </c>
      <c r="L3171" s="24">
        <f>+Tabla2[[#This Row],[Stock Inventario]]*Tabla2[[#This Row],[Coste LÃ­nea]]</f>
        <v>263254.25</v>
      </c>
      <c r="M3171" s="24">
        <f>+Tabla2[[#This Row],[Variación Stock]]*Tabla2[[#This Row],[Coste LÃ­nea]]</f>
        <v>0</v>
      </c>
      <c r="N3171" s="22" t="str">
        <f>+IF(Tabla2[[#This Row],[Variación Stock]]&gt;0,"Sobrante",IF(Tabla2[[#This Row],[Variación Stock]]&lt;0,"Faltante","Sin novedad"))</f>
        <v>Sin novedad</v>
      </c>
    </row>
    <row r="3172" spans="1:14" x14ac:dyDescent="0.25">
      <c r="A3172" s="11">
        <v>46053</v>
      </c>
      <c r="B3172" s="5" t="s">
        <v>394</v>
      </c>
      <c r="C3172" s="3" t="s">
        <v>337</v>
      </c>
      <c r="D3172" s="5" t="s">
        <v>118</v>
      </c>
      <c r="E3172" s="5" t="s">
        <v>112</v>
      </c>
      <c r="F3172" s="6" t="s">
        <v>84</v>
      </c>
      <c r="G3172" s="4" t="s">
        <v>81</v>
      </c>
      <c r="H3172" s="25">
        <v>10879.03333333</v>
      </c>
      <c r="I3172" s="8">
        <v>0</v>
      </c>
      <c r="J3172" s="9">
        <v>0</v>
      </c>
      <c r="K3172" s="7">
        <v>0</v>
      </c>
      <c r="L3172" s="24">
        <f>+Tabla2[[#This Row],[Stock Inventario]]*Tabla2[[#This Row],[Coste LÃ­nea]]</f>
        <v>0</v>
      </c>
      <c r="M3172" s="24">
        <f>+Tabla2[[#This Row],[Variación Stock]]*Tabla2[[#This Row],[Coste LÃ­nea]]</f>
        <v>0</v>
      </c>
      <c r="N3172" s="22" t="str">
        <f>+IF(Tabla2[[#This Row],[Variación Stock]]&gt;0,"Sobrante",IF(Tabla2[[#This Row],[Variación Stock]]&lt;0,"Faltante","Sin novedad"))</f>
        <v>Sin novedad</v>
      </c>
    </row>
    <row r="3173" spans="1:14" x14ac:dyDescent="0.25">
      <c r="A3173" s="11">
        <v>46053</v>
      </c>
      <c r="B3173" s="5" t="s">
        <v>394</v>
      </c>
      <c r="C3173" s="3" t="s">
        <v>337</v>
      </c>
      <c r="D3173" s="5" t="s">
        <v>118</v>
      </c>
      <c r="E3173" s="5" t="s">
        <v>112</v>
      </c>
      <c r="F3173" s="6" t="s">
        <v>85</v>
      </c>
      <c r="G3173" s="4" t="s">
        <v>81</v>
      </c>
      <c r="H3173" s="25">
        <v>10875.1</v>
      </c>
      <c r="I3173" s="8">
        <v>11</v>
      </c>
      <c r="J3173" s="9">
        <v>6</v>
      </c>
      <c r="K3173" s="7">
        <v>-5</v>
      </c>
      <c r="L3173" s="24">
        <f>+Tabla2[[#This Row],[Stock Inventario]]*Tabla2[[#This Row],[Coste LÃ­nea]]</f>
        <v>65250.600000000006</v>
      </c>
      <c r="M3173" s="24">
        <f>+Tabla2[[#This Row],[Variación Stock]]*Tabla2[[#This Row],[Coste LÃ­nea]]</f>
        <v>-54375.5</v>
      </c>
      <c r="N3173" s="22" t="str">
        <f>+IF(Tabla2[[#This Row],[Variación Stock]]&gt;0,"Sobrante",IF(Tabla2[[#This Row],[Variación Stock]]&lt;0,"Faltante","Sin novedad"))</f>
        <v>Faltante</v>
      </c>
    </row>
    <row r="3174" spans="1:14" x14ac:dyDescent="0.25">
      <c r="A3174" s="11">
        <v>46053</v>
      </c>
      <c r="B3174" s="5" t="s">
        <v>394</v>
      </c>
      <c r="C3174" s="3" t="s">
        <v>337</v>
      </c>
      <c r="D3174" s="5" t="s">
        <v>118</v>
      </c>
      <c r="E3174" s="5" t="s">
        <v>112</v>
      </c>
      <c r="F3174" s="6" t="s">
        <v>86</v>
      </c>
      <c r="G3174" s="4" t="s">
        <v>81</v>
      </c>
      <c r="H3174" s="25">
        <v>10889.4</v>
      </c>
      <c r="I3174" s="8">
        <v>10</v>
      </c>
      <c r="J3174" s="9">
        <v>10</v>
      </c>
      <c r="K3174" s="7">
        <v>0</v>
      </c>
      <c r="L3174" s="24">
        <f>+Tabla2[[#This Row],[Stock Inventario]]*Tabla2[[#This Row],[Coste LÃ­nea]]</f>
        <v>108894</v>
      </c>
      <c r="M3174" s="24">
        <f>+Tabla2[[#This Row],[Variación Stock]]*Tabla2[[#This Row],[Coste LÃ­nea]]</f>
        <v>0</v>
      </c>
      <c r="N3174" s="22" t="str">
        <f>+IF(Tabla2[[#This Row],[Variación Stock]]&gt;0,"Sobrante",IF(Tabla2[[#This Row],[Variación Stock]]&lt;0,"Faltante","Sin novedad"))</f>
        <v>Sin novedad</v>
      </c>
    </row>
    <row r="3175" spans="1:14" x14ac:dyDescent="0.25">
      <c r="A3175" s="11">
        <v>46053</v>
      </c>
      <c r="B3175" s="5" t="s">
        <v>394</v>
      </c>
      <c r="C3175" s="3" t="s">
        <v>337</v>
      </c>
      <c r="D3175" s="5" t="s">
        <v>118</v>
      </c>
      <c r="E3175" s="5" t="s">
        <v>112</v>
      </c>
      <c r="F3175" s="6" t="s">
        <v>87</v>
      </c>
      <c r="G3175" s="4" t="s">
        <v>2</v>
      </c>
      <c r="H3175" s="25">
        <v>37612</v>
      </c>
      <c r="I3175" s="8">
        <v>4</v>
      </c>
      <c r="J3175" s="9">
        <v>4</v>
      </c>
      <c r="K3175" s="7">
        <v>0</v>
      </c>
      <c r="L3175" s="24">
        <f>+Tabla2[[#This Row],[Stock Inventario]]*Tabla2[[#This Row],[Coste LÃ­nea]]</f>
        <v>150448</v>
      </c>
      <c r="M3175" s="24">
        <f>+Tabla2[[#This Row],[Variación Stock]]*Tabla2[[#This Row],[Coste LÃ­nea]]</f>
        <v>0</v>
      </c>
      <c r="N3175" s="22" t="str">
        <f>+IF(Tabla2[[#This Row],[Variación Stock]]&gt;0,"Sobrante",IF(Tabla2[[#This Row],[Variación Stock]]&lt;0,"Faltante","Sin novedad"))</f>
        <v>Sin novedad</v>
      </c>
    </row>
    <row r="3176" spans="1:14" x14ac:dyDescent="0.25">
      <c r="A3176" s="11">
        <v>46053</v>
      </c>
      <c r="B3176" s="5" t="s">
        <v>394</v>
      </c>
      <c r="C3176" s="3" t="s">
        <v>337</v>
      </c>
      <c r="D3176" s="5" t="s">
        <v>118</v>
      </c>
      <c r="E3176" s="5" t="s">
        <v>112</v>
      </c>
      <c r="F3176" s="6" t="s">
        <v>88</v>
      </c>
      <c r="G3176" s="4" t="s">
        <v>81</v>
      </c>
      <c r="H3176" s="25">
        <v>4385.6000000000004</v>
      </c>
      <c r="I3176" s="8">
        <v>14</v>
      </c>
      <c r="J3176" s="9">
        <v>14</v>
      </c>
      <c r="K3176" s="7">
        <v>0</v>
      </c>
      <c r="L3176" s="24">
        <f>+Tabla2[[#This Row],[Stock Inventario]]*Tabla2[[#This Row],[Coste LÃ­nea]]</f>
        <v>61398.400000000009</v>
      </c>
      <c r="M3176" s="24">
        <f>+Tabla2[[#This Row],[Variación Stock]]*Tabla2[[#This Row],[Coste LÃ­nea]]</f>
        <v>0</v>
      </c>
      <c r="N3176" s="22" t="str">
        <f>+IF(Tabla2[[#This Row],[Variación Stock]]&gt;0,"Sobrante",IF(Tabla2[[#This Row],[Variación Stock]]&lt;0,"Faltante","Sin novedad"))</f>
        <v>Sin novedad</v>
      </c>
    </row>
    <row r="3177" spans="1:14" x14ac:dyDescent="0.25">
      <c r="A3177" s="11">
        <v>46053</v>
      </c>
      <c r="B3177" s="5" t="s">
        <v>394</v>
      </c>
      <c r="C3177" s="3" t="s">
        <v>337</v>
      </c>
      <c r="D3177" s="5" t="s">
        <v>118</v>
      </c>
      <c r="E3177" s="5" t="s">
        <v>112</v>
      </c>
      <c r="F3177" s="6" t="s">
        <v>89</v>
      </c>
      <c r="G3177" s="4" t="s">
        <v>81</v>
      </c>
      <c r="H3177" s="25">
        <v>4363.6000000000004</v>
      </c>
      <c r="I3177" s="8">
        <v>20</v>
      </c>
      <c r="J3177" s="9">
        <v>20</v>
      </c>
      <c r="K3177" s="7">
        <v>0</v>
      </c>
      <c r="L3177" s="24">
        <f>+Tabla2[[#This Row],[Stock Inventario]]*Tabla2[[#This Row],[Coste LÃ­nea]]</f>
        <v>87272</v>
      </c>
      <c r="M3177" s="24">
        <f>+Tabla2[[#This Row],[Variación Stock]]*Tabla2[[#This Row],[Coste LÃ­nea]]</f>
        <v>0</v>
      </c>
      <c r="N3177" s="22" t="str">
        <f>+IF(Tabla2[[#This Row],[Variación Stock]]&gt;0,"Sobrante",IF(Tabla2[[#This Row],[Variación Stock]]&lt;0,"Faltante","Sin novedad"))</f>
        <v>Sin novedad</v>
      </c>
    </row>
    <row r="3178" spans="1:14" x14ac:dyDescent="0.25">
      <c r="A3178" s="11">
        <v>46053</v>
      </c>
      <c r="B3178" s="5" t="s">
        <v>394</v>
      </c>
      <c r="C3178" s="3" t="s">
        <v>337</v>
      </c>
      <c r="D3178" s="5" t="s">
        <v>118</v>
      </c>
      <c r="E3178" s="5" t="s">
        <v>112</v>
      </c>
      <c r="F3178" s="6" t="s">
        <v>90</v>
      </c>
      <c r="G3178" s="4" t="s">
        <v>81</v>
      </c>
      <c r="H3178" s="25">
        <v>4385.1000000000004</v>
      </c>
      <c r="I3178" s="8">
        <v>0</v>
      </c>
      <c r="J3178" s="9">
        <v>0</v>
      </c>
      <c r="K3178" s="7">
        <v>0</v>
      </c>
      <c r="L3178" s="24">
        <f>+Tabla2[[#This Row],[Stock Inventario]]*Tabla2[[#This Row],[Coste LÃ­nea]]</f>
        <v>0</v>
      </c>
      <c r="M3178" s="24">
        <f>+Tabla2[[#This Row],[Variación Stock]]*Tabla2[[#This Row],[Coste LÃ­nea]]</f>
        <v>0</v>
      </c>
      <c r="N3178" s="22" t="str">
        <f>+IF(Tabla2[[#This Row],[Variación Stock]]&gt;0,"Sobrante",IF(Tabla2[[#This Row],[Variación Stock]]&lt;0,"Faltante","Sin novedad"))</f>
        <v>Sin novedad</v>
      </c>
    </row>
    <row r="3179" spans="1:14" x14ac:dyDescent="0.25">
      <c r="A3179" s="11">
        <v>46053</v>
      </c>
      <c r="B3179" s="5" t="s">
        <v>394</v>
      </c>
      <c r="C3179" s="3" t="s">
        <v>337</v>
      </c>
      <c r="D3179" s="5" t="s">
        <v>118</v>
      </c>
      <c r="E3179" s="5" t="s">
        <v>112</v>
      </c>
      <c r="F3179" s="6" t="s">
        <v>375</v>
      </c>
      <c r="G3179" s="4" t="s">
        <v>81</v>
      </c>
      <c r="H3179" s="25">
        <v>10709.9</v>
      </c>
      <c r="I3179" s="8">
        <v>0</v>
      </c>
      <c r="J3179" s="9">
        <v>0</v>
      </c>
      <c r="K3179" s="7">
        <v>0</v>
      </c>
      <c r="L3179" s="24">
        <f>+Tabla2[[#This Row],[Stock Inventario]]*Tabla2[[#This Row],[Coste LÃ­nea]]</f>
        <v>0</v>
      </c>
      <c r="M3179" s="24">
        <f>+Tabla2[[#This Row],[Variación Stock]]*Tabla2[[#This Row],[Coste LÃ­nea]]</f>
        <v>0</v>
      </c>
      <c r="N3179" s="22" t="str">
        <f>+IF(Tabla2[[#This Row],[Variación Stock]]&gt;0,"Sobrante",IF(Tabla2[[#This Row],[Variación Stock]]&lt;0,"Faltante","Sin novedad"))</f>
        <v>Sin novedad</v>
      </c>
    </row>
    <row r="3180" spans="1:14" x14ac:dyDescent="0.25">
      <c r="A3180" s="11">
        <v>46053</v>
      </c>
      <c r="B3180" s="5" t="s">
        <v>394</v>
      </c>
      <c r="C3180" s="3" t="s">
        <v>337</v>
      </c>
      <c r="D3180" s="5" t="s">
        <v>118</v>
      </c>
      <c r="E3180" s="5" t="s">
        <v>112</v>
      </c>
      <c r="F3180" s="6" t="s">
        <v>306</v>
      </c>
      <c r="G3180" s="4" t="s">
        <v>81</v>
      </c>
      <c r="H3180" s="25">
        <v>10715.3</v>
      </c>
      <c r="I3180" s="8">
        <v>3</v>
      </c>
      <c r="J3180" s="9">
        <v>7</v>
      </c>
      <c r="K3180" s="7">
        <v>4</v>
      </c>
      <c r="L3180" s="24">
        <f>+Tabla2[[#This Row],[Stock Inventario]]*Tabla2[[#This Row],[Coste LÃ­nea]]</f>
        <v>75007.099999999991</v>
      </c>
      <c r="M3180" s="24">
        <f>+Tabla2[[#This Row],[Variación Stock]]*Tabla2[[#This Row],[Coste LÃ­nea]]</f>
        <v>42861.2</v>
      </c>
      <c r="N3180" s="22" t="str">
        <f>+IF(Tabla2[[#This Row],[Variación Stock]]&gt;0,"Sobrante",IF(Tabla2[[#This Row],[Variación Stock]]&lt;0,"Faltante","Sin novedad"))</f>
        <v>Sobrante</v>
      </c>
    </row>
    <row r="3181" spans="1:14" x14ac:dyDescent="0.25">
      <c r="A3181" s="11">
        <v>46053</v>
      </c>
      <c r="B3181" s="5" t="s">
        <v>394</v>
      </c>
      <c r="C3181" s="3" t="s">
        <v>337</v>
      </c>
      <c r="D3181" s="5" t="s">
        <v>118</v>
      </c>
      <c r="E3181" s="5" t="s">
        <v>112</v>
      </c>
      <c r="F3181" s="6" t="s">
        <v>307</v>
      </c>
      <c r="G3181" s="4" t="s">
        <v>81</v>
      </c>
      <c r="H3181" s="25">
        <v>10710.6</v>
      </c>
      <c r="I3181" s="8">
        <v>38</v>
      </c>
      <c r="J3181" s="9">
        <v>38</v>
      </c>
      <c r="K3181" s="7">
        <v>0</v>
      </c>
      <c r="L3181" s="24">
        <f>+Tabla2[[#This Row],[Stock Inventario]]*Tabla2[[#This Row],[Coste LÃ­nea]]</f>
        <v>407002.8</v>
      </c>
      <c r="M3181" s="24">
        <f>+Tabla2[[#This Row],[Variación Stock]]*Tabla2[[#This Row],[Coste LÃ­nea]]</f>
        <v>0</v>
      </c>
      <c r="N3181" s="22" t="str">
        <f>+IF(Tabla2[[#This Row],[Variación Stock]]&gt;0,"Sobrante",IF(Tabla2[[#This Row],[Variación Stock]]&lt;0,"Faltante","Sin novedad"))</f>
        <v>Sin novedad</v>
      </c>
    </row>
    <row r="3182" spans="1:14" hidden="1" x14ac:dyDescent="0.25">
      <c r="A3182" s="11">
        <v>46053</v>
      </c>
      <c r="B3182" s="5" t="s">
        <v>394</v>
      </c>
      <c r="C3182" s="3" t="s">
        <v>337</v>
      </c>
      <c r="D3182" s="5" t="s">
        <v>396</v>
      </c>
      <c r="E3182" s="5" t="s">
        <v>117</v>
      </c>
      <c r="F3182" s="6" t="s">
        <v>456</v>
      </c>
      <c r="G3182" s="4" t="s">
        <v>1</v>
      </c>
      <c r="H3182" s="25">
        <v>28.478079170000001</v>
      </c>
      <c r="I3182" s="8">
        <v>-1210</v>
      </c>
      <c r="J3182" s="9">
        <v>0</v>
      </c>
      <c r="K3182" s="7">
        <v>1210</v>
      </c>
      <c r="L3182" s="24">
        <f>+Tabla2[[#This Row],[Stock Inventario]]*Tabla2[[#This Row],[Coste LÃ­nea]]</f>
        <v>0</v>
      </c>
      <c r="M3182" s="24">
        <f>+Tabla2[[#This Row],[Variación Stock]]*Tabla2[[#This Row],[Coste LÃ­nea]]</f>
        <v>34458.475795700004</v>
      </c>
      <c r="N3182" s="22" t="str">
        <f>+IF(Tabla2[[#This Row],[Variación Stock]]&gt;0,"Sobrante",IF(Tabla2[[#This Row],[Variación Stock]]&lt;0,"Faltante","Sin novedad"))</f>
        <v>Sobrante</v>
      </c>
    </row>
    <row r="3183" spans="1:14" x14ac:dyDescent="0.25">
      <c r="A3183" s="11">
        <v>46053</v>
      </c>
      <c r="B3183" s="5" t="s">
        <v>394</v>
      </c>
      <c r="C3183" s="3" t="s">
        <v>337</v>
      </c>
      <c r="D3183" s="5" t="s">
        <v>118</v>
      </c>
      <c r="E3183" s="5" t="s">
        <v>112</v>
      </c>
      <c r="F3183" s="6" t="s">
        <v>91</v>
      </c>
      <c r="G3183" s="4" t="s">
        <v>2</v>
      </c>
      <c r="H3183" s="25">
        <v>70600.5</v>
      </c>
      <c r="I3183" s="8">
        <v>4</v>
      </c>
      <c r="J3183" s="9">
        <v>4</v>
      </c>
      <c r="K3183" s="7">
        <v>0</v>
      </c>
      <c r="L3183" s="24">
        <f>+Tabla2[[#This Row],[Stock Inventario]]*Tabla2[[#This Row],[Coste LÃ­nea]]</f>
        <v>282402</v>
      </c>
      <c r="M3183" s="24">
        <f>+Tabla2[[#This Row],[Variación Stock]]*Tabla2[[#This Row],[Coste LÃ­nea]]</f>
        <v>0</v>
      </c>
      <c r="N3183" s="22" t="str">
        <f>+IF(Tabla2[[#This Row],[Variación Stock]]&gt;0,"Sobrante",IF(Tabla2[[#This Row],[Variación Stock]]&lt;0,"Faltante","Sin novedad"))</f>
        <v>Sin novedad</v>
      </c>
    </row>
    <row r="3184" spans="1:14" x14ac:dyDescent="0.25">
      <c r="A3184" s="11">
        <v>46053</v>
      </c>
      <c r="B3184" s="5" t="s">
        <v>394</v>
      </c>
      <c r="C3184" s="3" t="s">
        <v>337</v>
      </c>
      <c r="D3184" s="5" t="s">
        <v>118</v>
      </c>
      <c r="E3184" s="5" t="s">
        <v>112</v>
      </c>
      <c r="F3184" s="6" t="s">
        <v>311</v>
      </c>
      <c r="G3184" s="4" t="s">
        <v>2</v>
      </c>
      <c r="H3184" s="25">
        <v>79652</v>
      </c>
      <c r="I3184" s="8">
        <v>1</v>
      </c>
      <c r="J3184" s="9">
        <v>1</v>
      </c>
      <c r="K3184" s="7">
        <v>0</v>
      </c>
      <c r="L3184" s="24">
        <f>+Tabla2[[#This Row],[Stock Inventario]]*Tabla2[[#This Row],[Coste LÃ­nea]]</f>
        <v>79652</v>
      </c>
      <c r="M3184" s="24">
        <f>+Tabla2[[#This Row],[Variación Stock]]*Tabla2[[#This Row],[Coste LÃ­nea]]</f>
        <v>0</v>
      </c>
      <c r="N3184" s="22" t="str">
        <f>+IF(Tabla2[[#This Row],[Variación Stock]]&gt;0,"Sobrante",IF(Tabla2[[#This Row],[Variación Stock]]&lt;0,"Faltante","Sin novedad"))</f>
        <v>Sin novedad</v>
      </c>
    </row>
    <row r="3185" spans="1:14" x14ac:dyDescent="0.25">
      <c r="A3185" s="11">
        <v>46053</v>
      </c>
      <c r="B3185" s="5" t="s">
        <v>394</v>
      </c>
      <c r="C3185" s="3" t="s">
        <v>337</v>
      </c>
      <c r="D3185" s="5" t="s">
        <v>118</v>
      </c>
      <c r="E3185" s="5" t="s">
        <v>112</v>
      </c>
      <c r="F3185" s="6" t="s">
        <v>308</v>
      </c>
      <c r="G3185" s="4" t="s">
        <v>81</v>
      </c>
      <c r="H3185" s="25">
        <v>15144</v>
      </c>
      <c r="I3185" s="8">
        <v>18</v>
      </c>
      <c r="J3185" s="9">
        <v>18</v>
      </c>
      <c r="K3185" s="7">
        <v>0</v>
      </c>
      <c r="L3185" s="24">
        <f>+Tabla2[[#This Row],[Stock Inventario]]*Tabla2[[#This Row],[Coste LÃ­nea]]</f>
        <v>272592</v>
      </c>
      <c r="M3185" s="24">
        <f>+Tabla2[[#This Row],[Variación Stock]]*Tabla2[[#This Row],[Coste LÃ­nea]]</f>
        <v>0</v>
      </c>
      <c r="N3185" s="22" t="str">
        <f>+IF(Tabla2[[#This Row],[Variación Stock]]&gt;0,"Sobrante",IF(Tabla2[[#This Row],[Variación Stock]]&lt;0,"Faltante","Sin novedad"))</f>
        <v>Sin novedad</v>
      </c>
    </row>
    <row r="3186" spans="1:14" x14ac:dyDescent="0.25">
      <c r="A3186" s="11">
        <v>46053</v>
      </c>
      <c r="B3186" s="5" t="s">
        <v>394</v>
      </c>
      <c r="C3186" s="3" t="s">
        <v>337</v>
      </c>
      <c r="D3186" s="5" t="s">
        <v>118</v>
      </c>
      <c r="E3186" s="5" t="s">
        <v>112</v>
      </c>
      <c r="F3186" s="6" t="s">
        <v>292</v>
      </c>
      <c r="G3186" s="4" t="s">
        <v>81</v>
      </c>
      <c r="H3186" s="25">
        <v>10705</v>
      </c>
      <c r="I3186" s="8">
        <v>0</v>
      </c>
      <c r="J3186" s="9">
        <v>0</v>
      </c>
      <c r="K3186" s="7">
        <v>0</v>
      </c>
      <c r="L3186" s="24">
        <f>+Tabla2[[#This Row],[Stock Inventario]]*Tabla2[[#This Row],[Coste LÃ­nea]]</f>
        <v>0</v>
      </c>
      <c r="M3186" s="24">
        <f>+Tabla2[[#This Row],[Variación Stock]]*Tabla2[[#This Row],[Coste LÃ­nea]]</f>
        <v>0</v>
      </c>
      <c r="N3186" s="22" t="str">
        <f>+IF(Tabla2[[#This Row],[Variación Stock]]&gt;0,"Sobrante",IF(Tabla2[[#This Row],[Variación Stock]]&lt;0,"Faltante","Sin novedad"))</f>
        <v>Sin novedad</v>
      </c>
    </row>
    <row r="3187" spans="1:14" x14ac:dyDescent="0.25">
      <c r="A3187" s="11">
        <v>46053</v>
      </c>
      <c r="B3187" s="5" t="s">
        <v>394</v>
      </c>
      <c r="C3187" s="3" t="s">
        <v>337</v>
      </c>
      <c r="D3187" s="5" t="s">
        <v>118</v>
      </c>
      <c r="E3187" s="5" t="s">
        <v>112</v>
      </c>
      <c r="F3187" s="6" t="s">
        <v>92</v>
      </c>
      <c r="G3187" s="4" t="s">
        <v>81</v>
      </c>
      <c r="H3187" s="25">
        <v>10705</v>
      </c>
      <c r="I3187" s="8">
        <v>9</v>
      </c>
      <c r="J3187" s="9">
        <v>9</v>
      </c>
      <c r="K3187" s="7">
        <v>0</v>
      </c>
      <c r="L3187" s="24">
        <f>+Tabla2[[#This Row],[Stock Inventario]]*Tabla2[[#This Row],[Coste LÃ­nea]]</f>
        <v>96345</v>
      </c>
      <c r="M3187" s="24">
        <f>+Tabla2[[#This Row],[Variación Stock]]*Tabla2[[#This Row],[Coste LÃ­nea]]</f>
        <v>0</v>
      </c>
      <c r="N3187" s="22" t="str">
        <f>+IF(Tabla2[[#This Row],[Variación Stock]]&gt;0,"Sobrante",IF(Tabla2[[#This Row],[Variación Stock]]&lt;0,"Faltante","Sin novedad"))</f>
        <v>Sin novedad</v>
      </c>
    </row>
    <row r="3188" spans="1:14" x14ac:dyDescent="0.25">
      <c r="A3188" s="11">
        <v>46053</v>
      </c>
      <c r="B3188" s="5" t="s">
        <v>394</v>
      </c>
      <c r="C3188" s="3" t="s">
        <v>337</v>
      </c>
      <c r="D3188" s="5" t="s">
        <v>118</v>
      </c>
      <c r="E3188" s="5" t="s">
        <v>112</v>
      </c>
      <c r="F3188" s="6" t="s">
        <v>186</v>
      </c>
      <c r="G3188" s="4" t="s">
        <v>2</v>
      </c>
      <c r="H3188" s="25">
        <v>53140</v>
      </c>
      <c r="I3188" s="8">
        <v>0</v>
      </c>
      <c r="J3188" s="9">
        <v>0</v>
      </c>
      <c r="K3188" s="7">
        <v>0</v>
      </c>
      <c r="L3188" s="24">
        <f>+Tabla2[[#This Row],[Stock Inventario]]*Tabla2[[#This Row],[Coste LÃ­nea]]</f>
        <v>0</v>
      </c>
      <c r="M3188" s="24">
        <f>+Tabla2[[#This Row],[Variación Stock]]*Tabla2[[#This Row],[Coste LÃ­nea]]</f>
        <v>0</v>
      </c>
      <c r="N3188" s="22" t="str">
        <f>+IF(Tabla2[[#This Row],[Variación Stock]]&gt;0,"Sobrante",IF(Tabla2[[#This Row],[Variación Stock]]&lt;0,"Faltante","Sin novedad"))</f>
        <v>Sin novedad</v>
      </c>
    </row>
    <row r="3189" spans="1:14" x14ac:dyDescent="0.25">
      <c r="A3189" s="11">
        <v>46053</v>
      </c>
      <c r="B3189" s="5" t="s">
        <v>394</v>
      </c>
      <c r="C3189" s="3" t="s">
        <v>337</v>
      </c>
      <c r="D3189" s="5" t="s">
        <v>111</v>
      </c>
      <c r="E3189" s="5" t="s">
        <v>112</v>
      </c>
      <c r="F3189" s="6" t="s">
        <v>395</v>
      </c>
      <c r="G3189" s="4" t="s">
        <v>0</v>
      </c>
      <c r="H3189" s="25">
        <v>1794</v>
      </c>
      <c r="I3189" s="8">
        <v>0</v>
      </c>
      <c r="J3189" s="9">
        <v>0</v>
      </c>
      <c r="K3189" s="7">
        <v>0</v>
      </c>
      <c r="L3189" s="24">
        <f>+Tabla2[[#This Row],[Stock Inventario]]*Tabla2[[#This Row],[Coste LÃ­nea]]</f>
        <v>0</v>
      </c>
      <c r="M3189" s="24">
        <f>+Tabla2[[#This Row],[Variación Stock]]*Tabla2[[#This Row],[Coste LÃ­nea]]</f>
        <v>0</v>
      </c>
      <c r="N3189" s="22" t="str">
        <f>+IF(Tabla2[[#This Row],[Variación Stock]]&gt;0,"Sobrante",IF(Tabla2[[#This Row],[Variación Stock]]&lt;0,"Faltante","Sin novedad"))</f>
        <v>Sin novedad</v>
      </c>
    </row>
    <row r="3190" spans="1:14" x14ac:dyDescent="0.25">
      <c r="A3190" s="11">
        <v>46053</v>
      </c>
      <c r="B3190" s="5" t="s">
        <v>394</v>
      </c>
      <c r="C3190" s="3" t="s">
        <v>337</v>
      </c>
      <c r="D3190" s="5" t="s">
        <v>111</v>
      </c>
      <c r="E3190" s="5" t="s">
        <v>112</v>
      </c>
      <c r="F3190" s="6" t="s">
        <v>43</v>
      </c>
      <c r="G3190" s="4" t="s">
        <v>0</v>
      </c>
      <c r="H3190" s="25">
        <v>3022.8333333300002</v>
      </c>
      <c r="I3190" s="8">
        <v>96</v>
      </c>
      <c r="J3190" s="9">
        <v>83</v>
      </c>
      <c r="K3190" s="7">
        <v>-13</v>
      </c>
      <c r="L3190" s="24">
        <f>+Tabla2[[#This Row],[Stock Inventario]]*Tabla2[[#This Row],[Coste LÃ­nea]]</f>
        <v>250895.16666639003</v>
      </c>
      <c r="M3190" s="24">
        <f>+Tabla2[[#This Row],[Variación Stock]]*Tabla2[[#This Row],[Coste LÃ­nea]]</f>
        <v>-39296.83333329</v>
      </c>
      <c r="N3190" s="22" t="str">
        <f>+IF(Tabla2[[#This Row],[Variación Stock]]&gt;0,"Sobrante",IF(Tabla2[[#This Row],[Variación Stock]]&lt;0,"Faltante","Sin novedad"))</f>
        <v>Faltante</v>
      </c>
    </row>
    <row r="3191" spans="1:14" hidden="1" x14ac:dyDescent="0.25">
      <c r="A3191" s="11">
        <v>46053</v>
      </c>
      <c r="B3191" s="5" t="s">
        <v>394</v>
      </c>
      <c r="C3191" s="3" t="s">
        <v>337</v>
      </c>
      <c r="D3191" s="5" t="s">
        <v>396</v>
      </c>
      <c r="E3191" s="5" t="s">
        <v>117</v>
      </c>
      <c r="F3191" s="6" t="s">
        <v>428</v>
      </c>
      <c r="G3191" s="4" t="s">
        <v>1</v>
      </c>
      <c r="H3191" s="25">
        <v>58.31</v>
      </c>
      <c r="I3191" s="8">
        <v>2496</v>
      </c>
      <c r="J3191" s="9">
        <v>744</v>
      </c>
      <c r="K3191" s="7">
        <v>-1752</v>
      </c>
      <c r="L3191" s="24">
        <f>+Tabla2[[#This Row],[Stock Inventario]]*Tabla2[[#This Row],[Coste LÃ­nea]]</f>
        <v>43382.64</v>
      </c>
      <c r="M3191" s="24">
        <f>+Tabla2[[#This Row],[Variación Stock]]*Tabla2[[#This Row],[Coste LÃ­nea]]</f>
        <v>-102159.12000000001</v>
      </c>
      <c r="N3191" s="22" t="str">
        <f>+IF(Tabla2[[#This Row],[Variación Stock]]&gt;0,"Sobrante",IF(Tabla2[[#This Row],[Variación Stock]]&lt;0,"Faltante","Sin novedad"))</f>
        <v>Faltante</v>
      </c>
    </row>
    <row r="3192" spans="1:14" hidden="1" x14ac:dyDescent="0.25">
      <c r="A3192" s="11">
        <v>46053</v>
      </c>
      <c r="B3192" s="5" t="s">
        <v>394</v>
      </c>
      <c r="C3192" s="3" t="s">
        <v>337</v>
      </c>
      <c r="D3192" s="5" t="s">
        <v>396</v>
      </c>
      <c r="E3192" s="5" t="s">
        <v>117</v>
      </c>
      <c r="F3192" s="6" t="s">
        <v>464</v>
      </c>
      <c r="G3192" s="4" t="s">
        <v>1</v>
      </c>
      <c r="H3192" s="25">
        <v>23</v>
      </c>
      <c r="I3192" s="8">
        <v>0</v>
      </c>
      <c r="J3192" s="9">
        <v>0</v>
      </c>
      <c r="K3192" s="7">
        <v>0</v>
      </c>
      <c r="L3192" s="24">
        <f>+Tabla2[[#This Row],[Stock Inventario]]*Tabla2[[#This Row],[Coste LÃ­nea]]</f>
        <v>0</v>
      </c>
      <c r="M3192" s="24">
        <f>+Tabla2[[#This Row],[Variación Stock]]*Tabla2[[#This Row],[Coste LÃ­nea]]</f>
        <v>0</v>
      </c>
      <c r="N3192" s="22" t="str">
        <f>+IF(Tabla2[[#This Row],[Variación Stock]]&gt;0,"Sobrante",IF(Tabla2[[#This Row],[Variación Stock]]&lt;0,"Faltante","Sin novedad"))</f>
        <v>Sin novedad</v>
      </c>
    </row>
    <row r="3193" spans="1:14" x14ac:dyDescent="0.25">
      <c r="A3193" s="11">
        <v>46053</v>
      </c>
      <c r="B3193" s="5" t="s">
        <v>394</v>
      </c>
      <c r="C3193" s="28" t="s">
        <v>337</v>
      </c>
      <c r="D3193" s="5" t="s">
        <v>111</v>
      </c>
      <c r="E3193" s="5" t="s">
        <v>112</v>
      </c>
      <c r="F3193" s="6" t="s">
        <v>130</v>
      </c>
      <c r="G3193" s="4" t="s">
        <v>0</v>
      </c>
      <c r="H3193" s="25">
        <v>1997.7272727300001</v>
      </c>
      <c r="I3193" s="8">
        <v>0</v>
      </c>
      <c r="J3193" s="9">
        <v>0</v>
      </c>
      <c r="K3193" s="7">
        <v>0</v>
      </c>
      <c r="L3193" s="24">
        <f>+Tabla2[[#This Row],[Stock Inventario]]*Tabla2[[#This Row],[Coste LÃ­nea]]</f>
        <v>0</v>
      </c>
      <c r="M3193" s="24">
        <f>+Tabla2[[#This Row],[Variación Stock]]*Tabla2[[#This Row],[Coste LÃ­nea]]</f>
        <v>0</v>
      </c>
      <c r="N3193" s="22" t="str">
        <f>+IF(Tabla2[[#This Row],[Variación Stock]]&gt;0,"Sobrante",IF(Tabla2[[#This Row],[Variación Stock]]&lt;0,"Faltante","Sin novedad"))</f>
        <v>Sin novedad</v>
      </c>
    </row>
    <row r="3194" spans="1:14" x14ac:dyDescent="0.25">
      <c r="A3194" s="11">
        <v>46053</v>
      </c>
      <c r="B3194" s="5" t="s">
        <v>394</v>
      </c>
      <c r="C3194" s="3" t="s">
        <v>337</v>
      </c>
      <c r="D3194" s="5" t="s">
        <v>111</v>
      </c>
      <c r="E3194" s="5" t="s">
        <v>112</v>
      </c>
      <c r="F3194" s="6" t="s">
        <v>113</v>
      </c>
      <c r="G3194" s="4" t="s">
        <v>0</v>
      </c>
      <c r="H3194" s="25">
        <v>20566.318181819999</v>
      </c>
      <c r="I3194" s="8">
        <v>20</v>
      </c>
      <c r="J3194" s="9">
        <v>21</v>
      </c>
      <c r="K3194" s="7">
        <v>1</v>
      </c>
      <c r="L3194" s="24">
        <f>+Tabla2[[#This Row],[Stock Inventario]]*Tabla2[[#This Row],[Coste LÃ­nea]]</f>
        <v>431892.68181822001</v>
      </c>
      <c r="M3194" s="24">
        <f>+Tabla2[[#This Row],[Variación Stock]]*Tabla2[[#This Row],[Coste LÃ­nea]]</f>
        <v>20566.318181819999</v>
      </c>
      <c r="N3194" s="22" t="str">
        <f>+IF(Tabla2[[#This Row],[Variación Stock]]&gt;0,"Sobrante",IF(Tabla2[[#This Row],[Variación Stock]]&lt;0,"Faltante","Sin novedad"))</f>
        <v>Sobrante</v>
      </c>
    </row>
    <row r="3195" spans="1:14" x14ac:dyDescent="0.25">
      <c r="A3195" s="11">
        <v>46053</v>
      </c>
      <c r="B3195" s="5" t="s">
        <v>394</v>
      </c>
      <c r="C3195" s="3" t="s">
        <v>337</v>
      </c>
      <c r="D3195" s="5" t="s">
        <v>111</v>
      </c>
      <c r="E3195" s="5" t="s">
        <v>112</v>
      </c>
      <c r="F3195" s="6" t="s">
        <v>34</v>
      </c>
      <c r="G3195" s="4" t="s">
        <v>0</v>
      </c>
      <c r="H3195" s="25">
        <v>6433.0454545499997</v>
      </c>
      <c r="I3195" s="8">
        <v>58</v>
      </c>
      <c r="J3195" s="9">
        <v>58</v>
      </c>
      <c r="K3195" s="7">
        <v>0</v>
      </c>
      <c r="L3195" s="24">
        <f>+Tabla2[[#This Row],[Stock Inventario]]*Tabla2[[#This Row],[Coste LÃ­nea]]</f>
        <v>373116.63636389998</v>
      </c>
      <c r="M3195" s="24">
        <f>+Tabla2[[#This Row],[Variación Stock]]*Tabla2[[#This Row],[Coste LÃ­nea]]</f>
        <v>0</v>
      </c>
      <c r="N3195" s="22" t="str">
        <f>+IF(Tabla2[[#This Row],[Variación Stock]]&gt;0,"Sobrante",IF(Tabla2[[#This Row],[Variación Stock]]&lt;0,"Faltante","Sin novedad"))</f>
        <v>Sin novedad</v>
      </c>
    </row>
    <row r="3196" spans="1:14" hidden="1" x14ac:dyDescent="0.25">
      <c r="A3196" s="11">
        <v>46053</v>
      </c>
      <c r="B3196" s="5" t="s">
        <v>394</v>
      </c>
      <c r="C3196" s="3" t="s">
        <v>337</v>
      </c>
      <c r="D3196" s="5" t="s">
        <v>626</v>
      </c>
      <c r="E3196" s="5" t="s">
        <v>1079</v>
      </c>
      <c r="F3196" s="6" t="s">
        <v>672</v>
      </c>
      <c r="G3196" s="4" t="s">
        <v>2</v>
      </c>
      <c r="H3196" s="25">
        <v>54021</v>
      </c>
      <c r="I3196" s="8">
        <v>0</v>
      </c>
      <c r="J3196" s="9">
        <v>0</v>
      </c>
      <c r="K3196" s="7">
        <v>0</v>
      </c>
      <c r="L3196" s="24">
        <f>+Tabla2[[#This Row],[Stock Inventario]]*Tabla2[[#This Row],[Coste LÃ­nea]]</f>
        <v>0</v>
      </c>
      <c r="M3196" s="24">
        <f>+Tabla2[[#This Row],[Variación Stock]]*Tabla2[[#This Row],[Coste LÃ­nea]]</f>
        <v>0</v>
      </c>
      <c r="N3196" s="22" t="str">
        <f>+IF(Tabla2[[#This Row],[Variación Stock]]&gt;0,"Sobrante",IF(Tabla2[[#This Row],[Variación Stock]]&lt;0,"Faltante","Sin novedad"))</f>
        <v>Sin novedad</v>
      </c>
    </row>
    <row r="3197" spans="1:14" hidden="1" x14ac:dyDescent="0.25">
      <c r="A3197" s="11">
        <v>46053</v>
      </c>
      <c r="B3197" s="5" t="s">
        <v>394</v>
      </c>
      <c r="C3197" s="3" t="s">
        <v>337</v>
      </c>
      <c r="D3197" s="5" t="s">
        <v>471</v>
      </c>
      <c r="E3197" s="5" t="s">
        <v>117</v>
      </c>
      <c r="F3197" s="6" t="s">
        <v>538</v>
      </c>
      <c r="G3197" s="4" t="s">
        <v>1</v>
      </c>
      <c r="H3197" s="25">
        <v>4</v>
      </c>
      <c r="I3197" s="8">
        <v>26918.571199999998</v>
      </c>
      <c r="J3197" s="9">
        <v>0</v>
      </c>
      <c r="K3197" s="7">
        <v>-26918.571199999998</v>
      </c>
      <c r="L3197" s="24">
        <f>+Tabla2[[#This Row],[Stock Inventario]]*Tabla2[[#This Row],[Coste LÃ­nea]]</f>
        <v>0</v>
      </c>
      <c r="M3197" s="24">
        <f>+Tabla2[[#This Row],[Variación Stock]]*Tabla2[[#This Row],[Coste LÃ­nea]]</f>
        <v>-107674.28479999999</v>
      </c>
      <c r="N3197" s="22" t="str">
        <f>+IF(Tabla2[[#This Row],[Variación Stock]]&gt;0,"Sobrante",IF(Tabla2[[#This Row],[Variación Stock]]&lt;0,"Faltante","Sin novedad"))</f>
        <v>Faltante</v>
      </c>
    </row>
    <row r="3198" spans="1:14" hidden="1" x14ac:dyDescent="0.25">
      <c r="A3198" s="11">
        <v>46053</v>
      </c>
      <c r="B3198" s="5" t="s">
        <v>394</v>
      </c>
      <c r="C3198" s="3" t="s">
        <v>337</v>
      </c>
      <c r="D3198" s="5" t="s">
        <v>471</v>
      </c>
      <c r="E3198" s="5" t="s">
        <v>117</v>
      </c>
      <c r="F3198" s="6" t="s">
        <v>539</v>
      </c>
      <c r="G3198" s="4" t="s">
        <v>1</v>
      </c>
      <c r="H3198" s="25">
        <v>1.6</v>
      </c>
      <c r="I3198" s="8">
        <v>2007.1112000000001</v>
      </c>
      <c r="J3198" s="9">
        <v>2888</v>
      </c>
      <c r="K3198" s="7">
        <v>880.88881400000002</v>
      </c>
      <c r="L3198" s="24">
        <f>+Tabla2[[#This Row],[Stock Inventario]]*Tabla2[[#This Row],[Coste LÃ­nea]]</f>
        <v>4620.8</v>
      </c>
      <c r="M3198" s="24">
        <f>+Tabla2[[#This Row],[Variación Stock]]*Tabla2[[#This Row],[Coste LÃ­nea]]</f>
        <v>1409.4221024000001</v>
      </c>
      <c r="N3198" s="22" t="str">
        <f>+IF(Tabla2[[#This Row],[Variación Stock]]&gt;0,"Sobrante",IF(Tabla2[[#This Row],[Variación Stock]]&lt;0,"Faltante","Sin novedad"))</f>
        <v>Sobrante</v>
      </c>
    </row>
    <row r="3199" spans="1:14" hidden="1" x14ac:dyDescent="0.25">
      <c r="A3199" s="11">
        <v>46065</v>
      </c>
      <c r="B3199" s="5" t="s">
        <v>1092</v>
      </c>
      <c r="C3199" s="3" t="s">
        <v>337</v>
      </c>
      <c r="D3199" s="5" t="s">
        <v>116</v>
      </c>
      <c r="E3199" s="5" t="s">
        <v>117</v>
      </c>
      <c r="F3199" s="6" t="s">
        <v>5</v>
      </c>
      <c r="G3199" s="4" t="s">
        <v>1</v>
      </c>
      <c r="H3199" s="25">
        <v>23</v>
      </c>
      <c r="I3199" s="8">
        <v>-164599.9993</v>
      </c>
      <c r="J3199" s="9">
        <v>3000</v>
      </c>
      <c r="K3199" s="7">
        <v>167599.99932999999</v>
      </c>
      <c r="L3199" s="24">
        <f>+Tabla2[[#This Row],[Stock Inventario]]*Tabla2[[#This Row],[Coste LÃ­nea]]</f>
        <v>69000</v>
      </c>
      <c r="M3199" s="24">
        <f>+Tabla2[[#This Row],[Variación Stock]]*Tabla2[[#This Row],[Coste LÃ­nea]]</f>
        <v>3854799.98459</v>
      </c>
      <c r="N3199" s="22" t="str">
        <f>+IF(Tabla2[[#This Row],[Variación Stock]]&gt;0,"Sobrante",IF(Tabla2[[#This Row],[Variación Stock]]&lt;0,"Faltante","Sin novedad"))</f>
        <v>Sobrante</v>
      </c>
    </row>
    <row r="3200" spans="1:14" hidden="1" x14ac:dyDescent="0.25">
      <c r="A3200" s="11">
        <v>46065</v>
      </c>
      <c r="B3200" s="5" t="s">
        <v>1092</v>
      </c>
      <c r="C3200" s="3" t="s">
        <v>337</v>
      </c>
      <c r="D3200" s="5" t="s">
        <v>119</v>
      </c>
      <c r="E3200" s="5" t="s">
        <v>117</v>
      </c>
      <c r="F3200" s="6" t="s">
        <v>93</v>
      </c>
      <c r="G3200" s="4" t="s">
        <v>1</v>
      </c>
      <c r="H3200" s="25">
        <v>54.545000000000002</v>
      </c>
      <c r="I3200" s="8">
        <v>6249.1111000000001</v>
      </c>
      <c r="J3200" s="9">
        <v>15418</v>
      </c>
      <c r="K3200" s="7">
        <v>9168.8889380000001</v>
      </c>
      <c r="L3200" s="24">
        <f>+Tabla2[[#This Row],[Stock Inventario]]*Tabla2[[#This Row],[Coste LÃ­nea]]</f>
        <v>840974.81</v>
      </c>
      <c r="M3200" s="24">
        <f>+Tabla2[[#This Row],[Variación Stock]]*Tabla2[[#This Row],[Coste LÃ­nea]]</f>
        <v>500117.04712321004</v>
      </c>
      <c r="N3200" s="22" t="str">
        <f>+IF(Tabla2[[#This Row],[Variación Stock]]&gt;0,"Sobrante",IF(Tabla2[[#This Row],[Variación Stock]]&lt;0,"Faltante","Sin novedad"))</f>
        <v>Sobrante</v>
      </c>
    </row>
    <row r="3201" spans="1:14" hidden="1" x14ac:dyDescent="0.25">
      <c r="A3201" s="11">
        <v>46065</v>
      </c>
      <c r="B3201" s="5" t="s">
        <v>1092</v>
      </c>
      <c r="C3201" s="3" t="s">
        <v>337</v>
      </c>
      <c r="D3201" s="5" t="s">
        <v>120</v>
      </c>
      <c r="E3201" s="5" t="s">
        <v>117</v>
      </c>
      <c r="F3201" s="6" t="s">
        <v>312</v>
      </c>
      <c r="G3201" s="4" t="s">
        <v>1</v>
      </c>
      <c r="H3201" s="25">
        <v>4.9264214500000003</v>
      </c>
      <c r="I3201" s="8">
        <v>-644</v>
      </c>
      <c r="J3201" s="9">
        <v>780</v>
      </c>
      <c r="K3201" s="7">
        <v>1424</v>
      </c>
      <c r="L3201" s="24">
        <f>+Tabla2[[#This Row],[Stock Inventario]]*Tabla2[[#This Row],[Coste LÃ­nea]]</f>
        <v>3842.6087310000003</v>
      </c>
      <c r="M3201" s="24">
        <f>+Tabla2[[#This Row],[Variación Stock]]*Tabla2[[#This Row],[Coste LÃ­nea]]</f>
        <v>7015.2241448000004</v>
      </c>
      <c r="N3201" s="22" t="str">
        <f>+IF(Tabla2[[#This Row],[Variación Stock]]&gt;0,"Sobrante",IF(Tabla2[[#This Row],[Variación Stock]]&lt;0,"Faltante","Sin novedad"))</f>
        <v>Sobrante</v>
      </c>
    </row>
    <row r="3202" spans="1:14" hidden="1" x14ac:dyDescent="0.25">
      <c r="A3202" s="11">
        <v>46065</v>
      </c>
      <c r="B3202" s="5" t="s">
        <v>1092</v>
      </c>
      <c r="C3202" s="3" t="s">
        <v>337</v>
      </c>
      <c r="D3202" s="5" t="s">
        <v>119</v>
      </c>
      <c r="E3202" s="5" t="s">
        <v>117</v>
      </c>
      <c r="F3202" s="6" t="s">
        <v>95</v>
      </c>
      <c r="G3202" s="4" t="s">
        <v>1</v>
      </c>
      <c r="H3202" s="25">
        <v>39</v>
      </c>
      <c r="I3202" s="8">
        <v>5243.3329999999996</v>
      </c>
      <c r="J3202" s="9">
        <v>6414</v>
      </c>
      <c r="K3202" s="7">
        <v>1170.666952</v>
      </c>
      <c r="L3202" s="24">
        <f>+Tabla2[[#This Row],[Stock Inventario]]*Tabla2[[#This Row],[Coste LÃ­nea]]</f>
        <v>250146</v>
      </c>
      <c r="M3202" s="24">
        <f>+Tabla2[[#This Row],[Variación Stock]]*Tabla2[[#This Row],[Coste LÃ­nea]]</f>
        <v>45656.011127999998</v>
      </c>
      <c r="N3202" s="22" t="str">
        <f>+IF(Tabla2[[#This Row],[Variación Stock]]&gt;0,"Sobrante",IF(Tabla2[[#This Row],[Variación Stock]]&lt;0,"Faltante","Sin novedad"))</f>
        <v>Sobrante</v>
      </c>
    </row>
    <row r="3203" spans="1:14" hidden="1" x14ac:dyDescent="0.25">
      <c r="A3203" s="11">
        <v>46065</v>
      </c>
      <c r="B3203" s="5" t="s">
        <v>1092</v>
      </c>
      <c r="C3203" s="3" t="s">
        <v>337</v>
      </c>
      <c r="D3203" s="5" t="s">
        <v>323</v>
      </c>
      <c r="E3203" s="5" t="s">
        <v>117</v>
      </c>
      <c r="F3203" s="6" t="s">
        <v>327</v>
      </c>
      <c r="G3203" s="4" t="s">
        <v>1</v>
      </c>
      <c r="H3203" s="25">
        <v>63.986645770000003</v>
      </c>
      <c r="I3203" s="8">
        <v>877.5</v>
      </c>
      <c r="J3203" s="9">
        <v>1800</v>
      </c>
      <c r="K3203" s="7">
        <v>922.5</v>
      </c>
      <c r="L3203" s="24">
        <f>+Tabla2[[#This Row],[Stock Inventario]]*Tabla2[[#This Row],[Coste LÃ­nea]]</f>
        <v>115175.962386</v>
      </c>
      <c r="M3203" s="24">
        <f>+Tabla2[[#This Row],[Variación Stock]]*Tabla2[[#This Row],[Coste LÃ­nea]]</f>
        <v>59027.680722825004</v>
      </c>
      <c r="N3203" s="22" t="str">
        <f>+IF(Tabla2[[#This Row],[Variación Stock]]&gt;0,"Sobrante",IF(Tabla2[[#This Row],[Variación Stock]]&lt;0,"Faltante","Sin novedad"))</f>
        <v>Sobrante</v>
      </c>
    </row>
    <row r="3204" spans="1:14" hidden="1" x14ac:dyDescent="0.25">
      <c r="A3204" s="11">
        <v>46065</v>
      </c>
      <c r="B3204" s="5" t="s">
        <v>1092</v>
      </c>
      <c r="C3204" s="3" t="s">
        <v>337</v>
      </c>
      <c r="D3204" s="5" t="s">
        <v>120</v>
      </c>
      <c r="E3204" s="5" t="s">
        <v>117</v>
      </c>
      <c r="F3204" s="6" t="s">
        <v>314</v>
      </c>
      <c r="G3204" s="4" t="s">
        <v>2</v>
      </c>
      <c r="H3204" s="25">
        <v>651.05372451999995</v>
      </c>
      <c r="I3204" s="8">
        <v>42</v>
      </c>
      <c r="J3204" s="9">
        <v>412</v>
      </c>
      <c r="K3204" s="7">
        <v>370</v>
      </c>
      <c r="L3204" s="24">
        <f>+Tabla2[[#This Row],[Stock Inventario]]*Tabla2[[#This Row],[Coste LÃ­nea]]</f>
        <v>268234.13450223999</v>
      </c>
      <c r="M3204" s="24">
        <f>+Tabla2[[#This Row],[Variación Stock]]*Tabla2[[#This Row],[Coste LÃ­nea]]</f>
        <v>240889.87807239997</v>
      </c>
      <c r="N3204" s="22" t="str">
        <f>+IF(Tabla2[[#This Row],[Variación Stock]]&gt;0,"Sobrante",IF(Tabla2[[#This Row],[Variación Stock]]&lt;0,"Faltante","Sin novedad"))</f>
        <v>Sobrante</v>
      </c>
    </row>
    <row r="3205" spans="1:14" hidden="1" x14ac:dyDescent="0.25">
      <c r="A3205" s="11">
        <v>46065</v>
      </c>
      <c r="B3205" s="5" t="s">
        <v>1092</v>
      </c>
      <c r="C3205" s="3" t="s">
        <v>337</v>
      </c>
      <c r="D3205" s="5" t="s">
        <v>116</v>
      </c>
      <c r="E3205" s="5" t="s">
        <v>117</v>
      </c>
      <c r="F3205" s="6" t="s">
        <v>79</v>
      </c>
      <c r="G3205" s="4" t="s">
        <v>2</v>
      </c>
      <c r="H3205" s="25">
        <v>4850</v>
      </c>
      <c r="I3205" s="8">
        <v>-148</v>
      </c>
      <c r="J3205" s="9">
        <v>28</v>
      </c>
      <c r="K3205" s="7">
        <v>176</v>
      </c>
      <c r="L3205" s="24">
        <f>+Tabla2[[#This Row],[Stock Inventario]]*Tabla2[[#This Row],[Coste LÃ­nea]]</f>
        <v>135800</v>
      </c>
      <c r="M3205" s="24">
        <f>+Tabla2[[#This Row],[Variación Stock]]*Tabla2[[#This Row],[Coste LÃ­nea]]</f>
        <v>853600</v>
      </c>
      <c r="N3205" s="22" t="str">
        <f>+IF(Tabla2[[#This Row],[Variación Stock]]&gt;0,"Sobrante",IF(Tabla2[[#This Row],[Variación Stock]]&lt;0,"Faltante","Sin novedad"))</f>
        <v>Sobrante</v>
      </c>
    </row>
    <row r="3206" spans="1:14" hidden="1" x14ac:dyDescent="0.25">
      <c r="A3206" s="11">
        <v>46065</v>
      </c>
      <c r="B3206" s="5" t="s">
        <v>1092</v>
      </c>
      <c r="C3206" s="3" t="s">
        <v>337</v>
      </c>
      <c r="D3206" s="5" t="s">
        <v>116</v>
      </c>
      <c r="E3206" s="5" t="s">
        <v>117</v>
      </c>
      <c r="F3206" s="6" t="s">
        <v>4</v>
      </c>
      <c r="G3206" s="4" t="s">
        <v>2</v>
      </c>
      <c r="H3206" s="25">
        <v>3250</v>
      </c>
      <c r="I3206" s="8">
        <v>-120</v>
      </c>
      <c r="J3206" s="9">
        <v>27</v>
      </c>
      <c r="K3206" s="7">
        <v>147</v>
      </c>
      <c r="L3206" s="24">
        <f>+Tabla2[[#This Row],[Stock Inventario]]*Tabla2[[#This Row],[Coste LÃ­nea]]</f>
        <v>87750</v>
      </c>
      <c r="M3206" s="24">
        <f>+Tabla2[[#This Row],[Variación Stock]]*Tabla2[[#This Row],[Coste LÃ­nea]]</f>
        <v>477750</v>
      </c>
      <c r="N3206" s="22" t="str">
        <f>+IF(Tabla2[[#This Row],[Variación Stock]]&gt;0,"Sobrante",IF(Tabla2[[#This Row],[Variación Stock]]&lt;0,"Faltante","Sin novedad"))</f>
        <v>Sobrante</v>
      </c>
    </row>
    <row r="3207" spans="1:14" hidden="1" x14ac:dyDescent="0.25">
      <c r="A3207" s="11">
        <v>46065</v>
      </c>
      <c r="B3207" s="5" t="s">
        <v>1092</v>
      </c>
      <c r="C3207" s="3" t="s">
        <v>337</v>
      </c>
      <c r="D3207" s="5" t="s">
        <v>119</v>
      </c>
      <c r="E3207" s="5" t="s">
        <v>117</v>
      </c>
      <c r="F3207" s="6" t="s">
        <v>11</v>
      </c>
      <c r="G3207" s="4" t="s">
        <v>2</v>
      </c>
      <c r="H3207" s="25">
        <v>436.02</v>
      </c>
      <c r="I3207" s="8">
        <v>77</v>
      </c>
      <c r="J3207" s="9">
        <v>167</v>
      </c>
      <c r="K3207" s="7">
        <v>90</v>
      </c>
      <c r="L3207" s="24">
        <f>+Tabla2[[#This Row],[Stock Inventario]]*Tabla2[[#This Row],[Coste LÃ­nea]]</f>
        <v>72815.34</v>
      </c>
      <c r="M3207" s="24">
        <f>+Tabla2[[#This Row],[Variación Stock]]*Tabla2[[#This Row],[Coste LÃ­nea]]</f>
        <v>39241.799999999996</v>
      </c>
      <c r="N3207" s="22" t="str">
        <f>+IF(Tabla2[[#This Row],[Variación Stock]]&gt;0,"Sobrante",IF(Tabla2[[#This Row],[Variación Stock]]&lt;0,"Faltante","Sin novedad"))</f>
        <v>Sobrante</v>
      </c>
    </row>
    <row r="3208" spans="1:14" hidden="1" x14ac:dyDescent="0.25">
      <c r="A3208" s="11">
        <v>46065</v>
      </c>
      <c r="B3208" s="5" t="s">
        <v>1092</v>
      </c>
      <c r="C3208" s="3" t="s">
        <v>337</v>
      </c>
      <c r="D3208" s="5" t="s">
        <v>120</v>
      </c>
      <c r="E3208" s="5" t="s">
        <v>117</v>
      </c>
      <c r="F3208" s="6" t="s">
        <v>96</v>
      </c>
      <c r="G3208" s="4" t="s">
        <v>2</v>
      </c>
      <c r="H3208" s="25">
        <v>6340.5732732699998</v>
      </c>
      <c r="I3208" s="8">
        <v>-46</v>
      </c>
      <c r="J3208" s="9">
        <v>0</v>
      </c>
      <c r="K3208" s="7">
        <v>46</v>
      </c>
      <c r="L3208" s="24">
        <f>+Tabla2[[#This Row],[Stock Inventario]]*Tabla2[[#This Row],[Coste LÃ­nea]]</f>
        <v>0</v>
      </c>
      <c r="M3208" s="24">
        <f>+Tabla2[[#This Row],[Variación Stock]]*Tabla2[[#This Row],[Coste LÃ­nea]]</f>
        <v>291666.37057042</v>
      </c>
      <c r="N3208" s="22" t="str">
        <f>+IF(Tabla2[[#This Row],[Variación Stock]]&gt;0,"Sobrante",IF(Tabla2[[#This Row],[Variación Stock]]&lt;0,"Faltante","Sin novedad"))</f>
        <v>Sobrante</v>
      </c>
    </row>
    <row r="3209" spans="1:14" hidden="1" x14ac:dyDescent="0.25">
      <c r="A3209" s="11">
        <v>46065</v>
      </c>
      <c r="B3209" s="5" t="s">
        <v>1092</v>
      </c>
      <c r="C3209" s="3" t="s">
        <v>337</v>
      </c>
      <c r="D3209" s="5" t="s">
        <v>120</v>
      </c>
      <c r="E3209" s="5" t="s">
        <v>117</v>
      </c>
      <c r="F3209" s="6" t="s">
        <v>322</v>
      </c>
      <c r="G3209" s="4" t="s">
        <v>2</v>
      </c>
      <c r="H3209" s="25">
        <v>1940.3180376099999</v>
      </c>
      <c r="I3209" s="8">
        <v>-17</v>
      </c>
      <c r="J3209" s="9">
        <v>21</v>
      </c>
      <c r="K3209" s="7">
        <v>38</v>
      </c>
      <c r="L3209" s="24">
        <f>+Tabla2[[#This Row],[Stock Inventario]]*Tabla2[[#This Row],[Coste LÃ­nea]]</f>
        <v>40746.678789810001</v>
      </c>
      <c r="M3209" s="24">
        <f>+Tabla2[[#This Row],[Variación Stock]]*Tabla2[[#This Row],[Coste LÃ­nea]]</f>
        <v>73732.085429179991</v>
      </c>
      <c r="N3209" s="22" t="str">
        <f>+IF(Tabla2[[#This Row],[Variación Stock]]&gt;0,"Sobrante",IF(Tabla2[[#This Row],[Variación Stock]]&lt;0,"Faltante","Sin novedad"))</f>
        <v>Sobrante</v>
      </c>
    </row>
    <row r="3210" spans="1:14" hidden="1" x14ac:dyDescent="0.25">
      <c r="A3210" s="11">
        <v>46065</v>
      </c>
      <c r="B3210" s="5" t="s">
        <v>1092</v>
      </c>
      <c r="C3210" s="3" t="s">
        <v>337</v>
      </c>
      <c r="D3210" s="5" t="s">
        <v>120</v>
      </c>
      <c r="E3210" s="5" t="s">
        <v>117</v>
      </c>
      <c r="F3210" s="6" t="s">
        <v>376</v>
      </c>
      <c r="G3210" s="4" t="s">
        <v>2</v>
      </c>
      <c r="H3210" s="25">
        <v>2770.4763510600001</v>
      </c>
      <c r="I3210" s="8">
        <v>-13</v>
      </c>
      <c r="J3210" s="9">
        <v>19</v>
      </c>
      <c r="K3210" s="7">
        <v>32</v>
      </c>
      <c r="L3210" s="24">
        <f>+Tabla2[[#This Row],[Stock Inventario]]*Tabla2[[#This Row],[Coste LÃ­nea]]</f>
        <v>52639.050670140001</v>
      </c>
      <c r="M3210" s="24">
        <f>+Tabla2[[#This Row],[Variación Stock]]*Tabla2[[#This Row],[Coste LÃ­nea]]</f>
        <v>88655.243233920002</v>
      </c>
      <c r="N3210" s="22" t="str">
        <f>+IF(Tabla2[[#This Row],[Variación Stock]]&gt;0,"Sobrante",IF(Tabla2[[#This Row],[Variación Stock]]&lt;0,"Faltante","Sin novedad"))</f>
        <v>Sobrante</v>
      </c>
    </row>
    <row r="3211" spans="1:14" hidden="1" x14ac:dyDescent="0.25">
      <c r="A3211" s="11">
        <v>46065</v>
      </c>
      <c r="B3211" s="5" t="s">
        <v>1092</v>
      </c>
      <c r="C3211" s="3" t="s">
        <v>337</v>
      </c>
      <c r="D3211" s="5" t="s">
        <v>323</v>
      </c>
      <c r="E3211" s="5" t="s">
        <v>117</v>
      </c>
      <c r="F3211" s="6" t="s">
        <v>329</v>
      </c>
      <c r="G3211" s="4" t="s">
        <v>2</v>
      </c>
      <c r="H3211" s="25">
        <v>10614.7325009</v>
      </c>
      <c r="I3211" s="8">
        <v>27</v>
      </c>
      <c r="J3211" s="9">
        <v>44</v>
      </c>
      <c r="K3211" s="7">
        <v>17</v>
      </c>
      <c r="L3211" s="24">
        <f>+Tabla2[[#This Row],[Stock Inventario]]*Tabla2[[#This Row],[Coste LÃ­nea]]</f>
        <v>467048.23003959999</v>
      </c>
      <c r="M3211" s="24">
        <f>+Tabla2[[#This Row],[Variación Stock]]*Tabla2[[#This Row],[Coste LÃ­nea]]</f>
        <v>180450.45251529998</v>
      </c>
      <c r="N3211" s="22" t="str">
        <f>+IF(Tabla2[[#This Row],[Variación Stock]]&gt;0,"Sobrante",IF(Tabla2[[#This Row],[Variación Stock]]&lt;0,"Faltante","Sin novedad"))</f>
        <v>Sobrante</v>
      </c>
    </row>
    <row r="3212" spans="1:14" hidden="1" x14ac:dyDescent="0.25">
      <c r="A3212" s="11">
        <v>46065</v>
      </c>
      <c r="B3212" s="5" t="s">
        <v>1092</v>
      </c>
      <c r="C3212" s="3" t="s">
        <v>337</v>
      </c>
      <c r="D3212" s="5" t="s">
        <v>119</v>
      </c>
      <c r="E3212" s="5" t="s">
        <v>117</v>
      </c>
      <c r="F3212" s="6" t="s">
        <v>94</v>
      </c>
      <c r="G3212" s="4" t="s">
        <v>2</v>
      </c>
      <c r="H3212" s="25">
        <v>1500</v>
      </c>
      <c r="I3212" s="8">
        <v>46</v>
      </c>
      <c r="J3212" s="9">
        <v>57</v>
      </c>
      <c r="K3212" s="7">
        <v>11</v>
      </c>
      <c r="L3212" s="24">
        <f>+Tabla2[[#This Row],[Stock Inventario]]*Tabla2[[#This Row],[Coste LÃ­nea]]</f>
        <v>85500</v>
      </c>
      <c r="M3212" s="24">
        <f>+Tabla2[[#This Row],[Variación Stock]]*Tabla2[[#This Row],[Coste LÃ­nea]]</f>
        <v>16500</v>
      </c>
      <c r="N3212" s="22" t="str">
        <f>+IF(Tabla2[[#This Row],[Variación Stock]]&gt;0,"Sobrante",IF(Tabla2[[#This Row],[Variación Stock]]&lt;0,"Faltante","Sin novedad"))</f>
        <v>Sobrante</v>
      </c>
    </row>
    <row r="3213" spans="1:14" hidden="1" x14ac:dyDescent="0.25">
      <c r="A3213" s="11">
        <v>46065</v>
      </c>
      <c r="B3213" s="5" t="s">
        <v>1092</v>
      </c>
      <c r="C3213" s="3" t="s">
        <v>337</v>
      </c>
      <c r="D3213" s="5" t="s">
        <v>119</v>
      </c>
      <c r="E3213" s="5" t="s">
        <v>117</v>
      </c>
      <c r="F3213" s="6" t="s">
        <v>9</v>
      </c>
      <c r="G3213" s="4" t="s">
        <v>2</v>
      </c>
      <c r="H3213" s="25">
        <v>514.28571428999999</v>
      </c>
      <c r="I3213" s="8">
        <v>617</v>
      </c>
      <c r="J3213" s="9">
        <v>624</v>
      </c>
      <c r="K3213" s="7">
        <v>7</v>
      </c>
      <c r="L3213" s="24">
        <f>+Tabla2[[#This Row],[Stock Inventario]]*Tabla2[[#This Row],[Coste LÃ­nea]]</f>
        <v>320914.28571695997</v>
      </c>
      <c r="M3213" s="24">
        <f>+Tabla2[[#This Row],[Variación Stock]]*Tabla2[[#This Row],[Coste LÃ­nea]]</f>
        <v>3600.0000000299997</v>
      </c>
      <c r="N3213" s="22" t="str">
        <f>+IF(Tabla2[[#This Row],[Variación Stock]]&gt;0,"Sobrante",IF(Tabla2[[#This Row],[Variación Stock]]&lt;0,"Faltante","Sin novedad"))</f>
        <v>Sobrante</v>
      </c>
    </row>
    <row r="3214" spans="1:14" hidden="1" x14ac:dyDescent="0.25">
      <c r="A3214" s="11">
        <v>46065</v>
      </c>
      <c r="B3214" s="5" t="s">
        <v>1092</v>
      </c>
      <c r="C3214" s="3" t="s">
        <v>337</v>
      </c>
      <c r="D3214" s="5" t="s">
        <v>323</v>
      </c>
      <c r="E3214" s="5" t="s">
        <v>117</v>
      </c>
      <c r="F3214" s="6" t="s">
        <v>328</v>
      </c>
      <c r="G3214" s="4" t="s">
        <v>2</v>
      </c>
      <c r="H3214" s="25">
        <v>27045.723563070002</v>
      </c>
      <c r="I3214" s="8">
        <v>23.5</v>
      </c>
      <c r="J3214" s="9">
        <v>29</v>
      </c>
      <c r="K3214" s="7">
        <v>5.5</v>
      </c>
      <c r="L3214" s="24">
        <f>+Tabla2[[#This Row],[Stock Inventario]]*Tabla2[[#This Row],[Coste LÃ­nea]]</f>
        <v>784325.98332902999</v>
      </c>
      <c r="M3214" s="24">
        <f>+Tabla2[[#This Row],[Variación Stock]]*Tabla2[[#This Row],[Coste LÃ­nea]]</f>
        <v>148751.47959688501</v>
      </c>
      <c r="N3214" s="22" t="str">
        <f>+IF(Tabla2[[#This Row],[Variación Stock]]&gt;0,"Sobrante",IF(Tabla2[[#This Row],[Variación Stock]]&lt;0,"Faltante","Sin novedad"))</f>
        <v>Sobrante</v>
      </c>
    </row>
    <row r="3215" spans="1:14" hidden="1" x14ac:dyDescent="0.25">
      <c r="A3215" s="11">
        <v>46065</v>
      </c>
      <c r="B3215" s="5" t="s">
        <v>1092</v>
      </c>
      <c r="C3215" s="3" t="s">
        <v>337</v>
      </c>
      <c r="D3215" s="5" t="s">
        <v>323</v>
      </c>
      <c r="E3215" s="5" t="s">
        <v>117</v>
      </c>
      <c r="F3215" s="6" t="s">
        <v>325</v>
      </c>
      <c r="G3215" s="4" t="s">
        <v>2</v>
      </c>
      <c r="H3215" s="25">
        <v>1977.5824342000001</v>
      </c>
      <c r="I3215" s="8">
        <v>65</v>
      </c>
      <c r="J3215" s="9">
        <v>67</v>
      </c>
      <c r="K3215" s="7">
        <v>2</v>
      </c>
      <c r="L3215" s="24">
        <f>+Tabla2[[#This Row],[Stock Inventario]]*Tabla2[[#This Row],[Coste LÃ­nea]]</f>
        <v>132498.02309140001</v>
      </c>
      <c r="M3215" s="24">
        <f>+Tabla2[[#This Row],[Variación Stock]]*Tabla2[[#This Row],[Coste LÃ­nea]]</f>
        <v>3955.1648684000002</v>
      </c>
      <c r="N3215" s="22" t="str">
        <f>+IF(Tabla2[[#This Row],[Variación Stock]]&gt;0,"Sobrante",IF(Tabla2[[#This Row],[Variación Stock]]&lt;0,"Faltante","Sin novedad"))</f>
        <v>Sobrante</v>
      </c>
    </row>
    <row r="3216" spans="1:14" hidden="1" x14ac:dyDescent="0.25">
      <c r="A3216" s="11">
        <v>46065</v>
      </c>
      <c r="B3216" s="5" t="s">
        <v>1092</v>
      </c>
      <c r="C3216" s="3" t="s">
        <v>337</v>
      </c>
      <c r="D3216" s="5" t="s">
        <v>119</v>
      </c>
      <c r="E3216" s="5" t="s">
        <v>117</v>
      </c>
      <c r="F3216" s="6" t="s">
        <v>13</v>
      </c>
      <c r="G3216" s="4" t="s">
        <v>2</v>
      </c>
      <c r="H3216" s="25">
        <v>13905</v>
      </c>
      <c r="I3216" s="8">
        <v>-1</v>
      </c>
      <c r="J3216" s="9">
        <v>0</v>
      </c>
      <c r="K3216" s="7">
        <v>1</v>
      </c>
      <c r="L3216" s="24">
        <f>+Tabla2[[#This Row],[Stock Inventario]]*Tabla2[[#This Row],[Coste LÃ­nea]]</f>
        <v>0</v>
      </c>
      <c r="M3216" s="24">
        <f>+Tabla2[[#This Row],[Variación Stock]]*Tabla2[[#This Row],[Coste LÃ­nea]]</f>
        <v>13905</v>
      </c>
      <c r="N3216" s="22" t="str">
        <f>+IF(Tabla2[[#This Row],[Variación Stock]]&gt;0,"Sobrante",IF(Tabla2[[#This Row],[Variación Stock]]&lt;0,"Faltante","Sin novedad"))</f>
        <v>Sobrante</v>
      </c>
    </row>
    <row r="3217" spans="1:14" hidden="1" x14ac:dyDescent="0.25">
      <c r="A3217" s="11">
        <v>46065</v>
      </c>
      <c r="B3217" s="5" t="s">
        <v>1092</v>
      </c>
      <c r="C3217" s="3" t="s">
        <v>337</v>
      </c>
      <c r="D3217" s="5" t="s">
        <v>323</v>
      </c>
      <c r="E3217" s="5" t="s">
        <v>117</v>
      </c>
      <c r="F3217" s="6" t="s">
        <v>330</v>
      </c>
      <c r="G3217" s="4" t="s">
        <v>2</v>
      </c>
      <c r="H3217" s="25">
        <v>1530.8871941499999</v>
      </c>
      <c r="I3217" s="8">
        <v>19</v>
      </c>
      <c r="J3217" s="9">
        <v>20</v>
      </c>
      <c r="K3217" s="7">
        <v>1</v>
      </c>
      <c r="L3217" s="24">
        <f>+Tabla2[[#This Row],[Stock Inventario]]*Tabla2[[#This Row],[Coste LÃ­nea]]</f>
        <v>30617.743882999999</v>
      </c>
      <c r="M3217" s="24">
        <f>+Tabla2[[#This Row],[Variación Stock]]*Tabla2[[#This Row],[Coste LÃ­nea]]</f>
        <v>1530.8871941499999</v>
      </c>
      <c r="N3217" s="22" t="str">
        <f>+IF(Tabla2[[#This Row],[Variación Stock]]&gt;0,"Sobrante",IF(Tabla2[[#This Row],[Variación Stock]]&lt;0,"Faltante","Sin novedad"))</f>
        <v>Sobrante</v>
      </c>
    </row>
    <row r="3218" spans="1:14" hidden="1" x14ac:dyDescent="0.25">
      <c r="A3218" s="11">
        <v>46065</v>
      </c>
      <c r="B3218" s="5" t="s">
        <v>1092</v>
      </c>
      <c r="C3218" s="3" t="s">
        <v>337</v>
      </c>
      <c r="D3218" s="5" t="s">
        <v>116</v>
      </c>
      <c r="E3218" s="5" t="s">
        <v>117</v>
      </c>
      <c r="F3218" s="6" t="s">
        <v>6</v>
      </c>
      <c r="G3218" s="4" t="s">
        <v>2</v>
      </c>
      <c r="H3218" s="25">
        <v>8870</v>
      </c>
      <c r="I3218" s="8">
        <v>14.5</v>
      </c>
      <c r="J3218" s="9">
        <v>15</v>
      </c>
      <c r="K3218" s="7">
        <v>0.5</v>
      </c>
      <c r="L3218" s="24">
        <f>+Tabla2[[#This Row],[Stock Inventario]]*Tabla2[[#This Row],[Coste LÃ­nea]]</f>
        <v>133050</v>
      </c>
      <c r="M3218" s="24">
        <f>+Tabla2[[#This Row],[Variación Stock]]*Tabla2[[#This Row],[Coste LÃ­nea]]</f>
        <v>4435</v>
      </c>
      <c r="N3218" s="22" t="str">
        <f>+IF(Tabla2[[#This Row],[Variación Stock]]&gt;0,"Sobrante",IF(Tabla2[[#This Row],[Variación Stock]]&lt;0,"Faltante","Sin novedad"))</f>
        <v>Sobrante</v>
      </c>
    </row>
    <row r="3219" spans="1:14" hidden="1" x14ac:dyDescent="0.25">
      <c r="A3219" s="11">
        <v>46065</v>
      </c>
      <c r="B3219" s="5" t="s">
        <v>1092</v>
      </c>
      <c r="C3219" s="3" t="s">
        <v>337</v>
      </c>
      <c r="D3219" s="5" t="s">
        <v>119</v>
      </c>
      <c r="E3219" s="5" t="s">
        <v>117</v>
      </c>
      <c r="F3219" s="6" t="s">
        <v>10</v>
      </c>
      <c r="G3219" s="4" t="s">
        <v>2</v>
      </c>
      <c r="H3219" s="25">
        <v>19000.25</v>
      </c>
      <c r="I3219" s="8">
        <v>2</v>
      </c>
      <c r="J3219" s="9">
        <v>1</v>
      </c>
      <c r="K3219" s="7">
        <v>-1</v>
      </c>
      <c r="L3219" s="24">
        <f>+Tabla2[[#This Row],[Stock Inventario]]*Tabla2[[#This Row],[Coste LÃ­nea]]</f>
        <v>19000.25</v>
      </c>
      <c r="M3219" s="24">
        <f>+Tabla2[[#This Row],[Variación Stock]]*Tabla2[[#This Row],[Coste LÃ­nea]]</f>
        <v>-19000.25</v>
      </c>
      <c r="N3219" s="22" t="str">
        <f>+IF(Tabla2[[#This Row],[Variación Stock]]&gt;0,"Sobrante",IF(Tabla2[[#This Row],[Variación Stock]]&lt;0,"Faltante","Sin novedad"))</f>
        <v>Faltante</v>
      </c>
    </row>
    <row r="3220" spans="1:14" hidden="1" x14ac:dyDescent="0.25">
      <c r="A3220" s="11">
        <v>46065</v>
      </c>
      <c r="B3220" s="5" t="s">
        <v>1092</v>
      </c>
      <c r="C3220" s="3" t="s">
        <v>337</v>
      </c>
      <c r="D3220" s="5" t="s">
        <v>120</v>
      </c>
      <c r="E3220" s="5" t="s">
        <v>117</v>
      </c>
      <c r="F3220" s="6" t="s">
        <v>318</v>
      </c>
      <c r="G3220" s="4" t="s">
        <v>2</v>
      </c>
      <c r="H3220" s="25">
        <v>5943.1887500000003</v>
      </c>
      <c r="I3220" s="8">
        <v>3</v>
      </c>
      <c r="J3220" s="9">
        <v>0</v>
      </c>
      <c r="K3220" s="7">
        <v>-3</v>
      </c>
      <c r="L3220" s="24">
        <f>+Tabla2[[#This Row],[Stock Inventario]]*Tabla2[[#This Row],[Coste LÃ­nea]]</f>
        <v>0</v>
      </c>
      <c r="M3220" s="24">
        <f>+Tabla2[[#This Row],[Variación Stock]]*Tabla2[[#This Row],[Coste LÃ­nea]]</f>
        <v>-17829.56625</v>
      </c>
      <c r="N3220" s="22" t="str">
        <f>+IF(Tabla2[[#This Row],[Variación Stock]]&gt;0,"Sobrante",IF(Tabla2[[#This Row],[Variación Stock]]&lt;0,"Faltante","Sin novedad"))</f>
        <v>Faltante</v>
      </c>
    </row>
    <row r="3221" spans="1:14" x14ac:dyDescent="0.25">
      <c r="A3221" s="11">
        <v>46065</v>
      </c>
      <c r="B3221" s="5" t="s">
        <v>1092</v>
      </c>
      <c r="C3221" s="3" t="s">
        <v>337</v>
      </c>
      <c r="D3221" s="5" t="s">
        <v>118</v>
      </c>
      <c r="E3221" s="5" t="s">
        <v>112</v>
      </c>
      <c r="F3221" s="6" t="s">
        <v>92</v>
      </c>
      <c r="G3221" s="4" t="s">
        <v>81</v>
      </c>
      <c r="H3221" s="25">
        <v>9700</v>
      </c>
      <c r="I3221" s="8">
        <v>31</v>
      </c>
      <c r="J3221" s="9">
        <v>30</v>
      </c>
      <c r="K3221" s="7">
        <v>-1</v>
      </c>
      <c r="L3221" s="24">
        <f>+Tabla2[[#This Row],[Stock Inventario]]*Tabla2[[#This Row],[Coste LÃ­nea]]</f>
        <v>291000</v>
      </c>
      <c r="M3221" s="24">
        <f>+Tabla2[[#This Row],[Variación Stock]]*Tabla2[[#This Row],[Coste LÃ­nea]]</f>
        <v>-9700</v>
      </c>
      <c r="N3221" s="22" t="str">
        <f>+IF(Tabla2[[#This Row],[Variación Stock]]&gt;0,"Sobrante",IF(Tabla2[[#This Row],[Variación Stock]]&lt;0,"Faltante","Sin novedad"))</f>
        <v>Faltante</v>
      </c>
    </row>
    <row r="3222" spans="1:14" x14ac:dyDescent="0.25">
      <c r="A3222" s="11">
        <v>46065</v>
      </c>
      <c r="B3222" s="5" t="s">
        <v>1092</v>
      </c>
      <c r="C3222" s="3" t="s">
        <v>337</v>
      </c>
      <c r="D3222" s="5" t="s">
        <v>115</v>
      </c>
      <c r="E3222" s="5" t="s">
        <v>112</v>
      </c>
      <c r="F3222" s="6" t="s">
        <v>73</v>
      </c>
      <c r="G3222" s="4" t="s">
        <v>2</v>
      </c>
      <c r="H3222" s="25">
        <v>2828.2333333299998</v>
      </c>
      <c r="I3222" s="8">
        <v>53</v>
      </c>
      <c r="J3222" s="9">
        <v>38</v>
      </c>
      <c r="K3222" s="7">
        <v>-15</v>
      </c>
      <c r="L3222" s="24">
        <f>+Tabla2[[#This Row],[Stock Inventario]]*Tabla2[[#This Row],[Coste LÃ­nea]]</f>
        <v>107472.86666653999</v>
      </c>
      <c r="M3222" s="24">
        <f>+Tabla2[[#This Row],[Variación Stock]]*Tabla2[[#This Row],[Coste LÃ­nea]]</f>
        <v>-42423.49999995</v>
      </c>
      <c r="N3222" s="22" t="str">
        <f>+IF(Tabla2[[#This Row],[Variación Stock]]&gt;0,"Sobrante",IF(Tabla2[[#This Row],[Variación Stock]]&lt;0,"Faltante","Sin novedad"))</f>
        <v>Faltante</v>
      </c>
    </row>
    <row r="3223" spans="1:14" x14ac:dyDescent="0.25">
      <c r="A3223" s="11">
        <v>46065</v>
      </c>
      <c r="B3223" s="5" t="s">
        <v>1092</v>
      </c>
      <c r="C3223" s="3" t="s">
        <v>337</v>
      </c>
      <c r="D3223" s="5" t="s">
        <v>111</v>
      </c>
      <c r="E3223" s="5" t="s">
        <v>112</v>
      </c>
      <c r="F3223" s="6" t="s">
        <v>18</v>
      </c>
      <c r="G3223" s="4" t="s">
        <v>2</v>
      </c>
      <c r="H3223" s="25">
        <v>86743</v>
      </c>
      <c r="I3223" s="8">
        <v>2</v>
      </c>
      <c r="J3223" s="9">
        <v>2</v>
      </c>
      <c r="K3223" s="7">
        <v>0</v>
      </c>
      <c r="L3223" s="24">
        <f>+Tabla2[[#This Row],[Stock Inventario]]*Tabla2[[#This Row],[Coste LÃ­nea]]</f>
        <v>173486</v>
      </c>
      <c r="M3223" s="24">
        <f>+Tabla2[[#This Row],[Variación Stock]]*Tabla2[[#This Row],[Coste LÃ­nea]]</f>
        <v>0</v>
      </c>
      <c r="N3223" s="22" t="str">
        <f>+IF(Tabla2[[#This Row],[Variación Stock]]&gt;0,"Sobrante",IF(Tabla2[[#This Row],[Variación Stock]]&lt;0,"Faltante","Sin novedad"))</f>
        <v>Sin novedad</v>
      </c>
    </row>
    <row r="3224" spans="1:14" x14ac:dyDescent="0.25">
      <c r="A3224" s="11">
        <v>46065</v>
      </c>
      <c r="B3224" s="5" t="s">
        <v>1092</v>
      </c>
      <c r="C3224" s="3" t="s">
        <v>337</v>
      </c>
      <c r="D3224" s="5" t="s">
        <v>118</v>
      </c>
      <c r="E3224" s="5" t="s">
        <v>112</v>
      </c>
      <c r="F3224" s="6" t="s">
        <v>304</v>
      </c>
      <c r="G3224" s="4" t="s">
        <v>2</v>
      </c>
      <c r="H3224" s="25">
        <v>34240.5</v>
      </c>
      <c r="I3224" s="8">
        <v>7</v>
      </c>
      <c r="J3224" s="9">
        <v>7</v>
      </c>
      <c r="K3224" s="7">
        <v>0</v>
      </c>
      <c r="L3224" s="24">
        <f>+Tabla2[[#This Row],[Stock Inventario]]*Tabla2[[#This Row],[Coste LÃ­nea]]</f>
        <v>239683.5</v>
      </c>
      <c r="M3224" s="24">
        <f>+Tabla2[[#This Row],[Variación Stock]]*Tabla2[[#This Row],[Coste LÃ­nea]]</f>
        <v>0</v>
      </c>
      <c r="N3224" s="22" t="str">
        <f>+IF(Tabla2[[#This Row],[Variación Stock]]&gt;0,"Sobrante",IF(Tabla2[[#This Row],[Variación Stock]]&lt;0,"Faltante","Sin novedad"))</f>
        <v>Sin novedad</v>
      </c>
    </row>
    <row r="3225" spans="1:14" x14ac:dyDescent="0.25">
      <c r="A3225" s="11">
        <v>46065</v>
      </c>
      <c r="B3225" s="5" t="s">
        <v>1092</v>
      </c>
      <c r="C3225" s="3" t="s">
        <v>337</v>
      </c>
      <c r="D3225" s="5" t="s">
        <v>111</v>
      </c>
      <c r="E3225" s="5" t="s">
        <v>112</v>
      </c>
      <c r="F3225" s="6" t="s">
        <v>395</v>
      </c>
      <c r="G3225" s="4" t="s">
        <v>0</v>
      </c>
      <c r="H3225" s="25">
        <v>1736.1111111099999</v>
      </c>
      <c r="I3225" s="8">
        <v>0</v>
      </c>
      <c r="J3225" s="9">
        <v>0</v>
      </c>
      <c r="K3225" s="7">
        <v>0</v>
      </c>
      <c r="L3225" s="24">
        <f>+Tabla2[[#This Row],[Stock Inventario]]*Tabla2[[#This Row],[Coste LÃ­nea]]</f>
        <v>0</v>
      </c>
      <c r="M3225" s="24">
        <f>+Tabla2[[#This Row],[Variación Stock]]*Tabla2[[#This Row],[Coste LÃ­nea]]</f>
        <v>0</v>
      </c>
      <c r="N3225" s="22" t="str">
        <f>+IF(Tabla2[[#This Row],[Variación Stock]]&gt;0,"Sobrante",IF(Tabla2[[#This Row],[Variación Stock]]&lt;0,"Faltante","Sin novedad"))</f>
        <v>Sin novedad</v>
      </c>
    </row>
    <row r="3226" spans="1:14" x14ac:dyDescent="0.25">
      <c r="A3226" s="11">
        <v>46065</v>
      </c>
      <c r="B3226" s="5" t="s">
        <v>1092</v>
      </c>
      <c r="C3226" s="3" t="s">
        <v>337</v>
      </c>
      <c r="D3226" s="5" t="s">
        <v>114</v>
      </c>
      <c r="E3226" s="5" t="s">
        <v>112</v>
      </c>
      <c r="F3226" s="6" t="s">
        <v>67</v>
      </c>
      <c r="G3226" s="4" t="s">
        <v>2</v>
      </c>
      <c r="H3226" s="25">
        <v>5310.9583333299997</v>
      </c>
      <c r="I3226" s="8">
        <v>29.41</v>
      </c>
      <c r="J3226" s="9">
        <v>24</v>
      </c>
      <c r="K3226" s="7">
        <v>-5.41</v>
      </c>
      <c r="L3226" s="24">
        <f>+Tabla2[[#This Row],[Stock Inventario]]*Tabla2[[#This Row],[Coste LÃ­nea]]</f>
        <v>127462.99999991999</v>
      </c>
      <c r="M3226" s="24">
        <f>+Tabla2[[#This Row],[Variación Stock]]*Tabla2[[#This Row],[Coste LÃ­nea]]</f>
        <v>-28732.284583315301</v>
      </c>
      <c r="N3226" s="22" t="str">
        <f>+IF(Tabla2[[#This Row],[Variación Stock]]&gt;0,"Sobrante",IF(Tabla2[[#This Row],[Variación Stock]]&lt;0,"Faltante","Sin novedad"))</f>
        <v>Faltante</v>
      </c>
    </row>
    <row r="3227" spans="1:14" x14ac:dyDescent="0.25">
      <c r="A3227" s="11">
        <v>46065</v>
      </c>
      <c r="B3227" s="5" t="s">
        <v>1092</v>
      </c>
      <c r="C3227" s="3" t="s">
        <v>337</v>
      </c>
      <c r="D3227" s="5" t="s">
        <v>111</v>
      </c>
      <c r="E3227" s="5" t="s">
        <v>112</v>
      </c>
      <c r="F3227" s="6" t="s">
        <v>25</v>
      </c>
      <c r="G3227" s="4" t="s">
        <v>0</v>
      </c>
      <c r="H3227" s="25">
        <v>6549</v>
      </c>
      <c r="I3227" s="8">
        <v>26</v>
      </c>
      <c r="J3227" s="9">
        <v>26</v>
      </c>
      <c r="K3227" s="7">
        <v>0</v>
      </c>
      <c r="L3227" s="24">
        <f>+Tabla2[[#This Row],[Stock Inventario]]*Tabla2[[#This Row],[Coste LÃ­nea]]</f>
        <v>170274</v>
      </c>
      <c r="M3227" s="24">
        <f>+Tabla2[[#This Row],[Variación Stock]]*Tabla2[[#This Row],[Coste LÃ­nea]]</f>
        <v>0</v>
      </c>
      <c r="N3227" s="22" t="str">
        <f>+IF(Tabla2[[#This Row],[Variación Stock]]&gt;0,"Sobrante",IF(Tabla2[[#This Row],[Variación Stock]]&lt;0,"Faltante","Sin novedad"))</f>
        <v>Sin novedad</v>
      </c>
    </row>
    <row r="3228" spans="1:14" x14ac:dyDescent="0.25">
      <c r="A3228" s="11">
        <v>46065</v>
      </c>
      <c r="B3228" s="5" t="s">
        <v>1092</v>
      </c>
      <c r="C3228" s="3" t="s">
        <v>337</v>
      </c>
      <c r="D3228" s="5" t="s">
        <v>114</v>
      </c>
      <c r="E3228" s="5" t="s">
        <v>112</v>
      </c>
      <c r="F3228" s="6" t="s">
        <v>289</v>
      </c>
      <c r="G3228" s="4" t="s">
        <v>2</v>
      </c>
      <c r="H3228" s="25">
        <v>6387</v>
      </c>
      <c r="I3228" s="8">
        <v>4</v>
      </c>
      <c r="J3228" s="9">
        <v>4</v>
      </c>
      <c r="K3228" s="7">
        <v>0</v>
      </c>
      <c r="L3228" s="24">
        <f>+Tabla2[[#This Row],[Stock Inventario]]*Tabla2[[#This Row],[Coste LÃ­nea]]</f>
        <v>25548</v>
      </c>
      <c r="M3228" s="24">
        <f>+Tabla2[[#This Row],[Variación Stock]]*Tabla2[[#This Row],[Coste LÃ­nea]]</f>
        <v>0</v>
      </c>
      <c r="N3228" s="22" t="str">
        <f>+IF(Tabla2[[#This Row],[Variación Stock]]&gt;0,"Sobrante",IF(Tabla2[[#This Row],[Variación Stock]]&lt;0,"Faltante","Sin novedad"))</f>
        <v>Sin novedad</v>
      </c>
    </row>
    <row r="3229" spans="1:14" x14ac:dyDescent="0.25">
      <c r="A3229" s="11">
        <v>46065</v>
      </c>
      <c r="B3229" s="5" t="s">
        <v>1092</v>
      </c>
      <c r="C3229" s="3" t="s">
        <v>337</v>
      </c>
      <c r="D3229" s="5" t="s">
        <v>118</v>
      </c>
      <c r="E3229" s="5" t="s">
        <v>112</v>
      </c>
      <c r="F3229" s="6" t="s">
        <v>309</v>
      </c>
      <c r="G3229" s="4" t="s">
        <v>2</v>
      </c>
      <c r="H3229" s="25">
        <v>97200</v>
      </c>
      <c r="I3229" s="8">
        <v>0</v>
      </c>
      <c r="J3229" s="9">
        <v>0</v>
      </c>
      <c r="K3229" s="7">
        <v>0</v>
      </c>
      <c r="L3229" s="24">
        <f>+Tabla2[[#This Row],[Stock Inventario]]*Tabla2[[#This Row],[Coste LÃ­nea]]</f>
        <v>0</v>
      </c>
      <c r="M3229" s="24">
        <f>+Tabla2[[#This Row],[Variación Stock]]*Tabla2[[#This Row],[Coste LÃ­nea]]</f>
        <v>0</v>
      </c>
      <c r="N3229" s="22" t="str">
        <f>+IF(Tabla2[[#This Row],[Variación Stock]]&gt;0,"Sobrante",IF(Tabla2[[#This Row],[Variación Stock]]&lt;0,"Faltante","Sin novedad"))</f>
        <v>Sin novedad</v>
      </c>
    </row>
    <row r="3230" spans="1:14" x14ac:dyDescent="0.25">
      <c r="A3230" s="11">
        <v>46065</v>
      </c>
      <c r="B3230" s="5" t="s">
        <v>1092</v>
      </c>
      <c r="C3230" s="3" t="s">
        <v>337</v>
      </c>
      <c r="D3230" s="5" t="s">
        <v>111</v>
      </c>
      <c r="E3230" s="5" t="s">
        <v>112</v>
      </c>
      <c r="F3230" s="6" t="s">
        <v>364</v>
      </c>
      <c r="G3230" s="4" t="s">
        <v>0</v>
      </c>
      <c r="H3230" s="25">
        <v>10233.9</v>
      </c>
      <c r="I3230" s="8">
        <v>43</v>
      </c>
      <c r="J3230" s="9">
        <v>43</v>
      </c>
      <c r="K3230" s="7">
        <v>0</v>
      </c>
      <c r="L3230" s="24">
        <f>+Tabla2[[#This Row],[Stock Inventario]]*Tabla2[[#This Row],[Coste LÃ­nea]]</f>
        <v>440057.7</v>
      </c>
      <c r="M3230" s="24">
        <f>+Tabla2[[#This Row],[Variación Stock]]*Tabla2[[#This Row],[Coste LÃ­nea]]</f>
        <v>0</v>
      </c>
      <c r="N3230" s="22" t="str">
        <f>+IF(Tabla2[[#This Row],[Variación Stock]]&gt;0,"Sobrante",IF(Tabla2[[#This Row],[Variación Stock]]&lt;0,"Faltante","Sin novedad"))</f>
        <v>Sin novedad</v>
      </c>
    </row>
    <row r="3231" spans="1:14" x14ac:dyDescent="0.25">
      <c r="A3231" s="11">
        <v>46065</v>
      </c>
      <c r="B3231" s="5" t="s">
        <v>1092</v>
      </c>
      <c r="C3231" s="3" t="s">
        <v>337</v>
      </c>
      <c r="D3231" s="5" t="s">
        <v>111</v>
      </c>
      <c r="E3231" s="5" t="s">
        <v>112</v>
      </c>
      <c r="F3231" s="6" t="s">
        <v>130</v>
      </c>
      <c r="G3231" s="4" t="s">
        <v>0</v>
      </c>
      <c r="H3231" s="25">
        <v>0</v>
      </c>
      <c r="I3231" s="8">
        <v>0</v>
      </c>
      <c r="J3231" s="9">
        <v>0</v>
      </c>
      <c r="K3231" s="7">
        <v>0</v>
      </c>
      <c r="L3231" s="24">
        <f>+Tabla2[[#This Row],[Stock Inventario]]*Tabla2[[#This Row],[Coste LÃ­nea]]</f>
        <v>0</v>
      </c>
      <c r="M3231" s="24">
        <f>+Tabla2[[#This Row],[Variación Stock]]*Tabla2[[#This Row],[Coste LÃ­nea]]</f>
        <v>0</v>
      </c>
      <c r="N3231" s="22" t="str">
        <f>+IF(Tabla2[[#This Row],[Variación Stock]]&gt;0,"Sobrante",IF(Tabla2[[#This Row],[Variación Stock]]&lt;0,"Faltante","Sin novedad"))</f>
        <v>Sin novedad</v>
      </c>
    </row>
    <row r="3232" spans="1:14" x14ac:dyDescent="0.25">
      <c r="A3232" s="11">
        <v>46065</v>
      </c>
      <c r="B3232" s="5" t="s">
        <v>1092</v>
      </c>
      <c r="C3232" s="3" t="s">
        <v>337</v>
      </c>
      <c r="D3232" s="5" t="s">
        <v>115</v>
      </c>
      <c r="E3232" s="5" t="s">
        <v>112</v>
      </c>
      <c r="F3232" s="6" t="s">
        <v>368</v>
      </c>
      <c r="G3232" s="4" t="s">
        <v>2</v>
      </c>
      <c r="H3232" s="25">
        <v>3099.6666666699998</v>
      </c>
      <c r="I3232" s="8">
        <v>0</v>
      </c>
      <c r="J3232" s="9">
        <v>15</v>
      </c>
      <c r="K3232" s="7">
        <v>15</v>
      </c>
      <c r="L3232" s="24">
        <f>+Tabla2[[#This Row],[Stock Inventario]]*Tabla2[[#This Row],[Coste LÃ­nea]]</f>
        <v>46495.00000005</v>
      </c>
      <c r="M3232" s="24">
        <f>+Tabla2[[#This Row],[Variación Stock]]*Tabla2[[#This Row],[Coste LÃ­nea]]</f>
        <v>46495.00000005</v>
      </c>
      <c r="N3232" s="22" t="str">
        <f>+IF(Tabla2[[#This Row],[Variación Stock]]&gt;0,"Sobrante",IF(Tabla2[[#This Row],[Variación Stock]]&lt;0,"Faltante","Sin novedad"))</f>
        <v>Sobrante</v>
      </c>
    </row>
    <row r="3233" spans="1:14" x14ac:dyDescent="0.25">
      <c r="A3233" s="11">
        <v>46065</v>
      </c>
      <c r="B3233" s="5" t="s">
        <v>1092</v>
      </c>
      <c r="C3233" s="3" t="s">
        <v>337</v>
      </c>
      <c r="D3233" s="5" t="s">
        <v>111</v>
      </c>
      <c r="E3233" s="5" t="s">
        <v>112</v>
      </c>
      <c r="F3233" s="6" t="s">
        <v>21</v>
      </c>
      <c r="G3233" s="4" t="s">
        <v>0</v>
      </c>
      <c r="H3233" s="25">
        <v>17377</v>
      </c>
      <c r="I3233" s="8">
        <v>25</v>
      </c>
      <c r="J3233" s="9">
        <v>25</v>
      </c>
      <c r="K3233" s="7">
        <v>0</v>
      </c>
      <c r="L3233" s="24">
        <f>+Tabla2[[#This Row],[Stock Inventario]]*Tabla2[[#This Row],[Coste LÃ­nea]]</f>
        <v>434425</v>
      </c>
      <c r="M3233" s="24">
        <f>+Tabla2[[#This Row],[Variación Stock]]*Tabla2[[#This Row],[Coste LÃ­nea]]</f>
        <v>0</v>
      </c>
      <c r="N3233" s="22" t="str">
        <f>+IF(Tabla2[[#This Row],[Variación Stock]]&gt;0,"Sobrante",IF(Tabla2[[#This Row],[Variación Stock]]&lt;0,"Faltante","Sin novedad"))</f>
        <v>Sin novedad</v>
      </c>
    </row>
    <row r="3234" spans="1:14" x14ac:dyDescent="0.25">
      <c r="A3234" s="11">
        <v>46065</v>
      </c>
      <c r="B3234" s="5" t="s">
        <v>1092</v>
      </c>
      <c r="C3234" s="3" t="s">
        <v>337</v>
      </c>
      <c r="D3234" s="5" t="s">
        <v>121</v>
      </c>
      <c r="E3234" s="5" t="s">
        <v>112</v>
      </c>
      <c r="F3234" s="6" t="s">
        <v>332</v>
      </c>
      <c r="G3234" s="4" t="s">
        <v>0</v>
      </c>
      <c r="H3234" s="25">
        <v>3245.5439533700001</v>
      </c>
      <c r="I3234" s="8">
        <v>-2</v>
      </c>
      <c r="J3234" s="9">
        <v>101</v>
      </c>
      <c r="K3234" s="7">
        <v>103</v>
      </c>
      <c r="L3234" s="24">
        <f>+Tabla2[[#This Row],[Stock Inventario]]*Tabla2[[#This Row],[Coste LÃ­nea]]</f>
        <v>327799.93929036998</v>
      </c>
      <c r="M3234" s="24">
        <f>+Tabla2[[#This Row],[Variación Stock]]*Tabla2[[#This Row],[Coste LÃ­nea]]</f>
        <v>334291.02719711</v>
      </c>
      <c r="N3234" s="22" t="str">
        <f>+IF(Tabla2[[#This Row],[Variación Stock]]&gt;0,"Sobrante",IF(Tabla2[[#This Row],[Variación Stock]]&lt;0,"Faltante","Sin novedad"))</f>
        <v>Sobrante</v>
      </c>
    </row>
    <row r="3235" spans="1:14" x14ac:dyDescent="0.25">
      <c r="A3235" s="11">
        <v>46065</v>
      </c>
      <c r="B3235" s="5" t="s">
        <v>1092</v>
      </c>
      <c r="C3235" s="3" t="s">
        <v>337</v>
      </c>
      <c r="D3235" s="5" t="s">
        <v>118</v>
      </c>
      <c r="E3235" s="5" t="s">
        <v>112</v>
      </c>
      <c r="F3235" s="6" t="s">
        <v>89</v>
      </c>
      <c r="G3235" s="4" t="s">
        <v>81</v>
      </c>
      <c r="H3235" s="25">
        <v>4002.6</v>
      </c>
      <c r="I3235" s="8">
        <v>16</v>
      </c>
      <c r="J3235" s="9">
        <v>16</v>
      </c>
      <c r="K3235" s="7">
        <v>0</v>
      </c>
      <c r="L3235" s="24">
        <f>+Tabla2[[#This Row],[Stock Inventario]]*Tabla2[[#This Row],[Coste LÃ­nea]]</f>
        <v>64041.599999999999</v>
      </c>
      <c r="M3235" s="24">
        <f>+Tabla2[[#This Row],[Variación Stock]]*Tabla2[[#This Row],[Coste LÃ­nea]]</f>
        <v>0</v>
      </c>
      <c r="N3235" s="22" t="str">
        <f>+IF(Tabla2[[#This Row],[Variación Stock]]&gt;0,"Sobrante",IF(Tabla2[[#This Row],[Variación Stock]]&lt;0,"Faltante","Sin novedad"))</f>
        <v>Sin novedad</v>
      </c>
    </row>
    <row r="3236" spans="1:14" x14ac:dyDescent="0.25">
      <c r="A3236" s="11">
        <v>46065</v>
      </c>
      <c r="B3236" s="5" t="s">
        <v>1092</v>
      </c>
      <c r="C3236" s="3" t="s">
        <v>337</v>
      </c>
      <c r="D3236" s="5" t="s">
        <v>122</v>
      </c>
      <c r="E3236" s="5" t="s">
        <v>112</v>
      </c>
      <c r="F3236" s="6" t="s">
        <v>103</v>
      </c>
      <c r="G3236" s="4" t="s">
        <v>2</v>
      </c>
      <c r="H3236" s="25">
        <v>3458.3283333300001</v>
      </c>
      <c r="I3236" s="8">
        <v>6</v>
      </c>
      <c r="J3236" s="9">
        <v>6</v>
      </c>
      <c r="K3236" s="7">
        <v>0</v>
      </c>
      <c r="L3236" s="24">
        <f>+Tabla2[[#This Row],[Stock Inventario]]*Tabla2[[#This Row],[Coste LÃ­nea]]</f>
        <v>20749.96999998</v>
      </c>
      <c r="M3236" s="24">
        <f>+Tabla2[[#This Row],[Variación Stock]]*Tabla2[[#This Row],[Coste LÃ­nea]]</f>
        <v>0</v>
      </c>
      <c r="N3236" s="22" t="str">
        <f>+IF(Tabla2[[#This Row],[Variación Stock]]&gt;0,"Sobrante",IF(Tabla2[[#This Row],[Variación Stock]]&lt;0,"Faltante","Sin novedad"))</f>
        <v>Sin novedad</v>
      </c>
    </row>
    <row r="3237" spans="1:14" x14ac:dyDescent="0.25">
      <c r="A3237" s="11">
        <v>46065</v>
      </c>
      <c r="B3237" s="5" t="s">
        <v>1092</v>
      </c>
      <c r="C3237" s="3" t="s">
        <v>337</v>
      </c>
      <c r="D3237" s="5" t="s">
        <v>111</v>
      </c>
      <c r="E3237" s="5" t="s">
        <v>112</v>
      </c>
      <c r="F3237" s="6" t="s">
        <v>46</v>
      </c>
      <c r="G3237" s="4" t="s">
        <v>0</v>
      </c>
      <c r="H3237" s="25">
        <v>2056.3333333300002</v>
      </c>
      <c r="I3237" s="8">
        <v>38</v>
      </c>
      <c r="J3237" s="9">
        <v>38</v>
      </c>
      <c r="K3237" s="7">
        <v>0</v>
      </c>
      <c r="L3237" s="24">
        <f>+Tabla2[[#This Row],[Stock Inventario]]*Tabla2[[#This Row],[Coste LÃ­nea]]</f>
        <v>78140.666666540012</v>
      </c>
      <c r="M3237" s="24">
        <f>+Tabla2[[#This Row],[Variación Stock]]*Tabla2[[#This Row],[Coste LÃ­nea]]</f>
        <v>0</v>
      </c>
      <c r="N3237" s="22" t="str">
        <f>+IF(Tabla2[[#This Row],[Variación Stock]]&gt;0,"Sobrante",IF(Tabla2[[#This Row],[Variación Stock]]&lt;0,"Faltante","Sin novedad"))</f>
        <v>Sin novedad</v>
      </c>
    </row>
    <row r="3238" spans="1:14" hidden="1" x14ac:dyDescent="0.25">
      <c r="A3238" s="11">
        <v>46065</v>
      </c>
      <c r="B3238" s="5" t="s">
        <v>1092</v>
      </c>
      <c r="C3238" s="3" t="s">
        <v>337</v>
      </c>
      <c r="D3238" s="5" t="s">
        <v>119</v>
      </c>
      <c r="E3238" s="5" t="s">
        <v>117</v>
      </c>
      <c r="F3238" s="6" t="s">
        <v>12</v>
      </c>
      <c r="G3238" s="4" t="s">
        <v>2</v>
      </c>
      <c r="H3238" s="25">
        <v>753.66666667000004</v>
      </c>
      <c r="I3238" s="8">
        <v>38</v>
      </c>
      <c r="J3238" s="9">
        <v>30</v>
      </c>
      <c r="K3238" s="7">
        <v>-8</v>
      </c>
      <c r="L3238" s="24">
        <f>+Tabla2[[#This Row],[Stock Inventario]]*Tabla2[[#This Row],[Coste LÃ­nea]]</f>
        <v>22610.000000100001</v>
      </c>
      <c r="M3238" s="24">
        <f>+Tabla2[[#This Row],[Variación Stock]]*Tabla2[[#This Row],[Coste LÃ­nea]]</f>
        <v>-6029.3333333600003</v>
      </c>
      <c r="N3238" s="22" t="str">
        <f>+IF(Tabla2[[#This Row],[Variación Stock]]&gt;0,"Sobrante",IF(Tabla2[[#This Row],[Variación Stock]]&lt;0,"Faltante","Sin novedad"))</f>
        <v>Faltante</v>
      </c>
    </row>
    <row r="3239" spans="1:14" x14ac:dyDescent="0.25">
      <c r="A3239" s="11">
        <v>46065</v>
      </c>
      <c r="B3239" s="5" t="s">
        <v>1092</v>
      </c>
      <c r="C3239" s="3" t="s">
        <v>337</v>
      </c>
      <c r="D3239" s="5" t="s">
        <v>118</v>
      </c>
      <c r="E3239" s="5" t="s">
        <v>112</v>
      </c>
      <c r="F3239" s="6" t="s">
        <v>308</v>
      </c>
      <c r="G3239" s="4" t="s">
        <v>81</v>
      </c>
      <c r="H3239" s="25">
        <v>13704.2</v>
      </c>
      <c r="I3239" s="8">
        <v>38</v>
      </c>
      <c r="J3239" s="9">
        <v>39</v>
      </c>
      <c r="K3239" s="7">
        <v>1</v>
      </c>
      <c r="L3239" s="24">
        <f>+Tabla2[[#This Row],[Stock Inventario]]*Tabla2[[#This Row],[Coste LÃ­nea]]</f>
        <v>534463.80000000005</v>
      </c>
      <c r="M3239" s="24">
        <f>+Tabla2[[#This Row],[Variación Stock]]*Tabla2[[#This Row],[Coste LÃ­nea]]</f>
        <v>13704.2</v>
      </c>
      <c r="N3239" s="22" t="str">
        <f>+IF(Tabla2[[#This Row],[Variación Stock]]&gt;0,"Sobrante",IF(Tabla2[[#This Row],[Variación Stock]]&lt;0,"Faltante","Sin novedad"))</f>
        <v>Sobrante</v>
      </c>
    </row>
    <row r="3240" spans="1:14" x14ac:dyDescent="0.25">
      <c r="A3240" s="11">
        <v>46065</v>
      </c>
      <c r="B3240" s="5" t="s">
        <v>1092</v>
      </c>
      <c r="C3240" s="3" t="s">
        <v>337</v>
      </c>
      <c r="D3240" s="5" t="s">
        <v>115</v>
      </c>
      <c r="E3240" s="5" t="s">
        <v>112</v>
      </c>
      <c r="F3240" s="6" t="s">
        <v>71</v>
      </c>
      <c r="G3240" s="4" t="s">
        <v>2</v>
      </c>
      <c r="H3240" s="25">
        <v>2455.2333333299998</v>
      </c>
      <c r="I3240" s="8">
        <v>11</v>
      </c>
      <c r="J3240" s="9">
        <v>11</v>
      </c>
      <c r="K3240" s="7">
        <v>0</v>
      </c>
      <c r="L3240" s="24">
        <f>+Tabla2[[#This Row],[Stock Inventario]]*Tabla2[[#This Row],[Coste LÃ­nea]]</f>
        <v>27007.566666629999</v>
      </c>
      <c r="M3240" s="24">
        <f>+Tabla2[[#This Row],[Variación Stock]]*Tabla2[[#This Row],[Coste LÃ­nea]]</f>
        <v>0</v>
      </c>
      <c r="N3240" s="22" t="str">
        <f>+IF(Tabla2[[#This Row],[Variación Stock]]&gt;0,"Sobrante",IF(Tabla2[[#This Row],[Variación Stock]]&lt;0,"Faltante","Sin novedad"))</f>
        <v>Sin novedad</v>
      </c>
    </row>
    <row r="3241" spans="1:14" x14ac:dyDescent="0.25">
      <c r="A3241" s="11">
        <v>46065</v>
      </c>
      <c r="B3241" s="5" t="s">
        <v>1092</v>
      </c>
      <c r="C3241" s="3" t="s">
        <v>337</v>
      </c>
      <c r="D3241" s="5" t="s">
        <v>111</v>
      </c>
      <c r="E3241" s="5" t="s">
        <v>112</v>
      </c>
      <c r="F3241" s="6" t="s">
        <v>16</v>
      </c>
      <c r="G3241" s="4" t="s">
        <v>0</v>
      </c>
      <c r="H3241" s="25">
        <v>2309.40625</v>
      </c>
      <c r="I3241" s="8">
        <v>-2</v>
      </c>
      <c r="J3241" s="9">
        <v>0</v>
      </c>
      <c r="K3241" s="7">
        <v>2</v>
      </c>
      <c r="L3241" s="24">
        <f>+Tabla2[[#This Row],[Stock Inventario]]*Tabla2[[#This Row],[Coste LÃ­nea]]</f>
        <v>0</v>
      </c>
      <c r="M3241" s="24">
        <f>+Tabla2[[#This Row],[Variación Stock]]*Tabla2[[#This Row],[Coste LÃ­nea]]</f>
        <v>4618.8125</v>
      </c>
      <c r="N3241" s="22" t="str">
        <f>+IF(Tabla2[[#This Row],[Variación Stock]]&gt;0,"Sobrante",IF(Tabla2[[#This Row],[Variación Stock]]&lt;0,"Faltante","Sin novedad"))</f>
        <v>Sobrante</v>
      </c>
    </row>
    <row r="3242" spans="1:14" hidden="1" x14ac:dyDescent="0.25">
      <c r="A3242" s="11">
        <v>46065</v>
      </c>
      <c r="B3242" s="5" t="s">
        <v>1092</v>
      </c>
      <c r="C3242" s="3" t="s">
        <v>337</v>
      </c>
      <c r="D3242" s="5" t="s">
        <v>120</v>
      </c>
      <c r="E3242" s="5" t="s">
        <v>117</v>
      </c>
      <c r="F3242" s="6" t="s">
        <v>315</v>
      </c>
      <c r="G3242" s="4" t="s">
        <v>2</v>
      </c>
      <c r="H3242" s="25">
        <v>2730.0773662900001</v>
      </c>
      <c r="I3242" s="8">
        <v>16</v>
      </c>
      <c r="J3242" s="9">
        <v>16</v>
      </c>
      <c r="K3242" s="7">
        <v>0</v>
      </c>
      <c r="L3242" s="24">
        <f>+Tabla2[[#This Row],[Stock Inventario]]*Tabla2[[#This Row],[Coste LÃ­nea]]</f>
        <v>43681.237860640002</v>
      </c>
      <c r="M3242" s="24">
        <f>+Tabla2[[#This Row],[Variación Stock]]*Tabla2[[#This Row],[Coste LÃ­nea]]</f>
        <v>0</v>
      </c>
      <c r="N3242" s="22" t="str">
        <f>+IF(Tabla2[[#This Row],[Variación Stock]]&gt;0,"Sobrante",IF(Tabla2[[#This Row],[Variación Stock]]&lt;0,"Faltante","Sin novedad"))</f>
        <v>Sin novedad</v>
      </c>
    </row>
    <row r="3243" spans="1:14" x14ac:dyDescent="0.25">
      <c r="A3243" s="11">
        <v>46065</v>
      </c>
      <c r="B3243" s="5" t="s">
        <v>1092</v>
      </c>
      <c r="C3243" s="3" t="s">
        <v>337</v>
      </c>
      <c r="D3243" s="5" t="s">
        <v>111</v>
      </c>
      <c r="E3243" s="5" t="s">
        <v>112</v>
      </c>
      <c r="F3243" s="6" t="s">
        <v>45</v>
      </c>
      <c r="G3243" s="4" t="s">
        <v>2</v>
      </c>
      <c r="H3243" s="25">
        <v>24403</v>
      </c>
      <c r="I3243" s="8">
        <v>2</v>
      </c>
      <c r="J3243" s="9">
        <v>2</v>
      </c>
      <c r="K3243" s="7">
        <v>0</v>
      </c>
      <c r="L3243" s="24">
        <f>+Tabla2[[#This Row],[Stock Inventario]]*Tabla2[[#This Row],[Coste LÃ­nea]]</f>
        <v>48806</v>
      </c>
      <c r="M3243" s="24">
        <f>+Tabla2[[#This Row],[Variación Stock]]*Tabla2[[#This Row],[Coste LÃ­nea]]</f>
        <v>0</v>
      </c>
      <c r="N3243" s="22" t="str">
        <f>+IF(Tabla2[[#This Row],[Variación Stock]]&gt;0,"Sobrante",IF(Tabla2[[#This Row],[Variación Stock]]&lt;0,"Faltante","Sin novedad"))</f>
        <v>Sin novedad</v>
      </c>
    </row>
    <row r="3244" spans="1:14" x14ac:dyDescent="0.25">
      <c r="A3244" s="11">
        <v>46065</v>
      </c>
      <c r="B3244" s="5" t="s">
        <v>1092</v>
      </c>
      <c r="C3244" s="3" t="s">
        <v>337</v>
      </c>
      <c r="D3244" s="5" t="s">
        <v>118</v>
      </c>
      <c r="E3244" s="5" t="s">
        <v>112</v>
      </c>
      <c r="F3244" s="6" t="s">
        <v>303</v>
      </c>
      <c r="G3244" s="4" t="s">
        <v>81</v>
      </c>
      <c r="H3244" s="25">
        <v>13704.6</v>
      </c>
      <c r="I3244" s="8">
        <v>41</v>
      </c>
      <c r="J3244" s="9">
        <v>26</v>
      </c>
      <c r="K3244" s="7">
        <v>-15</v>
      </c>
      <c r="L3244" s="24">
        <f>+Tabla2[[#This Row],[Stock Inventario]]*Tabla2[[#This Row],[Coste LÃ­nea]]</f>
        <v>356319.60000000003</v>
      </c>
      <c r="M3244" s="24">
        <f>+Tabla2[[#This Row],[Variación Stock]]*Tabla2[[#This Row],[Coste LÃ­nea]]</f>
        <v>-205569</v>
      </c>
      <c r="N3244" s="22" t="str">
        <f>+IF(Tabla2[[#This Row],[Variación Stock]]&gt;0,"Sobrante",IF(Tabla2[[#This Row],[Variación Stock]]&lt;0,"Faltante","Sin novedad"))</f>
        <v>Faltante</v>
      </c>
    </row>
    <row r="3245" spans="1:14" x14ac:dyDescent="0.25">
      <c r="A3245" s="11">
        <v>46065</v>
      </c>
      <c r="B3245" s="5" t="s">
        <v>1092</v>
      </c>
      <c r="C3245" s="3" t="s">
        <v>337</v>
      </c>
      <c r="D3245" s="5" t="s">
        <v>111</v>
      </c>
      <c r="E3245" s="5" t="s">
        <v>112</v>
      </c>
      <c r="F3245" s="6" t="s">
        <v>30</v>
      </c>
      <c r="G3245" s="4" t="s">
        <v>0</v>
      </c>
      <c r="H3245" s="25">
        <v>3673.5</v>
      </c>
      <c r="I3245" s="8">
        <v>0</v>
      </c>
      <c r="J3245" s="9">
        <v>0</v>
      </c>
      <c r="K3245" s="7">
        <v>0</v>
      </c>
      <c r="L3245" s="24">
        <f>+Tabla2[[#This Row],[Stock Inventario]]*Tabla2[[#This Row],[Coste LÃ­nea]]</f>
        <v>0</v>
      </c>
      <c r="M3245" s="24">
        <f>+Tabla2[[#This Row],[Variación Stock]]*Tabla2[[#This Row],[Coste LÃ­nea]]</f>
        <v>0</v>
      </c>
      <c r="N3245" s="22" t="str">
        <f>+IF(Tabla2[[#This Row],[Variación Stock]]&gt;0,"Sobrante",IF(Tabla2[[#This Row],[Variación Stock]]&lt;0,"Faltante","Sin novedad"))</f>
        <v>Sin novedad</v>
      </c>
    </row>
    <row r="3246" spans="1:14" x14ac:dyDescent="0.25">
      <c r="A3246" s="11">
        <v>46065</v>
      </c>
      <c r="B3246" s="5" t="s">
        <v>1092</v>
      </c>
      <c r="C3246" s="3" t="s">
        <v>337</v>
      </c>
      <c r="D3246" s="5" t="s">
        <v>114</v>
      </c>
      <c r="E3246" s="5" t="s">
        <v>112</v>
      </c>
      <c r="F3246" s="6" t="s">
        <v>60</v>
      </c>
      <c r="G3246" s="4" t="s">
        <v>2</v>
      </c>
      <c r="H3246" s="25">
        <v>2435.27777775</v>
      </c>
      <c r="I3246" s="8">
        <v>152</v>
      </c>
      <c r="J3246" s="9">
        <v>92</v>
      </c>
      <c r="K3246" s="7">
        <v>-60</v>
      </c>
      <c r="L3246" s="24">
        <f>+Tabla2[[#This Row],[Stock Inventario]]*Tabla2[[#This Row],[Coste LÃ­nea]]</f>
        <v>224045.55555300001</v>
      </c>
      <c r="M3246" s="24">
        <f>+Tabla2[[#This Row],[Variación Stock]]*Tabla2[[#This Row],[Coste LÃ­nea]]</f>
        <v>-146116.666665</v>
      </c>
      <c r="N3246" s="22" t="str">
        <f>+IF(Tabla2[[#This Row],[Variación Stock]]&gt;0,"Sobrante",IF(Tabla2[[#This Row],[Variación Stock]]&lt;0,"Faltante","Sin novedad"))</f>
        <v>Faltante</v>
      </c>
    </row>
    <row r="3247" spans="1:14" x14ac:dyDescent="0.25">
      <c r="A3247" s="11">
        <v>46065</v>
      </c>
      <c r="B3247" s="5" t="s">
        <v>1092</v>
      </c>
      <c r="C3247" s="3" t="s">
        <v>337</v>
      </c>
      <c r="D3247" s="5" t="s">
        <v>111</v>
      </c>
      <c r="E3247" s="5" t="s">
        <v>112</v>
      </c>
      <c r="F3247" s="6" t="s">
        <v>39</v>
      </c>
      <c r="G3247" s="4" t="s">
        <v>0</v>
      </c>
      <c r="H3247" s="25">
        <v>9899.25</v>
      </c>
      <c r="I3247" s="8">
        <v>10</v>
      </c>
      <c r="J3247" s="9">
        <v>11</v>
      </c>
      <c r="K3247" s="7">
        <v>1</v>
      </c>
      <c r="L3247" s="24">
        <f>+Tabla2[[#This Row],[Stock Inventario]]*Tabla2[[#This Row],[Coste LÃ­nea]]</f>
        <v>108891.75</v>
      </c>
      <c r="M3247" s="24">
        <f>+Tabla2[[#This Row],[Variación Stock]]*Tabla2[[#This Row],[Coste LÃ­nea]]</f>
        <v>9899.25</v>
      </c>
      <c r="N3247" s="22" t="str">
        <f>+IF(Tabla2[[#This Row],[Variación Stock]]&gt;0,"Sobrante",IF(Tabla2[[#This Row],[Variación Stock]]&lt;0,"Faltante","Sin novedad"))</f>
        <v>Sobrante</v>
      </c>
    </row>
    <row r="3248" spans="1:14" hidden="1" x14ac:dyDescent="0.25">
      <c r="A3248" s="11">
        <v>46065</v>
      </c>
      <c r="B3248" s="5" t="s">
        <v>1092</v>
      </c>
      <c r="C3248" s="3" t="s">
        <v>337</v>
      </c>
      <c r="D3248" s="5" t="s">
        <v>116</v>
      </c>
      <c r="E3248" s="5" t="s">
        <v>117</v>
      </c>
      <c r="F3248" s="6" t="s">
        <v>7</v>
      </c>
      <c r="G3248" s="4" t="s">
        <v>2</v>
      </c>
      <c r="H3248" s="25">
        <v>13154.054054050001</v>
      </c>
      <c r="I3248" s="8">
        <v>44.5</v>
      </c>
      <c r="J3248" s="9">
        <v>34.5</v>
      </c>
      <c r="K3248" s="7">
        <v>-10</v>
      </c>
      <c r="L3248" s="24">
        <f>+Tabla2[[#This Row],[Stock Inventario]]*Tabla2[[#This Row],[Coste LÃ­nea]]</f>
        <v>453814.86486472504</v>
      </c>
      <c r="M3248" s="24">
        <f>+Tabla2[[#This Row],[Variación Stock]]*Tabla2[[#This Row],[Coste LÃ­nea]]</f>
        <v>-131540.54054050002</v>
      </c>
      <c r="N3248" s="22" t="str">
        <f>+IF(Tabla2[[#This Row],[Variación Stock]]&gt;0,"Sobrante",IF(Tabla2[[#This Row],[Variación Stock]]&lt;0,"Faltante","Sin novedad"))</f>
        <v>Faltante</v>
      </c>
    </row>
    <row r="3249" spans="1:14" x14ac:dyDescent="0.25">
      <c r="A3249" s="11">
        <v>46065</v>
      </c>
      <c r="B3249" s="5" t="s">
        <v>1092</v>
      </c>
      <c r="C3249" s="3" t="s">
        <v>337</v>
      </c>
      <c r="D3249" s="5" t="s">
        <v>118</v>
      </c>
      <c r="E3249" s="5" t="s">
        <v>112</v>
      </c>
      <c r="F3249" s="6" t="s">
        <v>297</v>
      </c>
      <c r="G3249" s="4" t="s">
        <v>2</v>
      </c>
      <c r="H3249" s="25">
        <v>87241.5</v>
      </c>
      <c r="I3249" s="8">
        <v>1</v>
      </c>
      <c r="J3249" s="9">
        <v>1</v>
      </c>
      <c r="K3249" s="7">
        <v>0</v>
      </c>
      <c r="L3249" s="24">
        <f>+Tabla2[[#This Row],[Stock Inventario]]*Tabla2[[#This Row],[Coste LÃ­nea]]</f>
        <v>87241.5</v>
      </c>
      <c r="M3249" s="24">
        <f>+Tabla2[[#This Row],[Variación Stock]]*Tabla2[[#This Row],[Coste LÃ­nea]]</f>
        <v>0</v>
      </c>
      <c r="N3249" s="22" t="str">
        <f>+IF(Tabla2[[#This Row],[Variación Stock]]&gt;0,"Sobrante",IF(Tabla2[[#This Row],[Variación Stock]]&lt;0,"Faltante","Sin novedad"))</f>
        <v>Sin novedad</v>
      </c>
    </row>
    <row r="3250" spans="1:14" x14ac:dyDescent="0.25">
      <c r="A3250" s="11">
        <v>46065</v>
      </c>
      <c r="B3250" s="5" t="s">
        <v>1092</v>
      </c>
      <c r="C3250" s="3" t="s">
        <v>337</v>
      </c>
      <c r="D3250" s="5" t="s">
        <v>111</v>
      </c>
      <c r="E3250" s="5" t="s">
        <v>112</v>
      </c>
      <c r="F3250" s="6" t="s">
        <v>58</v>
      </c>
      <c r="G3250" s="4" t="s">
        <v>0</v>
      </c>
      <c r="H3250" s="25">
        <v>6303.25</v>
      </c>
      <c r="I3250" s="8">
        <v>56</v>
      </c>
      <c r="J3250" s="9">
        <v>62</v>
      </c>
      <c r="K3250" s="7">
        <v>6</v>
      </c>
      <c r="L3250" s="24">
        <f>+Tabla2[[#This Row],[Stock Inventario]]*Tabla2[[#This Row],[Coste LÃ­nea]]</f>
        <v>390801.5</v>
      </c>
      <c r="M3250" s="24">
        <f>+Tabla2[[#This Row],[Variación Stock]]*Tabla2[[#This Row],[Coste LÃ­nea]]</f>
        <v>37819.5</v>
      </c>
      <c r="N3250" s="22" t="str">
        <f>+IF(Tabla2[[#This Row],[Variación Stock]]&gt;0,"Sobrante",IF(Tabla2[[#This Row],[Variación Stock]]&lt;0,"Faltante","Sin novedad"))</f>
        <v>Sobrante</v>
      </c>
    </row>
    <row r="3251" spans="1:14" x14ac:dyDescent="0.25">
      <c r="A3251" s="11">
        <v>46065</v>
      </c>
      <c r="B3251" s="5" t="s">
        <v>1092</v>
      </c>
      <c r="C3251" s="3" t="s">
        <v>337</v>
      </c>
      <c r="D3251" s="5" t="s">
        <v>118</v>
      </c>
      <c r="E3251" s="5" t="s">
        <v>112</v>
      </c>
      <c r="F3251" s="6" t="s">
        <v>1086</v>
      </c>
      <c r="G3251" s="4" t="s">
        <v>2</v>
      </c>
      <c r="H3251" s="25">
        <v>22425.5</v>
      </c>
      <c r="I3251" s="8">
        <v>7</v>
      </c>
      <c r="J3251" s="9">
        <v>5</v>
      </c>
      <c r="K3251" s="7">
        <v>-2</v>
      </c>
      <c r="L3251" s="24">
        <f>+Tabla2[[#This Row],[Stock Inventario]]*Tabla2[[#This Row],[Coste LÃ­nea]]</f>
        <v>112127.5</v>
      </c>
      <c r="M3251" s="24">
        <f>+Tabla2[[#This Row],[Variación Stock]]*Tabla2[[#This Row],[Coste LÃ­nea]]</f>
        <v>-44851</v>
      </c>
      <c r="N3251" s="22" t="str">
        <f>+IF(Tabla2[[#This Row],[Variación Stock]]&gt;0,"Sobrante",IF(Tabla2[[#This Row],[Variación Stock]]&lt;0,"Faltante","Sin novedad"))</f>
        <v>Faltante</v>
      </c>
    </row>
    <row r="3252" spans="1:14" x14ac:dyDescent="0.25">
      <c r="A3252" s="11">
        <v>46065</v>
      </c>
      <c r="B3252" s="5" t="s">
        <v>1092</v>
      </c>
      <c r="C3252" s="3" t="s">
        <v>337</v>
      </c>
      <c r="D3252" s="5" t="s">
        <v>115</v>
      </c>
      <c r="E3252" s="5" t="s">
        <v>112</v>
      </c>
      <c r="F3252" s="6" t="s">
        <v>78</v>
      </c>
      <c r="G3252" s="4" t="s">
        <v>2</v>
      </c>
      <c r="H3252" s="25">
        <v>3261.8333333300002</v>
      </c>
      <c r="I3252" s="8">
        <v>0</v>
      </c>
      <c r="J3252" s="9">
        <v>0</v>
      </c>
      <c r="K3252" s="7">
        <v>0</v>
      </c>
      <c r="L3252" s="24">
        <f>+Tabla2[[#This Row],[Stock Inventario]]*Tabla2[[#This Row],[Coste LÃ­nea]]</f>
        <v>0</v>
      </c>
      <c r="M3252" s="24">
        <f>+Tabla2[[#This Row],[Variación Stock]]*Tabla2[[#This Row],[Coste LÃ­nea]]</f>
        <v>0</v>
      </c>
      <c r="N3252" s="22" t="str">
        <f>+IF(Tabla2[[#This Row],[Variación Stock]]&gt;0,"Sobrante",IF(Tabla2[[#This Row],[Variación Stock]]&lt;0,"Faltante","Sin novedad"))</f>
        <v>Sin novedad</v>
      </c>
    </row>
    <row r="3253" spans="1:14" x14ac:dyDescent="0.25">
      <c r="A3253" s="11">
        <v>46065</v>
      </c>
      <c r="B3253" s="5" t="s">
        <v>1092</v>
      </c>
      <c r="C3253" s="3" t="s">
        <v>337</v>
      </c>
      <c r="D3253" s="5" t="s">
        <v>111</v>
      </c>
      <c r="E3253" s="5" t="s">
        <v>112</v>
      </c>
      <c r="F3253" s="6" t="s">
        <v>38</v>
      </c>
      <c r="G3253" s="4" t="s">
        <v>0</v>
      </c>
      <c r="H3253" s="25">
        <v>2222.09090909</v>
      </c>
      <c r="I3253" s="8">
        <v>78</v>
      </c>
      <c r="J3253" s="9">
        <v>77</v>
      </c>
      <c r="K3253" s="7">
        <v>-1</v>
      </c>
      <c r="L3253" s="24">
        <f>+Tabla2[[#This Row],[Stock Inventario]]*Tabla2[[#This Row],[Coste LÃ­nea]]</f>
        <v>171100.99999993001</v>
      </c>
      <c r="M3253" s="24">
        <f>+Tabla2[[#This Row],[Variación Stock]]*Tabla2[[#This Row],[Coste LÃ­nea]]</f>
        <v>-2222.09090909</v>
      </c>
      <c r="N3253" s="22" t="str">
        <f>+IF(Tabla2[[#This Row],[Variación Stock]]&gt;0,"Sobrante",IF(Tabla2[[#This Row],[Variación Stock]]&lt;0,"Faltante","Sin novedad"))</f>
        <v>Faltante</v>
      </c>
    </row>
    <row r="3254" spans="1:14" x14ac:dyDescent="0.25">
      <c r="A3254" s="11">
        <v>46065</v>
      </c>
      <c r="B3254" s="5" t="s">
        <v>1092</v>
      </c>
      <c r="C3254" s="3" t="s">
        <v>337</v>
      </c>
      <c r="D3254" s="5" t="s">
        <v>118</v>
      </c>
      <c r="E3254" s="5" t="s">
        <v>112</v>
      </c>
      <c r="F3254" s="6" t="s">
        <v>87</v>
      </c>
      <c r="G3254" s="4" t="s">
        <v>2</v>
      </c>
      <c r="H3254" s="25">
        <v>34232.333333330003</v>
      </c>
      <c r="I3254" s="8">
        <v>4</v>
      </c>
      <c r="J3254" s="9">
        <v>4</v>
      </c>
      <c r="K3254" s="7">
        <v>0</v>
      </c>
      <c r="L3254" s="24">
        <f>+Tabla2[[#This Row],[Stock Inventario]]*Tabla2[[#This Row],[Coste LÃ­nea]]</f>
        <v>136929.33333332001</v>
      </c>
      <c r="M3254" s="24">
        <f>+Tabla2[[#This Row],[Variación Stock]]*Tabla2[[#This Row],[Coste LÃ­nea]]</f>
        <v>0</v>
      </c>
      <c r="N3254" s="22" t="str">
        <f>+IF(Tabla2[[#This Row],[Variación Stock]]&gt;0,"Sobrante",IF(Tabla2[[#This Row],[Variación Stock]]&lt;0,"Faltante","Sin novedad"))</f>
        <v>Sin novedad</v>
      </c>
    </row>
    <row r="3255" spans="1:14" x14ac:dyDescent="0.25">
      <c r="A3255" s="11">
        <v>46065</v>
      </c>
      <c r="B3255" s="5" t="s">
        <v>1092</v>
      </c>
      <c r="C3255" s="3" t="s">
        <v>337</v>
      </c>
      <c r="D3255" s="5" t="s">
        <v>122</v>
      </c>
      <c r="E3255" s="5" t="s">
        <v>112</v>
      </c>
      <c r="F3255" s="6" t="s">
        <v>98</v>
      </c>
      <c r="G3255" s="4" t="s">
        <v>2</v>
      </c>
      <c r="H3255" s="25">
        <v>1829.625</v>
      </c>
      <c r="I3255" s="8">
        <v>122</v>
      </c>
      <c r="J3255" s="9">
        <v>158</v>
      </c>
      <c r="K3255" s="7">
        <v>36</v>
      </c>
      <c r="L3255" s="24">
        <f>+Tabla2[[#This Row],[Stock Inventario]]*Tabla2[[#This Row],[Coste LÃ­nea]]</f>
        <v>289080.75</v>
      </c>
      <c r="M3255" s="24">
        <f>+Tabla2[[#This Row],[Variación Stock]]*Tabla2[[#This Row],[Coste LÃ­nea]]</f>
        <v>65866.5</v>
      </c>
      <c r="N3255" s="22" t="str">
        <f>+IF(Tabla2[[#This Row],[Variación Stock]]&gt;0,"Sobrante",IF(Tabla2[[#This Row],[Variación Stock]]&lt;0,"Faltante","Sin novedad"))</f>
        <v>Sobrante</v>
      </c>
    </row>
    <row r="3256" spans="1:14" x14ac:dyDescent="0.25">
      <c r="A3256" s="11">
        <v>46065</v>
      </c>
      <c r="B3256" s="5" t="s">
        <v>1092</v>
      </c>
      <c r="C3256" s="3" t="s">
        <v>337</v>
      </c>
      <c r="D3256" s="5" t="s">
        <v>111</v>
      </c>
      <c r="E3256" s="5" t="s">
        <v>112</v>
      </c>
      <c r="F3256" s="6" t="s">
        <v>42</v>
      </c>
      <c r="G3256" s="4" t="s">
        <v>0</v>
      </c>
      <c r="H3256" s="25">
        <v>2906.3333333300002</v>
      </c>
      <c r="I3256" s="8">
        <v>19</v>
      </c>
      <c r="J3256" s="9">
        <v>19</v>
      </c>
      <c r="K3256" s="7">
        <v>0</v>
      </c>
      <c r="L3256" s="24">
        <f>+Tabla2[[#This Row],[Stock Inventario]]*Tabla2[[#This Row],[Coste LÃ­nea]]</f>
        <v>55220.333333270006</v>
      </c>
      <c r="M3256" s="24">
        <f>+Tabla2[[#This Row],[Variación Stock]]*Tabla2[[#This Row],[Coste LÃ­nea]]</f>
        <v>0</v>
      </c>
      <c r="N3256" s="22" t="str">
        <f>+IF(Tabla2[[#This Row],[Variación Stock]]&gt;0,"Sobrante",IF(Tabla2[[#This Row],[Variación Stock]]&lt;0,"Faltante","Sin novedad"))</f>
        <v>Sin novedad</v>
      </c>
    </row>
    <row r="3257" spans="1:14" x14ac:dyDescent="0.25">
      <c r="A3257" s="11">
        <v>46065</v>
      </c>
      <c r="B3257" s="5" t="s">
        <v>1092</v>
      </c>
      <c r="C3257" s="3" t="s">
        <v>337</v>
      </c>
      <c r="D3257" s="5" t="s">
        <v>114</v>
      </c>
      <c r="E3257" s="5" t="s">
        <v>112</v>
      </c>
      <c r="F3257" s="6" t="s">
        <v>64</v>
      </c>
      <c r="G3257" s="4" t="s">
        <v>2</v>
      </c>
      <c r="H3257" s="25">
        <v>5132.5</v>
      </c>
      <c r="I3257" s="8">
        <v>6</v>
      </c>
      <c r="J3257" s="9">
        <v>6</v>
      </c>
      <c r="K3257" s="7">
        <v>0</v>
      </c>
      <c r="L3257" s="24">
        <f>+Tabla2[[#This Row],[Stock Inventario]]*Tabla2[[#This Row],[Coste LÃ­nea]]</f>
        <v>30795</v>
      </c>
      <c r="M3257" s="24">
        <f>+Tabla2[[#This Row],[Variación Stock]]*Tabla2[[#This Row],[Coste LÃ­nea]]</f>
        <v>0</v>
      </c>
      <c r="N3257" s="22" t="str">
        <f>+IF(Tabla2[[#This Row],[Variación Stock]]&gt;0,"Sobrante",IF(Tabla2[[#This Row],[Variación Stock]]&lt;0,"Faltante","Sin novedad"))</f>
        <v>Sin novedad</v>
      </c>
    </row>
    <row r="3258" spans="1:14" x14ac:dyDescent="0.25">
      <c r="A3258" s="11">
        <v>46065</v>
      </c>
      <c r="B3258" s="5" t="s">
        <v>1092</v>
      </c>
      <c r="C3258" s="3" t="s">
        <v>337</v>
      </c>
      <c r="D3258" s="5" t="s">
        <v>111</v>
      </c>
      <c r="E3258" s="5" t="s">
        <v>112</v>
      </c>
      <c r="F3258" s="6" t="s">
        <v>35</v>
      </c>
      <c r="G3258" s="4" t="s">
        <v>0</v>
      </c>
      <c r="H3258" s="25">
        <v>6045.125</v>
      </c>
      <c r="I3258" s="8">
        <v>15</v>
      </c>
      <c r="J3258" s="9">
        <v>16</v>
      </c>
      <c r="K3258" s="7">
        <v>1</v>
      </c>
      <c r="L3258" s="24">
        <f>+Tabla2[[#This Row],[Stock Inventario]]*Tabla2[[#This Row],[Coste LÃ­nea]]</f>
        <v>96722</v>
      </c>
      <c r="M3258" s="24">
        <f>+Tabla2[[#This Row],[Variación Stock]]*Tabla2[[#This Row],[Coste LÃ­nea]]</f>
        <v>6045.125</v>
      </c>
      <c r="N3258" s="22" t="str">
        <f>+IF(Tabla2[[#This Row],[Variación Stock]]&gt;0,"Sobrante",IF(Tabla2[[#This Row],[Variación Stock]]&lt;0,"Faltante","Sin novedad"))</f>
        <v>Sobrante</v>
      </c>
    </row>
    <row r="3259" spans="1:14" hidden="1" x14ac:dyDescent="0.25">
      <c r="A3259" s="11">
        <v>46065</v>
      </c>
      <c r="B3259" s="5" t="s">
        <v>1092</v>
      </c>
      <c r="C3259" s="3" t="s">
        <v>337</v>
      </c>
      <c r="D3259" s="5" t="s">
        <v>120</v>
      </c>
      <c r="E3259" s="5" t="s">
        <v>117</v>
      </c>
      <c r="F3259" s="6" t="s">
        <v>321</v>
      </c>
      <c r="G3259" s="4" t="s">
        <v>2</v>
      </c>
      <c r="H3259" s="25">
        <v>16188.145044430001</v>
      </c>
      <c r="I3259" s="8">
        <v>13</v>
      </c>
      <c r="J3259" s="9">
        <v>13</v>
      </c>
      <c r="K3259" s="7">
        <v>0</v>
      </c>
      <c r="L3259" s="24">
        <f>+Tabla2[[#This Row],[Stock Inventario]]*Tabla2[[#This Row],[Coste LÃ­nea]]</f>
        <v>210445.88557759</v>
      </c>
      <c r="M3259" s="24">
        <f>+Tabla2[[#This Row],[Variación Stock]]*Tabla2[[#This Row],[Coste LÃ­nea]]</f>
        <v>0</v>
      </c>
      <c r="N3259" s="22" t="str">
        <f>+IF(Tabla2[[#This Row],[Variación Stock]]&gt;0,"Sobrante",IF(Tabla2[[#This Row],[Variación Stock]]&lt;0,"Faltante","Sin novedad"))</f>
        <v>Sin novedad</v>
      </c>
    </row>
    <row r="3260" spans="1:14" x14ac:dyDescent="0.25">
      <c r="A3260" s="11">
        <v>46065</v>
      </c>
      <c r="B3260" s="5" t="s">
        <v>1092</v>
      </c>
      <c r="C3260" s="3" t="s">
        <v>337</v>
      </c>
      <c r="D3260" s="5" t="s">
        <v>111</v>
      </c>
      <c r="E3260" s="5" t="s">
        <v>112</v>
      </c>
      <c r="F3260" s="6" t="s">
        <v>285</v>
      </c>
      <c r="G3260" s="4" t="s">
        <v>2</v>
      </c>
      <c r="H3260" s="25">
        <v>0</v>
      </c>
      <c r="I3260" s="8">
        <v>2</v>
      </c>
      <c r="J3260" s="9">
        <v>2</v>
      </c>
      <c r="K3260" s="7">
        <v>0</v>
      </c>
      <c r="L3260" s="24">
        <f>+Tabla2[[#This Row],[Stock Inventario]]*Tabla2[[#This Row],[Coste LÃ­nea]]</f>
        <v>0</v>
      </c>
      <c r="M3260" s="24">
        <f>+Tabla2[[#This Row],[Variación Stock]]*Tabla2[[#This Row],[Coste LÃ­nea]]</f>
        <v>0</v>
      </c>
      <c r="N3260" s="22" t="str">
        <f>+IF(Tabla2[[#This Row],[Variación Stock]]&gt;0,"Sobrante",IF(Tabla2[[#This Row],[Variación Stock]]&lt;0,"Faltante","Sin novedad"))</f>
        <v>Sin novedad</v>
      </c>
    </row>
    <row r="3261" spans="1:14" x14ac:dyDescent="0.25">
      <c r="A3261" s="11">
        <v>46065</v>
      </c>
      <c r="B3261" s="5" t="s">
        <v>1092</v>
      </c>
      <c r="C3261" s="3" t="s">
        <v>337</v>
      </c>
      <c r="D3261" s="5" t="s">
        <v>118</v>
      </c>
      <c r="E3261" s="5" t="s">
        <v>112</v>
      </c>
      <c r="F3261" s="6" t="s">
        <v>301</v>
      </c>
      <c r="G3261" s="4" t="s">
        <v>81</v>
      </c>
      <c r="H3261" s="25">
        <v>13660</v>
      </c>
      <c r="I3261" s="8">
        <v>7</v>
      </c>
      <c r="J3261" s="9">
        <v>8</v>
      </c>
      <c r="K3261" s="7">
        <v>1</v>
      </c>
      <c r="L3261" s="24">
        <f>+Tabla2[[#This Row],[Stock Inventario]]*Tabla2[[#This Row],[Coste LÃ­nea]]</f>
        <v>109280</v>
      </c>
      <c r="M3261" s="24">
        <f>+Tabla2[[#This Row],[Variación Stock]]*Tabla2[[#This Row],[Coste LÃ­nea]]</f>
        <v>13660</v>
      </c>
      <c r="N3261" s="22" t="str">
        <f>+IF(Tabla2[[#This Row],[Variación Stock]]&gt;0,"Sobrante",IF(Tabla2[[#This Row],[Variación Stock]]&lt;0,"Faltante","Sin novedad"))</f>
        <v>Sobrante</v>
      </c>
    </row>
    <row r="3262" spans="1:14" x14ac:dyDescent="0.25">
      <c r="A3262" s="11">
        <v>46065</v>
      </c>
      <c r="B3262" s="5" t="s">
        <v>1092</v>
      </c>
      <c r="C3262" s="3" t="s">
        <v>337</v>
      </c>
      <c r="D3262" s="5" t="s">
        <v>111</v>
      </c>
      <c r="E3262" s="5" t="s">
        <v>112</v>
      </c>
      <c r="F3262" s="6" t="s">
        <v>29</v>
      </c>
      <c r="G3262" s="4" t="s">
        <v>0</v>
      </c>
      <c r="H3262" s="25">
        <v>12951.25</v>
      </c>
      <c r="I3262" s="8">
        <v>9</v>
      </c>
      <c r="J3262" s="9">
        <v>9</v>
      </c>
      <c r="K3262" s="7">
        <v>0</v>
      </c>
      <c r="L3262" s="24">
        <f>+Tabla2[[#This Row],[Stock Inventario]]*Tabla2[[#This Row],[Coste LÃ­nea]]</f>
        <v>116561.25</v>
      </c>
      <c r="M3262" s="24">
        <f>+Tabla2[[#This Row],[Variación Stock]]*Tabla2[[#This Row],[Coste LÃ­nea]]</f>
        <v>0</v>
      </c>
      <c r="N3262" s="22" t="str">
        <f>+IF(Tabla2[[#This Row],[Variación Stock]]&gt;0,"Sobrante",IF(Tabla2[[#This Row],[Variación Stock]]&lt;0,"Faltante","Sin novedad"))</f>
        <v>Sin novedad</v>
      </c>
    </row>
    <row r="3263" spans="1:14" x14ac:dyDescent="0.25">
      <c r="A3263" s="11">
        <v>46065</v>
      </c>
      <c r="B3263" s="5" t="s">
        <v>1092</v>
      </c>
      <c r="C3263" s="3" t="s">
        <v>337</v>
      </c>
      <c r="D3263" s="5" t="s">
        <v>114</v>
      </c>
      <c r="E3263" s="5" t="s">
        <v>112</v>
      </c>
      <c r="F3263" s="6" t="s">
        <v>66</v>
      </c>
      <c r="G3263" s="4" t="s">
        <v>2</v>
      </c>
      <c r="H3263" s="25">
        <v>5309.7916666700003</v>
      </c>
      <c r="I3263" s="8">
        <v>13.5</v>
      </c>
      <c r="J3263" s="9">
        <v>14</v>
      </c>
      <c r="K3263" s="7">
        <v>0.5</v>
      </c>
      <c r="L3263" s="24">
        <f>+Tabla2[[#This Row],[Stock Inventario]]*Tabla2[[#This Row],[Coste LÃ­nea]]</f>
        <v>74337.083333379996</v>
      </c>
      <c r="M3263" s="24">
        <f>+Tabla2[[#This Row],[Variación Stock]]*Tabla2[[#This Row],[Coste LÃ­nea]]</f>
        <v>2654.8958333350001</v>
      </c>
      <c r="N3263" s="22" t="str">
        <f>+IF(Tabla2[[#This Row],[Variación Stock]]&gt;0,"Sobrante",IF(Tabla2[[#This Row],[Variación Stock]]&lt;0,"Faltante","Sin novedad"))</f>
        <v>Sobrante</v>
      </c>
    </row>
    <row r="3264" spans="1:14" x14ac:dyDescent="0.25">
      <c r="A3264" s="11">
        <v>46065</v>
      </c>
      <c r="B3264" s="5" t="s">
        <v>1092</v>
      </c>
      <c r="C3264" s="3" t="s">
        <v>337</v>
      </c>
      <c r="D3264" s="5" t="s">
        <v>111</v>
      </c>
      <c r="E3264" s="5" t="s">
        <v>112</v>
      </c>
      <c r="F3264" s="6" t="s">
        <v>52</v>
      </c>
      <c r="G3264" s="4" t="s">
        <v>0</v>
      </c>
      <c r="H3264" s="25">
        <v>6850.05</v>
      </c>
      <c r="I3264" s="8">
        <v>32.04</v>
      </c>
      <c r="J3264" s="9">
        <v>34</v>
      </c>
      <c r="K3264" s="7">
        <v>1.96</v>
      </c>
      <c r="L3264" s="24">
        <f>+Tabla2[[#This Row],[Stock Inventario]]*Tabla2[[#This Row],[Coste LÃ­nea]]</f>
        <v>232901.7</v>
      </c>
      <c r="M3264" s="24">
        <f>+Tabla2[[#This Row],[Variación Stock]]*Tabla2[[#This Row],[Coste LÃ­nea]]</f>
        <v>13426.098</v>
      </c>
      <c r="N3264" s="22" t="str">
        <f>+IF(Tabla2[[#This Row],[Variación Stock]]&gt;0,"Sobrante",IF(Tabla2[[#This Row],[Variación Stock]]&lt;0,"Faltante","Sin novedad"))</f>
        <v>Sobrante</v>
      </c>
    </row>
    <row r="3265" spans="1:14" x14ac:dyDescent="0.25">
      <c r="A3265" s="11">
        <v>46065</v>
      </c>
      <c r="B3265" s="5" t="s">
        <v>1092</v>
      </c>
      <c r="C3265" s="3" t="s">
        <v>337</v>
      </c>
      <c r="D3265" s="5" t="s">
        <v>118</v>
      </c>
      <c r="E3265" s="5" t="s">
        <v>112</v>
      </c>
      <c r="F3265" s="6" t="s">
        <v>91</v>
      </c>
      <c r="G3265" s="4" t="s">
        <v>2</v>
      </c>
      <c r="H3265" s="25">
        <v>63887</v>
      </c>
      <c r="I3265" s="8">
        <v>3</v>
      </c>
      <c r="J3265" s="9">
        <v>3</v>
      </c>
      <c r="K3265" s="7">
        <v>0</v>
      </c>
      <c r="L3265" s="24">
        <f>+Tabla2[[#This Row],[Stock Inventario]]*Tabla2[[#This Row],[Coste LÃ­nea]]</f>
        <v>191661</v>
      </c>
      <c r="M3265" s="24">
        <f>+Tabla2[[#This Row],[Variación Stock]]*Tabla2[[#This Row],[Coste LÃ­nea]]</f>
        <v>0</v>
      </c>
      <c r="N3265" s="22" t="str">
        <f>+IF(Tabla2[[#This Row],[Variación Stock]]&gt;0,"Sobrante",IF(Tabla2[[#This Row],[Variación Stock]]&lt;0,"Faltante","Sin novedad"))</f>
        <v>Sin novedad</v>
      </c>
    </row>
    <row r="3266" spans="1:14" x14ac:dyDescent="0.25">
      <c r="A3266" s="11">
        <v>46065</v>
      </c>
      <c r="B3266" s="5" t="s">
        <v>1092</v>
      </c>
      <c r="C3266" s="3" t="s">
        <v>337</v>
      </c>
      <c r="D3266" s="5" t="s">
        <v>122</v>
      </c>
      <c r="E3266" s="5" t="s">
        <v>112</v>
      </c>
      <c r="F3266" s="6" t="s">
        <v>108</v>
      </c>
      <c r="G3266" s="4" t="s">
        <v>2</v>
      </c>
      <c r="H3266" s="25">
        <v>2766.665</v>
      </c>
      <c r="I3266" s="8">
        <v>0</v>
      </c>
      <c r="J3266" s="9">
        <v>8</v>
      </c>
      <c r="K3266" s="7">
        <v>8</v>
      </c>
      <c r="L3266" s="24">
        <f>+Tabla2[[#This Row],[Stock Inventario]]*Tabla2[[#This Row],[Coste LÃ­nea]]</f>
        <v>22133.32</v>
      </c>
      <c r="M3266" s="24">
        <f>+Tabla2[[#This Row],[Variación Stock]]*Tabla2[[#This Row],[Coste LÃ­nea]]</f>
        <v>22133.32</v>
      </c>
      <c r="N3266" s="22" t="str">
        <f>+IF(Tabla2[[#This Row],[Variación Stock]]&gt;0,"Sobrante",IF(Tabla2[[#This Row],[Variación Stock]]&lt;0,"Faltante","Sin novedad"))</f>
        <v>Sobrante</v>
      </c>
    </row>
    <row r="3267" spans="1:14" x14ac:dyDescent="0.25">
      <c r="A3267" s="11">
        <v>46065</v>
      </c>
      <c r="B3267" s="5" t="s">
        <v>1092</v>
      </c>
      <c r="C3267" s="3" t="s">
        <v>337</v>
      </c>
      <c r="D3267" s="5" t="s">
        <v>111</v>
      </c>
      <c r="E3267" s="5" t="s">
        <v>112</v>
      </c>
      <c r="F3267" s="6" t="s">
        <v>28</v>
      </c>
      <c r="G3267" s="4" t="s">
        <v>2</v>
      </c>
      <c r="H3267" s="25">
        <v>93956</v>
      </c>
      <c r="I3267" s="8">
        <v>2</v>
      </c>
      <c r="J3267" s="9">
        <v>2</v>
      </c>
      <c r="K3267" s="7">
        <v>0</v>
      </c>
      <c r="L3267" s="24">
        <f>+Tabla2[[#This Row],[Stock Inventario]]*Tabla2[[#This Row],[Coste LÃ­nea]]</f>
        <v>187912</v>
      </c>
      <c r="M3267" s="24">
        <f>+Tabla2[[#This Row],[Variación Stock]]*Tabla2[[#This Row],[Coste LÃ­nea]]</f>
        <v>0</v>
      </c>
      <c r="N3267" s="22" t="str">
        <f>+IF(Tabla2[[#This Row],[Variación Stock]]&gt;0,"Sobrante",IF(Tabla2[[#This Row],[Variación Stock]]&lt;0,"Faltante","Sin novedad"))</f>
        <v>Sin novedad</v>
      </c>
    </row>
    <row r="3268" spans="1:14" x14ac:dyDescent="0.25">
      <c r="A3268" s="11">
        <v>46065</v>
      </c>
      <c r="B3268" s="5" t="s">
        <v>1092</v>
      </c>
      <c r="C3268" s="3" t="s">
        <v>337</v>
      </c>
      <c r="D3268" s="5" t="s">
        <v>118</v>
      </c>
      <c r="E3268" s="5" t="s">
        <v>112</v>
      </c>
      <c r="F3268" s="6" t="s">
        <v>370</v>
      </c>
      <c r="G3268" s="4" t="s">
        <v>0</v>
      </c>
      <c r="H3268" s="25">
        <v>2902.8333333300002</v>
      </c>
      <c r="I3268" s="8">
        <v>36</v>
      </c>
      <c r="J3268" s="9">
        <v>40</v>
      </c>
      <c r="K3268" s="7">
        <v>4</v>
      </c>
      <c r="L3268" s="24">
        <f>+Tabla2[[#This Row],[Stock Inventario]]*Tabla2[[#This Row],[Coste LÃ­nea]]</f>
        <v>116113.3333332</v>
      </c>
      <c r="M3268" s="24">
        <f>+Tabla2[[#This Row],[Variación Stock]]*Tabla2[[#This Row],[Coste LÃ­nea]]</f>
        <v>11611.333333320001</v>
      </c>
      <c r="N3268" s="22" t="str">
        <f>+IF(Tabla2[[#This Row],[Variación Stock]]&gt;0,"Sobrante",IF(Tabla2[[#This Row],[Variación Stock]]&lt;0,"Faltante","Sin novedad"))</f>
        <v>Sobrante</v>
      </c>
    </row>
    <row r="3269" spans="1:14" x14ac:dyDescent="0.25">
      <c r="A3269" s="11">
        <v>46065</v>
      </c>
      <c r="B3269" s="5" t="s">
        <v>1092</v>
      </c>
      <c r="C3269" s="3" t="s">
        <v>337</v>
      </c>
      <c r="D3269" s="5" t="s">
        <v>115</v>
      </c>
      <c r="E3269" s="5" t="s">
        <v>112</v>
      </c>
      <c r="F3269" s="6" t="s">
        <v>74</v>
      </c>
      <c r="G3269" s="4" t="s">
        <v>2</v>
      </c>
      <c r="H3269" s="25">
        <v>3603.3333333300002</v>
      </c>
      <c r="I3269" s="8">
        <v>31</v>
      </c>
      <c r="J3269" s="9">
        <v>31</v>
      </c>
      <c r="K3269" s="7">
        <v>0</v>
      </c>
      <c r="L3269" s="24">
        <f>+Tabla2[[#This Row],[Stock Inventario]]*Tabla2[[#This Row],[Coste LÃ­nea]]</f>
        <v>111703.33333323001</v>
      </c>
      <c r="M3269" s="24">
        <f>+Tabla2[[#This Row],[Variación Stock]]*Tabla2[[#This Row],[Coste LÃ­nea]]</f>
        <v>0</v>
      </c>
      <c r="N3269" s="22" t="str">
        <f>+IF(Tabla2[[#This Row],[Variación Stock]]&gt;0,"Sobrante",IF(Tabla2[[#This Row],[Variación Stock]]&lt;0,"Faltante","Sin novedad"))</f>
        <v>Sin novedad</v>
      </c>
    </row>
    <row r="3270" spans="1:14" x14ac:dyDescent="0.25">
      <c r="A3270" s="11">
        <v>46065</v>
      </c>
      <c r="B3270" s="5" t="s">
        <v>1092</v>
      </c>
      <c r="C3270" s="3" t="s">
        <v>337</v>
      </c>
      <c r="D3270" s="5" t="s">
        <v>111</v>
      </c>
      <c r="E3270" s="5" t="s">
        <v>112</v>
      </c>
      <c r="F3270" s="6" t="s">
        <v>20</v>
      </c>
      <c r="G3270" s="4" t="s">
        <v>0</v>
      </c>
      <c r="H3270" s="25">
        <v>6813.3636363599999</v>
      </c>
      <c r="I3270" s="8">
        <v>16.670000000000002</v>
      </c>
      <c r="J3270" s="9">
        <v>16</v>
      </c>
      <c r="K3270" s="7">
        <v>-0.67</v>
      </c>
      <c r="L3270" s="24">
        <f>+Tabla2[[#This Row],[Stock Inventario]]*Tabla2[[#This Row],[Coste LÃ­nea]]</f>
        <v>109013.81818176</v>
      </c>
      <c r="M3270" s="24">
        <f>+Tabla2[[#This Row],[Variación Stock]]*Tabla2[[#This Row],[Coste LÃ­nea]]</f>
        <v>-4564.9536363612006</v>
      </c>
      <c r="N3270" s="22" t="str">
        <f>+IF(Tabla2[[#This Row],[Variación Stock]]&gt;0,"Sobrante",IF(Tabla2[[#This Row],[Variación Stock]]&lt;0,"Faltante","Sin novedad"))</f>
        <v>Faltante</v>
      </c>
    </row>
    <row r="3271" spans="1:14" x14ac:dyDescent="0.25">
      <c r="A3271" s="11">
        <v>46065</v>
      </c>
      <c r="B3271" s="5" t="s">
        <v>1092</v>
      </c>
      <c r="C3271" s="3" t="s">
        <v>337</v>
      </c>
      <c r="D3271" s="5" t="s">
        <v>118</v>
      </c>
      <c r="E3271" s="5" t="s">
        <v>112</v>
      </c>
      <c r="F3271" s="6" t="s">
        <v>85</v>
      </c>
      <c r="G3271" s="4" t="s">
        <v>81</v>
      </c>
      <c r="H3271" s="25">
        <v>9853.2000000000007</v>
      </c>
      <c r="I3271" s="8">
        <v>11</v>
      </c>
      <c r="J3271" s="9">
        <v>11</v>
      </c>
      <c r="K3271" s="7">
        <v>0</v>
      </c>
      <c r="L3271" s="24">
        <f>+Tabla2[[#This Row],[Stock Inventario]]*Tabla2[[#This Row],[Coste LÃ­nea]]</f>
        <v>108385.20000000001</v>
      </c>
      <c r="M3271" s="24">
        <f>+Tabla2[[#This Row],[Variación Stock]]*Tabla2[[#This Row],[Coste LÃ­nea]]</f>
        <v>0</v>
      </c>
      <c r="N3271" s="22" t="str">
        <f>+IF(Tabla2[[#This Row],[Variación Stock]]&gt;0,"Sobrante",IF(Tabla2[[#This Row],[Variación Stock]]&lt;0,"Faltante","Sin novedad"))</f>
        <v>Sin novedad</v>
      </c>
    </row>
    <row r="3272" spans="1:14" x14ac:dyDescent="0.25">
      <c r="A3272" s="11">
        <v>46065</v>
      </c>
      <c r="B3272" s="5" t="s">
        <v>1092</v>
      </c>
      <c r="C3272" s="3" t="s">
        <v>337</v>
      </c>
      <c r="D3272" s="5" t="s">
        <v>122</v>
      </c>
      <c r="E3272" s="5" t="s">
        <v>112</v>
      </c>
      <c r="F3272" s="6" t="s">
        <v>100</v>
      </c>
      <c r="G3272" s="4" t="s">
        <v>2</v>
      </c>
      <c r="H3272" s="25">
        <v>7857</v>
      </c>
      <c r="I3272" s="8">
        <v>27</v>
      </c>
      <c r="J3272" s="9">
        <v>27</v>
      </c>
      <c r="K3272" s="7">
        <v>0</v>
      </c>
      <c r="L3272" s="24">
        <f>+Tabla2[[#This Row],[Stock Inventario]]*Tabla2[[#This Row],[Coste LÃ­nea]]</f>
        <v>212139</v>
      </c>
      <c r="M3272" s="24">
        <f>+Tabla2[[#This Row],[Variación Stock]]*Tabla2[[#This Row],[Coste LÃ­nea]]</f>
        <v>0</v>
      </c>
      <c r="N3272" s="22" t="str">
        <f>+IF(Tabla2[[#This Row],[Variación Stock]]&gt;0,"Sobrante",IF(Tabla2[[#This Row],[Variación Stock]]&lt;0,"Faltante","Sin novedad"))</f>
        <v>Sin novedad</v>
      </c>
    </row>
    <row r="3273" spans="1:14" x14ac:dyDescent="0.25">
      <c r="A3273" s="11">
        <v>46065</v>
      </c>
      <c r="B3273" s="5" t="s">
        <v>1092</v>
      </c>
      <c r="C3273" s="3" t="s">
        <v>337</v>
      </c>
      <c r="D3273" s="5" t="s">
        <v>111</v>
      </c>
      <c r="E3273" s="5" t="s">
        <v>112</v>
      </c>
      <c r="F3273" s="6" t="s">
        <v>33</v>
      </c>
      <c r="G3273" s="4" t="s">
        <v>0</v>
      </c>
      <c r="H3273" s="25">
        <v>4004.4333333300001</v>
      </c>
      <c r="I3273" s="8">
        <v>43</v>
      </c>
      <c r="J3273" s="9">
        <v>44</v>
      </c>
      <c r="K3273" s="7">
        <v>1</v>
      </c>
      <c r="L3273" s="24">
        <f>+Tabla2[[#This Row],[Stock Inventario]]*Tabla2[[#This Row],[Coste LÃ­nea]]</f>
        <v>176195.06666652</v>
      </c>
      <c r="M3273" s="24">
        <f>+Tabla2[[#This Row],[Variación Stock]]*Tabla2[[#This Row],[Coste LÃ­nea]]</f>
        <v>4004.4333333300001</v>
      </c>
      <c r="N3273" s="22" t="str">
        <f>+IF(Tabla2[[#This Row],[Variación Stock]]&gt;0,"Sobrante",IF(Tabla2[[#This Row],[Variación Stock]]&lt;0,"Faltante","Sin novedad"))</f>
        <v>Sobrante</v>
      </c>
    </row>
    <row r="3274" spans="1:14" x14ac:dyDescent="0.25">
      <c r="A3274" s="11">
        <v>46065</v>
      </c>
      <c r="B3274" s="5" t="s">
        <v>1092</v>
      </c>
      <c r="C3274" s="3" t="s">
        <v>337</v>
      </c>
      <c r="D3274" s="5" t="s">
        <v>114</v>
      </c>
      <c r="E3274" s="5" t="s">
        <v>112</v>
      </c>
      <c r="F3274" s="6" t="s">
        <v>69</v>
      </c>
      <c r="G3274" s="4" t="s">
        <v>2</v>
      </c>
      <c r="H3274" s="25">
        <v>5424</v>
      </c>
      <c r="I3274" s="8">
        <v>23.41</v>
      </c>
      <c r="J3274" s="9">
        <v>26</v>
      </c>
      <c r="K3274" s="7">
        <v>2.59</v>
      </c>
      <c r="L3274" s="24">
        <f>+Tabla2[[#This Row],[Stock Inventario]]*Tabla2[[#This Row],[Coste LÃ­nea]]</f>
        <v>141024</v>
      </c>
      <c r="M3274" s="24">
        <f>+Tabla2[[#This Row],[Variación Stock]]*Tabla2[[#This Row],[Coste LÃ­nea]]</f>
        <v>14048.16</v>
      </c>
      <c r="N3274" s="22" t="str">
        <f>+IF(Tabla2[[#This Row],[Variación Stock]]&gt;0,"Sobrante",IF(Tabla2[[#This Row],[Variación Stock]]&lt;0,"Faltante","Sin novedad"))</f>
        <v>Sobrante</v>
      </c>
    </row>
    <row r="3275" spans="1:14" x14ac:dyDescent="0.25">
      <c r="A3275" s="11">
        <v>46065</v>
      </c>
      <c r="B3275" s="5" t="s">
        <v>1092</v>
      </c>
      <c r="C3275" s="3" t="s">
        <v>337</v>
      </c>
      <c r="D3275" s="5" t="s">
        <v>118</v>
      </c>
      <c r="E3275" s="5" t="s">
        <v>112</v>
      </c>
      <c r="F3275" s="6" t="s">
        <v>80</v>
      </c>
      <c r="G3275" s="4" t="s">
        <v>2</v>
      </c>
      <c r="H3275" s="25">
        <v>108834</v>
      </c>
      <c r="I3275" s="8">
        <v>4</v>
      </c>
      <c r="J3275" s="9">
        <v>4</v>
      </c>
      <c r="K3275" s="7">
        <v>0</v>
      </c>
      <c r="L3275" s="24">
        <f>+Tabla2[[#This Row],[Stock Inventario]]*Tabla2[[#This Row],[Coste LÃ­nea]]</f>
        <v>435336</v>
      </c>
      <c r="M3275" s="24">
        <f>+Tabla2[[#This Row],[Variación Stock]]*Tabla2[[#This Row],[Coste LÃ­nea]]</f>
        <v>0</v>
      </c>
      <c r="N3275" s="22" t="str">
        <f>+IF(Tabla2[[#This Row],[Variación Stock]]&gt;0,"Sobrante",IF(Tabla2[[#This Row],[Variación Stock]]&lt;0,"Faltante","Sin novedad"))</f>
        <v>Sin novedad</v>
      </c>
    </row>
    <row r="3276" spans="1:14" x14ac:dyDescent="0.25">
      <c r="A3276" s="11">
        <v>46065</v>
      </c>
      <c r="B3276" s="5" t="s">
        <v>1092</v>
      </c>
      <c r="C3276" s="3" t="s">
        <v>337</v>
      </c>
      <c r="D3276" s="5" t="s">
        <v>111</v>
      </c>
      <c r="E3276" s="5" t="s">
        <v>112</v>
      </c>
      <c r="F3276" s="6" t="s">
        <v>49</v>
      </c>
      <c r="G3276" s="4" t="s">
        <v>2</v>
      </c>
      <c r="H3276" s="25">
        <v>21478</v>
      </c>
      <c r="I3276" s="8">
        <v>2</v>
      </c>
      <c r="J3276" s="9">
        <v>2</v>
      </c>
      <c r="K3276" s="7">
        <v>0</v>
      </c>
      <c r="L3276" s="24">
        <f>+Tabla2[[#This Row],[Stock Inventario]]*Tabla2[[#This Row],[Coste LÃ­nea]]</f>
        <v>42956</v>
      </c>
      <c r="M3276" s="24">
        <f>+Tabla2[[#This Row],[Variación Stock]]*Tabla2[[#This Row],[Coste LÃ­nea]]</f>
        <v>0</v>
      </c>
      <c r="N3276" s="22" t="str">
        <f>+IF(Tabla2[[#This Row],[Variación Stock]]&gt;0,"Sobrante",IF(Tabla2[[#This Row],[Variación Stock]]&lt;0,"Faltante","Sin novedad"))</f>
        <v>Sin novedad</v>
      </c>
    </row>
    <row r="3277" spans="1:14" x14ac:dyDescent="0.25">
      <c r="A3277" s="11">
        <v>46065</v>
      </c>
      <c r="B3277" s="5" t="s">
        <v>1092</v>
      </c>
      <c r="C3277" s="3" t="s">
        <v>337</v>
      </c>
      <c r="D3277" s="5" t="s">
        <v>114</v>
      </c>
      <c r="E3277" s="5" t="s">
        <v>112</v>
      </c>
      <c r="F3277" s="6" t="s">
        <v>70</v>
      </c>
      <c r="G3277" s="4" t="s">
        <v>2</v>
      </c>
      <c r="H3277" s="25">
        <v>1835.41666667</v>
      </c>
      <c r="I3277" s="8">
        <v>0</v>
      </c>
      <c r="J3277" s="9">
        <v>0</v>
      </c>
      <c r="K3277" s="7">
        <v>0</v>
      </c>
      <c r="L3277" s="24">
        <f>+Tabla2[[#This Row],[Stock Inventario]]*Tabla2[[#This Row],[Coste LÃ­nea]]</f>
        <v>0</v>
      </c>
      <c r="M3277" s="24">
        <f>+Tabla2[[#This Row],[Variación Stock]]*Tabla2[[#This Row],[Coste LÃ­nea]]</f>
        <v>0</v>
      </c>
      <c r="N3277" s="22" t="str">
        <f>+IF(Tabla2[[#This Row],[Variación Stock]]&gt;0,"Sobrante",IF(Tabla2[[#This Row],[Variación Stock]]&lt;0,"Faltante","Sin novedad"))</f>
        <v>Sin novedad</v>
      </c>
    </row>
    <row r="3278" spans="1:14" x14ac:dyDescent="0.25">
      <c r="A3278" s="11">
        <v>46065</v>
      </c>
      <c r="B3278" s="5" t="s">
        <v>1092</v>
      </c>
      <c r="C3278" s="3" t="s">
        <v>337</v>
      </c>
      <c r="D3278" s="5" t="s">
        <v>118</v>
      </c>
      <c r="E3278" s="5" t="s">
        <v>112</v>
      </c>
      <c r="F3278" s="6" t="s">
        <v>300</v>
      </c>
      <c r="G3278" s="4" t="s">
        <v>2</v>
      </c>
      <c r="H3278" s="25">
        <v>25109.5</v>
      </c>
      <c r="I3278" s="8">
        <v>0</v>
      </c>
      <c r="J3278" s="9">
        <v>2</v>
      </c>
      <c r="K3278" s="7">
        <v>2</v>
      </c>
      <c r="L3278" s="24">
        <f>+Tabla2[[#This Row],[Stock Inventario]]*Tabla2[[#This Row],[Coste LÃ­nea]]</f>
        <v>50219</v>
      </c>
      <c r="M3278" s="24">
        <f>+Tabla2[[#This Row],[Variación Stock]]*Tabla2[[#This Row],[Coste LÃ­nea]]</f>
        <v>50219</v>
      </c>
      <c r="N3278" s="22" t="str">
        <f>+IF(Tabla2[[#This Row],[Variación Stock]]&gt;0,"Sobrante",IF(Tabla2[[#This Row],[Variación Stock]]&lt;0,"Faltante","Sin novedad"))</f>
        <v>Sobrante</v>
      </c>
    </row>
    <row r="3279" spans="1:14" x14ac:dyDescent="0.25">
      <c r="A3279" s="11">
        <v>46065</v>
      </c>
      <c r="B3279" s="5" t="s">
        <v>1092</v>
      </c>
      <c r="C3279" s="3" t="s">
        <v>337</v>
      </c>
      <c r="D3279" s="5" t="s">
        <v>111</v>
      </c>
      <c r="E3279" s="5" t="s">
        <v>112</v>
      </c>
      <c r="F3279" s="6" t="s">
        <v>54</v>
      </c>
      <c r="G3279" s="4" t="s">
        <v>0</v>
      </c>
      <c r="H3279" s="25">
        <v>0</v>
      </c>
      <c r="I3279" s="8">
        <v>0</v>
      </c>
      <c r="J3279" s="9">
        <v>0</v>
      </c>
      <c r="K3279" s="7">
        <v>0</v>
      </c>
      <c r="L3279" s="24">
        <f>+Tabla2[[#This Row],[Stock Inventario]]*Tabla2[[#This Row],[Coste LÃ­nea]]</f>
        <v>0</v>
      </c>
      <c r="M3279" s="24">
        <f>+Tabla2[[#This Row],[Variación Stock]]*Tabla2[[#This Row],[Coste LÃ­nea]]</f>
        <v>0</v>
      </c>
      <c r="N3279" s="22" t="str">
        <f>+IF(Tabla2[[#This Row],[Variación Stock]]&gt;0,"Sobrante",IF(Tabla2[[#This Row],[Variación Stock]]&lt;0,"Faltante","Sin novedad"))</f>
        <v>Sin novedad</v>
      </c>
    </row>
    <row r="3280" spans="1:14" x14ac:dyDescent="0.25">
      <c r="A3280" s="11">
        <v>46065</v>
      </c>
      <c r="B3280" s="5" t="s">
        <v>1092</v>
      </c>
      <c r="C3280" s="3" t="s">
        <v>337</v>
      </c>
      <c r="D3280" s="5" t="s">
        <v>114</v>
      </c>
      <c r="E3280" s="5" t="s">
        <v>112</v>
      </c>
      <c r="F3280" s="6" t="s">
        <v>65</v>
      </c>
      <c r="G3280" s="4" t="s">
        <v>2</v>
      </c>
      <c r="H3280" s="25">
        <v>5132.4583333299997</v>
      </c>
      <c r="I3280" s="8">
        <v>9</v>
      </c>
      <c r="J3280" s="9">
        <v>17</v>
      </c>
      <c r="K3280" s="7">
        <v>8</v>
      </c>
      <c r="L3280" s="24">
        <f>+Tabla2[[#This Row],[Stock Inventario]]*Tabla2[[#This Row],[Coste LÃ­nea]]</f>
        <v>87251.791666609992</v>
      </c>
      <c r="M3280" s="24">
        <f>+Tabla2[[#This Row],[Variación Stock]]*Tabla2[[#This Row],[Coste LÃ­nea]]</f>
        <v>41059.666666639998</v>
      </c>
      <c r="N3280" s="22" t="str">
        <f>+IF(Tabla2[[#This Row],[Variación Stock]]&gt;0,"Sobrante",IF(Tabla2[[#This Row],[Variación Stock]]&lt;0,"Faltante","Sin novedad"))</f>
        <v>Sobrante</v>
      </c>
    </row>
    <row r="3281" spans="1:14" x14ac:dyDescent="0.25">
      <c r="A3281" s="11">
        <v>46065</v>
      </c>
      <c r="B3281" s="5" t="s">
        <v>1092</v>
      </c>
      <c r="C3281" s="3" t="s">
        <v>337</v>
      </c>
      <c r="D3281" s="5" t="s">
        <v>111</v>
      </c>
      <c r="E3281" s="5" t="s">
        <v>112</v>
      </c>
      <c r="F3281" s="6" t="s">
        <v>51</v>
      </c>
      <c r="G3281" s="4" t="s">
        <v>0</v>
      </c>
      <c r="H3281" s="25">
        <v>9796.6363636400001</v>
      </c>
      <c r="I3281" s="8">
        <v>25.34</v>
      </c>
      <c r="J3281" s="9">
        <v>25</v>
      </c>
      <c r="K3281" s="7">
        <v>-0.34</v>
      </c>
      <c r="L3281" s="24">
        <f>+Tabla2[[#This Row],[Stock Inventario]]*Tabla2[[#This Row],[Coste LÃ­nea]]</f>
        <v>244915.90909100001</v>
      </c>
      <c r="M3281" s="24">
        <f>+Tabla2[[#This Row],[Variación Stock]]*Tabla2[[#This Row],[Coste LÃ­nea]]</f>
        <v>-3330.8563636376002</v>
      </c>
      <c r="N3281" s="22" t="str">
        <f>+IF(Tabla2[[#This Row],[Variación Stock]]&gt;0,"Sobrante",IF(Tabla2[[#This Row],[Variación Stock]]&lt;0,"Faltante","Sin novedad"))</f>
        <v>Faltante</v>
      </c>
    </row>
    <row r="3282" spans="1:14" x14ac:dyDescent="0.25">
      <c r="A3282" s="11">
        <v>46065</v>
      </c>
      <c r="B3282" s="5" t="s">
        <v>1092</v>
      </c>
      <c r="C3282" s="3" t="s">
        <v>337</v>
      </c>
      <c r="D3282" s="5" t="s">
        <v>121</v>
      </c>
      <c r="E3282" s="5" t="s">
        <v>112</v>
      </c>
      <c r="F3282" s="6" t="s">
        <v>377</v>
      </c>
      <c r="G3282" s="4" t="s">
        <v>0</v>
      </c>
      <c r="H3282" s="25">
        <v>4942.8194726199999</v>
      </c>
      <c r="I3282" s="8">
        <v>0</v>
      </c>
      <c r="J3282" s="9">
        <v>0</v>
      </c>
      <c r="K3282" s="7">
        <v>0</v>
      </c>
      <c r="L3282" s="24">
        <f>+Tabla2[[#This Row],[Stock Inventario]]*Tabla2[[#This Row],[Coste LÃ­nea]]</f>
        <v>0</v>
      </c>
      <c r="M3282" s="24">
        <f>+Tabla2[[#This Row],[Variación Stock]]*Tabla2[[#This Row],[Coste LÃ­nea]]</f>
        <v>0</v>
      </c>
      <c r="N3282" s="22" t="str">
        <f>+IF(Tabla2[[#This Row],[Variación Stock]]&gt;0,"Sobrante",IF(Tabla2[[#This Row],[Variación Stock]]&lt;0,"Faltante","Sin novedad"))</f>
        <v>Sin novedad</v>
      </c>
    </row>
    <row r="3283" spans="1:14" x14ac:dyDescent="0.25">
      <c r="A3283" s="11">
        <v>46065</v>
      </c>
      <c r="B3283" s="5" t="s">
        <v>1092</v>
      </c>
      <c r="C3283" s="3" t="s">
        <v>337</v>
      </c>
      <c r="D3283" s="5" t="s">
        <v>118</v>
      </c>
      <c r="E3283" s="5" t="s">
        <v>112</v>
      </c>
      <c r="F3283" s="6" t="s">
        <v>306</v>
      </c>
      <c r="G3283" s="4" t="s">
        <v>81</v>
      </c>
      <c r="H3283" s="25">
        <v>9702</v>
      </c>
      <c r="I3283" s="8">
        <v>6</v>
      </c>
      <c r="J3283" s="9">
        <v>6</v>
      </c>
      <c r="K3283" s="7">
        <v>0</v>
      </c>
      <c r="L3283" s="24">
        <f>+Tabla2[[#This Row],[Stock Inventario]]*Tabla2[[#This Row],[Coste LÃ­nea]]</f>
        <v>58212</v>
      </c>
      <c r="M3283" s="24">
        <f>+Tabla2[[#This Row],[Variación Stock]]*Tabla2[[#This Row],[Coste LÃ­nea]]</f>
        <v>0</v>
      </c>
      <c r="N3283" s="22" t="str">
        <f>+IF(Tabla2[[#This Row],[Variación Stock]]&gt;0,"Sobrante",IF(Tabla2[[#This Row],[Variación Stock]]&lt;0,"Faltante","Sin novedad"))</f>
        <v>Sin novedad</v>
      </c>
    </row>
    <row r="3284" spans="1:14" x14ac:dyDescent="0.25">
      <c r="A3284" s="11">
        <v>46065</v>
      </c>
      <c r="B3284" s="5" t="s">
        <v>1092</v>
      </c>
      <c r="C3284" s="3" t="s">
        <v>337</v>
      </c>
      <c r="D3284" s="5" t="s">
        <v>122</v>
      </c>
      <c r="E3284" s="5" t="s">
        <v>112</v>
      </c>
      <c r="F3284" s="6" t="s">
        <v>106</v>
      </c>
      <c r="G3284" s="4" t="s">
        <v>2</v>
      </c>
      <c r="H3284" s="25">
        <v>3458.4691876699999</v>
      </c>
      <c r="I3284" s="8">
        <v>-3</v>
      </c>
      <c r="J3284" s="9">
        <v>3</v>
      </c>
      <c r="K3284" s="7">
        <v>6</v>
      </c>
      <c r="L3284" s="24">
        <f>+Tabla2[[#This Row],[Stock Inventario]]*Tabla2[[#This Row],[Coste LÃ­nea]]</f>
        <v>10375.40756301</v>
      </c>
      <c r="M3284" s="24">
        <f>+Tabla2[[#This Row],[Variación Stock]]*Tabla2[[#This Row],[Coste LÃ­nea]]</f>
        <v>20750.815126019999</v>
      </c>
      <c r="N3284" s="22" t="str">
        <f>+IF(Tabla2[[#This Row],[Variación Stock]]&gt;0,"Sobrante",IF(Tabla2[[#This Row],[Variación Stock]]&lt;0,"Faltante","Sin novedad"))</f>
        <v>Sobrante</v>
      </c>
    </row>
    <row r="3285" spans="1:14" x14ac:dyDescent="0.25">
      <c r="A3285" s="11">
        <v>46065</v>
      </c>
      <c r="B3285" s="5" t="s">
        <v>1092</v>
      </c>
      <c r="C3285" s="3" t="s">
        <v>337</v>
      </c>
      <c r="D3285" s="5" t="s">
        <v>118</v>
      </c>
      <c r="E3285" s="5" t="s">
        <v>112</v>
      </c>
      <c r="F3285" s="6" t="s">
        <v>186</v>
      </c>
      <c r="G3285" s="4" t="s">
        <v>2</v>
      </c>
      <c r="H3285" s="25">
        <v>48500</v>
      </c>
      <c r="I3285" s="8">
        <v>0</v>
      </c>
      <c r="J3285" s="9">
        <v>0</v>
      </c>
      <c r="K3285" s="7">
        <v>0</v>
      </c>
      <c r="L3285" s="24">
        <f>+Tabla2[[#This Row],[Stock Inventario]]*Tabla2[[#This Row],[Coste LÃ­nea]]</f>
        <v>0</v>
      </c>
      <c r="M3285" s="24">
        <f>+Tabla2[[#This Row],[Variación Stock]]*Tabla2[[#This Row],[Coste LÃ­nea]]</f>
        <v>0</v>
      </c>
      <c r="N3285" s="22" t="str">
        <f>+IF(Tabla2[[#This Row],[Variación Stock]]&gt;0,"Sobrante",IF(Tabla2[[#This Row],[Variación Stock]]&lt;0,"Faltante","Sin novedad"))</f>
        <v>Sin novedad</v>
      </c>
    </row>
    <row r="3286" spans="1:14" x14ac:dyDescent="0.25">
      <c r="A3286" s="11">
        <v>46065</v>
      </c>
      <c r="B3286" s="5" t="s">
        <v>1092</v>
      </c>
      <c r="C3286" s="3" t="s">
        <v>337</v>
      </c>
      <c r="D3286" s="5" t="s">
        <v>115</v>
      </c>
      <c r="E3286" s="5" t="s">
        <v>112</v>
      </c>
      <c r="F3286" s="6" t="s">
        <v>153</v>
      </c>
      <c r="G3286" s="4" t="s">
        <v>2</v>
      </c>
      <c r="H3286" s="25">
        <v>3200</v>
      </c>
      <c r="I3286" s="8">
        <v>0</v>
      </c>
      <c r="J3286" s="9">
        <v>0</v>
      </c>
      <c r="K3286" s="7">
        <v>0</v>
      </c>
      <c r="L3286" s="24">
        <f>+Tabla2[[#This Row],[Stock Inventario]]*Tabla2[[#This Row],[Coste LÃ­nea]]</f>
        <v>0</v>
      </c>
      <c r="M3286" s="24">
        <f>+Tabla2[[#This Row],[Variación Stock]]*Tabla2[[#This Row],[Coste LÃ­nea]]</f>
        <v>0</v>
      </c>
      <c r="N3286" s="22" t="str">
        <f>+IF(Tabla2[[#This Row],[Variación Stock]]&gt;0,"Sobrante",IF(Tabla2[[#This Row],[Variación Stock]]&lt;0,"Faltante","Sin novedad"))</f>
        <v>Sin novedad</v>
      </c>
    </row>
    <row r="3287" spans="1:14" x14ac:dyDescent="0.25">
      <c r="A3287" s="11">
        <v>46065</v>
      </c>
      <c r="B3287" s="5" t="s">
        <v>1092</v>
      </c>
      <c r="C3287" s="3" t="s">
        <v>337</v>
      </c>
      <c r="D3287" s="5" t="s">
        <v>111</v>
      </c>
      <c r="E3287" s="5" t="s">
        <v>112</v>
      </c>
      <c r="F3287" s="6" t="s">
        <v>19</v>
      </c>
      <c r="G3287" s="4" t="s">
        <v>0</v>
      </c>
      <c r="H3287" s="25">
        <v>6744</v>
      </c>
      <c r="I3287" s="8">
        <v>55</v>
      </c>
      <c r="J3287" s="9">
        <v>57</v>
      </c>
      <c r="K3287" s="7">
        <v>2</v>
      </c>
      <c r="L3287" s="24">
        <f>+Tabla2[[#This Row],[Stock Inventario]]*Tabla2[[#This Row],[Coste LÃ­nea]]</f>
        <v>384408</v>
      </c>
      <c r="M3287" s="24">
        <f>+Tabla2[[#This Row],[Variación Stock]]*Tabla2[[#This Row],[Coste LÃ­nea]]</f>
        <v>13488</v>
      </c>
      <c r="N3287" s="22" t="str">
        <f>+IF(Tabla2[[#This Row],[Variación Stock]]&gt;0,"Sobrante",IF(Tabla2[[#This Row],[Variación Stock]]&lt;0,"Faltante","Sin novedad"))</f>
        <v>Sobrante</v>
      </c>
    </row>
    <row r="3288" spans="1:14" x14ac:dyDescent="0.25">
      <c r="A3288" s="11">
        <v>46065</v>
      </c>
      <c r="B3288" s="5" t="s">
        <v>1092</v>
      </c>
      <c r="C3288" s="3" t="s">
        <v>337</v>
      </c>
      <c r="D3288" s="5" t="s">
        <v>118</v>
      </c>
      <c r="E3288" s="5" t="s">
        <v>112</v>
      </c>
      <c r="F3288" s="6" t="s">
        <v>83</v>
      </c>
      <c r="G3288" s="4" t="s">
        <v>2</v>
      </c>
      <c r="H3288" s="25">
        <v>34226.166666669997</v>
      </c>
      <c r="I3288" s="8">
        <v>12</v>
      </c>
      <c r="J3288" s="9">
        <v>12</v>
      </c>
      <c r="K3288" s="7">
        <v>0</v>
      </c>
      <c r="L3288" s="24">
        <f>+Tabla2[[#This Row],[Stock Inventario]]*Tabla2[[#This Row],[Coste LÃ­nea]]</f>
        <v>410714.00000003993</v>
      </c>
      <c r="M3288" s="24">
        <f>+Tabla2[[#This Row],[Variación Stock]]*Tabla2[[#This Row],[Coste LÃ­nea]]</f>
        <v>0</v>
      </c>
      <c r="N3288" s="22" t="str">
        <f>+IF(Tabla2[[#This Row],[Variación Stock]]&gt;0,"Sobrante",IF(Tabla2[[#This Row],[Variación Stock]]&lt;0,"Faltante","Sin novedad"))</f>
        <v>Sin novedad</v>
      </c>
    </row>
    <row r="3289" spans="1:14" x14ac:dyDescent="0.25">
      <c r="A3289" s="11">
        <v>46065</v>
      </c>
      <c r="B3289" s="5" t="s">
        <v>1093</v>
      </c>
      <c r="C3289" s="3" t="s">
        <v>337</v>
      </c>
      <c r="D3289" s="5" t="s">
        <v>111</v>
      </c>
      <c r="E3289" s="5" t="s">
        <v>112</v>
      </c>
      <c r="F3289" s="6" t="s">
        <v>1089</v>
      </c>
      <c r="G3289" s="4" t="s">
        <v>1090</v>
      </c>
      <c r="H3289" s="25">
        <v>1658795.9259299999</v>
      </c>
      <c r="I3289" s="8">
        <v>0</v>
      </c>
      <c r="J3289" s="9">
        <v>0</v>
      </c>
      <c r="K3289" s="7">
        <v>0</v>
      </c>
      <c r="L3289" s="24">
        <f>+Tabla2[[#This Row],[Stock Inventario]]*Tabla2[[#This Row],[Coste LÃ­nea]]</f>
        <v>0</v>
      </c>
      <c r="M3289" s="24">
        <f>+Tabla2[[#This Row],[Variación Stock]]*Tabla2[[#This Row],[Coste LÃ­nea]]</f>
        <v>0</v>
      </c>
      <c r="N3289" s="22" t="str">
        <f>+IF(Tabla2[[#This Row],[Variación Stock]]&gt;0,"Sobrante",IF(Tabla2[[#This Row],[Variación Stock]]&lt;0,"Faltante","Sin novedad"))</f>
        <v>Sin novedad</v>
      </c>
    </row>
    <row r="3290" spans="1:14" x14ac:dyDescent="0.25">
      <c r="A3290" s="11">
        <v>46065</v>
      </c>
      <c r="B3290" s="5" t="s">
        <v>1092</v>
      </c>
      <c r="C3290" s="3" t="s">
        <v>337</v>
      </c>
      <c r="D3290" s="5" t="s">
        <v>111</v>
      </c>
      <c r="E3290" s="5" t="s">
        <v>112</v>
      </c>
      <c r="F3290" s="6" t="s">
        <v>286</v>
      </c>
      <c r="G3290" s="4" t="s">
        <v>0</v>
      </c>
      <c r="H3290" s="25">
        <v>0</v>
      </c>
      <c r="I3290" s="8">
        <v>0</v>
      </c>
      <c r="J3290" s="9">
        <v>0</v>
      </c>
      <c r="K3290" s="7">
        <v>0</v>
      </c>
      <c r="L3290" s="24">
        <f>+Tabla2[[#This Row],[Stock Inventario]]*Tabla2[[#This Row],[Coste LÃ­nea]]</f>
        <v>0</v>
      </c>
      <c r="M3290" s="24">
        <f>+Tabla2[[#This Row],[Variación Stock]]*Tabla2[[#This Row],[Coste LÃ­nea]]</f>
        <v>0</v>
      </c>
      <c r="N3290" s="22" t="str">
        <f>+IF(Tabla2[[#This Row],[Variación Stock]]&gt;0,"Sobrante",IF(Tabla2[[#This Row],[Variación Stock]]&lt;0,"Faltante","Sin novedad"))</f>
        <v>Sin novedad</v>
      </c>
    </row>
    <row r="3291" spans="1:14" hidden="1" x14ac:dyDescent="0.25">
      <c r="A3291" s="11">
        <v>46065</v>
      </c>
      <c r="B3291" s="5" t="s">
        <v>1092</v>
      </c>
      <c r="C3291" s="3" t="s">
        <v>337</v>
      </c>
      <c r="D3291" s="5" t="s">
        <v>119</v>
      </c>
      <c r="E3291" s="5" t="s">
        <v>117</v>
      </c>
      <c r="F3291" s="6" t="s">
        <v>200</v>
      </c>
      <c r="G3291" s="4" t="s">
        <v>1</v>
      </c>
      <c r="H3291" s="25">
        <v>58.31</v>
      </c>
      <c r="I3291" s="8">
        <v>0</v>
      </c>
      <c r="J3291" s="9">
        <v>0</v>
      </c>
      <c r="K3291" s="7">
        <v>0</v>
      </c>
      <c r="L3291" s="24">
        <f>+Tabla2[[#This Row],[Stock Inventario]]*Tabla2[[#This Row],[Coste LÃ­nea]]</f>
        <v>0</v>
      </c>
      <c r="M3291" s="24">
        <f>+Tabla2[[#This Row],[Variación Stock]]*Tabla2[[#This Row],[Coste LÃ­nea]]</f>
        <v>0</v>
      </c>
      <c r="N3291" s="22" t="str">
        <f>+IF(Tabla2[[#This Row],[Variación Stock]]&gt;0,"Sobrante",IF(Tabla2[[#This Row],[Variación Stock]]&lt;0,"Faltante","Sin novedad"))</f>
        <v>Sin novedad</v>
      </c>
    </row>
    <row r="3292" spans="1:14" x14ac:dyDescent="0.25">
      <c r="A3292" s="11">
        <v>46065</v>
      </c>
      <c r="B3292" s="5" t="s">
        <v>1092</v>
      </c>
      <c r="C3292" s="3" t="s">
        <v>337</v>
      </c>
      <c r="D3292" s="5" t="s">
        <v>114</v>
      </c>
      <c r="E3292" s="5" t="s">
        <v>112</v>
      </c>
      <c r="F3292" s="6" t="s">
        <v>68</v>
      </c>
      <c r="G3292" s="4" t="s">
        <v>2</v>
      </c>
      <c r="H3292" s="25">
        <v>5313.1666666700003</v>
      </c>
      <c r="I3292" s="8">
        <v>9.5</v>
      </c>
      <c r="J3292" s="9">
        <v>8</v>
      </c>
      <c r="K3292" s="7">
        <v>-1.5</v>
      </c>
      <c r="L3292" s="24">
        <f>+Tabla2[[#This Row],[Stock Inventario]]*Tabla2[[#This Row],[Coste LÃ­nea]]</f>
        <v>42505.333333360002</v>
      </c>
      <c r="M3292" s="24">
        <f>+Tabla2[[#This Row],[Variación Stock]]*Tabla2[[#This Row],[Coste LÃ­nea]]</f>
        <v>-7969.7500000050004</v>
      </c>
      <c r="N3292" s="22" t="str">
        <f>+IF(Tabla2[[#This Row],[Variación Stock]]&gt;0,"Sobrante",IF(Tabla2[[#This Row],[Variación Stock]]&lt;0,"Faltante","Sin novedad"))</f>
        <v>Faltante</v>
      </c>
    </row>
    <row r="3293" spans="1:14" x14ac:dyDescent="0.25">
      <c r="A3293" s="11">
        <v>46065</v>
      </c>
      <c r="B3293" s="5" t="s">
        <v>1092</v>
      </c>
      <c r="C3293" s="3" t="s">
        <v>337</v>
      </c>
      <c r="D3293" s="5" t="s">
        <v>111</v>
      </c>
      <c r="E3293" s="5" t="s">
        <v>112</v>
      </c>
      <c r="F3293" s="6" t="s">
        <v>26</v>
      </c>
      <c r="G3293" s="4" t="s">
        <v>0</v>
      </c>
      <c r="H3293" s="25">
        <v>9152.4545454500003</v>
      </c>
      <c r="I3293" s="8">
        <v>6</v>
      </c>
      <c r="J3293" s="9">
        <v>6</v>
      </c>
      <c r="K3293" s="7">
        <v>0</v>
      </c>
      <c r="L3293" s="24">
        <f>+Tabla2[[#This Row],[Stock Inventario]]*Tabla2[[#This Row],[Coste LÃ­nea]]</f>
        <v>54914.727272700002</v>
      </c>
      <c r="M3293" s="24">
        <f>+Tabla2[[#This Row],[Variación Stock]]*Tabla2[[#This Row],[Coste LÃ­nea]]</f>
        <v>0</v>
      </c>
      <c r="N3293" s="22" t="str">
        <f>+IF(Tabla2[[#This Row],[Variación Stock]]&gt;0,"Sobrante",IF(Tabla2[[#This Row],[Variación Stock]]&lt;0,"Faltante","Sin novedad"))</f>
        <v>Sin novedad</v>
      </c>
    </row>
    <row r="3294" spans="1:14" x14ac:dyDescent="0.25">
      <c r="A3294" s="11">
        <v>46065</v>
      </c>
      <c r="B3294" s="5" t="s">
        <v>1092</v>
      </c>
      <c r="C3294" s="3" t="s">
        <v>337</v>
      </c>
      <c r="D3294" s="5" t="s">
        <v>114</v>
      </c>
      <c r="E3294" s="5" t="s">
        <v>112</v>
      </c>
      <c r="F3294" s="6" t="s">
        <v>3</v>
      </c>
      <c r="G3294" s="4" t="s">
        <v>2</v>
      </c>
      <c r="H3294" s="25">
        <v>1656.3214285700001</v>
      </c>
      <c r="I3294" s="8">
        <v>153.19999999999999</v>
      </c>
      <c r="J3294" s="9">
        <v>164.5</v>
      </c>
      <c r="K3294" s="7">
        <v>11.3</v>
      </c>
      <c r="L3294" s="24">
        <f>+Tabla2[[#This Row],[Stock Inventario]]*Tabla2[[#This Row],[Coste LÃ­nea]]</f>
        <v>272464.87499976502</v>
      </c>
      <c r="M3294" s="24">
        <f>+Tabla2[[#This Row],[Variación Stock]]*Tabla2[[#This Row],[Coste LÃ­nea]]</f>
        <v>18716.432142841</v>
      </c>
      <c r="N3294" s="22" t="str">
        <f>+IF(Tabla2[[#This Row],[Variación Stock]]&gt;0,"Sobrante",IF(Tabla2[[#This Row],[Variación Stock]]&lt;0,"Faltante","Sin novedad"))</f>
        <v>Sobrante</v>
      </c>
    </row>
    <row r="3295" spans="1:14" x14ac:dyDescent="0.25">
      <c r="A3295" s="11">
        <v>46065</v>
      </c>
      <c r="B3295" s="5" t="s">
        <v>1092</v>
      </c>
      <c r="C3295" s="3" t="s">
        <v>337</v>
      </c>
      <c r="D3295" s="5" t="s">
        <v>118</v>
      </c>
      <c r="E3295" s="5" t="s">
        <v>112</v>
      </c>
      <c r="F3295" s="6" t="s">
        <v>310</v>
      </c>
      <c r="G3295" s="4" t="s">
        <v>2</v>
      </c>
      <c r="H3295" s="25">
        <v>73956.022408999997</v>
      </c>
      <c r="I3295" s="8">
        <v>0</v>
      </c>
      <c r="J3295" s="9">
        <v>0</v>
      </c>
      <c r="K3295" s="7">
        <v>0</v>
      </c>
      <c r="L3295" s="24">
        <f>+Tabla2[[#This Row],[Stock Inventario]]*Tabla2[[#This Row],[Coste LÃ­nea]]</f>
        <v>0</v>
      </c>
      <c r="M3295" s="24">
        <f>+Tabla2[[#This Row],[Variación Stock]]*Tabla2[[#This Row],[Coste LÃ­nea]]</f>
        <v>0</v>
      </c>
      <c r="N3295" s="22" t="str">
        <f>+IF(Tabla2[[#This Row],[Variación Stock]]&gt;0,"Sobrante",IF(Tabla2[[#This Row],[Variación Stock]]&lt;0,"Faltante","Sin novedad"))</f>
        <v>Sin novedad</v>
      </c>
    </row>
    <row r="3296" spans="1:14" x14ac:dyDescent="0.25">
      <c r="A3296" s="11">
        <v>46065</v>
      </c>
      <c r="B3296" s="5" t="s">
        <v>1092</v>
      </c>
      <c r="C3296" s="3" t="s">
        <v>337</v>
      </c>
      <c r="D3296" s="5" t="s">
        <v>111</v>
      </c>
      <c r="E3296" s="5" t="s">
        <v>112</v>
      </c>
      <c r="F3296" s="6" t="s">
        <v>40</v>
      </c>
      <c r="G3296" s="4" t="s">
        <v>0</v>
      </c>
      <c r="H3296" s="25">
        <v>2746.1166666700001</v>
      </c>
      <c r="I3296" s="8">
        <v>9</v>
      </c>
      <c r="J3296" s="9">
        <v>14</v>
      </c>
      <c r="K3296" s="7">
        <v>5</v>
      </c>
      <c r="L3296" s="24">
        <f>+Tabla2[[#This Row],[Stock Inventario]]*Tabla2[[#This Row],[Coste LÃ­nea]]</f>
        <v>38445.633333379999</v>
      </c>
      <c r="M3296" s="24">
        <f>+Tabla2[[#This Row],[Variación Stock]]*Tabla2[[#This Row],[Coste LÃ­nea]]</f>
        <v>13730.583333350001</v>
      </c>
      <c r="N3296" s="22" t="str">
        <f>+IF(Tabla2[[#This Row],[Variación Stock]]&gt;0,"Sobrante",IF(Tabla2[[#This Row],[Variación Stock]]&lt;0,"Faltante","Sin novedad"))</f>
        <v>Sobrante</v>
      </c>
    </row>
    <row r="3297" spans="1:14" x14ac:dyDescent="0.25">
      <c r="A3297" s="11">
        <v>46065</v>
      </c>
      <c r="B3297" s="5" t="s">
        <v>1092</v>
      </c>
      <c r="C3297" s="3" t="s">
        <v>337</v>
      </c>
      <c r="D3297" s="5" t="s">
        <v>111</v>
      </c>
      <c r="E3297" s="5" t="s">
        <v>112</v>
      </c>
      <c r="F3297" s="6" t="s">
        <v>113</v>
      </c>
      <c r="G3297" s="4" t="s">
        <v>0</v>
      </c>
      <c r="H3297" s="25">
        <v>20566.318181819999</v>
      </c>
      <c r="I3297" s="8">
        <v>5</v>
      </c>
      <c r="J3297" s="9">
        <v>7</v>
      </c>
      <c r="K3297" s="7">
        <v>2</v>
      </c>
      <c r="L3297" s="24">
        <f>+Tabla2[[#This Row],[Stock Inventario]]*Tabla2[[#This Row],[Coste LÃ­nea]]</f>
        <v>143964.22727273998</v>
      </c>
      <c r="M3297" s="24">
        <f>+Tabla2[[#This Row],[Variación Stock]]*Tabla2[[#This Row],[Coste LÃ­nea]]</f>
        <v>41132.636363639998</v>
      </c>
      <c r="N3297" s="22" t="str">
        <f>+IF(Tabla2[[#This Row],[Variación Stock]]&gt;0,"Sobrante",IF(Tabla2[[#This Row],[Variación Stock]]&lt;0,"Faltante","Sin novedad"))</f>
        <v>Sobrante</v>
      </c>
    </row>
    <row r="3298" spans="1:14" x14ac:dyDescent="0.25">
      <c r="A3298" s="11">
        <v>46065</v>
      </c>
      <c r="B3298" s="5" t="s">
        <v>1092</v>
      </c>
      <c r="C3298" s="3" t="s">
        <v>337</v>
      </c>
      <c r="D3298" s="5" t="s">
        <v>115</v>
      </c>
      <c r="E3298" s="5" t="s">
        <v>112</v>
      </c>
      <c r="F3298" s="6" t="s">
        <v>76</v>
      </c>
      <c r="G3298" s="4" t="s">
        <v>2</v>
      </c>
      <c r="H3298" s="25">
        <v>3338.5</v>
      </c>
      <c r="I3298" s="8">
        <v>45</v>
      </c>
      <c r="J3298" s="9">
        <v>45</v>
      </c>
      <c r="K3298" s="7">
        <v>0</v>
      </c>
      <c r="L3298" s="24">
        <f>+Tabla2[[#This Row],[Stock Inventario]]*Tabla2[[#This Row],[Coste LÃ­nea]]</f>
        <v>150232.5</v>
      </c>
      <c r="M3298" s="24">
        <f>+Tabla2[[#This Row],[Variación Stock]]*Tabla2[[#This Row],[Coste LÃ­nea]]</f>
        <v>0</v>
      </c>
      <c r="N3298" s="22" t="str">
        <f>+IF(Tabla2[[#This Row],[Variación Stock]]&gt;0,"Sobrante",IF(Tabla2[[#This Row],[Variación Stock]]&lt;0,"Faltante","Sin novedad"))</f>
        <v>Sin novedad</v>
      </c>
    </row>
    <row r="3299" spans="1:14" x14ac:dyDescent="0.25">
      <c r="A3299" s="11">
        <v>46065</v>
      </c>
      <c r="B3299" s="5" t="s">
        <v>1092</v>
      </c>
      <c r="C3299" s="3" t="s">
        <v>337</v>
      </c>
      <c r="D3299" s="5" t="s">
        <v>111</v>
      </c>
      <c r="E3299" s="5" t="s">
        <v>112</v>
      </c>
      <c r="F3299" s="6" t="s">
        <v>22</v>
      </c>
      <c r="G3299" s="4" t="s">
        <v>0</v>
      </c>
      <c r="H3299" s="25">
        <v>13020.86363636</v>
      </c>
      <c r="I3299" s="8">
        <v>43</v>
      </c>
      <c r="J3299" s="9">
        <v>43</v>
      </c>
      <c r="K3299" s="7">
        <v>0</v>
      </c>
      <c r="L3299" s="24">
        <f>+Tabla2[[#This Row],[Stock Inventario]]*Tabla2[[#This Row],[Coste LÃ­nea]]</f>
        <v>559897.13636348001</v>
      </c>
      <c r="M3299" s="24">
        <f>+Tabla2[[#This Row],[Variación Stock]]*Tabla2[[#This Row],[Coste LÃ­nea]]</f>
        <v>0</v>
      </c>
      <c r="N3299" s="22" t="str">
        <f>+IF(Tabla2[[#This Row],[Variación Stock]]&gt;0,"Sobrante",IF(Tabla2[[#This Row],[Variación Stock]]&lt;0,"Faltante","Sin novedad"))</f>
        <v>Sin novedad</v>
      </c>
    </row>
    <row r="3300" spans="1:14" x14ac:dyDescent="0.25">
      <c r="A3300" s="11">
        <v>46065</v>
      </c>
      <c r="B3300" s="5" t="s">
        <v>1092</v>
      </c>
      <c r="C3300" s="3" t="s">
        <v>337</v>
      </c>
      <c r="D3300" s="5" t="s">
        <v>121</v>
      </c>
      <c r="E3300" s="5" t="s">
        <v>112</v>
      </c>
      <c r="F3300" s="6" t="s">
        <v>333</v>
      </c>
      <c r="G3300" s="4" t="s">
        <v>0</v>
      </c>
      <c r="H3300" s="25">
        <v>3659.04270434</v>
      </c>
      <c r="I3300" s="8">
        <v>84</v>
      </c>
      <c r="J3300" s="9">
        <v>84</v>
      </c>
      <c r="K3300" s="7">
        <v>0</v>
      </c>
      <c r="L3300" s="24">
        <f>+Tabla2[[#This Row],[Stock Inventario]]*Tabla2[[#This Row],[Coste LÃ­nea]]</f>
        <v>307359.58716455998</v>
      </c>
      <c r="M3300" s="24">
        <f>+Tabla2[[#This Row],[Variación Stock]]*Tabla2[[#This Row],[Coste LÃ­nea]]</f>
        <v>0</v>
      </c>
      <c r="N3300" s="22" t="str">
        <f>+IF(Tabla2[[#This Row],[Variación Stock]]&gt;0,"Sobrante",IF(Tabla2[[#This Row],[Variación Stock]]&lt;0,"Faltante","Sin novedad"))</f>
        <v>Sin novedad</v>
      </c>
    </row>
    <row r="3301" spans="1:14" x14ac:dyDescent="0.25">
      <c r="A3301" s="11">
        <v>46065</v>
      </c>
      <c r="B3301" s="5" t="s">
        <v>1092</v>
      </c>
      <c r="C3301" s="3" t="s">
        <v>337</v>
      </c>
      <c r="D3301" s="5" t="s">
        <v>118</v>
      </c>
      <c r="E3301" s="5" t="s">
        <v>112</v>
      </c>
      <c r="F3301" s="6" t="s">
        <v>90</v>
      </c>
      <c r="G3301" s="4" t="s">
        <v>81</v>
      </c>
      <c r="H3301" s="25">
        <v>4005</v>
      </c>
      <c r="I3301" s="8">
        <v>11</v>
      </c>
      <c r="J3301" s="9">
        <v>11</v>
      </c>
      <c r="K3301" s="7">
        <v>0</v>
      </c>
      <c r="L3301" s="24">
        <f>+Tabla2[[#This Row],[Stock Inventario]]*Tabla2[[#This Row],[Coste LÃ­nea]]</f>
        <v>44055</v>
      </c>
      <c r="M3301" s="24">
        <f>+Tabla2[[#This Row],[Variación Stock]]*Tabla2[[#This Row],[Coste LÃ­nea]]</f>
        <v>0</v>
      </c>
      <c r="N3301" s="22" t="str">
        <f>+IF(Tabla2[[#This Row],[Variación Stock]]&gt;0,"Sobrante",IF(Tabla2[[#This Row],[Variación Stock]]&lt;0,"Faltante","Sin novedad"))</f>
        <v>Sin novedad</v>
      </c>
    </row>
    <row r="3302" spans="1:14" x14ac:dyDescent="0.25">
      <c r="A3302" s="11">
        <v>46065</v>
      </c>
      <c r="B3302" s="5" t="s">
        <v>1092</v>
      </c>
      <c r="C3302" s="3" t="s">
        <v>337</v>
      </c>
      <c r="D3302" s="5" t="s">
        <v>122</v>
      </c>
      <c r="E3302" s="5" t="s">
        <v>112</v>
      </c>
      <c r="F3302" s="6" t="s">
        <v>104</v>
      </c>
      <c r="G3302" s="4" t="s">
        <v>2</v>
      </c>
      <c r="H3302" s="25">
        <v>3458.25</v>
      </c>
      <c r="I3302" s="8">
        <v>-6</v>
      </c>
      <c r="J3302" s="9">
        <v>6</v>
      </c>
      <c r="K3302" s="7">
        <v>12</v>
      </c>
      <c r="L3302" s="24">
        <f>+Tabla2[[#This Row],[Stock Inventario]]*Tabla2[[#This Row],[Coste LÃ­nea]]</f>
        <v>20749.5</v>
      </c>
      <c r="M3302" s="24">
        <f>+Tabla2[[#This Row],[Variación Stock]]*Tabla2[[#This Row],[Coste LÃ­nea]]</f>
        <v>41499</v>
      </c>
      <c r="N3302" s="22" t="str">
        <f>+IF(Tabla2[[#This Row],[Variación Stock]]&gt;0,"Sobrante",IF(Tabla2[[#This Row],[Variación Stock]]&lt;0,"Faltante","Sin novedad"))</f>
        <v>Sobrante</v>
      </c>
    </row>
    <row r="3303" spans="1:14" x14ac:dyDescent="0.25">
      <c r="A3303" s="11">
        <v>46065</v>
      </c>
      <c r="B3303" s="5" t="s">
        <v>1092</v>
      </c>
      <c r="C3303" s="3" t="s">
        <v>337</v>
      </c>
      <c r="D3303" s="5" t="s">
        <v>111</v>
      </c>
      <c r="E3303" s="5" t="s">
        <v>112</v>
      </c>
      <c r="F3303" s="6" t="s">
        <v>47</v>
      </c>
      <c r="G3303" s="4" t="s">
        <v>2</v>
      </c>
      <c r="H3303" s="25">
        <v>22770</v>
      </c>
      <c r="I3303" s="8">
        <v>2</v>
      </c>
      <c r="J3303" s="9">
        <v>2</v>
      </c>
      <c r="K3303" s="7">
        <v>0</v>
      </c>
      <c r="L3303" s="24">
        <f>+Tabla2[[#This Row],[Stock Inventario]]*Tabla2[[#This Row],[Coste LÃ­nea]]</f>
        <v>45540</v>
      </c>
      <c r="M3303" s="24">
        <f>+Tabla2[[#This Row],[Variación Stock]]*Tabla2[[#This Row],[Coste LÃ­nea]]</f>
        <v>0</v>
      </c>
      <c r="N3303" s="22" t="str">
        <f>+IF(Tabla2[[#This Row],[Variación Stock]]&gt;0,"Sobrante",IF(Tabla2[[#This Row],[Variación Stock]]&lt;0,"Faltante","Sin novedad"))</f>
        <v>Sin novedad</v>
      </c>
    </row>
    <row r="3304" spans="1:14" x14ac:dyDescent="0.25">
      <c r="A3304" s="11">
        <v>46065</v>
      </c>
      <c r="B3304" s="5" t="s">
        <v>1092</v>
      </c>
      <c r="C3304" s="3" t="s">
        <v>337</v>
      </c>
      <c r="D3304" s="5" t="s">
        <v>118</v>
      </c>
      <c r="E3304" s="5" t="s">
        <v>112</v>
      </c>
      <c r="F3304" s="6" t="s">
        <v>292</v>
      </c>
      <c r="G3304" s="4" t="s">
        <v>81</v>
      </c>
      <c r="H3304" s="25">
        <v>0</v>
      </c>
      <c r="I3304" s="8">
        <v>0</v>
      </c>
      <c r="J3304" s="9">
        <v>0</v>
      </c>
      <c r="K3304" s="7">
        <v>0</v>
      </c>
      <c r="L3304" s="24">
        <f>+Tabla2[[#This Row],[Stock Inventario]]*Tabla2[[#This Row],[Coste LÃ­nea]]</f>
        <v>0</v>
      </c>
      <c r="M3304" s="24">
        <f>+Tabla2[[#This Row],[Variación Stock]]*Tabla2[[#This Row],[Coste LÃ­nea]]</f>
        <v>0</v>
      </c>
      <c r="N3304" s="22" t="str">
        <f>+IF(Tabla2[[#This Row],[Variación Stock]]&gt;0,"Sobrante",IF(Tabla2[[#This Row],[Variación Stock]]&lt;0,"Faltante","Sin novedad"))</f>
        <v>Sin novedad</v>
      </c>
    </row>
    <row r="3305" spans="1:14" x14ac:dyDescent="0.25">
      <c r="A3305" s="11">
        <v>46065</v>
      </c>
      <c r="B3305" s="5" t="s">
        <v>1092</v>
      </c>
      <c r="C3305" s="3" t="s">
        <v>337</v>
      </c>
      <c r="D3305" s="5" t="s">
        <v>115</v>
      </c>
      <c r="E3305" s="5" t="s">
        <v>112</v>
      </c>
      <c r="F3305" s="6" t="s">
        <v>72</v>
      </c>
      <c r="G3305" s="4" t="s">
        <v>2</v>
      </c>
      <c r="H3305" s="25">
        <v>2359.5666666699999</v>
      </c>
      <c r="I3305" s="8">
        <v>17</v>
      </c>
      <c r="J3305" s="9">
        <v>17</v>
      </c>
      <c r="K3305" s="7">
        <v>0</v>
      </c>
      <c r="L3305" s="24">
        <f>+Tabla2[[#This Row],[Stock Inventario]]*Tabla2[[#This Row],[Coste LÃ­nea]]</f>
        <v>40112.633333389997</v>
      </c>
      <c r="M3305" s="24">
        <f>+Tabla2[[#This Row],[Variación Stock]]*Tabla2[[#This Row],[Coste LÃ­nea]]</f>
        <v>0</v>
      </c>
      <c r="N3305" s="22" t="str">
        <f>+IF(Tabla2[[#This Row],[Variación Stock]]&gt;0,"Sobrante",IF(Tabla2[[#This Row],[Variación Stock]]&lt;0,"Faltante","Sin novedad"))</f>
        <v>Sin novedad</v>
      </c>
    </row>
    <row r="3306" spans="1:14" x14ac:dyDescent="0.25">
      <c r="A3306" s="11">
        <v>46065</v>
      </c>
      <c r="B3306" s="5" t="s">
        <v>1092</v>
      </c>
      <c r="C3306" s="3" t="s">
        <v>337</v>
      </c>
      <c r="D3306" s="5" t="s">
        <v>111</v>
      </c>
      <c r="E3306" s="5" t="s">
        <v>112</v>
      </c>
      <c r="F3306" s="6" t="s">
        <v>17</v>
      </c>
      <c r="G3306" s="4" t="s">
        <v>0</v>
      </c>
      <c r="H3306" s="25">
        <v>14896.95833333</v>
      </c>
      <c r="I3306" s="8">
        <v>9</v>
      </c>
      <c r="J3306" s="9">
        <v>9</v>
      </c>
      <c r="K3306" s="7">
        <v>0</v>
      </c>
      <c r="L3306" s="24">
        <f>+Tabla2[[#This Row],[Stock Inventario]]*Tabla2[[#This Row],[Coste LÃ­nea]]</f>
        <v>134072.62499996999</v>
      </c>
      <c r="M3306" s="24">
        <f>+Tabla2[[#This Row],[Variación Stock]]*Tabla2[[#This Row],[Coste LÃ­nea]]</f>
        <v>0</v>
      </c>
      <c r="N3306" s="22" t="str">
        <f>+IF(Tabla2[[#This Row],[Variación Stock]]&gt;0,"Sobrante",IF(Tabla2[[#This Row],[Variación Stock]]&lt;0,"Faltante","Sin novedad"))</f>
        <v>Sin novedad</v>
      </c>
    </row>
    <row r="3307" spans="1:14" hidden="1" x14ac:dyDescent="0.25">
      <c r="A3307" s="11">
        <v>46065</v>
      </c>
      <c r="B3307" s="5" t="s">
        <v>1092</v>
      </c>
      <c r="C3307" s="3" t="s">
        <v>337</v>
      </c>
      <c r="D3307" s="5" t="s">
        <v>120</v>
      </c>
      <c r="E3307" s="5" t="s">
        <v>117</v>
      </c>
      <c r="F3307" s="6" t="s">
        <v>316</v>
      </c>
      <c r="G3307" s="4" t="s">
        <v>2</v>
      </c>
      <c r="H3307" s="25">
        <v>1729.6435177799999</v>
      </c>
      <c r="I3307" s="8">
        <v>44</v>
      </c>
      <c r="J3307" s="9">
        <v>44</v>
      </c>
      <c r="K3307" s="7">
        <v>0</v>
      </c>
      <c r="L3307" s="24">
        <f>+Tabla2[[#This Row],[Stock Inventario]]*Tabla2[[#This Row],[Coste LÃ­nea]]</f>
        <v>76104.314782319998</v>
      </c>
      <c r="M3307" s="24">
        <f>+Tabla2[[#This Row],[Variación Stock]]*Tabla2[[#This Row],[Coste LÃ­nea]]</f>
        <v>0</v>
      </c>
      <c r="N3307" s="22" t="str">
        <f>+IF(Tabla2[[#This Row],[Variación Stock]]&gt;0,"Sobrante",IF(Tabla2[[#This Row],[Variación Stock]]&lt;0,"Faltante","Sin novedad"))</f>
        <v>Sin novedad</v>
      </c>
    </row>
    <row r="3308" spans="1:14" x14ac:dyDescent="0.25">
      <c r="A3308" s="11">
        <v>46065</v>
      </c>
      <c r="B3308" s="5" t="s">
        <v>1092</v>
      </c>
      <c r="C3308" s="3" t="s">
        <v>337</v>
      </c>
      <c r="D3308" s="5" t="s">
        <v>118</v>
      </c>
      <c r="E3308" s="5" t="s">
        <v>112</v>
      </c>
      <c r="F3308" s="6" t="s">
        <v>82</v>
      </c>
      <c r="G3308" s="4" t="s">
        <v>2</v>
      </c>
      <c r="H3308" s="25">
        <v>63372.666666669997</v>
      </c>
      <c r="I3308" s="8">
        <v>3</v>
      </c>
      <c r="J3308" s="9">
        <v>3</v>
      </c>
      <c r="K3308" s="7">
        <v>0</v>
      </c>
      <c r="L3308" s="24">
        <f>+Tabla2[[#This Row],[Stock Inventario]]*Tabla2[[#This Row],[Coste LÃ­nea]]</f>
        <v>190118.00000000998</v>
      </c>
      <c r="M3308" s="24">
        <f>+Tabla2[[#This Row],[Variación Stock]]*Tabla2[[#This Row],[Coste LÃ­nea]]</f>
        <v>0</v>
      </c>
      <c r="N3308" s="22" t="str">
        <f>+IF(Tabla2[[#This Row],[Variación Stock]]&gt;0,"Sobrante",IF(Tabla2[[#This Row],[Variación Stock]]&lt;0,"Faltante","Sin novedad"))</f>
        <v>Sin novedad</v>
      </c>
    </row>
    <row r="3309" spans="1:14" x14ac:dyDescent="0.25">
      <c r="A3309" s="11">
        <v>46065</v>
      </c>
      <c r="B3309" s="5" t="s">
        <v>1092</v>
      </c>
      <c r="C3309" s="3" t="s">
        <v>337</v>
      </c>
      <c r="D3309" s="5" t="s">
        <v>111</v>
      </c>
      <c r="E3309" s="5" t="s">
        <v>112</v>
      </c>
      <c r="F3309" s="6" t="s">
        <v>31</v>
      </c>
      <c r="G3309" s="4" t="s">
        <v>0</v>
      </c>
      <c r="H3309" s="25">
        <v>6806.25</v>
      </c>
      <c r="I3309" s="8">
        <v>44</v>
      </c>
      <c r="J3309" s="9">
        <v>44</v>
      </c>
      <c r="K3309" s="7">
        <v>0</v>
      </c>
      <c r="L3309" s="24">
        <f>+Tabla2[[#This Row],[Stock Inventario]]*Tabla2[[#This Row],[Coste LÃ­nea]]</f>
        <v>299475</v>
      </c>
      <c r="M3309" s="24">
        <f>+Tabla2[[#This Row],[Variación Stock]]*Tabla2[[#This Row],[Coste LÃ­nea]]</f>
        <v>0</v>
      </c>
      <c r="N3309" s="22" t="str">
        <f>+IF(Tabla2[[#This Row],[Variación Stock]]&gt;0,"Sobrante",IF(Tabla2[[#This Row],[Variación Stock]]&lt;0,"Faltante","Sin novedad"))</f>
        <v>Sin novedad</v>
      </c>
    </row>
    <row r="3310" spans="1:14" x14ac:dyDescent="0.25">
      <c r="A3310" s="11">
        <v>46065</v>
      </c>
      <c r="B3310" s="5" t="s">
        <v>1092</v>
      </c>
      <c r="C3310" s="3" t="s">
        <v>337</v>
      </c>
      <c r="D3310" s="5" t="s">
        <v>114</v>
      </c>
      <c r="E3310" s="5" t="s">
        <v>112</v>
      </c>
      <c r="F3310" s="6" t="s">
        <v>61</v>
      </c>
      <c r="G3310" s="4" t="s">
        <v>2</v>
      </c>
      <c r="H3310" s="25">
        <v>2252.8125</v>
      </c>
      <c r="I3310" s="8">
        <v>85</v>
      </c>
      <c r="J3310" s="9">
        <v>84</v>
      </c>
      <c r="K3310" s="7">
        <v>-1</v>
      </c>
      <c r="L3310" s="24">
        <f>+Tabla2[[#This Row],[Stock Inventario]]*Tabla2[[#This Row],[Coste LÃ­nea]]</f>
        <v>189236.25</v>
      </c>
      <c r="M3310" s="24">
        <f>+Tabla2[[#This Row],[Variación Stock]]*Tabla2[[#This Row],[Coste LÃ­nea]]</f>
        <v>-2252.8125</v>
      </c>
      <c r="N3310" s="22" t="str">
        <f>+IF(Tabla2[[#This Row],[Variación Stock]]&gt;0,"Sobrante",IF(Tabla2[[#This Row],[Variación Stock]]&lt;0,"Faltante","Sin novedad"))</f>
        <v>Faltante</v>
      </c>
    </row>
    <row r="3311" spans="1:14" x14ac:dyDescent="0.25">
      <c r="A3311" s="11">
        <v>46065</v>
      </c>
      <c r="B3311" s="5" t="s">
        <v>1092</v>
      </c>
      <c r="C3311" s="3" t="s">
        <v>337</v>
      </c>
      <c r="D3311" s="5" t="s">
        <v>111</v>
      </c>
      <c r="E3311" s="5" t="s">
        <v>112</v>
      </c>
      <c r="F3311" s="6" t="s">
        <v>57</v>
      </c>
      <c r="G3311" s="4" t="s">
        <v>0</v>
      </c>
      <c r="H3311" s="25">
        <v>1993.59090909</v>
      </c>
      <c r="I3311" s="8">
        <v>12</v>
      </c>
      <c r="J3311" s="9">
        <v>12</v>
      </c>
      <c r="K3311" s="7">
        <v>0</v>
      </c>
      <c r="L3311" s="24">
        <f>+Tabla2[[#This Row],[Stock Inventario]]*Tabla2[[#This Row],[Coste LÃ­nea]]</f>
        <v>23923.090909079998</v>
      </c>
      <c r="M3311" s="24">
        <f>+Tabla2[[#This Row],[Variación Stock]]*Tabla2[[#This Row],[Coste LÃ­nea]]</f>
        <v>0</v>
      </c>
      <c r="N3311" s="22" t="str">
        <f>+IF(Tabla2[[#This Row],[Variación Stock]]&gt;0,"Sobrante",IF(Tabla2[[#This Row],[Variación Stock]]&lt;0,"Faltante","Sin novedad"))</f>
        <v>Sin novedad</v>
      </c>
    </row>
    <row r="3312" spans="1:14" x14ac:dyDescent="0.25">
      <c r="A3312" s="11">
        <v>46065</v>
      </c>
      <c r="B3312" s="5" t="s">
        <v>1092</v>
      </c>
      <c r="C3312" s="3" t="s">
        <v>337</v>
      </c>
      <c r="D3312" s="5" t="s">
        <v>114</v>
      </c>
      <c r="E3312" s="5" t="s">
        <v>112</v>
      </c>
      <c r="F3312" s="6" t="s">
        <v>146</v>
      </c>
      <c r="G3312" s="4" t="s">
        <v>2</v>
      </c>
      <c r="H3312" s="25">
        <v>0</v>
      </c>
      <c r="I3312" s="8">
        <v>0</v>
      </c>
      <c r="J3312" s="9">
        <v>0</v>
      </c>
      <c r="K3312" s="7">
        <v>0</v>
      </c>
      <c r="L3312" s="24">
        <f>+Tabla2[[#This Row],[Stock Inventario]]*Tabla2[[#This Row],[Coste LÃ­nea]]</f>
        <v>0</v>
      </c>
      <c r="M3312" s="24">
        <f>+Tabla2[[#This Row],[Variación Stock]]*Tabla2[[#This Row],[Coste LÃ­nea]]</f>
        <v>0</v>
      </c>
      <c r="N3312" s="22" t="str">
        <f>+IF(Tabla2[[#This Row],[Variación Stock]]&gt;0,"Sobrante",IF(Tabla2[[#This Row],[Variación Stock]]&lt;0,"Faltante","Sin novedad"))</f>
        <v>Sin novedad</v>
      </c>
    </row>
    <row r="3313" spans="1:14" x14ac:dyDescent="0.25">
      <c r="A3313" s="11">
        <v>46065</v>
      </c>
      <c r="B3313" s="5" t="s">
        <v>1092</v>
      </c>
      <c r="C3313" s="3" t="s">
        <v>337</v>
      </c>
      <c r="D3313" s="5" t="s">
        <v>118</v>
      </c>
      <c r="E3313" s="5" t="s">
        <v>112</v>
      </c>
      <c r="F3313" s="6" t="s">
        <v>298</v>
      </c>
      <c r="G3313" s="4" t="s">
        <v>2</v>
      </c>
      <c r="H3313" s="25">
        <v>63897.666666669997</v>
      </c>
      <c r="I3313" s="8">
        <v>6</v>
      </c>
      <c r="J3313" s="9">
        <v>6</v>
      </c>
      <c r="K3313" s="7">
        <v>0</v>
      </c>
      <c r="L3313" s="24">
        <f>+Tabla2[[#This Row],[Stock Inventario]]*Tabla2[[#This Row],[Coste LÃ­nea]]</f>
        <v>383386.00000001997</v>
      </c>
      <c r="M3313" s="24">
        <f>+Tabla2[[#This Row],[Variación Stock]]*Tabla2[[#This Row],[Coste LÃ­nea]]</f>
        <v>0</v>
      </c>
      <c r="N3313" s="22" t="str">
        <f>+IF(Tabla2[[#This Row],[Variación Stock]]&gt;0,"Sobrante",IF(Tabla2[[#This Row],[Variación Stock]]&lt;0,"Faltante","Sin novedad"))</f>
        <v>Sin novedad</v>
      </c>
    </row>
    <row r="3314" spans="1:14" x14ac:dyDescent="0.25">
      <c r="A3314" s="11">
        <v>46065</v>
      </c>
      <c r="B3314" s="5" t="s">
        <v>1092</v>
      </c>
      <c r="C3314" s="3" t="s">
        <v>337</v>
      </c>
      <c r="D3314" s="5" t="s">
        <v>111</v>
      </c>
      <c r="E3314" s="5" t="s">
        <v>112</v>
      </c>
      <c r="F3314" s="6" t="s">
        <v>59</v>
      </c>
      <c r="G3314" s="4" t="s">
        <v>0</v>
      </c>
      <c r="H3314" s="25">
        <v>3426.7241379299999</v>
      </c>
      <c r="I3314" s="8">
        <v>147.5</v>
      </c>
      <c r="J3314" s="9">
        <v>69</v>
      </c>
      <c r="K3314" s="7">
        <v>-78.5</v>
      </c>
      <c r="L3314" s="24">
        <f>+Tabla2[[#This Row],[Stock Inventario]]*Tabla2[[#This Row],[Coste LÃ­nea]]</f>
        <v>236443.96551717</v>
      </c>
      <c r="M3314" s="24">
        <f>+Tabla2[[#This Row],[Variación Stock]]*Tabla2[[#This Row],[Coste LÃ­nea]]</f>
        <v>-268997.844827505</v>
      </c>
      <c r="N3314" s="22" t="str">
        <f>+IF(Tabla2[[#This Row],[Variación Stock]]&gt;0,"Sobrante",IF(Tabla2[[#This Row],[Variación Stock]]&lt;0,"Faltante","Sin novedad"))</f>
        <v>Faltante</v>
      </c>
    </row>
    <row r="3315" spans="1:14" x14ac:dyDescent="0.25">
      <c r="A3315" s="11">
        <v>46065</v>
      </c>
      <c r="B3315" s="5" t="s">
        <v>1092</v>
      </c>
      <c r="C3315" s="3" t="s">
        <v>337</v>
      </c>
      <c r="D3315" s="5" t="s">
        <v>118</v>
      </c>
      <c r="E3315" s="5" t="s">
        <v>112</v>
      </c>
      <c r="F3315" s="6" t="s">
        <v>174</v>
      </c>
      <c r="G3315" s="4" t="s">
        <v>0</v>
      </c>
      <c r="H3315" s="25">
        <v>2903.3333333300002</v>
      </c>
      <c r="I3315" s="8">
        <v>0</v>
      </c>
      <c r="J3315" s="9">
        <v>0</v>
      </c>
      <c r="K3315" s="7">
        <v>0</v>
      </c>
      <c r="L3315" s="24">
        <f>+Tabla2[[#This Row],[Stock Inventario]]*Tabla2[[#This Row],[Coste LÃ­nea]]</f>
        <v>0</v>
      </c>
      <c r="M3315" s="24">
        <f>+Tabla2[[#This Row],[Variación Stock]]*Tabla2[[#This Row],[Coste LÃ­nea]]</f>
        <v>0</v>
      </c>
      <c r="N3315" s="22" t="str">
        <f>+IF(Tabla2[[#This Row],[Variación Stock]]&gt;0,"Sobrante",IF(Tabla2[[#This Row],[Variación Stock]]&lt;0,"Faltante","Sin novedad"))</f>
        <v>Sin novedad</v>
      </c>
    </row>
    <row r="3316" spans="1:14" x14ac:dyDescent="0.25">
      <c r="A3316" s="11">
        <v>46065</v>
      </c>
      <c r="B3316" s="5" t="s">
        <v>1092</v>
      </c>
      <c r="C3316" s="3" t="s">
        <v>337</v>
      </c>
      <c r="D3316" s="5" t="s">
        <v>115</v>
      </c>
      <c r="E3316" s="5" t="s">
        <v>112</v>
      </c>
      <c r="F3316" s="6" t="s">
        <v>367</v>
      </c>
      <c r="G3316" s="4" t="s">
        <v>2</v>
      </c>
      <c r="H3316" s="25">
        <v>19546.5</v>
      </c>
      <c r="I3316" s="8">
        <v>6.58</v>
      </c>
      <c r="J3316" s="9">
        <v>0</v>
      </c>
      <c r="K3316" s="7">
        <v>-6.58</v>
      </c>
      <c r="L3316" s="24">
        <f>+Tabla2[[#This Row],[Stock Inventario]]*Tabla2[[#This Row],[Coste LÃ­nea]]</f>
        <v>0</v>
      </c>
      <c r="M3316" s="24">
        <f>+Tabla2[[#This Row],[Variación Stock]]*Tabla2[[#This Row],[Coste LÃ­nea]]</f>
        <v>-128615.97</v>
      </c>
      <c r="N3316" s="22" t="str">
        <f>+IF(Tabla2[[#This Row],[Variación Stock]]&gt;0,"Sobrante",IF(Tabla2[[#This Row],[Variación Stock]]&lt;0,"Faltante","Sin novedad"))</f>
        <v>Faltante</v>
      </c>
    </row>
    <row r="3317" spans="1:14" x14ac:dyDescent="0.25">
      <c r="A3317" s="11">
        <v>46065</v>
      </c>
      <c r="B3317" s="5" t="s">
        <v>1092</v>
      </c>
      <c r="C3317" s="3" t="s">
        <v>337</v>
      </c>
      <c r="D3317" s="5" t="s">
        <v>111</v>
      </c>
      <c r="E3317" s="5" t="s">
        <v>112</v>
      </c>
      <c r="F3317" s="6" t="s">
        <v>15</v>
      </c>
      <c r="G3317" s="4" t="s">
        <v>0</v>
      </c>
      <c r="H3317" s="25">
        <v>11819.5</v>
      </c>
      <c r="I3317" s="8">
        <v>0</v>
      </c>
      <c r="J3317" s="9">
        <v>0</v>
      </c>
      <c r="K3317" s="7">
        <v>0</v>
      </c>
      <c r="L3317" s="24">
        <f>+Tabla2[[#This Row],[Stock Inventario]]*Tabla2[[#This Row],[Coste LÃ­nea]]</f>
        <v>0</v>
      </c>
      <c r="M3317" s="24">
        <f>+Tabla2[[#This Row],[Variación Stock]]*Tabla2[[#This Row],[Coste LÃ­nea]]</f>
        <v>0</v>
      </c>
      <c r="N3317" s="22" t="str">
        <f>+IF(Tabla2[[#This Row],[Variación Stock]]&gt;0,"Sobrante",IF(Tabla2[[#This Row],[Variación Stock]]&lt;0,"Faltante","Sin novedad"))</f>
        <v>Sin novedad</v>
      </c>
    </row>
    <row r="3318" spans="1:14" x14ac:dyDescent="0.25">
      <c r="A3318" s="11">
        <v>46065</v>
      </c>
      <c r="B3318" s="5" t="s">
        <v>1092</v>
      </c>
      <c r="C3318" s="3" t="s">
        <v>337</v>
      </c>
      <c r="D3318" s="5" t="s">
        <v>121</v>
      </c>
      <c r="E3318" s="5" t="s">
        <v>112</v>
      </c>
      <c r="F3318" s="6" t="s">
        <v>331</v>
      </c>
      <c r="G3318" s="4" t="s">
        <v>0</v>
      </c>
      <c r="H3318" s="25">
        <v>3713.5548079599998</v>
      </c>
      <c r="I3318" s="8">
        <v>6</v>
      </c>
      <c r="J3318" s="9">
        <v>10</v>
      </c>
      <c r="K3318" s="7">
        <v>4</v>
      </c>
      <c r="L3318" s="24">
        <f>+Tabla2[[#This Row],[Stock Inventario]]*Tabla2[[#This Row],[Coste LÃ­nea]]</f>
        <v>37135.548079599997</v>
      </c>
      <c r="M3318" s="24">
        <f>+Tabla2[[#This Row],[Variación Stock]]*Tabla2[[#This Row],[Coste LÃ­nea]]</f>
        <v>14854.219231839999</v>
      </c>
      <c r="N3318" s="22" t="str">
        <f>+IF(Tabla2[[#This Row],[Variación Stock]]&gt;0,"Sobrante",IF(Tabla2[[#This Row],[Variación Stock]]&lt;0,"Faltante","Sin novedad"))</f>
        <v>Sobrante</v>
      </c>
    </row>
    <row r="3319" spans="1:14" x14ac:dyDescent="0.25">
      <c r="A3319" s="11">
        <v>46065</v>
      </c>
      <c r="B3319" s="5" t="s">
        <v>1092</v>
      </c>
      <c r="C3319" s="3" t="s">
        <v>337</v>
      </c>
      <c r="D3319" s="5" t="s">
        <v>118</v>
      </c>
      <c r="E3319" s="5" t="s">
        <v>112</v>
      </c>
      <c r="F3319" s="6" t="s">
        <v>88</v>
      </c>
      <c r="G3319" s="4" t="s">
        <v>81</v>
      </c>
      <c r="H3319" s="25">
        <v>4005.4</v>
      </c>
      <c r="I3319" s="8">
        <v>16</v>
      </c>
      <c r="J3319" s="9">
        <v>16</v>
      </c>
      <c r="K3319" s="7">
        <v>0</v>
      </c>
      <c r="L3319" s="24">
        <f>+Tabla2[[#This Row],[Stock Inventario]]*Tabla2[[#This Row],[Coste LÃ­nea]]</f>
        <v>64086.400000000001</v>
      </c>
      <c r="M3319" s="24">
        <f>+Tabla2[[#This Row],[Variación Stock]]*Tabla2[[#This Row],[Coste LÃ­nea]]</f>
        <v>0</v>
      </c>
      <c r="N3319" s="22" t="str">
        <f>+IF(Tabla2[[#This Row],[Variación Stock]]&gt;0,"Sobrante",IF(Tabla2[[#This Row],[Variación Stock]]&lt;0,"Faltante","Sin novedad"))</f>
        <v>Sin novedad</v>
      </c>
    </row>
    <row r="3320" spans="1:14" x14ac:dyDescent="0.25">
      <c r="A3320" s="11">
        <v>46065</v>
      </c>
      <c r="B3320" s="5" t="s">
        <v>1092</v>
      </c>
      <c r="C3320" s="3" t="s">
        <v>337</v>
      </c>
      <c r="D3320" s="5" t="s">
        <v>122</v>
      </c>
      <c r="E3320" s="5" t="s">
        <v>112</v>
      </c>
      <c r="F3320" s="6" t="s">
        <v>102</v>
      </c>
      <c r="G3320" s="4" t="s">
        <v>2</v>
      </c>
      <c r="H3320" s="25">
        <v>4166.7338934999998</v>
      </c>
      <c r="I3320" s="8">
        <v>15</v>
      </c>
      <c r="J3320" s="9">
        <v>15</v>
      </c>
      <c r="K3320" s="7">
        <v>0</v>
      </c>
      <c r="L3320" s="24">
        <f>+Tabla2[[#This Row],[Stock Inventario]]*Tabla2[[#This Row],[Coste LÃ­nea]]</f>
        <v>62501.008402499996</v>
      </c>
      <c r="M3320" s="24">
        <f>+Tabla2[[#This Row],[Variación Stock]]*Tabla2[[#This Row],[Coste LÃ­nea]]</f>
        <v>0</v>
      </c>
      <c r="N3320" s="22" t="str">
        <f>+IF(Tabla2[[#This Row],[Variación Stock]]&gt;0,"Sobrante",IF(Tabla2[[#This Row],[Variación Stock]]&lt;0,"Faltante","Sin novedad"))</f>
        <v>Sin novedad</v>
      </c>
    </row>
    <row r="3321" spans="1:14" x14ac:dyDescent="0.25">
      <c r="A3321" s="11">
        <v>46065</v>
      </c>
      <c r="B3321" s="5" t="s">
        <v>1092</v>
      </c>
      <c r="C3321" s="3" t="s">
        <v>337</v>
      </c>
      <c r="D3321" s="5" t="s">
        <v>111</v>
      </c>
      <c r="E3321" s="5" t="s">
        <v>112</v>
      </c>
      <c r="F3321" s="6" t="s">
        <v>43</v>
      </c>
      <c r="G3321" s="4" t="s">
        <v>0</v>
      </c>
      <c r="H3321" s="25">
        <v>4404.8863636400001</v>
      </c>
      <c r="I3321" s="8">
        <v>58</v>
      </c>
      <c r="J3321" s="9">
        <v>57</v>
      </c>
      <c r="K3321" s="7">
        <v>-1</v>
      </c>
      <c r="L3321" s="24">
        <f>+Tabla2[[#This Row],[Stock Inventario]]*Tabla2[[#This Row],[Coste LÃ­nea]]</f>
        <v>251078.52272748001</v>
      </c>
      <c r="M3321" s="24">
        <f>+Tabla2[[#This Row],[Variación Stock]]*Tabla2[[#This Row],[Coste LÃ­nea]]</f>
        <v>-4404.8863636400001</v>
      </c>
      <c r="N3321" s="22" t="str">
        <f>+IF(Tabla2[[#This Row],[Variación Stock]]&gt;0,"Sobrante",IF(Tabla2[[#This Row],[Variación Stock]]&lt;0,"Faltante","Sin novedad"))</f>
        <v>Faltante</v>
      </c>
    </row>
    <row r="3322" spans="1:14" x14ac:dyDescent="0.25">
      <c r="A3322" s="11">
        <v>46065</v>
      </c>
      <c r="B3322" s="5" t="s">
        <v>1092</v>
      </c>
      <c r="C3322" s="3" t="s">
        <v>337</v>
      </c>
      <c r="D3322" s="5" t="s">
        <v>111</v>
      </c>
      <c r="E3322" s="5" t="s">
        <v>112</v>
      </c>
      <c r="F3322" s="6" t="s">
        <v>36</v>
      </c>
      <c r="G3322" s="4" t="s">
        <v>0</v>
      </c>
      <c r="H3322" s="25">
        <v>3951.875</v>
      </c>
      <c r="I3322" s="8">
        <v>76</v>
      </c>
      <c r="J3322" s="9">
        <v>76</v>
      </c>
      <c r="K3322" s="7">
        <v>0</v>
      </c>
      <c r="L3322" s="24">
        <f>+Tabla2[[#This Row],[Stock Inventario]]*Tabla2[[#This Row],[Coste LÃ­nea]]</f>
        <v>300342.5</v>
      </c>
      <c r="M3322" s="24">
        <f>+Tabla2[[#This Row],[Variación Stock]]*Tabla2[[#This Row],[Coste LÃ­nea]]</f>
        <v>0</v>
      </c>
      <c r="N3322" s="22" t="str">
        <f>+IF(Tabla2[[#This Row],[Variación Stock]]&gt;0,"Sobrante",IF(Tabla2[[#This Row],[Variación Stock]]&lt;0,"Faltante","Sin novedad"))</f>
        <v>Sin novedad</v>
      </c>
    </row>
    <row r="3323" spans="1:14" x14ac:dyDescent="0.25">
      <c r="A3323" s="11">
        <v>46065</v>
      </c>
      <c r="B3323" s="5" t="s">
        <v>1092</v>
      </c>
      <c r="C3323" s="3" t="s">
        <v>337</v>
      </c>
      <c r="D3323" s="5" t="s">
        <v>111</v>
      </c>
      <c r="E3323" s="5" t="s">
        <v>112</v>
      </c>
      <c r="F3323" s="6" t="s">
        <v>44</v>
      </c>
      <c r="G3323" s="4" t="s">
        <v>0</v>
      </c>
      <c r="H3323" s="25">
        <v>3500</v>
      </c>
      <c r="I3323" s="8">
        <v>24</v>
      </c>
      <c r="J3323" s="9">
        <v>24</v>
      </c>
      <c r="K3323" s="7">
        <v>0</v>
      </c>
      <c r="L3323" s="24">
        <f>+Tabla2[[#This Row],[Stock Inventario]]*Tabla2[[#This Row],[Coste LÃ­nea]]</f>
        <v>84000</v>
      </c>
      <c r="M3323" s="24">
        <f>+Tabla2[[#This Row],[Variación Stock]]*Tabla2[[#This Row],[Coste LÃ­nea]]</f>
        <v>0</v>
      </c>
      <c r="N3323" s="22" t="str">
        <f>+IF(Tabla2[[#This Row],[Variación Stock]]&gt;0,"Sobrante",IF(Tabla2[[#This Row],[Variación Stock]]&lt;0,"Faltante","Sin novedad"))</f>
        <v>Sin novedad</v>
      </c>
    </row>
    <row r="3324" spans="1:14" x14ac:dyDescent="0.25">
      <c r="A3324" s="11">
        <v>46065</v>
      </c>
      <c r="B3324" s="5" t="s">
        <v>1092</v>
      </c>
      <c r="C3324" s="3" t="s">
        <v>337</v>
      </c>
      <c r="D3324" s="5" t="s">
        <v>118</v>
      </c>
      <c r="E3324" s="5" t="s">
        <v>112</v>
      </c>
      <c r="F3324" s="6" t="s">
        <v>302</v>
      </c>
      <c r="G3324" s="4" t="s">
        <v>2</v>
      </c>
      <c r="H3324" s="25">
        <v>444869</v>
      </c>
      <c r="I3324" s="8">
        <v>0</v>
      </c>
      <c r="J3324" s="9">
        <v>0</v>
      </c>
      <c r="K3324" s="7">
        <v>0</v>
      </c>
      <c r="L3324" s="24">
        <f>+Tabla2[[#This Row],[Stock Inventario]]*Tabla2[[#This Row],[Coste LÃ­nea]]</f>
        <v>0</v>
      </c>
      <c r="M3324" s="24">
        <f>+Tabla2[[#This Row],[Variación Stock]]*Tabla2[[#This Row],[Coste LÃ­nea]]</f>
        <v>0</v>
      </c>
      <c r="N3324" s="22" t="str">
        <f>+IF(Tabla2[[#This Row],[Variación Stock]]&gt;0,"Sobrante",IF(Tabla2[[#This Row],[Variación Stock]]&lt;0,"Faltante","Sin novedad"))</f>
        <v>Sin novedad</v>
      </c>
    </row>
    <row r="3325" spans="1:14" x14ac:dyDescent="0.25">
      <c r="A3325" s="11">
        <v>46065</v>
      </c>
      <c r="B3325" s="5" t="s">
        <v>1092</v>
      </c>
      <c r="C3325" s="3" t="s">
        <v>337</v>
      </c>
      <c r="D3325" s="5" t="s">
        <v>111</v>
      </c>
      <c r="E3325" s="5" t="s">
        <v>112</v>
      </c>
      <c r="F3325" s="6" t="s">
        <v>56</v>
      </c>
      <c r="G3325" s="4" t="s">
        <v>0</v>
      </c>
      <c r="H3325" s="25">
        <v>5291.6666666700003</v>
      </c>
      <c r="I3325" s="8">
        <v>0</v>
      </c>
      <c r="J3325" s="9">
        <v>0</v>
      </c>
      <c r="K3325" s="7">
        <v>0</v>
      </c>
      <c r="L3325" s="24">
        <f>+Tabla2[[#This Row],[Stock Inventario]]*Tabla2[[#This Row],[Coste LÃ­nea]]</f>
        <v>0</v>
      </c>
      <c r="M3325" s="24">
        <f>+Tabla2[[#This Row],[Variación Stock]]*Tabla2[[#This Row],[Coste LÃ­nea]]</f>
        <v>0</v>
      </c>
      <c r="N3325" s="22" t="str">
        <f>+IF(Tabla2[[#This Row],[Variación Stock]]&gt;0,"Sobrante",IF(Tabla2[[#This Row],[Variación Stock]]&lt;0,"Faltante","Sin novedad"))</f>
        <v>Sin novedad</v>
      </c>
    </row>
    <row r="3326" spans="1:14" x14ac:dyDescent="0.25">
      <c r="A3326" s="11">
        <v>46065</v>
      </c>
      <c r="B3326" s="5" t="s">
        <v>1092</v>
      </c>
      <c r="C3326" s="3" t="s">
        <v>337</v>
      </c>
      <c r="D3326" s="5" t="s">
        <v>114</v>
      </c>
      <c r="E3326" s="5" t="s">
        <v>112</v>
      </c>
      <c r="F3326" s="6" t="s">
        <v>110</v>
      </c>
      <c r="G3326" s="4" t="s">
        <v>2</v>
      </c>
      <c r="H3326" s="25">
        <v>0</v>
      </c>
      <c r="I3326" s="8">
        <v>0</v>
      </c>
      <c r="J3326" s="9">
        <v>0</v>
      </c>
      <c r="K3326" s="7">
        <v>0</v>
      </c>
      <c r="L3326" s="24">
        <f>+Tabla2[[#This Row],[Stock Inventario]]*Tabla2[[#This Row],[Coste LÃ­nea]]</f>
        <v>0</v>
      </c>
      <c r="M3326" s="24">
        <f>+Tabla2[[#This Row],[Variación Stock]]*Tabla2[[#This Row],[Coste LÃ­nea]]</f>
        <v>0</v>
      </c>
      <c r="N3326" s="22" t="str">
        <f>+IF(Tabla2[[#This Row],[Variación Stock]]&gt;0,"Sobrante",IF(Tabla2[[#This Row],[Variación Stock]]&lt;0,"Faltante","Sin novedad"))</f>
        <v>Sin novedad</v>
      </c>
    </row>
    <row r="3327" spans="1:14" x14ac:dyDescent="0.25">
      <c r="A3327" s="11">
        <v>46065</v>
      </c>
      <c r="B3327" s="5" t="s">
        <v>1092</v>
      </c>
      <c r="C3327" s="3" t="s">
        <v>337</v>
      </c>
      <c r="D3327" s="5" t="s">
        <v>111</v>
      </c>
      <c r="E3327" s="5" t="s">
        <v>112</v>
      </c>
      <c r="F3327" s="6" t="s">
        <v>24</v>
      </c>
      <c r="G3327" s="4" t="s">
        <v>0</v>
      </c>
      <c r="H3327" s="25">
        <v>3359.40909091</v>
      </c>
      <c r="I3327" s="8">
        <v>19.34</v>
      </c>
      <c r="J3327" s="9">
        <v>20</v>
      </c>
      <c r="K3327" s="7">
        <v>0.66</v>
      </c>
      <c r="L3327" s="24">
        <f>+Tabla2[[#This Row],[Stock Inventario]]*Tabla2[[#This Row],[Coste LÃ­nea]]</f>
        <v>67188.181818199999</v>
      </c>
      <c r="M3327" s="24">
        <f>+Tabla2[[#This Row],[Variación Stock]]*Tabla2[[#This Row],[Coste LÃ­nea]]</f>
        <v>2217.2100000006003</v>
      </c>
      <c r="N3327" s="22" t="str">
        <f>+IF(Tabla2[[#This Row],[Variación Stock]]&gt;0,"Sobrante",IF(Tabla2[[#This Row],[Variación Stock]]&lt;0,"Faltante","Sin novedad"))</f>
        <v>Sobrante</v>
      </c>
    </row>
    <row r="3328" spans="1:14" x14ac:dyDescent="0.25">
      <c r="A3328" s="11">
        <v>46065</v>
      </c>
      <c r="B3328" s="5" t="s">
        <v>1092</v>
      </c>
      <c r="C3328" s="3" t="s">
        <v>337</v>
      </c>
      <c r="D3328" s="5" t="s">
        <v>118</v>
      </c>
      <c r="E3328" s="5" t="s">
        <v>112</v>
      </c>
      <c r="F3328" s="6" t="s">
        <v>311</v>
      </c>
      <c r="G3328" s="4" t="s">
        <v>2</v>
      </c>
      <c r="H3328" s="25">
        <v>79652</v>
      </c>
      <c r="I3328" s="8">
        <v>1</v>
      </c>
      <c r="J3328" s="9">
        <v>1</v>
      </c>
      <c r="K3328" s="7">
        <v>0</v>
      </c>
      <c r="L3328" s="24">
        <f>+Tabla2[[#This Row],[Stock Inventario]]*Tabla2[[#This Row],[Coste LÃ­nea]]</f>
        <v>79652</v>
      </c>
      <c r="M3328" s="24">
        <f>+Tabla2[[#This Row],[Variación Stock]]*Tabla2[[#This Row],[Coste LÃ­nea]]</f>
        <v>0</v>
      </c>
      <c r="N3328" s="22" t="str">
        <f>+IF(Tabla2[[#This Row],[Variación Stock]]&gt;0,"Sobrante",IF(Tabla2[[#This Row],[Variación Stock]]&lt;0,"Faltante","Sin novedad"))</f>
        <v>Sin novedad</v>
      </c>
    </row>
    <row r="3329" spans="1:14" x14ac:dyDescent="0.25">
      <c r="A3329" s="11">
        <v>46065</v>
      </c>
      <c r="B3329" s="5" t="s">
        <v>1092</v>
      </c>
      <c r="C3329" s="3" t="s">
        <v>337</v>
      </c>
      <c r="D3329" s="5" t="s">
        <v>122</v>
      </c>
      <c r="E3329" s="5" t="s">
        <v>112</v>
      </c>
      <c r="F3329" s="6" t="s">
        <v>109</v>
      </c>
      <c r="G3329" s="4" t="s">
        <v>2</v>
      </c>
      <c r="H3329" s="25">
        <v>4166.5672268300004</v>
      </c>
      <c r="I3329" s="8">
        <v>8</v>
      </c>
      <c r="J3329" s="9">
        <v>0</v>
      </c>
      <c r="K3329" s="7">
        <v>-8</v>
      </c>
      <c r="L3329" s="24">
        <f>+Tabla2[[#This Row],[Stock Inventario]]*Tabla2[[#This Row],[Coste LÃ­nea]]</f>
        <v>0</v>
      </c>
      <c r="M3329" s="24">
        <f>+Tabla2[[#This Row],[Variación Stock]]*Tabla2[[#This Row],[Coste LÃ­nea]]</f>
        <v>-33332.537814640003</v>
      </c>
      <c r="N3329" s="22" t="str">
        <f>+IF(Tabla2[[#This Row],[Variación Stock]]&gt;0,"Sobrante",IF(Tabla2[[#This Row],[Variación Stock]]&lt;0,"Faltante","Sin novedad"))</f>
        <v>Faltante</v>
      </c>
    </row>
    <row r="3330" spans="1:14" x14ac:dyDescent="0.25">
      <c r="A3330" s="11">
        <v>46065</v>
      </c>
      <c r="B3330" s="5" t="s">
        <v>1092</v>
      </c>
      <c r="C3330" s="3" t="s">
        <v>337</v>
      </c>
      <c r="D3330" s="5" t="s">
        <v>111</v>
      </c>
      <c r="E3330" s="5" t="s">
        <v>112</v>
      </c>
      <c r="F3330" s="6" t="s">
        <v>288</v>
      </c>
      <c r="G3330" s="4" t="s">
        <v>0</v>
      </c>
      <c r="H3330" s="25">
        <v>4795.4545454500003</v>
      </c>
      <c r="I3330" s="8">
        <v>40</v>
      </c>
      <c r="J3330" s="9">
        <v>53</v>
      </c>
      <c r="K3330" s="7">
        <v>13</v>
      </c>
      <c r="L3330" s="24">
        <f>+Tabla2[[#This Row],[Stock Inventario]]*Tabla2[[#This Row],[Coste LÃ­nea]]</f>
        <v>254159.09090885002</v>
      </c>
      <c r="M3330" s="24">
        <f>+Tabla2[[#This Row],[Variación Stock]]*Tabla2[[#This Row],[Coste LÃ­nea]]</f>
        <v>62340.909090850007</v>
      </c>
      <c r="N3330" s="22" t="str">
        <f>+IF(Tabla2[[#This Row],[Variación Stock]]&gt;0,"Sobrante",IF(Tabla2[[#This Row],[Variación Stock]]&lt;0,"Faltante","Sin novedad"))</f>
        <v>Sobrante</v>
      </c>
    </row>
    <row r="3331" spans="1:14" x14ac:dyDescent="0.25">
      <c r="A3331" s="11">
        <v>46065</v>
      </c>
      <c r="B3331" s="5" t="s">
        <v>1092</v>
      </c>
      <c r="C3331" s="3" t="s">
        <v>337</v>
      </c>
      <c r="D3331" s="5" t="s">
        <v>118</v>
      </c>
      <c r="E3331" s="5" t="s">
        <v>112</v>
      </c>
      <c r="F3331" s="6" t="s">
        <v>294</v>
      </c>
      <c r="G3331" s="4" t="s">
        <v>2</v>
      </c>
      <c r="H3331" s="25">
        <v>22425</v>
      </c>
      <c r="I3331" s="8">
        <v>0</v>
      </c>
      <c r="J3331" s="9">
        <v>0</v>
      </c>
      <c r="K3331" s="7">
        <v>0</v>
      </c>
      <c r="L3331" s="24">
        <f>+Tabla2[[#This Row],[Stock Inventario]]*Tabla2[[#This Row],[Coste LÃ­nea]]</f>
        <v>0</v>
      </c>
      <c r="M3331" s="24">
        <f>+Tabla2[[#This Row],[Variación Stock]]*Tabla2[[#This Row],[Coste LÃ­nea]]</f>
        <v>0</v>
      </c>
      <c r="N3331" s="22" t="str">
        <f>+IF(Tabla2[[#This Row],[Variación Stock]]&gt;0,"Sobrante",IF(Tabla2[[#This Row],[Variación Stock]]&lt;0,"Faltante","Sin novedad"))</f>
        <v>Sin novedad</v>
      </c>
    </row>
    <row r="3332" spans="1:14" x14ac:dyDescent="0.25">
      <c r="A3332" s="11">
        <v>46065</v>
      </c>
      <c r="B3332" s="5" t="s">
        <v>1092</v>
      </c>
      <c r="C3332" s="3" t="s">
        <v>337</v>
      </c>
      <c r="D3332" s="5" t="s">
        <v>115</v>
      </c>
      <c r="E3332" s="5" t="s">
        <v>112</v>
      </c>
      <c r="F3332" s="6" t="s">
        <v>291</v>
      </c>
      <c r="G3332" s="4" t="s">
        <v>2</v>
      </c>
      <c r="H3332" s="25">
        <v>4102.8666666700001</v>
      </c>
      <c r="I3332" s="8">
        <v>29</v>
      </c>
      <c r="J3332" s="9">
        <v>29</v>
      </c>
      <c r="K3332" s="7">
        <v>0</v>
      </c>
      <c r="L3332" s="24">
        <f>+Tabla2[[#This Row],[Stock Inventario]]*Tabla2[[#This Row],[Coste LÃ­nea]]</f>
        <v>118983.13333343</v>
      </c>
      <c r="M3332" s="24">
        <f>+Tabla2[[#This Row],[Variación Stock]]*Tabla2[[#This Row],[Coste LÃ­nea]]</f>
        <v>0</v>
      </c>
      <c r="N3332" s="22" t="str">
        <f>+IF(Tabla2[[#This Row],[Variación Stock]]&gt;0,"Sobrante",IF(Tabla2[[#This Row],[Variación Stock]]&lt;0,"Faltante","Sin novedad"))</f>
        <v>Sin novedad</v>
      </c>
    </row>
    <row r="3333" spans="1:14" x14ac:dyDescent="0.25">
      <c r="A3333" s="11">
        <v>46065</v>
      </c>
      <c r="B3333" s="5" t="s">
        <v>1092</v>
      </c>
      <c r="C3333" s="3" t="s">
        <v>337</v>
      </c>
      <c r="D3333" s="5" t="s">
        <v>111</v>
      </c>
      <c r="E3333" s="5" t="s">
        <v>112</v>
      </c>
      <c r="F3333" s="6" t="s">
        <v>37</v>
      </c>
      <c r="G3333" s="4" t="s">
        <v>0</v>
      </c>
      <c r="H3333" s="25">
        <v>4668.5</v>
      </c>
      <c r="I3333" s="8">
        <v>49</v>
      </c>
      <c r="J3333" s="9">
        <v>49</v>
      </c>
      <c r="K3333" s="7">
        <v>0</v>
      </c>
      <c r="L3333" s="24">
        <f>+Tabla2[[#This Row],[Stock Inventario]]*Tabla2[[#This Row],[Coste LÃ­nea]]</f>
        <v>228756.5</v>
      </c>
      <c r="M3333" s="24">
        <f>+Tabla2[[#This Row],[Variación Stock]]*Tabla2[[#This Row],[Coste LÃ­nea]]</f>
        <v>0</v>
      </c>
      <c r="N3333" s="22" t="str">
        <f>+IF(Tabla2[[#This Row],[Variación Stock]]&gt;0,"Sobrante",IF(Tabla2[[#This Row],[Variación Stock]]&lt;0,"Faltante","Sin novedad"))</f>
        <v>Sin novedad</v>
      </c>
    </row>
    <row r="3334" spans="1:14" hidden="1" x14ac:dyDescent="0.25">
      <c r="A3334" s="11">
        <v>46065</v>
      </c>
      <c r="B3334" s="5" t="s">
        <v>1092</v>
      </c>
      <c r="C3334" s="3" t="s">
        <v>337</v>
      </c>
      <c r="D3334" s="5" t="s">
        <v>120</v>
      </c>
      <c r="E3334" s="5" t="s">
        <v>117</v>
      </c>
      <c r="F3334" s="6" t="s">
        <v>320</v>
      </c>
      <c r="G3334" s="4" t="s">
        <v>2</v>
      </c>
      <c r="H3334" s="25">
        <v>6457.8215472000002</v>
      </c>
      <c r="I3334" s="8">
        <v>12</v>
      </c>
      <c r="J3334" s="9">
        <v>12</v>
      </c>
      <c r="K3334" s="7">
        <v>0</v>
      </c>
      <c r="L3334" s="24">
        <f>+Tabla2[[#This Row],[Stock Inventario]]*Tabla2[[#This Row],[Coste LÃ­nea]]</f>
        <v>77493.858566399998</v>
      </c>
      <c r="M3334" s="24">
        <f>+Tabla2[[#This Row],[Variación Stock]]*Tabla2[[#This Row],[Coste LÃ­nea]]</f>
        <v>0</v>
      </c>
      <c r="N3334" s="22" t="str">
        <f>+IF(Tabla2[[#This Row],[Variación Stock]]&gt;0,"Sobrante",IF(Tabla2[[#This Row],[Variación Stock]]&lt;0,"Faltante","Sin novedad"))</f>
        <v>Sin novedad</v>
      </c>
    </row>
    <row r="3335" spans="1:14" x14ac:dyDescent="0.25">
      <c r="A3335" s="11">
        <v>46065</v>
      </c>
      <c r="B3335" s="5" t="s">
        <v>1092</v>
      </c>
      <c r="C3335" s="3" t="s">
        <v>337</v>
      </c>
      <c r="D3335" s="5" t="s">
        <v>118</v>
      </c>
      <c r="E3335" s="5" t="s">
        <v>112</v>
      </c>
      <c r="F3335" s="6" t="s">
        <v>86</v>
      </c>
      <c r="G3335" s="4" t="s">
        <v>81</v>
      </c>
      <c r="H3335" s="25">
        <v>9855</v>
      </c>
      <c r="I3335" s="8">
        <v>10</v>
      </c>
      <c r="J3335" s="9">
        <v>10</v>
      </c>
      <c r="K3335" s="7">
        <v>0</v>
      </c>
      <c r="L3335" s="24">
        <f>+Tabla2[[#This Row],[Stock Inventario]]*Tabla2[[#This Row],[Coste LÃ­nea]]</f>
        <v>98550</v>
      </c>
      <c r="M3335" s="24">
        <f>+Tabla2[[#This Row],[Variación Stock]]*Tabla2[[#This Row],[Coste LÃ­nea]]</f>
        <v>0</v>
      </c>
      <c r="N3335" s="22" t="str">
        <f>+IF(Tabla2[[#This Row],[Variación Stock]]&gt;0,"Sobrante",IF(Tabla2[[#This Row],[Variación Stock]]&lt;0,"Faltante","Sin novedad"))</f>
        <v>Sin novedad</v>
      </c>
    </row>
    <row r="3336" spans="1:14" x14ac:dyDescent="0.25">
      <c r="A3336" s="11">
        <v>46065</v>
      </c>
      <c r="B3336" s="5" t="s">
        <v>1092</v>
      </c>
      <c r="C3336" s="3" t="s">
        <v>337</v>
      </c>
      <c r="D3336" s="5" t="s">
        <v>122</v>
      </c>
      <c r="E3336" s="5" t="s">
        <v>112</v>
      </c>
      <c r="F3336" s="6" t="s">
        <v>97</v>
      </c>
      <c r="G3336" s="4" t="s">
        <v>2</v>
      </c>
      <c r="H3336" s="25">
        <v>1234.3916666699999</v>
      </c>
      <c r="I3336" s="8">
        <v>26</v>
      </c>
      <c r="J3336" s="9">
        <v>86</v>
      </c>
      <c r="K3336" s="7">
        <v>60</v>
      </c>
      <c r="L3336" s="24">
        <f>+Tabla2[[#This Row],[Stock Inventario]]*Tabla2[[#This Row],[Coste LÃ­nea]]</f>
        <v>106157.68333361999</v>
      </c>
      <c r="M3336" s="24">
        <f>+Tabla2[[#This Row],[Variación Stock]]*Tabla2[[#This Row],[Coste LÃ­nea]]</f>
        <v>74063.500000200002</v>
      </c>
      <c r="N3336" s="22" t="str">
        <f>+IF(Tabla2[[#This Row],[Variación Stock]]&gt;0,"Sobrante",IF(Tabla2[[#This Row],[Variación Stock]]&lt;0,"Faltante","Sin novedad"))</f>
        <v>Sobrante</v>
      </c>
    </row>
    <row r="3337" spans="1:14" x14ac:dyDescent="0.25">
      <c r="A3337" s="11">
        <v>46065</v>
      </c>
      <c r="B3337" s="5" t="s">
        <v>1092</v>
      </c>
      <c r="C3337" s="3" t="s">
        <v>337</v>
      </c>
      <c r="D3337" s="5" t="s">
        <v>111</v>
      </c>
      <c r="E3337" s="5" t="s">
        <v>112</v>
      </c>
      <c r="F3337" s="6" t="s">
        <v>41</v>
      </c>
      <c r="G3337" s="4" t="s">
        <v>0</v>
      </c>
      <c r="H3337" s="25">
        <v>2904.0416666699998</v>
      </c>
      <c r="I3337" s="8">
        <v>36.340000000000003</v>
      </c>
      <c r="J3337" s="9">
        <v>41</v>
      </c>
      <c r="K3337" s="7">
        <v>4.66</v>
      </c>
      <c r="L3337" s="24">
        <f>+Tabla2[[#This Row],[Stock Inventario]]*Tabla2[[#This Row],[Coste LÃ­nea]]</f>
        <v>119065.70833346999</v>
      </c>
      <c r="M3337" s="24">
        <f>+Tabla2[[#This Row],[Variación Stock]]*Tabla2[[#This Row],[Coste LÃ­nea]]</f>
        <v>13532.8341666822</v>
      </c>
      <c r="N3337" s="22" t="str">
        <f>+IF(Tabla2[[#This Row],[Variación Stock]]&gt;0,"Sobrante",IF(Tabla2[[#This Row],[Variación Stock]]&lt;0,"Faltante","Sin novedad"))</f>
        <v>Sobrante</v>
      </c>
    </row>
    <row r="3338" spans="1:14" x14ac:dyDescent="0.25">
      <c r="A3338" s="11">
        <v>46065</v>
      </c>
      <c r="B3338" s="5" t="s">
        <v>1092</v>
      </c>
      <c r="C3338" s="3" t="s">
        <v>337</v>
      </c>
      <c r="D3338" s="5" t="s">
        <v>114</v>
      </c>
      <c r="E3338" s="5" t="s">
        <v>112</v>
      </c>
      <c r="F3338" s="6" t="s">
        <v>148</v>
      </c>
      <c r="G3338" s="4" t="s">
        <v>2</v>
      </c>
      <c r="H3338" s="25">
        <v>0</v>
      </c>
      <c r="I3338" s="8">
        <v>-0.56999999999999995</v>
      </c>
      <c r="J3338" s="9">
        <v>0</v>
      </c>
      <c r="K3338" s="7">
        <v>0.56999999999999995</v>
      </c>
      <c r="L3338" s="24">
        <f>+Tabla2[[#This Row],[Stock Inventario]]*Tabla2[[#This Row],[Coste LÃ­nea]]</f>
        <v>0</v>
      </c>
      <c r="M3338" s="24">
        <f>+Tabla2[[#This Row],[Variación Stock]]*Tabla2[[#This Row],[Coste LÃ­nea]]</f>
        <v>0</v>
      </c>
      <c r="N3338" s="22" t="str">
        <f>+IF(Tabla2[[#This Row],[Variación Stock]]&gt;0,"Sobrante",IF(Tabla2[[#This Row],[Variación Stock]]&lt;0,"Faltante","Sin novedad"))</f>
        <v>Sobrante</v>
      </c>
    </row>
    <row r="3339" spans="1:14" x14ac:dyDescent="0.25">
      <c r="A3339" s="11">
        <v>46065</v>
      </c>
      <c r="B3339" s="5" t="s">
        <v>1092</v>
      </c>
      <c r="C3339" s="3" t="s">
        <v>337</v>
      </c>
      <c r="D3339" s="5" t="s">
        <v>118</v>
      </c>
      <c r="E3339" s="5" t="s">
        <v>112</v>
      </c>
      <c r="F3339" s="6" t="s">
        <v>296</v>
      </c>
      <c r="G3339" s="4" t="s">
        <v>2</v>
      </c>
      <c r="H3339" s="25">
        <v>28357</v>
      </c>
      <c r="I3339" s="8">
        <v>1</v>
      </c>
      <c r="J3339" s="9">
        <v>1</v>
      </c>
      <c r="K3339" s="7">
        <v>0</v>
      </c>
      <c r="L3339" s="24">
        <f>+Tabla2[[#This Row],[Stock Inventario]]*Tabla2[[#This Row],[Coste LÃ­nea]]</f>
        <v>28357</v>
      </c>
      <c r="M3339" s="24">
        <f>+Tabla2[[#This Row],[Variación Stock]]*Tabla2[[#This Row],[Coste LÃ­nea]]</f>
        <v>0</v>
      </c>
      <c r="N3339" s="22" t="str">
        <f>+IF(Tabla2[[#This Row],[Variación Stock]]&gt;0,"Sobrante",IF(Tabla2[[#This Row],[Variación Stock]]&lt;0,"Faltante","Sin novedad"))</f>
        <v>Sin novedad</v>
      </c>
    </row>
    <row r="3340" spans="1:14" x14ac:dyDescent="0.25">
      <c r="A3340" s="11">
        <v>46065</v>
      </c>
      <c r="B3340" s="5" t="s">
        <v>1092</v>
      </c>
      <c r="C3340" s="3" t="s">
        <v>337</v>
      </c>
      <c r="D3340" s="5" t="s">
        <v>111</v>
      </c>
      <c r="E3340" s="5" t="s">
        <v>112</v>
      </c>
      <c r="F3340" s="6" t="s">
        <v>50</v>
      </c>
      <c r="G3340" s="4" t="s">
        <v>0</v>
      </c>
      <c r="H3340" s="25">
        <v>1809.40909091</v>
      </c>
      <c r="I3340" s="8">
        <v>41</v>
      </c>
      <c r="J3340" s="9">
        <v>43</v>
      </c>
      <c r="K3340" s="7">
        <v>2</v>
      </c>
      <c r="L3340" s="24">
        <f>+Tabla2[[#This Row],[Stock Inventario]]*Tabla2[[#This Row],[Coste LÃ­nea]]</f>
        <v>77804.590909129998</v>
      </c>
      <c r="M3340" s="24">
        <f>+Tabla2[[#This Row],[Variación Stock]]*Tabla2[[#This Row],[Coste LÃ­nea]]</f>
        <v>3618.8181818200001</v>
      </c>
      <c r="N3340" s="22" t="str">
        <f>+IF(Tabla2[[#This Row],[Variación Stock]]&gt;0,"Sobrante",IF(Tabla2[[#This Row],[Variación Stock]]&lt;0,"Faltante","Sin novedad"))</f>
        <v>Sobrante</v>
      </c>
    </row>
    <row r="3341" spans="1:14" x14ac:dyDescent="0.25">
      <c r="A3341" s="11">
        <v>46065</v>
      </c>
      <c r="B3341" s="5" t="s">
        <v>1092</v>
      </c>
      <c r="C3341" s="3" t="s">
        <v>337</v>
      </c>
      <c r="D3341" s="5" t="s">
        <v>114</v>
      </c>
      <c r="E3341" s="5" t="s">
        <v>112</v>
      </c>
      <c r="F3341" s="6" t="s">
        <v>63</v>
      </c>
      <c r="G3341" s="4" t="s">
        <v>2</v>
      </c>
      <c r="H3341" s="25">
        <v>1395.83333333</v>
      </c>
      <c r="I3341" s="8">
        <v>55</v>
      </c>
      <c r="J3341" s="9">
        <v>55</v>
      </c>
      <c r="K3341" s="7">
        <v>0</v>
      </c>
      <c r="L3341" s="24">
        <f>+Tabla2[[#This Row],[Stock Inventario]]*Tabla2[[#This Row],[Coste LÃ­nea]]</f>
        <v>76770.833333150003</v>
      </c>
      <c r="M3341" s="24">
        <f>+Tabla2[[#This Row],[Variación Stock]]*Tabla2[[#This Row],[Coste LÃ­nea]]</f>
        <v>0</v>
      </c>
      <c r="N3341" s="22" t="str">
        <f>+IF(Tabla2[[#This Row],[Variación Stock]]&gt;0,"Sobrante",IF(Tabla2[[#This Row],[Variación Stock]]&lt;0,"Faltante","Sin novedad"))</f>
        <v>Sin novedad</v>
      </c>
    </row>
    <row r="3342" spans="1:14" x14ac:dyDescent="0.25">
      <c r="A3342" s="11">
        <v>46065</v>
      </c>
      <c r="B3342" s="5" t="s">
        <v>1092</v>
      </c>
      <c r="C3342" s="3" t="s">
        <v>337</v>
      </c>
      <c r="D3342" s="5" t="s">
        <v>118</v>
      </c>
      <c r="E3342" s="5" t="s">
        <v>112</v>
      </c>
      <c r="F3342" s="6" t="s">
        <v>152</v>
      </c>
      <c r="G3342" s="4" t="s">
        <v>2</v>
      </c>
      <c r="H3342" s="25">
        <v>0</v>
      </c>
      <c r="I3342" s="8">
        <v>0</v>
      </c>
      <c r="J3342" s="9">
        <v>0</v>
      </c>
      <c r="K3342" s="7">
        <v>0</v>
      </c>
      <c r="L3342" s="24">
        <f>+Tabla2[[#This Row],[Stock Inventario]]*Tabla2[[#This Row],[Coste LÃ­nea]]</f>
        <v>0</v>
      </c>
      <c r="M3342" s="24">
        <f>+Tabla2[[#This Row],[Variación Stock]]*Tabla2[[#This Row],[Coste LÃ­nea]]</f>
        <v>0</v>
      </c>
      <c r="N3342" s="22" t="str">
        <f>+IF(Tabla2[[#This Row],[Variación Stock]]&gt;0,"Sobrante",IF(Tabla2[[#This Row],[Variación Stock]]&lt;0,"Faltante","Sin novedad"))</f>
        <v>Sin novedad</v>
      </c>
    </row>
    <row r="3343" spans="1:14" x14ac:dyDescent="0.25">
      <c r="A3343" s="11">
        <v>46065</v>
      </c>
      <c r="B3343" s="5" t="s">
        <v>1092</v>
      </c>
      <c r="C3343" s="3" t="s">
        <v>337</v>
      </c>
      <c r="D3343" s="5" t="s">
        <v>111</v>
      </c>
      <c r="E3343" s="5" t="s">
        <v>112</v>
      </c>
      <c r="F3343" s="6" t="s">
        <v>55</v>
      </c>
      <c r="G3343" s="4" t="s">
        <v>0</v>
      </c>
      <c r="H3343" s="25">
        <v>3185.3636363599999</v>
      </c>
      <c r="I3343" s="8">
        <v>24</v>
      </c>
      <c r="J3343" s="9">
        <v>26</v>
      </c>
      <c r="K3343" s="7">
        <v>2</v>
      </c>
      <c r="L3343" s="24">
        <f>+Tabla2[[#This Row],[Stock Inventario]]*Tabla2[[#This Row],[Coste LÃ­nea]]</f>
        <v>82819.45454536</v>
      </c>
      <c r="M3343" s="24">
        <f>+Tabla2[[#This Row],[Variación Stock]]*Tabla2[[#This Row],[Coste LÃ­nea]]</f>
        <v>6370.7272727199997</v>
      </c>
      <c r="N3343" s="22" t="str">
        <f>+IF(Tabla2[[#This Row],[Variación Stock]]&gt;0,"Sobrante",IF(Tabla2[[#This Row],[Variación Stock]]&lt;0,"Faltante","Sin novedad"))</f>
        <v>Sobrante</v>
      </c>
    </row>
    <row r="3344" spans="1:14" x14ac:dyDescent="0.25">
      <c r="A3344" s="11">
        <v>46065</v>
      </c>
      <c r="B3344" s="5" t="s">
        <v>1092</v>
      </c>
      <c r="C3344" s="3" t="s">
        <v>337</v>
      </c>
      <c r="D3344" s="5" t="s">
        <v>114</v>
      </c>
      <c r="E3344" s="5" t="s">
        <v>112</v>
      </c>
      <c r="F3344" s="6" t="s">
        <v>373</v>
      </c>
      <c r="G3344" s="4" t="s">
        <v>2</v>
      </c>
      <c r="H3344" s="25">
        <v>2120.83</v>
      </c>
      <c r="I3344" s="8">
        <v>0</v>
      </c>
      <c r="J3344" s="9">
        <v>0</v>
      </c>
      <c r="K3344" s="7">
        <v>0</v>
      </c>
      <c r="L3344" s="24">
        <f>+Tabla2[[#This Row],[Stock Inventario]]*Tabla2[[#This Row],[Coste LÃ­nea]]</f>
        <v>0</v>
      </c>
      <c r="M3344" s="24">
        <f>+Tabla2[[#This Row],[Variación Stock]]*Tabla2[[#This Row],[Coste LÃ­nea]]</f>
        <v>0</v>
      </c>
      <c r="N3344" s="22" t="str">
        <f>+IF(Tabla2[[#This Row],[Variación Stock]]&gt;0,"Sobrante",IF(Tabla2[[#This Row],[Variación Stock]]&lt;0,"Faltante","Sin novedad"))</f>
        <v>Sin novedad</v>
      </c>
    </row>
    <row r="3345" spans="1:14" x14ac:dyDescent="0.25">
      <c r="A3345" s="11">
        <v>46065</v>
      </c>
      <c r="B3345" s="5" t="s">
        <v>1092</v>
      </c>
      <c r="C3345" s="3" t="s">
        <v>337</v>
      </c>
      <c r="D3345" s="5" t="s">
        <v>111</v>
      </c>
      <c r="E3345" s="5" t="s">
        <v>112</v>
      </c>
      <c r="F3345" s="6" t="s">
        <v>23</v>
      </c>
      <c r="G3345" s="4" t="s">
        <v>0</v>
      </c>
      <c r="H3345" s="25">
        <v>4724.9090909099996</v>
      </c>
      <c r="I3345" s="8">
        <v>16.5</v>
      </c>
      <c r="J3345" s="9">
        <v>18</v>
      </c>
      <c r="K3345" s="7">
        <v>1.5</v>
      </c>
      <c r="L3345" s="24">
        <f>+Tabla2[[#This Row],[Stock Inventario]]*Tabla2[[#This Row],[Coste LÃ­nea]]</f>
        <v>85048.363636379989</v>
      </c>
      <c r="M3345" s="24">
        <f>+Tabla2[[#This Row],[Variación Stock]]*Tabla2[[#This Row],[Coste LÃ­nea]]</f>
        <v>7087.3636363649994</v>
      </c>
      <c r="N3345" s="22" t="str">
        <f>+IF(Tabla2[[#This Row],[Variación Stock]]&gt;0,"Sobrante",IF(Tabla2[[#This Row],[Variación Stock]]&lt;0,"Faltante","Sin novedad"))</f>
        <v>Sobrante</v>
      </c>
    </row>
    <row r="3346" spans="1:14" hidden="1" x14ac:dyDescent="0.25">
      <c r="A3346" s="11">
        <v>46065</v>
      </c>
      <c r="B3346" s="5" t="s">
        <v>1092</v>
      </c>
      <c r="C3346" s="3" t="s">
        <v>337</v>
      </c>
      <c r="D3346" s="5" t="s">
        <v>323</v>
      </c>
      <c r="E3346" s="5" t="s">
        <v>117</v>
      </c>
      <c r="F3346" s="6" t="s">
        <v>324</v>
      </c>
      <c r="G3346" s="4" t="s">
        <v>2</v>
      </c>
      <c r="H3346" s="25">
        <v>4833.0366379300003</v>
      </c>
      <c r="I3346" s="8">
        <v>21</v>
      </c>
      <c r="J3346" s="9">
        <v>21</v>
      </c>
      <c r="K3346" s="7">
        <v>0</v>
      </c>
      <c r="L3346" s="24">
        <f>+Tabla2[[#This Row],[Stock Inventario]]*Tabla2[[#This Row],[Coste LÃ­nea]]</f>
        <v>101493.76939653001</v>
      </c>
      <c r="M3346" s="24">
        <f>+Tabla2[[#This Row],[Variación Stock]]*Tabla2[[#This Row],[Coste LÃ­nea]]</f>
        <v>0</v>
      </c>
      <c r="N3346" s="22" t="str">
        <f>+IF(Tabla2[[#This Row],[Variación Stock]]&gt;0,"Sobrante",IF(Tabla2[[#This Row],[Variación Stock]]&lt;0,"Faltante","Sin novedad"))</f>
        <v>Sin novedad</v>
      </c>
    </row>
    <row r="3347" spans="1:14" x14ac:dyDescent="0.25">
      <c r="A3347" s="11">
        <v>46065</v>
      </c>
      <c r="B3347" s="5" t="s">
        <v>1092</v>
      </c>
      <c r="C3347" s="3" t="s">
        <v>337</v>
      </c>
      <c r="D3347" s="5" t="s">
        <v>118</v>
      </c>
      <c r="E3347" s="5" t="s">
        <v>112</v>
      </c>
      <c r="F3347" s="6" t="s">
        <v>307</v>
      </c>
      <c r="G3347" s="4" t="s">
        <v>81</v>
      </c>
      <c r="H3347" s="25">
        <v>9701.2000000000007</v>
      </c>
      <c r="I3347" s="8">
        <v>30</v>
      </c>
      <c r="J3347" s="9">
        <v>30</v>
      </c>
      <c r="K3347" s="7">
        <v>0</v>
      </c>
      <c r="L3347" s="24">
        <f>+Tabla2[[#This Row],[Stock Inventario]]*Tabla2[[#This Row],[Coste LÃ­nea]]</f>
        <v>291036</v>
      </c>
      <c r="M3347" s="24">
        <f>+Tabla2[[#This Row],[Variación Stock]]*Tabla2[[#This Row],[Coste LÃ­nea]]</f>
        <v>0</v>
      </c>
      <c r="N3347" s="22" t="str">
        <f>+IF(Tabla2[[#This Row],[Variación Stock]]&gt;0,"Sobrante",IF(Tabla2[[#This Row],[Variación Stock]]&lt;0,"Faltante","Sin novedad"))</f>
        <v>Sin novedad</v>
      </c>
    </row>
    <row r="3348" spans="1:14" x14ac:dyDescent="0.25">
      <c r="A3348" s="11">
        <v>46065</v>
      </c>
      <c r="B3348" s="5" t="s">
        <v>1092</v>
      </c>
      <c r="C3348" s="3" t="s">
        <v>337</v>
      </c>
      <c r="D3348" s="5" t="s">
        <v>122</v>
      </c>
      <c r="E3348" s="5" t="s">
        <v>112</v>
      </c>
      <c r="F3348" s="6" t="s">
        <v>107</v>
      </c>
      <c r="G3348" s="4" t="s">
        <v>2</v>
      </c>
      <c r="H3348" s="25">
        <v>3458.3333333300002</v>
      </c>
      <c r="I3348" s="8">
        <v>6</v>
      </c>
      <c r="J3348" s="9">
        <v>6</v>
      </c>
      <c r="K3348" s="7">
        <v>0</v>
      </c>
      <c r="L3348" s="24">
        <f>+Tabla2[[#This Row],[Stock Inventario]]*Tabla2[[#This Row],[Coste LÃ­nea]]</f>
        <v>20749.999999980002</v>
      </c>
      <c r="M3348" s="24">
        <f>+Tabla2[[#This Row],[Variación Stock]]*Tabla2[[#This Row],[Coste LÃ­nea]]</f>
        <v>0</v>
      </c>
      <c r="N3348" s="22" t="str">
        <f>+IF(Tabla2[[#This Row],[Variación Stock]]&gt;0,"Sobrante",IF(Tabla2[[#This Row],[Variación Stock]]&lt;0,"Faltante","Sin novedad"))</f>
        <v>Sin novedad</v>
      </c>
    </row>
    <row r="3349" spans="1:14" x14ac:dyDescent="0.25">
      <c r="A3349" s="11">
        <v>46065</v>
      </c>
      <c r="B3349" s="5" t="s">
        <v>1092</v>
      </c>
      <c r="C3349" s="3" t="s">
        <v>337</v>
      </c>
      <c r="D3349" s="5" t="s">
        <v>118</v>
      </c>
      <c r="E3349" s="5" t="s">
        <v>112</v>
      </c>
      <c r="F3349" s="6" t="s">
        <v>293</v>
      </c>
      <c r="G3349" s="4" t="s">
        <v>2</v>
      </c>
      <c r="H3349" s="25">
        <v>125043</v>
      </c>
      <c r="I3349" s="8">
        <v>2</v>
      </c>
      <c r="J3349" s="9">
        <v>2</v>
      </c>
      <c r="K3349" s="7">
        <v>0</v>
      </c>
      <c r="L3349" s="24">
        <f>+Tabla2[[#This Row],[Stock Inventario]]*Tabla2[[#This Row],[Coste LÃ­nea]]</f>
        <v>250086</v>
      </c>
      <c r="M3349" s="24">
        <f>+Tabla2[[#This Row],[Variación Stock]]*Tabla2[[#This Row],[Coste LÃ­nea]]</f>
        <v>0</v>
      </c>
      <c r="N3349" s="22" t="str">
        <f>+IF(Tabla2[[#This Row],[Variación Stock]]&gt;0,"Sobrante",IF(Tabla2[[#This Row],[Variación Stock]]&lt;0,"Faltante","Sin novedad"))</f>
        <v>Sin novedad</v>
      </c>
    </row>
    <row r="3350" spans="1:14" x14ac:dyDescent="0.25">
      <c r="A3350" s="11">
        <v>46065</v>
      </c>
      <c r="B3350" s="5" t="s">
        <v>1092</v>
      </c>
      <c r="C3350" s="3" t="s">
        <v>337</v>
      </c>
      <c r="D3350" s="5" t="s">
        <v>115</v>
      </c>
      <c r="E3350" s="5" t="s">
        <v>112</v>
      </c>
      <c r="F3350" s="6" t="s">
        <v>77</v>
      </c>
      <c r="G3350" s="4" t="s">
        <v>2</v>
      </c>
      <c r="H3350" s="25">
        <v>2773.5</v>
      </c>
      <c r="I3350" s="8">
        <v>3</v>
      </c>
      <c r="J3350" s="9">
        <v>18</v>
      </c>
      <c r="K3350" s="7">
        <v>15</v>
      </c>
      <c r="L3350" s="24">
        <f>+Tabla2[[#This Row],[Stock Inventario]]*Tabla2[[#This Row],[Coste LÃ­nea]]</f>
        <v>49923</v>
      </c>
      <c r="M3350" s="24">
        <f>+Tabla2[[#This Row],[Variación Stock]]*Tabla2[[#This Row],[Coste LÃ­nea]]</f>
        <v>41602.5</v>
      </c>
      <c r="N3350" s="22" t="str">
        <f>+IF(Tabla2[[#This Row],[Variación Stock]]&gt;0,"Sobrante",IF(Tabla2[[#This Row],[Variación Stock]]&lt;0,"Faltante","Sin novedad"))</f>
        <v>Sobrante</v>
      </c>
    </row>
    <row r="3351" spans="1:14" x14ac:dyDescent="0.25">
      <c r="A3351" s="11">
        <v>46065</v>
      </c>
      <c r="B3351" s="5" t="s">
        <v>1092</v>
      </c>
      <c r="C3351" s="3" t="s">
        <v>337</v>
      </c>
      <c r="D3351" s="5" t="s">
        <v>111</v>
      </c>
      <c r="E3351" s="5" t="s">
        <v>112</v>
      </c>
      <c r="F3351" s="6" t="s">
        <v>138</v>
      </c>
      <c r="G3351" s="4" t="s">
        <v>0</v>
      </c>
      <c r="H3351" s="25">
        <v>4504.1666666700003</v>
      </c>
      <c r="I3351" s="8">
        <v>0</v>
      </c>
      <c r="J3351" s="9">
        <v>0</v>
      </c>
      <c r="K3351" s="7">
        <v>0</v>
      </c>
      <c r="L3351" s="24">
        <f>+Tabla2[[#This Row],[Stock Inventario]]*Tabla2[[#This Row],[Coste LÃ­nea]]</f>
        <v>0</v>
      </c>
      <c r="M3351" s="24">
        <f>+Tabla2[[#This Row],[Variación Stock]]*Tabla2[[#This Row],[Coste LÃ­nea]]</f>
        <v>0</v>
      </c>
      <c r="N3351" s="22" t="str">
        <f>+IF(Tabla2[[#This Row],[Variación Stock]]&gt;0,"Sobrante",IF(Tabla2[[#This Row],[Variación Stock]]&lt;0,"Faltante","Sin novedad"))</f>
        <v>Sin novedad</v>
      </c>
    </row>
    <row r="3352" spans="1:14" x14ac:dyDescent="0.25">
      <c r="A3352" s="11">
        <v>46065</v>
      </c>
      <c r="B3352" s="5" t="s">
        <v>1092</v>
      </c>
      <c r="C3352" s="3" t="s">
        <v>337</v>
      </c>
      <c r="D3352" s="5" t="s">
        <v>118</v>
      </c>
      <c r="E3352" s="5" t="s">
        <v>112</v>
      </c>
      <c r="F3352" s="6" t="s">
        <v>84</v>
      </c>
      <c r="G3352" s="4" t="s">
        <v>81</v>
      </c>
      <c r="H3352" s="25">
        <v>9853.7999999999993</v>
      </c>
      <c r="I3352" s="8">
        <v>0</v>
      </c>
      <c r="J3352" s="9">
        <v>0</v>
      </c>
      <c r="K3352" s="7">
        <v>0</v>
      </c>
      <c r="L3352" s="24">
        <f>+Tabla2[[#This Row],[Stock Inventario]]*Tabla2[[#This Row],[Coste LÃ­nea]]</f>
        <v>0</v>
      </c>
      <c r="M3352" s="24">
        <f>+Tabla2[[#This Row],[Variación Stock]]*Tabla2[[#This Row],[Coste LÃ­nea]]</f>
        <v>0</v>
      </c>
      <c r="N3352" s="22" t="str">
        <f>+IF(Tabla2[[#This Row],[Variación Stock]]&gt;0,"Sobrante",IF(Tabla2[[#This Row],[Variación Stock]]&lt;0,"Faltante","Sin novedad"))</f>
        <v>Sin novedad</v>
      </c>
    </row>
    <row r="3353" spans="1:14" x14ac:dyDescent="0.25">
      <c r="A3353" s="11">
        <v>46065</v>
      </c>
      <c r="B3353" s="5" t="s">
        <v>1092</v>
      </c>
      <c r="C3353" s="3" t="s">
        <v>337</v>
      </c>
      <c r="D3353" s="5" t="s">
        <v>122</v>
      </c>
      <c r="E3353" s="5" t="s">
        <v>112</v>
      </c>
      <c r="F3353" s="6" t="s">
        <v>101</v>
      </c>
      <c r="G3353" s="4" t="s">
        <v>2</v>
      </c>
      <c r="H3353" s="25">
        <v>1408.33333333</v>
      </c>
      <c r="I3353" s="8">
        <v>0</v>
      </c>
      <c r="J3353" s="9">
        <v>20</v>
      </c>
      <c r="K3353" s="7">
        <v>20</v>
      </c>
      <c r="L3353" s="24">
        <f>+Tabla2[[#This Row],[Stock Inventario]]*Tabla2[[#This Row],[Coste LÃ­nea]]</f>
        <v>28166.666666599998</v>
      </c>
      <c r="M3353" s="24">
        <f>+Tabla2[[#This Row],[Variación Stock]]*Tabla2[[#This Row],[Coste LÃ­nea]]</f>
        <v>28166.666666599998</v>
      </c>
      <c r="N3353" s="22" t="str">
        <f>+IF(Tabla2[[#This Row],[Variación Stock]]&gt;0,"Sobrante",IF(Tabla2[[#This Row],[Variación Stock]]&lt;0,"Faltante","Sin novedad"))</f>
        <v>Sobrante</v>
      </c>
    </row>
    <row r="3354" spans="1:14" x14ac:dyDescent="0.25">
      <c r="A3354" s="11">
        <v>46065</v>
      </c>
      <c r="B3354" s="5" t="s">
        <v>1092</v>
      </c>
      <c r="C3354" s="3" t="s">
        <v>337</v>
      </c>
      <c r="D3354" s="5" t="s">
        <v>111</v>
      </c>
      <c r="E3354" s="5" t="s">
        <v>112</v>
      </c>
      <c r="F3354" s="6" t="s">
        <v>32</v>
      </c>
      <c r="G3354" s="4" t="s">
        <v>0</v>
      </c>
      <c r="H3354" s="25">
        <v>8628.9583333299997</v>
      </c>
      <c r="I3354" s="8">
        <v>40</v>
      </c>
      <c r="J3354" s="9">
        <v>38</v>
      </c>
      <c r="K3354" s="7">
        <v>-2</v>
      </c>
      <c r="L3354" s="24">
        <f>+Tabla2[[#This Row],[Stock Inventario]]*Tabla2[[#This Row],[Coste LÃ­nea]]</f>
        <v>327900.41666653997</v>
      </c>
      <c r="M3354" s="24">
        <f>+Tabla2[[#This Row],[Variación Stock]]*Tabla2[[#This Row],[Coste LÃ­nea]]</f>
        <v>-17257.916666659999</v>
      </c>
      <c r="N3354" s="22" t="str">
        <f>+IF(Tabla2[[#This Row],[Variación Stock]]&gt;0,"Sobrante",IF(Tabla2[[#This Row],[Variación Stock]]&lt;0,"Faltante","Sin novedad"))</f>
        <v>Faltante</v>
      </c>
    </row>
    <row r="3355" spans="1:14" x14ac:dyDescent="0.25">
      <c r="A3355" s="11">
        <v>46065</v>
      </c>
      <c r="B3355" s="5" t="s">
        <v>1092</v>
      </c>
      <c r="C3355" s="3" t="s">
        <v>337</v>
      </c>
      <c r="D3355" s="5" t="s">
        <v>114</v>
      </c>
      <c r="E3355" s="5" t="s">
        <v>112</v>
      </c>
      <c r="F3355" s="6" t="s">
        <v>62</v>
      </c>
      <c r="G3355" s="4" t="s">
        <v>2</v>
      </c>
      <c r="H3355" s="25">
        <v>1816.8243405000001</v>
      </c>
      <c r="I3355" s="8">
        <v>47.99</v>
      </c>
      <c r="J3355" s="9">
        <v>48.5</v>
      </c>
      <c r="K3355" s="7">
        <v>0.51</v>
      </c>
      <c r="L3355" s="24">
        <f>+Tabla2[[#This Row],[Stock Inventario]]*Tabla2[[#This Row],[Coste LÃ­nea]]</f>
        <v>88115.980514249997</v>
      </c>
      <c r="M3355" s="24">
        <f>+Tabla2[[#This Row],[Variación Stock]]*Tabla2[[#This Row],[Coste LÃ­nea]]</f>
        <v>926.58041365500003</v>
      </c>
      <c r="N3355" s="22" t="str">
        <f>+IF(Tabla2[[#This Row],[Variación Stock]]&gt;0,"Sobrante",IF(Tabla2[[#This Row],[Variación Stock]]&lt;0,"Faltante","Sin novedad"))</f>
        <v>Sobrante</v>
      </c>
    </row>
    <row r="3356" spans="1:14" x14ac:dyDescent="0.25">
      <c r="A3356" s="11">
        <v>46065</v>
      </c>
      <c r="B3356" s="5" t="s">
        <v>1092</v>
      </c>
      <c r="C3356" s="3" t="s">
        <v>337</v>
      </c>
      <c r="D3356" s="5" t="s">
        <v>111</v>
      </c>
      <c r="E3356" s="5" t="s">
        <v>112</v>
      </c>
      <c r="F3356" s="6" t="s">
        <v>27</v>
      </c>
      <c r="G3356" s="4" t="s">
        <v>0</v>
      </c>
      <c r="H3356" s="25">
        <v>7154.55</v>
      </c>
      <c r="I3356" s="8">
        <v>16</v>
      </c>
      <c r="J3356" s="9">
        <v>16</v>
      </c>
      <c r="K3356" s="7">
        <v>0</v>
      </c>
      <c r="L3356" s="24">
        <f>+Tabla2[[#This Row],[Stock Inventario]]*Tabla2[[#This Row],[Coste LÃ­nea]]</f>
        <v>114472.8</v>
      </c>
      <c r="M3356" s="24">
        <f>+Tabla2[[#This Row],[Variación Stock]]*Tabla2[[#This Row],[Coste LÃ­nea]]</f>
        <v>0</v>
      </c>
      <c r="N3356" s="22" t="str">
        <f>+IF(Tabla2[[#This Row],[Variación Stock]]&gt;0,"Sobrante",IF(Tabla2[[#This Row],[Variación Stock]]&lt;0,"Faltante","Sin novedad"))</f>
        <v>Sin novedad</v>
      </c>
    </row>
    <row r="3357" spans="1:14" x14ac:dyDescent="0.25">
      <c r="A3357" s="11">
        <v>46065</v>
      </c>
      <c r="B3357" s="5" t="s">
        <v>1092</v>
      </c>
      <c r="C3357" s="3" t="s">
        <v>337</v>
      </c>
      <c r="D3357" s="5" t="s">
        <v>114</v>
      </c>
      <c r="E3357" s="5" t="s">
        <v>112</v>
      </c>
      <c r="F3357" s="6" t="s">
        <v>147</v>
      </c>
      <c r="G3357" s="4" t="s">
        <v>2</v>
      </c>
      <c r="H3357" s="25">
        <v>3333.3333333300002</v>
      </c>
      <c r="I3357" s="8">
        <v>0</v>
      </c>
      <c r="J3357" s="9">
        <v>0</v>
      </c>
      <c r="K3357" s="7">
        <v>0</v>
      </c>
      <c r="L3357" s="24">
        <f>+Tabla2[[#This Row],[Stock Inventario]]*Tabla2[[#This Row],[Coste LÃ­nea]]</f>
        <v>0</v>
      </c>
      <c r="M3357" s="24">
        <f>+Tabla2[[#This Row],[Variación Stock]]*Tabla2[[#This Row],[Coste LÃ­nea]]</f>
        <v>0</v>
      </c>
      <c r="N3357" s="22" t="str">
        <f>+IF(Tabla2[[#This Row],[Variación Stock]]&gt;0,"Sobrante",IF(Tabla2[[#This Row],[Variación Stock]]&lt;0,"Faltante","Sin novedad"))</f>
        <v>Sin novedad</v>
      </c>
    </row>
    <row r="3358" spans="1:14" x14ac:dyDescent="0.25">
      <c r="A3358" s="11">
        <v>46065</v>
      </c>
      <c r="B3358" s="5" t="s">
        <v>1092</v>
      </c>
      <c r="C3358" s="3" t="s">
        <v>337</v>
      </c>
      <c r="D3358" s="5" t="s">
        <v>118</v>
      </c>
      <c r="E3358" s="5" t="s">
        <v>112</v>
      </c>
      <c r="F3358" s="6" t="s">
        <v>299</v>
      </c>
      <c r="G3358" s="4" t="s">
        <v>2</v>
      </c>
      <c r="H3358" s="25">
        <v>25109.5</v>
      </c>
      <c r="I3358" s="8">
        <v>5</v>
      </c>
      <c r="J3358" s="9">
        <v>3</v>
      </c>
      <c r="K3358" s="7">
        <v>-2</v>
      </c>
      <c r="L3358" s="24">
        <f>+Tabla2[[#This Row],[Stock Inventario]]*Tabla2[[#This Row],[Coste LÃ­nea]]</f>
        <v>75328.5</v>
      </c>
      <c r="M3358" s="24">
        <f>+Tabla2[[#This Row],[Variación Stock]]*Tabla2[[#This Row],[Coste LÃ­nea]]</f>
        <v>-50219</v>
      </c>
      <c r="N3358" s="22" t="str">
        <f>+IF(Tabla2[[#This Row],[Variación Stock]]&gt;0,"Sobrante",IF(Tabla2[[#This Row],[Variación Stock]]&lt;0,"Faltante","Sin novedad"))</f>
        <v>Faltante</v>
      </c>
    </row>
    <row r="3359" spans="1:14" x14ac:dyDescent="0.25">
      <c r="A3359" s="11">
        <v>46065</v>
      </c>
      <c r="B3359" s="5" t="s">
        <v>1092</v>
      </c>
      <c r="C3359" s="3" t="s">
        <v>337</v>
      </c>
      <c r="D3359" s="5" t="s">
        <v>111</v>
      </c>
      <c r="E3359" s="5" t="s">
        <v>112</v>
      </c>
      <c r="F3359" s="6" t="s">
        <v>53</v>
      </c>
      <c r="G3359" s="4" t="s">
        <v>2</v>
      </c>
      <c r="H3359" s="25">
        <v>41250</v>
      </c>
      <c r="I3359" s="8">
        <v>1</v>
      </c>
      <c r="J3359" s="9">
        <v>1</v>
      </c>
      <c r="K3359" s="7">
        <v>0</v>
      </c>
      <c r="L3359" s="24">
        <f>+Tabla2[[#This Row],[Stock Inventario]]*Tabla2[[#This Row],[Coste LÃ­nea]]</f>
        <v>41250</v>
      </c>
      <c r="M3359" s="24">
        <f>+Tabla2[[#This Row],[Variación Stock]]*Tabla2[[#This Row],[Coste LÃ­nea]]</f>
        <v>0</v>
      </c>
      <c r="N3359" s="22" t="str">
        <f>+IF(Tabla2[[#This Row],[Variación Stock]]&gt;0,"Sobrante",IF(Tabla2[[#This Row],[Variación Stock]]&lt;0,"Faltante","Sin novedad"))</f>
        <v>Sin novedad</v>
      </c>
    </row>
    <row r="3360" spans="1:14" x14ac:dyDescent="0.25">
      <c r="A3360" s="11">
        <v>46065</v>
      </c>
      <c r="B3360" s="5" t="s">
        <v>1092</v>
      </c>
      <c r="C3360" s="3" t="s">
        <v>337</v>
      </c>
      <c r="D3360" s="5" t="s">
        <v>111</v>
      </c>
      <c r="E3360" s="5" t="s">
        <v>112</v>
      </c>
      <c r="F3360" s="6" t="s">
        <v>34</v>
      </c>
      <c r="G3360" s="4" t="s">
        <v>0</v>
      </c>
      <c r="H3360" s="25">
        <v>5941.2272727299996</v>
      </c>
      <c r="I3360" s="8">
        <v>58</v>
      </c>
      <c r="J3360" s="9">
        <v>58</v>
      </c>
      <c r="K3360" s="7">
        <v>0</v>
      </c>
      <c r="L3360" s="24">
        <f>+Tabla2[[#This Row],[Stock Inventario]]*Tabla2[[#This Row],[Coste LÃ­nea]]</f>
        <v>344591.18181833997</v>
      </c>
      <c r="M3360" s="24">
        <f>+Tabla2[[#This Row],[Variación Stock]]*Tabla2[[#This Row],[Coste LÃ­nea]]</f>
        <v>0</v>
      </c>
      <c r="N3360" s="22" t="str">
        <f>+IF(Tabla2[[#This Row],[Variación Stock]]&gt;0,"Sobrante",IF(Tabla2[[#This Row],[Variación Stock]]&lt;0,"Faltante","Sin novedad"))</f>
        <v>Sin novedad</v>
      </c>
    </row>
    <row r="3361" spans="1:14" x14ac:dyDescent="0.25">
      <c r="A3361" s="11">
        <v>46065</v>
      </c>
      <c r="B3361" s="5" t="s">
        <v>1092</v>
      </c>
      <c r="C3361" s="3" t="s">
        <v>337</v>
      </c>
      <c r="D3361" s="5" t="s">
        <v>115</v>
      </c>
      <c r="E3361" s="5" t="s">
        <v>112</v>
      </c>
      <c r="F3361" s="6" t="s">
        <v>290</v>
      </c>
      <c r="G3361" s="4" t="s">
        <v>2</v>
      </c>
      <c r="H3361" s="25">
        <v>11900.27777778</v>
      </c>
      <c r="I3361" s="8">
        <v>27</v>
      </c>
      <c r="J3361" s="9">
        <v>27</v>
      </c>
      <c r="K3361" s="7">
        <v>0</v>
      </c>
      <c r="L3361" s="24">
        <f>+Tabla2[[#This Row],[Stock Inventario]]*Tabla2[[#This Row],[Coste LÃ­nea]]</f>
        <v>321307.50000006001</v>
      </c>
      <c r="M3361" s="24">
        <f>+Tabla2[[#This Row],[Variación Stock]]*Tabla2[[#This Row],[Coste LÃ­nea]]</f>
        <v>0</v>
      </c>
      <c r="N3361" s="22" t="str">
        <f>+IF(Tabla2[[#This Row],[Variación Stock]]&gt;0,"Sobrante",IF(Tabla2[[#This Row],[Variación Stock]]&lt;0,"Faltante","Sin novedad"))</f>
        <v>Sin novedad</v>
      </c>
    </row>
    <row r="3362" spans="1:14" x14ac:dyDescent="0.25">
      <c r="A3362" s="11">
        <v>46065</v>
      </c>
      <c r="B3362" s="5" t="s">
        <v>1092</v>
      </c>
      <c r="C3362" s="3" t="s">
        <v>337</v>
      </c>
      <c r="D3362" s="5" t="s">
        <v>111</v>
      </c>
      <c r="E3362" s="5" t="s">
        <v>112</v>
      </c>
      <c r="F3362" s="6" t="s">
        <v>365</v>
      </c>
      <c r="G3362" s="4" t="s">
        <v>0</v>
      </c>
      <c r="H3362" s="25">
        <v>12698.95454545</v>
      </c>
      <c r="I3362" s="8">
        <v>26</v>
      </c>
      <c r="J3362" s="9">
        <v>28</v>
      </c>
      <c r="K3362" s="7">
        <v>2</v>
      </c>
      <c r="L3362" s="24">
        <f>+Tabla2[[#This Row],[Stock Inventario]]*Tabla2[[#This Row],[Coste LÃ­nea]]</f>
        <v>355570.72727259999</v>
      </c>
      <c r="M3362" s="24">
        <f>+Tabla2[[#This Row],[Variación Stock]]*Tabla2[[#This Row],[Coste LÃ­nea]]</f>
        <v>25397.909090900001</v>
      </c>
      <c r="N3362" s="22" t="str">
        <f>+IF(Tabla2[[#This Row],[Variación Stock]]&gt;0,"Sobrante",IF(Tabla2[[#This Row],[Variación Stock]]&lt;0,"Faltante","Sin novedad"))</f>
        <v>Sobrante</v>
      </c>
    </row>
    <row r="3363" spans="1:14" x14ac:dyDescent="0.25">
      <c r="A3363" s="11">
        <v>46065</v>
      </c>
      <c r="B3363" s="5" t="s">
        <v>1092</v>
      </c>
      <c r="C3363" s="3" t="s">
        <v>337</v>
      </c>
      <c r="D3363" s="5" t="s">
        <v>121</v>
      </c>
      <c r="E3363" s="5" t="s">
        <v>112</v>
      </c>
      <c r="F3363" s="6" t="s">
        <v>334</v>
      </c>
      <c r="G3363" s="4" t="s">
        <v>0</v>
      </c>
      <c r="H3363" s="25">
        <v>2164.9723335899998</v>
      </c>
      <c r="I3363" s="8">
        <v>24</v>
      </c>
      <c r="J3363" s="9">
        <v>24</v>
      </c>
      <c r="K3363" s="7">
        <v>0</v>
      </c>
      <c r="L3363" s="24">
        <f>+Tabla2[[#This Row],[Stock Inventario]]*Tabla2[[#This Row],[Coste LÃ­nea]]</f>
        <v>51959.336006159996</v>
      </c>
      <c r="M3363" s="24">
        <f>+Tabla2[[#This Row],[Variación Stock]]*Tabla2[[#This Row],[Coste LÃ­nea]]</f>
        <v>0</v>
      </c>
      <c r="N3363" s="22" t="str">
        <f>+IF(Tabla2[[#This Row],[Variación Stock]]&gt;0,"Sobrante",IF(Tabla2[[#This Row],[Variación Stock]]&lt;0,"Faltante","Sin novedad"))</f>
        <v>Sin novedad</v>
      </c>
    </row>
    <row r="3364" spans="1:14" x14ac:dyDescent="0.25">
      <c r="A3364" s="11">
        <v>46065</v>
      </c>
      <c r="B3364" s="5" t="s">
        <v>1092</v>
      </c>
      <c r="C3364" s="3" t="s">
        <v>337</v>
      </c>
      <c r="D3364" s="5" t="s">
        <v>118</v>
      </c>
      <c r="E3364" s="5" t="s">
        <v>112</v>
      </c>
      <c r="F3364" s="6" t="s">
        <v>375</v>
      </c>
      <c r="G3364" s="4" t="s">
        <v>81</v>
      </c>
      <c r="H3364" s="25">
        <v>9701.1</v>
      </c>
      <c r="I3364" s="8">
        <v>0</v>
      </c>
      <c r="J3364" s="9">
        <v>0</v>
      </c>
      <c r="K3364" s="7">
        <v>0</v>
      </c>
      <c r="L3364" s="24">
        <f>+Tabla2[[#This Row],[Stock Inventario]]*Tabla2[[#This Row],[Coste LÃ­nea]]</f>
        <v>0</v>
      </c>
      <c r="M3364" s="24">
        <f>+Tabla2[[#This Row],[Variación Stock]]*Tabla2[[#This Row],[Coste LÃ­nea]]</f>
        <v>0</v>
      </c>
      <c r="N3364" s="22" t="str">
        <f>+IF(Tabla2[[#This Row],[Variación Stock]]&gt;0,"Sobrante",IF(Tabla2[[#This Row],[Variación Stock]]&lt;0,"Faltante","Sin novedad"))</f>
        <v>Sin novedad</v>
      </c>
    </row>
    <row r="3365" spans="1:14" x14ac:dyDescent="0.25">
      <c r="A3365" s="11">
        <v>46065</v>
      </c>
      <c r="B3365" s="5" t="s">
        <v>1092</v>
      </c>
      <c r="C3365" s="3" t="s">
        <v>337</v>
      </c>
      <c r="D3365" s="5" t="s">
        <v>122</v>
      </c>
      <c r="E3365" s="5" t="s">
        <v>112</v>
      </c>
      <c r="F3365" s="6" t="s">
        <v>105</v>
      </c>
      <c r="G3365" s="4" t="s">
        <v>2</v>
      </c>
      <c r="H3365" s="25">
        <v>4166.7338934999998</v>
      </c>
      <c r="I3365" s="8">
        <v>5</v>
      </c>
      <c r="J3365" s="9">
        <v>5</v>
      </c>
      <c r="K3365" s="7">
        <v>0</v>
      </c>
      <c r="L3365" s="24">
        <f>+Tabla2[[#This Row],[Stock Inventario]]*Tabla2[[#This Row],[Coste LÃ­nea]]</f>
        <v>20833.6694675</v>
      </c>
      <c r="M3365" s="24">
        <f>+Tabla2[[#This Row],[Variación Stock]]*Tabla2[[#This Row],[Coste LÃ­nea]]</f>
        <v>0</v>
      </c>
      <c r="N3365" s="22" t="str">
        <f>+IF(Tabla2[[#This Row],[Variación Stock]]&gt;0,"Sobrante",IF(Tabla2[[#This Row],[Variación Stock]]&lt;0,"Faltante","Sin novedad"))</f>
        <v>Sin novedad</v>
      </c>
    </row>
    <row r="3366" spans="1:14" x14ac:dyDescent="0.25">
      <c r="A3366" s="11">
        <v>46065</v>
      </c>
      <c r="B3366" s="5" t="s">
        <v>1092</v>
      </c>
      <c r="C3366" s="3" t="s">
        <v>337</v>
      </c>
      <c r="D3366" s="5" t="s">
        <v>111</v>
      </c>
      <c r="E3366" s="5" t="s">
        <v>112</v>
      </c>
      <c r="F3366" s="6" t="s">
        <v>48</v>
      </c>
      <c r="G3366" s="4" t="s">
        <v>0</v>
      </c>
      <c r="H3366" s="25">
        <v>1886.3636363600001</v>
      </c>
      <c r="I3366" s="8">
        <v>39</v>
      </c>
      <c r="J3366" s="9">
        <v>39</v>
      </c>
      <c r="K3366" s="7">
        <v>0</v>
      </c>
      <c r="L3366" s="24">
        <f>+Tabla2[[#This Row],[Stock Inventario]]*Tabla2[[#This Row],[Coste LÃ­nea]]</f>
        <v>73568.181818040001</v>
      </c>
      <c r="M3366" s="24">
        <f>+Tabla2[[#This Row],[Variación Stock]]*Tabla2[[#This Row],[Coste LÃ­nea]]</f>
        <v>0</v>
      </c>
      <c r="N3366" s="22" t="str">
        <f>+IF(Tabla2[[#This Row],[Variación Stock]]&gt;0,"Sobrante",IF(Tabla2[[#This Row],[Variación Stock]]&lt;0,"Faltante","Sin novedad"))</f>
        <v>Sin novedad</v>
      </c>
    </row>
    <row r="3367" spans="1:14" hidden="1" x14ac:dyDescent="0.25">
      <c r="A3367" s="11">
        <v>46065</v>
      </c>
      <c r="B3367" s="5" t="s">
        <v>1092</v>
      </c>
      <c r="C3367" s="3" t="s">
        <v>337</v>
      </c>
      <c r="D3367" s="5" t="s">
        <v>119</v>
      </c>
      <c r="E3367" s="5" t="s">
        <v>117</v>
      </c>
      <c r="F3367" s="6" t="s">
        <v>14</v>
      </c>
      <c r="G3367" s="4" t="s">
        <v>1</v>
      </c>
      <c r="H3367" s="25">
        <v>33.499666670000003</v>
      </c>
      <c r="I3367" s="8">
        <v>14000</v>
      </c>
      <c r="J3367" s="9">
        <v>12000</v>
      </c>
      <c r="K3367" s="7">
        <v>-2000</v>
      </c>
      <c r="L3367" s="24">
        <f>+Tabla2[[#This Row],[Stock Inventario]]*Tabla2[[#This Row],[Coste LÃ­nea]]</f>
        <v>401996.00004000001</v>
      </c>
      <c r="M3367" s="24">
        <f>+Tabla2[[#This Row],[Variación Stock]]*Tabla2[[#This Row],[Coste LÃ­nea]]</f>
        <v>-66999.333340000012</v>
      </c>
      <c r="N3367" s="22" t="str">
        <f>+IF(Tabla2[[#This Row],[Variación Stock]]&gt;0,"Sobrante",IF(Tabla2[[#This Row],[Variación Stock]]&lt;0,"Faltante","Sin novedad"))</f>
        <v>Faltante</v>
      </c>
    </row>
    <row r="3368" spans="1:14" hidden="1" x14ac:dyDescent="0.25">
      <c r="A3368" s="11">
        <v>46065</v>
      </c>
      <c r="B3368" s="5" t="s">
        <v>1092</v>
      </c>
      <c r="C3368" s="3" t="s">
        <v>337</v>
      </c>
      <c r="D3368" s="5" t="s">
        <v>120</v>
      </c>
      <c r="E3368" s="5" t="s">
        <v>117</v>
      </c>
      <c r="F3368" s="6" t="s">
        <v>319</v>
      </c>
      <c r="G3368" s="4" t="s">
        <v>2</v>
      </c>
      <c r="H3368" s="25">
        <v>4091.0326780999999</v>
      </c>
      <c r="I3368" s="8">
        <v>2028</v>
      </c>
      <c r="J3368" s="9">
        <v>8</v>
      </c>
      <c r="K3368" s="7">
        <v>-2020</v>
      </c>
      <c r="L3368" s="24">
        <f>+Tabla2[[#This Row],[Stock Inventario]]*Tabla2[[#This Row],[Coste LÃ­nea]]</f>
        <v>32728.261424799999</v>
      </c>
      <c r="M3368" s="24">
        <f>+Tabla2[[#This Row],[Variación Stock]]*Tabla2[[#This Row],[Coste LÃ­nea]]</f>
        <v>-8263886.0097619994</v>
      </c>
      <c r="N3368" s="22" t="str">
        <f>+IF(Tabla2[[#This Row],[Variación Stock]]&gt;0,"Sobrante",IF(Tabla2[[#This Row],[Variación Stock]]&lt;0,"Faltante","Sin novedad"))</f>
        <v>Faltante</v>
      </c>
    </row>
    <row r="3369" spans="1:14" hidden="1" x14ac:dyDescent="0.25">
      <c r="A3369" s="11">
        <v>46065</v>
      </c>
      <c r="B3369" s="5" t="s">
        <v>1092</v>
      </c>
      <c r="C3369" s="3" t="s">
        <v>337</v>
      </c>
      <c r="D3369" s="5" t="s">
        <v>323</v>
      </c>
      <c r="E3369" s="5" t="s">
        <v>117</v>
      </c>
      <c r="F3369" s="6" t="s">
        <v>326</v>
      </c>
      <c r="G3369" s="4" t="s">
        <v>1</v>
      </c>
      <c r="H3369" s="25">
        <v>23.33687085</v>
      </c>
      <c r="I3369" s="8">
        <v>10620</v>
      </c>
      <c r="J3369" s="9">
        <v>8000</v>
      </c>
      <c r="K3369" s="7">
        <v>-2620</v>
      </c>
      <c r="L3369" s="24">
        <f>+Tabla2[[#This Row],[Stock Inventario]]*Tabla2[[#This Row],[Coste LÃ­nea]]</f>
        <v>186694.96679999999</v>
      </c>
      <c r="M3369" s="24">
        <f>+Tabla2[[#This Row],[Variación Stock]]*Tabla2[[#This Row],[Coste LÃ­nea]]</f>
        <v>-61142.601627000004</v>
      </c>
      <c r="N3369" s="22" t="str">
        <f>+IF(Tabla2[[#This Row],[Variación Stock]]&gt;0,"Sobrante",IF(Tabla2[[#This Row],[Variación Stock]]&lt;0,"Faltante","Sin novedad"))</f>
        <v>Faltante</v>
      </c>
    </row>
    <row r="3370" spans="1:14" hidden="1" x14ac:dyDescent="0.25">
      <c r="A3370" s="11">
        <v>46065</v>
      </c>
      <c r="B3370" s="5" t="s">
        <v>1092</v>
      </c>
      <c r="C3370" s="3" t="s">
        <v>337</v>
      </c>
      <c r="D3370" s="5" t="s">
        <v>120</v>
      </c>
      <c r="E3370" s="5" t="s">
        <v>117</v>
      </c>
      <c r="F3370" s="6" t="s">
        <v>313</v>
      </c>
      <c r="G3370" s="4" t="s">
        <v>1</v>
      </c>
      <c r="H3370" s="25">
        <v>118.89991223</v>
      </c>
      <c r="I3370" s="8">
        <v>4216</v>
      </c>
      <c r="J3370" s="9">
        <v>778</v>
      </c>
      <c r="K3370" s="7">
        <v>-3438</v>
      </c>
      <c r="L3370" s="24">
        <f>+Tabla2[[#This Row],[Stock Inventario]]*Tabla2[[#This Row],[Coste LÃ­nea]]</f>
        <v>92504.131714939998</v>
      </c>
      <c r="M3370" s="24">
        <f>+Tabla2[[#This Row],[Variación Stock]]*Tabla2[[#This Row],[Coste LÃ­nea]]</f>
        <v>-408777.89824673999</v>
      </c>
      <c r="N3370" s="22" t="str">
        <f>+IF(Tabla2[[#This Row],[Variación Stock]]&gt;0,"Sobrante",IF(Tabla2[[#This Row],[Variación Stock]]&lt;0,"Faltante","Sin novedad"))</f>
        <v>Faltante</v>
      </c>
    </row>
    <row r="3371" spans="1:14" hidden="1" x14ac:dyDescent="0.25">
      <c r="A3371" s="11">
        <v>46065</v>
      </c>
      <c r="B3371" s="5" t="s">
        <v>1092</v>
      </c>
      <c r="C3371" s="3" t="s">
        <v>337</v>
      </c>
      <c r="D3371" s="5" t="s">
        <v>119</v>
      </c>
      <c r="E3371" s="5" t="s">
        <v>117</v>
      </c>
      <c r="F3371" s="6" t="s">
        <v>8</v>
      </c>
      <c r="G3371" s="4" t="s">
        <v>1</v>
      </c>
      <c r="H3371" s="25">
        <v>51.342281880000002</v>
      </c>
      <c r="I3371" s="8">
        <v>17558.284500000002</v>
      </c>
      <c r="J3371" s="9">
        <v>7832</v>
      </c>
      <c r="K3371" s="7">
        <v>-9726.2845170000001</v>
      </c>
      <c r="L3371" s="24">
        <f>+Tabla2[[#This Row],[Stock Inventario]]*Tabla2[[#This Row],[Coste LÃ­nea]]</f>
        <v>402112.75168416003</v>
      </c>
      <c r="M3371" s="24">
        <f>+Tabla2[[#This Row],[Variación Stock]]*Tabla2[[#This Row],[Coste LÃ­nea]]</f>
        <v>-499369.64131689369</v>
      </c>
      <c r="N3371" s="22" t="str">
        <f>+IF(Tabla2[[#This Row],[Variación Stock]]&gt;0,"Sobrante",IF(Tabla2[[#This Row],[Variación Stock]]&lt;0,"Faltante","Sin novedad"))</f>
        <v>Faltante</v>
      </c>
    </row>
    <row r="3372" spans="1:14" x14ac:dyDescent="0.25">
      <c r="A3372" s="11">
        <v>46037</v>
      </c>
      <c r="B3372" s="5" t="s">
        <v>338</v>
      </c>
      <c r="C3372" s="3" t="s">
        <v>339</v>
      </c>
      <c r="D3372" s="5" t="s">
        <v>111</v>
      </c>
      <c r="E3372" s="5" t="s">
        <v>112</v>
      </c>
      <c r="F3372" s="6" t="s">
        <v>285</v>
      </c>
      <c r="G3372" s="4" t="s">
        <v>2</v>
      </c>
      <c r="H3372" s="25">
        <v>0</v>
      </c>
      <c r="I3372" s="8">
        <v>0</v>
      </c>
      <c r="J3372" s="9">
        <v>0</v>
      </c>
      <c r="K3372" s="7">
        <v>0</v>
      </c>
      <c r="L3372" s="24">
        <f>+Tabla2[[#This Row],[Stock Inventario]]*Tabla2[[#This Row],[Coste LÃ­nea]]</f>
        <v>0</v>
      </c>
      <c r="M3372" s="24">
        <f>+Tabla2[[#This Row],[Variación Stock]]*Tabla2[[#This Row],[Coste LÃ­nea]]</f>
        <v>0</v>
      </c>
      <c r="N3372" s="22" t="str">
        <f>+IF(Tabla2[[#This Row],[Variación Stock]]&gt;0,"Sobrante",IF(Tabla2[[#This Row],[Variación Stock]]&lt;0,"Faltante","Sin novedad"))</f>
        <v>Sin novedad</v>
      </c>
    </row>
    <row r="3373" spans="1:14" x14ac:dyDescent="0.25">
      <c r="A3373" s="11">
        <v>46037</v>
      </c>
      <c r="B3373" s="5" t="s">
        <v>338</v>
      </c>
      <c r="C3373" s="3" t="s">
        <v>339</v>
      </c>
      <c r="D3373" s="5" t="s">
        <v>111</v>
      </c>
      <c r="E3373" s="5" t="s">
        <v>112</v>
      </c>
      <c r="F3373" s="6" t="s">
        <v>286</v>
      </c>
      <c r="G3373" s="4" t="s">
        <v>0</v>
      </c>
      <c r="H3373" s="25">
        <v>0</v>
      </c>
      <c r="I3373" s="8">
        <v>0</v>
      </c>
      <c r="J3373" s="9">
        <v>0</v>
      </c>
      <c r="K3373" s="7">
        <v>0</v>
      </c>
      <c r="L3373" s="24">
        <f>+Tabla2[[#This Row],[Stock Inventario]]*Tabla2[[#This Row],[Coste LÃ­nea]]</f>
        <v>0</v>
      </c>
      <c r="M3373" s="24">
        <f>+Tabla2[[#This Row],[Variación Stock]]*Tabla2[[#This Row],[Coste LÃ­nea]]</f>
        <v>0</v>
      </c>
      <c r="N3373" s="22" t="str">
        <f>+IF(Tabla2[[#This Row],[Variación Stock]]&gt;0,"Sobrante",IF(Tabla2[[#This Row],[Variación Stock]]&lt;0,"Faltante","Sin novedad"))</f>
        <v>Sin novedad</v>
      </c>
    </row>
    <row r="3374" spans="1:14" x14ac:dyDescent="0.25">
      <c r="A3374" s="11">
        <v>46037</v>
      </c>
      <c r="B3374" s="5" t="s">
        <v>338</v>
      </c>
      <c r="C3374" s="3" t="s">
        <v>339</v>
      </c>
      <c r="D3374" s="5" t="s">
        <v>111</v>
      </c>
      <c r="E3374" s="5" t="s">
        <v>112</v>
      </c>
      <c r="F3374" s="6" t="s">
        <v>130</v>
      </c>
      <c r="G3374" s="4" t="s">
        <v>0</v>
      </c>
      <c r="H3374" s="25">
        <v>0</v>
      </c>
      <c r="I3374" s="8">
        <v>0</v>
      </c>
      <c r="J3374" s="9">
        <v>0</v>
      </c>
      <c r="K3374" s="7">
        <v>0</v>
      </c>
      <c r="L3374" s="24">
        <f>+Tabla2[[#This Row],[Stock Inventario]]*Tabla2[[#This Row],[Coste LÃ­nea]]</f>
        <v>0</v>
      </c>
      <c r="M3374" s="24">
        <f>+Tabla2[[#This Row],[Variación Stock]]*Tabla2[[#This Row],[Coste LÃ­nea]]</f>
        <v>0</v>
      </c>
      <c r="N3374" s="22" t="str">
        <f>+IF(Tabla2[[#This Row],[Variación Stock]]&gt;0,"Sobrante",IF(Tabla2[[#This Row],[Variación Stock]]&lt;0,"Faltante","Sin novedad"))</f>
        <v>Sin novedad</v>
      </c>
    </row>
    <row r="3375" spans="1:14" x14ac:dyDescent="0.25">
      <c r="A3375" s="11">
        <v>46037</v>
      </c>
      <c r="B3375" s="5" t="s">
        <v>338</v>
      </c>
      <c r="C3375" s="3" t="s">
        <v>339</v>
      </c>
      <c r="D3375" s="5" t="s">
        <v>111</v>
      </c>
      <c r="E3375" s="5" t="s">
        <v>112</v>
      </c>
      <c r="F3375" s="6" t="s">
        <v>287</v>
      </c>
      <c r="G3375" s="4" t="s">
        <v>0</v>
      </c>
      <c r="H3375" s="25">
        <v>2309.40625</v>
      </c>
      <c r="I3375" s="8">
        <v>16</v>
      </c>
      <c r="J3375" s="9">
        <v>19.39</v>
      </c>
      <c r="K3375" s="7">
        <v>3.39</v>
      </c>
      <c r="L3375" s="24">
        <f>+Tabla2[[#This Row],[Stock Inventario]]*Tabla2[[#This Row],[Coste LÃ­nea]]</f>
        <v>44779.387187500004</v>
      </c>
      <c r="M3375" s="24">
        <f>+Tabla2[[#This Row],[Variación Stock]]*Tabla2[[#This Row],[Coste LÃ­nea]]</f>
        <v>7828.8871875000004</v>
      </c>
      <c r="N3375" s="22" t="str">
        <f>+IF(Tabla2[[#This Row],[Variación Stock]]&gt;0,"Sobrante",IF(Tabla2[[#This Row],[Variación Stock]]&lt;0,"Faltante","Sin novedad"))</f>
        <v>Sobrante</v>
      </c>
    </row>
    <row r="3376" spans="1:14" x14ac:dyDescent="0.25">
      <c r="A3376" s="11">
        <v>46037</v>
      </c>
      <c r="B3376" s="5" t="s">
        <v>338</v>
      </c>
      <c r="C3376" s="3" t="s">
        <v>339</v>
      </c>
      <c r="D3376" s="5" t="s">
        <v>111</v>
      </c>
      <c r="E3376" s="5" t="s">
        <v>112</v>
      </c>
      <c r="F3376" s="6" t="s">
        <v>17</v>
      </c>
      <c r="G3376" s="4" t="s">
        <v>0</v>
      </c>
      <c r="H3376" s="25">
        <v>14896.95833333</v>
      </c>
      <c r="I3376" s="8">
        <v>37</v>
      </c>
      <c r="J3376" s="9">
        <v>37.700000000000003</v>
      </c>
      <c r="K3376" s="7">
        <v>0.7</v>
      </c>
      <c r="L3376" s="24">
        <f>+Tabla2[[#This Row],[Stock Inventario]]*Tabla2[[#This Row],[Coste LÃ­nea]]</f>
        <v>561615.32916654099</v>
      </c>
      <c r="M3376" s="24">
        <f>+Tabla2[[#This Row],[Variación Stock]]*Tabla2[[#This Row],[Coste LÃ­nea]]</f>
        <v>10427.870833330999</v>
      </c>
      <c r="N3376" s="22" t="str">
        <f>+IF(Tabla2[[#This Row],[Variación Stock]]&gt;0,"Sobrante",IF(Tabla2[[#This Row],[Variación Stock]]&lt;0,"Faltante","Sin novedad"))</f>
        <v>Sobrante</v>
      </c>
    </row>
    <row r="3377" spans="1:14" x14ac:dyDescent="0.25">
      <c r="A3377" s="11">
        <v>46037</v>
      </c>
      <c r="B3377" s="5" t="s">
        <v>338</v>
      </c>
      <c r="C3377" s="3" t="s">
        <v>339</v>
      </c>
      <c r="D3377" s="5" t="s">
        <v>111</v>
      </c>
      <c r="E3377" s="5" t="s">
        <v>112</v>
      </c>
      <c r="F3377" s="6" t="s">
        <v>18</v>
      </c>
      <c r="G3377" s="4" t="s">
        <v>2</v>
      </c>
      <c r="H3377" s="25">
        <v>86744</v>
      </c>
      <c r="I3377" s="8">
        <v>0</v>
      </c>
      <c r="J3377" s="9">
        <v>0</v>
      </c>
      <c r="K3377" s="7">
        <v>0</v>
      </c>
      <c r="L3377" s="24">
        <f>+Tabla2[[#This Row],[Stock Inventario]]*Tabla2[[#This Row],[Coste LÃ­nea]]</f>
        <v>0</v>
      </c>
      <c r="M3377" s="24">
        <f>+Tabla2[[#This Row],[Variación Stock]]*Tabla2[[#This Row],[Coste LÃ­nea]]</f>
        <v>0</v>
      </c>
      <c r="N3377" s="22" t="str">
        <f>+IF(Tabla2[[#This Row],[Variación Stock]]&gt;0,"Sobrante",IF(Tabla2[[#This Row],[Variación Stock]]&lt;0,"Faltante","Sin novedad"))</f>
        <v>Sin novedad</v>
      </c>
    </row>
    <row r="3378" spans="1:14" x14ac:dyDescent="0.25">
      <c r="A3378" s="11">
        <v>46037</v>
      </c>
      <c r="B3378" s="5" t="s">
        <v>338</v>
      </c>
      <c r="C3378" s="3" t="s">
        <v>339</v>
      </c>
      <c r="D3378" s="5" t="s">
        <v>111</v>
      </c>
      <c r="E3378" s="5" t="s">
        <v>112</v>
      </c>
      <c r="F3378" s="6" t="s">
        <v>19</v>
      </c>
      <c r="G3378" s="4" t="s">
        <v>0</v>
      </c>
      <c r="H3378" s="25">
        <v>6746.25</v>
      </c>
      <c r="I3378" s="8">
        <v>-21</v>
      </c>
      <c r="J3378" s="9">
        <v>6.4</v>
      </c>
      <c r="K3378" s="7">
        <v>27.4</v>
      </c>
      <c r="L3378" s="24">
        <f>+Tabla2[[#This Row],[Stock Inventario]]*Tabla2[[#This Row],[Coste LÃ­nea]]</f>
        <v>43176</v>
      </c>
      <c r="M3378" s="24">
        <f>+Tabla2[[#This Row],[Variación Stock]]*Tabla2[[#This Row],[Coste LÃ­nea]]</f>
        <v>184847.25</v>
      </c>
      <c r="N3378" s="22" t="str">
        <f>+IF(Tabla2[[#This Row],[Variación Stock]]&gt;0,"Sobrante",IF(Tabla2[[#This Row],[Variación Stock]]&lt;0,"Faltante","Sin novedad"))</f>
        <v>Sobrante</v>
      </c>
    </row>
    <row r="3379" spans="1:14" x14ac:dyDescent="0.25">
      <c r="A3379" s="11">
        <v>46037</v>
      </c>
      <c r="B3379" s="5" t="s">
        <v>338</v>
      </c>
      <c r="C3379" s="3" t="s">
        <v>339</v>
      </c>
      <c r="D3379" s="5" t="s">
        <v>111</v>
      </c>
      <c r="E3379" s="5" t="s">
        <v>112</v>
      </c>
      <c r="F3379" s="6" t="s">
        <v>20</v>
      </c>
      <c r="G3379" s="4" t="s">
        <v>0</v>
      </c>
      <c r="H3379" s="25">
        <v>6839.875</v>
      </c>
      <c r="I3379" s="8">
        <v>26.42</v>
      </c>
      <c r="J3379" s="9">
        <v>30.27</v>
      </c>
      <c r="K3379" s="7">
        <v>3.85</v>
      </c>
      <c r="L3379" s="24">
        <f>+Tabla2[[#This Row],[Stock Inventario]]*Tabla2[[#This Row],[Coste LÃ­nea]]</f>
        <v>207043.01624999999</v>
      </c>
      <c r="M3379" s="24">
        <f>+Tabla2[[#This Row],[Variación Stock]]*Tabla2[[#This Row],[Coste LÃ­nea]]</f>
        <v>26333.518749999999</v>
      </c>
      <c r="N3379" s="22" t="str">
        <f>+IF(Tabla2[[#This Row],[Variación Stock]]&gt;0,"Sobrante",IF(Tabla2[[#This Row],[Variación Stock]]&lt;0,"Faltante","Sin novedad"))</f>
        <v>Sobrante</v>
      </c>
    </row>
    <row r="3380" spans="1:14" x14ac:dyDescent="0.25">
      <c r="A3380" s="11">
        <v>46037</v>
      </c>
      <c r="B3380" s="5" t="s">
        <v>338</v>
      </c>
      <c r="C3380" s="3" t="s">
        <v>339</v>
      </c>
      <c r="D3380" s="5" t="s">
        <v>111</v>
      </c>
      <c r="E3380" s="5" t="s">
        <v>112</v>
      </c>
      <c r="F3380" s="6" t="s">
        <v>15</v>
      </c>
      <c r="G3380" s="4" t="s">
        <v>0</v>
      </c>
      <c r="H3380" s="25">
        <v>11819.5</v>
      </c>
      <c r="I3380" s="8">
        <v>0</v>
      </c>
      <c r="J3380" s="9">
        <v>0</v>
      </c>
      <c r="K3380" s="7">
        <v>0</v>
      </c>
      <c r="L3380" s="24">
        <f>+Tabla2[[#This Row],[Stock Inventario]]*Tabla2[[#This Row],[Coste LÃ­nea]]</f>
        <v>0</v>
      </c>
      <c r="M3380" s="24">
        <f>+Tabla2[[#This Row],[Variación Stock]]*Tabla2[[#This Row],[Coste LÃ­nea]]</f>
        <v>0</v>
      </c>
      <c r="N3380" s="22" t="str">
        <f>+IF(Tabla2[[#This Row],[Variación Stock]]&gt;0,"Sobrante",IF(Tabla2[[#This Row],[Variación Stock]]&lt;0,"Faltante","Sin novedad"))</f>
        <v>Sin novedad</v>
      </c>
    </row>
    <row r="3381" spans="1:14" x14ac:dyDescent="0.25">
      <c r="A3381" s="11">
        <v>46037</v>
      </c>
      <c r="B3381" s="5" t="s">
        <v>338</v>
      </c>
      <c r="C3381" s="3" t="s">
        <v>339</v>
      </c>
      <c r="D3381" s="5" t="s">
        <v>111</v>
      </c>
      <c r="E3381" s="5" t="s">
        <v>112</v>
      </c>
      <c r="F3381" s="6" t="s">
        <v>21</v>
      </c>
      <c r="G3381" s="4" t="s">
        <v>0</v>
      </c>
      <c r="H3381" s="25">
        <v>15769.5</v>
      </c>
      <c r="I3381" s="8">
        <v>25</v>
      </c>
      <c r="J3381" s="9">
        <v>26</v>
      </c>
      <c r="K3381" s="7">
        <v>1</v>
      </c>
      <c r="L3381" s="24">
        <f>+Tabla2[[#This Row],[Stock Inventario]]*Tabla2[[#This Row],[Coste LÃ­nea]]</f>
        <v>410007</v>
      </c>
      <c r="M3381" s="24">
        <f>+Tabla2[[#This Row],[Variación Stock]]*Tabla2[[#This Row],[Coste LÃ­nea]]</f>
        <v>15769.5</v>
      </c>
      <c r="N3381" s="22" t="str">
        <f>+IF(Tabla2[[#This Row],[Variación Stock]]&gt;0,"Sobrante",IF(Tabla2[[#This Row],[Variación Stock]]&lt;0,"Faltante","Sin novedad"))</f>
        <v>Sobrante</v>
      </c>
    </row>
    <row r="3382" spans="1:14" x14ac:dyDescent="0.25">
      <c r="A3382" s="11">
        <v>46037</v>
      </c>
      <c r="B3382" s="5" t="s">
        <v>338</v>
      </c>
      <c r="C3382" s="3" t="s">
        <v>339</v>
      </c>
      <c r="D3382" s="5" t="s">
        <v>111</v>
      </c>
      <c r="E3382" s="5" t="s">
        <v>112</v>
      </c>
      <c r="F3382" s="6" t="s">
        <v>22</v>
      </c>
      <c r="G3382" s="4" t="s">
        <v>0</v>
      </c>
      <c r="H3382" s="25">
        <v>13020.86363636</v>
      </c>
      <c r="I3382" s="8">
        <v>42</v>
      </c>
      <c r="J3382" s="9">
        <v>43</v>
      </c>
      <c r="K3382" s="7">
        <v>1</v>
      </c>
      <c r="L3382" s="24">
        <f>+Tabla2[[#This Row],[Stock Inventario]]*Tabla2[[#This Row],[Coste LÃ­nea]]</f>
        <v>559897.13636348001</v>
      </c>
      <c r="M3382" s="24">
        <f>+Tabla2[[#This Row],[Variación Stock]]*Tabla2[[#This Row],[Coste LÃ­nea]]</f>
        <v>13020.86363636</v>
      </c>
      <c r="N3382" s="22" t="str">
        <f>+IF(Tabla2[[#This Row],[Variación Stock]]&gt;0,"Sobrante",IF(Tabla2[[#This Row],[Variación Stock]]&lt;0,"Faltante","Sin novedad"))</f>
        <v>Sobrante</v>
      </c>
    </row>
    <row r="3383" spans="1:14" x14ac:dyDescent="0.25">
      <c r="A3383" s="11">
        <v>46037</v>
      </c>
      <c r="B3383" s="5" t="s">
        <v>338</v>
      </c>
      <c r="C3383" s="3" t="s">
        <v>339</v>
      </c>
      <c r="D3383" s="5" t="s">
        <v>111</v>
      </c>
      <c r="E3383" s="5" t="s">
        <v>112</v>
      </c>
      <c r="F3383" s="6" t="s">
        <v>126</v>
      </c>
      <c r="G3383" s="4" t="s">
        <v>0</v>
      </c>
      <c r="H3383" s="25">
        <v>12698.95454545</v>
      </c>
      <c r="I3383" s="8">
        <v>18</v>
      </c>
      <c r="J3383" s="9">
        <v>24</v>
      </c>
      <c r="K3383" s="7">
        <v>6</v>
      </c>
      <c r="L3383" s="24">
        <f>+Tabla2[[#This Row],[Stock Inventario]]*Tabla2[[#This Row],[Coste LÃ­nea]]</f>
        <v>304774.90909079998</v>
      </c>
      <c r="M3383" s="24">
        <f>+Tabla2[[#This Row],[Variación Stock]]*Tabla2[[#This Row],[Coste LÃ­nea]]</f>
        <v>76193.727272699995</v>
      </c>
      <c r="N3383" s="22" t="str">
        <f>+IF(Tabla2[[#This Row],[Variación Stock]]&gt;0,"Sobrante",IF(Tabla2[[#This Row],[Variación Stock]]&lt;0,"Faltante","Sin novedad"))</f>
        <v>Sobrante</v>
      </c>
    </row>
    <row r="3384" spans="1:14" x14ac:dyDescent="0.25">
      <c r="A3384" s="11">
        <v>46037</v>
      </c>
      <c r="B3384" s="5" t="s">
        <v>338</v>
      </c>
      <c r="C3384" s="3" t="s">
        <v>339</v>
      </c>
      <c r="D3384" s="5" t="s">
        <v>111</v>
      </c>
      <c r="E3384" s="5" t="s">
        <v>112</v>
      </c>
      <c r="F3384" s="6" t="s">
        <v>23</v>
      </c>
      <c r="G3384" s="4" t="s">
        <v>0</v>
      </c>
      <c r="H3384" s="25">
        <v>4320.2272727299996</v>
      </c>
      <c r="I3384" s="8">
        <v>17.36</v>
      </c>
      <c r="J3384" s="9">
        <v>22</v>
      </c>
      <c r="K3384" s="7">
        <v>4.6399999999999997</v>
      </c>
      <c r="L3384" s="24">
        <f>+Tabla2[[#This Row],[Stock Inventario]]*Tabla2[[#This Row],[Coste LÃ­nea]]</f>
        <v>95045.000000059998</v>
      </c>
      <c r="M3384" s="24">
        <f>+Tabla2[[#This Row],[Variación Stock]]*Tabla2[[#This Row],[Coste LÃ­nea]]</f>
        <v>20045.854545467198</v>
      </c>
      <c r="N3384" s="22" t="str">
        <f>+IF(Tabla2[[#This Row],[Variación Stock]]&gt;0,"Sobrante",IF(Tabla2[[#This Row],[Variación Stock]]&lt;0,"Faltante","Sin novedad"))</f>
        <v>Sobrante</v>
      </c>
    </row>
    <row r="3385" spans="1:14" x14ac:dyDescent="0.25">
      <c r="A3385" s="11">
        <v>46037</v>
      </c>
      <c r="B3385" s="5" t="s">
        <v>338</v>
      </c>
      <c r="C3385" s="3" t="s">
        <v>339</v>
      </c>
      <c r="D3385" s="5" t="s">
        <v>111</v>
      </c>
      <c r="E3385" s="5" t="s">
        <v>112</v>
      </c>
      <c r="F3385" s="6" t="s">
        <v>24</v>
      </c>
      <c r="G3385" s="4" t="s">
        <v>0</v>
      </c>
      <c r="H3385" s="25">
        <v>3359.40909091</v>
      </c>
      <c r="I3385" s="8">
        <v>19.739999999999998</v>
      </c>
      <c r="J3385" s="9">
        <v>22</v>
      </c>
      <c r="K3385" s="7">
        <v>2.2599999999999998</v>
      </c>
      <c r="L3385" s="24">
        <f>+Tabla2[[#This Row],[Stock Inventario]]*Tabla2[[#This Row],[Coste LÃ­nea]]</f>
        <v>73907.000000019994</v>
      </c>
      <c r="M3385" s="24">
        <f>+Tabla2[[#This Row],[Variación Stock]]*Tabla2[[#This Row],[Coste LÃ­nea]]</f>
        <v>7592.2645454565991</v>
      </c>
      <c r="N3385" s="22" t="str">
        <f>+IF(Tabla2[[#This Row],[Variación Stock]]&gt;0,"Sobrante",IF(Tabla2[[#This Row],[Variación Stock]]&lt;0,"Faltante","Sin novedad"))</f>
        <v>Sobrante</v>
      </c>
    </row>
    <row r="3386" spans="1:14" x14ac:dyDescent="0.25">
      <c r="A3386" s="11">
        <v>46037</v>
      </c>
      <c r="B3386" s="5" t="s">
        <v>338</v>
      </c>
      <c r="C3386" s="3" t="s">
        <v>339</v>
      </c>
      <c r="D3386" s="5" t="s">
        <v>111</v>
      </c>
      <c r="E3386" s="5" t="s">
        <v>112</v>
      </c>
      <c r="F3386" s="6" t="s">
        <v>25</v>
      </c>
      <c r="G3386" s="4" t="s">
        <v>0</v>
      </c>
      <c r="H3386" s="25">
        <v>6003.25</v>
      </c>
      <c r="I3386" s="8">
        <v>27.7</v>
      </c>
      <c r="J3386" s="9">
        <v>28</v>
      </c>
      <c r="K3386" s="7">
        <v>0.3</v>
      </c>
      <c r="L3386" s="24">
        <f>+Tabla2[[#This Row],[Stock Inventario]]*Tabla2[[#This Row],[Coste LÃ­nea]]</f>
        <v>168091</v>
      </c>
      <c r="M3386" s="24">
        <f>+Tabla2[[#This Row],[Variación Stock]]*Tabla2[[#This Row],[Coste LÃ­nea]]</f>
        <v>1800.9749999999999</v>
      </c>
      <c r="N3386" s="22" t="str">
        <f>+IF(Tabla2[[#This Row],[Variación Stock]]&gt;0,"Sobrante",IF(Tabla2[[#This Row],[Variación Stock]]&lt;0,"Faltante","Sin novedad"))</f>
        <v>Sobrante</v>
      </c>
    </row>
    <row r="3387" spans="1:14" x14ac:dyDescent="0.25">
      <c r="A3387" s="11">
        <v>46037</v>
      </c>
      <c r="B3387" s="5" t="s">
        <v>338</v>
      </c>
      <c r="C3387" s="3" t="s">
        <v>339</v>
      </c>
      <c r="D3387" s="5" t="s">
        <v>111</v>
      </c>
      <c r="E3387" s="5" t="s">
        <v>112</v>
      </c>
      <c r="F3387" s="6" t="s">
        <v>26</v>
      </c>
      <c r="G3387" s="4" t="s">
        <v>0</v>
      </c>
      <c r="H3387" s="25">
        <v>8389.75</v>
      </c>
      <c r="I3387" s="8">
        <v>31</v>
      </c>
      <c r="J3387" s="9">
        <v>33</v>
      </c>
      <c r="K3387" s="7">
        <v>2</v>
      </c>
      <c r="L3387" s="24">
        <f>+Tabla2[[#This Row],[Stock Inventario]]*Tabla2[[#This Row],[Coste LÃ­nea]]</f>
        <v>276861.75</v>
      </c>
      <c r="M3387" s="24">
        <f>+Tabla2[[#This Row],[Variación Stock]]*Tabla2[[#This Row],[Coste LÃ­nea]]</f>
        <v>16779.5</v>
      </c>
      <c r="N3387" s="22" t="str">
        <f>+IF(Tabla2[[#This Row],[Variación Stock]]&gt;0,"Sobrante",IF(Tabla2[[#This Row],[Variación Stock]]&lt;0,"Faltante","Sin novedad"))</f>
        <v>Sobrante</v>
      </c>
    </row>
    <row r="3388" spans="1:14" x14ac:dyDescent="0.25">
      <c r="A3388" s="11">
        <v>46037</v>
      </c>
      <c r="B3388" s="5" t="s">
        <v>338</v>
      </c>
      <c r="C3388" s="3" t="s">
        <v>339</v>
      </c>
      <c r="D3388" s="5" t="s">
        <v>111</v>
      </c>
      <c r="E3388" s="5" t="s">
        <v>112</v>
      </c>
      <c r="F3388" s="6" t="s">
        <v>27</v>
      </c>
      <c r="G3388" s="4" t="s">
        <v>0</v>
      </c>
      <c r="H3388" s="25">
        <v>7122.4772727299996</v>
      </c>
      <c r="I3388" s="8">
        <v>93</v>
      </c>
      <c r="J3388" s="9">
        <v>94</v>
      </c>
      <c r="K3388" s="7">
        <v>1</v>
      </c>
      <c r="L3388" s="24">
        <f>+Tabla2[[#This Row],[Stock Inventario]]*Tabla2[[#This Row],[Coste LÃ­nea]]</f>
        <v>669512.86363661999</v>
      </c>
      <c r="M3388" s="24">
        <f>+Tabla2[[#This Row],[Variación Stock]]*Tabla2[[#This Row],[Coste LÃ­nea]]</f>
        <v>7122.4772727299996</v>
      </c>
      <c r="N3388" s="22" t="str">
        <f>+IF(Tabla2[[#This Row],[Variación Stock]]&gt;0,"Sobrante",IF(Tabla2[[#This Row],[Variación Stock]]&lt;0,"Faltante","Sin novedad"))</f>
        <v>Sobrante</v>
      </c>
    </row>
    <row r="3389" spans="1:14" x14ac:dyDescent="0.25">
      <c r="A3389" s="11">
        <v>46037</v>
      </c>
      <c r="B3389" s="5" t="s">
        <v>338</v>
      </c>
      <c r="C3389" s="3" t="s">
        <v>339</v>
      </c>
      <c r="D3389" s="5" t="s">
        <v>111</v>
      </c>
      <c r="E3389" s="5" t="s">
        <v>112</v>
      </c>
      <c r="F3389" s="6" t="s">
        <v>28</v>
      </c>
      <c r="G3389" s="4" t="s">
        <v>2</v>
      </c>
      <c r="H3389" s="25">
        <v>93956</v>
      </c>
      <c r="I3389" s="8">
        <v>2</v>
      </c>
      <c r="J3389" s="9">
        <v>2</v>
      </c>
      <c r="K3389" s="7">
        <v>0</v>
      </c>
      <c r="L3389" s="24">
        <f>+Tabla2[[#This Row],[Stock Inventario]]*Tabla2[[#This Row],[Coste LÃ­nea]]</f>
        <v>187912</v>
      </c>
      <c r="M3389" s="24">
        <f>+Tabla2[[#This Row],[Variación Stock]]*Tabla2[[#This Row],[Coste LÃ­nea]]</f>
        <v>0</v>
      </c>
      <c r="N3389" s="22" t="str">
        <f>+IF(Tabla2[[#This Row],[Variación Stock]]&gt;0,"Sobrante",IF(Tabla2[[#This Row],[Variación Stock]]&lt;0,"Faltante","Sin novedad"))</f>
        <v>Sin novedad</v>
      </c>
    </row>
    <row r="3390" spans="1:14" x14ac:dyDescent="0.25">
      <c r="A3390" s="11">
        <v>46037</v>
      </c>
      <c r="B3390" s="5" t="s">
        <v>338</v>
      </c>
      <c r="C3390" s="3" t="s">
        <v>339</v>
      </c>
      <c r="D3390" s="5" t="s">
        <v>111</v>
      </c>
      <c r="E3390" s="5" t="s">
        <v>112</v>
      </c>
      <c r="F3390" s="6" t="s">
        <v>124</v>
      </c>
      <c r="G3390" s="4" t="s">
        <v>0</v>
      </c>
      <c r="H3390" s="25">
        <v>10178.90909091</v>
      </c>
      <c r="I3390" s="8">
        <v>36</v>
      </c>
      <c r="J3390" s="9">
        <v>37</v>
      </c>
      <c r="K3390" s="7">
        <v>1</v>
      </c>
      <c r="L3390" s="24">
        <f>+Tabla2[[#This Row],[Stock Inventario]]*Tabla2[[#This Row],[Coste LÃ­nea]]</f>
        <v>376619.63636367</v>
      </c>
      <c r="M3390" s="24">
        <f>+Tabla2[[#This Row],[Variación Stock]]*Tabla2[[#This Row],[Coste LÃ­nea]]</f>
        <v>10178.90909091</v>
      </c>
      <c r="N3390" s="22" t="str">
        <f>+IF(Tabla2[[#This Row],[Variación Stock]]&gt;0,"Sobrante",IF(Tabla2[[#This Row],[Variación Stock]]&lt;0,"Faltante","Sin novedad"))</f>
        <v>Sobrante</v>
      </c>
    </row>
    <row r="3391" spans="1:14" x14ac:dyDescent="0.25">
      <c r="A3391" s="11">
        <v>46037</v>
      </c>
      <c r="B3391" s="5" t="s">
        <v>338</v>
      </c>
      <c r="C3391" s="3" t="s">
        <v>339</v>
      </c>
      <c r="D3391" s="5" t="s">
        <v>111</v>
      </c>
      <c r="E3391" s="5" t="s">
        <v>112</v>
      </c>
      <c r="F3391" s="6" t="s">
        <v>29</v>
      </c>
      <c r="G3391" s="4" t="s">
        <v>0</v>
      </c>
      <c r="H3391" s="25">
        <v>12951.25</v>
      </c>
      <c r="I3391" s="8">
        <v>42</v>
      </c>
      <c r="J3391" s="9">
        <v>44</v>
      </c>
      <c r="K3391" s="7">
        <v>2</v>
      </c>
      <c r="L3391" s="24">
        <f>+Tabla2[[#This Row],[Stock Inventario]]*Tabla2[[#This Row],[Coste LÃ­nea]]</f>
        <v>569855</v>
      </c>
      <c r="M3391" s="24">
        <f>+Tabla2[[#This Row],[Variación Stock]]*Tabla2[[#This Row],[Coste LÃ­nea]]</f>
        <v>25902.5</v>
      </c>
      <c r="N3391" s="22" t="str">
        <f>+IF(Tabla2[[#This Row],[Variación Stock]]&gt;0,"Sobrante",IF(Tabla2[[#This Row],[Variación Stock]]&lt;0,"Faltante","Sin novedad"))</f>
        <v>Sobrante</v>
      </c>
    </row>
    <row r="3392" spans="1:14" x14ac:dyDescent="0.25">
      <c r="A3392" s="11">
        <v>46037</v>
      </c>
      <c r="B3392" s="5" t="s">
        <v>338</v>
      </c>
      <c r="C3392" s="3" t="s">
        <v>339</v>
      </c>
      <c r="D3392" s="5" t="s">
        <v>111</v>
      </c>
      <c r="E3392" s="5" t="s">
        <v>112</v>
      </c>
      <c r="F3392" s="6" t="s">
        <v>30</v>
      </c>
      <c r="G3392" s="4" t="s">
        <v>0</v>
      </c>
      <c r="H3392" s="25">
        <v>3673.5</v>
      </c>
      <c r="I3392" s="8">
        <v>0</v>
      </c>
      <c r="J3392" s="9">
        <v>0</v>
      </c>
      <c r="K3392" s="7">
        <v>0</v>
      </c>
      <c r="L3392" s="24">
        <f>+Tabla2[[#This Row],[Stock Inventario]]*Tabla2[[#This Row],[Coste LÃ­nea]]</f>
        <v>0</v>
      </c>
      <c r="M3392" s="24">
        <f>+Tabla2[[#This Row],[Variación Stock]]*Tabla2[[#This Row],[Coste LÃ­nea]]</f>
        <v>0</v>
      </c>
      <c r="N3392" s="22" t="str">
        <f>+IF(Tabla2[[#This Row],[Variación Stock]]&gt;0,"Sobrante",IF(Tabla2[[#This Row],[Variación Stock]]&lt;0,"Faltante","Sin novedad"))</f>
        <v>Sin novedad</v>
      </c>
    </row>
    <row r="3393" spans="1:14" x14ac:dyDescent="0.25">
      <c r="A3393" s="11">
        <v>46037</v>
      </c>
      <c r="B3393" s="5" t="s">
        <v>338</v>
      </c>
      <c r="C3393" s="3" t="s">
        <v>339</v>
      </c>
      <c r="D3393" s="5" t="s">
        <v>111</v>
      </c>
      <c r="E3393" s="5" t="s">
        <v>112</v>
      </c>
      <c r="F3393" s="6" t="s">
        <v>31</v>
      </c>
      <c r="G3393" s="4" t="s">
        <v>0</v>
      </c>
      <c r="H3393" s="25">
        <v>6774.5454545499997</v>
      </c>
      <c r="I3393" s="8">
        <v>6.34</v>
      </c>
      <c r="J3393" s="9">
        <v>10</v>
      </c>
      <c r="K3393" s="7">
        <v>3.66</v>
      </c>
      <c r="L3393" s="24">
        <f>+Tabla2[[#This Row],[Stock Inventario]]*Tabla2[[#This Row],[Coste LÃ­nea]]</f>
        <v>67745.45454549999</v>
      </c>
      <c r="M3393" s="24">
        <f>+Tabla2[[#This Row],[Variación Stock]]*Tabla2[[#This Row],[Coste LÃ­nea]]</f>
        <v>24794.836363653001</v>
      </c>
      <c r="N3393" s="22" t="str">
        <f>+IF(Tabla2[[#This Row],[Variación Stock]]&gt;0,"Sobrante",IF(Tabla2[[#This Row],[Variación Stock]]&lt;0,"Faltante","Sin novedad"))</f>
        <v>Sobrante</v>
      </c>
    </row>
    <row r="3394" spans="1:14" x14ac:dyDescent="0.25">
      <c r="A3394" s="11">
        <v>46037</v>
      </c>
      <c r="B3394" s="5" t="s">
        <v>338</v>
      </c>
      <c r="C3394" s="3" t="s">
        <v>339</v>
      </c>
      <c r="D3394" s="5" t="s">
        <v>111</v>
      </c>
      <c r="E3394" s="5" t="s">
        <v>112</v>
      </c>
      <c r="F3394" s="6" t="s">
        <v>32</v>
      </c>
      <c r="G3394" s="4" t="s">
        <v>0</v>
      </c>
      <c r="H3394" s="25">
        <v>8628.9583333299997</v>
      </c>
      <c r="I3394" s="8">
        <v>26</v>
      </c>
      <c r="J3394" s="9">
        <v>0</v>
      </c>
      <c r="K3394" s="7">
        <v>-26</v>
      </c>
      <c r="L3394" s="24">
        <f>+Tabla2[[#This Row],[Stock Inventario]]*Tabla2[[#This Row],[Coste LÃ­nea]]</f>
        <v>0</v>
      </c>
      <c r="M3394" s="24">
        <f>+Tabla2[[#This Row],[Variación Stock]]*Tabla2[[#This Row],[Coste LÃ­nea]]</f>
        <v>-224352.91666657999</v>
      </c>
      <c r="N3394" s="22" t="str">
        <f>+IF(Tabla2[[#This Row],[Variación Stock]]&gt;0,"Sobrante",IF(Tabla2[[#This Row],[Variación Stock]]&lt;0,"Faltante","Sin novedad"))</f>
        <v>Faltante</v>
      </c>
    </row>
    <row r="3395" spans="1:14" x14ac:dyDescent="0.25">
      <c r="A3395" s="11">
        <v>46037</v>
      </c>
      <c r="B3395" s="5" t="s">
        <v>338</v>
      </c>
      <c r="C3395" s="3" t="s">
        <v>339</v>
      </c>
      <c r="D3395" s="5" t="s">
        <v>111</v>
      </c>
      <c r="E3395" s="5" t="s">
        <v>112</v>
      </c>
      <c r="F3395" s="6" t="s">
        <v>33</v>
      </c>
      <c r="G3395" s="4" t="s">
        <v>0</v>
      </c>
      <c r="H3395" s="25">
        <v>3481.25</v>
      </c>
      <c r="I3395" s="8">
        <v>38</v>
      </c>
      <c r="J3395" s="9">
        <v>16</v>
      </c>
      <c r="K3395" s="7">
        <v>-22</v>
      </c>
      <c r="L3395" s="24">
        <f>+Tabla2[[#This Row],[Stock Inventario]]*Tabla2[[#This Row],[Coste LÃ­nea]]</f>
        <v>55700</v>
      </c>
      <c r="M3395" s="24">
        <f>+Tabla2[[#This Row],[Variación Stock]]*Tabla2[[#This Row],[Coste LÃ­nea]]</f>
        <v>-76587.5</v>
      </c>
      <c r="N3395" s="22" t="str">
        <f>+IF(Tabla2[[#This Row],[Variación Stock]]&gt;0,"Sobrante",IF(Tabla2[[#This Row],[Variación Stock]]&lt;0,"Faltante","Sin novedad"))</f>
        <v>Faltante</v>
      </c>
    </row>
    <row r="3396" spans="1:14" x14ac:dyDescent="0.25">
      <c r="A3396" s="11">
        <v>46037</v>
      </c>
      <c r="B3396" s="5" t="s">
        <v>338</v>
      </c>
      <c r="C3396" s="3" t="s">
        <v>339</v>
      </c>
      <c r="D3396" s="5" t="s">
        <v>111</v>
      </c>
      <c r="E3396" s="5" t="s">
        <v>112</v>
      </c>
      <c r="F3396" s="6" t="s">
        <v>42</v>
      </c>
      <c r="G3396" s="4" t="s">
        <v>0</v>
      </c>
      <c r="H3396" s="25">
        <v>2628.875</v>
      </c>
      <c r="I3396" s="8">
        <v>8.02</v>
      </c>
      <c r="J3396" s="9">
        <v>5</v>
      </c>
      <c r="K3396" s="7">
        <v>-3.02</v>
      </c>
      <c r="L3396" s="24">
        <f>+Tabla2[[#This Row],[Stock Inventario]]*Tabla2[[#This Row],[Coste LÃ­nea]]</f>
        <v>13144.375</v>
      </c>
      <c r="M3396" s="24">
        <f>+Tabla2[[#This Row],[Variación Stock]]*Tabla2[[#This Row],[Coste LÃ­nea]]</f>
        <v>-7939.2025000000003</v>
      </c>
      <c r="N3396" s="22" t="str">
        <f>+IF(Tabla2[[#This Row],[Variación Stock]]&gt;0,"Sobrante",IF(Tabla2[[#This Row],[Variación Stock]]&lt;0,"Faltante","Sin novedad"))</f>
        <v>Faltante</v>
      </c>
    </row>
    <row r="3397" spans="1:14" x14ac:dyDescent="0.25">
      <c r="A3397" s="11">
        <v>46037</v>
      </c>
      <c r="B3397" s="5" t="s">
        <v>338</v>
      </c>
      <c r="C3397" s="3" t="s">
        <v>339</v>
      </c>
      <c r="D3397" s="5" t="s">
        <v>111</v>
      </c>
      <c r="E3397" s="5" t="s">
        <v>112</v>
      </c>
      <c r="F3397" s="6" t="s">
        <v>34</v>
      </c>
      <c r="G3397" s="4" t="s">
        <v>0</v>
      </c>
      <c r="H3397" s="25">
        <v>5896.9583333299997</v>
      </c>
      <c r="I3397" s="8">
        <v>36</v>
      </c>
      <c r="J3397" s="9">
        <v>39</v>
      </c>
      <c r="K3397" s="7">
        <v>3</v>
      </c>
      <c r="L3397" s="24">
        <f>+Tabla2[[#This Row],[Stock Inventario]]*Tabla2[[#This Row],[Coste LÃ­nea]]</f>
        <v>229981.37499986999</v>
      </c>
      <c r="M3397" s="24">
        <f>+Tabla2[[#This Row],[Variación Stock]]*Tabla2[[#This Row],[Coste LÃ­nea]]</f>
        <v>17690.874999989999</v>
      </c>
      <c r="N3397" s="22" t="str">
        <f>+IF(Tabla2[[#This Row],[Variación Stock]]&gt;0,"Sobrante",IF(Tabla2[[#This Row],[Variación Stock]]&lt;0,"Faltante","Sin novedad"))</f>
        <v>Sobrante</v>
      </c>
    </row>
    <row r="3398" spans="1:14" x14ac:dyDescent="0.25">
      <c r="A3398" s="11">
        <v>46037</v>
      </c>
      <c r="B3398" s="5" t="s">
        <v>338</v>
      </c>
      <c r="C3398" s="3" t="s">
        <v>339</v>
      </c>
      <c r="D3398" s="5" t="s">
        <v>111</v>
      </c>
      <c r="E3398" s="5" t="s">
        <v>112</v>
      </c>
      <c r="F3398" s="6" t="s">
        <v>35</v>
      </c>
      <c r="G3398" s="4" t="s">
        <v>0</v>
      </c>
      <c r="H3398" s="25">
        <v>6045.125</v>
      </c>
      <c r="I3398" s="8">
        <v>18</v>
      </c>
      <c r="J3398" s="9">
        <v>19.72</v>
      </c>
      <c r="K3398" s="7">
        <v>1.72</v>
      </c>
      <c r="L3398" s="24">
        <f>+Tabla2[[#This Row],[Stock Inventario]]*Tabla2[[#This Row],[Coste LÃ­nea]]</f>
        <v>119209.86499999999</v>
      </c>
      <c r="M3398" s="24">
        <f>+Tabla2[[#This Row],[Variación Stock]]*Tabla2[[#This Row],[Coste LÃ­nea]]</f>
        <v>10397.615</v>
      </c>
      <c r="N3398" s="22" t="str">
        <f>+IF(Tabla2[[#This Row],[Variación Stock]]&gt;0,"Sobrante",IF(Tabla2[[#This Row],[Variación Stock]]&lt;0,"Faltante","Sin novedad"))</f>
        <v>Sobrante</v>
      </c>
    </row>
    <row r="3399" spans="1:14" x14ac:dyDescent="0.25">
      <c r="A3399" s="11">
        <v>46037</v>
      </c>
      <c r="B3399" s="5" t="s">
        <v>338</v>
      </c>
      <c r="C3399" s="3" t="s">
        <v>339</v>
      </c>
      <c r="D3399" s="5" t="s">
        <v>111</v>
      </c>
      <c r="E3399" s="5" t="s">
        <v>112</v>
      </c>
      <c r="F3399" s="6" t="s">
        <v>36</v>
      </c>
      <c r="G3399" s="4" t="s">
        <v>0</v>
      </c>
      <c r="H3399" s="25">
        <v>4075.1666666699998</v>
      </c>
      <c r="I3399" s="8">
        <v>68</v>
      </c>
      <c r="J3399" s="9">
        <v>72</v>
      </c>
      <c r="K3399" s="7">
        <v>4</v>
      </c>
      <c r="L3399" s="24">
        <f>+Tabla2[[#This Row],[Stock Inventario]]*Tabla2[[#This Row],[Coste LÃ­nea]]</f>
        <v>293412.00000023999</v>
      </c>
      <c r="M3399" s="24">
        <f>+Tabla2[[#This Row],[Variación Stock]]*Tabla2[[#This Row],[Coste LÃ­nea]]</f>
        <v>16300.666666679999</v>
      </c>
      <c r="N3399" s="22" t="str">
        <f>+IF(Tabla2[[#This Row],[Variación Stock]]&gt;0,"Sobrante",IF(Tabla2[[#This Row],[Variación Stock]]&lt;0,"Faltante","Sin novedad"))</f>
        <v>Sobrante</v>
      </c>
    </row>
    <row r="3400" spans="1:14" x14ac:dyDescent="0.25">
      <c r="A3400" s="11">
        <v>46037</v>
      </c>
      <c r="B3400" s="5" t="s">
        <v>338</v>
      </c>
      <c r="C3400" s="3" t="s">
        <v>339</v>
      </c>
      <c r="D3400" s="5" t="s">
        <v>111</v>
      </c>
      <c r="E3400" s="5" t="s">
        <v>112</v>
      </c>
      <c r="F3400" s="6" t="s">
        <v>138</v>
      </c>
      <c r="G3400" s="4" t="s">
        <v>0</v>
      </c>
      <c r="H3400" s="25">
        <v>4504.1666666700003</v>
      </c>
      <c r="I3400" s="8">
        <v>0</v>
      </c>
      <c r="J3400" s="9">
        <v>0</v>
      </c>
      <c r="K3400" s="7">
        <v>0</v>
      </c>
      <c r="L3400" s="24">
        <f>+Tabla2[[#This Row],[Stock Inventario]]*Tabla2[[#This Row],[Coste LÃ­nea]]</f>
        <v>0</v>
      </c>
      <c r="M3400" s="24">
        <f>+Tabla2[[#This Row],[Variación Stock]]*Tabla2[[#This Row],[Coste LÃ­nea]]</f>
        <v>0</v>
      </c>
      <c r="N3400" s="22" t="str">
        <f>+IF(Tabla2[[#This Row],[Variación Stock]]&gt;0,"Sobrante",IF(Tabla2[[#This Row],[Variación Stock]]&lt;0,"Faltante","Sin novedad"))</f>
        <v>Sin novedad</v>
      </c>
    </row>
    <row r="3401" spans="1:14" x14ac:dyDescent="0.25">
      <c r="A3401" s="11">
        <v>46037</v>
      </c>
      <c r="B3401" s="5" t="s">
        <v>338</v>
      </c>
      <c r="C3401" s="3" t="s">
        <v>339</v>
      </c>
      <c r="D3401" s="5" t="s">
        <v>111</v>
      </c>
      <c r="E3401" s="5" t="s">
        <v>112</v>
      </c>
      <c r="F3401" s="6" t="s">
        <v>38</v>
      </c>
      <c r="G3401" s="4" t="s">
        <v>0</v>
      </c>
      <c r="H3401" s="25">
        <v>2244.5833333300002</v>
      </c>
      <c r="I3401" s="8">
        <v>43</v>
      </c>
      <c r="J3401" s="9">
        <v>48</v>
      </c>
      <c r="K3401" s="7">
        <v>5</v>
      </c>
      <c r="L3401" s="24">
        <f>+Tabla2[[#This Row],[Stock Inventario]]*Tabla2[[#This Row],[Coste LÃ­nea]]</f>
        <v>107739.99999984002</v>
      </c>
      <c r="M3401" s="24">
        <f>+Tabla2[[#This Row],[Variación Stock]]*Tabla2[[#This Row],[Coste LÃ­nea]]</f>
        <v>11222.91666665</v>
      </c>
      <c r="N3401" s="22" t="str">
        <f>+IF(Tabla2[[#This Row],[Variación Stock]]&gt;0,"Sobrante",IF(Tabla2[[#This Row],[Variación Stock]]&lt;0,"Faltante","Sin novedad"))</f>
        <v>Sobrante</v>
      </c>
    </row>
    <row r="3402" spans="1:14" x14ac:dyDescent="0.25">
      <c r="A3402" s="11">
        <v>46037</v>
      </c>
      <c r="B3402" s="5" t="s">
        <v>338</v>
      </c>
      <c r="C3402" s="3" t="s">
        <v>339</v>
      </c>
      <c r="D3402" s="5" t="s">
        <v>111</v>
      </c>
      <c r="E3402" s="5" t="s">
        <v>112</v>
      </c>
      <c r="F3402" s="6" t="s">
        <v>51</v>
      </c>
      <c r="G3402" s="4" t="s">
        <v>0</v>
      </c>
      <c r="H3402" s="25">
        <v>9648.9583333299997</v>
      </c>
      <c r="I3402" s="8">
        <v>30.68</v>
      </c>
      <c r="J3402" s="9">
        <v>32</v>
      </c>
      <c r="K3402" s="7">
        <v>1.32</v>
      </c>
      <c r="L3402" s="24">
        <f>+Tabla2[[#This Row],[Stock Inventario]]*Tabla2[[#This Row],[Coste LÃ­nea]]</f>
        <v>308766.66666655999</v>
      </c>
      <c r="M3402" s="24">
        <f>+Tabla2[[#This Row],[Variación Stock]]*Tabla2[[#This Row],[Coste LÃ­nea]]</f>
        <v>12736.6249999956</v>
      </c>
      <c r="N3402" s="22" t="str">
        <f>+IF(Tabla2[[#This Row],[Variación Stock]]&gt;0,"Sobrante",IF(Tabla2[[#This Row],[Variación Stock]]&lt;0,"Faltante","Sin novedad"))</f>
        <v>Sobrante</v>
      </c>
    </row>
    <row r="3403" spans="1:14" x14ac:dyDescent="0.25">
      <c r="A3403" s="11">
        <v>46037</v>
      </c>
      <c r="B3403" s="5" t="s">
        <v>338</v>
      </c>
      <c r="C3403" s="3" t="s">
        <v>339</v>
      </c>
      <c r="D3403" s="5" t="s">
        <v>111</v>
      </c>
      <c r="E3403" s="5" t="s">
        <v>112</v>
      </c>
      <c r="F3403" s="6" t="s">
        <v>39</v>
      </c>
      <c r="G3403" s="4" t="s">
        <v>0</v>
      </c>
      <c r="H3403" s="25">
        <v>9924</v>
      </c>
      <c r="I3403" s="8">
        <v>24</v>
      </c>
      <c r="J3403" s="9">
        <v>25</v>
      </c>
      <c r="K3403" s="7">
        <v>1</v>
      </c>
      <c r="L3403" s="24">
        <f>+Tabla2[[#This Row],[Stock Inventario]]*Tabla2[[#This Row],[Coste LÃ­nea]]</f>
        <v>248100</v>
      </c>
      <c r="M3403" s="24">
        <f>+Tabla2[[#This Row],[Variación Stock]]*Tabla2[[#This Row],[Coste LÃ­nea]]</f>
        <v>9924</v>
      </c>
      <c r="N3403" s="22" t="str">
        <f>+IF(Tabla2[[#This Row],[Variación Stock]]&gt;0,"Sobrante",IF(Tabla2[[#This Row],[Variación Stock]]&lt;0,"Faltante","Sin novedad"))</f>
        <v>Sobrante</v>
      </c>
    </row>
    <row r="3404" spans="1:14" x14ac:dyDescent="0.25">
      <c r="A3404" s="11">
        <v>46037</v>
      </c>
      <c r="B3404" s="5" t="s">
        <v>338</v>
      </c>
      <c r="C3404" s="3" t="s">
        <v>339</v>
      </c>
      <c r="D3404" s="5" t="s">
        <v>111</v>
      </c>
      <c r="E3404" s="5" t="s">
        <v>112</v>
      </c>
      <c r="F3404" s="6" t="s">
        <v>41</v>
      </c>
      <c r="G3404" s="4" t="s">
        <v>0</v>
      </c>
      <c r="H3404" s="25">
        <v>1917.6875</v>
      </c>
      <c r="I3404" s="8">
        <v>5.36</v>
      </c>
      <c r="J3404" s="9">
        <v>28.16</v>
      </c>
      <c r="K3404" s="7">
        <v>22.8</v>
      </c>
      <c r="L3404" s="24">
        <f>+Tabla2[[#This Row],[Stock Inventario]]*Tabla2[[#This Row],[Coste LÃ­nea]]</f>
        <v>54002.080000000002</v>
      </c>
      <c r="M3404" s="24">
        <f>+Tabla2[[#This Row],[Variación Stock]]*Tabla2[[#This Row],[Coste LÃ­nea]]</f>
        <v>43723.275000000001</v>
      </c>
      <c r="N3404" s="22" t="str">
        <f>+IF(Tabla2[[#This Row],[Variación Stock]]&gt;0,"Sobrante",IF(Tabla2[[#This Row],[Variación Stock]]&lt;0,"Faltante","Sin novedad"))</f>
        <v>Sobrante</v>
      </c>
    </row>
    <row r="3405" spans="1:14" x14ac:dyDescent="0.25">
      <c r="A3405" s="11">
        <v>46037</v>
      </c>
      <c r="B3405" s="5" t="s">
        <v>338</v>
      </c>
      <c r="C3405" s="3" t="s">
        <v>339</v>
      </c>
      <c r="D3405" s="5" t="s">
        <v>111</v>
      </c>
      <c r="E3405" s="5" t="s">
        <v>112</v>
      </c>
      <c r="F3405" s="6" t="s">
        <v>43</v>
      </c>
      <c r="G3405" s="4" t="s">
        <v>0</v>
      </c>
      <c r="H3405" s="25">
        <v>3022.8541666699998</v>
      </c>
      <c r="I3405" s="8">
        <v>71.680000000000007</v>
      </c>
      <c r="J3405" s="9">
        <v>77</v>
      </c>
      <c r="K3405" s="7">
        <v>5.32</v>
      </c>
      <c r="L3405" s="24">
        <f>+Tabla2[[#This Row],[Stock Inventario]]*Tabla2[[#This Row],[Coste LÃ­nea]]</f>
        <v>232759.77083358998</v>
      </c>
      <c r="M3405" s="24">
        <f>+Tabla2[[#This Row],[Variación Stock]]*Tabla2[[#This Row],[Coste LÃ­nea]]</f>
        <v>16081.584166684401</v>
      </c>
      <c r="N3405" s="22" t="str">
        <f>+IF(Tabla2[[#This Row],[Variación Stock]]&gt;0,"Sobrante",IF(Tabla2[[#This Row],[Variación Stock]]&lt;0,"Faltante","Sin novedad"))</f>
        <v>Sobrante</v>
      </c>
    </row>
    <row r="3406" spans="1:14" x14ac:dyDescent="0.25">
      <c r="A3406" s="11">
        <v>46037</v>
      </c>
      <c r="B3406" s="5" t="s">
        <v>338</v>
      </c>
      <c r="C3406" s="3" t="s">
        <v>339</v>
      </c>
      <c r="D3406" s="5" t="s">
        <v>111</v>
      </c>
      <c r="E3406" s="5" t="s">
        <v>112</v>
      </c>
      <c r="F3406" s="6" t="s">
        <v>44</v>
      </c>
      <c r="G3406" s="4" t="s">
        <v>0</v>
      </c>
      <c r="H3406" s="25">
        <v>3500</v>
      </c>
      <c r="I3406" s="8">
        <v>12</v>
      </c>
      <c r="J3406" s="9">
        <v>14.42</v>
      </c>
      <c r="K3406" s="7">
        <v>2.42</v>
      </c>
      <c r="L3406" s="24">
        <f>+Tabla2[[#This Row],[Stock Inventario]]*Tabla2[[#This Row],[Coste LÃ­nea]]</f>
        <v>50470</v>
      </c>
      <c r="M3406" s="24">
        <f>+Tabla2[[#This Row],[Variación Stock]]*Tabla2[[#This Row],[Coste LÃ­nea]]</f>
        <v>8470</v>
      </c>
      <c r="N3406" s="22" t="str">
        <f>+IF(Tabla2[[#This Row],[Variación Stock]]&gt;0,"Sobrante",IF(Tabla2[[#This Row],[Variación Stock]]&lt;0,"Faltante","Sin novedad"))</f>
        <v>Sobrante</v>
      </c>
    </row>
    <row r="3407" spans="1:14" x14ac:dyDescent="0.25">
      <c r="A3407" s="11">
        <v>46037</v>
      </c>
      <c r="B3407" s="5" t="s">
        <v>338</v>
      </c>
      <c r="C3407" s="3" t="s">
        <v>339</v>
      </c>
      <c r="D3407" s="5" t="s">
        <v>111</v>
      </c>
      <c r="E3407" s="5" t="s">
        <v>112</v>
      </c>
      <c r="F3407" s="6" t="s">
        <v>45</v>
      </c>
      <c r="G3407" s="4" t="s">
        <v>2</v>
      </c>
      <c r="H3407" s="25">
        <v>26517.26</v>
      </c>
      <c r="I3407" s="8">
        <v>3</v>
      </c>
      <c r="J3407" s="9">
        <v>3</v>
      </c>
      <c r="K3407" s="7">
        <v>0</v>
      </c>
      <c r="L3407" s="24">
        <f>+Tabla2[[#This Row],[Stock Inventario]]*Tabla2[[#This Row],[Coste LÃ­nea]]</f>
        <v>79551.78</v>
      </c>
      <c r="M3407" s="24">
        <f>+Tabla2[[#This Row],[Variación Stock]]*Tabla2[[#This Row],[Coste LÃ­nea]]</f>
        <v>0</v>
      </c>
      <c r="N3407" s="22" t="str">
        <f>+IF(Tabla2[[#This Row],[Variación Stock]]&gt;0,"Sobrante",IF(Tabla2[[#This Row],[Variación Stock]]&lt;0,"Faltante","Sin novedad"))</f>
        <v>Sin novedad</v>
      </c>
    </row>
    <row r="3408" spans="1:14" x14ac:dyDescent="0.25">
      <c r="A3408" s="11">
        <v>46037</v>
      </c>
      <c r="B3408" s="5" t="s">
        <v>338</v>
      </c>
      <c r="C3408" s="3" t="s">
        <v>339</v>
      </c>
      <c r="D3408" s="5" t="s">
        <v>111</v>
      </c>
      <c r="E3408" s="5" t="s">
        <v>112</v>
      </c>
      <c r="F3408" s="6" t="s">
        <v>47</v>
      </c>
      <c r="G3408" s="4" t="s">
        <v>2</v>
      </c>
      <c r="H3408" s="25">
        <v>22770</v>
      </c>
      <c r="I3408" s="8">
        <v>3</v>
      </c>
      <c r="J3408" s="9">
        <v>3</v>
      </c>
      <c r="K3408" s="7">
        <v>0</v>
      </c>
      <c r="L3408" s="24">
        <f>+Tabla2[[#This Row],[Stock Inventario]]*Tabla2[[#This Row],[Coste LÃ­nea]]</f>
        <v>68310</v>
      </c>
      <c r="M3408" s="24">
        <f>+Tabla2[[#This Row],[Variación Stock]]*Tabla2[[#This Row],[Coste LÃ­nea]]</f>
        <v>0</v>
      </c>
      <c r="N3408" s="22" t="str">
        <f>+IF(Tabla2[[#This Row],[Variación Stock]]&gt;0,"Sobrante",IF(Tabla2[[#This Row],[Variación Stock]]&lt;0,"Faltante","Sin novedad"))</f>
        <v>Sin novedad</v>
      </c>
    </row>
    <row r="3409" spans="1:14" x14ac:dyDescent="0.25">
      <c r="A3409" s="11">
        <v>46037</v>
      </c>
      <c r="B3409" s="5" t="s">
        <v>338</v>
      </c>
      <c r="C3409" s="3" t="s">
        <v>339</v>
      </c>
      <c r="D3409" s="5" t="s">
        <v>111</v>
      </c>
      <c r="E3409" s="5" t="s">
        <v>112</v>
      </c>
      <c r="F3409" s="6" t="s">
        <v>48</v>
      </c>
      <c r="G3409" s="4" t="s">
        <v>0</v>
      </c>
      <c r="H3409" s="25">
        <v>1729.16666667</v>
      </c>
      <c r="I3409" s="8">
        <v>41</v>
      </c>
      <c r="J3409" s="9">
        <v>41.77</v>
      </c>
      <c r="K3409" s="7">
        <v>0.77</v>
      </c>
      <c r="L3409" s="24">
        <f>+Tabla2[[#This Row],[Stock Inventario]]*Tabla2[[#This Row],[Coste LÃ­nea]]</f>
        <v>72227.291666805904</v>
      </c>
      <c r="M3409" s="24">
        <f>+Tabla2[[#This Row],[Variación Stock]]*Tabla2[[#This Row],[Coste LÃ­nea]]</f>
        <v>1331.4583333359001</v>
      </c>
      <c r="N3409" s="22" t="str">
        <f>+IF(Tabla2[[#This Row],[Variación Stock]]&gt;0,"Sobrante",IF(Tabla2[[#This Row],[Variación Stock]]&lt;0,"Faltante","Sin novedad"))</f>
        <v>Sobrante</v>
      </c>
    </row>
    <row r="3410" spans="1:14" x14ac:dyDescent="0.25">
      <c r="A3410" s="11">
        <v>46037</v>
      </c>
      <c r="B3410" s="5" t="s">
        <v>338</v>
      </c>
      <c r="C3410" s="3" t="s">
        <v>339</v>
      </c>
      <c r="D3410" s="5" t="s">
        <v>111</v>
      </c>
      <c r="E3410" s="5" t="s">
        <v>112</v>
      </c>
      <c r="F3410" s="6" t="s">
        <v>49</v>
      </c>
      <c r="G3410" s="4" t="s">
        <v>2</v>
      </c>
      <c r="H3410" s="25">
        <v>23367.5</v>
      </c>
      <c r="I3410" s="8">
        <v>2</v>
      </c>
      <c r="J3410" s="9">
        <v>2</v>
      </c>
      <c r="K3410" s="7">
        <v>0</v>
      </c>
      <c r="L3410" s="24">
        <f>+Tabla2[[#This Row],[Stock Inventario]]*Tabla2[[#This Row],[Coste LÃ­nea]]</f>
        <v>46735</v>
      </c>
      <c r="M3410" s="24">
        <f>+Tabla2[[#This Row],[Variación Stock]]*Tabla2[[#This Row],[Coste LÃ­nea]]</f>
        <v>0</v>
      </c>
      <c r="N3410" s="22" t="str">
        <f>+IF(Tabla2[[#This Row],[Variación Stock]]&gt;0,"Sobrante",IF(Tabla2[[#This Row],[Variación Stock]]&lt;0,"Faltante","Sin novedad"))</f>
        <v>Sin novedad</v>
      </c>
    </row>
    <row r="3411" spans="1:14" x14ac:dyDescent="0.25">
      <c r="A3411" s="11">
        <v>46037</v>
      </c>
      <c r="B3411" s="5" t="s">
        <v>338</v>
      </c>
      <c r="C3411" s="3" t="s">
        <v>339</v>
      </c>
      <c r="D3411" s="5" t="s">
        <v>111</v>
      </c>
      <c r="E3411" s="5" t="s">
        <v>112</v>
      </c>
      <c r="F3411" s="6" t="s">
        <v>50</v>
      </c>
      <c r="G3411" s="4" t="s">
        <v>0</v>
      </c>
      <c r="H3411" s="25">
        <v>1658.625</v>
      </c>
      <c r="I3411" s="8">
        <v>34</v>
      </c>
      <c r="J3411" s="9">
        <v>38.799999999999997</v>
      </c>
      <c r="K3411" s="7">
        <v>4.8</v>
      </c>
      <c r="L3411" s="24">
        <f>+Tabla2[[#This Row],[Stock Inventario]]*Tabla2[[#This Row],[Coste LÃ­nea]]</f>
        <v>64354.649999999994</v>
      </c>
      <c r="M3411" s="24">
        <f>+Tabla2[[#This Row],[Variación Stock]]*Tabla2[[#This Row],[Coste LÃ­nea]]</f>
        <v>7961.4</v>
      </c>
      <c r="N3411" s="22" t="str">
        <f>+IF(Tabla2[[#This Row],[Variación Stock]]&gt;0,"Sobrante",IF(Tabla2[[#This Row],[Variación Stock]]&lt;0,"Faltante","Sin novedad"))</f>
        <v>Sobrante</v>
      </c>
    </row>
    <row r="3412" spans="1:14" x14ac:dyDescent="0.25">
      <c r="A3412" s="11">
        <v>46037</v>
      </c>
      <c r="B3412" s="5" t="s">
        <v>338</v>
      </c>
      <c r="C3412" s="3" t="s">
        <v>339</v>
      </c>
      <c r="D3412" s="5" t="s">
        <v>111</v>
      </c>
      <c r="E3412" s="5" t="s">
        <v>112</v>
      </c>
      <c r="F3412" s="6" t="s">
        <v>37</v>
      </c>
      <c r="G3412" s="4" t="s">
        <v>0</v>
      </c>
      <c r="H3412" s="25">
        <v>4279.4583333299997</v>
      </c>
      <c r="I3412" s="8">
        <v>14</v>
      </c>
      <c r="J3412" s="9">
        <v>14.72</v>
      </c>
      <c r="K3412" s="7">
        <v>0.72</v>
      </c>
      <c r="L3412" s="24">
        <f>+Tabla2[[#This Row],[Stock Inventario]]*Tabla2[[#This Row],[Coste LÃ­nea]]</f>
        <v>62993.626666617602</v>
      </c>
      <c r="M3412" s="24">
        <f>+Tabla2[[#This Row],[Variación Stock]]*Tabla2[[#This Row],[Coste LÃ­nea]]</f>
        <v>3081.2099999975999</v>
      </c>
      <c r="N3412" s="22" t="str">
        <f>+IF(Tabla2[[#This Row],[Variación Stock]]&gt;0,"Sobrante",IF(Tabla2[[#This Row],[Variación Stock]]&lt;0,"Faltante","Sin novedad"))</f>
        <v>Sobrante</v>
      </c>
    </row>
    <row r="3413" spans="1:14" x14ac:dyDescent="0.25">
      <c r="A3413" s="11">
        <v>46037</v>
      </c>
      <c r="B3413" s="5" t="s">
        <v>338</v>
      </c>
      <c r="C3413" s="3" t="s">
        <v>339</v>
      </c>
      <c r="D3413" s="5" t="s">
        <v>111</v>
      </c>
      <c r="E3413" s="5" t="s">
        <v>112</v>
      </c>
      <c r="F3413" s="6" t="s">
        <v>141</v>
      </c>
      <c r="G3413" s="4" t="s">
        <v>0</v>
      </c>
      <c r="H3413" s="25">
        <v>5670.8333333299997</v>
      </c>
      <c r="I3413" s="8">
        <v>0</v>
      </c>
      <c r="J3413" s="9">
        <v>0</v>
      </c>
      <c r="K3413" s="7">
        <v>0</v>
      </c>
      <c r="L3413" s="24">
        <f>+Tabla2[[#This Row],[Stock Inventario]]*Tabla2[[#This Row],[Coste LÃ­nea]]</f>
        <v>0</v>
      </c>
      <c r="M3413" s="24">
        <f>+Tabla2[[#This Row],[Variación Stock]]*Tabla2[[#This Row],[Coste LÃ­nea]]</f>
        <v>0</v>
      </c>
      <c r="N3413" s="22" t="str">
        <f>+IF(Tabla2[[#This Row],[Variación Stock]]&gt;0,"Sobrante",IF(Tabla2[[#This Row],[Variación Stock]]&lt;0,"Faltante","Sin novedad"))</f>
        <v>Sin novedad</v>
      </c>
    </row>
    <row r="3414" spans="1:14" x14ac:dyDescent="0.25">
      <c r="A3414" s="11">
        <v>46037</v>
      </c>
      <c r="B3414" s="5" t="s">
        <v>338</v>
      </c>
      <c r="C3414" s="3" t="s">
        <v>339</v>
      </c>
      <c r="D3414" s="5" t="s">
        <v>111</v>
      </c>
      <c r="E3414" s="5" t="s">
        <v>112</v>
      </c>
      <c r="F3414" s="6" t="s">
        <v>40</v>
      </c>
      <c r="G3414" s="4" t="s">
        <v>0</v>
      </c>
      <c r="H3414" s="25">
        <v>2077.8620689700001</v>
      </c>
      <c r="I3414" s="8">
        <v>60</v>
      </c>
      <c r="J3414" s="9">
        <v>56</v>
      </c>
      <c r="K3414" s="7">
        <v>-4</v>
      </c>
      <c r="L3414" s="24">
        <f>+Tabla2[[#This Row],[Stock Inventario]]*Tabla2[[#This Row],[Coste LÃ­nea]]</f>
        <v>116360.27586232001</v>
      </c>
      <c r="M3414" s="24">
        <f>+Tabla2[[#This Row],[Variación Stock]]*Tabla2[[#This Row],[Coste LÃ­nea]]</f>
        <v>-8311.4482758800004</v>
      </c>
      <c r="N3414" s="22" t="str">
        <f>+IF(Tabla2[[#This Row],[Variación Stock]]&gt;0,"Sobrante",IF(Tabla2[[#This Row],[Variación Stock]]&lt;0,"Faltante","Sin novedad"))</f>
        <v>Faltante</v>
      </c>
    </row>
    <row r="3415" spans="1:14" x14ac:dyDescent="0.25">
      <c r="A3415" s="11">
        <v>46037</v>
      </c>
      <c r="B3415" s="5" t="s">
        <v>338</v>
      </c>
      <c r="C3415" s="3" t="s">
        <v>339</v>
      </c>
      <c r="D3415" s="5" t="s">
        <v>111</v>
      </c>
      <c r="E3415" s="5" t="s">
        <v>112</v>
      </c>
      <c r="F3415" s="6" t="s">
        <v>53</v>
      </c>
      <c r="G3415" s="4" t="s">
        <v>2</v>
      </c>
      <c r="H3415" s="25">
        <v>45099.74</v>
      </c>
      <c r="I3415" s="8">
        <v>2</v>
      </c>
      <c r="J3415" s="9">
        <v>2</v>
      </c>
      <c r="K3415" s="7">
        <v>0</v>
      </c>
      <c r="L3415" s="24">
        <f>+Tabla2[[#This Row],[Stock Inventario]]*Tabla2[[#This Row],[Coste LÃ­nea]]</f>
        <v>90199.48</v>
      </c>
      <c r="M3415" s="24">
        <f>+Tabla2[[#This Row],[Variación Stock]]*Tabla2[[#This Row],[Coste LÃ­nea]]</f>
        <v>0</v>
      </c>
      <c r="N3415" s="22" t="str">
        <f>+IF(Tabla2[[#This Row],[Variación Stock]]&gt;0,"Sobrante",IF(Tabla2[[#This Row],[Variación Stock]]&lt;0,"Faltante","Sin novedad"))</f>
        <v>Sin novedad</v>
      </c>
    </row>
    <row r="3416" spans="1:14" x14ac:dyDescent="0.25">
      <c r="A3416" s="11">
        <v>46037</v>
      </c>
      <c r="B3416" s="5" t="s">
        <v>338</v>
      </c>
      <c r="C3416" s="3" t="s">
        <v>339</v>
      </c>
      <c r="D3416" s="5" t="s">
        <v>111</v>
      </c>
      <c r="E3416" s="5" t="s">
        <v>112</v>
      </c>
      <c r="F3416" s="6" t="s">
        <v>54</v>
      </c>
      <c r="G3416" s="4" t="s">
        <v>0</v>
      </c>
      <c r="H3416" s="25">
        <v>0</v>
      </c>
      <c r="I3416" s="8">
        <v>0</v>
      </c>
      <c r="J3416" s="9">
        <v>0</v>
      </c>
      <c r="K3416" s="7">
        <v>0</v>
      </c>
      <c r="L3416" s="24">
        <f>+Tabla2[[#This Row],[Stock Inventario]]*Tabla2[[#This Row],[Coste LÃ­nea]]</f>
        <v>0</v>
      </c>
      <c r="M3416" s="24">
        <f>+Tabla2[[#This Row],[Variación Stock]]*Tabla2[[#This Row],[Coste LÃ­nea]]</f>
        <v>0</v>
      </c>
      <c r="N3416" s="22" t="str">
        <f>+IF(Tabla2[[#This Row],[Variación Stock]]&gt;0,"Sobrante",IF(Tabla2[[#This Row],[Variación Stock]]&lt;0,"Faltante","Sin novedad"))</f>
        <v>Sin novedad</v>
      </c>
    </row>
    <row r="3417" spans="1:14" x14ac:dyDescent="0.25">
      <c r="A3417" s="11">
        <v>46037</v>
      </c>
      <c r="B3417" s="5" t="s">
        <v>338</v>
      </c>
      <c r="C3417" s="3" t="s">
        <v>339</v>
      </c>
      <c r="D3417" s="5" t="s">
        <v>111</v>
      </c>
      <c r="E3417" s="5" t="s">
        <v>112</v>
      </c>
      <c r="F3417" s="6" t="s">
        <v>55</v>
      </c>
      <c r="G3417" s="4" t="s">
        <v>0</v>
      </c>
      <c r="H3417" s="25">
        <v>3171.7162499999999</v>
      </c>
      <c r="I3417" s="8">
        <v>40</v>
      </c>
      <c r="J3417" s="9">
        <v>43</v>
      </c>
      <c r="K3417" s="7">
        <v>3</v>
      </c>
      <c r="L3417" s="24">
        <f>+Tabla2[[#This Row],[Stock Inventario]]*Tabla2[[#This Row],[Coste LÃ­nea]]</f>
        <v>136383.79874999999</v>
      </c>
      <c r="M3417" s="24">
        <f>+Tabla2[[#This Row],[Variación Stock]]*Tabla2[[#This Row],[Coste LÃ­nea]]</f>
        <v>9515.1487500000003</v>
      </c>
      <c r="N3417" s="22" t="str">
        <f>+IF(Tabla2[[#This Row],[Variación Stock]]&gt;0,"Sobrante",IF(Tabla2[[#This Row],[Variación Stock]]&lt;0,"Faltante","Sin novedad"))</f>
        <v>Sobrante</v>
      </c>
    </row>
    <row r="3418" spans="1:14" x14ac:dyDescent="0.25">
      <c r="A3418" s="11">
        <v>46037</v>
      </c>
      <c r="B3418" s="5" t="s">
        <v>338</v>
      </c>
      <c r="C3418" s="3" t="s">
        <v>339</v>
      </c>
      <c r="D3418" s="5" t="s">
        <v>111</v>
      </c>
      <c r="E3418" s="5" t="s">
        <v>112</v>
      </c>
      <c r="F3418" s="6" t="s">
        <v>56</v>
      </c>
      <c r="G3418" s="4" t="s">
        <v>0</v>
      </c>
      <c r="H3418" s="25">
        <v>5291.6666666700003</v>
      </c>
      <c r="I3418" s="8">
        <v>0</v>
      </c>
      <c r="J3418" s="9">
        <v>0</v>
      </c>
      <c r="K3418" s="7">
        <v>0</v>
      </c>
      <c r="L3418" s="24">
        <f>+Tabla2[[#This Row],[Stock Inventario]]*Tabla2[[#This Row],[Coste LÃ­nea]]</f>
        <v>0</v>
      </c>
      <c r="M3418" s="24">
        <f>+Tabla2[[#This Row],[Variación Stock]]*Tabla2[[#This Row],[Coste LÃ­nea]]</f>
        <v>0</v>
      </c>
      <c r="N3418" s="22" t="str">
        <f>+IF(Tabla2[[#This Row],[Variación Stock]]&gt;0,"Sobrante",IF(Tabla2[[#This Row],[Variación Stock]]&lt;0,"Faltante","Sin novedad"))</f>
        <v>Sin novedad</v>
      </c>
    </row>
    <row r="3419" spans="1:14" x14ac:dyDescent="0.25">
      <c r="A3419" s="11">
        <v>46037</v>
      </c>
      <c r="B3419" s="5" t="s">
        <v>338</v>
      </c>
      <c r="C3419" s="3" t="s">
        <v>339</v>
      </c>
      <c r="D3419" s="5" t="s">
        <v>111</v>
      </c>
      <c r="E3419" s="5" t="s">
        <v>112</v>
      </c>
      <c r="F3419" s="6" t="s">
        <v>113</v>
      </c>
      <c r="G3419" s="4" t="s">
        <v>0</v>
      </c>
      <c r="H3419" s="25">
        <v>15318.181818180001</v>
      </c>
      <c r="I3419" s="8">
        <v>28</v>
      </c>
      <c r="J3419" s="9">
        <v>28.14</v>
      </c>
      <c r="K3419" s="7">
        <v>0.14000000000000001</v>
      </c>
      <c r="L3419" s="24">
        <f>+Tabla2[[#This Row],[Stock Inventario]]*Tabla2[[#This Row],[Coste LÃ­nea]]</f>
        <v>431053.63636358525</v>
      </c>
      <c r="M3419" s="24">
        <f>+Tabla2[[#This Row],[Variación Stock]]*Tabla2[[#This Row],[Coste LÃ­nea]]</f>
        <v>2144.5454545452003</v>
      </c>
      <c r="N3419" s="22" t="str">
        <f>+IF(Tabla2[[#This Row],[Variación Stock]]&gt;0,"Sobrante",IF(Tabla2[[#This Row],[Variación Stock]]&lt;0,"Faltante","Sin novedad"))</f>
        <v>Sobrante</v>
      </c>
    </row>
    <row r="3420" spans="1:14" x14ac:dyDescent="0.25">
      <c r="A3420" s="11">
        <v>46037</v>
      </c>
      <c r="B3420" s="5" t="s">
        <v>338</v>
      </c>
      <c r="C3420" s="3" t="s">
        <v>339</v>
      </c>
      <c r="D3420" s="5" t="s">
        <v>111</v>
      </c>
      <c r="E3420" s="5" t="s">
        <v>112</v>
      </c>
      <c r="F3420" s="6" t="s">
        <v>52</v>
      </c>
      <c r="G3420" s="4" t="s">
        <v>0</v>
      </c>
      <c r="H3420" s="25">
        <v>6800.3640183199996</v>
      </c>
      <c r="I3420" s="8">
        <v>39.340000000000003</v>
      </c>
      <c r="J3420" s="9">
        <v>41</v>
      </c>
      <c r="K3420" s="7">
        <v>1.66</v>
      </c>
      <c r="L3420" s="24">
        <f>+Tabla2[[#This Row],[Stock Inventario]]*Tabla2[[#This Row],[Coste LÃ­nea]]</f>
        <v>278814.92475111998</v>
      </c>
      <c r="M3420" s="24">
        <f>+Tabla2[[#This Row],[Variación Stock]]*Tabla2[[#This Row],[Coste LÃ­nea]]</f>
        <v>11288.604270411199</v>
      </c>
      <c r="N3420" s="22" t="str">
        <f>+IF(Tabla2[[#This Row],[Variación Stock]]&gt;0,"Sobrante",IF(Tabla2[[#This Row],[Variación Stock]]&lt;0,"Faltante","Sin novedad"))</f>
        <v>Sobrante</v>
      </c>
    </row>
    <row r="3421" spans="1:14" x14ac:dyDescent="0.25">
      <c r="A3421" s="11">
        <v>46037</v>
      </c>
      <c r="B3421" s="5" t="s">
        <v>338</v>
      </c>
      <c r="C3421" s="3" t="s">
        <v>339</v>
      </c>
      <c r="D3421" s="5" t="s">
        <v>111</v>
      </c>
      <c r="E3421" s="5" t="s">
        <v>112</v>
      </c>
      <c r="F3421" s="6" t="s">
        <v>57</v>
      </c>
      <c r="G3421" s="4" t="s">
        <v>0</v>
      </c>
      <c r="H3421" s="25">
        <v>1993.59090909</v>
      </c>
      <c r="I3421" s="8">
        <v>66.02</v>
      </c>
      <c r="J3421" s="9">
        <v>33</v>
      </c>
      <c r="K3421" s="7">
        <v>-33.020000000000003</v>
      </c>
      <c r="L3421" s="24">
        <f>+Tabla2[[#This Row],[Stock Inventario]]*Tabla2[[#This Row],[Coste LÃ­nea]]</f>
        <v>65788.499999969994</v>
      </c>
      <c r="M3421" s="24">
        <f>+Tabla2[[#This Row],[Variación Stock]]*Tabla2[[#This Row],[Coste LÃ­nea]]</f>
        <v>-65828.371818151805</v>
      </c>
      <c r="N3421" s="22" t="str">
        <f>+IF(Tabla2[[#This Row],[Variación Stock]]&gt;0,"Sobrante",IF(Tabla2[[#This Row],[Variación Stock]]&lt;0,"Faltante","Sin novedad"))</f>
        <v>Faltante</v>
      </c>
    </row>
    <row r="3422" spans="1:14" x14ac:dyDescent="0.25">
      <c r="A3422" s="11">
        <v>46037</v>
      </c>
      <c r="B3422" s="5" t="s">
        <v>338</v>
      </c>
      <c r="C3422" s="3" t="s">
        <v>339</v>
      </c>
      <c r="D3422" s="5" t="s">
        <v>111</v>
      </c>
      <c r="E3422" s="5" t="s">
        <v>112</v>
      </c>
      <c r="F3422" s="6" t="s">
        <v>288</v>
      </c>
      <c r="G3422" s="4" t="s">
        <v>0</v>
      </c>
      <c r="H3422" s="25">
        <v>4721.625</v>
      </c>
      <c r="I3422" s="8">
        <v>26.68</v>
      </c>
      <c r="J3422" s="9">
        <v>0</v>
      </c>
      <c r="K3422" s="7">
        <v>-26.68</v>
      </c>
      <c r="L3422" s="24">
        <f>+Tabla2[[#This Row],[Stock Inventario]]*Tabla2[[#This Row],[Coste LÃ­nea]]</f>
        <v>0</v>
      </c>
      <c r="M3422" s="24">
        <f>+Tabla2[[#This Row],[Variación Stock]]*Tabla2[[#This Row],[Coste LÃ­nea]]</f>
        <v>-125972.955</v>
      </c>
      <c r="N3422" s="22" t="str">
        <f>+IF(Tabla2[[#This Row],[Variación Stock]]&gt;0,"Sobrante",IF(Tabla2[[#This Row],[Variación Stock]]&lt;0,"Faltante","Sin novedad"))</f>
        <v>Faltante</v>
      </c>
    </row>
    <row r="3423" spans="1:14" x14ac:dyDescent="0.25">
      <c r="A3423" s="11">
        <v>46037</v>
      </c>
      <c r="B3423" s="5" t="s">
        <v>338</v>
      </c>
      <c r="C3423" s="3" t="s">
        <v>339</v>
      </c>
      <c r="D3423" s="5" t="s">
        <v>111</v>
      </c>
      <c r="E3423" s="5" t="s">
        <v>112</v>
      </c>
      <c r="F3423" s="6" t="s">
        <v>58</v>
      </c>
      <c r="G3423" s="4" t="s">
        <v>0</v>
      </c>
      <c r="H3423" s="25">
        <v>6303.0416666700003</v>
      </c>
      <c r="I3423" s="8">
        <v>40</v>
      </c>
      <c r="J3423" s="9">
        <v>48</v>
      </c>
      <c r="K3423" s="7">
        <v>8</v>
      </c>
      <c r="L3423" s="24">
        <f>+Tabla2[[#This Row],[Stock Inventario]]*Tabla2[[#This Row],[Coste LÃ­nea]]</f>
        <v>302546.00000016001</v>
      </c>
      <c r="M3423" s="24">
        <f>+Tabla2[[#This Row],[Variación Stock]]*Tabla2[[#This Row],[Coste LÃ­nea]]</f>
        <v>50424.333333360002</v>
      </c>
      <c r="N3423" s="22" t="str">
        <f>+IF(Tabla2[[#This Row],[Variación Stock]]&gt;0,"Sobrante",IF(Tabla2[[#This Row],[Variación Stock]]&lt;0,"Faltante","Sin novedad"))</f>
        <v>Sobrante</v>
      </c>
    </row>
    <row r="3424" spans="1:14" x14ac:dyDescent="0.25">
      <c r="A3424" s="11">
        <v>46037</v>
      </c>
      <c r="B3424" s="5" t="s">
        <v>338</v>
      </c>
      <c r="C3424" s="3" t="s">
        <v>339</v>
      </c>
      <c r="D3424" s="5" t="s">
        <v>111</v>
      </c>
      <c r="E3424" s="5" t="s">
        <v>112</v>
      </c>
      <c r="F3424" s="6" t="s">
        <v>59</v>
      </c>
      <c r="G3424" s="4" t="s">
        <v>0</v>
      </c>
      <c r="H3424" s="25">
        <v>2047.54310345</v>
      </c>
      <c r="I3424" s="8">
        <v>92.5</v>
      </c>
      <c r="J3424" s="9">
        <v>48</v>
      </c>
      <c r="K3424" s="7">
        <v>-44.5</v>
      </c>
      <c r="L3424" s="24">
        <f>+Tabla2[[#This Row],[Stock Inventario]]*Tabla2[[#This Row],[Coste LÃ­nea]]</f>
        <v>98282.068965600003</v>
      </c>
      <c r="M3424" s="24">
        <f>+Tabla2[[#This Row],[Variación Stock]]*Tabla2[[#This Row],[Coste LÃ­nea]]</f>
        <v>-91115.668103524993</v>
      </c>
      <c r="N3424" s="22" t="str">
        <f>+IF(Tabla2[[#This Row],[Variación Stock]]&gt;0,"Sobrante",IF(Tabla2[[#This Row],[Variación Stock]]&lt;0,"Faltante","Sin novedad"))</f>
        <v>Faltante</v>
      </c>
    </row>
    <row r="3425" spans="1:14" x14ac:dyDescent="0.25">
      <c r="A3425" s="11">
        <v>46037</v>
      </c>
      <c r="B3425" s="5" t="s">
        <v>338</v>
      </c>
      <c r="C3425" s="3" t="s">
        <v>339</v>
      </c>
      <c r="D3425" s="5" t="s">
        <v>114</v>
      </c>
      <c r="E3425" s="5" t="s">
        <v>112</v>
      </c>
      <c r="F3425" s="6" t="s">
        <v>146</v>
      </c>
      <c r="G3425" s="4" t="s">
        <v>2</v>
      </c>
      <c r="H3425" s="25">
        <v>0</v>
      </c>
      <c r="I3425" s="8">
        <v>0</v>
      </c>
      <c r="J3425" s="9">
        <v>0</v>
      </c>
      <c r="K3425" s="7">
        <v>0</v>
      </c>
      <c r="L3425" s="24">
        <f>+Tabla2[[#This Row],[Stock Inventario]]*Tabla2[[#This Row],[Coste LÃ­nea]]</f>
        <v>0</v>
      </c>
      <c r="M3425" s="24">
        <f>+Tabla2[[#This Row],[Variación Stock]]*Tabla2[[#This Row],[Coste LÃ­nea]]</f>
        <v>0</v>
      </c>
      <c r="N3425" s="22" t="str">
        <f>+IF(Tabla2[[#This Row],[Variación Stock]]&gt;0,"Sobrante",IF(Tabla2[[#This Row],[Variación Stock]]&lt;0,"Faltante","Sin novedad"))</f>
        <v>Sin novedad</v>
      </c>
    </row>
    <row r="3426" spans="1:14" x14ac:dyDescent="0.25">
      <c r="A3426" s="11">
        <v>46037</v>
      </c>
      <c r="B3426" s="5" t="s">
        <v>338</v>
      </c>
      <c r="C3426" s="3" t="s">
        <v>339</v>
      </c>
      <c r="D3426" s="5" t="s">
        <v>114</v>
      </c>
      <c r="E3426" s="5" t="s">
        <v>112</v>
      </c>
      <c r="F3426" s="6" t="s">
        <v>147</v>
      </c>
      <c r="G3426" s="4" t="s">
        <v>2</v>
      </c>
      <c r="H3426" s="25">
        <v>3333.3333333300002</v>
      </c>
      <c r="I3426" s="8">
        <v>0</v>
      </c>
      <c r="J3426" s="9">
        <v>0</v>
      </c>
      <c r="K3426" s="7">
        <v>0</v>
      </c>
      <c r="L3426" s="24">
        <f>+Tabla2[[#This Row],[Stock Inventario]]*Tabla2[[#This Row],[Coste LÃ­nea]]</f>
        <v>0</v>
      </c>
      <c r="M3426" s="24">
        <f>+Tabla2[[#This Row],[Variación Stock]]*Tabla2[[#This Row],[Coste LÃ­nea]]</f>
        <v>0</v>
      </c>
      <c r="N3426" s="22" t="str">
        <f>+IF(Tabla2[[#This Row],[Variación Stock]]&gt;0,"Sobrante",IF(Tabla2[[#This Row],[Variación Stock]]&lt;0,"Faltante","Sin novedad"))</f>
        <v>Sin novedad</v>
      </c>
    </row>
    <row r="3427" spans="1:14" x14ac:dyDescent="0.25">
      <c r="A3427" s="11">
        <v>46037</v>
      </c>
      <c r="B3427" s="5" t="s">
        <v>338</v>
      </c>
      <c r="C3427" s="3" t="s">
        <v>339</v>
      </c>
      <c r="D3427" s="5" t="s">
        <v>114</v>
      </c>
      <c r="E3427" s="5" t="s">
        <v>112</v>
      </c>
      <c r="F3427" s="6" t="s">
        <v>110</v>
      </c>
      <c r="G3427" s="4" t="s">
        <v>2</v>
      </c>
      <c r="H3427" s="25">
        <v>0</v>
      </c>
      <c r="I3427" s="8">
        <v>0</v>
      </c>
      <c r="J3427" s="9">
        <v>0</v>
      </c>
      <c r="K3427" s="7">
        <v>0</v>
      </c>
      <c r="L3427" s="24">
        <f>+Tabla2[[#This Row],[Stock Inventario]]*Tabla2[[#This Row],[Coste LÃ­nea]]</f>
        <v>0</v>
      </c>
      <c r="M3427" s="24">
        <f>+Tabla2[[#This Row],[Variación Stock]]*Tabla2[[#This Row],[Coste LÃ­nea]]</f>
        <v>0</v>
      </c>
      <c r="N3427" s="22" t="str">
        <f>+IF(Tabla2[[#This Row],[Variación Stock]]&gt;0,"Sobrante",IF(Tabla2[[#This Row],[Variación Stock]]&lt;0,"Faltante","Sin novedad"))</f>
        <v>Sin novedad</v>
      </c>
    </row>
    <row r="3428" spans="1:14" x14ac:dyDescent="0.25">
      <c r="A3428" s="11">
        <v>46037</v>
      </c>
      <c r="B3428" s="5" t="s">
        <v>338</v>
      </c>
      <c r="C3428" s="3" t="s">
        <v>339</v>
      </c>
      <c r="D3428" s="5" t="s">
        <v>114</v>
      </c>
      <c r="E3428" s="5" t="s">
        <v>112</v>
      </c>
      <c r="F3428" s="6" t="s">
        <v>60</v>
      </c>
      <c r="G3428" s="4" t="s">
        <v>2</v>
      </c>
      <c r="H3428" s="25">
        <v>2323.7453703800002</v>
      </c>
      <c r="I3428" s="8">
        <v>31</v>
      </c>
      <c r="J3428" s="9">
        <v>56</v>
      </c>
      <c r="K3428" s="7">
        <v>25</v>
      </c>
      <c r="L3428" s="24">
        <f>+Tabla2[[#This Row],[Stock Inventario]]*Tabla2[[#This Row],[Coste LÃ­nea]]</f>
        <v>130129.74074128001</v>
      </c>
      <c r="M3428" s="24">
        <f>+Tabla2[[#This Row],[Variación Stock]]*Tabla2[[#This Row],[Coste LÃ­nea]]</f>
        <v>58093.634259500002</v>
      </c>
      <c r="N3428" s="22" t="str">
        <f>+IF(Tabla2[[#This Row],[Variación Stock]]&gt;0,"Sobrante",IF(Tabla2[[#This Row],[Variación Stock]]&lt;0,"Faltante","Sin novedad"))</f>
        <v>Sobrante</v>
      </c>
    </row>
    <row r="3429" spans="1:14" x14ac:dyDescent="0.25">
      <c r="A3429" s="11">
        <v>46037</v>
      </c>
      <c r="B3429" s="5" t="s">
        <v>338</v>
      </c>
      <c r="C3429" s="3" t="s">
        <v>339</v>
      </c>
      <c r="D3429" s="5" t="s">
        <v>114</v>
      </c>
      <c r="E3429" s="5" t="s">
        <v>112</v>
      </c>
      <c r="F3429" s="6" t="s">
        <v>61</v>
      </c>
      <c r="G3429" s="4" t="s">
        <v>2</v>
      </c>
      <c r="H3429" s="25">
        <v>2119.75</v>
      </c>
      <c r="I3429" s="8">
        <v>-1</v>
      </c>
      <c r="J3429" s="9">
        <v>46</v>
      </c>
      <c r="K3429" s="7">
        <v>47</v>
      </c>
      <c r="L3429" s="24">
        <f>+Tabla2[[#This Row],[Stock Inventario]]*Tabla2[[#This Row],[Coste LÃ­nea]]</f>
        <v>97508.5</v>
      </c>
      <c r="M3429" s="24">
        <f>+Tabla2[[#This Row],[Variación Stock]]*Tabla2[[#This Row],[Coste LÃ­nea]]</f>
        <v>99628.25</v>
      </c>
      <c r="N3429" s="22" t="str">
        <f>+IF(Tabla2[[#This Row],[Variación Stock]]&gt;0,"Sobrante",IF(Tabla2[[#This Row],[Variación Stock]]&lt;0,"Faltante","Sin novedad"))</f>
        <v>Sobrante</v>
      </c>
    </row>
    <row r="3430" spans="1:14" x14ac:dyDescent="0.25">
      <c r="A3430" s="11">
        <v>46037</v>
      </c>
      <c r="B3430" s="5" t="s">
        <v>338</v>
      </c>
      <c r="C3430" s="3" t="s">
        <v>339</v>
      </c>
      <c r="D3430" s="5" t="s">
        <v>114</v>
      </c>
      <c r="E3430" s="5" t="s">
        <v>112</v>
      </c>
      <c r="F3430" s="6" t="s">
        <v>62</v>
      </c>
      <c r="G3430" s="4" t="s">
        <v>2</v>
      </c>
      <c r="H3430" s="25">
        <v>1654.1729616299999</v>
      </c>
      <c r="I3430" s="8">
        <v>4.16</v>
      </c>
      <c r="J3430" s="9">
        <v>23</v>
      </c>
      <c r="K3430" s="7">
        <v>18.84</v>
      </c>
      <c r="L3430" s="24">
        <f>+Tabla2[[#This Row],[Stock Inventario]]*Tabla2[[#This Row],[Coste LÃ­nea]]</f>
        <v>38045.978117489998</v>
      </c>
      <c r="M3430" s="24">
        <f>+Tabla2[[#This Row],[Variación Stock]]*Tabla2[[#This Row],[Coste LÃ­nea]]</f>
        <v>31164.618597109198</v>
      </c>
      <c r="N3430" s="22" t="str">
        <f>+IF(Tabla2[[#This Row],[Variación Stock]]&gt;0,"Sobrante",IF(Tabla2[[#This Row],[Variación Stock]]&lt;0,"Faltante","Sin novedad"))</f>
        <v>Sobrante</v>
      </c>
    </row>
    <row r="3431" spans="1:14" x14ac:dyDescent="0.25">
      <c r="A3431" s="11">
        <v>46037</v>
      </c>
      <c r="B3431" s="5" t="s">
        <v>338</v>
      </c>
      <c r="C3431" s="3" t="s">
        <v>339</v>
      </c>
      <c r="D3431" s="5" t="s">
        <v>114</v>
      </c>
      <c r="E3431" s="5" t="s">
        <v>112</v>
      </c>
      <c r="F3431" s="6" t="s">
        <v>3</v>
      </c>
      <c r="G3431" s="4" t="s">
        <v>2</v>
      </c>
      <c r="H3431" s="25">
        <v>1497.59166667</v>
      </c>
      <c r="I3431" s="8">
        <v>22.1</v>
      </c>
      <c r="J3431" s="9">
        <v>157</v>
      </c>
      <c r="K3431" s="7">
        <v>134.9</v>
      </c>
      <c r="L3431" s="24">
        <f>+Tabla2[[#This Row],[Stock Inventario]]*Tabla2[[#This Row],[Coste LÃ­nea]]</f>
        <v>235121.89166719001</v>
      </c>
      <c r="M3431" s="24">
        <f>+Tabla2[[#This Row],[Variación Stock]]*Tabla2[[#This Row],[Coste LÃ­nea]]</f>
        <v>202025.115833783</v>
      </c>
      <c r="N3431" s="22" t="str">
        <f>+IF(Tabla2[[#This Row],[Variación Stock]]&gt;0,"Sobrante",IF(Tabla2[[#This Row],[Variación Stock]]&lt;0,"Faltante","Sin novedad"))</f>
        <v>Sobrante</v>
      </c>
    </row>
    <row r="3432" spans="1:14" x14ac:dyDescent="0.25">
      <c r="A3432" s="11">
        <v>46037</v>
      </c>
      <c r="B3432" s="5" t="s">
        <v>338</v>
      </c>
      <c r="C3432" s="3" t="s">
        <v>339</v>
      </c>
      <c r="D3432" s="5" t="s">
        <v>114</v>
      </c>
      <c r="E3432" s="5" t="s">
        <v>112</v>
      </c>
      <c r="F3432" s="6" t="s">
        <v>63</v>
      </c>
      <c r="G3432" s="4" t="s">
        <v>2</v>
      </c>
      <c r="H3432" s="25">
        <v>1395.83333333</v>
      </c>
      <c r="I3432" s="8">
        <v>-2</v>
      </c>
      <c r="J3432" s="9">
        <v>0</v>
      </c>
      <c r="K3432" s="7">
        <v>2</v>
      </c>
      <c r="L3432" s="24">
        <f>+Tabla2[[#This Row],[Stock Inventario]]*Tabla2[[#This Row],[Coste LÃ­nea]]</f>
        <v>0</v>
      </c>
      <c r="M3432" s="24">
        <f>+Tabla2[[#This Row],[Variación Stock]]*Tabla2[[#This Row],[Coste LÃ­nea]]</f>
        <v>2791.6666666599999</v>
      </c>
      <c r="N3432" s="22" t="str">
        <f>+IF(Tabla2[[#This Row],[Variación Stock]]&gt;0,"Sobrante",IF(Tabla2[[#This Row],[Variación Stock]]&lt;0,"Faltante","Sin novedad"))</f>
        <v>Sobrante</v>
      </c>
    </row>
    <row r="3433" spans="1:14" x14ac:dyDescent="0.25">
      <c r="A3433" s="11">
        <v>46037</v>
      </c>
      <c r="B3433" s="5" t="s">
        <v>338</v>
      </c>
      <c r="C3433" s="3" t="s">
        <v>339</v>
      </c>
      <c r="D3433" s="5" t="s">
        <v>114</v>
      </c>
      <c r="E3433" s="5" t="s">
        <v>112</v>
      </c>
      <c r="F3433" s="6" t="s">
        <v>65</v>
      </c>
      <c r="G3433" s="4" t="s">
        <v>2</v>
      </c>
      <c r="H3433" s="25">
        <v>4986.0833333299997</v>
      </c>
      <c r="I3433" s="8">
        <v>39</v>
      </c>
      <c r="J3433" s="9">
        <v>27</v>
      </c>
      <c r="K3433" s="7">
        <v>-12</v>
      </c>
      <c r="L3433" s="24">
        <f>+Tabla2[[#This Row],[Stock Inventario]]*Tabla2[[#This Row],[Coste LÃ­nea]]</f>
        <v>134624.24999990998</v>
      </c>
      <c r="M3433" s="24">
        <f>+Tabla2[[#This Row],[Variación Stock]]*Tabla2[[#This Row],[Coste LÃ­nea]]</f>
        <v>-59832.999999959997</v>
      </c>
      <c r="N3433" s="22" t="str">
        <f>+IF(Tabla2[[#This Row],[Variación Stock]]&gt;0,"Sobrante",IF(Tabla2[[#This Row],[Variación Stock]]&lt;0,"Faltante","Sin novedad"))</f>
        <v>Faltante</v>
      </c>
    </row>
    <row r="3434" spans="1:14" x14ac:dyDescent="0.25">
      <c r="A3434" s="11">
        <v>46037</v>
      </c>
      <c r="B3434" s="5" t="s">
        <v>338</v>
      </c>
      <c r="C3434" s="3" t="s">
        <v>339</v>
      </c>
      <c r="D3434" s="5" t="s">
        <v>114</v>
      </c>
      <c r="E3434" s="5" t="s">
        <v>112</v>
      </c>
      <c r="F3434" s="6" t="s">
        <v>66</v>
      </c>
      <c r="G3434" s="4" t="s">
        <v>2</v>
      </c>
      <c r="H3434" s="25">
        <v>4986.1041666700003</v>
      </c>
      <c r="I3434" s="8">
        <v>47</v>
      </c>
      <c r="J3434" s="9">
        <v>46</v>
      </c>
      <c r="K3434" s="7">
        <v>-1</v>
      </c>
      <c r="L3434" s="24">
        <f>+Tabla2[[#This Row],[Stock Inventario]]*Tabla2[[#This Row],[Coste LÃ­nea]]</f>
        <v>229360.79166682001</v>
      </c>
      <c r="M3434" s="24">
        <f>+Tabla2[[#This Row],[Variación Stock]]*Tabla2[[#This Row],[Coste LÃ­nea]]</f>
        <v>-4986.1041666700003</v>
      </c>
      <c r="N3434" s="22" t="str">
        <f>+IF(Tabla2[[#This Row],[Variación Stock]]&gt;0,"Sobrante",IF(Tabla2[[#This Row],[Variación Stock]]&lt;0,"Faltante","Sin novedad"))</f>
        <v>Faltante</v>
      </c>
    </row>
    <row r="3435" spans="1:14" x14ac:dyDescent="0.25">
      <c r="A3435" s="11">
        <v>46037</v>
      </c>
      <c r="B3435" s="5" t="s">
        <v>338</v>
      </c>
      <c r="C3435" s="3" t="s">
        <v>339</v>
      </c>
      <c r="D3435" s="5" t="s">
        <v>114</v>
      </c>
      <c r="E3435" s="5" t="s">
        <v>112</v>
      </c>
      <c r="F3435" s="6" t="s">
        <v>67</v>
      </c>
      <c r="G3435" s="4" t="s">
        <v>2</v>
      </c>
      <c r="H3435" s="25">
        <v>4986.0833333299997</v>
      </c>
      <c r="I3435" s="8">
        <v>85.65</v>
      </c>
      <c r="J3435" s="9">
        <v>79</v>
      </c>
      <c r="K3435" s="7">
        <v>-6.65</v>
      </c>
      <c r="L3435" s="24">
        <f>+Tabla2[[#This Row],[Stock Inventario]]*Tabla2[[#This Row],[Coste LÃ­nea]]</f>
        <v>393900.58333306998</v>
      </c>
      <c r="M3435" s="24">
        <f>+Tabla2[[#This Row],[Variación Stock]]*Tabla2[[#This Row],[Coste LÃ­nea]]</f>
        <v>-33157.4541666445</v>
      </c>
      <c r="N3435" s="22" t="str">
        <f>+IF(Tabla2[[#This Row],[Variación Stock]]&gt;0,"Sobrante",IF(Tabla2[[#This Row],[Variación Stock]]&lt;0,"Faltante","Sin novedad"))</f>
        <v>Faltante</v>
      </c>
    </row>
    <row r="3436" spans="1:14" x14ac:dyDescent="0.25">
      <c r="A3436" s="11">
        <v>46037</v>
      </c>
      <c r="B3436" s="5" t="s">
        <v>338</v>
      </c>
      <c r="C3436" s="3" t="s">
        <v>339</v>
      </c>
      <c r="D3436" s="5" t="s">
        <v>114</v>
      </c>
      <c r="E3436" s="5" t="s">
        <v>112</v>
      </c>
      <c r="F3436" s="6" t="s">
        <v>68</v>
      </c>
      <c r="G3436" s="4" t="s">
        <v>2</v>
      </c>
      <c r="H3436" s="25">
        <v>4986.0833333299997</v>
      </c>
      <c r="I3436" s="8">
        <v>13</v>
      </c>
      <c r="J3436" s="9">
        <v>24</v>
      </c>
      <c r="K3436" s="7">
        <v>11</v>
      </c>
      <c r="L3436" s="24">
        <f>+Tabla2[[#This Row],[Stock Inventario]]*Tabla2[[#This Row],[Coste LÃ­nea]]</f>
        <v>119665.99999991999</v>
      </c>
      <c r="M3436" s="24">
        <f>+Tabla2[[#This Row],[Variación Stock]]*Tabla2[[#This Row],[Coste LÃ­nea]]</f>
        <v>54846.916666630001</v>
      </c>
      <c r="N3436" s="22" t="str">
        <f>+IF(Tabla2[[#This Row],[Variación Stock]]&gt;0,"Sobrante",IF(Tabla2[[#This Row],[Variación Stock]]&lt;0,"Faltante","Sin novedad"))</f>
        <v>Sobrante</v>
      </c>
    </row>
    <row r="3437" spans="1:14" x14ac:dyDescent="0.25">
      <c r="A3437" s="11">
        <v>46037</v>
      </c>
      <c r="B3437" s="5" t="s">
        <v>338</v>
      </c>
      <c r="C3437" s="3" t="s">
        <v>339</v>
      </c>
      <c r="D3437" s="5" t="s">
        <v>114</v>
      </c>
      <c r="E3437" s="5" t="s">
        <v>112</v>
      </c>
      <c r="F3437" s="6" t="s">
        <v>69</v>
      </c>
      <c r="G3437" s="4" t="s">
        <v>2</v>
      </c>
      <c r="H3437" s="25">
        <v>5133.7083333299997</v>
      </c>
      <c r="I3437" s="8">
        <v>62.65</v>
      </c>
      <c r="J3437" s="9">
        <v>64</v>
      </c>
      <c r="K3437" s="7">
        <v>1.35</v>
      </c>
      <c r="L3437" s="24">
        <f>+Tabla2[[#This Row],[Stock Inventario]]*Tabla2[[#This Row],[Coste LÃ­nea]]</f>
        <v>328557.33333311998</v>
      </c>
      <c r="M3437" s="24">
        <f>+Tabla2[[#This Row],[Variación Stock]]*Tabla2[[#This Row],[Coste LÃ­nea]]</f>
        <v>6930.5062499955002</v>
      </c>
      <c r="N3437" s="22" t="str">
        <f>+IF(Tabla2[[#This Row],[Variación Stock]]&gt;0,"Sobrante",IF(Tabla2[[#This Row],[Variación Stock]]&lt;0,"Faltante","Sin novedad"))</f>
        <v>Sobrante</v>
      </c>
    </row>
    <row r="3438" spans="1:14" x14ac:dyDescent="0.25">
      <c r="A3438" s="11">
        <v>46037</v>
      </c>
      <c r="B3438" s="5" t="s">
        <v>338</v>
      </c>
      <c r="C3438" s="3" t="s">
        <v>339</v>
      </c>
      <c r="D3438" s="5" t="s">
        <v>114</v>
      </c>
      <c r="E3438" s="5" t="s">
        <v>112</v>
      </c>
      <c r="F3438" s="6" t="s">
        <v>148</v>
      </c>
      <c r="G3438" s="4" t="s">
        <v>2</v>
      </c>
      <c r="H3438" s="25">
        <v>0</v>
      </c>
      <c r="I3438" s="8">
        <v>-1.1399999999999999</v>
      </c>
      <c r="J3438" s="9">
        <v>0</v>
      </c>
      <c r="K3438" s="7">
        <v>1.1399999999999999</v>
      </c>
      <c r="L3438" s="24">
        <f>+Tabla2[[#This Row],[Stock Inventario]]*Tabla2[[#This Row],[Coste LÃ­nea]]</f>
        <v>0</v>
      </c>
      <c r="M3438" s="24">
        <f>+Tabla2[[#This Row],[Variación Stock]]*Tabla2[[#This Row],[Coste LÃ­nea]]</f>
        <v>0</v>
      </c>
      <c r="N3438" s="22" t="str">
        <f>+IF(Tabla2[[#This Row],[Variación Stock]]&gt;0,"Sobrante",IF(Tabla2[[#This Row],[Variación Stock]]&lt;0,"Faltante","Sin novedad"))</f>
        <v>Sobrante</v>
      </c>
    </row>
    <row r="3439" spans="1:14" x14ac:dyDescent="0.25">
      <c r="A3439" s="11">
        <v>46037</v>
      </c>
      <c r="B3439" s="5" t="s">
        <v>338</v>
      </c>
      <c r="C3439" s="3" t="s">
        <v>339</v>
      </c>
      <c r="D3439" s="5" t="s">
        <v>114</v>
      </c>
      <c r="E3439" s="5" t="s">
        <v>112</v>
      </c>
      <c r="F3439" s="6" t="s">
        <v>64</v>
      </c>
      <c r="G3439" s="4" t="s">
        <v>2</v>
      </c>
      <c r="H3439" s="25">
        <v>5132.5</v>
      </c>
      <c r="I3439" s="8">
        <v>26.5</v>
      </c>
      <c r="J3439" s="9">
        <v>27</v>
      </c>
      <c r="K3439" s="7">
        <v>0.5</v>
      </c>
      <c r="L3439" s="24">
        <f>+Tabla2[[#This Row],[Stock Inventario]]*Tabla2[[#This Row],[Coste LÃ­nea]]</f>
        <v>138577.5</v>
      </c>
      <c r="M3439" s="24">
        <f>+Tabla2[[#This Row],[Variación Stock]]*Tabla2[[#This Row],[Coste LÃ­nea]]</f>
        <v>2566.25</v>
      </c>
      <c r="N3439" s="22" t="str">
        <f>+IF(Tabla2[[#This Row],[Variación Stock]]&gt;0,"Sobrante",IF(Tabla2[[#This Row],[Variación Stock]]&lt;0,"Faltante","Sin novedad"))</f>
        <v>Sobrante</v>
      </c>
    </row>
    <row r="3440" spans="1:14" x14ac:dyDescent="0.25">
      <c r="A3440" s="11">
        <v>46037</v>
      </c>
      <c r="B3440" s="5" t="s">
        <v>338</v>
      </c>
      <c r="C3440" s="3" t="s">
        <v>339</v>
      </c>
      <c r="D3440" s="5" t="s">
        <v>114</v>
      </c>
      <c r="E3440" s="5" t="s">
        <v>112</v>
      </c>
      <c r="F3440" s="6" t="s">
        <v>141</v>
      </c>
      <c r="G3440" s="4" t="s">
        <v>2</v>
      </c>
      <c r="H3440" s="25">
        <v>2120.83</v>
      </c>
      <c r="I3440" s="8">
        <v>0</v>
      </c>
      <c r="J3440" s="9">
        <v>0</v>
      </c>
      <c r="K3440" s="7">
        <v>0</v>
      </c>
      <c r="L3440" s="24">
        <f>+Tabla2[[#This Row],[Stock Inventario]]*Tabla2[[#This Row],[Coste LÃ­nea]]</f>
        <v>0</v>
      </c>
      <c r="M3440" s="24">
        <f>+Tabla2[[#This Row],[Variación Stock]]*Tabla2[[#This Row],[Coste LÃ­nea]]</f>
        <v>0</v>
      </c>
      <c r="N3440" s="22" t="str">
        <f>+IF(Tabla2[[#This Row],[Variación Stock]]&gt;0,"Sobrante",IF(Tabla2[[#This Row],[Variación Stock]]&lt;0,"Faltante","Sin novedad"))</f>
        <v>Sin novedad</v>
      </c>
    </row>
    <row r="3441" spans="1:14" x14ac:dyDescent="0.25">
      <c r="A3441" s="11">
        <v>46037</v>
      </c>
      <c r="B3441" s="5" t="s">
        <v>338</v>
      </c>
      <c r="C3441" s="3" t="s">
        <v>339</v>
      </c>
      <c r="D3441" s="5" t="s">
        <v>114</v>
      </c>
      <c r="E3441" s="5" t="s">
        <v>112</v>
      </c>
      <c r="F3441" s="6" t="s">
        <v>289</v>
      </c>
      <c r="G3441" s="4" t="s">
        <v>2</v>
      </c>
      <c r="H3441" s="25">
        <v>6387.35</v>
      </c>
      <c r="I3441" s="8">
        <v>5</v>
      </c>
      <c r="J3441" s="9">
        <v>5</v>
      </c>
      <c r="K3441" s="7">
        <v>0</v>
      </c>
      <c r="L3441" s="24">
        <f>+Tabla2[[#This Row],[Stock Inventario]]*Tabla2[[#This Row],[Coste LÃ­nea]]</f>
        <v>31936.75</v>
      </c>
      <c r="M3441" s="24">
        <f>+Tabla2[[#This Row],[Variación Stock]]*Tabla2[[#This Row],[Coste LÃ­nea]]</f>
        <v>0</v>
      </c>
      <c r="N3441" s="22" t="str">
        <f>+IF(Tabla2[[#This Row],[Variación Stock]]&gt;0,"Sobrante",IF(Tabla2[[#This Row],[Variación Stock]]&lt;0,"Faltante","Sin novedad"))</f>
        <v>Sin novedad</v>
      </c>
    </row>
    <row r="3442" spans="1:14" x14ac:dyDescent="0.25">
      <c r="A3442" s="11">
        <v>46037</v>
      </c>
      <c r="B3442" s="5" t="s">
        <v>338</v>
      </c>
      <c r="C3442" s="3" t="s">
        <v>339</v>
      </c>
      <c r="D3442" s="5" t="s">
        <v>114</v>
      </c>
      <c r="E3442" s="5" t="s">
        <v>112</v>
      </c>
      <c r="F3442" s="6" t="s">
        <v>70</v>
      </c>
      <c r="G3442" s="4" t="s">
        <v>2</v>
      </c>
      <c r="H3442" s="25">
        <v>1835.41666667</v>
      </c>
      <c r="I3442" s="8">
        <v>0</v>
      </c>
      <c r="J3442" s="9">
        <v>0</v>
      </c>
      <c r="K3442" s="7">
        <v>0</v>
      </c>
      <c r="L3442" s="24">
        <f>+Tabla2[[#This Row],[Stock Inventario]]*Tabla2[[#This Row],[Coste LÃ­nea]]</f>
        <v>0</v>
      </c>
      <c r="M3442" s="24">
        <f>+Tabla2[[#This Row],[Variación Stock]]*Tabla2[[#This Row],[Coste LÃ­nea]]</f>
        <v>0</v>
      </c>
      <c r="N3442" s="22" t="str">
        <f>+IF(Tabla2[[#This Row],[Variación Stock]]&gt;0,"Sobrante",IF(Tabla2[[#This Row],[Variación Stock]]&lt;0,"Faltante","Sin novedad"))</f>
        <v>Sin novedad</v>
      </c>
    </row>
    <row r="3443" spans="1:14" x14ac:dyDescent="0.25">
      <c r="A3443" s="11">
        <v>46037</v>
      </c>
      <c r="B3443" s="5" t="s">
        <v>338</v>
      </c>
      <c r="C3443" s="3" t="s">
        <v>339</v>
      </c>
      <c r="D3443" s="5" t="s">
        <v>115</v>
      </c>
      <c r="E3443" s="5" t="s">
        <v>112</v>
      </c>
      <c r="F3443" s="6" t="s">
        <v>290</v>
      </c>
      <c r="G3443" s="4" t="s">
        <v>2</v>
      </c>
      <c r="H3443" s="25">
        <v>11200</v>
      </c>
      <c r="I3443" s="8">
        <v>5</v>
      </c>
      <c r="J3443" s="9">
        <v>4</v>
      </c>
      <c r="K3443" s="7">
        <v>-1</v>
      </c>
      <c r="L3443" s="24">
        <f>+Tabla2[[#This Row],[Stock Inventario]]*Tabla2[[#This Row],[Coste LÃ­nea]]</f>
        <v>44800</v>
      </c>
      <c r="M3443" s="24">
        <f>+Tabla2[[#This Row],[Variación Stock]]*Tabla2[[#This Row],[Coste LÃ­nea]]</f>
        <v>-11200</v>
      </c>
      <c r="N3443" s="22" t="str">
        <f>+IF(Tabla2[[#This Row],[Variación Stock]]&gt;0,"Sobrante",IF(Tabla2[[#This Row],[Variación Stock]]&lt;0,"Faltante","Sin novedad"))</f>
        <v>Faltante</v>
      </c>
    </row>
    <row r="3444" spans="1:14" x14ac:dyDescent="0.25">
      <c r="A3444" s="11">
        <v>46037</v>
      </c>
      <c r="B3444" s="5" t="s">
        <v>338</v>
      </c>
      <c r="C3444" s="3" t="s">
        <v>339</v>
      </c>
      <c r="D3444" s="5" t="s">
        <v>115</v>
      </c>
      <c r="E3444" s="5" t="s">
        <v>112</v>
      </c>
      <c r="F3444" s="6" t="s">
        <v>72</v>
      </c>
      <c r="G3444" s="4" t="s">
        <v>2</v>
      </c>
      <c r="H3444" s="25">
        <v>2183.46666667</v>
      </c>
      <c r="I3444" s="8">
        <v>29</v>
      </c>
      <c r="J3444" s="9">
        <v>28</v>
      </c>
      <c r="K3444" s="7">
        <v>-1</v>
      </c>
      <c r="L3444" s="24">
        <f>+Tabla2[[#This Row],[Stock Inventario]]*Tabla2[[#This Row],[Coste LÃ­nea]]</f>
        <v>61137.066666760002</v>
      </c>
      <c r="M3444" s="24">
        <f>+Tabla2[[#This Row],[Variación Stock]]*Tabla2[[#This Row],[Coste LÃ­nea]]</f>
        <v>-2183.46666667</v>
      </c>
      <c r="N3444" s="22" t="str">
        <f>+IF(Tabla2[[#This Row],[Variación Stock]]&gt;0,"Sobrante",IF(Tabla2[[#This Row],[Variación Stock]]&lt;0,"Faltante","Sin novedad"))</f>
        <v>Faltante</v>
      </c>
    </row>
    <row r="3445" spans="1:14" x14ac:dyDescent="0.25">
      <c r="A3445" s="11">
        <v>46037</v>
      </c>
      <c r="B3445" s="5" t="s">
        <v>338</v>
      </c>
      <c r="C3445" s="3" t="s">
        <v>339</v>
      </c>
      <c r="D3445" s="5" t="s">
        <v>115</v>
      </c>
      <c r="E3445" s="5" t="s">
        <v>112</v>
      </c>
      <c r="F3445" s="6" t="s">
        <v>74</v>
      </c>
      <c r="G3445" s="4" t="s">
        <v>2</v>
      </c>
      <c r="H3445" s="25">
        <v>3736.1666666699998</v>
      </c>
      <c r="I3445" s="8">
        <v>52</v>
      </c>
      <c r="J3445" s="9">
        <v>51</v>
      </c>
      <c r="K3445" s="7">
        <v>-1</v>
      </c>
      <c r="L3445" s="24">
        <f>+Tabla2[[#This Row],[Stock Inventario]]*Tabla2[[#This Row],[Coste LÃ­nea]]</f>
        <v>190544.50000017</v>
      </c>
      <c r="M3445" s="24">
        <f>+Tabla2[[#This Row],[Variación Stock]]*Tabla2[[#This Row],[Coste LÃ­nea]]</f>
        <v>-3736.1666666699998</v>
      </c>
      <c r="N3445" s="22" t="str">
        <f>+IF(Tabla2[[#This Row],[Variación Stock]]&gt;0,"Sobrante",IF(Tabla2[[#This Row],[Variación Stock]]&lt;0,"Faltante","Sin novedad"))</f>
        <v>Faltante</v>
      </c>
    </row>
    <row r="3446" spans="1:14" x14ac:dyDescent="0.25">
      <c r="A3446" s="11">
        <v>46037</v>
      </c>
      <c r="B3446" s="5" t="s">
        <v>338</v>
      </c>
      <c r="C3446" s="3" t="s">
        <v>339</v>
      </c>
      <c r="D3446" s="5" t="s">
        <v>115</v>
      </c>
      <c r="E3446" s="5" t="s">
        <v>112</v>
      </c>
      <c r="F3446" s="6" t="s">
        <v>291</v>
      </c>
      <c r="G3446" s="4" t="s">
        <v>2</v>
      </c>
      <c r="H3446" s="25">
        <v>4102.875</v>
      </c>
      <c r="I3446" s="8">
        <v>45</v>
      </c>
      <c r="J3446" s="9">
        <v>44</v>
      </c>
      <c r="K3446" s="7">
        <v>-1</v>
      </c>
      <c r="L3446" s="24">
        <f>+Tabla2[[#This Row],[Stock Inventario]]*Tabla2[[#This Row],[Coste LÃ­nea]]</f>
        <v>180526.5</v>
      </c>
      <c r="M3446" s="24">
        <f>+Tabla2[[#This Row],[Variación Stock]]*Tabla2[[#This Row],[Coste LÃ­nea]]</f>
        <v>-4102.875</v>
      </c>
      <c r="N3446" s="22" t="str">
        <f>+IF(Tabla2[[#This Row],[Variación Stock]]&gt;0,"Sobrante",IF(Tabla2[[#This Row],[Variación Stock]]&lt;0,"Faltante","Sin novedad"))</f>
        <v>Faltante</v>
      </c>
    </row>
    <row r="3447" spans="1:14" x14ac:dyDescent="0.25">
      <c r="A3447" s="11">
        <v>46037</v>
      </c>
      <c r="B3447" s="5" t="s">
        <v>338</v>
      </c>
      <c r="C3447" s="3" t="s">
        <v>339</v>
      </c>
      <c r="D3447" s="5" t="s">
        <v>115</v>
      </c>
      <c r="E3447" s="5" t="s">
        <v>112</v>
      </c>
      <c r="F3447" s="6" t="s">
        <v>75</v>
      </c>
      <c r="G3447" s="4" t="s">
        <v>2</v>
      </c>
      <c r="H3447" s="25">
        <v>2298.1333333299999</v>
      </c>
      <c r="I3447" s="8">
        <v>18.72</v>
      </c>
      <c r="J3447" s="9">
        <v>28</v>
      </c>
      <c r="K3447" s="7">
        <v>9.2799999999999994</v>
      </c>
      <c r="L3447" s="24">
        <f>+Tabla2[[#This Row],[Stock Inventario]]*Tabla2[[#This Row],[Coste LÃ­nea]]</f>
        <v>64347.733333240001</v>
      </c>
      <c r="M3447" s="24">
        <f>+Tabla2[[#This Row],[Variación Stock]]*Tabla2[[#This Row],[Coste LÃ­nea]]</f>
        <v>21326.677333302399</v>
      </c>
      <c r="N3447" s="22" t="str">
        <f>+IF(Tabla2[[#This Row],[Variación Stock]]&gt;0,"Sobrante",IF(Tabla2[[#This Row],[Variación Stock]]&lt;0,"Faltante","Sin novedad"))</f>
        <v>Sobrante</v>
      </c>
    </row>
    <row r="3448" spans="1:14" x14ac:dyDescent="0.25">
      <c r="A3448" s="11">
        <v>46037</v>
      </c>
      <c r="B3448" s="5" t="s">
        <v>338</v>
      </c>
      <c r="C3448" s="3" t="s">
        <v>339</v>
      </c>
      <c r="D3448" s="5" t="s">
        <v>115</v>
      </c>
      <c r="E3448" s="5" t="s">
        <v>112</v>
      </c>
      <c r="F3448" s="6" t="s">
        <v>76</v>
      </c>
      <c r="G3448" s="4" t="s">
        <v>2</v>
      </c>
      <c r="H3448" s="25">
        <v>3567.4583333300002</v>
      </c>
      <c r="I3448" s="8">
        <v>76</v>
      </c>
      <c r="J3448" s="9">
        <v>76</v>
      </c>
      <c r="K3448" s="7">
        <v>0</v>
      </c>
      <c r="L3448" s="24">
        <f>+Tabla2[[#This Row],[Stock Inventario]]*Tabla2[[#This Row],[Coste LÃ­nea]]</f>
        <v>271126.83333307999</v>
      </c>
      <c r="M3448" s="24">
        <f>+Tabla2[[#This Row],[Variación Stock]]*Tabla2[[#This Row],[Coste LÃ­nea]]</f>
        <v>0</v>
      </c>
      <c r="N3448" s="22" t="str">
        <f>+IF(Tabla2[[#This Row],[Variación Stock]]&gt;0,"Sobrante",IF(Tabla2[[#This Row],[Variación Stock]]&lt;0,"Faltante","Sin novedad"))</f>
        <v>Sin novedad</v>
      </c>
    </row>
    <row r="3449" spans="1:14" x14ac:dyDescent="0.25">
      <c r="A3449" s="11">
        <v>46037</v>
      </c>
      <c r="B3449" s="5" t="s">
        <v>338</v>
      </c>
      <c r="C3449" s="3" t="s">
        <v>339</v>
      </c>
      <c r="D3449" s="5" t="s">
        <v>115</v>
      </c>
      <c r="E3449" s="5" t="s">
        <v>112</v>
      </c>
      <c r="F3449" s="6" t="s">
        <v>152</v>
      </c>
      <c r="G3449" s="4" t="s">
        <v>2</v>
      </c>
      <c r="H3449" s="25">
        <v>3099.6666666699998</v>
      </c>
      <c r="I3449" s="8">
        <v>0</v>
      </c>
      <c r="J3449" s="9">
        <v>0</v>
      </c>
      <c r="K3449" s="7">
        <v>0</v>
      </c>
      <c r="L3449" s="24">
        <f>+Tabla2[[#This Row],[Stock Inventario]]*Tabla2[[#This Row],[Coste LÃ­nea]]</f>
        <v>0</v>
      </c>
      <c r="M3449" s="24">
        <f>+Tabla2[[#This Row],[Variación Stock]]*Tabla2[[#This Row],[Coste LÃ­nea]]</f>
        <v>0</v>
      </c>
      <c r="N3449" s="22" t="str">
        <f>+IF(Tabla2[[#This Row],[Variación Stock]]&gt;0,"Sobrante",IF(Tabla2[[#This Row],[Variación Stock]]&lt;0,"Faltante","Sin novedad"))</f>
        <v>Sin novedad</v>
      </c>
    </row>
    <row r="3450" spans="1:14" x14ac:dyDescent="0.25">
      <c r="A3450" s="11">
        <v>46037</v>
      </c>
      <c r="B3450" s="5" t="s">
        <v>338</v>
      </c>
      <c r="C3450" s="3" t="s">
        <v>339</v>
      </c>
      <c r="D3450" s="5" t="s">
        <v>115</v>
      </c>
      <c r="E3450" s="5" t="s">
        <v>112</v>
      </c>
      <c r="F3450" s="6" t="s">
        <v>71</v>
      </c>
      <c r="G3450" s="4" t="s">
        <v>2</v>
      </c>
      <c r="H3450" s="25">
        <v>2418.998</v>
      </c>
      <c r="I3450" s="8">
        <v>21</v>
      </c>
      <c r="J3450" s="9">
        <v>21</v>
      </c>
      <c r="K3450" s="7">
        <v>0</v>
      </c>
      <c r="L3450" s="24">
        <f>+Tabla2[[#This Row],[Stock Inventario]]*Tabla2[[#This Row],[Coste LÃ­nea]]</f>
        <v>50798.957999999999</v>
      </c>
      <c r="M3450" s="24">
        <f>+Tabla2[[#This Row],[Variación Stock]]*Tabla2[[#This Row],[Coste LÃ­nea]]</f>
        <v>0</v>
      </c>
      <c r="N3450" s="22" t="str">
        <f>+IF(Tabla2[[#This Row],[Variación Stock]]&gt;0,"Sobrante",IF(Tabla2[[#This Row],[Variación Stock]]&lt;0,"Faltante","Sin novedad"))</f>
        <v>Sin novedad</v>
      </c>
    </row>
    <row r="3451" spans="1:14" x14ac:dyDescent="0.25">
      <c r="A3451" s="11">
        <v>46037</v>
      </c>
      <c r="B3451" s="5" t="s">
        <v>338</v>
      </c>
      <c r="C3451" s="3" t="s">
        <v>339</v>
      </c>
      <c r="D3451" s="5" t="s">
        <v>115</v>
      </c>
      <c r="E3451" s="5" t="s">
        <v>112</v>
      </c>
      <c r="F3451" s="6" t="s">
        <v>73</v>
      </c>
      <c r="G3451" s="4" t="s">
        <v>2</v>
      </c>
      <c r="H3451" s="25">
        <v>3299.9974999999999</v>
      </c>
      <c r="I3451" s="8">
        <v>31</v>
      </c>
      <c r="J3451" s="9">
        <v>29</v>
      </c>
      <c r="K3451" s="7">
        <v>-2</v>
      </c>
      <c r="L3451" s="24">
        <f>+Tabla2[[#This Row],[Stock Inventario]]*Tabla2[[#This Row],[Coste LÃ­nea]]</f>
        <v>95699.927500000005</v>
      </c>
      <c r="M3451" s="24">
        <f>+Tabla2[[#This Row],[Variación Stock]]*Tabla2[[#This Row],[Coste LÃ­nea]]</f>
        <v>-6599.9949999999999</v>
      </c>
      <c r="N3451" s="22" t="str">
        <f>+IF(Tabla2[[#This Row],[Variación Stock]]&gt;0,"Sobrante",IF(Tabla2[[#This Row],[Variación Stock]]&lt;0,"Faltante","Sin novedad"))</f>
        <v>Faltante</v>
      </c>
    </row>
    <row r="3452" spans="1:14" x14ac:dyDescent="0.25">
      <c r="A3452" s="11">
        <v>46037</v>
      </c>
      <c r="B3452" s="5" t="s">
        <v>338</v>
      </c>
      <c r="C3452" s="3" t="s">
        <v>339</v>
      </c>
      <c r="D3452" s="5" t="s">
        <v>115</v>
      </c>
      <c r="E3452" s="5" t="s">
        <v>112</v>
      </c>
      <c r="F3452" s="6" t="s">
        <v>153</v>
      </c>
      <c r="G3452" s="4" t="s">
        <v>2</v>
      </c>
      <c r="H3452" s="25">
        <v>3200</v>
      </c>
      <c r="I3452" s="8">
        <v>0</v>
      </c>
      <c r="J3452" s="9">
        <v>0</v>
      </c>
      <c r="K3452" s="7">
        <v>0</v>
      </c>
      <c r="L3452" s="24">
        <f>+Tabla2[[#This Row],[Stock Inventario]]*Tabla2[[#This Row],[Coste LÃ­nea]]</f>
        <v>0</v>
      </c>
      <c r="M3452" s="24">
        <f>+Tabla2[[#This Row],[Variación Stock]]*Tabla2[[#This Row],[Coste LÃ­nea]]</f>
        <v>0</v>
      </c>
      <c r="N3452" s="22" t="str">
        <f>+IF(Tabla2[[#This Row],[Variación Stock]]&gt;0,"Sobrante",IF(Tabla2[[#This Row],[Variación Stock]]&lt;0,"Faltante","Sin novedad"))</f>
        <v>Sin novedad</v>
      </c>
    </row>
    <row r="3453" spans="1:14" x14ac:dyDescent="0.25">
      <c r="A3453" s="11">
        <v>46037</v>
      </c>
      <c r="B3453" s="5" t="s">
        <v>338</v>
      </c>
      <c r="C3453" s="3" t="s">
        <v>339</v>
      </c>
      <c r="D3453" s="5" t="s">
        <v>115</v>
      </c>
      <c r="E3453" s="5" t="s">
        <v>112</v>
      </c>
      <c r="F3453" s="6" t="s">
        <v>77</v>
      </c>
      <c r="G3453" s="4" t="s">
        <v>2</v>
      </c>
      <c r="H3453" s="25">
        <v>3299.9991666699998</v>
      </c>
      <c r="I3453" s="8">
        <v>23</v>
      </c>
      <c r="J3453" s="9">
        <v>23</v>
      </c>
      <c r="K3453" s="7">
        <v>0</v>
      </c>
      <c r="L3453" s="24">
        <f>+Tabla2[[#This Row],[Stock Inventario]]*Tabla2[[#This Row],[Coste LÃ­nea]]</f>
        <v>75899.980833409994</v>
      </c>
      <c r="M3453" s="24">
        <f>+Tabla2[[#This Row],[Variación Stock]]*Tabla2[[#This Row],[Coste LÃ­nea]]</f>
        <v>0</v>
      </c>
      <c r="N3453" s="22" t="str">
        <f>+IF(Tabla2[[#This Row],[Variación Stock]]&gt;0,"Sobrante",IF(Tabla2[[#This Row],[Variación Stock]]&lt;0,"Faltante","Sin novedad"))</f>
        <v>Sin novedad</v>
      </c>
    </row>
    <row r="3454" spans="1:14" x14ac:dyDescent="0.25">
      <c r="A3454" s="11">
        <v>46037</v>
      </c>
      <c r="B3454" s="5" t="s">
        <v>338</v>
      </c>
      <c r="C3454" s="3" t="s">
        <v>339</v>
      </c>
      <c r="D3454" s="5" t="s">
        <v>115</v>
      </c>
      <c r="E3454" s="5" t="s">
        <v>112</v>
      </c>
      <c r="F3454" s="6" t="s">
        <v>78</v>
      </c>
      <c r="G3454" s="4" t="s">
        <v>2</v>
      </c>
      <c r="H3454" s="25">
        <v>3261.8333333300002</v>
      </c>
      <c r="I3454" s="8">
        <v>15</v>
      </c>
      <c r="J3454" s="9">
        <v>15</v>
      </c>
      <c r="K3454" s="7">
        <v>0</v>
      </c>
      <c r="L3454" s="24">
        <f>+Tabla2[[#This Row],[Stock Inventario]]*Tabla2[[#This Row],[Coste LÃ­nea]]</f>
        <v>48927.49999995</v>
      </c>
      <c r="M3454" s="24">
        <f>+Tabla2[[#This Row],[Variación Stock]]*Tabla2[[#This Row],[Coste LÃ­nea]]</f>
        <v>0</v>
      </c>
      <c r="N3454" s="22" t="str">
        <f>+IF(Tabla2[[#This Row],[Variación Stock]]&gt;0,"Sobrante",IF(Tabla2[[#This Row],[Variación Stock]]&lt;0,"Faltante","Sin novedad"))</f>
        <v>Sin novedad</v>
      </c>
    </row>
    <row r="3455" spans="1:14" hidden="1" x14ac:dyDescent="0.25">
      <c r="A3455" s="11">
        <v>46037</v>
      </c>
      <c r="B3455" s="5" t="s">
        <v>338</v>
      </c>
      <c r="C3455" s="3" t="s">
        <v>339</v>
      </c>
      <c r="D3455" s="5" t="s">
        <v>119</v>
      </c>
      <c r="E3455" s="5" t="s">
        <v>117</v>
      </c>
      <c r="F3455" s="6" t="s">
        <v>9</v>
      </c>
      <c r="G3455" s="4" t="s">
        <v>2</v>
      </c>
      <c r="H3455" s="25">
        <v>485.71428571000001</v>
      </c>
      <c r="I3455" s="8">
        <v>1032</v>
      </c>
      <c r="J3455" s="9">
        <v>766</v>
      </c>
      <c r="K3455" s="7">
        <v>-266</v>
      </c>
      <c r="L3455" s="24">
        <f>+Tabla2[[#This Row],[Stock Inventario]]*Tabla2[[#This Row],[Coste LÃ­nea]]</f>
        <v>372057.14285385999</v>
      </c>
      <c r="M3455" s="24">
        <f>+Tabla2[[#This Row],[Variación Stock]]*Tabla2[[#This Row],[Coste LÃ­nea]]</f>
        <v>-129199.99999886</v>
      </c>
      <c r="N3455" s="22" t="str">
        <f>+IF(Tabla2[[#This Row],[Variación Stock]]&gt;0,"Sobrante",IF(Tabla2[[#This Row],[Variación Stock]]&lt;0,"Faltante","Sin novedad"))</f>
        <v>Faltante</v>
      </c>
    </row>
    <row r="3456" spans="1:14" hidden="1" x14ac:dyDescent="0.25">
      <c r="A3456" s="11">
        <v>46037</v>
      </c>
      <c r="B3456" s="5" t="s">
        <v>338</v>
      </c>
      <c r="C3456" s="3" t="s">
        <v>339</v>
      </c>
      <c r="D3456" s="5" t="s">
        <v>119</v>
      </c>
      <c r="E3456" s="5" t="s">
        <v>117</v>
      </c>
      <c r="F3456" s="6" t="s">
        <v>8</v>
      </c>
      <c r="G3456" s="4" t="s">
        <v>1</v>
      </c>
      <c r="H3456" s="25">
        <v>50.691016779999998</v>
      </c>
      <c r="I3456" s="8">
        <v>-20667.165400000002</v>
      </c>
      <c r="J3456" s="9">
        <v>8630</v>
      </c>
      <c r="K3456" s="7">
        <v>29297.165419000001</v>
      </c>
      <c r="L3456" s="24">
        <f>+Tabla2[[#This Row],[Stock Inventario]]*Tabla2[[#This Row],[Coste LÃ­nea]]</f>
        <v>437463.4748114</v>
      </c>
      <c r="M3456" s="24">
        <f>+Tabla2[[#This Row],[Variación Stock]]*Tabla2[[#This Row],[Coste LÃ­nea]]</f>
        <v>1485103.1038609648</v>
      </c>
      <c r="N3456" s="22" t="str">
        <f>+IF(Tabla2[[#This Row],[Variación Stock]]&gt;0,"Sobrante",IF(Tabla2[[#This Row],[Variación Stock]]&lt;0,"Faltante","Sin novedad"))</f>
        <v>Sobrante</v>
      </c>
    </row>
    <row r="3457" spans="1:14" hidden="1" x14ac:dyDescent="0.25">
      <c r="A3457" s="11">
        <v>46037</v>
      </c>
      <c r="B3457" s="5" t="s">
        <v>338</v>
      </c>
      <c r="C3457" s="3" t="s">
        <v>339</v>
      </c>
      <c r="D3457" s="5" t="s">
        <v>116</v>
      </c>
      <c r="E3457" s="5" t="s">
        <v>117</v>
      </c>
      <c r="F3457" s="6" t="s">
        <v>4</v>
      </c>
      <c r="G3457" s="4" t="s">
        <v>2</v>
      </c>
      <c r="H3457" s="25">
        <v>3120</v>
      </c>
      <c r="I3457" s="8">
        <v>-135</v>
      </c>
      <c r="J3457" s="9">
        <v>41</v>
      </c>
      <c r="K3457" s="7">
        <v>176</v>
      </c>
      <c r="L3457" s="24">
        <f>+Tabla2[[#This Row],[Stock Inventario]]*Tabla2[[#This Row],[Coste LÃ­nea]]</f>
        <v>127920</v>
      </c>
      <c r="M3457" s="24">
        <f>+Tabla2[[#This Row],[Variación Stock]]*Tabla2[[#This Row],[Coste LÃ­nea]]</f>
        <v>549120</v>
      </c>
      <c r="N3457" s="22" t="str">
        <f>+IF(Tabla2[[#This Row],[Variación Stock]]&gt;0,"Sobrante",IF(Tabla2[[#This Row],[Variación Stock]]&lt;0,"Faltante","Sin novedad"))</f>
        <v>Sobrante</v>
      </c>
    </row>
    <row r="3458" spans="1:14" hidden="1" x14ac:dyDescent="0.25">
      <c r="A3458" s="11">
        <v>46037</v>
      </c>
      <c r="B3458" s="5" t="s">
        <v>338</v>
      </c>
      <c r="C3458" s="3" t="s">
        <v>339</v>
      </c>
      <c r="D3458" s="5" t="s">
        <v>116</v>
      </c>
      <c r="E3458" s="5" t="s">
        <v>117</v>
      </c>
      <c r="F3458" s="6" t="s">
        <v>6</v>
      </c>
      <c r="G3458" s="4" t="s">
        <v>2</v>
      </c>
      <c r="H3458" s="25">
        <v>8800</v>
      </c>
      <c r="I3458" s="8">
        <v>32.5</v>
      </c>
      <c r="J3458" s="9">
        <v>32.5</v>
      </c>
      <c r="K3458" s="7">
        <v>0</v>
      </c>
      <c r="L3458" s="24">
        <f>+Tabla2[[#This Row],[Stock Inventario]]*Tabla2[[#This Row],[Coste LÃ­nea]]</f>
        <v>286000</v>
      </c>
      <c r="M3458" s="24">
        <f>+Tabla2[[#This Row],[Variación Stock]]*Tabla2[[#This Row],[Coste LÃ­nea]]</f>
        <v>0</v>
      </c>
      <c r="N3458" s="22" t="str">
        <f>+IF(Tabla2[[#This Row],[Variación Stock]]&gt;0,"Sobrante",IF(Tabla2[[#This Row],[Variación Stock]]&lt;0,"Faltante","Sin novedad"))</f>
        <v>Sin novedad</v>
      </c>
    </row>
    <row r="3459" spans="1:14" hidden="1" x14ac:dyDescent="0.25">
      <c r="A3459" s="11">
        <v>46044</v>
      </c>
      <c r="B3459" s="5" t="s">
        <v>378</v>
      </c>
      <c r="C3459" s="3" t="s">
        <v>339</v>
      </c>
      <c r="D3459" s="5" t="s">
        <v>116</v>
      </c>
      <c r="E3459" s="5" t="s">
        <v>117</v>
      </c>
      <c r="F3459" s="6" t="s">
        <v>4</v>
      </c>
      <c r="G3459" s="4" t="s">
        <v>2</v>
      </c>
      <c r="H3459" s="25">
        <v>3250</v>
      </c>
      <c r="I3459" s="8">
        <v>31</v>
      </c>
      <c r="J3459" s="9">
        <v>40</v>
      </c>
      <c r="K3459" s="7">
        <v>9</v>
      </c>
      <c r="L3459" s="24">
        <f>+Tabla2[[#This Row],[Stock Inventario]]*Tabla2[[#This Row],[Coste LÃ­nea]]</f>
        <v>130000</v>
      </c>
      <c r="M3459" s="24">
        <f>+Tabla2[[#This Row],[Variación Stock]]*Tabla2[[#This Row],[Coste LÃ­nea]]</f>
        <v>29250</v>
      </c>
      <c r="N3459" s="22" t="str">
        <f>+IF(Tabla2[[#This Row],[Variación Stock]]&gt;0,"Sobrante",IF(Tabla2[[#This Row],[Variación Stock]]&lt;0,"Faltante","Sin novedad"))</f>
        <v>Sobrante</v>
      </c>
    </row>
    <row r="3460" spans="1:14" x14ac:dyDescent="0.25">
      <c r="A3460" s="11">
        <v>46037</v>
      </c>
      <c r="B3460" s="5" t="s">
        <v>338</v>
      </c>
      <c r="C3460" s="3" t="s">
        <v>339</v>
      </c>
      <c r="D3460" s="5" t="s">
        <v>118</v>
      </c>
      <c r="E3460" s="5" t="s">
        <v>112</v>
      </c>
      <c r="F3460" s="6" t="s">
        <v>216</v>
      </c>
      <c r="G3460" s="4" t="s">
        <v>2</v>
      </c>
      <c r="H3460" s="25">
        <v>0</v>
      </c>
      <c r="I3460" s="8">
        <v>0</v>
      </c>
      <c r="J3460" s="9">
        <v>0</v>
      </c>
      <c r="K3460" s="7">
        <v>0</v>
      </c>
      <c r="L3460" s="24">
        <f>+Tabla2[[#This Row],[Stock Inventario]]*Tabla2[[#This Row],[Coste LÃ­nea]]</f>
        <v>0</v>
      </c>
      <c r="M3460" s="24">
        <f>+Tabla2[[#This Row],[Variación Stock]]*Tabla2[[#This Row],[Coste LÃ­nea]]</f>
        <v>0</v>
      </c>
      <c r="N3460" s="22" t="str">
        <f>+IF(Tabla2[[#This Row],[Variación Stock]]&gt;0,"Sobrante",IF(Tabla2[[#This Row],[Variación Stock]]&lt;0,"Faltante","Sin novedad"))</f>
        <v>Sin novedad</v>
      </c>
    </row>
    <row r="3461" spans="1:14" x14ac:dyDescent="0.25">
      <c r="A3461" s="11">
        <v>46037</v>
      </c>
      <c r="B3461" s="5" t="s">
        <v>338</v>
      </c>
      <c r="C3461" s="3" t="s">
        <v>339</v>
      </c>
      <c r="D3461" s="5" t="s">
        <v>118</v>
      </c>
      <c r="E3461" s="5" t="s">
        <v>112</v>
      </c>
      <c r="F3461" s="6" t="s">
        <v>292</v>
      </c>
      <c r="G3461" s="4" t="s">
        <v>81</v>
      </c>
      <c r="H3461" s="25">
        <v>0</v>
      </c>
      <c r="I3461" s="8">
        <v>0</v>
      </c>
      <c r="J3461" s="9">
        <v>0</v>
      </c>
      <c r="K3461" s="7">
        <v>0</v>
      </c>
      <c r="L3461" s="24">
        <f>+Tabla2[[#This Row],[Stock Inventario]]*Tabla2[[#This Row],[Coste LÃ­nea]]</f>
        <v>0</v>
      </c>
      <c r="M3461" s="24">
        <f>+Tabla2[[#This Row],[Variación Stock]]*Tabla2[[#This Row],[Coste LÃ­nea]]</f>
        <v>0</v>
      </c>
      <c r="N3461" s="22" t="str">
        <f>+IF(Tabla2[[#This Row],[Variación Stock]]&gt;0,"Sobrante",IF(Tabla2[[#This Row],[Variación Stock]]&lt;0,"Faltante","Sin novedad"))</f>
        <v>Sin novedad</v>
      </c>
    </row>
    <row r="3462" spans="1:14" x14ac:dyDescent="0.25">
      <c r="A3462" s="11">
        <v>46037</v>
      </c>
      <c r="B3462" s="5" t="s">
        <v>338</v>
      </c>
      <c r="C3462" s="3" t="s">
        <v>339</v>
      </c>
      <c r="D3462" s="5" t="s">
        <v>118</v>
      </c>
      <c r="E3462" s="5" t="s">
        <v>112</v>
      </c>
      <c r="F3462" s="6" t="s">
        <v>293</v>
      </c>
      <c r="G3462" s="4" t="s">
        <v>2</v>
      </c>
      <c r="H3462" s="25">
        <v>125043</v>
      </c>
      <c r="I3462" s="8">
        <v>3</v>
      </c>
      <c r="J3462" s="9">
        <v>3</v>
      </c>
      <c r="K3462" s="7">
        <v>0</v>
      </c>
      <c r="L3462" s="24">
        <f>+Tabla2[[#This Row],[Stock Inventario]]*Tabla2[[#This Row],[Coste LÃ­nea]]</f>
        <v>375129</v>
      </c>
      <c r="M3462" s="24">
        <f>+Tabla2[[#This Row],[Variación Stock]]*Tabla2[[#This Row],[Coste LÃ­nea]]</f>
        <v>0</v>
      </c>
      <c r="N3462" s="22" t="str">
        <f>+IF(Tabla2[[#This Row],[Variación Stock]]&gt;0,"Sobrante",IF(Tabla2[[#This Row],[Variación Stock]]&lt;0,"Faltante","Sin novedad"))</f>
        <v>Sin novedad</v>
      </c>
    </row>
    <row r="3463" spans="1:14" x14ac:dyDescent="0.25">
      <c r="A3463" s="11">
        <v>46037</v>
      </c>
      <c r="B3463" s="5" t="s">
        <v>338</v>
      </c>
      <c r="C3463" s="3" t="s">
        <v>339</v>
      </c>
      <c r="D3463" s="5" t="s">
        <v>118</v>
      </c>
      <c r="E3463" s="5" t="s">
        <v>112</v>
      </c>
      <c r="F3463" s="6" t="s">
        <v>294</v>
      </c>
      <c r="G3463" s="4" t="s">
        <v>2</v>
      </c>
      <c r="H3463" s="25">
        <v>22425</v>
      </c>
      <c r="I3463" s="8">
        <v>0</v>
      </c>
      <c r="J3463" s="9">
        <v>0</v>
      </c>
      <c r="K3463" s="7">
        <v>0</v>
      </c>
      <c r="L3463" s="24">
        <f>+Tabla2[[#This Row],[Stock Inventario]]*Tabla2[[#This Row],[Coste LÃ­nea]]</f>
        <v>0</v>
      </c>
      <c r="M3463" s="24">
        <f>+Tabla2[[#This Row],[Variación Stock]]*Tabla2[[#This Row],[Coste LÃ­nea]]</f>
        <v>0</v>
      </c>
      <c r="N3463" s="22" t="str">
        <f>+IF(Tabla2[[#This Row],[Variación Stock]]&gt;0,"Sobrante",IF(Tabla2[[#This Row],[Variación Stock]]&lt;0,"Faltante","Sin novedad"))</f>
        <v>Sin novedad</v>
      </c>
    </row>
    <row r="3464" spans="1:14" x14ac:dyDescent="0.25">
      <c r="A3464" s="11">
        <v>46037</v>
      </c>
      <c r="B3464" s="5" t="s">
        <v>338</v>
      </c>
      <c r="C3464" s="3" t="s">
        <v>339</v>
      </c>
      <c r="D3464" s="5" t="s">
        <v>118</v>
      </c>
      <c r="E3464" s="5" t="s">
        <v>112</v>
      </c>
      <c r="F3464" s="6" t="s">
        <v>295</v>
      </c>
      <c r="G3464" s="4" t="s">
        <v>2</v>
      </c>
      <c r="H3464" s="25">
        <v>71318</v>
      </c>
      <c r="I3464" s="8">
        <v>4</v>
      </c>
      <c r="J3464" s="9">
        <v>4</v>
      </c>
      <c r="K3464" s="7">
        <v>0</v>
      </c>
      <c r="L3464" s="24">
        <f>+Tabla2[[#This Row],[Stock Inventario]]*Tabla2[[#This Row],[Coste LÃ­nea]]</f>
        <v>285272</v>
      </c>
      <c r="M3464" s="24">
        <f>+Tabla2[[#This Row],[Variación Stock]]*Tabla2[[#This Row],[Coste LÃ­nea]]</f>
        <v>0</v>
      </c>
      <c r="N3464" s="22" t="str">
        <f>+IF(Tabla2[[#This Row],[Variación Stock]]&gt;0,"Sobrante",IF(Tabla2[[#This Row],[Variación Stock]]&lt;0,"Faltante","Sin novedad"))</f>
        <v>Sin novedad</v>
      </c>
    </row>
    <row r="3465" spans="1:14" x14ac:dyDescent="0.25">
      <c r="A3465" s="11">
        <v>46037</v>
      </c>
      <c r="B3465" s="5" t="s">
        <v>338</v>
      </c>
      <c r="C3465" s="3" t="s">
        <v>339</v>
      </c>
      <c r="D3465" s="5" t="s">
        <v>118</v>
      </c>
      <c r="E3465" s="5" t="s">
        <v>112</v>
      </c>
      <c r="F3465" s="6" t="s">
        <v>174</v>
      </c>
      <c r="G3465" s="4" t="s">
        <v>0</v>
      </c>
      <c r="H3465" s="25">
        <v>2903.3333333300002</v>
      </c>
      <c r="I3465" s="8">
        <v>0</v>
      </c>
      <c r="J3465" s="9">
        <v>0</v>
      </c>
      <c r="K3465" s="7">
        <v>0</v>
      </c>
      <c r="L3465" s="24">
        <f>+Tabla2[[#This Row],[Stock Inventario]]*Tabla2[[#This Row],[Coste LÃ­nea]]</f>
        <v>0</v>
      </c>
      <c r="M3465" s="24">
        <f>+Tabla2[[#This Row],[Variación Stock]]*Tabla2[[#This Row],[Coste LÃ­nea]]</f>
        <v>0</v>
      </c>
      <c r="N3465" s="22" t="str">
        <f>+IF(Tabla2[[#This Row],[Variación Stock]]&gt;0,"Sobrante",IF(Tabla2[[#This Row],[Variación Stock]]&lt;0,"Faltante","Sin novedad"))</f>
        <v>Sin novedad</v>
      </c>
    </row>
    <row r="3466" spans="1:14" x14ac:dyDescent="0.25">
      <c r="A3466" s="11">
        <v>46037</v>
      </c>
      <c r="B3466" s="5" t="s">
        <v>338</v>
      </c>
      <c r="C3466" s="3" t="s">
        <v>339</v>
      </c>
      <c r="D3466" s="5" t="s">
        <v>118</v>
      </c>
      <c r="E3466" s="5" t="s">
        <v>112</v>
      </c>
      <c r="F3466" s="6" t="s">
        <v>80</v>
      </c>
      <c r="G3466" s="4" t="s">
        <v>2</v>
      </c>
      <c r="H3466" s="25">
        <v>108834</v>
      </c>
      <c r="I3466" s="8">
        <v>3</v>
      </c>
      <c r="J3466" s="9">
        <v>3</v>
      </c>
      <c r="K3466" s="7">
        <v>0</v>
      </c>
      <c r="L3466" s="24">
        <f>+Tabla2[[#This Row],[Stock Inventario]]*Tabla2[[#This Row],[Coste LÃ­nea]]</f>
        <v>326502</v>
      </c>
      <c r="M3466" s="24">
        <f>+Tabla2[[#This Row],[Variación Stock]]*Tabla2[[#This Row],[Coste LÃ­nea]]</f>
        <v>0</v>
      </c>
      <c r="N3466" s="22" t="str">
        <f>+IF(Tabla2[[#This Row],[Variación Stock]]&gt;0,"Sobrante",IF(Tabla2[[#This Row],[Variación Stock]]&lt;0,"Faltante","Sin novedad"))</f>
        <v>Sin novedad</v>
      </c>
    </row>
    <row r="3467" spans="1:14" x14ac:dyDescent="0.25">
      <c r="A3467" s="11">
        <v>46037</v>
      </c>
      <c r="B3467" s="5" t="s">
        <v>338</v>
      </c>
      <c r="C3467" s="3" t="s">
        <v>339</v>
      </c>
      <c r="D3467" s="5" t="s">
        <v>118</v>
      </c>
      <c r="E3467" s="5" t="s">
        <v>112</v>
      </c>
      <c r="F3467" s="6" t="s">
        <v>296</v>
      </c>
      <c r="G3467" s="4" t="s">
        <v>2</v>
      </c>
      <c r="H3467" s="25">
        <v>27250</v>
      </c>
      <c r="I3467" s="8">
        <v>4</v>
      </c>
      <c r="J3467" s="9">
        <v>4</v>
      </c>
      <c r="K3467" s="7">
        <v>0</v>
      </c>
      <c r="L3467" s="24">
        <f>+Tabla2[[#This Row],[Stock Inventario]]*Tabla2[[#This Row],[Coste LÃ­nea]]</f>
        <v>109000</v>
      </c>
      <c r="M3467" s="24">
        <f>+Tabla2[[#This Row],[Variación Stock]]*Tabla2[[#This Row],[Coste LÃ­nea]]</f>
        <v>0</v>
      </c>
      <c r="N3467" s="22" t="str">
        <f>+IF(Tabla2[[#This Row],[Variación Stock]]&gt;0,"Sobrante",IF(Tabla2[[#This Row],[Variación Stock]]&lt;0,"Faltante","Sin novedad"))</f>
        <v>Sin novedad</v>
      </c>
    </row>
    <row r="3468" spans="1:14" x14ac:dyDescent="0.25">
      <c r="A3468" s="11">
        <v>46037</v>
      </c>
      <c r="B3468" s="5" t="s">
        <v>338</v>
      </c>
      <c r="C3468" s="3" t="s">
        <v>339</v>
      </c>
      <c r="D3468" s="5" t="s">
        <v>118</v>
      </c>
      <c r="E3468" s="5" t="s">
        <v>112</v>
      </c>
      <c r="F3468" s="6" t="s">
        <v>297</v>
      </c>
      <c r="G3468" s="4" t="s">
        <v>2</v>
      </c>
      <c r="H3468" s="25">
        <v>87241.5</v>
      </c>
      <c r="I3468" s="8">
        <v>2</v>
      </c>
      <c r="J3468" s="9">
        <v>2</v>
      </c>
      <c r="K3468" s="7">
        <v>0</v>
      </c>
      <c r="L3468" s="24">
        <f>+Tabla2[[#This Row],[Stock Inventario]]*Tabla2[[#This Row],[Coste LÃ­nea]]</f>
        <v>174483</v>
      </c>
      <c r="M3468" s="24">
        <f>+Tabla2[[#This Row],[Variación Stock]]*Tabla2[[#This Row],[Coste LÃ­nea]]</f>
        <v>0</v>
      </c>
      <c r="N3468" s="22" t="str">
        <f>+IF(Tabla2[[#This Row],[Variación Stock]]&gt;0,"Sobrante",IF(Tabla2[[#This Row],[Variación Stock]]&lt;0,"Faltante","Sin novedad"))</f>
        <v>Sin novedad</v>
      </c>
    </row>
    <row r="3469" spans="1:14" x14ac:dyDescent="0.25">
      <c r="A3469" s="11">
        <v>46037</v>
      </c>
      <c r="B3469" s="5" t="s">
        <v>338</v>
      </c>
      <c r="C3469" s="3" t="s">
        <v>339</v>
      </c>
      <c r="D3469" s="5" t="s">
        <v>118</v>
      </c>
      <c r="E3469" s="5" t="s">
        <v>112</v>
      </c>
      <c r="F3469" s="6" t="s">
        <v>298</v>
      </c>
      <c r="G3469" s="4" t="s">
        <v>2</v>
      </c>
      <c r="H3469" s="25">
        <v>63897.666666669997</v>
      </c>
      <c r="I3469" s="8">
        <v>0</v>
      </c>
      <c r="J3469" s="9">
        <v>0</v>
      </c>
      <c r="K3469" s="7">
        <v>0</v>
      </c>
      <c r="L3469" s="24">
        <f>+Tabla2[[#This Row],[Stock Inventario]]*Tabla2[[#This Row],[Coste LÃ­nea]]</f>
        <v>0</v>
      </c>
      <c r="M3469" s="24">
        <f>+Tabla2[[#This Row],[Variación Stock]]*Tabla2[[#This Row],[Coste LÃ­nea]]</f>
        <v>0</v>
      </c>
      <c r="N3469" s="22" t="str">
        <f>+IF(Tabla2[[#This Row],[Variación Stock]]&gt;0,"Sobrante",IF(Tabla2[[#This Row],[Variación Stock]]&lt;0,"Faltante","Sin novedad"))</f>
        <v>Sin novedad</v>
      </c>
    </row>
    <row r="3470" spans="1:14" x14ac:dyDescent="0.25">
      <c r="A3470" s="11">
        <v>46037</v>
      </c>
      <c r="B3470" s="5" t="s">
        <v>338</v>
      </c>
      <c r="C3470" s="3" t="s">
        <v>339</v>
      </c>
      <c r="D3470" s="5" t="s">
        <v>118</v>
      </c>
      <c r="E3470" s="5" t="s">
        <v>112</v>
      </c>
      <c r="F3470" s="6" t="s">
        <v>299</v>
      </c>
      <c r="G3470" s="4" t="s">
        <v>2</v>
      </c>
      <c r="H3470" s="25">
        <v>72880</v>
      </c>
      <c r="I3470" s="8">
        <v>3</v>
      </c>
      <c r="J3470" s="9">
        <v>3</v>
      </c>
      <c r="K3470" s="7">
        <v>0</v>
      </c>
      <c r="L3470" s="24">
        <f>+Tabla2[[#This Row],[Stock Inventario]]*Tabla2[[#This Row],[Coste LÃ­nea]]</f>
        <v>218640</v>
      </c>
      <c r="M3470" s="24">
        <f>+Tabla2[[#This Row],[Variación Stock]]*Tabla2[[#This Row],[Coste LÃ­nea]]</f>
        <v>0</v>
      </c>
      <c r="N3470" s="22" t="str">
        <f>+IF(Tabla2[[#This Row],[Variación Stock]]&gt;0,"Sobrante",IF(Tabla2[[#This Row],[Variación Stock]]&lt;0,"Faltante","Sin novedad"))</f>
        <v>Sin novedad</v>
      </c>
    </row>
    <row r="3471" spans="1:14" x14ac:dyDescent="0.25">
      <c r="A3471" s="11">
        <v>46037</v>
      </c>
      <c r="B3471" s="5" t="s">
        <v>338</v>
      </c>
      <c r="C3471" s="3" t="s">
        <v>339</v>
      </c>
      <c r="D3471" s="5" t="s">
        <v>118</v>
      </c>
      <c r="E3471" s="5" t="s">
        <v>112</v>
      </c>
      <c r="F3471" s="6" t="s">
        <v>300</v>
      </c>
      <c r="G3471" s="4" t="s">
        <v>2</v>
      </c>
      <c r="H3471" s="25">
        <v>25109.5</v>
      </c>
      <c r="I3471" s="8">
        <v>0</v>
      </c>
      <c r="J3471" s="9">
        <v>0</v>
      </c>
      <c r="K3471" s="7">
        <v>0</v>
      </c>
      <c r="L3471" s="24">
        <f>+Tabla2[[#This Row],[Stock Inventario]]*Tabla2[[#This Row],[Coste LÃ­nea]]</f>
        <v>0</v>
      </c>
      <c r="M3471" s="24">
        <f>+Tabla2[[#This Row],[Variación Stock]]*Tabla2[[#This Row],[Coste LÃ­nea]]</f>
        <v>0</v>
      </c>
      <c r="N3471" s="22" t="str">
        <f>+IF(Tabla2[[#This Row],[Variación Stock]]&gt;0,"Sobrante",IF(Tabla2[[#This Row],[Variación Stock]]&lt;0,"Faltante","Sin novedad"))</f>
        <v>Sin novedad</v>
      </c>
    </row>
    <row r="3472" spans="1:14" x14ac:dyDescent="0.25">
      <c r="A3472" s="11">
        <v>46037</v>
      </c>
      <c r="B3472" s="5" t="s">
        <v>338</v>
      </c>
      <c r="C3472" s="3" t="s">
        <v>339</v>
      </c>
      <c r="D3472" s="5" t="s">
        <v>118</v>
      </c>
      <c r="E3472" s="5" t="s">
        <v>112</v>
      </c>
      <c r="F3472" s="6" t="s">
        <v>301</v>
      </c>
      <c r="G3472" s="4" t="s">
        <v>81</v>
      </c>
      <c r="H3472" s="25">
        <v>15151.2</v>
      </c>
      <c r="I3472" s="8">
        <v>23</v>
      </c>
      <c r="J3472" s="9">
        <v>23</v>
      </c>
      <c r="K3472" s="7">
        <v>0</v>
      </c>
      <c r="L3472" s="24">
        <f>+Tabla2[[#This Row],[Stock Inventario]]*Tabla2[[#This Row],[Coste LÃ­nea]]</f>
        <v>348477.60000000003</v>
      </c>
      <c r="M3472" s="24">
        <f>+Tabla2[[#This Row],[Variación Stock]]*Tabla2[[#This Row],[Coste LÃ­nea]]</f>
        <v>0</v>
      </c>
      <c r="N3472" s="22" t="str">
        <f>+IF(Tabla2[[#This Row],[Variación Stock]]&gt;0,"Sobrante",IF(Tabla2[[#This Row],[Variación Stock]]&lt;0,"Faltante","Sin novedad"))</f>
        <v>Sin novedad</v>
      </c>
    </row>
    <row r="3473" spans="1:14" x14ac:dyDescent="0.25">
      <c r="A3473" s="11">
        <v>46037</v>
      </c>
      <c r="B3473" s="5" t="s">
        <v>338</v>
      </c>
      <c r="C3473" s="3" t="s">
        <v>339</v>
      </c>
      <c r="D3473" s="5" t="s">
        <v>118</v>
      </c>
      <c r="E3473" s="5" t="s">
        <v>112</v>
      </c>
      <c r="F3473" s="6" t="s">
        <v>302</v>
      </c>
      <c r="G3473" s="4" t="s">
        <v>2</v>
      </c>
      <c r="H3473" s="25">
        <v>444869</v>
      </c>
      <c r="I3473" s="8">
        <v>1</v>
      </c>
      <c r="J3473" s="9">
        <v>1</v>
      </c>
      <c r="K3473" s="7">
        <v>0</v>
      </c>
      <c r="L3473" s="24">
        <f>+Tabla2[[#This Row],[Stock Inventario]]*Tabla2[[#This Row],[Coste LÃ­nea]]</f>
        <v>444869</v>
      </c>
      <c r="M3473" s="24">
        <f>+Tabla2[[#This Row],[Variación Stock]]*Tabla2[[#This Row],[Coste LÃ­nea]]</f>
        <v>0</v>
      </c>
      <c r="N3473" s="22" t="str">
        <f>+IF(Tabla2[[#This Row],[Variación Stock]]&gt;0,"Sobrante",IF(Tabla2[[#This Row],[Variación Stock]]&lt;0,"Faltante","Sin novedad"))</f>
        <v>Sin novedad</v>
      </c>
    </row>
    <row r="3474" spans="1:14" x14ac:dyDescent="0.25">
      <c r="A3474" s="11">
        <v>46037</v>
      </c>
      <c r="B3474" s="5" t="s">
        <v>338</v>
      </c>
      <c r="C3474" s="3" t="s">
        <v>339</v>
      </c>
      <c r="D3474" s="5" t="s">
        <v>118</v>
      </c>
      <c r="E3474" s="5" t="s">
        <v>112</v>
      </c>
      <c r="F3474" s="6" t="s">
        <v>303</v>
      </c>
      <c r="G3474" s="4" t="s">
        <v>81</v>
      </c>
      <c r="H3474" s="25">
        <v>15144.3</v>
      </c>
      <c r="I3474" s="8">
        <v>34</v>
      </c>
      <c r="J3474" s="9">
        <v>34</v>
      </c>
      <c r="K3474" s="7">
        <v>0</v>
      </c>
      <c r="L3474" s="24">
        <f>+Tabla2[[#This Row],[Stock Inventario]]*Tabla2[[#This Row],[Coste LÃ­nea]]</f>
        <v>514906.19999999995</v>
      </c>
      <c r="M3474" s="24">
        <f>+Tabla2[[#This Row],[Variación Stock]]*Tabla2[[#This Row],[Coste LÃ­nea]]</f>
        <v>0</v>
      </c>
      <c r="N3474" s="22" t="str">
        <f>+IF(Tabla2[[#This Row],[Variación Stock]]&gt;0,"Sobrante",IF(Tabla2[[#This Row],[Variación Stock]]&lt;0,"Faltante","Sin novedad"))</f>
        <v>Sin novedad</v>
      </c>
    </row>
    <row r="3475" spans="1:14" x14ac:dyDescent="0.25">
      <c r="A3475" s="11">
        <v>46037</v>
      </c>
      <c r="B3475" s="5" t="s">
        <v>338</v>
      </c>
      <c r="C3475" s="3" t="s">
        <v>339</v>
      </c>
      <c r="D3475" s="5" t="s">
        <v>118</v>
      </c>
      <c r="E3475" s="5" t="s">
        <v>112</v>
      </c>
      <c r="F3475" s="6" t="s">
        <v>82</v>
      </c>
      <c r="G3475" s="4" t="s">
        <v>2</v>
      </c>
      <c r="H3475" s="25">
        <v>63373</v>
      </c>
      <c r="I3475" s="8">
        <v>2</v>
      </c>
      <c r="J3475" s="9">
        <v>2</v>
      </c>
      <c r="K3475" s="7">
        <v>0</v>
      </c>
      <c r="L3475" s="24">
        <f>+Tabla2[[#This Row],[Stock Inventario]]*Tabla2[[#This Row],[Coste LÃ­nea]]</f>
        <v>126746</v>
      </c>
      <c r="M3475" s="24">
        <f>+Tabla2[[#This Row],[Variación Stock]]*Tabla2[[#This Row],[Coste LÃ­nea]]</f>
        <v>0</v>
      </c>
      <c r="N3475" s="22" t="str">
        <f>+IF(Tabla2[[#This Row],[Variación Stock]]&gt;0,"Sobrante",IF(Tabla2[[#This Row],[Variación Stock]]&lt;0,"Faltante","Sin novedad"))</f>
        <v>Sin novedad</v>
      </c>
    </row>
    <row r="3476" spans="1:14" x14ac:dyDescent="0.25">
      <c r="A3476" s="11">
        <v>46037</v>
      </c>
      <c r="B3476" s="5" t="s">
        <v>338</v>
      </c>
      <c r="C3476" s="3" t="s">
        <v>339</v>
      </c>
      <c r="D3476" s="5" t="s">
        <v>118</v>
      </c>
      <c r="E3476" s="5" t="s">
        <v>112</v>
      </c>
      <c r="F3476" s="6" t="s">
        <v>304</v>
      </c>
      <c r="G3476" s="4" t="s">
        <v>2</v>
      </c>
      <c r="H3476" s="25">
        <v>37617</v>
      </c>
      <c r="I3476" s="8">
        <v>6</v>
      </c>
      <c r="J3476" s="9">
        <v>6</v>
      </c>
      <c r="K3476" s="7">
        <v>0</v>
      </c>
      <c r="L3476" s="24">
        <f>+Tabla2[[#This Row],[Stock Inventario]]*Tabla2[[#This Row],[Coste LÃ­nea]]</f>
        <v>225702</v>
      </c>
      <c r="M3476" s="24">
        <f>+Tabla2[[#This Row],[Variación Stock]]*Tabla2[[#This Row],[Coste LÃ­nea]]</f>
        <v>0</v>
      </c>
      <c r="N3476" s="22" t="str">
        <f>+IF(Tabla2[[#This Row],[Variación Stock]]&gt;0,"Sobrante",IF(Tabla2[[#This Row],[Variación Stock]]&lt;0,"Faltante","Sin novedad"))</f>
        <v>Sin novedad</v>
      </c>
    </row>
    <row r="3477" spans="1:14" x14ac:dyDescent="0.25">
      <c r="A3477" s="11">
        <v>46037</v>
      </c>
      <c r="B3477" s="5" t="s">
        <v>338</v>
      </c>
      <c r="C3477" s="3" t="s">
        <v>339</v>
      </c>
      <c r="D3477" s="5" t="s">
        <v>118</v>
      </c>
      <c r="E3477" s="5" t="s">
        <v>112</v>
      </c>
      <c r="F3477" s="6" t="s">
        <v>83</v>
      </c>
      <c r="G3477" s="4" t="s">
        <v>2</v>
      </c>
      <c r="H3477" s="25">
        <v>37608</v>
      </c>
      <c r="I3477" s="8">
        <v>7</v>
      </c>
      <c r="J3477" s="9">
        <v>7</v>
      </c>
      <c r="K3477" s="7">
        <v>0</v>
      </c>
      <c r="L3477" s="24">
        <f>+Tabla2[[#This Row],[Stock Inventario]]*Tabla2[[#This Row],[Coste LÃ­nea]]</f>
        <v>263256</v>
      </c>
      <c r="M3477" s="24">
        <f>+Tabla2[[#This Row],[Variación Stock]]*Tabla2[[#This Row],[Coste LÃ­nea]]</f>
        <v>0</v>
      </c>
      <c r="N3477" s="22" t="str">
        <f>+IF(Tabla2[[#This Row],[Variación Stock]]&gt;0,"Sobrante",IF(Tabla2[[#This Row],[Variación Stock]]&lt;0,"Faltante","Sin novedad"))</f>
        <v>Sin novedad</v>
      </c>
    </row>
    <row r="3478" spans="1:14" x14ac:dyDescent="0.25">
      <c r="A3478" s="11">
        <v>46037</v>
      </c>
      <c r="B3478" s="5" t="s">
        <v>338</v>
      </c>
      <c r="C3478" s="3" t="s">
        <v>339</v>
      </c>
      <c r="D3478" s="5" t="s">
        <v>118</v>
      </c>
      <c r="E3478" s="5" t="s">
        <v>112</v>
      </c>
      <c r="F3478" s="6" t="s">
        <v>84</v>
      </c>
      <c r="G3478" s="4" t="s">
        <v>81</v>
      </c>
      <c r="H3478" s="25">
        <v>9853.7999999999993</v>
      </c>
      <c r="I3478" s="8">
        <v>0</v>
      </c>
      <c r="J3478" s="9">
        <v>0</v>
      </c>
      <c r="K3478" s="7">
        <v>0</v>
      </c>
      <c r="L3478" s="24">
        <f>+Tabla2[[#This Row],[Stock Inventario]]*Tabla2[[#This Row],[Coste LÃ­nea]]</f>
        <v>0</v>
      </c>
      <c r="M3478" s="24">
        <f>+Tabla2[[#This Row],[Variación Stock]]*Tabla2[[#This Row],[Coste LÃ­nea]]</f>
        <v>0</v>
      </c>
      <c r="N3478" s="22" t="str">
        <f>+IF(Tabla2[[#This Row],[Variación Stock]]&gt;0,"Sobrante",IF(Tabla2[[#This Row],[Variación Stock]]&lt;0,"Faltante","Sin novedad"))</f>
        <v>Sin novedad</v>
      </c>
    </row>
    <row r="3479" spans="1:14" x14ac:dyDescent="0.25">
      <c r="A3479" s="11">
        <v>46037</v>
      </c>
      <c r="B3479" s="5" t="s">
        <v>338</v>
      </c>
      <c r="C3479" s="3" t="s">
        <v>339</v>
      </c>
      <c r="D3479" s="5" t="s">
        <v>118</v>
      </c>
      <c r="E3479" s="5" t="s">
        <v>112</v>
      </c>
      <c r="F3479" s="6" t="s">
        <v>85</v>
      </c>
      <c r="G3479" s="4" t="s">
        <v>81</v>
      </c>
      <c r="H3479" s="25">
        <v>9853.2000000000007</v>
      </c>
      <c r="I3479" s="8">
        <v>0</v>
      </c>
      <c r="J3479" s="9">
        <v>0</v>
      </c>
      <c r="K3479" s="7">
        <v>0</v>
      </c>
      <c r="L3479" s="24">
        <f>+Tabla2[[#This Row],[Stock Inventario]]*Tabla2[[#This Row],[Coste LÃ­nea]]</f>
        <v>0</v>
      </c>
      <c r="M3479" s="24">
        <f>+Tabla2[[#This Row],[Variación Stock]]*Tabla2[[#This Row],[Coste LÃ­nea]]</f>
        <v>0</v>
      </c>
      <c r="N3479" s="22" t="str">
        <f>+IF(Tabla2[[#This Row],[Variación Stock]]&gt;0,"Sobrante",IF(Tabla2[[#This Row],[Variación Stock]]&lt;0,"Faltante","Sin novedad"))</f>
        <v>Sin novedad</v>
      </c>
    </row>
    <row r="3480" spans="1:14" x14ac:dyDescent="0.25">
      <c r="A3480" s="11">
        <v>46037</v>
      </c>
      <c r="B3480" s="5" t="s">
        <v>338</v>
      </c>
      <c r="C3480" s="3" t="s">
        <v>339</v>
      </c>
      <c r="D3480" s="5" t="s">
        <v>118</v>
      </c>
      <c r="E3480" s="5" t="s">
        <v>112</v>
      </c>
      <c r="F3480" s="6" t="s">
        <v>86</v>
      </c>
      <c r="G3480" s="4" t="s">
        <v>81</v>
      </c>
      <c r="H3480" s="25">
        <v>10889.4</v>
      </c>
      <c r="I3480" s="8">
        <v>10</v>
      </c>
      <c r="J3480" s="9">
        <v>10</v>
      </c>
      <c r="K3480" s="7">
        <v>0</v>
      </c>
      <c r="L3480" s="24">
        <f>+Tabla2[[#This Row],[Stock Inventario]]*Tabla2[[#This Row],[Coste LÃ­nea]]</f>
        <v>108894</v>
      </c>
      <c r="M3480" s="24">
        <f>+Tabla2[[#This Row],[Variación Stock]]*Tabla2[[#This Row],[Coste LÃ­nea]]</f>
        <v>0</v>
      </c>
      <c r="N3480" s="22" t="str">
        <f>+IF(Tabla2[[#This Row],[Variación Stock]]&gt;0,"Sobrante",IF(Tabla2[[#This Row],[Variación Stock]]&lt;0,"Faltante","Sin novedad"))</f>
        <v>Sin novedad</v>
      </c>
    </row>
    <row r="3481" spans="1:14" x14ac:dyDescent="0.25">
      <c r="A3481" s="11">
        <v>46037</v>
      </c>
      <c r="B3481" s="5" t="s">
        <v>338</v>
      </c>
      <c r="C3481" s="3" t="s">
        <v>339</v>
      </c>
      <c r="D3481" s="5" t="s">
        <v>118</v>
      </c>
      <c r="E3481" s="5" t="s">
        <v>112</v>
      </c>
      <c r="F3481" s="6" t="s">
        <v>92</v>
      </c>
      <c r="G3481" s="4" t="s">
        <v>81</v>
      </c>
      <c r="H3481" s="25">
        <v>9700</v>
      </c>
      <c r="I3481" s="8">
        <v>5</v>
      </c>
      <c r="J3481" s="9">
        <v>15</v>
      </c>
      <c r="K3481" s="7">
        <v>10</v>
      </c>
      <c r="L3481" s="24">
        <f>+Tabla2[[#This Row],[Stock Inventario]]*Tabla2[[#This Row],[Coste LÃ­nea]]</f>
        <v>145500</v>
      </c>
      <c r="M3481" s="24">
        <f>+Tabla2[[#This Row],[Variación Stock]]*Tabla2[[#This Row],[Coste LÃ­nea]]</f>
        <v>97000</v>
      </c>
      <c r="N3481" s="22" t="str">
        <f>+IF(Tabla2[[#This Row],[Variación Stock]]&gt;0,"Sobrante",IF(Tabla2[[#This Row],[Variación Stock]]&lt;0,"Faltante","Sin novedad"))</f>
        <v>Sobrante</v>
      </c>
    </row>
    <row r="3482" spans="1:14" x14ac:dyDescent="0.25">
      <c r="A3482" s="11">
        <v>46044</v>
      </c>
      <c r="B3482" s="5" t="s">
        <v>378</v>
      </c>
      <c r="C3482" s="3" t="s">
        <v>339</v>
      </c>
      <c r="D3482" s="5" t="s">
        <v>118</v>
      </c>
      <c r="E3482" s="5" t="s">
        <v>112</v>
      </c>
      <c r="F3482" s="6" t="s">
        <v>87</v>
      </c>
      <c r="G3482" s="4" t="s">
        <v>2</v>
      </c>
      <c r="H3482" s="25">
        <v>37612</v>
      </c>
      <c r="I3482" s="8">
        <v>11</v>
      </c>
      <c r="J3482" s="9">
        <v>14</v>
      </c>
      <c r="K3482" s="7">
        <v>3</v>
      </c>
      <c r="L3482" s="24">
        <f>+Tabla2[[#This Row],[Stock Inventario]]*Tabla2[[#This Row],[Coste LÃ­nea]]</f>
        <v>526568</v>
      </c>
      <c r="M3482" s="24">
        <f>+Tabla2[[#This Row],[Variación Stock]]*Tabla2[[#This Row],[Coste LÃ­nea]]</f>
        <v>112836</v>
      </c>
      <c r="N3482" s="22" t="str">
        <f>+IF(Tabla2[[#This Row],[Variación Stock]]&gt;0,"Sobrante",IF(Tabla2[[#This Row],[Variación Stock]]&lt;0,"Faltante","Sin novedad"))</f>
        <v>Sobrante</v>
      </c>
    </row>
    <row r="3483" spans="1:14" x14ac:dyDescent="0.25">
      <c r="A3483" s="11">
        <v>46037</v>
      </c>
      <c r="B3483" s="5" t="s">
        <v>338</v>
      </c>
      <c r="C3483" s="3" t="s">
        <v>339</v>
      </c>
      <c r="D3483" s="5" t="s">
        <v>118</v>
      </c>
      <c r="E3483" s="5" t="s">
        <v>112</v>
      </c>
      <c r="F3483" s="6" t="s">
        <v>89</v>
      </c>
      <c r="G3483" s="4" t="s">
        <v>81</v>
      </c>
      <c r="H3483" s="25">
        <v>4363.6000000000004</v>
      </c>
      <c r="I3483" s="8">
        <v>20</v>
      </c>
      <c r="J3483" s="9">
        <v>20</v>
      </c>
      <c r="K3483" s="7">
        <v>0</v>
      </c>
      <c r="L3483" s="24">
        <f>+Tabla2[[#This Row],[Stock Inventario]]*Tabla2[[#This Row],[Coste LÃ­nea]]</f>
        <v>87272</v>
      </c>
      <c r="M3483" s="24">
        <f>+Tabla2[[#This Row],[Variación Stock]]*Tabla2[[#This Row],[Coste LÃ­nea]]</f>
        <v>0</v>
      </c>
      <c r="N3483" s="22" t="str">
        <f>+IF(Tabla2[[#This Row],[Variación Stock]]&gt;0,"Sobrante",IF(Tabla2[[#This Row],[Variación Stock]]&lt;0,"Faltante","Sin novedad"))</f>
        <v>Sin novedad</v>
      </c>
    </row>
    <row r="3484" spans="1:14" x14ac:dyDescent="0.25">
      <c r="A3484" s="11">
        <v>46044</v>
      </c>
      <c r="B3484" s="5" t="s">
        <v>378</v>
      </c>
      <c r="C3484" s="3" t="s">
        <v>339</v>
      </c>
      <c r="D3484" s="5" t="s">
        <v>118</v>
      </c>
      <c r="E3484" s="5" t="s">
        <v>112</v>
      </c>
      <c r="F3484" s="6" t="s">
        <v>89</v>
      </c>
      <c r="G3484" s="4" t="s">
        <v>81</v>
      </c>
      <c r="H3484" s="25">
        <v>4363.6000000000004</v>
      </c>
      <c r="I3484" s="8">
        <v>16</v>
      </c>
      <c r="J3484" s="9">
        <v>19</v>
      </c>
      <c r="K3484" s="7">
        <v>3</v>
      </c>
      <c r="L3484" s="24">
        <f>+Tabla2[[#This Row],[Stock Inventario]]*Tabla2[[#This Row],[Coste LÃ­nea]]</f>
        <v>82908.400000000009</v>
      </c>
      <c r="M3484" s="24">
        <f>+Tabla2[[#This Row],[Variación Stock]]*Tabla2[[#This Row],[Coste LÃ­nea]]</f>
        <v>13090.800000000001</v>
      </c>
      <c r="N3484" s="22" t="str">
        <f>+IF(Tabla2[[#This Row],[Variación Stock]]&gt;0,"Sobrante",IF(Tabla2[[#This Row],[Variación Stock]]&lt;0,"Faltante","Sin novedad"))</f>
        <v>Sobrante</v>
      </c>
    </row>
    <row r="3485" spans="1:14" x14ac:dyDescent="0.25">
      <c r="A3485" s="11">
        <v>46044</v>
      </c>
      <c r="B3485" s="5" t="s">
        <v>378</v>
      </c>
      <c r="C3485" s="3" t="s">
        <v>339</v>
      </c>
      <c r="D3485" s="5" t="s">
        <v>118</v>
      </c>
      <c r="E3485" s="5" t="s">
        <v>112</v>
      </c>
      <c r="F3485" s="6" t="s">
        <v>90</v>
      </c>
      <c r="G3485" s="4" t="s">
        <v>81</v>
      </c>
      <c r="H3485" s="25">
        <v>4385.2</v>
      </c>
      <c r="I3485" s="8">
        <v>11</v>
      </c>
      <c r="J3485" s="9">
        <v>14</v>
      </c>
      <c r="K3485" s="7">
        <v>3</v>
      </c>
      <c r="L3485" s="24">
        <f>+Tabla2[[#This Row],[Stock Inventario]]*Tabla2[[#This Row],[Coste LÃ­nea]]</f>
        <v>61392.799999999996</v>
      </c>
      <c r="M3485" s="24">
        <f>+Tabla2[[#This Row],[Variación Stock]]*Tabla2[[#This Row],[Coste LÃ­nea]]</f>
        <v>13155.599999999999</v>
      </c>
      <c r="N3485" s="22" t="str">
        <f>+IF(Tabla2[[#This Row],[Variación Stock]]&gt;0,"Sobrante",IF(Tabla2[[#This Row],[Variación Stock]]&lt;0,"Faltante","Sin novedad"))</f>
        <v>Sobrante</v>
      </c>
    </row>
    <row r="3486" spans="1:14" x14ac:dyDescent="0.25">
      <c r="A3486" s="11">
        <v>46037</v>
      </c>
      <c r="B3486" s="5" t="s">
        <v>338</v>
      </c>
      <c r="C3486" s="3" t="s">
        <v>339</v>
      </c>
      <c r="D3486" s="5" t="s">
        <v>118</v>
      </c>
      <c r="E3486" s="5" t="s">
        <v>112</v>
      </c>
      <c r="F3486" s="6" t="s">
        <v>306</v>
      </c>
      <c r="G3486" s="4" t="s">
        <v>81</v>
      </c>
      <c r="H3486" s="25">
        <v>10715.3</v>
      </c>
      <c r="I3486" s="8">
        <v>25</v>
      </c>
      <c r="J3486" s="9">
        <v>25</v>
      </c>
      <c r="K3486" s="7">
        <v>0</v>
      </c>
      <c r="L3486" s="24">
        <f>+Tabla2[[#This Row],[Stock Inventario]]*Tabla2[[#This Row],[Coste LÃ­nea]]</f>
        <v>267882.5</v>
      </c>
      <c r="M3486" s="24">
        <f>+Tabla2[[#This Row],[Variación Stock]]*Tabla2[[#This Row],[Coste LÃ­nea]]</f>
        <v>0</v>
      </c>
      <c r="N3486" s="22" t="str">
        <f>+IF(Tabla2[[#This Row],[Variación Stock]]&gt;0,"Sobrante",IF(Tabla2[[#This Row],[Variación Stock]]&lt;0,"Faltante","Sin novedad"))</f>
        <v>Sin novedad</v>
      </c>
    </row>
    <row r="3487" spans="1:14" x14ac:dyDescent="0.25">
      <c r="A3487" s="11">
        <v>46037</v>
      </c>
      <c r="B3487" s="5" t="s">
        <v>338</v>
      </c>
      <c r="C3487" s="3" t="s">
        <v>339</v>
      </c>
      <c r="D3487" s="5" t="s">
        <v>118</v>
      </c>
      <c r="E3487" s="5" t="s">
        <v>112</v>
      </c>
      <c r="F3487" s="6" t="s">
        <v>307</v>
      </c>
      <c r="G3487" s="4" t="s">
        <v>81</v>
      </c>
      <c r="H3487" s="25">
        <v>10710.6</v>
      </c>
      <c r="I3487" s="8">
        <v>27</v>
      </c>
      <c r="J3487" s="9">
        <v>27</v>
      </c>
      <c r="K3487" s="7">
        <v>0</v>
      </c>
      <c r="L3487" s="24">
        <f>+Tabla2[[#This Row],[Stock Inventario]]*Tabla2[[#This Row],[Coste LÃ­nea]]</f>
        <v>289186.2</v>
      </c>
      <c r="M3487" s="24">
        <f>+Tabla2[[#This Row],[Variación Stock]]*Tabla2[[#This Row],[Coste LÃ­nea]]</f>
        <v>0</v>
      </c>
      <c r="N3487" s="22" t="str">
        <f>+IF(Tabla2[[#This Row],[Variación Stock]]&gt;0,"Sobrante",IF(Tabla2[[#This Row],[Variación Stock]]&lt;0,"Faltante","Sin novedad"))</f>
        <v>Sin novedad</v>
      </c>
    </row>
    <row r="3488" spans="1:14" x14ac:dyDescent="0.25">
      <c r="A3488" s="11">
        <v>46037</v>
      </c>
      <c r="B3488" s="5" t="s">
        <v>338</v>
      </c>
      <c r="C3488" s="3" t="s">
        <v>339</v>
      </c>
      <c r="D3488" s="5" t="s">
        <v>118</v>
      </c>
      <c r="E3488" s="5" t="s">
        <v>112</v>
      </c>
      <c r="F3488" s="6" t="s">
        <v>91</v>
      </c>
      <c r="G3488" s="4" t="s">
        <v>2</v>
      </c>
      <c r="H3488" s="25">
        <v>70600.5</v>
      </c>
      <c r="I3488" s="8">
        <v>3</v>
      </c>
      <c r="J3488" s="9">
        <v>3</v>
      </c>
      <c r="K3488" s="7">
        <v>0</v>
      </c>
      <c r="L3488" s="24">
        <f>+Tabla2[[#This Row],[Stock Inventario]]*Tabla2[[#This Row],[Coste LÃ­nea]]</f>
        <v>211801.5</v>
      </c>
      <c r="M3488" s="24">
        <f>+Tabla2[[#This Row],[Variación Stock]]*Tabla2[[#This Row],[Coste LÃ­nea]]</f>
        <v>0</v>
      </c>
      <c r="N3488" s="22" t="str">
        <f>+IF(Tabla2[[#This Row],[Variación Stock]]&gt;0,"Sobrante",IF(Tabla2[[#This Row],[Variación Stock]]&lt;0,"Faltante","Sin novedad"))</f>
        <v>Sin novedad</v>
      </c>
    </row>
    <row r="3489" spans="1:14" x14ac:dyDescent="0.25">
      <c r="A3489" s="11">
        <v>46037</v>
      </c>
      <c r="B3489" s="5" t="s">
        <v>338</v>
      </c>
      <c r="C3489" s="3" t="s">
        <v>339</v>
      </c>
      <c r="D3489" s="5" t="s">
        <v>118</v>
      </c>
      <c r="E3489" s="5" t="s">
        <v>112</v>
      </c>
      <c r="F3489" s="6" t="s">
        <v>308</v>
      </c>
      <c r="G3489" s="4" t="s">
        <v>81</v>
      </c>
      <c r="H3489" s="25">
        <v>15144</v>
      </c>
      <c r="I3489" s="8">
        <v>38</v>
      </c>
      <c r="J3489" s="9">
        <v>38</v>
      </c>
      <c r="K3489" s="7">
        <v>0</v>
      </c>
      <c r="L3489" s="24">
        <f>+Tabla2[[#This Row],[Stock Inventario]]*Tabla2[[#This Row],[Coste LÃ­nea]]</f>
        <v>575472</v>
      </c>
      <c r="M3489" s="24">
        <f>+Tabla2[[#This Row],[Variación Stock]]*Tabla2[[#This Row],[Coste LÃ­nea]]</f>
        <v>0</v>
      </c>
      <c r="N3489" s="22" t="str">
        <f>+IF(Tabla2[[#This Row],[Variación Stock]]&gt;0,"Sobrante",IF(Tabla2[[#This Row],[Variación Stock]]&lt;0,"Faltante","Sin novedad"))</f>
        <v>Sin novedad</v>
      </c>
    </row>
    <row r="3490" spans="1:14" x14ac:dyDescent="0.25">
      <c r="A3490" s="11">
        <v>46053</v>
      </c>
      <c r="B3490" s="5" t="s">
        <v>1078</v>
      </c>
      <c r="C3490" s="3" t="s">
        <v>339</v>
      </c>
      <c r="D3490" s="5" t="s">
        <v>118</v>
      </c>
      <c r="E3490" s="5" t="s">
        <v>112</v>
      </c>
      <c r="F3490" s="6" t="s">
        <v>87</v>
      </c>
      <c r="G3490" s="4" t="s">
        <v>2</v>
      </c>
      <c r="H3490" s="25">
        <v>37612</v>
      </c>
      <c r="I3490" s="8">
        <v>8</v>
      </c>
      <c r="J3490" s="9">
        <v>11</v>
      </c>
      <c r="K3490" s="7">
        <v>3</v>
      </c>
      <c r="L3490" s="24">
        <f>+Tabla2[[#This Row],[Stock Inventario]]*Tabla2[[#This Row],[Coste LÃ­nea]]</f>
        <v>413732</v>
      </c>
      <c r="M3490" s="24">
        <f>+Tabla2[[#This Row],[Variación Stock]]*Tabla2[[#This Row],[Coste LÃ­nea]]</f>
        <v>112836</v>
      </c>
      <c r="N3490" s="22" t="str">
        <f>+IF(Tabla2[[#This Row],[Variación Stock]]&gt;0,"Sobrante",IF(Tabla2[[#This Row],[Variación Stock]]&lt;0,"Faltante","Sin novedad"))</f>
        <v>Sobrante</v>
      </c>
    </row>
    <row r="3491" spans="1:14" x14ac:dyDescent="0.25">
      <c r="A3491" s="11">
        <v>46037</v>
      </c>
      <c r="B3491" s="5" t="s">
        <v>338</v>
      </c>
      <c r="C3491" s="3" t="s">
        <v>339</v>
      </c>
      <c r="D3491" s="5" t="s">
        <v>118</v>
      </c>
      <c r="E3491" s="5" t="s">
        <v>112</v>
      </c>
      <c r="F3491" s="6" t="s">
        <v>186</v>
      </c>
      <c r="G3491" s="4" t="s">
        <v>2</v>
      </c>
      <c r="H3491" s="25">
        <v>48500</v>
      </c>
      <c r="I3491" s="8">
        <v>0</v>
      </c>
      <c r="J3491" s="9">
        <v>0</v>
      </c>
      <c r="K3491" s="7">
        <v>0</v>
      </c>
      <c r="L3491" s="24">
        <f>+Tabla2[[#This Row],[Stock Inventario]]*Tabla2[[#This Row],[Coste LÃ­nea]]</f>
        <v>0</v>
      </c>
      <c r="M3491" s="24">
        <f>+Tabla2[[#This Row],[Variación Stock]]*Tabla2[[#This Row],[Coste LÃ­nea]]</f>
        <v>0</v>
      </c>
      <c r="N3491" s="22" t="str">
        <f>+IF(Tabla2[[#This Row],[Variación Stock]]&gt;0,"Sobrante",IF(Tabla2[[#This Row],[Variación Stock]]&lt;0,"Faltante","Sin novedad"))</f>
        <v>Sin novedad</v>
      </c>
    </row>
    <row r="3492" spans="1:14" x14ac:dyDescent="0.25">
      <c r="A3492" s="11">
        <v>46037</v>
      </c>
      <c r="B3492" s="5" t="s">
        <v>338</v>
      </c>
      <c r="C3492" s="3" t="s">
        <v>339</v>
      </c>
      <c r="D3492" s="5" t="s">
        <v>118</v>
      </c>
      <c r="E3492" s="5" t="s">
        <v>112</v>
      </c>
      <c r="F3492" s="6" t="s">
        <v>309</v>
      </c>
      <c r="G3492" s="4" t="s">
        <v>2</v>
      </c>
      <c r="H3492" s="25">
        <v>83261</v>
      </c>
      <c r="I3492" s="8">
        <v>1</v>
      </c>
      <c r="J3492" s="9">
        <v>1</v>
      </c>
      <c r="K3492" s="7">
        <v>0</v>
      </c>
      <c r="L3492" s="24">
        <f>+Tabla2[[#This Row],[Stock Inventario]]*Tabla2[[#This Row],[Coste LÃ­nea]]</f>
        <v>83261</v>
      </c>
      <c r="M3492" s="24">
        <f>+Tabla2[[#This Row],[Variación Stock]]*Tabla2[[#This Row],[Coste LÃ­nea]]</f>
        <v>0</v>
      </c>
      <c r="N3492" s="22" t="str">
        <f>+IF(Tabla2[[#This Row],[Variación Stock]]&gt;0,"Sobrante",IF(Tabla2[[#This Row],[Variación Stock]]&lt;0,"Faltante","Sin novedad"))</f>
        <v>Sin novedad</v>
      </c>
    </row>
    <row r="3493" spans="1:14" x14ac:dyDescent="0.25">
      <c r="A3493" s="11">
        <v>46037</v>
      </c>
      <c r="B3493" s="5" t="s">
        <v>338</v>
      </c>
      <c r="C3493" s="3" t="s">
        <v>339</v>
      </c>
      <c r="D3493" s="5" t="s">
        <v>118</v>
      </c>
      <c r="E3493" s="5" t="s">
        <v>112</v>
      </c>
      <c r="F3493" s="6" t="s">
        <v>310</v>
      </c>
      <c r="G3493" s="4" t="s">
        <v>2</v>
      </c>
      <c r="H3493" s="25">
        <v>79309.523809499995</v>
      </c>
      <c r="I3493" s="8">
        <v>1</v>
      </c>
      <c r="J3493" s="9">
        <v>1</v>
      </c>
      <c r="K3493" s="7">
        <v>0</v>
      </c>
      <c r="L3493" s="24">
        <f>+Tabla2[[#This Row],[Stock Inventario]]*Tabla2[[#This Row],[Coste LÃ­nea]]</f>
        <v>79309.523809499995</v>
      </c>
      <c r="M3493" s="24">
        <f>+Tabla2[[#This Row],[Variación Stock]]*Tabla2[[#This Row],[Coste LÃ­nea]]</f>
        <v>0</v>
      </c>
      <c r="N3493" s="22" t="str">
        <f>+IF(Tabla2[[#This Row],[Variación Stock]]&gt;0,"Sobrante",IF(Tabla2[[#This Row],[Variación Stock]]&lt;0,"Faltante","Sin novedad"))</f>
        <v>Sin novedad</v>
      </c>
    </row>
    <row r="3494" spans="1:14" x14ac:dyDescent="0.25">
      <c r="A3494" s="11">
        <v>46037</v>
      </c>
      <c r="B3494" s="5" t="s">
        <v>338</v>
      </c>
      <c r="C3494" s="3" t="s">
        <v>339</v>
      </c>
      <c r="D3494" s="5" t="s">
        <v>118</v>
      </c>
      <c r="E3494" s="5" t="s">
        <v>112</v>
      </c>
      <c r="F3494" s="6" t="s">
        <v>311</v>
      </c>
      <c r="G3494" s="4" t="s">
        <v>2</v>
      </c>
      <c r="H3494" s="25">
        <v>79652</v>
      </c>
      <c r="I3494" s="8">
        <v>1</v>
      </c>
      <c r="J3494" s="9">
        <v>1</v>
      </c>
      <c r="K3494" s="7">
        <v>0</v>
      </c>
      <c r="L3494" s="24">
        <f>+Tabla2[[#This Row],[Stock Inventario]]*Tabla2[[#This Row],[Coste LÃ­nea]]</f>
        <v>79652</v>
      </c>
      <c r="M3494" s="24">
        <f>+Tabla2[[#This Row],[Variación Stock]]*Tabla2[[#This Row],[Coste LÃ­nea]]</f>
        <v>0</v>
      </c>
      <c r="N3494" s="22" t="str">
        <f>+IF(Tabla2[[#This Row],[Variación Stock]]&gt;0,"Sobrante",IF(Tabla2[[#This Row],[Variación Stock]]&lt;0,"Faltante","Sin novedad"))</f>
        <v>Sin novedad</v>
      </c>
    </row>
    <row r="3495" spans="1:14" x14ac:dyDescent="0.25">
      <c r="A3495" s="11">
        <v>46037</v>
      </c>
      <c r="B3495" s="5" t="s">
        <v>338</v>
      </c>
      <c r="C3495" s="3" t="s">
        <v>339</v>
      </c>
      <c r="D3495" s="5" t="s">
        <v>118</v>
      </c>
      <c r="E3495" s="5" t="s">
        <v>112</v>
      </c>
      <c r="F3495" s="6" t="s">
        <v>123</v>
      </c>
      <c r="G3495" s="4" t="s">
        <v>0</v>
      </c>
      <c r="H3495" s="25">
        <v>1842.78125</v>
      </c>
      <c r="I3495" s="8">
        <v>25</v>
      </c>
      <c r="J3495" s="9">
        <v>24.26</v>
      </c>
      <c r="K3495" s="7">
        <v>-0.74</v>
      </c>
      <c r="L3495" s="24">
        <f>+Tabla2[[#This Row],[Stock Inventario]]*Tabla2[[#This Row],[Coste LÃ­nea]]</f>
        <v>44705.873125000006</v>
      </c>
      <c r="M3495" s="24">
        <f>+Tabla2[[#This Row],[Variación Stock]]*Tabla2[[#This Row],[Coste LÃ­nea]]</f>
        <v>-1363.6581249999999</v>
      </c>
      <c r="N3495" s="22" t="str">
        <f>+IF(Tabla2[[#This Row],[Variación Stock]]&gt;0,"Sobrante",IF(Tabla2[[#This Row],[Variación Stock]]&lt;0,"Faltante","Sin novedad"))</f>
        <v>Faltante</v>
      </c>
    </row>
    <row r="3496" spans="1:14" hidden="1" x14ac:dyDescent="0.25">
      <c r="A3496" s="11">
        <v>46037</v>
      </c>
      <c r="B3496" s="5" t="s">
        <v>338</v>
      </c>
      <c r="C3496" s="3" t="s">
        <v>339</v>
      </c>
      <c r="D3496" s="5" t="s">
        <v>116</v>
      </c>
      <c r="E3496" s="5" t="s">
        <v>117</v>
      </c>
      <c r="F3496" s="6" t="s">
        <v>79</v>
      </c>
      <c r="G3496" s="4" t="s">
        <v>2</v>
      </c>
      <c r="H3496" s="25">
        <v>4680</v>
      </c>
      <c r="I3496" s="8">
        <v>-171.5</v>
      </c>
      <c r="J3496" s="9">
        <v>20.11</v>
      </c>
      <c r="K3496" s="7">
        <v>191.61</v>
      </c>
      <c r="L3496" s="24">
        <f>+Tabla2[[#This Row],[Stock Inventario]]*Tabla2[[#This Row],[Coste LÃ­nea]]</f>
        <v>94114.8</v>
      </c>
      <c r="M3496" s="24">
        <f>+Tabla2[[#This Row],[Variación Stock]]*Tabla2[[#This Row],[Coste LÃ­nea]]</f>
        <v>896734.8</v>
      </c>
      <c r="N3496" s="22" t="str">
        <f>+IF(Tabla2[[#This Row],[Variación Stock]]&gt;0,"Sobrante",IF(Tabla2[[#This Row],[Variación Stock]]&lt;0,"Faltante","Sin novedad"))</f>
        <v>Sobrante</v>
      </c>
    </row>
    <row r="3497" spans="1:14" hidden="1" x14ac:dyDescent="0.25">
      <c r="A3497" s="11">
        <v>46044</v>
      </c>
      <c r="B3497" s="5" t="s">
        <v>378</v>
      </c>
      <c r="C3497" s="3" t="s">
        <v>339</v>
      </c>
      <c r="D3497" s="5" t="s">
        <v>116</v>
      </c>
      <c r="E3497" s="5" t="s">
        <v>117</v>
      </c>
      <c r="F3497" s="6" t="s">
        <v>79</v>
      </c>
      <c r="G3497" s="4" t="s">
        <v>2</v>
      </c>
      <c r="H3497" s="25">
        <v>4850</v>
      </c>
      <c r="I3497" s="8">
        <v>14.61</v>
      </c>
      <c r="J3497" s="9">
        <v>13</v>
      </c>
      <c r="K3497" s="7">
        <v>-1.61</v>
      </c>
      <c r="L3497" s="24">
        <f>+Tabla2[[#This Row],[Stock Inventario]]*Tabla2[[#This Row],[Coste LÃ­nea]]</f>
        <v>63050</v>
      </c>
      <c r="M3497" s="24">
        <f>+Tabla2[[#This Row],[Variación Stock]]*Tabla2[[#This Row],[Coste LÃ­nea]]</f>
        <v>-7808.5000000000009</v>
      </c>
      <c r="N3497" s="22" t="str">
        <f>+IF(Tabla2[[#This Row],[Variación Stock]]&gt;0,"Sobrante",IF(Tabla2[[#This Row],[Variación Stock]]&lt;0,"Faltante","Sin novedad"))</f>
        <v>Faltante</v>
      </c>
    </row>
    <row r="3498" spans="1:14" hidden="1" x14ac:dyDescent="0.25">
      <c r="A3498" s="11">
        <v>46037</v>
      </c>
      <c r="B3498" s="5" t="s">
        <v>338</v>
      </c>
      <c r="C3498" s="3" t="s">
        <v>339</v>
      </c>
      <c r="D3498" s="5" t="s">
        <v>119</v>
      </c>
      <c r="E3498" s="5" t="s">
        <v>117</v>
      </c>
      <c r="F3498" s="6" t="s">
        <v>10</v>
      </c>
      <c r="G3498" s="4" t="s">
        <v>2</v>
      </c>
      <c r="H3498" s="25">
        <v>17250</v>
      </c>
      <c r="I3498" s="8">
        <v>6</v>
      </c>
      <c r="J3498" s="9">
        <v>6</v>
      </c>
      <c r="K3498" s="7">
        <v>0</v>
      </c>
      <c r="L3498" s="24">
        <f>+Tabla2[[#This Row],[Stock Inventario]]*Tabla2[[#This Row],[Coste LÃ­nea]]</f>
        <v>103500</v>
      </c>
      <c r="M3498" s="24">
        <f>+Tabla2[[#This Row],[Variación Stock]]*Tabla2[[#This Row],[Coste LÃ­nea]]</f>
        <v>0</v>
      </c>
      <c r="N3498" s="22" t="str">
        <f>+IF(Tabla2[[#This Row],[Variación Stock]]&gt;0,"Sobrante",IF(Tabla2[[#This Row],[Variación Stock]]&lt;0,"Faltante","Sin novedad"))</f>
        <v>Sin novedad</v>
      </c>
    </row>
    <row r="3499" spans="1:14" hidden="1" x14ac:dyDescent="0.25">
      <c r="A3499" s="11">
        <v>46037</v>
      </c>
      <c r="B3499" s="5" t="s">
        <v>338</v>
      </c>
      <c r="C3499" s="3" t="s">
        <v>339</v>
      </c>
      <c r="D3499" s="5" t="s">
        <v>119</v>
      </c>
      <c r="E3499" s="5" t="s">
        <v>117</v>
      </c>
      <c r="F3499" s="6" t="s">
        <v>95</v>
      </c>
      <c r="G3499" s="4" t="s">
        <v>1</v>
      </c>
      <c r="H3499" s="25">
        <v>39</v>
      </c>
      <c r="I3499" s="8">
        <v>25070.444100000001</v>
      </c>
      <c r="J3499" s="9">
        <v>19110</v>
      </c>
      <c r="K3499" s="15">
        <v>-5960.4441340000003</v>
      </c>
      <c r="L3499" s="24">
        <f>+Tabla2[[#This Row],[Stock Inventario]]*Tabla2[[#This Row],[Coste LÃ­nea]]</f>
        <v>745290</v>
      </c>
      <c r="M3499" s="24">
        <f>+Tabla2[[#This Row],[Variación Stock]]*Tabla2[[#This Row],[Coste LÃ­nea]]</f>
        <v>-232457.321226</v>
      </c>
      <c r="N3499" s="22" t="str">
        <f>+IF(Tabla2[[#This Row],[Variación Stock]]&gt;0,"Sobrante",IF(Tabla2[[#This Row],[Variación Stock]]&lt;0,"Faltante","Sin novedad"))</f>
        <v>Faltante</v>
      </c>
    </row>
    <row r="3500" spans="1:14" hidden="1" x14ac:dyDescent="0.25">
      <c r="A3500" s="11">
        <v>46037</v>
      </c>
      <c r="B3500" s="5" t="s">
        <v>338</v>
      </c>
      <c r="C3500" s="3" t="s">
        <v>339</v>
      </c>
      <c r="D3500" s="5" t="s">
        <v>119</v>
      </c>
      <c r="E3500" s="5" t="s">
        <v>117</v>
      </c>
      <c r="F3500" s="6" t="s">
        <v>94</v>
      </c>
      <c r="G3500" s="4" t="s">
        <v>2</v>
      </c>
      <c r="H3500" s="25">
        <v>1500</v>
      </c>
      <c r="I3500" s="8">
        <v>94</v>
      </c>
      <c r="J3500" s="9">
        <v>65</v>
      </c>
      <c r="K3500" s="15">
        <v>-29</v>
      </c>
      <c r="L3500" s="24">
        <f>+Tabla2[[#This Row],[Stock Inventario]]*Tabla2[[#This Row],[Coste LÃ­nea]]</f>
        <v>97500</v>
      </c>
      <c r="M3500" s="24">
        <f>+Tabla2[[#This Row],[Variación Stock]]*Tabla2[[#This Row],[Coste LÃ­nea]]</f>
        <v>-43500</v>
      </c>
      <c r="N3500" s="22" t="str">
        <f>+IF(Tabla2[[#This Row],[Variación Stock]]&gt;0,"Sobrante",IF(Tabla2[[#This Row],[Variación Stock]]&lt;0,"Faltante","Sin novedad"))</f>
        <v>Faltante</v>
      </c>
    </row>
    <row r="3501" spans="1:14" hidden="1" x14ac:dyDescent="0.25">
      <c r="A3501" s="11">
        <v>46037</v>
      </c>
      <c r="B3501" s="5" t="s">
        <v>338</v>
      </c>
      <c r="C3501" s="3" t="s">
        <v>339</v>
      </c>
      <c r="D3501" s="5" t="s">
        <v>119</v>
      </c>
      <c r="E3501" s="5" t="s">
        <v>117</v>
      </c>
      <c r="F3501" s="6" t="s">
        <v>12</v>
      </c>
      <c r="G3501" s="4" t="s">
        <v>2</v>
      </c>
      <c r="H3501" s="25">
        <v>0</v>
      </c>
      <c r="I3501" s="8">
        <v>60</v>
      </c>
      <c r="J3501" s="9">
        <v>60</v>
      </c>
      <c r="K3501" s="7">
        <v>0</v>
      </c>
      <c r="L3501" s="24">
        <f>+Tabla2[[#This Row],[Stock Inventario]]*Tabla2[[#This Row],[Coste LÃ­nea]]</f>
        <v>0</v>
      </c>
      <c r="M3501" s="24">
        <f>+Tabla2[[#This Row],[Variación Stock]]*Tabla2[[#This Row],[Coste LÃ­nea]]</f>
        <v>0</v>
      </c>
      <c r="N3501" s="22" t="str">
        <f>+IF(Tabla2[[#This Row],[Variación Stock]]&gt;0,"Sobrante",IF(Tabla2[[#This Row],[Variación Stock]]&lt;0,"Faltante","Sin novedad"))</f>
        <v>Sin novedad</v>
      </c>
    </row>
    <row r="3502" spans="1:14" hidden="1" x14ac:dyDescent="0.25">
      <c r="A3502" s="11">
        <v>46037</v>
      </c>
      <c r="B3502" s="5" t="s">
        <v>338</v>
      </c>
      <c r="C3502" s="3" t="s">
        <v>339</v>
      </c>
      <c r="D3502" s="5" t="s">
        <v>119</v>
      </c>
      <c r="E3502" s="5" t="s">
        <v>117</v>
      </c>
      <c r="F3502" s="6" t="s">
        <v>13</v>
      </c>
      <c r="G3502" s="4" t="s">
        <v>2</v>
      </c>
      <c r="H3502" s="25">
        <v>8166.6666666700003</v>
      </c>
      <c r="I3502" s="8">
        <v>7</v>
      </c>
      <c r="J3502" s="9">
        <v>7</v>
      </c>
      <c r="K3502" s="7">
        <v>0</v>
      </c>
      <c r="L3502" s="24">
        <f>+Tabla2[[#This Row],[Stock Inventario]]*Tabla2[[#This Row],[Coste LÃ­nea]]</f>
        <v>57166.666666689998</v>
      </c>
      <c r="M3502" s="24">
        <f>+Tabla2[[#This Row],[Variación Stock]]*Tabla2[[#This Row],[Coste LÃ­nea]]</f>
        <v>0</v>
      </c>
      <c r="N3502" s="22" t="str">
        <f>+IF(Tabla2[[#This Row],[Variación Stock]]&gt;0,"Sobrante",IF(Tabla2[[#This Row],[Variación Stock]]&lt;0,"Faltante","Sin novedad"))</f>
        <v>Sin novedad</v>
      </c>
    </row>
    <row r="3503" spans="1:14" hidden="1" x14ac:dyDescent="0.25">
      <c r="A3503" s="11">
        <v>46037</v>
      </c>
      <c r="B3503" s="5" t="s">
        <v>338</v>
      </c>
      <c r="C3503" s="3" t="s">
        <v>339</v>
      </c>
      <c r="D3503" s="5" t="s">
        <v>119</v>
      </c>
      <c r="E3503" s="5" t="s">
        <v>117</v>
      </c>
      <c r="F3503" s="6" t="s">
        <v>11</v>
      </c>
      <c r="G3503" s="4" t="s">
        <v>2</v>
      </c>
      <c r="H3503" s="25">
        <v>415.976</v>
      </c>
      <c r="I3503" s="8">
        <v>200</v>
      </c>
      <c r="J3503" s="9">
        <v>292</v>
      </c>
      <c r="K3503" s="7">
        <v>92</v>
      </c>
      <c r="L3503" s="24">
        <f>+Tabla2[[#This Row],[Stock Inventario]]*Tabla2[[#This Row],[Coste LÃ­nea]]</f>
        <v>121464.992</v>
      </c>
      <c r="M3503" s="24">
        <f>+Tabla2[[#This Row],[Variación Stock]]*Tabla2[[#This Row],[Coste LÃ­nea]]</f>
        <v>38269.792000000001</v>
      </c>
      <c r="N3503" s="22" t="str">
        <f>+IF(Tabla2[[#This Row],[Variación Stock]]&gt;0,"Sobrante",IF(Tabla2[[#This Row],[Variación Stock]]&lt;0,"Faltante","Sin novedad"))</f>
        <v>Sobrante</v>
      </c>
    </row>
    <row r="3504" spans="1:14" hidden="1" x14ac:dyDescent="0.25">
      <c r="A3504" s="11">
        <v>46037</v>
      </c>
      <c r="B3504" s="5" t="s">
        <v>338</v>
      </c>
      <c r="C3504" s="3" t="s">
        <v>339</v>
      </c>
      <c r="D3504" s="5" t="s">
        <v>119</v>
      </c>
      <c r="E3504" s="5" t="s">
        <v>117</v>
      </c>
      <c r="F3504" s="6" t="s">
        <v>200</v>
      </c>
      <c r="G3504" s="4" t="s">
        <v>1</v>
      </c>
      <c r="H3504" s="25">
        <v>58.31</v>
      </c>
      <c r="I3504" s="8">
        <v>0</v>
      </c>
      <c r="J3504" s="9">
        <v>0</v>
      </c>
      <c r="K3504" s="7">
        <v>0</v>
      </c>
      <c r="L3504" s="24">
        <f>+Tabla2[[#This Row],[Stock Inventario]]*Tabla2[[#This Row],[Coste LÃ­nea]]</f>
        <v>0</v>
      </c>
      <c r="M3504" s="24">
        <f>+Tabla2[[#This Row],[Variación Stock]]*Tabla2[[#This Row],[Coste LÃ­nea]]</f>
        <v>0</v>
      </c>
      <c r="N3504" s="22" t="str">
        <f>+IF(Tabla2[[#This Row],[Variación Stock]]&gt;0,"Sobrante",IF(Tabla2[[#This Row],[Variación Stock]]&lt;0,"Faltante","Sin novedad"))</f>
        <v>Sin novedad</v>
      </c>
    </row>
    <row r="3505" spans="1:14" hidden="1" x14ac:dyDescent="0.25">
      <c r="A3505" s="11">
        <v>46037</v>
      </c>
      <c r="B3505" s="5" t="s">
        <v>338</v>
      </c>
      <c r="C3505" s="3" t="s">
        <v>339</v>
      </c>
      <c r="D3505" s="5" t="s">
        <v>116</v>
      </c>
      <c r="E3505" s="5" t="s">
        <v>117</v>
      </c>
      <c r="F3505" s="6" t="s">
        <v>5</v>
      </c>
      <c r="G3505" s="4" t="s">
        <v>1</v>
      </c>
      <c r="H3505" s="25">
        <v>22</v>
      </c>
      <c r="I3505" s="8">
        <v>679.33330000000001</v>
      </c>
      <c r="J3505" s="9">
        <v>2000</v>
      </c>
      <c r="K3505" s="7">
        <v>1320.6666600000001</v>
      </c>
      <c r="L3505" s="24">
        <f>+Tabla2[[#This Row],[Stock Inventario]]*Tabla2[[#This Row],[Coste LÃ­nea]]</f>
        <v>44000</v>
      </c>
      <c r="M3505" s="24">
        <f>+Tabla2[[#This Row],[Variación Stock]]*Tabla2[[#This Row],[Coste LÃ­nea]]</f>
        <v>29054.666520000002</v>
      </c>
      <c r="N3505" s="22" t="str">
        <f>+IF(Tabla2[[#This Row],[Variación Stock]]&gt;0,"Sobrante",IF(Tabla2[[#This Row],[Variación Stock]]&lt;0,"Faltante","Sin novedad"))</f>
        <v>Sobrante</v>
      </c>
    </row>
    <row r="3506" spans="1:14" hidden="1" x14ac:dyDescent="0.25">
      <c r="A3506" s="11">
        <v>46044</v>
      </c>
      <c r="B3506" s="5" t="s">
        <v>378</v>
      </c>
      <c r="C3506" s="3" t="s">
        <v>339</v>
      </c>
      <c r="D3506" s="5" t="s">
        <v>116</v>
      </c>
      <c r="E3506" s="5" t="s">
        <v>117</v>
      </c>
      <c r="F3506" s="6" t="s">
        <v>5</v>
      </c>
      <c r="G3506" s="4" t="s">
        <v>1</v>
      </c>
      <c r="H3506" s="25">
        <v>22</v>
      </c>
      <c r="I3506" s="8">
        <v>2000</v>
      </c>
      <c r="J3506" s="9">
        <v>1742</v>
      </c>
      <c r="K3506" s="7">
        <v>-258</v>
      </c>
      <c r="L3506" s="24">
        <f>+Tabla2[[#This Row],[Stock Inventario]]*Tabla2[[#This Row],[Coste LÃ­nea]]</f>
        <v>38324</v>
      </c>
      <c r="M3506" s="24">
        <f>+Tabla2[[#This Row],[Variación Stock]]*Tabla2[[#This Row],[Coste LÃ­nea]]</f>
        <v>-5676</v>
      </c>
      <c r="N3506" s="22" t="str">
        <f>+IF(Tabla2[[#This Row],[Variación Stock]]&gt;0,"Sobrante",IF(Tabla2[[#This Row],[Variación Stock]]&lt;0,"Faltante","Sin novedad"))</f>
        <v>Faltante</v>
      </c>
    </row>
    <row r="3507" spans="1:14" hidden="1" x14ac:dyDescent="0.25">
      <c r="A3507" s="11">
        <v>46037</v>
      </c>
      <c r="B3507" s="5" t="s">
        <v>338</v>
      </c>
      <c r="C3507" s="3" t="s">
        <v>339</v>
      </c>
      <c r="D3507" s="5" t="s">
        <v>119</v>
      </c>
      <c r="E3507" s="5" t="s">
        <v>117</v>
      </c>
      <c r="F3507" s="6" t="s">
        <v>93</v>
      </c>
      <c r="G3507" s="4" t="s">
        <v>1</v>
      </c>
      <c r="H3507" s="25">
        <v>60</v>
      </c>
      <c r="I3507" s="8">
        <v>16075.5555</v>
      </c>
      <c r="J3507" s="9">
        <v>16468</v>
      </c>
      <c r="K3507" s="7">
        <v>392.44448599999998</v>
      </c>
      <c r="L3507" s="24">
        <f>+Tabla2[[#This Row],[Stock Inventario]]*Tabla2[[#This Row],[Coste LÃ­nea]]</f>
        <v>988080</v>
      </c>
      <c r="M3507" s="24">
        <f>+Tabla2[[#This Row],[Variación Stock]]*Tabla2[[#This Row],[Coste LÃ­nea]]</f>
        <v>23546.669159999998</v>
      </c>
      <c r="N3507" s="22" t="str">
        <f>+IF(Tabla2[[#This Row],[Variación Stock]]&gt;0,"Sobrante",IF(Tabla2[[#This Row],[Variación Stock]]&lt;0,"Faltante","Sin novedad"))</f>
        <v>Sobrante</v>
      </c>
    </row>
    <row r="3508" spans="1:14" hidden="1" x14ac:dyDescent="0.25">
      <c r="A3508" s="11">
        <v>46037</v>
      </c>
      <c r="B3508" s="5" t="s">
        <v>338</v>
      </c>
      <c r="C3508" s="3" t="s">
        <v>339</v>
      </c>
      <c r="D3508" s="5" t="s">
        <v>116</v>
      </c>
      <c r="E3508" s="5" t="s">
        <v>117</v>
      </c>
      <c r="F3508" s="6" t="s">
        <v>7</v>
      </c>
      <c r="G3508" s="4" t="s">
        <v>2</v>
      </c>
      <c r="H3508" s="25">
        <v>12802.912621359999</v>
      </c>
      <c r="I3508" s="8">
        <v>57.5</v>
      </c>
      <c r="J3508" s="9">
        <v>66</v>
      </c>
      <c r="K3508" s="7">
        <v>8.5</v>
      </c>
      <c r="L3508" s="24">
        <f>+Tabla2[[#This Row],[Stock Inventario]]*Tabla2[[#This Row],[Coste LÃ­nea]]</f>
        <v>844992.23300975992</v>
      </c>
      <c r="M3508" s="24">
        <f>+Tabla2[[#This Row],[Variación Stock]]*Tabla2[[#This Row],[Coste LÃ­nea]]</f>
        <v>108824.75728156</v>
      </c>
      <c r="N3508" s="22" t="str">
        <f>+IF(Tabla2[[#This Row],[Variación Stock]]&gt;0,"Sobrante",IF(Tabla2[[#This Row],[Variación Stock]]&lt;0,"Faltante","Sin novedad"))</f>
        <v>Sobrante</v>
      </c>
    </row>
    <row r="3509" spans="1:14" hidden="1" x14ac:dyDescent="0.25">
      <c r="A3509" s="11">
        <v>46044</v>
      </c>
      <c r="B3509" s="5" t="s">
        <v>378</v>
      </c>
      <c r="C3509" s="3" t="s">
        <v>339</v>
      </c>
      <c r="D3509" s="5" t="s">
        <v>116</v>
      </c>
      <c r="E3509" s="5" t="s">
        <v>117</v>
      </c>
      <c r="F3509" s="6" t="s">
        <v>7</v>
      </c>
      <c r="G3509" s="4" t="s">
        <v>2</v>
      </c>
      <c r="H3509" s="25">
        <v>12764.705882349999</v>
      </c>
      <c r="I3509" s="8">
        <v>79.5</v>
      </c>
      <c r="J3509" s="9">
        <v>78.5</v>
      </c>
      <c r="K3509" s="7">
        <v>-1</v>
      </c>
      <c r="L3509" s="24">
        <f>+Tabla2[[#This Row],[Stock Inventario]]*Tabla2[[#This Row],[Coste LÃ­nea]]</f>
        <v>1002029.4117644749</v>
      </c>
      <c r="M3509" s="24">
        <f>+Tabla2[[#This Row],[Variación Stock]]*Tabla2[[#This Row],[Coste LÃ­nea]]</f>
        <v>-12764.705882349999</v>
      </c>
      <c r="N3509" s="22" t="str">
        <f>+IF(Tabla2[[#This Row],[Variación Stock]]&gt;0,"Sobrante",IF(Tabla2[[#This Row],[Variación Stock]]&lt;0,"Faltante","Sin novedad"))</f>
        <v>Faltante</v>
      </c>
    </row>
    <row r="3510" spans="1:14" hidden="1" x14ac:dyDescent="0.25">
      <c r="A3510" s="11">
        <v>46037</v>
      </c>
      <c r="B3510" s="5" t="s">
        <v>338</v>
      </c>
      <c r="C3510" s="3" t="s">
        <v>339</v>
      </c>
      <c r="D3510" s="5" t="s">
        <v>120</v>
      </c>
      <c r="E3510" s="5" t="s">
        <v>117</v>
      </c>
      <c r="F3510" s="6" t="s">
        <v>312</v>
      </c>
      <c r="G3510" s="4" t="s">
        <v>1</v>
      </c>
      <c r="H3510" s="25">
        <v>66.842553050000006</v>
      </c>
      <c r="I3510" s="8">
        <v>2356</v>
      </c>
      <c r="J3510" s="9">
        <v>1266</v>
      </c>
      <c r="K3510" s="7">
        <v>-1090</v>
      </c>
      <c r="L3510" s="24">
        <f>+Tabla2[[#This Row],[Stock Inventario]]*Tabla2[[#This Row],[Coste LÃ­nea]]</f>
        <v>84622.672161300012</v>
      </c>
      <c r="M3510" s="24">
        <f>+Tabla2[[#This Row],[Variación Stock]]*Tabla2[[#This Row],[Coste LÃ­nea]]</f>
        <v>-72858.382824500004</v>
      </c>
      <c r="N3510" s="22" t="str">
        <f>+IF(Tabla2[[#This Row],[Variación Stock]]&gt;0,"Sobrante",IF(Tabla2[[#This Row],[Variación Stock]]&lt;0,"Faltante","Sin novedad"))</f>
        <v>Faltante</v>
      </c>
    </row>
    <row r="3511" spans="1:14" hidden="1" x14ac:dyDescent="0.25">
      <c r="A3511" s="11">
        <v>46044</v>
      </c>
      <c r="B3511" s="5" t="s">
        <v>378</v>
      </c>
      <c r="C3511" s="3" t="s">
        <v>339</v>
      </c>
      <c r="D3511" s="5" t="s">
        <v>120</v>
      </c>
      <c r="E3511" s="5" t="s">
        <v>117</v>
      </c>
      <c r="F3511" s="6" t="s">
        <v>312</v>
      </c>
      <c r="G3511" s="4" t="s">
        <v>1</v>
      </c>
      <c r="H3511" s="25">
        <v>78.540000000000006</v>
      </c>
      <c r="I3511" s="8">
        <v>2449</v>
      </c>
      <c r="J3511" s="9">
        <v>862</v>
      </c>
      <c r="K3511" s="7">
        <v>-1587</v>
      </c>
      <c r="L3511" s="24">
        <f>+Tabla2[[#This Row],[Stock Inventario]]*Tabla2[[#This Row],[Coste LÃ­nea]]</f>
        <v>67701.48000000001</v>
      </c>
      <c r="M3511" s="24">
        <f>+Tabla2[[#This Row],[Variación Stock]]*Tabla2[[#This Row],[Coste LÃ­nea]]</f>
        <v>-124642.98000000001</v>
      </c>
      <c r="N3511" s="22" t="str">
        <f>+IF(Tabla2[[#This Row],[Variación Stock]]&gt;0,"Sobrante",IF(Tabla2[[#This Row],[Variación Stock]]&lt;0,"Faltante","Sin novedad"))</f>
        <v>Faltante</v>
      </c>
    </row>
    <row r="3512" spans="1:14" hidden="1" x14ac:dyDescent="0.25">
      <c r="A3512" s="11">
        <v>46037</v>
      </c>
      <c r="B3512" s="5" t="s">
        <v>338</v>
      </c>
      <c r="C3512" s="3" t="s">
        <v>339</v>
      </c>
      <c r="D3512" s="5" t="s">
        <v>120</v>
      </c>
      <c r="E3512" s="5" t="s">
        <v>117</v>
      </c>
      <c r="F3512" s="6" t="s">
        <v>313</v>
      </c>
      <c r="G3512" s="4" t="s">
        <v>1</v>
      </c>
      <c r="H3512" s="25">
        <v>32.376289980000003</v>
      </c>
      <c r="I3512" s="8">
        <v>5870</v>
      </c>
      <c r="J3512" s="9">
        <v>504</v>
      </c>
      <c r="K3512" s="7">
        <v>-5366</v>
      </c>
      <c r="L3512" s="24">
        <f>+Tabla2[[#This Row],[Stock Inventario]]*Tabla2[[#This Row],[Coste LÃ­nea]]</f>
        <v>16317.650149920002</v>
      </c>
      <c r="M3512" s="24">
        <f>+Tabla2[[#This Row],[Variación Stock]]*Tabla2[[#This Row],[Coste LÃ­nea]]</f>
        <v>-173731.17203268001</v>
      </c>
      <c r="N3512" s="22" t="str">
        <f>+IF(Tabla2[[#This Row],[Variación Stock]]&gt;0,"Sobrante",IF(Tabla2[[#This Row],[Variación Stock]]&lt;0,"Faltante","Sin novedad"))</f>
        <v>Faltante</v>
      </c>
    </row>
    <row r="3513" spans="1:14" hidden="1" x14ac:dyDescent="0.25">
      <c r="A3513" s="11">
        <v>46044</v>
      </c>
      <c r="B3513" s="5" t="s">
        <v>378</v>
      </c>
      <c r="C3513" s="3" t="s">
        <v>339</v>
      </c>
      <c r="D3513" s="5" t="s">
        <v>120</v>
      </c>
      <c r="E3513" s="5" t="s">
        <v>117</v>
      </c>
      <c r="F3513" s="6" t="s">
        <v>313</v>
      </c>
      <c r="G3513" s="4" t="s">
        <v>1</v>
      </c>
      <c r="H3513" s="25">
        <v>38.537011829999997</v>
      </c>
      <c r="I3513" s="8">
        <v>1048</v>
      </c>
      <c r="J3513" s="9">
        <v>2</v>
      </c>
      <c r="K3513" s="7">
        <v>-1046</v>
      </c>
      <c r="L3513" s="24">
        <f>+Tabla2[[#This Row],[Stock Inventario]]*Tabla2[[#This Row],[Coste LÃ­nea]]</f>
        <v>77.074023659999995</v>
      </c>
      <c r="M3513" s="24">
        <f>+Tabla2[[#This Row],[Variación Stock]]*Tabla2[[#This Row],[Coste LÃ­nea]]</f>
        <v>-40309.714374179996</v>
      </c>
      <c r="N3513" s="22" t="str">
        <f>+IF(Tabla2[[#This Row],[Variación Stock]]&gt;0,"Sobrante",IF(Tabla2[[#This Row],[Variación Stock]]&lt;0,"Faltante","Sin novedad"))</f>
        <v>Faltante</v>
      </c>
    </row>
    <row r="3514" spans="1:14" hidden="1" x14ac:dyDescent="0.25">
      <c r="A3514" s="11">
        <v>46037</v>
      </c>
      <c r="B3514" s="5" t="s">
        <v>338</v>
      </c>
      <c r="C3514" s="3" t="s">
        <v>339</v>
      </c>
      <c r="D3514" s="5" t="s">
        <v>323</v>
      </c>
      <c r="E3514" s="5" t="s">
        <v>117</v>
      </c>
      <c r="F3514" s="6" t="s">
        <v>324</v>
      </c>
      <c r="G3514" s="4" t="s">
        <v>2</v>
      </c>
      <c r="H3514" s="25">
        <v>9211.16803282</v>
      </c>
      <c r="I3514" s="8">
        <v>11</v>
      </c>
      <c r="J3514" s="9">
        <v>17</v>
      </c>
      <c r="K3514" s="7">
        <v>6</v>
      </c>
      <c r="L3514" s="24">
        <f>+Tabla2[[#This Row],[Stock Inventario]]*Tabla2[[#This Row],[Coste LÃ­nea]]</f>
        <v>156589.85655793999</v>
      </c>
      <c r="M3514" s="24">
        <f>+Tabla2[[#This Row],[Variación Stock]]*Tabla2[[#This Row],[Coste LÃ­nea]]</f>
        <v>55267.008196919996</v>
      </c>
      <c r="N3514" s="22" t="str">
        <f>+IF(Tabla2[[#This Row],[Variación Stock]]&gt;0,"Sobrante",IF(Tabla2[[#This Row],[Variación Stock]]&lt;0,"Faltante","Sin novedad"))</f>
        <v>Sobrante</v>
      </c>
    </row>
    <row r="3515" spans="1:14" hidden="1" x14ac:dyDescent="0.25">
      <c r="A3515" s="11">
        <v>46044</v>
      </c>
      <c r="B3515" s="5" t="s">
        <v>378</v>
      </c>
      <c r="C3515" s="3" t="s">
        <v>339</v>
      </c>
      <c r="D3515" s="5" t="s">
        <v>323</v>
      </c>
      <c r="E3515" s="5" t="s">
        <v>117</v>
      </c>
      <c r="F3515" s="6" t="s">
        <v>324</v>
      </c>
      <c r="G3515" s="4" t="s">
        <v>2</v>
      </c>
      <c r="H3515" s="25">
        <v>4832.9288793100004</v>
      </c>
      <c r="I3515" s="8">
        <v>20</v>
      </c>
      <c r="J3515" s="9">
        <v>14</v>
      </c>
      <c r="K3515" s="7">
        <v>-6</v>
      </c>
      <c r="L3515" s="24">
        <f>+Tabla2[[#This Row],[Stock Inventario]]*Tabla2[[#This Row],[Coste LÃ­nea]]</f>
        <v>67661.004310340009</v>
      </c>
      <c r="M3515" s="24">
        <f>+Tabla2[[#This Row],[Variación Stock]]*Tabla2[[#This Row],[Coste LÃ­nea]]</f>
        <v>-28997.573275860002</v>
      </c>
      <c r="N3515" s="22" t="str">
        <f>+IF(Tabla2[[#This Row],[Variación Stock]]&gt;0,"Sobrante",IF(Tabla2[[#This Row],[Variación Stock]]&lt;0,"Faltante","Sin novedad"))</f>
        <v>Faltante</v>
      </c>
    </row>
    <row r="3516" spans="1:14" hidden="1" x14ac:dyDescent="0.25">
      <c r="A3516" s="11">
        <v>46037</v>
      </c>
      <c r="B3516" s="5" t="s">
        <v>338</v>
      </c>
      <c r="C3516" s="3" t="s">
        <v>339</v>
      </c>
      <c r="D3516" s="5" t="s">
        <v>120</v>
      </c>
      <c r="E3516" s="5" t="s">
        <v>117</v>
      </c>
      <c r="F3516" s="6" t="s">
        <v>321</v>
      </c>
      <c r="G3516" s="4" t="s">
        <v>2</v>
      </c>
      <c r="H3516" s="25">
        <v>16272.235458220001</v>
      </c>
      <c r="I3516" s="8">
        <v>-2</v>
      </c>
      <c r="J3516" s="9">
        <v>13</v>
      </c>
      <c r="K3516" s="7">
        <v>15</v>
      </c>
      <c r="L3516" s="24">
        <f>+Tabla2[[#This Row],[Stock Inventario]]*Tabla2[[#This Row],[Coste LÃ­nea]]</f>
        <v>211539.06095686002</v>
      </c>
      <c r="M3516" s="24">
        <f>+Tabla2[[#This Row],[Variación Stock]]*Tabla2[[#This Row],[Coste LÃ­nea]]</f>
        <v>244083.5318733</v>
      </c>
      <c r="N3516" s="22" t="str">
        <f>+IF(Tabla2[[#This Row],[Variación Stock]]&gt;0,"Sobrante",IF(Tabla2[[#This Row],[Variación Stock]]&lt;0,"Faltante","Sin novedad"))</f>
        <v>Sobrante</v>
      </c>
    </row>
    <row r="3517" spans="1:14" hidden="1" x14ac:dyDescent="0.25">
      <c r="A3517" s="11">
        <v>46044</v>
      </c>
      <c r="B3517" s="5" t="s">
        <v>378</v>
      </c>
      <c r="C3517" s="3" t="s">
        <v>339</v>
      </c>
      <c r="D3517" s="5" t="s">
        <v>120</v>
      </c>
      <c r="E3517" s="5" t="s">
        <v>117</v>
      </c>
      <c r="F3517" s="6" t="s">
        <v>321</v>
      </c>
      <c r="G3517" s="4" t="s">
        <v>2</v>
      </c>
      <c r="H3517" s="25">
        <v>16080.436960970001</v>
      </c>
      <c r="I3517" s="8">
        <v>27</v>
      </c>
      <c r="J3517" s="9">
        <v>12</v>
      </c>
      <c r="K3517" s="7">
        <v>-15</v>
      </c>
      <c r="L3517" s="24">
        <f>+Tabla2[[#This Row],[Stock Inventario]]*Tabla2[[#This Row],[Coste LÃ­nea]]</f>
        <v>192965.24353164001</v>
      </c>
      <c r="M3517" s="24">
        <f>+Tabla2[[#This Row],[Variación Stock]]*Tabla2[[#This Row],[Coste LÃ­nea]]</f>
        <v>-241206.55441455002</v>
      </c>
      <c r="N3517" s="22" t="str">
        <f>+IF(Tabla2[[#This Row],[Variación Stock]]&gt;0,"Sobrante",IF(Tabla2[[#This Row],[Variación Stock]]&lt;0,"Faltante","Sin novedad"))</f>
        <v>Faltante</v>
      </c>
    </row>
    <row r="3518" spans="1:14" hidden="1" x14ac:dyDescent="0.25">
      <c r="A3518" s="11">
        <v>46037</v>
      </c>
      <c r="B3518" s="5" t="s">
        <v>338</v>
      </c>
      <c r="C3518" s="3" t="s">
        <v>339</v>
      </c>
      <c r="D3518" s="5" t="s">
        <v>120</v>
      </c>
      <c r="E3518" s="5" t="s">
        <v>117</v>
      </c>
      <c r="F3518" s="6" t="s">
        <v>314</v>
      </c>
      <c r="G3518" s="4" t="s">
        <v>2</v>
      </c>
      <c r="H3518" s="25">
        <v>776.49056369000004</v>
      </c>
      <c r="I3518" s="8">
        <v>28</v>
      </c>
      <c r="J3518" s="9">
        <v>32</v>
      </c>
      <c r="K3518" s="7">
        <v>4</v>
      </c>
      <c r="L3518" s="24">
        <f>+Tabla2[[#This Row],[Stock Inventario]]*Tabla2[[#This Row],[Coste LÃ­nea]]</f>
        <v>24847.698038080001</v>
      </c>
      <c r="M3518" s="24">
        <f>+Tabla2[[#This Row],[Variación Stock]]*Tabla2[[#This Row],[Coste LÃ­nea]]</f>
        <v>3105.9622547600002</v>
      </c>
      <c r="N3518" s="22" t="str">
        <f>+IF(Tabla2[[#This Row],[Variación Stock]]&gt;0,"Sobrante",IF(Tabla2[[#This Row],[Variación Stock]]&lt;0,"Faltante","Sin novedad"))</f>
        <v>Sobrante</v>
      </c>
    </row>
    <row r="3519" spans="1:14" hidden="1" x14ac:dyDescent="0.25">
      <c r="A3519" s="11">
        <v>46044</v>
      </c>
      <c r="B3519" s="5" t="s">
        <v>378</v>
      </c>
      <c r="C3519" s="3" t="s">
        <v>339</v>
      </c>
      <c r="D3519" s="5" t="s">
        <v>120</v>
      </c>
      <c r="E3519" s="5" t="s">
        <v>117</v>
      </c>
      <c r="F3519" s="6" t="s">
        <v>314</v>
      </c>
      <c r="G3519" s="4" t="s">
        <v>2</v>
      </c>
      <c r="H3519" s="25">
        <v>656.61771185999999</v>
      </c>
      <c r="I3519" s="8">
        <v>24</v>
      </c>
      <c r="J3519" s="9">
        <v>26</v>
      </c>
      <c r="K3519" s="7">
        <v>2</v>
      </c>
      <c r="L3519" s="24">
        <f>+Tabla2[[#This Row],[Stock Inventario]]*Tabla2[[#This Row],[Coste LÃ­nea]]</f>
        <v>17072.060508359998</v>
      </c>
      <c r="M3519" s="24">
        <f>+Tabla2[[#This Row],[Variación Stock]]*Tabla2[[#This Row],[Coste LÃ­nea]]</f>
        <v>1313.23542372</v>
      </c>
      <c r="N3519" s="22" t="str">
        <f>+IF(Tabla2[[#This Row],[Variación Stock]]&gt;0,"Sobrante",IF(Tabla2[[#This Row],[Variación Stock]]&lt;0,"Faltante","Sin novedad"))</f>
        <v>Sobrante</v>
      </c>
    </row>
    <row r="3520" spans="1:14" hidden="1" x14ac:dyDescent="0.25">
      <c r="A3520" s="11">
        <v>46037</v>
      </c>
      <c r="B3520" s="5" t="s">
        <v>338</v>
      </c>
      <c r="C3520" s="3" t="s">
        <v>339</v>
      </c>
      <c r="D3520" s="5" t="s">
        <v>323</v>
      </c>
      <c r="E3520" s="5" t="s">
        <v>117</v>
      </c>
      <c r="F3520" s="6" t="s">
        <v>325</v>
      </c>
      <c r="G3520" s="4" t="s">
        <v>2</v>
      </c>
      <c r="H3520" s="25">
        <v>2050.0821666000002</v>
      </c>
      <c r="I3520" s="8">
        <v>74</v>
      </c>
      <c r="J3520" s="9">
        <v>104</v>
      </c>
      <c r="K3520" s="7">
        <v>30</v>
      </c>
      <c r="L3520" s="24">
        <f>+Tabla2[[#This Row],[Stock Inventario]]*Tabla2[[#This Row],[Coste LÃ­nea]]</f>
        <v>213208.54532640002</v>
      </c>
      <c r="M3520" s="24">
        <f>+Tabla2[[#This Row],[Variación Stock]]*Tabla2[[#This Row],[Coste LÃ­nea]]</f>
        <v>61502.464998000003</v>
      </c>
      <c r="N3520" s="22" t="str">
        <f>+IF(Tabla2[[#This Row],[Variación Stock]]&gt;0,"Sobrante",IF(Tabla2[[#This Row],[Variación Stock]]&lt;0,"Faltante","Sin novedad"))</f>
        <v>Sobrante</v>
      </c>
    </row>
    <row r="3521" spans="1:14" hidden="1" x14ac:dyDescent="0.25">
      <c r="A3521" s="11">
        <v>46044</v>
      </c>
      <c r="B3521" s="5" t="s">
        <v>378</v>
      </c>
      <c r="C3521" s="3" t="s">
        <v>339</v>
      </c>
      <c r="D3521" s="5" t="s">
        <v>323</v>
      </c>
      <c r="E3521" s="5" t="s">
        <v>117</v>
      </c>
      <c r="F3521" s="6" t="s">
        <v>325</v>
      </c>
      <c r="G3521" s="4" t="s">
        <v>2</v>
      </c>
      <c r="H3521" s="25">
        <v>2015.4481796</v>
      </c>
      <c r="I3521" s="8">
        <v>110</v>
      </c>
      <c r="J3521" s="9">
        <v>80</v>
      </c>
      <c r="K3521" s="7">
        <v>-30</v>
      </c>
      <c r="L3521" s="24">
        <f>+Tabla2[[#This Row],[Stock Inventario]]*Tabla2[[#This Row],[Coste LÃ­nea]]</f>
        <v>161235.854368</v>
      </c>
      <c r="M3521" s="24">
        <f>+Tabla2[[#This Row],[Variación Stock]]*Tabla2[[#This Row],[Coste LÃ­nea]]</f>
        <v>-60463.445388</v>
      </c>
      <c r="N3521" s="22" t="str">
        <f>+IF(Tabla2[[#This Row],[Variación Stock]]&gt;0,"Sobrante",IF(Tabla2[[#This Row],[Variación Stock]]&lt;0,"Faltante","Sin novedad"))</f>
        <v>Faltante</v>
      </c>
    </row>
    <row r="3522" spans="1:14" hidden="1" x14ac:dyDescent="0.25">
      <c r="A3522" s="11">
        <v>46037</v>
      </c>
      <c r="B3522" s="5" t="s">
        <v>338</v>
      </c>
      <c r="C3522" s="3" t="s">
        <v>339</v>
      </c>
      <c r="D3522" s="5" t="s">
        <v>120</v>
      </c>
      <c r="E3522" s="5" t="s">
        <v>117</v>
      </c>
      <c r="F3522" s="6" t="s">
        <v>315</v>
      </c>
      <c r="G3522" s="4" t="s">
        <v>2</v>
      </c>
      <c r="H3522" s="25">
        <v>2168.6496757</v>
      </c>
      <c r="I3522" s="8">
        <v>0</v>
      </c>
      <c r="J3522" s="9">
        <v>14</v>
      </c>
      <c r="K3522" s="7">
        <v>14</v>
      </c>
      <c r="L3522" s="24">
        <f>+Tabla2[[#This Row],[Stock Inventario]]*Tabla2[[#This Row],[Coste LÃ­nea]]</f>
        <v>30361.095459799999</v>
      </c>
      <c r="M3522" s="24">
        <f>+Tabla2[[#This Row],[Variación Stock]]*Tabla2[[#This Row],[Coste LÃ­nea]]</f>
        <v>30361.095459799999</v>
      </c>
      <c r="N3522" s="22" t="str">
        <f>+IF(Tabla2[[#This Row],[Variación Stock]]&gt;0,"Sobrante",IF(Tabla2[[#This Row],[Variación Stock]]&lt;0,"Faltante","Sin novedad"))</f>
        <v>Sobrante</v>
      </c>
    </row>
    <row r="3523" spans="1:14" hidden="1" x14ac:dyDescent="0.25">
      <c r="A3523" s="11">
        <v>46037</v>
      </c>
      <c r="B3523" s="5" t="s">
        <v>338</v>
      </c>
      <c r="C3523" s="3" t="s">
        <v>339</v>
      </c>
      <c r="D3523" s="5" t="s">
        <v>120</v>
      </c>
      <c r="E3523" s="5" t="s">
        <v>117</v>
      </c>
      <c r="F3523" s="6" t="s">
        <v>316</v>
      </c>
      <c r="G3523" s="4" t="s">
        <v>2</v>
      </c>
      <c r="H3523" s="25">
        <v>1521.0488106</v>
      </c>
      <c r="I3523" s="8">
        <v>49</v>
      </c>
      <c r="J3523" s="9">
        <v>51</v>
      </c>
      <c r="K3523" s="7">
        <v>2</v>
      </c>
      <c r="L3523" s="24">
        <f>+Tabla2[[#This Row],[Stock Inventario]]*Tabla2[[#This Row],[Coste LÃ­nea]]</f>
        <v>77573.489340600005</v>
      </c>
      <c r="M3523" s="24">
        <f>+Tabla2[[#This Row],[Variación Stock]]*Tabla2[[#This Row],[Coste LÃ­nea]]</f>
        <v>3042.0976212</v>
      </c>
      <c r="N3523" s="22" t="str">
        <f>+IF(Tabla2[[#This Row],[Variación Stock]]&gt;0,"Sobrante",IF(Tabla2[[#This Row],[Variación Stock]]&lt;0,"Faltante","Sin novedad"))</f>
        <v>Sobrante</v>
      </c>
    </row>
    <row r="3524" spans="1:14" hidden="1" x14ac:dyDescent="0.25">
      <c r="A3524" s="11">
        <v>46044</v>
      </c>
      <c r="B3524" s="5" t="s">
        <v>378</v>
      </c>
      <c r="C3524" s="3" t="s">
        <v>339</v>
      </c>
      <c r="D3524" s="5" t="s">
        <v>120</v>
      </c>
      <c r="E3524" s="5" t="s">
        <v>117</v>
      </c>
      <c r="F3524" s="6" t="s">
        <v>316</v>
      </c>
      <c r="G3524" s="4" t="s">
        <v>2</v>
      </c>
      <c r="H3524" s="25">
        <v>1517.3646666699999</v>
      </c>
      <c r="I3524" s="8">
        <v>63</v>
      </c>
      <c r="J3524" s="9">
        <v>54</v>
      </c>
      <c r="K3524" s="7">
        <v>-9</v>
      </c>
      <c r="L3524" s="24">
        <f>+Tabla2[[#This Row],[Stock Inventario]]*Tabla2[[#This Row],[Coste LÃ­nea]]</f>
        <v>81937.692000179988</v>
      </c>
      <c r="M3524" s="24">
        <f>+Tabla2[[#This Row],[Variación Stock]]*Tabla2[[#This Row],[Coste LÃ­nea]]</f>
        <v>-13656.28200003</v>
      </c>
      <c r="N3524" s="22" t="str">
        <f>+IF(Tabla2[[#This Row],[Variación Stock]]&gt;0,"Sobrante",IF(Tabla2[[#This Row],[Variación Stock]]&lt;0,"Faltante","Sin novedad"))</f>
        <v>Faltante</v>
      </c>
    </row>
    <row r="3525" spans="1:14" hidden="1" x14ac:dyDescent="0.25">
      <c r="A3525" s="11">
        <v>46037</v>
      </c>
      <c r="B3525" s="5" t="s">
        <v>338</v>
      </c>
      <c r="C3525" s="3" t="s">
        <v>339</v>
      </c>
      <c r="D3525" s="5" t="s">
        <v>323</v>
      </c>
      <c r="E3525" s="5" t="s">
        <v>117</v>
      </c>
      <c r="F3525" s="6" t="s">
        <v>330</v>
      </c>
      <c r="G3525" s="4" t="s">
        <v>2</v>
      </c>
      <c r="H3525" s="25">
        <v>7663.94653397</v>
      </c>
      <c r="I3525" s="8">
        <v>88</v>
      </c>
      <c r="J3525" s="9">
        <v>88</v>
      </c>
      <c r="K3525" s="7">
        <v>0</v>
      </c>
      <c r="L3525" s="24">
        <f>+Tabla2[[#This Row],[Stock Inventario]]*Tabla2[[#This Row],[Coste LÃ­nea]]</f>
        <v>674427.29498936003</v>
      </c>
      <c r="M3525" s="24">
        <f>+Tabla2[[#This Row],[Variación Stock]]*Tabla2[[#This Row],[Coste LÃ­nea]]</f>
        <v>0</v>
      </c>
      <c r="N3525" s="22" t="str">
        <f>+IF(Tabla2[[#This Row],[Variación Stock]]&gt;0,"Sobrante",IF(Tabla2[[#This Row],[Variación Stock]]&lt;0,"Faltante","Sin novedad"))</f>
        <v>Sin novedad</v>
      </c>
    </row>
    <row r="3526" spans="1:14" x14ac:dyDescent="0.25">
      <c r="A3526" s="11">
        <v>46037</v>
      </c>
      <c r="B3526" s="5" t="s">
        <v>338</v>
      </c>
      <c r="C3526" s="3" t="s">
        <v>339</v>
      </c>
      <c r="D3526" s="5" t="s">
        <v>121</v>
      </c>
      <c r="E3526" s="5" t="s">
        <v>112</v>
      </c>
      <c r="F3526" s="6" t="s">
        <v>331</v>
      </c>
      <c r="G3526" s="4" t="s">
        <v>0</v>
      </c>
      <c r="H3526" s="25">
        <v>95</v>
      </c>
      <c r="I3526" s="8">
        <v>73</v>
      </c>
      <c r="J3526" s="9">
        <v>63</v>
      </c>
      <c r="K3526" s="7">
        <v>-10</v>
      </c>
      <c r="L3526" s="24">
        <f>+Tabla2[[#This Row],[Stock Inventario]]*Tabla2[[#This Row],[Coste LÃ­nea]]</f>
        <v>5985</v>
      </c>
      <c r="M3526" s="24">
        <f>+Tabla2[[#This Row],[Variación Stock]]*Tabla2[[#This Row],[Coste LÃ­nea]]</f>
        <v>-950</v>
      </c>
      <c r="N3526" s="22" t="str">
        <f>+IF(Tabla2[[#This Row],[Variación Stock]]&gt;0,"Sobrante",IF(Tabla2[[#This Row],[Variación Stock]]&lt;0,"Faltante","Sin novedad"))</f>
        <v>Faltante</v>
      </c>
    </row>
    <row r="3527" spans="1:14" x14ac:dyDescent="0.25">
      <c r="A3527" s="11">
        <v>46037</v>
      </c>
      <c r="B3527" s="5" t="s">
        <v>338</v>
      </c>
      <c r="C3527" s="3" t="s">
        <v>339</v>
      </c>
      <c r="D3527" s="5" t="s">
        <v>121</v>
      </c>
      <c r="E3527" s="5" t="s">
        <v>112</v>
      </c>
      <c r="F3527" s="6" t="s">
        <v>332</v>
      </c>
      <c r="G3527" s="4" t="s">
        <v>0</v>
      </c>
      <c r="H3527" s="25">
        <v>2979.9057392099999</v>
      </c>
      <c r="I3527" s="8">
        <v>49</v>
      </c>
      <c r="J3527" s="9">
        <v>51</v>
      </c>
      <c r="K3527" s="7">
        <v>2</v>
      </c>
      <c r="L3527" s="24">
        <f>+Tabla2[[#This Row],[Stock Inventario]]*Tabla2[[#This Row],[Coste LÃ­nea]]</f>
        <v>151975.19269970999</v>
      </c>
      <c r="M3527" s="24">
        <f>+Tabla2[[#This Row],[Variación Stock]]*Tabla2[[#This Row],[Coste LÃ­nea]]</f>
        <v>5959.8114784199997</v>
      </c>
      <c r="N3527" s="22" t="str">
        <f>+IF(Tabla2[[#This Row],[Variación Stock]]&gt;0,"Sobrante",IF(Tabla2[[#This Row],[Variación Stock]]&lt;0,"Faltante","Sin novedad"))</f>
        <v>Sobrante</v>
      </c>
    </row>
    <row r="3528" spans="1:14" x14ac:dyDescent="0.25">
      <c r="A3528" s="11">
        <v>46037</v>
      </c>
      <c r="B3528" s="5" t="s">
        <v>338</v>
      </c>
      <c r="C3528" s="3" t="s">
        <v>339</v>
      </c>
      <c r="D3528" s="5" t="s">
        <v>121</v>
      </c>
      <c r="E3528" s="5" t="s">
        <v>112</v>
      </c>
      <c r="F3528" s="6" t="s">
        <v>333</v>
      </c>
      <c r="G3528" s="4" t="s">
        <v>0</v>
      </c>
      <c r="H3528" s="25">
        <v>3055.80310022</v>
      </c>
      <c r="I3528" s="8">
        <v>108</v>
      </c>
      <c r="J3528" s="9">
        <v>109</v>
      </c>
      <c r="K3528" s="7">
        <v>1</v>
      </c>
      <c r="L3528" s="24">
        <f>+Tabla2[[#This Row],[Stock Inventario]]*Tabla2[[#This Row],[Coste LÃ­nea]]</f>
        <v>333082.53792397998</v>
      </c>
      <c r="M3528" s="24">
        <f>+Tabla2[[#This Row],[Variación Stock]]*Tabla2[[#This Row],[Coste LÃ­nea]]</f>
        <v>3055.80310022</v>
      </c>
      <c r="N3528" s="22" t="str">
        <f>+IF(Tabla2[[#This Row],[Variación Stock]]&gt;0,"Sobrante",IF(Tabla2[[#This Row],[Variación Stock]]&lt;0,"Faltante","Sin novedad"))</f>
        <v>Sobrante</v>
      </c>
    </row>
    <row r="3529" spans="1:14" x14ac:dyDescent="0.25">
      <c r="A3529" s="11">
        <v>46037</v>
      </c>
      <c r="B3529" s="5" t="s">
        <v>338</v>
      </c>
      <c r="C3529" s="3" t="s">
        <v>339</v>
      </c>
      <c r="D3529" s="5" t="s">
        <v>121</v>
      </c>
      <c r="E3529" s="5" t="s">
        <v>112</v>
      </c>
      <c r="F3529" s="6" t="s">
        <v>334</v>
      </c>
      <c r="G3529" s="4" t="s">
        <v>0</v>
      </c>
      <c r="H3529" s="25">
        <v>8239.9012388899991</v>
      </c>
      <c r="I3529" s="8">
        <v>22</v>
      </c>
      <c r="J3529" s="9">
        <v>23</v>
      </c>
      <c r="K3529" s="7">
        <v>1</v>
      </c>
      <c r="L3529" s="24">
        <f>+Tabla2[[#This Row],[Stock Inventario]]*Tabla2[[#This Row],[Coste LÃ­nea]]</f>
        <v>189517.72849446998</v>
      </c>
      <c r="M3529" s="24">
        <f>+Tabla2[[#This Row],[Variación Stock]]*Tabla2[[#This Row],[Coste LÃ­nea]]</f>
        <v>8239.9012388899991</v>
      </c>
      <c r="N3529" s="22" t="str">
        <f>+IF(Tabla2[[#This Row],[Variación Stock]]&gt;0,"Sobrante",IF(Tabla2[[#This Row],[Variación Stock]]&lt;0,"Faltante","Sin novedad"))</f>
        <v>Sobrante</v>
      </c>
    </row>
    <row r="3530" spans="1:14" x14ac:dyDescent="0.25">
      <c r="A3530" s="11">
        <v>46037</v>
      </c>
      <c r="B3530" s="5" t="s">
        <v>338</v>
      </c>
      <c r="C3530" s="3" t="s">
        <v>339</v>
      </c>
      <c r="D3530" s="5" t="s">
        <v>121</v>
      </c>
      <c r="E3530" s="5" t="s">
        <v>112</v>
      </c>
      <c r="F3530" s="6" t="s">
        <v>335</v>
      </c>
      <c r="G3530" s="4" t="s">
        <v>0</v>
      </c>
      <c r="H3530" s="25">
        <v>4187.4239350999997</v>
      </c>
      <c r="I3530" s="8">
        <v>0</v>
      </c>
      <c r="J3530" s="9">
        <v>0</v>
      </c>
      <c r="K3530" s="7">
        <v>0</v>
      </c>
      <c r="L3530" s="24">
        <f>+Tabla2[[#This Row],[Stock Inventario]]*Tabla2[[#This Row],[Coste LÃ­nea]]</f>
        <v>0</v>
      </c>
      <c r="M3530" s="24">
        <f>+Tabla2[[#This Row],[Variación Stock]]*Tabla2[[#This Row],[Coste LÃ­nea]]</f>
        <v>0</v>
      </c>
      <c r="N3530" s="22" t="str">
        <f>+IF(Tabla2[[#This Row],[Variación Stock]]&gt;0,"Sobrante",IF(Tabla2[[#This Row],[Variación Stock]]&lt;0,"Faltante","Sin novedad"))</f>
        <v>Sin novedad</v>
      </c>
    </row>
    <row r="3531" spans="1:14" x14ac:dyDescent="0.25">
      <c r="A3531" s="11">
        <v>46037</v>
      </c>
      <c r="B3531" s="5" t="s">
        <v>338</v>
      </c>
      <c r="C3531" s="3" t="s">
        <v>339</v>
      </c>
      <c r="D3531" s="5" t="s">
        <v>122</v>
      </c>
      <c r="E3531" s="5" t="s">
        <v>112</v>
      </c>
      <c r="F3531" s="6" t="s">
        <v>97</v>
      </c>
      <c r="G3531" s="4" t="s">
        <v>2</v>
      </c>
      <c r="H3531" s="25">
        <v>1234.3916666699999</v>
      </c>
      <c r="I3531" s="8">
        <v>21</v>
      </c>
      <c r="J3531" s="9">
        <v>45</v>
      </c>
      <c r="K3531" s="7">
        <v>24</v>
      </c>
      <c r="L3531" s="24">
        <f>+Tabla2[[#This Row],[Stock Inventario]]*Tabla2[[#This Row],[Coste LÃ­nea]]</f>
        <v>55547.625000150001</v>
      </c>
      <c r="M3531" s="24">
        <f>+Tabla2[[#This Row],[Variación Stock]]*Tabla2[[#This Row],[Coste LÃ­nea]]</f>
        <v>29625.400000080001</v>
      </c>
      <c r="N3531" s="22" t="str">
        <f>+IF(Tabla2[[#This Row],[Variación Stock]]&gt;0,"Sobrante",IF(Tabla2[[#This Row],[Variación Stock]]&lt;0,"Faltante","Sin novedad"))</f>
        <v>Sobrante</v>
      </c>
    </row>
    <row r="3532" spans="1:14" x14ac:dyDescent="0.25">
      <c r="A3532" s="11">
        <v>46037</v>
      </c>
      <c r="B3532" s="5" t="s">
        <v>338</v>
      </c>
      <c r="C3532" s="3" t="s">
        <v>339</v>
      </c>
      <c r="D3532" s="5" t="s">
        <v>122</v>
      </c>
      <c r="E3532" s="5" t="s">
        <v>112</v>
      </c>
      <c r="F3532" s="6" t="s">
        <v>98</v>
      </c>
      <c r="G3532" s="4" t="s">
        <v>2</v>
      </c>
      <c r="H3532" s="25">
        <v>1654.21666667</v>
      </c>
      <c r="I3532" s="8">
        <v>11</v>
      </c>
      <c r="J3532" s="9">
        <v>95</v>
      </c>
      <c r="K3532" s="7">
        <v>84</v>
      </c>
      <c r="L3532" s="24">
        <f>+Tabla2[[#This Row],[Stock Inventario]]*Tabla2[[#This Row],[Coste LÃ­nea]]</f>
        <v>157150.58333364999</v>
      </c>
      <c r="M3532" s="24">
        <f>+Tabla2[[#This Row],[Variación Stock]]*Tabla2[[#This Row],[Coste LÃ­nea]]</f>
        <v>138954.20000027999</v>
      </c>
      <c r="N3532" s="22" t="str">
        <f>+IF(Tabla2[[#This Row],[Variación Stock]]&gt;0,"Sobrante",IF(Tabla2[[#This Row],[Variación Stock]]&lt;0,"Faltante","Sin novedad"))</f>
        <v>Sobrante</v>
      </c>
    </row>
    <row r="3533" spans="1:14" x14ac:dyDescent="0.25">
      <c r="A3533" s="11">
        <v>46037</v>
      </c>
      <c r="B3533" s="5" t="s">
        <v>338</v>
      </c>
      <c r="C3533" s="3" t="s">
        <v>339</v>
      </c>
      <c r="D3533" s="5" t="s">
        <v>122</v>
      </c>
      <c r="E3533" s="5" t="s">
        <v>112</v>
      </c>
      <c r="F3533" s="6" t="s">
        <v>100</v>
      </c>
      <c r="G3533" s="4" t="s">
        <v>2</v>
      </c>
      <c r="H3533" s="25">
        <v>7857</v>
      </c>
      <c r="I3533" s="8">
        <v>25</v>
      </c>
      <c r="J3533" s="9">
        <v>25</v>
      </c>
      <c r="K3533" s="7">
        <v>0</v>
      </c>
      <c r="L3533" s="24">
        <f>+Tabla2[[#This Row],[Stock Inventario]]*Tabla2[[#This Row],[Coste LÃ­nea]]</f>
        <v>196425</v>
      </c>
      <c r="M3533" s="24">
        <f>+Tabla2[[#This Row],[Variación Stock]]*Tabla2[[#This Row],[Coste LÃ­nea]]</f>
        <v>0</v>
      </c>
      <c r="N3533" s="22" t="str">
        <f>+IF(Tabla2[[#This Row],[Variación Stock]]&gt;0,"Sobrante",IF(Tabla2[[#This Row],[Variación Stock]]&lt;0,"Faltante","Sin novedad"))</f>
        <v>Sin novedad</v>
      </c>
    </row>
    <row r="3534" spans="1:14" x14ac:dyDescent="0.25">
      <c r="A3534" s="11">
        <v>46037</v>
      </c>
      <c r="B3534" s="5" t="s">
        <v>338</v>
      </c>
      <c r="C3534" s="3" t="s">
        <v>339</v>
      </c>
      <c r="D3534" s="5" t="s">
        <v>122</v>
      </c>
      <c r="E3534" s="5" t="s">
        <v>112</v>
      </c>
      <c r="F3534" s="6" t="s">
        <v>101</v>
      </c>
      <c r="G3534" s="4" t="s">
        <v>2</v>
      </c>
      <c r="H3534" s="25">
        <v>1408.33333333</v>
      </c>
      <c r="I3534" s="8">
        <v>0</v>
      </c>
      <c r="J3534" s="9">
        <v>25</v>
      </c>
      <c r="K3534" s="7">
        <v>25</v>
      </c>
      <c r="L3534" s="24">
        <f>+Tabla2[[#This Row],[Stock Inventario]]*Tabla2[[#This Row],[Coste LÃ­nea]]</f>
        <v>35208.333333249997</v>
      </c>
      <c r="M3534" s="24">
        <f>+Tabla2[[#This Row],[Variación Stock]]*Tabla2[[#This Row],[Coste LÃ­nea]]</f>
        <v>35208.333333249997</v>
      </c>
      <c r="N3534" s="22" t="str">
        <f>+IF(Tabla2[[#This Row],[Variación Stock]]&gt;0,"Sobrante",IF(Tabla2[[#This Row],[Variación Stock]]&lt;0,"Faltante","Sin novedad"))</f>
        <v>Sobrante</v>
      </c>
    </row>
    <row r="3535" spans="1:14" x14ac:dyDescent="0.25">
      <c r="A3535" s="11">
        <v>46037</v>
      </c>
      <c r="B3535" s="5" t="s">
        <v>338</v>
      </c>
      <c r="C3535" s="3" t="s">
        <v>339</v>
      </c>
      <c r="D3535" s="5" t="s">
        <v>122</v>
      </c>
      <c r="E3535" s="5" t="s">
        <v>112</v>
      </c>
      <c r="F3535" s="6" t="s">
        <v>102</v>
      </c>
      <c r="G3535" s="4" t="s">
        <v>2</v>
      </c>
      <c r="H3535" s="25">
        <v>3458.3333333300002</v>
      </c>
      <c r="I3535" s="8">
        <v>0</v>
      </c>
      <c r="J3535" s="9">
        <v>0</v>
      </c>
      <c r="K3535" s="7">
        <v>0</v>
      </c>
      <c r="L3535" s="24">
        <f>+Tabla2[[#This Row],[Stock Inventario]]*Tabla2[[#This Row],[Coste LÃ­nea]]</f>
        <v>0</v>
      </c>
      <c r="M3535" s="24">
        <f>+Tabla2[[#This Row],[Variación Stock]]*Tabla2[[#This Row],[Coste LÃ­nea]]</f>
        <v>0</v>
      </c>
      <c r="N3535" s="22" t="str">
        <f>+IF(Tabla2[[#This Row],[Variación Stock]]&gt;0,"Sobrante",IF(Tabla2[[#This Row],[Variación Stock]]&lt;0,"Faltante","Sin novedad"))</f>
        <v>Sin novedad</v>
      </c>
    </row>
    <row r="3536" spans="1:14" x14ac:dyDescent="0.25">
      <c r="A3536" s="11">
        <v>46037</v>
      </c>
      <c r="B3536" s="5" t="s">
        <v>338</v>
      </c>
      <c r="C3536" s="3" t="s">
        <v>339</v>
      </c>
      <c r="D3536" s="5" t="s">
        <v>122</v>
      </c>
      <c r="E3536" s="5" t="s">
        <v>112</v>
      </c>
      <c r="F3536" s="6" t="s">
        <v>103</v>
      </c>
      <c r="G3536" s="4" t="s">
        <v>2</v>
      </c>
      <c r="H3536" s="25">
        <v>3458.3283333300001</v>
      </c>
      <c r="I3536" s="8">
        <v>0</v>
      </c>
      <c r="J3536" s="9">
        <v>0</v>
      </c>
      <c r="K3536" s="7">
        <v>0</v>
      </c>
      <c r="L3536" s="24">
        <f>+Tabla2[[#This Row],[Stock Inventario]]*Tabla2[[#This Row],[Coste LÃ­nea]]</f>
        <v>0</v>
      </c>
      <c r="M3536" s="24">
        <f>+Tabla2[[#This Row],[Variación Stock]]*Tabla2[[#This Row],[Coste LÃ­nea]]</f>
        <v>0</v>
      </c>
      <c r="N3536" s="22" t="str">
        <f>+IF(Tabla2[[#This Row],[Variación Stock]]&gt;0,"Sobrante",IF(Tabla2[[#This Row],[Variación Stock]]&lt;0,"Faltante","Sin novedad"))</f>
        <v>Sin novedad</v>
      </c>
    </row>
    <row r="3537" spans="1:14" x14ac:dyDescent="0.25">
      <c r="A3537" s="11">
        <v>46037</v>
      </c>
      <c r="B3537" s="5" t="s">
        <v>338</v>
      </c>
      <c r="C3537" s="3" t="s">
        <v>339</v>
      </c>
      <c r="D3537" s="5" t="s">
        <v>122</v>
      </c>
      <c r="E3537" s="5" t="s">
        <v>112</v>
      </c>
      <c r="F3537" s="6" t="s">
        <v>104</v>
      </c>
      <c r="G3537" s="4" t="s">
        <v>2</v>
      </c>
      <c r="H3537" s="25">
        <v>3458.25</v>
      </c>
      <c r="I3537" s="8">
        <v>0</v>
      </c>
      <c r="J3537" s="9">
        <v>0</v>
      </c>
      <c r="K3537" s="7">
        <v>0</v>
      </c>
      <c r="L3537" s="24">
        <f>+Tabla2[[#This Row],[Stock Inventario]]*Tabla2[[#This Row],[Coste LÃ­nea]]</f>
        <v>0</v>
      </c>
      <c r="M3537" s="24">
        <f>+Tabla2[[#This Row],[Variación Stock]]*Tabla2[[#This Row],[Coste LÃ­nea]]</f>
        <v>0</v>
      </c>
      <c r="N3537" s="22" t="str">
        <f>+IF(Tabla2[[#This Row],[Variación Stock]]&gt;0,"Sobrante",IF(Tabla2[[#This Row],[Variación Stock]]&lt;0,"Faltante","Sin novedad"))</f>
        <v>Sin novedad</v>
      </c>
    </row>
    <row r="3538" spans="1:14" x14ac:dyDescent="0.25">
      <c r="A3538" s="11">
        <v>46037</v>
      </c>
      <c r="B3538" s="5" t="s">
        <v>338</v>
      </c>
      <c r="C3538" s="3" t="s">
        <v>339</v>
      </c>
      <c r="D3538" s="5" t="s">
        <v>122</v>
      </c>
      <c r="E3538" s="5" t="s">
        <v>112</v>
      </c>
      <c r="F3538" s="6" t="s">
        <v>105</v>
      </c>
      <c r="G3538" s="4" t="s">
        <v>2</v>
      </c>
      <c r="H3538" s="25">
        <v>3458.25</v>
      </c>
      <c r="I3538" s="8">
        <v>8</v>
      </c>
      <c r="J3538" s="9">
        <v>8</v>
      </c>
      <c r="K3538" s="7">
        <v>0</v>
      </c>
      <c r="L3538" s="24">
        <f>+Tabla2[[#This Row],[Stock Inventario]]*Tabla2[[#This Row],[Coste LÃ­nea]]</f>
        <v>27666</v>
      </c>
      <c r="M3538" s="24">
        <f>+Tabla2[[#This Row],[Variación Stock]]*Tabla2[[#This Row],[Coste LÃ­nea]]</f>
        <v>0</v>
      </c>
      <c r="N3538" s="22" t="str">
        <f>+IF(Tabla2[[#This Row],[Variación Stock]]&gt;0,"Sobrante",IF(Tabla2[[#This Row],[Variación Stock]]&lt;0,"Faltante","Sin novedad"))</f>
        <v>Sin novedad</v>
      </c>
    </row>
    <row r="3539" spans="1:14" x14ac:dyDescent="0.25">
      <c r="A3539" s="11">
        <v>46037</v>
      </c>
      <c r="B3539" s="5" t="s">
        <v>338</v>
      </c>
      <c r="C3539" s="3" t="s">
        <v>339</v>
      </c>
      <c r="D3539" s="5" t="s">
        <v>122</v>
      </c>
      <c r="E3539" s="5" t="s">
        <v>112</v>
      </c>
      <c r="F3539" s="6" t="s">
        <v>106</v>
      </c>
      <c r="G3539" s="4" t="s">
        <v>2</v>
      </c>
      <c r="H3539" s="25">
        <v>3458.25</v>
      </c>
      <c r="I3539" s="8">
        <v>5</v>
      </c>
      <c r="J3539" s="9">
        <v>5</v>
      </c>
      <c r="K3539" s="7">
        <v>0</v>
      </c>
      <c r="L3539" s="24">
        <f>+Tabla2[[#This Row],[Stock Inventario]]*Tabla2[[#This Row],[Coste LÃ­nea]]</f>
        <v>17291.25</v>
      </c>
      <c r="M3539" s="24">
        <f>+Tabla2[[#This Row],[Variación Stock]]*Tabla2[[#This Row],[Coste LÃ­nea]]</f>
        <v>0</v>
      </c>
      <c r="N3539" s="22" t="str">
        <f>+IF(Tabla2[[#This Row],[Variación Stock]]&gt;0,"Sobrante",IF(Tabla2[[#This Row],[Variación Stock]]&lt;0,"Faltante","Sin novedad"))</f>
        <v>Sin novedad</v>
      </c>
    </row>
    <row r="3540" spans="1:14" x14ac:dyDescent="0.25">
      <c r="A3540" s="11">
        <v>46037</v>
      </c>
      <c r="B3540" s="5" t="s">
        <v>338</v>
      </c>
      <c r="C3540" s="3" t="s">
        <v>339</v>
      </c>
      <c r="D3540" s="5" t="s">
        <v>122</v>
      </c>
      <c r="E3540" s="5" t="s">
        <v>112</v>
      </c>
      <c r="F3540" s="6" t="s">
        <v>107</v>
      </c>
      <c r="G3540" s="4" t="s">
        <v>2</v>
      </c>
      <c r="H3540" s="25">
        <v>3458.3291316700002</v>
      </c>
      <c r="I3540" s="8">
        <v>0</v>
      </c>
      <c r="J3540" s="9">
        <v>0</v>
      </c>
      <c r="K3540" s="7">
        <v>0</v>
      </c>
      <c r="L3540" s="24">
        <f>+Tabla2[[#This Row],[Stock Inventario]]*Tabla2[[#This Row],[Coste LÃ­nea]]</f>
        <v>0</v>
      </c>
      <c r="M3540" s="24">
        <f>+Tabla2[[#This Row],[Variación Stock]]*Tabla2[[#This Row],[Coste LÃ­nea]]</f>
        <v>0</v>
      </c>
      <c r="N3540" s="22" t="str">
        <f>+IF(Tabla2[[#This Row],[Variación Stock]]&gt;0,"Sobrante",IF(Tabla2[[#This Row],[Variación Stock]]&lt;0,"Faltante","Sin novedad"))</f>
        <v>Sin novedad</v>
      </c>
    </row>
    <row r="3541" spans="1:14" x14ac:dyDescent="0.25">
      <c r="A3541" s="11">
        <v>46037</v>
      </c>
      <c r="B3541" s="5" t="s">
        <v>338</v>
      </c>
      <c r="C3541" s="3" t="s">
        <v>339</v>
      </c>
      <c r="D3541" s="5" t="s">
        <v>122</v>
      </c>
      <c r="E3541" s="5" t="s">
        <v>112</v>
      </c>
      <c r="F3541" s="6" t="s">
        <v>108</v>
      </c>
      <c r="G3541" s="4" t="s">
        <v>2</v>
      </c>
      <c r="H3541" s="25">
        <v>2766.665</v>
      </c>
      <c r="I3541" s="8">
        <v>0</v>
      </c>
      <c r="J3541" s="9">
        <v>0</v>
      </c>
      <c r="K3541" s="7">
        <v>0</v>
      </c>
      <c r="L3541" s="24">
        <f>+Tabla2[[#This Row],[Stock Inventario]]*Tabla2[[#This Row],[Coste LÃ­nea]]</f>
        <v>0</v>
      </c>
      <c r="M3541" s="24">
        <f>+Tabla2[[#This Row],[Variación Stock]]*Tabla2[[#This Row],[Coste LÃ­nea]]</f>
        <v>0</v>
      </c>
      <c r="N3541" s="22" t="str">
        <f>+IF(Tabla2[[#This Row],[Variación Stock]]&gt;0,"Sobrante",IF(Tabla2[[#This Row],[Variación Stock]]&lt;0,"Faltante","Sin novedad"))</f>
        <v>Sin novedad</v>
      </c>
    </row>
    <row r="3542" spans="1:14" x14ac:dyDescent="0.25">
      <c r="A3542" s="11">
        <v>46037</v>
      </c>
      <c r="B3542" s="5" t="s">
        <v>338</v>
      </c>
      <c r="C3542" s="3" t="s">
        <v>339</v>
      </c>
      <c r="D3542" s="5" t="s">
        <v>122</v>
      </c>
      <c r="E3542" s="5" t="s">
        <v>112</v>
      </c>
      <c r="F3542" s="6" t="s">
        <v>109</v>
      </c>
      <c r="G3542" s="4" t="s">
        <v>2</v>
      </c>
      <c r="H3542" s="25">
        <v>3458.3333333300002</v>
      </c>
      <c r="I3542" s="8">
        <v>4</v>
      </c>
      <c r="J3542" s="9">
        <v>4</v>
      </c>
      <c r="K3542" s="7">
        <v>0</v>
      </c>
      <c r="L3542" s="24">
        <f>+Tabla2[[#This Row],[Stock Inventario]]*Tabla2[[#This Row],[Coste LÃ­nea]]</f>
        <v>13833.333333320001</v>
      </c>
      <c r="M3542" s="24">
        <f>+Tabla2[[#This Row],[Variación Stock]]*Tabla2[[#This Row],[Coste LÃ­nea]]</f>
        <v>0</v>
      </c>
      <c r="N3542" s="22" t="str">
        <f>+IF(Tabla2[[#This Row],[Variación Stock]]&gt;0,"Sobrante",IF(Tabla2[[#This Row],[Variación Stock]]&lt;0,"Faltante","Sin novedad"))</f>
        <v>Sin novedad</v>
      </c>
    </row>
    <row r="3543" spans="1:14" hidden="1" x14ac:dyDescent="0.25">
      <c r="A3543" s="11">
        <v>46044</v>
      </c>
      <c r="B3543" s="5" t="s">
        <v>378</v>
      </c>
      <c r="C3543" s="3" t="s">
        <v>339</v>
      </c>
      <c r="D3543" s="5" t="s">
        <v>120</v>
      </c>
      <c r="E3543" s="5" t="s">
        <v>117</v>
      </c>
      <c r="F3543" s="6" t="s">
        <v>376</v>
      </c>
      <c r="G3543" s="4" t="s">
        <v>2</v>
      </c>
      <c r="H3543" s="25">
        <v>2700.3227931299998</v>
      </c>
      <c r="I3543" s="8">
        <v>57</v>
      </c>
      <c r="J3543" s="9">
        <v>27</v>
      </c>
      <c r="K3543" s="7">
        <v>-30</v>
      </c>
      <c r="L3543" s="24">
        <f>+Tabla2[[#This Row],[Stock Inventario]]*Tabla2[[#This Row],[Coste LÃ­nea]]</f>
        <v>72908.715414509992</v>
      </c>
      <c r="M3543" s="24">
        <f>+Tabla2[[#This Row],[Variación Stock]]*Tabla2[[#This Row],[Coste LÃ­nea]]</f>
        <v>-81009.683793899996</v>
      </c>
      <c r="N3543" s="22" t="str">
        <f>+IF(Tabla2[[#This Row],[Variación Stock]]&gt;0,"Sobrante",IF(Tabla2[[#This Row],[Variación Stock]]&lt;0,"Faltante","Sin novedad"))</f>
        <v>Faltante</v>
      </c>
    </row>
    <row r="3544" spans="1:14" x14ac:dyDescent="0.25">
      <c r="A3544" s="11">
        <v>46044</v>
      </c>
      <c r="B3544" s="5" t="s">
        <v>378</v>
      </c>
      <c r="C3544" s="3" t="s">
        <v>339</v>
      </c>
      <c r="D3544" s="5" t="s">
        <v>111</v>
      </c>
      <c r="E3544" s="5" t="s">
        <v>112</v>
      </c>
      <c r="F3544" s="6" t="s">
        <v>21</v>
      </c>
      <c r="G3544" s="4" t="s">
        <v>0</v>
      </c>
      <c r="H3544" s="25">
        <v>17377</v>
      </c>
      <c r="I3544" s="8">
        <v>48</v>
      </c>
      <c r="J3544" s="9">
        <v>48</v>
      </c>
      <c r="K3544" s="7">
        <v>0</v>
      </c>
      <c r="L3544" s="24">
        <f>+Tabla2[[#This Row],[Stock Inventario]]*Tabla2[[#This Row],[Coste LÃ­nea]]</f>
        <v>834096</v>
      </c>
      <c r="M3544" s="24">
        <f>+Tabla2[[#This Row],[Variación Stock]]*Tabla2[[#This Row],[Coste LÃ­nea]]</f>
        <v>0</v>
      </c>
      <c r="N3544" s="22" t="str">
        <f>+IF(Tabla2[[#This Row],[Variación Stock]]&gt;0,"Sobrante",IF(Tabla2[[#This Row],[Variación Stock]]&lt;0,"Faltante","Sin novedad"))</f>
        <v>Sin novedad</v>
      </c>
    </row>
    <row r="3545" spans="1:14" x14ac:dyDescent="0.25">
      <c r="A3545" s="11">
        <v>46044</v>
      </c>
      <c r="B3545" s="5" t="s">
        <v>378</v>
      </c>
      <c r="C3545" s="3" t="s">
        <v>339</v>
      </c>
      <c r="D3545" s="5" t="s">
        <v>111</v>
      </c>
      <c r="E3545" s="5" t="s">
        <v>112</v>
      </c>
      <c r="F3545" s="6" t="s">
        <v>59</v>
      </c>
      <c r="G3545" s="4" t="s">
        <v>0</v>
      </c>
      <c r="H3545" s="25">
        <v>3072.2083333300002</v>
      </c>
      <c r="I3545" s="8">
        <v>196</v>
      </c>
      <c r="J3545" s="9">
        <v>268.26</v>
      </c>
      <c r="K3545" s="7">
        <v>-47.74</v>
      </c>
      <c r="L3545" s="24">
        <f>+Tabla2[[#This Row],[Stock Inventario]]*Tabla2[[#This Row],[Coste LÃ­nea]]</f>
        <v>824150.60749910586</v>
      </c>
      <c r="M3545" s="24">
        <f>+Tabla2[[#This Row],[Variación Stock]]*Tabla2[[#This Row],[Coste LÃ­nea]]</f>
        <v>-146667.22583317422</v>
      </c>
      <c r="N3545" s="22" t="str">
        <f>+IF(Tabla2[[#This Row],[Variación Stock]]&gt;0,"Sobrante",IF(Tabla2[[#This Row],[Variación Stock]]&lt;0,"Faltante","Sin novedad"))</f>
        <v>Faltante</v>
      </c>
    </row>
    <row r="3546" spans="1:14" hidden="1" x14ac:dyDescent="0.25">
      <c r="A3546" s="11">
        <v>46044</v>
      </c>
      <c r="B3546" s="5" t="s">
        <v>378</v>
      </c>
      <c r="C3546" s="3" t="s">
        <v>339</v>
      </c>
      <c r="D3546" s="5" t="s">
        <v>119</v>
      </c>
      <c r="E3546" s="5" t="s">
        <v>117</v>
      </c>
      <c r="F3546" s="6" t="s">
        <v>95</v>
      </c>
      <c r="G3546" s="4" t="s">
        <v>1</v>
      </c>
      <c r="H3546" s="25">
        <v>39</v>
      </c>
      <c r="I3546" s="8">
        <v>14115.555399999999</v>
      </c>
      <c r="J3546" s="9">
        <v>18476</v>
      </c>
      <c r="K3546" s="7">
        <v>4360.4445830000004</v>
      </c>
      <c r="L3546" s="24">
        <f>+Tabla2[[#This Row],[Stock Inventario]]*Tabla2[[#This Row],[Coste LÃ­nea]]</f>
        <v>720564</v>
      </c>
      <c r="M3546" s="24">
        <f>+Tabla2[[#This Row],[Variación Stock]]*Tabla2[[#This Row],[Coste LÃ­nea]]</f>
        <v>170057.33873700001</v>
      </c>
      <c r="N3546" s="22" t="str">
        <f>+IF(Tabla2[[#This Row],[Variación Stock]]&gt;0,"Sobrante",IF(Tabla2[[#This Row],[Variación Stock]]&lt;0,"Faltante","Sin novedad"))</f>
        <v>Sobrante</v>
      </c>
    </row>
    <row r="3547" spans="1:14" hidden="1" x14ac:dyDescent="0.25">
      <c r="A3547" s="11">
        <v>46037</v>
      </c>
      <c r="B3547" s="5" t="s">
        <v>338</v>
      </c>
      <c r="C3547" s="3" t="s">
        <v>339</v>
      </c>
      <c r="D3547" s="5" t="s">
        <v>120</v>
      </c>
      <c r="E3547" s="5" t="s">
        <v>117</v>
      </c>
      <c r="F3547" s="6" t="s">
        <v>317</v>
      </c>
      <c r="G3547" s="4" t="s">
        <v>2</v>
      </c>
      <c r="H3547" s="25">
        <v>3260.4930431299999</v>
      </c>
      <c r="I3547" s="8">
        <v>26</v>
      </c>
      <c r="J3547" s="9">
        <v>56</v>
      </c>
      <c r="K3547" s="7">
        <v>30</v>
      </c>
      <c r="L3547" s="24">
        <f>+Tabla2[[#This Row],[Stock Inventario]]*Tabla2[[#This Row],[Coste LÃ­nea]]</f>
        <v>182587.61041527998</v>
      </c>
      <c r="M3547" s="24">
        <f>+Tabla2[[#This Row],[Variación Stock]]*Tabla2[[#This Row],[Coste LÃ­nea]]</f>
        <v>97814.791293899994</v>
      </c>
      <c r="N3547" s="22" t="str">
        <f>+IF(Tabla2[[#This Row],[Variación Stock]]&gt;0,"Sobrante",IF(Tabla2[[#This Row],[Variación Stock]]&lt;0,"Faltante","Sin novedad"))</f>
        <v>Sobrante</v>
      </c>
    </row>
    <row r="3548" spans="1:14" hidden="1" x14ac:dyDescent="0.25">
      <c r="A3548" s="11">
        <v>46037</v>
      </c>
      <c r="B3548" s="5" t="s">
        <v>338</v>
      </c>
      <c r="C3548" s="3" t="s">
        <v>339</v>
      </c>
      <c r="D3548" s="5" t="s">
        <v>323</v>
      </c>
      <c r="E3548" s="5" t="s">
        <v>117</v>
      </c>
      <c r="F3548" s="6" t="s">
        <v>326</v>
      </c>
      <c r="G3548" s="4" t="s">
        <v>1</v>
      </c>
      <c r="H3548" s="25">
        <v>31.318912749999999</v>
      </c>
      <c r="I3548" s="8">
        <v>-6847</v>
      </c>
      <c r="J3548" s="9">
        <v>16392</v>
      </c>
      <c r="K3548" s="7">
        <v>23239</v>
      </c>
      <c r="L3548" s="24">
        <f>+Tabla2[[#This Row],[Stock Inventario]]*Tabla2[[#This Row],[Coste LÃ­nea]]</f>
        <v>513379.61779799999</v>
      </c>
      <c r="M3548" s="24">
        <f>+Tabla2[[#This Row],[Variación Stock]]*Tabla2[[#This Row],[Coste LÃ­nea]]</f>
        <v>727820.21339724993</v>
      </c>
      <c r="N3548" s="22" t="str">
        <f>+IF(Tabla2[[#This Row],[Variación Stock]]&gt;0,"Sobrante",IF(Tabla2[[#This Row],[Variación Stock]]&lt;0,"Faltante","Sin novedad"))</f>
        <v>Sobrante</v>
      </c>
    </row>
    <row r="3549" spans="1:14" x14ac:dyDescent="0.25">
      <c r="A3549" s="11">
        <v>46053</v>
      </c>
      <c r="B3549" s="5" t="s">
        <v>1078</v>
      </c>
      <c r="C3549" s="3" t="s">
        <v>339</v>
      </c>
      <c r="D3549" s="5" t="s">
        <v>118</v>
      </c>
      <c r="E3549" s="5" t="s">
        <v>112</v>
      </c>
      <c r="F3549" s="6" t="s">
        <v>88</v>
      </c>
      <c r="G3549" s="4" t="s">
        <v>81</v>
      </c>
      <c r="H3549" s="25">
        <v>4385.6000000000004</v>
      </c>
      <c r="I3549" s="8">
        <v>16</v>
      </c>
      <c r="J3549" s="9">
        <v>19</v>
      </c>
      <c r="K3549" s="7">
        <v>3</v>
      </c>
      <c r="L3549" s="24">
        <f>+Tabla2[[#This Row],[Stock Inventario]]*Tabla2[[#This Row],[Coste LÃ­nea]]</f>
        <v>83326.400000000009</v>
      </c>
      <c r="M3549" s="24">
        <f>+Tabla2[[#This Row],[Variación Stock]]*Tabla2[[#This Row],[Coste LÃ­nea]]</f>
        <v>13156.800000000001</v>
      </c>
      <c r="N3549" s="22" t="str">
        <f>+IF(Tabla2[[#This Row],[Variación Stock]]&gt;0,"Sobrante",IF(Tabla2[[#This Row],[Variación Stock]]&lt;0,"Faltante","Sin novedad"))</f>
        <v>Sobrante</v>
      </c>
    </row>
    <row r="3550" spans="1:14" x14ac:dyDescent="0.25">
      <c r="A3550" s="11">
        <v>46044</v>
      </c>
      <c r="B3550" s="5" t="s">
        <v>378</v>
      </c>
      <c r="C3550" s="3" t="s">
        <v>339</v>
      </c>
      <c r="D3550" s="5" t="s">
        <v>111</v>
      </c>
      <c r="E3550" s="5" t="s">
        <v>112</v>
      </c>
      <c r="F3550" s="6" t="s">
        <v>27</v>
      </c>
      <c r="G3550" s="4" t="s">
        <v>0</v>
      </c>
      <c r="H3550" s="25">
        <v>7122.4772727299996</v>
      </c>
      <c r="I3550" s="8">
        <v>82</v>
      </c>
      <c r="J3550" s="9">
        <v>81</v>
      </c>
      <c r="K3550" s="7">
        <v>-1</v>
      </c>
      <c r="L3550" s="24">
        <f>+Tabla2[[#This Row],[Stock Inventario]]*Tabla2[[#This Row],[Coste LÃ­nea]]</f>
        <v>576920.65909113002</v>
      </c>
      <c r="M3550" s="24">
        <f>+Tabla2[[#This Row],[Variación Stock]]*Tabla2[[#This Row],[Coste LÃ­nea]]</f>
        <v>-7122.4772727299996</v>
      </c>
      <c r="N3550" s="22" t="str">
        <f>+IF(Tabla2[[#This Row],[Variación Stock]]&gt;0,"Sobrante",IF(Tabla2[[#This Row],[Variación Stock]]&lt;0,"Faltante","Sin novedad"))</f>
        <v>Faltante</v>
      </c>
    </row>
    <row r="3551" spans="1:14" x14ac:dyDescent="0.25">
      <c r="A3551" s="11">
        <v>46044</v>
      </c>
      <c r="B3551" s="5" t="s">
        <v>378</v>
      </c>
      <c r="C3551" s="3" t="s">
        <v>339</v>
      </c>
      <c r="D3551" s="5" t="s">
        <v>118</v>
      </c>
      <c r="E3551" s="5" t="s">
        <v>112</v>
      </c>
      <c r="F3551" s="6" t="s">
        <v>303</v>
      </c>
      <c r="G3551" s="4" t="s">
        <v>81</v>
      </c>
      <c r="H3551" s="25">
        <v>15145.266666670001</v>
      </c>
      <c r="I3551" s="8">
        <v>38</v>
      </c>
      <c r="J3551" s="9">
        <v>38</v>
      </c>
      <c r="K3551" s="7">
        <v>0</v>
      </c>
      <c r="L3551" s="24">
        <f>+Tabla2[[#This Row],[Stock Inventario]]*Tabla2[[#This Row],[Coste LÃ­nea]]</f>
        <v>575520.13333346008</v>
      </c>
      <c r="M3551" s="24">
        <f>+Tabla2[[#This Row],[Variación Stock]]*Tabla2[[#This Row],[Coste LÃ­nea]]</f>
        <v>0</v>
      </c>
      <c r="N3551" s="22" t="str">
        <f>+IF(Tabla2[[#This Row],[Variación Stock]]&gt;0,"Sobrante",IF(Tabla2[[#This Row],[Variación Stock]]&lt;0,"Faltante","Sin novedad"))</f>
        <v>Sin novedad</v>
      </c>
    </row>
    <row r="3552" spans="1:14" x14ac:dyDescent="0.25">
      <c r="A3552" s="11">
        <v>46044</v>
      </c>
      <c r="B3552" s="5" t="s">
        <v>378</v>
      </c>
      <c r="C3552" s="3" t="s">
        <v>339</v>
      </c>
      <c r="D3552" s="5" t="s">
        <v>111</v>
      </c>
      <c r="E3552" s="5" t="s">
        <v>112</v>
      </c>
      <c r="F3552" s="6" t="s">
        <v>29</v>
      </c>
      <c r="G3552" s="4" t="s">
        <v>0</v>
      </c>
      <c r="H3552" s="25">
        <v>12951.25</v>
      </c>
      <c r="I3552" s="8">
        <v>44</v>
      </c>
      <c r="J3552" s="9">
        <v>44</v>
      </c>
      <c r="K3552" s="7">
        <v>0</v>
      </c>
      <c r="L3552" s="24">
        <f>+Tabla2[[#This Row],[Stock Inventario]]*Tabla2[[#This Row],[Coste LÃ­nea]]</f>
        <v>569855</v>
      </c>
      <c r="M3552" s="24">
        <f>+Tabla2[[#This Row],[Variación Stock]]*Tabla2[[#This Row],[Coste LÃ­nea]]</f>
        <v>0</v>
      </c>
      <c r="N3552" s="22" t="str">
        <f>+IF(Tabla2[[#This Row],[Variación Stock]]&gt;0,"Sobrante",IF(Tabla2[[#This Row],[Variación Stock]]&lt;0,"Faltante","Sin novedad"))</f>
        <v>Sin novedad</v>
      </c>
    </row>
    <row r="3553" spans="1:14" x14ac:dyDescent="0.25">
      <c r="A3553" s="11">
        <v>46044</v>
      </c>
      <c r="B3553" s="5" t="s">
        <v>378</v>
      </c>
      <c r="C3553" s="3" t="s">
        <v>339</v>
      </c>
      <c r="D3553" s="5" t="s">
        <v>111</v>
      </c>
      <c r="E3553" s="5" t="s">
        <v>112</v>
      </c>
      <c r="F3553" s="6" t="s">
        <v>22</v>
      </c>
      <c r="G3553" s="4" t="s">
        <v>0</v>
      </c>
      <c r="H3553" s="25">
        <v>13020.86363636</v>
      </c>
      <c r="I3553" s="8">
        <v>43</v>
      </c>
      <c r="J3553" s="9">
        <v>43</v>
      </c>
      <c r="K3553" s="7">
        <v>0</v>
      </c>
      <c r="L3553" s="24">
        <f>+Tabla2[[#This Row],[Stock Inventario]]*Tabla2[[#This Row],[Coste LÃ­nea]]</f>
        <v>559897.13636348001</v>
      </c>
      <c r="M3553" s="24">
        <f>+Tabla2[[#This Row],[Variación Stock]]*Tabla2[[#This Row],[Coste LÃ­nea]]</f>
        <v>0</v>
      </c>
      <c r="N3553" s="22" t="str">
        <f>+IF(Tabla2[[#This Row],[Variación Stock]]&gt;0,"Sobrante",IF(Tabla2[[#This Row],[Variación Stock]]&lt;0,"Faltante","Sin novedad"))</f>
        <v>Sin novedad</v>
      </c>
    </row>
    <row r="3554" spans="1:14" x14ac:dyDescent="0.25">
      <c r="A3554" s="11">
        <v>46044</v>
      </c>
      <c r="B3554" s="5" t="s">
        <v>378</v>
      </c>
      <c r="C3554" s="3" t="s">
        <v>339</v>
      </c>
      <c r="D3554" s="5" t="s">
        <v>111</v>
      </c>
      <c r="E3554" s="5" t="s">
        <v>112</v>
      </c>
      <c r="F3554" s="6" t="s">
        <v>17</v>
      </c>
      <c r="G3554" s="4" t="s">
        <v>0</v>
      </c>
      <c r="H3554" s="25">
        <v>14896.95833333</v>
      </c>
      <c r="I3554" s="8">
        <v>37.700000000000003</v>
      </c>
      <c r="J3554" s="9">
        <v>37</v>
      </c>
      <c r="K3554" s="7">
        <v>-0.7</v>
      </c>
      <c r="L3554" s="24">
        <f>+Tabla2[[#This Row],[Stock Inventario]]*Tabla2[[#This Row],[Coste LÃ­nea]]</f>
        <v>551187.45833320997</v>
      </c>
      <c r="M3554" s="24">
        <f>+Tabla2[[#This Row],[Variación Stock]]*Tabla2[[#This Row],[Coste LÃ­nea]]</f>
        <v>-10427.870833330999</v>
      </c>
      <c r="N3554" s="22" t="str">
        <f>+IF(Tabla2[[#This Row],[Variación Stock]]&gt;0,"Sobrante",IF(Tabla2[[#This Row],[Variación Stock]]&lt;0,"Faltante","Sin novedad"))</f>
        <v>Faltante</v>
      </c>
    </row>
    <row r="3555" spans="1:14" x14ac:dyDescent="0.25">
      <c r="A3555" s="11">
        <v>46037</v>
      </c>
      <c r="B3555" s="5" t="s">
        <v>338</v>
      </c>
      <c r="C3555" s="3" t="s">
        <v>339</v>
      </c>
      <c r="D3555" s="5" t="s">
        <v>118</v>
      </c>
      <c r="E3555" s="5" t="s">
        <v>112</v>
      </c>
      <c r="F3555" s="6" t="s">
        <v>88</v>
      </c>
      <c r="G3555" s="4" t="s">
        <v>81</v>
      </c>
      <c r="H3555" s="25">
        <v>4385.6000000000004</v>
      </c>
      <c r="I3555" s="8">
        <v>-2</v>
      </c>
      <c r="J3555" s="9">
        <v>0</v>
      </c>
      <c r="K3555" s="7">
        <v>2</v>
      </c>
      <c r="L3555" s="24">
        <f>+Tabla2[[#This Row],[Stock Inventario]]*Tabla2[[#This Row],[Coste LÃ­nea]]</f>
        <v>0</v>
      </c>
      <c r="M3555" s="24">
        <f>+Tabla2[[#This Row],[Variación Stock]]*Tabla2[[#This Row],[Coste LÃ­nea]]</f>
        <v>8771.2000000000007</v>
      </c>
      <c r="N3555" s="22" t="str">
        <f>+IF(Tabla2[[#This Row],[Variación Stock]]&gt;0,"Sobrante",IF(Tabla2[[#This Row],[Variación Stock]]&lt;0,"Faltante","Sin novedad"))</f>
        <v>Sobrante</v>
      </c>
    </row>
    <row r="3556" spans="1:14" x14ac:dyDescent="0.25">
      <c r="A3556" s="11">
        <v>46044</v>
      </c>
      <c r="B3556" s="5" t="s">
        <v>378</v>
      </c>
      <c r="C3556" s="3" t="s">
        <v>339</v>
      </c>
      <c r="D3556" s="5" t="s">
        <v>111</v>
      </c>
      <c r="E3556" s="5" t="s">
        <v>112</v>
      </c>
      <c r="F3556" s="6" t="s">
        <v>33</v>
      </c>
      <c r="G3556" s="4" t="s">
        <v>0</v>
      </c>
      <c r="H3556" s="25">
        <v>3754.15625</v>
      </c>
      <c r="I3556" s="8">
        <v>122</v>
      </c>
      <c r="J3556" s="9">
        <v>130</v>
      </c>
      <c r="K3556" s="7">
        <v>8</v>
      </c>
      <c r="L3556" s="24">
        <f>+Tabla2[[#This Row],[Stock Inventario]]*Tabla2[[#This Row],[Coste LÃ­nea]]</f>
        <v>488040.3125</v>
      </c>
      <c r="M3556" s="24">
        <f>+Tabla2[[#This Row],[Variación Stock]]*Tabla2[[#This Row],[Coste LÃ­nea]]</f>
        <v>30033.25</v>
      </c>
      <c r="N3556" s="22" t="str">
        <f>+IF(Tabla2[[#This Row],[Variación Stock]]&gt;0,"Sobrante",IF(Tabla2[[#This Row],[Variación Stock]]&lt;0,"Faltante","Sin novedad"))</f>
        <v>Sobrante</v>
      </c>
    </row>
    <row r="3557" spans="1:14" x14ac:dyDescent="0.25">
      <c r="A3557" s="11">
        <v>46044</v>
      </c>
      <c r="B3557" s="5" t="s">
        <v>378</v>
      </c>
      <c r="C3557" s="3" t="s">
        <v>339</v>
      </c>
      <c r="D3557" s="5" t="s">
        <v>118</v>
      </c>
      <c r="E3557" s="5" t="s">
        <v>112</v>
      </c>
      <c r="F3557" s="6" t="s">
        <v>302</v>
      </c>
      <c r="G3557" s="4" t="s">
        <v>2</v>
      </c>
      <c r="H3557" s="25">
        <v>444869</v>
      </c>
      <c r="I3557" s="8">
        <v>1</v>
      </c>
      <c r="J3557" s="9">
        <v>1</v>
      </c>
      <c r="K3557" s="7">
        <v>0</v>
      </c>
      <c r="L3557" s="24">
        <f>+Tabla2[[#This Row],[Stock Inventario]]*Tabla2[[#This Row],[Coste LÃ­nea]]</f>
        <v>444869</v>
      </c>
      <c r="M3557" s="24">
        <f>+Tabla2[[#This Row],[Variación Stock]]*Tabla2[[#This Row],[Coste LÃ­nea]]</f>
        <v>0</v>
      </c>
      <c r="N3557" s="22" t="str">
        <f>+IF(Tabla2[[#This Row],[Variación Stock]]&gt;0,"Sobrante",IF(Tabla2[[#This Row],[Variación Stock]]&lt;0,"Faltante","Sin novedad"))</f>
        <v>Sin novedad</v>
      </c>
    </row>
    <row r="3558" spans="1:14" x14ac:dyDescent="0.25">
      <c r="A3558" s="11">
        <v>46044</v>
      </c>
      <c r="B3558" s="5" t="s">
        <v>378</v>
      </c>
      <c r="C3558" s="3" t="s">
        <v>339</v>
      </c>
      <c r="D3558" s="5" t="s">
        <v>111</v>
      </c>
      <c r="E3558" s="5" t="s">
        <v>112</v>
      </c>
      <c r="F3558" s="6" t="s">
        <v>365</v>
      </c>
      <c r="G3558" s="4" t="s">
        <v>0</v>
      </c>
      <c r="H3558" s="25">
        <v>12698.95454545</v>
      </c>
      <c r="I3558" s="8">
        <v>34</v>
      </c>
      <c r="J3558" s="9">
        <v>35</v>
      </c>
      <c r="K3558" s="7">
        <v>1</v>
      </c>
      <c r="L3558" s="24">
        <f>+Tabla2[[#This Row],[Stock Inventario]]*Tabla2[[#This Row],[Coste LÃ­nea]]</f>
        <v>444463.40909075004</v>
      </c>
      <c r="M3558" s="24">
        <f>+Tabla2[[#This Row],[Variación Stock]]*Tabla2[[#This Row],[Coste LÃ­nea]]</f>
        <v>12698.95454545</v>
      </c>
      <c r="N3558" s="22" t="str">
        <f>+IF(Tabla2[[#This Row],[Variación Stock]]&gt;0,"Sobrante",IF(Tabla2[[#This Row],[Variación Stock]]&lt;0,"Faltante","Sin novedad"))</f>
        <v>Sobrante</v>
      </c>
    </row>
    <row r="3559" spans="1:14" x14ac:dyDescent="0.25">
      <c r="A3559" s="11">
        <v>46044</v>
      </c>
      <c r="B3559" s="5" t="s">
        <v>378</v>
      </c>
      <c r="C3559" s="3" t="s">
        <v>339</v>
      </c>
      <c r="D3559" s="5" t="s">
        <v>118</v>
      </c>
      <c r="E3559" s="5" t="s">
        <v>112</v>
      </c>
      <c r="F3559" s="6" t="s">
        <v>308</v>
      </c>
      <c r="G3559" s="4" t="s">
        <v>81</v>
      </c>
      <c r="H3559" s="25">
        <v>15144</v>
      </c>
      <c r="I3559" s="8">
        <v>29</v>
      </c>
      <c r="J3559" s="9">
        <v>29</v>
      </c>
      <c r="K3559" s="7">
        <v>0</v>
      </c>
      <c r="L3559" s="24">
        <f>+Tabla2[[#This Row],[Stock Inventario]]*Tabla2[[#This Row],[Coste LÃ­nea]]</f>
        <v>439176</v>
      </c>
      <c r="M3559" s="24">
        <f>+Tabla2[[#This Row],[Variación Stock]]*Tabla2[[#This Row],[Coste LÃ­nea]]</f>
        <v>0</v>
      </c>
      <c r="N3559" s="22" t="str">
        <f>+IF(Tabla2[[#This Row],[Variación Stock]]&gt;0,"Sobrante",IF(Tabla2[[#This Row],[Variación Stock]]&lt;0,"Faltante","Sin novedad"))</f>
        <v>Sin novedad</v>
      </c>
    </row>
    <row r="3560" spans="1:14" x14ac:dyDescent="0.25">
      <c r="A3560" s="11">
        <v>46044</v>
      </c>
      <c r="B3560" s="5" t="s">
        <v>378</v>
      </c>
      <c r="C3560" s="3" t="s">
        <v>339</v>
      </c>
      <c r="D3560" s="5" t="s">
        <v>118</v>
      </c>
      <c r="E3560" s="5" t="s">
        <v>112</v>
      </c>
      <c r="F3560" s="6" t="s">
        <v>307</v>
      </c>
      <c r="G3560" s="4" t="s">
        <v>81</v>
      </c>
      <c r="H3560" s="25">
        <v>10710.6</v>
      </c>
      <c r="I3560" s="8">
        <v>41</v>
      </c>
      <c r="J3560" s="9">
        <v>41</v>
      </c>
      <c r="K3560" s="7">
        <v>0</v>
      </c>
      <c r="L3560" s="24">
        <f>+Tabla2[[#This Row],[Stock Inventario]]*Tabla2[[#This Row],[Coste LÃ­nea]]</f>
        <v>439134.60000000003</v>
      </c>
      <c r="M3560" s="24">
        <f>+Tabla2[[#This Row],[Variación Stock]]*Tabla2[[#This Row],[Coste LÃ­nea]]</f>
        <v>0</v>
      </c>
      <c r="N3560" s="22" t="str">
        <f>+IF(Tabla2[[#This Row],[Variación Stock]]&gt;0,"Sobrante",IF(Tabla2[[#This Row],[Variación Stock]]&lt;0,"Faltante","Sin novedad"))</f>
        <v>Sin novedad</v>
      </c>
    </row>
    <row r="3561" spans="1:14" x14ac:dyDescent="0.25">
      <c r="A3561" s="11">
        <v>46044</v>
      </c>
      <c r="B3561" s="5" t="s">
        <v>378</v>
      </c>
      <c r="C3561" s="3" t="s">
        <v>339</v>
      </c>
      <c r="D3561" s="5" t="s">
        <v>111</v>
      </c>
      <c r="E3561" s="5" t="s">
        <v>112</v>
      </c>
      <c r="F3561" s="6" t="s">
        <v>113</v>
      </c>
      <c r="G3561" s="4" t="s">
        <v>0</v>
      </c>
      <c r="H3561" s="25">
        <v>15318.181818180001</v>
      </c>
      <c r="I3561" s="8">
        <v>28.14</v>
      </c>
      <c r="J3561" s="9">
        <v>28.14</v>
      </c>
      <c r="K3561" s="7">
        <v>0</v>
      </c>
      <c r="L3561" s="24">
        <f>+Tabla2[[#This Row],[Stock Inventario]]*Tabla2[[#This Row],[Coste LÃ­nea]]</f>
        <v>431053.63636358525</v>
      </c>
      <c r="M3561" s="24">
        <f>+Tabla2[[#This Row],[Variación Stock]]*Tabla2[[#This Row],[Coste LÃ­nea]]</f>
        <v>0</v>
      </c>
      <c r="N3561" s="22" t="str">
        <f>+IF(Tabla2[[#This Row],[Variación Stock]]&gt;0,"Sobrante",IF(Tabla2[[#This Row],[Variación Stock]]&lt;0,"Faltante","Sin novedad"))</f>
        <v>Sin novedad</v>
      </c>
    </row>
    <row r="3562" spans="1:14" x14ac:dyDescent="0.25">
      <c r="A3562" s="11">
        <v>46044</v>
      </c>
      <c r="B3562" s="5" t="s">
        <v>378</v>
      </c>
      <c r="C3562" s="3" t="s">
        <v>339</v>
      </c>
      <c r="D3562" s="5" t="s">
        <v>115</v>
      </c>
      <c r="E3562" s="5" t="s">
        <v>112</v>
      </c>
      <c r="F3562" s="6" t="s">
        <v>367</v>
      </c>
      <c r="G3562" s="4" t="s">
        <v>2</v>
      </c>
      <c r="H3562" s="25">
        <v>18598</v>
      </c>
      <c r="I3562" s="8">
        <v>21.5014</v>
      </c>
      <c r="J3562" s="9">
        <v>22</v>
      </c>
      <c r="K3562" s="7">
        <v>0.49859199999999998</v>
      </c>
      <c r="L3562" s="24">
        <f>+Tabla2[[#This Row],[Stock Inventario]]*Tabla2[[#This Row],[Coste LÃ­nea]]</f>
        <v>409156</v>
      </c>
      <c r="M3562" s="24">
        <f>+Tabla2[[#This Row],[Variación Stock]]*Tabla2[[#This Row],[Coste LÃ­nea]]</f>
        <v>9272.8140160000003</v>
      </c>
      <c r="N3562" s="22" t="str">
        <f>+IF(Tabla2[[#This Row],[Variación Stock]]&gt;0,"Sobrante",IF(Tabla2[[#This Row],[Variación Stock]]&lt;0,"Faltante","Sin novedad"))</f>
        <v>Sobrante</v>
      </c>
    </row>
    <row r="3563" spans="1:14" x14ac:dyDescent="0.25">
      <c r="A3563" s="11">
        <v>46044</v>
      </c>
      <c r="B3563" s="5" t="s">
        <v>378</v>
      </c>
      <c r="C3563" s="3" t="s">
        <v>339</v>
      </c>
      <c r="D3563" s="5" t="s">
        <v>114</v>
      </c>
      <c r="E3563" s="5" t="s">
        <v>112</v>
      </c>
      <c r="F3563" s="6" t="s">
        <v>69</v>
      </c>
      <c r="G3563" s="4" t="s">
        <v>2</v>
      </c>
      <c r="H3563" s="25">
        <v>5133.6666666700003</v>
      </c>
      <c r="I3563" s="8">
        <v>80.52</v>
      </c>
      <c r="J3563" s="9">
        <v>79</v>
      </c>
      <c r="K3563" s="7">
        <v>-1.52</v>
      </c>
      <c r="L3563" s="24">
        <f>+Tabla2[[#This Row],[Stock Inventario]]*Tabla2[[#This Row],[Coste LÃ­nea]]</f>
        <v>405559.66666693002</v>
      </c>
      <c r="M3563" s="24">
        <f>+Tabla2[[#This Row],[Variación Stock]]*Tabla2[[#This Row],[Coste LÃ­nea]]</f>
        <v>-7803.1733333384009</v>
      </c>
      <c r="N3563" s="22" t="str">
        <f>+IF(Tabla2[[#This Row],[Variación Stock]]&gt;0,"Sobrante",IF(Tabla2[[#This Row],[Variación Stock]]&lt;0,"Faltante","Sin novedad"))</f>
        <v>Faltante</v>
      </c>
    </row>
    <row r="3564" spans="1:14" x14ac:dyDescent="0.25">
      <c r="A3564" s="11">
        <v>46044</v>
      </c>
      <c r="B3564" s="5" t="s">
        <v>378</v>
      </c>
      <c r="C3564" s="3" t="s">
        <v>339</v>
      </c>
      <c r="D3564" s="5" t="s">
        <v>111</v>
      </c>
      <c r="E3564" s="5" t="s">
        <v>112</v>
      </c>
      <c r="F3564" s="6" t="s">
        <v>58</v>
      </c>
      <c r="G3564" s="4" t="s">
        <v>0</v>
      </c>
      <c r="H3564" s="25">
        <v>6303.25</v>
      </c>
      <c r="I3564" s="8">
        <v>33</v>
      </c>
      <c r="J3564" s="9">
        <v>62.72</v>
      </c>
      <c r="K3564" s="7">
        <v>5.72</v>
      </c>
      <c r="L3564" s="24">
        <f>+Tabla2[[#This Row],[Stock Inventario]]*Tabla2[[#This Row],[Coste LÃ­nea]]</f>
        <v>395339.83999999997</v>
      </c>
      <c r="M3564" s="24">
        <f>+Tabla2[[#This Row],[Variación Stock]]*Tabla2[[#This Row],[Coste LÃ­nea]]</f>
        <v>36054.589999999997</v>
      </c>
      <c r="N3564" s="22" t="str">
        <f>+IF(Tabla2[[#This Row],[Variación Stock]]&gt;0,"Sobrante",IF(Tabla2[[#This Row],[Variación Stock]]&lt;0,"Faltante","Sin novedad"))</f>
        <v>Sobrante</v>
      </c>
    </row>
    <row r="3565" spans="1:14" x14ac:dyDescent="0.25">
      <c r="A3565" s="11">
        <v>46044</v>
      </c>
      <c r="B3565" s="5" t="s">
        <v>378</v>
      </c>
      <c r="C3565" s="3" t="s">
        <v>339</v>
      </c>
      <c r="D3565" s="5" t="s">
        <v>114</v>
      </c>
      <c r="E3565" s="5" t="s">
        <v>112</v>
      </c>
      <c r="F3565" s="6" t="s">
        <v>66</v>
      </c>
      <c r="G3565" s="4" t="s">
        <v>2</v>
      </c>
      <c r="H3565" s="25">
        <v>4986.0833333299997</v>
      </c>
      <c r="I3565" s="8">
        <v>79.5</v>
      </c>
      <c r="J3565" s="9">
        <v>79</v>
      </c>
      <c r="K3565" s="7">
        <v>-0.5</v>
      </c>
      <c r="L3565" s="24">
        <f>+Tabla2[[#This Row],[Stock Inventario]]*Tabla2[[#This Row],[Coste LÃ­nea]]</f>
        <v>393900.58333306998</v>
      </c>
      <c r="M3565" s="24">
        <f>+Tabla2[[#This Row],[Variación Stock]]*Tabla2[[#This Row],[Coste LÃ­nea]]</f>
        <v>-2493.0416666649999</v>
      </c>
      <c r="N3565" s="22" t="str">
        <f>+IF(Tabla2[[#This Row],[Variación Stock]]&gt;0,"Sobrante",IF(Tabla2[[#This Row],[Variación Stock]]&lt;0,"Faltante","Sin novedad"))</f>
        <v>Faltante</v>
      </c>
    </row>
    <row r="3566" spans="1:14" hidden="1" x14ac:dyDescent="0.25">
      <c r="A3566" s="11">
        <v>46044</v>
      </c>
      <c r="B3566" s="5" t="s">
        <v>378</v>
      </c>
      <c r="C3566" s="3" t="s">
        <v>339</v>
      </c>
      <c r="D3566" s="5" t="s">
        <v>119</v>
      </c>
      <c r="E3566" s="5" t="s">
        <v>117</v>
      </c>
      <c r="F3566" s="6" t="s">
        <v>8</v>
      </c>
      <c r="G3566" s="4" t="s">
        <v>1</v>
      </c>
      <c r="H3566" s="25">
        <v>51.00376412</v>
      </c>
      <c r="I3566" s="8">
        <v>5438.4390000000003</v>
      </c>
      <c r="J3566" s="9">
        <v>7408</v>
      </c>
      <c r="K3566" s="7">
        <v>1969.561042</v>
      </c>
      <c r="L3566" s="24">
        <f>+Tabla2[[#This Row],[Stock Inventario]]*Tabla2[[#This Row],[Coste LÃ­nea]]</f>
        <v>377835.88460096001</v>
      </c>
      <c r="M3566" s="24">
        <f>+Tabla2[[#This Row],[Variación Stock]]*Tabla2[[#This Row],[Coste LÃ­nea]]</f>
        <v>100455.02680610941</v>
      </c>
      <c r="N3566" s="22" t="str">
        <f>+IF(Tabla2[[#This Row],[Variación Stock]]&gt;0,"Sobrante",IF(Tabla2[[#This Row],[Variación Stock]]&lt;0,"Faltante","Sin novedad"))</f>
        <v>Sobrante</v>
      </c>
    </row>
    <row r="3567" spans="1:14" x14ac:dyDescent="0.25">
      <c r="A3567" s="11">
        <v>46044</v>
      </c>
      <c r="B3567" s="5" t="s">
        <v>378</v>
      </c>
      <c r="C3567" s="3" t="s">
        <v>339</v>
      </c>
      <c r="D3567" s="5" t="s">
        <v>118</v>
      </c>
      <c r="E3567" s="5" t="s">
        <v>112</v>
      </c>
      <c r="F3567" s="6" t="s">
        <v>304</v>
      </c>
      <c r="G3567" s="4" t="s">
        <v>2</v>
      </c>
      <c r="H3567" s="25">
        <v>37616.833333330003</v>
      </c>
      <c r="I3567" s="8">
        <v>10</v>
      </c>
      <c r="J3567" s="9">
        <v>10</v>
      </c>
      <c r="K3567" s="7">
        <v>0</v>
      </c>
      <c r="L3567" s="24">
        <f>+Tabla2[[#This Row],[Stock Inventario]]*Tabla2[[#This Row],[Coste LÃ­nea]]</f>
        <v>376168.33333330002</v>
      </c>
      <c r="M3567" s="24">
        <f>+Tabla2[[#This Row],[Variación Stock]]*Tabla2[[#This Row],[Coste LÃ­nea]]</f>
        <v>0</v>
      </c>
      <c r="N3567" s="22" t="str">
        <f>+IF(Tabla2[[#This Row],[Variación Stock]]&gt;0,"Sobrante",IF(Tabla2[[#This Row],[Variación Stock]]&lt;0,"Faltante","Sin novedad"))</f>
        <v>Sin novedad</v>
      </c>
    </row>
    <row r="3568" spans="1:14" x14ac:dyDescent="0.25">
      <c r="A3568" s="11">
        <v>46044</v>
      </c>
      <c r="B3568" s="5" t="s">
        <v>378</v>
      </c>
      <c r="C3568" s="3" t="s">
        <v>339</v>
      </c>
      <c r="D3568" s="5" t="s">
        <v>118</v>
      </c>
      <c r="E3568" s="5" t="s">
        <v>112</v>
      </c>
      <c r="F3568" s="6" t="s">
        <v>293</v>
      </c>
      <c r="G3568" s="4" t="s">
        <v>2</v>
      </c>
      <c r="H3568" s="25">
        <v>125043</v>
      </c>
      <c r="I3568" s="8">
        <v>3</v>
      </c>
      <c r="J3568" s="9">
        <v>3</v>
      </c>
      <c r="K3568" s="7">
        <v>0</v>
      </c>
      <c r="L3568" s="24">
        <f>+Tabla2[[#This Row],[Stock Inventario]]*Tabla2[[#This Row],[Coste LÃ­nea]]</f>
        <v>375129</v>
      </c>
      <c r="M3568" s="24">
        <f>+Tabla2[[#This Row],[Variación Stock]]*Tabla2[[#This Row],[Coste LÃ­nea]]</f>
        <v>0</v>
      </c>
      <c r="N3568" s="22" t="str">
        <f>+IF(Tabla2[[#This Row],[Variación Stock]]&gt;0,"Sobrante",IF(Tabla2[[#This Row],[Variación Stock]]&lt;0,"Faltante","Sin novedad"))</f>
        <v>Sin novedad</v>
      </c>
    </row>
    <row r="3569" spans="1:14" x14ac:dyDescent="0.25">
      <c r="A3569" s="11">
        <v>46044</v>
      </c>
      <c r="B3569" s="5" t="s">
        <v>378</v>
      </c>
      <c r="C3569" s="3" t="s">
        <v>339</v>
      </c>
      <c r="D3569" s="5" t="s">
        <v>121</v>
      </c>
      <c r="E3569" s="5" t="s">
        <v>112</v>
      </c>
      <c r="F3569" s="6" t="s">
        <v>333</v>
      </c>
      <c r="G3569" s="4" t="s">
        <v>0</v>
      </c>
      <c r="H3569" s="25">
        <v>3292.65804514</v>
      </c>
      <c r="I3569" s="8">
        <v>109</v>
      </c>
      <c r="J3569" s="9">
        <v>108</v>
      </c>
      <c r="K3569" s="7">
        <v>-1</v>
      </c>
      <c r="L3569" s="24">
        <f>+Tabla2[[#This Row],[Stock Inventario]]*Tabla2[[#This Row],[Coste LÃ­nea]]</f>
        <v>355607.06887512002</v>
      </c>
      <c r="M3569" s="24">
        <f>+Tabla2[[#This Row],[Variación Stock]]*Tabla2[[#This Row],[Coste LÃ­nea]]</f>
        <v>-3292.65804514</v>
      </c>
      <c r="N3569" s="22" t="str">
        <f>+IF(Tabla2[[#This Row],[Variación Stock]]&gt;0,"Sobrante",IF(Tabla2[[#This Row],[Variación Stock]]&lt;0,"Faltante","Sin novedad"))</f>
        <v>Faltante</v>
      </c>
    </row>
    <row r="3570" spans="1:14" hidden="1" x14ac:dyDescent="0.25">
      <c r="A3570" s="11">
        <v>46044</v>
      </c>
      <c r="B3570" s="5" t="s">
        <v>378</v>
      </c>
      <c r="C3570" s="3" t="s">
        <v>339</v>
      </c>
      <c r="D3570" s="5" t="s">
        <v>119</v>
      </c>
      <c r="E3570" s="5" t="s">
        <v>117</v>
      </c>
      <c r="F3570" s="6" t="s">
        <v>93</v>
      </c>
      <c r="G3570" s="4" t="s">
        <v>1</v>
      </c>
      <c r="H3570" s="25">
        <v>54.545000000000002</v>
      </c>
      <c r="I3570" s="8">
        <v>5734.6665999999996</v>
      </c>
      <c r="J3570" s="9">
        <v>6492</v>
      </c>
      <c r="K3570" s="7">
        <v>757.33336799999995</v>
      </c>
      <c r="L3570" s="24">
        <f>+Tabla2[[#This Row],[Stock Inventario]]*Tabla2[[#This Row],[Coste LÃ­nea]]</f>
        <v>354106.14</v>
      </c>
      <c r="M3570" s="24">
        <f>+Tabla2[[#This Row],[Variación Stock]]*Tabla2[[#This Row],[Coste LÃ­nea]]</f>
        <v>41308.74855756</v>
      </c>
      <c r="N3570" s="22" t="str">
        <f>+IF(Tabla2[[#This Row],[Variación Stock]]&gt;0,"Sobrante",IF(Tabla2[[#This Row],[Variación Stock]]&lt;0,"Faltante","Sin novedad"))</f>
        <v>Sobrante</v>
      </c>
    </row>
    <row r="3571" spans="1:14" x14ac:dyDescent="0.25">
      <c r="A3571" s="11">
        <v>46044</v>
      </c>
      <c r="B3571" s="5" t="s">
        <v>378</v>
      </c>
      <c r="C3571" s="3" t="s">
        <v>339</v>
      </c>
      <c r="D3571" s="5" t="s">
        <v>118</v>
      </c>
      <c r="E3571" s="5" t="s">
        <v>112</v>
      </c>
      <c r="F3571" s="6" t="s">
        <v>301</v>
      </c>
      <c r="G3571" s="4" t="s">
        <v>81</v>
      </c>
      <c r="H3571" s="25">
        <v>15151.2</v>
      </c>
      <c r="I3571" s="8">
        <v>23</v>
      </c>
      <c r="J3571" s="9">
        <v>23</v>
      </c>
      <c r="K3571" s="7">
        <v>0</v>
      </c>
      <c r="L3571" s="24">
        <f>+Tabla2[[#This Row],[Stock Inventario]]*Tabla2[[#This Row],[Coste LÃ­nea]]</f>
        <v>348477.60000000003</v>
      </c>
      <c r="M3571" s="24">
        <f>+Tabla2[[#This Row],[Variación Stock]]*Tabla2[[#This Row],[Coste LÃ­nea]]</f>
        <v>0</v>
      </c>
      <c r="N3571" s="22" t="str">
        <f>+IF(Tabla2[[#This Row],[Variación Stock]]&gt;0,"Sobrante",IF(Tabla2[[#This Row],[Variación Stock]]&lt;0,"Faltante","Sin novedad"))</f>
        <v>Sin novedad</v>
      </c>
    </row>
    <row r="3572" spans="1:14" x14ac:dyDescent="0.25">
      <c r="A3572" s="11">
        <v>46044</v>
      </c>
      <c r="B3572" s="5" t="s">
        <v>378</v>
      </c>
      <c r="C3572" s="3" t="s">
        <v>339</v>
      </c>
      <c r="D3572" s="5" t="s">
        <v>111</v>
      </c>
      <c r="E3572" s="5" t="s">
        <v>112</v>
      </c>
      <c r="F3572" s="6" t="s">
        <v>364</v>
      </c>
      <c r="G3572" s="4" t="s">
        <v>0</v>
      </c>
      <c r="H3572" s="25">
        <v>10178.90909091</v>
      </c>
      <c r="I3572" s="8">
        <v>33</v>
      </c>
      <c r="J3572" s="9">
        <v>34</v>
      </c>
      <c r="K3572" s="7">
        <v>1</v>
      </c>
      <c r="L3572" s="24">
        <f>+Tabla2[[#This Row],[Stock Inventario]]*Tabla2[[#This Row],[Coste LÃ­nea]]</f>
        <v>346082.90909093997</v>
      </c>
      <c r="M3572" s="24">
        <f>+Tabla2[[#This Row],[Variación Stock]]*Tabla2[[#This Row],[Coste LÃ­nea]]</f>
        <v>10178.90909091</v>
      </c>
      <c r="N3572" s="22" t="str">
        <f>+IF(Tabla2[[#This Row],[Variación Stock]]&gt;0,"Sobrante",IF(Tabla2[[#This Row],[Variación Stock]]&lt;0,"Faltante","Sin novedad"))</f>
        <v>Sobrante</v>
      </c>
    </row>
    <row r="3573" spans="1:14" x14ac:dyDescent="0.25">
      <c r="A3573" s="11">
        <v>46044</v>
      </c>
      <c r="B3573" s="5" t="s">
        <v>378</v>
      </c>
      <c r="C3573" s="3" t="s">
        <v>339</v>
      </c>
      <c r="D3573" s="5" t="s">
        <v>118</v>
      </c>
      <c r="E3573" s="5" t="s">
        <v>112</v>
      </c>
      <c r="F3573" s="6" t="s">
        <v>80</v>
      </c>
      <c r="G3573" s="4" t="s">
        <v>2</v>
      </c>
      <c r="H3573" s="25">
        <v>108834</v>
      </c>
      <c r="I3573" s="8">
        <v>3</v>
      </c>
      <c r="J3573" s="9">
        <v>3</v>
      </c>
      <c r="K3573" s="7">
        <v>0</v>
      </c>
      <c r="L3573" s="24">
        <f>+Tabla2[[#This Row],[Stock Inventario]]*Tabla2[[#This Row],[Coste LÃ­nea]]</f>
        <v>326502</v>
      </c>
      <c r="M3573" s="24">
        <f>+Tabla2[[#This Row],[Variación Stock]]*Tabla2[[#This Row],[Coste LÃ­nea]]</f>
        <v>0</v>
      </c>
      <c r="N3573" s="22" t="str">
        <f>+IF(Tabla2[[#This Row],[Variación Stock]]&gt;0,"Sobrante",IF(Tabla2[[#This Row],[Variación Stock]]&lt;0,"Faltante","Sin novedad"))</f>
        <v>Sin novedad</v>
      </c>
    </row>
    <row r="3574" spans="1:14" x14ac:dyDescent="0.25">
      <c r="A3574" s="11">
        <v>46037</v>
      </c>
      <c r="B3574" s="5" t="s">
        <v>338</v>
      </c>
      <c r="C3574" s="3" t="s">
        <v>339</v>
      </c>
      <c r="D3574" s="5" t="s">
        <v>118</v>
      </c>
      <c r="E3574" s="5" t="s">
        <v>112</v>
      </c>
      <c r="F3574" s="6" t="s">
        <v>90</v>
      </c>
      <c r="G3574" s="4" t="s">
        <v>81</v>
      </c>
      <c r="H3574" s="25">
        <v>4005.2</v>
      </c>
      <c r="I3574" s="8">
        <v>6</v>
      </c>
      <c r="J3574" s="9">
        <v>7</v>
      </c>
      <c r="K3574" s="7">
        <v>1</v>
      </c>
      <c r="L3574" s="24">
        <f>+Tabla2[[#This Row],[Stock Inventario]]*Tabla2[[#This Row],[Coste LÃ­nea]]</f>
        <v>28036.399999999998</v>
      </c>
      <c r="M3574" s="24">
        <f>+Tabla2[[#This Row],[Variación Stock]]*Tabla2[[#This Row],[Coste LÃ­nea]]</f>
        <v>4005.2</v>
      </c>
      <c r="N3574" s="22" t="str">
        <f>+IF(Tabla2[[#This Row],[Variación Stock]]&gt;0,"Sobrante",IF(Tabla2[[#This Row],[Variación Stock]]&lt;0,"Faltante","Sin novedad"))</f>
        <v>Sobrante</v>
      </c>
    </row>
    <row r="3575" spans="1:14" x14ac:dyDescent="0.25">
      <c r="A3575" s="11">
        <v>46044</v>
      </c>
      <c r="B3575" s="5" t="s">
        <v>378</v>
      </c>
      <c r="C3575" s="3" t="s">
        <v>339</v>
      </c>
      <c r="D3575" s="5" t="s">
        <v>111</v>
      </c>
      <c r="E3575" s="5" t="s">
        <v>112</v>
      </c>
      <c r="F3575" s="6" t="s">
        <v>379</v>
      </c>
      <c r="G3575" s="4" t="s">
        <v>0</v>
      </c>
      <c r="H3575" s="25">
        <v>14293.772727269999</v>
      </c>
      <c r="I3575" s="8">
        <v>22</v>
      </c>
      <c r="J3575" s="9">
        <v>22</v>
      </c>
      <c r="K3575" s="7">
        <v>0</v>
      </c>
      <c r="L3575" s="24">
        <f>+Tabla2[[#This Row],[Stock Inventario]]*Tabla2[[#This Row],[Coste LÃ­nea]]</f>
        <v>314462.99999993999</v>
      </c>
      <c r="M3575" s="24">
        <f>+Tabla2[[#This Row],[Variación Stock]]*Tabla2[[#This Row],[Coste LÃ­nea]]</f>
        <v>0</v>
      </c>
      <c r="N3575" s="22" t="str">
        <f>+IF(Tabla2[[#This Row],[Variación Stock]]&gt;0,"Sobrante",IF(Tabla2[[#This Row],[Variación Stock]]&lt;0,"Faltante","Sin novedad"))</f>
        <v>Sin novedad</v>
      </c>
    </row>
    <row r="3576" spans="1:14" hidden="1" x14ac:dyDescent="0.25">
      <c r="A3576" s="11">
        <v>46044</v>
      </c>
      <c r="B3576" s="5" t="s">
        <v>378</v>
      </c>
      <c r="C3576" s="3" t="s">
        <v>339</v>
      </c>
      <c r="D3576" s="5" t="s">
        <v>323</v>
      </c>
      <c r="E3576" s="5" t="s">
        <v>117</v>
      </c>
      <c r="F3576" s="6" t="s">
        <v>326</v>
      </c>
      <c r="G3576" s="4" t="s">
        <v>1</v>
      </c>
      <c r="H3576" s="25">
        <v>28.99074663</v>
      </c>
      <c r="I3576" s="8">
        <v>26257</v>
      </c>
      <c r="J3576" s="9">
        <v>10668</v>
      </c>
      <c r="K3576" s="7">
        <v>-15589</v>
      </c>
      <c r="L3576" s="24">
        <f>+Tabla2[[#This Row],[Stock Inventario]]*Tabla2[[#This Row],[Coste LÃ­nea]]</f>
        <v>309273.28504883999</v>
      </c>
      <c r="M3576" s="24">
        <f>+Tabla2[[#This Row],[Variación Stock]]*Tabla2[[#This Row],[Coste LÃ­nea]]</f>
        <v>-451936.74921506998</v>
      </c>
      <c r="N3576" s="22" t="str">
        <f>+IF(Tabla2[[#This Row],[Variación Stock]]&gt;0,"Sobrante",IF(Tabla2[[#This Row],[Variación Stock]]&lt;0,"Faltante","Sin novedad"))</f>
        <v>Faltante</v>
      </c>
    </row>
    <row r="3577" spans="1:14" x14ac:dyDescent="0.25">
      <c r="A3577" s="11">
        <v>46044</v>
      </c>
      <c r="B3577" s="5" t="s">
        <v>378</v>
      </c>
      <c r="C3577" s="3" t="s">
        <v>339</v>
      </c>
      <c r="D3577" s="5" t="s">
        <v>111</v>
      </c>
      <c r="E3577" s="5" t="s">
        <v>112</v>
      </c>
      <c r="F3577" s="6" t="s">
        <v>43</v>
      </c>
      <c r="G3577" s="4" t="s">
        <v>0</v>
      </c>
      <c r="H3577" s="25">
        <v>2545.0104166699998</v>
      </c>
      <c r="I3577" s="8">
        <v>126</v>
      </c>
      <c r="J3577" s="9">
        <v>121</v>
      </c>
      <c r="K3577" s="7">
        <v>-5</v>
      </c>
      <c r="L3577" s="24">
        <f>+Tabla2[[#This Row],[Stock Inventario]]*Tabla2[[#This Row],[Coste LÃ­nea]]</f>
        <v>307946.26041706995</v>
      </c>
      <c r="M3577" s="24">
        <f>+Tabla2[[#This Row],[Variación Stock]]*Tabla2[[#This Row],[Coste LÃ­nea]]</f>
        <v>-12725.05208335</v>
      </c>
      <c r="N3577" s="22" t="str">
        <f>+IF(Tabla2[[#This Row],[Variación Stock]]&gt;0,"Sobrante",IF(Tabla2[[#This Row],[Variación Stock]]&lt;0,"Faltante","Sin novedad"))</f>
        <v>Faltante</v>
      </c>
    </row>
    <row r="3578" spans="1:14" x14ac:dyDescent="0.25">
      <c r="A3578" s="11">
        <v>46044</v>
      </c>
      <c r="B3578" s="5" t="s">
        <v>378</v>
      </c>
      <c r="C3578" s="3" t="s">
        <v>339</v>
      </c>
      <c r="D3578" s="5" t="s">
        <v>111</v>
      </c>
      <c r="E3578" s="5" t="s">
        <v>112</v>
      </c>
      <c r="F3578" s="6" t="s">
        <v>20</v>
      </c>
      <c r="G3578" s="4" t="s">
        <v>0</v>
      </c>
      <c r="H3578" s="25">
        <v>6839.9166666700003</v>
      </c>
      <c r="I3578" s="8">
        <v>44.27</v>
      </c>
      <c r="J3578" s="9">
        <v>44</v>
      </c>
      <c r="K3578" s="7">
        <v>-0.27</v>
      </c>
      <c r="L3578" s="24">
        <f>+Tabla2[[#This Row],[Stock Inventario]]*Tabla2[[#This Row],[Coste LÃ­nea]]</f>
        <v>300956.33333348</v>
      </c>
      <c r="M3578" s="24">
        <f>+Tabla2[[#This Row],[Variación Stock]]*Tabla2[[#This Row],[Coste LÃ­nea]]</f>
        <v>-1846.7775000009001</v>
      </c>
      <c r="N3578" s="22" t="str">
        <f>+IF(Tabla2[[#This Row],[Variación Stock]]&gt;0,"Sobrante",IF(Tabla2[[#This Row],[Variación Stock]]&lt;0,"Faltante","Sin novedad"))</f>
        <v>Faltante</v>
      </c>
    </row>
    <row r="3579" spans="1:14" x14ac:dyDescent="0.25">
      <c r="A3579" s="11">
        <v>46044</v>
      </c>
      <c r="B3579" s="5" t="s">
        <v>378</v>
      </c>
      <c r="C3579" s="3" t="s">
        <v>339</v>
      </c>
      <c r="D3579" s="5" t="s">
        <v>114</v>
      </c>
      <c r="E3579" s="5" t="s">
        <v>112</v>
      </c>
      <c r="F3579" s="6" t="s">
        <v>3</v>
      </c>
      <c r="G3579" s="4" t="s">
        <v>2</v>
      </c>
      <c r="H3579" s="25">
        <v>1497.59166667</v>
      </c>
      <c r="I3579" s="8">
        <v>205</v>
      </c>
      <c r="J3579" s="9">
        <v>199</v>
      </c>
      <c r="K3579" s="7">
        <v>-6</v>
      </c>
      <c r="L3579" s="24">
        <f>+Tabla2[[#This Row],[Stock Inventario]]*Tabla2[[#This Row],[Coste LÃ­nea]]</f>
        <v>298020.74166732997</v>
      </c>
      <c r="M3579" s="24">
        <f>+Tabla2[[#This Row],[Variación Stock]]*Tabla2[[#This Row],[Coste LÃ­nea]]</f>
        <v>-8985.5500000200009</v>
      </c>
      <c r="N3579" s="22" t="str">
        <f>+IF(Tabla2[[#This Row],[Variación Stock]]&gt;0,"Sobrante",IF(Tabla2[[#This Row],[Variación Stock]]&lt;0,"Faltante","Sin novedad"))</f>
        <v>Faltante</v>
      </c>
    </row>
    <row r="3580" spans="1:14" x14ac:dyDescent="0.25">
      <c r="A3580" s="11">
        <v>46044</v>
      </c>
      <c r="B3580" s="5" t="s">
        <v>378</v>
      </c>
      <c r="C3580" s="3" t="s">
        <v>339</v>
      </c>
      <c r="D3580" s="5" t="s">
        <v>111</v>
      </c>
      <c r="E3580" s="5" t="s">
        <v>112</v>
      </c>
      <c r="F3580" s="6" t="s">
        <v>26</v>
      </c>
      <c r="G3580" s="4" t="s">
        <v>0</v>
      </c>
      <c r="H3580" s="25">
        <v>8389.75</v>
      </c>
      <c r="I3580" s="8">
        <v>33</v>
      </c>
      <c r="J3580" s="9">
        <v>35.46</v>
      </c>
      <c r="K3580" s="7">
        <v>2.46</v>
      </c>
      <c r="L3580" s="24">
        <f>+Tabla2[[#This Row],[Stock Inventario]]*Tabla2[[#This Row],[Coste LÃ­nea]]</f>
        <v>297500.53500000003</v>
      </c>
      <c r="M3580" s="24">
        <f>+Tabla2[[#This Row],[Variación Stock]]*Tabla2[[#This Row],[Coste LÃ­nea]]</f>
        <v>20638.785</v>
      </c>
      <c r="N3580" s="22" t="str">
        <f>+IF(Tabla2[[#This Row],[Variación Stock]]&gt;0,"Sobrante",IF(Tabla2[[#This Row],[Variación Stock]]&lt;0,"Faltante","Sin novedad"))</f>
        <v>Sobrante</v>
      </c>
    </row>
    <row r="3581" spans="1:14" x14ac:dyDescent="0.25">
      <c r="A3581" s="11">
        <v>46044</v>
      </c>
      <c r="B3581" s="5" t="s">
        <v>378</v>
      </c>
      <c r="C3581" s="3" t="s">
        <v>339</v>
      </c>
      <c r="D3581" s="5" t="s">
        <v>118</v>
      </c>
      <c r="E3581" s="5" t="s">
        <v>112</v>
      </c>
      <c r="F3581" s="6" t="s">
        <v>310</v>
      </c>
      <c r="G3581" s="4" t="s">
        <v>2</v>
      </c>
      <c r="H3581" s="25">
        <v>73956.022408999997</v>
      </c>
      <c r="I3581" s="8">
        <v>4</v>
      </c>
      <c r="J3581" s="9">
        <v>4</v>
      </c>
      <c r="K3581" s="7">
        <v>0</v>
      </c>
      <c r="L3581" s="24">
        <f>+Tabla2[[#This Row],[Stock Inventario]]*Tabla2[[#This Row],[Coste LÃ­nea]]</f>
        <v>295824.08963599999</v>
      </c>
      <c r="M3581" s="24">
        <f>+Tabla2[[#This Row],[Variación Stock]]*Tabla2[[#This Row],[Coste LÃ­nea]]</f>
        <v>0</v>
      </c>
      <c r="N3581" s="22" t="str">
        <f>+IF(Tabla2[[#This Row],[Variación Stock]]&gt;0,"Sobrante",IF(Tabla2[[#This Row],[Variación Stock]]&lt;0,"Faltante","Sin novedad"))</f>
        <v>Sin novedad</v>
      </c>
    </row>
    <row r="3582" spans="1:14" x14ac:dyDescent="0.25">
      <c r="A3582" s="11">
        <v>46044</v>
      </c>
      <c r="B3582" s="5" t="s">
        <v>378</v>
      </c>
      <c r="C3582" s="3" t="s">
        <v>339</v>
      </c>
      <c r="D3582" s="5" t="s">
        <v>114</v>
      </c>
      <c r="E3582" s="5" t="s">
        <v>112</v>
      </c>
      <c r="F3582" s="6" t="s">
        <v>67</v>
      </c>
      <c r="G3582" s="4" t="s">
        <v>2</v>
      </c>
      <c r="H3582" s="25">
        <v>4986.0833333299997</v>
      </c>
      <c r="I3582" s="8">
        <v>63.52</v>
      </c>
      <c r="J3582" s="9">
        <v>58</v>
      </c>
      <c r="K3582" s="7">
        <v>-5.52</v>
      </c>
      <c r="L3582" s="24">
        <f>+Tabla2[[#This Row],[Stock Inventario]]*Tabla2[[#This Row],[Coste LÃ­nea]]</f>
        <v>289192.83333314001</v>
      </c>
      <c r="M3582" s="24">
        <f>+Tabla2[[#This Row],[Variación Stock]]*Tabla2[[#This Row],[Coste LÃ­nea]]</f>
        <v>-27523.179999981596</v>
      </c>
      <c r="N3582" s="22" t="str">
        <f>+IF(Tabla2[[#This Row],[Variación Stock]]&gt;0,"Sobrante",IF(Tabla2[[#This Row],[Variación Stock]]&lt;0,"Faltante","Sin novedad"))</f>
        <v>Faltante</v>
      </c>
    </row>
    <row r="3583" spans="1:14" hidden="1" x14ac:dyDescent="0.25">
      <c r="A3583" s="11">
        <v>46044</v>
      </c>
      <c r="B3583" s="5" t="s">
        <v>378</v>
      </c>
      <c r="C3583" s="3" t="s">
        <v>339</v>
      </c>
      <c r="D3583" s="5" t="s">
        <v>119</v>
      </c>
      <c r="E3583" s="5" t="s">
        <v>117</v>
      </c>
      <c r="F3583" s="6" t="s">
        <v>94</v>
      </c>
      <c r="G3583" s="4" t="s">
        <v>2</v>
      </c>
      <c r="H3583" s="25">
        <v>1300</v>
      </c>
      <c r="I3583" s="8">
        <v>174</v>
      </c>
      <c r="J3583" s="9">
        <v>222</v>
      </c>
      <c r="K3583" s="7">
        <v>48</v>
      </c>
      <c r="L3583" s="24">
        <f>+Tabla2[[#This Row],[Stock Inventario]]*Tabla2[[#This Row],[Coste LÃ­nea]]</f>
        <v>288600</v>
      </c>
      <c r="M3583" s="24">
        <f>+Tabla2[[#This Row],[Variación Stock]]*Tabla2[[#This Row],[Coste LÃ­nea]]</f>
        <v>62400</v>
      </c>
      <c r="N3583" s="22" t="str">
        <f>+IF(Tabla2[[#This Row],[Variación Stock]]&gt;0,"Sobrante",IF(Tabla2[[#This Row],[Variación Stock]]&lt;0,"Faltante","Sin novedad"))</f>
        <v>Sobrante</v>
      </c>
    </row>
    <row r="3584" spans="1:14" x14ac:dyDescent="0.25">
      <c r="A3584" s="11">
        <v>46044</v>
      </c>
      <c r="B3584" s="5" t="s">
        <v>378</v>
      </c>
      <c r="C3584" s="3" t="s">
        <v>339</v>
      </c>
      <c r="D3584" s="5" t="s">
        <v>118</v>
      </c>
      <c r="E3584" s="5" t="s">
        <v>112</v>
      </c>
      <c r="F3584" s="6" t="s">
        <v>295</v>
      </c>
      <c r="G3584" s="4" t="s">
        <v>2</v>
      </c>
      <c r="H3584" s="25">
        <v>71318</v>
      </c>
      <c r="I3584" s="8">
        <v>4</v>
      </c>
      <c r="J3584" s="9">
        <v>4</v>
      </c>
      <c r="K3584" s="7">
        <v>0</v>
      </c>
      <c r="L3584" s="24">
        <f>+Tabla2[[#This Row],[Stock Inventario]]*Tabla2[[#This Row],[Coste LÃ­nea]]</f>
        <v>285272</v>
      </c>
      <c r="M3584" s="24">
        <f>+Tabla2[[#This Row],[Variación Stock]]*Tabla2[[#This Row],[Coste LÃ­nea]]</f>
        <v>0</v>
      </c>
      <c r="N3584" s="22" t="str">
        <f>+IF(Tabla2[[#This Row],[Variación Stock]]&gt;0,"Sobrante",IF(Tabla2[[#This Row],[Variación Stock]]&lt;0,"Faltante","Sin novedad"))</f>
        <v>Sin novedad</v>
      </c>
    </row>
    <row r="3585" spans="1:14" hidden="1" x14ac:dyDescent="0.25">
      <c r="A3585" s="11">
        <v>46044</v>
      </c>
      <c r="B3585" s="5" t="s">
        <v>378</v>
      </c>
      <c r="C3585" s="3" t="s">
        <v>339</v>
      </c>
      <c r="D3585" s="5" t="s">
        <v>119</v>
      </c>
      <c r="E3585" s="5" t="s">
        <v>117</v>
      </c>
      <c r="F3585" s="6" t="s">
        <v>9</v>
      </c>
      <c r="G3585" s="4" t="s">
        <v>2</v>
      </c>
      <c r="H3585" s="25">
        <v>485.71428571000001</v>
      </c>
      <c r="I3585" s="8">
        <v>661</v>
      </c>
      <c r="J3585" s="9">
        <v>586</v>
      </c>
      <c r="K3585" s="7">
        <v>-75</v>
      </c>
      <c r="L3585" s="24">
        <f>+Tabla2[[#This Row],[Stock Inventario]]*Tabla2[[#This Row],[Coste LÃ­nea]]</f>
        <v>284628.57142605999</v>
      </c>
      <c r="M3585" s="24">
        <f>+Tabla2[[#This Row],[Variación Stock]]*Tabla2[[#This Row],[Coste LÃ­nea]]</f>
        <v>-36428.571428249998</v>
      </c>
      <c r="N3585" s="22" t="str">
        <f>+IF(Tabla2[[#This Row],[Variación Stock]]&gt;0,"Sobrante",IF(Tabla2[[#This Row],[Variación Stock]]&lt;0,"Faltante","Sin novedad"))</f>
        <v>Faltante</v>
      </c>
    </row>
    <row r="3586" spans="1:14" x14ac:dyDescent="0.25">
      <c r="A3586" s="11">
        <v>46044</v>
      </c>
      <c r="B3586" s="5" t="s">
        <v>378</v>
      </c>
      <c r="C3586" s="3" t="s">
        <v>339</v>
      </c>
      <c r="D3586" s="5" t="s">
        <v>111</v>
      </c>
      <c r="E3586" s="5" t="s">
        <v>112</v>
      </c>
      <c r="F3586" s="6" t="s">
        <v>40</v>
      </c>
      <c r="G3586" s="4" t="s">
        <v>0</v>
      </c>
      <c r="H3586" s="25">
        <v>2172.3017241399998</v>
      </c>
      <c r="I3586" s="8">
        <v>140</v>
      </c>
      <c r="J3586" s="9">
        <v>130.32</v>
      </c>
      <c r="K3586" s="7">
        <v>-9.68</v>
      </c>
      <c r="L3586" s="24">
        <f>+Tabla2[[#This Row],[Stock Inventario]]*Tabla2[[#This Row],[Coste LÃ­nea]]</f>
        <v>283094.36068992474</v>
      </c>
      <c r="M3586" s="24">
        <f>+Tabla2[[#This Row],[Variación Stock]]*Tabla2[[#This Row],[Coste LÃ­nea]]</f>
        <v>-21027.880689675196</v>
      </c>
      <c r="N3586" s="22" t="str">
        <f>+IF(Tabla2[[#This Row],[Variación Stock]]&gt;0,"Sobrante",IF(Tabla2[[#This Row],[Variación Stock]]&lt;0,"Faltante","Sin novedad"))</f>
        <v>Faltante</v>
      </c>
    </row>
    <row r="3587" spans="1:14" x14ac:dyDescent="0.25">
      <c r="A3587" s="11">
        <v>46044</v>
      </c>
      <c r="B3587" s="5" t="s">
        <v>378</v>
      </c>
      <c r="C3587" s="3" t="s">
        <v>339</v>
      </c>
      <c r="D3587" s="5" t="s">
        <v>115</v>
      </c>
      <c r="E3587" s="5" t="s">
        <v>112</v>
      </c>
      <c r="F3587" s="6" t="s">
        <v>74</v>
      </c>
      <c r="G3587" s="4" t="s">
        <v>2</v>
      </c>
      <c r="H3587" s="25">
        <v>3465.1666666699998</v>
      </c>
      <c r="I3587" s="8">
        <v>81</v>
      </c>
      <c r="J3587" s="9">
        <v>81</v>
      </c>
      <c r="K3587" s="7">
        <v>0</v>
      </c>
      <c r="L3587" s="24">
        <f>+Tabla2[[#This Row],[Stock Inventario]]*Tabla2[[#This Row],[Coste LÃ­nea]]</f>
        <v>280678.50000026997</v>
      </c>
      <c r="M3587" s="24">
        <f>+Tabla2[[#This Row],[Variación Stock]]*Tabla2[[#This Row],[Coste LÃ­nea]]</f>
        <v>0</v>
      </c>
      <c r="N3587" s="22" t="str">
        <f>+IF(Tabla2[[#This Row],[Variación Stock]]&gt;0,"Sobrante",IF(Tabla2[[#This Row],[Variación Stock]]&lt;0,"Faltante","Sin novedad"))</f>
        <v>Sin novedad</v>
      </c>
    </row>
    <row r="3588" spans="1:14" hidden="1" x14ac:dyDescent="0.25">
      <c r="A3588" s="11">
        <v>46044</v>
      </c>
      <c r="B3588" s="5" t="s">
        <v>378</v>
      </c>
      <c r="C3588" s="3" t="s">
        <v>339</v>
      </c>
      <c r="D3588" s="5" t="s">
        <v>116</v>
      </c>
      <c r="E3588" s="5" t="s">
        <v>117</v>
      </c>
      <c r="F3588" s="6" t="s">
        <v>6</v>
      </c>
      <c r="G3588" s="4" t="s">
        <v>2</v>
      </c>
      <c r="H3588" s="25">
        <v>8800</v>
      </c>
      <c r="I3588" s="8">
        <v>31</v>
      </c>
      <c r="J3588" s="9">
        <v>31</v>
      </c>
      <c r="K3588" s="7">
        <v>0</v>
      </c>
      <c r="L3588" s="24">
        <f>+Tabla2[[#This Row],[Stock Inventario]]*Tabla2[[#This Row],[Coste LÃ­nea]]</f>
        <v>272800</v>
      </c>
      <c r="M3588" s="24">
        <f>+Tabla2[[#This Row],[Variación Stock]]*Tabla2[[#This Row],[Coste LÃ­nea]]</f>
        <v>0</v>
      </c>
      <c r="N3588" s="22" t="str">
        <f>+IF(Tabla2[[#This Row],[Variación Stock]]&gt;0,"Sobrante",IF(Tabla2[[#This Row],[Variación Stock]]&lt;0,"Faltante","Sin novedad"))</f>
        <v>Sin novedad</v>
      </c>
    </row>
    <row r="3589" spans="1:14" x14ac:dyDescent="0.25">
      <c r="A3589" s="11">
        <v>46044</v>
      </c>
      <c r="B3589" s="5" t="s">
        <v>378</v>
      </c>
      <c r="C3589" s="3" t="s">
        <v>339</v>
      </c>
      <c r="D3589" s="5" t="s">
        <v>115</v>
      </c>
      <c r="E3589" s="5" t="s">
        <v>112</v>
      </c>
      <c r="F3589" s="6" t="s">
        <v>291</v>
      </c>
      <c r="G3589" s="4" t="s">
        <v>2</v>
      </c>
      <c r="H3589" s="25">
        <v>4102.8333333299997</v>
      </c>
      <c r="I3589" s="8">
        <v>66</v>
      </c>
      <c r="J3589" s="9">
        <v>66</v>
      </c>
      <c r="K3589" s="7">
        <v>0</v>
      </c>
      <c r="L3589" s="24">
        <f>+Tabla2[[#This Row],[Stock Inventario]]*Tabla2[[#This Row],[Coste LÃ­nea]]</f>
        <v>270786.99999977998</v>
      </c>
      <c r="M3589" s="24">
        <f>+Tabla2[[#This Row],[Variación Stock]]*Tabla2[[#This Row],[Coste LÃ­nea]]</f>
        <v>0</v>
      </c>
      <c r="N3589" s="22" t="str">
        <f>+IF(Tabla2[[#This Row],[Variación Stock]]&gt;0,"Sobrante",IF(Tabla2[[#This Row],[Variación Stock]]&lt;0,"Faltante","Sin novedad"))</f>
        <v>Sin novedad</v>
      </c>
    </row>
    <row r="3590" spans="1:14" x14ac:dyDescent="0.25">
      <c r="A3590" s="11">
        <v>46044</v>
      </c>
      <c r="B3590" s="5" t="s">
        <v>378</v>
      </c>
      <c r="C3590" s="3" t="s">
        <v>339</v>
      </c>
      <c r="D3590" s="5" t="s">
        <v>111</v>
      </c>
      <c r="E3590" s="5" t="s">
        <v>112</v>
      </c>
      <c r="F3590" s="6" t="s">
        <v>288</v>
      </c>
      <c r="G3590" s="4" t="s">
        <v>0</v>
      </c>
      <c r="H3590" s="25">
        <v>4721.625</v>
      </c>
      <c r="I3590" s="8">
        <v>14</v>
      </c>
      <c r="J3590" s="9">
        <v>55.17</v>
      </c>
      <c r="K3590" s="7">
        <v>17.170000000000002</v>
      </c>
      <c r="L3590" s="24">
        <f>+Tabla2[[#This Row],[Stock Inventario]]*Tabla2[[#This Row],[Coste LÃ­nea]]</f>
        <v>260492.05125000002</v>
      </c>
      <c r="M3590" s="24">
        <f>+Tabla2[[#This Row],[Variación Stock]]*Tabla2[[#This Row],[Coste LÃ­nea]]</f>
        <v>81070.301250000004</v>
      </c>
      <c r="N3590" s="22" t="str">
        <f>+IF(Tabla2[[#This Row],[Variación Stock]]&gt;0,"Sobrante",IF(Tabla2[[#This Row],[Variación Stock]]&lt;0,"Faltante","Sin novedad"))</f>
        <v>Sobrante</v>
      </c>
    </row>
    <row r="3591" spans="1:14" x14ac:dyDescent="0.25">
      <c r="A3591" s="11">
        <v>46044</v>
      </c>
      <c r="B3591" s="5" t="s">
        <v>378</v>
      </c>
      <c r="C3591" s="3" t="s">
        <v>339</v>
      </c>
      <c r="D3591" s="5" t="s">
        <v>111</v>
      </c>
      <c r="E3591" s="5" t="s">
        <v>112</v>
      </c>
      <c r="F3591" s="6" t="s">
        <v>52</v>
      </c>
      <c r="G3591" s="4" t="s">
        <v>0</v>
      </c>
      <c r="H3591" s="25">
        <v>6800.3640183199996</v>
      </c>
      <c r="I3591" s="8">
        <v>37.68</v>
      </c>
      <c r="J3591" s="9">
        <v>37.549999999999997</v>
      </c>
      <c r="K3591" s="7">
        <v>-0.13</v>
      </c>
      <c r="L3591" s="24">
        <f>+Tabla2[[#This Row],[Stock Inventario]]*Tabla2[[#This Row],[Coste LÃ­nea]]</f>
        <v>255353.66888791596</v>
      </c>
      <c r="M3591" s="24">
        <f>+Tabla2[[#This Row],[Variación Stock]]*Tabla2[[#This Row],[Coste LÃ­nea]]</f>
        <v>-884.0473223816</v>
      </c>
      <c r="N3591" s="22" t="str">
        <f>+IF(Tabla2[[#This Row],[Variación Stock]]&gt;0,"Sobrante",IF(Tabla2[[#This Row],[Variación Stock]]&lt;0,"Faltante","Sin novedad"))</f>
        <v>Faltante</v>
      </c>
    </row>
    <row r="3592" spans="1:14" x14ac:dyDescent="0.25">
      <c r="A3592" s="11">
        <v>46044</v>
      </c>
      <c r="B3592" s="5" t="s">
        <v>378</v>
      </c>
      <c r="C3592" s="3" t="s">
        <v>339</v>
      </c>
      <c r="D3592" s="5" t="s">
        <v>118</v>
      </c>
      <c r="E3592" s="5" t="s">
        <v>112</v>
      </c>
      <c r="F3592" s="6" t="s">
        <v>306</v>
      </c>
      <c r="G3592" s="4" t="s">
        <v>81</v>
      </c>
      <c r="H3592" s="25">
        <v>10715.3</v>
      </c>
      <c r="I3592" s="8">
        <v>23</v>
      </c>
      <c r="J3592" s="9">
        <v>23</v>
      </c>
      <c r="K3592" s="7">
        <v>0</v>
      </c>
      <c r="L3592" s="24">
        <f>+Tabla2[[#This Row],[Stock Inventario]]*Tabla2[[#This Row],[Coste LÃ­nea]]</f>
        <v>246451.9</v>
      </c>
      <c r="M3592" s="24">
        <f>+Tabla2[[#This Row],[Variación Stock]]*Tabla2[[#This Row],[Coste LÃ­nea]]</f>
        <v>0</v>
      </c>
      <c r="N3592" s="22" t="str">
        <f>+IF(Tabla2[[#This Row],[Variación Stock]]&gt;0,"Sobrante",IF(Tabla2[[#This Row],[Variación Stock]]&lt;0,"Faltante","Sin novedad"))</f>
        <v>Sin novedad</v>
      </c>
    </row>
    <row r="3593" spans="1:14" x14ac:dyDescent="0.25">
      <c r="A3593" s="11">
        <v>46044</v>
      </c>
      <c r="B3593" s="5" t="s">
        <v>378</v>
      </c>
      <c r="C3593" s="3" t="s">
        <v>339</v>
      </c>
      <c r="D3593" s="5" t="s">
        <v>111</v>
      </c>
      <c r="E3593" s="5" t="s">
        <v>112</v>
      </c>
      <c r="F3593" s="6" t="s">
        <v>32</v>
      </c>
      <c r="G3593" s="4" t="s">
        <v>0</v>
      </c>
      <c r="H3593" s="25">
        <v>8628.9583333299997</v>
      </c>
      <c r="I3593" s="8">
        <v>0</v>
      </c>
      <c r="J3593" s="9">
        <v>28</v>
      </c>
      <c r="K3593" s="7">
        <v>28</v>
      </c>
      <c r="L3593" s="24">
        <f>+Tabla2[[#This Row],[Stock Inventario]]*Tabla2[[#This Row],[Coste LÃ­nea]]</f>
        <v>241610.83333324001</v>
      </c>
      <c r="M3593" s="24">
        <f>+Tabla2[[#This Row],[Variación Stock]]*Tabla2[[#This Row],[Coste LÃ­nea]]</f>
        <v>241610.83333324001</v>
      </c>
      <c r="N3593" s="22" t="str">
        <f>+IF(Tabla2[[#This Row],[Variación Stock]]&gt;0,"Sobrante",IF(Tabla2[[#This Row],[Variación Stock]]&lt;0,"Faltante","Sin novedad"))</f>
        <v>Sobrante</v>
      </c>
    </row>
    <row r="3594" spans="1:14" x14ac:dyDescent="0.25">
      <c r="A3594" s="11">
        <v>46044</v>
      </c>
      <c r="B3594" s="5" t="s">
        <v>378</v>
      </c>
      <c r="C3594" s="3" t="s">
        <v>339</v>
      </c>
      <c r="D3594" s="5" t="s">
        <v>111</v>
      </c>
      <c r="E3594" s="5" t="s">
        <v>112</v>
      </c>
      <c r="F3594" s="6" t="s">
        <v>51</v>
      </c>
      <c r="G3594" s="4" t="s">
        <v>0</v>
      </c>
      <c r="H3594" s="25">
        <v>9648.9583333299997</v>
      </c>
      <c r="I3594" s="8">
        <v>23.7</v>
      </c>
      <c r="J3594" s="9">
        <v>25</v>
      </c>
      <c r="K3594" s="7">
        <v>1.3</v>
      </c>
      <c r="L3594" s="24">
        <f>+Tabla2[[#This Row],[Stock Inventario]]*Tabla2[[#This Row],[Coste LÃ­nea]]</f>
        <v>241223.95833324999</v>
      </c>
      <c r="M3594" s="24">
        <f>+Tabla2[[#This Row],[Variación Stock]]*Tabla2[[#This Row],[Coste LÃ­nea]]</f>
        <v>12543.645833328999</v>
      </c>
      <c r="N3594" s="22" t="str">
        <f>+IF(Tabla2[[#This Row],[Variación Stock]]&gt;0,"Sobrante",IF(Tabla2[[#This Row],[Variación Stock]]&lt;0,"Faltante","Sin novedad"))</f>
        <v>Sobrante</v>
      </c>
    </row>
    <row r="3595" spans="1:14" x14ac:dyDescent="0.25">
      <c r="A3595" s="11">
        <v>46044</v>
      </c>
      <c r="B3595" s="5" t="s">
        <v>378</v>
      </c>
      <c r="C3595" s="3" t="s">
        <v>339</v>
      </c>
      <c r="D3595" s="5" t="s">
        <v>111</v>
      </c>
      <c r="E3595" s="5" t="s">
        <v>112</v>
      </c>
      <c r="F3595" s="6" t="s">
        <v>380</v>
      </c>
      <c r="G3595" s="4" t="s">
        <v>0</v>
      </c>
      <c r="H3595" s="25">
        <v>10667.40909091</v>
      </c>
      <c r="I3595" s="8">
        <v>22</v>
      </c>
      <c r="J3595" s="9">
        <v>22</v>
      </c>
      <c r="K3595" s="7">
        <v>0</v>
      </c>
      <c r="L3595" s="24">
        <f>+Tabla2[[#This Row],[Stock Inventario]]*Tabla2[[#This Row],[Coste LÃ­nea]]</f>
        <v>234683.00000001999</v>
      </c>
      <c r="M3595" s="24">
        <f>+Tabla2[[#This Row],[Variación Stock]]*Tabla2[[#This Row],[Coste LÃ­nea]]</f>
        <v>0</v>
      </c>
      <c r="N3595" s="22" t="str">
        <f>+IF(Tabla2[[#This Row],[Variación Stock]]&gt;0,"Sobrante",IF(Tabla2[[#This Row],[Variación Stock]]&lt;0,"Faltante","Sin novedad"))</f>
        <v>Sin novedad</v>
      </c>
    </row>
    <row r="3596" spans="1:14" x14ac:dyDescent="0.25">
      <c r="A3596" s="11">
        <v>46044</v>
      </c>
      <c r="B3596" s="5" t="s">
        <v>378</v>
      </c>
      <c r="C3596" s="3" t="s">
        <v>339</v>
      </c>
      <c r="D3596" s="5" t="s">
        <v>111</v>
      </c>
      <c r="E3596" s="5" t="s">
        <v>112</v>
      </c>
      <c r="F3596" s="6" t="s">
        <v>38</v>
      </c>
      <c r="G3596" s="4" t="s">
        <v>0</v>
      </c>
      <c r="H3596" s="25">
        <v>2972.2291666699998</v>
      </c>
      <c r="I3596" s="8">
        <v>66</v>
      </c>
      <c r="J3596" s="9">
        <v>77</v>
      </c>
      <c r="K3596" s="7">
        <v>11</v>
      </c>
      <c r="L3596" s="24">
        <f>+Tabla2[[#This Row],[Stock Inventario]]*Tabla2[[#This Row],[Coste LÃ­nea]]</f>
        <v>228861.64583358998</v>
      </c>
      <c r="M3596" s="24">
        <f>+Tabla2[[#This Row],[Variación Stock]]*Tabla2[[#This Row],[Coste LÃ­nea]]</f>
        <v>32694.520833369999</v>
      </c>
      <c r="N3596" s="22" t="str">
        <f>+IF(Tabla2[[#This Row],[Variación Stock]]&gt;0,"Sobrante",IF(Tabla2[[#This Row],[Variación Stock]]&lt;0,"Faltante","Sin novedad"))</f>
        <v>Sobrante</v>
      </c>
    </row>
    <row r="3597" spans="1:14" x14ac:dyDescent="0.25">
      <c r="A3597" s="11">
        <v>46044</v>
      </c>
      <c r="B3597" s="5" t="s">
        <v>378</v>
      </c>
      <c r="C3597" s="3" t="s">
        <v>339</v>
      </c>
      <c r="D3597" s="5" t="s">
        <v>118</v>
      </c>
      <c r="E3597" s="5" t="s">
        <v>112</v>
      </c>
      <c r="F3597" s="6" t="s">
        <v>309</v>
      </c>
      <c r="G3597" s="4" t="s">
        <v>2</v>
      </c>
      <c r="H3597" s="25">
        <v>74130.252101000005</v>
      </c>
      <c r="I3597" s="8">
        <v>3</v>
      </c>
      <c r="J3597" s="9">
        <v>3</v>
      </c>
      <c r="K3597" s="7">
        <v>0</v>
      </c>
      <c r="L3597" s="24">
        <f>+Tabla2[[#This Row],[Stock Inventario]]*Tabla2[[#This Row],[Coste LÃ­nea]]</f>
        <v>222390.75630300003</v>
      </c>
      <c r="M3597" s="24">
        <f>+Tabla2[[#This Row],[Variación Stock]]*Tabla2[[#This Row],[Coste LÃ­nea]]</f>
        <v>0</v>
      </c>
      <c r="N3597" s="22" t="str">
        <f>+IF(Tabla2[[#This Row],[Variación Stock]]&gt;0,"Sobrante",IF(Tabla2[[#This Row],[Variación Stock]]&lt;0,"Faltante","Sin novedad"))</f>
        <v>Sin novedad</v>
      </c>
    </row>
    <row r="3598" spans="1:14" x14ac:dyDescent="0.25">
      <c r="A3598" s="11">
        <v>46044</v>
      </c>
      <c r="B3598" s="5" t="s">
        <v>378</v>
      </c>
      <c r="C3598" s="3" t="s">
        <v>339</v>
      </c>
      <c r="D3598" s="5" t="s">
        <v>111</v>
      </c>
      <c r="E3598" s="5" t="s">
        <v>112</v>
      </c>
      <c r="F3598" s="6" t="s">
        <v>57</v>
      </c>
      <c r="G3598" s="4" t="s">
        <v>0</v>
      </c>
      <c r="H3598" s="25">
        <v>1993.59090909</v>
      </c>
      <c r="I3598" s="8">
        <v>80.34</v>
      </c>
      <c r="J3598" s="9">
        <v>110</v>
      </c>
      <c r="K3598" s="7">
        <v>29.66</v>
      </c>
      <c r="L3598" s="24">
        <f>+Tabla2[[#This Row],[Stock Inventario]]*Tabla2[[#This Row],[Coste LÃ­nea]]</f>
        <v>219294.9999999</v>
      </c>
      <c r="M3598" s="24">
        <f>+Tabla2[[#This Row],[Variación Stock]]*Tabla2[[#This Row],[Coste LÃ­nea]]</f>
        <v>59129.9063636094</v>
      </c>
      <c r="N3598" s="22" t="str">
        <f>+IF(Tabla2[[#This Row],[Variación Stock]]&gt;0,"Sobrante",IF(Tabla2[[#This Row],[Variación Stock]]&lt;0,"Faltante","Sin novedad"))</f>
        <v>Sobrante</v>
      </c>
    </row>
    <row r="3599" spans="1:14" x14ac:dyDescent="0.25">
      <c r="A3599" s="11">
        <v>46044</v>
      </c>
      <c r="B3599" s="5" t="s">
        <v>378</v>
      </c>
      <c r="C3599" s="3" t="s">
        <v>339</v>
      </c>
      <c r="D3599" s="5" t="s">
        <v>118</v>
      </c>
      <c r="E3599" s="5" t="s">
        <v>112</v>
      </c>
      <c r="F3599" s="6" t="s">
        <v>299</v>
      </c>
      <c r="G3599" s="4" t="s">
        <v>2</v>
      </c>
      <c r="H3599" s="25">
        <v>72880</v>
      </c>
      <c r="I3599" s="8">
        <v>3</v>
      </c>
      <c r="J3599" s="9">
        <v>3</v>
      </c>
      <c r="K3599" s="7">
        <v>0</v>
      </c>
      <c r="L3599" s="24">
        <f>+Tabla2[[#This Row],[Stock Inventario]]*Tabla2[[#This Row],[Coste LÃ­nea]]</f>
        <v>218640</v>
      </c>
      <c r="M3599" s="24">
        <f>+Tabla2[[#This Row],[Variación Stock]]*Tabla2[[#This Row],[Coste LÃ­nea]]</f>
        <v>0</v>
      </c>
      <c r="N3599" s="22" t="str">
        <f>+IF(Tabla2[[#This Row],[Variación Stock]]&gt;0,"Sobrante",IF(Tabla2[[#This Row],[Variación Stock]]&lt;0,"Faltante","Sin novedad"))</f>
        <v>Sin novedad</v>
      </c>
    </row>
    <row r="3600" spans="1:14" x14ac:dyDescent="0.25">
      <c r="A3600" s="11">
        <v>46044</v>
      </c>
      <c r="B3600" s="5" t="s">
        <v>378</v>
      </c>
      <c r="C3600" s="3" t="s">
        <v>339</v>
      </c>
      <c r="D3600" s="5" t="s">
        <v>118</v>
      </c>
      <c r="E3600" s="5" t="s">
        <v>112</v>
      </c>
      <c r="F3600" s="6" t="s">
        <v>92</v>
      </c>
      <c r="G3600" s="4" t="s">
        <v>81</v>
      </c>
      <c r="H3600" s="25">
        <v>10705.05</v>
      </c>
      <c r="I3600" s="8">
        <v>20</v>
      </c>
      <c r="J3600" s="9">
        <v>20</v>
      </c>
      <c r="K3600" s="7">
        <v>0</v>
      </c>
      <c r="L3600" s="24">
        <f>+Tabla2[[#This Row],[Stock Inventario]]*Tabla2[[#This Row],[Coste LÃ­nea]]</f>
        <v>214101</v>
      </c>
      <c r="M3600" s="24">
        <f>+Tabla2[[#This Row],[Variación Stock]]*Tabla2[[#This Row],[Coste LÃ­nea]]</f>
        <v>0</v>
      </c>
      <c r="N3600" s="22" t="str">
        <f>+IF(Tabla2[[#This Row],[Variación Stock]]&gt;0,"Sobrante",IF(Tabla2[[#This Row],[Variación Stock]]&lt;0,"Faltante","Sin novedad"))</f>
        <v>Sin novedad</v>
      </c>
    </row>
    <row r="3601" spans="1:14" x14ac:dyDescent="0.25">
      <c r="A3601" s="11">
        <v>46044</v>
      </c>
      <c r="B3601" s="5" t="s">
        <v>378</v>
      </c>
      <c r="C3601" s="3" t="s">
        <v>339</v>
      </c>
      <c r="D3601" s="5" t="s">
        <v>118</v>
      </c>
      <c r="E3601" s="5" t="s">
        <v>112</v>
      </c>
      <c r="F3601" s="6" t="s">
        <v>91</v>
      </c>
      <c r="G3601" s="4" t="s">
        <v>2</v>
      </c>
      <c r="H3601" s="25">
        <v>70600.5</v>
      </c>
      <c r="I3601" s="8">
        <v>3</v>
      </c>
      <c r="J3601" s="9">
        <v>3</v>
      </c>
      <c r="K3601" s="7">
        <v>0</v>
      </c>
      <c r="L3601" s="24">
        <f>+Tabla2[[#This Row],[Stock Inventario]]*Tabla2[[#This Row],[Coste LÃ­nea]]</f>
        <v>211801.5</v>
      </c>
      <c r="M3601" s="24">
        <f>+Tabla2[[#This Row],[Variación Stock]]*Tabla2[[#This Row],[Coste LÃ­nea]]</f>
        <v>0</v>
      </c>
      <c r="N3601" s="22" t="str">
        <f>+IF(Tabla2[[#This Row],[Variación Stock]]&gt;0,"Sobrante",IF(Tabla2[[#This Row],[Variación Stock]]&lt;0,"Faltante","Sin novedad"))</f>
        <v>Sin novedad</v>
      </c>
    </row>
    <row r="3602" spans="1:14" x14ac:dyDescent="0.25">
      <c r="A3602" s="11">
        <v>46044</v>
      </c>
      <c r="B3602" s="5" t="s">
        <v>378</v>
      </c>
      <c r="C3602" s="3" t="s">
        <v>339</v>
      </c>
      <c r="D3602" s="5" t="s">
        <v>111</v>
      </c>
      <c r="E3602" s="5" t="s">
        <v>112</v>
      </c>
      <c r="F3602" s="6" t="s">
        <v>36</v>
      </c>
      <c r="G3602" s="4" t="s">
        <v>0</v>
      </c>
      <c r="H3602" s="25">
        <v>4075.1666666699998</v>
      </c>
      <c r="I3602" s="8">
        <v>52</v>
      </c>
      <c r="J3602" s="9">
        <v>51</v>
      </c>
      <c r="K3602" s="7">
        <v>-1</v>
      </c>
      <c r="L3602" s="24">
        <f>+Tabla2[[#This Row],[Stock Inventario]]*Tabla2[[#This Row],[Coste LÃ­nea]]</f>
        <v>207833.50000017</v>
      </c>
      <c r="M3602" s="24">
        <f>+Tabla2[[#This Row],[Variación Stock]]*Tabla2[[#This Row],[Coste LÃ­nea]]</f>
        <v>-4075.1666666699998</v>
      </c>
      <c r="N3602" s="22" t="str">
        <f>+IF(Tabla2[[#This Row],[Variación Stock]]&gt;0,"Sobrante",IF(Tabla2[[#This Row],[Variación Stock]]&lt;0,"Faltante","Sin novedad"))</f>
        <v>Faltante</v>
      </c>
    </row>
    <row r="3603" spans="1:14" x14ac:dyDescent="0.25">
      <c r="A3603" s="11">
        <v>46044</v>
      </c>
      <c r="B3603" s="5" t="s">
        <v>378</v>
      </c>
      <c r="C3603" s="3" t="s">
        <v>339</v>
      </c>
      <c r="D3603" s="5" t="s">
        <v>115</v>
      </c>
      <c r="E3603" s="5" t="s">
        <v>112</v>
      </c>
      <c r="F3603" s="6" t="s">
        <v>73</v>
      </c>
      <c r="G3603" s="4" t="s">
        <v>2</v>
      </c>
      <c r="H3603" s="25">
        <v>3121.3333333300002</v>
      </c>
      <c r="I3603" s="8">
        <v>67</v>
      </c>
      <c r="J3603" s="9">
        <v>65</v>
      </c>
      <c r="K3603" s="7">
        <v>-2</v>
      </c>
      <c r="L3603" s="24">
        <f>+Tabla2[[#This Row],[Stock Inventario]]*Tabla2[[#This Row],[Coste LÃ­nea]]</f>
        <v>202886.66666645001</v>
      </c>
      <c r="M3603" s="24">
        <f>+Tabla2[[#This Row],[Variación Stock]]*Tabla2[[#This Row],[Coste LÃ­nea]]</f>
        <v>-6242.6666666600004</v>
      </c>
      <c r="N3603" s="22" t="str">
        <f>+IF(Tabla2[[#This Row],[Variación Stock]]&gt;0,"Sobrante",IF(Tabla2[[#This Row],[Variación Stock]]&lt;0,"Faltante","Sin novedad"))</f>
        <v>Faltante</v>
      </c>
    </row>
    <row r="3604" spans="1:14" x14ac:dyDescent="0.25">
      <c r="A3604" s="11">
        <v>46044</v>
      </c>
      <c r="B3604" s="5" t="s">
        <v>378</v>
      </c>
      <c r="C3604" s="3" t="s">
        <v>339</v>
      </c>
      <c r="D3604" s="5" t="s">
        <v>111</v>
      </c>
      <c r="E3604" s="5" t="s">
        <v>112</v>
      </c>
      <c r="F3604" s="6" t="s">
        <v>39</v>
      </c>
      <c r="G3604" s="4" t="s">
        <v>0</v>
      </c>
      <c r="H3604" s="25">
        <v>9924</v>
      </c>
      <c r="I3604" s="8">
        <v>19</v>
      </c>
      <c r="J3604" s="9">
        <v>19.84</v>
      </c>
      <c r="K3604" s="7">
        <v>0.84</v>
      </c>
      <c r="L3604" s="24">
        <f>+Tabla2[[#This Row],[Stock Inventario]]*Tabla2[[#This Row],[Coste LÃ­nea]]</f>
        <v>196892.16</v>
      </c>
      <c r="M3604" s="24">
        <f>+Tabla2[[#This Row],[Variación Stock]]*Tabla2[[#This Row],[Coste LÃ­nea]]</f>
        <v>8336.16</v>
      </c>
      <c r="N3604" s="22" t="str">
        <f>+IF(Tabla2[[#This Row],[Variación Stock]]&gt;0,"Sobrante",IF(Tabla2[[#This Row],[Variación Stock]]&lt;0,"Faltante","Sin novedad"))</f>
        <v>Sobrante</v>
      </c>
    </row>
    <row r="3605" spans="1:14" x14ac:dyDescent="0.25">
      <c r="A3605" s="11">
        <v>46044</v>
      </c>
      <c r="B3605" s="5" t="s">
        <v>378</v>
      </c>
      <c r="C3605" s="3" t="s">
        <v>339</v>
      </c>
      <c r="D3605" s="5" t="s">
        <v>111</v>
      </c>
      <c r="E3605" s="5" t="s">
        <v>112</v>
      </c>
      <c r="F3605" s="6" t="s">
        <v>31</v>
      </c>
      <c r="G3605" s="4" t="s">
        <v>0</v>
      </c>
      <c r="H3605" s="25">
        <v>6774.5454545499997</v>
      </c>
      <c r="I3605" s="8">
        <v>28.34</v>
      </c>
      <c r="J3605" s="9">
        <v>28.64</v>
      </c>
      <c r="K3605" s="7">
        <v>0.3</v>
      </c>
      <c r="L3605" s="24">
        <f>+Tabla2[[#This Row],[Stock Inventario]]*Tabla2[[#This Row],[Coste LÃ­nea]]</f>
        <v>194022.98181831199</v>
      </c>
      <c r="M3605" s="24">
        <f>+Tabla2[[#This Row],[Variación Stock]]*Tabla2[[#This Row],[Coste LÃ­nea]]</f>
        <v>2032.3636363649998</v>
      </c>
      <c r="N3605" s="22" t="str">
        <f>+IF(Tabla2[[#This Row],[Variación Stock]]&gt;0,"Sobrante",IF(Tabla2[[#This Row],[Variación Stock]]&lt;0,"Faltante","Sin novedad"))</f>
        <v>Sobrante</v>
      </c>
    </row>
    <row r="3606" spans="1:14" hidden="1" x14ac:dyDescent="0.25">
      <c r="A3606" s="11">
        <v>46037</v>
      </c>
      <c r="B3606" s="5" t="s">
        <v>338</v>
      </c>
      <c r="C3606" s="3" t="s">
        <v>339</v>
      </c>
      <c r="D3606" s="5" t="s">
        <v>323</v>
      </c>
      <c r="E3606" s="5" t="s">
        <v>117</v>
      </c>
      <c r="F3606" s="6" t="s">
        <v>327</v>
      </c>
      <c r="G3606" s="4" t="s">
        <v>1</v>
      </c>
      <c r="H3606" s="25">
        <v>45.287459560000002</v>
      </c>
      <c r="I3606" s="8">
        <v>-535.6</v>
      </c>
      <c r="J3606" s="9">
        <v>4000</v>
      </c>
      <c r="K3606" s="7">
        <v>4535.6000000000004</v>
      </c>
      <c r="L3606" s="24">
        <f>+Tabla2[[#This Row],[Stock Inventario]]*Tabla2[[#This Row],[Coste LÃ­nea]]</f>
        <v>181149.83824000001</v>
      </c>
      <c r="M3606" s="24">
        <f>+Tabla2[[#This Row],[Variación Stock]]*Tabla2[[#This Row],[Coste LÃ­nea]]</f>
        <v>205405.80158033603</v>
      </c>
      <c r="N3606" s="22" t="str">
        <f>+IF(Tabla2[[#This Row],[Variación Stock]]&gt;0,"Sobrante",IF(Tabla2[[#This Row],[Variación Stock]]&lt;0,"Faltante","Sin novedad"))</f>
        <v>Sobrante</v>
      </c>
    </row>
    <row r="3607" spans="1:14" x14ac:dyDescent="0.25">
      <c r="A3607" s="11">
        <v>46044</v>
      </c>
      <c r="B3607" s="5" t="s">
        <v>378</v>
      </c>
      <c r="C3607" s="3" t="s">
        <v>339</v>
      </c>
      <c r="D3607" s="5" t="s">
        <v>115</v>
      </c>
      <c r="E3607" s="5" t="s">
        <v>112</v>
      </c>
      <c r="F3607" s="6" t="s">
        <v>76</v>
      </c>
      <c r="G3607" s="4" t="s">
        <v>2</v>
      </c>
      <c r="H3607" s="25">
        <v>3179.6666666699998</v>
      </c>
      <c r="I3607" s="8">
        <v>60</v>
      </c>
      <c r="J3607" s="9">
        <v>60</v>
      </c>
      <c r="K3607" s="7">
        <v>0</v>
      </c>
      <c r="L3607" s="24">
        <f>+Tabla2[[#This Row],[Stock Inventario]]*Tabla2[[#This Row],[Coste LÃ­nea]]</f>
        <v>190780.0000002</v>
      </c>
      <c r="M3607" s="24">
        <f>+Tabla2[[#This Row],[Variación Stock]]*Tabla2[[#This Row],[Coste LÃ­nea]]</f>
        <v>0</v>
      </c>
      <c r="N3607" s="22" t="str">
        <f>+IF(Tabla2[[#This Row],[Variación Stock]]&gt;0,"Sobrante",IF(Tabla2[[#This Row],[Variación Stock]]&lt;0,"Faltante","Sin novedad"))</f>
        <v>Sin novedad</v>
      </c>
    </row>
    <row r="3608" spans="1:14" x14ac:dyDescent="0.25">
      <c r="A3608" s="11">
        <v>46044</v>
      </c>
      <c r="B3608" s="5" t="s">
        <v>378</v>
      </c>
      <c r="C3608" s="3" t="s">
        <v>339</v>
      </c>
      <c r="D3608" s="5" t="s">
        <v>121</v>
      </c>
      <c r="E3608" s="5" t="s">
        <v>112</v>
      </c>
      <c r="F3608" s="6" t="s">
        <v>331</v>
      </c>
      <c r="G3608" s="4" t="s">
        <v>0</v>
      </c>
      <c r="H3608" s="25">
        <v>3350.3922764200001</v>
      </c>
      <c r="I3608" s="8">
        <v>58</v>
      </c>
      <c r="J3608" s="9">
        <v>56.57</v>
      </c>
      <c r="K3608" s="7">
        <v>-1.43</v>
      </c>
      <c r="L3608" s="24">
        <f>+Tabla2[[#This Row],[Stock Inventario]]*Tabla2[[#This Row],[Coste LÃ­nea]]</f>
        <v>189531.69107707942</v>
      </c>
      <c r="M3608" s="24">
        <f>+Tabla2[[#This Row],[Variación Stock]]*Tabla2[[#This Row],[Coste LÃ­nea]]</f>
        <v>-4791.0609552806</v>
      </c>
      <c r="N3608" s="22" t="str">
        <f>+IF(Tabla2[[#This Row],[Variación Stock]]&gt;0,"Sobrante",IF(Tabla2[[#This Row],[Variación Stock]]&lt;0,"Faltante","Sin novedad"))</f>
        <v>Faltante</v>
      </c>
    </row>
    <row r="3609" spans="1:14" x14ac:dyDescent="0.25">
      <c r="A3609" s="11">
        <v>46044</v>
      </c>
      <c r="B3609" s="5" t="s">
        <v>378</v>
      </c>
      <c r="C3609" s="3" t="s">
        <v>339</v>
      </c>
      <c r="D3609" s="5" t="s">
        <v>111</v>
      </c>
      <c r="E3609" s="5" t="s">
        <v>112</v>
      </c>
      <c r="F3609" s="6" t="s">
        <v>28</v>
      </c>
      <c r="G3609" s="4" t="s">
        <v>2</v>
      </c>
      <c r="H3609" s="25">
        <v>93956</v>
      </c>
      <c r="I3609" s="8">
        <v>2</v>
      </c>
      <c r="J3609" s="9">
        <v>2</v>
      </c>
      <c r="K3609" s="7">
        <v>0</v>
      </c>
      <c r="L3609" s="24">
        <f>+Tabla2[[#This Row],[Stock Inventario]]*Tabla2[[#This Row],[Coste LÃ­nea]]</f>
        <v>187912</v>
      </c>
      <c r="M3609" s="24">
        <f>+Tabla2[[#This Row],[Variación Stock]]*Tabla2[[#This Row],[Coste LÃ­nea]]</f>
        <v>0</v>
      </c>
      <c r="N3609" s="22" t="str">
        <f>+IF(Tabla2[[#This Row],[Variación Stock]]&gt;0,"Sobrante",IF(Tabla2[[#This Row],[Variación Stock]]&lt;0,"Faltante","Sin novedad"))</f>
        <v>Sin novedad</v>
      </c>
    </row>
    <row r="3610" spans="1:14" x14ac:dyDescent="0.25">
      <c r="A3610" s="11">
        <v>46044</v>
      </c>
      <c r="B3610" s="5" t="s">
        <v>378</v>
      </c>
      <c r="C3610" s="3" t="s">
        <v>339</v>
      </c>
      <c r="D3610" s="5" t="s">
        <v>111</v>
      </c>
      <c r="E3610" s="5" t="s">
        <v>112</v>
      </c>
      <c r="F3610" s="6" t="s">
        <v>19</v>
      </c>
      <c r="G3610" s="4" t="s">
        <v>0</v>
      </c>
      <c r="H3610" s="25">
        <v>6746.25</v>
      </c>
      <c r="I3610" s="8">
        <v>50.4</v>
      </c>
      <c r="J3610" s="9">
        <v>27.71</v>
      </c>
      <c r="K3610" s="7">
        <v>-22.69</v>
      </c>
      <c r="L3610" s="24">
        <f>+Tabla2[[#This Row],[Stock Inventario]]*Tabla2[[#This Row],[Coste LÃ­nea]]</f>
        <v>186938.58749999999</v>
      </c>
      <c r="M3610" s="24">
        <f>+Tabla2[[#This Row],[Variación Stock]]*Tabla2[[#This Row],[Coste LÃ­nea]]</f>
        <v>-153072.41250000001</v>
      </c>
      <c r="N3610" s="22" t="str">
        <f>+IF(Tabla2[[#This Row],[Variación Stock]]&gt;0,"Sobrante",IF(Tabla2[[#This Row],[Variación Stock]]&lt;0,"Faltante","Sin novedad"))</f>
        <v>Faltante</v>
      </c>
    </row>
    <row r="3611" spans="1:14" x14ac:dyDescent="0.25">
      <c r="A3611" s="11">
        <v>46044</v>
      </c>
      <c r="B3611" s="5" t="s">
        <v>378</v>
      </c>
      <c r="C3611" s="3" t="s">
        <v>339</v>
      </c>
      <c r="D3611" s="5" t="s">
        <v>111</v>
      </c>
      <c r="E3611" s="5" t="s">
        <v>112</v>
      </c>
      <c r="F3611" s="6" t="s">
        <v>23</v>
      </c>
      <c r="G3611" s="4" t="s">
        <v>0</v>
      </c>
      <c r="H3611" s="25">
        <v>4724.9090909099996</v>
      </c>
      <c r="I3611" s="8">
        <v>29.7</v>
      </c>
      <c r="J3611" s="9">
        <v>38.18</v>
      </c>
      <c r="K3611" s="7">
        <v>8.48</v>
      </c>
      <c r="L3611" s="24">
        <f>+Tabla2[[#This Row],[Stock Inventario]]*Tabla2[[#This Row],[Coste LÃ­nea]]</f>
        <v>180397.02909094378</v>
      </c>
      <c r="M3611" s="24">
        <f>+Tabla2[[#This Row],[Variación Stock]]*Tabla2[[#This Row],[Coste LÃ­nea]]</f>
        <v>40067.2290909168</v>
      </c>
      <c r="N3611" s="22" t="str">
        <f>+IF(Tabla2[[#This Row],[Variación Stock]]&gt;0,"Sobrante",IF(Tabla2[[#This Row],[Variación Stock]]&lt;0,"Faltante","Sin novedad"))</f>
        <v>Sobrante</v>
      </c>
    </row>
    <row r="3612" spans="1:14" x14ac:dyDescent="0.25">
      <c r="A3612" s="11">
        <v>46044</v>
      </c>
      <c r="B3612" s="5" t="s">
        <v>378</v>
      </c>
      <c r="C3612" s="3" t="s">
        <v>339</v>
      </c>
      <c r="D3612" s="5" t="s">
        <v>118</v>
      </c>
      <c r="E3612" s="5" t="s">
        <v>112</v>
      </c>
      <c r="F3612" s="6" t="s">
        <v>297</v>
      </c>
      <c r="G3612" s="4" t="s">
        <v>2</v>
      </c>
      <c r="H3612" s="25">
        <v>87241.5</v>
      </c>
      <c r="I3612" s="8">
        <v>2</v>
      </c>
      <c r="J3612" s="9">
        <v>2</v>
      </c>
      <c r="K3612" s="7">
        <v>0</v>
      </c>
      <c r="L3612" s="24">
        <f>+Tabla2[[#This Row],[Stock Inventario]]*Tabla2[[#This Row],[Coste LÃ­nea]]</f>
        <v>174483</v>
      </c>
      <c r="M3612" s="24">
        <f>+Tabla2[[#This Row],[Variación Stock]]*Tabla2[[#This Row],[Coste LÃ­nea]]</f>
        <v>0</v>
      </c>
      <c r="N3612" s="22" t="str">
        <f>+IF(Tabla2[[#This Row],[Variación Stock]]&gt;0,"Sobrante",IF(Tabla2[[#This Row],[Variación Stock]]&lt;0,"Faltante","Sin novedad"))</f>
        <v>Sin novedad</v>
      </c>
    </row>
    <row r="3613" spans="1:14" hidden="1" x14ac:dyDescent="0.25">
      <c r="A3613" s="11">
        <v>46044</v>
      </c>
      <c r="B3613" s="5" t="s">
        <v>378</v>
      </c>
      <c r="C3613" s="3" t="s">
        <v>339</v>
      </c>
      <c r="D3613" s="5" t="s">
        <v>323</v>
      </c>
      <c r="E3613" s="5" t="s">
        <v>117</v>
      </c>
      <c r="F3613" s="6" t="s">
        <v>327</v>
      </c>
      <c r="G3613" s="4" t="s">
        <v>1</v>
      </c>
      <c r="H3613" s="25">
        <v>41.579090909999998</v>
      </c>
      <c r="I3613" s="8">
        <v>7577</v>
      </c>
      <c r="J3613" s="9">
        <v>2814</v>
      </c>
      <c r="K3613" s="7">
        <v>-4763</v>
      </c>
      <c r="L3613" s="24">
        <f>+Tabla2[[#This Row],[Stock Inventario]]*Tabla2[[#This Row],[Coste LÃ­nea]]</f>
        <v>117003.56182074</v>
      </c>
      <c r="M3613" s="24">
        <f>+Tabla2[[#This Row],[Variación Stock]]*Tabla2[[#This Row],[Coste LÃ­nea]]</f>
        <v>-198041.21000433</v>
      </c>
      <c r="N3613" s="22" t="str">
        <f>+IF(Tabla2[[#This Row],[Variación Stock]]&gt;0,"Sobrante",IF(Tabla2[[#This Row],[Variación Stock]]&lt;0,"Faltante","Sin novedad"))</f>
        <v>Faltante</v>
      </c>
    </row>
    <row r="3614" spans="1:14" hidden="1" x14ac:dyDescent="0.25">
      <c r="A3614" s="11">
        <v>46037</v>
      </c>
      <c r="B3614" s="5" t="s">
        <v>338</v>
      </c>
      <c r="C3614" s="3" t="s">
        <v>339</v>
      </c>
      <c r="D3614" s="5" t="s">
        <v>120</v>
      </c>
      <c r="E3614" s="5" t="s">
        <v>117</v>
      </c>
      <c r="F3614" s="6" t="s">
        <v>318</v>
      </c>
      <c r="G3614" s="4" t="s">
        <v>2</v>
      </c>
      <c r="H3614" s="25">
        <v>4372.9455555000004</v>
      </c>
      <c r="I3614" s="8">
        <v>20</v>
      </c>
      <c r="J3614" s="9">
        <v>22</v>
      </c>
      <c r="K3614" s="7">
        <v>2</v>
      </c>
      <c r="L3614" s="24">
        <f>+Tabla2[[#This Row],[Stock Inventario]]*Tabla2[[#This Row],[Coste LÃ­nea]]</f>
        <v>96204.802221000005</v>
      </c>
      <c r="M3614" s="24">
        <f>+Tabla2[[#This Row],[Variación Stock]]*Tabla2[[#This Row],[Coste LÃ­nea]]</f>
        <v>8745.8911110000008</v>
      </c>
      <c r="N3614" s="22" t="str">
        <f>+IF(Tabla2[[#This Row],[Variación Stock]]&gt;0,"Sobrante",IF(Tabla2[[#This Row],[Variación Stock]]&lt;0,"Faltante","Sin novedad"))</f>
        <v>Sobrante</v>
      </c>
    </row>
    <row r="3615" spans="1:14" hidden="1" x14ac:dyDescent="0.25">
      <c r="A3615" s="11">
        <v>46037</v>
      </c>
      <c r="B3615" s="5" t="s">
        <v>338</v>
      </c>
      <c r="C3615" s="3" t="s">
        <v>339</v>
      </c>
      <c r="D3615" s="5" t="s">
        <v>120</v>
      </c>
      <c r="E3615" s="5" t="s">
        <v>117</v>
      </c>
      <c r="F3615" s="6" t="s">
        <v>319</v>
      </c>
      <c r="G3615" s="4" t="s">
        <v>2</v>
      </c>
      <c r="H3615" s="25">
        <v>2106.3735325100001</v>
      </c>
      <c r="I3615" s="8">
        <v>76</v>
      </c>
      <c r="J3615" s="9">
        <v>62</v>
      </c>
      <c r="K3615" s="7">
        <v>-14</v>
      </c>
      <c r="L3615" s="24">
        <f>+Tabla2[[#This Row],[Stock Inventario]]*Tabla2[[#This Row],[Coste LÃ­nea]]</f>
        <v>130595.15901562001</v>
      </c>
      <c r="M3615" s="24">
        <f>+Tabla2[[#This Row],[Variación Stock]]*Tabla2[[#This Row],[Coste LÃ­nea]]</f>
        <v>-29489.229455140001</v>
      </c>
      <c r="N3615" s="22" t="str">
        <f>+IF(Tabla2[[#This Row],[Variación Stock]]&gt;0,"Sobrante",IF(Tabla2[[#This Row],[Variación Stock]]&lt;0,"Faltante","Sin novedad"))</f>
        <v>Faltante</v>
      </c>
    </row>
    <row r="3616" spans="1:14" hidden="1" x14ac:dyDescent="0.25">
      <c r="A3616" s="11">
        <v>46044</v>
      </c>
      <c r="B3616" s="5" t="s">
        <v>378</v>
      </c>
      <c r="C3616" s="3" t="s">
        <v>339</v>
      </c>
      <c r="D3616" s="5" t="s">
        <v>119</v>
      </c>
      <c r="E3616" s="5" t="s">
        <v>117</v>
      </c>
      <c r="F3616" s="6" t="s">
        <v>11</v>
      </c>
      <c r="G3616" s="4" t="s">
        <v>2</v>
      </c>
      <c r="H3616" s="25">
        <v>415.97500000000002</v>
      </c>
      <c r="I3616" s="8">
        <v>315</v>
      </c>
      <c r="J3616" s="9">
        <v>372</v>
      </c>
      <c r="K3616" s="7">
        <v>57</v>
      </c>
      <c r="L3616" s="24">
        <f>+Tabla2[[#This Row],[Stock Inventario]]*Tabla2[[#This Row],[Coste LÃ­nea]]</f>
        <v>154742.70000000001</v>
      </c>
      <c r="M3616" s="24">
        <f>+Tabla2[[#This Row],[Variación Stock]]*Tabla2[[#This Row],[Coste LÃ­nea]]</f>
        <v>23710.575000000001</v>
      </c>
      <c r="N3616" s="22" t="str">
        <f>+IF(Tabla2[[#This Row],[Variación Stock]]&gt;0,"Sobrante",IF(Tabla2[[#This Row],[Variación Stock]]&lt;0,"Faltante","Sin novedad"))</f>
        <v>Sobrante</v>
      </c>
    </row>
    <row r="3617" spans="1:14" x14ac:dyDescent="0.25">
      <c r="A3617" s="11">
        <v>46044</v>
      </c>
      <c r="B3617" s="5" t="s">
        <v>378</v>
      </c>
      <c r="C3617" s="3" t="s">
        <v>339</v>
      </c>
      <c r="D3617" s="5" t="s">
        <v>122</v>
      </c>
      <c r="E3617" s="5" t="s">
        <v>112</v>
      </c>
      <c r="F3617" s="6" t="s">
        <v>98</v>
      </c>
      <c r="G3617" s="4" t="s">
        <v>2</v>
      </c>
      <c r="H3617" s="25">
        <v>1654.2666666699999</v>
      </c>
      <c r="I3617" s="8">
        <v>89</v>
      </c>
      <c r="J3617" s="9">
        <v>91</v>
      </c>
      <c r="K3617" s="7">
        <v>2</v>
      </c>
      <c r="L3617" s="24">
        <f>+Tabla2[[#This Row],[Stock Inventario]]*Tabla2[[#This Row],[Coste LÃ­nea]]</f>
        <v>150538.26666696998</v>
      </c>
      <c r="M3617" s="24">
        <f>+Tabla2[[#This Row],[Variación Stock]]*Tabla2[[#This Row],[Coste LÃ­nea]]</f>
        <v>3308.5333333399999</v>
      </c>
      <c r="N3617" s="22" t="str">
        <f>+IF(Tabla2[[#This Row],[Variación Stock]]&gt;0,"Sobrante",IF(Tabla2[[#This Row],[Variación Stock]]&lt;0,"Faltante","Sin novedad"))</f>
        <v>Sobrante</v>
      </c>
    </row>
    <row r="3618" spans="1:14" x14ac:dyDescent="0.25">
      <c r="A3618" s="11">
        <v>46044</v>
      </c>
      <c r="B3618" s="5" t="s">
        <v>378</v>
      </c>
      <c r="C3618" s="3" t="s">
        <v>339</v>
      </c>
      <c r="D3618" s="5" t="s">
        <v>114</v>
      </c>
      <c r="E3618" s="5" t="s">
        <v>112</v>
      </c>
      <c r="F3618" s="6" t="s">
        <v>60</v>
      </c>
      <c r="G3618" s="4" t="s">
        <v>2</v>
      </c>
      <c r="H3618" s="25">
        <v>2323.7849794200001</v>
      </c>
      <c r="I3618" s="8">
        <v>64</v>
      </c>
      <c r="J3618" s="9">
        <v>64</v>
      </c>
      <c r="K3618" s="7">
        <v>0</v>
      </c>
      <c r="L3618" s="24">
        <f>+Tabla2[[#This Row],[Stock Inventario]]*Tabla2[[#This Row],[Coste LÃ­nea]]</f>
        <v>148722.23868288001</v>
      </c>
      <c r="M3618" s="24">
        <f>+Tabla2[[#This Row],[Variación Stock]]*Tabla2[[#This Row],[Coste LÃ­nea]]</f>
        <v>0</v>
      </c>
      <c r="N3618" s="22" t="str">
        <f>+IF(Tabla2[[#This Row],[Variación Stock]]&gt;0,"Sobrante",IF(Tabla2[[#This Row],[Variación Stock]]&lt;0,"Faltante","Sin novedad"))</f>
        <v>Sin novedad</v>
      </c>
    </row>
    <row r="3619" spans="1:14" x14ac:dyDescent="0.25">
      <c r="A3619" s="11">
        <v>46044</v>
      </c>
      <c r="B3619" s="5" t="s">
        <v>378</v>
      </c>
      <c r="C3619" s="3" t="s">
        <v>339</v>
      </c>
      <c r="D3619" s="5" t="s">
        <v>115</v>
      </c>
      <c r="E3619" s="5" t="s">
        <v>112</v>
      </c>
      <c r="F3619" s="6" t="s">
        <v>290</v>
      </c>
      <c r="G3619" s="4" t="s">
        <v>2</v>
      </c>
      <c r="H3619" s="25">
        <v>11200</v>
      </c>
      <c r="I3619" s="8">
        <v>12</v>
      </c>
      <c r="J3619" s="9">
        <v>13</v>
      </c>
      <c r="K3619" s="7">
        <v>1</v>
      </c>
      <c r="L3619" s="24">
        <f>+Tabla2[[#This Row],[Stock Inventario]]*Tabla2[[#This Row],[Coste LÃ­nea]]</f>
        <v>145600</v>
      </c>
      <c r="M3619" s="24">
        <f>+Tabla2[[#This Row],[Variación Stock]]*Tabla2[[#This Row],[Coste LÃ­nea]]</f>
        <v>11200</v>
      </c>
      <c r="N3619" s="22" t="str">
        <f>+IF(Tabla2[[#This Row],[Variación Stock]]&gt;0,"Sobrante",IF(Tabla2[[#This Row],[Variación Stock]]&lt;0,"Faltante","Sin novedad"))</f>
        <v>Sobrante</v>
      </c>
    </row>
    <row r="3620" spans="1:14" x14ac:dyDescent="0.25">
      <c r="A3620" s="11">
        <v>46044</v>
      </c>
      <c r="B3620" s="5" t="s">
        <v>378</v>
      </c>
      <c r="C3620" s="3" t="s">
        <v>339</v>
      </c>
      <c r="D3620" s="5" t="s">
        <v>121</v>
      </c>
      <c r="E3620" s="5" t="s">
        <v>112</v>
      </c>
      <c r="F3620" s="6" t="s">
        <v>332</v>
      </c>
      <c r="G3620" s="4" t="s">
        <v>0</v>
      </c>
      <c r="H3620" s="25">
        <v>2901.3961267599998</v>
      </c>
      <c r="I3620" s="8">
        <v>51</v>
      </c>
      <c r="J3620" s="9">
        <v>49</v>
      </c>
      <c r="K3620" s="7">
        <v>-2</v>
      </c>
      <c r="L3620" s="24">
        <f>+Tabla2[[#This Row],[Stock Inventario]]*Tabla2[[#This Row],[Coste LÃ­nea]]</f>
        <v>142168.41021124</v>
      </c>
      <c r="M3620" s="24">
        <f>+Tabla2[[#This Row],[Variación Stock]]*Tabla2[[#This Row],[Coste LÃ­nea]]</f>
        <v>-5802.7922535199996</v>
      </c>
      <c r="N3620" s="22" t="str">
        <f>+IF(Tabla2[[#This Row],[Variación Stock]]&gt;0,"Sobrante",IF(Tabla2[[#This Row],[Variación Stock]]&lt;0,"Faltante","Sin novedad"))</f>
        <v>Faltante</v>
      </c>
    </row>
    <row r="3621" spans="1:14" hidden="1" x14ac:dyDescent="0.25">
      <c r="A3621" s="11">
        <v>46044</v>
      </c>
      <c r="B3621" s="5" t="s">
        <v>378</v>
      </c>
      <c r="C3621" s="3" t="s">
        <v>339</v>
      </c>
      <c r="D3621" s="5" t="s">
        <v>120</v>
      </c>
      <c r="E3621" s="5" t="s">
        <v>117</v>
      </c>
      <c r="F3621" s="6" t="s">
        <v>319</v>
      </c>
      <c r="G3621" s="4" t="s">
        <v>2</v>
      </c>
      <c r="H3621" s="25">
        <v>3371.9832877099998</v>
      </c>
      <c r="I3621" s="8">
        <v>48</v>
      </c>
      <c r="J3621" s="9">
        <v>22</v>
      </c>
      <c r="K3621" s="7">
        <v>-26</v>
      </c>
      <c r="L3621" s="24">
        <f>+Tabla2[[#This Row],[Stock Inventario]]*Tabla2[[#This Row],[Coste LÃ­nea]]</f>
        <v>74183.632329619999</v>
      </c>
      <c r="M3621" s="24">
        <f>+Tabla2[[#This Row],[Variación Stock]]*Tabla2[[#This Row],[Coste LÃ­nea]]</f>
        <v>-87671.565480459991</v>
      </c>
      <c r="N3621" s="22" t="str">
        <f>+IF(Tabla2[[#This Row],[Variación Stock]]&gt;0,"Sobrante",IF(Tabla2[[#This Row],[Variación Stock]]&lt;0,"Faltante","Sin novedad"))</f>
        <v>Faltante</v>
      </c>
    </row>
    <row r="3622" spans="1:14" x14ac:dyDescent="0.25">
      <c r="A3622" s="11">
        <v>46044</v>
      </c>
      <c r="B3622" s="5" t="s">
        <v>378</v>
      </c>
      <c r="C3622" s="3" t="s">
        <v>339</v>
      </c>
      <c r="D3622" s="5" t="s">
        <v>122</v>
      </c>
      <c r="E3622" s="5" t="s">
        <v>112</v>
      </c>
      <c r="F3622" s="6" t="s">
        <v>100</v>
      </c>
      <c r="G3622" s="4" t="s">
        <v>2</v>
      </c>
      <c r="H3622" s="25">
        <v>7857</v>
      </c>
      <c r="I3622" s="8">
        <v>16</v>
      </c>
      <c r="J3622" s="9">
        <v>16</v>
      </c>
      <c r="K3622" s="7">
        <v>0</v>
      </c>
      <c r="L3622" s="24">
        <f>+Tabla2[[#This Row],[Stock Inventario]]*Tabla2[[#This Row],[Coste LÃ­nea]]</f>
        <v>125712</v>
      </c>
      <c r="M3622" s="24">
        <f>+Tabla2[[#This Row],[Variación Stock]]*Tabla2[[#This Row],[Coste LÃ­nea]]</f>
        <v>0</v>
      </c>
      <c r="N3622" s="22" t="str">
        <f>+IF(Tabla2[[#This Row],[Variación Stock]]&gt;0,"Sobrante",IF(Tabla2[[#This Row],[Variación Stock]]&lt;0,"Faltante","Sin novedad"))</f>
        <v>Sin novedad</v>
      </c>
    </row>
    <row r="3623" spans="1:14" x14ac:dyDescent="0.25">
      <c r="A3623" s="11">
        <v>46044</v>
      </c>
      <c r="B3623" s="5" t="s">
        <v>378</v>
      </c>
      <c r="C3623" s="3" t="s">
        <v>339</v>
      </c>
      <c r="D3623" s="5" t="s">
        <v>114</v>
      </c>
      <c r="E3623" s="5" t="s">
        <v>112</v>
      </c>
      <c r="F3623" s="6" t="s">
        <v>61</v>
      </c>
      <c r="G3623" s="4" t="s">
        <v>2</v>
      </c>
      <c r="H3623" s="25">
        <v>2119.75</v>
      </c>
      <c r="I3623" s="8">
        <v>58</v>
      </c>
      <c r="J3623" s="9">
        <v>59</v>
      </c>
      <c r="K3623" s="7">
        <v>1</v>
      </c>
      <c r="L3623" s="24">
        <f>+Tabla2[[#This Row],[Stock Inventario]]*Tabla2[[#This Row],[Coste LÃ­nea]]</f>
        <v>125065.25</v>
      </c>
      <c r="M3623" s="24">
        <f>+Tabla2[[#This Row],[Variación Stock]]*Tabla2[[#This Row],[Coste LÃ­nea]]</f>
        <v>2119.75</v>
      </c>
      <c r="N3623" s="22" t="str">
        <f>+IF(Tabla2[[#This Row],[Variación Stock]]&gt;0,"Sobrante",IF(Tabla2[[#This Row],[Variación Stock]]&lt;0,"Faltante","Sin novedad"))</f>
        <v>Sobrante</v>
      </c>
    </row>
    <row r="3624" spans="1:14" x14ac:dyDescent="0.25">
      <c r="A3624" s="11">
        <v>46044</v>
      </c>
      <c r="B3624" s="5" t="s">
        <v>378</v>
      </c>
      <c r="C3624" s="3" t="s">
        <v>339</v>
      </c>
      <c r="D3624" s="5" t="s">
        <v>111</v>
      </c>
      <c r="E3624" s="5" t="s">
        <v>112</v>
      </c>
      <c r="F3624" s="6" t="s">
        <v>25</v>
      </c>
      <c r="G3624" s="4" t="s">
        <v>0</v>
      </c>
      <c r="H3624" s="25">
        <v>6003.25</v>
      </c>
      <c r="I3624" s="8">
        <v>20.059999999999999</v>
      </c>
      <c r="J3624" s="9">
        <v>20.67</v>
      </c>
      <c r="K3624" s="7">
        <v>0.61</v>
      </c>
      <c r="L3624" s="24">
        <f>+Tabla2[[#This Row],[Stock Inventario]]*Tabla2[[#This Row],[Coste LÃ­nea]]</f>
        <v>124087.17750000001</v>
      </c>
      <c r="M3624" s="24">
        <f>+Tabla2[[#This Row],[Variación Stock]]*Tabla2[[#This Row],[Coste LÃ­nea]]</f>
        <v>3661.9825000000001</v>
      </c>
      <c r="N3624" s="22" t="str">
        <f>+IF(Tabla2[[#This Row],[Variación Stock]]&gt;0,"Sobrante",IF(Tabla2[[#This Row],[Variación Stock]]&lt;0,"Faltante","Sin novedad"))</f>
        <v>Sobrante</v>
      </c>
    </row>
    <row r="3625" spans="1:14" x14ac:dyDescent="0.25">
      <c r="A3625" s="11">
        <v>46044</v>
      </c>
      <c r="B3625" s="5" t="s">
        <v>378</v>
      </c>
      <c r="C3625" s="3" t="s">
        <v>339</v>
      </c>
      <c r="D3625" s="5" t="s">
        <v>115</v>
      </c>
      <c r="E3625" s="5" t="s">
        <v>112</v>
      </c>
      <c r="F3625" s="6" t="s">
        <v>77</v>
      </c>
      <c r="G3625" s="4" t="s">
        <v>2</v>
      </c>
      <c r="H3625" s="25">
        <v>2773.5</v>
      </c>
      <c r="I3625" s="8">
        <v>44</v>
      </c>
      <c r="J3625" s="9">
        <v>44</v>
      </c>
      <c r="K3625" s="7">
        <v>0</v>
      </c>
      <c r="L3625" s="24">
        <f>+Tabla2[[#This Row],[Stock Inventario]]*Tabla2[[#This Row],[Coste LÃ­nea]]</f>
        <v>122034</v>
      </c>
      <c r="M3625" s="24">
        <f>+Tabla2[[#This Row],[Variación Stock]]*Tabla2[[#This Row],[Coste LÃ­nea]]</f>
        <v>0</v>
      </c>
      <c r="N3625" s="22" t="str">
        <f>+IF(Tabla2[[#This Row],[Variación Stock]]&gt;0,"Sobrante",IF(Tabla2[[#This Row],[Variación Stock]]&lt;0,"Faltante","Sin novedad"))</f>
        <v>Sin novedad</v>
      </c>
    </row>
    <row r="3626" spans="1:14" x14ac:dyDescent="0.25">
      <c r="A3626" s="11">
        <v>46044</v>
      </c>
      <c r="B3626" s="5" t="s">
        <v>378</v>
      </c>
      <c r="C3626" s="3" t="s">
        <v>339</v>
      </c>
      <c r="D3626" s="5" t="s">
        <v>114</v>
      </c>
      <c r="E3626" s="5" t="s">
        <v>112</v>
      </c>
      <c r="F3626" s="6" t="s">
        <v>68</v>
      </c>
      <c r="G3626" s="4" t="s">
        <v>2</v>
      </c>
      <c r="H3626" s="25">
        <v>4986.0833333299997</v>
      </c>
      <c r="I3626" s="8">
        <v>23</v>
      </c>
      <c r="J3626" s="9">
        <v>24</v>
      </c>
      <c r="K3626" s="7">
        <v>1</v>
      </c>
      <c r="L3626" s="24">
        <f>+Tabla2[[#This Row],[Stock Inventario]]*Tabla2[[#This Row],[Coste LÃ­nea]]</f>
        <v>119665.99999991999</v>
      </c>
      <c r="M3626" s="24">
        <f>+Tabla2[[#This Row],[Variación Stock]]*Tabla2[[#This Row],[Coste LÃ­nea]]</f>
        <v>4986.0833333299997</v>
      </c>
      <c r="N3626" s="22" t="str">
        <f>+IF(Tabla2[[#This Row],[Variación Stock]]&gt;0,"Sobrante",IF(Tabla2[[#This Row],[Variación Stock]]&lt;0,"Faltante","Sin novedad"))</f>
        <v>Sobrante</v>
      </c>
    </row>
    <row r="3627" spans="1:14" x14ac:dyDescent="0.25">
      <c r="A3627" s="11">
        <v>46044</v>
      </c>
      <c r="B3627" s="5" t="s">
        <v>378</v>
      </c>
      <c r="C3627" s="3" t="s">
        <v>339</v>
      </c>
      <c r="D3627" s="5" t="s">
        <v>111</v>
      </c>
      <c r="E3627" s="5" t="s">
        <v>112</v>
      </c>
      <c r="F3627" s="6" t="s">
        <v>35</v>
      </c>
      <c r="G3627" s="4" t="s">
        <v>0</v>
      </c>
      <c r="H3627" s="25">
        <v>6045.125</v>
      </c>
      <c r="I3627" s="8">
        <v>19.72</v>
      </c>
      <c r="J3627" s="9">
        <v>19.78</v>
      </c>
      <c r="K3627" s="7">
        <v>0.06</v>
      </c>
      <c r="L3627" s="24">
        <f>+Tabla2[[#This Row],[Stock Inventario]]*Tabla2[[#This Row],[Coste LÃ­nea]]</f>
        <v>119572.57250000001</v>
      </c>
      <c r="M3627" s="24">
        <f>+Tabla2[[#This Row],[Variación Stock]]*Tabla2[[#This Row],[Coste LÃ­nea]]</f>
        <v>362.70749999999998</v>
      </c>
      <c r="N3627" s="22" t="str">
        <f>+IF(Tabla2[[#This Row],[Variación Stock]]&gt;0,"Sobrante",IF(Tabla2[[#This Row],[Variación Stock]]&lt;0,"Faltante","Sin novedad"))</f>
        <v>Sobrante</v>
      </c>
    </row>
    <row r="3628" spans="1:14" x14ac:dyDescent="0.25">
      <c r="A3628" s="11">
        <v>46044</v>
      </c>
      <c r="B3628" s="5" t="s">
        <v>378</v>
      </c>
      <c r="C3628" s="3" t="s">
        <v>339</v>
      </c>
      <c r="D3628" s="5" t="s">
        <v>118</v>
      </c>
      <c r="E3628" s="5" t="s">
        <v>112</v>
      </c>
      <c r="F3628" s="6" t="s">
        <v>82</v>
      </c>
      <c r="G3628" s="4" t="s">
        <v>2</v>
      </c>
      <c r="H3628" s="25">
        <v>63372.666666669997</v>
      </c>
      <c r="I3628" s="8">
        <v>4</v>
      </c>
      <c r="J3628" s="9">
        <v>5</v>
      </c>
      <c r="K3628" s="7">
        <v>1</v>
      </c>
      <c r="L3628" s="24">
        <f>+Tabla2[[#This Row],[Stock Inventario]]*Tabla2[[#This Row],[Coste LÃ­nea]]</f>
        <v>316863.33333334996</v>
      </c>
      <c r="M3628" s="24">
        <f>+Tabla2[[#This Row],[Variación Stock]]*Tabla2[[#This Row],[Coste LÃ­nea]]</f>
        <v>63372.666666669997</v>
      </c>
      <c r="N3628" s="22" t="str">
        <f>+IF(Tabla2[[#This Row],[Variación Stock]]&gt;0,"Sobrante",IF(Tabla2[[#This Row],[Variación Stock]]&lt;0,"Faltante","Sin novedad"))</f>
        <v>Sobrante</v>
      </c>
    </row>
    <row r="3629" spans="1:14" x14ac:dyDescent="0.25">
      <c r="A3629" s="11">
        <v>46044</v>
      </c>
      <c r="B3629" s="5" t="s">
        <v>378</v>
      </c>
      <c r="C3629" s="3" t="s">
        <v>339</v>
      </c>
      <c r="D3629" s="5" t="s">
        <v>111</v>
      </c>
      <c r="E3629" s="5" t="s">
        <v>112</v>
      </c>
      <c r="F3629" s="6" t="s">
        <v>55</v>
      </c>
      <c r="G3629" s="4" t="s">
        <v>0</v>
      </c>
      <c r="H3629" s="25">
        <v>3171.7162499999999</v>
      </c>
      <c r="I3629" s="8">
        <v>35</v>
      </c>
      <c r="J3629" s="9">
        <v>37</v>
      </c>
      <c r="K3629" s="7">
        <v>2</v>
      </c>
      <c r="L3629" s="24">
        <f>+Tabla2[[#This Row],[Stock Inventario]]*Tabla2[[#This Row],[Coste LÃ­nea]]</f>
        <v>117353.50125</v>
      </c>
      <c r="M3629" s="24">
        <f>+Tabla2[[#This Row],[Variación Stock]]*Tabla2[[#This Row],[Coste LÃ­nea]]</f>
        <v>6343.4324999999999</v>
      </c>
      <c r="N3629" s="22" t="str">
        <f>+IF(Tabla2[[#This Row],[Variación Stock]]&gt;0,"Sobrante",IF(Tabla2[[#This Row],[Variación Stock]]&lt;0,"Faltante","Sin novedad"))</f>
        <v>Sobrante</v>
      </c>
    </row>
    <row r="3630" spans="1:14" hidden="1" x14ac:dyDescent="0.25">
      <c r="A3630" s="11">
        <v>46037</v>
      </c>
      <c r="B3630" s="5" t="s">
        <v>338</v>
      </c>
      <c r="C3630" s="3" t="s">
        <v>339</v>
      </c>
      <c r="D3630" s="5" t="s">
        <v>323</v>
      </c>
      <c r="E3630" s="5" t="s">
        <v>117</v>
      </c>
      <c r="F3630" s="6" t="s">
        <v>328</v>
      </c>
      <c r="G3630" s="4" t="s">
        <v>2</v>
      </c>
      <c r="H3630" s="25">
        <v>31393.863636329999</v>
      </c>
      <c r="I3630" s="8">
        <v>17.64</v>
      </c>
      <c r="J3630" s="9">
        <v>57</v>
      </c>
      <c r="K3630" s="15">
        <v>39.36</v>
      </c>
      <c r="L3630" s="24">
        <f>+Tabla2[[#This Row],[Stock Inventario]]*Tabla2[[#This Row],[Coste LÃ­nea]]</f>
        <v>1789450.2272708099</v>
      </c>
      <c r="M3630" s="24">
        <f>+Tabla2[[#This Row],[Variación Stock]]*Tabla2[[#This Row],[Coste LÃ­nea]]</f>
        <v>1235662.4727259488</v>
      </c>
      <c r="N3630" s="22" t="str">
        <f>+IF(Tabla2[[#This Row],[Variación Stock]]&gt;0,"Sobrante",IF(Tabla2[[#This Row],[Variación Stock]]&lt;0,"Faltante","Sin novedad"))</f>
        <v>Sobrante</v>
      </c>
    </row>
    <row r="3631" spans="1:14" x14ac:dyDescent="0.25">
      <c r="A3631" s="11">
        <v>46044</v>
      </c>
      <c r="B3631" s="5" t="s">
        <v>378</v>
      </c>
      <c r="C3631" s="3" t="s">
        <v>339</v>
      </c>
      <c r="D3631" s="5" t="s">
        <v>114</v>
      </c>
      <c r="E3631" s="5" t="s">
        <v>112</v>
      </c>
      <c r="F3631" s="6" t="s">
        <v>64</v>
      </c>
      <c r="G3631" s="4" t="s">
        <v>2</v>
      </c>
      <c r="H3631" s="25">
        <v>5132.5</v>
      </c>
      <c r="I3631" s="8">
        <v>21</v>
      </c>
      <c r="J3631" s="9">
        <v>22</v>
      </c>
      <c r="K3631" s="7">
        <v>1</v>
      </c>
      <c r="L3631" s="24">
        <f>+Tabla2[[#This Row],[Stock Inventario]]*Tabla2[[#This Row],[Coste LÃ­nea]]</f>
        <v>112915</v>
      </c>
      <c r="M3631" s="24">
        <f>+Tabla2[[#This Row],[Variación Stock]]*Tabla2[[#This Row],[Coste LÃ­nea]]</f>
        <v>5132.5</v>
      </c>
      <c r="N3631" s="22" t="str">
        <f>+IF(Tabla2[[#This Row],[Variación Stock]]&gt;0,"Sobrante",IF(Tabla2[[#This Row],[Variación Stock]]&lt;0,"Faltante","Sin novedad"))</f>
        <v>Sobrante</v>
      </c>
    </row>
    <row r="3632" spans="1:14" x14ac:dyDescent="0.25">
      <c r="A3632" s="11">
        <v>46044</v>
      </c>
      <c r="B3632" s="5" t="s">
        <v>378</v>
      </c>
      <c r="C3632" s="3" t="s">
        <v>339</v>
      </c>
      <c r="D3632" s="5" t="s">
        <v>111</v>
      </c>
      <c r="E3632" s="5" t="s">
        <v>112</v>
      </c>
      <c r="F3632" s="6" t="s">
        <v>24</v>
      </c>
      <c r="G3632" s="4" t="s">
        <v>0</v>
      </c>
      <c r="H3632" s="25">
        <v>3359.40909091</v>
      </c>
      <c r="I3632" s="8">
        <v>28.08</v>
      </c>
      <c r="J3632" s="9">
        <v>32.83</v>
      </c>
      <c r="K3632" s="7">
        <v>4.75</v>
      </c>
      <c r="L3632" s="24">
        <f>+Tabla2[[#This Row],[Stock Inventario]]*Tabla2[[#This Row],[Coste LÃ­nea]]</f>
        <v>110289.4004545753</v>
      </c>
      <c r="M3632" s="24">
        <f>+Tabla2[[#This Row],[Variación Stock]]*Tabla2[[#This Row],[Coste LÃ­nea]]</f>
        <v>15957.1931818225</v>
      </c>
      <c r="N3632" s="22" t="str">
        <f>+IF(Tabla2[[#This Row],[Variación Stock]]&gt;0,"Sobrante",IF(Tabla2[[#This Row],[Variación Stock]]&lt;0,"Faltante","Sin novedad"))</f>
        <v>Sobrante</v>
      </c>
    </row>
    <row r="3633" spans="1:14" x14ac:dyDescent="0.25">
      <c r="A3633" s="11">
        <v>46044</v>
      </c>
      <c r="B3633" s="5" t="s">
        <v>378</v>
      </c>
      <c r="C3633" s="3" t="s">
        <v>339</v>
      </c>
      <c r="D3633" s="5" t="s">
        <v>118</v>
      </c>
      <c r="E3633" s="5" t="s">
        <v>112</v>
      </c>
      <c r="F3633" s="6" t="s">
        <v>86</v>
      </c>
      <c r="G3633" s="4" t="s">
        <v>81</v>
      </c>
      <c r="H3633" s="25">
        <v>10889.4</v>
      </c>
      <c r="I3633" s="8">
        <v>10</v>
      </c>
      <c r="J3633" s="9">
        <v>10</v>
      </c>
      <c r="K3633" s="7">
        <v>0</v>
      </c>
      <c r="L3633" s="24">
        <f>+Tabla2[[#This Row],[Stock Inventario]]*Tabla2[[#This Row],[Coste LÃ­nea]]</f>
        <v>108894</v>
      </c>
      <c r="M3633" s="24">
        <f>+Tabla2[[#This Row],[Variación Stock]]*Tabla2[[#This Row],[Coste LÃ­nea]]</f>
        <v>0</v>
      </c>
      <c r="N3633" s="22" t="str">
        <f>+IF(Tabla2[[#This Row],[Variación Stock]]&gt;0,"Sobrante",IF(Tabla2[[#This Row],[Variación Stock]]&lt;0,"Faltante","Sin novedad"))</f>
        <v>Sin novedad</v>
      </c>
    </row>
    <row r="3634" spans="1:14" hidden="1" x14ac:dyDescent="0.25">
      <c r="A3634" s="11">
        <v>46044</v>
      </c>
      <c r="B3634" s="5" t="s">
        <v>378</v>
      </c>
      <c r="C3634" s="3" t="s">
        <v>339</v>
      </c>
      <c r="D3634" s="5" t="s">
        <v>119</v>
      </c>
      <c r="E3634" s="5" t="s">
        <v>117</v>
      </c>
      <c r="F3634" s="6" t="s">
        <v>10</v>
      </c>
      <c r="G3634" s="4" t="s">
        <v>2</v>
      </c>
      <c r="H3634" s="25">
        <v>17250.131652659999</v>
      </c>
      <c r="I3634" s="8">
        <v>0</v>
      </c>
      <c r="J3634" s="9">
        <v>6</v>
      </c>
      <c r="K3634" s="7">
        <v>6</v>
      </c>
      <c r="L3634" s="24">
        <f>+Tabla2[[#This Row],[Stock Inventario]]*Tabla2[[#This Row],[Coste LÃ­nea]]</f>
        <v>103500.78991595999</v>
      </c>
      <c r="M3634" s="24">
        <f>+Tabla2[[#This Row],[Variación Stock]]*Tabla2[[#This Row],[Coste LÃ­nea]]</f>
        <v>103500.78991595999</v>
      </c>
      <c r="N3634" s="22" t="str">
        <f>+IF(Tabla2[[#This Row],[Variación Stock]]&gt;0,"Sobrante",IF(Tabla2[[#This Row],[Variación Stock]]&lt;0,"Faltante","Sin novedad"))</f>
        <v>Sobrante</v>
      </c>
    </row>
    <row r="3635" spans="1:14" x14ac:dyDescent="0.25">
      <c r="A3635" s="11">
        <v>46044</v>
      </c>
      <c r="B3635" s="5" t="s">
        <v>378</v>
      </c>
      <c r="C3635" s="3" t="s">
        <v>339</v>
      </c>
      <c r="D3635" s="5" t="s">
        <v>111</v>
      </c>
      <c r="E3635" s="5" t="s">
        <v>112</v>
      </c>
      <c r="F3635" s="6" t="s">
        <v>18</v>
      </c>
      <c r="G3635" s="4" t="s">
        <v>2</v>
      </c>
      <c r="H3635" s="25">
        <v>100385</v>
      </c>
      <c r="I3635" s="8">
        <v>1</v>
      </c>
      <c r="J3635" s="9">
        <v>1</v>
      </c>
      <c r="K3635" s="7">
        <v>0</v>
      </c>
      <c r="L3635" s="24">
        <f>+Tabla2[[#This Row],[Stock Inventario]]*Tabla2[[#This Row],[Coste LÃ­nea]]</f>
        <v>100385</v>
      </c>
      <c r="M3635" s="24">
        <f>+Tabla2[[#This Row],[Variación Stock]]*Tabla2[[#This Row],[Coste LÃ­nea]]</f>
        <v>0</v>
      </c>
      <c r="N3635" s="22" t="str">
        <f>+IF(Tabla2[[#This Row],[Variación Stock]]&gt;0,"Sobrante",IF(Tabla2[[#This Row],[Variación Stock]]&lt;0,"Faltante","Sin novedad"))</f>
        <v>Sin novedad</v>
      </c>
    </row>
    <row r="3636" spans="1:14" x14ac:dyDescent="0.25">
      <c r="A3636" s="11">
        <v>46044</v>
      </c>
      <c r="B3636" s="5" t="s">
        <v>378</v>
      </c>
      <c r="C3636" s="3" t="s">
        <v>339</v>
      </c>
      <c r="D3636" s="5" t="s">
        <v>115</v>
      </c>
      <c r="E3636" s="5" t="s">
        <v>112</v>
      </c>
      <c r="F3636" s="6" t="s">
        <v>71</v>
      </c>
      <c r="G3636" s="4" t="s">
        <v>2</v>
      </c>
      <c r="H3636" s="25">
        <v>2335.0666666699999</v>
      </c>
      <c r="I3636" s="8">
        <v>41</v>
      </c>
      <c r="J3636" s="9">
        <v>41</v>
      </c>
      <c r="K3636" s="7">
        <v>0</v>
      </c>
      <c r="L3636" s="24">
        <f>+Tabla2[[#This Row],[Stock Inventario]]*Tabla2[[#This Row],[Coste LÃ­nea]]</f>
        <v>95737.733333469994</v>
      </c>
      <c r="M3636" s="24">
        <f>+Tabla2[[#This Row],[Variación Stock]]*Tabla2[[#This Row],[Coste LÃ­nea]]</f>
        <v>0</v>
      </c>
      <c r="N3636" s="22" t="str">
        <f>+IF(Tabla2[[#This Row],[Variación Stock]]&gt;0,"Sobrante",IF(Tabla2[[#This Row],[Variación Stock]]&lt;0,"Faltante","Sin novedad"))</f>
        <v>Sin novedad</v>
      </c>
    </row>
    <row r="3637" spans="1:14" x14ac:dyDescent="0.25">
      <c r="A3637" s="11">
        <v>46044</v>
      </c>
      <c r="B3637" s="5" t="s">
        <v>378</v>
      </c>
      <c r="C3637" s="3" t="s">
        <v>339</v>
      </c>
      <c r="D3637" s="5" t="s">
        <v>115</v>
      </c>
      <c r="E3637" s="5" t="s">
        <v>112</v>
      </c>
      <c r="F3637" s="6" t="s">
        <v>72</v>
      </c>
      <c r="G3637" s="4" t="s">
        <v>2</v>
      </c>
      <c r="H3637" s="25">
        <v>2183.46666667</v>
      </c>
      <c r="I3637" s="8">
        <v>43</v>
      </c>
      <c r="J3637" s="9">
        <v>43</v>
      </c>
      <c r="K3637" s="7">
        <v>0</v>
      </c>
      <c r="L3637" s="24">
        <f>+Tabla2[[#This Row],[Stock Inventario]]*Tabla2[[#This Row],[Coste LÃ­nea]]</f>
        <v>93889.066666810002</v>
      </c>
      <c r="M3637" s="24">
        <f>+Tabla2[[#This Row],[Variación Stock]]*Tabla2[[#This Row],[Coste LÃ­nea]]</f>
        <v>0</v>
      </c>
      <c r="N3637" s="22" t="str">
        <f>+IF(Tabla2[[#This Row],[Variación Stock]]&gt;0,"Sobrante",IF(Tabla2[[#This Row],[Variación Stock]]&lt;0,"Faltante","Sin novedad"))</f>
        <v>Sin novedad</v>
      </c>
    </row>
    <row r="3638" spans="1:14" x14ac:dyDescent="0.25">
      <c r="A3638" s="11">
        <v>46044</v>
      </c>
      <c r="B3638" s="5" t="s">
        <v>378</v>
      </c>
      <c r="C3638" s="3" t="s">
        <v>339</v>
      </c>
      <c r="D3638" s="5" t="s">
        <v>111</v>
      </c>
      <c r="E3638" s="5" t="s">
        <v>112</v>
      </c>
      <c r="F3638" s="6" t="s">
        <v>53</v>
      </c>
      <c r="G3638" s="4" t="s">
        <v>2</v>
      </c>
      <c r="H3638" s="25">
        <v>45099.74</v>
      </c>
      <c r="I3638" s="8">
        <v>2</v>
      </c>
      <c r="J3638" s="9">
        <v>2</v>
      </c>
      <c r="K3638" s="7">
        <v>0</v>
      </c>
      <c r="L3638" s="24">
        <f>+Tabla2[[#This Row],[Stock Inventario]]*Tabla2[[#This Row],[Coste LÃ­nea]]</f>
        <v>90199.48</v>
      </c>
      <c r="M3638" s="24">
        <f>+Tabla2[[#This Row],[Variación Stock]]*Tabla2[[#This Row],[Coste LÃ­nea]]</f>
        <v>0</v>
      </c>
      <c r="N3638" s="22" t="str">
        <f>+IF(Tabla2[[#This Row],[Variación Stock]]&gt;0,"Sobrante",IF(Tabla2[[#This Row],[Variación Stock]]&lt;0,"Faltante","Sin novedad"))</f>
        <v>Sin novedad</v>
      </c>
    </row>
    <row r="3639" spans="1:14" x14ac:dyDescent="0.25">
      <c r="A3639" s="11">
        <v>46044</v>
      </c>
      <c r="B3639" s="5" t="s">
        <v>378</v>
      </c>
      <c r="C3639" s="3" t="s">
        <v>339</v>
      </c>
      <c r="D3639" s="5" t="s">
        <v>118</v>
      </c>
      <c r="E3639" s="5" t="s">
        <v>112</v>
      </c>
      <c r="F3639" s="6" t="s">
        <v>88</v>
      </c>
      <c r="G3639" s="4" t="s">
        <v>81</v>
      </c>
      <c r="H3639" s="25">
        <v>4385.6000000000004</v>
      </c>
      <c r="I3639" s="8">
        <v>19</v>
      </c>
      <c r="J3639" s="9">
        <v>20</v>
      </c>
      <c r="K3639" s="7">
        <v>1</v>
      </c>
      <c r="L3639" s="24">
        <f>+Tabla2[[#This Row],[Stock Inventario]]*Tabla2[[#This Row],[Coste LÃ­nea]]</f>
        <v>87712</v>
      </c>
      <c r="M3639" s="24">
        <f>+Tabla2[[#This Row],[Variación Stock]]*Tabla2[[#This Row],[Coste LÃ­nea]]</f>
        <v>4385.6000000000004</v>
      </c>
      <c r="N3639" s="22" t="str">
        <f>+IF(Tabla2[[#This Row],[Variación Stock]]&gt;0,"Sobrante",IF(Tabla2[[#This Row],[Variación Stock]]&lt;0,"Faltante","Sin novedad"))</f>
        <v>Sobrante</v>
      </c>
    </row>
    <row r="3640" spans="1:14" x14ac:dyDescent="0.25">
      <c r="A3640" s="11">
        <v>46044</v>
      </c>
      <c r="B3640" s="5" t="s">
        <v>378</v>
      </c>
      <c r="C3640" s="3" t="s">
        <v>339</v>
      </c>
      <c r="D3640" s="5" t="s">
        <v>111</v>
      </c>
      <c r="E3640" s="5" t="s">
        <v>112</v>
      </c>
      <c r="F3640" s="6" t="s">
        <v>42</v>
      </c>
      <c r="G3640" s="4" t="s">
        <v>0</v>
      </c>
      <c r="H3640" s="25">
        <v>2906.3333333300002</v>
      </c>
      <c r="I3640" s="8">
        <v>28.34</v>
      </c>
      <c r="J3640" s="9">
        <v>30</v>
      </c>
      <c r="K3640" s="7">
        <v>1.66</v>
      </c>
      <c r="L3640" s="24">
        <f>+Tabla2[[#This Row],[Stock Inventario]]*Tabla2[[#This Row],[Coste LÃ­nea]]</f>
        <v>87189.999999899999</v>
      </c>
      <c r="M3640" s="24">
        <f>+Tabla2[[#This Row],[Variación Stock]]*Tabla2[[#This Row],[Coste LÃ­nea]]</f>
        <v>4824.5133333278</v>
      </c>
      <c r="N3640" s="22" t="str">
        <f>+IF(Tabla2[[#This Row],[Variación Stock]]&gt;0,"Sobrante",IF(Tabla2[[#This Row],[Variación Stock]]&lt;0,"Faltante","Sin novedad"))</f>
        <v>Sobrante</v>
      </c>
    </row>
    <row r="3641" spans="1:14" hidden="1" x14ac:dyDescent="0.25">
      <c r="A3641" s="11">
        <v>46044</v>
      </c>
      <c r="B3641" s="5" t="s">
        <v>378</v>
      </c>
      <c r="C3641" s="3" t="s">
        <v>339</v>
      </c>
      <c r="D3641" s="5" t="s">
        <v>323</v>
      </c>
      <c r="E3641" s="5" t="s">
        <v>117</v>
      </c>
      <c r="F3641" s="6" t="s">
        <v>330</v>
      </c>
      <c r="G3641" s="4" t="s">
        <v>2</v>
      </c>
      <c r="H3641" s="25">
        <v>1575.4194626999999</v>
      </c>
      <c r="I3641" s="8">
        <v>55</v>
      </c>
      <c r="J3641" s="9">
        <v>55</v>
      </c>
      <c r="K3641" s="7">
        <v>0</v>
      </c>
      <c r="L3641" s="24">
        <f>+Tabla2[[#This Row],[Stock Inventario]]*Tabla2[[#This Row],[Coste LÃ­nea]]</f>
        <v>86648.070448500002</v>
      </c>
      <c r="M3641" s="24">
        <f>+Tabla2[[#This Row],[Variación Stock]]*Tabla2[[#This Row],[Coste LÃ­nea]]</f>
        <v>0</v>
      </c>
      <c r="N3641" s="22" t="str">
        <f>+IF(Tabla2[[#This Row],[Variación Stock]]&gt;0,"Sobrante",IF(Tabla2[[#This Row],[Variación Stock]]&lt;0,"Faltante","Sin novedad"))</f>
        <v>Sin novedad</v>
      </c>
    </row>
    <row r="3642" spans="1:14" x14ac:dyDescent="0.25">
      <c r="A3642" s="11">
        <v>46053</v>
      </c>
      <c r="B3642" s="5" t="s">
        <v>1078</v>
      </c>
      <c r="C3642" s="3" t="s">
        <v>339</v>
      </c>
      <c r="D3642" s="5" t="s">
        <v>118</v>
      </c>
      <c r="E3642" s="5" t="s">
        <v>112</v>
      </c>
      <c r="F3642" s="6" t="s">
        <v>90</v>
      </c>
      <c r="G3642" s="4" t="s">
        <v>81</v>
      </c>
      <c r="H3642" s="25">
        <v>4385.1000000000004</v>
      </c>
      <c r="I3642" s="8">
        <v>17</v>
      </c>
      <c r="J3642" s="9">
        <v>18</v>
      </c>
      <c r="K3642" s="7">
        <v>1</v>
      </c>
      <c r="L3642" s="24">
        <f>+Tabla2[[#This Row],[Stock Inventario]]*Tabla2[[#This Row],[Coste LÃ­nea]]</f>
        <v>78931.8</v>
      </c>
      <c r="M3642" s="24">
        <f>+Tabla2[[#This Row],[Variación Stock]]*Tabla2[[#This Row],[Coste LÃ­nea]]</f>
        <v>4385.1000000000004</v>
      </c>
      <c r="N3642" s="22" t="str">
        <f>+IF(Tabla2[[#This Row],[Variación Stock]]&gt;0,"Sobrante",IF(Tabla2[[#This Row],[Variación Stock]]&lt;0,"Faltante","Sin novedad"))</f>
        <v>Sobrante</v>
      </c>
    </row>
    <row r="3643" spans="1:14" hidden="1" x14ac:dyDescent="0.25">
      <c r="A3643" s="11">
        <v>46044</v>
      </c>
      <c r="B3643" s="5" t="s">
        <v>378</v>
      </c>
      <c r="C3643" s="3" t="s">
        <v>339</v>
      </c>
      <c r="D3643" s="5" t="s">
        <v>323</v>
      </c>
      <c r="E3643" s="5" t="s">
        <v>117</v>
      </c>
      <c r="F3643" s="6" t="s">
        <v>328</v>
      </c>
      <c r="G3643" s="4" t="s">
        <v>2</v>
      </c>
      <c r="H3643" s="25">
        <v>20272.394615379999</v>
      </c>
      <c r="I3643" s="8">
        <v>54.7</v>
      </c>
      <c r="J3643" s="9">
        <v>29.7</v>
      </c>
      <c r="K3643" s="15">
        <v>-25</v>
      </c>
      <c r="L3643" s="24">
        <f>+Tabla2[[#This Row],[Stock Inventario]]*Tabla2[[#This Row],[Coste LÃ­nea]]</f>
        <v>602090.12007678591</v>
      </c>
      <c r="M3643" s="24">
        <f>+Tabla2[[#This Row],[Variación Stock]]*Tabla2[[#This Row],[Coste LÃ­nea]]</f>
        <v>-506809.86538449995</v>
      </c>
      <c r="N3643" s="22" t="str">
        <f>+IF(Tabla2[[#This Row],[Variación Stock]]&gt;0,"Sobrante",IF(Tabla2[[#This Row],[Variación Stock]]&lt;0,"Faltante","Sin novedad"))</f>
        <v>Faltante</v>
      </c>
    </row>
    <row r="3644" spans="1:14" x14ac:dyDescent="0.25">
      <c r="A3644" s="11">
        <v>46044</v>
      </c>
      <c r="B3644" s="5" t="s">
        <v>378</v>
      </c>
      <c r="C3644" s="3" t="s">
        <v>339</v>
      </c>
      <c r="D3644" s="5" t="s">
        <v>118</v>
      </c>
      <c r="E3644" s="5" t="s">
        <v>112</v>
      </c>
      <c r="F3644" s="6" t="s">
        <v>311</v>
      </c>
      <c r="G3644" s="4" t="s">
        <v>2</v>
      </c>
      <c r="H3644" s="25">
        <v>79652</v>
      </c>
      <c r="I3644" s="8">
        <v>1</v>
      </c>
      <c r="J3644" s="9">
        <v>1</v>
      </c>
      <c r="K3644" s="7">
        <v>0</v>
      </c>
      <c r="L3644" s="24">
        <f>+Tabla2[[#This Row],[Stock Inventario]]*Tabla2[[#This Row],[Coste LÃ­nea]]</f>
        <v>79652</v>
      </c>
      <c r="M3644" s="24">
        <f>+Tabla2[[#This Row],[Variación Stock]]*Tabla2[[#This Row],[Coste LÃ­nea]]</f>
        <v>0</v>
      </c>
      <c r="N3644" s="22" t="str">
        <f>+IF(Tabla2[[#This Row],[Variación Stock]]&gt;0,"Sobrante",IF(Tabla2[[#This Row],[Variación Stock]]&lt;0,"Faltante","Sin novedad"))</f>
        <v>Sin novedad</v>
      </c>
    </row>
    <row r="3645" spans="1:14" x14ac:dyDescent="0.25">
      <c r="A3645" s="11">
        <v>46044</v>
      </c>
      <c r="B3645" s="5" t="s">
        <v>378</v>
      </c>
      <c r="C3645" s="3" t="s">
        <v>339</v>
      </c>
      <c r="D3645" s="5" t="s">
        <v>111</v>
      </c>
      <c r="E3645" s="5" t="s">
        <v>112</v>
      </c>
      <c r="F3645" s="6" t="s">
        <v>366</v>
      </c>
      <c r="G3645" s="4" t="s">
        <v>0</v>
      </c>
      <c r="H3645" s="25">
        <v>1794</v>
      </c>
      <c r="I3645" s="8">
        <v>0</v>
      </c>
      <c r="J3645" s="9">
        <v>44</v>
      </c>
      <c r="K3645" s="7">
        <v>0</v>
      </c>
      <c r="L3645" s="24">
        <f>+Tabla2[[#This Row],[Stock Inventario]]*Tabla2[[#This Row],[Coste LÃ­nea]]</f>
        <v>78936</v>
      </c>
      <c r="M3645" s="24">
        <f>+Tabla2[[#This Row],[Variación Stock]]*Tabla2[[#This Row],[Coste LÃ­nea]]</f>
        <v>0</v>
      </c>
      <c r="N3645" s="22" t="str">
        <f>+IF(Tabla2[[#This Row],[Variación Stock]]&gt;0,"Sobrante",IF(Tabla2[[#This Row],[Variación Stock]]&lt;0,"Faltante","Sin novedad"))</f>
        <v>Sin novedad</v>
      </c>
    </row>
    <row r="3646" spans="1:14" x14ac:dyDescent="0.25">
      <c r="A3646" s="11">
        <v>46044</v>
      </c>
      <c r="B3646" s="5" t="s">
        <v>378</v>
      </c>
      <c r="C3646" s="3" t="s">
        <v>339</v>
      </c>
      <c r="D3646" s="5" t="s">
        <v>111</v>
      </c>
      <c r="E3646" s="5" t="s">
        <v>112</v>
      </c>
      <c r="F3646" s="6" t="s">
        <v>41</v>
      </c>
      <c r="G3646" s="4" t="s">
        <v>0</v>
      </c>
      <c r="H3646" s="25">
        <v>2904.0416666699998</v>
      </c>
      <c r="I3646" s="8">
        <v>49.52</v>
      </c>
      <c r="J3646" s="9">
        <v>27</v>
      </c>
      <c r="K3646" s="7">
        <v>-22.52</v>
      </c>
      <c r="L3646" s="24">
        <f>+Tabla2[[#This Row],[Stock Inventario]]*Tabla2[[#This Row],[Coste LÃ­nea]]</f>
        <v>78409.125000089989</v>
      </c>
      <c r="M3646" s="24">
        <f>+Tabla2[[#This Row],[Variación Stock]]*Tabla2[[#This Row],[Coste LÃ­nea]]</f>
        <v>-65399.018333408392</v>
      </c>
      <c r="N3646" s="22" t="str">
        <f>+IF(Tabla2[[#This Row],[Variación Stock]]&gt;0,"Sobrante",IF(Tabla2[[#This Row],[Variación Stock]]&lt;0,"Faltante","Sin novedad"))</f>
        <v>Faltante</v>
      </c>
    </row>
    <row r="3647" spans="1:14" x14ac:dyDescent="0.25">
      <c r="A3647" s="11">
        <v>46044</v>
      </c>
      <c r="B3647" s="5" t="s">
        <v>378</v>
      </c>
      <c r="C3647" s="3" t="s">
        <v>339</v>
      </c>
      <c r="D3647" s="5" t="s">
        <v>111</v>
      </c>
      <c r="E3647" s="5" t="s">
        <v>112</v>
      </c>
      <c r="F3647" s="6" t="s">
        <v>46</v>
      </c>
      <c r="G3647" s="4" t="s">
        <v>0</v>
      </c>
      <c r="H3647" s="25">
        <v>2056.3333333300002</v>
      </c>
      <c r="I3647" s="8">
        <v>37</v>
      </c>
      <c r="J3647" s="9">
        <v>37.5</v>
      </c>
      <c r="K3647" s="7">
        <v>0.5</v>
      </c>
      <c r="L3647" s="24">
        <f>+Tabla2[[#This Row],[Stock Inventario]]*Tabla2[[#This Row],[Coste LÃ­nea]]</f>
        <v>77112.499999875014</v>
      </c>
      <c r="M3647" s="24">
        <f>+Tabla2[[#This Row],[Variación Stock]]*Tabla2[[#This Row],[Coste LÃ­nea]]</f>
        <v>1028.1666666650001</v>
      </c>
      <c r="N3647" s="22" t="str">
        <f>+IF(Tabla2[[#This Row],[Variación Stock]]&gt;0,"Sobrante",IF(Tabla2[[#This Row],[Variación Stock]]&lt;0,"Faltante","Sin novedad"))</f>
        <v>Sobrante</v>
      </c>
    </row>
    <row r="3648" spans="1:14" hidden="1" x14ac:dyDescent="0.25">
      <c r="A3648" s="11">
        <v>46037</v>
      </c>
      <c r="B3648" s="5" t="s">
        <v>338</v>
      </c>
      <c r="C3648" s="3" t="s">
        <v>339</v>
      </c>
      <c r="D3648" s="5" t="s">
        <v>323</v>
      </c>
      <c r="E3648" s="5" t="s">
        <v>117</v>
      </c>
      <c r="F3648" s="6" t="s">
        <v>329</v>
      </c>
      <c r="G3648" s="4" t="s">
        <v>2</v>
      </c>
      <c r="H3648" s="25">
        <v>9204.3375632700008</v>
      </c>
      <c r="I3648" s="8">
        <v>23</v>
      </c>
      <c r="J3648" s="9">
        <v>14</v>
      </c>
      <c r="K3648" s="7">
        <v>-9</v>
      </c>
      <c r="L3648" s="24">
        <f>+Tabla2[[#This Row],[Stock Inventario]]*Tabla2[[#This Row],[Coste LÃ­nea]]</f>
        <v>128860.72588578</v>
      </c>
      <c r="M3648" s="24">
        <f>+Tabla2[[#This Row],[Variación Stock]]*Tabla2[[#This Row],[Coste LÃ­nea]]</f>
        <v>-82839.038069430011</v>
      </c>
      <c r="N3648" s="22" t="str">
        <f>+IF(Tabla2[[#This Row],[Variación Stock]]&gt;0,"Sobrante",IF(Tabla2[[#This Row],[Variación Stock]]&lt;0,"Faltante","Sin novedad"))</f>
        <v>Faltante</v>
      </c>
    </row>
    <row r="3649" spans="1:14" hidden="1" x14ac:dyDescent="0.25">
      <c r="A3649" s="11">
        <v>46044</v>
      </c>
      <c r="B3649" s="5" t="s">
        <v>378</v>
      </c>
      <c r="C3649" s="3" t="s">
        <v>339</v>
      </c>
      <c r="D3649" s="5" t="s">
        <v>323</v>
      </c>
      <c r="E3649" s="5" t="s">
        <v>117</v>
      </c>
      <c r="F3649" s="6" t="s">
        <v>329</v>
      </c>
      <c r="G3649" s="4" t="s">
        <v>2</v>
      </c>
      <c r="H3649" s="25">
        <v>7157.6045853699998</v>
      </c>
      <c r="I3649" s="8">
        <v>14</v>
      </c>
      <c r="J3649" s="9">
        <v>24</v>
      </c>
      <c r="K3649" s="7">
        <v>10</v>
      </c>
      <c r="L3649" s="24">
        <f>+Tabla2[[#This Row],[Stock Inventario]]*Tabla2[[#This Row],[Coste LÃ­nea]]</f>
        <v>171782.51004888001</v>
      </c>
      <c r="M3649" s="24">
        <f>+Tabla2[[#This Row],[Variación Stock]]*Tabla2[[#This Row],[Coste LÃ­nea]]</f>
        <v>71576.045853699994</v>
      </c>
      <c r="N3649" s="22" t="str">
        <f>+IF(Tabla2[[#This Row],[Variación Stock]]&gt;0,"Sobrante",IF(Tabla2[[#This Row],[Variación Stock]]&lt;0,"Faltante","Sin novedad"))</f>
        <v>Sobrante</v>
      </c>
    </row>
    <row r="3650" spans="1:14" x14ac:dyDescent="0.25">
      <c r="A3650" s="11">
        <v>46044</v>
      </c>
      <c r="B3650" s="5" t="s">
        <v>378</v>
      </c>
      <c r="C3650" s="3" t="s">
        <v>339</v>
      </c>
      <c r="D3650" s="5" t="s">
        <v>111</v>
      </c>
      <c r="E3650" s="5" t="s">
        <v>112</v>
      </c>
      <c r="F3650" s="6" t="s">
        <v>48</v>
      </c>
      <c r="G3650" s="4" t="s">
        <v>0</v>
      </c>
      <c r="H3650" s="25">
        <v>1729.16666667</v>
      </c>
      <c r="I3650" s="8">
        <v>39.770000000000003</v>
      </c>
      <c r="J3650" s="9">
        <v>40.32</v>
      </c>
      <c r="K3650" s="7">
        <v>0.55000000000000004</v>
      </c>
      <c r="L3650" s="24">
        <f>+Tabla2[[#This Row],[Stock Inventario]]*Tabla2[[#This Row],[Coste LÃ­nea]]</f>
        <v>69720.000000134401</v>
      </c>
      <c r="M3650" s="24">
        <f>+Tabla2[[#This Row],[Variación Stock]]*Tabla2[[#This Row],[Coste LÃ­nea]]</f>
        <v>951.04166666850006</v>
      </c>
      <c r="N3650" s="22" t="str">
        <f>+IF(Tabla2[[#This Row],[Variación Stock]]&gt;0,"Sobrante",IF(Tabla2[[#This Row],[Variación Stock]]&lt;0,"Faltante","Sin novedad"))</f>
        <v>Sobrante</v>
      </c>
    </row>
    <row r="3651" spans="1:14" hidden="1" x14ac:dyDescent="0.25">
      <c r="A3651" s="11">
        <v>46037</v>
      </c>
      <c r="B3651" s="5" t="s">
        <v>338</v>
      </c>
      <c r="C3651" s="3" t="s">
        <v>339</v>
      </c>
      <c r="D3651" s="5" t="s">
        <v>120</v>
      </c>
      <c r="E3651" s="5" t="s">
        <v>117</v>
      </c>
      <c r="F3651" s="6" t="s">
        <v>322</v>
      </c>
      <c r="G3651" s="4" t="s">
        <v>2</v>
      </c>
      <c r="H3651" s="25">
        <v>1889.6690877799999</v>
      </c>
      <c r="I3651" s="8">
        <v>13</v>
      </c>
      <c r="J3651" s="9">
        <v>19</v>
      </c>
      <c r="K3651" s="7">
        <v>6</v>
      </c>
      <c r="L3651" s="24">
        <f>+Tabla2[[#This Row],[Stock Inventario]]*Tabla2[[#This Row],[Coste LÃ­nea]]</f>
        <v>35903.71266782</v>
      </c>
      <c r="M3651" s="24">
        <f>+Tabla2[[#This Row],[Variación Stock]]*Tabla2[[#This Row],[Coste LÃ­nea]]</f>
        <v>11338.014526679999</v>
      </c>
      <c r="N3651" s="22" t="str">
        <f>+IF(Tabla2[[#This Row],[Variación Stock]]&gt;0,"Sobrante",IF(Tabla2[[#This Row],[Variación Stock]]&lt;0,"Faltante","Sin novedad"))</f>
        <v>Sobrante</v>
      </c>
    </row>
    <row r="3652" spans="1:14" hidden="1" x14ac:dyDescent="0.25">
      <c r="A3652" s="11">
        <v>46044</v>
      </c>
      <c r="B3652" s="5" t="s">
        <v>378</v>
      </c>
      <c r="C3652" s="3" t="s">
        <v>339</v>
      </c>
      <c r="D3652" s="5" t="s">
        <v>120</v>
      </c>
      <c r="E3652" s="5" t="s">
        <v>117</v>
      </c>
      <c r="F3652" s="6" t="s">
        <v>322</v>
      </c>
      <c r="G3652" s="4" t="s">
        <v>2</v>
      </c>
      <c r="H3652" s="25">
        <v>2218.6638458100001</v>
      </c>
      <c r="I3652" s="8">
        <v>76</v>
      </c>
      <c r="J3652" s="9">
        <v>75</v>
      </c>
      <c r="K3652" s="7">
        <v>-1</v>
      </c>
      <c r="L3652" s="24">
        <f>+Tabla2[[#This Row],[Stock Inventario]]*Tabla2[[#This Row],[Coste LÃ­nea]]</f>
        <v>166399.78843575</v>
      </c>
      <c r="M3652" s="24">
        <f>+Tabla2[[#This Row],[Variación Stock]]*Tabla2[[#This Row],[Coste LÃ­nea]]</f>
        <v>-2218.6638458100001</v>
      </c>
      <c r="N3652" s="22" t="str">
        <f>+IF(Tabla2[[#This Row],[Variación Stock]]&gt;0,"Sobrante",IF(Tabla2[[#This Row],[Variación Stock]]&lt;0,"Faltante","Sin novedad"))</f>
        <v>Faltante</v>
      </c>
    </row>
    <row r="3653" spans="1:14" hidden="1" x14ac:dyDescent="0.25">
      <c r="A3653" s="11">
        <v>46037</v>
      </c>
      <c r="B3653" s="5" t="s">
        <v>338</v>
      </c>
      <c r="C3653" s="3" t="s">
        <v>339</v>
      </c>
      <c r="D3653" s="5" t="s">
        <v>120</v>
      </c>
      <c r="E3653" s="5" t="s">
        <v>117</v>
      </c>
      <c r="F3653" s="6" t="s">
        <v>320</v>
      </c>
      <c r="G3653" s="4" t="s">
        <v>2</v>
      </c>
      <c r="H3653" s="25">
        <v>6620.7003902899996</v>
      </c>
      <c r="I3653" s="8">
        <v>-9</v>
      </c>
      <c r="J3653" s="9">
        <v>5</v>
      </c>
      <c r="K3653" s="7">
        <v>14</v>
      </c>
      <c r="L3653" s="24">
        <f>+Tabla2[[#This Row],[Stock Inventario]]*Tabla2[[#This Row],[Coste LÃ­nea]]</f>
        <v>33103.501951450002</v>
      </c>
      <c r="M3653" s="24">
        <f>+Tabla2[[#This Row],[Variación Stock]]*Tabla2[[#This Row],[Coste LÃ­nea]]</f>
        <v>92689.805464059988</v>
      </c>
      <c r="N3653" s="22" t="str">
        <f>+IF(Tabla2[[#This Row],[Variación Stock]]&gt;0,"Sobrante",IF(Tabla2[[#This Row],[Variación Stock]]&lt;0,"Faltante","Sin novedad"))</f>
        <v>Sobrante</v>
      </c>
    </row>
    <row r="3654" spans="1:14" hidden="1" x14ac:dyDescent="0.25">
      <c r="A3654" s="11">
        <v>46044</v>
      </c>
      <c r="B3654" s="5" t="s">
        <v>378</v>
      </c>
      <c r="C3654" s="3" t="s">
        <v>339</v>
      </c>
      <c r="D3654" s="5" t="s">
        <v>119</v>
      </c>
      <c r="E3654" s="5" t="s">
        <v>117</v>
      </c>
      <c r="F3654" s="6" t="s">
        <v>14</v>
      </c>
      <c r="G3654" s="4" t="s">
        <v>1</v>
      </c>
      <c r="H3654" s="25">
        <v>31.416</v>
      </c>
      <c r="I3654" s="8">
        <v>18000</v>
      </c>
      <c r="J3654" s="9">
        <v>2000</v>
      </c>
      <c r="K3654" s="7">
        <v>-16000</v>
      </c>
      <c r="L3654" s="24">
        <f>+Tabla2[[#This Row],[Stock Inventario]]*Tabla2[[#This Row],[Coste LÃ­nea]]</f>
        <v>62832</v>
      </c>
      <c r="M3654" s="24">
        <f>+Tabla2[[#This Row],[Variación Stock]]*Tabla2[[#This Row],[Coste LÃ­nea]]</f>
        <v>-502656</v>
      </c>
      <c r="N3654" s="22" t="str">
        <f>+IF(Tabla2[[#This Row],[Variación Stock]]&gt;0,"Sobrante",IF(Tabla2[[#This Row],[Variación Stock]]&lt;0,"Faltante","Sin novedad"))</f>
        <v>Faltante</v>
      </c>
    </row>
    <row r="3655" spans="1:14" x14ac:dyDescent="0.25">
      <c r="A3655" s="11">
        <v>46044</v>
      </c>
      <c r="B3655" s="5" t="s">
        <v>378</v>
      </c>
      <c r="C3655" s="3" t="s">
        <v>339</v>
      </c>
      <c r="D3655" s="5" t="s">
        <v>111</v>
      </c>
      <c r="E3655" s="5" t="s">
        <v>112</v>
      </c>
      <c r="F3655" s="6" t="s">
        <v>34</v>
      </c>
      <c r="G3655" s="4" t="s">
        <v>0</v>
      </c>
      <c r="H3655" s="25">
        <v>5896.9583333299997</v>
      </c>
      <c r="I3655" s="8">
        <v>17</v>
      </c>
      <c r="J3655" s="9">
        <v>10.62</v>
      </c>
      <c r="K3655" s="7">
        <v>-6.38</v>
      </c>
      <c r="L3655" s="24">
        <f>+Tabla2[[#This Row],[Stock Inventario]]*Tabla2[[#This Row],[Coste LÃ­nea]]</f>
        <v>62625.69749996459</v>
      </c>
      <c r="M3655" s="24">
        <f>+Tabla2[[#This Row],[Variación Stock]]*Tabla2[[#This Row],[Coste LÃ­nea]]</f>
        <v>-37622.594166645395</v>
      </c>
      <c r="N3655" s="22" t="str">
        <f>+IF(Tabla2[[#This Row],[Variación Stock]]&gt;0,"Sobrante",IF(Tabla2[[#This Row],[Variación Stock]]&lt;0,"Faltante","Sin novedad"))</f>
        <v>Faltante</v>
      </c>
    </row>
    <row r="3656" spans="1:14" x14ac:dyDescent="0.25">
      <c r="A3656" s="11">
        <v>46044</v>
      </c>
      <c r="B3656" s="5" t="s">
        <v>378</v>
      </c>
      <c r="C3656" s="3" t="s">
        <v>339</v>
      </c>
      <c r="D3656" s="5" t="s">
        <v>122</v>
      </c>
      <c r="E3656" s="5" t="s">
        <v>112</v>
      </c>
      <c r="F3656" s="6" t="s">
        <v>97</v>
      </c>
      <c r="G3656" s="4" t="s">
        <v>2</v>
      </c>
      <c r="H3656" s="25">
        <v>1234.3916666699999</v>
      </c>
      <c r="I3656" s="8">
        <v>50</v>
      </c>
      <c r="J3656" s="9">
        <v>50</v>
      </c>
      <c r="K3656" s="7">
        <v>0</v>
      </c>
      <c r="L3656" s="24">
        <f>+Tabla2[[#This Row],[Stock Inventario]]*Tabla2[[#This Row],[Coste LÃ­nea]]</f>
        <v>61719.583333499999</v>
      </c>
      <c r="M3656" s="24">
        <f>+Tabla2[[#This Row],[Variación Stock]]*Tabla2[[#This Row],[Coste LÃ­nea]]</f>
        <v>0</v>
      </c>
      <c r="N3656" s="22" t="str">
        <f>+IF(Tabla2[[#This Row],[Variación Stock]]&gt;0,"Sobrante",IF(Tabla2[[#This Row],[Variación Stock]]&lt;0,"Faltante","Sin novedad"))</f>
        <v>Sin novedad</v>
      </c>
    </row>
    <row r="3657" spans="1:14" x14ac:dyDescent="0.25">
      <c r="A3657" s="11">
        <v>46037</v>
      </c>
      <c r="B3657" s="5" t="s">
        <v>338</v>
      </c>
      <c r="C3657" s="3" t="s">
        <v>339</v>
      </c>
      <c r="D3657" s="5" t="s">
        <v>118</v>
      </c>
      <c r="E3657" s="5" t="s">
        <v>112</v>
      </c>
      <c r="F3657" s="6" t="s">
        <v>87</v>
      </c>
      <c r="G3657" s="4" t="s">
        <v>2</v>
      </c>
      <c r="H3657" s="25">
        <v>37612</v>
      </c>
      <c r="I3657" s="8">
        <v>1</v>
      </c>
      <c r="J3657" s="9">
        <v>0</v>
      </c>
      <c r="K3657" s="7">
        <v>-1</v>
      </c>
      <c r="L3657" s="24">
        <f>+Tabla2[[#This Row],[Stock Inventario]]*Tabla2[[#This Row],[Coste LÃ­nea]]</f>
        <v>0</v>
      </c>
      <c r="M3657" s="24">
        <f>+Tabla2[[#This Row],[Variación Stock]]*Tabla2[[#This Row],[Coste LÃ­nea]]</f>
        <v>-37612</v>
      </c>
      <c r="N3657" s="22" t="str">
        <f>+IF(Tabla2[[#This Row],[Variación Stock]]&gt;0,"Sobrante",IF(Tabla2[[#This Row],[Variación Stock]]&lt;0,"Faltante","Sin novedad"))</f>
        <v>Faltante</v>
      </c>
    </row>
    <row r="3658" spans="1:14" x14ac:dyDescent="0.25">
      <c r="A3658" s="11">
        <v>46044</v>
      </c>
      <c r="B3658" s="5" t="s">
        <v>378</v>
      </c>
      <c r="C3658" s="3" t="s">
        <v>339</v>
      </c>
      <c r="D3658" s="5" t="s">
        <v>111</v>
      </c>
      <c r="E3658" s="5" t="s">
        <v>112</v>
      </c>
      <c r="F3658" s="6" t="s">
        <v>50</v>
      </c>
      <c r="G3658" s="4" t="s">
        <v>0</v>
      </c>
      <c r="H3658" s="25">
        <v>1658.625</v>
      </c>
      <c r="I3658" s="8">
        <v>38.799999999999997</v>
      </c>
      <c r="J3658" s="9">
        <v>36.799999999999997</v>
      </c>
      <c r="K3658" s="7">
        <v>-2</v>
      </c>
      <c r="L3658" s="24">
        <f>+Tabla2[[#This Row],[Stock Inventario]]*Tabla2[[#This Row],[Coste LÃ­nea]]</f>
        <v>61037.399999999994</v>
      </c>
      <c r="M3658" s="24">
        <f>+Tabla2[[#This Row],[Variación Stock]]*Tabla2[[#This Row],[Coste LÃ­nea]]</f>
        <v>-3317.25</v>
      </c>
      <c r="N3658" s="22" t="str">
        <f>+IF(Tabla2[[#This Row],[Variación Stock]]&gt;0,"Sobrante",IF(Tabla2[[#This Row],[Variación Stock]]&lt;0,"Faltante","Sin novedad"))</f>
        <v>Faltante</v>
      </c>
    </row>
    <row r="3659" spans="1:14" hidden="1" x14ac:dyDescent="0.25">
      <c r="A3659" s="11">
        <v>46044</v>
      </c>
      <c r="B3659" s="5" t="s">
        <v>378</v>
      </c>
      <c r="C3659" s="3" t="s">
        <v>339</v>
      </c>
      <c r="D3659" s="5" t="s">
        <v>119</v>
      </c>
      <c r="E3659" s="5" t="s">
        <v>117</v>
      </c>
      <c r="F3659" s="6" t="s">
        <v>13</v>
      </c>
      <c r="G3659" s="4" t="s">
        <v>2</v>
      </c>
      <c r="H3659" s="25">
        <v>8166.6666666700003</v>
      </c>
      <c r="I3659" s="8">
        <v>7</v>
      </c>
      <c r="J3659" s="9">
        <v>7</v>
      </c>
      <c r="K3659" s="7">
        <v>0</v>
      </c>
      <c r="L3659" s="24">
        <f>+Tabla2[[#This Row],[Stock Inventario]]*Tabla2[[#This Row],[Coste LÃ­nea]]</f>
        <v>57166.666666689998</v>
      </c>
      <c r="M3659" s="24">
        <f>+Tabla2[[#This Row],[Variación Stock]]*Tabla2[[#This Row],[Coste LÃ­nea]]</f>
        <v>0</v>
      </c>
      <c r="N3659" s="22" t="str">
        <f>+IF(Tabla2[[#This Row],[Variación Stock]]&gt;0,"Sobrante",IF(Tabla2[[#This Row],[Variación Stock]]&lt;0,"Faltante","Sin novedad"))</f>
        <v>Sin novedad</v>
      </c>
    </row>
    <row r="3660" spans="1:14" x14ac:dyDescent="0.25">
      <c r="A3660" s="11">
        <v>46044</v>
      </c>
      <c r="B3660" s="5" t="s">
        <v>378</v>
      </c>
      <c r="C3660" s="3" t="s">
        <v>339</v>
      </c>
      <c r="D3660" s="5" t="s">
        <v>111</v>
      </c>
      <c r="E3660" s="5" t="s">
        <v>112</v>
      </c>
      <c r="F3660" s="6" t="s">
        <v>37</v>
      </c>
      <c r="G3660" s="4" t="s">
        <v>0</v>
      </c>
      <c r="H3660" s="25">
        <v>4279.4583333299997</v>
      </c>
      <c r="I3660" s="8">
        <v>12.72</v>
      </c>
      <c r="J3660" s="9">
        <v>13</v>
      </c>
      <c r="K3660" s="7">
        <v>0.28000000000000003</v>
      </c>
      <c r="L3660" s="24">
        <f>+Tabla2[[#This Row],[Stock Inventario]]*Tabla2[[#This Row],[Coste LÃ­nea]]</f>
        <v>55632.958333289993</v>
      </c>
      <c r="M3660" s="24">
        <f>+Tabla2[[#This Row],[Variación Stock]]*Tabla2[[#This Row],[Coste LÃ­nea]]</f>
        <v>1198.2483333324001</v>
      </c>
      <c r="N3660" s="22" t="str">
        <f>+IF(Tabla2[[#This Row],[Variación Stock]]&gt;0,"Sobrante",IF(Tabla2[[#This Row],[Variación Stock]]&lt;0,"Faltante","Sin novedad"))</f>
        <v>Sobrante</v>
      </c>
    </row>
    <row r="3661" spans="1:14" x14ac:dyDescent="0.25">
      <c r="A3661" s="11">
        <v>46044</v>
      </c>
      <c r="B3661" s="5" t="s">
        <v>378</v>
      </c>
      <c r="C3661" s="3" t="s">
        <v>339</v>
      </c>
      <c r="D3661" s="5" t="s">
        <v>118</v>
      </c>
      <c r="E3661" s="5" t="s">
        <v>112</v>
      </c>
      <c r="F3661" s="6" t="s">
        <v>296</v>
      </c>
      <c r="G3661" s="4" t="s">
        <v>2</v>
      </c>
      <c r="H3661" s="25">
        <v>27250</v>
      </c>
      <c r="I3661" s="8">
        <v>2</v>
      </c>
      <c r="J3661" s="9">
        <v>2</v>
      </c>
      <c r="K3661" s="7">
        <v>0</v>
      </c>
      <c r="L3661" s="24">
        <f>+Tabla2[[#This Row],[Stock Inventario]]*Tabla2[[#This Row],[Coste LÃ­nea]]</f>
        <v>54500</v>
      </c>
      <c r="M3661" s="24">
        <f>+Tabla2[[#This Row],[Variación Stock]]*Tabla2[[#This Row],[Coste LÃ­nea]]</f>
        <v>0</v>
      </c>
      <c r="N3661" s="22" t="str">
        <f>+IF(Tabla2[[#This Row],[Variación Stock]]&gt;0,"Sobrante",IF(Tabla2[[#This Row],[Variación Stock]]&lt;0,"Faltante","Sin novedad"))</f>
        <v>Sin novedad</v>
      </c>
    </row>
    <row r="3662" spans="1:14" x14ac:dyDescent="0.25">
      <c r="A3662" s="11">
        <v>46044</v>
      </c>
      <c r="B3662" s="5" t="s">
        <v>378</v>
      </c>
      <c r="C3662" s="3" t="s">
        <v>339</v>
      </c>
      <c r="D3662" s="5" t="s">
        <v>111</v>
      </c>
      <c r="E3662" s="5" t="s">
        <v>112</v>
      </c>
      <c r="F3662" s="6" t="s">
        <v>45</v>
      </c>
      <c r="G3662" s="4" t="s">
        <v>2</v>
      </c>
      <c r="H3662" s="25">
        <v>26517.26</v>
      </c>
      <c r="I3662" s="8">
        <v>2</v>
      </c>
      <c r="J3662" s="9">
        <v>2</v>
      </c>
      <c r="K3662" s="7">
        <v>0</v>
      </c>
      <c r="L3662" s="24">
        <f>+Tabla2[[#This Row],[Stock Inventario]]*Tabla2[[#This Row],[Coste LÃ­nea]]</f>
        <v>53034.52</v>
      </c>
      <c r="M3662" s="24">
        <f>+Tabla2[[#This Row],[Variación Stock]]*Tabla2[[#This Row],[Coste LÃ­nea]]</f>
        <v>0</v>
      </c>
      <c r="N3662" s="22" t="str">
        <f>+IF(Tabla2[[#This Row],[Variación Stock]]&gt;0,"Sobrante",IF(Tabla2[[#This Row],[Variación Stock]]&lt;0,"Faltante","Sin novedad"))</f>
        <v>Sin novedad</v>
      </c>
    </row>
    <row r="3663" spans="1:14" hidden="1" x14ac:dyDescent="0.25">
      <c r="A3663" s="11">
        <v>46044</v>
      </c>
      <c r="B3663" s="5" t="s">
        <v>378</v>
      </c>
      <c r="C3663" s="3" t="s">
        <v>339</v>
      </c>
      <c r="D3663" s="5" t="s">
        <v>120</v>
      </c>
      <c r="E3663" s="5" t="s">
        <v>117</v>
      </c>
      <c r="F3663" s="6" t="s">
        <v>318</v>
      </c>
      <c r="G3663" s="4" t="s">
        <v>2</v>
      </c>
      <c r="H3663" s="25">
        <v>5396.4738635900003</v>
      </c>
      <c r="I3663" s="8">
        <v>9</v>
      </c>
      <c r="J3663" s="9">
        <v>9</v>
      </c>
      <c r="K3663" s="7">
        <v>0</v>
      </c>
      <c r="L3663" s="24">
        <f>+Tabla2[[#This Row],[Stock Inventario]]*Tabla2[[#This Row],[Coste LÃ­nea]]</f>
        <v>48568.264772310002</v>
      </c>
      <c r="M3663" s="24">
        <f>+Tabla2[[#This Row],[Variación Stock]]*Tabla2[[#This Row],[Coste LÃ­nea]]</f>
        <v>0</v>
      </c>
      <c r="N3663" s="22" t="str">
        <f>+IF(Tabla2[[#This Row],[Variación Stock]]&gt;0,"Sobrante",IF(Tabla2[[#This Row],[Variación Stock]]&lt;0,"Faltante","Sin novedad"))</f>
        <v>Sin novedad</v>
      </c>
    </row>
    <row r="3664" spans="1:14" x14ac:dyDescent="0.25">
      <c r="A3664" s="11">
        <v>46044</v>
      </c>
      <c r="B3664" s="5" t="s">
        <v>378</v>
      </c>
      <c r="C3664" s="3" t="s">
        <v>339</v>
      </c>
      <c r="D3664" s="5" t="s">
        <v>111</v>
      </c>
      <c r="E3664" s="5" t="s">
        <v>112</v>
      </c>
      <c r="F3664" s="6" t="s">
        <v>16</v>
      </c>
      <c r="G3664" s="4" t="s">
        <v>0</v>
      </c>
      <c r="H3664" s="25">
        <v>2309.40625</v>
      </c>
      <c r="I3664" s="8">
        <v>19.39</v>
      </c>
      <c r="J3664" s="9">
        <v>20.61</v>
      </c>
      <c r="K3664" s="7">
        <v>1.22</v>
      </c>
      <c r="L3664" s="24">
        <f>+Tabla2[[#This Row],[Stock Inventario]]*Tabla2[[#This Row],[Coste LÃ­nea]]</f>
        <v>47596.862812499996</v>
      </c>
      <c r="M3664" s="24">
        <f>+Tabla2[[#This Row],[Variación Stock]]*Tabla2[[#This Row],[Coste LÃ­nea]]</f>
        <v>2817.475625</v>
      </c>
      <c r="N3664" s="22" t="str">
        <f>+IF(Tabla2[[#This Row],[Variación Stock]]&gt;0,"Sobrante",IF(Tabla2[[#This Row],[Variación Stock]]&lt;0,"Faltante","Sin novedad"))</f>
        <v>Sobrante</v>
      </c>
    </row>
    <row r="3665" spans="1:14" x14ac:dyDescent="0.25">
      <c r="A3665" s="11">
        <v>46044</v>
      </c>
      <c r="B3665" s="5" t="s">
        <v>378</v>
      </c>
      <c r="C3665" s="3" t="s">
        <v>339</v>
      </c>
      <c r="D3665" s="5" t="s">
        <v>115</v>
      </c>
      <c r="E3665" s="5" t="s">
        <v>112</v>
      </c>
      <c r="F3665" s="6" t="s">
        <v>78</v>
      </c>
      <c r="G3665" s="4" t="s">
        <v>2</v>
      </c>
      <c r="H3665" s="25">
        <v>3261.8333333300002</v>
      </c>
      <c r="I3665" s="8">
        <v>14</v>
      </c>
      <c r="J3665" s="9">
        <v>14</v>
      </c>
      <c r="K3665" s="7">
        <v>0</v>
      </c>
      <c r="L3665" s="24">
        <f>+Tabla2[[#This Row],[Stock Inventario]]*Tabla2[[#This Row],[Coste LÃ­nea]]</f>
        <v>45665.666666620004</v>
      </c>
      <c r="M3665" s="24">
        <f>+Tabla2[[#This Row],[Variación Stock]]*Tabla2[[#This Row],[Coste LÃ­nea]]</f>
        <v>0</v>
      </c>
      <c r="N3665" s="22" t="str">
        <f>+IF(Tabla2[[#This Row],[Variación Stock]]&gt;0,"Sobrante",IF(Tabla2[[#This Row],[Variación Stock]]&lt;0,"Faltante","Sin novedad"))</f>
        <v>Sin novedad</v>
      </c>
    </row>
    <row r="3666" spans="1:14" x14ac:dyDescent="0.25">
      <c r="A3666" s="11">
        <v>46044</v>
      </c>
      <c r="B3666" s="5" t="s">
        <v>378</v>
      </c>
      <c r="C3666" s="3" t="s">
        <v>339</v>
      </c>
      <c r="D3666" s="5" t="s">
        <v>111</v>
      </c>
      <c r="E3666" s="5" t="s">
        <v>112</v>
      </c>
      <c r="F3666" s="6" t="s">
        <v>47</v>
      </c>
      <c r="G3666" s="4" t="s">
        <v>2</v>
      </c>
      <c r="H3666" s="25">
        <v>22770</v>
      </c>
      <c r="I3666" s="8">
        <v>2</v>
      </c>
      <c r="J3666" s="9">
        <v>2</v>
      </c>
      <c r="K3666" s="7">
        <v>0</v>
      </c>
      <c r="L3666" s="24">
        <f>+Tabla2[[#This Row],[Stock Inventario]]*Tabla2[[#This Row],[Coste LÃ­nea]]</f>
        <v>45540</v>
      </c>
      <c r="M3666" s="24">
        <f>+Tabla2[[#This Row],[Variación Stock]]*Tabla2[[#This Row],[Coste LÃ­nea]]</f>
        <v>0</v>
      </c>
      <c r="N3666" s="22" t="str">
        <f>+IF(Tabla2[[#This Row],[Variación Stock]]&gt;0,"Sobrante",IF(Tabla2[[#This Row],[Variación Stock]]&lt;0,"Faltante","Sin novedad"))</f>
        <v>Sin novedad</v>
      </c>
    </row>
    <row r="3667" spans="1:14" x14ac:dyDescent="0.25">
      <c r="A3667" s="11">
        <v>46044</v>
      </c>
      <c r="B3667" s="5" t="s">
        <v>378</v>
      </c>
      <c r="C3667" s="3" t="s">
        <v>339</v>
      </c>
      <c r="D3667" s="5" t="s">
        <v>121</v>
      </c>
      <c r="E3667" s="5" t="s">
        <v>112</v>
      </c>
      <c r="F3667" s="6" t="s">
        <v>334</v>
      </c>
      <c r="G3667" s="4" t="s">
        <v>0</v>
      </c>
      <c r="H3667" s="25">
        <v>1929.2098808600001</v>
      </c>
      <c r="I3667" s="8">
        <v>23</v>
      </c>
      <c r="J3667" s="9">
        <v>23</v>
      </c>
      <c r="K3667" s="7">
        <v>0</v>
      </c>
      <c r="L3667" s="24">
        <f>+Tabla2[[#This Row],[Stock Inventario]]*Tabla2[[#This Row],[Coste LÃ­nea]]</f>
        <v>44371.827259780002</v>
      </c>
      <c r="M3667" s="24">
        <f>+Tabla2[[#This Row],[Variación Stock]]*Tabla2[[#This Row],[Coste LÃ­nea]]</f>
        <v>0</v>
      </c>
      <c r="N3667" s="22" t="str">
        <f>+IF(Tabla2[[#This Row],[Variación Stock]]&gt;0,"Sobrante",IF(Tabla2[[#This Row],[Variación Stock]]&lt;0,"Faltante","Sin novedad"))</f>
        <v>Sin novedad</v>
      </c>
    </row>
    <row r="3668" spans="1:14" x14ac:dyDescent="0.25">
      <c r="A3668" s="11">
        <v>46044</v>
      </c>
      <c r="B3668" s="5" t="s">
        <v>378</v>
      </c>
      <c r="C3668" s="3" t="s">
        <v>339</v>
      </c>
      <c r="D3668" s="5" t="s">
        <v>111</v>
      </c>
      <c r="E3668" s="5" t="s">
        <v>112</v>
      </c>
      <c r="F3668" s="6" t="s">
        <v>44</v>
      </c>
      <c r="G3668" s="4" t="s">
        <v>0</v>
      </c>
      <c r="H3668" s="25">
        <v>3500</v>
      </c>
      <c r="I3668" s="8">
        <v>14.42</v>
      </c>
      <c r="J3668" s="9">
        <v>12.35</v>
      </c>
      <c r="K3668" s="7">
        <v>-2.0699999999999998</v>
      </c>
      <c r="L3668" s="24">
        <f>+Tabla2[[#This Row],[Stock Inventario]]*Tabla2[[#This Row],[Coste LÃ­nea]]</f>
        <v>43225</v>
      </c>
      <c r="M3668" s="24">
        <f>+Tabla2[[#This Row],[Variación Stock]]*Tabla2[[#This Row],[Coste LÃ­nea]]</f>
        <v>-7244.9999999999991</v>
      </c>
      <c r="N3668" s="22" t="str">
        <f>+IF(Tabla2[[#This Row],[Variación Stock]]&gt;0,"Sobrante",IF(Tabla2[[#This Row],[Variación Stock]]&lt;0,"Faltante","Sin novedad"))</f>
        <v>Faltante</v>
      </c>
    </row>
    <row r="3669" spans="1:14" x14ac:dyDescent="0.25">
      <c r="A3669" s="11">
        <v>46044</v>
      </c>
      <c r="B3669" s="5" t="s">
        <v>378</v>
      </c>
      <c r="C3669" s="3" t="s">
        <v>339</v>
      </c>
      <c r="D3669" s="5" t="s">
        <v>118</v>
      </c>
      <c r="E3669" s="5" t="s">
        <v>112</v>
      </c>
      <c r="F3669" s="6" t="s">
        <v>370</v>
      </c>
      <c r="G3669" s="4" t="s">
        <v>0</v>
      </c>
      <c r="H3669" s="25">
        <v>1842.78125</v>
      </c>
      <c r="I3669" s="8">
        <v>22.26</v>
      </c>
      <c r="J3669" s="9">
        <v>21.63</v>
      </c>
      <c r="K3669" s="7">
        <v>-0.63</v>
      </c>
      <c r="L3669" s="24">
        <f>+Tabla2[[#This Row],[Stock Inventario]]*Tabla2[[#This Row],[Coste LÃ­nea]]</f>
        <v>39859.358437499999</v>
      </c>
      <c r="M3669" s="24">
        <f>+Tabla2[[#This Row],[Variación Stock]]*Tabla2[[#This Row],[Coste LÃ­nea]]</f>
        <v>-1160.9521875</v>
      </c>
      <c r="N3669" s="22" t="str">
        <f>+IF(Tabla2[[#This Row],[Variación Stock]]&gt;0,"Sobrante",IF(Tabla2[[#This Row],[Variación Stock]]&lt;0,"Faltante","Sin novedad"))</f>
        <v>Faltante</v>
      </c>
    </row>
    <row r="3670" spans="1:14" hidden="1" x14ac:dyDescent="0.25">
      <c r="A3670" s="11">
        <v>46044</v>
      </c>
      <c r="B3670" s="5" t="s">
        <v>378</v>
      </c>
      <c r="C3670" s="3" t="s">
        <v>339</v>
      </c>
      <c r="D3670" s="5" t="s">
        <v>120</v>
      </c>
      <c r="E3670" s="5" t="s">
        <v>117</v>
      </c>
      <c r="F3670" s="6" t="s">
        <v>320</v>
      </c>
      <c r="G3670" s="4" t="s">
        <v>2</v>
      </c>
      <c r="H3670" s="25">
        <v>6495.1191714500001</v>
      </c>
      <c r="I3670" s="8">
        <v>7</v>
      </c>
      <c r="J3670" s="9">
        <v>3</v>
      </c>
      <c r="K3670" s="7">
        <v>-4</v>
      </c>
      <c r="L3670" s="24">
        <f>+Tabla2[[#This Row],[Stock Inventario]]*Tabla2[[#This Row],[Coste LÃ­nea]]</f>
        <v>19485.357514349998</v>
      </c>
      <c r="M3670" s="24">
        <f>+Tabla2[[#This Row],[Variación Stock]]*Tabla2[[#This Row],[Coste LÃ­nea]]</f>
        <v>-25980.4766858</v>
      </c>
      <c r="N3670" s="22" t="str">
        <f>+IF(Tabla2[[#This Row],[Variación Stock]]&gt;0,"Sobrante",IF(Tabla2[[#This Row],[Variación Stock]]&lt;0,"Faltante","Sin novedad"))</f>
        <v>Faltante</v>
      </c>
    </row>
    <row r="3671" spans="1:14" x14ac:dyDescent="0.25">
      <c r="A3671" s="11">
        <v>46044</v>
      </c>
      <c r="B3671" s="5" t="s">
        <v>378</v>
      </c>
      <c r="C3671" s="3" t="s">
        <v>339</v>
      </c>
      <c r="D3671" s="5" t="s">
        <v>122</v>
      </c>
      <c r="E3671" s="5" t="s">
        <v>112</v>
      </c>
      <c r="F3671" s="6" t="s">
        <v>104</v>
      </c>
      <c r="G3671" s="4" t="s">
        <v>2</v>
      </c>
      <c r="H3671" s="25">
        <v>3458.25</v>
      </c>
      <c r="I3671" s="8">
        <v>11</v>
      </c>
      <c r="J3671" s="9">
        <v>11</v>
      </c>
      <c r="K3671" s="7">
        <v>0</v>
      </c>
      <c r="L3671" s="24">
        <f>+Tabla2[[#This Row],[Stock Inventario]]*Tabla2[[#This Row],[Coste LÃ­nea]]</f>
        <v>38040.75</v>
      </c>
      <c r="M3671" s="24">
        <f>+Tabla2[[#This Row],[Variación Stock]]*Tabla2[[#This Row],[Coste LÃ­nea]]</f>
        <v>0</v>
      </c>
      <c r="N3671" s="22" t="str">
        <f>+IF(Tabla2[[#This Row],[Variación Stock]]&gt;0,"Sobrante",IF(Tabla2[[#This Row],[Variación Stock]]&lt;0,"Faltante","Sin novedad"))</f>
        <v>Sin novedad</v>
      </c>
    </row>
    <row r="3672" spans="1:14" x14ac:dyDescent="0.25">
      <c r="A3672" s="11">
        <v>46044</v>
      </c>
      <c r="B3672" s="5" t="s">
        <v>378</v>
      </c>
      <c r="C3672" s="3" t="s">
        <v>339</v>
      </c>
      <c r="D3672" s="5" t="s">
        <v>114</v>
      </c>
      <c r="E3672" s="5" t="s">
        <v>112</v>
      </c>
      <c r="F3672" s="6" t="s">
        <v>65</v>
      </c>
      <c r="G3672" s="4" t="s">
        <v>2</v>
      </c>
      <c r="H3672" s="25">
        <v>4986.0833333299997</v>
      </c>
      <c r="I3672" s="8">
        <v>0</v>
      </c>
      <c r="J3672" s="9">
        <v>7</v>
      </c>
      <c r="K3672" s="7">
        <v>7</v>
      </c>
      <c r="L3672" s="24">
        <f>+Tabla2[[#This Row],[Stock Inventario]]*Tabla2[[#This Row],[Coste LÃ­nea]]</f>
        <v>34902.583333310002</v>
      </c>
      <c r="M3672" s="24">
        <f>+Tabla2[[#This Row],[Variación Stock]]*Tabla2[[#This Row],[Coste LÃ­nea]]</f>
        <v>34902.583333310002</v>
      </c>
      <c r="N3672" s="22" t="str">
        <f>+IF(Tabla2[[#This Row],[Variación Stock]]&gt;0,"Sobrante",IF(Tabla2[[#This Row],[Variación Stock]]&lt;0,"Faltante","Sin novedad"))</f>
        <v>Sobrante</v>
      </c>
    </row>
    <row r="3673" spans="1:14" x14ac:dyDescent="0.25">
      <c r="A3673" s="11">
        <v>46044</v>
      </c>
      <c r="B3673" s="5" t="s">
        <v>378</v>
      </c>
      <c r="C3673" s="3" t="s">
        <v>339</v>
      </c>
      <c r="D3673" s="5" t="s">
        <v>114</v>
      </c>
      <c r="E3673" s="5" t="s">
        <v>112</v>
      </c>
      <c r="F3673" s="6" t="s">
        <v>289</v>
      </c>
      <c r="G3673" s="4" t="s">
        <v>2</v>
      </c>
      <c r="H3673" s="25">
        <v>6387.35</v>
      </c>
      <c r="I3673" s="8">
        <v>5</v>
      </c>
      <c r="J3673" s="9">
        <v>5</v>
      </c>
      <c r="K3673" s="7">
        <v>0</v>
      </c>
      <c r="L3673" s="24">
        <f>+Tabla2[[#This Row],[Stock Inventario]]*Tabla2[[#This Row],[Coste LÃ­nea]]</f>
        <v>31936.75</v>
      </c>
      <c r="M3673" s="24">
        <f>+Tabla2[[#This Row],[Variación Stock]]*Tabla2[[#This Row],[Coste LÃ­nea]]</f>
        <v>0</v>
      </c>
      <c r="N3673" s="22" t="str">
        <f>+IF(Tabla2[[#This Row],[Variación Stock]]&gt;0,"Sobrante",IF(Tabla2[[#This Row],[Variación Stock]]&lt;0,"Faltante","Sin novedad"))</f>
        <v>Sin novedad</v>
      </c>
    </row>
    <row r="3674" spans="1:14" x14ac:dyDescent="0.25">
      <c r="A3674" s="11">
        <v>46044</v>
      </c>
      <c r="B3674" s="5" t="s">
        <v>378</v>
      </c>
      <c r="C3674" s="3" t="s">
        <v>339</v>
      </c>
      <c r="D3674" s="5" t="s">
        <v>114</v>
      </c>
      <c r="E3674" s="5" t="s">
        <v>112</v>
      </c>
      <c r="F3674" s="6" t="s">
        <v>62</v>
      </c>
      <c r="G3674" s="4" t="s">
        <v>2</v>
      </c>
      <c r="H3674" s="25">
        <v>1654.1429856300001</v>
      </c>
      <c r="I3674" s="8">
        <v>21.68</v>
      </c>
      <c r="J3674" s="9">
        <v>18</v>
      </c>
      <c r="K3674" s="7">
        <v>-3.68</v>
      </c>
      <c r="L3674" s="24">
        <f>+Tabla2[[#This Row],[Stock Inventario]]*Tabla2[[#This Row],[Coste LÃ­nea]]</f>
        <v>29774.573741340002</v>
      </c>
      <c r="M3674" s="24">
        <f>+Tabla2[[#This Row],[Variación Stock]]*Tabla2[[#This Row],[Coste LÃ­nea]]</f>
        <v>-6087.2461871184005</v>
      </c>
      <c r="N3674" s="22" t="str">
        <f>+IF(Tabla2[[#This Row],[Variación Stock]]&gt;0,"Sobrante",IF(Tabla2[[#This Row],[Variación Stock]]&lt;0,"Faltante","Sin novedad"))</f>
        <v>Faltante</v>
      </c>
    </row>
    <row r="3675" spans="1:14" x14ac:dyDescent="0.25">
      <c r="A3675" s="11">
        <v>46044</v>
      </c>
      <c r="B3675" s="5" t="s">
        <v>378</v>
      </c>
      <c r="C3675" s="3" t="s">
        <v>339</v>
      </c>
      <c r="D3675" s="5" t="s">
        <v>122</v>
      </c>
      <c r="E3675" s="5" t="s">
        <v>112</v>
      </c>
      <c r="F3675" s="6" t="s">
        <v>102</v>
      </c>
      <c r="G3675" s="4" t="s">
        <v>2</v>
      </c>
      <c r="H3675" s="25">
        <v>3458.3270308299998</v>
      </c>
      <c r="I3675" s="8">
        <v>8</v>
      </c>
      <c r="J3675" s="9">
        <v>8</v>
      </c>
      <c r="K3675" s="7">
        <v>0</v>
      </c>
      <c r="L3675" s="24">
        <f>+Tabla2[[#This Row],[Stock Inventario]]*Tabla2[[#This Row],[Coste LÃ­nea]]</f>
        <v>27666.616246639998</v>
      </c>
      <c r="M3675" s="24">
        <f>+Tabla2[[#This Row],[Variación Stock]]*Tabla2[[#This Row],[Coste LÃ­nea]]</f>
        <v>0</v>
      </c>
      <c r="N3675" s="22" t="str">
        <f>+IF(Tabla2[[#This Row],[Variación Stock]]&gt;0,"Sobrante",IF(Tabla2[[#This Row],[Variación Stock]]&lt;0,"Faltante","Sin novedad"))</f>
        <v>Sin novedad</v>
      </c>
    </row>
    <row r="3676" spans="1:14" x14ac:dyDescent="0.25">
      <c r="A3676" s="11">
        <v>46044</v>
      </c>
      <c r="B3676" s="5" t="s">
        <v>378</v>
      </c>
      <c r="C3676" s="3" t="s">
        <v>339</v>
      </c>
      <c r="D3676" s="5" t="s">
        <v>122</v>
      </c>
      <c r="E3676" s="5" t="s">
        <v>112</v>
      </c>
      <c r="F3676" s="6" t="s">
        <v>105</v>
      </c>
      <c r="G3676" s="4" t="s">
        <v>2</v>
      </c>
      <c r="H3676" s="25">
        <v>3458.25</v>
      </c>
      <c r="I3676" s="8">
        <v>8</v>
      </c>
      <c r="J3676" s="9">
        <v>8</v>
      </c>
      <c r="K3676" s="7">
        <v>0</v>
      </c>
      <c r="L3676" s="24">
        <f>+Tabla2[[#This Row],[Stock Inventario]]*Tabla2[[#This Row],[Coste LÃ­nea]]</f>
        <v>27666</v>
      </c>
      <c r="M3676" s="24">
        <f>+Tabla2[[#This Row],[Variación Stock]]*Tabla2[[#This Row],[Coste LÃ­nea]]</f>
        <v>0</v>
      </c>
      <c r="N3676" s="22" t="str">
        <f>+IF(Tabla2[[#This Row],[Variación Stock]]&gt;0,"Sobrante",IF(Tabla2[[#This Row],[Variación Stock]]&lt;0,"Faltante","Sin novedad"))</f>
        <v>Sin novedad</v>
      </c>
    </row>
    <row r="3677" spans="1:14" x14ac:dyDescent="0.25">
      <c r="A3677" s="11">
        <v>46044</v>
      </c>
      <c r="B3677" s="5" t="s">
        <v>378</v>
      </c>
      <c r="C3677" s="3" t="s">
        <v>339</v>
      </c>
      <c r="D3677" s="5" t="s">
        <v>111</v>
      </c>
      <c r="E3677" s="5" t="s">
        <v>112</v>
      </c>
      <c r="F3677" s="6" t="s">
        <v>49</v>
      </c>
      <c r="G3677" s="4" t="s">
        <v>2</v>
      </c>
      <c r="H3677" s="25">
        <v>23367.5</v>
      </c>
      <c r="I3677" s="8">
        <v>1</v>
      </c>
      <c r="J3677" s="9">
        <v>1</v>
      </c>
      <c r="K3677" s="7">
        <v>0</v>
      </c>
      <c r="L3677" s="24">
        <f>+Tabla2[[#This Row],[Stock Inventario]]*Tabla2[[#This Row],[Coste LÃ­nea]]</f>
        <v>23367.5</v>
      </c>
      <c r="M3677" s="24">
        <f>+Tabla2[[#This Row],[Variación Stock]]*Tabla2[[#This Row],[Coste LÃ­nea]]</f>
        <v>0</v>
      </c>
      <c r="N3677" s="22" t="str">
        <f>+IF(Tabla2[[#This Row],[Variación Stock]]&gt;0,"Sobrante",IF(Tabla2[[#This Row],[Variación Stock]]&lt;0,"Faltante","Sin novedad"))</f>
        <v>Sin novedad</v>
      </c>
    </row>
    <row r="3678" spans="1:14" hidden="1" x14ac:dyDescent="0.25">
      <c r="A3678" s="11">
        <v>46037</v>
      </c>
      <c r="B3678" s="5" t="s">
        <v>338</v>
      </c>
      <c r="C3678" s="3" t="s">
        <v>339</v>
      </c>
      <c r="D3678" s="5" t="s">
        <v>120</v>
      </c>
      <c r="E3678" s="5" t="s">
        <v>117</v>
      </c>
      <c r="F3678" s="6" t="s">
        <v>96</v>
      </c>
      <c r="G3678" s="4" t="s">
        <v>2</v>
      </c>
      <c r="H3678" s="25">
        <v>4080</v>
      </c>
      <c r="I3678" s="8">
        <v>94</v>
      </c>
      <c r="J3678" s="9">
        <v>115</v>
      </c>
      <c r="K3678" s="7">
        <v>21</v>
      </c>
      <c r="L3678" s="24">
        <f>+Tabla2[[#This Row],[Stock Inventario]]*Tabla2[[#This Row],[Coste LÃ­nea]]</f>
        <v>469200</v>
      </c>
      <c r="M3678" s="24">
        <f>+Tabla2[[#This Row],[Variación Stock]]*Tabla2[[#This Row],[Coste LÃ­nea]]</f>
        <v>85680</v>
      </c>
      <c r="N3678" s="22" t="str">
        <f>+IF(Tabla2[[#This Row],[Variación Stock]]&gt;0,"Sobrante",IF(Tabla2[[#This Row],[Variación Stock]]&lt;0,"Faltante","Sin novedad"))</f>
        <v>Sobrante</v>
      </c>
    </row>
    <row r="3679" spans="1:14" hidden="1" x14ac:dyDescent="0.25">
      <c r="A3679" s="11">
        <v>46044</v>
      </c>
      <c r="B3679" s="5" t="s">
        <v>378</v>
      </c>
      <c r="C3679" s="3" t="s">
        <v>339</v>
      </c>
      <c r="D3679" s="5" t="s">
        <v>120</v>
      </c>
      <c r="E3679" s="5" t="s">
        <v>117</v>
      </c>
      <c r="F3679" s="6" t="s">
        <v>315</v>
      </c>
      <c r="G3679" s="4" t="s">
        <v>2</v>
      </c>
      <c r="H3679" s="25">
        <v>2224.8677035000001</v>
      </c>
      <c r="I3679" s="8">
        <v>8</v>
      </c>
      <c r="J3679" s="9">
        <v>8</v>
      </c>
      <c r="K3679" s="7">
        <v>0</v>
      </c>
      <c r="L3679" s="24">
        <f>+Tabla2[[#This Row],[Stock Inventario]]*Tabla2[[#This Row],[Coste LÃ­nea]]</f>
        <v>17798.941628</v>
      </c>
      <c r="M3679" s="24">
        <f>+Tabla2[[#This Row],[Variación Stock]]*Tabla2[[#This Row],[Coste LÃ­nea]]</f>
        <v>0</v>
      </c>
      <c r="N3679" s="22" t="str">
        <f>+IF(Tabla2[[#This Row],[Variación Stock]]&gt;0,"Sobrante",IF(Tabla2[[#This Row],[Variación Stock]]&lt;0,"Faltante","Sin novedad"))</f>
        <v>Sin novedad</v>
      </c>
    </row>
    <row r="3680" spans="1:14" hidden="1" x14ac:dyDescent="0.25">
      <c r="A3680" s="11">
        <v>46044</v>
      </c>
      <c r="B3680" s="5" t="s">
        <v>378</v>
      </c>
      <c r="C3680" s="3" t="s">
        <v>339</v>
      </c>
      <c r="D3680" s="5" t="s">
        <v>120</v>
      </c>
      <c r="E3680" s="5" t="s">
        <v>117</v>
      </c>
      <c r="F3680" s="6" t="s">
        <v>96</v>
      </c>
      <c r="G3680" s="4" t="s">
        <v>2</v>
      </c>
      <c r="H3680" s="25">
        <v>3902.6086956499998</v>
      </c>
      <c r="I3680" s="8">
        <v>39</v>
      </c>
      <c r="J3680" s="9">
        <v>163</v>
      </c>
      <c r="K3680" s="7">
        <v>124</v>
      </c>
      <c r="L3680" s="24">
        <f>+Tabla2[[#This Row],[Stock Inventario]]*Tabla2[[#This Row],[Coste LÃ­nea]]</f>
        <v>636125.21739094995</v>
      </c>
      <c r="M3680" s="24">
        <f>+Tabla2[[#This Row],[Variación Stock]]*Tabla2[[#This Row],[Coste LÃ­nea]]</f>
        <v>483923.47826060001</v>
      </c>
      <c r="N3680" s="22" t="str">
        <f>+IF(Tabla2[[#This Row],[Variación Stock]]&gt;0,"Sobrante",IF(Tabla2[[#This Row],[Variación Stock]]&lt;0,"Faltante","Sin novedad"))</f>
        <v>Sobrante</v>
      </c>
    </row>
    <row r="3681" spans="1:14" x14ac:dyDescent="0.25">
      <c r="A3681" s="11">
        <v>46044</v>
      </c>
      <c r="B3681" s="5" t="s">
        <v>378</v>
      </c>
      <c r="C3681" s="3" t="s">
        <v>339</v>
      </c>
      <c r="D3681" s="5" t="s">
        <v>122</v>
      </c>
      <c r="E3681" s="5" t="s">
        <v>112</v>
      </c>
      <c r="F3681" s="6" t="s">
        <v>109</v>
      </c>
      <c r="G3681" s="4" t="s">
        <v>2</v>
      </c>
      <c r="H3681" s="25">
        <v>3458.3333333300002</v>
      </c>
      <c r="I3681" s="8">
        <v>4</v>
      </c>
      <c r="J3681" s="9">
        <v>4</v>
      </c>
      <c r="K3681" s="7">
        <v>0</v>
      </c>
      <c r="L3681" s="24">
        <f>+Tabla2[[#This Row],[Stock Inventario]]*Tabla2[[#This Row],[Coste LÃ­nea]]</f>
        <v>13833.333333320001</v>
      </c>
      <c r="M3681" s="24">
        <f>+Tabla2[[#This Row],[Variación Stock]]*Tabla2[[#This Row],[Coste LÃ­nea]]</f>
        <v>0</v>
      </c>
      <c r="N3681" s="22" t="str">
        <f>+IF(Tabla2[[#This Row],[Variación Stock]]&gt;0,"Sobrante",IF(Tabla2[[#This Row],[Variación Stock]]&lt;0,"Faltante","Sin novedad"))</f>
        <v>Sin novedad</v>
      </c>
    </row>
    <row r="3682" spans="1:14" x14ac:dyDescent="0.25">
      <c r="A3682" s="11">
        <v>46044</v>
      </c>
      <c r="B3682" s="5" t="s">
        <v>378</v>
      </c>
      <c r="C3682" s="3" t="s">
        <v>339</v>
      </c>
      <c r="D3682" s="5" t="s">
        <v>114</v>
      </c>
      <c r="E3682" s="5" t="s">
        <v>112</v>
      </c>
      <c r="F3682" s="6" t="s">
        <v>63</v>
      </c>
      <c r="G3682" s="4" t="s">
        <v>2</v>
      </c>
      <c r="H3682" s="25">
        <v>1395.83333333</v>
      </c>
      <c r="I3682" s="8">
        <v>-1</v>
      </c>
      <c r="J3682" s="9">
        <v>9</v>
      </c>
      <c r="K3682" s="7">
        <v>10</v>
      </c>
      <c r="L3682" s="24">
        <f>+Tabla2[[#This Row],[Stock Inventario]]*Tabla2[[#This Row],[Coste LÃ­nea]]</f>
        <v>12562.499999969999</v>
      </c>
      <c r="M3682" s="24">
        <f>+Tabla2[[#This Row],[Variación Stock]]*Tabla2[[#This Row],[Coste LÃ­nea]]</f>
        <v>13958.333333299999</v>
      </c>
      <c r="N3682" s="22" t="str">
        <f>+IF(Tabla2[[#This Row],[Variación Stock]]&gt;0,"Sobrante",IF(Tabla2[[#This Row],[Variación Stock]]&lt;0,"Faltante","Sin novedad"))</f>
        <v>Sobrante</v>
      </c>
    </row>
    <row r="3683" spans="1:14" x14ac:dyDescent="0.25">
      <c r="A3683" s="11">
        <v>46044</v>
      </c>
      <c r="B3683" s="5" t="s">
        <v>378</v>
      </c>
      <c r="C3683" s="3" t="s">
        <v>339</v>
      </c>
      <c r="D3683" s="5" t="s">
        <v>122</v>
      </c>
      <c r="E3683" s="5" t="s">
        <v>112</v>
      </c>
      <c r="F3683" s="6" t="s">
        <v>106</v>
      </c>
      <c r="G3683" s="4" t="s">
        <v>2</v>
      </c>
      <c r="H3683" s="25">
        <v>3458.25</v>
      </c>
      <c r="I3683" s="8">
        <v>3</v>
      </c>
      <c r="J3683" s="9">
        <v>3</v>
      </c>
      <c r="K3683" s="7">
        <v>0</v>
      </c>
      <c r="L3683" s="24">
        <f>+Tabla2[[#This Row],[Stock Inventario]]*Tabla2[[#This Row],[Coste LÃ­nea]]</f>
        <v>10374.75</v>
      </c>
      <c r="M3683" s="24">
        <f>+Tabla2[[#This Row],[Variación Stock]]*Tabla2[[#This Row],[Coste LÃ­nea]]</f>
        <v>0</v>
      </c>
      <c r="N3683" s="22" t="str">
        <f>+IF(Tabla2[[#This Row],[Variación Stock]]&gt;0,"Sobrante",IF(Tabla2[[#This Row],[Variación Stock]]&lt;0,"Faltante","Sin novedad"))</f>
        <v>Sin novedad</v>
      </c>
    </row>
    <row r="3684" spans="1:14" x14ac:dyDescent="0.25">
      <c r="A3684" s="11">
        <v>46044</v>
      </c>
      <c r="B3684" s="5" t="s">
        <v>378</v>
      </c>
      <c r="C3684" s="3" t="s">
        <v>339</v>
      </c>
      <c r="D3684" s="5" t="s">
        <v>122</v>
      </c>
      <c r="E3684" s="5" t="s">
        <v>112</v>
      </c>
      <c r="F3684" s="6" t="s">
        <v>101</v>
      </c>
      <c r="G3684" s="4" t="s">
        <v>2</v>
      </c>
      <c r="H3684" s="25">
        <v>1408.33333333</v>
      </c>
      <c r="I3684" s="8">
        <v>25</v>
      </c>
      <c r="J3684" s="9">
        <v>5</v>
      </c>
      <c r="K3684" s="7">
        <v>-20</v>
      </c>
      <c r="L3684" s="24">
        <f>+Tabla2[[#This Row],[Stock Inventario]]*Tabla2[[#This Row],[Coste LÃ­nea]]</f>
        <v>7041.6666666499996</v>
      </c>
      <c r="M3684" s="24">
        <f>+Tabla2[[#This Row],[Variación Stock]]*Tabla2[[#This Row],[Coste LÃ­nea]]</f>
        <v>-28166.666666599998</v>
      </c>
      <c r="N3684" s="22" t="str">
        <f>+IF(Tabla2[[#This Row],[Variación Stock]]&gt;0,"Sobrante",IF(Tabla2[[#This Row],[Variación Stock]]&lt;0,"Faltante","Sin novedad"))</f>
        <v>Faltante</v>
      </c>
    </row>
    <row r="3685" spans="1:14" hidden="1" x14ac:dyDescent="0.25">
      <c r="A3685" s="11">
        <v>46037</v>
      </c>
      <c r="B3685" s="5" t="s">
        <v>338</v>
      </c>
      <c r="C3685" s="3" t="s">
        <v>339</v>
      </c>
      <c r="D3685" s="5" t="s">
        <v>119</v>
      </c>
      <c r="E3685" s="5" t="s">
        <v>117</v>
      </c>
      <c r="F3685" s="6" t="s">
        <v>14</v>
      </c>
      <c r="G3685" s="4" t="s">
        <v>1</v>
      </c>
      <c r="H3685" s="25">
        <v>31.416</v>
      </c>
      <c r="I3685" s="8">
        <v>8000</v>
      </c>
      <c r="J3685" s="9">
        <v>9000</v>
      </c>
      <c r="K3685" s="7">
        <v>1000</v>
      </c>
      <c r="L3685" s="24">
        <f>+Tabla2[[#This Row],[Stock Inventario]]*Tabla2[[#This Row],[Coste LÃ­nea]]</f>
        <v>282744</v>
      </c>
      <c r="M3685" s="24">
        <f>+Tabla2[[#This Row],[Variación Stock]]*Tabla2[[#This Row],[Coste LÃ­nea]]</f>
        <v>31416</v>
      </c>
      <c r="N3685" s="22" t="str">
        <f>+IF(Tabla2[[#This Row],[Variación Stock]]&gt;0,"Sobrante",IF(Tabla2[[#This Row],[Variación Stock]]&lt;0,"Faltante","Sin novedad"))</f>
        <v>Sobrante</v>
      </c>
    </row>
    <row r="3686" spans="1:14" x14ac:dyDescent="0.25">
      <c r="A3686" s="11">
        <v>46044</v>
      </c>
      <c r="B3686" s="5" t="s">
        <v>378</v>
      </c>
      <c r="C3686" s="3" t="s">
        <v>339</v>
      </c>
      <c r="D3686" s="5" t="s">
        <v>111</v>
      </c>
      <c r="E3686" s="5" t="s">
        <v>112</v>
      </c>
      <c r="F3686" s="6" t="s">
        <v>381</v>
      </c>
      <c r="G3686" s="4" t="s">
        <v>0</v>
      </c>
      <c r="H3686" s="25">
        <v>4.5454550000000003E-2</v>
      </c>
      <c r="I3686" s="8">
        <v>99</v>
      </c>
      <c r="J3686" s="9">
        <v>80.91</v>
      </c>
      <c r="K3686" s="7">
        <v>-18.09</v>
      </c>
      <c r="L3686" s="24">
        <f>+Tabla2[[#This Row],[Stock Inventario]]*Tabla2[[#This Row],[Coste LÃ­nea]]</f>
        <v>3.6777276405000001</v>
      </c>
      <c r="M3686" s="24">
        <f>+Tabla2[[#This Row],[Variación Stock]]*Tabla2[[#This Row],[Coste LÃ­nea]]</f>
        <v>-0.82227280950000003</v>
      </c>
      <c r="N3686" s="22" t="str">
        <f>+IF(Tabla2[[#This Row],[Variación Stock]]&gt;0,"Sobrante",IF(Tabla2[[#This Row],[Variación Stock]]&lt;0,"Faltante","Sin novedad"))</f>
        <v>Faltante</v>
      </c>
    </row>
    <row r="3687" spans="1:14" x14ac:dyDescent="0.25">
      <c r="A3687" s="11">
        <v>46044</v>
      </c>
      <c r="B3687" s="5" t="s">
        <v>378</v>
      </c>
      <c r="C3687" s="3" t="s">
        <v>339</v>
      </c>
      <c r="D3687" s="5" t="s">
        <v>111</v>
      </c>
      <c r="E3687" s="5" t="s">
        <v>112</v>
      </c>
      <c r="F3687" s="6" t="s">
        <v>285</v>
      </c>
      <c r="G3687" s="4" t="s">
        <v>2</v>
      </c>
      <c r="H3687" s="25">
        <v>0</v>
      </c>
      <c r="I3687" s="8">
        <v>0</v>
      </c>
      <c r="J3687" s="9">
        <v>0</v>
      </c>
      <c r="K3687" s="7">
        <v>0</v>
      </c>
      <c r="L3687" s="24">
        <f>+Tabla2[[#This Row],[Stock Inventario]]*Tabla2[[#This Row],[Coste LÃ­nea]]</f>
        <v>0</v>
      </c>
      <c r="M3687" s="24">
        <f>+Tabla2[[#This Row],[Variación Stock]]*Tabla2[[#This Row],[Coste LÃ­nea]]</f>
        <v>0</v>
      </c>
      <c r="N3687" s="22" t="str">
        <f>+IF(Tabla2[[#This Row],[Variación Stock]]&gt;0,"Sobrante",IF(Tabla2[[#This Row],[Variación Stock]]&lt;0,"Faltante","Sin novedad"))</f>
        <v>Sin novedad</v>
      </c>
    </row>
    <row r="3688" spans="1:14" x14ac:dyDescent="0.25">
      <c r="A3688" s="11">
        <v>46044</v>
      </c>
      <c r="B3688" s="5" t="s">
        <v>378</v>
      </c>
      <c r="C3688" s="3" t="s">
        <v>339</v>
      </c>
      <c r="D3688" s="5" t="s">
        <v>111</v>
      </c>
      <c r="E3688" s="5" t="s">
        <v>112</v>
      </c>
      <c r="F3688" s="6" t="s">
        <v>286</v>
      </c>
      <c r="G3688" s="4" t="s">
        <v>0</v>
      </c>
      <c r="H3688" s="25">
        <v>0</v>
      </c>
      <c r="I3688" s="8">
        <v>-2</v>
      </c>
      <c r="J3688" s="9">
        <v>0</v>
      </c>
      <c r="K3688" s="7">
        <v>2</v>
      </c>
      <c r="L3688" s="24">
        <f>+Tabla2[[#This Row],[Stock Inventario]]*Tabla2[[#This Row],[Coste LÃ­nea]]</f>
        <v>0</v>
      </c>
      <c r="M3688" s="24">
        <f>+Tabla2[[#This Row],[Variación Stock]]*Tabla2[[#This Row],[Coste LÃ­nea]]</f>
        <v>0</v>
      </c>
      <c r="N3688" s="22" t="str">
        <f>+IF(Tabla2[[#This Row],[Variación Stock]]&gt;0,"Sobrante",IF(Tabla2[[#This Row],[Variación Stock]]&lt;0,"Faltante","Sin novedad"))</f>
        <v>Sobrante</v>
      </c>
    </row>
    <row r="3689" spans="1:14" x14ac:dyDescent="0.25">
      <c r="A3689" s="11">
        <v>46044</v>
      </c>
      <c r="B3689" s="5" t="s">
        <v>378</v>
      </c>
      <c r="C3689" s="3" t="s">
        <v>339</v>
      </c>
      <c r="D3689" s="5" t="s">
        <v>111</v>
      </c>
      <c r="E3689" s="5" t="s">
        <v>112</v>
      </c>
      <c r="F3689" s="6" t="s">
        <v>130</v>
      </c>
      <c r="G3689" s="4" t="s">
        <v>0</v>
      </c>
      <c r="H3689" s="25">
        <v>0</v>
      </c>
      <c r="I3689" s="8">
        <v>0</v>
      </c>
      <c r="J3689" s="9">
        <v>0</v>
      </c>
      <c r="K3689" s="7">
        <v>0</v>
      </c>
      <c r="L3689" s="24">
        <f>+Tabla2[[#This Row],[Stock Inventario]]*Tabla2[[#This Row],[Coste LÃ­nea]]</f>
        <v>0</v>
      </c>
      <c r="M3689" s="24">
        <f>+Tabla2[[#This Row],[Variación Stock]]*Tabla2[[#This Row],[Coste LÃ­nea]]</f>
        <v>0</v>
      </c>
      <c r="N3689" s="22" t="str">
        <f>+IF(Tabla2[[#This Row],[Variación Stock]]&gt;0,"Sobrante",IF(Tabla2[[#This Row],[Variación Stock]]&lt;0,"Faltante","Sin novedad"))</f>
        <v>Sin novedad</v>
      </c>
    </row>
    <row r="3690" spans="1:14" x14ac:dyDescent="0.25">
      <c r="A3690" s="11">
        <v>46044</v>
      </c>
      <c r="B3690" s="5" t="s">
        <v>378</v>
      </c>
      <c r="C3690" s="3" t="s">
        <v>339</v>
      </c>
      <c r="D3690" s="5" t="s">
        <v>111</v>
      </c>
      <c r="E3690" s="5" t="s">
        <v>112</v>
      </c>
      <c r="F3690" s="6" t="s">
        <v>15</v>
      </c>
      <c r="G3690" s="4" t="s">
        <v>0</v>
      </c>
      <c r="H3690" s="25">
        <v>11819.5</v>
      </c>
      <c r="I3690" s="8">
        <v>0</v>
      </c>
      <c r="J3690" s="9">
        <v>0</v>
      </c>
      <c r="K3690" s="7">
        <v>0</v>
      </c>
      <c r="L3690" s="24">
        <f>+Tabla2[[#This Row],[Stock Inventario]]*Tabla2[[#This Row],[Coste LÃ­nea]]</f>
        <v>0</v>
      </c>
      <c r="M3690" s="24">
        <f>+Tabla2[[#This Row],[Variación Stock]]*Tabla2[[#This Row],[Coste LÃ­nea]]</f>
        <v>0</v>
      </c>
      <c r="N3690" s="22" t="str">
        <f>+IF(Tabla2[[#This Row],[Variación Stock]]&gt;0,"Sobrante",IF(Tabla2[[#This Row],[Variación Stock]]&lt;0,"Faltante","Sin novedad"))</f>
        <v>Sin novedad</v>
      </c>
    </row>
    <row r="3691" spans="1:14" x14ac:dyDescent="0.25">
      <c r="A3691" s="11">
        <v>46044</v>
      </c>
      <c r="B3691" s="5" t="s">
        <v>378</v>
      </c>
      <c r="C3691" s="3" t="s">
        <v>339</v>
      </c>
      <c r="D3691" s="5" t="s">
        <v>111</v>
      </c>
      <c r="E3691" s="5" t="s">
        <v>112</v>
      </c>
      <c r="F3691" s="6" t="s">
        <v>30</v>
      </c>
      <c r="G3691" s="4" t="s">
        <v>0</v>
      </c>
      <c r="H3691" s="25">
        <v>3673.5</v>
      </c>
      <c r="I3691" s="8">
        <v>0</v>
      </c>
      <c r="J3691" s="9">
        <v>0</v>
      </c>
      <c r="K3691" s="7">
        <v>0</v>
      </c>
      <c r="L3691" s="24">
        <f>+Tabla2[[#This Row],[Stock Inventario]]*Tabla2[[#This Row],[Coste LÃ­nea]]</f>
        <v>0</v>
      </c>
      <c r="M3691" s="24">
        <f>+Tabla2[[#This Row],[Variación Stock]]*Tabla2[[#This Row],[Coste LÃ­nea]]</f>
        <v>0</v>
      </c>
      <c r="N3691" s="22" t="str">
        <f>+IF(Tabla2[[#This Row],[Variación Stock]]&gt;0,"Sobrante",IF(Tabla2[[#This Row],[Variación Stock]]&lt;0,"Faltante","Sin novedad"))</f>
        <v>Sin novedad</v>
      </c>
    </row>
    <row r="3692" spans="1:14" x14ac:dyDescent="0.25">
      <c r="A3692" s="11">
        <v>46044</v>
      </c>
      <c r="B3692" s="5" t="s">
        <v>378</v>
      </c>
      <c r="C3692" s="3" t="s">
        <v>339</v>
      </c>
      <c r="D3692" s="5" t="s">
        <v>111</v>
      </c>
      <c r="E3692" s="5" t="s">
        <v>112</v>
      </c>
      <c r="F3692" s="6" t="s">
        <v>138</v>
      </c>
      <c r="G3692" s="4" t="s">
        <v>0</v>
      </c>
      <c r="H3692" s="25">
        <v>4504.1666666700003</v>
      </c>
      <c r="I3692" s="8">
        <v>0</v>
      </c>
      <c r="J3692" s="9">
        <v>0</v>
      </c>
      <c r="K3692" s="7">
        <v>0</v>
      </c>
      <c r="L3692" s="24">
        <f>+Tabla2[[#This Row],[Stock Inventario]]*Tabla2[[#This Row],[Coste LÃ­nea]]</f>
        <v>0</v>
      </c>
      <c r="M3692" s="24">
        <f>+Tabla2[[#This Row],[Variación Stock]]*Tabla2[[#This Row],[Coste LÃ­nea]]</f>
        <v>0</v>
      </c>
      <c r="N3692" s="22" t="str">
        <f>+IF(Tabla2[[#This Row],[Variación Stock]]&gt;0,"Sobrante",IF(Tabla2[[#This Row],[Variación Stock]]&lt;0,"Faltante","Sin novedad"))</f>
        <v>Sin novedad</v>
      </c>
    </row>
    <row r="3693" spans="1:14" x14ac:dyDescent="0.25">
      <c r="A3693" s="11">
        <v>46044</v>
      </c>
      <c r="B3693" s="5" t="s">
        <v>378</v>
      </c>
      <c r="C3693" s="3" t="s">
        <v>339</v>
      </c>
      <c r="D3693" s="5" t="s">
        <v>111</v>
      </c>
      <c r="E3693" s="5" t="s">
        <v>112</v>
      </c>
      <c r="F3693" s="6" t="s">
        <v>54</v>
      </c>
      <c r="G3693" s="4" t="s">
        <v>0</v>
      </c>
      <c r="H3693" s="25">
        <v>0</v>
      </c>
      <c r="I3693" s="8">
        <v>0</v>
      </c>
      <c r="J3693" s="9">
        <v>0</v>
      </c>
      <c r="K3693" s="7">
        <v>0</v>
      </c>
      <c r="L3693" s="24">
        <f>+Tabla2[[#This Row],[Stock Inventario]]*Tabla2[[#This Row],[Coste LÃ­nea]]</f>
        <v>0</v>
      </c>
      <c r="M3693" s="24">
        <f>+Tabla2[[#This Row],[Variación Stock]]*Tabla2[[#This Row],[Coste LÃ­nea]]</f>
        <v>0</v>
      </c>
      <c r="N3693" s="22" t="str">
        <f>+IF(Tabla2[[#This Row],[Variación Stock]]&gt;0,"Sobrante",IF(Tabla2[[#This Row],[Variación Stock]]&lt;0,"Faltante","Sin novedad"))</f>
        <v>Sin novedad</v>
      </c>
    </row>
    <row r="3694" spans="1:14" x14ac:dyDescent="0.25">
      <c r="A3694" s="11">
        <v>46044</v>
      </c>
      <c r="B3694" s="5" t="s">
        <v>378</v>
      </c>
      <c r="C3694" s="3" t="s">
        <v>339</v>
      </c>
      <c r="D3694" s="5" t="s">
        <v>111</v>
      </c>
      <c r="E3694" s="5" t="s">
        <v>112</v>
      </c>
      <c r="F3694" s="6" t="s">
        <v>56</v>
      </c>
      <c r="G3694" s="4" t="s">
        <v>0</v>
      </c>
      <c r="H3694" s="25">
        <v>5291.6666666700003</v>
      </c>
      <c r="I3694" s="8">
        <v>0</v>
      </c>
      <c r="J3694" s="9">
        <v>0</v>
      </c>
      <c r="K3694" s="7">
        <v>0</v>
      </c>
      <c r="L3694" s="24">
        <f>+Tabla2[[#This Row],[Stock Inventario]]*Tabla2[[#This Row],[Coste LÃ­nea]]</f>
        <v>0</v>
      </c>
      <c r="M3694" s="24">
        <f>+Tabla2[[#This Row],[Variación Stock]]*Tabla2[[#This Row],[Coste LÃ­nea]]</f>
        <v>0</v>
      </c>
      <c r="N3694" s="22" t="str">
        <f>+IF(Tabla2[[#This Row],[Variación Stock]]&gt;0,"Sobrante",IF(Tabla2[[#This Row],[Variación Stock]]&lt;0,"Faltante","Sin novedad"))</f>
        <v>Sin novedad</v>
      </c>
    </row>
    <row r="3695" spans="1:14" x14ac:dyDescent="0.25">
      <c r="A3695" s="11">
        <v>46044</v>
      </c>
      <c r="B3695" s="5" t="s">
        <v>378</v>
      </c>
      <c r="C3695" s="3" t="s">
        <v>339</v>
      </c>
      <c r="D3695" s="5" t="s">
        <v>114</v>
      </c>
      <c r="E3695" s="5" t="s">
        <v>112</v>
      </c>
      <c r="F3695" s="6" t="s">
        <v>146</v>
      </c>
      <c r="G3695" s="4" t="s">
        <v>2</v>
      </c>
      <c r="H3695" s="25">
        <v>0</v>
      </c>
      <c r="I3695" s="8">
        <v>0</v>
      </c>
      <c r="J3695" s="9">
        <v>0</v>
      </c>
      <c r="K3695" s="7">
        <v>0</v>
      </c>
      <c r="L3695" s="24">
        <f>+Tabla2[[#This Row],[Stock Inventario]]*Tabla2[[#This Row],[Coste LÃ­nea]]</f>
        <v>0</v>
      </c>
      <c r="M3695" s="24">
        <f>+Tabla2[[#This Row],[Variación Stock]]*Tabla2[[#This Row],[Coste LÃ­nea]]</f>
        <v>0</v>
      </c>
      <c r="N3695" s="22" t="str">
        <f>+IF(Tabla2[[#This Row],[Variación Stock]]&gt;0,"Sobrante",IF(Tabla2[[#This Row],[Variación Stock]]&lt;0,"Faltante","Sin novedad"))</f>
        <v>Sin novedad</v>
      </c>
    </row>
    <row r="3696" spans="1:14" x14ac:dyDescent="0.25">
      <c r="A3696" s="11">
        <v>46044</v>
      </c>
      <c r="B3696" s="5" t="s">
        <v>378</v>
      </c>
      <c r="C3696" s="3" t="s">
        <v>339</v>
      </c>
      <c r="D3696" s="5" t="s">
        <v>114</v>
      </c>
      <c r="E3696" s="5" t="s">
        <v>112</v>
      </c>
      <c r="F3696" s="6" t="s">
        <v>147</v>
      </c>
      <c r="G3696" s="4" t="s">
        <v>2</v>
      </c>
      <c r="H3696" s="25">
        <v>3333.3333333300002</v>
      </c>
      <c r="I3696" s="8">
        <v>0</v>
      </c>
      <c r="J3696" s="9">
        <v>0</v>
      </c>
      <c r="K3696" s="7">
        <v>0</v>
      </c>
      <c r="L3696" s="24">
        <f>+Tabla2[[#This Row],[Stock Inventario]]*Tabla2[[#This Row],[Coste LÃ­nea]]</f>
        <v>0</v>
      </c>
      <c r="M3696" s="24">
        <f>+Tabla2[[#This Row],[Variación Stock]]*Tabla2[[#This Row],[Coste LÃ­nea]]</f>
        <v>0</v>
      </c>
      <c r="N3696" s="22" t="str">
        <f>+IF(Tabla2[[#This Row],[Variación Stock]]&gt;0,"Sobrante",IF(Tabla2[[#This Row],[Variación Stock]]&lt;0,"Faltante","Sin novedad"))</f>
        <v>Sin novedad</v>
      </c>
    </row>
    <row r="3697" spans="1:14" x14ac:dyDescent="0.25">
      <c r="A3697" s="11">
        <v>46044</v>
      </c>
      <c r="B3697" s="5" t="s">
        <v>378</v>
      </c>
      <c r="C3697" s="3" t="s">
        <v>339</v>
      </c>
      <c r="D3697" s="5" t="s">
        <v>114</v>
      </c>
      <c r="E3697" s="5" t="s">
        <v>112</v>
      </c>
      <c r="F3697" s="6" t="s">
        <v>110</v>
      </c>
      <c r="G3697" s="4" t="s">
        <v>2</v>
      </c>
      <c r="H3697" s="25">
        <v>0</v>
      </c>
      <c r="I3697" s="8">
        <v>0</v>
      </c>
      <c r="J3697" s="9">
        <v>0</v>
      </c>
      <c r="K3697" s="7">
        <v>0</v>
      </c>
      <c r="L3697" s="24">
        <f>+Tabla2[[#This Row],[Stock Inventario]]*Tabla2[[#This Row],[Coste LÃ­nea]]</f>
        <v>0</v>
      </c>
      <c r="M3697" s="24">
        <f>+Tabla2[[#This Row],[Variación Stock]]*Tabla2[[#This Row],[Coste LÃ­nea]]</f>
        <v>0</v>
      </c>
      <c r="N3697" s="22" t="str">
        <f>+IF(Tabla2[[#This Row],[Variación Stock]]&gt;0,"Sobrante",IF(Tabla2[[#This Row],[Variación Stock]]&lt;0,"Faltante","Sin novedad"))</f>
        <v>Sin novedad</v>
      </c>
    </row>
    <row r="3698" spans="1:14" x14ac:dyDescent="0.25">
      <c r="A3698" s="11">
        <v>46044</v>
      </c>
      <c r="B3698" s="5" t="s">
        <v>378</v>
      </c>
      <c r="C3698" s="3" t="s">
        <v>339</v>
      </c>
      <c r="D3698" s="5" t="s">
        <v>114</v>
      </c>
      <c r="E3698" s="5" t="s">
        <v>112</v>
      </c>
      <c r="F3698" s="6" t="s">
        <v>148</v>
      </c>
      <c r="G3698" s="4" t="s">
        <v>2</v>
      </c>
      <c r="H3698" s="25">
        <v>0</v>
      </c>
      <c r="I3698" s="8">
        <v>-0.56999999999999995</v>
      </c>
      <c r="J3698" s="9">
        <v>0</v>
      </c>
      <c r="K3698" s="7">
        <v>0.56999999999999995</v>
      </c>
      <c r="L3698" s="24">
        <f>+Tabla2[[#This Row],[Stock Inventario]]*Tabla2[[#This Row],[Coste LÃ­nea]]</f>
        <v>0</v>
      </c>
      <c r="M3698" s="24">
        <f>+Tabla2[[#This Row],[Variación Stock]]*Tabla2[[#This Row],[Coste LÃ­nea]]</f>
        <v>0</v>
      </c>
      <c r="N3698" s="22" t="str">
        <f>+IF(Tabla2[[#This Row],[Variación Stock]]&gt;0,"Sobrante",IF(Tabla2[[#This Row],[Variación Stock]]&lt;0,"Faltante","Sin novedad"))</f>
        <v>Sobrante</v>
      </c>
    </row>
    <row r="3699" spans="1:14" x14ac:dyDescent="0.25">
      <c r="A3699" s="11">
        <v>46044</v>
      </c>
      <c r="B3699" s="5" t="s">
        <v>378</v>
      </c>
      <c r="C3699" s="3" t="s">
        <v>339</v>
      </c>
      <c r="D3699" s="5" t="s">
        <v>114</v>
      </c>
      <c r="E3699" s="5" t="s">
        <v>112</v>
      </c>
      <c r="F3699" s="6" t="s">
        <v>373</v>
      </c>
      <c r="G3699" s="4" t="s">
        <v>2</v>
      </c>
      <c r="H3699" s="25">
        <v>2120.83</v>
      </c>
      <c r="I3699" s="8">
        <v>0</v>
      </c>
      <c r="J3699" s="9">
        <v>0</v>
      </c>
      <c r="K3699" s="7">
        <v>0</v>
      </c>
      <c r="L3699" s="24">
        <f>+Tabla2[[#This Row],[Stock Inventario]]*Tabla2[[#This Row],[Coste LÃ­nea]]</f>
        <v>0</v>
      </c>
      <c r="M3699" s="24">
        <f>+Tabla2[[#This Row],[Variación Stock]]*Tabla2[[#This Row],[Coste LÃ­nea]]</f>
        <v>0</v>
      </c>
      <c r="N3699" s="22" t="str">
        <f>+IF(Tabla2[[#This Row],[Variación Stock]]&gt;0,"Sobrante",IF(Tabla2[[#This Row],[Variación Stock]]&lt;0,"Faltante","Sin novedad"))</f>
        <v>Sin novedad</v>
      </c>
    </row>
    <row r="3700" spans="1:14" x14ac:dyDescent="0.25">
      <c r="A3700" s="11">
        <v>46044</v>
      </c>
      <c r="B3700" s="5" t="s">
        <v>378</v>
      </c>
      <c r="C3700" s="3" t="s">
        <v>339</v>
      </c>
      <c r="D3700" s="5" t="s">
        <v>114</v>
      </c>
      <c r="E3700" s="5" t="s">
        <v>112</v>
      </c>
      <c r="F3700" s="6" t="s">
        <v>70</v>
      </c>
      <c r="G3700" s="4" t="s">
        <v>2</v>
      </c>
      <c r="H3700" s="25">
        <v>1835.41666667</v>
      </c>
      <c r="I3700" s="8">
        <v>0</v>
      </c>
      <c r="J3700" s="9">
        <v>0</v>
      </c>
      <c r="K3700" s="7">
        <v>0</v>
      </c>
      <c r="L3700" s="24">
        <f>+Tabla2[[#This Row],[Stock Inventario]]*Tabla2[[#This Row],[Coste LÃ­nea]]</f>
        <v>0</v>
      </c>
      <c r="M3700" s="24">
        <f>+Tabla2[[#This Row],[Variación Stock]]*Tabla2[[#This Row],[Coste LÃ­nea]]</f>
        <v>0</v>
      </c>
      <c r="N3700" s="22" t="str">
        <f>+IF(Tabla2[[#This Row],[Variación Stock]]&gt;0,"Sobrante",IF(Tabla2[[#This Row],[Variación Stock]]&lt;0,"Faltante","Sin novedad"))</f>
        <v>Sin novedad</v>
      </c>
    </row>
    <row r="3701" spans="1:14" x14ac:dyDescent="0.25">
      <c r="A3701" s="11">
        <v>46044</v>
      </c>
      <c r="B3701" s="5" t="s">
        <v>378</v>
      </c>
      <c r="C3701" s="3" t="s">
        <v>339</v>
      </c>
      <c r="D3701" s="5" t="s">
        <v>115</v>
      </c>
      <c r="E3701" s="5" t="s">
        <v>112</v>
      </c>
      <c r="F3701" s="6" t="s">
        <v>368</v>
      </c>
      <c r="G3701" s="4" t="s">
        <v>2</v>
      </c>
      <c r="H3701" s="25">
        <v>3099.6666666699998</v>
      </c>
      <c r="I3701" s="8">
        <v>0</v>
      </c>
      <c r="J3701" s="9">
        <v>0</v>
      </c>
      <c r="K3701" s="7">
        <v>0</v>
      </c>
      <c r="L3701" s="24">
        <f>+Tabla2[[#This Row],[Stock Inventario]]*Tabla2[[#This Row],[Coste LÃ­nea]]</f>
        <v>0</v>
      </c>
      <c r="M3701" s="24">
        <f>+Tabla2[[#This Row],[Variación Stock]]*Tabla2[[#This Row],[Coste LÃ­nea]]</f>
        <v>0</v>
      </c>
      <c r="N3701" s="22" t="str">
        <f>+IF(Tabla2[[#This Row],[Variación Stock]]&gt;0,"Sobrante",IF(Tabla2[[#This Row],[Variación Stock]]&lt;0,"Faltante","Sin novedad"))</f>
        <v>Sin novedad</v>
      </c>
    </row>
    <row r="3702" spans="1:14" x14ac:dyDescent="0.25">
      <c r="A3702" s="11">
        <v>46044</v>
      </c>
      <c r="B3702" s="5" t="s">
        <v>378</v>
      </c>
      <c r="C3702" s="3" t="s">
        <v>339</v>
      </c>
      <c r="D3702" s="5" t="s">
        <v>115</v>
      </c>
      <c r="E3702" s="5" t="s">
        <v>112</v>
      </c>
      <c r="F3702" s="6" t="s">
        <v>153</v>
      </c>
      <c r="G3702" s="4" t="s">
        <v>2</v>
      </c>
      <c r="H3702" s="25">
        <v>3200</v>
      </c>
      <c r="I3702" s="8">
        <v>0</v>
      </c>
      <c r="J3702" s="9">
        <v>0</v>
      </c>
      <c r="K3702" s="7">
        <v>0</v>
      </c>
      <c r="L3702" s="24">
        <f>+Tabla2[[#This Row],[Stock Inventario]]*Tabla2[[#This Row],[Coste LÃ­nea]]</f>
        <v>0</v>
      </c>
      <c r="M3702" s="24">
        <f>+Tabla2[[#This Row],[Variación Stock]]*Tabla2[[#This Row],[Coste LÃ­nea]]</f>
        <v>0</v>
      </c>
      <c r="N3702" s="22" t="str">
        <f>+IF(Tabla2[[#This Row],[Variación Stock]]&gt;0,"Sobrante",IF(Tabla2[[#This Row],[Variación Stock]]&lt;0,"Faltante","Sin novedad"))</f>
        <v>Sin novedad</v>
      </c>
    </row>
    <row r="3703" spans="1:14" x14ac:dyDescent="0.25">
      <c r="A3703" s="11">
        <v>46044</v>
      </c>
      <c r="B3703" s="5" t="s">
        <v>378</v>
      </c>
      <c r="C3703" s="3" t="s">
        <v>339</v>
      </c>
      <c r="D3703" s="5" t="s">
        <v>118</v>
      </c>
      <c r="E3703" s="5" t="s">
        <v>112</v>
      </c>
      <c r="F3703" s="6" t="s">
        <v>374</v>
      </c>
      <c r="G3703" s="4" t="s">
        <v>2</v>
      </c>
      <c r="H3703" s="25">
        <v>0</v>
      </c>
      <c r="I3703" s="8">
        <v>0</v>
      </c>
      <c r="J3703" s="9">
        <v>0</v>
      </c>
      <c r="K3703" s="7">
        <v>0</v>
      </c>
      <c r="L3703" s="24">
        <f>+Tabla2[[#This Row],[Stock Inventario]]*Tabla2[[#This Row],[Coste LÃ­nea]]</f>
        <v>0</v>
      </c>
      <c r="M3703" s="24">
        <f>+Tabla2[[#This Row],[Variación Stock]]*Tabla2[[#This Row],[Coste LÃ­nea]]</f>
        <v>0</v>
      </c>
      <c r="N3703" s="22" t="str">
        <f>+IF(Tabla2[[#This Row],[Variación Stock]]&gt;0,"Sobrante",IF(Tabla2[[#This Row],[Variación Stock]]&lt;0,"Faltante","Sin novedad"))</f>
        <v>Sin novedad</v>
      </c>
    </row>
    <row r="3704" spans="1:14" x14ac:dyDescent="0.25">
      <c r="A3704" s="11">
        <v>46044</v>
      </c>
      <c r="B3704" s="5" t="s">
        <v>378</v>
      </c>
      <c r="C3704" s="3" t="s">
        <v>339</v>
      </c>
      <c r="D3704" s="5" t="s">
        <v>118</v>
      </c>
      <c r="E3704" s="5" t="s">
        <v>112</v>
      </c>
      <c r="F3704" s="6" t="s">
        <v>292</v>
      </c>
      <c r="G3704" s="4" t="s">
        <v>81</v>
      </c>
      <c r="H3704" s="25">
        <v>0</v>
      </c>
      <c r="I3704" s="8">
        <v>0</v>
      </c>
      <c r="J3704" s="9">
        <v>0</v>
      </c>
      <c r="K3704" s="7">
        <v>0</v>
      </c>
      <c r="L3704" s="24">
        <f>+Tabla2[[#This Row],[Stock Inventario]]*Tabla2[[#This Row],[Coste LÃ­nea]]</f>
        <v>0</v>
      </c>
      <c r="M3704" s="24">
        <f>+Tabla2[[#This Row],[Variación Stock]]*Tabla2[[#This Row],[Coste LÃ­nea]]</f>
        <v>0</v>
      </c>
      <c r="N3704" s="22" t="str">
        <f>+IF(Tabla2[[#This Row],[Variación Stock]]&gt;0,"Sobrante",IF(Tabla2[[#This Row],[Variación Stock]]&lt;0,"Faltante","Sin novedad"))</f>
        <v>Sin novedad</v>
      </c>
    </row>
    <row r="3705" spans="1:14" x14ac:dyDescent="0.25">
      <c r="A3705" s="11">
        <v>46044</v>
      </c>
      <c r="B3705" s="5" t="s">
        <v>378</v>
      </c>
      <c r="C3705" s="3" t="s">
        <v>339</v>
      </c>
      <c r="D3705" s="5" t="s">
        <v>118</v>
      </c>
      <c r="E3705" s="5" t="s">
        <v>112</v>
      </c>
      <c r="F3705" s="6" t="s">
        <v>294</v>
      </c>
      <c r="G3705" s="4" t="s">
        <v>2</v>
      </c>
      <c r="H3705" s="25">
        <v>22425</v>
      </c>
      <c r="I3705" s="8">
        <v>0</v>
      </c>
      <c r="J3705" s="9">
        <v>0</v>
      </c>
      <c r="K3705" s="7">
        <v>0</v>
      </c>
      <c r="L3705" s="24">
        <f>+Tabla2[[#This Row],[Stock Inventario]]*Tabla2[[#This Row],[Coste LÃ­nea]]</f>
        <v>0</v>
      </c>
      <c r="M3705" s="24">
        <f>+Tabla2[[#This Row],[Variación Stock]]*Tabla2[[#This Row],[Coste LÃ­nea]]</f>
        <v>0</v>
      </c>
      <c r="N3705" s="22" t="str">
        <f>+IF(Tabla2[[#This Row],[Variación Stock]]&gt;0,"Sobrante",IF(Tabla2[[#This Row],[Variación Stock]]&lt;0,"Faltante","Sin novedad"))</f>
        <v>Sin novedad</v>
      </c>
    </row>
    <row r="3706" spans="1:14" x14ac:dyDescent="0.25">
      <c r="A3706" s="11">
        <v>46044</v>
      </c>
      <c r="B3706" s="5" t="s">
        <v>378</v>
      </c>
      <c r="C3706" s="3" t="s">
        <v>339</v>
      </c>
      <c r="D3706" s="5" t="s">
        <v>118</v>
      </c>
      <c r="E3706" s="5" t="s">
        <v>112</v>
      </c>
      <c r="F3706" s="6" t="s">
        <v>174</v>
      </c>
      <c r="G3706" s="4" t="s">
        <v>0</v>
      </c>
      <c r="H3706" s="25">
        <v>2903.3333333300002</v>
      </c>
      <c r="I3706" s="8">
        <v>0</v>
      </c>
      <c r="J3706" s="9">
        <v>0</v>
      </c>
      <c r="K3706" s="7">
        <v>0</v>
      </c>
      <c r="L3706" s="24">
        <f>+Tabla2[[#This Row],[Stock Inventario]]*Tabla2[[#This Row],[Coste LÃ­nea]]</f>
        <v>0</v>
      </c>
      <c r="M3706" s="24">
        <f>+Tabla2[[#This Row],[Variación Stock]]*Tabla2[[#This Row],[Coste LÃ­nea]]</f>
        <v>0</v>
      </c>
      <c r="N3706" s="22" t="str">
        <f>+IF(Tabla2[[#This Row],[Variación Stock]]&gt;0,"Sobrante",IF(Tabla2[[#This Row],[Variación Stock]]&lt;0,"Faltante","Sin novedad"))</f>
        <v>Sin novedad</v>
      </c>
    </row>
    <row r="3707" spans="1:14" x14ac:dyDescent="0.25">
      <c r="A3707" s="11">
        <v>46044</v>
      </c>
      <c r="B3707" s="5" t="s">
        <v>378</v>
      </c>
      <c r="C3707" s="3" t="s">
        <v>339</v>
      </c>
      <c r="D3707" s="5" t="s">
        <v>118</v>
      </c>
      <c r="E3707" s="5" t="s">
        <v>112</v>
      </c>
      <c r="F3707" s="6" t="s">
        <v>298</v>
      </c>
      <c r="G3707" s="4" t="s">
        <v>2</v>
      </c>
      <c r="H3707" s="25">
        <v>63897.666666669997</v>
      </c>
      <c r="I3707" s="8">
        <v>0</v>
      </c>
      <c r="J3707" s="9">
        <v>0</v>
      </c>
      <c r="K3707" s="7">
        <v>0</v>
      </c>
      <c r="L3707" s="24">
        <f>+Tabla2[[#This Row],[Stock Inventario]]*Tabla2[[#This Row],[Coste LÃ­nea]]</f>
        <v>0</v>
      </c>
      <c r="M3707" s="24">
        <f>+Tabla2[[#This Row],[Variación Stock]]*Tabla2[[#This Row],[Coste LÃ­nea]]</f>
        <v>0</v>
      </c>
      <c r="N3707" s="22" t="str">
        <f>+IF(Tabla2[[#This Row],[Variación Stock]]&gt;0,"Sobrante",IF(Tabla2[[#This Row],[Variación Stock]]&lt;0,"Faltante","Sin novedad"))</f>
        <v>Sin novedad</v>
      </c>
    </row>
    <row r="3708" spans="1:14" x14ac:dyDescent="0.25">
      <c r="A3708" s="11">
        <v>46044</v>
      </c>
      <c r="B3708" s="5" t="s">
        <v>378</v>
      </c>
      <c r="C3708" s="3" t="s">
        <v>339</v>
      </c>
      <c r="D3708" s="5" t="s">
        <v>118</v>
      </c>
      <c r="E3708" s="5" t="s">
        <v>112</v>
      </c>
      <c r="F3708" s="6" t="s">
        <v>300</v>
      </c>
      <c r="G3708" s="4" t="s">
        <v>2</v>
      </c>
      <c r="H3708" s="25">
        <v>25109.5</v>
      </c>
      <c r="I3708" s="8">
        <v>0</v>
      </c>
      <c r="J3708" s="9">
        <v>0</v>
      </c>
      <c r="K3708" s="7">
        <v>0</v>
      </c>
      <c r="L3708" s="24">
        <f>+Tabla2[[#This Row],[Stock Inventario]]*Tabla2[[#This Row],[Coste LÃ­nea]]</f>
        <v>0</v>
      </c>
      <c r="M3708" s="24">
        <f>+Tabla2[[#This Row],[Variación Stock]]*Tabla2[[#This Row],[Coste LÃ­nea]]</f>
        <v>0</v>
      </c>
      <c r="N3708" s="22" t="str">
        <f>+IF(Tabla2[[#This Row],[Variación Stock]]&gt;0,"Sobrante",IF(Tabla2[[#This Row],[Variación Stock]]&lt;0,"Faltante","Sin novedad"))</f>
        <v>Sin novedad</v>
      </c>
    </row>
    <row r="3709" spans="1:14" x14ac:dyDescent="0.25">
      <c r="A3709" s="11">
        <v>46044</v>
      </c>
      <c r="B3709" s="5" t="s">
        <v>378</v>
      </c>
      <c r="C3709" s="3" t="s">
        <v>339</v>
      </c>
      <c r="D3709" s="5" t="s">
        <v>118</v>
      </c>
      <c r="E3709" s="5" t="s">
        <v>112</v>
      </c>
      <c r="F3709" s="6" t="s">
        <v>84</v>
      </c>
      <c r="G3709" s="4" t="s">
        <v>81</v>
      </c>
      <c r="H3709" s="25">
        <v>9853.7999999999993</v>
      </c>
      <c r="I3709" s="8">
        <v>0</v>
      </c>
      <c r="J3709" s="9">
        <v>0</v>
      </c>
      <c r="K3709" s="7">
        <v>0</v>
      </c>
      <c r="L3709" s="24">
        <f>+Tabla2[[#This Row],[Stock Inventario]]*Tabla2[[#This Row],[Coste LÃ­nea]]</f>
        <v>0</v>
      </c>
      <c r="M3709" s="24">
        <f>+Tabla2[[#This Row],[Variación Stock]]*Tabla2[[#This Row],[Coste LÃ­nea]]</f>
        <v>0</v>
      </c>
      <c r="N3709" s="22" t="str">
        <f>+IF(Tabla2[[#This Row],[Variación Stock]]&gt;0,"Sobrante",IF(Tabla2[[#This Row],[Variación Stock]]&lt;0,"Faltante","Sin novedad"))</f>
        <v>Sin novedad</v>
      </c>
    </row>
    <row r="3710" spans="1:14" x14ac:dyDescent="0.25">
      <c r="A3710" s="11">
        <v>46044</v>
      </c>
      <c r="B3710" s="5" t="s">
        <v>378</v>
      </c>
      <c r="C3710" s="3" t="s">
        <v>339</v>
      </c>
      <c r="D3710" s="5" t="s">
        <v>118</v>
      </c>
      <c r="E3710" s="5" t="s">
        <v>112</v>
      </c>
      <c r="F3710" s="6" t="s">
        <v>85</v>
      </c>
      <c r="G3710" s="4" t="s">
        <v>81</v>
      </c>
      <c r="H3710" s="25">
        <v>9853.2000000000007</v>
      </c>
      <c r="I3710" s="8">
        <v>0</v>
      </c>
      <c r="J3710" s="9">
        <v>0</v>
      </c>
      <c r="K3710" s="7">
        <v>0</v>
      </c>
      <c r="L3710" s="24">
        <f>+Tabla2[[#This Row],[Stock Inventario]]*Tabla2[[#This Row],[Coste LÃ­nea]]</f>
        <v>0</v>
      </c>
      <c r="M3710" s="24">
        <f>+Tabla2[[#This Row],[Variación Stock]]*Tabla2[[#This Row],[Coste LÃ­nea]]</f>
        <v>0</v>
      </c>
      <c r="N3710" s="22" t="str">
        <f>+IF(Tabla2[[#This Row],[Variación Stock]]&gt;0,"Sobrante",IF(Tabla2[[#This Row],[Variación Stock]]&lt;0,"Faltante","Sin novedad"))</f>
        <v>Sin novedad</v>
      </c>
    </row>
    <row r="3711" spans="1:14" x14ac:dyDescent="0.25">
      <c r="A3711" s="11">
        <v>46044</v>
      </c>
      <c r="B3711" s="5" t="s">
        <v>378</v>
      </c>
      <c r="C3711" s="3" t="s">
        <v>339</v>
      </c>
      <c r="D3711" s="5" t="s">
        <v>118</v>
      </c>
      <c r="E3711" s="5" t="s">
        <v>112</v>
      </c>
      <c r="F3711" s="6" t="s">
        <v>186</v>
      </c>
      <c r="G3711" s="4" t="s">
        <v>2</v>
      </c>
      <c r="H3711" s="25">
        <v>48500</v>
      </c>
      <c r="I3711" s="8">
        <v>0</v>
      </c>
      <c r="J3711" s="9">
        <v>0</v>
      </c>
      <c r="K3711" s="7">
        <v>0</v>
      </c>
      <c r="L3711" s="24">
        <f>+Tabla2[[#This Row],[Stock Inventario]]*Tabla2[[#This Row],[Coste LÃ­nea]]</f>
        <v>0</v>
      </c>
      <c r="M3711" s="24">
        <f>+Tabla2[[#This Row],[Variación Stock]]*Tabla2[[#This Row],[Coste LÃ­nea]]</f>
        <v>0</v>
      </c>
      <c r="N3711" s="22" t="str">
        <f>+IF(Tabla2[[#This Row],[Variación Stock]]&gt;0,"Sobrante",IF(Tabla2[[#This Row],[Variación Stock]]&lt;0,"Faltante","Sin novedad"))</f>
        <v>Sin novedad</v>
      </c>
    </row>
    <row r="3712" spans="1:14" hidden="1" x14ac:dyDescent="0.25">
      <c r="A3712" s="11">
        <v>46044</v>
      </c>
      <c r="B3712" s="5" t="s">
        <v>378</v>
      </c>
      <c r="C3712" s="3" t="s">
        <v>339</v>
      </c>
      <c r="D3712" s="5" t="s">
        <v>119</v>
      </c>
      <c r="E3712" s="5" t="s">
        <v>117</v>
      </c>
      <c r="F3712" s="6" t="s">
        <v>12</v>
      </c>
      <c r="G3712" s="4" t="s">
        <v>2</v>
      </c>
      <c r="H3712" s="25">
        <v>0</v>
      </c>
      <c r="I3712" s="8">
        <v>60</v>
      </c>
      <c r="J3712" s="9">
        <v>60</v>
      </c>
      <c r="K3712" s="7">
        <v>0</v>
      </c>
      <c r="L3712" s="24">
        <f>+Tabla2[[#This Row],[Stock Inventario]]*Tabla2[[#This Row],[Coste LÃ­nea]]</f>
        <v>0</v>
      </c>
      <c r="M3712" s="24">
        <f>+Tabla2[[#This Row],[Variación Stock]]*Tabla2[[#This Row],[Coste LÃ­nea]]</f>
        <v>0</v>
      </c>
      <c r="N3712" s="22" t="str">
        <f>+IF(Tabla2[[#This Row],[Variación Stock]]&gt;0,"Sobrante",IF(Tabla2[[#This Row],[Variación Stock]]&lt;0,"Faltante","Sin novedad"))</f>
        <v>Sin novedad</v>
      </c>
    </row>
    <row r="3713" spans="1:14" hidden="1" x14ac:dyDescent="0.25">
      <c r="A3713" s="11">
        <v>46044</v>
      </c>
      <c r="B3713" s="5" t="s">
        <v>378</v>
      </c>
      <c r="C3713" s="3" t="s">
        <v>339</v>
      </c>
      <c r="D3713" s="5" t="s">
        <v>119</v>
      </c>
      <c r="E3713" s="5" t="s">
        <v>117</v>
      </c>
      <c r="F3713" s="6" t="s">
        <v>200</v>
      </c>
      <c r="G3713" s="4" t="s">
        <v>1</v>
      </c>
      <c r="H3713" s="25">
        <v>58.31</v>
      </c>
      <c r="I3713" s="8">
        <v>0</v>
      </c>
      <c r="J3713" s="9">
        <v>0</v>
      </c>
      <c r="K3713" s="7">
        <v>0</v>
      </c>
      <c r="L3713" s="24">
        <f>+Tabla2[[#This Row],[Stock Inventario]]*Tabla2[[#This Row],[Coste LÃ­nea]]</f>
        <v>0</v>
      </c>
      <c r="M3713" s="24">
        <f>+Tabla2[[#This Row],[Variación Stock]]*Tabla2[[#This Row],[Coste LÃ­nea]]</f>
        <v>0</v>
      </c>
      <c r="N3713" s="22" t="str">
        <f>+IF(Tabla2[[#This Row],[Variación Stock]]&gt;0,"Sobrante",IF(Tabla2[[#This Row],[Variación Stock]]&lt;0,"Faltante","Sin novedad"))</f>
        <v>Sin novedad</v>
      </c>
    </row>
    <row r="3714" spans="1:14" x14ac:dyDescent="0.25">
      <c r="A3714" s="11">
        <v>46044</v>
      </c>
      <c r="B3714" s="5" t="s">
        <v>378</v>
      </c>
      <c r="C3714" s="3" t="s">
        <v>339</v>
      </c>
      <c r="D3714" s="5" t="s">
        <v>121</v>
      </c>
      <c r="E3714" s="5" t="s">
        <v>112</v>
      </c>
      <c r="F3714" s="6" t="s">
        <v>377</v>
      </c>
      <c r="G3714" s="4" t="s">
        <v>0</v>
      </c>
      <c r="H3714" s="25">
        <v>4481.6813725399998</v>
      </c>
      <c r="I3714" s="8">
        <v>0</v>
      </c>
      <c r="J3714" s="9">
        <v>0</v>
      </c>
      <c r="K3714" s="7">
        <v>0</v>
      </c>
      <c r="L3714" s="24">
        <f>+Tabla2[[#This Row],[Stock Inventario]]*Tabla2[[#This Row],[Coste LÃ­nea]]</f>
        <v>0</v>
      </c>
      <c r="M3714" s="24">
        <f>+Tabla2[[#This Row],[Variación Stock]]*Tabla2[[#This Row],[Coste LÃ­nea]]</f>
        <v>0</v>
      </c>
      <c r="N3714" s="22" t="str">
        <f>+IF(Tabla2[[#This Row],[Variación Stock]]&gt;0,"Sobrante",IF(Tabla2[[#This Row],[Variación Stock]]&lt;0,"Faltante","Sin novedad"))</f>
        <v>Sin novedad</v>
      </c>
    </row>
    <row r="3715" spans="1:14" x14ac:dyDescent="0.25">
      <c r="A3715" s="11">
        <v>46044</v>
      </c>
      <c r="B3715" s="5" t="s">
        <v>378</v>
      </c>
      <c r="C3715" s="3" t="s">
        <v>339</v>
      </c>
      <c r="D3715" s="5" t="s">
        <v>122</v>
      </c>
      <c r="E3715" s="5" t="s">
        <v>112</v>
      </c>
      <c r="F3715" s="6" t="s">
        <v>103</v>
      </c>
      <c r="G3715" s="4" t="s">
        <v>2</v>
      </c>
      <c r="H3715" s="25">
        <v>3458.3283333300001</v>
      </c>
      <c r="I3715" s="8">
        <v>0</v>
      </c>
      <c r="J3715" s="9">
        <v>0</v>
      </c>
      <c r="K3715" s="7">
        <v>0</v>
      </c>
      <c r="L3715" s="24">
        <f>+Tabla2[[#This Row],[Stock Inventario]]*Tabla2[[#This Row],[Coste LÃ­nea]]</f>
        <v>0</v>
      </c>
      <c r="M3715" s="24">
        <f>+Tabla2[[#This Row],[Variación Stock]]*Tabla2[[#This Row],[Coste LÃ­nea]]</f>
        <v>0</v>
      </c>
      <c r="N3715" s="22" t="str">
        <f>+IF(Tabla2[[#This Row],[Variación Stock]]&gt;0,"Sobrante",IF(Tabla2[[#This Row],[Variación Stock]]&lt;0,"Faltante","Sin novedad"))</f>
        <v>Sin novedad</v>
      </c>
    </row>
    <row r="3716" spans="1:14" x14ac:dyDescent="0.25">
      <c r="A3716" s="11">
        <v>46044</v>
      </c>
      <c r="B3716" s="5" t="s">
        <v>378</v>
      </c>
      <c r="C3716" s="3" t="s">
        <v>339</v>
      </c>
      <c r="D3716" s="5" t="s">
        <v>122</v>
      </c>
      <c r="E3716" s="5" t="s">
        <v>112</v>
      </c>
      <c r="F3716" s="6" t="s">
        <v>107</v>
      </c>
      <c r="G3716" s="4" t="s">
        <v>2</v>
      </c>
      <c r="H3716" s="25">
        <v>3458.3291316700002</v>
      </c>
      <c r="I3716" s="8">
        <v>0</v>
      </c>
      <c r="J3716" s="9">
        <v>0</v>
      </c>
      <c r="K3716" s="7">
        <v>0</v>
      </c>
      <c r="L3716" s="24">
        <f>+Tabla2[[#This Row],[Stock Inventario]]*Tabla2[[#This Row],[Coste LÃ­nea]]</f>
        <v>0</v>
      </c>
      <c r="M3716" s="24">
        <f>+Tabla2[[#This Row],[Variación Stock]]*Tabla2[[#This Row],[Coste LÃ­nea]]</f>
        <v>0</v>
      </c>
      <c r="N3716" s="22" t="str">
        <f>+IF(Tabla2[[#This Row],[Variación Stock]]&gt;0,"Sobrante",IF(Tabla2[[#This Row],[Variación Stock]]&lt;0,"Faltante","Sin novedad"))</f>
        <v>Sin novedad</v>
      </c>
    </row>
    <row r="3717" spans="1:14" x14ac:dyDescent="0.25">
      <c r="A3717" s="11">
        <v>46044</v>
      </c>
      <c r="B3717" s="5" t="s">
        <v>378</v>
      </c>
      <c r="C3717" s="3" t="s">
        <v>339</v>
      </c>
      <c r="D3717" s="5" t="s">
        <v>122</v>
      </c>
      <c r="E3717" s="5" t="s">
        <v>112</v>
      </c>
      <c r="F3717" s="6" t="s">
        <v>108</v>
      </c>
      <c r="G3717" s="4" t="s">
        <v>2</v>
      </c>
      <c r="H3717" s="25">
        <v>2766.665</v>
      </c>
      <c r="I3717" s="8">
        <v>0</v>
      </c>
      <c r="J3717" s="9">
        <v>0</v>
      </c>
      <c r="K3717" s="7">
        <v>0</v>
      </c>
      <c r="L3717" s="24">
        <f>+Tabla2[[#This Row],[Stock Inventario]]*Tabla2[[#This Row],[Coste LÃ­nea]]</f>
        <v>0</v>
      </c>
      <c r="M3717" s="24">
        <f>+Tabla2[[#This Row],[Variación Stock]]*Tabla2[[#This Row],[Coste LÃ­nea]]</f>
        <v>0</v>
      </c>
      <c r="N3717" s="22" t="str">
        <f>+IF(Tabla2[[#This Row],[Variación Stock]]&gt;0,"Sobrante",IF(Tabla2[[#This Row],[Variación Stock]]&lt;0,"Faltante","Sin novedad"))</f>
        <v>Sin novedad</v>
      </c>
    </row>
    <row r="3718" spans="1:14" x14ac:dyDescent="0.25">
      <c r="A3718" s="11">
        <v>46053</v>
      </c>
      <c r="B3718" s="5" t="s">
        <v>1078</v>
      </c>
      <c r="C3718" s="3" t="s">
        <v>339</v>
      </c>
      <c r="D3718" s="5" t="s">
        <v>111</v>
      </c>
      <c r="E3718" s="5" t="s">
        <v>112</v>
      </c>
      <c r="F3718" s="6" t="s">
        <v>285</v>
      </c>
      <c r="G3718" s="4" t="s">
        <v>2</v>
      </c>
      <c r="H3718" s="25">
        <f>3500*12</f>
        <v>42000</v>
      </c>
      <c r="I3718" s="8">
        <v>0</v>
      </c>
      <c r="J3718" s="9">
        <v>0</v>
      </c>
      <c r="K3718" s="7">
        <v>0</v>
      </c>
      <c r="L3718" s="24">
        <f>+Tabla2[[#This Row],[Stock Inventario]]*Tabla2[[#This Row],[Coste LÃ­nea]]</f>
        <v>0</v>
      </c>
      <c r="M3718" s="24">
        <f>+Tabla2[[#This Row],[Variación Stock]]*Tabla2[[#This Row],[Coste LÃ­nea]]</f>
        <v>0</v>
      </c>
      <c r="N3718" s="22" t="str">
        <f>+IF(Tabla2[[#This Row],[Variación Stock]]&gt;0,"Sobrante",IF(Tabla2[[#This Row],[Variación Stock]]&lt;0,"Faltante","Sin novedad"))</f>
        <v>Sin novedad</v>
      </c>
    </row>
    <row r="3719" spans="1:14" x14ac:dyDescent="0.25">
      <c r="A3719" s="11">
        <v>46053</v>
      </c>
      <c r="B3719" s="5" t="s">
        <v>1078</v>
      </c>
      <c r="C3719" s="3" t="s">
        <v>339</v>
      </c>
      <c r="D3719" s="5" t="s">
        <v>111</v>
      </c>
      <c r="E3719" s="5" t="s">
        <v>112</v>
      </c>
      <c r="F3719" s="6" t="s">
        <v>44</v>
      </c>
      <c r="G3719" s="4" t="s">
        <v>0</v>
      </c>
      <c r="H3719" s="25">
        <v>3500</v>
      </c>
      <c r="I3719" s="8">
        <v>12.35</v>
      </c>
      <c r="J3719" s="9">
        <v>12.35</v>
      </c>
      <c r="K3719" s="7">
        <v>0</v>
      </c>
      <c r="L3719" s="24">
        <f>+Tabla2[[#This Row],[Stock Inventario]]*Tabla2[[#This Row],[Coste LÃ­nea]]</f>
        <v>43225</v>
      </c>
      <c r="M3719" s="24">
        <f>+Tabla2[[#This Row],[Variación Stock]]*Tabla2[[#This Row],[Coste LÃ­nea]]</f>
        <v>0</v>
      </c>
      <c r="N3719" s="22" t="str">
        <f>+IF(Tabla2[[#This Row],[Variación Stock]]&gt;0,"Sobrante",IF(Tabla2[[#This Row],[Variación Stock]]&lt;0,"Faltante","Sin novedad"))</f>
        <v>Sin novedad</v>
      </c>
    </row>
    <row r="3720" spans="1:14" hidden="1" x14ac:dyDescent="0.25">
      <c r="A3720" s="11">
        <v>46053</v>
      </c>
      <c r="B3720" s="5" t="s">
        <v>1078</v>
      </c>
      <c r="C3720" s="3" t="s">
        <v>339</v>
      </c>
      <c r="D3720" s="5" t="s">
        <v>829</v>
      </c>
      <c r="E3720" s="5" t="s">
        <v>117</v>
      </c>
      <c r="F3720" s="6" t="s">
        <v>831</v>
      </c>
      <c r="G3720" s="4" t="s">
        <v>1</v>
      </c>
      <c r="H3720" s="25">
        <v>86.679012349999994</v>
      </c>
      <c r="I3720" s="8">
        <v>-1682</v>
      </c>
      <c r="J3720" s="9">
        <v>4948</v>
      </c>
      <c r="K3720" s="7">
        <v>6630</v>
      </c>
      <c r="L3720" s="24">
        <f>+Tabla2[[#This Row],[Stock Inventario]]*Tabla2[[#This Row],[Coste LÃ­nea]]</f>
        <v>428887.75310779997</v>
      </c>
      <c r="M3720" s="24">
        <f>+Tabla2[[#This Row],[Variación Stock]]*Tabla2[[#This Row],[Coste LÃ­nea]]</f>
        <v>574681.85188049998</v>
      </c>
      <c r="N3720" s="22" t="str">
        <f>+IF(Tabla2[[#This Row],[Variación Stock]]&gt;0,"Sobrante",IF(Tabla2[[#This Row],[Variación Stock]]&lt;0,"Faltante","Sin novedad"))</f>
        <v>Sobrante</v>
      </c>
    </row>
    <row r="3721" spans="1:14" hidden="1" x14ac:dyDescent="0.25">
      <c r="A3721" s="11">
        <v>46053</v>
      </c>
      <c r="B3721" s="5" t="s">
        <v>1078</v>
      </c>
      <c r="C3721" s="3" t="s">
        <v>339</v>
      </c>
      <c r="D3721" s="5" t="s">
        <v>829</v>
      </c>
      <c r="E3721" s="5" t="s">
        <v>117</v>
      </c>
      <c r="F3721" s="6" t="s">
        <v>832</v>
      </c>
      <c r="G3721" s="4" t="s">
        <v>1</v>
      </c>
      <c r="H3721" s="25">
        <v>43.443333330000002</v>
      </c>
      <c r="I3721" s="8">
        <v>1620</v>
      </c>
      <c r="J3721" s="9">
        <v>1900</v>
      </c>
      <c r="K3721" s="7">
        <v>280</v>
      </c>
      <c r="L3721" s="24">
        <f>+Tabla2[[#This Row],[Stock Inventario]]*Tabla2[[#This Row],[Coste LÃ­nea]]</f>
        <v>82542.333327</v>
      </c>
      <c r="M3721" s="24">
        <f>+Tabla2[[#This Row],[Variación Stock]]*Tabla2[[#This Row],[Coste LÃ­nea]]</f>
        <v>12164.133332400001</v>
      </c>
      <c r="N3721" s="22" t="str">
        <f>+IF(Tabla2[[#This Row],[Variación Stock]]&gt;0,"Sobrante",IF(Tabla2[[#This Row],[Variación Stock]]&lt;0,"Faltante","Sin novedad"))</f>
        <v>Sobrante</v>
      </c>
    </row>
    <row r="3722" spans="1:14" hidden="1" x14ac:dyDescent="0.25">
      <c r="A3722" s="11">
        <v>46053</v>
      </c>
      <c r="B3722" s="5" t="s">
        <v>1078</v>
      </c>
      <c r="C3722" s="3" t="s">
        <v>339</v>
      </c>
      <c r="D3722" s="5" t="s">
        <v>829</v>
      </c>
      <c r="E3722" s="5" t="s">
        <v>117</v>
      </c>
      <c r="F3722" s="6" t="s">
        <v>833</v>
      </c>
      <c r="G3722" s="4" t="s">
        <v>1</v>
      </c>
      <c r="H3722" s="25">
        <v>18.85916667</v>
      </c>
      <c r="I3722" s="8">
        <v>32611.999100000001</v>
      </c>
      <c r="J3722" s="9">
        <v>9000</v>
      </c>
      <c r="K3722" s="7">
        <v>-23611.999118</v>
      </c>
      <c r="L3722" s="24">
        <f>+Tabla2[[#This Row],[Stock Inventario]]*Tabla2[[#This Row],[Coste LÃ­nea]]</f>
        <v>169732.50003</v>
      </c>
      <c r="M3722" s="24">
        <f>+Tabla2[[#This Row],[Variación Stock]]*Tabla2[[#This Row],[Coste LÃ­nea]]</f>
        <v>-445302.62677825498</v>
      </c>
      <c r="N3722" s="22" t="str">
        <f>+IF(Tabla2[[#This Row],[Variación Stock]]&gt;0,"Sobrante",IF(Tabla2[[#This Row],[Variación Stock]]&lt;0,"Faltante","Sin novedad"))</f>
        <v>Faltante</v>
      </c>
    </row>
    <row r="3723" spans="1:14" hidden="1" x14ac:dyDescent="0.25">
      <c r="A3723" s="11">
        <v>46053</v>
      </c>
      <c r="B3723" s="5" t="s">
        <v>1078</v>
      </c>
      <c r="C3723" s="3" t="s">
        <v>339</v>
      </c>
      <c r="D3723" s="5" t="s">
        <v>829</v>
      </c>
      <c r="E3723" s="5" t="s">
        <v>117</v>
      </c>
      <c r="F3723" s="6" t="s">
        <v>830</v>
      </c>
      <c r="G3723" s="4" t="s">
        <v>1</v>
      </c>
      <c r="H3723" s="25">
        <v>8.2499666699999992</v>
      </c>
      <c r="I3723" s="8">
        <v>333519</v>
      </c>
      <c r="J3723" s="9">
        <v>80000</v>
      </c>
      <c r="K3723" s="7">
        <v>-253519</v>
      </c>
      <c r="L3723" s="24">
        <f>+Tabla2[[#This Row],[Stock Inventario]]*Tabla2[[#This Row],[Coste LÃ­nea]]</f>
        <v>659997.3335999999</v>
      </c>
      <c r="M3723" s="24">
        <f>+Tabla2[[#This Row],[Variación Stock]]*Tabla2[[#This Row],[Coste LÃ­nea]]</f>
        <v>-2091523.3002117297</v>
      </c>
      <c r="N3723" s="22" t="str">
        <f>+IF(Tabla2[[#This Row],[Variación Stock]]&gt;0,"Sobrante",IF(Tabla2[[#This Row],[Variación Stock]]&lt;0,"Faltante","Sin novedad"))</f>
        <v>Faltante</v>
      </c>
    </row>
    <row r="3724" spans="1:14" hidden="1" x14ac:dyDescent="0.25">
      <c r="A3724" s="11">
        <v>46053</v>
      </c>
      <c r="B3724" s="5" t="s">
        <v>1078</v>
      </c>
      <c r="C3724" s="3" t="s">
        <v>339</v>
      </c>
      <c r="D3724" s="5" t="s">
        <v>818</v>
      </c>
      <c r="E3724" s="5" t="s">
        <v>117</v>
      </c>
      <c r="F3724" s="6" t="s">
        <v>819</v>
      </c>
      <c r="G3724" s="4" t="s">
        <v>1</v>
      </c>
      <c r="H3724" s="25">
        <v>50.792000000000002</v>
      </c>
      <c r="I3724" s="8">
        <v>-165</v>
      </c>
      <c r="J3724" s="9">
        <v>0</v>
      </c>
      <c r="K3724" s="7">
        <v>165</v>
      </c>
      <c r="L3724" s="24">
        <f>+Tabla2[[#This Row],[Stock Inventario]]*Tabla2[[#This Row],[Coste LÃ­nea]]</f>
        <v>0</v>
      </c>
      <c r="M3724" s="24">
        <f>+Tabla2[[#This Row],[Variación Stock]]*Tabla2[[#This Row],[Coste LÃ­nea]]</f>
        <v>8380.68</v>
      </c>
      <c r="N3724" s="22" t="str">
        <f>+IF(Tabla2[[#This Row],[Variación Stock]]&gt;0,"Sobrante",IF(Tabla2[[#This Row],[Variación Stock]]&lt;0,"Faltante","Sin novedad"))</f>
        <v>Sobrante</v>
      </c>
    </row>
    <row r="3725" spans="1:14" hidden="1" x14ac:dyDescent="0.25">
      <c r="A3725" s="11">
        <v>46053</v>
      </c>
      <c r="B3725" s="5" t="s">
        <v>1078</v>
      </c>
      <c r="C3725" s="3" t="s">
        <v>339</v>
      </c>
      <c r="D3725" s="5" t="s">
        <v>818</v>
      </c>
      <c r="E3725" s="5" t="s">
        <v>117</v>
      </c>
      <c r="F3725" s="6" t="s">
        <v>820</v>
      </c>
      <c r="G3725" s="4" t="s">
        <v>1</v>
      </c>
      <c r="H3725" s="25">
        <v>68.056896550000005</v>
      </c>
      <c r="I3725" s="8">
        <v>2598</v>
      </c>
      <c r="J3725" s="9">
        <v>2300</v>
      </c>
      <c r="K3725" s="7">
        <v>-298</v>
      </c>
      <c r="L3725" s="24">
        <f>+Tabla2[[#This Row],[Stock Inventario]]*Tabla2[[#This Row],[Coste LÃ­nea]]</f>
        <v>156530.86206500002</v>
      </c>
      <c r="M3725" s="24">
        <f>+Tabla2[[#This Row],[Variación Stock]]*Tabla2[[#This Row],[Coste LÃ­nea]]</f>
        <v>-20280.955171900001</v>
      </c>
      <c r="N3725" s="22" t="str">
        <f>+IF(Tabla2[[#This Row],[Variación Stock]]&gt;0,"Sobrante",IF(Tabla2[[#This Row],[Variación Stock]]&lt;0,"Faltante","Sin novedad"))</f>
        <v>Faltante</v>
      </c>
    </row>
    <row r="3726" spans="1:14" hidden="1" x14ac:dyDescent="0.25">
      <c r="A3726" s="11">
        <v>46053</v>
      </c>
      <c r="B3726" s="5" t="s">
        <v>1078</v>
      </c>
      <c r="C3726" s="3" t="s">
        <v>339</v>
      </c>
      <c r="D3726" s="5" t="s">
        <v>803</v>
      </c>
      <c r="E3726" s="5" t="s">
        <v>117</v>
      </c>
      <c r="F3726" s="6" t="s">
        <v>805</v>
      </c>
      <c r="G3726" s="4" t="s">
        <v>1</v>
      </c>
      <c r="H3726" s="25">
        <v>18.52965</v>
      </c>
      <c r="I3726" s="8">
        <v>0</v>
      </c>
      <c r="J3726" s="9">
        <v>0</v>
      </c>
      <c r="K3726" s="7">
        <v>0</v>
      </c>
      <c r="L3726" s="24">
        <f>+Tabla2[[#This Row],[Stock Inventario]]*Tabla2[[#This Row],[Coste LÃ­nea]]</f>
        <v>0</v>
      </c>
      <c r="M3726" s="24">
        <f>+Tabla2[[#This Row],[Variación Stock]]*Tabla2[[#This Row],[Coste LÃ­nea]]</f>
        <v>0</v>
      </c>
      <c r="N3726" s="22" t="str">
        <f>+IF(Tabla2[[#This Row],[Variación Stock]]&gt;0,"Sobrante",IF(Tabla2[[#This Row],[Variación Stock]]&lt;0,"Faltante","Sin novedad"))</f>
        <v>Sin novedad</v>
      </c>
    </row>
    <row r="3727" spans="1:14" x14ac:dyDescent="0.25">
      <c r="A3727" s="11">
        <v>46053</v>
      </c>
      <c r="B3727" s="5" t="s">
        <v>1078</v>
      </c>
      <c r="C3727" s="3" t="s">
        <v>339</v>
      </c>
      <c r="D3727" s="5" t="s">
        <v>603</v>
      </c>
      <c r="E3727" s="5" t="s">
        <v>112</v>
      </c>
      <c r="F3727" s="6" t="s">
        <v>606</v>
      </c>
      <c r="G3727" s="4" t="s">
        <v>1</v>
      </c>
      <c r="H3727" s="25">
        <v>129.33199999999999</v>
      </c>
      <c r="I3727" s="8">
        <v>0</v>
      </c>
      <c r="J3727" s="9">
        <v>0</v>
      </c>
      <c r="K3727" s="7">
        <v>0</v>
      </c>
      <c r="L3727" s="24">
        <f>+Tabla2[[#This Row],[Stock Inventario]]*Tabla2[[#This Row],[Coste LÃ­nea]]</f>
        <v>0</v>
      </c>
      <c r="M3727" s="24">
        <f>+Tabla2[[#This Row],[Variación Stock]]*Tabla2[[#This Row],[Coste LÃ­nea]]</f>
        <v>0</v>
      </c>
      <c r="N3727" s="22" t="str">
        <f>+IF(Tabla2[[#This Row],[Variación Stock]]&gt;0,"Sobrante",IF(Tabla2[[#This Row],[Variación Stock]]&lt;0,"Faltante","Sin novedad"))</f>
        <v>Sin novedad</v>
      </c>
    </row>
    <row r="3728" spans="1:14" x14ac:dyDescent="0.25">
      <c r="A3728" s="11">
        <v>46053</v>
      </c>
      <c r="B3728" s="5" t="s">
        <v>1078</v>
      </c>
      <c r="C3728" s="3" t="s">
        <v>339</v>
      </c>
      <c r="D3728" s="5" t="s">
        <v>122</v>
      </c>
      <c r="E3728" s="5" t="s">
        <v>112</v>
      </c>
      <c r="F3728" s="6" t="s">
        <v>99</v>
      </c>
      <c r="G3728" s="4" t="s">
        <v>2</v>
      </c>
      <c r="H3728" s="25">
        <v>7330</v>
      </c>
      <c r="I3728" s="8">
        <v>21</v>
      </c>
      <c r="J3728" s="9">
        <v>21</v>
      </c>
      <c r="K3728" s="7">
        <v>0</v>
      </c>
      <c r="L3728" s="24">
        <f>+Tabla2[[#This Row],[Stock Inventario]]*Tabla2[[#This Row],[Coste LÃ­nea]]</f>
        <v>153930</v>
      </c>
      <c r="M3728" s="24">
        <f>+Tabla2[[#This Row],[Variación Stock]]*Tabla2[[#This Row],[Coste LÃ­nea]]</f>
        <v>0</v>
      </c>
      <c r="N3728" s="22" t="str">
        <f>+IF(Tabla2[[#This Row],[Variación Stock]]&gt;0,"Sobrante",IF(Tabla2[[#This Row],[Variación Stock]]&lt;0,"Faltante","Sin novedad"))</f>
        <v>Sin novedad</v>
      </c>
    </row>
    <row r="3729" spans="1:14" x14ac:dyDescent="0.25">
      <c r="A3729" s="11">
        <v>46053</v>
      </c>
      <c r="B3729" s="5" t="s">
        <v>1078</v>
      </c>
      <c r="C3729" s="3" t="s">
        <v>339</v>
      </c>
      <c r="D3729" s="5" t="s">
        <v>603</v>
      </c>
      <c r="E3729" s="5" t="s">
        <v>112</v>
      </c>
      <c r="F3729" s="6" t="s">
        <v>616</v>
      </c>
      <c r="G3729" s="4" t="s">
        <v>1</v>
      </c>
      <c r="H3729" s="25">
        <v>38</v>
      </c>
      <c r="I3729" s="8">
        <v>-3287.8946000000001</v>
      </c>
      <c r="J3729" s="9">
        <v>840</v>
      </c>
      <c r="K3729" s="7">
        <v>4127.8946059999998</v>
      </c>
      <c r="L3729" s="24">
        <f>+Tabla2[[#This Row],[Stock Inventario]]*Tabla2[[#This Row],[Coste LÃ­nea]]</f>
        <v>31920</v>
      </c>
      <c r="M3729" s="24">
        <f>+Tabla2[[#This Row],[Variación Stock]]*Tabla2[[#This Row],[Coste LÃ­nea]]</f>
        <v>156859.995028</v>
      </c>
      <c r="N3729" s="22" t="str">
        <f>+IF(Tabla2[[#This Row],[Variación Stock]]&gt;0,"Sobrante",IF(Tabla2[[#This Row],[Variación Stock]]&lt;0,"Faltante","Sin novedad"))</f>
        <v>Sobrante</v>
      </c>
    </row>
    <row r="3730" spans="1:14" x14ac:dyDescent="0.25">
      <c r="A3730" s="11">
        <v>46053</v>
      </c>
      <c r="B3730" s="5" t="s">
        <v>1078</v>
      </c>
      <c r="C3730" s="3" t="s">
        <v>339</v>
      </c>
      <c r="D3730" s="5" t="s">
        <v>122</v>
      </c>
      <c r="E3730" s="5" t="s">
        <v>112</v>
      </c>
      <c r="F3730" s="6" t="s">
        <v>101</v>
      </c>
      <c r="G3730" s="4" t="s">
        <v>2</v>
      </c>
      <c r="H3730" s="25">
        <v>1408.33333333</v>
      </c>
      <c r="I3730" s="8">
        <v>5</v>
      </c>
      <c r="J3730" s="9">
        <v>0</v>
      </c>
      <c r="K3730" s="7">
        <v>-5</v>
      </c>
      <c r="L3730" s="24">
        <f>+Tabla2[[#This Row],[Stock Inventario]]*Tabla2[[#This Row],[Coste LÃ­nea]]</f>
        <v>0</v>
      </c>
      <c r="M3730" s="24">
        <f>+Tabla2[[#This Row],[Variación Stock]]*Tabla2[[#This Row],[Coste LÃ­nea]]</f>
        <v>-7041.6666666499996</v>
      </c>
      <c r="N3730" s="22" t="str">
        <f>+IF(Tabla2[[#This Row],[Variación Stock]]&gt;0,"Sobrante",IF(Tabla2[[#This Row],[Variación Stock]]&lt;0,"Faltante","Sin novedad"))</f>
        <v>Faltante</v>
      </c>
    </row>
    <row r="3731" spans="1:14" x14ac:dyDescent="0.25">
      <c r="A3731" s="11">
        <v>46053</v>
      </c>
      <c r="B3731" s="5" t="s">
        <v>1078</v>
      </c>
      <c r="C3731" s="3" t="s">
        <v>339</v>
      </c>
      <c r="D3731" s="5" t="s">
        <v>122</v>
      </c>
      <c r="E3731" s="5" t="s">
        <v>112</v>
      </c>
      <c r="F3731" s="6" t="s">
        <v>100</v>
      </c>
      <c r="G3731" s="4" t="s">
        <v>2</v>
      </c>
      <c r="H3731" s="25">
        <v>7857</v>
      </c>
      <c r="I3731" s="8">
        <v>30</v>
      </c>
      <c r="J3731" s="9">
        <v>30</v>
      </c>
      <c r="K3731" s="7">
        <v>0</v>
      </c>
      <c r="L3731" s="24">
        <f>+Tabla2[[#This Row],[Stock Inventario]]*Tabla2[[#This Row],[Coste LÃ­nea]]</f>
        <v>235710</v>
      </c>
      <c r="M3731" s="24">
        <f>+Tabla2[[#This Row],[Variación Stock]]*Tabla2[[#This Row],[Coste LÃ­nea]]</f>
        <v>0</v>
      </c>
      <c r="N3731" s="22" t="str">
        <f>+IF(Tabla2[[#This Row],[Variación Stock]]&gt;0,"Sobrante",IF(Tabla2[[#This Row],[Variación Stock]]&lt;0,"Faltante","Sin novedad"))</f>
        <v>Sin novedad</v>
      </c>
    </row>
    <row r="3732" spans="1:14" x14ac:dyDescent="0.25">
      <c r="A3732" s="11">
        <v>46053</v>
      </c>
      <c r="B3732" s="5" t="s">
        <v>1078</v>
      </c>
      <c r="C3732" s="3" t="s">
        <v>339</v>
      </c>
      <c r="D3732" s="5" t="s">
        <v>114</v>
      </c>
      <c r="E3732" s="5" t="s">
        <v>112</v>
      </c>
      <c r="F3732" s="6" t="s">
        <v>65</v>
      </c>
      <c r="G3732" s="4" t="s">
        <v>2</v>
      </c>
      <c r="H3732" s="25">
        <v>5132.4583333299997</v>
      </c>
      <c r="I3732" s="8">
        <v>-2</v>
      </c>
      <c r="J3732" s="9">
        <v>23</v>
      </c>
      <c r="K3732" s="7">
        <v>25</v>
      </c>
      <c r="L3732" s="24">
        <f>+Tabla2[[#This Row],[Stock Inventario]]*Tabla2[[#This Row],[Coste LÃ­nea]]</f>
        <v>118046.54166659</v>
      </c>
      <c r="M3732" s="24">
        <f>+Tabla2[[#This Row],[Variación Stock]]*Tabla2[[#This Row],[Coste LÃ­nea]]</f>
        <v>128311.45833324999</v>
      </c>
      <c r="N3732" s="22" t="str">
        <f>+IF(Tabla2[[#This Row],[Variación Stock]]&gt;0,"Sobrante",IF(Tabla2[[#This Row],[Variación Stock]]&lt;0,"Faltante","Sin novedad"))</f>
        <v>Sobrante</v>
      </c>
    </row>
    <row r="3733" spans="1:14" hidden="1" x14ac:dyDescent="0.25">
      <c r="A3733" s="11">
        <v>46053</v>
      </c>
      <c r="B3733" s="5" t="s">
        <v>1078</v>
      </c>
      <c r="C3733" s="3" t="s">
        <v>339</v>
      </c>
      <c r="D3733" s="5" t="s">
        <v>471</v>
      </c>
      <c r="E3733" s="5" t="s">
        <v>117</v>
      </c>
      <c r="F3733" s="6" t="s">
        <v>542</v>
      </c>
      <c r="G3733" s="4" t="s">
        <v>1</v>
      </c>
      <c r="H3733" s="25">
        <v>14</v>
      </c>
      <c r="I3733" s="8">
        <v>94735.809699999998</v>
      </c>
      <c r="J3733" s="9">
        <v>18586</v>
      </c>
      <c r="K3733" s="7">
        <v>-76149.809724999999</v>
      </c>
      <c r="L3733" s="24">
        <f>+Tabla2[[#This Row],[Stock Inventario]]*Tabla2[[#This Row],[Coste LÃ­nea]]</f>
        <v>260204</v>
      </c>
      <c r="M3733" s="24">
        <f>+Tabla2[[#This Row],[Variación Stock]]*Tabla2[[#This Row],[Coste LÃ­nea]]</f>
        <v>-1066097.3361499999</v>
      </c>
      <c r="N3733" s="22" t="str">
        <f>+IF(Tabla2[[#This Row],[Variación Stock]]&gt;0,"Sobrante",IF(Tabla2[[#This Row],[Variación Stock]]&lt;0,"Faltante","Sin novedad"))</f>
        <v>Faltante</v>
      </c>
    </row>
    <row r="3734" spans="1:14" x14ac:dyDescent="0.25">
      <c r="A3734" s="11">
        <v>46053</v>
      </c>
      <c r="B3734" s="5" t="s">
        <v>1078</v>
      </c>
      <c r="C3734" s="3" t="s">
        <v>339</v>
      </c>
      <c r="D3734" s="5" t="s">
        <v>111</v>
      </c>
      <c r="E3734" s="5" t="s">
        <v>112</v>
      </c>
      <c r="F3734" s="6" t="s">
        <v>45</v>
      </c>
      <c r="G3734" s="4" t="s">
        <v>2</v>
      </c>
      <c r="H3734" s="25">
        <v>26517.26</v>
      </c>
      <c r="I3734" s="8">
        <v>2</v>
      </c>
      <c r="J3734" s="9">
        <v>2</v>
      </c>
      <c r="K3734" s="7">
        <v>0</v>
      </c>
      <c r="L3734" s="24">
        <f>+Tabla2[[#This Row],[Stock Inventario]]*Tabla2[[#This Row],[Coste LÃ­nea]]</f>
        <v>53034.52</v>
      </c>
      <c r="M3734" s="24">
        <f>+Tabla2[[#This Row],[Variación Stock]]*Tabla2[[#This Row],[Coste LÃ­nea]]</f>
        <v>0</v>
      </c>
      <c r="N3734" s="22" t="str">
        <f>+IF(Tabla2[[#This Row],[Variación Stock]]&gt;0,"Sobrante",IF(Tabla2[[#This Row],[Variación Stock]]&lt;0,"Faltante","Sin novedad"))</f>
        <v>Sin novedad</v>
      </c>
    </row>
    <row r="3735" spans="1:14" x14ac:dyDescent="0.25">
      <c r="A3735" s="11">
        <v>46053</v>
      </c>
      <c r="B3735" s="5" t="s">
        <v>1078</v>
      </c>
      <c r="C3735" s="3" t="s">
        <v>339</v>
      </c>
      <c r="D3735" s="5" t="s">
        <v>111</v>
      </c>
      <c r="E3735" s="5" t="s">
        <v>112</v>
      </c>
      <c r="F3735" s="6" t="s">
        <v>46</v>
      </c>
      <c r="G3735" s="4" t="s">
        <v>0</v>
      </c>
      <c r="H3735" s="25">
        <v>2056.3333333300002</v>
      </c>
      <c r="I3735" s="8">
        <v>37.5</v>
      </c>
      <c r="J3735" s="9">
        <v>37.5</v>
      </c>
      <c r="K3735" s="7">
        <v>0</v>
      </c>
      <c r="L3735" s="24">
        <f>+Tabla2[[#This Row],[Stock Inventario]]*Tabla2[[#This Row],[Coste LÃ­nea]]</f>
        <v>77112.499999875014</v>
      </c>
      <c r="M3735" s="24">
        <f>+Tabla2[[#This Row],[Variación Stock]]*Tabla2[[#This Row],[Coste LÃ­nea]]</f>
        <v>0</v>
      </c>
      <c r="N3735" s="22" t="str">
        <f>+IF(Tabla2[[#This Row],[Variación Stock]]&gt;0,"Sobrante",IF(Tabla2[[#This Row],[Variación Stock]]&lt;0,"Faltante","Sin novedad"))</f>
        <v>Sin novedad</v>
      </c>
    </row>
    <row r="3736" spans="1:14" x14ac:dyDescent="0.25">
      <c r="A3736" s="11">
        <v>46053</v>
      </c>
      <c r="B3736" s="5" t="s">
        <v>1078</v>
      </c>
      <c r="C3736" s="3" t="s">
        <v>339</v>
      </c>
      <c r="D3736" s="5" t="s">
        <v>111</v>
      </c>
      <c r="E3736" s="5" t="s">
        <v>112</v>
      </c>
      <c r="F3736" s="6" t="s">
        <v>47</v>
      </c>
      <c r="G3736" s="4" t="s">
        <v>2</v>
      </c>
      <c r="H3736" s="25">
        <v>24693.34</v>
      </c>
      <c r="I3736" s="8">
        <v>3</v>
      </c>
      <c r="J3736" s="9">
        <v>3</v>
      </c>
      <c r="K3736" s="7">
        <v>0</v>
      </c>
      <c r="L3736" s="24">
        <f>+Tabla2[[#This Row],[Stock Inventario]]*Tabla2[[#This Row],[Coste LÃ­nea]]</f>
        <v>74080.02</v>
      </c>
      <c r="M3736" s="24">
        <f>+Tabla2[[#This Row],[Variación Stock]]*Tabla2[[#This Row],[Coste LÃ­nea]]</f>
        <v>0</v>
      </c>
      <c r="N3736" s="22" t="str">
        <f>+IF(Tabla2[[#This Row],[Variación Stock]]&gt;0,"Sobrante",IF(Tabla2[[#This Row],[Variación Stock]]&lt;0,"Faltante","Sin novedad"))</f>
        <v>Sin novedad</v>
      </c>
    </row>
    <row r="3737" spans="1:14" x14ac:dyDescent="0.25">
      <c r="A3737" s="11">
        <v>46053</v>
      </c>
      <c r="B3737" s="5" t="s">
        <v>1078</v>
      </c>
      <c r="C3737" s="3" t="s">
        <v>339</v>
      </c>
      <c r="D3737" s="5" t="s">
        <v>111</v>
      </c>
      <c r="E3737" s="5" t="s">
        <v>112</v>
      </c>
      <c r="F3737" s="6" t="s">
        <v>48</v>
      </c>
      <c r="G3737" s="4" t="s">
        <v>0</v>
      </c>
      <c r="H3737" s="25">
        <v>1729.16666667</v>
      </c>
      <c r="I3737" s="8">
        <v>40.32</v>
      </c>
      <c r="J3737" s="9">
        <v>40.32</v>
      </c>
      <c r="K3737" s="7">
        <v>0</v>
      </c>
      <c r="L3737" s="24">
        <f>+Tabla2[[#This Row],[Stock Inventario]]*Tabla2[[#This Row],[Coste LÃ­nea]]</f>
        <v>69720.000000134401</v>
      </c>
      <c r="M3737" s="24">
        <f>+Tabla2[[#This Row],[Variación Stock]]*Tabla2[[#This Row],[Coste LÃ­nea]]</f>
        <v>0</v>
      </c>
      <c r="N3737" s="22" t="str">
        <f>+IF(Tabla2[[#This Row],[Variación Stock]]&gt;0,"Sobrante",IF(Tabla2[[#This Row],[Variación Stock]]&lt;0,"Faltante","Sin novedad"))</f>
        <v>Sin novedad</v>
      </c>
    </row>
    <row r="3738" spans="1:14" x14ac:dyDescent="0.25">
      <c r="A3738" s="11">
        <v>46053</v>
      </c>
      <c r="B3738" s="5" t="s">
        <v>1078</v>
      </c>
      <c r="C3738" s="3" t="s">
        <v>339</v>
      </c>
      <c r="D3738" s="5" t="s">
        <v>111</v>
      </c>
      <c r="E3738" s="5" t="s">
        <v>112</v>
      </c>
      <c r="F3738" s="6" t="s">
        <v>49</v>
      </c>
      <c r="G3738" s="4" t="s">
        <v>2</v>
      </c>
      <c r="H3738" s="25">
        <v>23367.465</v>
      </c>
      <c r="I3738" s="8">
        <v>2</v>
      </c>
      <c r="J3738" s="9">
        <v>2</v>
      </c>
      <c r="K3738" s="7">
        <v>0</v>
      </c>
      <c r="L3738" s="24">
        <f>+Tabla2[[#This Row],[Stock Inventario]]*Tabla2[[#This Row],[Coste LÃ­nea]]</f>
        <v>46734.93</v>
      </c>
      <c r="M3738" s="24">
        <f>+Tabla2[[#This Row],[Variación Stock]]*Tabla2[[#This Row],[Coste LÃ­nea]]</f>
        <v>0</v>
      </c>
      <c r="N3738" s="22" t="str">
        <f>+IF(Tabla2[[#This Row],[Variación Stock]]&gt;0,"Sobrante",IF(Tabla2[[#This Row],[Variación Stock]]&lt;0,"Faltante","Sin novedad"))</f>
        <v>Sin novedad</v>
      </c>
    </row>
    <row r="3739" spans="1:14" x14ac:dyDescent="0.25">
      <c r="A3739" s="11">
        <v>46053</v>
      </c>
      <c r="B3739" s="5" t="s">
        <v>1078</v>
      </c>
      <c r="C3739" s="3" t="s">
        <v>339</v>
      </c>
      <c r="D3739" s="5" t="s">
        <v>111</v>
      </c>
      <c r="E3739" s="5" t="s">
        <v>112</v>
      </c>
      <c r="F3739" s="6" t="s">
        <v>50</v>
      </c>
      <c r="G3739" s="4" t="s">
        <v>0</v>
      </c>
      <c r="H3739" s="25">
        <v>1658.625</v>
      </c>
      <c r="I3739" s="8">
        <v>36.799999999999997</v>
      </c>
      <c r="J3739" s="9">
        <v>36.799999999999997</v>
      </c>
      <c r="K3739" s="7">
        <v>0</v>
      </c>
      <c r="L3739" s="24">
        <f>+Tabla2[[#This Row],[Stock Inventario]]*Tabla2[[#This Row],[Coste LÃ­nea]]</f>
        <v>61037.399999999994</v>
      </c>
      <c r="M3739" s="24">
        <f>+Tabla2[[#This Row],[Variación Stock]]*Tabla2[[#This Row],[Coste LÃ­nea]]</f>
        <v>0</v>
      </c>
      <c r="N3739" s="22" t="str">
        <f>+IF(Tabla2[[#This Row],[Variación Stock]]&gt;0,"Sobrante",IF(Tabla2[[#This Row],[Variación Stock]]&lt;0,"Faltante","Sin novedad"))</f>
        <v>Sin novedad</v>
      </c>
    </row>
    <row r="3740" spans="1:14" hidden="1" x14ac:dyDescent="0.25">
      <c r="A3740" s="11">
        <v>46053</v>
      </c>
      <c r="B3740" s="5" t="s">
        <v>1078</v>
      </c>
      <c r="C3740" s="3" t="s">
        <v>339</v>
      </c>
      <c r="D3740" s="5" t="s">
        <v>471</v>
      </c>
      <c r="E3740" s="5" t="s">
        <v>117</v>
      </c>
      <c r="F3740" s="6" t="s">
        <v>478</v>
      </c>
      <c r="G3740" s="4" t="s">
        <v>1</v>
      </c>
      <c r="H3740" s="25">
        <v>14</v>
      </c>
      <c r="I3740" s="8">
        <v>6182</v>
      </c>
      <c r="J3740" s="9">
        <v>1696</v>
      </c>
      <c r="K3740" s="7">
        <v>-4486</v>
      </c>
      <c r="L3740" s="24">
        <f>+Tabla2[[#This Row],[Stock Inventario]]*Tabla2[[#This Row],[Coste LÃ­nea]]</f>
        <v>23744</v>
      </c>
      <c r="M3740" s="24">
        <f>+Tabla2[[#This Row],[Variación Stock]]*Tabla2[[#This Row],[Coste LÃ­nea]]</f>
        <v>-62804</v>
      </c>
      <c r="N3740" s="22" t="str">
        <f>+IF(Tabla2[[#This Row],[Variación Stock]]&gt;0,"Sobrante",IF(Tabla2[[#This Row],[Variación Stock]]&lt;0,"Faltante","Sin novedad"))</f>
        <v>Faltante</v>
      </c>
    </row>
    <row r="3741" spans="1:14" hidden="1" x14ac:dyDescent="0.25">
      <c r="A3741" s="11">
        <v>46053</v>
      </c>
      <c r="B3741" s="5" t="s">
        <v>1078</v>
      </c>
      <c r="C3741" s="3" t="s">
        <v>339</v>
      </c>
      <c r="D3741" s="5" t="s">
        <v>471</v>
      </c>
      <c r="E3741" s="5" t="s">
        <v>117</v>
      </c>
      <c r="F3741" s="6" t="s">
        <v>479</v>
      </c>
      <c r="G3741" s="4" t="s">
        <v>1</v>
      </c>
      <c r="H3741" s="25">
        <v>7.5</v>
      </c>
      <c r="I3741" s="8">
        <v>0</v>
      </c>
      <c r="J3741" s="9">
        <v>0</v>
      </c>
      <c r="K3741" s="7">
        <v>0</v>
      </c>
      <c r="L3741" s="24">
        <f>+Tabla2[[#This Row],[Stock Inventario]]*Tabla2[[#This Row],[Coste LÃ­nea]]</f>
        <v>0</v>
      </c>
      <c r="M3741" s="24">
        <f>+Tabla2[[#This Row],[Variación Stock]]*Tabla2[[#This Row],[Coste LÃ­nea]]</f>
        <v>0</v>
      </c>
      <c r="N3741" s="22" t="str">
        <f>+IF(Tabla2[[#This Row],[Variación Stock]]&gt;0,"Sobrante",IF(Tabla2[[#This Row],[Variación Stock]]&lt;0,"Faltante","Sin novedad"))</f>
        <v>Sin novedad</v>
      </c>
    </row>
    <row r="3742" spans="1:14" hidden="1" x14ac:dyDescent="0.25">
      <c r="A3742" s="11">
        <v>46053</v>
      </c>
      <c r="B3742" s="5" t="s">
        <v>1078</v>
      </c>
      <c r="C3742" s="3" t="s">
        <v>339</v>
      </c>
      <c r="D3742" s="5" t="s">
        <v>471</v>
      </c>
      <c r="E3742" s="5" t="s">
        <v>117</v>
      </c>
      <c r="F3742" s="6" t="s">
        <v>480</v>
      </c>
      <c r="G3742" s="4" t="s">
        <v>1</v>
      </c>
      <c r="H3742" s="25">
        <v>10</v>
      </c>
      <c r="I3742" s="8">
        <v>4586.4966999999997</v>
      </c>
      <c r="J3742" s="9">
        <v>1578</v>
      </c>
      <c r="K3742" s="7">
        <v>-3008.4966539000002</v>
      </c>
      <c r="L3742" s="24">
        <f>+Tabla2[[#This Row],[Stock Inventario]]*Tabla2[[#This Row],[Coste LÃ­nea]]</f>
        <v>15780</v>
      </c>
      <c r="M3742" s="24">
        <f>+Tabla2[[#This Row],[Variación Stock]]*Tabla2[[#This Row],[Coste LÃ­nea]]</f>
        <v>-30084.966539000001</v>
      </c>
      <c r="N3742" s="22" t="str">
        <f>+IF(Tabla2[[#This Row],[Variación Stock]]&gt;0,"Sobrante",IF(Tabla2[[#This Row],[Variación Stock]]&lt;0,"Faltante","Sin novedad"))</f>
        <v>Faltante</v>
      </c>
    </row>
    <row r="3743" spans="1:14" hidden="1" x14ac:dyDescent="0.25">
      <c r="A3743" s="11">
        <v>46053</v>
      </c>
      <c r="B3743" s="5" t="s">
        <v>1078</v>
      </c>
      <c r="C3743" s="3" t="s">
        <v>339</v>
      </c>
      <c r="D3743" s="5" t="s">
        <v>471</v>
      </c>
      <c r="E3743" s="5" t="s">
        <v>117</v>
      </c>
      <c r="F3743" s="6" t="s">
        <v>476</v>
      </c>
      <c r="G3743" s="4" t="s">
        <v>1</v>
      </c>
      <c r="H3743" s="25">
        <v>19</v>
      </c>
      <c r="I3743" s="8">
        <v>2988</v>
      </c>
      <c r="J3743" s="9">
        <v>170</v>
      </c>
      <c r="K3743" s="7">
        <v>-2818</v>
      </c>
      <c r="L3743" s="24">
        <f>+Tabla2[[#This Row],[Stock Inventario]]*Tabla2[[#This Row],[Coste LÃ­nea]]</f>
        <v>3230</v>
      </c>
      <c r="M3743" s="24">
        <f>+Tabla2[[#This Row],[Variación Stock]]*Tabla2[[#This Row],[Coste LÃ­nea]]</f>
        <v>-53542</v>
      </c>
      <c r="N3743" s="22" t="str">
        <f>+IF(Tabla2[[#This Row],[Variación Stock]]&gt;0,"Sobrante",IF(Tabla2[[#This Row],[Variación Stock]]&lt;0,"Faltante","Sin novedad"))</f>
        <v>Faltante</v>
      </c>
    </row>
    <row r="3744" spans="1:14" hidden="1" x14ac:dyDescent="0.25">
      <c r="A3744" s="11">
        <v>46053</v>
      </c>
      <c r="B3744" s="5" t="s">
        <v>1078</v>
      </c>
      <c r="C3744" s="3" t="s">
        <v>339</v>
      </c>
      <c r="D3744" s="5" t="s">
        <v>471</v>
      </c>
      <c r="E3744" s="5" t="s">
        <v>117</v>
      </c>
      <c r="F3744" s="6" t="s">
        <v>481</v>
      </c>
      <c r="G3744" s="4" t="s">
        <v>1</v>
      </c>
      <c r="H3744" s="25">
        <v>28</v>
      </c>
      <c r="I3744" s="8">
        <v>2416.5556000000001</v>
      </c>
      <c r="J3744" s="9">
        <v>2196</v>
      </c>
      <c r="K3744" s="7">
        <v>-220.55556559999999</v>
      </c>
      <c r="L3744" s="24">
        <f>+Tabla2[[#This Row],[Stock Inventario]]*Tabla2[[#This Row],[Coste LÃ­nea]]</f>
        <v>61488</v>
      </c>
      <c r="M3744" s="24">
        <f>+Tabla2[[#This Row],[Variación Stock]]*Tabla2[[#This Row],[Coste LÃ­nea]]</f>
        <v>-6175.5558368000002</v>
      </c>
      <c r="N3744" s="22" t="str">
        <f>+IF(Tabla2[[#This Row],[Variación Stock]]&gt;0,"Sobrante",IF(Tabla2[[#This Row],[Variación Stock]]&lt;0,"Faltante","Sin novedad"))</f>
        <v>Faltante</v>
      </c>
    </row>
    <row r="3745" spans="1:14" hidden="1" x14ac:dyDescent="0.25">
      <c r="A3745" s="11">
        <v>46053</v>
      </c>
      <c r="B3745" s="5" t="s">
        <v>1078</v>
      </c>
      <c r="C3745" s="3" t="s">
        <v>339</v>
      </c>
      <c r="D3745" s="5" t="s">
        <v>803</v>
      </c>
      <c r="E3745" s="5" t="s">
        <v>117</v>
      </c>
      <c r="F3745" s="6" t="s">
        <v>806</v>
      </c>
      <c r="G3745" s="4" t="s">
        <v>1</v>
      </c>
      <c r="H3745" s="25">
        <v>20.111000000000001</v>
      </c>
      <c r="I3745" s="8">
        <v>7532.8231999999998</v>
      </c>
      <c r="J3745" s="9">
        <v>3806</v>
      </c>
      <c r="K3745" s="7">
        <v>-3726.8232480000001</v>
      </c>
      <c r="L3745" s="24">
        <f>+Tabla2[[#This Row],[Stock Inventario]]*Tabla2[[#This Row],[Coste LÃ­nea]]</f>
        <v>76542.466</v>
      </c>
      <c r="M3745" s="24">
        <f>+Tabla2[[#This Row],[Variación Stock]]*Tabla2[[#This Row],[Coste LÃ­nea]]</f>
        <v>-74950.142340528007</v>
      </c>
      <c r="N3745" s="22" t="str">
        <f>+IF(Tabla2[[#This Row],[Variación Stock]]&gt;0,"Sobrante",IF(Tabla2[[#This Row],[Variación Stock]]&lt;0,"Faltante","Sin novedad"))</f>
        <v>Faltante</v>
      </c>
    </row>
    <row r="3746" spans="1:14" hidden="1" x14ac:dyDescent="0.25">
      <c r="A3746" s="11">
        <v>46053</v>
      </c>
      <c r="B3746" s="5" t="s">
        <v>1078</v>
      </c>
      <c r="C3746" s="3" t="s">
        <v>339</v>
      </c>
      <c r="D3746" s="5" t="s">
        <v>471</v>
      </c>
      <c r="E3746" s="5" t="s">
        <v>117</v>
      </c>
      <c r="F3746" s="6" t="s">
        <v>482</v>
      </c>
      <c r="G3746" s="4" t="s">
        <v>1</v>
      </c>
      <c r="H3746" s="25">
        <v>19.8</v>
      </c>
      <c r="I3746" s="8">
        <v>26.000900000000001</v>
      </c>
      <c r="J3746" s="9">
        <v>492</v>
      </c>
      <c r="K3746" s="7">
        <v>465.9991</v>
      </c>
      <c r="L3746" s="24">
        <f>+Tabla2[[#This Row],[Stock Inventario]]*Tabla2[[#This Row],[Coste LÃ­nea]]</f>
        <v>9741.6</v>
      </c>
      <c r="M3746" s="24">
        <f>+Tabla2[[#This Row],[Variación Stock]]*Tabla2[[#This Row],[Coste LÃ­nea]]</f>
        <v>9226.7821800000002</v>
      </c>
      <c r="N3746" s="22" t="str">
        <f>+IF(Tabla2[[#This Row],[Variación Stock]]&gt;0,"Sobrante",IF(Tabla2[[#This Row],[Variación Stock]]&lt;0,"Faltante","Sin novedad"))</f>
        <v>Sobrante</v>
      </c>
    </row>
    <row r="3747" spans="1:14" hidden="1" x14ac:dyDescent="0.25">
      <c r="A3747" s="11">
        <v>46053</v>
      </c>
      <c r="B3747" s="5" t="s">
        <v>1078</v>
      </c>
      <c r="C3747" s="3" t="s">
        <v>339</v>
      </c>
      <c r="D3747" s="5" t="s">
        <v>396</v>
      </c>
      <c r="E3747" s="5" t="s">
        <v>117</v>
      </c>
      <c r="F3747" s="6" t="s">
        <v>412</v>
      </c>
      <c r="G3747" s="4" t="s">
        <v>1</v>
      </c>
      <c r="H3747" s="25">
        <v>20.059999999999999</v>
      </c>
      <c r="I3747" s="8">
        <v>825</v>
      </c>
      <c r="J3747" s="9">
        <v>0</v>
      </c>
      <c r="K3747" s="7">
        <v>-825</v>
      </c>
      <c r="L3747" s="24">
        <f>+Tabla2[[#This Row],[Stock Inventario]]*Tabla2[[#This Row],[Coste LÃ­nea]]</f>
        <v>0</v>
      </c>
      <c r="M3747" s="24">
        <f>+Tabla2[[#This Row],[Variación Stock]]*Tabla2[[#This Row],[Coste LÃ­nea]]</f>
        <v>-16549.5</v>
      </c>
      <c r="N3747" s="22" t="str">
        <f>+IF(Tabla2[[#This Row],[Variación Stock]]&gt;0,"Sobrante",IF(Tabla2[[#This Row],[Variación Stock]]&lt;0,"Faltante","Sin novedad"))</f>
        <v>Faltante</v>
      </c>
    </row>
    <row r="3748" spans="1:14" hidden="1" x14ac:dyDescent="0.25">
      <c r="A3748" s="11">
        <v>46053</v>
      </c>
      <c r="B3748" s="5" t="s">
        <v>1078</v>
      </c>
      <c r="C3748" s="3" t="s">
        <v>339</v>
      </c>
      <c r="D3748" s="5" t="s">
        <v>803</v>
      </c>
      <c r="E3748" s="5" t="s">
        <v>117</v>
      </c>
      <c r="F3748" s="6" t="s">
        <v>807</v>
      </c>
      <c r="G3748" s="4" t="s">
        <v>1</v>
      </c>
      <c r="H3748" s="25">
        <v>40.9694</v>
      </c>
      <c r="I3748" s="8">
        <v>-737</v>
      </c>
      <c r="J3748" s="9">
        <v>0</v>
      </c>
      <c r="K3748" s="7">
        <v>737</v>
      </c>
      <c r="L3748" s="24">
        <f>+Tabla2[[#This Row],[Stock Inventario]]*Tabla2[[#This Row],[Coste LÃ­nea]]</f>
        <v>0</v>
      </c>
      <c r="M3748" s="24">
        <f>+Tabla2[[#This Row],[Variación Stock]]*Tabla2[[#This Row],[Coste LÃ­nea]]</f>
        <v>30194.447800000002</v>
      </c>
      <c r="N3748" s="22" t="str">
        <f>+IF(Tabla2[[#This Row],[Variación Stock]]&gt;0,"Sobrante",IF(Tabla2[[#This Row],[Variación Stock]]&lt;0,"Faltante","Sin novedad"))</f>
        <v>Sobrante</v>
      </c>
    </row>
    <row r="3749" spans="1:14" hidden="1" x14ac:dyDescent="0.25">
      <c r="A3749" s="11">
        <v>46053</v>
      </c>
      <c r="B3749" s="5" t="s">
        <v>1078</v>
      </c>
      <c r="C3749" s="3" t="s">
        <v>339</v>
      </c>
      <c r="D3749" s="5" t="s">
        <v>559</v>
      </c>
      <c r="E3749" s="5" t="s">
        <v>1080</v>
      </c>
      <c r="F3749" s="6" t="s">
        <v>569</v>
      </c>
      <c r="G3749" s="4" t="s">
        <v>2</v>
      </c>
      <c r="H3749" s="25">
        <v>271.26</v>
      </c>
      <c r="I3749" s="8">
        <v>278</v>
      </c>
      <c r="J3749" s="9">
        <v>25</v>
      </c>
      <c r="K3749" s="7">
        <v>-253</v>
      </c>
      <c r="L3749" s="24">
        <f>+Tabla2[[#This Row],[Stock Inventario]]*Tabla2[[#This Row],[Coste LÃ­nea]]</f>
        <v>6781.5</v>
      </c>
      <c r="M3749" s="24">
        <f>+Tabla2[[#This Row],[Variación Stock]]*Tabla2[[#This Row],[Coste LÃ­nea]]</f>
        <v>-68628.78</v>
      </c>
      <c r="N3749" s="22" t="str">
        <f>+IF(Tabla2[[#This Row],[Variación Stock]]&gt;0,"Sobrante",IF(Tabla2[[#This Row],[Variación Stock]]&lt;0,"Faltante","Sin novedad"))</f>
        <v>Faltante</v>
      </c>
    </row>
    <row r="3750" spans="1:14" hidden="1" x14ac:dyDescent="0.25">
      <c r="A3750" s="11">
        <v>46053</v>
      </c>
      <c r="B3750" s="5" t="s">
        <v>1078</v>
      </c>
      <c r="C3750" s="3" t="s">
        <v>339</v>
      </c>
      <c r="D3750" s="5" t="s">
        <v>559</v>
      </c>
      <c r="E3750" s="5" t="s">
        <v>1080</v>
      </c>
      <c r="F3750" s="6" t="s">
        <v>560</v>
      </c>
      <c r="G3750" s="4" t="s">
        <v>2</v>
      </c>
      <c r="H3750" s="25">
        <v>470.00240000000002</v>
      </c>
      <c r="I3750" s="8">
        <v>0</v>
      </c>
      <c r="J3750" s="9">
        <v>0</v>
      </c>
      <c r="K3750" s="7">
        <v>0</v>
      </c>
      <c r="L3750" s="24">
        <f>+Tabla2[[#This Row],[Stock Inventario]]*Tabla2[[#This Row],[Coste LÃ­nea]]</f>
        <v>0</v>
      </c>
      <c r="M3750" s="24">
        <f>+Tabla2[[#This Row],[Variación Stock]]*Tabla2[[#This Row],[Coste LÃ­nea]]</f>
        <v>0</v>
      </c>
      <c r="N3750" s="22" t="str">
        <f>+IF(Tabla2[[#This Row],[Variación Stock]]&gt;0,"Sobrante",IF(Tabla2[[#This Row],[Variación Stock]]&lt;0,"Faltante","Sin novedad"))</f>
        <v>Sin novedad</v>
      </c>
    </row>
    <row r="3751" spans="1:14" hidden="1" x14ac:dyDescent="0.25">
      <c r="A3751" s="11">
        <v>46053</v>
      </c>
      <c r="B3751" s="5" t="s">
        <v>1078</v>
      </c>
      <c r="C3751" s="3" t="s">
        <v>339</v>
      </c>
      <c r="D3751" s="5" t="s">
        <v>559</v>
      </c>
      <c r="E3751" s="5" t="s">
        <v>1080</v>
      </c>
      <c r="F3751" s="6" t="s">
        <v>563</v>
      </c>
      <c r="G3751" s="4" t="s">
        <v>2</v>
      </c>
      <c r="H3751" s="25">
        <v>470.00240000000002</v>
      </c>
      <c r="I3751" s="8">
        <v>0</v>
      </c>
      <c r="J3751" s="9">
        <v>0</v>
      </c>
      <c r="K3751" s="7">
        <v>0</v>
      </c>
      <c r="L3751" s="24">
        <f>+Tabla2[[#This Row],[Stock Inventario]]*Tabla2[[#This Row],[Coste LÃ­nea]]</f>
        <v>0</v>
      </c>
      <c r="M3751" s="24">
        <f>+Tabla2[[#This Row],[Variación Stock]]*Tabla2[[#This Row],[Coste LÃ­nea]]</f>
        <v>0</v>
      </c>
      <c r="N3751" s="22" t="str">
        <f>+IF(Tabla2[[#This Row],[Variación Stock]]&gt;0,"Sobrante",IF(Tabla2[[#This Row],[Variación Stock]]&lt;0,"Faltante","Sin novedad"))</f>
        <v>Sin novedad</v>
      </c>
    </row>
    <row r="3752" spans="1:14" hidden="1" x14ac:dyDescent="0.25">
      <c r="A3752" s="11">
        <v>46053</v>
      </c>
      <c r="B3752" s="5" t="s">
        <v>1078</v>
      </c>
      <c r="C3752" s="3" t="s">
        <v>339</v>
      </c>
      <c r="D3752" s="5" t="s">
        <v>559</v>
      </c>
      <c r="E3752" s="5" t="s">
        <v>1080</v>
      </c>
      <c r="F3752" s="6" t="s">
        <v>570</v>
      </c>
      <c r="G3752" s="4" t="s">
        <v>2</v>
      </c>
      <c r="H3752" s="25">
        <v>521.92999999999995</v>
      </c>
      <c r="I3752" s="8">
        <v>159</v>
      </c>
      <c r="J3752" s="9">
        <v>35</v>
      </c>
      <c r="K3752" s="7">
        <v>-124</v>
      </c>
      <c r="L3752" s="24">
        <f>+Tabla2[[#This Row],[Stock Inventario]]*Tabla2[[#This Row],[Coste LÃ­nea]]</f>
        <v>18267.55</v>
      </c>
      <c r="M3752" s="24">
        <f>+Tabla2[[#This Row],[Variación Stock]]*Tabla2[[#This Row],[Coste LÃ­nea]]</f>
        <v>-64719.319999999992</v>
      </c>
      <c r="N3752" s="22" t="str">
        <f>+IF(Tabla2[[#This Row],[Variación Stock]]&gt;0,"Sobrante",IF(Tabla2[[#This Row],[Variación Stock]]&lt;0,"Faltante","Sin novedad"))</f>
        <v>Faltante</v>
      </c>
    </row>
    <row r="3753" spans="1:14" hidden="1" x14ac:dyDescent="0.25">
      <c r="A3753" s="11">
        <v>46053</v>
      </c>
      <c r="B3753" s="5" t="s">
        <v>1078</v>
      </c>
      <c r="C3753" s="3" t="s">
        <v>339</v>
      </c>
      <c r="D3753" s="5" t="s">
        <v>559</v>
      </c>
      <c r="E3753" s="5" t="s">
        <v>1080</v>
      </c>
      <c r="F3753" s="6" t="s">
        <v>571</v>
      </c>
      <c r="G3753" s="4" t="s">
        <v>2</v>
      </c>
      <c r="H3753" s="25">
        <v>681.28</v>
      </c>
      <c r="I3753" s="8">
        <v>156</v>
      </c>
      <c r="J3753" s="9">
        <v>0</v>
      </c>
      <c r="K3753" s="7">
        <v>-156</v>
      </c>
      <c r="L3753" s="24">
        <f>+Tabla2[[#This Row],[Stock Inventario]]*Tabla2[[#This Row],[Coste LÃ­nea]]</f>
        <v>0</v>
      </c>
      <c r="M3753" s="24">
        <f>+Tabla2[[#This Row],[Variación Stock]]*Tabla2[[#This Row],[Coste LÃ­nea]]</f>
        <v>-106279.67999999999</v>
      </c>
      <c r="N3753" s="22" t="str">
        <f>+IF(Tabla2[[#This Row],[Variación Stock]]&gt;0,"Sobrante",IF(Tabla2[[#This Row],[Variación Stock]]&lt;0,"Faltante","Sin novedad"))</f>
        <v>Faltante</v>
      </c>
    </row>
    <row r="3754" spans="1:14" hidden="1" x14ac:dyDescent="0.25">
      <c r="A3754" s="11">
        <v>46053</v>
      </c>
      <c r="B3754" s="5" t="s">
        <v>1078</v>
      </c>
      <c r="C3754" s="3" t="s">
        <v>339</v>
      </c>
      <c r="D3754" s="5" t="s">
        <v>471</v>
      </c>
      <c r="E3754" s="5" t="s">
        <v>117</v>
      </c>
      <c r="F3754" s="6" t="s">
        <v>483</v>
      </c>
      <c r="G3754" s="4" t="s">
        <v>1</v>
      </c>
      <c r="H3754" s="25">
        <v>13</v>
      </c>
      <c r="I3754" s="8">
        <v>1341</v>
      </c>
      <c r="J3754" s="9">
        <v>186</v>
      </c>
      <c r="K3754" s="7">
        <v>-1155</v>
      </c>
      <c r="L3754" s="24">
        <f>+Tabla2[[#This Row],[Stock Inventario]]*Tabla2[[#This Row],[Coste LÃ­nea]]</f>
        <v>2418</v>
      </c>
      <c r="M3754" s="24">
        <f>+Tabla2[[#This Row],[Variación Stock]]*Tabla2[[#This Row],[Coste LÃ­nea]]</f>
        <v>-15015</v>
      </c>
      <c r="N3754" s="22" t="str">
        <f>+IF(Tabla2[[#This Row],[Variación Stock]]&gt;0,"Sobrante",IF(Tabla2[[#This Row],[Variación Stock]]&lt;0,"Faltante","Sin novedad"))</f>
        <v>Faltante</v>
      </c>
    </row>
    <row r="3755" spans="1:14" x14ac:dyDescent="0.25">
      <c r="A3755" s="11">
        <v>46053</v>
      </c>
      <c r="B3755" s="5" t="s">
        <v>1078</v>
      </c>
      <c r="C3755" s="3" t="s">
        <v>339</v>
      </c>
      <c r="D3755" s="5" t="s">
        <v>118</v>
      </c>
      <c r="E3755" s="5" t="s">
        <v>112</v>
      </c>
      <c r="F3755" s="6" t="s">
        <v>293</v>
      </c>
      <c r="G3755" s="4" t="s">
        <v>2</v>
      </c>
      <c r="H3755" s="25">
        <v>125043</v>
      </c>
      <c r="I3755" s="8">
        <v>2</v>
      </c>
      <c r="J3755" s="9">
        <v>2</v>
      </c>
      <c r="K3755" s="7">
        <v>0</v>
      </c>
      <c r="L3755" s="24">
        <f>+Tabla2[[#This Row],[Stock Inventario]]*Tabla2[[#This Row],[Coste LÃ­nea]]</f>
        <v>250086</v>
      </c>
      <c r="M3755" s="24">
        <f>+Tabla2[[#This Row],[Variación Stock]]*Tabla2[[#This Row],[Coste LÃ­nea]]</f>
        <v>0</v>
      </c>
      <c r="N3755" s="22" t="str">
        <f>+IF(Tabla2[[#This Row],[Variación Stock]]&gt;0,"Sobrante",IF(Tabla2[[#This Row],[Variación Stock]]&lt;0,"Faltante","Sin novedad"))</f>
        <v>Sin novedad</v>
      </c>
    </row>
    <row r="3756" spans="1:14" hidden="1" x14ac:dyDescent="0.25">
      <c r="A3756" s="11">
        <v>46053</v>
      </c>
      <c r="B3756" s="5" t="s">
        <v>1078</v>
      </c>
      <c r="C3756" s="3" t="s">
        <v>339</v>
      </c>
      <c r="D3756" s="5" t="s">
        <v>626</v>
      </c>
      <c r="E3756" s="5" t="s">
        <v>1079</v>
      </c>
      <c r="F3756" s="6" t="s">
        <v>635</v>
      </c>
      <c r="G3756" s="4" t="s">
        <v>1</v>
      </c>
      <c r="H3756" s="25">
        <v>13.83777778</v>
      </c>
      <c r="I3756" s="8">
        <v>20000</v>
      </c>
      <c r="J3756" s="9">
        <v>4350</v>
      </c>
      <c r="K3756" s="7">
        <v>-15650</v>
      </c>
      <c r="L3756" s="24">
        <f>+Tabla2[[#This Row],[Stock Inventario]]*Tabla2[[#This Row],[Coste LÃ­nea]]</f>
        <v>60194.333342999998</v>
      </c>
      <c r="M3756" s="24">
        <f>+Tabla2[[#This Row],[Variación Stock]]*Tabla2[[#This Row],[Coste LÃ­nea]]</f>
        <v>-216561.22225699999</v>
      </c>
      <c r="N3756" s="22" t="str">
        <f>+IF(Tabla2[[#This Row],[Variación Stock]]&gt;0,"Sobrante",IF(Tabla2[[#This Row],[Variación Stock]]&lt;0,"Faltante","Sin novedad"))</f>
        <v>Faltante</v>
      </c>
    </row>
    <row r="3757" spans="1:14" hidden="1" x14ac:dyDescent="0.25">
      <c r="A3757" s="11">
        <v>46053</v>
      </c>
      <c r="B3757" s="5" t="s">
        <v>1078</v>
      </c>
      <c r="C3757" s="3" t="s">
        <v>339</v>
      </c>
      <c r="D3757" s="5" t="s">
        <v>824</v>
      </c>
      <c r="E3757" s="5" t="s">
        <v>117</v>
      </c>
      <c r="F3757" s="6" t="s">
        <v>825</v>
      </c>
      <c r="G3757" s="4" t="s">
        <v>1</v>
      </c>
      <c r="H3757" s="25">
        <v>173.386</v>
      </c>
      <c r="I3757" s="8">
        <v>0</v>
      </c>
      <c r="J3757" s="9">
        <v>0</v>
      </c>
      <c r="K3757" s="7">
        <v>0</v>
      </c>
      <c r="L3757" s="24">
        <f>+Tabla2[[#This Row],[Stock Inventario]]*Tabla2[[#This Row],[Coste LÃ­nea]]</f>
        <v>0</v>
      </c>
      <c r="M3757" s="24">
        <f>+Tabla2[[#This Row],[Variación Stock]]*Tabla2[[#This Row],[Coste LÃ­nea]]</f>
        <v>0</v>
      </c>
      <c r="N3757" s="22" t="str">
        <f>+IF(Tabla2[[#This Row],[Variación Stock]]&gt;0,"Sobrante",IF(Tabla2[[#This Row],[Variación Stock]]&lt;0,"Faltante","Sin novedad"))</f>
        <v>Sin novedad</v>
      </c>
    </row>
    <row r="3758" spans="1:14" hidden="1" x14ac:dyDescent="0.25">
      <c r="A3758" s="11">
        <v>46053</v>
      </c>
      <c r="B3758" s="5" t="s">
        <v>1078</v>
      </c>
      <c r="C3758" s="3" t="s">
        <v>339</v>
      </c>
      <c r="D3758" s="5" t="s">
        <v>396</v>
      </c>
      <c r="E3758" s="5" t="s">
        <v>117</v>
      </c>
      <c r="F3758" s="6" t="s">
        <v>458</v>
      </c>
      <c r="G3758" s="4" t="s">
        <v>1</v>
      </c>
      <c r="H3758" s="25">
        <v>12.150080000000001</v>
      </c>
      <c r="I3758" s="8">
        <v>-20</v>
      </c>
      <c r="J3758" s="9">
        <v>0</v>
      </c>
      <c r="K3758" s="7">
        <v>20</v>
      </c>
      <c r="L3758" s="24">
        <f>+Tabla2[[#This Row],[Stock Inventario]]*Tabla2[[#This Row],[Coste LÃ­nea]]</f>
        <v>0</v>
      </c>
      <c r="M3758" s="24">
        <f>+Tabla2[[#This Row],[Variación Stock]]*Tabla2[[#This Row],[Coste LÃ­nea]]</f>
        <v>243.00160000000002</v>
      </c>
      <c r="N3758" s="22" t="str">
        <f>+IF(Tabla2[[#This Row],[Variación Stock]]&gt;0,"Sobrante",IF(Tabla2[[#This Row],[Variación Stock]]&lt;0,"Faltante","Sin novedad"))</f>
        <v>Sobrante</v>
      </c>
    </row>
    <row r="3759" spans="1:14" x14ac:dyDescent="0.25">
      <c r="A3759" s="11">
        <v>46053</v>
      </c>
      <c r="B3759" s="5" t="s">
        <v>1078</v>
      </c>
      <c r="C3759" s="3" t="s">
        <v>339</v>
      </c>
      <c r="D3759" s="5" t="s">
        <v>111</v>
      </c>
      <c r="E3759" s="5" t="s">
        <v>112</v>
      </c>
      <c r="F3759" s="6" t="s">
        <v>35</v>
      </c>
      <c r="G3759" s="4" t="s">
        <v>0</v>
      </c>
      <c r="H3759" s="25">
        <v>6045.125</v>
      </c>
      <c r="I3759" s="8">
        <v>5.78</v>
      </c>
      <c r="J3759" s="9">
        <v>9</v>
      </c>
      <c r="K3759" s="7">
        <v>3.22</v>
      </c>
      <c r="L3759" s="24">
        <f>+Tabla2[[#This Row],[Stock Inventario]]*Tabla2[[#This Row],[Coste LÃ­nea]]</f>
        <v>54406.125</v>
      </c>
      <c r="M3759" s="24">
        <f>+Tabla2[[#This Row],[Variación Stock]]*Tabla2[[#This Row],[Coste LÃ­nea]]</f>
        <v>19465.302500000002</v>
      </c>
      <c r="N3759" s="22" t="str">
        <f>+IF(Tabla2[[#This Row],[Variación Stock]]&gt;0,"Sobrante",IF(Tabla2[[#This Row],[Variación Stock]]&lt;0,"Faltante","Sin novedad"))</f>
        <v>Sobrante</v>
      </c>
    </row>
    <row r="3760" spans="1:14" hidden="1" x14ac:dyDescent="0.25">
      <c r="A3760" s="11">
        <v>46053</v>
      </c>
      <c r="B3760" s="5" t="s">
        <v>1078</v>
      </c>
      <c r="C3760" s="3" t="s">
        <v>339</v>
      </c>
      <c r="D3760" s="5" t="s">
        <v>803</v>
      </c>
      <c r="E3760" s="5" t="s">
        <v>117</v>
      </c>
      <c r="F3760" s="6" t="s">
        <v>804</v>
      </c>
      <c r="G3760" s="4" t="s">
        <v>1</v>
      </c>
      <c r="H3760" s="25">
        <v>120</v>
      </c>
      <c r="I3760" s="8">
        <v>0</v>
      </c>
      <c r="J3760" s="9">
        <v>0</v>
      </c>
      <c r="K3760" s="7">
        <v>0</v>
      </c>
      <c r="L3760" s="24">
        <f>+Tabla2[[#This Row],[Stock Inventario]]*Tabla2[[#This Row],[Coste LÃ­nea]]</f>
        <v>0</v>
      </c>
      <c r="M3760" s="24">
        <f>+Tabla2[[#This Row],[Variación Stock]]*Tabla2[[#This Row],[Coste LÃ­nea]]</f>
        <v>0</v>
      </c>
      <c r="N3760" s="22" t="str">
        <f>+IF(Tabla2[[#This Row],[Variación Stock]]&gt;0,"Sobrante",IF(Tabla2[[#This Row],[Variación Stock]]&lt;0,"Faltante","Sin novedad"))</f>
        <v>Sin novedad</v>
      </c>
    </row>
    <row r="3761" spans="1:14" x14ac:dyDescent="0.25">
      <c r="A3761" s="11">
        <v>46053</v>
      </c>
      <c r="B3761" s="5" t="s">
        <v>1078</v>
      </c>
      <c r="C3761" s="3" t="s">
        <v>339</v>
      </c>
      <c r="D3761" s="5" t="s">
        <v>111</v>
      </c>
      <c r="E3761" s="5" t="s">
        <v>112</v>
      </c>
      <c r="F3761" s="6" t="s">
        <v>36</v>
      </c>
      <c r="G3761" s="4" t="s">
        <v>0</v>
      </c>
      <c r="H3761" s="25">
        <v>3951.875</v>
      </c>
      <c r="I3761" s="8">
        <v>105</v>
      </c>
      <c r="J3761" s="9">
        <v>109.89</v>
      </c>
      <c r="K3761" s="7">
        <v>4.8899999999999997</v>
      </c>
      <c r="L3761" s="24">
        <f>+Tabla2[[#This Row],[Stock Inventario]]*Tabla2[[#This Row],[Coste LÃ­nea]]</f>
        <v>434271.54375000001</v>
      </c>
      <c r="M3761" s="24">
        <f>+Tabla2[[#This Row],[Variación Stock]]*Tabla2[[#This Row],[Coste LÃ­nea]]</f>
        <v>19324.668749999997</v>
      </c>
      <c r="N3761" s="22" t="str">
        <f>+IF(Tabla2[[#This Row],[Variación Stock]]&gt;0,"Sobrante",IF(Tabla2[[#This Row],[Variación Stock]]&lt;0,"Faltante","Sin novedad"))</f>
        <v>Sobrante</v>
      </c>
    </row>
    <row r="3762" spans="1:14" hidden="1" x14ac:dyDescent="0.25">
      <c r="A3762" s="11">
        <v>46053</v>
      </c>
      <c r="B3762" s="5" t="s">
        <v>1078</v>
      </c>
      <c r="C3762" s="3" t="s">
        <v>339</v>
      </c>
      <c r="D3762" s="5" t="s">
        <v>471</v>
      </c>
      <c r="E3762" s="5" t="s">
        <v>117</v>
      </c>
      <c r="F3762" s="6" t="s">
        <v>484</v>
      </c>
      <c r="G3762" s="4" t="s">
        <v>1</v>
      </c>
      <c r="H3762" s="25">
        <v>2200</v>
      </c>
      <c r="I3762" s="8">
        <v>5078</v>
      </c>
      <c r="J3762" s="9">
        <v>2298000</v>
      </c>
      <c r="K3762" s="7">
        <v>2292922</v>
      </c>
      <c r="L3762" s="24">
        <f>+Tabla2[[#This Row],[Stock Inventario]]*Tabla2[[#This Row],[Coste LÃ­nea]]</f>
        <v>5055600000</v>
      </c>
      <c r="M3762" s="24">
        <f>+Tabla2[[#This Row],[Variación Stock]]*Tabla2[[#This Row],[Coste LÃ­nea]]</f>
        <v>5044428400</v>
      </c>
      <c r="N3762" s="22" t="str">
        <f>+IF(Tabla2[[#This Row],[Variación Stock]]&gt;0,"Sobrante",IF(Tabla2[[#This Row],[Variación Stock]]&lt;0,"Faltante","Sin novedad"))</f>
        <v>Sobrante</v>
      </c>
    </row>
    <row r="3763" spans="1:14" hidden="1" x14ac:dyDescent="0.25">
      <c r="A3763" s="11">
        <v>46053</v>
      </c>
      <c r="B3763" s="5" t="s">
        <v>1078</v>
      </c>
      <c r="C3763" s="3" t="s">
        <v>339</v>
      </c>
      <c r="D3763" s="5" t="s">
        <v>471</v>
      </c>
      <c r="E3763" s="5" t="s">
        <v>117</v>
      </c>
      <c r="F3763" s="6" t="s">
        <v>485</v>
      </c>
      <c r="G3763" s="4" t="s">
        <v>1</v>
      </c>
      <c r="H3763" s="25">
        <v>60</v>
      </c>
      <c r="I3763" s="8">
        <v>0</v>
      </c>
      <c r="J3763" s="9">
        <v>0</v>
      </c>
      <c r="K3763" s="7">
        <v>0</v>
      </c>
      <c r="L3763" s="24">
        <f>+Tabla2[[#This Row],[Stock Inventario]]*Tabla2[[#This Row],[Coste LÃ­nea]]</f>
        <v>0</v>
      </c>
      <c r="M3763" s="24">
        <f>+Tabla2[[#This Row],[Variación Stock]]*Tabla2[[#This Row],[Coste LÃ­nea]]</f>
        <v>0</v>
      </c>
      <c r="N3763" s="22" t="str">
        <f>+IF(Tabla2[[#This Row],[Variación Stock]]&gt;0,"Sobrante",IF(Tabla2[[#This Row],[Variación Stock]]&lt;0,"Faltante","Sin novedad"))</f>
        <v>Sin novedad</v>
      </c>
    </row>
    <row r="3764" spans="1:14" hidden="1" x14ac:dyDescent="0.25">
      <c r="A3764" s="11">
        <v>46053</v>
      </c>
      <c r="B3764" s="5" t="s">
        <v>1078</v>
      </c>
      <c r="C3764" s="3" t="s">
        <v>339</v>
      </c>
      <c r="D3764" s="5" t="s">
        <v>547</v>
      </c>
      <c r="E3764" s="5" t="s">
        <v>117</v>
      </c>
      <c r="F3764" s="6" t="s">
        <v>552</v>
      </c>
      <c r="G3764" s="4" t="s">
        <v>1</v>
      </c>
      <c r="H3764" s="25">
        <v>18.725999999999999</v>
      </c>
      <c r="I3764" s="8">
        <v>14050</v>
      </c>
      <c r="J3764" s="9">
        <v>5000</v>
      </c>
      <c r="K3764" s="7">
        <v>-9050</v>
      </c>
      <c r="L3764" s="24">
        <f>+Tabla2[[#This Row],[Stock Inventario]]*Tabla2[[#This Row],[Coste LÃ­nea]]</f>
        <v>93630</v>
      </c>
      <c r="M3764" s="24">
        <f>+Tabla2[[#This Row],[Variación Stock]]*Tabla2[[#This Row],[Coste LÃ­nea]]</f>
        <v>-169470.3</v>
      </c>
      <c r="N3764" s="22" t="str">
        <f>+IF(Tabla2[[#This Row],[Variación Stock]]&gt;0,"Sobrante",IF(Tabla2[[#This Row],[Variación Stock]]&lt;0,"Faltante","Sin novedad"))</f>
        <v>Faltante</v>
      </c>
    </row>
    <row r="3765" spans="1:14" hidden="1" x14ac:dyDescent="0.25">
      <c r="A3765" s="11">
        <v>46053</v>
      </c>
      <c r="B3765" s="5" t="s">
        <v>1078</v>
      </c>
      <c r="C3765" s="3" t="s">
        <v>339</v>
      </c>
      <c r="D3765" s="5" t="s">
        <v>396</v>
      </c>
      <c r="E3765" s="5" t="s">
        <v>117</v>
      </c>
      <c r="F3765" s="6" t="s">
        <v>403</v>
      </c>
      <c r="G3765" s="4" t="s">
        <v>1</v>
      </c>
      <c r="H3765" s="25">
        <v>202.15</v>
      </c>
      <c r="I3765" s="8">
        <v>650</v>
      </c>
      <c r="J3765" s="9">
        <v>370</v>
      </c>
      <c r="K3765" s="7">
        <v>-280</v>
      </c>
      <c r="L3765" s="24">
        <f>+Tabla2[[#This Row],[Stock Inventario]]*Tabla2[[#This Row],[Coste LÃ­nea]]</f>
        <v>74795.5</v>
      </c>
      <c r="M3765" s="24">
        <f>+Tabla2[[#This Row],[Variación Stock]]*Tabla2[[#This Row],[Coste LÃ­nea]]</f>
        <v>-56602</v>
      </c>
      <c r="N3765" s="22" t="str">
        <f>+IF(Tabla2[[#This Row],[Variación Stock]]&gt;0,"Sobrante",IF(Tabla2[[#This Row],[Variación Stock]]&lt;0,"Faltante","Sin novedad"))</f>
        <v>Faltante</v>
      </c>
    </row>
    <row r="3766" spans="1:14" x14ac:dyDescent="0.25">
      <c r="A3766" s="11">
        <v>46053</v>
      </c>
      <c r="B3766" s="5" t="s">
        <v>1078</v>
      </c>
      <c r="C3766" s="3" t="s">
        <v>339</v>
      </c>
      <c r="D3766" s="5" t="s">
        <v>603</v>
      </c>
      <c r="E3766" s="5" t="s">
        <v>112</v>
      </c>
      <c r="F3766" s="6" t="s">
        <v>611</v>
      </c>
      <c r="G3766" s="4" t="s">
        <v>2</v>
      </c>
      <c r="H3766" s="25">
        <v>1600</v>
      </c>
      <c r="I3766" s="8">
        <v>0</v>
      </c>
      <c r="J3766" s="9">
        <v>0</v>
      </c>
      <c r="K3766" s="7">
        <v>0</v>
      </c>
      <c r="L3766" s="24">
        <f>+Tabla2[[#This Row],[Stock Inventario]]*Tabla2[[#This Row],[Coste LÃ­nea]]</f>
        <v>0</v>
      </c>
      <c r="M3766" s="24">
        <f>+Tabla2[[#This Row],[Variación Stock]]*Tabla2[[#This Row],[Coste LÃ­nea]]</f>
        <v>0</v>
      </c>
      <c r="N3766" s="22" t="str">
        <f>+IF(Tabla2[[#This Row],[Variación Stock]]&gt;0,"Sobrante",IF(Tabla2[[#This Row],[Variación Stock]]&lt;0,"Faltante","Sin novedad"))</f>
        <v>Sin novedad</v>
      </c>
    </row>
    <row r="3767" spans="1:14" hidden="1" x14ac:dyDescent="0.25">
      <c r="A3767" s="11">
        <v>46053</v>
      </c>
      <c r="B3767" s="5" t="s">
        <v>1078</v>
      </c>
      <c r="C3767" s="3" t="s">
        <v>339</v>
      </c>
      <c r="D3767" s="5" t="s">
        <v>396</v>
      </c>
      <c r="E3767" s="5" t="s">
        <v>117</v>
      </c>
      <c r="F3767" s="6" t="s">
        <v>429</v>
      </c>
      <c r="G3767" s="4" t="s">
        <v>1</v>
      </c>
      <c r="H3767" s="25">
        <v>10.616</v>
      </c>
      <c r="I3767" s="8">
        <v>118000</v>
      </c>
      <c r="J3767" s="9">
        <v>17000</v>
      </c>
      <c r="K3767" s="7">
        <v>-101000</v>
      </c>
      <c r="L3767" s="24">
        <f>+Tabla2[[#This Row],[Stock Inventario]]*Tabla2[[#This Row],[Coste LÃ­nea]]</f>
        <v>180472</v>
      </c>
      <c r="M3767" s="24">
        <f>+Tabla2[[#This Row],[Variación Stock]]*Tabla2[[#This Row],[Coste LÃ­nea]]</f>
        <v>-1072216</v>
      </c>
      <c r="N3767" s="22" t="str">
        <f>+IF(Tabla2[[#This Row],[Variación Stock]]&gt;0,"Sobrante",IF(Tabla2[[#This Row],[Variación Stock]]&lt;0,"Faltante","Sin novedad"))</f>
        <v>Faltante</v>
      </c>
    </row>
    <row r="3768" spans="1:14" hidden="1" x14ac:dyDescent="0.25">
      <c r="A3768" s="11">
        <v>46053</v>
      </c>
      <c r="B3768" s="5" t="s">
        <v>1078</v>
      </c>
      <c r="C3768" s="3" t="s">
        <v>339</v>
      </c>
      <c r="D3768" s="5" t="s">
        <v>471</v>
      </c>
      <c r="E3768" s="5" t="s">
        <v>117</v>
      </c>
      <c r="F3768" s="6" t="s">
        <v>486</v>
      </c>
      <c r="G3768" s="4" t="s">
        <v>1</v>
      </c>
      <c r="H3768" s="25">
        <v>11.98</v>
      </c>
      <c r="I3768" s="8">
        <v>0</v>
      </c>
      <c r="J3768" s="9">
        <v>2000</v>
      </c>
      <c r="K3768" s="7">
        <v>2000</v>
      </c>
      <c r="L3768" s="24">
        <f>+Tabla2[[#This Row],[Stock Inventario]]*Tabla2[[#This Row],[Coste LÃ­nea]]</f>
        <v>23960</v>
      </c>
      <c r="M3768" s="24">
        <f>+Tabla2[[#This Row],[Variación Stock]]*Tabla2[[#This Row],[Coste LÃ­nea]]</f>
        <v>23960</v>
      </c>
      <c r="N3768" s="22" t="str">
        <f>+IF(Tabla2[[#This Row],[Variación Stock]]&gt;0,"Sobrante",IF(Tabla2[[#This Row],[Variación Stock]]&lt;0,"Faltante","Sin novedad"))</f>
        <v>Sobrante</v>
      </c>
    </row>
    <row r="3769" spans="1:14" hidden="1" x14ac:dyDescent="0.25">
      <c r="A3769" s="11">
        <v>46053</v>
      </c>
      <c r="B3769" s="5" t="s">
        <v>1078</v>
      </c>
      <c r="C3769" s="3" t="s">
        <v>339</v>
      </c>
      <c r="D3769" s="5" t="s">
        <v>396</v>
      </c>
      <c r="E3769" s="5" t="s">
        <v>117</v>
      </c>
      <c r="F3769" s="6" t="s">
        <v>430</v>
      </c>
      <c r="G3769" s="4" t="s">
        <v>1</v>
      </c>
      <c r="H3769" s="25">
        <v>18.245000000000001</v>
      </c>
      <c r="I3769" s="8">
        <v>2000</v>
      </c>
      <c r="J3769" s="9">
        <v>0</v>
      </c>
      <c r="K3769" s="7">
        <v>-2000</v>
      </c>
      <c r="L3769" s="24">
        <f>+Tabla2[[#This Row],[Stock Inventario]]*Tabla2[[#This Row],[Coste LÃ­nea]]</f>
        <v>0</v>
      </c>
      <c r="M3769" s="24">
        <f>+Tabla2[[#This Row],[Variación Stock]]*Tabla2[[#This Row],[Coste LÃ­nea]]</f>
        <v>-36490</v>
      </c>
      <c r="N3769" s="22" t="str">
        <f>+IF(Tabla2[[#This Row],[Variación Stock]]&gt;0,"Sobrante",IF(Tabla2[[#This Row],[Variación Stock]]&lt;0,"Faltante","Sin novedad"))</f>
        <v>Faltante</v>
      </c>
    </row>
    <row r="3770" spans="1:14" hidden="1" x14ac:dyDescent="0.25">
      <c r="A3770" s="11">
        <v>46053</v>
      </c>
      <c r="B3770" s="5" t="s">
        <v>1078</v>
      </c>
      <c r="C3770" s="3" t="s">
        <v>339</v>
      </c>
      <c r="D3770" s="5" t="s">
        <v>119</v>
      </c>
      <c r="E3770" s="5" t="s">
        <v>117</v>
      </c>
      <c r="F3770" s="6" t="s">
        <v>192</v>
      </c>
      <c r="G3770" s="4" t="s">
        <v>2</v>
      </c>
      <c r="H3770" s="25">
        <v>8233.3333333299997</v>
      </c>
      <c r="I3770" s="8">
        <v>0</v>
      </c>
      <c r="J3770" s="9">
        <v>0</v>
      </c>
      <c r="K3770" s="7">
        <v>0</v>
      </c>
      <c r="L3770" s="24">
        <f>+Tabla2[[#This Row],[Stock Inventario]]*Tabla2[[#This Row],[Coste LÃ­nea]]</f>
        <v>0</v>
      </c>
      <c r="M3770" s="24">
        <f>+Tabla2[[#This Row],[Variación Stock]]*Tabla2[[#This Row],[Coste LÃ­nea]]</f>
        <v>0</v>
      </c>
      <c r="N3770" s="22" t="str">
        <f>+IF(Tabla2[[#This Row],[Variación Stock]]&gt;0,"Sobrante",IF(Tabla2[[#This Row],[Variación Stock]]&lt;0,"Faltante","Sin novedad"))</f>
        <v>Sin novedad</v>
      </c>
    </row>
    <row r="3771" spans="1:14" hidden="1" x14ac:dyDescent="0.25">
      <c r="A3771" s="11">
        <v>46053</v>
      </c>
      <c r="B3771" s="5" t="s">
        <v>1078</v>
      </c>
      <c r="C3771" s="3" t="s">
        <v>339</v>
      </c>
      <c r="D3771" s="5" t="s">
        <v>396</v>
      </c>
      <c r="E3771" s="5" t="s">
        <v>117</v>
      </c>
      <c r="F3771" s="6" t="s">
        <v>431</v>
      </c>
      <c r="G3771" s="4" t="s">
        <v>1</v>
      </c>
      <c r="H3771" s="25">
        <v>4.8816800000000002</v>
      </c>
      <c r="I3771" s="8">
        <v>88160</v>
      </c>
      <c r="J3771" s="9">
        <v>27500</v>
      </c>
      <c r="K3771" s="7">
        <v>-60660</v>
      </c>
      <c r="L3771" s="24">
        <f>+Tabla2[[#This Row],[Stock Inventario]]*Tabla2[[#This Row],[Coste LÃ­nea]]</f>
        <v>134246.20000000001</v>
      </c>
      <c r="M3771" s="24">
        <f>+Tabla2[[#This Row],[Variación Stock]]*Tabla2[[#This Row],[Coste LÃ­nea]]</f>
        <v>-296122.70880000002</v>
      </c>
      <c r="N3771" s="22" t="str">
        <f>+IF(Tabla2[[#This Row],[Variación Stock]]&gt;0,"Sobrante",IF(Tabla2[[#This Row],[Variación Stock]]&lt;0,"Faltante","Sin novedad"))</f>
        <v>Faltante</v>
      </c>
    </row>
    <row r="3772" spans="1:14" hidden="1" x14ac:dyDescent="0.25">
      <c r="A3772" s="11">
        <v>46053</v>
      </c>
      <c r="B3772" s="5" t="s">
        <v>1078</v>
      </c>
      <c r="C3772" s="3" t="s">
        <v>339</v>
      </c>
      <c r="D3772" s="5" t="s">
        <v>396</v>
      </c>
      <c r="E3772" s="5" t="s">
        <v>117</v>
      </c>
      <c r="F3772" s="6" t="s">
        <v>432</v>
      </c>
      <c r="G3772" s="4" t="s">
        <v>2</v>
      </c>
      <c r="H3772" s="25">
        <v>32.939</v>
      </c>
      <c r="I3772" s="8">
        <v>0</v>
      </c>
      <c r="J3772" s="9">
        <v>480</v>
      </c>
      <c r="K3772" s="7">
        <v>480</v>
      </c>
      <c r="L3772" s="24">
        <f>+Tabla2[[#This Row],[Stock Inventario]]*Tabla2[[#This Row],[Coste LÃ­nea]]</f>
        <v>15810.72</v>
      </c>
      <c r="M3772" s="24">
        <f>+Tabla2[[#This Row],[Variación Stock]]*Tabla2[[#This Row],[Coste LÃ­nea]]</f>
        <v>15810.72</v>
      </c>
      <c r="N3772" s="22" t="str">
        <f>+IF(Tabla2[[#This Row],[Variación Stock]]&gt;0,"Sobrante",IF(Tabla2[[#This Row],[Variación Stock]]&lt;0,"Faltante","Sin novedad"))</f>
        <v>Sobrante</v>
      </c>
    </row>
    <row r="3773" spans="1:14" x14ac:dyDescent="0.25">
      <c r="A3773" s="11">
        <v>46053</v>
      </c>
      <c r="B3773" s="5" t="s">
        <v>1078</v>
      </c>
      <c r="C3773" s="3" t="s">
        <v>339</v>
      </c>
      <c r="D3773" s="5" t="s">
        <v>111</v>
      </c>
      <c r="E3773" s="5" t="s">
        <v>112</v>
      </c>
      <c r="F3773" s="6" t="s">
        <v>16</v>
      </c>
      <c r="G3773" s="4" t="s">
        <v>0</v>
      </c>
      <c r="H3773" s="25">
        <v>2309.40625</v>
      </c>
      <c r="I3773" s="8">
        <v>16.61</v>
      </c>
      <c r="J3773" s="9">
        <v>15.5</v>
      </c>
      <c r="K3773" s="7">
        <v>-1.1100000000000001</v>
      </c>
      <c r="L3773" s="24">
        <f>+Tabla2[[#This Row],[Stock Inventario]]*Tabla2[[#This Row],[Coste LÃ­nea]]</f>
        <v>35795.796875</v>
      </c>
      <c r="M3773" s="24">
        <f>+Tabla2[[#This Row],[Variación Stock]]*Tabla2[[#This Row],[Coste LÃ­nea]]</f>
        <v>-2563.4409375</v>
      </c>
      <c r="N3773" s="22" t="str">
        <f>+IF(Tabla2[[#This Row],[Variación Stock]]&gt;0,"Sobrante",IF(Tabla2[[#This Row],[Variación Stock]]&lt;0,"Faltante","Sin novedad"))</f>
        <v>Faltante</v>
      </c>
    </row>
    <row r="3774" spans="1:14" hidden="1" x14ac:dyDescent="0.25">
      <c r="A3774" s="11">
        <v>46053</v>
      </c>
      <c r="B3774" s="5" t="s">
        <v>1078</v>
      </c>
      <c r="C3774" s="3" t="s">
        <v>339</v>
      </c>
      <c r="D3774" s="5" t="s">
        <v>471</v>
      </c>
      <c r="E3774" s="5" t="s">
        <v>117</v>
      </c>
      <c r="F3774" s="6" t="s">
        <v>475</v>
      </c>
      <c r="G3774" s="4" t="s">
        <v>1</v>
      </c>
      <c r="H3774" s="25">
        <v>6.5</v>
      </c>
      <c r="I3774" s="8">
        <v>0</v>
      </c>
      <c r="J3774" s="9">
        <v>0</v>
      </c>
      <c r="K3774" s="7">
        <v>0</v>
      </c>
      <c r="L3774" s="24">
        <f>+Tabla2[[#This Row],[Stock Inventario]]*Tabla2[[#This Row],[Coste LÃ­nea]]</f>
        <v>0</v>
      </c>
      <c r="M3774" s="24">
        <f>+Tabla2[[#This Row],[Variación Stock]]*Tabla2[[#This Row],[Coste LÃ­nea]]</f>
        <v>0</v>
      </c>
      <c r="N3774" s="22" t="str">
        <f>+IF(Tabla2[[#This Row],[Variación Stock]]&gt;0,"Sobrante",IF(Tabla2[[#This Row],[Variación Stock]]&lt;0,"Faltante","Sin novedad"))</f>
        <v>Sin novedad</v>
      </c>
    </row>
    <row r="3775" spans="1:14" hidden="1" x14ac:dyDescent="0.25">
      <c r="A3775" s="11">
        <v>46053</v>
      </c>
      <c r="B3775" s="5" t="s">
        <v>1078</v>
      </c>
      <c r="C3775" s="3" t="s">
        <v>339</v>
      </c>
      <c r="D3775" s="5" t="s">
        <v>471</v>
      </c>
      <c r="E3775" s="5" t="s">
        <v>117</v>
      </c>
      <c r="F3775" s="6" t="s">
        <v>487</v>
      </c>
      <c r="G3775" s="4" t="s">
        <v>1</v>
      </c>
      <c r="H3775" s="25">
        <v>7</v>
      </c>
      <c r="I3775" s="8">
        <v>6985</v>
      </c>
      <c r="J3775" s="9">
        <v>0</v>
      </c>
      <c r="K3775" s="7">
        <v>-6985</v>
      </c>
      <c r="L3775" s="24">
        <f>+Tabla2[[#This Row],[Stock Inventario]]*Tabla2[[#This Row],[Coste LÃ­nea]]</f>
        <v>0</v>
      </c>
      <c r="M3775" s="24">
        <f>+Tabla2[[#This Row],[Variación Stock]]*Tabla2[[#This Row],[Coste LÃ­nea]]</f>
        <v>-48895</v>
      </c>
      <c r="N3775" s="22" t="str">
        <f>+IF(Tabla2[[#This Row],[Variación Stock]]&gt;0,"Sobrante",IF(Tabla2[[#This Row],[Variación Stock]]&lt;0,"Faltante","Sin novedad"))</f>
        <v>Faltante</v>
      </c>
    </row>
    <row r="3776" spans="1:14" hidden="1" x14ac:dyDescent="0.25">
      <c r="A3776" s="11">
        <v>46053</v>
      </c>
      <c r="B3776" s="5" t="s">
        <v>1078</v>
      </c>
      <c r="C3776" s="3" t="s">
        <v>339</v>
      </c>
      <c r="D3776" s="5" t="s">
        <v>559</v>
      </c>
      <c r="E3776" s="5" t="s">
        <v>1080</v>
      </c>
      <c r="F3776" s="6" t="s">
        <v>562</v>
      </c>
      <c r="G3776" s="4" t="s">
        <v>2</v>
      </c>
      <c r="H3776" s="25">
        <v>1700</v>
      </c>
      <c r="I3776" s="8">
        <v>0</v>
      </c>
      <c r="J3776" s="9">
        <v>0</v>
      </c>
      <c r="K3776" s="7">
        <v>0</v>
      </c>
      <c r="L3776" s="24">
        <f>+Tabla2[[#This Row],[Stock Inventario]]*Tabla2[[#This Row],[Coste LÃ­nea]]</f>
        <v>0</v>
      </c>
      <c r="M3776" s="24">
        <f>+Tabla2[[#This Row],[Variación Stock]]*Tabla2[[#This Row],[Coste LÃ­nea]]</f>
        <v>0</v>
      </c>
      <c r="N3776" s="22" t="str">
        <f>+IF(Tabla2[[#This Row],[Variación Stock]]&gt;0,"Sobrante",IF(Tabla2[[#This Row],[Variación Stock]]&lt;0,"Faltante","Sin novedad"))</f>
        <v>Sin novedad</v>
      </c>
    </row>
    <row r="3777" spans="1:14" hidden="1" x14ac:dyDescent="0.25">
      <c r="A3777" s="11">
        <v>46053</v>
      </c>
      <c r="B3777" s="5" t="s">
        <v>1078</v>
      </c>
      <c r="C3777" s="3" t="s">
        <v>339</v>
      </c>
      <c r="D3777" s="5" t="s">
        <v>626</v>
      </c>
      <c r="E3777" s="5" t="s">
        <v>1079</v>
      </c>
      <c r="F3777" s="6" t="s">
        <v>677</v>
      </c>
      <c r="G3777" s="4" t="s">
        <v>2</v>
      </c>
      <c r="H3777" s="25">
        <v>320</v>
      </c>
      <c r="I3777" s="8">
        <v>0</v>
      </c>
      <c r="J3777" s="9">
        <v>0</v>
      </c>
      <c r="K3777" s="7">
        <v>0</v>
      </c>
      <c r="L3777" s="24">
        <f>+Tabla2[[#This Row],[Stock Inventario]]*Tabla2[[#This Row],[Coste LÃ­nea]]</f>
        <v>0</v>
      </c>
      <c r="M3777" s="24">
        <f>+Tabla2[[#This Row],[Variación Stock]]*Tabla2[[#This Row],[Coste LÃ­nea]]</f>
        <v>0</v>
      </c>
      <c r="N3777" s="22" t="str">
        <f>+IF(Tabla2[[#This Row],[Variación Stock]]&gt;0,"Sobrante",IF(Tabla2[[#This Row],[Variación Stock]]&lt;0,"Faltante","Sin novedad"))</f>
        <v>Sin novedad</v>
      </c>
    </row>
    <row r="3778" spans="1:14" hidden="1" x14ac:dyDescent="0.25">
      <c r="A3778" s="11">
        <v>46053</v>
      </c>
      <c r="B3778" s="5" t="s">
        <v>1078</v>
      </c>
      <c r="C3778" s="3" t="s">
        <v>339</v>
      </c>
      <c r="D3778" s="5" t="s">
        <v>559</v>
      </c>
      <c r="E3778" s="5" t="s">
        <v>1080</v>
      </c>
      <c r="F3778" s="6" t="s">
        <v>587</v>
      </c>
      <c r="G3778" s="4" t="s">
        <v>2</v>
      </c>
      <c r="H3778" s="25">
        <v>320</v>
      </c>
      <c r="I3778" s="8">
        <v>0</v>
      </c>
      <c r="J3778" s="9">
        <v>0</v>
      </c>
      <c r="K3778" s="7">
        <v>0</v>
      </c>
      <c r="L3778" s="24">
        <f>+Tabla2[[#This Row],[Stock Inventario]]*Tabla2[[#This Row],[Coste LÃ­nea]]</f>
        <v>0</v>
      </c>
      <c r="M3778" s="24">
        <f>+Tabla2[[#This Row],[Variación Stock]]*Tabla2[[#This Row],[Coste LÃ­nea]]</f>
        <v>0</v>
      </c>
      <c r="N3778" s="22" t="str">
        <f>+IF(Tabla2[[#This Row],[Variación Stock]]&gt;0,"Sobrante",IF(Tabla2[[#This Row],[Variación Stock]]&lt;0,"Faltante","Sin novedad"))</f>
        <v>Sin novedad</v>
      </c>
    </row>
    <row r="3779" spans="1:14" hidden="1" x14ac:dyDescent="0.25">
      <c r="A3779" s="11">
        <v>46053</v>
      </c>
      <c r="B3779" s="5" t="s">
        <v>1078</v>
      </c>
      <c r="C3779" s="3" t="s">
        <v>339</v>
      </c>
      <c r="D3779" s="5" t="s">
        <v>626</v>
      </c>
      <c r="E3779" s="5" t="s">
        <v>1079</v>
      </c>
      <c r="F3779" s="6" t="s">
        <v>639</v>
      </c>
      <c r="G3779" s="4" t="s">
        <v>2</v>
      </c>
      <c r="H3779" s="25">
        <v>55.92</v>
      </c>
      <c r="I3779" s="8">
        <v>520</v>
      </c>
      <c r="J3779" s="9">
        <v>2</v>
      </c>
      <c r="K3779" s="7">
        <v>-518</v>
      </c>
      <c r="L3779" s="24">
        <f>+Tabla2[[#This Row],[Stock Inventario]]*Tabla2[[#This Row],[Coste LÃ­nea]]</f>
        <v>111.84</v>
      </c>
      <c r="M3779" s="24">
        <f>+Tabla2[[#This Row],[Variación Stock]]*Tabla2[[#This Row],[Coste LÃ­nea]]</f>
        <v>-28966.560000000001</v>
      </c>
      <c r="N3779" s="22" t="str">
        <f>+IF(Tabla2[[#This Row],[Variación Stock]]&gt;0,"Sobrante",IF(Tabla2[[#This Row],[Variación Stock]]&lt;0,"Faltante","Sin novedad"))</f>
        <v>Faltante</v>
      </c>
    </row>
    <row r="3780" spans="1:14" hidden="1" x14ac:dyDescent="0.25">
      <c r="A3780" s="11">
        <v>46053</v>
      </c>
      <c r="B3780" s="5" t="s">
        <v>1078</v>
      </c>
      <c r="C3780" s="3" t="s">
        <v>339</v>
      </c>
      <c r="D3780" s="5" t="s">
        <v>559</v>
      </c>
      <c r="E3780" s="5" t="s">
        <v>1080</v>
      </c>
      <c r="F3780" s="6" t="s">
        <v>602</v>
      </c>
      <c r="G3780" s="4" t="s">
        <v>2</v>
      </c>
      <c r="H3780" s="25">
        <v>1550</v>
      </c>
      <c r="I3780" s="8">
        <v>120</v>
      </c>
      <c r="J3780" s="9">
        <v>42</v>
      </c>
      <c r="K3780" s="7">
        <v>-78</v>
      </c>
      <c r="L3780" s="24">
        <f>+Tabla2[[#This Row],[Stock Inventario]]*Tabla2[[#This Row],[Coste LÃ­nea]]</f>
        <v>65100</v>
      </c>
      <c r="M3780" s="24">
        <f>+Tabla2[[#This Row],[Variación Stock]]*Tabla2[[#This Row],[Coste LÃ­nea]]</f>
        <v>-120900</v>
      </c>
      <c r="N3780" s="22" t="str">
        <f>+IF(Tabla2[[#This Row],[Variación Stock]]&gt;0,"Sobrante",IF(Tabla2[[#This Row],[Variación Stock]]&lt;0,"Faltante","Sin novedad"))</f>
        <v>Faltante</v>
      </c>
    </row>
    <row r="3781" spans="1:14" hidden="1" x14ac:dyDescent="0.25">
      <c r="A3781" s="11">
        <v>46053</v>
      </c>
      <c r="B3781" s="5" t="s">
        <v>1078</v>
      </c>
      <c r="C3781" s="3" t="s">
        <v>339</v>
      </c>
      <c r="D3781" s="5" t="s">
        <v>626</v>
      </c>
      <c r="E3781" s="5" t="s">
        <v>1079</v>
      </c>
      <c r="F3781" s="6" t="s">
        <v>630</v>
      </c>
      <c r="G3781" s="4" t="s">
        <v>2</v>
      </c>
      <c r="H3781" s="25">
        <v>672.27</v>
      </c>
      <c r="I3781" s="8">
        <v>150</v>
      </c>
      <c r="J3781" s="9">
        <v>0</v>
      </c>
      <c r="K3781" s="7">
        <v>-150</v>
      </c>
      <c r="L3781" s="24">
        <f>+Tabla2[[#This Row],[Stock Inventario]]*Tabla2[[#This Row],[Coste LÃ­nea]]</f>
        <v>0</v>
      </c>
      <c r="M3781" s="24">
        <f>+Tabla2[[#This Row],[Variación Stock]]*Tabla2[[#This Row],[Coste LÃ­nea]]</f>
        <v>-100840.5</v>
      </c>
      <c r="N3781" s="22" t="str">
        <f>+IF(Tabla2[[#This Row],[Variación Stock]]&gt;0,"Sobrante",IF(Tabla2[[#This Row],[Variación Stock]]&lt;0,"Faltante","Sin novedad"))</f>
        <v>Faltante</v>
      </c>
    </row>
    <row r="3782" spans="1:14" hidden="1" x14ac:dyDescent="0.25">
      <c r="A3782" s="11">
        <v>46053</v>
      </c>
      <c r="B3782" s="5" t="s">
        <v>1078</v>
      </c>
      <c r="C3782" s="3" t="s">
        <v>339</v>
      </c>
      <c r="D3782" s="5" t="s">
        <v>559</v>
      </c>
      <c r="E3782" s="5" t="s">
        <v>1080</v>
      </c>
      <c r="F3782" s="6" t="s">
        <v>572</v>
      </c>
      <c r="G3782" s="4" t="s">
        <v>2</v>
      </c>
      <c r="H3782" s="25">
        <v>39.03</v>
      </c>
      <c r="I3782" s="8">
        <v>0</v>
      </c>
      <c r="J3782" s="9">
        <v>0</v>
      </c>
      <c r="K3782" s="7">
        <v>0</v>
      </c>
      <c r="L3782" s="24">
        <f>+Tabla2[[#This Row],[Stock Inventario]]*Tabla2[[#This Row],[Coste LÃ­nea]]</f>
        <v>0</v>
      </c>
      <c r="M3782" s="24">
        <f>+Tabla2[[#This Row],[Variación Stock]]*Tabla2[[#This Row],[Coste LÃ­nea]]</f>
        <v>0</v>
      </c>
      <c r="N3782" s="22" t="str">
        <f>+IF(Tabla2[[#This Row],[Variación Stock]]&gt;0,"Sobrante",IF(Tabla2[[#This Row],[Variación Stock]]&lt;0,"Faltante","Sin novedad"))</f>
        <v>Sin novedad</v>
      </c>
    </row>
    <row r="3783" spans="1:14" hidden="1" x14ac:dyDescent="0.25">
      <c r="A3783" s="11">
        <v>46053</v>
      </c>
      <c r="B3783" s="5" t="s">
        <v>1078</v>
      </c>
      <c r="C3783" s="3" t="s">
        <v>339</v>
      </c>
      <c r="D3783" s="5" t="s">
        <v>559</v>
      </c>
      <c r="E3783" s="5" t="s">
        <v>1080</v>
      </c>
      <c r="F3783" s="6" t="s">
        <v>573</v>
      </c>
      <c r="G3783" s="4" t="s">
        <v>2</v>
      </c>
      <c r="H3783" s="25">
        <v>976.55</v>
      </c>
      <c r="I3783" s="8">
        <v>1</v>
      </c>
      <c r="J3783" s="9">
        <v>0</v>
      </c>
      <c r="K3783" s="7">
        <v>-1</v>
      </c>
      <c r="L3783" s="24">
        <f>+Tabla2[[#This Row],[Stock Inventario]]*Tabla2[[#This Row],[Coste LÃ­nea]]</f>
        <v>0</v>
      </c>
      <c r="M3783" s="24">
        <f>+Tabla2[[#This Row],[Variación Stock]]*Tabla2[[#This Row],[Coste LÃ­nea]]</f>
        <v>-976.55</v>
      </c>
      <c r="N3783" s="22" t="str">
        <f>+IF(Tabla2[[#This Row],[Variación Stock]]&gt;0,"Sobrante",IF(Tabla2[[#This Row],[Variación Stock]]&lt;0,"Faltante","Sin novedad"))</f>
        <v>Faltante</v>
      </c>
    </row>
    <row r="3784" spans="1:14" hidden="1" x14ac:dyDescent="0.25">
      <c r="A3784" s="11">
        <v>46053</v>
      </c>
      <c r="B3784" s="5" t="s">
        <v>1078</v>
      </c>
      <c r="C3784" s="3" t="s">
        <v>339</v>
      </c>
      <c r="D3784" s="5" t="s">
        <v>559</v>
      </c>
      <c r="E3784" s="5" t="s">
        <v>1080</v>
      </c>
      <c r="F3784" s="6" t="s">
        <v>574</v>
      </c>
      <c r="G3784" s="4" t="s">
        <v>2</v>
      </c>
      <c r="H3784" s="25">
        <v>385.44</v>
      </c>
      <c r="I3784" s="8">
        <v>25</v>
      </c>
      <c r="J3784" s="9">
        <v>12</v>
      </c>
      <c r="K3784" s="7">
        <v>-13</v>
      </c>
      <c r="L3784" s="24">
        <f>+Tabla2[[#This Row],[Stock Inventario]]*Tabla2[[#This Row],[Coste LÃ­nea]]</f>
        <v>4625.28</v>
      </c>
      <c r="M3784" s="24">
        <f>+Tabla2[[#This Row],[Variación Stock]]*Tabla2[[#This Row],[Coste LÃ­nea]]</f>
        <v>-5010.72</v>
      </c>
      <c r="N3784" s="22" t="str">
        <f>+IF(Tabla2[[#This Row],[Variación Stock]]&gt;0,"Sobrante",IF(Tabla2[[#This Row],[Variación Stock]]&lt;0,"Faltante","Sin novedad"))</f>
        <v>Faltante</v>
      </c>
    </row>
    <row r="3785" spans="1:14" hidden="1" x14ac:dyDescent="0.25">
      <c r="A3785" s="11">
        <v>46053</v>
      </c>
      <c r="B3785" s="5" t="s">
        <v>1078</v>
      </c>
      <c r="C3785" s="3" t="s">
        <v>339</v>
      </c>
      <c r="D3785" s="5" t="s">
        <v>559</v>
      </c>
      <c r="E3785" s="5" t="s">
        <v>1080</v>
      </c>
      <c r="F3785" s="6" t="s">
        <v>588</v>
      </c>
      <c r="G3785" s="4" t="s">
        <v>2</v>
      </c>
      <c r="H3785" s="25">
        <v>129.59</v>
      </c>
      <c r="I3785" s="8">
        <v>0</v>
      </c>
      <c r="J3785" s="9">
        <v>0</v>
      </c>
      <c r="K3785" s="7">
        <v>0</v>
      </c>
      <c r="L3785" s="24">
        <f>+Tabla2[[#This Row],[Stock Inventario]]*Tabla2[[#This Row],[Coste LÃ­nea]]</f>
        <v>0</v>
      </c>
      <c r="M3785" s="24">
        <f>+Tabla2[[#This Row],[Variación Stock]]*Tabla2[[#This Row],[Coste LÃ­nea]]</f>
        <v>0</v>
      </c>
      <c r="N3785" s="22" t="str">
        <f>+IF(Tabla2[[#This Row],[Variación Stock]]&gt;0,"Sobrante",IF(Tabla2[[#This Row],[Variación Stock]]&lt;0,"Faltante","Sin novedad"))</f>
        <v>Sin novedad</v>
      </c>
    </row>
    <row r="3786" spans="1:14" hidden="1" x14ac:dyDescent="0.25">
      <c r="A3786" s="11">
        <v>46053</v>
      </c>
      <c r="B3786" s="5" t="s">
        <v>1078</v>
      </c>
      <c r="C3786" s="3" t="s">
        <v>339</v>
      </c>
      <c r="D3786" s="5" t="s">
        <v>559</v>
      </c>
      <c r="E3786" s="5" t="s">
        <v>1080</v>
      </c>
      <c r="F3786" s="6" t="s">
        <v>575</v>
      </c>
      <c r="G3786" s="4" t="s">
        <v>2</v>
      </c>
      <c r="H3786" s="25">
        <f>36235.5/50</f>
        <v>724.71</v>
      </c>
      <c r="I3786" s="8">
        <v>30</v>
      </c>
      <c r="J3786" s="9">
        <v>10</v>
      </c>
      <c r="K3786" s="7">
        <v>-20</v>
      </c>
      <c r="L3786" s="24">
        <f>+Tabla2[[#This Row],[Stock Inventario]]*Tabla2[[#This Row],[Coste LÃ­nea]]</f>
        <v>7247.1</v>
      </c>
      <c r="M3786" s="24">
        <f>+Tabla2[[#This Row],[Variación Stock]]*Tabla2[[#This Row],[Coste LÃ­nea]]</f>
        <v>-14494.2</v>
      </c>
      <c r="N3786" s="22" t="str">
        <f>+IF(Tabla2[[#This Row],[Variación Stock]]&gt;0,"Sobrante",IF(Tabla2[[#This Row],[Variación Stock]]&lt;0,"Faltante","Sin novedad"))</f>
        <v>Faltante</v>
      </c>
    </row>
    <row r="3787" spans="1:14" hidden="1" x14ac:dyDescent="0.25">
      <c r="A3787" s="11">
        <v>46053</v>
      </c>
      <c r="B3787" s="5" t="s">
        <v>1078</v>
      </c>
      <c r="C3787" s="3" t="s">
        <v>339</v>
      </c>
      <c r="D3787" s="5" t="s">
        <v>626</v>
      </c>
      <c r="E3787" s="5" t="s">
        <v>1079</v>
      </c>
      <c r="F3787" s="6" t="s">
        <v>631</v>
      </c>
      <c r="G3787" s="4" t="s">
        <v>2</v>
      </c>
      <c r="H3787" s="25">
        <v>877</v>
      </c>
      <c r="I3787" s="8">
        <v>20</v>
      </c>
      <c r="J3787" s="9">
        <v>0</v>
      </c>
      <c r="K3787" s="7">
        <v>-20</v>
      </c>
      <c r="L3787" s="24">
        <f>+Tabla2[[#This Row],[Stock Inventario]]*Tabla2[[#This Row],[Coste LÃ­nea]]</f>
        <v>0</v>
      </c>
      <c r="M3787" s="24">
        <f>+Tabla2[[#This Row],[Variación Stock]]*Tabla2[[#This Row],[Coste LÃ­nea]]</f>
        <v>-17540</v>
      </c>
      <c r="N3787" s="22" t="str">
        <f>+IF(Tabla2[[#This Row],[Variación Stock]]&gt;0,"Sobrante",IF(Tabla2[[#This Row],[Variación Stock]]&lt;0,"Faltante","Sin novedad"))</f>
        <v>Faltante</v>
      </c>
    </row>
    <row r="3788" spans="1:14" hidden="1" x14ac:dyDescent="0.25">
      <c r="A3788" s="11">
        <v>46053</v>
      </c>
      <c r="B3788" s="5" t="s">
        <v>1078</v>
      </c>
      <c r="C3788" s="3" t="s">
        <v>339</v>
      </c>
      <c r="D3788" s="5" t="s">
        <v>559</v>
      </c>
      <c r="E3788" s="5" t="s">
        <v>1080</v>
      </c>
      <c r="F3788" s="6" t="s">
        <v>584</v>
      </c>
      <c r="G3788" s="4" t="s">
        <v>2</v>
      </c>
      <c r="H3788" s="25">
        <v>22</v>
      </c>
      <c r="I3788" s="8">
        <v>21</v>
      </c>
      <c r="J3788" s="9">
        <v>0</v>
      </c>
      <c r="K3788" s="7">
        <v>-21</v>
      </c>
      <c r="L3788" s="24">
        <f>+Tabla2[[#This Row],[Stock Inventario]]*Tabla2[[#This Row],[Coste LÃ­nea]]</f>
        <v>0</v>
      </c>
      <c r="M3788" s="24">
        <f>+Tabla2[[#This Row],[Variación Stock]]*Tabla2[[#This Row],[Coste LÃ­nea]]</f>
        <v>-462</v>
      </c>
      <c r="N3788" s="22" t="str">
        <f>+IF(Tabla2[[#This Row],[Variación Stock]]&gt;0,"Sobrante",IF(Tabla2[[#This Row],[Variación Stock]]&lt;0,"Faltante","Sin novedad"))</f>
        <v>Faltante</v>
      </c>
    </row>
    <row r="3789" spans="1:14" hidden="1" x14ac:dyDescent="0.25">
      <c r="A3789" s="11">
        <v>46053</v>
      </c>
      <c r="B3789" s="5" t="s">
        <v>1078</v>
      </c>
      <c r="C3789" s="3" t="s">
        <v>339</v>
      </c>
      <c r="D3789" s="5" t="s">
        <v>626</v>
      </c>
      <c r="E3789" s="5" t="s">
        <v>1079</v>
      </c>
      <c r="F3789" s="6" t="s">
        <v>632</v>
      </c>
      <c r="G3789" s="4" t="s">
        <v>2</v>
      </c>
      <c r="H3789" s="25">
        <v>17</v>
      </c>
      <c r="I3789" s="8">
        <v>1020</v>
      </c>
      <c r="J3789" s="9">
        <v>5</v>
      </c>
      <c r="K3789" s="7">
        <v>-1015</v>
      </c>
      <c r="L3789" s="24">
        <f>+Tabla2[[#This Row],[Stock Inventario]]*Tabla2[[#This Row],[Coste LÃ­nea]]</f>
        <v>85</v>
      </c>
      <c r="M3789" s="24">
        <f>+Tabla2[[#This Row],[Variación Stock]]*Tabla2[[#This Row],[Coste LÃ­nea]]</f>
        <v>-17255</v>
      </c>
      <c r="N3789" s="22" t="str">
        <f>+IF(Tabla2[[#This Row],[Variación Stock]]&gt;0,"Sobrante",IF(Tabla2[[#This Row],[Variación Stock]]&lt;0,"Faltante","Sin novedad"))</f>
        <v>Faltante</v>
      </c>
    </row>
    <row r="3790" spans="1:14" hidden="1" x14ac:dyDescent="0.25">
      <c r="A3790" s="11">
        <v>46053</v>
      </c>
      <c r="B3790" s="5" t="s">
        <v>1078</v>
      </c>
      <c r="C3790" s="3" t="s">
        <v>339</v>
      </c>
      <c r="D3790" s="5" t="s">
        <v>559</v>
      </c>
      <c r="E3790" s="5" t="s">
        <v>1080</v>
      </c>
      <c r="F3790" s="6" t="s">
        <v>585</v>
      </c>
      <c r="G3790" s="4" t="s">
        <v>2</v>
      </c>
      <c r="H3790" s="25">
        <v>22</v>
      </c>
      <c r="I3790" s="8">
        <v>0</v>
      </c>
      <c r="J3790" s="9">
        <v>0</v>
      </c>
      <c r="K3790" s="7">
        <v>0</v>
      </c>
      <c r="L3790" s="24">
        <f>+Tabla2[[#This Row],[Stock Inventario]]*Tabla2[[#This Row],[Coste LÃ­nea]]</f>
        <v>0</v>
      </c>
      <c r="M3790" s="24">
        <f>+Tabla2[[#This Row],[Variación Stock]]*Tabla2[[#This Row],[Coste LÃ­nea]]</f>
        <v>0</v>
      </c>
      <c r="N3790" s="22" t="str">
        <f>+IF(Tabla2[[#This Row],[Variación Stock]]&gt;0,"Sobrante",IF(Tabla2[[#This Row],[Variación Stock]]&lt;0,"Faltante","Sin novedad"))</f>
        <v>Sin novedad</v>
      </c>
    </row>
    <row r="3791" spans="1:14" hidden="1" x14ac:dyDescent="0.25">
      <c r="A3791" s="11">
        <v>46053</v>
      </c>
      <c r="B3791" s="5" t="s">
        <v>1078</v>
      </c>
      <c r="C3791" s="3" t="s">
        <v>339</v>
      </c>
      <c r="D3791" s="5" t="s">
        <v>559</v>
      </c>
      <c r="E3791" s="5" t="s">
        <v>1080</v>
      </c>
      <c r="F3791" s="6" t="s">
        <v>565</v>
      </c>
      <c r="G3791" s="4" t="s">
        <v>2</v>
      </c>
      <c r="H3791" s="25">
        <v>302</v>
      </c>
      <c r="I3791" s="8">
        <v>0</v>
      </c>
      <c r="J3791" s="9">
        <v>0</v>
      </c>
      <c r="K3791" s="7">
        <v>0</v>
      </c>
      <c r="L3791" s="24">
        <f>+Tabla2[[#This Row],[Stock Inventario]]*Tabla2[[#This Row],[Coste LÃ­nea]]</f>
        <v>0</v>
      </c>
      <c r="M3791" s="24">
        <f>+Tabla2[[#This Row],[Variación Stock]]*Tabla2[[#This Row],[Coste LÃ­nea]]</f>
        <v>0</v>
      </c>
      <c r="N3791" s="22" t="str">
        <f>+IF(Tabla2[[#This Row],[Variación Stock]]&gt;0,"Sobrante",IF(Tabla2[[#This Row],[Variación Stock]]&lt;0,"Faltante","Sin novedad"))</f>
        <v>Sin novedad</v>
      </c>
    </row>
    <row r="3792" spans="1:14" hidden="1" x14ac:dyDescent="0.25">
      <c r="A3792" s="11">
        <v>46053</v>
      </c>
      <c r="B3792" s="5" t="s">
        <v>1078</v>
      </c>
      <c r="C3792" s="3" t="s">
        <v>339</v>
      </c>
      <c r="D3792" s="5" t="s">
        <v>559</v>
      </c>
      <c r="E3792" s="5" t="s">
        <v>1080</v>
      </c>
      <c r="F3792" s="6" t="s">
        <v>561</v>
      </c>
      <c r="G3792" s="4" t="s">
        <v>2</v>
      </c>
      <c r="H3792" s="25">
        <v>302</v>
      </c>
      <c r="I3792" s="8">
        <v>0</v>
      </c>
      <c r="J3792" s="9">
        <v>0</v>
      </c>
      <c r="K3792" s="7">
        <v>0</v>
      </c>
      <c r="L3792" s="24">
        <f>+Tabla2[[#This Row],[Stock Inventario]]*Tabla2[[#This Row],[Coste LÃ­nea]]</f>
        <v>0</v>
      </c>
      <c r="M3792" s="24">
        <f>+Tabla2[[#This Row],[Variación Stock]]*Tabla2[[#This Row],[Coste LÃ­nea]]</f>
        <v>0</v>
      </c>
      <c r="N3792" s="22" t="str">
        <f>+IF(Tabla2[[#This Row],[Variación Stock]]&gt;0,"Sobrante",IF(Tabla2[[#This Row],[Variación Stock]]&lt;0,"Faltante","Sin novedad"))</f>
        <v>Sin novedad</v>
      </c>
    </row>
    <row r="3793" spans="1:14" hidden="1" x14ac:dyDescent="0.25">
      <c r="A3793" s="11">
        <v>46053</v>
      </c>
      <c r="B3793" s="5" t="s">
        <v>1078</v>
      </c>
      <c r="C3793" s="3" t="s">
        <v>339</v>
      </c>
      <c r="D3793" s="5" t="s">
        <v>626</v>
      </c>
      <c r="E3793" s="5" t="s">
        <v>1079</v>
      </c>
      <c r="F3793" s="6" t="s">
        <v>629</v>
      </c>
      <c r="G3793" s="4" t="s">
        <v>2</v>
      </c>
      <c r="H3793" s="25">
        <v>1300</v>
      </c>
      <c r="I3793" s="8">
        <v>0</v>
      </c>
      <c r="J3793" s="9">
        <v>0</v>
      </c>
      <c r="K3793" s="7">
        <v>0</v>
      </c>
      <c r="L3793" s="24">
        <f>+Tabla2[[#This Row],[Stock Inventario]]*Tabla2[[#This Row],[Coste LÃ­nea]]</f>
        <v>0</v>
      </c>
      <c r="M3793" s="24">
        <f>+Tabla2[[#This Row],[Variación Stock]]*Tabla2[[#This Row],[Coste LÃ­nea]]</f>
        <v>0</v>
      </c>
      <c r="N3793" s="22" t="str">
        <f>+IF(Tabla2[[#This Row],[Variación Stock]]&gt;0,"Sobrante",IF(Tabla2[[#This Row],[Variación Stock]]&lt;0,"Faltante","Sin novedad"))</f>
        <v>Sin novedad</v>
      </c>
    </row>
    <row r="3794" spans="1:14" hidden="1" x14ac:dyDescent="0.25">
      <c r="A3794" s="11">
        <v>46053</v>
      </c>
      <c r="B3794" s="5" t="s">
        <v>1078</v>
      </c>
      <c r="C3794" s="3" t="s">
        <v>339</v>
      </c>
      <c r="D3794" s="5" t="s">
        <v>559</v>
      </c>
      <c r="E3794" s="5" t="s">
        <v>1080</v>
      </c>
      <c r="F3794" s="6" t="s">
        <v>586</v>
      </c>
      <c r="G3794" s="4" t="s">
        <v>2</v>
      </c>
      <c r="H3794" s="25">
        <v>11</v>
      </c>
      <c r="I3794" s="8">
        <v>0</v>
      </c>
      <c r="J3794" s="9">
        <v>2</v>
      </c>
      <c r="K3794" s="7">
        <v>2</v>
      </c>
      <c r="L3794" s="24">
        <f>+Tabla2[[#This Row],[Stock Inventario]]*Tabla2[[#This Row],[Coste LÃ­nea]]</f>
        <v>22</v>
      </c>
      <c r="M3794" s="24">
        <f>+Tabla2[[#This Row],[Variación Stock]]*Tabla2[[#This Row],[Coste LÃ­nea]]</f>
        <v>22</v>
      </c>
      <c r="N3794" s="22" t="str">
        <f>+IF(Tabla2[[#This Row],[Variación Stock]]&gt;0,"Sobrante",IF(Tabla2[[#This Row],[Variación Stock]]&lt;0,"Faltante","Sin novedad"))</f>
        <v>Sobrante</v>
      </c>
    </row>
    <row r="3795" spans="1:14" hidden="1" x14ac:dyDescent="0.25">
      <c r="A3795" s="11">
        <v>46053</v>
      </c>
      <c r="B3795" s="5" t="s">
        <v>1078</v>
      </c>
      <c r="C3795" s="3" t="s">
        <v>339</v>
      </c>
      <c r="D3795" s="5" t="s">
        <v>559</v>
      </c>
      <c r="E3795" s="5" t="s">
        <v>1080</v>
      </c>
      <c r="F3795" s="6" t="s">
        <v>566</v>
      </c>
      <c r="G3795" s="4" t="s">
        <v>2</v>
      </c>
      <c r="H3795" s="25">
        <v>25</v>
      </c>
      <c r="I3795" s="8">
        <v>1000</v>
      </c>
      <c r="J3795" s="9">
        <v>5</v>
      </c>
      <c r="K3795" s="7">
        <v>-995</v>
      </c>
      <c r="L3795" s="24">
        <f>+Tabla2[[#This Row],[Stock Inventario]]*Tabla2[[#This Row],[Coste LÃ­nea]]</f>
        <v>125</v>
      </c>
      <c r="M3795" s="24">
        <f>+Tabla2[[#This Row],[Variación Stock]]*Tabla2[[#This Row],[Coste LÃ­nea]]</f>
        <v>-24875</v>
      </c>
      <c r="N3795" s="22" t="str">
        <f>+IF(Tabla2[[#This Row],[Variación Stock]]&gt;0,"Sobrante",IF(Tabla2[[#This Row],[Variación Stock]]&lt;0,"Faltante","Sin novedad"))</f>
        <v>Faltante</v>
      </c>
    </row>
    <row r="3796" spans="1:14" hidden="1" x14ac:dyDescent="0.25">
      <c r="A3796" s="11">
        <v>46053</v>
      </c>
      <c r="B3796" s="5" t="s">
        <v>1078</v>
      </c>
      <c r="C3796" s="3" t="s">
        <v>339</v>
      </c>
      <c r="D3796" s="5" t="s">
        <v>626</v>
      </c>
      <c r="E3796" s="5" t="s">
        <v>1079</v>
      </c>
      <c r="F3796" s="6" t="s">
        <v>633</v>
      </c>
      <c r="G3796" s="4" t="s">
        <v>2</v>
      </c>
      <c r="H3796" s="25">
        <v>714.29</v>
      </c>
      <c r="I3796" s="8">
        <v>150</v>
      </c>
      <c r="J3796" s="9">
        <v>20</v>
      </c>
      <c r="K3796" s="7">
        <v>-130</v>
      </c>
      <c r="L3796" s="24">
        <f>+Tabla2[[#This Row],[Stock Inventario]]*Tabla2[[#This Row],[Coste LÃ­nea]]</f>
        <v>14285.8</v>
      </c>
      <c r="M3796" s="24">
        <f>+Tabla2[[#This Row],[Variación Stock]]*Tabla2[[#This Row],[Coste LÃ­nea]]</f>
        <v>-92857.7</v>
      </c>
      <c r="N3796" s="22" t="str">
        <f>+IF(Tabla2[[#This Row],[Variación Stock]]&gt;0,"Sobrante",IF(Tabla2[[#This Row],[Variación Stock]]&lt;0,"Faltante","Sin novedad"))</f>
        <v>Faltante</v>
      </c>
    </row>
    <row r="3797" spans="1:14" hidden="1" x14ac:dyDescent="0.25">
      <c r="A3797" s="11">
        <v>46053</v>
      </c>
      <c r="B3797" s="5" t="s">
        <v>1078</v>
      </c>
      <c r="C3797" s="3" t="s">
        <v>339</v>
      </c>
      <c r="D3797" s="5" t="s">
        <v>559</v>
      </c>
      <c r="E3797" s="5" t="s">
        <v>1080</v>
      </c>
      <c r="F3797" s="6" t="s">
        <v>589</v>
      </c>
      <c r="G3797" s="4" t="s">
        <v>2</v>
      </c>
      <c r="H3797" s="25">
        <v>348.29199999999997</v>
      </c>
      <c r="I3797" s="8">
        <v>25</v>
      </c>
      <c r="J3797" s="9">
        <v>0</v>
      </c>
      <c r="K3797" s="7">
        <v>-25</v>
      </c>
      <c r="L3797" s="24">
        <f>+Tabla2[[#This Row],[Stock Inventario]]*Tabla2[[#This Row],[Coste LÃ­nea]]</f>
        <v>0</v>
      </c>
      <c r="M3797" s="24">
        <f>+Tabla2[[#This Row],[Variación Stock]]*Tabla2[[#This Row],[Coste LÃ­nea]]</f>
        <v>-8707.2999999999993</v>
      </c>
      <c r="N3797" s="22" t="str">
        <f>+IF(Tabla2[[#This Row],[Variación Stock]]&gt;0,"Sobrante",IF(Tabla2[[#This Row],[Variación Stock]]&lt;0,"Faltante","Sin novedad"))</f>
        <v>Faltante</v>
      </c>
    </row>
    <row r="3798" spans="1:14" x14ac:dyDescent="0.25">
      <c r="A3798" s="11">
        <v>46053</v>
      </c>
      <c r="B3798" s="5" t="s">
        <v>1078</v>
      </c>
      <c r="C3798" s="3" t="s">
        <v>339</v>
      </c>
      <c r="D3798" s="5" t="s">
        <v>111</v>
      </c>
      <c r="E3798" s="5" t="s">
        <v>112</v>
      </c>
      <c r="F3798" s="6" t="s">
        <v>140</v>
      </c>
      <c r="G3798" s="4" t="s">
        <v>0</v>
      </c>
      <c r="H3798" s="25">
        <v>5958.3333333299997</v>
      </c>
      <c r="I3798" s="8">
        <v>0</v>
      </c>
      <c r="J3798" s="9">
        <v>0</v>
      </c>
      <c r="K3798" s="7">
        <v>0</v>
      </c>
      <c r="L3798" s="24">
        <f>+Tabla2[[#This Row],[Stock Inventario]]*Tabla2[[#This Row],[Coste LÃ­nea]]</f>
        <v>0</v>
      </c>
      <c r="M3798" s="24">
        <f>+Tabla2[[#This Row],[Variación Stock]]*Tabla2[[#This Row],[Coste LÃ­nea]]</f>
        <v>0</v>
      </c>
      <c r="N3798" s="22" t="str">
        <f>+IF(Tabla2[[#This Row],[Variación Stock]]&gt;0,"Sobrante",IF(Tabla2[[#This Row],[Variación Stock]]&lt;0,"Faltante","Sin novedad"))</f>
        <v>Sin novedad</v>
      </c>
    </row>
    <row r="3799" spans="1:14" hidden="1" x14ac:dyDescent="0.25">
      <c r="A3799" s="11">
        <v>46053</v>
      </c>
      <c r="B3799" s="5" t="s">
        <v>1078</v>
      </c>
      <c r="C3799" s="3" t="s">
        <v>339</v>
      </c>
      <c r="D3799" s="5" t="s">
        <v>471</v>
      </c>
      <c r="E3799" s="5" t="s">
        <v>117</v>
      </c>
      <c r="F3799" s="6" t="s">
        <v>473</v>
      </c>
      <c r="G3799" s="4" t="s">
        <v>1</v>
      </c>
      <c r="H3799" s="25">
        <v>350</v>
      </c>
      <c r="I3799" s="8">
        <v>-17</v>
      </c>
      <c r="J3799" s="9">
        <v>0</v>
      </c>
      <c r="K3799" s="7">
        <v>17</v>
      </c>
      <c r="L3799" s="24">
        <f>+Tabla2[[#This Row],[Stock Inventario]]*Tabla2[[#This Row],[Coste LÃ­nea]]</f>
        <v>0</v>
      </c>
      <c r="M3799" s="24">
        <f>+Tabla2[[#This Row],[Variación Stock]]*Tabla2[[#This Row],[Coste LÃ­nea]]</f>
        <v>5950</v>
      </c>
      <c r="N3799" s="22" t="str">
        <f>+IF(Tabla2[[#This Row],[Variación Stock]]&gt;0,"Sobrante",IF(Tabla2[[#This Row],[Variación Stock]]&lt;0,"Faltante","Sin novedad"))</f>
        <v>Sobrante</v>
      </c>
    </row>
    <row r="3800" spans="1:14" hidden="1" x14ac:dyDescent="0.25">
      <c r="A3800" s="11">
        <v>46053</v>
      </c>
      <c r="B3800" s="5" t="s">
        <v>1078</v>
      </c>
      <c r="C3800" s="3" t="s">
        <v>339</v>
      </c>
      <c r="D3800" s="5" t="s">
        <v>626</v>
      </c>
      <c r="E3800" s="5" t="s">
        <v>1079</v>
      </c>
      <c r="F3800" s="6" t="s">
        <v>640</v>
      </c>
      <c r="G3800" s="4" t="s">
        <v>1</v>
      </c>
      <c r="H3800" s="25">
        <v>25.0914</v>
      </c>
      <c r="I3800" s="8">
        <v>4000</v>
      </c>
      <c r="J3800" s="9">
        <v>3500</v>
      </c>
      <c r="K3800" s="7">
        <v>-500</v>
      </c>
      <c r="L3800" s="24">
        <f>+Tabla2[[#This Row],[Stock Inventario]]*Tabla2[[#This Row],[Coste LÃ­nea]]</f>
        <v>87819.9</v>
      </c>
      <c r="M3800" s="24">
        <f>+Tabla2[[#This Row],[Variación Stock]]*Tabla2[[#This Row],[Coste LÃ­nea]]</f>
        <v>-12545.7</v>
      </c>
      <c r="N3800" s="22" t="str">
        <f>+IF(Tabla2[[#This Row],[Variación Stock]]&gt;0,"Sobrante",IF(Tabla2[[#This Row],[Variación Stock]]&lt;0,"Faltante","Sin novedad"))</f>
        <v>Faltante</v>
      </c>
    </row>
    <row r="3801" spans="1:14" x14ac:dyDescent="0.25">
      <c r="A3801" s="11">
        <v>46053</v>
      </c>
      <c r="B3801" s="5" t="s">
        <v>1078</v>
      </c>
      <c r="C3801" s="3" t="s">
        <v>339</v>
      </c>
      <c r="D3801" s="5" t="s">
        <v>114</v>
      </c>
      <c r="E3801" s="5" t="s">
        <v>112</v>
      </c>
      <c r="F3801" s="6" t="s">
        <v>373</v>
      </c>
      <c r="G3801" s="4" t="s">
        <v>2</v>
      </c>
      <c r="H3801" s="25">
        <v>2120.83</v>
      </c>
      <c r="I3801" s="8">
        <v>0</v>
      </c>
      <c r="J3801" s="9">
        <v>0</v>
      </c>
      <c r="K3801" s="7">
        <v>0</v>
      </c>
      <c r="L3801" s="24">
        <f>+Tabla2[[#This Row],[Stock Inventario]]*Tabla2[[#This Row],[Coste LÃ­nea]]</f>
        <v>0</v>
      </c>
      <c r="M3801" s="24">
        <f>+Tabla2[[#This Row],[Variación Stock]]*Tabla2[[#This Row],[Coste LÃ­nea]]</f>
        <v>0</v>
      </c>
      <c r="N3801" s="22" t="str">
        <f>+IF(Tabla2[[#This Row],[Variación Stock]]&gt;0,"Sobrante",IF(Tabla2[[#This Row],[Variación Stock]]&lt;0,"Faltante","Sin novedad"))</f>
        <v>Sin novedad</v>
      </c>
    </row>
    <row r="3802" spans="1:14" hidden="1" x14ac:dyDescent="0.25">
      <c r="A3802" s="11">
        <v>46053</v>
      </c>
      <c r="B3802" s="5" t="s">
        <v>1078</v>
      </c>
      <c r="C3802" s="3" t="s">
        <v>339</v>
      </c>
      <c r="D3802" s="5" t="s">
        <v>471</v>
      </c>
      <c r="E3802" s="5" t="s">
        <v>117</v>
      </c>
      <c r="F3802" s="6" t="s">
        <v>474</v>
      </c>
      <c r="G3802" s="4" t="s">
        <v>1</v>
      </c>
      <c r="H3802" s="25">
        <v>5</v>
      </c>
      <c r="I3802" s="8">
        <v>-3845.5122000000001</v>
      </c>
      <c r="J3802" s="9">
        <v>1000</v>
      </c>
      <c r="K3802" s="7">
        <v>4845.5121900000004</v>
      </c>
      <c r="L3802" s="24">
        <f>+Tabla2[[#This Row],[Stock Inventario]]*Tabla2[[#This Row],[Coste LÃ­nea]]</f>
        <v>5000</v>
      </c>
      <c r="M3802" s="24">
        <f>+Tabla2[[#This Row],[Variación Stock]]*Tabla2[[#This Row],[Coste LÃ­nea]]</f>
        <v>24227.560950000003</v>
      </c>
      <c r="N3802" s="22" t="str">
        <f>+IF(Tabla2[[#This Row],[Variación Stock]]&gt;0,"Sobrante",IF(Tabla2[[#This Row],[Variación Stock]]&lt;0,"Faltante","Sin novedad"))</f>
        <v>Sobrante</v>
      </c>
    </row>
    <row r="3803" spans="1:14" hidden="1" x14ac:dyDescent="0.25">
      <c r="A3803" s="11">
        <v>46053</v>
      </c>
      <c r="B3803" s="5" t="s">
        <v>1078</v>
      </c>
      <c r="C3803" s="3" t="s">
        <v>339</v>
      </c>
      <c r="D3803" s="5" t="s">
        <v>471</v>
      </c>
      <c r="E3803" s="5" t="s">
        <v>117</v>
      </c>
      <c r="F3803" s="6" t="s">
        <v>540</v>
      </c>
      <c r="G3803" s="4" t="s">
        <v>1</v>
      </c>
      <c r="H3803" s="25">
        <v>310</v>
      </c>
      <c r="I3803" s="8">
        <v>189.77780000000001</v>
      </c>
      <c r="J3803" s="9">
        <v>0</v>
      </c>
      <c r="K3803" s="7">
        <v>-189.7777672</v>
      </c>
      <c r="L3803" s="24">
        <f>+Tabla2[[#This Row],[Stock Inventario]]*Tabla2[[#This Row],[Coste LÃ­nea]]</f>
        <v>0</v>
      </c>
      <c r="M3803" s="24">
        <f>+Tabla2[[#This Row],[Variación Stock]]*Tabla2[[#This Row],[Coste LÃ­nea]]</f>
        <v>-58831.107832000002</v>
      </c>
      <c r="N3803" s="22" t="str">
        <f>+IF(Tabla2[[#This Row],[Variación Stock]]&gt;0,"Sobrante",IF(Tabla2[[#This Row],[Variación Stock]]&lt;0,"Faltante","Sin novedad"))</f>
        <v>Faltante</v>
      </c>
    </row>
    <row r="3804" spans="1:14" x14ac:dyDescent="0.25">
      <c r="A3804" s="11">
        <v>46053</v>
      </c>
      <c r="B3804" s="5" t="s">
        <v>1078</v>
      </c>
      <c r="C3804" s="3" t="s">
        <v>339</v>
      </c>
      <c r="D3804" s="5" t="s">
        <v>111</v>
      </c>
      <c r="E3804" s="5" t="s">
        <v>112</v>
      </c>
      <c r="F3804" s="6" t="s">
        <v>17</v>
      </c>
      <c r="G3804" s="4" t="s">
        <v>0</v>
      </c>
      <c r="H3804" s="25">
        <v>14896.95833333</v>
      </c>
      <c r="I3804" s="8">
        <v>23</v>
      </c>
      <c r="J3804" s="9">
        <v>26</v>
      </c>
      <c r="K3804" s="7">
        <v>3</v>
      </c>
      <c r="L3804" s="24">
        <f>+Tabla2[[#This Row],[Stock Inventario]]*Tabla2[[#This Row],[Coste LÃ­nea]]</f>
        <v>387320.91666658001</v>
      </c>
      <c r="M3804" s="24">
        <f>+Tabla2[[#This Row],[Variación Stock]]*Tabla2[[#This Row],[Coste LÃ­nea]]</f>
        <v>44690.874999990003</v>
      </c>
      <c r="N3804" s="22" t="str">
        <f>+IF(Tabla2[[#This Row],[Variación Stock]]&gt;0,"Sobrante",IF(Tabla2[[#This Row],[Variación Stock]]&lt;0,"Faltante","Sin novedad"))</f>
        <v>Sobrante</v>
      </c>
    </row>
    <row r="3805" spans="1:14" x14ac:dyDescent="0.25">
      <c r="A3805" s="11">
        <v>46053</v>
      </c>
      <c r="B3805" s="5" t="s">
        <v>1078</v>
      </c>
      <c r="C3805" s="3" t="s">
        <v>339</v>
      </c>
      <c r="D3805" s="5" t="s">
        <v>111</v>
      </c>
      <c r="E3805" s="5" t="s">
        <v>112</v>
      </c>
      <c r="F3805" s="6" t="s">
        <v>18</v>
      </c>
      <c r="G3805" s="4" t="s">
        <v>2</v>
      </c>
      <c r="H3805" s="25">
        <v>95560</v>
      </c>
      <c r="I3805" s="8">
        <v>1</v>
      </c>
      <c r="J3805" s="9">
        <v>1</v>
      </c>
      <c r="K3805" s="7">
        <v>0</v>
      </c>
      <c r="L3805" s="24">
        <f>+Tabla2[[#This Row],[Stock Inventario]]*Tabla2[[#This Row],[Coste LÃ­nea]]</f>
        <v>95560</v>
      </c>
      <c r="M3805" s="24">
        <f>+Tabla2[[#This Row],[Variación Stock]]*Tabla2[[#This Row],[Coste LÃ­nea]]</f>
        <v>0</v>
      </c>
      <c r="N3805" s="22" t="str">
        <f>+IF(Tabla2[[#This Row],[Variación Stock]]&gt;0,"Sobrante",IF(Tabla2[[#This Row],[Variación Stock]]&lt;0,"Faltante","Sin novedad"))</f>
        <v>Sin novedad</v>
      </c>
    </row>
    <row r="3806" spans="1:14" x14ac:dyDescent="0.25">
      <c r="A3806" s="11">
        <v>46053</v>
      </c>
      <c r="B3806" s="5" t="s">
        <v>1078</v>
      </c>
      <c r="C3806" s="3" t="s">
        <v>339</v>
      </c>
      <c r="D3806" s="5" t="s">
        <v>111</v>
      </c>
      <c r="E3806" s="5" t="s">
        <v>112</v>
      </c>
      <c r="F3806" s="6" t="s">
        <v>19</v>
      </c>
      <c r="G3806" s="4" t="s">
        <v>0</v>
      </c>
      <c r="H3806" s="25">
        <v>6746.25</v>
      </c>
      <c r="I3806" s="8">
        <v>1.71</v>
      </c>
      <c r="J3806" s="9">
        <v>3.71</v>
      </c>
      <c r="K3806" s="7">
        <v>2</v>
      </c>
      <c r="L3806" s="24">
        <f>+Tabla2[[#This Row],[Stock Inventario]]*Tabla2[[#This Row],[Coste LÃ­nea]]</f>
        <v>25028.587500000001</v>
      </c>
      <c r="M3806" s="24">
        <f>+Tabla2[[#This Row],[Variación Stock]]*Tabla2[[#This Row],[Coste LÃ­nea]]</f>
        <v>13492.5</v>
      </c>
      <c r="N3806" s="22" t="str">
        <f>+IF(Tabla2[[#This Row],[Variación Stock]]&gt;0,"Sobrante",IF(Tabla2[[#This Row],[Variación Stock]]&lt;0,"Faltante","Sin novedad"))</f>
        <v>Sobrante</v>
      </c>
    </row>
    <row r="3807" spans="1:14" x14ac:dyDescent="0.25">
      <c r="A3807" s="11">
        <v>46053</v>
      </c>
      <c r="B3807" s="5" t="s">
        <v>1078</v>
      </c>
      <c r="C3807" s="3" t="s">
        <v>339</v>
      </c>
      <c r="D3807" s="5" t="s">
        <v>111</v>
      </c>
      <c r="E3807" s="5" t="s">
        <v>112</v>
      </c>
      <c r="F3807" s="6" t="s">
        <v>131</v>
      </c>
      <c r="G3807" s="4" t="s">
        <v>0</v>
      </c>
      <c r="H3807" s="25">
        <v>7147.1666666700003</v>
      </c>
      <c r="I3807" s="8">
        <v>0</v>
      </c>
      <c r="J3807" s="9">
        <v>0</v>
      </c>
      <c r="K3807" s="7">
        <v>0</v>
      </c>
      <c r="L3807" s="24">
        <f>+Tabla2[[#This Row],[Stock Inventario]]*Tabla2[[#This Row],[Coste LÃ­nea]]</f>
        <v>0</v>
      </c>
      <c r="M3807" s="24">
        <f>+Tabla2[[#This Row],[Variación Stock]]*Tabla2[[#This Row],[Coste LÃ­nea]]</f>
        <v>0</v>
      </c>
      <c r="N3807" s="22" t="str">
        <f>+IF(Tabla2[[#This Row],[Variación Stock]]&gt;0,"Sobrante",IF(Tabla2[[#This Row],[Variación Stock]]&lt;0,"Faltante","Sin novedad"))</f>
        <v>Sin novedad</v>
      </c>
    </row>
    <row r="3808" spans="1:14" x14ac:dyDescent="0.25">
      <c r="A3808" s="11">
        <v>46053</v>
      </c>
      <c r="B3808" s="5" t="s">
        <v>1078</v>
      </c>
      <c r="C3808" s="3" t="s">
        <v>339</v>
      </c>
      <c r="D3808" s="5" t="s">
        <v>111</v>
      </c>
      <c r="E3808" s="5" t="s">
        <v>112</v>
      </c>
      <c r="F3808" s="6" t="s">
        <v>138</v>
      </c>
      <c r="G3808" s="4" t="s">
        <v>0</v>
      </c>
      <c r="H3808" s="25">
        <v>4504.1666666700003</v>
      </c>
      <c r="I3808" s="8">
        <v>0</v>
      </c>
      <c r="J3808" s="9">
        <v>0</v>
      </c>
      <c r="K3808" s="7">
        <v>0</v>
      </c>
      <c r="L3808" s="24">
        <f>+Tabla2[[#This Row],[Stock Inventario]]*Tabla2[[#This Row],[Coste LÃ­nea]]</f>
        <v>0</v>
      </c>
      <c r="M3808" s="24">
        <f>+Tabla2[[#This Row],[Variación Stock]]*Tabla2[[#This Row],[Coste LÃ­nea]]</f>
        <v>0</v>
      </c>
      <c r="N3808" s="22" t="str">
        <f>+IF(Tabla2[[#This Row],[Variación Stock]]&gt;0,"Sobrante",IF(Tabla2[[#This Row],[Variación Stock]]&lt;0,"Faltante","Sin novedad"))</f>
        <v>Sin novedad</v>
      </c>
    </row>
    <row r="3809" spans="1:14" x14ac:dyDescent="0.25">
      <c r="A3809" s="11">
        <v>46053</v>
      </c>
      <c r="B3809" s="5" t="s">
        <v>1078</v>
      </c>
      <c r="C3809" s="3" t="s">
        <v>339</v>
      </c>
      <c r="D3809" s="5" t="s">
        <v>111</v>
      </c>
      <c r="E3809" s="5" t="s">
        <v>112</v>
      </c>
      <c r="F3809" s="6" t="s">
        <v>20</v>
      </c>
      <c r="G3809" s="4" t="s">
        <v>0</v>
      </c>
      <c r="H3809" s="25">
        <v>7461.7272727299996</v>
      </c>
      <c r="I3809" s="8">
        <v>22</v>
      </c>
      <c r="J3809" s="9">
        <v>30.66</v>
      </c>
      <c r="K3809" s="7">
        <v>8.66</v>
      </c>
      <c r="L3809" s="24">
        <f>+Tabla2[[#This Row],[Stock Inventario]]*Tabla2[[#This Row],[Coste LÃ­nea]]</f>
        <v>228776.55818190178</v>
      </c>
      <c r="M3809" s="24">
        <f>+Tabla2[[#This Row],[Variación Stock]]*Tabla2[[#This Row],[Coste LÃ­nea]]</f>
        <v>64618.5581818418</v>
      </c>
      <c r="N3809" s="22" t="str">
        <f>+IF(Tabla2[[#This Row],[Variación Stock]]&gt;0,"Sobrante",IF(Tabla2[[#This Row],[Variación Stock]]&lt;0,"Faltante","Sin novedad"))</f>
        <v>Sobrante</v>
      </c>
    </row>
    <row r="3810" spans="1:14" hidden="1" x14ac:dyDescent="0.25">
      <c r="A3810" s="11">
        <v>46053</v>
      </c>
      <c r="B3810" s="5" t="s">
        <v>1078</v>
      </c>
      <c r="C3810" s="3" t="s">
        <v>339</v>
      </c>
      <c r="D3810" s="5" t="s">
        <v>396</v>
      </c>
      <c r="E3810" s="5" t="s">
        <v>117</v>
      </c>
      <c r="F3810" s="6" t="s">
        <v>397</v>
      </c>
      <c r="G3810" s="4" t="s">
        <v>1</v>
      </c>
      <c r="H3810" s="25">
        <v>150</v>
      </c>
      <c r="I3810" s="8">
        <v>0</v>
      </c>
      <c r="J3810" s="9">
        <v>0</v>
      </c>
      <c r="K3810" s="7">
        <v>0</v>
      </c>
      <c r="L3810" s="24">
        <f>+Tabla2[[#This Row],[Stock Inventario]]*Tabla2[[#This Row],[Coste LÃ­nea]]</f>
        <v>0</v>
      </c>
      <c r="M3810" s="24">
        <f>+Tabla2[[#This Row],[Variación Stock]]*Tabla2[[#This Row],[Coste LÃ­nea]]</f>
        <v>0</v>
      </c>
      <c r="N3810" s="22" t="str">
        <f>+IF(Tabla2[[#This Row],[Variación Stock]]&gt;0,"Sobrante",IF(Tabla2[[#This Row],[Variación Stock]]&lt;0,"Faltante","Sin novedad"))</f>
        <v>Sin novedad</v>
      </c>
    </row>
    <row r="3811" spans="1:14" x14ac:dyDescent="0.25">
      <c r="A3811" s="11">
        <v>46053</v>
      </c>
      <c r="B3811" s="5" t="s">
        <v>1078</v>
      </c>
      <c r="C3811" s="3" t="s">
        <v>339</v>
      </c>
      <c r="D3811" s="5" t="s">
        <v>603</v>
      </c>
      <c r="E3811" s="5" t="s">
        <v>112</v>
      </c>
      <c r="F3811" s="6" t="s">
        <v>612</v>
      </c>
      <c r="G3811" s="4" t="s">
        <v>1</v>
      </c>
      <c r="H3811" s="25">
        <v>49.252538629999997</v>
      </c>
      <c r="I3811" s="8">
        <v>4663</v>
      </c>
      <c r="J3811" s="9">
        <v>870</v>
      </c>
      <c r="K3811" s="7">
        <v>-3793</v>
      </c>
      <c r="L3811" s="24">
        <f>+Tabla2[[#This Row],[Stock Inventario]]*Tabla2[[#This Row],[Coste LÃ­nea]]</f>
        <v>42849.708608099994</v>
      </c>
      <c r="M3811" s="24">
        <f>+Tabla2[[#This Row],[Variación Stock]]*Tabla2[[#This Row],[Coste LÃ­nea]]</f>
        <v>-186814.87902358998</v>
      </c>
      <c r="N3811" s="22" t="str">
        <f>+IF(Tabla2[[#This Row],[Variación Stock]]&gt;0,"Sobrante",IF(Tabla2[[#This Row],[Variación Stock]]&lt;0,"Faltante","Sin novedad"))</f>
        <v>Faltante</v>
      </c>
    </row>
    <row r="3812" spans="1:14" hidden="1" x14ac:dyDescent="0.25">
      <c r="A3812" s="11">
        <v>46053</v>
      </c>
      <c r="B3812" s="5" t="s">
        <v>1078</v>
      </c>
      <c r="C3812" s="3" t="s">
        <v>339</v>
      </c>
      <c r="D3812" s="5" t="s">
        <v>547</v>
      </c>
      <c r="E3812" s="5" t="s">
        <v>117</v>
      </c>
      <c r="F3812" s="6" t="s">
        <v>558</v>
      </c>
      <c r="G3812" s="4" t="s">
        <v>1</v>
      </c>
      <c r="H3812" s="25">
        <v>8.2562499999999996</v>
      </c>
      <c r="I3812" s="8">
        <v>-280</v>
      </c>
      <c r="J3812" s="9">
        <v>2000</v>
      </c>
      <c r="K3812" s="7">
        <v>2280</v>
      </c>
      <c r="L3812" s="24">
        <f>+Tabla2[[#This Row],[Stock Inventario]]*Tabla2[[#This Row],[Coste LÃ­nea]]</f>
        <v>16512.5</v>
      </c>
      <c r="M3812" s="24">
        <f>+Tabla2[[#This Row],[Variación Stock]]*Tabla2[[#This Row],[Coste LÃ­nea]]</f>
        <v>18824.25</v>
      </c>
      <c r="N3812" s="22" t="str">
        <f>+IF(Tabla2[[#This Row],[Variación Stock]]&gt;0,"Sobrante",IF(Tabla2[[#This Row],[Variación Stock]]&lt;0,"Faltante","Sin novedad"))</f>
        <v>Sobrante</v>
      </c>
    </row>
    <row r="3813" spans="1:14" x14ac:dyDescent="0.25">
      <c r="A3813" s="11">
        <v>46053</v>
      </c>
      <c r="B3813" s="5" t="s">
        <v>1078</v>
      </c>
      <c r="C3813" s="3" t="s">
        <v>339</v>
      </c>
      <c r="D3813" s="5" t="s">
        <v>603</v>
      </c>
      <c r="E3813" s="5" t="s">
        <v>112</v>
      </c>
      <c r="F3813" s="6" t="s">
        <v>605</v>
      </c>
      <c r="G3813" s="4" t="s">
        <v>2</v>
      </c>
      <c r="H3813" s="25">
        <v>1222.2222222222222</v>
      </c>
      <c r="I3813" s="8">
        <v>-26</v>
      </c>
      <c r="J3813" s="9">
        <v>1</v>
      </c>
      <c r="K3813" s="7">
        <v>27</v>
      </c>
      <c r="L3813" s="24">
        <f>+Tabla2[[#This Row],[Stock Inventario]]*Tabla2[[#This Row],[Coste LÃ­nea]]</f>
        <v>1222.2222222222222</v>
      </c>
      <c r="M3813" s="24">
        <f>+Tabla2[[#This Row],[Variación Stock]]*Tabla2[[#This Row],[Coste LÃ­nea]]</f>
        <v>33000</v>
      </c>
      <c r="N3813" s="22" t="str">
        <f>+IF(Tabla2[[#This Row],[Variación Stock]]&gt;0,"Sobrante",IF(Tabla2[[#This Row],[Variación Stock]]&lt;0,"Faltante","Sin novedad"))</f>
        <v>Sobrante</v>
      </c>
    </row>
    <row r="3814" spans="1:14" hidden="1" x14ac:dyDescent="0.25">
      <c r="A3814" s="11">
        <v>46053</v>
      </c>
      <c r="B3814" s="5" t="s">
        <v>1078</v>
      </c>
      <c r="C3814" s="3" t="s">
        <v>339</v>
      </c>
      <c r="D3814" s="5" t="s">
        <v>119</v>
      </c>
      <c r="E3814" s="5" t="s">
        <v>117</v>
      </c>
      <c r="F3814" s="6" t="s">
        <v>9</v>
      </c>
      <c r="G3814" s="4" t="s">
        <v>2</v>
      </c>
      <c r="H3814" s="25">
        <v>514.28571428999999</v>
      </c>
      <c r="I3814" s="8">
        <v>1088</v>
      </c>
      <c r="J3814" s="9">
        <v>979</v>
      </c>
      <c r="K3814" s="7">
        <v>-109</v>
      </c>
      <c r="L3814" s="24">
        <f>+Tabla2[[#This Row],[Stock Inventario]]*Tabla2[[#This Row],[Coste LÃ­nea]]</f>
        <v>503485.71428990999</v>
      </c>
      <c r="M3814" s="24">
        <f>+Tabla2[[#This Row],[Variación Stock]]*Tabla2[[#This Row],[Coste LÃ­nea]]</f>
        <v>-56057.142857610001</v>
      </c>
      <c r="N3814" s="22" t="str">
        <f>+IF(Tabla2[[#This Row],[Variación Stock]]&gt;0,"Sobrante",IF(Tabla2[[#This Row],[Variación Stock]]&lt;0,"Faltante","Sin novedad"))</f>
        <v>Faltante</v>
      </c>
    </row>
    <row r="3815" spans="1:14" hidden="1" x14ac:dyDescent="0.25">
      <c r="A3815" s="11">
        <v>46053</v>
      </c>
      <c r="B3815" s="5" t="s">
        <v>1078</v>
      </c>
      <c r="C3815" s="3" t="s">
        <v>339</v>
      </c>
      <c r="D3815" s="5" t="s">
        <v>471</v>
      </c>
      <c r="E3815" s="5" t="s">
        <v>117</v>
      </c>
      <c r="F3815" s="6" t="s">
        <v>488</v>
      </c>
      <c r="G3815" s="4" t="s">
        <v>1</v>
      </c>
      <c r="H3815" s="25">
        <v>6.5</v>
      </c>
      <c r="I3815" s="8">
        <v>-5649.2217000000001</v>
      </c>
      <c r="J3815" s="9">
        <v>3206</v>
      </c>
      <c r="K3815" s="7">
        <v>8855.2217469999996</v>
      </c>
      <c r="L3815" s="24">
        <f>+Tabla2[[#This Row],[Stock Inventario]]*Tabla2[[#This Row],[Coste LÃ­nea]]</f>
        <v>20839</v>
      </c>
      <c r="M3815" s="24">
        <f>+Tabla2[[#This Row],[Variación Stock]]*Tabla2[[#This Row],[Coste LÃ­nea]]</f>
        <v>57558.941355499999</v>
      </c>
      <c r="N3815" s="22" t="str">
        <f>+IF(Tabla2[[#This Row],[Variación Stock]]&gt;0,"Sobrante",IF(Tabla2[[#This Row],[Variación Stock]]&lt;0,"Faltante","Sin novedad"))</f>
        <v>Sobrante</v>
      </c>
    </row>
    <row r="3816" spans="1:14" x14ac:dyDescent="0.25">
      <c r="A3816" s="11">
        <v>46053</v>
      </c>
      <c r="B3816" s="5" t="s">
        <v>1078</v>
      </c>
      <c r="C3816" s="3" t="s">
        <v>339</v>
      </c>
      <c r="D3816" s="5" t="s">
        <v>111</v>
      </c>
      <c r="E3816" s="5" t="s">
        <v>112</v>
      </c>
      <c r="F3816" s="6" t="s">
        <v>37</v>
      </c>
      <c r="G3816" s="4" t="s">
        <v>0</v>
      </c>
      <c r="H3816" s="25">
        <v>4318.125</v>
      </c>
      <c r="I3816" s="8">
        <v>7</v>
      </c>
      <c r="J3816" s="9">
        <v>7</v>
      </c>
      <c r="K3816" s="7">
        <v>0</v>
      </c>
      <c r="L3816" s="24">
        <f>+Tabla2[[#This Row],[Stock Inventario]]*Tabla2[[#This Row],[Coste LÃ­nea]]</f>
        <v>30226.875</v>
      </c>
      <c r="M3816" s="24">
        <f>+Tabla2[[#This Row],[Variación Stock]]*Tabla2[[#This Row],[Coste LÃ­nea]]</f>
        <v>0</v>
      </c>
      <c r="N3816" s="22" t="str">
        <f>+IF(Tabla2[[#This Row],[Variación Stock]]&gt;0,"Sobrante",IF(Tabla2[[#This Row],[Variación Stock]]&lt;0,"Faltante","Sin novedad"))</f>
        <v>Sin novedad</v>
      </c>
    </row>
    <row r="3817" spans="1:14" x14ac:dyDescent="0.25">
      <c r="A3817" s="11">
        <v>46053</v>
      </c>
      <c r="B3817" s="5" t="s">
        <v>1078</v>
      </c>
      <c r="C3817" s="3" t="s">
        <v>339</v>
      </c>
      <c r="D3817" s="5" t="s">
        <v>114</v>
      </c>
      <c r="E3817" s="5" t="s">
        <v>112</v>
      </c>
      <c r="F3817" s="6" t="s">
        <v>233</v>
      </c>
      <c r="G3817" s="4" t="s">
        <v>2</v>
      </c>
      <c r="H3817" s="25">
        <v>1860.01</v>
      </c>
      <c r="I3817" s="8">
        <v>0</v>
      </c>
      <c r="J3817" s="9">
        <v>0</v>
      </c>
      <c r="K3817" s="7">
        <v>0</v>
      </c>
      <c r="L3817" s="24">
        <f>+Tabla2[[#This Row],[Stock Inventario]]*Tabla2[[#This Row],[Coste LÃ­nea]]</f>
        <v>0</v>
      </c>
      <c r="M3817" s="24">
        <f>+Tabla2[[#This Row],[Variación Stock]]*Tabla2[[#This Row],[Coste LÃ­nea]]</f>
        <v>0</v>
      </c>
      <c r="N3817" s="22" t="str">
        <f>+IF(Tabla2[[#This Row],[Variación Stock]]&gt;0,"Sobrante",IF(Tabla2[[#This Row],[Variación Stock]]&lt;0,"Faltante","Sin novedad"))</f>
        <v>Sin novedad</v>
      </c>
    </row>
    <row r="3818" spans="1:14" hidden="1" x14ac:dyDescent="0.25">
      <c r="A3818" s="11">
        <v>46053</v>
      </c>
      <c r="B3818" s="5" t="s">
        <v>1078</v>
      </c>
      <c r="C3818" s="3" t="s">
        <v>339</v>
      </c>
      <c r="D3818" s="5" t="s">
        <v>803</v>
      </c>
      <c r="E3818" s="5" t="s">
        <v>117</v>
      </c>
      <c r="F3818" s="6" t="s">
        <v>811</v>
      </c>
      <c r="G3818" s="4" t="s">
        <v>1</v>
      </c>
      <c r="H3818" s="25">
        <v>247.38325990999999</v>
      </c>
      <c r="I3818" s="8">
        <v>671</v>
      </c>
      <c r="J3818" s="9">
        <v>681</v>
      </c>
      <c r="K3818" s="7">
        <v>10</v>
      </c>
      <c r="L3818" s="24">
        <f>+Tabla2[[#This Row],[Stock Inventario]]*Tabla2[[#This Row],[Coste LÃ­nea]]</f>
        <v>168467.99999871</v>
      </c>
      <c r="M3818" s="24">
        <f>+Tabla2[[#This Row],[Variación Stock]]*Tabla2[[#This Row],[Coste LÃ­nea]]</f>
        <v>2473.8325991000002</v>
      </c>
      <c r="N3818" s="22" t="str">
        <f>+IF(Tabla2[[#This Row],[Variación Stock]]&gt;0,"Sobrante",IF(Tabla2[[#This Row],[Variación Stock]]&lt;0,"Faltante","Sin novedad"))</f>
        <v>Sobrante</v>
      </c>
    </row>
    <row r="3819" spans="1:14" hidden="1" x14ac:dyDescent="0.25">
      <c r="A3819" s="11">
        <v>46053</v>
      </c>
      <c r="B3819" s="5" t="s">
        <v>1078</v>
      </c>
      <c r="C3819" s="3" t="s">
        <v>339</v>
      </c>
      <c r="D3819" s="5" t="s">
        <v>396</v>
      </c>
      <c r="E3819" s="5" t="s">
        <v>117</v>
      </c>
      <c r="F3819" s="6" t="s">
        <v>433</v>
      </c>
      <c r="G3819" s="4" t="s">
        <v>1</v>
      </c>
      <c r="H3819" s="25">
        <v>57.990152889999997</v>
      </c>
      <c r="I3819" s="8">
        <v>-70</v>
      </c>
      <c r="J3819" s="9">
        <v>0</v>
      </c>
      <c r="K3819" s="7">
        <v>70</v>
      </c>
      <c r="L3819" s="24">
        <f>+Tabla2[[#This Row],[Stock Inventario]]*Tabla2[[#This Row],[Coste LÃ­nea]]</f>
        <v>0</v>
      </c>
      <c r="M3819" s="24">
        <f>+Tabla2[[#This Row],[Variación Stock]]*Tabla2[[#This Row],[Coste LÃ­nea]]</f>
        <v>4059.3107022999998</v>
      </c>
      <c r="N3819" s="22" t="str">
        <f>+IF(Tabla2[[#This Row],[Variación Stock]]&gt;0,"Sobrante",IF(Tabla2[[#This Row],[Variación Stock]]&lt;0,"Faltante","Sin novedad"))</f>
        <v>Sobrante</v>
      </c>
    </row>
    <row r="3820" spans="1:14" hidden="1" x14ac:dyDescent="0.25">
      <c r="A3820" s="11">
        <v>46053</v>
      </c>
      <c r="B3820" s="5" t="s">
        <v>1078</v>
      </c>
      <c r="C3820" s="3" t="s">
        <v>339</v>
      </c>
      <c r="D3820" s="5" t="s">
        <v>803</v>
      </c>
      <c r="E3820" s="5" t="s">
        <v>117</v>
      </c>
      <c r="F3820" s="6" t="s">
        <v>808</v>
      </c>
      <c r="G3820" s="4" t="s">
        <v>1</v>
      </c>
      <c r="H3820" s="25">
        <v>35.85341176</v>
      </c>
      <c r="I3820" s="8">
        <v>0</v>
      </c>
      <c r="J3820" s="9">
        <v>0</v>
      </c>
      <c r="K3820" s="7">
        <v>0</v>
      </c>
      <c r="L3820" s="24">
        <f>+Tabla2[[#This Row],[Stock Inventario]]*Tabla2[[#This Row],[Coste LÃ­nea]]</f>
        <v>0</v>
      </c>
      <c r="M3820" s="24">
        <f>+Tabla2[[#This Row],[Variación Stock]]*Tabla2[[#This Row],[Coste LÃ­nea]]</f>
        <v>0</v>
      </c>
      <c r="N3820" s="22" t="str">
        <f>+IF(Tabla2[[#This Row],[Variación Stock]]&gt;0,"Sobrante",IF(Tabla2[[#This Row],[Variación Stock]]&lt;0,"Faltante","Sin novedad"))</f>
        <v>Sin novedad</v>
      </c>
    </row>
    <row r="3821" spans="1:14" hidden="1" x14ac:dyDescent="0.25">
      <c r="A3821" s="11">
        <v>46053</v>
      </c>
      <c r="B3821" s="5" t="s">
        <v>1078</v>
      </c>
      <c r="C3821" s="3" t="s">
        <v>339</v>
      </c>
      <c r="D3821" s="5" t="s">
        <v>119</v>
      </c>
      <c r="E3821" s="5" t="s">
        <v>117</v>
      </c>
      <c r="F3821" s="6" t="s">
        <v>193</v>
      </c>
      <c r="G3821" s="4" t="s">
        <v>1</v>
      </c>
      <c r="H3821" s="25">
        <v>62.6</v>
      </c>
      <c r="I3821" s="8">
        <v>0</v>
      </c>
      <c r="J3821" s="9">
        <v>0</v>
      </c>
      <c r="K3821" s="7">
        <v>0</v>
      </c>
      <c r="L3821" s="24">
        <f>+Tabla2[[#This Row],[Stock Inventario]]*Tabla2[[#This Row],[Coste LÃ­nea]]</f>
        <v>0</v>
      </c>
      <c r="M3821" s="24">
        <f>+Tabla2[[#This Row],[Variación Stock]]*Tabla2[[#This Row],[Coste LÃ­nea]]</f>
        <v>0</v>
      </c>
      <c r="N3821" s="22" t="str">
        <f>+IF(Tabla2[[#This Row],[Variación Stock]]&gt;0,"Sobrante",IF(Tabla2[[#This Row],[Variación Stock]]&lt;0,"Faltante","Sin novedad"))</f>
        <v>Sin novedad</v>
      </c>
    </row>
    <row r="3822" spans="1:14" hidden="1" x14ac:dyDescent="0.25">
      <c r="A3822" s="11">
        <v>46053</v>
      </c>
      <c r="B3822" s="5" t="s">
        <v>1078</v>
      </c>
      <c r="C3822" s="3" t="s">
        <v>339</v>
      </c>
      <c r="D3822" s="5" t="s">
        <v>116</v>
      </c>
      <c r="E3822" s="5" t="s">
        <v>117</v>
      </c>
      <c r="F3822" s="6" t="s">
        <v>157</v>
      </c>
      <c r="G3822" s="4" t="s">
        <v>1</v>
      </c>
      <c r="H3822" s="25">
        <v>30.99415205</v>
      </c>
      <c r="I3822" s="8">
        <v>0</v>
      </c>
      <c r="J3822" s="9">
        <v>0</v>
      </c>
      <c r="K3822" s="7">
        <v>0</v>
      </c>
      <c r="L3822" s="24">
        <f>+Tabla2[[#This Row],[Stock Inventario]]*Tabla2[[#This Row],[Coste LÃ­nea]]</f>
        <v>0</v>
      </c>
      <c r="M3822" s="24">
        <f>+Tabla2[[#This Row],[Variación Stock]]*Tabla2[[#This Row],[Coste LÃ­nea]]</f>
        <v>0</v>
      </c>
      <c r="N3822" s="22" t="str">
        <f>+IF(Tabla2[[#This Row],[Variación Stock]]&gt;0,"Sobrante",IF(Tabla2[[#This Row],[Variación Stock]]&lt;0,"Faltante","Sin novedad"))</f>
        <v>Sin novedad</v>
      </c>
    </row>
    <row r="3823" spans="1:14" hidden="1" x14ac:dyDescent="0.25">
      <c r="A3823" s="11">
        <v>46053</v>
      </c>
      <c r="B3823" s="5" t="s">
        <v>1078</v>
      </c>
      <c r="C3823" s="3" t="s">
        <v>339</v>
      </c>
      <c r="D3823" s="5" t="s">
        <v>471</v>
      </c>
      <c r="E3823" s="5" t="s">
        <v>117</v>
      </c>
      <c r="F3823" s="6" t="s">
        <v>489</v>
      </c>
      <c r="G3823" s="4" t="s">
        <v>1</v>
      </c>
      <c r="H3823" s="25">
        <v>5</v>
      </c>
      <c r="I3823" s="8">
        <v>-125</v>
      </c>
      <c r="J3823" s="9">
        <v>0</v>
      </c>
      <c r="K3823" s="7">
        <v>125</v>
      </c>
      <c r="L3823" s="24">
        <f>+Tabla2[[#This Row],[Stock Inventario]]*Tabla2[[#This Row],[Coste LÃ­nea]]</f>
        <v>0</v>
      </c>
      <c r="M3823" s="24">
        <f>+Tabla2[[#This Row],[Variación Stock]]*Tabla2[[#This Row],[Coste LÃ­nea]]</f>
        <v>625</v>
      </c>
      <c r="N3823" s="22" t="str">
        <f>+IF(Tabla2[[#This Row],[Variación Stock]]&gt;0,"Sobrante",IF(Tabla2[[#This Row],[Variación Stock]]&lt;0,"Faltante","Sin novedad"))</f>
        <v>Sobrante</v>
      </c>
    </row>
    <row r="3824" spans="1:14" hidden="1" x14ac:dyDescent="0.25">
      <c r="A3824" s="11">
        <v>46053</v>
      </c>
      <c r="B3824" s="5" t="s">
        <v>1078</v>
      </c>
      <c r="C3824" s="3" t="s">
        <v>339</v>
      </c>
      <c r="D3824" s="5" t="s">
        <v>396</v>
      </c>
      <c r="E3824" s="5" t="s">
        <v>117</v>
      </c>
      <c r="F3824" s="6" t="s">
        <v>465</v>
      </c>
      <c r="G3824" s="4" t="s">
        <v>1</v>
      </c>
      <c r="H3824" s="25">
        <v>21.375</v>
      </c>
      <c r="I3824" s="8">
        <v>0</v>
      </c>
      <c r="J3824" s="9">
        <v>0</v>
      </c>
      <c r="K3824" s="7">
        <v>0</v>
      </c>
      <c r="L3824" s="24">
        <f>+Tabla2[[#This Row],[Stock Inventario]]*Tabla2[[#This Row],[Coste LÃ­nea]]</f>
        <v>0</v>
      </c>
      <c r="M3824" s="24">
        <f>+Tabla2[[#This Row],[Variación Stock]]*Tabla2[[#This Row],[Coste LÃ­nea]]</f>
        <v>0</v>
      </c>
      <c r="N3824" s="22" t="str">
        <f>+IF(Tabla2[[#This Row],[Variación Stock]]&gt;0,"Sobrante",IF(Tabla2[[#This Row],[Variación Stock]]&lt;0,"Faltante","Sin novedad"))</f>
        <v>Sin novedad</v>
      </c>
    </row>
    <row r="3825" spans="1:14" hidden="1" x14ac:dyDescent="0.25">
      <c r="A3825" s="11">
        <v>46053</v>
      </c>
      <c r="B3825" s="5" t="s">
        <v>1078</v>
      </c>
      <c r="C3825" s="3" t="s">
        <v>339</v>
      </c>
      <c r="D3825" s="5" t="s">
        <v>471</v>
      </c>
      <c r="E3825" s="5" t="s">
        <v>117</v>
      </c>
      <c r="F3825" s="6" t="s">
        <v>490</v>
      </c>
      <c r="G3825" s="4" t="s">
        <v>1</v>
      </c>
      <c r="H3825" s="25">
        <v>4</v>
      </c>
      <c r="I3825" s="8">
        <v>37710.1325</v>
      </c>
      <c r="J3825" s="9">
        <v>17480</v>
      </c>
      <c r="K3825" s="7">
        <v>-20230.132487999999</v>
      </c>
      <c r="L3825" s="24">
        <f>+Tabla2[[#This Row],[Stock Inventario]]*Tabla2[[#This Row],[Coste LÃ­nea]]</f>
        <v>69920</v>
      </c>
      <c r="M3825" s="24">
        <f>+Tabla2[[#This Row],[Variación Stock]]*Tabla2[[#This Row],[Coste LÃ­nea]]</f>
        <v>-80920.529951999997</v>
      </c>
      <c r="N3825" s="22" t="str">
        <f>+IF(Tabla2[[#This Row],[Variación Stock]]&gt;0,"Sobrante",IF(Tabla2[[#This Row],[Variación Stock]]&lt;0,"Faltante","Sin novedad"))</f>
        <v>Faltante</v>
      </c>
    </row>
    <row r="3826" spans="1:14" hidden="1" x14ac:dyDescent="0.25">
      <c r="A3826" s="11">
        <v>46053</v>
      </c>
      <c r="B3826" s="5" t="s">
        <v>1078</v>
      </c>
      <c r="C3826" s="3" t="s">
        <v>339</v>
      </c>
      <c r="D3826" s="5" t="s">
        <v>471</v>
      </c>
      <c r="E3826" s="5" t="s">
        <v>117</v>
      </c>
      <c r="F3826" s="6" t="s">
        <v>491</v>
      </c>
      <c r="G3826" s="4" t="s">
        <v>1</v>
      </c>
      <c r="H3826" s="25">
        <v>6.5</v>
      </c>
      <c r="I3826" s="8">
        <v>4800</v>
      </c>
      <c r="J3826" s="9">
        <v>0</v>
      </c>
      <c r="K3826" s="7">
        <v>-4800</v>
      </c>
      <c r="L3826" s="24">
        <f>+Tabla2[[#This Row],[Stock Inventario]]*Tabla2[[#This Row],[Coste LÃ­nea]]</f>
        <v>0</v>
      </c>
      <c r="M3826" s="24">
        <f>+Tabla2[[#This Row],[Variación Stock]]*Tabla2[[#This Row],[Coste LÃ­nea]]</f>
        <v>-31200</v>
      </c>
      <c r="N3826" s="22" t="str">
        <f>+IF(Tabla2[[#This Row],[Variación Stock]]&gt;0,"Sobrante",IF(Tabla2[[#This Row],[Variación Stock]]&lt;0,"Faltante","Sin novedad"))</f>
        <v>Faltante</v>
      </c>
    </row>
    <row r="3827" spans="1:14" hidden="1" x14ac:dyDescent="0.25">
      <c r="A3827" s="11">
        <v>46053</v>
      </c>
      <c r="B3827" s="5" t="s">
        <v>1078</v>
      </c>
      <c r="C3827" s="3" t="s">
        <v>339</v>
      </c>
      <c r="D3827" s="5" t="s">
        <v>471</v>
      </c>
      <c r="E3827" s="5" t="s">
        <v>117</v>
      </c>
      <c r="F3827" s="6" t="s">
        <v>492</v>
      </c>
      <c r="G3827" s="4" t="s">
        <v>1</v>
      </c>
      <c r="H3827" s="25">
        <v>5.2</v>
      </c>
      <c r="I3827" s="8">
        <v>15753.809300000001</v>
      </c>
      <c r="J3827" s="9">
        <v>3266</v>
      </c>
      <c r="K3827" s="7">
        <v>-12487.809297</v>
      </c>
      <c r="L3827" s="24">
        <f>+Tabla2[[#This Row],[Stock Inventario]]*Tabla2[[#This Row],[Coste LÃ­nea]]</f>
        <v>16983.2</v>
      </c>
      <c r="M3827" s="24">
        <f>+Tabla2[[#This Row],[Variación Stock]]*Tabla2[[#This Row],[Coste LÃ­nea]]</f>
        <v>-64936.608344400003</v>
      </c>
      <c r="N3827" s="22" t="str">
        <f>+IF(Tabla2[[#This Row],[Variación Stock]]&gt;0,"Sobrante",IF(Tabla2[[#This Row],[Variación Stock]]&lt;0,"Faltante","Sin novedad"))</f>
        <v>Faltante</v>
      </c>
    </row>
    <row r="3828" spans="1:14" hidden="1" x14ac:dyDescent="0.25">
      <c r="A3828" s="11">
        <v>46053</v>
      </c>
      <c r="B3828" s="5" t="s">
        <v>1078</v>
      </c>
      <c r="C3828" s="3" t="s">
        <v>339</v>
      </c>
      <c r="D3828" s="5" t="s">
        <v>471</v>
      </c>
      <c r="E3828" s="5" t="s">
        <v>117</v>
      </c>
      <c r="F3828" s="6" t="s">
        <v>493</v>
      </c>
      <c r="G3828" s="4" t="s">
        <v>1</v>
      </c>
      <c r="H3828" s="25">
        <v>16</v>
      </c>
      <c r="I3828" s="8">
        <v>1730</v>
      </c>
      <c r="J3828" s="9">
        <v>90</v>
      </c>
      <c r="K3828" s="7">
        <v>-1640</v>
      </c>
      <c r="L3828" s="24">
        <f>+Tabla2[[#This Row],[Stock Inventario]]*Tabla2[[#This Row],[Coste LÃ­nea]]</f>
        <v>1440</v>
      </c>
      <c r="M3828" s="24">
        <f>+Tabla2[[#This Row],[Variación Stock]]*Tabla2[[#This Row],[Coste LÃ­nea]]</f>
        <v>-26240</v>
      </c>
      <c r="N3828" s="22" t="str">
        <f>+IF(Tabla2[[#This Row],[Variación Stock]]&gt;0,"Sobrante",IF(Tabla2[[#This Row],[Variación Stock]]&lt;0,"Faltante","Sin novedad"))</f>
        <v>Faltante</v>
      </c>
    </row>
    <row r="3829" spans="1:14" hidden="1" x14ac:dyDescent="0.25">
      <c r="A3829" s="11">
        <v>46053</v>
      </c>
      <c r="B3829" s="5" t="s">
        <v>1078</v>
      </c>
      <c r="C3829" s="3" t="s">
        <v>339</v>
      </c>
      <c r="D3829" s="5" t="s">
        <v>818</v>
      </c>
      <c r="E3829" s="5" t="s">
        <v>117</v>
      </c>
      <c r="F3829" s="6" t="s">
        <v>821</v>
      </c>
      <c r="G3829" s="4" t="s">
        <v>1</v>
      </c>
      <c r="H3829" s="25">
        <v>31.81697479</v>
      </c>
      <c r="I3829" s="8">
        <v>885</v>
      </c>
      <c r="J3829" s="9">
        <v>0</v>
      </c>
      <c r="K3829" s="7">
        <v>-885</v>
      </c>
      <c r="L3829" s="24">
        <f>+Tabla2[[#This Row],[Stock Inventario]]*Tabla2[[#This Row],[Coste LÃ­nea]]</f>
        <v>0</v>
      </c>
      <c r="M3829" s="24">
        <f>+Tabla2[[#This Row],[Variación Stock]]*Tabla2[[#This Row],[Coste LÃ­nea]]</f>
        <v>-28158.022689149999</v>
      </c>
      <c r="N3829" s="22" t="str">
        <f>+IF(Tabla2[[#This Row],[Variación Stock]]&gt;0,"Sobrante",IF(Tabla2[[#This Row],[Variación Stock]]&lt;0,"Faltante","Sin novedad"))</f>
        <v>Faltante</v>
      </c>
    </row>
    <row r="3830" spans="1:14" x14ac:dyDescent="0.25">
      <c r="A3830" s="11">
        <v>46053</v>
      </c>
      <c r="B3830" s="5" t="s">
        <v>1078</v>
      </c>
      <c r="C3830" s="3" t="s">
        <v>339</v>
      </c>
      <c r="D3830" s="5" t="s">
        <v>115</v>
      </c>
      <c r="E3830" s="5" t="s">
        <v>112</v>
      </c>
      <c r="F3830" s="6" t="s">
        <v>71</v>
      </c>
      <c r="G3830" s="4" t="s">
        <v>2</v>
      </c>
      <c r="H3830" s="25">
        <v>2335.0666666699999</v>
      </c>
      <c r="I3830" s="8">
        <v>14</v>
      </c>
      <c r="J3830" s="9">
        <v>14</v>
      </c>
      <c r="K3830" s="7">
        <v>0</v>
      </c>
      <c r="L3830" s="24">
        <f>+Tabla2[[#This Row],[Stock Inventario]]*Tabla2[[#This Row],[Coste LÃ­nea]]</f>
        <v>32690.933333379999</v>
      </c>
      <c r="M3830" s="24">
        <f>+Tabla2[[#This Row],[Variación Stock]]*Tabla2[[#This Row],[Coste LÃ­nea]]</f>
        <v>0</v>
      </c>
      <c r="N3830" s="22" t="str">
        <f>+IF(Tabla2[[#This Row],[Variación Stock]]&gt;0,"Sobrante",IF(Tabla2[[#This Row],[Variación Stock]]&lt;0,"Faltante","Sin novedad"))</f>
        <v>Sin novedad</v>
      </c>
    </row>
    <row r="3831" spans="1:14" x14ac:dyDescent="0.25">
      <c r="A3831" s="11">
        <v>46053</v>
      </c>
      <c r="B3831" s="5" t="s">
        <v>1078</v>
      </c>
      <c r="C3831" s="3" t="s">
        <v>339</v>
      </c>
      <c r="D3831" s="5" t="s">
        <v>115</v>
      </c>
      <c r="E3831" s="5" t="s">
        <v>112</v>
      </c>
      <c r="F3831" s="6" t="s">
        <v>72</v>
      </c>
      <c r="G3831" s="4" t="s">
        <v>2</v>
      </c>
      <c r="H3831" s="25">
        <v>2183.46666667</v>
      </c>
      <c r="I3831" s="8">
        <v>24</v>
      </c>
      <c r="J3831" s="9">
        <v>24</v>
      </c>
      <c r="K3831" s="7">
        <v>0</v>
      </c>
      <c r="L3831" s="24">
        <f>+Tabla2[[#This Row],[Stock Inventario]]*Tabla2[[#This Row],[Coste LÃ­nea]]</f>
        <v>52403.200000080004</v>
      </c>
      <c r="M3831" s="24">
        <f>+Tabla2[[#This Row],[Variación Stock]]*Tabla2[[#This Row],[Coste LÃ­nea]]</f>
        <v>0</v>
      </c>
      <c r="N3831" s="22" t="str">
        <f>+IF(Tabla2[[#This Row],[Variación Stock]]&gt;0,"Sobrante",IF(Tabla2[[#This Row],[Variación Stock]]&lt;0,"Faltante","Sin novedad"))</f>
        <v>Sin novedad</v>
      </c>
    </row>
    <row r="3832" spans="1:14" x14ac:dyDescent="0.25">
      <c r="A3832" s="11">
        <v>46053</v>
      </c>
      <c r="B3832" s="5" t="s">
        <v>1078</v>
      </c>
      <c r="C3832" s="3" t="s">
        <v>339</v>
      </c>
      <c r="D3832" s="5" t="s">
        <v>115</v>
      </c>
      <c r="E3832" s="5" t="s">
        <v>112</v>
      </c>
      <c r="F3832" s="6" t="s">
        <v>73</v>
      </c>
      <c r="G3832" s="4" t="s">
        <v>2</v>
      </c>
      <c r="H3832" s="25">
        <v>3348.5729166699998</v>
      </c>
      <c r="I3832" s="8">
        <v>53</v>
      </c>
      <c r="J3832" s="9">
        <v>53</v>
      </c>
      <c r="K3832" s="7">
        <v>0</v>
      </c>
      <c r="L3832" s="24">
        <f>+Tabla2[[#This Row],[Stock Inventario]]*Tabla2[[#This Row],[Coste LÃ­nea]]</f>
        <v>177474.36458351</v>
      </c>
      <c r="M3832" s="24">
        <f>+Tabla2[[#This Row],[Variación Stock]]*Tabla2[[#This Row],[Coste LÃ­nea]]</f>
        <v>0</v>
      </c>
      <c r="N3832" s="22" t="str">
        <f>+IF(Tabla2[[#This Row],[Variación Stock]]&gt;0,"Sobrante",IF(Tabla2[[#This Row],[Variación Stock]]&lt;0,"Faltante","Sin novedad"))</f>
        <v>Sin novedad</v>
      </c>
    </row>
    <row r="3833" spans="1:14" x14ac:dyDescent="0.25">
      <c r="A3833" s="11">
        <v>46053</v>
      </c>
      <c r="B3833" s="5" t="s">
        <v>1078</v>
      </c>
      <c r="C3833" s="3" t="s">
        <v>339</v>
      </c>
      <c r="D3833" s="5" t="s">
        <v>115</v>
      </c>
      <c r="E3833" s="5" t="s">
        <v>112</v>
      </c>
      <c r="F3833" s="6" t="s">
        <v>153</v>
      </c>
      <c r="G3833" s="4" t="s">
        <v>2</v>
      </c>
      <c r="H3833" s="25">
        <v>3200</v>
      </c>
      <c r="I3833" s="8">
        <v>0</v>
      </c>
      <c r="J3833" s="9">
        <v>0</v>
      </c>
      <c r="K3833" s="7">
        <v>0</v>
      </c>
      <c r="L3833" s="24">
        <f>+Tabla2[[#This Row],[Stock Inventario]]*Tabla2[[#This Row],[Coste LÃ­nea]]</f>
        <v>0</v>
      </c>
      <c r="M3833" s="24">
        <f>+Tabla2[[#This Row],[Variación Stock]]*Tabla2[[#This Row],[Coste LÃ­nea]]</f>
        <v>0</v>
      </c>
      <c r="N3833" s="22" t="str">
        <f>+IF(Tabla2[[#This Row],[Variación Stock]]&gt;0,"Sobrante",IF(Tabla2[[#This Row],[Variación Stock]]&lt;0,"Faltante","Sin novedad"))</f>
        <v>Sin novedad</v>
      </c>
    </row>
    <row r="3834" spans="1:14" x14ac:dyDescent="0.25">
      <c r="A3834" s="11">
        <v>46053</v>
      </c>
      <c r="B3834" s="5" t="s">
        <v>1078</v>
      </c>
      <c r="C3834" s="3" t="s">
        <v>339</v>
      </c>
      <c r="D3834" s="5" t="s">
        <v>115</v>
      </c>
      <c r="E3834" s="5" t="s">
        <v>112</v>
      </c>
      <c r="F3834" s="6" t="s">
        <v>77</v>
      </c>
      <c r="G3834" s="4" t="s">
        <v>2</v>
      </c>
      <c r="H3834" s="25">
        <v>2773.5</v>
      </c>
      <c r="I3834" s="8">
        <v>23</v>
      </c>
      <c r="J3834" s="9">
        <v>25</v>
      </c>
      <c r="K3834" s="7">
        <v>2</v>
      </c>
      <c r="L3834" s="24">
        <f>+Tabla2[[#This Row],[Stock Inventario]]*Tabla2[[#This Row],[Coste LÃ­nea]]</f>
        <v>69337.5</v>
      </c>
      <c r="M3834" s="24">
        <f>+Tabla2[[#This Row],[Variación Stock]]*Tabla2[[#This Row],[Coste LÃ­nea]]</f>
        <v>5547</v>
      </c>
      <c r="N3834" s="22" t="str">
        <f>+IF(Tabla2[[#This Row],[Variación Stock]]&gt;0,"Sobrante",IF(Tabla2[[#This Row],[Variación Stock]]&lt;0,"Faltante","Sin novedad"))</f>
        <v>Sobrante</v>
      </c>
    </row>
    <row r="3835" spans="1:14" x14ac:dyDescent="0.25">
      <c r="A3835" s="11">
        <v>46053</v>
      </c>
      <c r="B3835" s="5" t="s">
        <v>1078</v>
      </c>
      <c r="C3835" s="3" t="s">
        <v>339</v>
      </c>
      <c r="D3835" s="5" t="s">
        <v>115</v>
      </c>
      <c r="E3835" s="5" t="s">
        <v>112</v>
      </c>
      <c r="F3835" s="6" t="s">
        <v>74</v>
      </c>
      <c r="G3835" s="4" t="s">
        <v>2</v>
      </c>
      <c r="H3835" s="25">
        <v>3736.0833333300002</v>
      </c>
      <c r="I3835" s="8">
        <v>36</v>
      </c>
      <c r="J3835" s="9">
        <v>36</v>
      </c>
      <c r="K3835" s="7">
        <v>0</v>
      </c>
      <c r="L3835" s="24">
        <f>+Tabla2[[#This Row],[Stock Inventario]]*Tabla2[[#This Row],[Coste LÃ­nea]]</f>
        <v>134498.99999988</v>
      </c>
      <c r="M3835" s="24">
        <f>+Tabla2[[#This Row],[Variación Stock]]*Tabla2[[#This Row],[Coste LÃ­nea]]</f>
        <v>0</v>
      </c>
      <c r="N3835" s="22" t="str">
        <f>+IF(Tabla2[[#This Row],[Variación Stock]]&gt;0,"Sobrante",IF(Tabla2[[#This Row],[Variación Stock]]&lt;0,"Faltante","Sin novedad"))</f>
        <v>Sin novedad</v>
      </c>
    </row>
    <row r="3836" spans="1:14" x14ac:dyDescent="0.25">
      <c r="A3836" s="11">
        <v>46053</v>
      </c>
      <c r="B3836" s="5" t="s">
        <v>1078</v>
      </c>
      <c r="C3836" s="3" t="s">
        <v>339</v>
      </c>
      <c r="D3836" s="5" t="s">
        <v>115</v>
      </c>
      <c r="E3836" s="5" t="s">
        <v>112</v>
      </c>
      <c r="F3836" s="6" t="s">
        <v>291</v>
      </c>
      <c r="G3836" s="4" t="s">
        <v>2</v>
      </c>
      <c r="H3836" s="25">
        <v>4102.8541666700003</v>
      </c>
      <c r="I3836" s="8">
        <v>26</v>
      </c>
      <c r="J3836" s="9">
        <v>25</v>
      </c>
      <c r="K3836" s="7">
        <v>-1</v>
      </c>
      <c r="L3836" s="24">
        <f>+Tabla2[[#This Row],[Stock Inventario]]*Tabla2[[#This Row],[Coste LÃ­nea]]</f>
        <v>102571.35416675001</v>
      </c>
      <c r="M3836" s="24">
        <f>+Tabla2[[#This Row],[Variación Stock]]*Tabla2[[#This Row],[Coste LÃ­nea]]</f>
        <v>-4102.8541666700003</v>
      </c>
      <c r="N3836" s="22" t="str">
        <f>+IF(Tabla2[[#This Row],[Variación Stock]]&gt;0,"Sobrante",IF(Tabla2[[#This Row],[Variación Stock]]&lt;0,"Faltante","Sin novedad"))</f>
        <v>Faltante</v>
      </c>
    </row>
    <row r="3837" spans="1:14" x14ac:dyDescent="0.25">
      <c r="A3837" s="11">
        <v>46053</v>
      </c>
      <c r="B3837" s="5" t="s">
        <v>1078</v>
      </c>
      <c r="C3837" s="3" t="s">
        <v>339</v>
      </c>
      <c r="D3837" s="5" t="s">
        <v>115</v>
      </c>
      <c r="E3837" s="5" t="s">
        <v>112</v>
      </c>
      <c r="F3837" s="6" t="s">
        <v>78</v>
      </c>
      <c r="G3837" s="4" t="s">
        <v>2</v>
      </c>
      <c r="H3837" s="25">
        <v>3261.8333333300002</v>
      </c>
      <c r="I3837" s="8">
        <v>5</v>
      </c>
      <c r="J3837" s="9">
        <v>5</v>
      </c>
      <c r="K3837" s="7">
        <v>0</v>
      </c>
      <c r="L3837" s="24">
        <f>+Tabla2[[#This Row],[Stock Inventario]]*Tabla2[[#This Row],[Coste LÃ­nea]]</f>
        <v>16309.16666665</v>
      </c>
      <c r="M3837" s="24">
        <f>+Tabla2[[#This Row],[Variación Stock]]*Tabla2[[#This Row],[Coste LÃ­nea]]</f>
        <v>0</v>
      </c>
      <c r="N3837" s="22" t="str">
        <f>+IF(Tabla2[[#This Row],[Variación Stock]]&gt;0,"Sobrante",IF(Tabla2[[#This Row],[Variación Stock]]&lt;0,"Faltante","Sin novedad"))</f>
        <v>Sin novedad</v>
      </c>
    </row>
    <row r="3838" spans="1:14" x14ac:dyDescent="0.25">
      <c r="A3838" s="11">
        <v>46053</v>
      </c>
      <c r="B3838" s="5" t="s">
        <v>1078</v>
      </c>
      <c r="C3838" s="3" t="s">
        <v>339</v>
      </c>
      <c r="D3838" s="5" t="s">
        <v>115</v>
      </c>
      <c r="E3838" s="5" t="s">
        <v>112</v>
      </c>
      <c r="F3838" s="6" t="s">
        <v>367</v>
      </c>
      <c r="G3838" s="4" t="s">
        <v>2</v>
      </c>
      <c r="H3838" s="25">
        <v>2298.1333333299999</v>
      </c>
      <c r="I3838" s="8">
        <v>11.01</v>
      </c>
      <c r="J3838" s="9">
        <v>15</v>
      </c>
      <c r="K3838" s="7">
        <v>3.99</v>
      </c>
      <c r="L3838" s="24">
        <f>+Tabla2[[#This Row],[Stock Inventario]]*Tabla2[[#This Row],[Coste LÃ­nea]]</f>
        <v>34471.99999995</v>
      </c>
      <c r="M3838" s="24">
        <f>+Tabla2[[#This Row],[Variación Stock]]*Tabla2[[#This Row],[Coste LÃ­nea]]</f>
        <v>9169.551999986701</v>
      </c>
      <c r="N3838" s="22" t="str">
        <f>+IF(Tabla2[[#This Row],[Variación Stock]]&gt;0,"Sobrante",IF(Tabla2[[#This Row],[Variación Stock]]&lt;0,"Faltante","Sin novedad"))</f>
        <v>Sobrante</v>
      </c>
    </row>
    <row r="3839" spans="1:14" x14ac:dyDescent="0.25">
      <c r="A3839" s="11">
        <v>46053</v>
      </c>
      <c r="B3839" s="5" t="s">
        <v>1078</v>
      </c>
      <c r="C3839" s="3" t="s">
        <v>339</v>
      </c>
      <c r="D3839" s="5" t="s">
        <v>115</v>
      </c>
      <c r="E3839" s="5" t="s">
        <v>112</v>
      </c>
      <c r="F3839" s="6" t="s">
        <v>368</v>
      </c>
      <c r="G3839" s="4" t="s">
        <v>2</v>
      </c>
      <c r="H3839" s="25">
        <v>3099.6666666699998</v>
      </c>
      <c r="I3839" s="8">
        <v>0</v>
      </c>
      <c r="J3839" s="9">
        <v>0</v>
      </c>
      <c r="K3839" s="7">
        <v>0</v>
      </c>
      <c r="L3839" s="24">
        <f>+Tabla2[[#This Row],[Stock Inventario]]*Tabla2[[#This Row],[Coste LÃ­nea]]</f>
        <v>0</v>
      </c>
      <c r="M3839" s="24">
        <f>+Tabla2[[#This Row],[Variación Stock]]*Tabla2[[#This Row],[Coste LÃ­nea]]</f>
        <v>0</v>
      </c>
      <c r="N3839" s="22" t="str">
        <f>+IF(Tabla2[[#This Row],[Variación Stock]]&gt;0,"Sobrante",IF(Tabla2[[#This Row],[Variación Stock]]&lt;0,"Faltante","Sin novedad"))</f>
        <v>Sin novedad</v>
      </c>
    </row>
    <row r="3840" spans="1:14" x14ac:dyDescent="0.25">
      <c r="A3840" s="11">
        <v>46053</v>
      </c>
      <c r="B3840" s="5" t="s">
        <v>1078</v>
      </c>
      <c r="C3840" s="3" t="s">
        <v>339</v>
      </c>
      <c r="D3840" s="5" t="s">
        <v>115</v>
      </c>
      <c r="E3840" s="5" t="s">
        <v>112</v>
      </c>
      <c r="F3840" s="6" t="s">
        <v>76</v>
      </c>
      <c r="G3840" s="4" t="s">
        <v>2</v>
      </c>
      <c r="H3840" s="25">
        <v>3567.44444445</v>
      </c>
      <c r="I3840" s="8">
        <v>76</v>
      </c>
      <c r="J3840" s="9">
        <v>76</v>
      </c>
      <c r="K3840" s="7">
        <v>0</v>
      </c>
      <c r="L3840" s="24">
        <f>+Tabla2[[#This Row],[Stock Inventario]]*Tabla2[[#This Row],[Coste LÃ­nea]]</f>
        <v>271125.77777819999</v>
      </c>
      <c r="M3840" s="24">
        <f>+Tabla2[[#This Row],[Variación Stock]]*Tabla2[[#This Row],[Coste LÃ­nea]]</f>
        <v>0</v>
      </c>
      <c r="N3840" s="22" t="str">
        <f>+IF(Tabla2[[#This Row],[Variación Stock]]&gt;0,"Sobrante",IF(Tabla2[[#This Row],[Variación Stock]]&lt;0,"Faltante","Sin novedad"))</f>
        <v>Sin novedad</v>
      </c>
    </row>
    <row r="3841" spans="1:14" x14ac:dyDescent="0.25">
      <c r="A3841" s="11">
        <v>46053</v>
      </c>
      <c r="B3841" s="5" t="s">
        <v>1078</v>
      </c>
      <c r="C3841" s="3" t="s">
        <v>339</v>
      </c>
      <c r="D3841" s="5" t="s">
        <v>115</v>
      </c>
      <c r="E3841" s="5" t="s">
        <v>112</v>
      </c>
      <c r="F3841" s="6" t="s">
        <v>290</v>
      </c>
      <c r="G3841" s="4" t="s">
        <v>2</v>
      </c>
      <c r="H3841" s="25">
        <v>11200</v>
      </c>
      <c r="I3841" s="8">
        <v>13</v>
      </c>
      <c r="J3841" s="9">
        <v>14</v>
      </c>
      <c r="K3841" s="7">
        <v>1</v>
      </c>
      <c r="L3841" s="24">
        <f>+Tabla2[[#This Row],[Stock Inventario]]*Tabla2[[#This Row],[Coste LÃ­nea]]</f>
        <v>156800</v>
      </c>
      <c r="M3841" s="24">
        <f>+Tabla2[[#This Row],[Variación Stock]]*Tabla2[[#This Row],[Coste LÃ­nea]]</f>
        <v>11200</v>
      </c>
      <c r="N3841" s="22" t="str">
        <f>+IF(Tabla2[[#This Row],[Variación Stock]]&gt;0,"Sobrante",IF(Tabla2[[#This Row],[Variación Stock]]&lt;0,"Faltante","Sin novedad"))</f>
        <v>Sobrante</v>
      </c>
    </row>
    <row r="3842" spans="1:14" hidden="1" x14ac:dyDescent="0.25">
      <c r="A3842" s="11">
        <v>46053</v>
      </c>
      <c r="B3842" s="5" t="s">
        <v>1078</v>
      </c>
      <c r="C3842" s="3" t="s">
        <v>339</v>
      </c>
      <c r="D3842" s="5" t="s">
        <v>471</v>
      </c>
      <c r="E3842" s="5" t="s">
        <v>117</v>
      </c>
      <c r="F3842" s="6" t="s">
        <v>494</v>
      </c>
      <c r="G3842" s="4" t="s">
        <v>1</v>
      </c>
      <c r="H3842" s="25">
        <v>26</v>
      </c>
      <c r="I3842" s="8">
        <v>-600</v>
      </c>
      <c r="J3842" s="9">
        <v>0</v>
      </c>
      <c r="K3842" s="7">
        <v>600</v>
      </c>
      <c r="L3842" s="24">
        <f>+Tabla2[[#This Row],[Stock Inventario]]*Tabla2[[#This Row],[Coste LÃ­nea]]</f>
        <v>0</v>
      </c>
      <c r="M3842" s="24">
        <f>+Tabla2[[#This Row],[Variación Stock]]*Tabla2[[#This Row],[Coste LÃ­nea]]</f>
        <v>15600</v>
      </c>
      <c r="N3842" s="22" t="str">
        <f>+IF(Tabla2[[#This Row],[Variación Stock]]&gt;0,"Sobrante",IF(Tabla2[[#This Row],[Variación Stock]]&lt;0,"Faltante","Sin novedad"))</f>
        <v>Sobrante</v>
      </c>
    </row>
    <row r="3843" spans="1:14" hidden="1" x14ac:dyDescent="0.25">
      <c r="A3843" s="11">
        <v>46053</v>
      </c>
      <c r="B3843" s="5" t="s">
        <v>1078</v>
      </c>
      <c r="C3843" s="3" t="s">
        <v>339</v>
      </c>
      <c r="D3843" s="5" t="s">
        <v>471</v>
      </c>
      <c r="E3843" s="5" t="s">
        <v>117</v>
      </c>
      <c r="F3843" s="6" t="s">
        <v>495</v>
      </c>
      <c r="G3843" s="4" t="s">
        <v>1</v>
      </c>
      <c r="H3843" s="25">
        <v>29</v>
      </c>
      <c r="I3843" s="8">
        <v>12916.667100000001</v>
      </c>
      <c r="J3843" s="9">
        <v>4700</v>
      </c>
      <c r="K3843" s="7">
        <v>-8216.6671310000002</v>
      </c>
      <c r="L3843" s="24">
        <f>+Tabla2[[#This Row],[Stock Inventario]]*Tabla2[[#This Row],[Coste LÃ­nea]]</f>
        <v>136300</v>
      </c>
      <c r="M3843" s="24">
        <f>+Tabla2[[#This Row],[Variación Stock]]*Tabla2[[#This Row],[Coste LÃ­nea]]</f>
        <v>-238283.34679899999</v>
      </c>
      <c r="N3843" s="22" t="str">
        <f>+IF(Tabla2[[#This Row],[Variación Stock]]&gt;0,"Sobrante",IF(Tabla2[[#This Row],[Variación Stock]]&lt;0,"Faltante","Sin novedad"))</f>
        <v>Faltante</v>
      </c>
    </row>
    <row r="3844" spans="1:14" hidden="1" x14ac:dyDescent="0.25">
      <c r="A3844" s="11">
        <v>46053</v>
      </c>
      <c r="B3844" s="5" t="s">
        <v>1078</v>
      </c>
      <c r="C3844" s="3" t="s">
        <v>339</v>
      </c>
      <c r="D3844" s="5" t="s">
        <v>396</v>
      </c>
      <c r="E3844" s="5" t="s">
        <v>117</v>
      </c>
      <c r="F3844" s="6" t="s">
        <v>410</v>
      </c>
      <c r="G3844" s="4" t="s">
        <v>1</v>
      </c>
      <c r="H3844" s="25">
        <v>35.5</v>
      </c>
      <c r="I3844" s="8">
        <v>1220</v>
      </c>
      <c r="J3844" s="9">
        <v>3900</v>
      </c>
      <c r="K3844" s="7">
        <v>2680</v>
      </c>
      <c r="L3844" s="24">
        <f>+Tabla2[[#This Row],[Stock Inventario]]*Tabla2[[#This Row],[Coste LÃ­nea]]</f>
        <v>138450</v>
      </c>
      <c r="M3844" s="24">
        <f>+Tabla2[[#This Row],[Variación Stock]]*Tabla2[[#This Row],[Coste LÃ­nea]]</f>
        <v>95140</v>
      </c>
      <c r="N3844" s="22" t="str">
        <f>+IF(Tabla2[[#This Row],[Variación Stock]]&gt;0,"Sobrante",IF(Tabla2[[#This Row],[Variación Stock]]&lt;0,"Faltante","Sin novedad"))</f>
        <v>Sobrante</v>
      </c>
    </row>
    <row r="3845" spans="1:14" hidden="1" x14ac:dyDescent="0.25">
      <c r="A3845" s="11">
        <v>46053</v>
      </c>
      <c r="B3845" s="5" t="s">
        <v>1078</v>
      </c>
      <c r="C3845" s="3" t="s">
        <v>339</v>
      </c>
      <c r="D3845" s="5" t="s">
        <v>116</v>
      </c>
      <c r="E3845" s="5" t="s">
        <v>117</v>
      </c>
      <c r="F3845" s="6" t="s">
        <v>6</v>
      </c>
      <c r="G3845" s="4" t="s">
        <v>2</v>
      </c>
      <c r="H3845" s="25">
        <v>9663.3333333299997</v>
      </c>
      <c r="I3845" s="8">
        <v>45</v>
      </c>
      <c r="J3845" s="9">
        <v>0</v>
      </c>
      <c r="K3845" s="7">
        <v>-45</v>
      </c>
      <c r="L3845" s="24">
        <f>+Tabla2[[#This Row],[Stock Inventario]]*Tabla2[[#This Row],[Coste LÃ­nea]]</f>
        <v>0</v>
      </c>
      <c r="M3845" s="24">
        <f>+Tabla2[[#This Row],[Variación Stock]]*Tabla2[[#This Row],[Coste LÃ­nea]]</f>
        <v>-434849.99999985</v>
      </c>
      <c r="N3845" s="22" t="str">
        <f>+IF(Tabla2[[#This Row],[Variación Stock]]&gt;0,"Sobrante",IF(Tabla2[[#This Row],[Variación Stock]]&lt;0,"Faltante","Sin novedad"))</f>
        <v>Faltante</v>
      </c>
    </row>
    <row r="3846" spans="1:14" hidden="1" x14ac:dyDescent="0.25">
      <c r="A3846" s="11">
        <v>46053</v>
      </c>
      <c r="B3846" s="5" t="s">
        <v>1078</v>
      </c>
      <c r="C3846" s="3" t="s">
        <v>339</v>
      </c>
      <c r="D3846" s="5" t="s">
        <v>116</v>
      </c>
      <c r="E3846" s="5" t="s">
        <v>117</v>
      </c>
      <c r="F3846" s="6" t="s">
        <v>546</v>
      </c>
      <c r="G3846" s="4" t="s">
        <v>1</v>
      </c>
      <c r="H3846" s="25">
        <v>28</v>
      </c>
      <c r="I3846" s="8">
        <v>0</v>
      </c>
      <c r="J3846" s="9">
        <v>45</v>
      </c>
      <c r="K3846" s="7">
        <v>45</v>
      </c>
      <c r="L3846" s="24">
        <f>+Tabla2[[#This Row],[Stock Inventario]]*Tabla2[[#This Row],[Coste LÃ­nea]]</f>
        <v>1260</v>
      </c>
      <c r="M3846" s="24">
        <f>+Tabla2[[#This Row],[Variación Stock]]*Tabla2[[#This Row],[Coste LÃ­nea]]</f>
        <v>1260</v>
      </c>
      <c r="N3846" s="22" t="str">
        <f>+IF(Tabla2[[#This Row],[Variación Stock]]&gt;0,"Sobrante",IF(Tabla2[[#This Row],[Variación Stock]]&lt;0,"Faltante","Sin novedad"))</f>
        <v>Sobrante</v>
      </c>
    </row>
    <row r="3847" spans="1:14" x14ac:dyDescent="0.25">
      <c r="A3847" s="11">
        <v>46053</v>
      </c>
      <c r="B3847" s="5" t="s">
        <v>1078</v>
      </c>
      <c r="C3847" s="3" t="s">
        <v>339</v>
      </c>
      <c r="D3847" s="5" t="s">
        <v>114</v>
      </c>
      <c r="E3847" s="5" t="s">
        <v>112</v>
      </c>
      <c r="F3847" s="6" t="s">
        <v>66</v>
      </c>
      <c r="G3847" s="4" t="s">
        <v>2</v>
      </c>
      <c r="H3847" s="25">
        <v>4986.125</v>
      </c>
      <c r="I3847" s="8">
        <v>61</v>
      </c>
      <c r="J3847" s="9">
        <v>59</v>
      </c>
      <c r="K3847" s="7">
        <v>-2</v>
      </c>
      <c r="L3847" s="24">
        <f>+Tabla2[[#This Row],[Stock Inventario]]*Tabla2[[#This Row],[Coste LÃ­nea]]</f>
        <v>294181.375</v>
      </c>
      <c r="M3847" s="24">
        <f>+Tabla2[[#This Row],[Variación Stock]]*Tabla2[[#This Row],[Coste LÃ­nea]]</f>
        <v>-9972.25</v>
      </c>
      <c r="N3847" s="22" t="str">
        <f>+IF(Tabla2[[#This Row],[Variación Stock]]&gt;0,"Sobrante",IF(Tabla2[[#This Row],[Variación Stock]]&lt;0,"Faltante","Sin novedad"))</f>
        <v>Faltante</v>
      </c>
    </row>
    <row r="3848" spans="1:14" hidden="1" x14ac:dyDescent="0.25">
      <c r="A3848" s="11">
        <v>46053</v>
      </c>
      <c r="B3848" s="5" t="s">
        <v>1078</v>
      </c>
      <c r="C3848" s="3" t="s">
        <v>339</v>
      </c>
      <c r="D3848" s="5" t="s">
        <v>471</v>
      </c>
      <c r="E3848" s="5" t="s">
        <v>117</v>
      </c>
      <c r="F3848" s="6" t="s">
        <v>496</v>
      </c>
      <c r="G3848" s="4" t="s">
        <v>1</v>
      </c>
      <c r="H3848" s="25">
        <v>9</v>
      </c>
      <c r="I3848" s="8">
        <v>16422.000100000001</v>
      </c>
      <c r="J3848" s="9">
        <v>2274</v>
      </c>
      <c r="K3848" s="7">
        <v>-14148.000133400001</v>
      </c>
      <c r="L3848" s="24">
        <f>+Tabla2[[#This Row],[Stock Inventario]]*Tabla2[[#This Row],[Coste LÃ­nea]]</f>
        <v>20466</v>
      </c>
      <c r="M3848" s="24">
        <f>+Tabla2[[#This Row],[Variación Stock]]*Tabla2[[#This Row],[Coste LÃ­nea]]</f>
        <v>-127332.0012006</v>
      </c>
      <c r="N3848" s="22" t="str">
        <f>+IF(Tabla2[[#This Row],[Variación Stock]]&gt;0,"Sobrante",IF(Tabla2[[#This Row],[Variación Stock]]&lt;0,"Faltante","Sin novedad"))</f>
        <v>Faltante</v>
      </c>
    </row>
    <row r="3849" spans="1:14" x14ac:dyDescent="0.25">
      <c r="A3849" s="11">
        <v>46053</v>
      </c>
      <c r="B3849" s="5" t="s">
        <v>1078</v>
      </c>
      <c r="C3849" s="3" t="s">
        <v>339</v>
      </c>
      <c r="D3849" s="5" t="s">
        <v>111</v>
      </c>
      <c r="E3849" s="5" t="s">
        <v>112</v>
      </c>
      <c r="F3849" s="6" t="s">
        <v>38</v>
      </c>
      <c r="G3849" s="4" t="s">
        <v>0</v>
      </c>
      <c r="H3849" s="25">
        <v>2789.3636363599999</v>
      </c>
      <c r="I3849" s="8">
        <v>74</v>
      </c>
      <c r="J3849" s="9">
        <v>81.75</v>
      </c>
      <c r="K3849" s="7">
        <v>7.75</v>
      </c>
      <c r="L3849" s="24">
        <f>+Tabla2[[#This Row],[Stock Inventario]]*Tabla2[[#This Row],[Coste LÃ­nea]]</f>
        <v>228030.47727243</v>
      </c>
      <c r="M3849" s="24">
        <f>+Tabla2[[#This Row],[Variación Stock]]*Tabla2[[#This Row],[Coste LÃ­nea]]</f>
        <v>21617.56818179</v>
      </c>
      <c r="N3849" s="22" t="str">
        <f>+IF(Tabla2[[#This Row],[Variación Stock]]&gt;0,"Sobrante",IF(Tabla2[[#This Row],[Variación Stock]]&lt;0,"Faltante","Sin novedad"))</f>
        <v>Sobrante</v>
      </c>
    </row>
    <row r="3850" spans="1:14" hidden="1" x14ac:dyDescent="0.25">
      <c r="A3850" s="11">
        <v>46053</v>
      </c>
      <c r="B3850" s="5" t="s">
        <v>1078</v>
      </c>
      <c r="C3850" s="3" t="s">
        <v>339</v>
      </c>
      <c r="D3850" s="5" t="s">
        <v>803</v>
      </c>
      <c r="E3850" s="5" t="s">
        <v>117</v>
      </c>
      <c r="F3850" s="6" t="s">
        <v>809</v>
      </c>
      <c r="G3850" s="4" t="s">
        <v>1</v>
      </c>
      <c r="H3850" s="25">
        <v>46.806453779999998</v>
      </c>
      <c r="I3850" s="8">
        <v>250</v>
      </c>
      <c r="J3850" s="9">
        <v>0</v>
      </c>
      <c r="K3850" s="7">
        <v>-250</v>
      </c>
      <c r="L3850" s="24">
        <f>+Tabla2[[#This Row],[Stock Inventario]]*Tabla2[[#This Row],[Coste LÃ­nea]]</f>
        <v>0</v>
      </c>
      <c r="M3850" s="24">
        <f>+Tabla2[[#This Row],[Variación Stock]]*Tabla2[[#This Row],[Coste LÃ­nea]]</f>
        <v>-11701.613444999999</v>
      </c>
      <c r="N3850" s="22" t="str">
        <f>+IF(Tabla2[[#This Row],[Variación Stock]]&gt;0,"Sobrante",IF(Tabla2[[#This Row],[Variación Stock]]&lt;0,"Faltante","Sin novedad"))</f>
        <v>Faltante</v>
      </c>
    </row>
    <row r="3851" spans="1:14" hidden="1" x14ac:dyDescent="0.25">
      <c r="A3851" s="11">
        <v>46053</v>
      </c>
      <c r="B3851" s="5" t="s">
        <v>1078</v>
      </c>
      <c r="C3851" s="3" t="s">
        <v>339</v>
      </c>
      <c r="D3851" s="5" t="s">
        <v>396</v>
      </c>
      <c r="E3851" s="5" t="s">
        <v>117</v>
      </c>
      <c r="F3851" s="6" t="s">
        <v>459</v>
      </c>
      <c r="G3851" s="4" t="s">
        <v>1</v>
      </c>
      <c r="H3851" s="25">
        <v>82.471081679999998</v>
      </c>
      <c r="I3851" s="8">
        <v>-390</v>
      </c>
      <c r="J3851" s="9">
        <v>0</v>
      </c>
      <c r="K3851" s="7">
        <v>390</v>
      </c>
      <c r="L3851" s="24">
        <f>+Tabla2[[#This Row],[Stock Inventario]]*Tabla2[[#This Row],[Coste LÃ­nea]]</f>
        <v>0</v>
      </c>
      <c r="M3851" s="24">
        <f>+Tabla2[[#This Row],[Variación Stock]]*Tabla2[[#This Row],[Coste LÃ­nea]]</f>
        <v>32163.721855199998</v>
      </c>
      <c r="N3851" s="22" t="str">
        <f>+IF(Tabla2[[#This Row],[Variación Stock]]&gt;0,"Sobrante",IF(Tabla2[[#This Row],[Variación Stock]]&lt;0,"Faltante","Sin novedad"))</f>
        <v>Sobrante</v>
      </c>
    </row>
    <row r="3852" spans="1:14" x14ac:dyDescent="0.25">
      <c r="A3852" s="11">
        <v>46053</v>
      </c>
      <c r="B3852" s="5" t="s">
        <v>1078</v>
      </c>
      <c r="C3852" s="3" t="s">
        <v>339</v>
      </c>
      <c r="D3852" s="5" t="s">
        <v>114</v>
      </c>
      <c r="E3852" s="5" t="s">
        <v>112</v>
      </c>
      <c r="F3852" s="6" t="s">
        <v>110</v>
      </c>
      <c r="G3852" s="4" t="s">
        <v>2</v>
      </c>
      <c r="H3852" s="25">
        <v>4126.8333333299997</v>
      </c>
      <c r="I3852" s="8">
        <v>0</v>
      </c>
      <c r="J3852" s="9">
        <v>0</v>
      </c>
      <c r="K3852" s="7">
        <v>0</v>
      </c>
      <c r="L3852" s="24">
        <f>+Tabla2[[#This Row],[Stock Inventario]]*Tabla2[[#This Row],[Coste LÃ­nea]]</f>
        <v>0</v>
      </c>
      <c r="M3852" s="24">
        <f>+Tabla2[[#This Row],[Variación Stock]]*Tabla2[[#This Row],[Coste LÃ­nea]]</f>
        <v>0</v>
      </c>
      <c r="N3852" s="22" t="str">
        <f>+IF(Tabla2[[#This Row],[Variación Stock]]&gt;0,"Sobrante",IF(Tabla2[[#This Row],[Variación Stock]]&lt;0,"Faltante","Sin novedad"))</f>
        <v>Sin novedad</v>
      </c>
    </row>
    <row r="3853" spans="1:14" x14ac:dyDescent="0.25">
      <c r="A3853" s="11">
        <v>46053</v>
      </c>
      <c r="B3853" s="5" t="s">
        <v>1078</v>
      </c>
      <c r="C3853" s="3" t="s">
        <v>339</v>
      </c>
      <c r="D3853" s="5" t="s">
        <v>114</v>
      </c>
      <c r="E3853" s="5" t="s">
        <v>112</v>
      </c>
      <c r="F3853" s="6" t="s">
        <v>60</v>
      </c>
      <c r="G3853" s="4" t="s">
        <v>2</v>
      </c>
      <c r="H3853" s="25">
        <v>1769.5210905399999</v>
      </c>
      <c r="I3853" s="8">
        <v>43</v>
      </c>
      <c r="J3853" s="9">
        <v>42</v>
      </c>
      <c r="K3853" s="7">
        <v>-1</v>
      </c>
      <c r="L3853" s="24">
        <f>+Tabla2[[#This Row],[Stock Inventario]]*Tabla2[[#This Row],[Coste LÃ­nea]]</f>
        <v>74319.885802680001</v>
      </c>
      <c r="M3853" s="24">
        <f>+Tabla2[[#This Row],[Variación Stock]]*Tabla2[[#This Row],[Coste LÃ­nea]]</f>
        <v>-1769.5210905399999</v>
      </c>
      <c r="N3853" s="22" t="str">
        <f>+IF(Tabla2[[#This Row],[Variación Stock]]&gt;0,"Sobrante",IF(Tabla2[[#This Row],[Variación Stock]]&lt;0,"Faltante","Sin novedad"))</f>
        <v>Faltante</v>
      </c>
    </row>
    <row r="3854" spans="1:14" x14ac:dyDescent="0.25">
      <c r="A3854" s="11">
        <v>46053</v>
      </c>
      <c r="B3854" s="5" t="s">
        <v>1078</v>
      </c>
      <c r="C3854" s="3" t="s">
        <v>339</v>
      </c>
      <c r="D3854" s="5" t="s">
        <v>114</v>
      </c>
      <c r="E3854" s="5" t="s">
        <v>112</v>
      </c>
      <c r="F3854" s="6" t="s">
        <v>61</v>
      </c>
      <c r="G3854" s="4" t="s">
        <v>2</v>
      </c>
      <c r="H3854" s="25">
        <v>2119.6875</v>
      </c>
      <c r="I3854" s="8">
        <v>27</v>
      </c>
      <c r="J3854" s="9">
        <v>27</v>
      </c>
      <c r="K3854" s="7">
        <v>0</v>
      </c>
      <c r="L3854" s="24">
        <f>+Tabla2[[#This Row],[Stock Inventario]]*Tabla2[[#This Row],[Coste LÃ­nea]]</f>
        <v>57231.5625</v>
      </c>
      <c r="M3854" s="24">
        <f>+Tabla2[[#This Row],[Variación Stock]]*Tabla2[[#This Row],[Coste LÃ­nea]]</f>
        <v>0</v>
      </c>
      <c r="N3854" s="22" t="str">
        <f>+IF(Tabla2[[#This Row],[Variación Stock]]&gt;0,"Sobrante",IF(Tabla2[[#This Row],[Variación Stock]]&lt;0,"Faltante","Sin novedad"))</f>
        <v>Sin novedad</v>
      </c>
    </row>
    <row r="3855" spans="1:14" hidden="1" x14ac:dyDescent="0.25">
      <c r="A3855" s="11">
        <v>46053</v>
      </c>
      <c r="B3855" s="5" t="s">
        <v>1078</v>
      </c>
      <c r="C3855" s="3" t="s">
        <v>339</v>
      </c>
      <c r="D3855" s="5" t="s">
        <v>824</v>
      </c>
      <c r="E3855" s="5" t="s">
        <v>117</v>
      </c>
      <c r="F3855" s="6" t="s">
        <v>826</v>
      </c>
      <c r="G3855" s="4" t="s">
        <v>1</v>
      </c>
      <c r="H3855" s="25">
        <v>41.195</v>
      </c>
      <c r="I3855" s="8">
        <v>-1790</v>
      </c>
      <c r="J3855" s="9">
        <v>3000</v>
      </c>
      <c r="K3855" s="7">
        <v>4790</v>
      </c>
      <c r="L3855" s="24">
        <f>+Tabla2[[#This Row],[Stock Inventario]]*Tabla2[[#This Row],[Coste LÃ­nea]]</f>
        <v>123585</v>
      </c>
      <c r="M3855" s="24">
        <f>+Tabla2[[#This Row],[Variación Stock]]*Tabla2[[#This Row],[Coste LÃ­nea]]</f>
        <v>197324.05</v>
      </c>
      <c r="N3855" s="22" t="str">
        <f>+IF(Tabla2[[#This Row],[Variación Stock]]&gt;0,"Sobrante",IF(Tabla2[[#This Row],[Variación Stock]]&lt;0,"Faltante","Sin novedad"))</f>
        <v>Sobrante</v>
      </c>
    </row>
    <row r="3856" spans="1:14" hidden="1" x14ac:dyDescent="0.25">
      <c r="A3856" s="11">
        <v>46053</v>
      </c>
      <c r="B3856" s="5" t="s">
        <v>1078</v>
      </c>
      <c r="C3856" s="3" t="s">
        <v>339</v>
      </c>
      <c r="D3856" s="5" t="s">
        <v>471</v>
      </c>
      <c r="E3856" s="5" t="s">
        <v>117</v>
      </c>
      <c r="F3856" s="6" t="s">
        <v>497</v>
      </c>
      <c r="G3856" s="4" t="s">
        <v>1</v>
      </c>
      <c r="H3856" s="25">
        <v>8.1999999999999993</v>
      </c>
      <c r="I3856" s="8">
        <v>-1290</v>
      </c>
      <c r="J3856" s="9">
        <v>2396</v>
      </c>
      <c r="K3856" s="7">
        <v>3686</v>
      </c>
      <c r="L3856" s="24">
        <f>+Tabla2[[#This Row],[Stock Inventario]]*Tabla2[[#This Row],[Coste LÃ­nea]]</f>
        <v>19647.199999999997</v>
      </c>
      <c r="M3856" s="24">
        <f>+Tabla2[[#This Row],[Variación Stock]]*Tabla2[[#This Row],[Coste LÃ­nea]]</f>
        <v>30225.199999999997</v>
      </c>
      <c r="N3856" s="22" t="str">
        <f>+IF(Tabla2[[#This Row],[Variación Stock]]&gt;0,"Sobrante",IF(Tabla2[[#This Row],[Variación Stock]]&lt;0,"Faltante","Sin novedad"))</f>
        <v>Sobrante</v>
      </c>
    </row>
    <row r="3857" spans="1:14" x14ac:dyDescent="0.25">
      <c r="A3857" s="11">
        <v>46053</v>
      </c>
      <c r="B3857" s="5" t="s">
        <v>1078</v>
      </c>
      <c r="C3857" s="3" t="s">
        <v>339</v>
      </c>
      <c r="D3857" s="5" t="s">
        <v>114</v>
      </c>
      <c r="E3857" s="5" t="s">
        <v>112</v>
      </c>
      <c r="F3857" s="6" t="s">
        <v>67</v>
      </c>
      <c r="G3857" s="4" t="s">
        <v>2</v>
      </c>
      <c r="H3857" s="25">
        <v>4986.0833333299997</v>
      </c>
      <c r="I3857" s="8">
        <v>64.37</v>
      </c>
      <c r="J3857" s="9">
        <v>59</v>
      </c>
      <c r="K3857" s="7">
        <v>-5.37</v>
      </c>
      <c r="L3857" s="24">
        <f>+Tabla2[[#This Row],[Stock Inventario]]*Tabla2[[#This Row],[Coste LÃ­nea]]</f>
        <v>294178.91666647</v>
      </c>
      <c r="M3857" s="24">
        <f>+Tabla2[[#This Row],[Variación Stock]]*Tabla2[[#This Row],[Coste LÃ­nea]]</f>
        <v>-26775.267499982099</v>
      </c>
      <c r="N3857" s="22" t="str">
        <f>+IF(Tabla2[[#This Row],[Variación Stock]]&gt;0,"Sobrante",IF(Tabla2[[#This Row],[Variación Stock]]&lt;0,"Faltante","Sin novedad"))</f>
        <v>Faltante</v>
      </c>
    </row>
    <row r="3858" spans="1:14" hidden="1" x14ac:dyDescent="0.25">
      <c r="A3858" s="11">
        <v>46053</v>
      </c>
      <c r="B3858" s="5" t="s">
        <v>1078</v>
      </c>
      <c r="C3858" s="3" t="s">
        <v>339</v>
      </c>
      <c r="D3858" s="5" t="s">
        <v>471</v>
      </c>
      <c r="E3858" s="5" t="s">
        <v>117</v>
      </c>
      <c r="F3858" s="6" t="s">
        <v>498</v>
      </c>
      <c r="G3858" s="4" t="s">
        <v>1</v>
      </c>
      <c r="H3858" s="25">
        <v>24</v>
      </c>
      <c r="I3858" s="8">
        <v>8987.6607999999997</v>
      </c>
      <c r="J3858" s="9">
        <v>1000</v>
      </c>
      <c r="K3858" s="7">
        <v>-7987.6607952000004</v>
      </c>
      <c r="L3858" s="24">
        <f>+Tabla2[[#This Row],[Stock Inventario]]*Tabla2[[#This Row],[Coste LÃ­nea]]</f>
        <v>24000</v>
      </c>
      <c r="M3858" s="24">
        <f>+Tabla2[[#This Row],[Variación Stock]]*Tabla2[[#This Row],[Coste LÃ­nea]]</f>
        <v>-191703.8590848</v>
      </c>
      <c r="N3858" s="22" t="str">
        <f>+IF(Tabla2[[#This Row],[Variación Stock]]&gt;0,"Sobrante",IF(Tabla2[[#This Row],[Variación Stock]]&lt;0,"Faltante","Sin novedad"))</f>
        <v>Faltante</v>
      </c>
    </row>
    <row r="3859" spans="1:14" hidden="1" x14ac:dyDescent="0.25">
      <c r="A3859" s="11">
        <v>46053</v>
      </c>
      <c r="B3859" s="5" t="s">
        <v>1078</v>
      </c>
      <c r="C3859" s="3" t="s">
        <v>339</v>
      </c>
      <c r="D3859" s="5" t="s">
        <v>119</v>
      </c>
      <c r="E3859" s="5" t="s">
        <v>117</v>
      </c>
      <c r="F3859" s="6" t="s">
        <v>10</v>
      </c>
      <c r="G3859" s="4" t="s">
        <v>2</v>
      </c>
      <c r="H3859" s="25">
        <v>25875</v>
      </c>
      <c r="I3859" s="8">
        <v>7</v>
      </c>
      <c r="J3859" s="9">
        <v>7</v>
      </c>
      <c r="K3859" s="7">
        <v>0</v>
      </c>
      <c r="L3859" s="24">
        <f>+Tabla2[[#This Row],[Stock Inventario]]*Tabla2[[#This Row],[Coste LÃ­nea]]</f>
        <v>181125</v>
      </c>
      <c r="M3859" s="24">
        <f>+Tabla2[[#This Row],[Variación Stock]]*Tabla2[[#This Row],[Coste LÃ­nea]]</f>
        <v>0</v>
      </c>
      <c r="N3859" s="22" t="str">
        <f>+IF(Tabla2[[#This Row],[Variación Stock]]&gt;0,"Sobrante",IF(Tabla2[[#This Row],[Variación Stock]]&lt;0,"Faltante","Sin novedad"))</f>
        <v>Sin novedad</v>
      </c>
    </row>
    <row r="3860" spans="1:14" hidden="1" x14ac:dyDescent="0.25">
      <c r="A3860" s="11">
        <v>46053</v>
      </c>
      <c r="B3860" s="5" t="s">
        <v>1078</v>
      </c>
      <c r="C3860" s="3" t="s">
        <v>339</v>
      </c>
      <c r="D3860" s="5" t="s">
        <v>396</v>
      </c>
      <c r="E3860" s="5" t="s">
        <v>117</v>
      </c>
      <c r="F3860" s="6" t="s">
        <v>434</v>
      </c>
      <c r="G3860" s="4" t="s">
        <v>1</v>
      </c>
      <c r="H3860" s="25">
        <v>159.88999999999999</v>
      </c>
      <c r="I3860" s="8">
        <v>500</v>
      </c>
      <c r="J3860" s="9">
        <v>0</v>
      </c>
      <c r="K3860" s="7">
        <v>-500</v>
      </c>
      <c r="L3860" s="24">
        <f>+Tabla2[[#This Row],[Stock Inventario]]*Tabla2[[#This Row],[Coste LÃ­nea]]</f>
        <v>0</v>
      </c>
      <c r="M3860" s="24">
        <f>+Tabla2[[#This Row],[Variación Stock]]*Tabla2[[#This Row],[Coste LÃ­nea]]</f>
        <v>-79945</v>
      </c>
      <c r="N3860" s="22" t="str">
        <f>+IF(Tabla2[[#This Row],[Variación Stock]]&gt;0,"Sobrante",IF(Tabla2[[#This Row],[Variación Stock]]&lt;0,"Faltante","Sin novedad"))</f>
        <v>Faltante</v>
      </c>
    </row>
    <row r="3861" spans="1:14" hidden="1" x14ac:dyDescent="0.25">
      <c r="A3861" s="11">
        <v>46053</v>
      </c>
      <c r="B3861" s="5" t="s">
        <v>1078</v>
      </c>
      <c r="C3861" s="3" t="s">
        <v>339</v>
      </c>
      <c r="D3861" s="5" t="s">
        <v>396</v>
      </c>
      <c r="E3861" s="5" t="s">
        <v>117</v>
      </c>
      <c r="F3861" s="6" t="s">
        <v>466</v>
      </c>
      <c r="G3861" s="4" t="s">
        <v>1</v>
      </c>
      <c r="H3861" s="25">
        <v>10.735200000000001</v>
      </c>
      <c r="I3861" s="8">
        <v>0</v>
      </c>
      <c r="J3861" s="9">
        <v>0</v>
      </c>
      <c r="K3861" s="7">
        <v>0</v>
      </c>
      <c r="L3861" s="24">
        <f>+Tabla2[[#This Row],[Stock Inventario]]*Tabla2[[#This Row],[Coste LÃ­nea]]</f>
        <v>0</v>
      </c>
      <c r="M3861" s="24">
        <f>+Tabla2[[#This Row],[Variación Stock]]*Tabla2[[#This Row],[Coste LÃ­nea]]</f>
        <v>0</v>
      </c>
      <c r="N3861" s="22" t="str">
        <f>+IF(Tabla2[[#This Row],[Variación Stock]]&gt;0,"Sobrante",IF(Tabla2[[#This Row],[Variación Stock]]&lt;0,"Faltante","Sin novedad"))</f>
        <v>Sin novedad</v>
      </c>
    </row>
    <row r="3862" spans="1:14" hidden="1" x14ac:dyDescent="0.25">
      <c r="A3862" s="11">
        <v>46053</v>
      </c>
      <c r="B3862" s="5" t="s">
        <v>1078</v>
      </c>
      <c r="C3862" s="3" t="s">
        <v>339</v>
      </c>
      <c r="D3862" s="5" t="s">
        <v>815</v>
      </c>
      <c r="E3862" s="5" t="s">
        <v>117</v>
      </c>
      <c r="F3862" s="6" t="s">
        <v>817</v>
      </c>
      <c r="G3862" s="4" t="s">
        <v>2</v>
      </c>
      <c r="H3862" s="25">
        <v>2500</v>
      </c>
      <c r="I3862" s="8">
        <v>0</v>
      </c>
      <c r="J3862" s="9">
        <v>0</v>
      </c>
      <c r="K3862" s="7">
        <v>0</v>
      </c>
      <c r="L3862" s="24">
        <f>+Tabla2[[#This Row],[Stock Inventario]]*Tabla2[[#This Row],[Coste LÃ­nea]]</f>
        <v>0</v>
      </c>
      <c r="M3862" s="24">
        <f>+Tabla2[[#This Row],[Variación Stock]]*Tabla2[[#This Row],[Coste LÃ­nea]]</f>
        <v>0</v>
      </c>
      <c r="N3862" s="22" t="str">
        <f>+IF(Tabla2[[#This Row],[Variación Stock]]&gt;0,"Sobrante",IF(Tabla2[[#This Row],[Variación Stock]]&lt;0,"Faltante","Sin novedad"))</f>
        <v>Sin novedad</v>
      </c>
    </row>
    <row r="3863" spans="1:14" hidden="1" x14ac:dyDescent="0.25">
      <c r="A3863" s="11">
        <v>46053</v>
      </c>
      <c r="B3863" s="5" t="s">
        <v>1078</v>
      </c>
      <c r="C3863" s="3" t="s">
        <v>339</v>
      </c>
      <c r="D3863" s="5" t="s">
        <v>803</v>
      </c>
      <c r="E3863" s="5" t="s">
        <v>117</v>
      </c>
      <c r="F3863" s="6" t="s">
        <v>813</v>
      </c>
      <c r="G3863" s="4" t="s">
        <v>1</v>
      </c>
      <c r="H3863" s="25">
        <v>68.37</v>
      </c>
      <c r="I3863" s="8">
        <v>2.1831999999999998</v>
      </c>
      <c r="J3863" s="9">
        <v>1070</v>
      </c>
      <c r="K3863" s="7">
        <v>1067.816752</v>
      </c>
      <c r="L3863" s="24">
        <f>+Tabla2[[#This Row],[Stock Inventario]]*Tabla2[[#This Row],[Coste LÃ­nea]]</f>
        <v>73155.900000000009</v>
      </c>
      <c r="M3863" s="24">
        <f>+Tabla2[[#This Row],[Variación Stock]]*Tabla2[[#This Row],[Coste LÃ­nea]]</f>
        <v>73006.631334239995</v>
      </c>
      <c r="N3863" s="22" t="str">
        <f>+IF(Tabla2[[#This Row],[Variación Stock]]&gt;0,"Sobrante",IF(Tabla2[[#This Row],[Variación Stock]]&lt;0,"Faltante","Sin novedad"))</f>
        <v>Sobrante</v>
      </c>
    </row>
    <row r="3864" spans="1:14" hidden="1" x14ac:dyDescent="0.25">
      <c r="A3864" s="11">
        <v>46053</v>
      </c>
      <c r="B3864" s="5" t="s">
        <v>1078</v>
      </c>
      <c r="C3864" s="3" t="s">
        <v>339</v>
      </c>
      <c r="D3864" s="5" t="s">
        <v>559</v>
      </c>
      <c r="E3864" s="5" t="s">
        <v>1080</v>
      </c>
      <c r="F3864" s="6" t="s">
        <v>576</v>
      </c>
      <c r="G3864" s="4" t="s">
        <v>2</v>
      </c>
      <c r="H3864" s="25">
        <v>1388.73</v>
      </c>
      <c r="I3864" s="8">
        <v>0</v>
      </c>
      <c r="J3864" s="9">
        <v>0</v>
      </c>
      <c r="K3864" s="7">
        <v>0</v>
      </c>
      <c r="L3864" s="24">
        <f>+Tabla2[[#This Row],[Stock Inventario]]*Tabla2[[#This Row],[Coste LÃ­nea]]</f>
        <v>0</v>
      </c>
      <c r="M3864" s="24">
        <f>+Tabla2[[#This Row],[Variación Stock]]*Tabla2[[#This Row],[Coste LÃ­nea]]</f>
        <v>0</v>
      </c>
      <c r="N3864" s="22" t="str">
        <f>+IF(Tabla2[[#This Row],[Variación Stock]]&gt;0,"Sobrante",IF(Tabla2[[#This Row],[Variación Stock]]&lt;0,"Faltante","Sin novedad"))</f>
        <v>Sin novedad</v>
      </c>
    </row>
    <row r="3865" spans="1:14" hidden="1" x14ac:dyDescent="0.25">
      <c r="A3865" s="11">
        <v>46053</v>
      </c>
      <c r="B3865" s="5" t="s">
        <v>1078</v>
      </c>
      <c r="C3865" s="3" t="s">
        <v>339</v>
      </c>
      <c r="D3865" s="5" t="s">
        <v>116</v>
      </c>
      <c r="E3865" s="5" t="s">
        <v>117</v>
      </c>
      <c r="F3865" s="6" t="s">
        <v>253</v>
      </c>
      <c r="G3865" s="4" t="s">
        <v>1</v>
      </c>
      <c r="H3865" s="25">
        <v>26.941605840000001</v>
      </c>
      <c r="I3865" s="8">
        <v>0</v>
      </c>
      <c r="J3865" s="9">
        <v>0</v>
      </c>
      <c r="K3865" s="7">
        <v>0</v>
      </c>
      <c r="L3865" s="24">
        <f>+Tabla2[[#This Row],[Stock Inventario]]*Tabla2[[#This Row],[Coste LÃ­nea]]</f>
        <v>0</v>
      </c>
      <c r="M3865" s="24">
        <f>+Tabla2[[#This Row],[Variación Stock]]*Tabla2[[#This Row],[Coste LÃ­nea]]</f>
        <v>0</v>
      </c>
      <c r="N3865" s="22" t="str">
        <f>+IF(Tabla2[[#This Row],[Variación Stock]]&gt;0,"Sobrante",IF(Tabla2[[#This Row],[Variación Stock]]&lt;0,"Faltante","Sin novedad"))</f>
        <v>Sin novedad</v>
      </c>
    </row>
    <row r="3866" spans="1:14" hidden="1" x14ac:dyDescent="0.25">
      <c r="A3866" s="11">
        <v>46053</v>
      </c>
      <c r="B3866" s="5" t="s">
        <v>1078</v>
      </c>
      <c r="C3866" s="3" t="s">
        <v>339</v>
      </c>
      <c r="D3866" s="5" t="s">
        <v>396</v>
      </c>
      <c r="E3866" s="5" t="s">
        <v>117</v>
      </c>
      <c r="F3866" s="6" t="s">
        <v>435</v>
      </c>
      <c r="G3866" s="4" t="s">
        <v>1</v>
      </c>
      <c r="H3866" s="25">
        <v>83.553333330000001</v>
      </c>
      <c r="I3866" s="8">
        <v>2595</v>
      </c>
      <c r="J3866" s="9">
        <v>720</v>
      </c>
      <c r="K3866" s="7">
        <v>-1875</v>
      </c>
      <c r="L3866" s="24">
        <f>+Tabla2[[#This Row],[Stock Inventario]]*Tabla2[[#This Row],[Coste LÃ­nea]]</f>
        <v>60158.399997599998</v>
      </c>
      <c r="M3866" s="24">
        <f>+Tabla2[[#This Row],[Variación Stock]]*Tabla2[[#This Row],[Coste LÃ­nea]]</f>
        <v>-156662.49999375001</v>
      </c>
      <c r="N3866" s="22" t="str">
        <f>+IF(Tabla2[[#This Row],[Variación Stock]]&gt;0,"Sobrante",IF(Tabla2[[#This Row],[Variación Stock]]&lt;0,"Faltante","Sin novedad"))</f>
        <v>Faltante</v>
      </c>
    </row>
    <row r="3867" spans="1:14" hidden="1" x14ac:dyDescent="0.25">
      <c r="A3867" s="11">
        <v>46053</v>
      </c>
      <c r="B3867" s="5" t="s">
        <v>1078</v>
      </c>
      <c r="C3867" s="3" t="s">
        <v>339</v>
      </c>
      <c r="D3867" s="5" t="s">
        <v>547</v>
      </c>
      <c r="E3867" s="5" t="s">
        <v>117</v>
      </c>
      <c r="F3867" s="6" t="s">
        <v>548</v>
      </c>
      <c r="G3867" s="4" t="s">
        <v>1</v>
      </c>
      <c r="H3867" s="25">
        <v>21.274999999999999</v>
      </c>
      <c r="I3867" s="8">
        <v>0</v>
      </c>
      <c r="J3867" s="9">
        <v>0</v>
      </c>
      <c r="K3867" s="7">
        <v>0</v>
      </c>
      <c r="L3867" s="24">
        <f>+Tabla2[[#This Row],[Stock Inventario]]*Tabla2[[#This Row],[Coste LÃ­nea]]</f>
        <v>0</v>
      </c>
      <c r="M3867" s="24">
        <f>+Tabla2[[#This Row],[Variación Stock]]*Tabla2[[#This Row],[Coste LÃ­nea]]</f>
        <v>0</v>
      </c>
      <c r="N3867" s="22" t="str">
        <f>+IF(Tabla2[[#This Row],[Variación Stock]]&gt;0,"Sobrante",IF(Tabla2[[#This Row],[Variación Stock]]&lt;0,"Faltante","Sin novedad"))</f>
        <v>Sin novedad</v>
      </c>
    </row>
    <row r="3868" spans="1:14" hidden="1" x14ac:dyDescent="0.25">
      <c r="A3868" s="11">
        <v>46053</v>
      </c>
      <c r="B3868" s="5" t="s">
        <v>1078</v>
      </c>
      <c r="C3868" s="3" t="s">
        <v>339</v>
      </c>
      <c r="D3868" s="5" t="s">
        <v>396</v>
      </c>
      <c r="E3868" s="5" t="s">
        <v>117</v>
      </c>
      <c r="F3868" s="6" t="s">
        <v>436</v>
      </c>
      <c r="G3868" s="4" t="s">
        <v>1</v>
      </c>
      <c r="H3868" s="25">
        <v>42.05</v>
      </c>
      <c r="I3868" s="8">
        <v>0</v>
      </c>
      <c r="J3868" s="9">
        <v>0</v>
      </c>
      <c r="K3868" s="7">
        <v>0</v>
      </c>
      <c r="L3868" s="24">
        <f>+Tabla2[[#This Row],[Stock Inventario]]*Tabla2[[#This Row],[Coste LÃ­nea]]</f>
        <v>0</v>
      </c>
      <c r="M3868" s="24">
        <f>+Tabla2[[#This Row],[Variación Stock]]*Tabla2[[#This Row],[Coste LÃ­nea]]</f>
        <v>0</v>
      </c>
      <c r="N3868" s="22" t="str">
        <f>+IF(Tabla2[[#This Row],[Variación Stock]]&gt;0,"Sobrante",IF(Tabla2[[#This Row],[Variación Stock]]&lt;0,"Faltante","Sin novedad"))</f>
        <v>Sin novedad</v>
      </c>
    </row>
    <row r="3869" spans="1:14" hidden="1" x14ac:dyDescent="0.25">
      <c r="A3869" s="11">
        <v>46053</v>
      </c>
      <c r="B3869" s="5" t="s">
        <v>1078</v>
      </c>
      <c r="C3869" s="3" t="s">
        <v>339</v>
      </c>
      <c r="D3869" s="5" t="s">
        <v>547</v>
      </c>
      <c r="E3869" s="5" t="s">
        <v>117</v>
      </c>
      <c r="F3869" s="6" t="s">
        <v>553</v>
      </c>
      <c r="G3869" s="4" t="s">
        <v>1</v>
      </c>
      <c r="H3869" s="25">
        <v>17.858762890000001</v>
      </c>
      <c r="I3869" s="8">
        <v>16230</v>
      </c>
      <c r="J3869" s="9">
        <v>19500</v>
      </c>
      <c r="K3869" s="7">
        <v>3270</v>
      </c>
      <c r="L3869" s="24">
        <f>+Tabla2[[#This Row],[Stock Inventario]]*Tabla2[[#This Row],[Coste LÃ­nea]]</f>
        <v>348245.87635500001</v>
      </c>
      <c r="M3869" s="24">
        <f>+Tabla2[[#This Row],[Variación Stock]]*Tabla2[[#This Row],[Coste LÃ­nea]]</f>
        <v>58398.154650300006</v>
      </c>
      <c r="N3869" s="22" t="str">
        <f>+IF(Tabla2[[#This Row],[Variación Stock]]&gt;0,"Sobrante",IF(Tabla2[[#This Row],[Variación Stock]]&lt;0,"Faltante","Sin novedad"))</f>
        <v>Sobrante</v>
      </c>
    </row>
    <row r="3870" spans="1:14" hidden="1" x14ac:dyDescent="0.25">
      <c r="A3870" s="11">
        <v>46053</v>
      </c>
      <c r="B3870" s="5" t="s">
        <v>1078</v>
      </c>
      <c r="C3870" s="3" t="s">
        <v>339</v>
      </c>
      <c r="D3870" s="5" t="s">
        <v>547</v>
      </c>
      <c r="E3870" s="5" t="s">
        <v>117</v>
      </c>
      <c r="F3870" s="6" t="s">
        <v>554</v>
      </c>
      <c r="G3870" s="4" t="s">
        <v>1</v>
      </c>
      <c r="H3870" s="25">
        <v>28.84</v>
      </c>
      <c r="I3870" s="8">
        <v>400</v>
      </c>
      <c r="J3870" s="9">
        <v>0</v>
      </c>
      <c r="K3870" s="7">
        <v>-400</v>
      </c>
      <c r="L3870" s="24">
        <f>+Tabla2[[#This Row],[Stock Inventario]]*Tabla2[[#This Row],[Coste LÃ­nea]]</f>
        <v>0</v>
      </c>
      <c r="M3870" s="24">
        <f>+Tabla2[[#This Row],[Variación Stock]]*Tabla2[[#This Row],[Coste LÃ­nea]]</f>
        <v>-11536</v>
      </c>
      <c r="N3870" s="22" t="str">
        <f>+IF(Tabla2[[#This Row],[Variación Stock]]&gt;0,"Sobrante",IF(Tabla2[[#This Row],[Variación Stock]]&lt;0,"Faltante","Sin novedad"))</f>
        <v>Faltante</v>
      </c>
    </row>
    <row r="3871" spans="1:14" hidden="1" x14ac:dyDescent="0.25">
      <c r="A3871" s="11">
        <v>46053</v>
      </c>
      <c r="B3871" s="5" t="s">
        <v>1078</v>
      </c>
      <c r="C3871" s="3" t="s">
        <v>339</v>
      </c>
      <c r="D3871" s="5" t="s">
        <v>559</v>
      </c>
      <c r="E3871" s="5" t="s">
        <v>1080</v>
      </c>
      <c r="F3871" s="6" t="s">
        <v>577</v>
      </c>
      <c r="G3871" s="4" t="s">
        <v>2</v>
      </c>
      <c r="H3871" s="25">
        <v>179.65</v>
      </c>
      <c r="I3871" s="8">
        <v>0</v>
      </c>
      <c r="J3871" s="9">
        <v>100</v>
      </c>
      <c r="K3871" s="7">
        <v>100</v>
      </c>
      <c r="L3871" s="24">
        <f>+Tabla2[[#This Row],[Stock Inventario]]*Tabla2[[#This Row],[Coste LÃ­nea]]</f>
        <v>17965</v>
      </c>
      <c r="M3871" s="24">
        <f>+Tabla2[[#This Row],[Variación Stock]]*Tabla2[[#This Row],[Coste LÃ­nea]]</f>
        <v>17965</v>
      </c>
      <c r="N3871" s="22" t="str">
        <f>+IF(Tabla2[[#This Row],[Variación Stock]]&gt;0,"Sobrante",IF(Tabla2[[#This Row],[Variación Stock]]&lt;0,"Faltante","Sin novedad"))</f>
        <v>Sobrante</v>
      </c>
    </row>
    <row r="3872" spans="1:14" hidden="1" x14ac:dyDescent="0.25">
      <c r="A3872" s="11">
        <v>46053</v>
      </c>
      <c r="B3872" s="5" t="s">
        <v>1078</v>
      </c>
      <c r="C3872" s="3" t="s">
        <v>339</v>
      </c>
      <c r="D3872" s="5" t="s">
        <v>559</v>
      </c>
      <c r="E3872" s="5" t="s">
        <v>1080</v>
      </c>
      <c r="F3872" s="6" t="s">
        <v>578</v>
      </c>
      <c r="G3872" s="4" t="s">
        <v>2</v>
      </c>
      <c r="H3872" s="25">
        <v>179.65</v>
      </c>
      <c r="I3872" s="8">
        <v>0</v>
      </c>
      <c r="J3872" s="9">
        <v>0</v>
      </c>
      <c r="K3872" s="7">
        <v>0</v>
      </c>
      <c r="L3872" s="24">
        <f>+Tabla2[[#This Row],[Stock Inventario]]*Tabla2[[#This Row],[Coste LÃ­nea]]</f>
        <v>0</v>
      </c>
      <c r="M3872" s="24">
        <f>+Tabla2[[#This Row],[Variación Stock]]*Tabla2[[#This Row],[Coste LÃ­nea]]</f>
        <v>0</v>
      </c>
      <c r="N3872" s="22" t="str">
        <f>+IF(Tabla2[[#This Row],[Variación Stock]]&gt;0,"Sobrante",IF(Tabla2[[#This Row],[Variación Stock]]&lt;0,"Faltante","Sin novedad"))</f>
        <v>Sin novedad</v>
      </c>
    </row>
    <row r="3873" spans="1:14" hidden="1" x14ac:dyDescent="0.25">
      <c r="A3873" s="11">
        <v>46053</v>
      </c>
      <c r="B3873" s="5" t="s">
        <v>1078</v>
      </c>
      <c r="C3873" s="3" t="s">
        <v>339</v>
      </c>
      <c r="D3873" s="5" t="s">
        <v>396</v>
      </c>
      <c r="E3873" s="5" t="s">
        <v>117</v>
      </c>
      <c r="F3873" s="6" t="s">
        <v>467</v>
      </c>
      <c r="G3873" s="4" t="s">
        <v>2</v>
      </c>
      <c r="H3873" s="25">
        <v>4.7356828193832596</v>
      </c>
      <c r="I3873" s="8">
        <v>0</v>
      </c>
      <c r="J3873" s="9">
        <v>0</v>
      </c>
      <c r="K3873" s="7">
        <v>0</v>
      </c>
      <c r="L3873" s="24">
        <f>+Tabla2[[#This Row],[Stock Inventario]]*Tabla2[[#This Row],[Coste LÃ­nea]]</f>
        <v>0</v>
      </c>
      <c r="M3873" s="24">
        <f>+Tabla2[[#This Row],[Variación Stock]]*Tabla2[[#This Row],[Coste LÃ­nea]]</f>
        <v>0</v>
      </c>
      <c r="N3873" s="22" t="str">
        <f>+IF(Tabla2[[#This Row],[Variación Stock]]&gt;0,"Sobrante",IF(Tabla2[[#This Row],[Variación Stock]]&lt;0,"Faltante","Sin novedad"))</f>
        <v>Sin novedad</v>
      </c>
    </row>
    <row r="3874" spans="1:14" hidden="1" x14ac:dyDescent="0.25">
      <c r="A3874" s="11">
        <v>46053</v>
      </c>
      <c r="B3874" s="5" t="s">
        <v>1078</v>
      </c>
      <c r="C3874" s="3" t="s">
        <v>339</v>
      </c>
      <c r="D3874" s="5" t="s">
        <v>471</v>
      </c>
      <c r="E3874" s="5" t="s">
        <v>117</v>
      </c>
      <c r="F3874" s="6" t="s">
        <v>499</v>
      </c>
      <c r="G3874" s="4" t="s">
        <v>1</v>
      </c>
      <c r="H3874" s="25">
        <v>5.8</v>
      </c>
      <c r="I3874" s="8">
        <v>450</v>
      </c>
      <c r="J3874" s="9">
        <v>0</v>
      </c>
      <c r="K3874" s="7">
        <v>-450</v>
      </c>
      <c r="L3874" s="24">
        <f>+Tabla2[[#This Row],[Stock Inventario]]*Tabla2[[#This Row],[Coste LÃ­nea]]</f>
        <v>0</v>
      </c>
      <c r="M3874" s="24">
        <f>+Tabla2[[#This Row],[Variación Stock]]*Tabla2[[#This Row],[Coste LÃ­nea]]</f>
        <v>-2610</v>
      </c>
      <c r="N3874" s="22" t="str">
        <f>+IF(Tabla2[[#This Row],[Variación Stock]]&gt;0,"Sobrante",IF(Tabla2[[#This Row],[Variación Stock]]&lt;0,"Faltante","Sin novedad"))</f>
        <v>Faltante</v>
      </c>
    </row>
    <row r="3875" spans="1:14" hidden="1" x14ac:dyDescent="0.25">
      <c r="A3875" s="11">
        <v>46053</v>
      </c>
      <c r="B3875" s="5" t="s">
        <v>1078</v>
      </c>
      <c r="C3875" s="3" t="s">
        <v>339</v>
      </c>
      <c r="D3875" s="5" t="s">
        <v>626</v>
      </c>
      <c r="E3875" s="5" t="s">
        <v>1079</v>
      </c>
      <c r="F3875" s="6" t="s">
        <v>636</v>
      </c>
      <c r="G3875" s="4" t="s">
        <v>2</v>
      </c>
      <c r="H3875" s="25">
        <v>648.20000000000005</v>
      </c>
      <c r="I3875" s="8">
        <v>0</v>
      </c>
      <c r="J3875" s="9">
        <v>0</v>
      </c>
      <c r="K3875" s="7">
        <v>0</v>
      </c>
      <c r="L3875" s="24">
        <f>+Tabla2[[#This Row],[Stock Inventario]]*Tabla2[[#This Row],[Coste LÃ­nea]]</f>
        <v>0</v>
      </c>
      <c r="M3875" s="24">
        <f>+Tabla2[[#This Row],[Variación Stock]]*Tabla2[[#This Row],[Coste LÃ­nea]]</f>
        <v>0</v>
      </c>
      <c r="N3875" s="22" t="str">
        <f>+IF(Tabla2[[#This Row],[Variación Stock]]&gt;0,"Sobrante",IF(Tabla2[[#This Row],[Variación Stock]]&lt;0,"Faltante","Sin novedad"))</f>
        <v>Sin novedad</v>
      </c>
    </row>
    <row r="3876" spans="1:14" hidden="1" x14ac:dyDescent="0.25">
      <c r="A3876" s="11">
        <v>46053</v>
      </c>
      <c r="B3876" s="5" t="s">
        <v>1078</v>
      </c>
      <c r="C3876" s="3" t="s">
        <v>339</v>
      </c>
      <c r="D3876" s="5" t="s">
        <v>626</v>
      </c>
      <c r="E3876" s="5" t="s">
        <v>1079</v>
      </c>
      <c r="F3876" s="6" t="s">
        <v>641</v>
      </c>
      <c r="G3876" s="4" t="s">
        <v>2</v>
      </c>
      <c r="H3876" s="25">
        <v>895.4</v>
      </c>
      <c r="I3876" s="8">
        <v>110</v>
      </c>
      <c r="J3876" s="9">
        <v>1</v>
      </c>
      <c r="K3876" s="7">
        <v>-109</v>
      </c>
      <c r="L3876" s="24">
        <f>+Tabla2[[#This Row],[Stock Inventario]]*Tabla2[[#This Row],[Coste LÃ­nea]]</f>
        <v>895.4</v>
      </c>
      <c r="M3876" s="24">
        <f>+Tabla2[[#This Row],[Variación Stock]]*Tabla2[[#This Row],[Coste LÃ­nea]]</f>
        <v>-97598.599999999991</v>
      </c>
      <c r="N3876" s="22" t="str">
        <f>+IF(Tabla2[[#This Row],[Variación Stock]]&gt;0,"Sobrante",IF(Tabla2[[#This Row],[Variación Stock]]&lt;0,"Faltante","Sin novedad"))</f>
        <v>Faltante</v>
      </c>
    </row>
    <row r="3877" spans="1:14" hidden="1" x14ac:dyDescent="0.25">
      <c r="A3877" s="11">
        <v>46053</v>
      </c>
      <c r="B3877" s="5" t="s">
        <v>1078</v>
      </c>
      <c r="C3877" s="3" t="s">
        <v>339</v>
      </c>
      <c r="D3877" s="5" t="s">
        <v>626</v>
      </c>
      <c r="E3877" s="5" t="s">
        <v>1079</v>
      </c>
      <c r="F3877" s="6" t="s">
        <v>642</v>
      </c>
      <c r="G3877" s="4" t="s">
        <v>1</v>
      </c>
      <c r="H3877" s="25">
        <v>31.364249999999998</v>
      </c>
      <c r="I3877" s="8">
        <v>0</v>
      </c>
      <c r="J3877" s="9">
        <v>0</v>
      </c>
      <c r="K3877" s="7">
        <v>0</v>
      </c>
      <c r="L3877" s="24">
        <f>+Tabla2[[#This Row],[Stock Inventario]]*Tabla2[[#This Row],[Coste LÃ­nea]]</f>
        <v>0</v>
      </c>
      <c r="M3877" s="24">
        <f>+Tabla2[[#This Row],[Variación Stock]]*Tabla2[[#This Row],[Coste LÃ­nea]]</f>
        <v>0</v>
      </c>
      <c r="N3877" s="22" t="str">
        <f>+IF(Tabla2[[#This Row],[Variación Stock]]&gt;0,"Sobrante",IF(Tabla2[[#This Row],[Variación Stock]]&lt;0,"Faltante","Sin novedad"))</f>
        <v>Sin novedad</v>
      </c>
    </row>
    <row r="3878" spans="1:14" hidden="1" x14ac:dyDescent="0.25">
      <c r="A3878" s="11">
        <v>46053</v>
      </c>
      <c r="B3878" s="5" t="s">
        <v>1078</v>
      </c>
      <c r="C3878" s="3" t="s">
        <v>339</v>
      </c>
      <c r="D3878" s="5" t="s">
        <v>626</v>
      </c>
      <c r="E3878" s="5" t="s">
        <v>1079</v>
      </c>
      <c r="F3878" s="6" t="s">
        <v>637</v>
      </c>
      <c r="G3878" s="4" t="s">
        <v>1</v>
      </c>
      <c r="H3878" s="25">
        <v>83.811999999999998</v>
      </c>
      <c r="I3878" s="8">
        <v>0</v>
      </c>
      <c r="J3878" s="9">
        <v>0</v>
      </c>
      <c r="K3878" s="7">
        <v>0</v>
      </c>
      <c r="L3878" s="24">
        <f>+Tabla2[[#This Row],[Stock Inventario]]*Tabla2[[#This Row],[Coste LÃ­nea]]</f>
        <v>0</v>
      </c>
      <c r="M3878" s="24">
        <f>+Tabla2[[#This Row],[Variación Stock]]*Tabla2[[#This Row],[Coste LÃ­nea]]</f>
        <v>0</v>
      </c>
      <c r="N3878" s="22" t="str">
        <f>+IF(Tabla2[[#This Row],[Variación Stock]]&gt;0,"Sobrante",IF(Tabla2[[#This Row],[Variación Stock]]&lt;0,"Faltante","Sin novedad"))</f>
        <v>Sin novedad</v>
      </c>
    </row>
    <row r="3879" spans="1:14" hidden="1" x14ac:dyDescent="0.25">
      <c r="A3879" s="11">
        <v>46053</v>
      </c>
      <c r="B3879" s="5" t="s">
        <v>1078</v>
      </c>
      <c r="C3879" s="3" t="s">
        <v>339</v>
      </c>
      <c r="D3879" s="5" t="s">
        <v>626</v>
      </c>
      <c r="E3879" s="5" t="s">
        <v>1079</v>
      </c>
      <c r="F3879" s="6" t="s">
        <v>628</v>
      </c>
      <c r="G3879" s="4" t="s">
        <v>2</v>
      </c>
      <c r="H3879" s="25">
        <v>5350</v>
      </c>
      <c r="I3879" s="8">
        <v>0</v>
      </c>
      <c r="J3879" s="9">
        <v>0</v>
      </c>
      <c r="K3879" s="7">
        <v>0</v>
      </c>
      <c r="L3879" s="24">
        <f>+Tabla2[[#This Row],[Stock Inventario]]*Tabla2[[#This Row],[Coste LÃ­nea]]</f>
        <v>0</v>
      </c>
      <c r="M3879" s="24">
        <f>+Tabla2[[#This Row],[Variación Stock]]*Tabla2[[#This Row],[Coste LÃ­nea]]</f>
        <v>0</v>
      </c>
      <c r="N3879" s="22" t="str">
        <f>+IF(Tabla2[[#This Row],[Variación Stock]]&gt;0,"Sobrante",IF(Tabla2[[#This Row],[Variación Stock]]&lt;0,"Faltante","Sin novedad"))</f>
        <v>Sin novedad</v>
      </c>
    </row>
    <row r="3880" spans="1:14" hidden="1" x14ac:dyDescent="0.25">
      <c r="A3880" s="11">
        <v>46053</v>
      </c>
      <c r="B3880" s="5" t="s">
        <v>1078</v>
      </c>
      <c r="C3880" s="3" t="s">
        <v>339</v>
      </c>
      <c r="D3880" s="5" t="s">
        <v>626</v>
      </c>
      <c r="E3880" s="5" t="s">
        <v>1079</v>
      </c>
      <c r="F3880" s="6" t="s">
        <v>643</v>
      </c>
      <c r="G3880" s="4" t="s">
        <v>2</v>
      </c>
      <c r="H3880" s="25">
        <v>5089.6666666700003</v>
      </c>
      <c r="I3880" s="8">
        <v>2</v>
      </c>
      <c r="J3880" s="9">
        <v>2</v>
      </c>
      <c r="K3880" s="7">
        <v>0</v>
      </c>
      <c r="L3880" s="24">
        <f>+Tabla2[[#This Row],[Stock Inventario]]*Tabla2[[#This Row],[Coste LÃ­nea]]</f>
        <v>10179.333333340001</v>
      </c>
      <c r="M3880" s="24">
        <f>+Tabla2[[#This Row],[Variación Stock]]*Tabla2[[#This Row],[Coste LÃ­nea]]</f>
        <v>0</v>
      </c>
      <c r="N3880" s="22" t="str">
        <f>+IF(Tabla2[[#This Row],[Variación Stock]]&gt;0,"Sobrante",IF(Tabla2[[#This Row],[Variación Stock]]&lt;0,"Faltante","Sin novedad"))</f>
        <v>Sin novedad</v>
      </c>
    </row>
    <row r="3881" spans="1:14" x14ac:dyDescent="0.25">
      <c r="A3881" s="11">
        <v>46053</v>
      </c>
      <c r="B3881" s="5" t="s">
        <v>1078</v>
      </c>
      <c r="C3881" s="3" t="s">
        <v>339</v>
      </c>
      <c r="D3881" s="5" t="s">
        <v>111</v>
      </c>
      <c r="E3881" s="5" t="s">
        <v>112</v>
      </c>
      <c r="F3881" s="6" t="s">
        <v>15</v>
      </c>
      <c r="G3881" s="4" t="s">
        <v>0</v>
      </c>
      <c r="H3881" s="25">
        <v>11819.5</v>
      </c>
      <c r="I3881" s="8">
        <v>0</v>
      </c>
      <c r="J3881" s="9">
        <v>0</v>
      </c>
      <c r="K3881" s="7">
        <v>0</v>
      </c>
      <c r="L3881" s="24">
        <f>+Tabla2[[#This Row],[Stock Inventario]]*Tabla2[[#This Row],[Coste LÃ­nea]]</f>
        <v>0</v>
      </c>
      <c r="M3881" s="24">
        <f>+Tabla2[[#This Row],[Variación Stock]]*Tabla2[[#This Row],[Coste LÃ­nea]]</f>
        <v>0</v>
      </c>
      <c r="N3881" s="22" t="str">
        <f>+IF(Tabla2[[#This Row],[Variación Stock]]&gt;0,"Sobrante",IF(Tabla2[[#This Row],[Variación Stock]]&lt;0,"Faltante","Sin novedad"))</f>
        <v>Sin novedad</v>
      </c>
    </row>
    <row r="3882" spans="1:14" x14ac:dyDescent="0.25">
      <c r="A3882" s="11">
        <v>46053</v>
      </c>
      <c r="B3882" s="5" t="s">
        <v>1078</v>
      </c>
      <c r="C3882" s="3" t="s">
        <v>339</v>
      </c>
      <c r="D3882" s="5" t="s">
        <v>111</v>
      </c>
      <c r="E3882" s="5" t="s">
        <v>112</v>
      </c>
      <c r="F3882" s="6" t="s">
        <v>21</v>
      </c>
      <c r="G3882" s="4" t="s">
        <v>0</v>
      </c>
      <c r="H3882" s="25">
        <v>17377</v>
      </c>
      <c r="I3882" s="8">
        <v>26</v>
      </c>
      <c r="J3882" s="9">
        <v>26</v>
      </c>
      <c r="K3882" s="7">
        <v>0</v>
      </c>
      <c r="L3882" s="24">
        <f>+Tabla2[[#This Row],[Stock Inventario]]*Tabla2[[#This Row],[Coste LÃ­nea]]</f>
        <v>451802</v>
      </c>
      <c r="M3882" s="24">
        <f>+Tabla2[[#This Row],[Variación Stock]]*Tabla2[[#This Row],[Coste LÃ­nea]]</f>
        <v>0</v>
      </c>
      <c r="N3882" s="22" t="str">
        <f>+IF(Tabla2[[#This Row],[Variación Stock]]&gt;0,"Sobrante",IF(Tabla2[[#This Row],[Variación Stock]]&lt;0,"Faltante","Sin novedad"))</f>
        <v>Sin novedad</v>
      </c>
    </row>
    <row r="3883" spans="1:14" x14ac:dyDescent="0.25">
      <c r="A3883" s="11">
        <v>46053</v>
      </c>
      <c r="B3883" s="5" t="s">
        <v>1078</v>
      </c>
      <c r="C3883" s="3" t="s">
        <v>339</v>
      </c>
      <c r="D3883" s="5" t="s">
        <v>111</v>
      </c>
      <c r="E3883" s="5" t="s">
        <v>112</v>
      </c>
      <c r="F3883" s="6" t="s">
        <v>22</v>
      </c>
      <c r="G3883" s="4" t="s">
        <v>0</v>
      </c>
      <c r="H3883" s="25">
        <v>13020.86363636</v>
      </c>
      <c r="I3883" s="8">
        <v>43</v>
      </c>
      <c r="J3883" s="9">
        <v>42.5</v>
      </c>
      <c r="K3883" s="7">
        <v>-0.5</v>
      </c>
      <c r="L3883" s="24">
        <f>+Tabla2[[#This Row],[Stock Inventario]]*Tabla2[[#This Row],[Coste LÃ­nea]]</f>
        <v>553386.70454529999</v>
      </c>
      <c r="M3883" s="24">
        <f>+Tabla2[[#This Row],[Variación Stock]]*Tabla2[[#This Row],[Coste LÃ­nea]]</f>
        <v>-6510.4318181799999</v>
      </c>
      <c r="N3883" s="22" t="str">
        <f>+IF(Tabla2[[#This Row],[Variación Stock]]&gt;0,"Sobrante",IF(Tabla2[[#This Row],[Variación Stock]]&lt;0,"Faltante","Sin novedad"))</f>
        <v>Faltante</v>
      </c>
    </row>
    <row r="3884" spans="1:14" x14ac:dyDescent="0.25">
      <c r="A3884" s="11">
        <v>46053</v>
      </c>
      <c r="B3884" s="5" t="s">
        <v>1078</v>
      </c>
      <c r="C3884" s="3" t="s">
        <v>339</v>
      </c>
      <c r="D3884" s="5" t="s">
        <v>111</v>
      </c>
      <c r="E3884" s="5" t="s">
        <v>112</v>
      </c>
      <c r="F3884" s="6" t="s">
        <v>364</v>
      </c>
      <c r="G3884" s="4" t="s">
        <v>0</v>
      </c>
      <c r="H3884" s="25">
        <v>10178.90909091</v>
      </c>
      <c r="I3884" s="8">
        <v>28</v>
      </c>
      <c r="J3884" s="9">
        <v>28.75</v>
      </c>
      <c r="K3884" s="7">
        <v>0.75</v>
      </c>
      <c r="L3884" s="24">
        <f>+Tabla2[[#This Row],[Stock Inventario]]*Tabla2[[#This Row],[Coste LÃ­nea]]</f>
        <v>292643.63636366249</v>
      </c>
      <c r="M3884" s="24">
        <f>+Tabla2[[#This Row],[Variación Stock]]*Tabla2[[#This Row],[Coste LÃ­nea]]</f>
        <v>7634.1818181825001</v>
      </c>
      <c r="N3884" s="22" t="str">
        <f>+IF(Tabla2[[#This Row],[Variación Stock]]&gt;0,"Sobrante",IF(Tabla2[[#This Row],[Variación Stock]]&lt;0,"Faltante","Sin novedad"))</f>
        <v>Sobrante</v>
      </c>
    </row>
    <row r="3885" spans="1:14" x14ac:dyDescent="0.25">
      <c r="A3885" s="11">
        <v>46053</v>
      </c>
      <c r="B3885" s="5" t="s">
        <v>1078</v>
      </c>
      <c r="C3885" s="3" t="s">
        <v>339</v>
      </c>
      <c r="D3885" s="5" t="s">
        <v>111</v>
      </c>
      <c r="E3885" s="5" t="s">
        <v>112</v>
      </c>
      <c r="F3885" s="6" t="s">
        <v>365</v>
      </c>
      <c r="G3885" s="4" t="s">
        <v>0</v>
      </c>
      <c r="H3885" s="25">
        <v>12698.95454545</v>
      </c>
      <c r="I3885" s="8">
        <v>29</v>
      </c>
      <c r="J3885" s="9">
        <v>30</v>
      </c>
      <c r="K3885" s="7">
        <v>1</v>
      </c>
      <c r="L3885" s="24">
        <f>+Tabla2[[#This Row],[Stock Inventario]]*Tabla2[[#This Row],[Coste LÃ­nea]]</f>
        <v>380968.63636350003</v>
      </c>
      <c r="M3885" s="24">
        <f>+Tabla2[[#This Row],[Variación Stock]]*Tabla2[[#This Row],[Coste LÃ­nea]]</f>
        <v>12698.95454545</v>
      </c>
      <c r="N3885" s="22" t="str">
        <f>+IF(Tabla2[[#This Row],[Variación Stock]]&gt;0,"Sobrante",IF(Tabla2[[#This Row],[Variación Stock]]&lt;0,"Faltante","Sin novedad"))</f>
        <v>Sobrante</v>
      </c>
    </row>
    <row r="3886" spans="1:14" hidden="1" x14ac:dyDescent="0.25">
      <c r="A3886" s="11">
        <v>46053</v>
      </c>
      <c r="B3886" s="5" t="s">
        <v>1078</v>
      </c>
      <c r="C3886" s="3" t="s">
        <v>339</v>
      </c>
      <c r="D3886" s="5" t="s">
        <v>818</v>
      </c>
      <c r="E3886" s="5" t="s">
        <v>117</v>
      </c>
      <c r="F3886" s="6" t="s">
        <v>822</v>
      </c>
      <c r="G3886" s="4" t="s">
        <v>1</v>
      </c>
      <c r="H3886" s="25">
        <v>19.744680850000002</v>
      </c>
      <c r="I3886" s="8">
        <v>0</v>
      </c>
      <c r="J3886" s="9">
        <v>0</v>
      </c>
      <c r="K3886" s="7">
        <v>0</v>
      </c>
      <c r="L3886" s="24">
        <f>+Tabla2[[#This Row],[Stock Inventario]]*Tabla2[[#This Row],[Coste LÃ­nea]]</f>
        <v>0</v>
      </c>
      <c r="M3886" s="24">
        <f>+Tabla2[[#This Row],[Variación Stock]]*Tabla2[[#This Row],[Coste LÃ­nea]]</f>
        <v>0</v>
      </c>
      <c r="N3886" s="22" t="str">
        <f>+IF(Tabla2[[#This Row],[Variación Stock]]&gt;0,"Sobrante",IF(Tabla2[[#This Row],[Variación Stock]]&lt;0,"Faltante","Sin novedad"))</f>
        <v>Sin novedad</v>
      </c>
    </row>
    <row r="3887" spans="1:14" x14ac:dyDescent="0.25">
      <c r="A3887" s="11">
        <v>46053</v>
      </c>
      <c r="B3887" s="5" t="s">
        <v>1078</v>
      </c>
      <c r="C3887" s="3" t="s">
        <v>339</v>
      </c>
      <c r="D3887" s="5" t="s">
        <v>114</v>
      </c>
      <c r="E3887" s="5" t="s">
        <v>112</v>
      </c>
      <c r="F3887" s="6" t="s">
        <v>68</v>
      </c>
      <c r="G3887" s="4" t="s">
        <v>2</v>
      </c>
      <c r="H3887" s="25">
        <v>4986.0833333299997</v>
      </c>
      <c r="I3887" s="8">
        <v>21</v>
      </c>
      <c r="J3887" s="9">
        <v>14</v>
      </c>
      <c r="K3887" s="7">
        <v>-7</v>
      </c>
      <c r="L3887" s="24">
        <f>+Tabla2[[#This Row],[Stock Inventario]]*Tabla2[[#This Row],[Coste LÃ­nea]]</f>
        <v>69805.166666620004</v>
      </c>
      <c r="M3887" s="24">
        <f>+Tabla2[[#This Row],[Variación Stock]]*Tabla2[[#This Row],[Coste LÃ­nea]]</f>
        <v>-34902.583333310002</v>
      </c>
      <c r="N3887" s="22" t="str">
        <f>+IF(Tabla2[[#This Row],[Variación Stock]]&gt;0,"Sobrante",IF(Tabla2[[#This Row],[Variación Stock]]&lt;0,"Faltante","Sin novedad"))</f>
        <v>Faltante</v>
      </c>
    </row>
    <row r="3888" spans="1:14" hidden="1" x14ac:dyDescent="0.25">
      <c r="A3888" s="11">
        <v>46053</v>
      </c>
      <c r="B3888" s="5" t="s">
        <v>1078</v>
      </c>
      <c r="C3888" s="3" t="s">
        <v>339</v>
      </c>
      <c r="D3888" s="5" t="s">
        <v>626</v>
      </c>
      <c r="E3888" s="5" t="s">
        <v>1079</v>
      </c>
      <c r="F3888" s="6" t="s">
        <v>644</v>
      </c>
      <c r="G3888" s="4" t="s">
        <v>2</v>
      </c>
      <c r="H3888" s="25">
        <v>6295</v>
      </c>
      <c r="I3888" s="8">
        <v>2</v>
      </c>
      <c r="J3888" s="9">
        <v>2</v>
      </c>
      <c r="K3888" s="7">
        <v>0</v>
      </c>
      <c r="L3888" s="24">
        <f>+Tabla2[[#This Row],[Stock Inventario]]*Tabla2[[#This Row],[Coste LÃ­nea]]</f>
        <v>12590</v>
      </c>
      <c r="M3888" s="24">
        <f>+Tabla2[[#This Row],[Variación Stock]]*Tabla2[[#This Row],[Coste LÃ­nea]]</f>
        <v>0</v>
      </c>
      <c r="N3888" s="22" t="str">
        <f>+IF(Tabla2[[#This Row],[Variación Stock]]&gt;0,"Sobrante",IF(Tabla2[[#This Row],[Variación Stock]]&lt;0,"Faltante","Sin novedad"))</f>
        <v>Sin novedad</v>
      </c>
    </row>
    <row r="3889" spans="1:14" hidden="1" x14ac:dyDescent="0.25">
      <c r="A3889" s="11">
        <v>46053</v>
      </c>
      <c r="B3889" s="5" t="s">
        <v>1078</v>
      </c>
      <c r="C3889" s="3" t="s">
        <v>339</v>
      </c>
      <c r="D3889" s="5" t="s">
        <v>803</v>
      </c>
      <c r="E3889" s="5" t="s">
        <v>117</v>
      </c>
      <c r="F3889" s="6" t="s">
        <v>814</v>
      </c>
      <c r="G3889" s="4" t="s">
        <v>1</v>
      </c>
      <c r="H3889" s="25">
        <v>16.600000000000001</v>
      </c>
      <c r="I3889" s="8">
        <v>0</v>
      </c>
      <c r="J3889" s="9">
        <v>0</v>
      </c>
      <c r="K3889" s="7">
        <v>0</v>
      </c>
      <c r="L3889" s="24">
        <f>+Tabla2[[#This Row],[Stock Inventario]]*Tabla2[[#This Row],[Coste LÃ­nea]]</f>
        <v>0</v>
      </c>
      <c r="M3889" s="24">
        <f>+Tabla2[[#This Row],[Variación Stock]]*Tabla2[[#This Row],[Coste LÃ­nea]]</f>
        <v>0</v>
      </c>
      <c r="N3889" s="22" t="str">
        <f>+IF(Tabla2[[#This Row],[Variación Stock]]&gt;0,"Sobrante",IF(Tabla2[[#This Row],[Variación Stock]]&lt;0,"Faltante","Sin novedad"))</f>
        <v>Sin novedad</v>
      </c>
    </row>
    <row r="3890" spans="1:14" hidden="1" x14ac:dyDescent="0.25">
      <c r="A3890" s="11">
        <v>46053</v>
      </c>
      <c r="B3890" s="5" t="s">
        <v>1078</v>
      </c>
      <c r="C3890" s="3" t="s">
        <v>339</v>
      </c>
      <c r="D3890" s="5" t="s">
        <v>471</v>
      </c>
      <c r="E3890" s="5" t="s">
        <v>117</v>
      </c>
      <c r="F3890" s="6" t="s">
        <v>500</v>
      </c>
      <c r="G3890" s="4" t="s">
        <v>1</v>
      </c>
      <c r="H3890" s="25">
        <v>4.5</v>
      </c>
      <c r="I3890" s="8">
        <v>2100</v>
      </c>
      <c r="J3890" s="9">
        <v>0</v>
      </c>
      <c r="K3890" s="7">
        <v>-2100</v>
      </c>
      <c r="L3890" s="24">
        <f>+Tabla2[[#This Row],[Stock Inventario]]*Tabla2[[#This Row],[Coste LÃ­nea]]</f>
        <v>0</v>
      </c>
      <c r="M3890" s="24">
        <f>+Tabla2[[#This Row],[Variación Stock]]*Tabla2[[#This Row],[Coste LÃ­nea]]</f>
        <v>-9450</v>
      </c>
      <c r="N3890" s="22" t="str">
        <f>+IF(Tabla2[[#This Row],[Variación Stock]]&gt;0,"Sobrante",IF(Tabla2[[#This Row],[Variación Stock]]&lt;0,"Faltante","Sin novedad"))</f>
        <v>Faltante</v>
      </c>
    </row>
    <row r="3891" spans="1:14" hidden="1" x14ac:dyDescent="0.25">
      <c r="A3891" s="11">
        <v>46053</v>
      </c>
      <c r="B3891" s="5" t="s">
        <v>1078</v>
      </c>
      <c r="C3891" s="3" t="s">
        <v>339</v>
      </c>
      <c r="D3891" s="5" t="s">
        <v>626</v>
      </c>
      <c r="E3891" s="5" t="s">
        <v>1079</v>
      </c>
      <c r="F3891" s="6" t="s">
        <v>645</v>
      </c>
      <c r="G3891" s="4" t="s">
        <v>2</v>
      </c>
      <c r="H3891" s="25">
        <v>5182.3333333299997</v>
      </c>
      <c r="I3891" s="8">
        <v>0</v>
      </c>
      <c r="J3891" s="9">
        <v>0</v>
      </c>
      <c r="K3891" s="7">
        <v>0</v>
      </c>
      <c r="L3891" s="24">
        <f>+Tabla2[[#This Row],[Stock Inventario]]*Tabla2[[#This Row],[Coste LÃ­nea]]</f>
        <v>0</v>
      </c>
      <c r="M3891" s="24">
        <f>+Tabla2[[#This Row],[Variación Stock]]*Tabla2[[#This Row],[Coste LÃ­nea]]</f>
        <v>0</v>
      </c>
      <c r="N3891" s="22" t="str">
        <f>+IF(Tabla2[[#This Row],[Variación Stock]]&gt;0,"Sobrante",IF(Tabla2[[#This Row],[Variación Stock]]&lt;0,"Faltante","Sin novedad"))</f>
        <v>Sin novedad</v>
      </c>
    </row>
    <row r="3892" spans="1:14" hidden="1" x14ac:dyDescent="0.25">
      <c r="A3892" s="11">
        <v>46053</v>
      </c>
      <c r="B3892" s="5" t="s">
        <v>1078</v>
      </c>
      <c r="C3892" s="3" t="s">
        <v>339</v>
      </c>
      <c r="D3892" s="5" t="s">
        <v>626</v>
      </c>
      <c r="E3892" s="5" t="s">
        <v>1079</v>
      </c>
      <c r="F3892" s="6" t="s">
        <v>646</v>
      </c>
      <c r="G3892" s="4" t="s">
        <v>2</v>
      </c>
      <c r="H3892" s="25">
        <v>5182.3333333299997</v>
      </c>
      <c r="I3892" s="8">
        <v>0</v>
      </c>
      <c r="J3892" s="9">
        <v>0</v>
      </c>
      <c r="K3892" s="7">
        <v>0</v>
      </c>
      <c r="L3892" s="24">
        <f>+Tabla2[[#This Row],[Stock Inventario]]*Tabla2[[#This Row],[Coste LÃ­nea]]</f>
        <v>0</v>
      </c>
      <c r="M3892" s="24">
        <f>+Tabla2[[#This Row],[Variación Stock]]*Tabla2[[#This Row],[Coste LÃ­nea]]</f>
        <v>0</v>
      </c>
      <c r="N3892" s="22" t="str">
        <f>+IF(Tabla2[[#This Row],[Variación Stock]]&gt;0,"Sobrante",IF(Tabla2[[#This Row],[Variación Stock]]&lt;0,"Faltante","Sin novedad"))</f>
        <v>Sin novedad</v>
      </c>
    </row>
    <row r="3893" spans="1:14" hidden="1" x14ac:dyDescent="0.25">
      <c r="A3893" s="11">
        <v>46053</v>
      </c>
      <c r="B3893" s="5" t="s">
        <v>1078</v>
      </c>
      <c r="C3893" s="3" t="s">
        <v>339</v>
      </c>
      <c r="D3893" s="5" t="s">
        <v>626</v>
      </c>
      <c r="E3893" s="5" t="s">
        <v>1079</v>
      </c>
      <c r="F3893" s="6" t="s">
        <v>647</v>
      </c>
      <c r="G3893" s="4" t="s">
        <v>2</v>
      </c>
      <c r="H3893" s="25">
        <v>2371.6999999999998</v>
      </c>
      <c r="I3893" s="8">
        <v>14</v>
      </c>
      <c r="J3893" s="9">
        <v>3</v>
      </c>
      <c r="K3893" s="7">
        <v>-11</v>
      </c>
      <c r="L3893" s="24">
        <f>+Tabla2[[#This Row],[Stock Inventario]]*Tabla2[[#This Row],[Coste LÃ­nea]]</f>
        <v>7115.0999999999995</v>
      </c>
      <c r="M3893" s="24">
        <f>+Tabla2[[#This Row],[Variación Stock]]*Tabla2[[#This Row],[Coste LÃ­nea]]</f>
        <v>-26088.699999999997</v>
      </c>
      <c r="N3893" s="22" t="str">
        <f>+IF(Tabla2[[#This Row],[Variación Stock]]&gt;0,"Sobrante",IF(Tabla2[[#This Row],[Variación Stock]]&lt;0,"Faltante","Sin novedad"))</f>
        <v>Faltante</v>
      </c>
    </row>
    <row r="3894" spans="1:14" hidden="1" x14ac:dyDescent="0.25">
      <c r="A3894" s="11">
        <v>46053</v>
      </c>
      <c r="B3894" s="5" t="s">
        <v>1078</v>
      </c>
      <c r="C3894" s="3" t="s">
        <v>339</v>
      </c>
      <c r="D3894" s="5" t="s">
        <v>626</v>
      </c>
      <c r="E3894" s="5" t="s">
        <v>1079</v>
      </c>
      <c r="F3894" s="6" t="s">
        <v>648</v>
      </c>
      <c r="G3894" s="4" t="s">
        <v>2</v>
      </c>
      <c r="H3894" s="25">
        <v>5136</v>
      </c>
      <c r="I3894" s="8">
        <v>4</v>
      </c>
      <c r="J3894" s="9">
        <v>0</v>
      </c>
      <c r="K3894" s="7">
        <v>-4</v>
      </c>
      <c r="L3894" s="24">
        <f>+Tabla2[[#This Row],[Stock Inventario]]*Tabla2[[#This Row],[Coste LÃ­nea]]</f>
        <v>0</v>
      </c>
      <c r="M3894" s="24">
        <f>+Tabla2[[#This Row],[Variación Stock]]*Tabla2[[#This Row],[Coste LÃ­nea]]</f>
        <v>-20544</v>
      </c>
      <c r="N3894" s="22" t="str">
        <f>+IF(Tabla2[[#This Row],[Variación Stock]]&gt;0,"Sobrante",IF(Tabla2[[#This Row],[Variación Stock]]&lt;0,"Faltante","Sin novedad"))</f>
        <v>Faltante</v>
      </c>
    </row>
    <row r="3895" spans="1:14" hidden="1" x14ac:dyDescent="0.25">
      <c r="A3895" s="11">
        <v>46053</v>
      </c>
      <c r="B3895" s="5" t="s">
        <v>1078</v>
      </c>
      <c r="C3895" s="3" t="s">
        <v>339</v>
      </c>
      <c r="D3895" s="5" t="s">
        <v>626</v>
      </c>
      <c r="E3895" s="5" t="s">
        <v>1079</v>
      </c>
      <c r="F3895" s="6" t="s">
        <v>649</v>
      </c>
      <c r="G3895" s="4" t="s">
        <v>2</v>
      </c>
      <c r="H3895" s="25">
        <v>3026.25</v>
      </c>
      <c r="I3895" s="8">
        <v>10</v>
      </c>
      <c r="J3895" s="9">
        <v>2</v>
      </c>
      <c r="K3895" s="7">
        <v>-8</v>
      </c>
      <c r="L3895" s="24">
        <f>+Tabla2[[#This Row],[Stock Inventario]]*Tabla2[[#This Row],[Coste LÃ­nea]]</f>
        <v>6052.5</v>
      </c>
      <c r="M3895" s="24">
        <f>+Tabla2[[#This Row],[Variación Stock]]*Tabla2[[#This Row],[Coste LÃ­nea]]</f>
        <v>-24210</v>
      </c>
      <c r="N3895" s="22" t="str">
        <f>+IF(Tabla2[[#This Row],[Variación Stock]]&gt;0,"Sobrante",IF(Tabla2[[#This Row],[Variación Stock]]&lt;0,"Faltante","Sin novedad"))</f>
        <v>Faltante</v>
      </c>
    </row>
    <row r="3896" spans="1:14" hidden="1" x14ac:dyDescent="0.25">
      <c r="A3896" s="11">
        <v>46053</v>
      </c>
      <c r="B3896" s="5" t="s">
        <v>1078</v>
      </c>
      <c r="C3896" s="3" t="s">
        <v>339</v>
      </c>
      <c r="D3896" s="5" t="s">
        <v>626</v>
      </c>
      <c r="E3896" s="5" t="s">
        <v>1079</v>
      </c>
      <c r="F3896" s="6" t="s">
        <v>650</v>
      </c>
      <c r="G3896" s="4" t="s">
        <v>2</v>
      </c>
      <c r="H3896" s="25">
        <v>1477.16666667</v>
      </c>
      <c r="I3896" s="8">
        <v>12</v>
      </c>
      <c r="J3896" s="9">
        <v>0</v>
      </c>
      <c r="K3896" s="7">
        <v>-12</v>
      </c>
      <c r="L3896" s="24">
        <f>+Tabla2[[#This Row],[Stock Inventario]]*Tabla2[[#This Row],[Coste LÃ­nea]]</f>
        <v>0</v>
      </c>
      <c r="M3896" s="24">
        <f>+Tabla2[[#This Row],[Variación Stock]]*Tabla2[[#This Row],[Coste LÃ­nea]]</f>
        <v>-17726.00000004</v>
      </c>
      <c r="N3896" s="22" t="str">
        <f>+IF(Tabla2[[#This Row],[Variación Stock]]&gt;0,"Sobrante",IF(Tabla2[[#This Row],[Variación Stock]]&lt;0,"Faltante","Sin novedad"))</f>
        <v>Faltante</v>
      </c>
    </row>
    <row r="3897" spans="1:14" x14ac:dyDescent="0.25">
      <c r="A3897" s="11">
        <v>46053</v>
      </c>
      <c r="B3897" s="5" t="s">
        <v>1078</v>
      </c>
      <c r="C3897" s="3" t="s">
        <v>339</v>
      </c>
      <c r="D3897" s="5" t="s">
        <v>118</v>
      </c>
      <c r="E3897" s="5" t="s">
        <v>112</v>
      </c>
      <c r="F3897" s="6" t="s">
        <v>294</v>
      </c>
      <c r="G3897" s="4" t="s">
        <v>2</v>
      </c>
      <c r="H3897" s="25">
        <v>22425</v>
      </c>
      <c r="I3897" s="8">
        <v>0</v>
      </c>
      <c r="J3897" s="9">
        <v>0</v>
      </c>
      <c r="K3897" s="7">
        <v>0</v>
      </c>
      <c r="L3897" s="24">
        <f>+Tabla2[[#This Row],[Stock Inventario]]*Tabla2[[#This Row],[Coste LÃ­nea]]</f>
        <v>0</v>
      </c>
      <c r="M3897" s="24">
        <f>+Tabla2[[#This Row],[Variación Stock]]*Tabla2[[#This Row],[Coste LÃ­nea]]</f>
        <v>0</v>
      </c>
      <c r="N3897" s="22" t="str">
        <f>+IF(Tabla2[[#This Row],[Variación Stock]]&gt;0,"Sobrante",IF(Tabla2[[#This Row],[Variación Stock]]&lt;0,"Faltante","Sin novedad"))</f>
        <v>Sin novedad</v>
      </c>
    </row>
    <row r="3898" spans="1:14" x14ac:dyDescent="0.25">
      <c r="A3898" s="11">
        <v>46053</v>
      </c>
      <c r="B3898" s="5" t="s">
        <v>1078</v>
      </c>
      <c r="C3898" s="3" t="s">
        <v>339</v>
      </c>
      <c r="D3898" s="5" t="s">
        <v>118</v>
      </c>
      <c r="E3898" s="5" t="s">
        <v>112</v>
      </c>
      <c r="F3898" s="6" t="s">
        <v>295</v>
      </c>
      <c r="G3898" s="4" t="s">
        <v>2</v>
      </c>
      <c r="H3898" s="25">
        <v>71318</v>
      </c>
      <c r="I3898" s="8">
        <v>4</v>
      </c>
      <c r="J3898" s="9">
        <v>4</v>
      </c>
      <c r="K3898" s="7">
        <v>0</v>
      </c>
      <c r="L3898" s="24">
        <f>+Tabla2[[#This Row],[Stock Inventario]]*Tabla2[[#This Row],[Coste LÃ­nea]]</f>
        <v>285272</v>
      </c>
      <c r="M3898" s="24">
        <f>+Tabla2[[#This Row],[Variación Stock]]*Tabla2[[#This Row],[Coste LÃ­nea]]</f>
        <v>0</v>
      </c>
      <c r="N3898" s="22" t="str">
        <f>+IF(Tabla2[[#This Row],[Variación Stock]]&gt;0,"Sobrante",IF(Tabla2[[#This Row],[Variación Stock]]&lt;0,"Faltante","Sin novedad"))</f>
        <v>Sin novedad</v>
      </c>
    </row>
    <row r="3899" spans="1:14" x14ac:dyDescent="0.25">
      <c r="A3899" s="11">
        <v>46053</v>
      </c>
      <c r="B3899" s="5" t="s">
        <v>1078</v>
      </c>
      <c r="C3899" s="3" t="s">
        <v>339</v>
      </c>
      <c r="D3899" s="5" t="s">
        <v>118</v>
      </c>
      <c r="E3899" s="5" t="s">
        <v>112</v>
      </c>
      <c r="F3899" s="6" t="s">
        <v>174</v>
      </c>
      <c r="G3899" s="4" t="s">
        <v>0</v>
      </c>
      <c r="H3899" s="25">
        <v>2903.3333333300002</v>
      </c>
      <c r="I3899" s="8">
        <v>0</v>
      </c>
      <c r="J3899" s="9">
        <v>0</v>
      </c>
      <c r="K3899" s="7">
        <v>0</v>
      </c>
      <c r="L3899" s="24">
        <f>+Tabla2[[#This Row],[Stock Inventario]]*Tabla2[[#This Row],[Coste LÃ­nea]]</f>
        <v>0</v>
      </c>
      <c r="M3899" s="24">
        <f>+Tabla2[[#This Row],[Variación Stock]]*Tabla2[[#This Row],[Coste LÃ­nea]]</f>
        <v>0</v>
      </c>
      <c r="N3899" s="22" t="str">
        <f>+IF(Tabla2[[#This Row],[Variación Stock]]&gt;0,"Sobrante",IF(Tabla2[[#This Row],[Variación Stock]]&lt;0,"Faltante","Sin novedad"))</f>
        <v>Sin novedad</v>
      </c>
    </row>
    <row r="3900" spans="1:14" hidden="1" x14ac:dyDescent="0.25">
      <c r="A3900" s="11">
        <v>46053</v>
      </c>
      <c r="B3900" s="5" t="s">
        <v>1078</v>
      </c>
      <c r="C3900" s="3" t="s">
        <v>339</v>
      </c>
      <c r="D3900" s="5" t="s">
        <v>626</v>
      </c>
      <c r="E3900" s="5" t="s">
        <v>1079</v>
      </c>
      <c r="F3900" s="6" t="s">
        <v>651</v>
      </c>
      <c r="G3900" s="4" t="s">
        <v>2</v>
      </c>
      <c r="H3900" s="25">
        <f>54706/5000</f>
        <v>10.9412</v>
      </c>
      <c r="I3900" s="8">
        <v>0</v>
      </c>
      <c r="J3900" s="9">
        <v>0</v>
      </c>
      <c r="K3900" s="7">
        <v>0</v>
      </c>
      <c r="L3900" s="24">
        <f>+Tabla2[[#This Row],[Stock Inventario]]*Tabla2[[#This Row],[Coste LÃ­nea]]</f>
        <v>0</v>
      </c>
      <c r="M3900" s="24">
        <f>+Tabla2[[#This Row],[Variación Stock]]*Tabla2[[#This Row],[Coste LÃ­nea]]</f>
        <v>0</v>
      </c>
      <c r="N3900" s="22" t="str">
        <f>+IF(Tabla2[[#This Row],[Variación Stock]]&gt;0,"Sobrante",IF(Tabla2[[#This Row],[Variación Stock]]&lt;0,"Faltante","Sin novedad"))</f>
        <v>Sin novedad</v>
      </c>
    </row>
    <row r="3901" spans="1:14" hidden="1" x14ac:dyDescent="0.25">
      <c r="A3901" s="11">
        <v>46053</v>
      </c>
      <c r="B3901" s="5" t="s">
        <v>1078</v>
      </c>
      <c r="C3901" s="3" t="s">
        <v>339</v>
      </c>
      <c r="D3901" s="5" t="s">
        <v>827</v>
      </c>
      <c r="E3901" s="5" t="s">
        <v>117</v>
      </c>
      <c r="F3901" s="6" t="s">
        <v>828</v>
      </c>
      <c r="G3901" s="4" t="s">
        <v>1</v>
      </c>
      <c r="H3901" s="25">
        <v>15.153499999999999</v>
      </c>
      <c r="I3901" s="8">
        <v>3000</v>
      </c>
      <c r="J3901" s="9">
        <v>2500</v>
      </c>
      <c r="K3901" s="7">
        <v>-500.00001200000003</v>
      </c>
      <c r="L3901" s="24">
        <f>+Tabla2[[#This Row],[Stock Inventario]]*Tabla2[[#This Row],[Coste LÃ­nea]]</f>
        <v>37883.75</v>
      </c>
      <c r="M3901" s="24">
        <f>+Tabla2[[#This Row],[Variación Stock]]*Tabla2[[#This Row],[Coste LÃ­nea]]</f>
        <v>-7576.7501818419996</v>
      </c>
      <c r="N3901" s="22" t="str">
        <f>+IF(Tabla2[[#This Row],[Variación Stock]]&gt;0,"Sobrante",IF(Tabla2[[#This Row],[Variación Stock]]&lt;0,"Faltante","Sin novedad"))</f>
        <v>Faltante</v>
      </c>
    </row>
    <row r="3902" spans="1:14" hidden="1" x14ac:dyDescent="0.25">
      <c r="A3902" s="11">
        <v>46053</v>
      </c>
      <c r="B3902" s="5" t="s">
        <v>1078</v>
      </c>
      <c r="C3902" s="3" t="s">
        <v>339</v>
      </c>
      <c r="D3902" s="5" t="s">
        <v>119</v>
      </c>
      <c r="E3902" s="5" t="s">
        <v>117</v>
      </c>
      <c r="F3902" s="6" t="s">
        <v>8</v>
      </c>
      <c r="G3902" s="4" t="s">
        <v>1</v>
      </c>
      <c r="H3902" s="25">
        <v>51.135831379999999</v>
      </c>
      <c r="I3902" s="8">
        <v>11865.4362</v>
      </c>
      <c r="J3902" s="9">
        <v>14899</v>
      </c>
      <c r="K3902" s="7">
        <v>3033.5638060000001</v>
      </c>
      <c r="L3902" s="24">
        <f>+Tabla2[[#This Row],[Stock Inventario]]*Tabla2[[#This Row],[Coste LÃ­nea]]</f>
        <v>761872.75173061993</v>
      </c>
      <c r="M3902" s="24">
        <f>+Tabla2[[#This Row],[Variación Stock]]*Tabla2[[#This Row],[Coste LÃ­nea]]</f>
        <v>155123.80726408702</v>
      </c>
      <c r="N3902" s="22" t="str">
        <f>+IF(Tabla2[[#This Row],[Variación Stock]]&gt;0,"Sobrante",IF(Tabla2[[#This Row],[Variación Stock]]&lt;0,"Faltante","Sin novedad"))</f>
        <v>Sobrante</v>
      </c>
    </row>
    <row r="3903" spans="1:14" hidden="1" x14ac:dyDescent="0.25">
      <c r="A3903" s="11">
        <v>46053</v>
      </c>
      <c r="B3903" s="5" t="s">
        <v>1078</v>
      </c>
      <c r="C3903" s="3" t="s">
        <v>339</v>
      </c>
      <c r="D3903" s="5" t="s">
        <v>116</v>
      </c>
      <c r="E3903" s="5" t="s">
        <v>117</v>
      </c>
      <c r="F3903" s="6" t="s">
        <v>4</v>
      </c>
      <c r="G3903" s="4" t="s">
        <v>2</v>
      </c>
      <c r="H3903" s="25">
        <v>3250</v>
      </c>
      <c r="I3903" s="8">
        <v>-5</v>
      </c>
      <c r="J3903" s="9">
        <v>36</v>
      </c>
      <c r="K3903" s="7">
        <v>41</v>
      </c>
      <c r="L3903" s="24">
        <f>+Tabla2[[#This Row],[Stock Inventario]]*Tabla2[[#This Row],[Coste LÃ­nea]]</f>
        <v>117000</v>
      </c>
      <c r="M3903" s="24">
        <f>+Tabla2[[#This Row],[Variación Stock]]*Tabla2[[#This Row],[Coste LÃ­nea]]</f>
        <v>133250</v>
      </c>
      <c r="N3903" s="22" t="str">
        <f>+IF(Tabla2[[#This Row],[Variación Stock]]&gt;0,"Sobrante",IF(Tabla2[[#This Row],[Variación Stock]]&lt;0,"Faltante","Sin novedad"))</f>
        <v>Sobrante</v>
      </c>
    </row>
    <row r="3904" spans="1:14" hidden="1" x14ac:dyDescent="0.25">
      <c r="A3904" s="11">
        <v>46053</v>
      </c>
      <c r="B3904" s="5" t="s">
        <v>1078</v>
      </c>
      <c r="C3904" s="3" t="s">
        <v>339</v>
      </c>
      <c r="D3904" s="5" t="s">
        <v>116</v>
      </c>
      <c r="E3904" s="5" t="s">
        <v>117</v>
      </c>
      <c r="F3904" s="6" t="s">
        <v>79</v>
      </c>
      <c r="G3904" s="4" t="s">
        <v>2</v>
      </c>
      <c r="H3904" s="25">
        <v>4850</v>
      </c>
      <c r="I3904" s="8">
        <v>13</v>
      </c>
      <c r="J3904" s="9">
        <v>11</v>
      </c>
      <c r="K3904" s="7">
        <v>-2</v>
      </c>
      <c r="L3904" s="24">
        <f>+Tabla2[[#This Row],[Stock Inventario]]*Tabla2[[#This Row],[Coste LÃ­nea]]</f>
        <v>53350</v>
      </c>
      <c r="M3904" s="24">
        <f>+Tabla2[[#This Row],[Variación Stock]]*Tabla2[[#This Row],[Coste LÃ­nea]]</f>
        <v>-9700</v>
      </c>
      <c r="N3904" s="22" t="str">
        <f>+IF(Tabla2[[#This Row],[Variación Stock]]&gt;0,"Sobrante",IF(Tabla2[[#This Row],[Variación Stock]]&lt;0,"Faltante","Sin novedad"))</f>
        <v>Faltante</v>
      </c>
    </row>
    <row r="3905" spans="1:14" hidden="1" x14ac:dyDescent="0.25">
      <c r="A3905" s="11">
        <v>46053</v>
      </c>
      <c r="B3905" s="5" t="s">
        <v>1078</v>
      </c>
      <c r="C3905" s="3" t="s">
        <v>339</v>
      </c>
      <c r="D3905" s="5" t="s">
        <v>119</v>
      </c>
      <c r="E3905" s="5" t="s">
        <v>117</v>
      </c>
      <c r="F3905" s="6" t="s">
        <v>95</v>
      </c>
      <c r="G3905" s="4" t="s">
        <v>1</v>
      </c>
      <c r="H3905" s="25">
        <v>39</v>
      </c>
      <c r="I3905" s="8">
        <v>21503.777699999999</v>
      </c>
      <c r="J3905" s="9">
        <v>25842</v>
      </c>
      <c r="K3905" s="15">
        <v>4338.2223450000001</v>
      </c>
      <c r="L3905" s="24">
        <f>+Tabla2[[#This Row],[Stock Inventario]]*Tabla2[[#This Row],[Coste LÃ­nea]]</f>
        <v>1007838</v>
      </c>
      <c r="M3905" s="24">
        <f>+Tabla2[[#This Row],[Variación Stock]]*Tabla2[[#This Row],[Coste LÃ­nea]]</f>
        <v>169190.671455</v>
      </c>
      <c r="N3905" s="22" t="str">
        <f>+IF(Tabla2[[#This Row],[Variación Stock]]&gt;0,"Sobrante",IF(Tabla2[[#This Row],[Variación Stock]]&lt;0,"Faltante","Sin novedad"))</f>
        <v>Sobrante</v>
      </c>
    </row>
    <row r="3906" spans="1:14" x14ac:dyDescent="0.25">
      <c r="A3906" s="11">
        <v>46053</v>
      </c>
      <c r="B3906" s="5" t="s">
        <v>1078</v>
      </c>
      <c r="C3906" s="3" t="s">
        <v>339</v>
      </c>
      <c r="D3906" s="5" t="s">
        <v>118</v>
      </c>
      <c r="E3906" s="5" t="s">
        <v>112</v>
      </c>
      <c r="F3906" s="6" t="s">
        <v>80</v>
      </c>
      <c r="G3906" s="4" t="s">
        <v>2</v>
      </c>
      <c r="H3906" s="25">
        <v>108834</v>
      </c>
      <c r="I3906" s="8">
        <v>2</v>
      </c>
      <c r="J3906" s="9">
        <v>2</v>
      </c>
      <c r="K3906" s="7">
        <v>0</v>
      </c>
      <c r="L3906" s="24">
        <f>+Tabla2[[#This Row],[Stock Inventario]]*Tabla2[[#This Row],[Coste LÃ­nea]]</f>
        <v>217668</v>
      </c>
      <c r="M3906" s="24">
        <f>+Tabla2[[#This Row],[Variación Stock]]*Tabla2[[#This Row],[Coste LÃ­nea]]</f>
        <v>0</v>
      </c>
      <c r="N3906" s="22" t="str">
        <f>+IF(Tabla2[[#This Row],[Variación Stock]]&gt;0,"Sobrante",IF(Tabla2[[#This Row],[Variación Stock]]&lt;0,"Faltante","Sin novedad"))</f>
        <v>Sin novedad</v>
      </c>
    </row>
    <row r="3907" spans="1:14" hidden="1" x14ac:dyDescent="0.25">
      <c r="A3907" s="11">
        <v>46053</v>
      </c>
      <c r="B3907" s="5" t="s">
        <v>1078</v>
      </c>
      <c r="C3907" s="3" t="s">
        <v>339</v>
      </c>
      <c r="D3907" s="5" t="s">
        <v>471</v>
      </c>
      <c r="E3907" s="5" t="s">
        <v>117</v>
      </c>
      <c r="F3907" s="6" t="s">
        <v>501</v>
      </c>
      <c r="G3907" s="4" t="s">
        <v>1</v>
      </c>
      <c r="H3907" s="25">
        <v>70</v>
      </c>
      <c r="I3907" s="8">
        <v>576</v>
      </c>
      <c r="J3907" s="9">
        <v>806</v>
      </c>
      <c r="K3907" s="7">
        <v>230</v>
      </c>
      <c r="L3907" s="24">
        <f>+Tabla2[[#This Row],[Stock Inventario]]*Tabla2[[#This Row],[Coste LÃ­nea]]</f>
        <v>56420</v>
      </c>
      <c r="M3907" s="24">
        <f>+Tabla2[[#This Row],[Variación Stock]]*Tabla2[[#This Row],[Coste LÃ­nea]]</f>
        <v>16100</v>
      </c>
      <c r="N3907" s="22" t="str">
        <f>+IF(Tabla2[[#This Row],[Variación Stock]]&gt;0,"Sobrante",IF(Tabla2[[#This Row],[Variación Stock]]&lt;0,"Faltante","Sin novedad"))</f>
        <v>Sobrante</v>
      </c>
    </row>
    <row r="3908" spans="1:14" hidden="1" x14ac:dyDescent="0.25">
      <c r="A3908" s="11">
        <v>46053</v>
      </c>
      <c r="B3908" s="5" t="s">
        <v>1078</v>
      </c>
      <c r="C3908" s="3" t="s">
        <v>339</v>
      </c>
      <c r="D3908" s="5" t="s">
        <v>471</v>
      </c>
      <c r="E3908" s="5" t="s">
        <v>117</v>
      </c>
      <c r="F3908" s="6" t="s">
        <v>541</v>
      </c>
      <c r="G3908" s="4" t="s">
        <v>1</v>
      </c>
      <c r="H3908" s="25">
        <v>180</v>
      </c>
      <c r="I3908" s="8">
        <v>441</v>
      </c>
      <c r="J3908" s="9">
        <v>72</v>
      </c>
      <c r="K3908" s="7">
        <v>-369</v>
      </c>
      <c r="L3908" s="24">
        <f>+Tabla2[[#This Row],[Stock Inventario]]*Tabla2[[#This Row],[Coste LÃ­nea]]</f>
        <v>12960</v>
      </c>
      <c r="M3908" s="24">
        <f>+Tabla2[[#This Row],[Variación Stock]]*Tabla2[[#This Row],[Coste LÃ­nea]]</f>
        <v>-66420</v>
      </c>
      <c r="N3908" s="22" t="str">
        <f>+IF(Tabla2[[#This Row],[Variación Stock]]&gt;0,"Sobrante",IF(Tabla2[[#This Row],[Variación Stock]]&lt;0,"Faltante","Sin novedad"))</f>
        <v>Faltante</v>
      </c>
    </row>
    <row r="3909" spans="1:14" x14ac:dyDescent="0.25">
      <c r="A3909" s="11">
        <v>46053</v>
      </c>
      <c r="B3909" s="5" t="s">
        <v>1078</v>
      </c>
      <c r="C3909" s="3" t="s">
        <v>339</v>
      </c>
      <c r="D3909" s="5" t="s">
        <v>118</v>
      </c>
      <c r="E3909" s="5" t="s">
        <v>112</v>
      </c>
      <c r="F3909" s="6" t="s">
        <v>296</v>
      </c>
      <c r="G3909" s="4" t="s">
        <v>2</v>
      </c>
      <c r="H3909" s="25">
        <v>27250</v>
      </c>
      <c r="I3909" s="8">
        <v>2</v>
      </c>
      <c r="J3909" s="9">
        <v>2</v>
      </c>
      <c r="K3909" s="7">
        <v>0</v>
      </c>
      <c r="L3909" s="24">
        <f>+Tabla2[[#This Row],[Stock Inventario]]*Tabla2[[#This Row],[Coste LÃ­nea]]</f>
        <v>54500</v>
      </c>
      <c r="M3909" s="24">
        <f>+Tabla2[[#This Row],[Variación Stock]]*Tabla2[[#This Row],[Coste LÃ­nea]]</f>
        <v>0</v>
      </c>
      <c r="N3909" s="22" t="str">
        <f>+IF(Tabla2[[#This Row],[Variación Stock]]&gt;0,"Sobrante",IF(Tabla2[[#This Row],[Variación Stock]]&lt;0,"Faltante","Sin novedad"))</f>
        <v>Sin novedad</v>
      </c>
    </row>
    <row r="3910" spans="1:14" x14ac:dyDescent="0.25">
      <c r="A3910" s="11">
        <v>46053</v>
      </c>
      <c r="B3910" s="5" t="s">
        <v>1078</v>
      </c>
      <c r="C3910" s="3" t="s">
        <v>339</v>
      </c>
      <c r="D3910" s="5" t="s">
        <v>118</v>
      </c>
      <c r="E3910" s="5" t="s">
        <v>112</v>
      </c>
      <c r="F3910" s="6" t="s">
        <v>297</v>
      </c>
      <c r="G3910" s="4" t="s">
        <v>2</v>
      </c>
      <c r="H3910" s="25">
        <v>87241.5</v>
      </c>
      <c r="I3910" s="8">
        <v>2</v>
      </c>
      <c r="J3910" s="9">
        <v>2</v>
      </c>
      <c r="K3910" s="7">
        <v>0</v>
      </c>
      <c r="L3910" s="24">
        <f>+Tabla2[[#This Row],[Stock Inventario]]*Tabla2[[#This Row],[Coste LÃ­nea]]</f>
        <v>174483</v>
      </c>
      <c r="M3910" s="24">
        <f>+Tabla2[[#This Row],[Variación Stock]]*Tabla2[[#This Row],[Coste LÃ­nea]]</f>
        <v>0</v>
      </c>
      <c r="N3910" s="22" t="str">
        <f>+IF(Tabla2[[#This Row],[Variación Stock]]&gt;0,"Sobrante",IF(Tabla2[[#This Row],[Variación Stock]]&lt;0,"Faltante","Sin novedad"))</f>
        <v>Sin novedad</v>
      </c>
    </row>
    <row r="3911" spans="1:14" x14ac:dyDescent="0.25">
      <c r="A3911" s="11">
        <v>46053</v>
      </c>
      <c r="B3911" s="5" t="s">
        <v>1078</v>
      </c>
      <c r="C3911" s="3" t="s">
        <v>339</v>
      </c>
      <c r="D3911" s="5" t="s">
        <v>603</v>
      </c>
      <c r="E3911" s="5" t="s">
        <v>112</v>
      </c>
      <c r="F3911" s="6" t="s">
        <v>617</v>
      </c>
      <c r="G3911" s="4" t="s">
        <v>1</v>
      </c>
      <c r="H3911" s="25">
        <v>17</v>
      </c>
      <c r="I3911" s="8">
        <v>1371.8420000000001</v>
      </c>
      <c r="J3911" s="9">
        <v>1507</v>
      </c>
      <c r="K3911" s="7">
        <v>135.157994</v>
      </c>
      <c r="L3911" s="24">
        <f>+Tabla2[[#This Row],[Stock Inventario]]*Tabla2[[#This Row],[Coste LÃ­nea]]</f>
        <v>25619</v>
      </c>
      <c r="M3911" s="24">
        <f>+Tabla2[[#This Row],[Variación Stock]]*Tabla2[[#This Row],[Coste LÃ­nea]]</f>
        <v>2297.6858980000002</v>
      </c>
      <c r="N3911" s="22" t="str">
        <f>+IF(Tabla2[[#This Row],[Variación Stock]]&gt;0,"Sobrante",IF(Tabla2[[#This Row],[Variación Stock]]&lt;0,"Faltante","Sin novedad"))</f>
        <v>Sobrante</v>
      </c>
    </row>
    <row r="3912" spans="1:14" hidden="1" x14ac:dyDescent="0.25">
      <c r="A3912" s="11">
        <v>46053</v>
      </c>
      <c r="B3912" s="5" t="s">
        <v>1078</v>
      </c>
      <c r="C3912" s="3" t="s">
        <v>339</v>
      </c>
      <c r="D3912" s="5" t="s">
        <v>471</v>
      </c>
      <c r="E3912" s="5" t="s">
        <v>117</v>
      </c>
      <c r="F3912" s="6" t="s">
        <v>502</v>
      </c>
      <c r="G3912" s="4" t="s">
        <v>1</v>
      </c>
      <c r="H3912" s="25">
        <v>16</v>
      </c>
      <c r="I3912" s="8">
        <v>12532.1055</v>
      </c>
      <c r="J3912" s="9">
        <v>1020</v>
      </c>
      <c r="K3912" s="7">
        <v>-11512.105548</v>
      </c>
      <c r="L3912" s="24">
        <f>+Tabla2[[#This Row],[Stock Inventario]]*Tabla2[[#This Row],[Coste LÃ­nea]]</f>
        <v>16320</v>
      </c>
      <c r="M3912" s="24">
        <f>+Tabla2[[#This Row],[Variación Stock]]*Tabla2[[#This Row],[Coste LÃ­nea]]</f>
        <v>-184193.68876799999</v>
      </c>
      <c r="N3912" s="22" t="str">
        <f>+IF(Tabla2[[#This Row],[Variación Stock]]&gt;0,"Sobrante",IF(Tabla2[[#This Row],[Variación Stock]]&lt;0,"Faltante","Sin novedad"))</f>
        <v>Faltante</v>
      </c>
    </row>
    <row r="3913" spans="1:14" x14ac:dyDescent="0.25">
      <c r="A3913" s="11">
        <v>46053</v>
      </c>
      <c r="B3913" s="5" t="s">
        <v>1078</v>
      </c>
      <c r="C3913" s="3" t="s">
        <v>339</v>
      </c>
      <c r="D3913" s="5" t="s">
        <v>603</v>
      </c>
      <c r="E3913" s="5" t="s">
        <v>112</v>
      </c>
      <c r="F3913" s="6" t="s">
        <v>610</v>
      </c>
      <c r="G3913" s="4" t="s">
        <v>1</v>
      </c>
      <c r="H3913" s="25">
        <v>22.174666670000001</v>
      </c>
      <c r="I3913" s="8">
        <v>2180</v>
      </c>
      <c r="J3913" s="9">
        <v>2</v>
      </c>
      <c r="K3913" s="7">
        <v>-2178</v>
      </c>
      <c r="L3913" s="24">
        <f>+Tabla2[[#This Row],[Stock Inventario]]*Tabla2[[#This Row],[Coste LÃ­nea]]</f>
        <v>44.349333340000001</v>
      </c>
      <c r="M3913" s="24">
        <f>+Tabla2[[#This Row],[Variación Stock]]*Tabla2[[#This Row],[Coste LÃ­nea]]</f>
        <v>-48296.424007260001</v>
      </c>
      <c r="N3913" s="22" t="str">
        <f>+IF(Tabla2[[#This Row],[Variación Stock]]&gt;0,"Sobrante",IF(Tabla2[[#This Row],[Variación Stock]]&lt;0,"Faltante","Sin novedad"))</f>
        <v>Faltante</v>
      </c>
    </row>
    <row r="3914" spans="1:14" hidden="1" x14ac:dyDescent="0.25">
      <c r="A3914" s="11">
        <v>46053</v>
      </c>
      <c r="B3914" s="5" t="s">
        <v>1078</v>
      </c>
      <c r="C3914" s="3" t="s">
        <v>339</v>
      </c>
      <c r="D3914" s="5" t="s">
        <v>396</v>
      </c>
      <c r="E3914" s="5" t="s">
        <v>117</v>
      </c>
      <c r="F3914" s="6" t="s">
        <v>400</v>
      </c>
      <c r="G3914" s="4" t="s">
        <v>1</v>
      </c>
      <c r="H3914" s="25">
        <v>20</v>
      </c>
      <c r="I3914" s="8">
        <v>0</v>
      </c>
      <c r="J3914" s="9">
        <v>0</v>
      </c>
      <c r="K3914" s="7">
        <v>0</v>
      </c>
      <c r="L3914" s="24">
        <f>+Tabla2[[#This Row],[Stock Inventario]]*Tabla2[[#This Row],[Coste LÃ­nea]]</f>
        <v>0</v>
      </c>
      <c r="M3914" s="24">
        <f>+Tabla2[[#This Row],[Variación Stock]]*Tabla2[[#This Row],[Coste LÃ­nea]]</f>
        <v>0</v>
      </c>
      <c r="N3914" s="22" t="str">
        <f>+IF(Tabla2[[#This Row],[Variación Stock]]&gt;0,"Sobrante",IF(Tabla2[[#This Row],[Variación Stock]]&lt;0,"Faltante","Sin novedad"))</f>
        <v>Sin novedad</v>
      </c>
    </row>
    <row r="3915" spans="1:14" hidden="1" x14ac:dyDescent="0.25">
      <c r="A3915" s="11">
        <v>46053</v>
      </c>
      <c r="B3915" s="5" t="s">
        <v>1078</v>
      </c>
      <c r="C3915" s="3" t="s">
        <v>339</v>
      </c>
      <c r="D3915" s="5" t="s">
        <v>626</v>
      </c>
      <c r="E3915" s="5" t="s">
        <v>1079</v>
      </c>
      <c r="F3915" s="6" t="s">
        <v>652</v>
      </c>
      <c r="G3915" s="4" t="s">
        <v>1</v>
      </c>
      <c r="H3915" s="25">
        <v>76.721052630000003</v>
      </c>
      <c r="I3915" s="8">
        <v>0</v>
      </c>
      <c r="J3915" s="9">
        <v>0</v>
      </c>
      <c r="K3915" s="7">
        <v>0</v>
      </c>
      <c r="L3915" s="24">
        <f>+Tabla2[[#This Row],[Stock Inventario]]*Tabla2[[#This Row],[Coste LÃ­nea]]</f>
        <v>0</v>
      </c>
      <c r="M3915" s="24">
        <f>+Tabla2[[#This Row],[Variación Stock]]*Tabla2[[#This Row],[Coste LÃ­nea]]</f>
        <v>0</v>
      </c>
      <c r="N3915" s="22" t="str">
        <f>+IF(Tabla2[[#This Row],[Variación Stock]]&gt;0,"Sobrante",IF(Tabla2[[#This Row],[Variación Stock]]&lt;0,"Faltante","Sin novedad"))</f>
        <v>Sin novedad</v>
      </c>
    </row>
    <row r="3916" spans="1:14" x14ac:dyDescent="0.25">
      <c r="A3916" s="11">
        <v>46053</v>
      </c>
      <c r="B3916" s="5" t="s">
        <v>1078</v>
      </c>
      <c r="C3916" s="3" t="s">
        <v>339</v>
      </c>
      <c r="D3916" s="5" t="s">
        <v>111</v>
      </c>
      <c r="E3916" s="5" t="s">
        <v>112</v>
      </c>
      <c r="F3916" s="6" t="s">
        <v>51</v>
      </c>
      <c r="G3916" s="4" t="s">
        <v>0</v>
      </c>
      <c r="H3916" s="25">
        <v>9648.9583333299997</v>
      </c>
      <c r="I3916" s="8">
        <v>6.4</v>
      </c>
      <c r="J3916" s="9">
        <v>7.87</v>
      </c>
      <c r="K3916" s="7">
        <v>1.47</v>
      </c>
      <c r="L3916" s="24">
        <f>+Tabla2[[#This Row],[Stock Inventario]]*Tabla2[[#This Row],[Coste LÃ­nea]]</f>
        <v>75937.302083307106</v>
      </c>
      <c r="M3916" s="24">
        <f>+Tabla2[[#This Row],[Variación Stock]]*Tabla2[[#This Row],[Coste LÃ­nea]]</f>
        <v>14183.9687499951</v>
      </c>
      <c r="N3916" s="22" t="str">
        <f>+IF(Tabla2[[#This Row],[Variación Stock]]&gt;0,"Sobrante",IF(Tabla2[[#This Row],[Variación Stock]]&lt;0,"Faltante","Sin novedad"))</f>
        <v>Sobrante</v>
      </c>
    </row>
    <row r="3917" spans="1:14" x14ac:dyDescent="0.25">
      <c r="A3917" s="11">
        <v>46053</v>
      </c>
      <c r="B3917" s="5" t="s">
        <v>1078</v>
      </c>
      <c r="C3917" s="3" t="s">
        <v>339</v>
      </c>
      <c r="D3917" s="5" t="s">
        <v>111</v>
      </c>
      <c r="E3917" s="5" t="s">
        <v>112</v>
      </c>
      <c r="F3917" s="6" t="s">
        <v>23</v>
      </c>
      <c r="G3917" s="4" t="s">
        <v>0</v>
      </c>
      <c r="H3917" s="25">
        <v>4724.9090909099996</v>
      </c>
      <c r="I3917" s="8">
        <v>24.52</v>
      </c>
      <c r="J3917" s="9">
        <v>34.6</v>
      </c>
      <c r="K3917" s="7">
        <v>10.08</v>
      </c>
      <c r="L3917" s="24">
        <f>+Tabla2[[#This Row],[Stock Inventario]]*Tabla2[[#This Row],[Coste LÃ­nea]]</f>
        <v>163481.85454548598</v>
      </c>
      <c r="M3917" s="24">
        <f>+Tabla2[[#This Row],[Variación Stock]]*Tabla2[[#This Row],[Coste LÃ­nea]]</f>
        <v>47627.083636372794</v>
      </c>
      <c r="N3917" s="22" t="str">
        <f>+IF(Tabla2[[#This Row],[Variación Stock]]&gt;0,"Sobrante",IF(Tabla2[[#This Row],[Variación Stock]]&lt;0,"Faltante","Sin novedad"))</f>
        <v>Sobrante</v>
      </c>
    </row>
    <row r="3918" spans="1:14" x14ac:dyDescent="0.25">
      <c r="A3918" s="11">
        <v>46053</v>
      </c>
      <c r="B3918" s="5" t="s">
        <v>1078</v>
      </c>
      <c r="C3918" s="3" t="s">
        <v>339</v>
      </c>
      <c r="D3918" s="5" t="s">
        <v>111</v>
      </c>
      <c r="E3918" s="5" t="s">
        <v>112</v>
      </c>
      <c r="F3918" s="6" t="s">
        <v>52</v>
      </c>
      <c r="G3918" s="4" t="s">
        <v>0</v>
      </c>
      <c r="H3918" s="25">
        <v>6800.3640183199996</v>
      </c>
      <c r="I3918" s="8">
        <v>24.27</v>
      </c>
      <c r="J3918" s="9">
        <v>25.65</v>
      </c>
      <c r="K3918" s="7">
        <v>1.38</v>
      </c>
      <c r="L3918" s="24">
        <f>+Tabla2[[#This Row],[Stock Inventario]]*Tabla2[[#This Row],[Coste LÃ­nea]]</f>
        <v>174429.33706990798</v>
      </c>
      <c r="M3918" s="24">
        <f>+Tabla2[[#This Row],[Variación Stock]]*Tabla2[[#This Row],[Coste LÃ­nea]]</f>
        <v>9384.5023452815985</v>
      </c>
      <c r="N3918" s="22" t="str">
        <f>+IF(Tabla2[[#This Row],[Variación Stock]]&gt;0,"Sobrante",IF(Tabla2[[#This Row],[Variación Stock]]&lt;0,"Faltante","Sin novedad"))</f>
        <v>Sobrante</v>
      </c>
    </row>
    <row r="3919" spans="1:14" x14ac:dyDescent="0.25">
      <c r="A3919" s="11">
        <v>46053</v>
      </c>
      <c r="B3919" s="5" t="s">
        <v>1078</v>
      </c>
      <c r="C3919" s="3" t="s">
        <v>339</v>
      </c>
      <c r="D3919" s="5" t="s">
        <v>114</v>
      </c>
      <c r="E3919" s="5" t="s">
        <v>112</v>
      </c>
      <c r="F3919" s="6" t="s">
        <v>62</v>
      </c>
      <c r="G3919" s="4" t="s">
        <v>2</v>
      </c>
      <c r="H3919" s="25">
        <v>1646.59232617</v>
      </c>
      <c r="I3919" s="8">
        <v>20.21</v>
      </c>
      <c r="J3919" s="9">
        <v>15</v>
      </c>
      <c r="K3919" s="7">
        <v>-5.21</v>
      </c>
      <c r="L3919" s="24">
        <f>+Tabla2[[#This Row],[Stock Inventario]]*Tabla2[[#This Row],[Coste LÃ­nea]]</f>
        <v>24698.884892549999</v>
      </c>
      <c r="M3919" s="24">
        <f>+Tabla2[[#This Row],[Variación Stock]]*Tabla2[[#This Row],[Coste LÃ­nea]]</f>
        <v>-8578.7460193456991</v>
      </c>
      <c r="N3919" s="22" t="str">
        <f>+IF(Tabla2[[#This Row],[Variación Stock]]&gt;0,"Sobrante",IF(Tabla2[[#This Row],[Variación Stock]]&lt;0,"Faltante","Sin novedad"))</f>
        <v>Faltante</v>
      </c>
    </row>
    <row r="3920" spans="1:14" x14ac:dyDescent="0.25">
      <c r="A3920" s="11">
        <v>46053</v>
      </c>
      <c r="B3920" s="5" t="s">
        <v>1078</v>
      </c>
      <c r="C3920" s="3" t="s">
        <v>339</v>
      </c>
      <c r="D3920" s="5" t="s">
        <v>114</v>
      </c>
      <c r="E3920" s="5" t="s">
        <v>112</v>
      </c>
      <c r="F3920" s="6" t="s">
        <v>69</v>
      </c>
      <c r="G3920" s="4" t="s">
        <v>2</v>
      </c>
      <c r="H3920" s="25">
        <v>5133.6666666700003</v>
      </c>
      <c r="I3920" s="8">
        <v>56.37</v>
      </c>
      <c r="J3920" s="9">
        <v>71</v>
      </c>
      <c r="K3920" s="7">
        <v>14.63</v>
      </c>
      <c r="L3920" s="24">
        <f>+Tabla2[[#This Row],[Stock Inventario]]*Tabla2[[#This Row],[Coste LÃ­nea]]</f>
        <v>364490.33333357004</v>
      </c>
      <c r="M3920" s="24">
        <f>+Tabla2[[#This Row],[Variación Stock]]*Tabla2[[#This Row],[Coste LÃ­nea]]</f>
        <v>75105.543333382113</v>
      </c>
      <c r="N3920" s="22" t="str">
        <f>+IF(Tabla2[[#This Row],[Variación Stock]]&gt;0,"Sobrante",IF(Tabla2[[#This Row],[Variación Stock]]&lt;0,"Faltante","Sin novedad"))</f>
        <v>Sobrante</v>
      </c>
    </row>
    <row r="3921" spans="1:14" x14ac:dyDescent="0.25">
      <c r="A3921" s="11">
        <v>46053</v>
      </c>
      <c r="B3921" s="5" t="s">
        <v>1078</v>
      </c>
      <c r="C3921" s="3" t="s">
        <v>339</v>
      </c>
      <c r="D3921" s="5" t="s">
        <v>111</v>
      </c>
      <c r="E3921" s="5" t="s">
        <v>112</v>
      </c>
      <c r="F3921" s="6" t="s">
        <v>24</v>
      </c>
      <c r="G3921" s="4" t="s">
        <v>0</v>
      </c>
      <c r="H3921" s="25">
        <v>3359.40909091</v>
      </c>
      <c r="I3921" s="8">
        <v>27.55</v>
      </c>
      <c r="J3921" s="9">
        <v>31</v>
      </c>
      <c r="K3921" s="7">
        <v>3.45</v>
      </c>
      <c r="L3921" s="24">
        <f>+Tabla2[[#This Row],[Stock Inventario]]*Tabla2[[#This Row],[Coste LÃ­nea]]</f>
        <v>104141.68181821</v>
      </c>
      <c r="M3921" s="24">
        <f>+Tabla2[[#This Row],[Variación Stock]]*Tabla2[[#This Row],[Coste LÃ­nea]]</f>
        <v>11589.961363639501</v>
      </c>
      <c r="N3921" s="22" t="str">
        <f>+IF(Tabla2[[#This Row],[Variación Stock]]&gt;0,"Sobrante",IF(Tabla2[[#This Row],[Variación Stock]]&lt;0,"Faltante","Sin novedad"))</f>
        <v>Sobrante</v>
      </c>
    </row>
    <row r="3922" spans="1:14" hidden="1" x14ac:dyDescent="0.25">
      <c r="A3922" s="11">
        <v>46053</v>
      </c>
      <c r="B3922" s="5" t="s">
        <v>1078</v>
      </c>
      <c r="C3922" s="3" t="s">
        <v>339</v>
      </c>
      <c r="D3922" s="5" t="s">
        <v>626</v>
      </c>
      <c r="E3922" s="5" t="s">
        <v>1079</v>
      </c>
      <c r="F3922" s="6" t="s">
        <v>653</v>
      </c>
      <c r="G3922" s="4" t="s">
        <v>2</v>
      </c>
      <c r="H3922" s="25">
        <v>424.55</v>
      </c>
      <c r="I3922" s="8">
        <v>24</v>
      </c>
      <c r="J3922" s="9">
        <v>1</v>
      </c>
      <c r="K3922" s="7">
        <v>-23</v>
      </c>
      <c r="L3922" s="24">
        <f>+Tabla2[[#This Row],[Stock Inventario]]*Tabla2[[#This Row],[Coste LÃ­nea]]</f>
        <v>424.55</v>
      </c>
      <c r="M3922" s="24">
        <f>+Tabla2[[#This Row],[Variación Stock]]*Tabla2[[#This Row],[Coste LÃ­nea]]</f>
        <v>-9764.65</v>
      </c>
      <c r="N3922" s="22" t="str">
        <f>+IF(Tabla2[[#This Row],[Variación Stock]]&gt;0,"Sobrante",IF(Tabla2[[#This Row],[Variación Stock]]&lt;0,"Faltante","Sin novedad"))</f>
        <v>Faltante</v>
      </c>
    </row>
    <row r="3923" spans="1:14" hidden="1" x14ac:dyDescent="0.25">
      <c r="A3923" s="11">
        <v>46053</v>
      </c>
      <c r="B3923" s="5" t="s">
        <v>1078</v>
      </c>
      <c r="C3923" s="3" t="s">
        <v>339</v>
      </c>
      <c r="D3923" s="5" t="s">
        <v>626</v>
      </c>
      <c r="E3923" s="5" t="s">
        <v>1079</v>
      </c>
      <c r="F3923" s="6" t="s">
        <v>654</v>
      </c>
      <c r="G3923" s="4" t="s">
        <v>2</v>
      </c>
      <c r="H3923" s="25">
        <v>4703.0555555600004</v>
      </c>
      <c r="I3923" s="8">
        <v>15</v>
      </c>
      <c r="J3923" s="9">
        <v>2</v>
      </c>
      <c r="K3923" s="7">
        <v>-13</v>
      </c>
      <c r="L3923" s="24">
        <f>+Tabla2[[#This Row],[Stock Inventario]]*Tabla2[[#This Row],[Coste LÃ­nea]]</f>
        <v>9406.1111111200007</v>
      </c>
      <c r="M3923" s="24">
        <f>+Tabla2[[#This Row],[Variación Stock]]*Tabla2[[#This Row],[Coste LÃ­nea]]</f>
        <v>-61139.722222280005</v>
      </c>
      <c r="N3923" s="22" t="str">
        <f>+IF(Tabla2[[#This Row],[Variación Stock]]&gt;0,"Sobrante",IF(Tabla2[[#This Row],[Variación Stock]]&lt;0,"Faltante","Sin novedad"))</f>
        <v>Faltante</v>
      </c>
    </row>
    <row r="3924" spans="1:14" x14ac:dyDescent="0.25">
      <c r="A3924" s="11">
        <v>46053</v>
      </c>
      <c r="B3924" s="5" t="s">
        <v>1078</v>
      </c>
      <c r="C3924" s="3" t="s">
        <v>339</v>
      </c>
      <c r="D3924" s="5" t="s">
        <v>603</v>
      </c>
      <c r="E3924" s="5" t="s">
        <v>112</v>
      </c>
      <c r="F3924" s="6" t="s">
        <v>623</v>
      </c>
      <c r="G3924" s="4" t="s">
        <v>1</v>
      </c>
      <c r="H3924" s="25">
        <v>482.66444444000001</v>
      </c>
      <c r="I3924" s="8">
        <v>351</v>
      </c>
      <c r="J3924" s="9">
        <v>600</v>
      </c>
      <c r="K3924" s="7">
        <v>249</v>
      </c>
      <c r="L3924" s="24">
        <f>+Tabla2[[#This Row],[Stock Inventario]]*Tabla2[[#This Row],[Coste LÃ­nea]]</f>
        <v>289598.66666400002</v>
      </c>
      <c r="M3924" s="24">
        <f>+Tabla2[[#This Row],[Variación Stock]]*Tabla2[[#This Row],[Coste LÃ­nea]]</f>
        <v>120183.44666556</v>
      </c>
      <c r="N3924" s="22" t="str">
        <f>+IF(Tabla2[[#This Row],[Variación Stock]]&gt;0,"Sobrante",IF(Tabla2[[#This Row],[Variación Stock]]&lt;0,"Faltante","Sin novedad"))</f>
        <v>Sobrante</v>
      </c>
    </row>
    <row r="3925" spans="1:14" x14ac:dyDescent="0.25">
      <c r="A3925" s="11">
        <v>46053</v>
      </c>
      <c r="B3925" s="5" t="s">
        <v>1078</v>
      </c>
      <c r="C3925" s="3" t="s">
        <v>339</v>
      </c>
      <c r="D3925" s="5" t="s">
        <v>111</v>
      </c>
      <c r="E3925" s="5" t="s">
        <v>112</v>
      </c>
      <c r="F3925" s="6" t="s">
        <v>39</v>
      </c>
      <c r="G3925" s="4" t="s">
        <v>0</v>
      </c>
      <c r="H3925" s="25">
        <v>10145.63636364</v>
      </c>
      <c r="I3925" s="8">
        <v>15.84</v>
      </c>
      <c r="J3925" s="9">
        <v>14.14</v>
      </c>
      <c r="K3925" s="7">
        <v>-1.7</v>
      </c>
      <c r="L3925" s="24">
        <f>+Tabla2[[#This Row],[Stock Inventario]]*Tabla2[[#This Row],[Coste LÃ­nea]]</f>
        <v>143459.29818186961</v>
      </c>
      <c r="M3925" s="24">
        <f>+Tabla2[[#This Row],[Variación Stock]]*Tabla2[[#This Row],[Coste LÃ­nea]]</f>
        <v>-17247.581818187999</v>
      </c>
      <c r="N3925" s="22" t="str">
        <f>+IF(Tabla2[[#This Row],[Variación Stock]]&gt;0,"Sobrante",IF(Tabla2[[#This Row],[Variación Stock]]&lt;0,"Faltante","Sin novedad"))</f>
        <v>Faltante</v>
      </c>
    </row>
    <row r="3926" spans="1:14" hidden="1" x14ac:dyDescent="0.25">
      <c r="A3926" s="11">
        <v>46053</v>
      </c>
      <c r="B3926" s="5" t="s">
        <v>1078</v>
      </c>
      <c r="C3926" s="3" t="s">
        <v>339</v>
      </c>
      <c r="D3926" s="5" t="s">
        <v>559</v>
      </c>
      <c r="E3926" s="5" t="s">
        <v>1080</v>
      </c>
      <c r="F3926" s="6" t="s">
        <v>590</v>
      </c>
      <c r="G3926" s="4" t="s">
        <v>2</v>
      </c>
      <c r="H3926" s="25">
        <v>119.25</v>
      </c>
      <c r="I3926" s="8">
        <v>101</v>
      </c>
      <c r="J3926" s="9">
        <v>1</v>
      </c>
      <c r="K3926" s="7">
        <v>-100</v>
      </c>
      <c r="L3926" s="24">
        <f>+Tabla2[[#This Row],[Stock Inventario]]*Tabla2[[#This Row],[Coste LÃ­nea]]</f>
        <v>119.25</v>
      </c>
      <c r="M3926" s="24">
        <f>+Tabla2[[#This Row],[Variación Stock]]*Tabla2[[#This Row],[Coste LÃ­nea]]</f>
        <v>-11925</v>
      </c>
      <c r="N3926" s="22" t="str">
        <f>+IF(Tabla2[[#This Row],[Variación Stock]]&gt;0,"Sobrante",IF(Tabla2[[#This Row],[Variación Stock]]&lt;0,"Faltante","Sin novedad"))</f>
        <v>Faltante</v>
      </c>
    </row>
    <row r="3927" spans="1:14" hidden="1" x14ac:dyDescent="0.25">
      <c r="A3927" s="11">
        <v>46053</v>
      </c>
      <c r="B3927" s="5" t="s">
        <v>1078</v>
      </c>
      <c r="C3927" s="3" t="s">
        <v>339</v>
      </c>
      <c r="D3927" s="5" t="s">
        <v>626</v>
      </c>
      <c r="E3927" s="5" t="s">
        <v>1079</v>
      </c>
      <c r="F3927" s="6" t="s">
        <v>655</v>
      </c>
      <c r="G3927" s="4" t="s">
        <v>2</v>
      </c>
      <c r="H3927" s="25">
        <v>217.31714285999999</v>
      </c>
      <c r="I3927" s="8">
        <v>9</v>
      </c>
      <c r="J3927" s="9">
        <v>200</v>
      </c>
      <c r="K3927" s="7">
        <v>-7</v>
      </c>
      <c r="L3927" s="24">
        <f>+Tabla2[[#This Row],[Stock Inventario]]*Tabla2[[#This Row],[Coste LÃ­nea]]</f>
        <v>43463.428571999997</v>
      </c>
      <c r="M3927" s="24">
        <f>+Tabla2[[#This Row],[Variación Stock]]*Tabla2[[#This Row],[Coste LÃ­nea]]</f>
        <v>-1521.22000002</v>
      </c>
      <c r="N3927" s="22" t="str">
        <f>+IF(Tabla2[[#This Row],[Variación Stock]]&gt;0,"Sobrante",IF(Tabla2[[#This Row],[Variación Stock]]&lt;0,"Faltante","Sin novedad"))</f>
        <v>Faltante</v>
      </c>
    </row>
    <row r="3928" spans="1:14" hidden="1" x14ac:dyDescent="0.25">
      <c r="A3928" s="11">
        <v>46053</v>
      </c>
      <c r="B3928" s="5" t="s">
        <v>1078</v>
      </c>
      <c r="C3928" s="3" t="s">
        <v>339</v>
      </c>
      <c r="D3928" s="5" t="s">
        <v>626</v>
      </c>
      <c r="E3928" s="5" t="s">
        <v>1079</v>
      </c>
      <c r="F3928" s="6" t="s">
        <v>656</v>
      </c>
      <c r="G3928" s="4" t="s">
        <v>2</v>
      </c>
      <c r="H3928" s="25">
        <v>217.32</v>
      </c>
      <c r="I3928" s="8">
        <v>0</v>
      </c>
      <c r="J3928" s="9">
        <v>100</v>
      </c>
      <c r="K3928" s="7">
        <v>1</v>
      </c>
      <c r="L3928" s="24">
        <f>+Tabla2[[#This Row],[Stock Inventario]]*Tabla2[[#This Row],[Coste LÃ­nea]]</f>
        <v>21732</v>
      </c>
      <c r="M3928" s="24">
        <f>+Tabla2[[#This Row],[Variación Stock]]*Tabla2[[#This Row],[Coste LÃ­nea]]</f>
        <v>217.32</v>
      </c>
      <c r="N3928" s="22" t="str">
        <f>+IF(Tabla2[[#This Row],[Variación Stock]]&gt;0,"Sobrante",IF(Tabla2[[#This Row],[Variación Stock]]&lt;0,"Faltante","Sin novedad"))</f>
        <v>Sobrante</v>
      </c>
    </row>
    <row r="3929" spans="1:14" hidden="1" x14ac:dyDescent="0.25">
      <c r="A3929" s="11">
        <v>46053</v>
      </c>
      <c r="B3929" s="5" t="s">
        <v>1078</v>
      </c>
      <c r="C3929" s="3" t="s">
        <v>339</v>
      </c>
      <c r="D3929" s="5" t="s">
        <v>626</v>
      </c>
      <c r="E3929" s="5" t="s">
        <v>1079</v>
      </c>
      <c r="F3929" s="6" t="s">
        <v>627</v>
      </c>
      <c r="G3929" s="4" t="s">
        <v>2</v>
      </c>
      <c r="H3929" s="25">
        <v>217.32</v>
      </c>
      <c r="I3929" s="8">
        <v>4</v>
      </c>
      <c r="J3929" s="9">
        <v>0</v>
      </c>
      <c r="K3929" s="7">
        <v>-4</v>
      </c>
      <c r="L3929" s="24">
        <f>+Tabla2[[#This Row],[Stock Inventario]]*Tabla2[[#This Row],[Coste LÃ­nea]]</f>
        <v>0</v>
      </c>
      <c r="M3929" s="24">
        <f>+Tabla2[[#This Row],[Variación Stock]]*Tabla2[[#This Row],[Coste LÃ­nea]]</f>
        <v>-869.28</v>
      </c>
      <c r="N3929" s="22" t="str">
        <f>+IF(Tabla2[[#This Row],[Variación Stock]]&gt;0,"Sobrante",IF(Tabla2[[#This Row],[Variación Stock]]&lt;0,"Faltante","Sin novedad"))</f>
        <v>Faltante</v>
      </c>
    </row>
    <row r="3930" spans="1:14" hidden="1" x14ac:dyDescent="0.25">
      <c r="A3930" s="11">
        <v>46053</v>
      </c>
      <c r="B3930" s="5" t="s">
        <v>1078</v>
      </c>
      <c r="C3930" s="3" t="s">
        <v>339</v>
      </c>
      <c r="D3930" s="5" t="s">
        <v>471</v>
      </c>
      <c r="E3930" s="5" t="s">
        <v>117</v>
      </c>
      <c r="F3930" s="6" t="s">
        <v>503</v>
      </c>
      <c r="G3930" s="4" t="s">
        <v>1</v>
      </c>
      <c r="H3930" s="25">
        <v>2.8</v>
      </c>
      <c r="I3930" s="8">
        <v>2800</v>
      </c>
      <c r="J3930" s="9">
        <v>0</v>
      </c>
      <c r="K3930" s="7">
        <v>-2800</v>
      </c>
      <c r="L3930" s="24">
        <f>+Tabla2[[#This Row],[Stock Inventario]]*Tabla2[[#This Row],[Coste LÃ­nea]]</f>
        <v>0</v>
      </c>
      <c r="M3930" s="24">
        <f>+Tabla2[[#This Row],[Variación Stock]]*Tabla2[[#This Row],[Coste LÃ­nea]]</f>
        <v>-7839.9999999999991</v>
      </c>
      <c r="N3930" s="22" t="str">
        <f>+IF(Tabla2[[#This Row],[Variación Stock]]&gt;0,"Sobrante",IF(Tabla2[[#This Row],[Variación Stock]]&lt;0,"Faltante","Sin novedad"))</f>
        <v>Faltante</v>
      </c>
    </row>
    <row r="3931" spans="1:14" hidden="1" x14ac:dyDescent="0.25">
      <c r="A3931" s="11">
        <v>46053</v>
      </c>
      <c r="B3931" s="5" t="s">
        <v>1078</v>
      </c>
      <c r="C3931" s="3" t="s">
        <v>339</v>
      </c>
      <c r="D3931" s="5" t="s">
        <v>471</v>
      </c>
      <c r="E3931" s="5" t="s">
        <v>117</v>
      </c>
      <c r="F3931" s="6" t="s">
        <v>543</v>
      </c>
      <c r="G3931" s="4" t="s">
        <v>1</v>
      </c>
      <c r="H3931" s="25">
        <v>9</v>
      </c>
      <c r="I3931" s="8">
        <v>-8046</v>
      </c>
      <c r="J3931" s="9">
        <v>0</v>
      </c>
      <c r="K3931" s="7">
        <v>8046</v>
      </c>
      <c r="L3931" s="24">
        <f>+Tabla2[[#This Row],[Stock Inventario]]*Tabla2[[#This Row],[Coste LÃ­nea]]</f>
        <v>0</v>
      </c>
      <c r="M3931" s="24">
        <f>+Tabla2[[#This Row],[Variación Stock]]*Tabla2[[#This Row],[Coste LÃ­nea]]</f>
        <v>72414</v>
      </c>
      <c r="N3931" s="22" t="str">
        <f>+IF(Tabla2[[#This Row],[Variación Stock]]&gt;0,"Sobrante",IF(Tabla2[[#This Row],[Variación Stock]]&lt;0,"Faltante","Sin novedad"))</f>
        <v>Sobrante</v>
      </c>
    </row>
    <row r="3932" spans="1:14" hidden="1" x14ac:dyDescent="0.25">
      <c r="A3932" s="11">
        <v>46053</v>
      </c>
      <c r="B3932" s="5" t="s">
        <v>1078</v>
      </c>
      <c r="C3932" s="3" t="s">
        <v>339</v>
      </c>
      <c r="D3932" s="5" t="s">
        <v>471</v>
      </c>
      <c r="E3932" s="5" t="s">
        <v>117</v>
      </c>
      <c r="F3932" s="6" t="s">
        <v>504</v>
      </c>
      <c r="G3932" s="4" t="s">
        <v>1</v>
      </c>
      <c r="H3932" s="25">
        <v>6.8</v>
      </c>
      <c r="I3932" s="8">
        <v>-1857.2221</v>
      </c>
      <c r="J3932" s="9">
        <v>390</v>
      </c>
      <c r="K3932" s="7">
        <v>2247.2221159999999</v>
      </c>
      <c r="L3932" s="24">
        <f>+Tabla2[[#This Row],[Stock Inventario]]*Tabla2[[#This Row],[Coste LÃ­nea]]</f>
        <v>2652</v>
      </c>
      <c r="M3932" s="24">
        <f>+Tabla2[[#This Row],[Variación Stock]]*Tabla2[[#This Row],[Coste LÃ­nea]]</f>
        <v>15281.1103888</v>
      </c>
      <c r="N3932" s="22" t="str">
        <f>+IF(Tabla2[[#This Row],[Variación Stock]]&gt;0,"Sobrante",IF(Tabla2[[#This Row],[Variación Stock]]&lt;0,"Faltante","Sin novedad"))</f>
        <v>Sobrante</v>
      </c>
    </row>
    <row r="3933" spans="1:14" hidden="1" x14ac:dyDescent="0.25">
      <c r="A3933" s="11">
        <v>46053</v>
      </c>
      <c r="B3933" s="5" t="s">
        <v>1078</v>
      </c>
      <c r="C3933" s="3" t="s">
        <v>339</v>
      </c>
      <c r="D3933" s="5" t="s">
        <v>396</v>
      </c>
      <c r="E3933" s="5" t="s">
        <v>117</v>
      </c>
      <c r="F3933" s="6" t="s">
        <v>437</v>
      </c>
      <c r="G3933" s="4" t="s">
        <v>1</v>
      </c>
      <c r="H3933" s="25">
        <v>4.2671999999999999</v>
      </c>
      <c r="I3933" s="8">
        <v>39905</v>
      </c>
      <c r="J3933" s="9">
        <v>8000</v>
      </c>
      <c r="K3933" s="7">
        <v>-31905</v>
      </c>
      <c r="L3933" s="24">
        <f>+Tabla2[[#This Row],[Stock Inventario]]*Tabla2[[#This Row],[Coste LÃ­nea]]</f>
        <v>34137.599999999999</v>
      </c>
      <c r="M3933" s="24">
        <f>+Tabla2[[#This Row],[Variación Stock]]*Tabla2[[#This Row],[Coste LÃ­nea]]</f>
        <v>-136145.016</v>
      </c>
      <c r="N3933" s="22" t="str">
        <f>+IF(Tabla2[[#This Row],[Variación Stock]]&gt;0,"Sobrante",IF(Tabla2[[#This Row],[Variación Stock]]&lt;0,"Faltante","Sin novedad"))</f>
        <v>Faltante</v>
      </c>
    </row>
    <row r="3934" spans="1:14" hidden="1" x14ac:dyDescent="0.25">
      <c r="A3934" s="11">
        <v>46053</v>
      </c>
      <c r="B3934" s="5" t="s">
        <v>1078</v>
      </c>
      <c r="C3934" s="3" t="s">
        <v>339</v>
      </c>
      <c r="D3934" s="5" t="s">
        <v>396</v>
      </c>
      <c r="E3934" s="5" t="s">
        <v>117</v>
      </c>
      <c r="F3934" s="6" t="s">
        <v>438</v>
      </c>
      <c r="G3934" s="4" t="s">
        <v>1</v>
      </c>
      <c r="H3934" s="25">
        <v>3.7180833299999998</v>
      </c>
      <c r="I3934" s="8">
        <v>518</v>
      </c>
      <c r="J3934" s="9">
        <v>0</v>
      </c>
      <c r="K3934" s="7">
        <v>-518</v>
      </c>
      <c r="L3934" s="24">
        <f>+Tabla2[[#This Row],[Stock Inventario]]*Tabla2[[#This Row],[Coste LÃ­nea]]</f>
        <v>0</v>
      </c>
      <c r="M3934" s="24">
        <f>+Tabla2[[#This Row],[Variación Stock]]*Tabla2[[#This Row],[Coste LÃ­nea]]</f>
        <v>-1925.96716494</v>
      </c>
      <c r="N3934" s="22" t="str">
        <f>+IF(Tabla2[[#This Row],[Variación Stock]]&gt;0,"Sobrante",IF(Tabla2[[#This Row],[Variación Stock]]&lt;0,"Faltante","Sin novedad"))</f>
        <v>Faltante</v>
      </c>
    </row>
    <row r="3935" spans="1:14" hidden="1" x14ac:dyDescent="0.25">
      <c r="A3935" s="11">
        <v>46053</v>
      </c>
      <c r="B3935" s="5" t="s">
        <v>1078</v>
      </c>
      <c r="C3935" s="3" t="s">
        <v>339</v>
      </c>
      <c r="D3935" s="5" t="s">
        <v>559</v>
      </c>
      <c r="E3935" s="5" t="s">
        <v>1080</v>
      </c>
      <c r="F3935" s="6" t="s">
        <v>583</v>
      </c>
      <c r="G3935" s="4" t="s">
        <v>2</v>
      </c>
      <c r="H3935" s="25">
        <v>136.85</v>
      </c>
      <c r="I3935" s="8">
        <v>202</v>
      </c>
      <c r="J3935" s="9">
        <v>0</v>
      </c>
      <c r="K3935" s="7">
        <v>-202</v>
      </c>
      <c r="L3935" s="24">
        <f>+Tabla2[[#This Row],[Stock Inventario]]*Tabla2[[#This Row],[Coste LÃ­nea]]</f>
        <v>0</v>
      </c>
      <c r="M3935" s="24">
        <f>+Tabla2[[#This Row],[Variación Stock]]*Tabla2[[#This Row],[Coste LÃ­nea]]</f>
        <v>-27643.699999999997</v>
      </c>
      <c r="N3935" s="22" t="str">
        <f>+IF(Tabla2[[#This Row],[Variación Stock]]&gt;0,"Sobrante",IF(Tabla2[[#This Row],[Variación Stock]]&lt;0,"Faltante","Sin novedad"))</f>
        <v>Faltante</v>
      </c>
    </row>
    <row r="3936" spans="1:14" hidden="1" x14ac:dyDescent="0.25">
      <c r="A3936" s="11">
        <v>46053</v>
      </c>
      <c r="B3936" s="5" t="s">
        <v>1078</v>
      </c>
      <c r="C3936" s="3" t="s">
        <v>339</v>
      </c>
      <c r="D3936" s="5" t="s">
        <v>471</v>
      </c>
      <c r="E3936" s="5" t="s">
        <v>117</v>
      </c>
      <c r="F3936" s="6" t="s">
        <v>545</v>
      </c>
      <c r="G3936" s="4" t="s">
        <v>1</v>
      </c>
      <c r="H3936" s="25">
        <v>33</v>
      </c>
      <c r="I3936" s="8">
        <v>854.22220000000004</v>
      </c>
      <c r="J3936" s="9">
        <v>0</v>
      </c>
      <c r="K3936" s="7">
        <v>-854.22222250000004</v>
      </c>
      <c r="L3936" s="24">
        <f>+Tabla2[[#This Row],[Stock Inventario]]*Tabla2[[#This Row],[Coste LÃ­nea]]</f>
        <v>0</v>
      </c>
      <c r="M3936" s="24">
        <f>+Tabla2[[#This Row],[Variación Stock]]*Tabla2[[#This Row],[Coste LÃ­nea]]</f>
        <v>-28189.333342500002</v>
      </c>
      <c r="N3936" s="22" t="str">
        <f>+IF(Tabla2[[#This Row],[Variación Stock]]&gt;0,"Sobrante",IF(Tabla2[[#This Row],[Variación Stock]]&lt;0,"Faltante","Sin novedad"))</f>
        <v>Faltante</v>
      </c>
    </row>
    <row r="3937" spans="1:14" x14ac:dyDescent="0.25">
      <c r="A3937" s="11">
        <v>46053</v>
      </c>
      <c r="B3937" s="5" t="s">
        <v>1078</v>
      </c>
      <c r="C3937" s="3" t="s">
        <v>339</v>
      </c>
      <c r="D3937" s="5" t="s">
        <v>603</v>
      </c>
      <c r="E3937" s="5" t="s">
        <v>112</v>
      </c>
      <c r="F3937" s="6" t="s">
        <v>618</v>
      </c>
      <c r="G3937" s="4" t="s">
        <v>1</v>
      </c>
      <c r="H3937" s="25">
        <v>16</v>
      </c>
      <c r="I3937" s="8">
        <v>-6038.7019</v>
      </c>
      <c r="J3937" s="9">
        <v>1305</v>
      </c>
      <c r="K3937" s="7">
        <v>7343.7018791999999</v>
      </c>
      <c r="L3937" s="24">
        <f>+Tabla2[[#This Row],[Stock Inventario]]*Tabla2[[#This Row],[Coste LÃ­nea]]</f>
        <v>20880</v>
      </c>
      <c r="M3937" s="24">
        <f>+Tabla2[[#This Row],[Variación Stock]]*Tabla2[[#This Row],[Coste LÃ­nea]]</f>
        <v>117499.2300672</v>
      </c>
      <c r="N3937" s="22" t="str">
        <f>+IF(Tabla2[[#This Row],[Variación Stock]]&gt;0,"Sobrante",IF(Tabla2[[#This Row],[Variación Stock]]&lt;0,"Faltante","Sin novedad"))</f>
        <v>Sobrante</v>
      </c>
    </row>
    <row r="3938" spans="1:14" hidden="1" x14ac:dyDescent="0.25">
      <c r="A3938" s="11">
        <v>46053</v>
      </c>
      <c r="B3938" s="5" t="s">
        <v>1078</v>
      </c>
      <c r="C3938" s="3" t="s">
        <v>339</v>
      </c>
      <c r="D3938" s="5" t="s">
        <v>626</v>
      </c>
      <c r="E3938" s="5" t="s">
        <v>1079</v>
      </c>
      <c r="F3938" s="6" t="s">
        <v>657</v>
      </c>
      <c r="G3938" s="4" t="s">
        <v>1</v>
      </c>
      <c r="H3938" s="25">
        <v>2.6021000000000001</v>
      </c>
      <c r="I3938" s="8">
        <v>65456</v>
      </c>
      <c r="J3938" s="9">
        <v>16000</v>
      </c>
      <c r="K3938" s="7">
        <v>-49456</v>
      </c>
      <c r="L3938" s="24">
        <f>+Tabla2[[#This Row],[Stock Inventario]]*Tabla2[[#This Row],[Coste LÃ­nea]]</f>
        <v>41633.599999999999</v>
      </c>
      <c r="M3938" s="24">
        <f>+Tabla2[[#This Row],[Variación Stock]]*Tabla2[[#This Row],[Coste LÃ­nea]]</f>
        <v>-128689.45760000001</v>
      </c>
      <c r="N3938" s="22" t="str">
        <f>+IF(Tabla2[[#This Row],[Variación Stock]]&gt;0,"Sobrante",IF(Tabla2[[#This Row],[Variación Stock]]&lt;0,"Faltante","Sin novedad"))</f>
        <v>Faltante</v>
      </c>
    </row>
    <row r="3939" spans="1:14" hidden="1" x14ac:dyDescent="0.25">
      <c r="A3939" s="11">
        <v>46053</v>
      </c>
      <c r="B3939" s="5" t="s">
        <v>1078</v>
      </c>
      <c r="C3939" s="3" t="s">
        <v>339</v>
      </c>
      <c r="D3939" s="5" t="s">
        <v>471</v>
      </c>
      <c r="E3939" s="5" t="s">
        <v>117</v>
      </c>
      <c r="F3939" s="6" t="s">
        <v>505</v>
      </c>
      <c r="G3939" s="4" t="s">
        <v>2</v>
      </c>
      <c r="H3939" s="25">
        <v>4000</v>
      </c>
      <c r="I3939" s="8">
        <v>-104</v>
      </c>
      <c r="J3939" s="9">
        <v>158</v>
      </c>
      <c r="K3939" s="7">
        <v>262</v>
      </c>
      <c r="L3939" s="24">
        <f>+Tabla2[[#This Row],[Stock Inventario]]*Tabla2[[#This Row],[Coste LÃ­nea]]</f>
        <v>632000</v>
      </c>
      <c r="M3939" s="24">
        <f>+Tabla2[[#This Row],[Variación Stock]]*Tabla2[[#This Row],[Coste LÃ­nea]]</f>
        <v>1048000</v>
      </c>
      <c r="N3939" s="22" t="str">
        <f>+IF(Tabla2[[#This Row],[Variación Stock]]&gt;0,"Sobrante",IF(Tabla2[[#This Row],[Variación Stock]]&lt;0,"Faltante","Sin novedad"))</f>
        <v>Sobrante</v>
      </c>
    </row>
    <row r="3940" spans="1:14" x14ac:dyDescent="0.25">
      <c r="A3940" s="11">
        <v>46053</v>
      </c>
      <c r="B3940" s="5" t="s">
        <v>1078</v>
      </c>
      <c r="C3940" s="3" t="s">
        <v>339</v>
      </c>
      <c r="D3940" s="5" t="s">
        <v>603</v>
      </c>
      <c r="E3940" s="5" t="s">
        <v>112</v>
      </c>
      <c r="F3940" s="6" t="s">
        <v>624</v>
      </c>
      <c r="G3940" s="4" t="s">
        <v>1</v>
      </c>
      <c r="H3940" s="25">
        <v>100</v>
      </c>
      <c r="I3940" s="8">
        <v>364</v>
      </c>
      <c r="J3940" s="9">
        <v>364</v>
      </c>
      <c r="K3940" s="7">
        <v>0</v>
      </c>
      <c r="L3940" s="24">
        <f>+Tabla2[[#This Row],[Stock Inventario]]*Tabla2[[#This Row],[Coste LÃ­nea]]</f>
        <v>36400</v>
      </c>
      <c r="M3940" s="24">
        <f>+Tabla2[[#This Row],[Variación Stock]]*Tabla2[[#This Row],[Coste LÃ­nea]]</f>
        <v>0</v>
      </c>
      <c r="N3940" s="22" t="str">
        <f>+IF(Tabla2[[#This Row],[Variación Stock]]&gt;0,"Sobrante",IF(Tabla2[[#This Row],[Variación Stock]]&lt;0,"Faltante","Sin novedad"))</f>
        <v>Sin novedad</v>
      </c>
    </row>
    <row r="3941" spans="1:14" hidden="1" x14ac:dyDescent="0.25">
      <c r="A3941" s="11">
        <v>46053</v>
      </c>
      <c r="B3941" s="5" t="s">
        <v>1078</v>
      </c>
      <c r="C3941" s="3" t="s">
        <v>339</v>
      </c>
      <c r="D3941" s="5" t="s">
        <v>396</v>
      </c>
      <c r="E3941" s="5" t="s">
        <v>117</v>
      </c>
      <c r="F3941" s="6" t="s">
        <v>423</v>
      </c>
      <c r="G3941" s="4" t="s">
        <v>1</v>
      </c>
      <c r="H3941" s="25">
        <v>69.02</v>
      </c>
      <c r="I3941" s="8">
        <v>894</v>
      </c>
      <c r="J3941" s="9">
        <v>0</v>
      </c>
      <c r="K3941" s="7">
        <v>-894</v>
      </c>
      <c r="L3941" s="24">
        <f>+Tabla2[[#This Row],[Stock Inventario]]*Tabla2[[#This Row],[Coste LÃ­nea]]</f>
        <v>0</v>
      </c>
      <c r="M3941" s="24">
        <f>+Tabla2[[#This Row],[Variación Stock]]*Tabla2[[#This Row],[Coste LÃ­nea]]</f>
        <v>-61703.88</v>
      </c>
      <c r="N3941" s="22" t="str">
        <f>+IF(Tabla2[[#This Row],[Variación Stock]]&gt;0,"Sobrante",IF(Tabla2[[#This Row],[Variación Stock]]&lt;0,"Faltante","Sin novedad"))</f>
        <v>Faltante</v>
      </c>
    </row>
    <row r="3942" spans="1:14" hidden="1" x14ac:dyDescent="0.25">
      <c r="A3942" s="11">
        <v>46053</v>
      </c>
      <c r="B3942" s="5" t="s">
        <v>1078</v>
      </c>
      <c r="C3942" s="3" t="s">
        <v>339</v>
      </c>
      <c r="D3942" s="5" t="s">
        <v>396</v>
      </c>
      <c r="E3942" s="5" t="s">
        <v>117</v>
      </c>
      <c r="F3942" s="6" t="s">
        <v>469</v>
      </c>
      <c r="G3942" s="4" t="s">
        <v>2</v>
      </c>
      <c r="H3942" s="25">
        <v>354.16666666999998</v>
      </c>
      <c r="I3942" s="8">
        <v>310</v>
      </c>
      <c r="J3942" s="9">
        <v>0</v>
      </c>
      <c r="K3942" s="7">
        <v>-310</v>
      </c>
      <c r="L3942" s="24">
        <f>+Tabla2[[#This Row],[Stock Inventario]]*Tabla2[[#This Row],[Coste LÃ­nea]]</f>
        <v>0</v>
      </c>
      <c r="M3942" s="24">
        <f>+Tabla2[[#This Row],[Variación Stock]]*Tabla2[[#This Row],[Coste LÃ­nea]]</f>
        <v>-109791.66666769999</v>
      </c>
      <c r="N3942" s="22" t="str">
        <f>+IF(Tabla2[[#This Row],[Variación Stock]]&gt;0,"Sobrante",IF(Tabla2[[#This Row],[Variación Stock]]&lt;0,"Faltante","Sin novedad"))</f>
        <v>Faltante</v>
      </c>
    </row>
    <row r="3943" spans="1:14" hidden="1" x14ac:dyDescent="0.25">
      <c r="A3943" s="11">
        <v>46053</v>
      </c>
      <c r="B3943" s="5" t="s">
        <v>1078</v>
      </c>
      <c r="C3943" s="3" t="s">
        <v>339</v>
      </c>
      <c r="D3943" s="5" t="s">
        <v>396</v>
      </c>
      <c r="E3943" s="5" t="s">
        <v>117</v>
      </c>
      <c r="F3943" s="6" t="s">
        <v>470</v>
      </c>
      <c r="G3943" s="4" t="s">
        <v>2</v>
      </c>
      <c r="H3943" s="25">
        <v>726.66666667000004</v>
      </c>
      <c r="I3943" s="8">
        <v>617.5</v>
      </c>
      <c r="J3943" s="9">
        <v>36</v>
      </c>
      <c r="K3943" s="7">
        <v>-581.5</v>
      </c>
      <c r="L3943" s="24">
        <f>+Tabla2[[#This Row],[Stock Inventario]]*Tabla2[[#This Row],[Coste LÃ­nea]]</f>
        <v>26160.000000120002</v>
      </c>
      <c r="M3943" s="24">
        <f>+Tabla2[[#This Row],[Variación Stock]]*Tabla2[[#This Row],[Coste LÃ­nea]]</f>
        <v>-422556.666668605</v>
      </c>
      <c r="N3943" s="22" t="str">
        <f>+IF(Tabla2[[#This Row],[Variación Stock]]&gt;0,"Sobrante",IF(Tabla2[[#This Row],[Variación Stock]]&lt;0,"Faltante","Sin novedad"))</f>
        <v>Faltante</v>
      </c>
    </row>
    <row r="3944" spans="1:14" hidden="1" x14ac:dyDescent="0.25">
      <c r="A3944" s="11">
        <v>46053</v>
      </c>
      <c r="B3944" s="5" t="s">
        <v>1078</v>
      </c>
      <c r="C3944" s="3" t="s">
        <v>339</v>
      </c>
      <c r="D3944" s="5" t="s">
        <v>626</v>
      </c>
      <c r="E3944" s="5" t="s">
        <v>1079</v>
      </c>
      <c r="F3944" s="6" t="s">
        <v>658</v>
      </c>
      <c r="G3944" s="4" t="s">
        <v>2</v>
      </c>
      <c r="H3944" s="25">
        <v>68049</v>
      </c>
      <c r="I3944" s="8">
        <v>4</v>
      </c>
      <c r="J3944" s="9">
        <v>2</v>
      </c>
      <c r="K3944" s="7">
        <v>-2</v>
      </c>
      <c r="L3944" s="24">
        <f>+Tabla2[[#This Row],[Stock Inventario]]*Tabla2[[#This Row],[Coste LÃ­nea]]</f>
        <v>136098</v>
      </c>
      <c r="M3944" s="24">
        <f>+Tabla2[[#This Row],[Variación Stock]]*Tabla2[[#This Row],[Coste LÃ­nea]]</f>
        <v>-136098</v>
      </c>
      <c r="N3944" s="22" t="str">
        <f>+IF(Tabla2[[#This Row],[Variación Stock]]&gt;0,"Sobrante",IF(Tabla2[[#This Row],[Variación Stock]]&lt;0,"Faltante","Sin novedad"))</f>
        <v>Faltante</v>
      </c>
    </row>
    <row r="3945" spans="1:14" hidden="1" x14ac:dyDescent="0.25">
      <c r="A3945" s="11">
        <v>46053</v>
      </c>
      <c r="B3945" s="5" t="s">
        <v>1078</v>
      </c>
      <c r="C3945" s="3" t="s">
        <v>339</v>
      </c>
      <c r="D3945" s="5" t="s">
        <v>626</v>
      </c>
      <c r="E3945" s="5" t="s">
        <v>1079</v>
      </c>
      <c r="F3945" s="6" t="s">
        <v>638</v>
      </c>
      <c r="G3945" s="4" t="s">
        <v>2</v>
      </c>
      <c r="H3945" s="25">
        <v>4516</v>
      </c>
      <c r="I3945" s="8">
        <v>5</v>
      </c>
      <c r="J3945" s="9">
        <v>1</v>
      </c>
      <c r="K3945" s="7">
        <v>-4</v>
      </c>
      <c r="L3945" s="24">
        <f>+Tabla2[[#This Row],[Stock Inventario]]*Tabla2[[#This Row],[Coste LÃ­nea]]</f>
        <v>4516</v>
      </c>
      <c r="M3945" s="24">
        <f>+Tabla2[[#This Row],[Variación Stock]]*Tabla2[[#This Row],[Coste LÃ­nea]]</f>
        <v>-18064</v>
      </c>
      <c r="N3945" s="22" t="str">
        <f>+IF(Tabla2[[#This Row],[Variación Stock]]&gt;0,"Sobrante",IF(Tabla2[[#This Row],[Variación Stock]]&lt;0,"Faltante","Sin novedad"))</f>
        <v>Faltante</v>
      </c>
    </row>
    <row r="3946" spans="1:14" hidden="1" x14ac:dyDescent="0.25">
      <c r="A3946" s="11">
        <v>46053</v>
      </c>
      <c r="B3946" s="5" t="s">
        <v>1078</v>
      </c>
      <c r="C3946" s="3" t="s">
        <v>339</v>
      </c>
      <c r="D3946" s="5" t="s">
        <v>471</v>
      </c>
      <c r="E3946" s="5" t="s">
        <v>117</v>
      </c>
      <c r="F3946" s="6" t="s">
        <v>506</v>
      </c>
      <c r="G3946" s="4" t="s">
        <v>1</v>
      </c>
      <c r="H3946" s="25">
        <v>10.5</v>
      </c>
      <c r="I3946" s="8">
        <v>1144.1746000000001</v>
      </c>
      <c r="J3946" s="9">
        <v>380</v>
      </c>
      <c r="K3946" s="7">
        <v>-764.17460319999998</v>
      </c>
      <c r="L3946" s="24">
        <f>+Tabla2[[#This Row],[Stock Inventario]]*Tabla2[[#This Row],[Coste LÃ­nea]]</f>
        <v>3990</v>
      </c>
      <c r="M3946" s="24">
        <f>+Tabla2[[#This Row],[Variación Stock]]*Tabla2[[#This Row],[Coste LÃ­nea]]</f>
        <v>-8023.8333335999996</v>
      </c>
      <c r="N3946" s="22" t="str">
        <f>+IF(Tabla2[[#This Row],[Variación Stock]]&gt;0,"Sobrante",IF(Tabla2[[#This Row],[Variación Stock]]&lt;0,"Faltante","Sin novedad"))</f>
        <v>Faltante</v>
      </c>
    </row>
    <row r="3947" spans="1:14" x14ac:dyDescent="0.25">
      <c r="A3947" s="11">
        <v>46053</v>
      </c>
      <c r="B3947" s="5" t="s">
        <v>1078</v>
      </c>
      <c r="C3947" s="3" t="s">
        <v>339</v>
      </c>
      <c r="D3947" s="5" t="s">
        <v>603</v>
      </c>
      <c r="E3947" s="5" t="s">
        <v>112</v>
      </c>
      <c r="F3947" s="6" t="s">
        <v>613</v>
      </c>
      <c r="G3947" s="4" t="s">
        <v>0</v>
      </c>
      <c r="H3947" s="25">
        <v>638.27160492999997</v>
      </c>
      <c r="I3947" s="8">
        <v>-14</v>
      </c>
      <c r="J3947" s="9">
        <v>22</v>
      </c>
      <c r="K3947" s="7">
        <v>36</v>
      </c>
      <c r="L3947" s="24">
        <f>+Tabla2[[#This Row],[Stock Inventario]]*Tabla2[[#This Row],[Coste LÃ­nea]]</f>
        <v>14041.97530846</v>
      </c>
      <c r="M3947" s="24">
        <f>+Tabla2[[#This Row],[Variación Stock]]*Tabla2[[#This Row],[Coste LÃ­nea]]</f>
        <v>22977.777777479998</v>
      </c>
      <c r="N3947" s="22" t="str">
        <f>+IF(Tabla2[[#This Row],[Variación Stock]]&gt;0,"Sobrante",IF(Tabla2[[#This Row],[Variación Stock]]&lt;0,"Faltante","Sin novedad"))</f>
        <v>Sobrante</v>
      </c>
    </row>
    <row r="3948" spans="1:14" x14ac:dyDescent="0.25">
      <c r="A3948" s="11">
        <v>46053</v>
      </c>
      <c r="B3948" s="5" t="s">
        <v>1078</v>
      </c>
      <c r="C3948" s="3" t="s">
        <v>339</v>
      </c>
      <c r="D3948" s="5" t="s">
        <v>114</v>
      </c>
      <c r="E3948" s="5" t="s">
        <v>112</v>
      </c>
      <c r="F3948" s="6" t="s">
        <v>148</v>
      </c>
      <c r="G3948" s="4" t="s">
        <v>2</v>
      </c>
      <c r="H3948" s="25">
        <v>4986.1810224199999</v>
      </c>
      <c r="I3948" s="8">
        <v>-4.5599999999999996</v>
      </c>
      <c r="J3948" s="9">
        <v>0</v>
      </c>
      <c r="K3948" s="7">
        <v>4.5599999999999996</v>
      </c>
      <c r="L3948" s="24">
        <f>+Tabla2[[#This Row],[Stock Inventario]]*Tabla2[[#This Row],[Coste LÃ­nea]]</f>
        <v>0</v>
      </c>
      <c r="M3948" s="24">
        <f>+Tabla2[[#This Row],[Variación Stock]]*Tabla2[[#This Row],[Coste LÃ­nea]]</f>
        <v>22736.985462235196</v>
      </c>
      <c r="N3948" s="22" t="str">
        <f>+IF(Tabla2[[#This Row],[Variación Stock]]&gt;0,"Sobrante",IF(Tabla2[[#This Row],[Variación Stock]]&lt;0,"Faltante","Sin novedad"))</f>
        <v>Sobrante</v>
      </c>
    </row>
    <row r="3949" spans="1:14" x14ac:dyDescent="0.25">
      <c r="A3949" s="11">
        <v>46053</v>
      </c>
      <c r="B3949" s="5" t="s">
        <v>1078</v>
      </c>
      <c r="C3949" s="3" t="s">
        <v>339</v>
      </c>
      <c r="D3949" s="5" t="s">
        <v>114</v>
      </c>
      <c r="E3949" s="5" t="s">
        <v>112</v>
      </c>
      <c r="F3949" s="6" t="s">
        <v>64</v>
      </c>
      <c r="G3949" s="4" t="s">
        <v>2</v>
      </c>
      <c r="H3949" s="25">
        <v>5132.5</v>
      </c>
      <c r="I3949" s="8">
        <v>15.5</v>
      </c>
      <c r="J3949" s="9">
        <v>16</v>
      </c>
      <c r="K3949" s="7">
        <v>0.5</v>
      </c>
      <c r="L3949" s="24">
        <f>+Tabla2[[#This Row],[Stock Inventario]]*Tabla2[[#This Row],[Coste LÃ­nea]]</f>
        <v>82120</v>
      </c>
      <c r="M3949" s="24">
        <f>+Tabla2[[#This Row],[Variación Stock]]*Tabla2[[#This Row],[Coste LÃ­nea]]</f>
        <v>2566.25</v>
      </c>
      <c r="N3949" s="22" t="str">
        <f>+IF(Tabla2[[#This Row],[Variación Stock]]&gt;0,"Sobrante",IF(Tabla2[[#This Row],[Variación Stock]]&lt;0,"Faltante","Sin novedad"))</f>
        <v>Sobrante</v>
      </c>
    </row>
    <row r="3950" spans="1:14" hidden="1" x14ac:dyDescent="0.25">
      <c r="A3950" s="11">
        <v>46053</v>
      </c>
      <c r="B3950" s="5" t="s">
        <v>1078</v>
      </c>
      <c r="C3950" s="3" t="s">
        <v>339</v>
      </c>
      <c r="D3950" s="5" t="s">
        <v>396</v>
      </c>
      <c r="E3950" s="5" t="s">
        <v>117</v>
      </c>
      <c r="F3950" s="6" t="s">
        <v>398</v>
      </c>
      <c r="G3950" s="4" t="s">
        <v>1</v>
      </c>
      <c r="H3950" s="25">
        <v>65.333333330000002</v>
      </c>
      <c r="I3950" s="8">
        <v>-6</v>
      </c>
      <c r="J3950" s="9">
        <v>0</v>
      </c>
      <c r="K3950" s="7">
        <v>6</v>
      </c>
      <c r="L3950" s="24">
        <f>+Tabla2[[#This Row],[Stock Inventario]]*Tabla2[[#This Row],[Coste LÃ­nea]]</f>
        <v>0</v>
      </c>
      <c r="M3950" s="24">
        <f>+Tabla2[[#This Row],[Variación Stock]]*Tabla2[[#This Row],[Coste LÃ­nea]]</f>
        <v>391.99999997999998</v>
      </c>
      <c r="N3950" s="22" t="str">
        <f>+IF(Tabla2[[#This Row],[Variación Stock]]&gt;0,"Sobrante",IF(Tabla2[[#This Row],[Variación Stock]]&lt;0,"Faltante","Sin novedad"))</f>
        <v>Sobrante</v>
      </c>
    </row>
    <row r="3951" spans="1:14" x14ac:dyDescent="0.25">
      <c r="A3951" s="11">
        <v>46053</v>
      </c>
      <c r="B3951" s="5" t="s">
        <v>1078</v>
      </c>
      <c r="C3951" s="3" t="s">
        <v>339</v>
      </c>
      <c r="D3951" s="5" t="s">
        <v>111</v>
      </c>
      <c r="E3951" s="5" t="s">
        <v>112</v>
      </c>
      <c r="F3951" s="6" t="s">
        <v>57</v>
      </c>
      <c r="G3951" s="4" t="s">
        <v>0</v>
      </c>
      <c r="H3951" s="25">
        <v>1993.59090909</v>
      </c>
      <c r="I3951" s="8">
        <v>61.76</v>
      </c>
      <c r="J3951" s="9">
        <v>74</v>
      </c>
      <c r="K3951" s="7">
        <v>12.24</v>
      </c>
      <c r="L3951" s="24">
        <f>+Tabla2[[#This Row],[Stock Inventario]]*Tabla2[[#This Row],[Coste LÃ­nea]]</f>
        <v>147525.72727266001</v>
      </c>
      <c r="M3951" s="24">
        <f>+Tabla2[[#This Row],[Variación Stock]]*Tabla2[[#This Row],[Coste LÃ­nea]]</f>
        <v>24401.552727261602</v>
      </c>
      <c r="N3951" s="22" t="str">
        <f>+IF(Tabla2[[#This Row],[Variación Stock]]&gt;0,"Sobrante",IF(Tabla2[[#This Row],[Variación Stock]]&lt;0,"Faltante","Sin novedad"))</f>
        <v>Sobrante</v>
      </c>
    </row>
    <row r="3952" spans="1:14" x14ac:dyDescent="0.25">
      <c r="A3952" s="11">
        <v>46053</v>
      </c>
      <c r="B3952" s="5" t="s">
        <v>1078</v>
      </c>
      <c r="C3952" s="3" t="s">
        <v>339</v>
      </c>
      <c r="D3952" s="5" t="s">
        <v>118</v>
      </c>
      <c r="E3952" s="5" t="s">
        <v>112</v>
      </c>
      <c r="F3952" s="6" t="s">
        <v>298</v>
      </c>
      <c r="G3952" s="4" t="s">
        <v>2</v>
      </c>
      <c r="H3952" s="25">
        <v>63897.666666669997</v>
      </c>
      <c r="I3952" s="8">
        <v>0</v>
      </c>
      <c r="J3952" s="9">
        <v>0</v>
      </c>
      <c r="K3952" s="7">
        <v>0</v>
      </c>
      <c r="L3952" s="24">
        <f>+Tabla2[[#This Row],[Stock Inventario]]*Tabla2[[#This Row],[Coste LÃ­nea]]</f>
        <v>0</v>
      </c>
      <c r="M3952" s="24">
        <f>+Tabla2[[#This Row],[Variación Stock]]*Tabla2[[#This Row],[Coste LÃ­nea]]</f>
        <v>0</v>
      </c>
      <c r="N3952" s="22" t="str">
        <f>+IF(Tabla2[[#This Row],[Variación Stock]]&gt;0,"Sobrante",IF(Tabla2[[#This Row],[Variación Stock]]&lt;0,"Faltante","Sin novedad"))</f>
        <v>Sin novedad</v>
      </c>
    </row>
    <row r="3953" spans="1:14" hidden="1" x14ac:dyDescent="0.25">
      <c r="A3953" s="11">
        <v>46053</v>
      </c>
      <c r="B3953" s="5" t="s">
        <v>1078</v>
      </c>
      <c r="C3953" s="3" t="s">
        <v>339</v>
      </c>
      <c r="D3953" s="5" t="s">
        <v>119</v>
      </c>
      <c r="E3953" s="5" t="s">
        <v>117</v>
      </c>
      <c r="F3953" s="6" t="s">
        <v>94</v>
      </c>
      <c r="G3953" s="4" t="s">
        <v>2</v>
      </c>
      <c r="H3953" s="25">
        <v>1500</v>
      </c>
      <c r="I3953" s="8">
        <v>217</v>
      </c>
      <c r="J3953" s="9">
        <v>164</v>
      </c>
      <c r="K3953" s="7">
        <v>-53</v>
      </c>
      <c r="L3953" s="24">
        <f>+Tabla2[[#This Row],[Stock Inventario]]*Tabla2[[#This Row],[Coste LÃ­nea]]</f>
        <v>246000</v>
      </c>
      <c r="M3953" s="24">
        <f>+Tabla2[[#This Row],[Variación Stock]]*Tabla2[[#This Row],[Coste LÃ­nea]]</f>
        <v>-79500</v>
      </c>
      <c r="N3953" s="22" t="str">
        <f>+IF(Tabla2[[#This Row],[Variación Stock]]&gt;0,"Sobrante",IF(Tabla2[[#This Row],[Variación Stock]]&lt;0,"Faltante","Sin novedad"))</f>
        <v>Faltante</v>
      </c>
    </row>
    <row r="3954" spans="1:14" hidden="1" x14ac:dyDescent="0.25">
      <c r="A3954" s="11">
        <v>46053</v>
      </c>
      <c r="B3954" s="5" t="s">
        <v>1078</v>
      </c>
      <c r="C3954" s="3" t="s">
        <v>339</v>
      </c>
      <c r="D3954" s="5" t="s">
        <v>471</v>
      </c>
      <c r="E3954" s="5" t="s">
        <v>117</v>
      </c>
      <c r="F3954" s="6" t="s">
        <v>507</v>
      </c>
      <c r="G3954" s="4" t="s">
        <v>1</v>
      </c>
      <c r="H3954" s="25">
        <v>35</v>
      </c>
      <c r="I3954" s="8">
        <v>186</v>
      </c>
      <c r="J3954" s="9">
        <v>180</v>
      </c>
      <c r="K3954" s="7">
        <v>-6</v>
      </c>
      <c r="L3954" s="24">
        <f>+Tabla2[[#This Row],[Stock Inventario]]*Tabla2[[#This Row],[Coste LÃ­nea]]</f>
        <v>6300</v>
      </c>
      <c r="M3954" s="24">
        <f>+Tabla2[[#This Row],[Variación Stock]]*Tabla2[[#This Row],[Coste LÃ­nea]]</f>
        <v>-210</v>
      </c>
      <c r="N3954" s="22" t="str">
        <f>+IF(Tabla2[[#This Row],[Variación Stock]]&gt;0,"Sobrante",IF(Tabla2[[#This Row],[Variación Stock]]&lt;0,"Faltante","Sin novedad"))</f>
        <v>Faltante</v>
      </c>
    </row>
    <row r="3955" spans="1:14" hidden="1" x14ac:dyDescent="0.25">
      <c r="A3955" s="11">
        <v>46053</v>
      </c>
      <c r="B3955" s="5" t="s">
        <v>1078</v>
      </c>
      <c r="C3955" s="3" t="s">
        <v>339</v>
      </c>
      <c r="D3955" s="5" t="s">
        <v>547</v>
      </c>
      <c r="E3955" s="5" t="s">
        <v>117</v>
      </c>
      <c r="F3955" s="6" t="s">
        <v>555</v>
      </c>
      <c r="G3955" s="4" t="s">
        <v>1</v>
      </c>
      <c r="H3955" s="25">
        <v>4.609</v>
      </c>
      <c r="I3955" s="8">
        <v>30050</v>
      </c>
      <c r="J3955" s="9">
        <v>8000</v>
      </c>
      <c r="K3955" s="7">
        <v>-22050</v>
      </c>
      <c r="L3955" s="24">
        <f>+Tabla2[[#This Row],[Stock Inventario]]*Tabla2[[#This Row],[Coste LÃ­nea]]</f>
        <v>36872</v>
      </c>
      <c r="M3955" s="24">
        <f>+Tabla2[[#This Row],[Variación Stock]]*Tabla2[[#This Row],[Coste LÃ­nea]]</f>
        <v>-101628.45</v>
      </c>
      <c r="N3955" s="22" t="str">
        <f>+IF(Tabla2[[#This Row],[Variación Stock]]&gt;0,"Sobrante",IF(Tabla2[[#This Row],[Variación Stock]]&lt;0,"Faltante","Sin novedad"))</f>
        <v>Faltante</v>
      </c>
    </row>
    <row r="3956" spans="1:14" hidden="1" x14ac:dyDescent="0.25">
      <c r="A3956" s="11">
        <v>46053</v>
      </c>
      <c r="B3956" s="5" t="s">
        <v>1078</v>
      </c>
      <c r="C3956" s="3" t="s">
        <v>339</v>
      </c>
      <c r="D3956" s="5" t="s">
        <v>471</v>
      </c>
      <c r="E3956" s="5" t="s">
        <v>117</v>
      </c>
      <c r="F3956" s="6" t="s">
        <v>508</v>
      </c>
      <c r="G3956" s="4" t="s">
        <v>1</v>
      </c>
      <c r="H3956" s="25">
        <v>3.6</v>
      </c>
      <c r="I3956" s="8">
        <v>-990</v>
      </c>
      <c r="J3956" s="9">
        <v>0</v>
      </c>
      <c r="K3956" s="7">
        <v>990</v>
      </c>
      <c r="L3956" s="24">
        <f>+Tabla2[[#This Row],[Stock Inventario]]*Tabla2[[#This Row],[Coste LÃ­nea]]</f>
        <v>0</v>
      </c>
      <c r="M3956" s="24">
        <f>+Tabla2[[#This Row],[Variación Stock]]*Tabla2[[#This Row],[Coste LÃ­nea]]</f>
        <v>3564</v>
      </c>
      <c r="N3956" s="22" t="str">
        <f>+IF(Tabla2[[#This Row],[Variación Stock]]&gt;0,"Sobrante",IF(Tabla2[[#This Row],[Variación Stock]]&lt;0,"Faltante","Sin novedad"))</f>
        <v>Sobrante</v>
      </c>
    </row>
    <row r="3957" spans="1:14" x14ac:dyDescent="0.25">
      <c r="A3957" s="11">
        <v>46053</v>
      </c>
      <c r="B3957" s="5" t="s">
        <v>1078</v>
      </c>
      <c r="C3957" s="3" t="s">
        <v>339</v>
      </c>
      <c r="D3957" s="5" t="s">
        <v>114</v>
      </c>
      <c r="E3957" s="5" t="s">
        <v>112</v>
      </c>
      <c r="F3957" s="6" t="s">
        <v>146</v>
      </c>
      <c r="G3957" s="4" t="s">
        <v>2</v>
      </c>
      <c r="H3957" s="25">
        <v>4900</v>
      </c>
      <c r="I3957" s="8">
        <v>0</v>
      </c>
      <c r="J3957" s="9">
        <v>0</v>
      </c>
      <c r="K3957" s="7">
        <v>0</v>
      </c>
      <c r="L3957" s="24">
        <f>+Tabla2[[#This Row],[Stock Inventario]]*Tabla2[[#This Row],[Coste LÃ­nea]]</f>
        <v>0</v>
      </c>
      <c r="M3957" s="24">
        <f>+Tabla2[[#This Row],[Variación Stock]]*Tabla2[[#This Row],[Coste LÃ­nea]]</f>
        <v>0</v>
      </c>
      <c r="N3957" s="22" t="str">
        <f>+IF(Tabla2[[#This Row],[Variación Stock]]&gt;0,"Sobrante",IF(Tabla2[[#This Row],[Variación Stock]]&lt;0,"Faltante","Sin novedad"))</f>
        <v>Sin novedad</v>
      </c>
    </row>
    <row r="3958" spans="1:14" x14ac:dyDescent="0.25">
      <c r="A3958" s="11">
        <v>46053</v>
      </c>
      <c r="B3958" s="5" t="s">
        <v>1078</v>
      </c>
      <c r="C3958" s="3" t="s">
        <v>339</v>
      </c>
      <c r="D3958" s="5" t="s">
        <v>111</v>
      </c>
      <c r="E3958" s="5" t="s">
        <v>112</v>
      </c>
      <c r="F3958" s="6" t="s">
        <v>25</v>
      </c>
      <c r="G3958" s="4" t="s">
        <v>0</v>
      </c>
      <c r="H3958" s="25">
        <v>6549</v>
      </c>
      <c r="I3958" s="8">
        <v>20.05</v>
      </c>
      <c r="J3958" s="9">
        <v>26</v>
      </c>
      <c r="K3958" s="7">
        <v>5.95</v>
      </c>
      <c r="L3958" s="24">
        <f>+Tabla2[[#This Row],[Stock Inventario]]*Tabla2[[#This Row],[Coste LÃ­nea]]</f>
        <v>170274</v>
      </c>
      <c r="M3958" s="24">
        <f>+Tabla2[[#This Row],[Variación Stock]]*Tabla2[[#This Row],[Coste LÃ­nea]]</f>
        <v>38966.550000000003</v>
      </c>
      <c r="N3958" s="22" t="str">
        <f>+IF(Tabla2[[#This Row],[Variación Stock]]&gt;0,"Sobrante",IF(Tabla2[[#This Row],[Variación Stock]]&lt;0,"Faltante","Sin novedad"))</f>
        <v>Sobrante</v>
      </c>
    </row>
    <row r="3959" spans="1:14" hidden="1" x14ac:dyDescent="0.25">
      <c r="A3959" s="11">
        <v>46053</v>
      </c>
      <c r="B3959" s="5" t="s">
        <v>1078</v>
      </c>
      <c r="C3959" s="3" t="s">
        <v>339</v>
      </c>
      <c r="D3959" s="5" t="s">
        <v>471</v>
      </c>
      <c r="E3959" s="5" t="s">
        <v>117</v>
      </c>
      <c r="F3959" s="6" t="s">
        <v>509</v>
      </c>
      <c r="G3959" s="4" t="s">
        <v>1</v>
      </c>
      <c r="H3959" s="25">
        <v>5.2</v>
      </c>
      <c r="I3959" s="8">
        <v>2000</v>
      </c>
      <c r="J3959" s="9">
        <v>0</v>
      </c>
      <c r="K3959" s="7">
        <v>-2000</v>
      </c>
      <c r="L3959" s="24">
        <f>+Tabla2[[#This Row],[Stock Inventario]]*Tabla2[[#This Row],[Coste LÃ­nea]]</f>
        <v>0</v>
      </c>
      <c r="M3959" s="24">
        <f>+Tabla2[[#This Row],[Variación Stock]]*Tabla2[[#This Row],[Coste LÃ­nea]]</f>
        <v>-10400</v>
      </c>
      <c r="N3959" s="22" t="str">
        <f>+IF(Tabla2[[#This Row],[Variación Stock]]&gt;0,"Sobrante",IF(Tabla2[[#This Row],[Variación Stock]]&lt;0,"Faltante","Sin novedad"))</f>
        <v>Faltante</v>
      </c>
    </row>
    <row r="3960" spans="1:14" x14ac:dyDescent="0.25">
      <c r="A3960" s="11">
        <v>46053</v>
      </c>
      <c r="B3960" s="5" t="s">
        <v>1078</v>
      </c>
      <c r="C3960" s="3" t="s">
        <v>339</v>
      </c>
      <c r="D3960" s="5" t="s">
        <v>603</v>
      </c>
      <c r="E3960" s="5" t="s">
        <v>112</v>
      </c>
      <c r="F3960" s="6" t="s">
        <v>625</v>
      </c>
      <c r="G3960" s="4" t="s">
        <v>1</v>
      </c>
      <c r="H3960" s="25">
        <v>4.5</v>
      </c>
      <c r="I3960" s="8">
        <v>261995.4547</v>
      </c>
      <c r="J3960" s="9">
        <v>30000</v>
      </c>
      <c r="K3960" s="7">
        <v>-231995.4547</v>
      </c>
      <c r="L3960" s="24">
        <f>+Tabla2[[#This Row],[Stock Inventario]]*Tabla2[[#This Row],[Coste LÃ­nea]]</f>
        <v>135000</v>
      </c>
      <c r="M3960" s="24">
        <f>+Tabla2[[#This Row],[Variación Stock]]*Tabla2[[#This Row],[Coste LÃ­nea]]</f>
        <v>-1043979.5461500001</v>
      </c>
      <c r="N3960" s="22" t="str">
        <f>+IF(Tabla2[[#This Row],[Variación Stock]]&gt;0,"Sobrante",IF(Tabla2[[#This Row],[Variación Stock]]&lt;0,"Faltante","Sin novedad"))</f>
        <v>Faltante</v>
      </c>
    </row>
    <row r="3961" spans="1:14" hidden="1" x14ac:dyDescent="0.25">
      <c r="A3961" s="11">
        <v>46053</v>
      </c>
      <c r="B3961" s="5" t="s">
        <v>1078</v>
      </c>
      <c r="C3961" s="3" t="s">
        <v>339</v>
      </c>
      <c r="D3961" s="5" t="s">
        <v>471</v>
      </c>
      <c r="E3961" s="5" t="s">
        <v>117</v>
      </c>
      <c r="F3961" s="6" t="s">
        <v>544</v>
      </c>
      <c r="G3961" s="4" t="s">
        <v>1</v>
      </c>
      <c r="H3961" s="25">
        <v>4.5</v>
      </c>
      <c r="I3961" s="8">
        <v>-43697.906000000003</v>
      </c>
      <c r="J3961" s="9">
        <v>4500</v>
      </c>
      <c r="K3961" s="7">
        <v>48197.906044000003</v>
      </c>
      <c r="L3961" s="24">
        <f>+Tabla2[[#This Row],[Stock Inventario]]*Tabla2[[#This Row],[Coste LÃ­nea]]</f>
        <v>20250</v>
      </c>
      <c r="M3961" s="24">
        <f>+Tabla2[[#This Row],[Variación Stock]]*Tabla2[[#This Row],[Coste LÃ­nea]]</f>
        <v>216890.57719800001</v>
      </c>
      <c r="N3961" s="22" t="str">
        <f>+IF(Tabla2[[#This Row],[Variación Stock]]&gt;0,"Sobrante",IF(Tabla2[[#This Row],[Variación Stock]]&lt;0,"Faltante","Sin novedad"))</f>
        <v>Sobrante</v>
      </c>
    </row>
    <row r="3962" spans="1:14" hidden="1" x14ac:dyDescent="0.25">
      <c r="A3962" s="11">
        <v>46053</v>
      </c>
      <c r="B3962" s="5" t="s">
        <v>1078</v>
      </c>
      <c r="C3962" s="3" t="s">
        <v>339</v>
      </c>
      <c r="D3962" s="5" t="s">
        <v>471</v>
      </c>
      <c r="E3962" s="5" t="s">
        <v>117</v>
      </c>
      <c r="F3962" s="6" t="s">
        <v>510</v>
      </c>
      <c r="G3962" s="4" t="s">
        <v>1</v>
      </c>
      <c r="H3962" s="25">
        <v>6</v>
      </c>
      <c r="I3962" s="8">
        <v>0</v>
      </c>
      <c r="J3962" s="9">
        <v>0</v>
      </c>
      <c r="K3962" s="7">
        <v>0</v>
      </c>
      <c r="L3962" s="24">
        <f>+Tabla2[[#This Row],[Stock Inventario]]*Tabla2[[#This Row],[Coste LÃ­nea]]</f>
        <v>0</v>
      </c>
      <c r="M3962" s="24">
        <f>+Tabla2[[#This Row],[Variación Stock]]*Tabla2[[#This Row],[Coste LÃ­nea]]</f>
        <v>0</v>
      </c>
      <c r="N3962" s="22" t="str">
        <f>+IF(Tabla2[[#This Row],[Variación Stock]]&gt;0,"Sobrante",IF(Tabla2[[#This Row],[Variación Stock]]&lt;0,"Faltante","Sin novedad"))</f>
        <v>Sin novedad</v>
      </c>
    </row>
    <row r="3963" spans="1:14" hidden="1" x14ac:dyDescent="0.25">
      <c r="A3963" s="11">
        <v>46053</v>
      </c>
      <c r="B3963" s="5" t="s">
        <v>1078</v>
      </c>
      <c r="C3963" s="3" t="s">
        <v>339</v>
      </c>
      <c r="D3963" s="5" t="s">
        <v>626</v>
      </c>
      <c r="E3963" s="5" t="s">
        <v>1079</v>
      </c>
      <c r="F3963" s="6" t="s">
        <v>659</v>
      </c>
      <c r="G3963" s="4" t="s">
        <v>2</v>
      </c>
      <c r="H3963" s="25">
        <v>48438</v>
      </c>
      <c r="I3963" s="8">
        <v>0</v>
      </c>
      <c r="J3963" s="9">
        <v>0</v>
      </c>
      <c r="K3963" s="7">
        <v>0</v>
      </c>
      <c r="L3963" s="24">
        <f>+Tabla2[[#This Row],[Stock Inventario]]*Tabla2[[#This Row],[Coste LÃ­nea]]</f>
        <v>0</v>
      </c>
      <c r="M3963" s="24">
        <f>+Tabla2[[#This Row],[Variación Stock]]*Tabla2[[#This Row],[Coste LÃ­nea]]</f>
        <v>0</v>
      </c>
      <c r="N3963" s="22" t="str">
        <f>+IF(Tabla2[[#This Row],[Variación Stock]]&gt;0,"Sobrante",IF(Tabla2[[#This Row],[Variación Stock]]&lt;0,"Faltante","Sin novedad"))</f>
        <v>Sin novedad</v>
      </c>
    </row>
    <row r="3964" spans="1:14" hidden="1" x14ac:dyDescent="0.25">
      <c r="A3964" s="11">
        <v>46053</v>
      </c>
      <c r="B3964" s="5" t="s">
        <v>1078</v>
      </c>
      <c r="C3964" s="3" t="s">
        <v>339</v>
      </c>
      <c r="D3964" s="5" t="s">
        <v>626</v>
      </c>
      <c r="E3964" s="5" t="s">
        <v>1079</v>
      </c>
      <c r="F3964" s="6" t="s">
        <v>673</v>
      </c>
      <c r="G3964" s="4" t="s">
        <v>2</v>
      </c>
      <c r="H3964" s="25">
        <v>14013</v>
      </c>
      <c r="I3964" s="8">
        <v>2</v>
      </c>
      <c r="J3964" s="9">
        <v>0</v>
      </c>
      <c r="K3964" s="7">
        <v>-2</v>
      </c>
      <c r="L3964" s="24">
        <f>+Tabla2[[#This Row],[Stock Inventario]]*Tabla2[[#This Row],[Coste LÃ­nea]]</f>
        <v>0</v>
      </c>
      <c r="M3964" s="24">
        <f>+Tabla2[[#This Row],[Variación Stock]]*Tabla2[[#This Row],[Coste LÃ­nea]]</f>
        <v>-28026</v>
      </c>
      <c r="N3964" s="22" t="str">
        <f>+IF(Tabla2[[#This Row],[Variación Stock]]&gt;0,"Sobrante",IF(Tabla2[[#This Row],[Variación Stock]]&lt;0,"Faltante","Sin novedad"))</f>
        <v>Faltante</v>
      </c>
    </row>
    <row r="3965" spans="1:14" hidden="1" x14ac:dyDescent="0.25">
      <c r="A3965" s="11">
        <v>46053</v>
      </c>
      <c r="B3965" s="5" t="s">
        <v>1078</v>
      </c>
      <c r="C3965" s="3" t="s">
        <v>339</v>
      </c>
      <c r="D3965" s="5" t="s">
        <v>626</v>
      </c>
      <c r="E3965" s="5" t="s">
        <v>1079</v>
      </c>
      <c r="F3965" s="6" t="s">
        <v>660</v>
      </c>
      <c r="G3965" s="4" t="s">
        <v>2</v>
      </c>
      <c r="H3965" s="25">
        <v>49574.75</v>
      </c>
      <c r="I3965" s="8">
        <v>25</v>
      </c>
      <c r="J3965" s="9">
        <v>0</v>
      </c>
      <c r="K3965" s="7">
        <v>-25</v>
      </c>
      <c r="L3965" s="24">
        <f>+Tabla2[[#This Row],[Stock Inventario]]*Tabla2[[#This Row],[Coste LÃ­nea]]</f>
        <v>0</v>
      </c>
      <c r="M3965" s="24">
        <f>+Tabla2[[#This Row],[Variación Stock]]*Tabla2[[#This Row],[Coste LÃ­nea]]</f>
        <v>-1239368.75</v>
      </c>
      <c r="N3965" s="22" t="str">
        <f>+IF(Tabla2[[#This Row],[Variación Stock]]&gt;0,"Sobrante",IF(Tabla2[[#This Row],[Variación Stock]]&lt;0,"Faltante","Sin novedad"))</f>
        <v>Faltante</v>
      </c>
    </row>
    <row r="3966" spans="1:14" hidden="1" x14ac:dyDescent="0.25">
      <c r="A3966" s="11">
        <v>46053</v>
      </c>
      <c r="B3966" s="5" t="s">
        <v>1078</v>
      </c>
      <c r="C3966" s="3" t="s">
        <v>339</v>
      </c>
      <c r="D3966" s="5" t="s">
        <v>626</v>
      </c>
      <c r="E3966" s="5" t="s">
        <v>1079</v>
      </c>
      <c r="F3966" s="6" t="s">
        <v>661</v>
      </c>
      <c r="G3966" s="4" t="s">
        <v>2</v>
      </c>
      <c r="H3966" s="25">
        <v>83812</v>
      </c>
      <c r="I3966" s="8">
        <v>1</v>
      </c>
      <c r="J3966" s="9">
        <v>3</v>
      </c>
      <c r="K3966" s="7">
        <v>2</v>
      </c>
      <c r="L3966" s="24">
        <f>+Tabla2[[#This Row],[Stock Inventario]]*Tabla2[[#This Row],[Coste LÃ­nea]]</f>
        <v>251436</v>
      </c>
      <c r="M3966" s="24">
        <f>+Tabla2[[#This Row],[Variación Stock]]*Tabla2[[#This Row],[Coste LÃ­nea]]</f>
        <v>167624</v>
      </c>
      <c r="N3966" s="22" t="str">
        <f>+IF(Tabla2[[#This Row],[Variación Stock]]&gt;0,"Sobrante",IF(Tabla2[[#This Row],[Variación Stock]]&lt;0,"Faltante","Sin novedad"))</f>
        <v>Sobrante</v>
      </c>
    </row>
    <row r="3967" spans="1:14" hidden="1" x14ac:dyDescent="0.25">
      <c r="A3967" s="11">
        <v>46053</v>
      </c>
      <c r="B3967" s="5" t="s">
        <v>1078</v>
      </c>
      <c r="C3967" s="3" t="s">
        <v>339</v>
      </c>
      <c r="D3967" s="5" t="s">
        <v>471</v>
      </c>
      <c r="E3967" s="5" t="s">
        <v>117</v>
      </c>
      <c r="F3967" s="6" t="s">
        <v>511</v>
      </c>
      <c r="G3967" s="4" t="s">
        <v>1</v>
      </c>
      <c r="H3967" s="25">
        <v>6.5</v>
      </c>
      <c r="I3967" s="8">
        <v>1000</v>
      </c>
      <c r="J3967" s="9">
        <v>0</v>
      </c>
      <c r="K3967" s="7">
        <v>-1000</v>
      </c>
      <c r="L3967" s="24">
        <f>+Tabla2[[#This Row],[Stock Inventario]]*Tabla2[[#This Row],[Coste LÃ­nea]]</f>
        <v>0</v>
      </c>
      <c r="M3967" s="24">
        <f>+Tabla2[[#This Row],[Variación Stock]]*Tabla2[[#This Row],[Coste LÃ­nea]]</f>
        <v>-6500</v>
      </c>
      <c r="N3967" s="22" t="str">
        <f>+IF(Tabla2[[#This Row],[Variación Stock]]&gt;0,"Sobrante",IF(Tabla2[[#This Row],[Variación Stock]]&lt;0,"Faltante","Sin novedad"))</f>
        <v>Faltante</v>
      </c>
    </row>
    <row r="3968" spans="1:14" hidden="1" x14ac:dyDescent="0.25">
      <c r="A3968" s="11">
        <v>46053</v>
      </c>
      <c r="B3968" s="5" t="s">
        <v>1078</v>
      </c>
      <c r="C3968" s="3" t="s">
        <v>339</v>
      </c>
      <c r="D3968" s="5" t="s">
        <v>818</v>
      </c>
      <c r="E3968" s="5" t="s">
        <v>117</v>
      </c>
      <c r="F3968" s="6" t="s">
        <v>823</v>
      </c>
      <c r="G3968" s="4" t="s">
        <v>1</v>
      </c>
      <c r="H3968" s="25">
        <v>47.895873020000003</v>
      </c>
      <c r="I3968" s="8">
        <v>11831</v>
      </c>
      <c r="J3968" s="9">
        <v>3825</v>
      </c>
      <c r="K3968" s="7">
        <v>-8006</v>
      </c>
      <c r="L3968" s="24">
        <f>+Tabla2[[#This Row],[Stock Inventario]]*Tabla2[[#This Row],[Coste LÃ­nea]]</f>
        <v>183201.7143015</v>
      </c>
      <c r="M3968" s="24">
        <f>+Tabla2[[#This Row],[Variación Stock]]*Tabla2[[#This Row],[Coste LÃ­nea]]</f>
        <v>-383454.35939812002</v>
      </c>
      <c r="N3968" s="22" t="str">
        <f>+IF(Tabla2[[#This Row],[Variación Stock]]&gt;0,"Sobrante",IF(Tabla2[[#This Row],[Variación Stock]]&lt;0,"Faltante","Sin novedad"))</f>
        <v>Faltante</v>
      </c>
    </row>
    <row r="3969" spans="1:14" hidden="1" x14ac:dyDescent="0.25">
      <c r="A3969" s="11">
        <v>46053</v>
      </c>
      <c r="B3969" s="5" t="s">
        <v>1078</v>
      </c>
      <c r="C3969" s="3" t="s">
        <v>339</v>
      </c>
      <c r="D3969" s="5" t="s">
        <v>396</v>
      </c>
      <c r="E3969" s="5" t="s">
        <v>117</v>
      </c>
      <c r="F3969" s="6" t="s">
        <v>401</v>
      </c>
      <c r="G3969" s="4" t="s">
        <v>1</v>
      </c>
      <c r="H3969" s="25">
        <v>15</v>
      </c>
      <c r="I3969" s="8">
        <v>5237</v>
      </c>
      <c r="J3969" s="9">
        <v>4000</v>
      </c>
      <c r="K3969" s="7">
        <v>-1237</v>
      </c>
      <c r="L3969" s="24">
        <f>+Tabla2[[#This Row],[Stock Inventario]]*Tabla2[[#This Row],[Coste LÃ­nea]]</f>
        <v>60000</v>
      </c>
      <c r="M3969" s="24">
        <f>+Tabla2[[#This Row],[Variación Stock]]*Tabla2[[#This Row],[Coste LÃ­nea]]</f>
        <v>-18555</v>
      </c>
      <c r="N3969" s="22" t="str">
        <f>+IF(Tabla2[[#This Row],[Variación Stock]]&gt;0,"Sobrante",IF(Tabla2[[#This Row],[Variación Stock]]&lt;0,"Faltante","Sin novedad"))</f>
        <v>Faltante</v>
      </c>
    </row>
    <row r="3970" spans="1:14" hidden="1" x14ac:dyDescent="0.25">
      <c r="A3970" s="11">
        <v>46053</v>
      </c>
      <c r="B3970" s="5" t="s">
        <v>1078</v>
      </c>
      <c r="C3970" s="3" t="s">
        <v>339</v>
      </c>
      <c r="D3970" s="5" t="s">
        <v>396</v>
      </c>
      <c r="E3970" s="5" t="s">
        <v>117</v>
      </c>
      <c r="F3970" s="6" t="s">
        <v>439</v>
      </c>
      <c r="G3970" s="4" t="s">
        <v>1</v>
      </c>
      <c r="H3970" s="25">
        <v>21.75438596</v>
      </c>
      <c r="I3970" s="8">
        <v>5179</v>
      </c>
      <c r="J3970" s="9">
        <v>2720</v>
      </c>
      <c r="K3970" s="7">
        <v>-2459</v>
      </c>
      <c r="L3970" s="24">
        <f>+Tabla2[[#This Row],[Stock Inventario]]*Tabla2[[#This Row],[Coste LÃ­nea]]</f>
        <v>59171.929811200003</v>
      </c>
      <c r="M3970" s="24">
        <f>+Tabla2[[#This Row],[Variación Stock]]*Tabla2[[#This Row],[Coste LÃ­nea]]</f>
        <v>-53494.03507564</v>
      </c>
      <c r="N3970" s="22" t="str">
        <f>+IF(Tabla2[[#This Row],[Variación Stock]]&gt;0,"Sobrante",IF(Tabla2[[#This Row],[Variación Stock]]&lt;0,"Faltante","Sin novedad"))</f>
        <v>Faltante</v>
      </c>
    </row>
    <row r="3971" spans="1:14" hidden="1" x14ac:dyDescent="0.25">
      <c r="A3971" s="11">
        <v>46053</v>
      </c>
      <c r="B3971" s="5" t="s">
        <v>1078</v>
      </c>
      <c r="C3971" s="3" t="s">
        <v>339</v>
      </c>
      <c r="D3971" s="5" t="s">
        <v>396</v>
      </c>
      <c r="E3971" s="5" t="s">
        <v>117</v>
      </c>
      <c r="F3971" s="6" t="s">
        <v>440</v>
      </c>
      <c r="G3971" s="4" t="s">
        <v>1</v>
      </c>
      <c r="H3971" s="25">
        <v>20.079999999999998</v>
      </c>
      <c r="I3971" s="8">
        <v>0</v>
      </c>
      <c r="J3971" s="9">
        <v>720</v>
      </c>
      <c r="K3971" s="7">
        <v>720</v>
      </c>
      <c r="L3971" s="24">
        <f>+Tabla2[[#This Row],[Stock Inventario]]*Tabla2[[#This Row],[Coste LÃ­nea]]</f>
        <v>14457.599999999999</v>
      </c>
      <c r="M3971" s="24">
        <f>+Tabla2[[#This Row],[Variación Stock]]*Tabla2[[#This Row],[Coste LÃ­nea]]</f>
        <v>14457.599999999999</v>
      </c>
      <c r="N3971" s="22" t="str">
        <f>+IF(Tabla2[[#This Row],[Variación Stock]]&gt;0,"Sobrante",IF(Tabla2[[#This Row],[Variación Stock]]&lt;0,"Faltante","Sin novedad"))</f>
        <v>Sobrante</v>
      </c>
    </row>
    <row r="3972" spans="1:14" x14ac:dyDescent="0.25">
      <c r="A3972" s="11">
        <v>46053</v>
      </c>
      <c r="B3972" s="5" t="s">
        <v>1078</v>
      </c>
      <c r="C3972" s="3" t="s">
        <v>339</v>
      </c>
      <c r="D3972" s="5" t="s">
        <v>122</v>
      </c>
      <c r="E3972" s="5" t="s">
        <v>112</v>
      </c>
      <c r="F3972" s="6" t="s">
        <v>97</v>
      </c>
      <c r="G3972" s="4" t="s">
        <v>2</v>
      </c>
      <c r="H3972" s="25">
        <v>1234.3916666699999</v>
      </c>
      <c r="I3972" s="8">
        <v>44</v>
      </c>
      <c r="J3972" s="9">
        <v>8</v>
      </c>
      <c r="K3972" s="7">
        <v>-36</v>
      </c>
      <c r="L3972" s="24">
        <f>+Tabla2[[#This Row],[Stock Inventario]]*Tabla2[[#This Row],[Coste LÃ­nea]]</f>
        <v>9875.1333333599996</v>
      </c>
      <c r="M3972" s="24">
        <f>+Tabla2[[#This Row],[Variación Stock]]*Tabla2[[#This Row],[Coste LÃ­nea]]</f>
        <v>-44438.100000120001</v>
      </c>
      <c r="N3972" s="22" t="str">
        <f>+IF(Tabla2[[#This Row],[Variación Stock]]&gt;0,"Sobrante",IF(Tabla2[[#This Row],[Variación Stock]]&lt;0,"Faltante","Sin novedad"))</f>
        <v>Faltante</v>
      </c>
    </row>
    <row r="3973" spans="1:14" x14ac:dyDescent="0.25">
      <c r="A3973" s="11">
        <v>46053</v>
      </c>
      <c r="B3973" s="5" t="s">
        <v>1078</v>
      </c>
      <c r="C3973" s="3" t="s">
        <v>339</v>
      </c>
      <c r="D3973" s="5" t="s">
        <v>122</v>
      </c>
      <c r="E3973" s="5" t="s">
        <v>112</v>
      </c>
      <c r="F3973" s="6" t="s">
        <v>98</v>
      </c>
      <c r="G3973" s="4" t="s">
        <v>2</v>
      </c>
      <c r="H3973" s="25">
        <v>1654.21666667</v>
      </c>
      <c r="I3973" s="8">
        <v>66</v>
      </c>
      <c r="J3973" s="9">
        <v>106</v>
      </c>
      <c r="K3973" s="7">
        <v>40</v>
      </c>
      <c r="L3973" s="24">
        <f>+Tabla2[[#This Row],[Stock Inventario]]*Tabla2[[#This Row],[Coste LÃ­nea]]</f>
        <v>175346.96666701999</v>
      </c>
      <c r="M3973" s="24">
        <f>+Tabla2[[#This Row],[Variación Stock]]*Tabla2[[#This Row],[Coste LÃ­nea]]</f>
        <v>66168.666666799996</v>
      </c>
      <c r="N3973" s="22" t="str">
        <f>+IF(Tabla2[[#This Row],[Variación Stock]]&gt;0,"Sobrante",IF(Tabla2[[#This Row],[Variación Stock]]&lt;0,"Faltante","Sin novedad"))</f>
        <v>Sobrante</v>
      </c>
    </row>
    <row r="3974" spans="1:14" x14ac:dyDescent="0.25">
      <c r="A3974" s="11">
        <v>46053</v>
      </c>
      <c r="B3974" s="5" t="s">
        <v>1078</v>
      </c>
      <c r="C3974" s="3" t="s">
        <v>339</v>
      </c>
      <c r="D3974" s="5" t="s">
        <v>603</v>
      </c>
      <c r="E3974" s="5" t="s">
        <v>112</v>
      </c>
      <c r="F3974" s="6" t="s">
        <v>608</v>
      </c>
      <c r="G3974" s="4" t="s">
        <v>2</v>
      </c>
      <c r="H3974" s="25">
        <v>2571.4285714299999</v>
      </c>
      <c r="I3974" s="8">
        <v>62</v>
      </c>
      <c r="J3974" s="9">
        <v>43</v>
      </c>
      <c r="K3974" s="7">
        <v>-19</v>
      </c>
      <c r="L3974" s="24">
        <f>+Tabla2[[#This Row],[Stock Inventario]]*Tabla2[[#This Row],[Coste LÃ­nea]]</f>
        <v>110571.42857149</v>
      </c>
      <c r="M3974" s="24">
        <f>+Tabla2[[#This Row],[Variación Stock]]*Tabla2[[#This Row],[Coste LÃ­nea]]</f>
        <v>-48857.142857170002</v>
      </c>
      <c r="N3974" s="22" t="str">
        <f>+IF(Tabla2[[#This Row],[Variación Stock]]&gt;0,"Sobrante",IF(Tabla2[[#This Row],[Variación Stock]]&lt;0,"Faltante","Sin novedad"))</f>
        <v>Faltante</v>
      </c>
    </row>
    <row r="3975" spans="1:14" hidden="1" x14ac:dyDescent="0.25">
      <c r="A3975" s="11">
        <v>46053</v>
      </c>
      <c r="B3975" s="5" t="s">
        <v>1078</v>
      </c>
      <c r="C3975" s="3" t="s">
        <v>339</v>
      </c>
      <c r="D3975" s="5" t="s">
        <v>471</v>
      </c>
      <c r="E3975" s="5" t="s">
        <v>117</v>
      </c>
      <c r="F3975" s="6" t="s">
        <v>512</v>
      </c>
      <c r="G3975" s="4" t="s">
        <v>1</v>
      </c>
      <c r="H3975" s="25">
        <v>8.6</v>
      </c>
      <c r="I3975" s="8">
        <v>0</v>
      </c>
      <c r="J3975" s="9">
        <v>0</v>
      </c>
      <c r="K3975" s="7">
        <v>0</v>
      </c>
      <c r="L3975" s="24">
        <f>+Tabla2[[#This Row],[Stock Inventario]]*Tabla2[[#This Row],[Coste LÃ­nea]]</f>
        <v>0</v>
      </c>
      <c r="M3975" s="24">
        <f>+Tabla2[[#This Row],[Variación Stock]]*Tabla2[[#This Row],[Coste LÃ­nea]]</f>
        <v>0</v>
      </c>
      <c r="N3975" s="22" t="str">
        <f>+IF(Tabla2[[#This Row],[Variación Stock]]&gt;0,"Sobrante",IF(Tabla2[[#This Row],[Variación Stock]]&lt;0,"Faltante","Sin novedad"))</f>
        <v>Sin novedad</v>
      </c>
    </row>
    <row r="3976" spans="1:14" hidden="1" x14ac:dyDescent="0.25">
      <c r="A3976" s="11">
        <v>46053</v>
      </c>
      <c r="B3976" s="5" t="s">
        <v>1078</v>
      </c>
      <c r="C3976" s="3" t="s">
        <v>339</v>
      </c>
      <c r="D3976" s="5" t="s">
        <v>559</v>
      </c>
      <c r="E3976" s="5" t="s">
        <v>1080</v>
      </c>
      <c r="F3976" s="6" t="s">
        <v>567</v>
      </c>
      <c r="G3976" s="4" t="s">
        <v>2</v>
      </c>
      <c r="H3976" s="25">
        <v>2203.4</v>
      </c>
      <c r="I3976" s="8">
        <v>30</v>
      </c>
      <c r="J3976" s="9">
        <v>0</v>
      </c>
      <c r="K3976" s="7">
        <v>-30</v>
      </c>
      <c r="L3976" s="24">
        <f>+Tabla2[[#This Row],[Stock Inventario]]*Tabla2[[#This Row],[Coste LÃ­nea]]</f>
        <v>0</v>
      </c>
      <c r="M3976" s="24">
        <f>+Tabla2[[#This Row],[Variación Stock]]*Tabla2[[#This Row],[Coste LÃ­nea]]</f>
        <v>-66102</v>
      </c>
      <c r="N3976" s="22" t="str">
        <f>+IF(Tabla2[[#This Row],[Variación Stock]]&gt;0,"Sobrante",IF(Tabla2[[#This Row],[Variación Stock]]&lt;0,"Faltante","Sin novedad"))</f>
        <v>Faltante</v>
      </c>
    </row>
    <row r="3977" spans="1:14" hidden="1" x14ac:dyDescent="0.25">
      <c r="A3977" s="11">
        <v>46053</v>
      </c>
      <c r="B3977" s="5" t="s">
        <v>1078</v>
      </c>
      <c r="C3977" s="3" t="s">
        <v>339</v>
      </c>
      <c r="D3977" s="5" t="s">
        <v>471</v>
      </c>
      <c r="E3977" s="5" t="s">
        <v>117</v>
      </c>
      <c r="F3977" s="6" t="s">
        <v>513</v>
      </c>
      <c r="G3977" s="4" t="s">
        <v>1</v>
      </c>
      <c r="H3977" s="25">
        <v>3.8</v>
      </c>
      <c r="I3977" s="8">
        <v>30569.285800000001</v>
      </c>
      <c r="J3977" s="9">
        <v>600</v>
      </c>
      <c r="K3977" s="7">
        <v>-29969.285800000001</v>
      </c>
      <c r="L3977" s="24">
        <f>+Tabla2[[#This Row],[Stock Inventario]]*Tabla2[[#This Row],[Coste LÃ­nea]]</f>
        <v>2280</v>
      </c>
      <c r="M3977" s="24">
        <f>+Tabla2[[#This Row],[Variación Stock]]*Tabla2[[#This Row],[Coste LÃ­nea]]</f>
        <v>-113883.28604000001</v>
      </c>
      <c r="N3977" s="22" t="str">
        <f>+IF(Tabla2[[#This Row],[Variación Stock]]&gt;0,"Sobrante",IF(Tabla2[[#This Row],[Variación Stock]]&lt;0,"Faltante","Sin novedad"))</f>
        <v>Faltante</v>
      </c>
    </row>
    <row r="3978" spans="1:14" x14ac:dyDescent="0.25">
      <c r="A3978" s="11">
        <v>46053</v>
      </c>
      <c r="B3978" s="5" t="s">
        <v>1078</v>
      </c>
      <c r="C3978" s="3" t="s">
        <v>339</v>
      </c>
      <c r="D3978" s="5" t="s">
        <v>603</v>
      </c>
      <c r="E3978" s="5" t="s">
        <v>112</v>
      </c>
      <c r="F3978" s="6" t="s">
        <v>619</v>
      </c>
      <c r="G3978" s="4" t="s">
        <v>1</v>
      </c>
      <c r="H3978" s="25">
        <v>3.8</v>
      </c>
      <c r="I3978" s="8">
        <v>1710.7143000000001</v>
      </c>
      <c r="J3978" s="9">
        <v>770</v>
      </c>
      <c r="K3978" s="7">
        <v>-940.71432800000002</v>
      </c>
      <c r="L3978" s="24">
        <f>+Tabla2[[#This Row],[Stock Inventario]]*Tabla2[[#This Row],[Coste LÃ­nea]]</f>
        <v>2926</v>
      </c>
      <c r="M3978" s="24">
        <f>+Tabla2[[#This Row],[Variación Stock]]*Tabla2[[#This Row],[Coste LÃ­nea]]</f>
        <v>-3574.7144463999998</v>
      </c>
      <c r="N3978" s="22" t="str">
        <f>+IF(Tabla2[[#This Row],[Variación Stock]]&gt;0,"Sobrante",IF(Tabla2[[#This Row],[Variación Stock]]&lt;0,"Faltante","Sin novedad"))</f>
        <v>Faltante</v>
      </c>
    </row>
    <row r="3979" spans="1:14" hidden="1" x14ac:dyDescent="0.25">
      <c r="A3979" s="11">
        <v>46053</v>
      </c>
      <c r="B3979" s="5" t="s">
        <v>1078</v>
      </c>
      <c r="C3979" s="3" t="s">
        <v>339</v>
      </c>
      <c r="D3979" s="5" t="s">
        <v>396</v>
      </c>
      <c r="E3979" s="5" t="s">
        <v>117</v>
      </c>
      <c r="F3979" s="6" t="s">
        <v>413</v>
      </c>
      <c r="G3979" s="4" t="s">
        <v>1</v>
      </c>
      <c r="H3979" s="25">
        <v>21.08</v>
      </c>
      <c r="I3979" s="8">
        <v>-625</v>
      </c>
      <c r="J3979" s="9">
        <v>1200</v>
      </c>
      <c r="K3979" s="7">
        <v>1825</v>
      </c>
      <c r="L3979" s="24">
        <f>+Tabla2[[#This Row],[Stock Inventario]]*Tabla2[[#This Row],[Coste LÃ­nea]]</f>
        <v>25295.999999999996</v>
      </c>
      <c r="M3979" s="24">
        <f>+Tabla2[[#This Row],[Variación Stock]]*Tabla2[[#This Row],[Coste LÃ­nea]]</f>
        <v>38471</v>
      </c>
      <c r="N3979" s="22" t="str">
        <f>+IF(Tabla2[[#This Row],[Variación Stock]]&gt;0,"Sobrante",IF(Tabla2[[#This Row],[Variación Stock]]&lt;0,"Faltante","Sin novedad"))</f>
        <v>Sobrante</v>
      </c>
    </row>
    <row r="3980" spans="1:14" hidden="1" x14ac:dyDescent="0.25">
      <c r="A3980" s="11">
        <v>46053</v>
      </c>
      <c r="B3980" s="5" t="s">
        <v>1078</v>
      </c>
      <c r="C3980" s="3" t="s">
        <v>339</v>
      </c>
      <c r="D3980" s="5" t="s">
        <v>547</v>
      </c>
      <c r="E3980" s="5" t="s">
        <v>117</v>
      </c>
      <c r="F3980" s="6" t="s">
        <v>556</v>
      </c>
      <c r="G3980" s="4" t="s">
        <v>1</v>
      </c>
      <c r="H3980" s="25">
        <v>54.083333330000002</v>
      </c>
      <c r="I3980" s="8">
        <v>570</v>
      </c>
      <c r="J3980" s="9">
        <v>1300</v>
      </c>
      <c r="K3980" s="7">
        <v>730</v>
      </c>
      <c r="L3980" s="24">
        <f>+Tabla2[[#This Row],[Stock Inventario]]*Tabla2[[#This Row],[Coste LÃ­nea]]</f>
        <v>70308.333329000001</v>
      </c>
      <c r="M3980" s="24">
        <f>+Tabla2[[#This Row],[Variación Stock]]*Tabla2[[#This Row],[Coste LÃ­nea]]</f>
        <v>39480.833330900001</v>
      </c>
      <c r="N3980" s="22" t="str">
        <f>+IF(Tabla2[[#This Row],[Variación Stock]]&gt;0,"Sobrante",IF(Tabla2[[#This Row],[Variación Stock]]&lt;0,"Faltante","Sin novedad"))</f>
        <v>Sobrante</v>
      </c>
    </row>
    <row r="3981" spans="1:14" x14ac:dyDescent="0.25">
      <c r="A3981" s="11">
        <v>46053</v>
      </c>
      <c r="B3981" s="5" t="s">
        <v>1078</v>
      </c>
      <c r="C3981" s="3" t="s">
        <v>339</v>
      </c>
      <c r="D3981" s="5" t="s">
        <v>603</v>
      </c>
      <c r="E3981" s="5" t="s">
        <v>112</v>
      </c>
      <c r="F3981" s="6" t="s">
        <v>620</v>
      </c>
      <c r="G3981" s="4" t="s">
        <v>1</v>
      </c>
      <c r="H3981" s="25">
        <v>11.8</v>
      </c>
      <c r="I3981" s="8">
        <v>483.9837</v>
      </c>
      <c r="J3981" s="9">
        <v>524</v>
      </c>
      <c r="K3981" s="7">
        <v>40.016328000000001</v>
      </c>
      <c r="L3981" s="24">
        <f>+Tabla2[[#This Row],[Stock Inventario]]*Tabla2[[#This Row],[Coste LÃ­nea]]</f>
        <v>6183.2000000000007</v>
      </c>
      <c r="M3981" s="24">
        <f>+Tabla2[[#This Row],[Variación Stock]]*Tabla2[[#This Row],[Coste LÃ­nea]]</f>
        <v>472.19267040000005</v>
      </c>
      <c r="N3981" s="22" t="str">
        <f>+IF(Tabla2[[#This Row],[Variación Stock]]&gt;0,"Sobrante",IF(Tabla2[[#This Row],[Variación Stock]]&lt;0,"Faltante","Sin novedad"))</f>
        <v>Sobrante</v>
      </c>
    </row>
    <row r="3982" spans="1:14" hidden="1" x14ac:dyDescent="0.25">
      <c r="A3982" s="11">
        <v>46053</v>
      </c>
      <c r="B3982" s="5" t="s">
        <v>1078</v>
      </c>
      <c r="C3982" s="3" t="s">
        <v>339</v>
      </c>
      <c r="D3982" s="5" t="s">
        <v>471</v>
      </c>
      <c r="E3982" s="5" t="s">
        <v>117</v>
      </c>
      <c r="F3982" s="6" t="s">
        <v>514</v>
      </c>
      <c r="G3982" s="4" t="s">
        <v>1</v>
      </c>
      <c r="H3982" s="25">
        <v>11.8</v>
      </c>
      <c r="I3982" s="8">
        <v>700</v>
      </c>
      <c r="J3982" s="9">
        <v>0</v>
      </c>
      <c r="K3982" s="7">
        <v>-700</v>
      </c>
      <c r="L3982" s="24">
        <f>+Tabla2[[#This Row],[Stock Inventario]]*Tabla2[[#This Row],[Coste LÃ­nea]]</f>
        <v>0</v>
      </c>
      <c r="M3982" s="24">
        <f>+Tabla2[[#This Row],[Variación Stock]]*Tabla2[[#This Row],[Coste LÃ­nea]]</f>
        <v>-8260</v>
      </c>
      <c r="N3982" s="22" t="str">
        <f>+IF(Tabla2[[#This Row],[Variación Stock]]&gt;0,"Sobrante",IF(Tabla2[[#This Row],[Variación Stock]]&lt;0,"Faltante","Sin novedad"))</f>
        <v>Faltante</v>
      </c>
    </row>
    <row r="3983" spans="1:14" x14ac:dyDescent="0.25">
      <c r="A3983" s="11">
        <v>46053</v>
      </c>
      <c r="B3983" s="5" t="s">
        <v>1078</v>
      </c>
      <c r="C3983" s="3" t="s">
        <v>339</v>
      </c>
      <c r="D3983" s="5" t="s">
        <v>603</v>
      </c>
      <c r="E3983" s="5" t="s">
        <v>112</v>
      </c>
      <c r="F3983" s="6" t="s">
        <v>621</v>
      </c>
      <c r="G3983" s="4" t="s">
        <v>1</v>
      </c>
      <c r="H3983" s="25">
        <v>12</v>
      </c>
      <c r="I3983" s="8">
        <v>925.7894</v>
      </c>
      <c r="J3983" s="9">
        <v>804</v>
      </c>
      <c r="K3983" s="7">
        <v>-121.789444</v>
      </c>
      <c r="L3983" s="24">
        <f>+Tabla2[[#This Row],[Stock Inventario]]*Tabla2[[#This Row],[Coste LÃ­nea]]</f>
        <v>9648</v>
      </c>
      <c r="M3983" s="24">
        <f>+Tabla2[[#This Row],[Variación Stock]]*Tabla2[[#This Row],[Coste LÃ­nea]]</f>
        <v>-1461.473328</v>
      </c>
      <c r="N3983" s="22" t="str">
        <f>+IF(Tabla2[[#This Row],[Variación Stock]]&gt;0,"Sobrante",IF(Tabla2[[#This Row],[Variación Stock]]&lt;0,"Faltante","Sin novedad"))</f>
        <v>Faltante</v>
      </c>
    </row>
    <row r="3984" spans="1:14" hidden="1" x14ac:dyDescent="0.25">
      <c r="A3984" s="11">
        <v>46053</v>
      </c>
      <c r="B3984" s="5" t="s">
        <v>1078</v>
      </c>
      <c r="C3984" s="3" t="s">
        <v>339</v>
      </c>
      <c r="D3984" s="5" t="s">
        <v>471</v>
      </c>
      <c r="E3984" s="5" t="s">
        <v>117</v>
      </c>
      <c r="F3984" s="6" t="s">
        <v>515</v>
      </c>
      <c r="G3984" s="4" t="s">
        <v>1</v>
      </c>
      <c r="H3984" s="25">
        <v>6</v>
      </c>
      <c r="I3984" s="8">
        <v>42200</v>
      </c>
      <c r="J3984" s="9">
        <v>0</v>
      </c>
      <c r="K3984" s="7">
        <v>-42200</v>
      </c>
      <c r="L3984" s="24">
        <f>+Tabla2[[#This Row],[Stock Inventario]]*Tabla2[[#This Row],[Coste LÃ­nea]]</f>
        <v>0</v>
      </c>
      <c r="M3984" s="24">
        <f>+Tabla2[[#This Row],[Variación Stock]]*Tabla2[[#This Row],[Coste LÃ­nea]]</f>
        <v>-253200</v>
      </c>
      <c r="N3984" s="22" t="str">
        <f>+IF(Tabla2[[#This Row],[Variación Stock]]&gt;0,"Sobrante",IF(Tabla2[[#This Row],[Variación Stock]]&lt;0,"Faltante","Sin novedad"))</f>
        <v>Faltante</v>
      </c>
    </row>
    <row r="3985" spans="1:14" x14ac:dyDescent="0.25">
      <c r="A3985" s="11">
        <v>46053</v>
      </c>
      <c r="B3985" s="5" t="s">
        <v>1078</v>
      </c>
      <c r="C3985" s="3" t="s">
        <v>339</v>
      </c>
      <c r="D3985" s="5" t="s">
        <v>118</v>
      </c>
      <c r="E3985" s="5" t="s">
        <v>112</v>
      </c>
      <c r="F3985" s="6" t="s">
        <v>370</v>
      </c>
      <c r="G3985" s="4" t="s">
        <v>0</v>
      </c>
      <c r="H3985" s="25">
        <v>2902.8333333300002</v>
      </c>
      <c r="I3985" s="8">
        <v>13.63</v>
      </c>
      <c r="J3985" s="9">
        <v>14.34</v>
      </c>
      <c r="K3985" s="7">
        <v>0.71</v>
      </c>
      <c r="L3985" s="24">
        <f>+Tabla2[[#This Row],[Stock Inventario]]*Tabla2[[#This Row],[Coste LÃ­nea]]</f>
        <v>41626.629999952202</v>
      </c>
      <c r="M3985" s="24">
        <f>+Tabla2[[#This Row],[Variación Stock]]*Tabla2[[#This Row],[Coste LÃ­nea]]</f>
        <v>2061.0116666642998</v>
      </c>
      <c r="N3985" s="22" t="str">
        <f>+IF(Tabla2[[#This Row],[Variación Stock]]&gt;0,"Sobrante",IF(Tabla2[[#This Row],[Variación Stock]]&lt;0,"Faltante","Sin novedad"))</f>
        <v>Sobrante</v>
      </c>
    </row>
    <row r="3986" spans="1:14" hidden="1" x14ac:dyDescent="0.25">
      <c r="A3986" s="11">
        <v>46053</v>
      </c>
      <c r="B3986" s="5" t="s">
        <v>1078</v>
      </c>
      <c r="C3986" s="3" t="s">
        <v>339</v>
      </c>
      <c r="D3986" s="5" t="s">
        <v>396</v>
      </c>
      <c r="E3986" s="5" t="s">
        <v>117</v>
      </c>
      <c r="F3986" s="6" t="s">
        <v>424</v>
      </c>
      <c r="G3986" s="4" t="s">
        <v>1</v>
      </c>
      <c r="H3986" s="25">
        <v>130.9</v>
      </c>
      <c r="I3986" s="8">
        <v>514</v>
      </c>
      <c r="J3986" s="9">
        <v>500</v>
      </c>
      <c r="K3986" s="7">
        <v>-14</v>
      </c>
      <c r="L3986" s="24">
        <f>+Tabla2[[#This Row],[Stock Inventario]]*Tabla2[[#This Row],[Coste LÃ­nea]]</f>
        <v>65450</v>
      </c>
      <c r="M3986" s="24">
        <f>+Tabla2[[#This Row],[Variación Stock]]*Tabla2[[#This Row],[Coste LÃ­nea]]</f>
        <v>-1832.6000000000001</v>
      </c>
      <c r="N3986" s="22" t="str">
        <f>+IF(Tabla2[[#This Row],[Variación Stock]]&gt;0,"Sobrante",IF(Tabla2[[#This Row],[Variación Stock]]&lt;0,"Faltante","Sin novedad"))</f>
        <v>Faltante</v>
      </c>
    </row>
    <row r="3987" spans="1:14" hidden="1" x14ac:dyDescent="0.25">
      <c r="A3987" s="11">
        <v>46053</v>
      </c>
      <c r="B3987" s="5" t="s">
        <v>1078</v>
      </c>
      <c r="C3987" s="3" t="s">
        <v>339</v>
      </c>
      <c r="D3987" s="5" t="s">
        <v>396</v>
      </c>
      <c r="E3987" s="5" t="s">
        <v>117</v>
      </c>
      <c r="F3987" s="6" t="s">
        <v>402</v>
      </c>
      <c r="G3987" s="4" t="s">
        <v>1</v>
      </c>
      <c r="H3987" s="25">
        <v>32</v>
      </c>
      <c r="I3987" s="8">
        <v>7855</v>
      </c>
      <c r="J3987" s="9">
        <v>4962</v>
      </c>
      <c r="K3987" s="7">
        <v>-2893</v>
      </c>
      <c r="L3987" s="24">
        <f>+Tabla2[[#This Row],[Stock Inventario]]*Tabla2[[#This Row],[Coste LÃ­nea]]</f>
        <v>158784</v>
      </c>
      <c r="M3987" s="24">
        <f>+Tabla2[[#This Row],[Variación Stock]]*Tabla2[[#This Row],[Coste LÃ­nea]]</f>
        <v>-92576</v>
      </c>
      <c r="N3987" s="22" t="str">
        <f>+IF(Tabla2[[#This Row],[Variación Stock]]&gt;0,"Sobrante",IF(Tabla2[[#This Row],[Variación Stock]]&lt;0,"Faltante","Sin novedad"))</f>
        <v>Faltante</v>
      </c>
    </row>
    <row r="3988" spans="1:14" hidden="1" x14ac:dyDescent="0.25">
      <c r="A3988" s="11">
        <v>46053</v>
      </c>
      <c r="B3988" s="5" t="s">
        <v>1078</v>
      </c>
      <c r="C3988" s="3" t="s">
        <v>339</v>
      </c>
      <c r="D3988" s="5" t="s">
        <v>396</v>
      </c>
      <c r="E3988" s="5" t="s">
        <v>117</v>
      </c>
      <c r="F3988" s="6" t="s">
        <v>441</v>
      </c>
      <c r="G3988" s="4" t="s">
        <v>1</v>
      </c>
      <c r="H3988" s="25">
        <v>25.38</v>
      </c>
      <c r="I3988" s="8">
        <v>6966</v>
      </c>
      <c r="J3988" s="9">
        <v>2028</v>
      </c>
      <c r="K3988" s="7">
        <v>-4938</v>
      </c>
      <c r="L3988" s="24">
        <f>+Tabla2[[#This Row],[Stock Inventario]]*Tabla2[[#This Row],[Coste LÃ­nea]]</f>
        <v>51470.64</v>
      </c>
      <c r="M3988" s="24">
        <f>+Tabla2[[#This Row],[Variación Stock]]*Tabla2[[#This Row],[Coste LÃ­nea]]</f>
        <v>-125326.44</v>
      </c>
      <c r="N3988" s="22" t="str">
        <f>+IF(Tabla2[[#This Row],[Variación Stock]]&gt;0,"Sobrante",IF(Tabla2[[#This Row],[Variación Stock]]&lt;0,"Faltante","Sin novedad"))</f>
        <v>Faltante</v>
      </c>
    </row>
    <row r="3989" spans="1:14" hidden="1" x14ac:dyDescent="0.25">
      <c r="A3989" s="11">
        <v>46053</v>
      </c>
      <c r="B3989" s="5" t="s">
        <v>1078</v>
      </c>
      <c r="C3989" s="3" t="s">
        <v>339</v>
      </c>
      <c r="D3989" s="5" t="s">
        <v>396</v>
      </c>
      <c r="E3989" s="5" t="s">
        <v>117</v>
      </c>
      <c r="F3989" s="6" t="s">
        <v>442</v>
      </c>
      <c r="G3989" s="4" t="s">
        <v>1</v>
      </c>
      <c r="H3989" s="25">
        <v>22.30079576</v>
      </c>
      <c r="I3989" s="8">
        <v>-1400</v>
      </c>
      <c r="J3989" s="9">
        <v>0</v>
      </c>
      <c r="K3989" s="7">
        <v>1400</v>
      </c>
      <c r="L3989" s="24">
        <f>+Tabla2[[#This Row],[Stock Inventario]]*Tabla2[[#This Row],[Coste LÃ­nea]]</f>
        <v>0</v>
      </c>
      <c r="M3989" s="24">
        <f>+Tabla2[[#This Row],[Variación Stock]]*Tabla2[[#This Row],[Coste LÃ­nea]]</f>
        <v>31221.114064000001</v>
      </c>
      <c r="N3989" s="22" t="str">
        <f>+IF(Tabla2[[#This Row],[Variación Stock]]&gt;0,"Sobrante",IF(Tabla2[[#This Row],[Variación Stock]]&lt;0,"Faltante","Sin novedad"))</f>
        <v>Sobrante</v>
      </c>
    </row>
    <row r="3990" spans="1:14" hidden="1" x14ac:dyDescent="0.25">
      <c r="A3990" s="11">
        <v>46053</v>
      </c>
      <c r="B3990" s="5" t="s">
        <v>1078</v>
      </c>
      <c r="C3990" s="3" t="s">
        <v>339</v>
      </c>
      <c r="D3990" s="5" t="s">
        <v>471</v>
      </c>
      <c r="E3990" s="5" t="s">
        <v>117</v>
      </c>
      <c r="F3990" s="6" t="s">
        <v>516</v>
      </c>
      <c r="G3990" s="4" t="s">
        <v>1</v>
      </c>
      <c r="H3990" s="25">
        <v>5.8</v>
      </c>
      <c r="I3990" s="8">
        <v>-640</v>
      </c>
      <c r="J3990" s="9">
        <v>0</v>
      </c>
      <c r="K3990" s="7">
        <v>640</v>
      </c>
      <c r="L3990" s="24">
        <f>+Tabla2[[#This Row],[Stock Inventario]]*Tabla2[[#This Row],[Coste LÃ­nea]]</f>
        <v>0</v>
      </c>
      <c r="M3990" s="24">
        <f>+Tabla2[[#This Row],[Variación Stock]]*Tabla2[[#This Row],[Coste LÃ­nea]]</f>
        <v>3712</v>
      </c>
      <c r="N3990" s="22" t="str">
        <f>+IF(Tabla2[[#This Row],[Variación Stock]]&gt;0,"Sobrante",IF(Tabla2[[#This Row],[Variación Stock]]&lt;0,"Faltante","Sin novedad"))</f>
        <v>Sobrante</v>
      </c>
    </row>
    <row r="3991" spans="1:14" hidden="1" x14ac:dyDescent="0.25">
      <c r="A3991" s="11">
        <v>46053</v>
      </c>
      <c r="B3991" s="5" t="s">
        <v>1078</v>
      </c>
      <c r="C3991" s="3" t="s">
        <v>339</v>
      </c>
      <c r="D3991" s="5" t="s">
        <v>119</v>
      </c>
      <c r="E3991" s="5" t="s">
        <v>117</v>
      </c>
      <c r="F3991" s="6" t="s">
        <v>11</v>
      </c>
      <c r="G3991" s="4" t="s">
        <v>2</v>
      </c>
      <c r="H3991" s="25">
        <v>436.01333333000002</v>
      </c>
      <c r="I3991" s="8">
        <v>283</v>
      </c>
      <c r="J3991" s="9">
        <v>390</v>
      </c>
      <c r="K3991" s="7">
        <v>107</v>
      </c>
      <c r="L3991" s="24">
        <f>+Tabla2[[#This Row],[Stock Inventario]]*Tabla2[[#This Row],[Coste LÃ­nea]]</f>
        <v>170045.1999987</v>
      </c>
      <c r="M3991" s="24">
        <f>+Tabla2[[#This Row],[Variación Stock]]*Tabla2[[#This Row],[Coste LÃ­nea]]</f>
        <v>46653.426666309999</v>
      </c>
      <c r="N3991" s="22" t="str">
        <f>+IF(Tabla2[[#This Row],[Variación Stock]]&gt;0,"Sobrante",IF(Tabla2[[#This Row],[Variación Stock]]&lt;0,"Faltante","Sin novedad"))</f>
        <v>Sobrante</v>
      </c>
    </row>
    <row r="3992" spans="1:14" x14ac:dyDescent="0.25">
      <c r="A3992" s="11">
        <v>46053</v>
      </c>
      <c r="B3992" s="5" t="s">
        <v>1078</v>
      </c>
      <c r="C3992" s="3" t="s">
        <v>339</v>
      </c>
      <c r="D3992" s="5" t="s">
        <v>118</v>
      </c>
      <c r="E3992" s="5" t="s">
        <v>112</v>
      </c>
      <c r="F3992" s="6" t="s">
        <v>309</v>
      </c>
      <c r="G3992" s="4" t="s">
        <v>2</v>
      </c>
      <c r="H3992" s="25">
        <v>97200</v>
      </c>
      <c r="I3992" s="8">
        <v>3</v>
      </c>
      <c r="J3992" s="9">
        <v>3</v>
      </c>
      <c r="K3992" s="7">
        <v>0</v>
      </c>
      <c r="L3992" s="24">
        <f>+Tabla2[[#This Row],[Stock Inventario]]*Tabla2[[#This Row],[Coste LÃ­nea]]</f>
        <v>291600</v>
      </c>
      <c r="M3992" s="24">
        <f>+Tabla2[[#This Row],[Variación Stock]]*Tabla2[[#This Row],[Coste LÃ­nea]]</f>
        <v>0</v>
      </c>
      <c r="N3992" s="22" t="str">
        <f>+IF(Tabla2[[#This Row],[Variación Stock]]&gt;0,"Sobrante",IF(Tabla2[[#This Row],[Variación Stock]]&lt;0,"Faltante","Sin novedad"))</f>
        <v>Sin novedad</v>
      </c>
    </row>
    <row r="3993" spans="1:14" x14ac:dyDescent="0.25">
      <c r="A3993" s="11">
        <v>46053</v>
      </c>
      <c r="B3993" s="5" t="s">
        <v>1078</v>
      </c>
      <c r="C3993" s="3" t="s">
        <v>339</v>
      </c>
      <c r="D3993" s="5" t="s">
        <v>118</v>
      </c>
      <c r="E3993" s="5" t="s">
        <v>112</v>
      </c>
      <c r="F3993" s="6" t="s">
        <v>310</v>
      </c>
      <c r="G3993" s="4" t="s">
        <v>2</v>
      </c>
      <c r="H3993" s="25">
        <v>73956.022408999997</v>
      </c>
      <c r="I3993" s="8">
        <v>4</v>
      </c>
      <c r="J3993" s="9">
        <v>4</v>
      </c>
      <c r="K3993" s="7">
        <v>0</v>
      </c>
      <c r="L3993" s="24">
        <f>+Tabla2[[#This Row],[Stock Inventario]]*Tabla2[[#This Row],[Coste LÃ­nea]]</f>
        <v>295824.08963599999</v>
      </c>
      <c r="M3993" s="24">
        <f>+Tabla2[[#This Row],[Variación Stock]]*Tabla2[[#This Row],[Coste LÃ­nea]]</f>
        <v>0</v>
      </c>
      <c r="N3993" s="22" t="str">
        <f>+IF(Tabla2[[#This Row],[Variación Stock]]&gt;0,"Sobrante",IF(Tabla2[[#This Row],[Variación Stock]]&lt;0,"Faltante","Sin novedad"))</f>
        <v>Sin novedad</v>
      </c>
    </row>
    <row r="3994" spans="1:14" hidden="1" x14ac:dyDescent="0.25">
      <c r="A3994" s="11">
        <v>46053</v>
      </c>
      <c r="B3994" s="5" t="s">
        <v>1078</v>
      </c>
      <c r="C3994" s="3" t="s">
        <v>339</v>
      </c>
      <c r="D3994" s="5" t="s">
        <v>471</v>
      </c>
      <c r="E3994" s="5" t="s">
        <v>117</v>
      </c>
      <c r="F3994" s="6" t="s">
        <v>472</v>
      </c>
      <c r="G3994" s="4" t="s">
        <v>1</v>
      </c>
      <c r="H3994" s="25">
        <v>4.5</v>
      </c>
      <c r="I3994" s="8">
        <v>0</v>
      </c>
      <c r="J3994" s="9">
        <v>0</v>
      </c>
      <c r="K3994" s="7">
        <v>0</v>
      </c>
      <c r="L3994" s="24">
        <f>+Tabla2[[#This Row],[Stock Inventario]]*Tabla2[[#This Row],[Coste LÃ­nea]]</f>
        <v>0</v>
      </c>
      <c r="M3994" s="24">
        <f>+Tabla2[[#This Row],[Variación Stock]]*Tabla2[[#This Row],[Coste LÃ­nea]]</f>
        <v>0</v>
      </c>
      <c r="N3994" s="22" t="str">
        <f>+IF(Tabla2[[#This Row],[Variación Stock]]&gt;0,"Sobrante",IF(Tabla2[[#This Row],[Variación Stock]]&lt;0,"Faltante","Sin novedad"))</f>
        <v>Sin novedad</v>
      </c>
    </row>
    <row r="3995" spans="1:14" hidden="1" x14ac:dyDescent="0.25">
      <c r="A3995" s="11">
        <v>46053</v>
      </c>
      <c r="B3995" s="5" t="s">
        <v>1078</v>
      </c>
      <c r="C3995" s="3" t="s">
        <v>339</v>
      </c>
      <c r="D3995" s="5" t="s">
        <v>396</v>
      </c>
      <c r="E3995" s="5" t="s">
        <v>117</v>
      </c>
      <c r="F3995" s="6" t="s">
        <v>443</v>
      </c>
      <c r="G3995" s="4" t="s">
        <v>2</v>
      </c>
      <c r="H3995" s="25">
        <v>171.97888889000001</v>
      </c>
      <c r="I3995" s="8">
        <v>5400</v>
      </c>
      <c r="J3995" s="9">
        <v>900</v>
      </c>
      <c r="K3995" s="7">
        <v>-4500</v>
      </c>
      <c r="L3995" s="24">
        <f>+Tabla2[[#This Row],[Stock Inventario]]*Tabla2[[#This Row],[Coste LÃ­nea]]</f>
        <v>154781.00000100001</v>
      </c>
      <c r="M3995" s="24">
        <f>+Tabla2[[#This Row],[Variación Stock]]*Tabla2[[#This Row],[Coste LÃ­nea]]</f>
        <v>-773905.00000500004</v>
      </c>
      <c r="N3995" s="22" t="str">
        <f>+IF(Tabla2[[#This Row],[Variación Stock]]&gt;0,"Sobrante",IF(Tabla2[[#This Row],[Variación Stock]]&lt;0,"Faltante","Sin novedad"))</f>
        <v>Faltante</v>
      </c>
    </row>
    <row r="3996" spans="1:14" x14ac:dyDescent="0.25">
      <c r="A3996" s="11">
        <v>46053</v>
      </c>
      <c r="B3996" s="5" t="s">
        <v>1078</v>
      </c>
      <c r="C3996" s="3" t="s">
        <v>339</v>
      </c>
      <c r="D3996" s="5" t="s">
        <v>111</v>
      </c>
      <c r="E3996" s="5" t="s">
        <v>112</v>
      </c>
      <c r="F3996" s="6" t="s">
        <v>26</v>
      </c>
      <c r="G3996" s="4" t="s">
        <v>0</v>
      </c>
      <c r="H3996" s="25">
        <v>8389.75</v>
      </c>
      <c r="I3996" s="8">
        <v>27.46</v>
      </c>
      <c r="J3996" s="9">
        <v>26</v>
      </c>
      <c r="K3996" s="7">
        <v>-1.46</v>
      </c>
      <c r="L3996" s="24">
        <f>+Tabla2[[#This Row],[Stock Inventario]]*Tabla2[[#This Row],[Coste LÃ­nea]]</f>
        <v>218133.5</v>
      </c>
      <c r="M3996" s="24">
        <f>+Tabla2[[#This Row],[Variación Stock]]*Tabla2[[#This Row],[Coste LÃ­nea]]</f>
        <v>-12249.035</v>
      </c>
      <c r="N3996" s="22" t="str">
        <f>+IF(Tabla2[[#This Row],[Variación Stock]]&gt;0,"Sobrante",IF(Tabla2[[#This Row],[Variación Stock]]&lt;0,"Faltante","Sin novedad"))</f>
        <v>Faltante</v>
      </c>
    </row>
    <row r="3997" spans="1:14" x14ac:dyDescent="0.25">
      <c r="A3997" s="11">
        <v>46053</v>
      </c>
      <c r="B3997" s="5" t="s">
        <v>1078</v>
      </c>
      <c r="C3997" s="3" t="s">
        <v>339</v>
      </c>
      <c r="D3997" s="5" t="s">
        <v>111</v>
      </c>
      <c r="E3997" s="5" t="s">
        <v>112</v>
      </c>
      <c r="F3997" s="6" t="s">
        <v>27</v>
      </c>
      <c r="G3997" s="4" t="s">
        <v>0</v>
      </c>
      <c r="H3997" s="25">
        <v>7122.4772727299996</v>
      </c>
      <c r="I3997" s="8">
        <v>49</v>
      </c>
      <c r="J3997" s="9">
        <v>60.38</v>
      </c>
      <c r="K3997" s="7">
        <v>11.38</v>
      </c>
      <c r="L3997" s="24">
        <f>+Tabla2[[#This Row],[Stock Inventario]]*Tabla2[[#This Row],[Coste LÃ­nea]]</f>
        <v>430055.1777274374</v>
      </c>
      <c r="M3997" s="24">
        <f>+Tabla2[[#This Row],[Variación Stock]]*Tabla2[[#This Row],[Coste LÃ­nea]]</f>
        <v>81053.791363667406</v>
      </c>
      <c r="N3997" s="22" t="str">
        <f>+IF(Tabla2[[#This Row],[Variación Stock]]&gt;0,"Sobrante",IF(Tabla2[[#This Row],[Variación Stock]]&lt;0,"Faltante","Sin novedad"))</f>
        <v>Sobrante</v>
      </c>
    </row>
    <row r="3998" spans="1:14" hidden="1" x14ac:dyDescent="0.25">
      <c r="A3998" s="11">
        <v>46053</v>
      </c>
      <c r="B3998" s="5" t="s">
        <v>1078</v>
      </c>
      <c r="C3998" s="3" t="s">
        <v>339</v>
      </c>
      <c r="D3998" s="5" t="s">
        <v>559</v>
      </c>
      <c r="E3998" s="5" t="s">
        <v>1080</v>
      </c>
      <c r="F3998" s="6" t="s">
        <v>579</v>
      </c>
      <c r="G3998" s="4" t="s">
        <v>2</v>
      </c>
      <c r="H3998" s="25">
        <v>155.53399999999999</v>
      </c>
      <c r="I3998" s="8">
        <v>2110</v>
      </c>
      <c r="J3998" s="9">
        <v>10</v>
      </c>
      <c r="K3998" s="7">
        <v>-2100</v>
      </c>
      <c r="L3998" s="24">
        <f>+Tabla2[[#This Row],[Stock Inventario]]*Tabla2[[#This Row],[Coste LÃ­nea]]</f>
        <v>1555.34</v>
      </c>
      <c r="M3998" s="24">
        <f>+Tabla2[[#This Row],[Variación Stock]]*Tabla2[[#This Row],[Coste LÃ­nea]]</f>
        <v>-326621.39999999997</v>
      </c>
      <c r="N3998" s="22" t="str">
        <f>+IF(Tabla2[[#This Row],[Variación Stock]]&gt;0,"Sobrante",IF(Tabla2[[#This Row],[Variación Stock]]&lt;0,"Faltante","Sin novedad"))</f>
        <v>Faltante</v>
      </c>
    </row>
    <row r="3999" spans="1:14" hidden="1" x14ac:dyDescent="0.25">
      <c r="A3999" s="11">
        <v>46053</v>
      </c>
      <c r="B3999" s="5" t="s">
        <v>1078</v>
      </c>
      <c r="C3999" s="3" t="s">
        <v>339</v>
      </c>
      <c r="D3999" s="5" t="s">
        <v>396</v>
      </c>
      <c r="E3999" s="5" t="s">
        <v>117</v>
      </c>
      <c r="F3999" s="6" t="s">
        <v>418</v>
      </c>
      <c r="G3999" s="4" t="s">
        <v>1</v>
      </c>
      <c r="H3999" s="25">
        <v>40.047916669999999</v>
      </c>
      <c r="I3999" s="8">
        <v>2955</v>
      </c>
      <c r="J3999" s="9">
        <v>500</v>
      </c>
      <c r="K3999" s="7">
        <v>-2455</v>
      </c>
      <c r="L3999" s="24">
        <f>+Tabla2[[#This Row],[Stock Inventario]]*Tabla2[[#This Row],[Coste LÃ­nea]]</f>
        <v>20023.958334999999</v>
      </c>
      <c r="M3999" s="24">
        <f>+Tabla2[[#This Row],[Variación Stock]]*Tabla2[[#This Row],[Coste LÃ­nea]]</f>
        <v>-98317.635424849999</v>
      </c>
      <c r="N3999" s="22" t="str">
        <f>+IF(Tabla2[[#This Row],[Variación Stock]]&gt;0,"Sobrante",IF(Tabla2[[#This Row],[Variación Stock]]&lt;0,"Faltante","Sin novedad"))</f>
        <v>Faltante</v>
      </c>
    </row>
    <row r="4000" spans="1:14" hidden="1" x14ac:dyDescent="0.25">
      <c r="A4000" s="11">
        <v>46053</v>
      </c>
      <c r="B4000" s="5" t="s">
        <v>1078</v>
      </c>
      <c r="C4000" s="3" t="s">
        <v>339</v>
      </c>
      <c r="D4000" s="5" t="s">
        <v>396</v>
      </c>
      <c r="E4000" s="5" t="s">
        <v>117</v>
      </c>
      <c r="F4000" s="6" t="s">
        <v>460</v>
      </c>
      <c r="G4000" s="4" t="s">
        <v>1</v>
      </c>
      <c r="H4000" s="25">
        <v>18.829166669999999</v>
      </c>
      <c r="I4000" s="8">
        <v>0</v>
      </c>
      <c r="J4000" s="9">
        <v>0</v>
      </c>
      <c r="K4000" s="7">
        <v>0</v>
      </c>
      <c r="L4000" s="24">
        <f>+Tabla2[[#This Row],[Stock Inventario]]*Tabla2[[#This Row],[Coste LÃ­nea]]</f>
        <v>0</v>
      </c>
      <c r="M4000" s="24">
        <f>+Tabla2[[#This Row],[Variación Stock]]*Tabla2[[#This Row],[Coste LÃ­nea]]</f>
        <v>0</v>
      </c>
      <c r="N4000" s="22" t="str">
        <f>+IF(Tabla2[[#This Row],[Variación Stock]]&gt;0,"Sobrante",IF(Tabla2[[#This Row],[Variación Stock]]&lt;0,"Faltante","Sin novedad"))</f>
        <v>Sin novedad</v>
      </c>
    </row>
    <row r="4001" spans="1:14" hidden="1" x14ac:dyDescent="0.25">
      <c r="A4001" s="11">
        <v>46053</v>
      </c>
      <c r="B4001" s="5" t="s">
        <v>1078</v>
      </c>
      <c r="C4001" s="3" t="s">
        <v>339</v>
      </c>
      <c r="D4001" s="5" t="s">
        <v>396</v>
      </c>
      <c r="E4001" s="5" t="s">
        <v>117</v>
      </c>
      <c r="F4001" s="6" t="s">
        <v>425</v>
      </c>
      <c r="G4001" s="4" t="s">
        <v>1</v>
      </c>
      <c r="H4001" s="25">
        <v>16.5</v>
      </c>
      <c r="I4001" s="8">
        <v>4295</v>
      </c>
      <c r="J4001" s="9">
        <v>3000</v>
      </c>
      <c r="K4001" s="7">
        <v>-1295</v>
      </c>
      <c r="L4001" s="24">
        <f>+Tabla2[[#This Row],[Stock Inventario]]*Tabla2[[#This Row],[Coste LÃ­nea]]</f>
        <v>49500</v>
      </c>
      <c r="M4001" s="24">
        <f>+Tabla2[[#This Row],[Variación Stock]]*Tabla2[[#This Row],[Coste LÃ­nea]]</f>
        <v>-21367.5</v>
      </c>
      <c r="N4001" s="22" t="str">
        <f>+IF(Tabla2[[#This Row],[Variación Stock]]&gt;0,"Sobrante",IF(Tabla2[[#This Row],[Variación Stock]]&lt;0,"Faltante","Sin novedad"))</f>
        <v>Faltante</v>
      </c>
    </row>
    <row r="4002" spans="1:14" x14ac:dyDescent="0.25">
      <c r="A4002" s="11">
        <v>46053</v>
      </c>
      <c r="B4002" s="5" t="s">
        <v>1078</v>
      </c>
      <c r="C4002" s="3" t="s">
        <v>339</v>
      </c>
      <c r="D4002" s="5" t="s">
        <v>118</v>
      </c>
      <c r="E4002" s="5" t="s">
        <v>112</v>
      </c>
      <c r="F4002" s="6" t="s">
        <v>299</v>
      </c>
      <c r="G4002" s="4" t="s">
        <v>2</v>
      </c>
      <c r="H4002" s="25">
        <v>72880</v>
      </c>
      <c r="I4002" s="8">
        <v>3</v>
      </c>
      <c r="J4002" s="9">
        <v>3</v>
      </c>
      <c r="K4002" s="7">
        <v>0</v>
      </c>
      <c r="L4002" s="24">
        <f>+Tabla2[[#This Row],[Stock Inventario]]*Tabla2[[#This Row],[Coste LÃ­nea]]</f>
        <v>218640</v>
      </c>
      <c r="M4002" s="24">
        <f>+Tabla2[[#This Row],[Variación Stock]]*Tabla2[[#This Row],[Coste LÃ­nea]]</f>
        <v>0</v>
      </c>
      <c r="N4002" s="22" t="str">
        <f>+IF(Tabla2[[#This Row],[Variación Stock]]&gt;0,"Sobrante",IF(Tabla2[[#This Row],[Variación Stock]]&lt;0,"Faltante","Sin novedad"))</f>
        <v>Sin novedad</v>
      </c>
    </row>
    <row r="4003" spans="1:14" x14ac:dyDescent="0.25">
      <c r="A4003" s="11">
        <v>46053</v>
      </c>
      <c r="B4003" s="5" t="s">
        <v>1078</v>
      </c>
      <c r="C4003" s="3" t="s">
        <v>339</v>
      </c>
      <c r="D4003" s="5" t="s">
        <v>118</v>
      </c>
      <c r="E4003" s="5" t="s">
        <v>112</v>
      </c>
      <c r="F4003" s="6" t="s">
        <v>300</v>
      </c>
      <c r="G4003" s="4" t="s">
        <v>2</v>
      </c>
      <c r="H4003" s="25">
        <v>25109.5</v>
      </c>
      <c r="I4003" s="8">
        <v>0</v>
      </c>
      <c r="J4003" s="9">
        <v>0</v>
      </c>
      <c r="K4003" s="7">
        <v>0</v>
      </c>
      <c r="L4003" s="24">
        <f>+Tabla2[[#This Row],[Stock Inventario]]*Tabla2[[#This Row],[Coste LÃ­nea]]</f>
        <v>0</v>
      </c>
      <c r="M4003" s="24">
        <f>+Tabla2[[#This Row],[Variación Stock]]*Tabla2[[#This Row],[Coste LÃ­nea]]</f>
        <v>0</v>
      </c>
      <c r="N4003" s="22" t="str">
        <f>+IF(Tabla2[[#This Row],[Variación Stock]]&gt;0,"Sobrante",IF(Tabla2[[#This Row],[Variación Stock]]&lt;0,"Faltante","Sin novedad"))</f>
        <v>Sin novedad</v>
      </c>
    </row>
    <row r="4004" spans="1:14" hidden="1" x14ac:dyDescent="0.25">
      <c r="A4004" s="11">
        <v>46053</v>
      </c>
      <c r="B4004" s="5" t="s">
        <v>1078</v>
      </c>
      <c r="C4004" s="3" t="s">
        <v>339</v>
      </c>
      <c r="D4004" s="5" t="s">
        <v>396</v>
      </c>
      <c r="E4004" s="5" t="s">
        <v>117</v>
      </c>
      <c r="F4004" s="6" t="s">
        <v>399</v>
      </c>
      <c r="G4004" s="4" t="s">
        <v>1</v>
      </c>
      <c r="H4004" s="25">
        <v>37.000436970000003</v>
      </c>
      <c r="I4004" s="8">
        <v>282</v>
      </c>
      <c r="J4004" s="9">
        <v>786</v>
      </c>
      <c r="K4004" s="7">
        <v>504</v>
      </c>
      <c r="L4004" s="24">
        <f>+Tabla2[[#This Row],[Stock Inventario]]*Tabla2[[#This Row],[Coste LÃ­nea]]</f>
        <v>29082.34345842</v>
      </c>
      <c r="M4004" s="24">
        <f>+Tabla2[[#This Row],[Variación Stock]]*Tabla2[[#This Row],[Coste LÃ­nea]]</f>
        <v>18648.220232880001</v>
      </c>
      <c r="N4004" s="22" t="str">
        <f>+IF(Tabla2[[#This Row],[Variación Stock]]&gt;0,"Sobrante",IF(Tabla2[[#This Row],[Variación Stock]]&lt;0,"Faltante","Sin novedad"))</f>
        <v>Sobrante</v>
      </c>
    </row>
    <row r="4005" spans="1:14" hidden="1" x14ac:dyDescent="0.25">
      <c r="A4005" s="11">
        <v>46053</v>
      </c>
      <c r="B4005" s="5" t="s">
        <v>1078</v>
      </c>
      <c r="C4005" s="3" t="s">
        <v>339</v>
      </c>
      <c r="D4005" s="5" t="s">
        <v>396</v>
      </c>
      <c r="E4005" s="5" t="s">
        <v>117</v>
      </c>
      <c r="F4005" s="6" t="s">
        <v>414</v>
      </c>
      <c r="G4005" s="4" t="s">
        <v>1</v>
      </c>
      <c r="H4005" s="25">
        <v>32.000190480000001</v>
      </c>
      <c r="I4005" s="8">
        <v>1000</v>
      </c>
      <c r="J4005" s="9">
        <v>500</v>
      </c>
      <c r="K4005" s="7">
        <v>-500</v>
      </c>
      <c r="L4005" s="24">
        <f>+Tabla2[[#This Row],[Stock Inventario]]*Tabla2[[#This Row],[Coste LÃ­nea]]</f>
        <v>16000.095240000001</v>
      </c>
      <c r="M4005" s="24">
        <f>+Tabla2[[#This Row],[Variación Stock]]*Tabla2[[#This Row],[Coste LÃ­nea]]</f>
        <v>-16000.095240000001</v>
      </c>
      <c r="N4005" s="22" t="str">
        <f>+IF(Tabla2[[#This Row],[Variación Stock]]&gt;0,"Sobrante",IF(Tabla2[[#This Row],[Variación Stock]]&lt;0,"Faltante","Sin novedad"))</f>
        <v>Faltante</v>
      </c>
    </row>
    <row r="4006" spans="1:14" hidden="1" x14ac:dyDescent="0.25">
      <c r="A4006" s="11">
        <v>46053</v>
      </c>
      <c r="B4006" s="5" t="s">
        <v>1078</v>
      </c>
      <c r="C4006" s="3" t="s">
        <v>339</v>
      </c>
      <c r="D4006" s="5" t="s">
        <v>471</v>
      </c>
      <c r="E4006" s="5" t="s">
        <v>117</v>
      </c>
      <c r="F4006" s="6" t="s">
        <v>517</v>
      </c>
      <c r="G4006" s="4" t="s">
        <v>1</v>
      </c>
      <c r="H4006" s="25">
        <v>9.5</v>
      </c>
      <c r="I4006" s="8">
        <v>6500</v>
      </c>
      <c r="J4006" s="9">
        <v>0</v>
      </c>
      <c r="K4006" s="7">
        <v>-6500</v>
      </c>
      <c r="L4006" s="24">
        <f>+Tabla2[[#This Row],[Stock Inventario]]*Tabla2[[#This Row],[Coste LÃ­nea]]</f>
        <v>0</v>
      </c>
      <c r="M4006" s="24">
        <f>+Tabla2[[#This Row],[Variación Stock]]*Tabla2[[#This Row],[Coste LÃ­nea]]</f>
        <v>-61750</v>
      </c>
      <c r="N4006" s="22" t="str">
        <f>+IF(Tabla2[[#This Row],[Variación Stock]]&gt;0,"Sobrante",IF(Tabla2[[#This Row],[Variación Stock]]&lt;0,"Faltante","Sin novedad"))</f>
        <v>Faltante</v>
      </c>
    </row>
    <row r="4007" spans="1:14" hidden="1" x14ac:dyDescent="0.25">
      <c r="A4007" s="11">
        <v>46053</v>
      </c>
      <c r="B4007" s="5" t="s">
        <v>1078</v>
      </c>
      <c r="C4007" s="3" t="s">
        <v>339</v>
      </c>
      <c r="D4007" s="5" t="s">
        <v>396</v>
      </c>
      <c r="E4007" s="5" t="s">
        <v>117</v>
      </c>
      <c r="F4007" s="6" t="s">
        <v>444</v>
      </c>
      <c r="G4007" s="4" t="s">
        <v>1</v>
      </c>
      <c r="H4007" s="25">
        <v>22.523250000000001</v>
      </c>
      <c r="I4007" s="8">
        <v>2286</v>
      </c>
      <c r="J4007" s="9">
        <v>1874</v>
      </c>
      <c r="K4007" s="7">
        <v>-412</v>
      </c>
      <c r="L4007" s="24">
        <f>+Tabla2[[#This Row],[Stock Inventario]]*Tabla2[[#This Row],[Coste LÃ­nea]]</f>
        <v>42208.570500000002</v>
      </c>
      <c r="M4007" s="24">
        <f>+Tabla2[[#This Row],[Variación Stock]]*Tabla2[[#This Row],[Coste LÃ­nea]]</f>
        <v>-9279.5789999999997</v>
      </c>
      <c r="N4007" s="22" t="str">
        <f>+IF(Tabla2[[#This Row],[Variación Stock]]&gt;0,"Sobrante",IF(Tabla2[[#This Row],[Variación Stock]]&lt;0,"Faltante","Sin novedad"))</f>
        <v>Faltante</v>
      </c>
    </row>
    <row r="4008" spans="1:14" x14ac:dyDescent="0.25">
      <c r="A4008" s="11">
        <v>46053</v>
      </c>
      <c r="B4008" s="5" t="s">
        <v>1078</v>
      </c>
      <c r="C4008" s="3" t="s">
        <v>339</v>
      </c>
      <c r="D4008" s="5" t="s">
        <v>603</v>
      </c>
      <c r="E4008" s="5" t="s">
        <v>112</v>
      </c>
      <c r="F4008" s="6" t="s">
        <v>622</v>
      </c>
      <c r="G4008" s="4" t="s">
        <v>1</v>
      </c>
      <c r="H4008" s="25">
        <v>8.5</v>
      </c>
      <c r="I4008" s="8">
        <v>10355</v>
      </c>
      <c r="J4008" s="9">
        <v>2152</v>
      </c>
      <c r="K4008" s="7">
        <v>-8203.0000005999991</v>
      </c>
      <c r="L4008" s="24">
        <f>+Tabla2[[#This Row],[Stock Inventario]]*Tabla2[[#This Row],[Coste LÃ­nea]]</f>
        <v>18292</v>
      </c>
      <c r="M4008" s="24">
        <f>+Tabla2[[#This Row],[Variación Stock]]*Tabla2[[#This Row],[Coste LÃ­nea]]</f>
        <v>-69725.500005099995</v>
      </c>
      <c r="N4008" s="22" t="str">
        <f>+IF(Tabla2[[#This Row],[Variación Stock]]&gt;0,"Sobrante",IF(Tabla2[[#This Row],[Variación Stock]]&lt;0,"Faltante","Sin novedad"))</f>
        <v>Faltante</v>
      </c>
    </row>
    <row r="4009" spans="1:14" hidden="1" x14ac:dyDescent="0.25">
      <c r="A4009" s="11">
        <v>46053</v>
      </c>
      <c r="B4009" s="5" t="s">
        <v>1078</v>
      </c>
      <c r="C4009" s="3" t="s">
        <v>339</v>
      </c>
      <c r="D4009" s="5" t="s">
        <v>396</v>
      </c>
      <c r="E4009" s="5" t="s">
        <v>117</v>
      </c>
      <c r="F4009" s="6" t="s">
        <v>216</v>
      </c>
      <c r="G4009" s="4" t="s">
        <v>1</v>
      </c>
      <c r="H4009" s="25">
        <v>7.4612276700000004</v>
      </c>
      <c r="I4009" s="8">
        <v>0</v>
      </c>
      <c r="J4009" s="9">
        <v>0</v>
      </c>
      <c r="K4009" s="7">
        <v>0</v>
      </c>
      <c r="L4009" s="24">
        <f>+Tabla2[[#This Row],[Stock Inventario]]*Tabla2[[#This Row],[Coste LÃ­nea]]</f>
        <v>0</v>
      </c>
      <c r="M4009" s="24">
        <f>+Tabla2[[#This Row],[Variación Stock]]*Tabla2[[#This Row],[Coste LÃ­nea]]</f>
        <v>0</v>
      </c>
      <c r="N4009" s="22" t="str">
        <f>+IF(Tabla2[[#This Row],[Variación Stock]]&gt;0,"Sobrante",IF(Tabla2[[#This Row],[Variación Stock]]&lt;0,"Faltante","Sin novedad"))</f>
        <v>Sin novedad</v>
      </c>
    </row>
    <row r="4010" spans="1:14" x14ac:dyDescent="0.25">
      <c r="A4010" s="11">
        <v>46053</v>
      </c>
      <c r="B4010" s="5" t="s">
        <v>1078</v>
      </c>
      <c r="C4010" s="3" t="s">
        <v>339</v>
      </c>
      <c r="D4010" s="5" t="s">
        <v>118</v>
      </c>
      <c r="E4010" s="5" t="s">
        <v>112</v>
      </c>
      <c r="F4010" s="6" t="s">
        <v>152</v>
      </c>
      <c r="G4010" s="4" t="s">
        <v>2</v>
      </c>
      <c r="H4010" s="25">
        <v>7</v>
      </c>
      <c r="I4010" s="8">
        <v>0</v>
      </c>
      <c r="J4010" s="9">
        <v>0</v>
      </c>
      <c r="K4010" s="7">
        <v>0</v>
      </c>
      <c r="L4010" s="24">
        <f>+Tabla2[[#This Row],[Stock Inventario]]*Tabla2[[#This Row],[Coste LÃ­nea]]</f>
        <v>0</v>
      </c>
      <c r="M4010" s="24">
        <f>+Tabla2[[#This Row],[Variación Stock]]*Tabla2[[#This Row],[Coste LÃ­nea]]</f>
        <v>0</v>
      </c>
      <c r="N4010" s="22" t="str">
        <f>+IF(Tabla2[[#This Row],[Variación Stock]]&gt;0,"Sobrante",IF(Tabla2[[#This Row],[Variación Stock]]&lt;0,"Faltante","Sin novedad"))</f>
        <v>Sin novedad</v>
      </c>
    </row>
    <row r="4011" spans="1:14" hidden="1" x14ac:dyDescent="0.25">
      <c r="A4011" s="11">
        <v>46053</v>
      </c>
      <c r="B4011" s="5" t="s">
        <v>1078</v>
      </c>
      <c r="C4011" s="3" t="s">
        <v>339</v>
      </c>
      <c r="D4011" s="5" t="s">
        <v>120</v>
      </c>
      <c r="E4011" s="5" t="s">
        <v>117</v>
      </c>
      <c r="F4011" s="6" t="s">
        <v>216</v>
      </c>
      <c r="G4011" s="4" t="s">
        <v>2</v>
      </c>
      <c r="H4011" s="25">
        <v>345.67500000000001</v>
      </c>
      <c r="I4011" s="8">
        <v>0</v>
      </c>
      <c r="J4011" s="9">
        <v>0</v>
      </c>
      <c r="K4011" s="7">
        <v>0</v>
      </c>
      <c r="L4011" s="24">
        <f>+Tabla2[[#This Row],[Stock Inventario]]*Tabla2[[#This Row],[Coste LÃ­nea]]</f>
        <v>0</v>
      </c>
      <c r="M4011" s="24">
        <f>+Tabla2[[#This Row],[Variación Stock]]*Tabla2[[#This Row],[Coste LÃ­nea]]</f>
        <v>0</v>
      </c>
      <c r="N4011" s="22" t="str">
        <f>+IF(Tabla2[[#This Row],[Variación Stock]]&gt;0,"Sobrante",IF(Tabla2[[#This Row],[Variación Stock]]&lt;0,"Faltante","Sin novedad"))</f>
        <v>Sin novedad</v>
      </c>
    </row>
    <row r="4012" spans="1:14" hidden="1" x14ac:dyDescent="0.25">
      <c r="A4012" s="11">
        <v>46053</v>
      </c>
      <c r="B4012" s="5" t="s">
        <v>1078</v>
      </c>
      <c r="C4012" s="3" t="s">
        <v>339</v>
      </c>
      <c r="D4012" s="5" t="s">
        <v>120</v>
      </c>
      <c r="E4012" s="5" t="s">
        <v>117</v>
      </c>
      <c r="F4012" s="6" t="s">
        <v>216</v>
      </c>
      <c r="G4012" s="4" t="s">
        <v>0</v>
      </c>
      <c r="H4012" s="25">
        <v>2004.6129487200001</v>
      </c>
      <c r="I4012" s="8">
        <v>-22</v>
      </c>
      <c r="J4012" s="9">
        <v>0</v>
      </c>
      <c r="K4012" s="7">
        <v>22</v>
      </c>
      <c r="L4012" s="24">
        <f>+Tabla2[[#This Row],[Stock Inventario]]*Tabla2[[#This Row],[Coste LÃ­nea]]</f>
        <v>0</v>
      </c>
      <c r="M4012" s="24">
        <f>+Tabla2[[#This Row],[Variación Stock]]*Tabla2[[#This Row],[Coste LÃ­nea]]</f>
        <v>44101.484871840003</v>
      </c>
      <c r="N4012" s="22" t="str">
        <f>+IF(Tabla2[[#This Row],[Variación Stock]]&gt;0,"Sobrante",IF(Tabla2[[#This Row],[Variación Stock]]&lt;0,"Faltante","Sin novedad"))</f>
        <v>Sobrante</v>
      </c>
    </row>
    <row r="4013" spans="1:14" hidden="1" x14ac:dyDescent="0.25">
      <c r="A4013" s="11">
        <v>46053</v>
      </c>
      <c r="B4013" s="5" t="s">
        <v>1078</v>
      </c>
      <c r="C4013" s="3" t="s">
        <v>339</v>
      </c>
      <c r="D4013" s="5" t="s">
        <v>120</v>
      </c>
      <c r="E4013" s="5" t="s">
        <v>117</v>
      </c>
      <c r="F4013" s="6" t="s">
        <v>216</v>
      </c>
      <c r="G4013" s="4" t="s">
        <v>1</v>
      </c>
      <c r="H4013" s="25">
        <v>126.77026882</v>
      </c>
      <c r="I4013" s="8">
        <v>0</v>
      </c>
      <c r="J4013" s="9">
        <v>0</v>
      </c>
      <c r="K4013" s="7">
        <v>0</v>
      </c>
      <c r="L4013" s="24">
        <f>+Tabla2[[#This Row],[Stock Inventario]]*Tabla2[[#This Row],[Coste LÃ­nea]]</f>
        <v>0</v>
      </c>
      <c r="M4013" s="24">
        <f>+Tabla2[[#This Row],[Variación Stock]]*Tabla2[[#This Row],[Coste LÃ­nea]]</f>
        <v>0</v>
      </c>
      <c r="N4013" s="22" t="str">
        <f>+IF(Tabla2[[#This Row],[Variación Stock]]&gt;0,"Sobrante",IF(Tabla2[[#This Row],[Variación Stock]]&lt;0,"Faltante","Sin novedad"))</f>
        <v>Sin novedad</v>
      </c>
    </row>
    <row r="4014" spans="1:14" hidden="1" x14ac:dyDescent="0.25">
      <c r="A4014" s="11">
        <v>46053</v>
      </c>
      <c r="B4014" s="5" t="s">
        <v>1078</v>
      </c>
      <c r="C4014" s="3" t="s">
        <v>339</v>
      </c>
      <c r="D4014" s="5" t="s">
        <v>120</v>
      </c>
      <c r="E4014" s="5" t="s">
        <v>117</v>
      </c>
      <c r="F4014" s="6" t="s">
        <v>216</v>
      </c>
      <c r="G4014" s="4" t="s">
        <v>1</v>
      </c>
      <c r="H4014" s="25">
        <v>2.0401540699999998</v>
      </c>
      <c r="I4014" s="8">
        <v>0</v>
      </c>
      <c r="J4014" s="9">
        <v>0</v>
      </c>
      <c r="K4014" s="7">
        <v>0</v>
      </c>
      <c r="L4014" s="24">
        <f>+Tabla2[[#This Row],[Stock Inventario]]*Tabla2[[#This Row],[Coste LÃ­nea]]</f>
        <v>0</v>
      </c>
      <c r="M4014" s="24">
        <f>+Tabla2[[#This Row],[Variación Stock]]*Tabla2[[#This Row],[Coste LÃ­nea]]</f>
        <v>0</v>
      </c>
      <c r="N4014" s="22" t="str">
        <f>+IF(Tabla2[[#This Row],[Variación Stock]]&gt;0,"Sobrante",IF(Tabla2[[#This Row],[Variación Stock]]&lt;0,"Faltante","Sin novedad"))</f>
        <v>Sin novedad</v>
      </c>
    </row>
    <row r="4015" spans="1:14" hidden="1" x14ac:dyDescent="0.25">
      <c r="A4015" s="11">
        <v>46053</v>
      </c>
      <c r="B4015" s="5" t="s">
        <v>1078</v>
      </c>
      <c r="C4015" s="3" t="s">
        <v>339</v>
      </c>
      <c r="D4015" s="5" t="s">
        <v>323</v>
      </c>
      <c r="E4015" s="5" t="s">
        <v>117</v>
      </c>
      <c r="F4015" s="6" t="s">
        <v>216</v>
      </c>
      <c r="G4015" s="4" t="s">
        <v>2</v>
      </c>
      <c r="H4015" s="25">
        <v>2</v>
      </c>
      <c r="I4015" s="8">
        <v>0</v>
      </c>
      <c r="J4015" s="9">
        <v>0</v>
      </c>
      <c r="K4015" s="7">
        <v>0</v>
      </c>
      <c r="L4015" s="24">
        <f>+Tabla2[[#This Row],[Stock Inventario]]*Tabla2[[#This Row],[Coste LÃ­nea]]</f>
        <v>0</v>
      </c>
      <c r="M4015" s="24">
        <f>+Tabla2[[#This Row],[Variación Stock]]*Tabla2[[#This Row],[Coste LÃ­nea]]</f>
        <v>0</v>
      </c>
      <c r="N4015" s="22" t="str">
        <f>+IF(Tabla2[[#This Row],[Variación Stock]]&gt;0,"Sobrante",IF(Tabla2[[#This Row],[Variación Stock]]&lt;0,"Faltante","Sin novedad"))</f>
        <v>Sin novedad</v>
      </c>
    </row>
    <row r="4016" spans="1:14" hidden="1" x14ac:dyDescent="0.25">
      <c r="A4016" s="11">
        <v>46053</v>
      </c>
      <c r="B4016" s="5" t="s">
        <v>1078</v>
      </c>
      <c r="C4016" s="3" t="s">
        <v>339</v>
      </c>
      <c r="D4016" s="5" t="s">
        <v>323</v>
      </c>
      <c r="E4016" s="5" t="s">
        <v>117</v>
      </c>
      <c r="F4016" s="6" t="s">
        <v>216</v>
      </c>
      <c r="G4016" s="4" t="s">
        <v>1</v>
      </c>
      <c r="H4016" s="25">
        <v>2</v>
      </c>
      <c r="I4016" s="8">
        <v>0</v>
      </c>
      <c r="J4016" s="9">
        <v>0</v>
      </c>
      <c r="K4016" s="7">
        <v>0</v>
      </c>
      <c r="L4016" s="24">
        <f>+Tabla2[[#This Row],[Stock Inventario]]*Tabla2[[#This Row],[Coste LÃ­nea]]</f>
        <v>0</v>
      </c>
      <c r="M4016" s="24">
        <f>+Tabla2[[#This Row],[Variación Stock]]*Tabla2[[#This Row],[Coste LÃ­nea]]</f>
        <v>0</v>
      </c>
      <c r="N4016" s="22" t="str">
        <f>+IF(Tabla2[[#This Row],[Variación Stock]]&gt;0,"Sobrante",IF(Tabla2[[#This Row],[Variación Stock]]&lt;0,"Faltante","Sin novedad"))</f>
        <v>Sin novedad</v>
      </c>
    </row>
    <row r="4017" spans="1:14" x14ac:dyDescent="0.25">
      <c r="A4017" s="11">
        <v>46053</v>
      </c>
      <c r="B4017" s="5" t="s">
        <v>1078</v>
      </c>
      <c r="C4017" s="3" t="s">
        <v>339</v>
      </c>
      <c r="D4017" s="5" t="s">
        <v>121</v>
      </c>
      <c r="E4017" s="5" t="s">
        <v>112</v>
      </c>
      <c r="F4017" s="6" t="s">
        <v>152</v>
      </c>
      <c r="G4017" s="4" t="s">
        <v>1</v>
      </c>
      <c r="H4017" s="25">
        <v>41.52380952</v>
      </c>
      <c r="I4017" s="8">
        <v>1100</v>
      </c>
      <c r="J4017" s="9">
        <v>0</v>
      </c>
      <c r="K4017" s="7">
        <v>-1100</v>
      </c>
      <c r="L4017" s="24">
        <f>+Tabla2[[#This Row],[Stock Inventario]]*Tabla2[[#This Row],[Coste LÃ­nea]]</f>
        <v>0</v>
      </c>
      <c r="M4017" s="24">
        <f>+Tabla2[[#This Row],[Variación Stock]]*Tabla2[[#This Row],[Coste LÃ­nea]]</f>
        <v>-45676.190472000002</v>
      </c>
      <c r="N4017" s="22" t="str">
        <f>+IF(Tabla2[[#This Row],[Variación Stock]]&gt;0,"Sobrante",IF(Tabla2[[#This Row],[Variación Stock]]&lt;0,"Faltante","Sin novedad"))</f>
        <v>Faltante</v>
      </c>
    </row>
    <row r="4018" spans="1:14" hidden="1" x14ac:dyDescent="0.25">
      <c r="A4018" s="11">
        <v>46053</v>
      </c>
      <c r="B4018" s="5" t="s">
        <v>1078</v>
      </c>
      <c r="C4018" s="3" t="s">
        <v>339</v>
      </c>
      <c r="D4018" s="5" t="s">
        <v>396</v>
      </c>
      <c r="E4018" s="5" t="s">
        <v>117</v>
      </c>
      <c r="F4018" s="6" t="s">
        <v>461</v>
      </c>
      <c r="G4018" s="4" t="s">
        <v>1</v>
      </c>
      <c r="H4018" s="25">
        <v>114.62</v>
      </c>
      <c r="I4018" s="8">
        <v>-54</v>
      </c>
      <c r="J4018" s="9">
        <v>0</v>
      </c>
      <c r="K4018" s="7">
        <v>54</v>
      </c>
      <c r="L4018" s="24">
        <f>+Tabla2[[#This Row],[Stock Inventario]]*Tabla2[[#This Row],[Coste LÃ­nea]]</f>
        <v>0</v>
      </c>
      <c r="M4018" s="24">
        <f>+Tabla2[[#This Row],[Variación Stock]]*Tabla2[[#This Row],[Coste LÃ­nea]]</f>
        <v>6189.4800000000005</v>
      </c>
      <c r="N4018" s="22" t="str">
        <f>+IF(Tabla2[[#This Row],[Variación Stock]]&gt;0,"Sobrante",IF(Tabla2[[#This Row],[Variación Stock]]&lt;0,"Faltante","Sin novedad"))</f>
        <v>Sobrante</v>
      </c>
    </row>
    <row r="4019" spans="1:14" hidden="1" x14ac:dyDescent="0.25">
      <c r="A4019" s="11">
        <v>46053</v>
      </c>
      <c r="B4019" s="5" t="s">
        <v>1078</v>
      </c>
      <c r="C4019" s="3" t="s">
        <v>339</v>
      </c>
      <c r="D4019" s="5" t="s">
        <v>396</v>
      </c>
      <c r="E4019" s="5" t="s">
        <v>117</v>
      </c>
      <c r="F4019" s="6" t="s">
        <v>415</v>
      </c>
      <c r="G4019" s="4" t="s">
        <v>1</v>
      </c>
      <c r="H4019" s="25">
        <v>123.75920000000001</v>
      </c>
      <c r="I4019" s="8">
        <v>1534</v>
      </c>
      <c r="J4019" s="9">
        <v>1500</v>
      </c>
      <c r="K4019" s="7">
        <v>-34</v>
      </c>
      <c r="L4019" s="24">
        <f>+Tabla2[[#This Row],[Stock Inventario]]*Tabla2[[#This Row],[Coste LÃ­nea]]</f>
        <v>185638.80000000002</v>
      </c>
      <c r="M4019" s="24">
        <f>+Tabla2[[#This Row],[Variación Stock]]*Tabla2[[#This Row],[Coste LÃ­nea]]</f>
        <v>-4207.8128000000006</v>
      </c>
      <c r="N4019" s="22" t="str">
        <f>+IF(Tabla2[[#This Row],[Variación Stock]]&gt;0,"Sobrante",IF(Tabla2[[#This Row],[Variación Stock]]&lt;0,"Faltante","Sin novedad"))</f>
        <v>Faltante</v>
      </c>
    </row>
    <row r="4020" spans="1:14" hidden="1" x14ac:dyDescent="0.25">
      <c r="A4020" s="11">
        <v>46053</v>
      </c>
      <c r="B4020" s="5" t="s">
        <v>1078</v>
      </c>
      <c r="C4020" s="3" t="s">
        <v>339</v>
      </c>
      <c r="D4020" s="5" t="s">
        <v>471</v>
      </c>
      <c r="E4020" s="5" t="s">
        <v>117</v>
      </c>
      <c r="F4020" s="6" t="s">
        <v>518</v>
      </c>
      <c r="G4020" s="4" t="s">
        <v>1</v>
      </c>
      <c r="H4020" s="25">
        <v>10</v>
      </c>
      <c r="I4020" s="8">
        <v>0</v>
      </c>
      <c r="J4020" s="9">
        <v>0</v>
      </c>
      <c r="K4020" s="7">
        <v>0</v>
      </c>
      <c r="L4020" s="24">
        <f>+Tabla2[[#This Row],[Stock Inventario]]*Tabla2[[#This Row],[Coste LÃ­nea]]</f>
        <v>0</v>
      </c>
      <c r="M4020" s="24">
        <f>+Tabla2[[#This Row],[Variación Stock]]*Tabla2[[#This Row],[Coste LÃ­nea]]</f>
        <v>0</v>
      </c>
      <c r="N4020" s="22" t="str">
        <f>+IF(Tabla2[[#This Row],[Variación Stock]]&gt;0,"Sobrante",IF(Tabla2[[#This Row],[Variación Stock]]&lt;0,"Faltante","Sin novedad"))</f>
        <v>Sin novedad</v>
      </c>
    </row>
    <row r="4021" spans="1:14" x14ac:dyDescent="0.25">
      <c r="A4021" s="11">
        <v>46053</v>
      </c>
      <c r="B4021" s="5" t="s">
        <v>1078</v>
      </c>
      <c r="C4021" s="3" t="s">
        <v>339</v>
      </c>
      <c r="D4021" s="5" t="s">
        <v>111</v>
      </c>
      <c r="E4021" s="5" t="s">
        <v>112</v>
      </c>
      <c r="F4021" s="6" t="s">
        <v>28</v>
      </c>
      <c r="G4021" s="4" t="s">
        <v>2</v>
      </c>
      <c r="H4021" s="25">
        <v>93956</v>
      </c>
      <c r="I4021" s="8">
        <v>1</v>
      </c>
      <c r="J4021" s="9">
        <v>1</v>
      </c>
      <c r="K4021" s="7">
        <v>0</v>
      </c>
      <c r="L4021" s="24">
        <f>+Tabla2[[#This Row],[Stock Inventario]]*Tabla2[[#This Row],[Coste LÃ­nea]]</f>
        <v>93956</v>
      </c>
      <c r="M4021" s="24">
        <f>+Tabla2[[#This Row],[Variación Stock]]*Tabla2[[#This Row],[Coste LÃ­nea]]</f>
        <v>0</v>
      </c>
      <c r="N4021" s="22" t="str">
        <f>+IF(Tabla2[[#This Row],[Variación Stock]]&gt;0,"Sobrante",IF(Tabla2[[#This Row],[Variación Stock]]&lt;0,"Faltante","Sin novedad"))</f>
        <v>Sin novedad</v>
      </c>
    </row>
    <row r="4022" spans="1:14" hidden="1" x14ac:dyDescent="0.25">
      <c r="A4022" s="11">
        <v>46053</v>
      </c>
      <c r="B4022" s="5" t="s">
        <v>1078</v>
      </c>
      <c r="C4022" s="3" t="s">
        <v>339</v>
      </c>
      <c r="D4022" s="5" t="s">
        <v>471</v>
      </c>
      <c r="E4022" s="5" t="s">
        <v>117</v>
      </c>
      <c r="F4022" s="6" t="s">
        <v>477</v>
      </c>
      <c r="G4022" s="4" t="s">
        <v>1</v>
      </c>
      <c r="H4022" s="25">
        <v>12</v>
      </c>
      <c r="I4022" s="8">
        <v>-311</v>
      </c>
      <c r="J4022" s="9">
        <v>0</v>
      </c>
      <c r="K4022" s="7">
        <v>311</v>
      </c>
      <c r="L4022" s="24">
        <f>+Tabla2[[#This Row],[Stock Inventario]]*Tabla2[[#This Row],[Coste LÃ­nea]]</f>
        <v>0</v>
      </c>
      <c r="M4022" s="24">
        <f>+Tabla2[[#This Row],[Variación Stock]]*Tabla2[[#This Row],[Coste LÃ­nea]]</f>
        <v>3732</v>
      </c>
      <c r="N4022" s="22" t="str">
        <f>+IF(Tabla2[[#This Row],[Variación Stock]]&gt;0,"Sobrante",IF(Tabla2[[#This Row],[Variación Stock]]&lt;0,"Faltante","Sin novedad"))</f>
        <v>Sobrante</v>
      </c>
    </row>
    <row r="4023" spans="1:14" hidden="1" x14ac:dyDescent="0.25">
      <c r="A4023" s="11">
        <v>46053</v>
      </c>
      <c r="B4023" s="5" t="s">
        <v>1078</v>
      </c>
      <c r="C4023" s="3" t="s">
        <v>339</v>
      </c>
      <c r="D4023" s="5" t="s">
        <v>559</v>
      </c>
      <c r="E4023" s="5" t="s">
        <v>1080</v>
      </c>
      <c r="F4023" s="6" t="s">
        <v>591</v>
      </c>
      <c r="G4023" s="4" t="s">
        <v>2</v>
      </c>
      <c r="H4023" s="25">
        <v>12.108333330000001</v>
      </c>
      <c r="I4023" s="8">
        <v>0</v>
      </c>
      <c r="J4023" s="9">
        <v>0</v>
      </c>
      <c r="K4023" s="7">
        <v>0</v>
      </c>
      <c r="L4023" s="24">
        <f>+Tabla2[[#This Row],[Stock Inventario]]*Tabla2[[#This Row],[Coste LÃ­nea]]</f>
        <v>0</v>
      </c>
      <c r="M4023" s="24">
        <f>+Tabla2[[#This Row],[Variación Stock]]*Tabla2[[#This Row],[Coste LÃ­nea]]</f>
        <v>0</v>
      </c>
      <c r="N4023" s="22" t="str">
        <f>+IF(Tabla2[[#This Row],[Variación Stock]]&gt;0,"Sobrante",IF(Tabla2[[#This Row],[Variación Stock]]&lt;0,"Faltante","Sin novedad"))</f>
        <v>Sin novedad</v>
      </c>
    </row>
    <row r="4024" spans="1:14" hidden="1" x14ac:dyDescent="0.25">
      <c r="A4024" s="11">
        <v>46053</v>
      </c>
      <c r="B4024" s="5" t="s">
        <v>1078</v>
      </c>
      <c r="C4024" s="3" t="s">
        <v>339</v>
      </c>
      <c r="D4024" s="5" t="s">
        <v>119</v>
      </c>
      <c r="E4024" s="5" t="s">
        <v>117</v>
      </c>
      <c r="F4024" s="6" t="s">
        <v>12</v>
      </c>
      <c r="G4024" s="4" t="s">
        <v>2</v>
      </c>
      <c r="H4024" s="25">
        <v>773.5</v>
      </c>
      <c r="I4024" s="8">
        <v>50</v>
      </c>
      <c r="J4024" s="9">
        <v>50</v>
      </c>
      <c r="K4024" s="7">
        <v>0</v>
      </c>
      <c r="L4024" s="24">
        <f>+Tabla2[[#This Row],[Stock Inventario]]*Tabla2[[#This Row],[Coste LÃ­nea]]</f>
        <v>38675</v>
      </c>
      <c r="M4024" s="24">
        <f>+Tabla2[[#This Row],[Variación Stock]]*Tabla2[[#This Row],[Coste LÃ­nea]]</f>
        <v>0</v>
      </c>
      <c r="N4024" s="22" t="str">
        <f>+IF(Tabla2[[#This Row],[Variación Stock]]&gt;0,"Sobrante",IF(Tabla2[[#This Row],[Variación Stock]]&lt;0,"Faltante","Sin novedad"))</f>
        <v>Sin novedad</v>
      </c>
    </row>
    <row r="4025" spans="1:14" hidden="1" x14ac:dyDescent="0.25">
      <c r="A4025" s="11">
        <v>46053</v>
      </c>
      <c r="B4025" s="5" t="s">
        <v>1078</v>
      </c>
      <c r="C4025" s="3" t="s">
        <v>339</v>
      </c>
      <c r="D4025" s="5" t="s">
        <v>815</v>
      </c>
      <c r="E4025" s="5" t="s">
        <v>117</v>
      </c>
      <c r="F4025" s="6" t="s">
        <v>816</v>
      </c>
      <c r="G4025" s="4" t="s">
        <v>1</v>
      </c>
      <c r="H4025" s="25">
        <v>5.4166666699999997</v>
      </c>
      <c r="I4025" s="8">
        <v>-120</v>
      </c>
      <c r="J4025" s="9">
        <v>0</v>
      </c>
      <c r="K4025" s="7">
        <v>120</v>
      </c>
      <c r="L4025" s="24">
        <f>+Tabla2[[#This Row],[Stock Inventario]]*Tabla2[[#This Row],[Coste LÃ­nea]]</f>
        <v>0</v>
      </c>
      <c r="M4025" s="24">
        <f>+Tabla2[[#This Row],[Variación Stock]]*Tabla2[[#This Row],[Coste LÃ­nea]]</f>
        <v>650.00000039999998</v>
      </c>
      <c r="N4025" s="22" t="str">
        <f>+IF(Tabla2[[#This Row],[Variación Stock]]&gt;0,"Sobrante",IF(Tabla2[[#This Row],[Variación Stock]]&lt;0,"Faltante","Sin novedad"))</f>
        <v>Sobrante</v>
      </c>
    </row>
    <row r="4026" spans="1:14" x14ac:dyDescent="0.25">
      <c r="A4026" s="11">
        <v>46053</v>
      </c>
      <c r="B4026" s="5" t="s">
        <v>1078</v>
      </c>
      <c r="C4026" s="3" t="s">
        <v>339</v>
      </c>
      <c r="D4026" s="5" t="s">
        <v>603</v>
      </c>
      <c r="E4026" s="5" t="s">
        <v>112</v>
      </c>
      <c r="F4026" s="6" t="s">
        <v>614</v>
      </c>
      <c r="G4026" s="4" t="s">
        <v>2</v>
      </c>
      <c r="H4026" s="25">
        <v>90.245000000000005</v>
      </c>
      <c r="I4026" s="8">
        <v>45</v>
      </c>
      <c r="J4026" s="9">
        <v>0</v>
      </c>
      <c r="K4026" s="7">
        <v>-45</v>
      </c>
      <c r="L4026" s="24">
        <f>+Tabla2[[#This Row],[Stock Inventario]]*Tabla2[[#This Row],[Coste LÃ­nea]]</f>
        <v>0</v>
      </c>
      <c r="M4026" s="24">
        <f>+Tabla2[[#This Row],[Variación Stock]]*Tabla2[[#This Row],[Coste LÃ­nea]]</f>
        <v>-4061.0250000000001</v>
      </c>
      <c r="N4026" s="22" t="str">
        <f>+IF(Tabla2[[#This Row],[Variación Stock]]&gt;0,"Sobrante",IF(Tabla2[[#This Row],[Variación Stock]]&lt;0,"Faltante","Sin novedad"))</f>
        <v>Faltante</v>
      </c>
    </row>
    <row r="4027" spans="1:14" hidden="1" x14ac:dyDescent="0.25">
      <c r="A4027" s="11">
        <v>46053</v>
      </c>
      <c r="B4027" s="5" t="s">
        <v>1078</v>
      </c>
      <c r="C4027" s="3" t="s">
        <v>339</v>
      </c>
      <c r="D4027" s="5" t="s">
        <v>396</v>
      </c>
      <c r="E4027" s="5" t="s">
        <v>117</v>
      </c>
      <c r="F4027" s="6" t="s">
        <v>445</v>
      </c>
      <c r="G4027" s="4" t="s">
        <v>1</v>
      </c>
      <c r="H4027" s="25">
        <v>18.048999999999999</v>
      </c>
      <c r="I4027" s="8">
        <v>0</v>
      </c>
      <c r="J4027" s="9">
        <v>0</v>
      </c>
      <c r="K4027" s="7">
        <v>0</v>
      </c>
      <c r="L4027" s="24">
        <f>+Tabla2[[#This Row],[Stock Inventario]]*Tabla2[[#This Row],[Coste LÃ­nea]]</f>
        <v>0</v>
      </c>
      <c r="M4027" s="24">
        <f>+Tabla2[[#This Row],[Variación Stock]]*Tabla2[[#This Row],[Coste LÃ­nea]]</f>
        <v>0</v>
      </c>
      <c r="N4027" s="22" t="str">
        <f>+IF(Tabla2[[#This Row],[Variación Stock]]&gt;0,"Sobrante",IF(Tabla2[[#This Row],[Variación Stock]]&lt;0,"Faltante","Sin novedad"))</f>
        <v>Sin novedad</v>
      </c>
    </row>
    <row r="4028" spans="1:14" hidden="1" x14ac:dyDescent="0.25">
      <c r="A4028" s="11">
        <v>46053</v>
      </c>
      <c r="B4028" s="5" t="s">
        <v>1078</v>
      </c>
      <c r="C4028" s="3" t="s">
        <v>339</v>
      </c>
      <c r="D4028" s="5" t="s">
        <v>471</v>
      </c>
      <c r="E4028" s="5" t="s">
        <v>117</v>
      </c>
      <c r="F4028" s="6" t="s">
        <v>519</v>
      </c>
      <c r="G4028" s="4" t="s">
        <v>1</v>
      </c>
      <c r="H4028" s="25">
        <v>6.6</v>
      </c>
      <c r="I4028" s="8">
        <v>0</v>
      </c>
      <c r="J4028" s="9">
        <v>0</v>
      </c>
      <c r="K4028" s="7">
        <v>0</v>
      </c>
      <c r="L4028" s="24">
        <f>+Tabla2[[#This Row],[Stock Inventario]]*Tabla2[[#This Row],[Coste LÃ­nea]]</f>
        <v>0</v>
      </c>
      <c r="M4028" s="24">
        <f>+Tabla2[[#This Row],[Variación Stock]]*Tabla2[[#This Row],[Coste LÃ­nea]]</f>
        <v>0</v>
      </c>
      <c r="N4028" s="22" t="str">
        <f>+IF(Tabla2[[#This Row],[Variación Stock]]&gt;0,"Sobrante",IF(Tabla2[[#This Row],[Variación Stock]]&lt;0,"Faltante","Sin novedad"))</f>
        <v>Sin novedad</v>
      </c>
    </row>
    <row r="4029" spans="1:14" hidden="1" x14ac:dyDescent="0.25">
      <c r="A4029" s="11">
        <v>46053</v>
      </c>
      <c r="B4029" s="5" t="s">
        <v>1078</v>
      </c>
      <c r="C4029" s="3" t="s">
        <v>339</v>
      </c>
      <c r="D4029" s="5" t="s">
        <v>471</v>
      </c>
      <c r="E4029" s="5" t="s">
        <v>117</v>
      </c>
      <c r="F4029" s="6" t="s">
        <v>520</v>
      </c>
      <c r="G4029" s="4" t="s">
        <v>1</v>
      </c>
      <c r="H4029" s="25">
        <v>4.5</v>
      </c>
      <c r="I4029" s="8">
        <v>47122.859299999996</v>
      </c>
      <c r="J4029" s="9">
        <v>15982</v>
      </c>
      <c r="K4029" s="7">
        <v>-31140.859270000001</v>
      </c>
      <c r="L4029" s="24">
        <f>+Tabla2[[#This Row],[Stock Inventario]]*Tabla2[[#This Row],[Coste LÃ­nea]]</f>
        <v>71919</v>
      </c>
      <c r="M4029" s="24">
        <f>+Tabla2[[#This Row],[Variación Stock]]*Tabla2[[#This Row],[Coste LÃ­nea]]</f>
        <v>-140133.86671500001</v>
      </c>
      <c r="N4029" s="22" t="str">
        <f>+IF(Tabla2[[#This Row],[Variación Stock]]&gt;0,"Sobrante",IF(Tabla2[[#This Row],[Variación Stock]]&lt;0,"Faltante","Sin novedad"))</f>
        <v>Faltante</v>
      </c>
    </row>
    <row r="4030" spans="1:14" hidden="1" x14ac:dyDescent="0.25">
      <c r="A4030" s="11">
        <v>46053</v>
      </c>
      <c r="B4030" s="5" t="s">
        <v>1078</v>
      </c>
      <c r="C4030" s="3" t="s">
        <v>339</v>
      </c>
      <c r="D4030" s="5" t="s">
        <v>396</v>
      </c>
      <c r="E4030" s="5" t="s">
        <v>117</v>
      </c>
      <c r="F4030" s="6" t="s">
        <v>446</v>
      </c>
      <c r="G4030" s="4" t="s">
        <v>1</v>
      </c>
      <c r="H4030" s="25">
        <v>15.50333333</v>
      </c>
      <c r="I4030" s="8">
        <v>13620</v>
      </c>
      <c r="J4030" s="9">
        <v>16000</v>
      </c>
      <c r="K4030" s="7">
        <v>2380</v>
      </c>
      <c r="L4030" s="24">
        <f>+Tabla2[[#This Row],[Stock Inventario]]*Tabla2[[#This Row],[Coste LÃ­nea]]</f>
        <v>248053.33327999999</v>
      </c>
      <c r="M4030" s="24">
        <f>+Tabla2[[#This Row],[Variación Stock]]*Tabla2[[#This Row],[Coste LÃ­nea]]</f>
        <v>36897.933325400001</v>
      </c>
      <c r="N4030" s="22" t="str">
        <f>+IF(Tabla2[[#This Row],[Variación Stock]]&gt;0,"Sobrante",IF(Tabla2[[#This Row],[Variación Stock]]&lt;0,"Faltante","Sin novedad"))</f>
        <v>Sobrante</v>
      </c>
    </row>
    <row r="4031" spans="1:14" hidden="1" x14ac:dyDescent="0.25">
      <c r="A4031" s="11">
        <v>46053</v>
      </c>
      <c r="B4031" s="5" t="s">
        <v>1078</v>
      </c>
      <c r="C4031" s="3" t="s">
        <v>339</v>
      </c>
      <c r="D4031" s="5" t="s">
        <v>471</v>
      </c>
      <c r="E4031" s="5" t="s">
        <v>117</v>
      </c>
      <c r="F4031" s="6" t="s">
        <v>521</v>
      </c>
      <c r="G4031" s="4" t="s">
        <v>1</v>
      </c>
      <c r="H4031" s="25">
        <v>6.5</v>
      </c>
      <c r="I4031" s="8">
        <v>15800</v>
      </c>
      <c r="J4031" s="9">
        <v>2000</v>
      </c>
      <c r="K4031" s="7">
        <v>-13800</v>
      </c>
      <c r="L4031" s="24">
        <f>+Tabla2[[#This Row],[Stock Inventario]]*Tabla2[[#This Row],[Coste LÃ­nea]]</f>
        <v>13000</v>
      </c>
      <c r="M4031" s="24">
        <f>+Tabla2[[#This Row],[Variación Stock]]*Tabla2[[#This Row],[Coste LÃ­nea]]</f>
        <v>-89700</v>
      </c>
      <c r="N4031" s="22" t="str">
        <f>+IF(Tabla2[[#This Row],[Variación Stock]]&gt;0,"Sobrante",IF(Tabla2[[#This Row],[Variación Stock]]&lt;0,"Faltante","Sin novedad"))</f>
        <v>Faltante</v>
      </c>
    </row>
    <row r="4032" spans="1:14" hidden="1" x14ac:dyDescent="0.25">
      <c r="A4032" s="11">
        <v>46053</v>
      </c>
      <c r="B4032" s="5" t="s">
        <v>1078</v>
      </c>
      <c r="C4032" s="3" t="s">
        <v>339</v>
      </c>
      <c r="D4032" s="5" t="s">
        <v>803</v>
      </c>
      <c r="E4032" s="5" t="s">
        <v>117</v>
      </c>
      <c r="F4032" s="6" t="s">
        <v>810</v>
      </c>
      <c r="G4032" s="4" t="s">
        <v>1</v>
      </c>
      <c r="H4032" s="25">
        <v>17.410252100000001</v>
      </c>
      <c r="I4032" s="8">
        <v>0</v>
      </c>
      <c r="J4032" s="9">
        <v>0</v>
      </c>
      <c r="K4032" s="7">
        <v>0</v>
      </c>
      <c r="L4032" s="24">
        <f>+Tabla2[[#This Row],[Stock Inventario]]*Tabla2[[#This Row],[Coste LÃ­nea]]</f>
        <v>0</v>
      </c>
      <c r="M4032" s="24">
        <f>+Tabla2[[#This Row],[Variación Stock]]*Tabla2[[#This Row],[Coste LÃ­nea]]</f>
        <v>0</v>
      </c>
      <c r="N4032" s="22" t="str">
        <f>+IF(Tabla2[[#This Row],[Variación Stock]]&gt;0,"Sobrante",IF(Tabla2[[#This Row],[Variación Stock]]&lt;0,"Faltante","Sin novedad"))</f>
        <v>Sin novedad</v>
      </c>
    </row>
    <row r="4033" spans="1:14" hidden="1" x14ac:dyDescent="0.25">
      <c r="A4033" s="11">
        <v>46053</v>
      </c>
      <c r="B4033" s="5" t="s">
        <v>1078</v>
      </c>
      <c r="C4033" s="3" t="s">
        <v>339</v>
      </c>
      <c r="D4033" s="5" t="s">
        <v>396</v>
      </c>
      <c r="E4033" s="5" t="s">
        <v>117</v>
      </c>
      <c r="F4033" s="6" t="s">
        <v>447</v>
      </c>
      <c r="G4033" s="4" t="s">
        <v>1</v>
      </c>
      <c r="H4033" s="25">
        <v>26.683</v>
      </c>
      <c r="I4033" s="8">
        <v>4350</v>
      </c>
      <c r="J4033" s="9">
        <v>0</v>
      </c>
      <c r="K4033" s="7">
        <v>-4350</v>
      </c>
      <c r="L4033" s="24">
        <f>+Tabla2[[#This Row],[Stock Inventario]]*Tabla2[[#This Row],[Coste LÃ­nea]]</f>
        <v>0</v>
      </c>
      <c r="M4033" s="24">
        <f>+Tabla2[[#This Row],[Variación Stock]]*Tabla2[[#This Row],[Coste LÃ­nea]]</f>
        <v>-116071.05</v>
      </c>
      <c r="N4033" s="22" t="str">
        <f>+IF(Tabla2[[#This Row],[Variación Stock]]&gt;0,"Sobrante",IF(Tabla2[[#This Row],[Variación Stock]]&lt;0,"Faltante","Sin novedad"))</f>
        <v>Faltante</v>
      </c>
    </row>
    <row r="4034" spans="1:14" hidden="1" x14ac:dyDescent="0.25">
      <c r="A4034" s="11">
        <v>46053</v>
      </c>
      <c r="B4034" s="5" t="s">
        <v>1078</v>
      </c>
      <c r="C4034" s="3" t="s">
        <v>339</v>
      </c>
      <c r="D4034" s="5" t="s">
        <v>396</v>
      </c>
      <c r="E4034" s="5" t="s">
        <v>117</v>
      </c>
      <c r="F4034" s="6" t="s">
        <v>408</v>
      </c>
      <c r="G4034" s="4" t="s">
        <v>1</v>
      </c>
      <c r="H4034" s="25">
        <v>2150</v>
      </c>
      <c r="I4034" s="8">
        <v>0</v>
      </c>
      <c r="J4034" s="9">
        <v>0</v>
      </c>
      <c r="K4034" s="7">
        <v>0</v>
      </c>
      <c r="L4034" s="24">
        <f>+Tabla2[[#This Row],[Stock Inventario]]*Tabla2[[#This Row],[Coste LÃ­nea]]</f>
        <v>0</v>
      </c>
      <c r="M4034" s="24">
        <f>+Tabla2[[#This Row],[Variación Stock]]*Tabla2[[#This Row],[Coste LÃ­nea]]</f>
        <v>0</v>
      </c>
      <c r="N4034" s="22" t="str">
        <f>+IF(Tabla2[[#This Row],[Variación Stock]]&gt;0,"Sobrante",IF(Tabla2[[#This Row],[Variación Stock]]&lt;0,"Faltante","Sin novedad"))</f>
        <v>Sin novedad</v>
      </c>
    </row>
    <row r="4035" spans="1:14" hidden="1" x14ac:dyDescent="0.25">
      <c r="A4035" s="11">
        <v>46053</v>
      </c>
      <c r="B4035" s="5" t="s">
        <v>1078</v>
      </c>
      <c r="C4035" s="3" t="s">
        <v>339</v>
      </c>
      <c r="D4035" s="5" t="s">
        <v>116</v>
      </c>
      <c r="E4035" s="5" t="s">
        <v>117</v>
      </c>
      <c r="F4035" s="6" t="s">
        <v>255</v>
      </c>
      <c r="G4035" s="4" t="s">
        <v>1</v>
      </c>
      <c r="H4035" s="25">
        <v>32</v>
      </c>
      <c r="I4035" s="8">
        <v>0</v>
      </c>
      <c r="J4035" s="9">
        <v>0</v>
      </c>
      <c r="K4035" s="7">
        <v>0</v>
      </c>
      <c r="L4035" s="24">
        <f>+Tabla2[[#This Row],[Stock Inventario]]*Tabla2[[#This Row],[Coste LÃ­nea]]</f>
        <v>0</v>
      </c>
      <c r="M4035" s="24">
        <f>+Tabla2[[#This Row],[Variación Stock]]*Tabla2[[#This Row],[Coste LÃ­nea]]</f>
        <v>0</v>
      </c>
      <c r="N4035" s="22" t="str">
        <f>+IF(Tabla2[[#This Row],[Variación Stock]]&gt;0,"Sobrante",IF(Tabla2[[#This Row],[Variación Stock]]&lt;0,"Faltante","Sin novedad"))</f>
        <v>Sin novedad</v>
      </c>
    </row>
    <row r="4036" spans="1:14" hidden="1" x14ac:dyDescent="0.25">
      <c r="A4036" s="11">
        <v>46053</v>
      </c>
      <c r="B4036" s="5" t="s">
        <v>1078</v>
      </c>
      <c r="C4036" s="3" t="s">
        <v>339</v>
      </c>
      <c r="D4036" s="5" t="s">
        <v>116</v>
      </c>
      <c r="E4036" s="5" t="s">
        <v>117</v>
      </c>
      <c r="F4036" s="6" t="s">
        <v>5</v>
      </c>
      <c r="G4036" s="4" t="s">
        <v>1</v>
      </c>
      <c r="H4036" s="25">
        <v>23</v>
      </c>
      <c r="I4036" s="8">
        <v>1415.3333</v>
      </c>
      <c r="J4036" s="9">
        <v>2000</v>
      </c>
      <c r="K4036" s="7">
        <v>584.66665999999998</v>
      </c>
      <c r="L4036" s="24">
        <f>+Tabla2[[#This Row],[Stock Inventario]]*Tabla2[[#This Row],[Coste LÃ­nea]]</f>
        <v>46000</v>
      </c>
      <c r="M4036" s="24">
        <f>+Tabla2[[#This Row],[Variación Stock]]*Tabla2[[#This Row],[Coste LÃ­nea]]</f>
        <v>13447.33318</v>
      </c>
      <c r="N4036" s="22" t="str">
        <f>+IF(Tabla2[[#This Row],[Variación Stock]]&gt;0,"Sobrante",IF(Tabla2[[#This Row],[Variación Stock]]&lt;0,"Faltante","Sin novedad"))</f>
        <v>Sobrante</v>
      </c>
    </row>
    <row r="4037" spans="1:14" hidden="1" x14ac:dyDescent="0.25">
      <c r="A4037" s="11">
        <v>46053</v>
      </c>
      <c r="B4037" s="5" t="s">
        <v>1078</v>
      </c>
      <c r="C4037" s="3" t="s">
        <v>339</v>
      </c>
      <c r="D4037" s="5" t="s">
        <v>559</v>
      </c>
      <c r="E4037" s="5" t="s">
        <v>1080</v>
      </c>
      <c r="F4037" s="6" t="s">
        <v>592</v>
      </c>
      <c r="G4037" s="4" t="s">
        <v>2</v>
      </c>
      <c r="H4037" s="25">
        <v>105046</v>
      </c>
      <c r="I4037" s="8">
        <v>2</v>
      </c>
      <c r="J4037" s="9">
        <v>0</v>
      </c>
      <c r="K4037" s="7">
        <v>-2</v>
      </c>
      <c r="L4037" s="24">
        <f>+Tabla2[[#This Row],[Stock Inventario]]*Tabla2[[#This Row],[Coste LÃ­nea]]</f>
        <v>0</v>
      </c>
      <c r="M4037" s="24">
        <f>+Tabla2[[#This Row],[Variación Stock]]*Tabla2[[#This Row],[Coste LÃ­nea]]</f>
        <v>-210092</v>
      </c>
      <c r="N4037" s="22" t="str">
        <f>+IF(Tabla2[[#This Row],[Variación Stock]]&gt;0,"Sobrante",IF(Tabla2[[#This Row],[Variación Stock]]&lt;0,"Faltante","Sin novedad"))</f>
        <v>Faltante</v>
      </c>
    </row>
    <row r="4038" spans="1:14" hidden="1" x14ac:dyDescent="0.25">
      <c r="A4038" s="11">
        <v>46053</v>
      </c>
      <c r="B4038" s="5" t="s">
        <v>1078</v>
      </c>
      <c r="C4038" s="3" t="s">
        <v>339</v>
      </c>
      <c r="D4038" s="5" t="s">
        <v>471</v>
      </c>
      <c r="E4038" s="5" t="s">
        <v>117</v>
      </c>
      <c r="F4038" s="6" t="s">
        <v>522</v>
      </c>
      <c r="G4038" s="4" t="s">
        <v>1</v>
      </c>
      <c r="H4038" s="25">
        <v>5.5</v>
      </c>
      <c r="I4038" s="8">
        <v>1210</v>
      </c>
      <c r="J4038" s="9">
        <v>0</v>
      </c>
      <c r="K4038" s="7">
        <v>-1210</v>
      </c>
      <c r="L4038" s="24">
        <f>+Tabla2[[#This Row],[Stock Inventario]]*Tabla2[[#This Row],[Coste LÃ­nea]]</f>
        <v>0</v>
      </c>
      <c r="M4038" s="24">
        <f>+Tabla2[[#This Row],[Variación Stock]]*Tabla2[[#This Row],[Coste LÃ­nea]]</f>
        <v>-6655</v>
      </c>
      <c r="N4038" s="22" t="str">
        <f>+IF(Tabla2[[#This Row],[Variación Stock]]&gt;0,"Sobrante",IF(Tabla2[[#This Row],[Variación Stock]]&lt;0,"Faltante","Sin novedad"))</f>
        <v>Faltante</v>
      </c>
    </row>
    <row r="4039" spans="1:14" hidden="1" x14ac:dyDescent="0.25">
      <c r="A4039" s="11">
        <v>46053</v>
      </c>
      <c r="B4039" s="5" t="s">
        <v>1078</v>
      </c>
      <c r="C4039" s="3" t="s">
        <v>339</v>
      </c>
      <c r="D4039" s="5" t="s">
        <v>471</v>
      </c>
      <c r="E4039" s="5" t="s">
        <v>117</v>
      </c>
      <c r="F4039" s="6" t="s">
        <v>523</v>
      </c>
      <c r="G4039" s="4" t="s">
        <v>1</v>
      </c>
      <c r="H4039" s="25">
        <v>8</v>
      </c>
      <c r="I4039" s="8">
        <v>2010</v>
      </c>
      <c r="J4039" s="9">
        <v>600</v>
      </c>
      <c r="K4039" s="7">
        <v>-1410</v>
      </c>
      <c r="L4039" s="24">
        <f>+Tabla2[[#This Row],[Stock Inventario]]*Tabla2[[#This Row],[Coste LÃ­nea]]</f>
        <v>4800</v>
      </c>
      <c r="M4039" s="24">
        <f>+Tabla2[[#This Row],[Variación Stock]]*Tabla2[[#This Row],[Coste LÃ­nea]]</f>
        <v>-11280</v>
      </c>
      <c r="N4039" s="22" t="str">
        <f>+IF(Tabla2[[#This Row],[Variación Stock]]&gt;0,"Sobrante",IF(Tabla2[[#This Row],[Variación Stock]]&lt;0,"Faltante","Sin novedad"))</f>
        <v>Faltante</v>
      </c>
    </row>
    <row r="4040" spans="1:14" x14ac:dyDescent="0.25">
      <c r="A4040" s="11">
        <v>46053</v>
      </c>
      <c r="B4040" s="5" t="s">
        <v>1078</v>
      </c>
      <c r="C4040" s="3" t="s">
        <v>339</v>
      </c>
      <c r="D4040" s="5" t="s">
        <v>603</v>
      </c>
      <c r="E4040" s="5" t="s">
        <v>112</v>
      </c>
      <c r="F4040" s="6" t="s">
        <v>604</v>
      </c>
      <c r="G4040" s="4" t="s">
        <v>1</v>
      </c>
      <c r="H4040" s="25">
        <v>350</v>
      </c>
      <c r="I4040" s="8">
        <v>-53</v>
      </c>
      <c r="J4040" s="9">
        <v>0</v>
      </c>
      <c r="K4040" s="7">
        <v>53</v>
      </c>
      <c r="L4040" s="24">
        <f>+Tabla2[[#This Row],[Stock Inventario]]*Tabla2[[#This Row],[Coste LÃ­nea]]</f>
        <v>0</v>
      </c>
      <c r="M4040" s="24">
        <f>+Tabla2[[#This Row],[Variación Stock]]*Tabla2[[#This Row],[Coste LÃ­nea]]</f>
        <v>18550</v>
      </c>
      <c r="N4040" s="22" t="str">
        <f>+IF(Tabla2[[#This Row],[Variación Stock]]&gt;0,"Sobrante",IF(Tabla2[[#This Row],[Variación Stock]]&lt;0,"Faltante","Sin novedad"))</f>
        <v>Sobrante</v>
      </c>
    </row>
    <row r="4041" spans="1:14" hidden="1" x14ac:dyDescent="0.25">
      <c r="A4041" s="11">
        <v>46053</v>
      </c>
      <c r="B4041" s="5" t="s">
        <v>1078</v>
      </c>
      <c r="C4041" s="3" t="s">
        <v>339</v>
      </c>
      <c r="D4041" s="5" t="s">
        <v>626</v>
      </c>
      <c r="E4041" s="5" t="s">
        <v>1079</v>
      </c>
      <c r="F4041" s="6" t="s">
        <v>674</v>
      </c>
      <c r="G4041" s="4" t="s">
        <v>2</v>
      </c>
      <c r="H4041" s="25">
        <v>59619</v>
      </c>
      <c r="I4041" s="8">
        <v>2</v>
      </c>
      <c r="J4041" s="9">
        <v>1</v>
      </c>
      <c r="K4041" s="7">
        <v>-1</v>
      </c>
      <c r="L4041" s="24">
        <f>+Tabla2[[#This Row],[Stock Inventario]]*Tabla2[[#This Row],[Coste LÃ­nea]]</f>
        <v>59619</v>
      </c>
      <c r="M4041" s="24">
        <f>+Tabla2[[#This Row],[Variación Stock]]*Tabla2[[#This Row],[Coste LÃ­nea]]</f>
        <v>-59619</v>
      </c>
      <c r="N4041" s="22" t="str">
        <f>+IF(Tabla2[[#This Row],[Variación Stock]]&gt;0,"Sobrante",IF(Tabla2[[#This Row],[Variación Stock]]&lt;0,"Faltante","Sin novedad"))</f>
        <v>Faltante</v>
      </c>
    </row>
    <row r="4042" spans="1:14" hidden="1" x14ac:dyDescent="0.25">
      <c r="A4042" s="11">
        <v>46053</v>
      </c>
      <c r="B4042" s="5" t="s">
        <v>1078</v>
      </c>
      <c r="C4042" s="3" t="s">
        <v>339</v>
      </c>
      <c r="D4042" s="5" t="s">
        <v>626</v>
      </c>
      <c r="E4042" s="5" t="s">
        <v>1079</v>
      </c>
      <c r="F4042" s="6" t="s">
        <v>662</v>
      </c>
      <c r="G4042" s="4" t="s">
        <v>2</v>
      </c>
      <c r="H4042" s="25">
        <v>88060</v>
      </c>
      <c r="I4042" s="8">
        <v>10</v>
      </c>
      <c r="J4042" s="9">
        <v>3</v>
      </c>
      <c r="K4042" s="7">
        <v>-7</v>
      </c>
      <c r="L4042" s="24">
        <f>+Tabla2[[#This Row],[Stock Inventario]]*Tabla2[[#This Row],[Coste LÃ­nea]]</f>
        <v>264180</v>
      </c>
      <c r="M4042" s="24">
        <f>+Tabla2[[#This Row],[Variación Stock]]*Tabla2[[#This Row],[Coste LÃ­nea]]</f>
        <v>-616420</v>
      </c>
      <c r="N4042" s="22" t="str">
        <f>+IF(Tabla2[[#This Row],[Variación Stock]]&gt;0,"Sobrante",IF(Tabla2[[#This Row],[Variación Stock]]&lt;0,"Faltante","Sin novedad"))</f>
        <v>Faltante</v>
      </c>
    </row>
    <row r="4043" spans="1:14" hidden="1" x14ac:dyDescent="0.25">
      <c r="A4043" s="11">
        <v>46053</v>
      </c>
      <c r="B4043" s="5" t="s">
        <v>1078</v>
      </c>
      <c r="C4043" s="3" t="s">
        <v>339</v>
      </c>
      <c r="D4043" s="5" t="s">
        <v>471</v>
      </c>
      <c r="E4043" s="5" t="s">
        <v>117</v>
      </c>
      <c r="F4043" s="6" t="s">
        <v>525</v>
      </c>
      <c r="G4043" s="4" t="s">
        <v>1</v>
      </c>
      <c r="H4043" s="25">
        <v>5.2</v>
      </c>
      <c r="I4043" s="8">
        <v>9253.3870999999999</v>
      </c>
      <c r="J4043" s="9">
        <v>0</v>
      </c>
      <c r="K4043" s="7">
        <v>-9253.3870900000002</v>
      </c>
      <c r="L4043" s="24">
        <f>+Tabla2[[#This Row],[Stock Inventario]]*Tabla2[[#This Row],[Coste LÃ­nea]]</f>
        <v>0</v>
      </c>
      <c r="M4043" s="24">
        <f>+Tabla2[[#This Row],[Variación Stock]]*Tabla2[[#This Row],[Coste LÃ­nea]]</f>
        <v>-48117.612868000004</v>
      </c>
      <c r="N4043" s="22" t="str">
        <f>+IF(Tabla2[[#This Row],[Variación Stock]]&gt;0,"Sobrante",IF(Tabla2[[#This Row],[Variación Stock]]&lt;0,"Faltante","Sin novedad"))</f>
        <v>Faltante</v>
      </c>
    </row>
    <row r="4044" spans="1:14" hidden="1" x14ac:dyDescent="0.25">
      <c r="A4044" s="11">
        <v>46053</v>
      </c>
      <c r="B4044" s="5" t="s">
        <v>1078</v>
      </c>
      <c r="C4044" s="3" t="s">
        <v>339</v>
      </c>
      <c r="D4044" s="5" t="s">
        <v>471</v>
      </c>
      <c r="E4044" s="5" t="s">
        <v>117</v>
      </c>
      <c r="F4044" s="6" t="s">
        <v>524</v>
      </c>
      <c r="G4044" s="4" t="s">
        <v>1</v>
      </c>
      <c r="H4044" s="25">
        <v>5.8</v>
      </c>
      <c r="I4044" s="8">
        <v>550</v>
      </c>
      <c r="J4044" s="9">
        <v>0</v>
      </c>
      <c r="K4044" s="7">
        <v>-550</v>
      </c>
      <c r="L4044" s="24">
        <f>+Tabla2[[#This Row],[Stock Inventario]]*Tabla2[[#This Row],[Coste LÃ­nea]]</f>
        <v>0</v>
      </c>
      <c r="M4044" s="24">
        <f>+Tabla2[[#This Row],[Variación Stock]]*Tabla2[[#This Row],[Coste LÃ­nea]]</f>
        <v>-3190</v>
      </c>
      <c r="N4044" s="22" t="str">
        <f>+IF(Tabla2[[#This Row],[Variación Stock]]&gt;0,"Sobrante",IF(Tabla2[[#This Row],[Variación Stock]]&lt;0,"Faltante","Sin novedad"))</f>
        <v>Faltante</v>
      </c>
    </row>
    <row r="4045" spans="1:14" hidden="1" x14ac:dyDescent="0.25">
      <c r="A4045" s="11">
        <v>46053</v>
      </c>
      <c r="B4045" s="5" t="s">
        <v>1078</v>
      </c>
      <c r="C4045" s="3" t="s">
        <v>339</v>
      </c>
      <c r="D4045" s="5" t="s">
        <v>396</v>
      </c>
      <c r="E4045" s="5" t="s">
        <v>117</v>
      </c>
      <c r="F4045" s="6" t="s">
        <v>416</v>
      </c>
      <c r="G4045" s="4" t="s">
        <v>1</v>
      </c>
      <c r="H4045" s="25">
        <v>101.6566</v>
      </c>
      <c r="I4045" s="8">
        <v>0</v>
      </c>
      <c r="J4045" s="9">
        <v>0</v>
      </c>
      <c r="K4045" s="7">
        <v>0</v>
      </c>
      <c r="L4045" s="24">
        <f>+Tabla2[[#This Row],[Stock Inventario]]*Tabla2[[#This Row],[Coste LÃ­nea]]</f>
        <v>0</v>
      </c>
      <c r="M4045" s="24">
        <f>+Tabla2[[#This Row],[Variación Stock]]*Tabla2[[#This Row],[Coste LÃ­nea]]</f>
        <v>0</v>
      </c>
      <c r="N4045" s="22" t="str">
        <f>+IF(Tabla2[[#This Row],[Variación Stock]]&gt;0,"Sobrante",IF(Tabla2[[#This Row],[Variación Stock]]&lt;0,"Faltante","Sin novedad"))</f>
        <v>Sin novedad</v>
      </c>
    </row>
    <row r="4046" spans="1:14" hidden="1" x14ac:dyDescent="0.25">
      <c r="A4046" s="11">
        <v>46053</v>
      </c>
      <c r="B4046" s="5" t="s">
        <v>1078</v>
      </c>
      <c r="C4046" s="3" t="s">
        <v>339</v>
      </c>
      <c r="D4046" s="5" t="s">
        <v>396</v>
      </c>
      <c r="E4046" s="5" t="s">
        <v>117</v>
      </c>
      <c r="F4046" s="6" t="s">
        <v>448</v>
      </c>
      <c r="G4046" s="4" t="s">
        <v>1</v>
      </c>
      <c r="H4046" s="25">
        <v>94.618942730000001</v>
      </c>
      <c r="I4046" s="8">
        <v>7353.6832000000004</v>
      </c>
      <c r="J4046" s="9">
        <v>1570</v>
      </c>
      <c r="K4046" s="7">
        <v>-5783.6832480000003</v>
      </c>
      <c r="L4046" s="24">
        <f>+Tabla2[[#This Row],[Stock Inventario]]*Tabla2[[#This Row],[Coste LÃ­nea]]</f>
        <v>148551.74008610001</v>
      </c>
      <c r="M4046" s="24">
        <f>+Tabla2[[#This Row],[Variación Stock]]*Tabla2[[#This Row],[Coste LÃ­nea]]</f>
        <v>-547245.99401097244</v>
      </c>
      <c r="N4046" s="22" t="str">
        <f>+IF(Tabla2[[#This Row],[Variación Stock]]&gt;0,"Sobrante",IF(Tabla2[[#This Row],[Variación Stock]]&lt;0,"Faltante","Sin novedad"))</f>
        <v>Faltante</v>
      </c>
    </row>
    <row r="4047" spans="1:14" hidden="1" x14ac:dyDescent="0.25">
      <c r="A4047" s="11">
        <v>46053</v>
      </c>
      <c r="B4047" s="5" t="s">
        <v>1078</v>
      </c>
      <c r="C4047" s="3" t="s">
        <v>339</v>
      </c>
      <c r="D4047" s="5" t="s">
        <v>396</v>
      </c>
      <c r="E4047" s="5" t="s">
        <v>117</v>
      </c>
      <c r="F4047" s="6" t="s">
        <v>419</v>
      </c>
      <c r="G4047" s="4" t="s">
        <v>1</v>
      </c>
      <c r="H4047" s="25">
        <v>416.51208402999998</v>
      </c>
      <c r="I4047" s="8">
        <v>-240.4</v>
      </c>
      <c r="J4047" s="9">
        <v>290</v>
      </c>
      <c r="K4047" s="7">
        <v>530.4</v>
      </c>
      <c r="L4047" s="24">
        <f>+Tabla2[[#This Row],[Stock Inventario]]*Tabla2[[#This Row],[Coste LÃ­nea]]</f>
        <v>120788.5043687</v>
      </c>
      <c r="M4047" s="24">
        <f>+Tabla2[[#This Row],[Variación Stock]]*Tabla2[[#This Row],[Coste LÃ­nea]]</f>
        <v>220918.00936951197</v>
      </c>
      <c r="N4047" s="22" t="str">
        <f>+IF(Tabla2[[#This Row],[Variación Stock]]&gt;0,"Sobrante",IF(Tabla2[[#This Row],[Variación Stock]]&lt;0,"Faltante","Sin novedad"))</f>
        <v>Sobrante</v>
      </c>
    </row>
    <row r="4048" spans="1:14" hidden="1" x14ac:dyDescent="0.25">
      <c r="A4048" s="11">
        <v>46053</v>
      </c>
      <c r="B4048" s="5" t="s">
        <v>1078</v>
      </c>
      <c r="C4048" s="3" t="s">
        <v>339</v>
      </c>
      <c r="D4048" s="5" t="s">
        <v>559</v>
      </c>
      <c r="E4048" s="5" t="s">
        <v>1080</v>
      </c>
      <c r="F4048" s="6" t="s">
        <v>568</v>
      </c>
      <c r="G4048" s="4" t="s">
        <v>2</v>
      </c>
      <c r="H4048" s="25">
        <v>146.71799999999999</v>
      </c>
      <c r="I4048" s="8">
        <v>10</v>
      </c>
      <c r="J4048" s="9">
        <v>6</v>
      </c>
      <c r="K4048" s="7">
        <v>-4</v>
      </c>
      <c r="L4048" s="24">
        <f>+Tabla2[[#This Row],[Stock Inventario]]*Tabla2[[#This Row],[Coste LÃ­nea]]</f>
        <v>880.30799999999999</v>
      </c>
      <c r="M4048" s="24">
        <f>+Tabla2[[#This Row],[Variación Stock]]*Tabla2[[#This Row],[Coste LÃ­nea]]</f>
        <v>-586.87199999999996</v>
      </c>
      <c r="N4048" s="22" t="str">
        <f>+IF(Tabla2[[#This Row],[Variación Stock]]&gt;0,"Sobrante",IF(Tabla2[[#This Row],[Variación Stock]]&lt;0,"Faltante","Sin novedad"))</f>
        <v>Faltante</v>
      </c>
    </row>
    <row r="4049" spans="1:14" x14ac:dyDescent="0.25">
      <c r="A4049" s="11">
        <v>46053</v>
      </c>
      <c r="B4049" s="5" t="s">
        <v>1078</v>
      </c>
      <c r="C4049" s="3" t="s">
        <v>339</v>
      </c>
      <c r="D4049" s="5" t="s">
        <v>111</v>
      </c>
      <c r="E4049" s="5" t="s">
        <v>112</v>
      </c>
      <c r="F4049" s="6" t="s">
        <v>288</v>
      </c>
      <c r="G4049" s="4" t="s">
        <v>0</v>
      </c>
      <c r="H4049" s="25">
        <v>4721.625</v>
      </c>
      <c r="I4049" s="8">
        <v>57.21</v>
      </c>
      <c r="J4049" s="9">
        <v>60.25</v>
      </c>
      <c r="K4049" s="7">
        <v>3.04</v>
      </c>
      <c r="L4049" s="24">
        <f>+Tabla2[[#This Row],[Stock Inventario]]*Tabla2[[#This Row],[Coste LÃ­nea]]</f>
        <v>284477.90625</v>
      </c>
      <c r="M4049" s="24">
        <f>+Tabla2[[#This Row],[Variación Stock]]*Tabla2[[#This Row],[Coste LÃ­nea]]</f>
        <v>14353.74</v>
      </c>
      <c r="N4049" s="22" t="str">
        <f>+IF(Tabla2[[#This Row],[Variación Stock]]&gt;0,"Sobrante",IF(Tabla2[[#This Row],[Variación Stock]]&lt;0,"Faltante","Sin novedad"))</f>
        <v>Sobrante</v>
      </c>
    </row>
    <row r="4050" spans="1:14" x14ac:dyDescent="0.25">
      <c r="A4050" s="11">
        <v>46053</v>
      </c>
      <c r="B4050" s="5" t="s">
        <v>1078</v>
      </c>
      <c r="C4050" s="3" t="s">
        <v>339</v>
      </c>
      <c r="D4050" s="5" t="s">
        <v>111</v>
      </c>
      <c r="E4050" s="5" t="s">
        <v>112</v>
      </c>
      <c r="F4050" s="6" t="s">
        <v>58</v>
      </c>
      <c r="G4050" s="4" t="s">
        <v>0</v>
      </c>
      <c r="H4050" s="25">
        <v>6303.25</v>
      </c>
      <c r="I4050" s="8">
        <v>34.72</v>
      </c>
      <c r="J4050" s="9">
        <v>42.75</v>
      </c>
      <c r="K4050" s="7">
        <v>8.0299999999999994</v>
      </c>
      <c r="L4050" s="24">
        <f>+Tabla2[[#This Row],[Stock Inventario]]*Tabla2[[#This Row],[Coste LÃ­nea]]</f>
        <v>269463.9375</v>
      </c>
      <c r="M4050" s="24">
        <f>+Tabla2[[#This Row],[Variación Stock]]*Tabla2[[#This Row],[Coste LÃ­nea]]</f>
        <v>50615.097499999996</v>
      </c>
      <c r="N4050" s="22" t="str">
        <f>+IF(Tabla2[[#This Row],[Variación Stock]]&gt;0,"Sobrante",IF(Tabla2[[#This Row],[Variación Stock]]&lt;0,"Faltante","Sin novedad"))</f>
        <v>Sobrante</v>
      </c>
    </row>
    <row r="4051" spans="1:14" x14ac:dyDescent="0.25">
      <c r="A4051" s="11">
        <v>46053</v>
      </c>
      <c r="B4051" s="5" t="s">
        <v>1078</v>
      </c>
      <c r="C4051" s="3" t="s">
        <v>339</v>
      </c>
      <c r="D4051" s="5" t="s">
        <v>111</v>
      </c>
      <c r="E4051" s="5" t="s">
        <v>112</v>
      </c>
      <c r="F4051" s="6" t="s">
        <v>59</v>
      </c>
      <c r="G4051" s="4" t="s">
        <v>0</v>
      </c>
      <c r="H4051" s="25">
        <v>3390.1034482800001</v>
      </c>
      <c r="I4051" s="8">
        <v>455.26</v>
      </c>
      <c r="J4051" s="9">
        <v>451</v>
      </c>
      <c r="K4051" s="7">
        <v>-4.26</v>
      </c>
      <c r="L4051" s="24">
        <f>+Tabla2[[#This Row],[Stock Inventario]]*Tabla2[[#This Row],[Coste LÃ­nea]]</f>
        <v>1528936.6551742801</v>
      </c>
      <c r="M4051" s="24">
        <f>+Tabla2[[#This Row],[Variación Stock]]*Tabla2[[#This Row],[Coste LÃ­nea]]</f>
        <v>-14441.840689672799</v>
      </c>
      <c r="N4051" s="22" t="str">
        <f>+IF(Tabla2[[#This Row],[Variación Stock]]&gt;0,"Sobrante",IF(Tabla2[[#This Row],[Variación Stock]]&lt;0,"Faltante","Sin novedad"))</f>
        <v>Faltante</v>
      </c>
    </row>
    <row r="4052" spans="1:14" hidden="1" x14ac:dyDescent="0.25">
      <c r="A4052" s="11">
        <v>46053</v>
      </c>
      <c r="B4052" s="5" t="s">
        <v>1078</v>
      </c>
      <c r="C4052" s="3" t="s">
        <v>339</v>
      </c>
      <c r="D4052" s="5" t="s">
        <v>396</v>
      </c>
      <c r="E4052" s="5" t="s">
        <v>117</v>
      </c>
      <c r="F4052" s="6" t="s">
        <v>462</v>
      </c>
      <c r="G4052" s="4" t="s">
        <v>1</v>
      </c>
      <c r="H4052" s="25">
        <v>90</v>
      </c>
      <c r="I4052" s="8">
        <v>0</v>
      </c>
      <c r="J4052" s="9">
        <v>0</v>
      </c>
      <c r="K4052" s="7">
        <v>0</v>
      </c>
      <c r="L4052" s="24">
        <f>+Tabla2[[#This Row],[Stock Inventario]]*Tabla2[[#This Row],[Coste LÃ­nea]]</f>
        <v>0</v>
      </c>
      <c r="M4052" s="24">
        <f>+Tabla2[[#This Row],[Variación Stock]]*Tabla2[[#This Row],[Coste LÃ­nea]]</f>
        <v>0</v>
      </c>
      <c r="N4052" s="22" t="str">
        <f>+IF(Tabla2[[#This Row],[Variación Stock]]&gt;0,"Sobrante",IF(Tabla2[[#This Row],[Variación Stock]]&lt;0,"Faltante","Sin novedad"))</f>
        <v>Sin novedad</v>
      </c>
    </row>
    <row r="4053" spans="1:14" hidden="1" x14ac:dyDescent="0.25">
      <c r="A4053" s="11">
        <v>46053</v>
      </c>
      <c r="B4053" s="5" t="s">
        <v>1078</v>
      </c>
      <c r="C4053" s="3" t="s">
        <v>339</v>
      </c>
      <c r="D4053" s="5" t="s">
        <v>559</v>
      </c>
      <c r="E4053" s="5" t="s">
        <v>1080</v>
      </c>
      <c r="F4053" s="6" t="s">
        <v>580</v>
      </c>
      <c r="G4053" s="4" t="s">
        <v>2</v>
      </c>
      <c r="H4053" s="25">
        <v>71.420168070000003</v>
      </c>
      <c r="I4053" s="8">
        <v>2120</v>
      </c>
      <c r="J4053" s="9">
        <v>5</v>
      </c>
      <c r="K4053" s="7">
        <v>-2115</v>
      </c>
      <c r="L4053" s="24">
        <f>+Tabla2[[#This Row],[Stock Inventario]]*Tabla2[[#This Row],[Coste LÃ­nea]]</f>
        <v>357.10084035</v>
      </c>
      <c r="M4053" s="24">
        <f>+Tabla2[[#This Row],[Variación Stock]]*Tabla2[[#This Row],[Coste LÃ­nea]]</f>
        <v>-151053.65546805001</v>
      </c>
      <c r="N4053" s="22" t="str">
        <f>+IF(Tabla2[[#This Row],[Variación Stock]]&gt;0,"Sobrante",IF(Tabla2[[#This Row],[Variación Stock]]&lt;0,"Faltante","Sin novedad"))</f>
        <v>Faltante</v>
      </c>
    </row>
    <row r="4054" spans="1:14" hidden="1" x14ac:dyDescent="0.25">
      <c r="A4054" s="11">
        <v>46053</v>
      </c>
      <c r="B4054" s="5" t="s">
        <v>1078</v>
      </c>
      <c r="C4054" s="3" t="s">
        <v>339</v>
      </c>
      <c r="D4054" s="5" t="s">
        <v>471</v>
      </c>
      <c r="E4054" s="5" t="s">
        <v>117</v>
      </c>
      <c r="F4054" s="6" t="s">
        <v>526</v>
      </c>
      <c r="G4054" s="4" t="s">
        <v>1</v>
      </c>
      <c r="H4054" s="25">
        <v>3.5</v>
      </c>
      <c r="I4054" s="8">
        <v>2757.2727</v>
      </c>
      <c r="J4054" s="9">
        <v>1452</v>
      </c>
      <c r="K4054" s="7">
        <v>-1305.2726720000001</v>
      </c>
      <c r="L4054" s="24">
        <f>+Tabla2[[#This Row],[Stock Inventario]]*Tabla2[[#This Row],[Coste LÃ­nea]]</f>
        <v>5082</v>
      </c>
      <c r="M4054" s="24">
        <f>+Tabla2[[#This Row],[Variación Stock]]*Tabla2[[#This Row],[Coste LÃ­nea]]</f>
        <v>-4568.4543520000007</v>
      </c>
      <c r="N4054" s="22" t="str">
        <f>+IF(Tabla2[[#This Row],[Variación Stock]]&gt;0,"Sobrante",IF(Tabla2[[#This Row],[Variación Stock]]&lt;0,"Faltante","Sin novedad"))</f>
        <v>Faltante</v>
      </c>
    </row>
    <row r="4055" spans="1:14" hidden="1" x14ac:dyDescent="0.25">
      <c r="A4055" s="11">
        <v>46053</v>
      </c>
      <c r="B4055" s="5" t="s">
        <v>1078</v>
      </c>
      <c r="C4055" s="3" t="s">
        <v>339</v>
      </c>
      <c r="D4055" s="5" t="s">
        <v>471</v>
      </c>
      <c r="E4055" s="5" t="s">
        <v>117</v>
      </c>
      <c r="F4055" s="6" t="s">
        <v>527</v>
      </c>
      <c r="G4055" s="4" t="s">
        <v>1</v>
      </c>
      <c r="H4055" s="25">
        <v>3.3</v>
      </c>
      <c r="I4055" s="8">
        <v>36500</v>
      </c>
      <c r="J4055" s="9">
        <v>0</v>
      </c>
      <c r="K4055" s="7">
        <v>-36500</v>
      </c>
      <c r="L4055" s="24">
        <f>+Tabla2[[#This Row],[Stock Inventario]]*Tabla2[[#This Row],[Coste LÃ­nea]]</f>
        <v>0</v>
      </c>
      <c r="M4055" s="24">
        <f>+Tabla2[[#This Row],[Variación Stock]]*Tabla2[[#This Row],[Coste LÃ­nea]]</f>
        <v>-120450</v>
      </c>
      <c r="N4055" s="22" t="str">
        <f>+IF(Tabla2[[#This Row],[Variación Stock]]&gt;0,"Sobrante",IF(Tabla2[[#This Row],[Variación Stock]]&lt;0,"Faltante","Sin novedad"))</f>
        <v>Faltante</v>
      </c>
    </row>
    <row r="4056" spans="1:14" hidden="1" x14ac:dyDescent="0.25">
      <c r="A4056" s="11">
        <v>46053</v>
      </c>
      <c r="B4056" s="5" t="s">
        <v>1078</v>
      </c>
      <c r="C4056" s="3" t="s">
        <v>339</v>
      </c>
      <c r="D4056" s="5" t="s">
        <v>559</v>
      </c>
      <c r="E4056" s="5" t="s">
        <v>1080</v>
      </c>
      <c r="F4056" s="6" t="s">
        <v>581</v>
      </c>
      <c r="G4056" s="4" t="s">
        <v>2</v>
      </c>
      <c r="H4056" s="25">
        <v>876.05042015000004</v>
      </c>
      <c r="I4056" s="8">
        <v>0</v>
      </c>
      <c r="J4056" s="9">
        <v>0</v>
      </c>
      <c r="K4056" s="7">
        <v>0</v>
      </c>
      <c r="L4056" s="24">
        <f>+Tabla2[[#This Row],[Stock Inventario]]*Tabla2[[#This Row],[Coste LÃ­nea]]</f>
        <v>0</v>
      </c>
      <c r="M4056" s="24">
        <f>+Tabla2[[#This Row],[Variación Stock]]*Tabla2[[#This Row],[Coste LÃ­nea]]</f>
        <v>0</v>
      </c>
      <c r="N4056" s="22" t="str">
        <f>+IF(Tabla2[[#This Row],[Variación Stock]]&gt;0,"Sobrante",IF(Tabla2[[#This Row],[Variación Stock]]&lt;0,"Faltante","Sin novedad"))</f>
        <v>Sin novedad</v>
      </c>
    </row>
    <row r="4057" spans="1:14" x14ac:dyDescent="0.25">
      <c r="A4057" s="11">
        <v>46053</v>
      </c>
      <c r="B4057" s="5" t="s">
        <v>1078</v>
      </c>
      <c r="C4057" s="3" t="s">
        <v>339</v>
      </c>
      <c r="D4057" s="5" t="s">
        <v>603</v>
      </c>
      <c r="E4057" s="5" t="s">
        <v>112</v>
      </c>
      <c r="F4057" s="6" t="s">
        <v>607</v>
      </c>
      <c r="G4057" s="4" t="s">
        <v>2</v>
      </c>
      <c r="H4057" s="25">
        <v>3500</v>
      </c>
      <c r="I4057" s="8">
        <v>-1</v>
      </c>
      <c r="J4057" s="9">
        <v>23</v>
      </c>
      <c r="K4057" s="7">
        <v>24</v>
      </c>
      <c r="L4057" s="24">
        <f>+Tabla2[[#This Row],[Stock Inventario]]*Tabla2[[#This Row],[Coste LÃ­nea]]</f>
        <v>80500</v>
      </c>
      <c r="M4057" s="24">
        <f>+Tabla2[[#This Row],[Variación Stock]]*Tabla2[[#This Row],[Coste LÃ­nea]]</f>
        <v>84000</v>
      </c>
      <c r="N4057" s="22" t="str">
        <f>+IF(Tabla2[[#This Row],[Variación Stock]]&gt;0,"Sobrante",IF(Tabla2[[#This Row],[Variación Stock]]&lt;0,"Faltante","Sin novedad"))</f>
        <v>Sobrante</v>
      </c>
    </row>
    <row r="4058" spans="1:14" hidden="1" x14ac:dyDescent="0.25">
      <c r="A4058" s="11">
        <v>46053</v>
      </c>
      <c r="B4058" s="5" t="s">
        <v>1078</v>
      </c>
      <c r="C4058" s="3" t="s">
        <v>339</v>
      </c>
      <c r="D4058" s="5" t="s">
        <v>396</v>
      </c>
      <c r="E4058" s="5" t="s">
        <v>117</v>
      </c>
      <c r="F4058" s="6" t="s">
        <v>457</v>
      </c>
      <c r="G4058" s="4" t="s">
        <v>1</v>
      </c>
      <c r="H4058" s="25">
        <v>15</v>
      </c>
      <c r="I4058" s="8">
        <v>500</v>
      </c>
      <c r="J4058" s="9">
        <v>720</v>
      </c>
      <c r="K4058" s="7">
        <v>220</v>
      </c>
      <c r="L4058" s="24">
        <f>+Tabla2[[#This Row],[Stock Inventario]]*Tabla2[[#This Row],[Coste LÃ­nea]]</f>
        <v>10800</v>
      </c>
      <c r="M4058" s="24">
        <f>+Tabla2[[#This Row],[Variación Stock]]*Tabla2[[#This Row],[Coste LÃ­nea]]</f>
        <v>3300</v>
      </c>
      <c r="N4058" s="22" t="str">
        <f>+IF(Tabla2[[#This Row],[Variación Stock]]&gt;0,"Sobrante",IF(Tabla2[[#This Row],[Variación Stock]]&lt;0,"Faltante","Sin novedad"))</f>
        <v>Sobrante</v>
      </c>
    </row>
    <row r="4059" spans="1:14" hidden="1" x14ac:dyDescent="0.25">
      <c r="A4059" s="11">
        <v>46053</v>
      </c>
      <c r="B4059" s="5" t="s">
        <v>1078</v>
      </c>
      <c r="C4059" s="3" t="s">
        <v>339</v>
      </c>
      <c r="D4059" s="5" t="s">
        <v>119</v>
      </c>
      <c r="E4059" s="5" t="s">
        <v>117</v>
      </c>
      <c r="F4059" s="6" t="s">
        <v>200</v>
      </c>
      <c r="G4059" s="4" t="s">
        <v>1</v>
      </c>
      <c r="H4059" s="25">
        <v>58.31</v>
      </c>
      <c r="I4059" s="8">
        <v>0</v>
      </c>
      <c r="J4059" s="9">
        <v>0</v>
      </c>
      <c r="K4059" s="7">
        <v>0</v>
      </c>
      <c r="L4059" s="24">
        <f>+Tabla2[[#This Row],[Stock Inventario]]*Tabla2[[#This Row],[Coste LÃ­nea]]</f>
        <v>0</v>
      </c>
      <c r="M4059" s="24">
        <f>+Tabla2[[#This Row],[Variación Stock]]*Tabla2[[#This Row],[Coste LÃ­nea]]</f>
        <v>0</v>
      </c>
      <c r="N4059" s="22" t="str">
        <f>+IF(Tabla2[[#This Row],[Variación Stock]]&gt;0,"Sobrante",IF(Tabla2[[#This Row],[Variación Stock]]&lt;0,"Faltante","Sin novedad"))</f>
        <v>Sin novedad</v>
      </c>
    </row>
    <row r="4060" spans="1:14" hidden="1" x14ac:dyDescent="0.25">
      <c r="A4060" s="11">
        <v>46053</v>
      </c>
      <c r="B4060" s="5" t="s">
        <v>1078</v>
      </c>
      <c r="C4060" s="3" t="s">
        <v>339</v>
      </c>
      <c r="D4060" s="5" t="s">
        <v>396</v>
      </c>
      <c r="E4060" s="5" t="s">
        <v>117</v>
      </c>
      <c r="F4060" s="6" t="s">
        <v>449</v>
      </c>
      <c r="G4060" s="4" t="s">
        <v>1</v>
      </c>
      <c r="H4060" s="25">
        <v>50.166874999999997</v>
      </c>
      <c r="I4060" s="8">
        <v>8100</v>
      </c>
      <c r="J4060" s="9">
        <v>2870</v>
      </c>
      <c r="K4060" s="7">
        <v>-5230</v>
      </c>
      <c r="L4060" s="24">
        <f>+Tabla2[[#This Row],[Stock Inventario]]*Tabla2[[#This Row],[Coste LÃ­nea]]</f>
        <v>143978.93124999999</v>
      </c>
      <c r="M4060" s="24">
        <f>+Tabla2[[#This Row],[Variación Stock]]*Tabla2[[#This Row],[Coste LÃ­nea]]</f>
        <v>-262372.75624999998</v>
      </c>
      <c r="N4060" s="22" t="str">
        <f>+IF(Tabla2[[#This Row],[Variación Stock]]&gt;0,"Sobrante",IF(Tabla2[[#This Row],[Variación Stock]]&lt;0,"Faltante","Sin novedad"))</f>
        <v>Faltante</v>
      </c>
    </row>
    <row r="4061" spans="1:14" hidden="1" x14ac:dyDescent="0.25">
      <c r="A4061" s="11">
        <v>46053</v>
      </c>
      <c r="B4061" s="5" t="s">
        <v>1078</v>
      </c>
      <c r="C4061" s="3" t="s">
        <v>339</v>
      </c>
      <c r="D4061" s="5" t="s">
        <v>626</v>
      </c>
      <c r="E4061" s="5" t="s">
        <v>1079</v>
      </c>
      <c r="F4061" s="6" t="s">
        <v>675</v>
      </c>
      <c r="G4061" s="4" t="s">
        <v>2</v>
      </c>
      <c r="H4061" s="25">
        <v>59619</v>
      </c>
      <c r="I4061" s="8">
        <v>2</v>
      </c>
      <c r="J4061" s="9">
        <v>3</v>
      </c>
      <c r="K4061" s="7">
        <v>1</v>
      </c>
      <c r="L4061" s="24">
        <f>+Tabla2[[#This Row],[Stock Inventario]]*Tabla2[[#This Row],[Coste LÃ­nea]]</f>
        <v>178857</v>
      </c>
      <c r="M4061" s="24">
        <f>+Tabla2[[#This Row],[Variación Stock]]*Tabla2[[#This Row],[Coste LÃ­nea]]</f>
        <v>59619</v>
      </c>
      <c r="N4061" s="22" t="str">
        <f>+IF(Tabla2[[#This Row],[Variación Stock]]&gt;0,"Sobrante",IF(Tabla2[[#This Row],[Variación Stock]]&lt;0,"Faltante","Sin novedad"))</f>
        <v>Sobrante</v>
      </c>
    </row>
    <row r="4062" spans="1:14" hidden="1" x14ac:dyDescent="0.25">
      <c r="A4062" s="11">
        <v>46053</v>
      </c>
      <c r="B4062" s="5" t="s">
        <v>1078</v>
      </c>
      <c r="C4062" s="3" t="s">
        <v>339</v>
      </c>
      <c r="D4062" s="5" t="s">
        <v>547</v>
      </c>
      <c r="E4062" s="5" t="s">
        <v>117</v>
      </c>
      <c r="F4062" s="6" t="s">
        <v>549</v>
      </c>
      <c r="G4062" s="4" t="s">
        <v>1</v>
      </c>
      <c r="H4062" s="25">
        <v>67.9405</v>
      </c>
      <c r="I4062" s="8">
        <v>-37790</v>
      </c>
      <c r="J4062" s="9">
        <v>2854</v>
      </c>
      <c r="K4062" s="7">
        <v>40644</v>
      </c>
      <c r="L4062" s="24">
        <f>+Tabla2[[#This Row],[Stock Inventario]]*Tabla2[[#This Row],[Coste LÃ­nea]]</f>
        <v>193902.18700000001</v>
      </c>
      <c r="M4062" s="24">
        <f>+Tabla2[[#This Row],[Variación Stock]]*Tabla2[[#This Row],[Coste LÃ­nea]]</f>
        <v>2761373.682</v>
      </c>
      <c r="N4062" s="22" t="str">
        <f>+IF(Tabla2[[#This Row],[Variación Stock]]&gt;0,"Sobrante",IF(Tabla2[[#This Row],[Variación Stock]]&lt;0,"Faltante","Sin novedad"))</f>
        <v>Sobrante</v>
      </c>
    </row>
    <row r="4063" spans="1:14" hidden="1" x14ac:dyDescent="0.25">
      <c r="A4063" s="11">
        <v>46053</v>
      </c>
      <c r="B4063" s="5" t="s">
        <v>1078</v>
      </c>
      <c r="C4063" s="3" t="s">
        <v>339</v>
      </c>
      <c r="D4063" s="5" t="s">
        <v>547</v>
      </c>
      <c r="E4063" s="5" t="s">
        <v>117</v>
      </c>
      <c r="F4063" s="6" t="s">
        <v>557</v>
      </c>
      <c r="G4063" s="4" t="s">
        <v>1</v>
      </c>
      <c r="H4063" s="25">
        <v>22.35</v>
      </c>
      <c r="I4063" s="8">
        <v>2250</v>
      </c>
      <c r="J4063" s="9">
        <v>500</v>
      </c>
      <c r="K4063" s="7">
        <v>-1750</v>
      </c>
      <c r="L4063" s="24">
        <f>+Tabla2[[#This Row],[Stock Inventario]]*Tabla2[[#This Row],[Coste LÃ­nea]]</f>
        <v>11175</v>
      </c>
      <c r="M4063" s="24">
        <f>+Tabla2[[#This Row],[Variación Stock]]*Tabla2[[#This Row],[Coste LÃ­nea]]</f>
        <v>-39112.5</v>
      </c>
      <c r="N4063" s="22" t="str">
        <f>+IF(Tabla2[[#This Row],[Variación Stock]]&gt;0,"Sobrante",IF(Tabla2[[#This Row],[Variación Stock]]&lt;0,"Faltante","Sin novedad"))</f>
        <v>Faltante</v>
      </c>
    </row>
    <row r="4064" spans="1:14" hidden="1" x14ac:dyDescent="0.25">
      <c r="A4064" s="11">
        <v>46053</v>
      </c>
      <c r="B4064" s="5" t="s">
        <v>1078</v>
      </c>
      <c r="C4064" s="3" t="s">
        <v>339</v>
      </c>
      <c r="D4064" s="5" t="s">
        <v>547</v>
      </c>
      <c r="E4064" s="5" t="s">
        <v>117</v>
      </c>
      <c r="F4064" s="6" t="s">
        <v>550</v>
      </c>
      <c r="G4064" s="4" t="s">
        <v>1</v>
      </c>
      <c r="H4064" s="25">
        <v>133.01733333000001</v>
      </c>
      <c r="I4064" s="8">
        <v>0</v>
      </c>
      <c r="J4064" s="9">
        <v>1978</v>
      </c>
      <c r="K4064" s="7">
        <v>1978</v>
      </c>
      <c r="L4064" s="24">
        <f>+Tabla2[[#This Row],[Stock Inventario]]*Tabla2[[#This Row],[Coste LÃ­nea]]</f>
        <v>263108.28532674001</v>
      </c>
      <c r="M4064" s="24">
        <f>+Tabla2[[#This Row],[Variación Stock]]*Tabla2[[#This Row],[Coste LÃ­nea]]</f>
        <v>263108.28532674001</v>
      </c>
      <c r="N4064" s="22" t="str">
        <f>+IF(Tabla2[[#This Row],[Variación Stock]]&gt;0,"Sobrante",IF(Tabla2[[#This Row],[Variación Stock]]&lt;0,"Faltante","Sin novedad"))</f>
        <v>Sobrante</v>
      </c>
    </row>
    <row r="4065" spans="1:14" hidden="1" x14ac:dyDescent="0.25">
      <c r="A4065" s="11">
        <v>46053</v>
      </c>
      <c r="B4065" s="5" t="s">
        <v>1078</v>
      </c>
      <c r="C4065" s="3" t="s">
        <v>339</v>
      </c>
      <c r="D4065" s="5" t="s">
        <v>547</v>
      </c>
      <c r="E4065" s="5" t="s">
        <v>117</v>
      </c>
      <c r="F4065" s="6" t="s">
        <v>551</v>
      </c>
      <c r="G4065" s="4" t="s">
        <v>1</v>
      </c>
      <c r="H4065" s="25">
        <v>38.370370370000003</v>
      </c>
      <c r="I4065" s="8">
        <v>1902</v>
      </c>
      <c r="J4065" s="9">
        <v>2180</v>
      </c>
      <c r="K4065" s="7">
        <v>278</v>
      </c>
      <c r="L4065" s="24">
        <f>+Tabla2[[#This Row],[Stock Inventario]]*Tabla2[[#This Row],[Coste LÃ­nea]]</f>
        <v>83647.407406600003</v>
      </c>
      <c r="M4065" s="24">
        <f>+Tabla2[[#This Row],[Variación Stock]]*Tabla2[[#This Row],[Coste LÃ­nea]]</f>
        <v>10666.962962860001</v>
      </c>
      <c r="N4065" s="22" t="str">
        <f>+IF(Tabla2[[#This Row],[Variación Stock]]&gt;0,"Sobrante",IF(Tabla2[[#This Row],[Variación Stock]]&lt;0,"Faltante","Sin novedad"))</f>
        <v>Sobrante</v>
      </c>
    </row>
    <row r="4066" spans="1:14" x14ac:dyDescent="0.25">
      <c r="A4066" s="11">
        <v>46053</v>
      </c>
      <c r="B4066" s="5" t="s">
        <v>1078</v>
      </c>
      <c r="C4066" s="3" t="s">
        <v>339</v>
      </c>
      <c r="D4066" s="5" t="s">
        <v>118</v>
      </c>
      <c r="E4066" s="5" t="s">
        <v>112</v>
      </c>
      <c r="F4066" s="6" t="s">
        <v>301</v>
      </c>
      <c r="G4066" s="4" t="s">
        <v>81</v>
      </c>
      <c r="H4066" s="25">
        <v>15151.2</v>
      </c>
      <c r="I4066" s="8">
        <v>11</v>
      </c>
      <c r="J4066" s="9">
        <v>11</v>
      </c>
      <c r="K4066" s="7">
        <v>0</v>
      </c>
      <c r="L4066" s="24">
        <f>+Tabla2[[#This Row],[Stock Inventario]]*Tabla2[[#This Row],[Coste LÃ­nea]]</f>
        <v>166663.20000000001</v>
      </c>
      <c r="M4066" s="24">
        <f>+Tabla2[[#This Row],[Variación Stock]]*Tabla2[[#This Row],[Coste LÃ­nea]]</f>
        <v>0</v>
      </c>
      <c r="N4066" s="22" t="str">
        <f>+IF(Tabla2[[#This Row],[Variación Stock]]&gt;0,"Sobrante",IF(Tabla2[[#This Row],[Variación Stock]]&lt;0,"Faltante","Sin novedad"))</f>
        <v>Sin novedad</v>
      </c>
    </row>
    <row r="4067" spans="1:14" x14ac:dyDescent="0.25">
      <c r="A4067" s="11">
        <v>46053</v>
      </c>
      <c r="B4067" s="5" t="s">
        <v>1078</v>
      </c>
      <c r="C4067" s="3" t="s">
        <v>339</v>
      </c>
      <c r="D4067" s="5" t="s">
        <v>114</v>
      </c>
      <c r="E4067" s="5" t="s">
        <v>112</v>
      </c>
      <c r="F4067" s="6" t="s">
        <v>289</v>
      </c>
      <c r="G4067" s="4" t="s">
        <v>2</v>
      </c>
      <c r="H4067" s="25">
        <v>6387.35</v>
      </c>
      <c r="I4067" s="8">
        <v>2</v>
      </c>
      <c r="J4067" s="9">
        <v>2</v>
      </c>
      <c r="K4067" s="7">
        <v>0</v>
      </c>
      <c r="L4067" s="24">
        <f>+Tabla2[[#This Row],[Stock Inventario]]*Tabla2[[#This Row],[Coste LÃ­nea]]</f>
        <v>12774.7</v>
      </c>
      <c r="M4067" s="24">
        <f>+Tabla2[[#This Row],[Variación Stock]]*Tabla2[[#This Row],[Coste LÃ­nea]]</f>
        <v>0</v>
      </c>
      <c r="N4067" s="22" t="str">
        <f>+IF(Tabla2[[#This Row],[Variación Stock]]&gt;0,"Sobrante",IF(Tabla2[[#This Row],[Variación Stock]]&lt;0,"Faltante","Sin novedad"))</f>
        <v>Sin novedad</v>
      </c>
    </row>
    <row r="4068" spans="1:14" hidden="1" x14ac:dyDescent="0.25">
      <c r="A4068" s="11">
        <v>46053</v>
      </c>
      <c r="B4068" s="5" t="s">
        <v>1078</v>
      </c>
      <c r="C4068" s="3" t="s">
        <v>339</v>
      </c>
      <c r="D4068" s="5" t="s">
        <v>471</v>
      </c>
      <c r="E4068" s="5" t="s">
        <v>117</v>
      </c>
      <c r="F4068" s="6" t="s">
        <v>528</v>
      </c>
      <c r="G4068" s="4" t="s">
        <v>1</v>
      </c>
      <c r="H4068" s="25">
        <v>2.8</v>
      </c>
      <c r="I4068" s="8">
        <v>1750</v>
      </c>
      <c r="J4068" s="9">
        <v>0</v>
      </c>
      <c r="K4068" s="7">
        <v>-1750</v>
      </c>
      <c r="L4068" s="24">
        <f>+Tabla2[[#This Row],[Stock Inventario]]*Tabla2[[#This Row],[Coste LÃ­nea]]</f>
        <v>0</v>
      </c>
      <c r="M4068" s="24">
        <f>+Tabla2[[#This Row],[Variación Stock]]*Tabla2[[#This Row],[Coste LÃ­nea]]</f>
        <v>-4900</v>
      </c>
      <c r="N4068" s="22" t="str">
        <f>+IF(Tabla2[[#This Row],[Variación Stock]]&gt;0,"Sobrante",IF(Tabla2[[#This Row],[Variación Stock]]&lt;0,"Faltante","Sin novedad"))</f>
        <v>Faltante</v>
      </c>
    </row>
    <row r="4069" spans="1:14" hidden="1" x14ac:dyDescent="0.25">
      <c r="A4069" s="11">
        <v>46053</v>
      </c>
      <c r="B4069" s="5" t="s">
        <v>1078</v>
      </c>
      <c r="C4069" s="3" t="s">
        <v>339</v>
      </c>
      <c r="D4069" s="5" t="s">
        <v>471</v>
      </c>
      <c r="E4069" s="5" t="s">
        <v>117</v>
      </c>
      <c r="F4069" s="6" t="s">
        <v>529</v>
      </c>
      <c r="G4069" s="4" t="s">
        <v>1</v>
      </c>
      <c r="H4069" s="25">
        <v>4</v>
      </c>
      <c r="I4069" s="8">
        <v>-47.058799999999998</v>
      </c>
      <c r="J4069" s="9">
        <v>0</v>
      </c>
      <c r="K4069" s="7">
        <v>47.058824999999999</v>
      </c>
      <c r="L4069" s="24">
        <f>+Tabla2[[#This Row],[Stock Inventario]]*Tabla2[[#This Row],[Coste LÃ­nea]]</f>
        <v>0</v>
      </c>
      <c r="M4069" s="24">
        <f>+Tabla2[[#This Row],[Variación Stock]]*Tabla2[[#This Row],[Coste LÃ­nea]]</f>
        <v>188.2353</v>
      </c>
      <c r="N4069" s="22" t="str">
        <f>+IF(Tabla2[[#This Row],[Variación Stock]]&gt;0,"Sobrante",IF(Tabla2[[#This Row],[Variación Stock]]&lt;0,"Faltante","Sin novedad"))</f>
        <v>Sobrante</v>
      </c>
    </row>
    <row r="4070" spans="1:14" hidden="1" x14ac:dyDescent="0.25">
      <c r="A4070" s="11">
        <v>46053</v>
      </c>
      <c r="B4070" s="5" t="s">
        <v>1078</v>
      </c>
      <c r="C4070" s="3" t="s">
        <v>339</v>
      </c>
      <c r="D4070" s="5" t="s">
        <v>626</v>
      </c>
      <c r="E4070" s="5" t="s">
        <v>1079</v>
      </c>
      <c r="F4070" s="6" t="s">
        <v>634</v>
      </c>
      <c r="G4070" s="4" t="s">
        <v>1</v>
      </c>
      <c r="H4070" s="25">
        <v>169.75</v>
      </c>
      <c r="I4070" s="8">
        <v>3500</v>
      </c>
      <c r="J4070" s="9">
        <v>8240</v>
      </c>
      <c r="K4070" s="7">
        <v>4740</v>
      </c>
      <c r="L4070" s="24">
        <f>+Tabla2[[#This Row],[Stock Inventario]]*Tabla2[[#This Row],[Coste LÃ­nea]]</f>
        <v>1398740</v>
      </c>
      <c r="M4070" s="24">
        <f>+Tabla2[[#This Row],[Variación Stock]]*Tabla2[[#This Row],[Coste LÃ­nea]]</f>
        <v>804615</v>
      </c>
      <c r="N4070" s="22" t="str">
        <f>+IF(Tabla2[[#This Row],[Variación Stock]]&gt;0,"Sobrante",IF(Tabla2[[#This Row],[Variación Stock]]&lt;0,"Faltante","Sin novedad"))</f>
        <v>Sobrante</v>
      </c>
    </row>
    <row r="4071" spans="1:14" hidden="1" x14ac:dyDescent="0.25">
      <c r="A4071" s="11">
        <v>46053</v>
      </c>
      <c r="B4071" s="5" t="s">
        <v>1078</v>
      </c>
      <c r="C4071" s="3" t="s">
        <v>339</v>
      </c>
      <c r="D4071" s="5" t="s">
        <v>559</v>
      </c>
      <c r="E4071" s="5" t="s">
        <v>1080</v>
      </c>
      <c r="F4071" s="6" t="s">
        <v>564</v>
      </c>
      <c r="G4071" s="4" t="s">
        <v>2</v>
      </c>
      <c r="H4071" s="25">
        <v>59.5</v>
      </c>
      <c r="I4071" s="8">
        <v>3001</v>
      </c>
      <c r="J4071" s="9">
        <v>2</v>
      </c>
      <c r="K4071" s="7">
        <v>-2999</v>
      </c>
      <c r="L4071" s="24">
        <f>+Tabla2[[#This Row],[Stock Inventario]]*Tabla2[[#This Row],[Coste LÃ­nea]]</f>
        <v>119</v>
      </c>
      <c r="M4071" s="24">
        <f>+Tabla2[[#This Row],[Variación Stock]]*Tabla2[[#This Row],[Coste LÃ­nea]]</f>
        <v>-178440.5</v>
      </c>
      <c r="N4071" s="22" t="str">
        <f>+IF(Tabla2[[#This Row],[Variación Stock]]&gt;0,"Sobrante",IF(Tabla2[[#This Row],[Variación Stock]]&lt;0,"Faltante","Sin novedad"))</f>
        <v>Faltante</v>
      </c>
    </row>
    <row r="4072" spans="1:14" hidden="1" x14ac:dyDescent="0.25">
      <c r="A4072" s="11">
        <v>46053</v>
      </c>
      <c r="B4072" s="5" t="s">
        <v>1078</v>
      </c>
      <c r="C4072" s="3" t="s">
        <v>339</v>
      </c>
      <c r="D4072" s="5" t="s">
        <v>559</v>
      </c>
      <c r="E4072" s="5" t="s">
        <v>1080</v>
      </c>
      <c r="F4072" s="6" t="s">
        <v>593</v>
      </c>
      <c r="G4072" s="4" t="s">
        <v>2</v>
      </c>
      <c r="H4072" s="25">
        <v>77631</v>
      </c>
      <c r="I4072" s="8">
        <v>0</v>
      </c>
      <c r="J4072" s="9">
        <v>0</v>
      </c>
      <c r="K4072" s="7">
        <v>0</v>
      </c>
      <c r="L4072" s="24">
        <f>+Tabla2[[#This Row],[Stock Inventario]]*Tabla2[[#This Row],[Coste LÃ­nea]]</f>
        <v>0</v>
      </c>
      <c r="M4072" s="24">
        <f>+Tabla2[[#This Row],[Variación Stock]]*Tabla2[[#This Row],[Coste LÃ­nea]]</f>
        <v>0</v>
      </c>
      <c r="N4072" s="22" t="str">
        <f>+IF(Tabla2[[#This Row],[Variación Stock]]&gt;0,"Sobrante",IF(Tabla2[[#This Row],[Variación Stock]]&lt;0,"Faltante","Sin novedad"))</f>
        <v>Sin novedad</v>
      </c>
    </row>
    <row r="4073" spans="1:14" hidden="1" x14ac:dyDescent="0.25">
      <c r="A4073" s="11">
        <v>46053</v>
      </c>
      <c r="B4073" s="5" t="s">
        <v>1078</v>
      </c>
      <c r="C4073" s="3" t="s">
        <v>339</v>
      </c>
      <c r="D4073" s="5" t="s">
        <v>559</v>
      </c>
      <c r="E4073" s="5" t="s">
        <v>1080</v>
      </c>
      <c r="F4073" s="6" t="s">
        <v>594</v>
      </c>
      <c r="G4073" s="4" t="s">
        <v>2</v>
      </c>
      <c r="H4073" s="25">
        <v>4498.8055555600004</v>
      </c>
      <c r="I4073" s="8">
        <v>15</v>
      </c>
      <c r="J4073" s="9">
        <v>0</v>
      </c>
      <c r="K4073" s="7">
        <v>-15</v>
      </c>
      <c r="L4073" s="24">
        <f>+Tabla2[[#This Row],[Stock Inventario]]*Tabla2[[#This Row],[Coste LÃ­nea]]</f>
        <v>0</v>
      </c>
      <c r="M4073" s="24">
        <f>+Tabla2[[#This Row],[Variación Stock]]*Tabla2[[#This Row],[Coste LÃ­nea]]</f>
        <v>-67482.083333400005</v>
      </c>
      <c r="N4073" s="22" t="str">
        <f>+IF(Tabla2[[#This Row],[Variación Stock]]&gt;0,"Sobrante",IF(Tabla2[[#This Row],[Variación Stock]]&lt;0,"Faltante","Sin novedad"))</f>
        <v>Faltante</v>
      </c>
    </row>
    <row r="4074" spans="1:14" hidden="1" x14ac:dyDescent="0.25">
      <c r="A4074" s="11">
        <v>46053</v>
      </c>
      <c r="B4074" s="5" t="s">
        <v>1078</v>
      </c>
      <c r="C4074" s="3" t="s">
        <v>339</v>
      </c>
      <c r="D4074" s="5" t="s">
        <v>471</v>
      </c>
      <c r="E4074" s="5" t="s">
        <v>117</v>
      </c>
      <c r="F4074" s="6" t="s">
        <v>530</v>
      </c>
      <c r="G4074" s="4" t="s">
        <v>1</v>
      </c>
      <c r="H4074" s="25">
        <v>9.5</v>
      </c>
      <c r="I4074" s="8">
        <v>513.78949999999998</v>
      </c>
      <c r="J4074" s="9">
        <v>290</v>
      </c>
      <c r="K4074" s="7">
        <v>-223.78947199999999</v>
      </c>
      <c r="L4074" s="24">
        <f>+Tabla2[[#This Row],[Stock Inventario]]*Tabla2[[#This Row],[Coste LÃ­nea]]</f>
        <v>2755</v>
      </c>
      <c r="M4074" s="24">
        <f>+Tabla2[[#This Row],[Variación Stock]]*Tabla2[[#This Row],[Coste LÃ­nea]]</f>
        <v>-2125.999984</v>
      </c>
      <c r="N4074" s="22" t="str">
        <f>+IF(Tabla2[[#This Row],[Variación Stock]]&gt;0,"Sobrante",IF(Tabla2[[#This Row],[Variación Stock]]&lt;0,"Faltante","Sin novedad"))</f>
        <v>Faltante</v>
      </c>
    </row>
    <row r="4075" spans="1:14" x14ac:dyDescent="0.25">
      <c r="A4075" s="11">
        <v>46053</v>
      </c>
      <c r="B4075" s="5" t="s">
        <v>1078</v>
      </c>
      <c r="C4075" s="3" t="s">
        <v>339</v>
      </c>
      <c r="D4075" s="5" t="s">
        <v>111</v>
      </c>
      <c r="E4075" s="5" t="s">
        <v>112</v>
      </c>
      <c r="F4075" s="6" t="s">
        <v>40</v>
      </c>
      <c r="G4075" s="4" t="s">
        <v>0</v>
      </c>
      <c r="H4075" s="25">
        <v>1988.9655172400001</v>
      </c>
      <c r="I4075" s="8">
        <v>66.319999999999993</v>
      </c>
      <c r="J4075" s="9">
        <v>72</v>
      </c>
      <c r="K4075" s="7">
        <v>5.68</v>
      </c>
      <c r="L4075" s="24">
        <f>+Tabla2[[#This Row],[Stock Inventario]]*Tabla2[[#This Row],[Coste LÃ­nea]]</f>
        <v>143205.51724128</v>
      </c>
      <c r="M4075" s="24">
        <f>+Tabla2[[#This Row],[Variación Stock]]*Tabla2[[#This Row],[Coste LÃ­nea]]</f>
        <v>11297.3241379232</v>
      </c>
      <c r="N4075" s="22" t="str">
        <f>+IF(Tabla2[[#This Row],[Variación Stock]]&gt;0,"Sobrante",IF(Tabla2[[#This Row],[Variación Stock]]&lt;0,"Faltante","Sin novedad"))</f>
        <v>Sobrante</v>
      </c>
    </row>
    <row r="4076" spans="1:14" x14ac:dyDescent="0.25">
      <c r="A4076" s="11">
        <v>46053</v>
      </c>
      <c r="B4076" s="5" t="s">
        <v>1078</v>
      </c>
      <c r="C4076" s="3" t="s">
        <v>339</v>
      </c>
      <c r="D4076" s="5" t="s">
        <v>111</v>
      </c>
      <c r="E4076" s="5" t="s">
        <v>112</v>
      </c>
      <c r="F4076" s="6" t="s">
        <v>53</v>
      </c>
      <c r="G4076" s="4" t="s">
        <v>2</v>
      </c>
      <c r="H4076" s="25">
        <v>45099.74</v>
      </c>
      <c r="I4076" s="8">
        <v>1</v>
      </c>
      <c r="J4076" s="9">
        <v>1</v>
      </c>
      <c r="K4076" s="7">
        <v>0</v>
      </c>
      <c r="L4076" s="24">
        <f>+Tabla2[[#This Row],[Stock Inventario]]*Tabla2[[#This Row],[Coste LÃ­nea]]</f>
        <v>45099.74</v>
      </c>
      <c r="M4076" s="24">
        <f>+Tabla2[[#This Row],[Variación Stock]]*Tabla2[[#This Row],[Coste LÃ­nea]]</f>
        <v>0</v>
      </c>
      <c r="N4076" s="22" t="str">
        <f>+IF(Tabla2[[#This Row],[Variación Stock]]&gt;0,"Sobrante",IF(Tabla2[[#This Row],[Variación Stock]]&lt;0,"Faltante","Sin novedad"))</f>
        <v>Sin novedad</v>
      </c>
    </row>
    <row r="4077" spans="1:14" x14ac:dyDescent="0.25">
      <c r="A4077" s="11">
        <v>46053</v>
      </c>
      <c r="B4077" s="5" t="s">
        <v>1078</v>
      </c>
      <c r="C4077" s="3" t="s">
        <v>339</v>
      </c>
      <c r="D4077" s="5" t="s">
        <v>111</v>
      </c>
      <c r="E4077" s="5" t="s">
        <v>112</v>
      </c>
      <c r="F4077" s="6" t="s">
        <v>54</v>
      </c>
      <c r="G4077" s="4" t="s">
        <v>0</v>
      </c>
      <c r="H4077" s="25">
        <v>2134.5416666699998</v>
      </c>
      <c r="I4077" s="8">
        <v>0</v>
      </c>
      <c r="J4077" s="9">
        <v>0</v>
      </c>
      <c r="K4077" s="7">
        <v>0</v>
      </c>
      <c r="L4077" s="24">
        <f>+Tabla2[[#This Row],[Stock Inventario]]*Tabla2[[#This Row],[Coste LÃ­nea]]</f>
        <v>0</v>
      </c>
      <c r="M4077" s="24">
        <f>+Tabla2[[#This Row],[Variación Stock]]*Tabla2[[#This Row],[Coste LÃ­nea]]</f>
        <v>0</v>
      </c>
      <c r="N4077" s="22" t="str">
        <f>+IF(Tabla2[[#This Row],[Variación Stock]]&gt;0,"Sobrante",IF(Tabla2[[#This Row],[Variación Stock]]&lt;0,"Faltante","Sin novedad"))</f>
        <v>Sin novedad</v>
      </c>
    </row>
    <row r="4078" spans="1:14" x14ac:dyDescent="0.25">
      <c r="A4078" s="11">
        <v>46053</v>
      </c>
      <c r="B4078" s="5" t="s">
        <v>1078</v>
      </c>
      <c r="C4078" s="3" t="s">
        <v>339</v>
      </c>
      <c r="D4078" s="5" t="s">
        <v>111</v>
      </c>
      <c r="E4078" s="5" t="s">
        <v>112</v>
      </c>
      <c r="F4078" s="6" t="s">
        <v>55</v>
      </c>
      <c r="G4078" s="4" t="s">
        <v>0</v>
      </c>
      <c r="H4078" s="25">
        <v>3171.7162499999999</v>
      </c>
      <c r="I4078" s="8">
        <v>31</v>
      </c>
      <c r="J4078" s="9">
        <v>32.5</v>
      </c>
      <c r="K4078" s="7">
        <v>1.5</v>
      </c>
      <c r="L4078" s="24">
        <f>+Tabla2[[#This Row],[Stock Inventario]]*Tabla2[[#This Row],[Coste LÃ­nea]]</f>
        <v>103080.778125</v>
      </c>
      <c r="M4078" s="24">
        <f>+Tabla2[[#This Row],[Variación Stock]]*Tabla2[[#This Row],[Coste LÃ­nea]]</f>
        <v>4757.5743750000001</v>
      </c>
      <c r="N4078" s="22" t="str">
        <f>+IF(Tabla2[[#This Row],[Variación Stock]]&gt;0,"Sobrante",IF(Tabla2[[#This Row],[Variación Stock]]&lt;0,"Faltante","Sin novedad"))</f>
        <v>Sobrante</v>
      </c>
    </row>
    <row r="4079" spans="1:14" x14ac:dyDescent="0.25">
      <c r="A4079" s="11">
        <v>46053</v>
      </c>
      <c r="B4079" s="5" t="s">
        <v>1078</v>
      </c>
      <c r="C4079" s="3" t="s">
        <v>339</v>
      </c>
      <c r="D4079" s="5" t="s">
        <v>111</v>
      </c>
      <c r="E4079" s="5" t="s">
        <v>112</v>
      </c>
      <c r="F4079" s="6" t="s">
        <v>362</v>
      </c>
      <c r="G4079" s="4" t="s">
        <v>0</v>
      </c>
      <c r="H4079" s="25">
        <v>8500</v>
      </c>
      <c r="I4079" s="8">
        <v>0</v>
      </c>
      <c r="J4079" s="9">
        <v>0</v>
      </c>
      <c r="K4079" s="7">
        <v>0</v>
      </c>
      <c r="L4079" s="24">
        <f>+Tabla2[[#This Row],[Stock Inventario]]*Tabla2[[#This Row],[Coste LÃ­nea]]</f>
        <v>0</v>
      </c>
      <c r="M4079" s="24">
        <f>+Tabla2[[#This Row],[Variación Stock]]*Tabla2[[#This Row],[Coste LÃ­nea]]</f>
        <v>0</v>
      </c>
      <c r="N4079" s="22" t="str">
        <f>+IF(Tabla2[[#This Row],[Variación Stock]]&gt;0,"Sobrante",IF(Tabla2[[#This Row],[Variación Stock]]&lt;0,"Faltante","Sin novedad"))</f>
        <v>Sin novedad</v>
      </c>
    </row>
    <row r="4080" spans="1:14" x14ac:dyDescent="0.25">
      <c r="A4080" s="11">
        <v>46053</v>
      </c>
      <c r="B4080" s="5" t="s">
        <v>1078</v>
      </c>
      <c r="C4080" s="3" t="s">
        <v>339</v>
      </c>
      <c r="D4080" s="5" t="s">
        <v>111</v>
      </c>
      <c r="E4080" s="5" t="s">
        <v>112</v>
      </c>
      <c r="F4080" s="6" t="s">
        <v>144</v>
      </c>
      <c r="G4080" s="4" t="s">
        <v>0</v>
      </c>
      <c r="H4080" s="25">
        <v>2120.6896551700002</v>
      </c>
      <c r="I4080" s="8">
        <v>0</v>
      </c>
      <c r="J4080" s="9">
        <v>0</v>
      </c>
      <c r="K4080" s="7">
        <v>0</v>
      </c>
      <c r="L4080" s="24">
        <f>+Tabla2[[#This Row],[Stock Inventario]]*Tabla2[[#This Row],[Coste LÃ­nea]]</f>
        <v>0</v>
      </c>
      <c r="M4080" s="24">
        <f>+Tabla2[[#This Row],[Variación Stock]]*Tabla2[[#This Row],[Coste LÃ­nea]]</f>
        <v>0</v>
      </c>
      <c r="N4080" s="22" t="str">
        <f>+IF(Tabla2[[#This Row],[Variación Stock]]&gt;0,"Sobrante",IF(Tabla2[[#This Row],[Variación Stock]]&lt;0,"Faltante","Sin novedad"))</f>
        <v>Sin novedad</v>
      </c>
    </row>
    <row r="4081" spans="1:14" x14ac:dyDescent="0.25">
      <c r="A4081" s="11">
        <v>46053</v>
      </c>
      <c r="B4081" s="5" t="s">
        <v>1078</v>
      </c>
      <c r="C4081" s="3" t="s">
        <v>339</v>
      </c>
      <c r="D4081" s="5" t="s">
        <v>111</v>
      </c>
      <c r="E4081" s="5" t="s">
        <v>112</v>
      </c>
      <c r="F4081" s="6" t="s">
        <v>29</v>
      </c>
      <c r="G4081" s="4" t="s">
        <v>0</v>
      </c>
      <c r="H4081" s="25">
        <v>12951.25</v>
      </c>
      <c r="I4081" s="8">
        <v>-10</v>
      </c>
      <c r="J4081" s="9">
        <v>0</v>
      </c>
      <c r="K4081" s="7">
        <v>10</v>
      </c>
      <c r="L4081" s="24">
        <f>+Tabla2[[#This Row],[Stock Inventario]]*Tabla2[[#This Row],[Coste LÃ­nea]]</f>
        <v>0</v>
      </c>
      <c r="M4081" s="24">
        <f>+Tabla2[[#This Row],[Variación Stock]]*Tabla2[[#This Row],[Coste LÃ­nea]]</f>
        <v>129512.5</v>
      </c>
      <c r="N4081" s="22" t="str">
        <f>+IF(Tabla2[[#This Row],[Variación Stock]]&gt;0,"Sobrante",IF(Tabla2[[#This Row],[Variación Stock]]&lt;0,"Faltante","Sin novedad"))</f>
        <v>Sobrante</v>
      </c>
    </row>
    <row r="4082" spans="1:14" x14ac:dyDescent="0.25">
      <c r="A4082" s="11">
        <v>46053</v>
      </c>
      <c r="B4082" s="5" t="s">
        <v>1078</v>
      </c>
      <c r="C4082" s="3" t="s">
        <v>339</v>
      </c>
      <c r="D4082" s="5" t="s">
        <v>111</v>
      </c>
      <c r="E4082" s="5" t="s">
        <v>112</v>
      </c>
      <c r="F4082" s="6" t="s">
        <v>56</v>
      </c>
      <c r="G4082" s="4" t="s">
        <v>0</v>
      </c>
      <c r="H4082" s="25">
        <v>5291.6666666700003</v>
      </c>
      <c r="I4082" s="8">
        <v>0</v>
      </c>
      <c r="J4082" s="9">
        <v>0</v>
      </c>
      <c r="K4082" s="7">
        <v>0</v>
      </c>
      <c r="L4082" s="24">
        <f>+Tabla2[[#This Row],[Stock Inventario]]*Tabla2[[#This Row],[Coste LÃ­nea]]</f>
        <v>0</v>
      </c>
      <c r="M4082" s="24">
        <f>+Tabla2[[#This Row],[Variación Stock]]*Tabla2[[#This Row],[Coste LÃ­nea]]</f>
        <v>0</v>
      </c>
      <c r="N4082" s="22" t="str">
        <f>+IF(Tabla2[[#This Row],[Variación Stock]]&gt;0,"Sobrante",IF(Tabla2[[#This Row],[Variación Stock]]&lt;0,"Faltante","Sin novedad"))</f>
        <v>Sin novedad</v>
      </c>
    </row>
    <row r="4083" spans="1:14" hidden="1" x14ac:dyDescent="0.25">
      <c r="A4083" s="11">
        <v>46053</v>
      </c>
      <c r="B4083" s="5" t="s">
        <v>1078</v>
      </c>
      <c r="C4083" s="3" t="s">
        <v>339</v>
      </c>
      <c r="D4083" s="5" t="s">
        <v>396</v>
      </c>
      <c r="E4083" s="5" t="s">
        <v>117</v>
      </c>
      <c r="F4083" s="6" t="s">
        <v>450</v>
      </c>
      <c r="G4083" s="4" t="s">
        <v>1</v>
      </c>
      <c r="H4083" s="25">
        <v>2.4009999999999998</v>
      </c>
      <c r="I4083" s="8">
        <v>14440.282300000001</v>
      </c>
      <c r="J4083" s="9">
        <v>2700</v>
      </c>
      <c r="K4083" s="7">
        <v>-11740.282288</v>
      </c>
      <c r="L4083" s="24">
        <f>+Tabla2[[#This Row],[Stock Inventario]]*Tabla2[[#This Row],[Coste LÃ­nea]]</f>
        <v>6482.7</v>
      </c>
      <c r="M4083" s="24">
        <f>+Tabla2[[#This Row],[Variación Stock]]*Tabla2[[#This Row],[Coste LÃ­nea]]</f>
        <v>-28188.417773488</v>
      </c>
      <c r="N4083" s="22" t="str">
        <f>+IF(Tabla2[[#This Row],[Variación Stock]]&gt;0,"Sobrante",IF(Tabla2[[#This Row],[Variación Stock]]&lt;0,"Faltante","Sin novedad"))</f>
        <v>Faltante</v>
      </c>
    </row>
    <row r="4084" spans="1:14" hidden="1" x14ac:dyDescent="0.25">
      <c r="A4084" s="11">
        <v>46053</v>
      </c>
      <c r="B4084" s="5" t="s">
        <v>1078</v>
      </c>
      <c r="C4084" s="3" t="s">
        <v>339</v>
      </c>
      <c r="D4084" s="5" t="s">
        <v>396</v>
      </c>
      <c r="E4084" s="5" t="s">
        <v>117</v>
      </c>
      <c r="F4084" s="6" t="s">
        <v>420</v>
      </c>
      <c r="G4084" s="4" t="s">
        <v>1</v>
      </c>
      <c r="H4084" s="25">
        <v>24.8</v>
      </c>
      <c r="I4084" s="8">
        <v>0</v>
      </c>
      <c r="J4084" s="9">
        <v>0</v>
      </c>
      <c r="K4084" s="7">
        <v>0</v>
      </c>
      <c r="L4084" s="24">
        <f>+Tabla2[[#This Row],[Stock Inventario]]*Tabla2[[#This Row],[Coste LÃ­nea]]</f>
        <v>0</v>
      </c>
      <c r="M4084" s="24">
        <f>+Tabla2[[#This Row],[Variación Stock]]*Tabla2[[#This Row],[Coste LÃ­nea]]</f>
        <v>0</v>
      </c>
      <c r="N4084" s="22" t="str">
        <f>+IF(Tabla2[[#This Row],[Variación Stock]]&gt;0,"Sobrante",IF(Tabla2[[#This Row],[Variación Stock]]&lt;0,"Faltante","Sin novedad"))</f>
        <v>Sin novedad</v>
      </c>
    </row>
    <row r="4085" spans="1:14" hidden="1" x14ac:dyDescent="0.25">
      <c r="A4085" s="11">
        <v>46053</v>
      </c>
      <c r="B4085" s="5" t="s">
        <v>1078</v>
      </c>
      <c r="C4085" s="3" t="s">
        <v>339</v>
      </c>
      <c r="D4085" s="5" t="s">
        <v>119</v>
      </c>
      <c r="E4085" s="5" t="s">
        <v>117</v>
      </c>
      <c r="F4085" s="6" t="s">
        <v>93</v>
      </c>
      <c r="G4085" s="4" t="s">
        <v>1</v>
      </c>
      <c r="H4085" s="25">
        <v>60</v>
      </c>
      <c r="I4085" s="8">
        <v>4491.9998999999998</v>
      </c>
      <c r="J4085" s="9">
        <v>5656</v>
      </c>
      <c r="K4085" s="7">
        <v>1164.0000649999999</v>
      </c>
      <c r="L4085" s="24">
        <f>+Tabla2[[#This Row],[Stock Inventario]]*Tabla2[[#This Row],[Coste LÃ­nea]]</f>
        <v>339360</v>
      </c>
      <c r="M4085" s="24">
        <f>+Tabla2[[#This Row],[Variación Stock]]*Tabla2[[#This Row],[Coste LÃ­nea]]</f>
        <v>69840.003899999996</v>
      </c>
      <c r="N4085" s="22" t="str">
        <f>+IF(Tabla2[[#This Row],[Variación Stock]]&gt;0,"Sobrante",IF(Tabla2[[#This Row],[Variación Stock]]&lt;0,"Faltante","Sin novedad"))</f>
        <v>Sobrante</v>
      </c>
    </row>
    <row r="4086" spans="1:14" x14ac:dyDescent="0.25">
      <c r="A4086" s="11">
        <v>46053</v>
      </c>
      <c r="B4086" s="5" t="s">
        <v>1078</v>
      </c>
      <c r="C4086" s="3" t="s">
        <v>339</v>
      </c>
      <c r="D4086" s="5" t="s">
        <v>603</v>
      </c>
      <c r="E4086" s="5" t="s">
        <v>112</v>
      </c>
      <c r="F4086" s="6" t="s">
        <v>609</v>
      </c>
      <c r="G4086" s="4" t="s">
        <v>1</v>
      </c>
      <c r="H4086" s="25">
        <v>43.459558819999998</v>
      </c>
      <c r="I4086" s="8">
        <v>-880</v>
      </c>
      <c r="J4086" s="9">
        <v>1922</v>
      </c>
      <c r="K4086" s="7">
        <v>2802</v>
      </c>
      <c r="L4086" s="24">
        <f>+Tabla2[[#This Row],[Stock Inventario]]*Tabla2[[#This Row],[Coste LÃ­nea]]</f>
        <v>83529.272052040003</v>
      </c>
      <c r="M4086" s="24">
        <f>+Tabla2[[#This Row],[Variación Stock]]*Tabla2[[#This Row],[Coste LÃ­nea]]</f>
        <v>121773.68381363999</v>
      </c>
      <c r="N4086" s="22" t="str">
        <f>+IF(Tabla2[[#This Row],[Variación Stock]]&gt;0,"Sobrante",IF(Tabla2[[#This Row],[Variación Stock]]&lt;0,"Faltante","Sin novedad"))</f>
        <v>Sobrante</v>
      </c>
    </row>
    <row r="4087" spans="1:14" hidden="1" x14ac:dyDescent="0.25">
      <c r="A4087" s="11">
        <v>46053</v>
      </c>
      <c r="B4087" s="5" t="s">
        <v>1078</v>
      </c>
      <c r="C4087" s="3" t="s">
        <v>339</v>
      </c>
      <c r="D4087" s="5" t="s">
        <v>396</v>
      </c>
      <c r="E4087" s="5" t="s">
        <v>117</v>
      </c>
      <c r="F4087" s="6" t="s">
        <v>463</v>
      </c>
      <c r="G4087" s="4" t="s">
        <v>1</v>
      </c>
      <c r="H4087" s="25">
        <v>10.749943330000001</v>
      </c>
      <c r="I4087" s="8">
        <v>0</v>
      </c>
      <c r="J4087" s="9">
        <v>0</v>
      </c>
      <c r="K4087" s="7">
        <v>0</v>
      </c>
      <c r="L4087" s="24">
        <f>+Tabla2[[#This Row],[Stock Inventario]]*Tabla2[[#This Row],[Coste LÃ­nea]]</f>
        <v>0</v>
      </c>
      <c r="M4087" s="24">
        <f>+Tabla2[[#This Row],[Variación Stock]]*Tabla2[[#This Row],[Coste LÃ­nea]]</f>
        <v>0</v>
      </c>
      <c r="N4087" s="22" t="str">
        <f>+IF(Tabla2[[#This Row],[Variación Stock]]&gt;0,"Sobrante",IF(Tabla2[[#This Row],[Variación Stock]]&lt;0,"Faltante","Sin novedad"))</f>
        <v>Sin novedad</v>
      </c>
    </row>
    <row r="4088" spans="1:14" hidden="1" x14ac:dyDescent="0.25">
      <c r="A4088" s="11">
        <v>46053</v>
      </c>
      <c r="B4088" s="5" t="s">
        <v>1078</v>
      </c>
      <c r="C4088" s="3" t="s">
        <v>339</v>
      </c>
      <c r="D4088" s="5" t="s">
        <v>803</v>
      </c>
      <c r="E4088" s="5" t="s">
        <v>117</v>
      </c>
      <c r="F4088" s="6" t="s">
        <v>812</v>
      </c>
      <c r="G4088" s="4" t="s">
        <v>1</v>
      </c>
      <c r="H4088" s="25">
        <v>26.269315670000001</v>
      </c>
      <c r="I4088" s="8">
        <v>25592</v>
      </c>
      <c r="J4088" s="9">
        <v>4540</v>
      </c>
      <c r="K4088" s="7">
        <v>-21052</v>
      </c>
      <c r="L4088" s="24">
        <f>+Tabla2[[#This Row],[Stock Inventario]]*Tabla2[[#This Row],[Coste LÃ­nea]]</f>
        <v>119262.6931418</v>
      </c>
      <c r="M4088" s="24">
        <f>+Tabla2[[#This Row],[Variación Stock]]*Tabla2[[#This Row],[Coste LÃ­nea]]</f>
        <v>-553021.63348484004</v>
      </c>
      <c r="N4088" s="22" t="str">
        <f>+IF(Tabla2[[#This Row],[Variación Stock]]&gt;0,"Sobrante",IF(Tabla2[[#This Row],[Variación Stock]]&lt;0,"Faltante","Sin novedad"))</f>
        <v>Faltante</v>
      </c>
    </row>
    <row r="4089" spans="1:14" hidden="1" x14ac:dyDescent="0.25">
      <c r="A4089" s="11">
        <v>46053</v>
      </c>
      <c r="B4089" s="5" t="s">
        <v>1078</v>
      </c>
      <c r="C4089" s="3" t="s">
        <v>339</v>
      </c>
      <c r="D4089" s="5" t="s">
        <v>396</v>
      </c>
      <c r="E4089" s="5" t="s">
        <v>117</v>
      </c>
      <c r="F4089" s="6" t="s">
        <v>468</v>
      </c>
      <c r="G4089" s="4" t="s">
        <v>1</v>
      </c>
      <c r="H4089" s="25">
        <v>8.9250000000000007</v>
      </c>
      <c r="I4089" s="8">
        <v>-39236</v>
      </c>
      <c r="J4089" s="9">
        <v>9398</v>
      </c>
      <c r="K4089" s="7">
        <v>48634</v>
      </c>
      <c r="L4089" s="24">
        <f>+Tabla2[[#This Row],[Stock Inventario]]*Tabla2[[#This Row],[Coste LÃ­nea]]</f>
        <v>83877.150000000009</v>
      </c>
      <c r="M4089" s="24">
        <f>+Tabla2[[#This Row],[Variación Stock]]*Tabla2[[#This Row],[Coste LÃ­nea]]</f>
        <v>434058.45</v>
      </c>
      <c r="N4089" s="22" t="str">
        <f>+IF(Tabla2[[#This Row],[Variación Stock]]&gt;0,"Sobrante",IF(Tabla2[[#This Row],[Variación Stock]]&lt;0,"Faltante","Sin novedad"))</f>
        <v>Sobrante</v>
      </c>
    </row>
    <row r="4090" spans="1:14" hidden="1" x14ac:dyDescent="0.25">
      <c r="A4090" s="11">
        <v>46053</v>
      </c>
      <c r="B4090" s="5" t="s">
        <v>1078</v>
      </c>
      <c r="C4090" s="3" t="s">
        <v>339</v>
      </c>
      <c r="D4090" s="5" t="s">
        <v>396</v>
      </c>
      <c r="E4090" s="5" t="s">
        <v>117</v>
      </c>
      <c r="F4090" s="6" t="s">
        <v>451</v>
      </c>
      <c r="G4090" s="4" t="s">
        <v>1</v>
      </c>
      <c r="H4090" s="25">
        <v>18.828045979999999</v>
      </c>
      <c r="I4090" s="8">
        <v>3410</v>
      </c>
      <c r="J4090" s="9">
        <v>2736</v>
      </c>
      <c r="K4090" s="7">
        <v>-674</v>
      </c>
      <c r="L4090" s="24">
        <f>+Tabla2[[#This Row],[Stock Inventario]]*Tabla2[[#This Row],[Coste LÃ­nea]]</f>
        <v>51513.533801279998</v>
      </c>
      <c r="M4090" s="24">
        <f>+Tabla2[[#This Row],[Variación Stock]]*Tabla2[[#This Row],[Coste LÃ­nea]]</f>
        <v>-12690.102990519999</v>
      </c>
      <c r="N4090" s="22" t="str">
        <f>+IF(Tabla2[[#This Row],[Variación Stock]]&gt;0,"Sobrante",IF(Tabla2[[#This Row],[Variación Stock]]&lt;0,"Faltante","Sin novedad"))</f>
        <v>Faltante</v>
      </c>
    </row>
    <row r="4091" spans="1:14" hidden="1" x14ac:dyDescent="0.25">
      <c r="A4091" s="11">
        <v>46053</v>
      </c>
      <c r="B4091" s="5" t="s">
        <v>1078</v>
      </c>
      <c r="C4091" s="3" t="s">
        <v>339</v>
      </c>
      <c r="D4091" s="5" t="s">
        <v>396</v>
      </c>
      <c r="E4091" s="5" t="s">
        <v>117</v>
      </c>
      <c r="F4091" s="6" t="s">
        <v>409</v>
      </c>
      <c r="G4091" s="4" t="s">
        <v>1</v>
      </c>
      <c r="H4091" s="25">
        <v>89.0625</v>
      </c>
      <c r="I4091" s="8">
        <v>-54</v>
      </c>
      <c r="J4091" s="9">
        <v>0</v>
      </c>
      <c r="K4091" s="7">
        <v>54</v>
      </c>
      <c r="L4091" s="24">
        <f>+Tabla2[[#This Row],[Stock Inventario]]*Tabla2[[#This Row],[Coste LÃ­nea]]</f>
        <v>0</v>
      </c>
      <c r="M4091" s="24">
        <f>+Tabla2[[#This Row],[Variación Stock]]*Tabla2[[#This Row],[Coste LÃ­nea]]</f>
        <v>4809.375</v>
      </c>
      <c r="N4091" s="22" t="str">
        <f>+IF(Tabla2[[#This Row],[Variación Stock]]&gt;0,"Sobrante",IF(Tabla2[[#This Row],[Variación Stock]]&lt;0,"Faltante","Sin novedad"))</f>
        <v>Sobrante</v>
      </c>
    </row>
    <row r="4092" spans="1:14" hidden="1" x14ac:dyDescent="0.25">
      <c r="A4092" s="11">
        <v>46053</v>
      </c>
      <c r="B4092" s="5" t="s">
        <v>1078</v>
      </c>
      <c r="C4092" s="3" t="s">
        <v>339</v>
      </c>
      <c r="D4092" s="5" t="s">
        <v>559</v>
      </c>
      <c r="E4092" s="5" t="s">
        <v>1080</v>
      </c>
      <c r="F4092" s="6" t="s">
        <v>595</v>
      </c>
      <c r="G4092" s="4" t="s">
        <v>2</v>
      </c>
      <c r="H4092" s="25">
        <v>81.81</v>
      </c>
      <c r="I4092" s="8">
        <v>0</v>
      </c>
      <c r="J4092" s="9">
        <v>56</v>
      </c>
      <c r="K4092" s="7">
        <v>56</v>
      </c>
      <c r="L4092" s="24">
        <f>+Tabla2[[#This Row],[Stock Inventario]]*Tabla2[[#This Row],[Coste LÃ­nea]]</f>
        <v>4581.3600000000006</v>
      </c>
      <c r="M4092" s="24">
        <f>+Tabla2[[#This Row],[Variación Stock]]*Tabla2[[#This Row],[Coste LÃ­nea]]</f>
        <v>4581.3600000000006</v>
      </c>
      <c r="N4092" s="22" t="str">
        <f>+IF(Tabla2[[#This Row],[Variación Stock]]&gt;0,"Sobrante",IF(Tabla2[[#This Row],[Variación Stock]]&lt;0,"Faltante","Sin novedad"))</f>
        <v>Sobrante</v>
      </c>
    </row>
    <row r="4093" spans="1:14" hidden="1" x14ac:dyDescent="0.25">
      <c r="A4093" s="11">
        <v>46053</v>
      </c>
      <c r="B4093" s="5" t="s">
        <v>1078</v>
      </c>
      <c r="C4093" s="3" t="s">
        <v>339</v>
      </c>
      <c r="D4093" s="5" t="s">
        <v>471</v>
      </c>
      <c r="E4093" s="5" t="s">
        <v>117</v>
      </c>
      <c r="F4093" s="6" t="s">
        <v>531</v>
      </c>
      <c r="G4093" s="4" t="s">
        <v>1</v>
      </c>
      <c r="H4093" s="25">
        <v>2</v>
      </c>
      <c r="I4093" s="8">
        <v>18500</v>
      </c>
      <c r="J4093" s="9">
        <v>0</v>
      </c>
      <c r="K4093" s="7">
        <v>-18500</v>
      </c>
      <c r="L4093" s="24">
        <f>+Tabla2[[#This Row],[Stock Inventario]]*Tabla2[[#This Row],[Coste LÃ­nea]]</f>
        <v>0</v>
      </c>
      <c r="M4093" s="24">
        <f>+Tabla2[[#This Row],[Variación Stock]]*Tabla2[[#This Row],[Coste LÃ­nea]]</f>
        <v>-37000</v>
      </c>
      <c r="N4093" s="22" t="str">
        <f>+IF(Tabla2[[#This Row],[Variación Stock]]&gt;0,"Sobrante",IF(Tabla2[[#This Row],[Variación Stock]]&lt;0,"Faltante","Sin novedad"))</f>
        <v>Faltante</v>
      </c>
    </row>
    <row r="4094" spans="1:14" x14ac:dyDescent="0.25">
      <c r="A4094" s="11">
        <v>46053</v>
      </c>
      <c r="B4094" s="5" t="s">
        <v>1078</v>
      </c>
      <c r="C4094" s="3" t="s">
        <v>339</v>
      </c>
      <c r="D4094" s="5" t="s">
        <v>114</v>
      </c>
      <c r="E4094" s="5" t="s">
        <v>112</v>
      </c>
      <c r="F4094" s="6" t="s">
        <v>3</v>
      </c>
      <c r="G4094" s="4" t="s">
        <v>2</v>
      </c>
      <c r="H4094" s="25">
        <v>2000</v>
      </c>
      <c r="I4094" s="8">
        <v>100.1</v>
      </c>
      <c r="J4094" s="9">
        <v>93</v>
      </c>
      <c r="K4094" s="7">
        <v>-7.1</v>
      </c>
      <c r="L4094" s="24">
        <f>+Tabla2[[#This Row],[Stock Inventario]]*Tabla2[[#This Row],[Coste LÃ­nea]]</f>
        <v>186000</v>
      </c>
      <c r="M4094" s="24">
        <f>+Tabla2[[#This Row],[Variación Stock]]*Tabla2[[#This Row],[Coste LÃ­nea]]</f>
        <v>-14200</v>
      </c>
      <c r="N4094" s="22" t="str">
        <f>+IF(Tabla2[[#This Row],[Variación Stock]]&gt;0,"Sobrante",IF(Tabla2[[#This Row],[Variación Stock]]&lt;0,"Faltante","Sin novedad"))</f>
        <v>Faltante</v>
      </c>
    </row>
    <row r="4095" spans="1:14" hidden="1" x14ac:dyDescent="0.25">
      <c r="A4095" s="11">
        <v>46053</v>
      </c>
      <c r="B4095" s="5" t="s">
        <v>1078</v>
      </c>
      <c r="C4095" s="3" t="s">
        <v>339</v>
      </c>
      <c r="D4095" s="5" t="s">
        <v>396</v>
      </c>
      <c r="E4095" s="5" t="s">
        <v>117</v>
      </c>
      <c r="F4095" s="6" t="s">
        <v>404</v>
      </c>
      <c r="G4095" s="4" t="s">
        <v>1</v>
      </c>
      <c r="H4095" s="25">
        <v>44.212727270000002</v>
      </c>
      <c r="I4095" s="8">
        <v>-525</v>
      </c>
      <c r="J4095" s="9">
        <v>0</v>
      </c>
      <c r="K4095" s="7">
        <v>525</v>
      </c>
      <c r="L4095" s="24">
        <f>+Tabla2[[#This Row],[Stock Inventario]]*Tabla2[[#This Row],[Coste LÃ­nea]]</f>
        <v>0</v>
      </c>
      <c r="M4095" s="24">
        <f>+Tabla2[[#This Row],[Variación Stock]]*Tabla2[[#This Row],[Coste LÃ­nea]]</f>
        <v>23211.681816750002</v>
      </c>
      <c r="N4095" s="22" t="str">
        <f>+IF(Tabla2[[#This Row],[Variación Stock]]&gt;0,"Sobrante",IF(Tabla2[[#This Row],[Variación Stock]]&lt;0,"Faltante","Sin novedad"))</f>
        <v>Sobrante</v>
      </c>
    </row>
    <row r="4096" spans="1:14" hidden="1" x14ac:dyDescent="0.25">
      <c r="A4096" s="11">
        <v>46053</v>
      </c>
      <c r="B4096" s="5" t="s">
        <v>1078</v>
      </c>
      <c r="C4096" s="3" t="s">
        <v>339</v>
      </c>
      <c r="D4096" s="5" t="s">
        <v>396</v>
      </c>
      <c r="E4096" s="5" t="s">
        <v>117</v>
      </c>
      <c r="F4096" s="6" t="s">
        <v>421</v>
      </c>
      <c r="G4096" s="4" t="s">
        <v>1</v>
      </c>
      <c r="H4096" s="25">
        <v>77.43726667</v>
      </c>
      <c r="I4096" s="8">
        <v>0</v>
      </c>
      <c r="J4096" s="9">
        <v>0</v>
      </c>
      <c r="K4096" s="7">
        <v>0</v>
      </c>
      <c r="L4096" s="24">
        <f>+Tabla2[[#This Row],[Stock Inventario]]*Tabla2[[#This Row],[Coste LÃ­nea]]</f>
        <v>0</v>
      </c>
      <c r="M4096" s="24">
        <f>+Tabla2[[#This Row],[Variación Stock]]*Tabla2[[#This Row],[Coste LÃ­nea]]</f>
        <v>0</v>
      </c>
      <c r="N4096" s="22" t="str">
        <f>+IF(Tabla2[[#This Row],[Variación Stock]]&gt;0,"Sobrante",IF(Tabla2[[#This Row],[Variación Stock]]&lt;0,"Faltante","Sin novedad"))</f>
        <v>Sin novedad</v>
      </c>
    </row>
    <row r="4097" spans="1:14" hidden="1" x14ac:dyDescent="0.25">
      <c r="A4097" s="11">
        <v>46053</v>
      </c>
      <c r="B4097" s="5" t="s">
        <v>1078</v>
      </c>
      <c r="C4097" s="3" t="s">
        <v>339</v>
      </c>
      <c r="D4097" s="5" t="s">
        <v>396</v>
      </c>
      <c r="E4097" s="5" t="s">
        <v>117</v>
      </c>
      <c r="F4097" s="6" t="s">
        <v>411</v>
      </c>
      <c r="G4097" s="4" t="s">
        <v>1</v>
      </c>
      <c r="H4097" s="25">
        <v>152.13461538000001</v>
      </c>
      <c r="I4097" s="8">
        <v>0</v>
      </c>
      <c r="J4097" s="9">
        <v>0</v>
      </c>
      <c r="K4097" s="7">
        <v>0</v>
      </c>
      <c r="L4097" s="24">
        <f>+Tabla2[[#This Row],[Stock Inventario]]*Tabla2[[#This Row],[Coste LÃ­nea]]</f>
        <v>0</v>
      </c>
      <c r="M4097" s="24">
        <f>+Tabla2[[#This Row],[Variación Stock]]*Tabla2[[#This Row],[Coste LÃ­nea]]</f>
        <v>0</v>
      </c>
      <c r="N4097" s="22" t="str">
        <f>+IF(Tabla2[[#This Row],[Variación Stock]]&gt;0,"Sobrante",IF(Tabla2[[#This Row],[Variación Stock]]&lt;0,"Faltante","Sin novedad"))</f>
        <v>Sin novedad</v>
      </c>
    </row>
    <row r="4098" spans="1:14" hidden="1" x14ac:dyDescent="0.25">
      <c r="A4098" s="11">
        <v>46053</v>
      </c>
      <c r="B4098" s="5" t="s">
        <v>1078</v>
      </c>
      <c r="C4098" s="3" t="s">
        <v>339</v>
      </c>
      <c r="D4098" s="5" t="s">
        <v>559</v>
      </c>
      <c r="E4098" s="5" t="s">
        <v>1080</v>
      </c>
      <c r="F4098" s="6" t="s">
        <v>596</v>
      </c>
      <c r="G4098" s="4" t="s">
        <v>2</v>
      </c>
      <c r="H4098" s="25">
        <v>52.875555560000002</v>
      </c>
      <c r="I4098" s="8">
        <v>7212</v>
      </c>
      <c r="J4098" s="9">
        <v>11</v>
      </c>
      <c r="K4098" s="7">
        <v>-7201</v>
      </c>
      <c r="L4098" s="24">
        <f>+Tabla2[[#This Row],[Stock Inventario]]*Tabla2[[#This Row],[Coste LÃ­nea]]</f>
        <v>581.63111116000005</v>
      </c>
      <c r="M4098" s="24">
        <f>+Tabla2[[#This Row],[Variación Stock]]*Tabla2[[#This Row],[Coste LÃ­nea]]</f>
        <v>-380756.87558756</v>
      </c>
      <c r="N4098" s="22" t="str">
        <f>+IF(Tabla2[[#This Row],[Variación Stock]]&gt;0,"Sobrante",IF(Tabla2[[#This Row],[Variación Stock]]&lt;0,"Faltante","Sin novedad"))</f>
        <v>Faltante</v>
      </c>
    </row>
    <row r="4099" spans="1:14" hidden="1" x14ac:dyDescent="0.25">
      <c r="A4099" s="11">
        <v>46053</v>
      </c>
      <c r="B4099" s="5" t="s">
        <v>1078</v>
      </c>
      <c r="C4099" s="3" t="s">
        <v>339</v>
      </c>
      <c r="D4099" s="5" t="s">
        <v>559</v>
      </c>
      <c r="E4099" s="5" t="s">
        <v>1080</v>
      </c>
      <c r="F4099" s="6" t="s">
        <v>597</v>
      </c>
      <c r="G4099" s="4" t="s">
        <v>2</v>
      </c>
      <c r="H4099" s="25">
        <v>377.23</v>
      </c>
      <c r="I4099" s="8">
        <v>29</v>
      </c>
      <c r="J4099" s="9">
        <v>55</v>
      </c>
      <c r="K4099" s="7">
        <v>26</v>
      </c>
      <c r="L4099" s="24">
        <f>+Tabla2[[#This Row],[Stock Inventario]]*Tabla2[[#This Row],[Coste LÃ­nea]]</f>
        <v>20747.650000000001</v>
      </c>
      <c r="M4099" s="24">
        <f>+Tabla2[[#This Row],[Variación Stock]]*Tabla2[[#This Row],[Coste LÃ­nea]]</f>
        <v>9807.98</v>
      </c>
      <c r="N4099" s="22" t="str">
        <f>+IF(Tabla2[[#This Row],[Variación Stock]]&gt;0,"Sobrante",IF(Tabla2[[#This Row],[Variación Stock]]&lt;0,"Faltante","Sin novedad"))</f>
        <v>Sobrante</v>
      </c>
    </row>
    <row r="4100" spans="1:14" hidden="1" x14ac:dyDescent="0.25">
      <c r="A4100" s="11">
        <v>46053</v>
      </c>
      <c r="B4100" s="5" t="s">
        <v>1078</v>
      </c>
      <c r="C4100" s="3" t="s">
        <v>339</v>
      </c>
      <c r="D4100" s="5" t="s">
        <v>396</v>
      </c>
      <c r="E4100" s="5" t="s">
        <v>117</v>
      </c>
      <c r="F4100" s="6" t="s">
        <v>405</v>
      </c>
      <c r="G4100" s="4" t="s">
        <v>2</v>
      </c>
      <c r="H4100" s="25">
        <v>450</v>
      </c>
      <c r="I4100" s="8">
        <v>-15</v>
      </c>
      <c r="J4100" s="9">
        <v>0</v>
      </c>
      <c r="K4100" s="7">
        <v>15</v>
      </c>
      <c r="L4100" s="24">
        <f>+Tabla2[[#This Row],[Stock Inventario]]*Tabla2[[#This Row],[Coste LÃ­nea]]</f>
        <v>0</v>
      </c>
      <c r="M4100" s="24">
        <f>+Tabla2[[#This Row],[Variación Stock]]*Tabla2[[#This Row],[Coste LÃ­nea]]</f>
        <v>6750</v>
      </c>
      <c r="N4100" s="22" t="str">
        <f>+IF(Tabla2[[#This Row],[Variación Stock]]&gt;0,"Sobrante",IF(Tabla2[[#This Row],[Variación Stock]]&lt;0,"Faltante","Sin novedad"))</f>
        <v>Sobrante</v>
      </c>
    </row>
    <row r="4101" spans="1:14" x14ac:dyDescent="0.25">
      <c r="A4101" s="11">
        <v>46053</v>
      </c>
      <c r="B4101" s="5" t="s">
        <v>1078</v>
      </c>
      <c r="C4101" s="3" t="s">
        <v>339</v>
      </c>
      <c r="D4101" s="5" t="s">
        <v>111</v>
      </c>
      <c r="E4101" s="5" t="s">
        <v>112</v>
      </c>
      <c r="F4101" s="6" t="s">
        <v>30</v>
      </c>
      <c r="G4101" s="4" t="s">
        <v>0</v>
      </c>
      <c r="H4101" s="25">
        <v>3673.5</v>
      </c>
      <c r="I4101" s="8">
        <v>0</v>
      </c>
      <c r="J4101" s="9">
        <v>0</v>
      </c>
      <c r="K4101" s="7">
        <v>0</v>
      </c>
      <c r="L4101" s="24">
        <f>+Tabla2[[#This Row],[Stock Inventario]]*Tabla2[[#This Row],[Coste LÃ­nea]]</f>
        <v>0</v>
      </c>
      <c r="M4101" s="24">
        <f>+Tabla2[[#This Row],[Variación Stock]]*Tabla2[[#This Row],[Coste LÃ­nea]]</f>
        <v>0</v>
      </c>
      <c r="N4101" s="22" t="str">
        <f>+IF(Tabla2[[#This Row],[Variación Stock]]&gt;0,"Sobrante",IF(Tabla2[[#This Row],[Variación Stock]]&lt;0,"Faltante","Sin novedad"))</f>
        <v>Sin novedad</v>
      </c>
    </row>
    <row r="4102" spans="1:14" x14ac:dyDescent="0.25">
      <c r="A4102" s="11">
        <v>46053</v>
      </c>
      <c r="B4102" s="5" t="s">
        <v>1078</v>
      </c>
      <c r="C4102" s="3" t="s">
        <v>339</v>
      </c>
      <c r="D4102" s="5" t="s">
        <v>114</v>
      </c>
      <c r="E4102" s="5" t="s">
        <v>112</v>
      </c>
      <c r="F4102" s="6" t="s">
        <v>147</v>
      </c>
      <c r="G4102" s="4" t="s">
        <v>2</v>
      </c>
      <c r="H4102" s="25">
        <v>1944.4444444000001</v>
      </c>
      <c r="I4102" s="8">
        <v>0</v>
      </c>
      <c r="J4102" s="9">
        <v>0</v>
      </c>
      <c r="K4102" s="7">
        <v>0</v>
      </c>
      <c r="L4102" s="24">
        <f>+Tabla2[[#This Row],[Stock Inventario]]*Tabla2[[#This Row],[Coste LÃ­nea]]</f>
        <v>0</v>
      </c>
      <c r="M4102" s="24">
        <f>+Tabla2[[#This Row],[Variación Stock]]*Tabla2[[#This Row],[Coste LÃ­nea]]</f>
        <v>0</v>
      </c>
      <c r="N4102" s="22" t="str">
        <f>+IF(Tabla2[[#This Row],[Variación Stock]]&gt;0,"Sobrante",IF(Tabla2[[#This Row],[Variación Stock]]&lt;0,"Faltante","Sin novedad"))</f>
        <v>Sin novedad</v>
      </c>
    </row>
    <row r="4103" spans="1:14" x14ac:dyDescent="0.25">
      <c r="A4103" s="11">
        <v>46053</v>
      </c>
      <c r="B4103" s="5" t="s">
        <v>1078</v>
      </c>
      <c r="C4103" s="3" t="s">
        <v>339</v>
      </c>
      <c r="D4103" s="5" t="s">
        <v>114</v>
      </c>
      <c r="E4103" s="5" t="s">
        <v>112</v>
      </c>
      <c r="F4103" s="6" t="s">
        <v>70</v>
      </c>
      <c r="G4103" s="4" t="s">
        <v>2</v>
      </c>
      <c r="H4103" s="25">
        <v>1835.41666667</v>
      </c>
      <c r="I4103" s="8">
        <v>0</v>
      </c>
      <c r="J4103" s="9">
        <v>0</v>
      </c>
      <c r="K4103" s="7">
        <v>0</v>
      </c>
      <c r="L4103" s="24">
        <f>+Tabla2[[#This Row],[Stock Inventario]]*Tabla2[[#This Row],[Coste LÃ­nea]]</f>
        <v>0</v>
      </c>
      <c r="M4103" s="24">
        <f>+Tabla2[[#This Row],[Variación Stock]]*Tabla2[[#This Row],[Coste LÃ­nea]]</f>
        <v>0</v>
      </c>
      <c r="N4103" s="22" t="str">
        <f>+IF(Tabla2[[#This Row],[Variación Stock]]&gt;0,"Sobrante",IF(Tabla2[[#This Row],[Variación Stock]]&lt;0,"Faltante","Sin novedad"))</f>
        <v>Sin novedad</v>
      </c>
    </row>
    <row r="4104" spans="1:14" hidden="1" x14ac:dyDescent="0.25">
      <c r="A4104" s="11">
        <v>46053</v>
      </c>
      <c r="B4104" s="5" t="s">
        <v>1078</v>
      </c>
      <c r="C4104" s="3" t="s">
        <v>339</v>
      </c>
      <c r="D4104" s="5" t="s">
        <v>116</v>
      </c>
      <c r="E4104" s="5" t="s">
        <v>117</v>
      </c>
      <c r="F4104" s="6" t="s">
        <v>164</v>
      </c>
      <c r="G4104" s="4" t="s">
        <v>2</v>
      </c>
      <c r="H4104" s="25">
        <v>10508.6957</v>
      </c>
      <c r="I4104" s="8">
        <v>0</v>
      </c>
      <c r="J4104" s="9">
        <v>0</v>
      </c>
      <c r="K4104" s="7">
        <v>0</v>
      </c>
      <c r="L4104" s="24">
        <f>+Tabla2[[#This Row],[Stock Inventario]]*Tabla2[[#This Row],[Coste LÃ­nea]]</f>
        <v>0</v>
      </c>
      <c r="M4104" s="24">
        <f>+Tabla2[[#This Row],[Variación Stock]]*Tabla2[[#This Row],[Coste LÃ­nea]]</f>
        <v>0</v>
      </c>
      <c r="N4104" s="22" t="str">
        <f>+IF(Tabla2[[#This Row],[Variación Stock]]&gt;0,"Sobrante",IF(Tabla2[[#This Row],[Variación Stock]]&lt;0,"Faltante","Sin novedad"))</f>
        <v>Sin novedad</v>
      </c>
    </row>
    <row r="4105" spans="1:14" hidden="1" x14ac:dyDescent="0.25">
      <c r="A4105" s="11">
        <v>46053</v>
      </c>
      <c r="B4105" s="5" t="s">
        <v>1078</v>
      </c>
      <c r="C4105" s="3" t="s">
        <v>339</v>
      </c>
      <c r="D4105" s="5" t="s">
        <v>116</v>
      </c>
      <c r="E4105" s="5" t="s">
        <v>117</v>
      </c>
      <c r="F4105" s="6" t="s">
        <v>7</v>
      </c>
      <c r="G4105" s="4" t="s">
        <v>2</v>
      </c>
      <c r="H4105" s="25">
        <v>13082.95454545</v>
      </c>
      <c r="I4105" s="8">
        <v>86</v>
      </c>
      <c r="J4105" s="9">
        <v>94</v>
      </c>
      <c r="K4105" s="7">
        <v>8</v>
      </c>
      <c r="L4105" s="24">
        <f>+Tabla2[[#This Row],[Stock Inventario]]*Tabla2[[#This Row],[Coste LÃ­nea]]</f>
        <v>1229797.7272723</v>
      </c>
      <c r="M4105" s="24">
        <f>+Tabla2[[#This Row],[Variación Stock]]*Tabla2[[#This Row],[Coste LÃ­nea]]</f>
        <v>104663.6363636</v>
      </c>
      <c r="N4105" s="22" t="str">
        <f>+IF(Tabla2[[#This Row],[Variación Stock]]&gt;0,"Sobrante",IF(Tabla2[[#This Row],[Variación Stock]]&lt;0,"Faltante","Sin novedad"))</f>
        <v>Sobrante</v>
      </c>
    </row>
    <row r="4106" spans="1:14" hidden="1" x14ac:dyDescent="0.25">
      <c r="A4106" s="11">
        <v>46053</v>
      </c>
      <c r="B4106" s="5" t="s">
        <v>1078</v>
      </c>
      <c r="C4106" s="3" t="s">
        <v>339</v>
      </c>
      <c r="D4106" s="5" t="s">
        <v>396</v>
      </c>
      <c r="E4106" s="5" t="s">
        <v>117</v>
      </c>
      <c r="F4106" s="6" t="s">
        <v>422</v>
      </c>
      <c r="G4106" s="4" t="s">
        <v>1</v>
      </c>
      <c r="H4106" s="25">
        <v>24</v>
      </c>
      <c r="I4106" s="8">
        <v>0</v>
      </c>
      <c r="J4106" s="9">
        <v>0</v>
      </c>
      <c r="K4106" s="7">
        <v>0</v>
      </c>
      <c r="L4106" s="24">
        <f>+Tabla2[[#This Row],[Stock Inventario]]*Tabla2[[#This Row],[Coste LÃ­nea]]</f>
        <v>0</v>
      </c>
      <c r="M4106" s="24">
        <f>+Tabla2[[#This Row],[Variación Stock]]*Tabla2[[#This Row],[Coste LÃ­nea]]</f>
        <v>0</v>
      </c>
      <c r="N4106" s="22" t="str">
        <f>+IF(Tabla2[[#This Row],[Variación Stock]]&gt;0,"Sobrante",IF(Tabla2[[#This Row],[Variación Stock]]&lt;0,"Faltante","Sin novedad"))</f>
        <v>Sin novedad</v>
      </c>
    </row>
    <row r="4107" spans="1:14" hidden="1" x14ac:dyDescent="0.25">
      <c r="A4107" s="11">
        <v>46053</v>
      </c>
      <c r="B4107" s="5" t="s">
        <v>1078</v>
      </c>
      <c r="C4107" s="3" t="s">
        <v>339</v>
      </c>
      <c r="D4107" s="5" t="s">
        <v>396</v>
      </c>
      <c r="E4107" s="5" t="s">
        <v>117</v>
      </c>
      <c r="F4107" s="6" t="s">
        <v>452</v>
      </c>
      <c r="G4107" s="4" t="s">
        <v>1</v>
      </c>
      <c r="H4107" s="25">
        <v>37.777775699999999</v>
      </c>
      <c r="I4107" s="8">
        <v>700</v>
      </c>
      <c r="J4107" s="9">
        <v>2000</v>
      </c>
      <c r="K4107" s="7">
        <v>1300</v>
      </c>
      <c r="L4107" s="24">
        <f>+Tabla2[[#This Row],[Stock Inventario]]*Tabla2[[#This Row],[Coste LÃ­nea]]</f>
        <v>75555.551399999997</v>
      </c>
      <c r="M4107" s="24">
        <f>+Tabla2[[#This Row],[Variación Stock]]*Tabla2[[#This Row],[Coste LÃ­nea]]</f>
        <v>49111.108410000001</v>
      </c>
      <c r="N4107" s="22" t="str">
        <f>+IF(Tabla2[[#This Row],[Variación Stock]]&gt;0,"Sobrante",IF(Tabla2[[#This Row],[Variación Stock]]&lt;0,"Faltante","Sin novedad"))</f>
        <v>Sobrante</v>
      </c>
    </row>
    <row r="4108" spans="1:14" hidden="1" x14ac:dyDescent="0.25">
      <c r="A4108" s="11">
        <v>46053</v>
      </c>
      <c r="B4108" s="5" t="s">
        <v>1078</v>
      </c>
      <c r="C4108" s="3" t="s">
        <v>339</v>
      </c>
      <c r="D4108" s="5" t="s">
        <v>396</v>
      </c>
      <c r="E4108" s="5" t="s">
        <v>117</v>
      </c>
      <c r="F4108" s="6" t="s">
        <v>453</v>
      </c>
      <c r="G4108" s="4" t="s">
        <v>2</v>
      </c>
      <c r="H4108" s="25">
        <v>54.34</v>
      </c>
      <c r="I4108" s="8">
        <v>0</v>
      </c>
      <c r="J4108" s="9">
        <v>0</v>
      </c>
      <c r="K4108" s="7">
        <v>0</v>
      </c>
      <c r="L4108" s="24">
        <f>+Tabla2[[#This Row],[Stock Inventario]]*Tabla2[[#This Row],[Coste LÃ­nea]]</f>
        <v>0</v>
      </c>
      <c r="M4108" s="24">
        <f>+Tabla2[[#This Row],[Variación Stock]]*Tabla2[[#This Row],[Coste LÃ­nea]]</f>
        <v>0</v>
      </c>
      <c r="N4108" s="22" t="str">
        <f>+IF(Tabla2[[#This Row],[Variación Stock]]&gt;0,"Sobrante",IF(Tabla2[[#This Row],[Variación Stock]]&lt;0,"Faltante","Sin novedad"))</f>
        <v>Sin novedad</v>
      </c>
    </row>
    <row r="4109" spans="1:14" hidden="1" x14ac:dyDescent="0.25">
      <c r="A4109" s="11">
        <v>46053</v>
      </c>
      <c r="B4109" s="5" t="s">
        <v>1078</v>
      </c>
      <c r="C4109" s="3" t="s">
        <v>339</v>
      </c>
      <c r="D4109" s="5" t="s">
        <v>396</v>
      </c>
      <c r="E4109" s="5" t="s">
        <v>117</v>
      </c>
      <c r="F4109" s="6" t="s">
        <v>406</v>
      </c>
      <c r="G4109" s="4" t="s">
        <v>2</v>
      </c>
      <c r="H4109" s="25">
        <v>709.24</v>
      </c>
      <c r="I4109" s="8">
        <v>-151</v>
      </c>
      <c r="J4109" s="9">
        <v>50</v>
      </c>
      <c r="K4109" s="7">
        <v>201</v>
      </c>
      <c r="L4109" s="24">
        <f>+Tabla2[[#This Row],[Stock Inventario]]*Tabla2[[#This Row],[Coste LÃ­nea]]</f>
        <v>35462</v>
      </c>
      <c r="M4109" s="24">
        <f>+Tabla2[[#This Row],[Variación Stock]]*Tabla2[[#This Row],[Coste LÃ­nea]]</f>
        <v>142557.24</v>
      </c>
      <c r="N4109" s="22" t="str">
        <f>+IF(Tabla2[[#This Row],[Variación Stock]]&gt;0,"Sobrante",IF(Tabla2[[#This Row],[Variación Stock]]&lt;0,"Faltante","Sin novedad"))</f>
        <v>Sobrante</v>
      </c>
    </row>
    <row r="4110" spans="1:14" x14ac:dyDescent="0.25">
      <c r="A4110" s="11">
        <v>46053</v>
      </c>
      <c r="B4110" s="5" t="s">
        <v>1078</v>
      </c>
      <c r="C4110" s="3" t="s">
        <v>339</v>
      </c>
      <c r="D4110" s="5" t="s">
        <v>114</v>
      </c>
      <c r="E4110" s="5" t="s">
        <v>112</v>
      </c>
      <c r="F4110" s="6" t="s">
        <v>63</v>
      </c>
      <c r="G4110" s="4" t="s">
        <v>2</v>
      </c>
      <c r="H4110" s="25">
        <v>1395.79166667</v>
      </c>
      <c r="I4110" s="8">
        <v>4</v>
      </c>
      <c r="J4110" s="9">
        <v>4</v>
      </c>
      <c r="K4110" s="7">
        <v>0</v>
      </c>
      <c r="L4110" s="24">
        <f>+Tabla2[[#This Row],[Stock Inventario]]*Tabla2[[#This Row],[Coste LÃ­nea]]</f>
        <v>5583.1666666800002</v>
      </c>
      <c r="M4110" s="24">
        <f>+Tabla2[[#This Row],[Variación Stock]]*Tabla2[[#This Row],[Coste LÃ­nea]]</f>
        <v>0</v>
      </c>
      <c r="N4110" s="22" t="str">
        <f>+IF(Tabla2[[#This Row],[Variación Stock]]&gt;0,"Sobrante",IF(Tabla2[[#This Row],[Variación Stock]]&lt;0,"Faltante","Sin novedad"))</f>
        <v>Sin novedad</v>
      </c>
    </row>
    <row r="4111" spans="1:14" hidden="1" x14ac:dyDescent="0.25">
      <c r="A4111" s="11">
        <v>46053</v>
      </c>
      <c r="B4111" s="5" t="s">
        <v>1078</v>
      </c>
      <c r="C4111" s="3" t="s">
        <v>339</v>
      </c>
      <c r="D4111" s="5" t="s">
        <v>396</v>
      </c>
      <c r="E4111" s="5" t="s">
        <v>117</v>
      </c>
      <c r="F4111" s="6" t="s">
        <v>407</v>
      </c>
      <c r="G4111" s="4" t="s">
        <v>1</v>
      </c>
      <c r="H4111" s="25">
        <v>33.08368067</v>
      </c>
      <c r="I4111" s="8">
        <v>1090</v>
      </c>
      <c r="J4111" s="9">
        <v>2000</v>
      </c>
      <c r="K4111" s="7">
        <v>910</v>
      </c>
      <c r="L4111" s="24">
        <f>+Tabla2[[#This Row],[Stock Inventario]]*Tabla2[[#This Row],[Coste LÃ­nea]]</f>
        <v>66167.361340000003</v>
      </c>
      <c r="M4111" s="24">
        <f>+Tabla2[[#This Row],[Variación Stock]]*Tabla2[[#This Row],[Coste LÃ­nea]]</f>
        <v>30106.1494097</v>
      </c>
      <c r="N4111" s="22" t="str">
        <f>+IF(Tabla2[[#This Row],[Variación Stock]]&gt;0,"Sobrante",IF(Tabla2[[#This Row],[Variación Stock]]&lt;0,"Faltante","Sin novedad"))</f>
        <v>Sobrante</v>
      </c>
    </row>
    <row r="4112" spans="1:14" hidden="1" x14ac:dyDescent="0.25">
      <c r="A4112" s="11">
        <v>46053</v>
      </c>
      <c r="B4112" s="5" t="s">
        <v>1078</v>
      </c>
      <c r="C4112" s="3" t="s">
        <v>339</v>
      </c>
      <c r="D4112" s="5" t="s">
        <v>396</v>
      </c>
      <c r="E4112" s="5" t="s">
        <v>117</v>
      </c>
      <c r="F4112" s="6" t="s">
        <v>417</v>
      </c>
      <c r="G4112" s="4" t="s">
        <v>1</v>
      </c>
      <c r="H4112" s="25">
        <v>14.19373109</v>
      </c>
      <c r="I4112" s="8">
        <v>1000</v>
      </c>
      <c r="J4112" s="9">
        <v>0</v>
      </c>
      <c r="K4112" s="7">
        <v>-1000</v>
      </c>
      <c r="L4112" s="24">
        <f>+Tabla2[[#This Row],[Stock Inventario]]*Tabla2[[#This Row],[Coste LÃ­nea]]</f>
        <v>0</v>
      </c>
      <c r="M4112" s="24">
        <f>+Tabla2[[#This Row],[Variación Stock]]*Tabla2[[#This Row],[Coste LÃ­nea]]</f>
        <v>-14193.731089999999</v>
      </c>
      <c r="N4112" s="22" t="str">
        <f>+IF(Tabla2[[#This Row],[Variación Stock]]&gt;0,"Sobrante",IF(Tabla2[[#This Row],[Variación Stock]]&lt;0,"Faltante","Sin novedad"))</f>
        <v>Faltante</v>
      </c>
    </row>
    <row r="4113" spans="1:14" hidden="1" x14ac:dyDescent="0.25">
      <c r="A4113" s="11">
        <v>46053</v>
      </c>
      <c r="B4113" s="5" t="s">
        <v>1078</v>
      </c>
      <c r="C4113" s="3" t="s">
        <v>339</v>
      </c>
      <c r="D4113" s="5" t="s">
        <v>120</v>
      </c>
      <c r="E4113" s="5" t="s">
        <v>117</v>
      </c>
      <c r="F4113" s="6" t="s">
        <v>678</v>
      </c>
      <c r="G4113" s="4" t="s">
        <v>1</v>
      </c>
      <c r="H4113" s="25">
        <v>18.46795453</v>
      </c>
      <c r="I4113" s="8">
        <v>968</v>
      </c>
      <c r="J4113" s="9">
        <v>0</v>
      </c>
      <c r="K4113" s="7">
        <v>-968</v>
      </c>
      <c r="L4113" s="24">
        <f>+Tabla2[[#This Row],[Stock Inventario]]*Tabla2[[#This Row],[Coste LÃ­nea]]</f>
        <v>0</v>
      </c>
      <c r="M4113" s="24">
        <f>+Tabla2[[#This Row],[Variación Stock]]*Tabla2[[#This Row],[Coste LÃ­nea]]</f>
        <v>-17876.979985040001</v>
      </c>
      <c r="N4113" s="22" t="str">
        <f>+IF(Tabla2[[#This Row],[Variación Stock]]&gt;0,"Sobrante",IF(Tabla2[[#This Row],[Variación Stock]]&lt;0,"Faltante","Sin novedad"))</f>
        <v>Faltante</v>
      </c>
    </row>
    <row r="4114" spans="1:14" hidden="1" x14ac:dyDescent="0.25">
      <c r="A4114" s="11">
        <v>46053</v>
      </c>
      <c r="B4114" s="5" t="s">
        <v>1078</v>
      </c>
      <c r="C4114" s="3" t="s">
        <v>339</v>
      </c>
      <c r="D4114" s="5" t="s">
        <v>323</v>
      </c>
      <c r="E4114" s="5" t="s">
        <v>117</v>
      </c>
      <c r="F4114" s="6" t="s">
        <v>769</v>
      </c>
      <c r="G4114" s="4" t="s">
        <v>1</v>
      </c>
      <c r="H4114" s="25">
        <v>72.601667000000006</v>
      </c>
      <c r="I4114" s="8">
        <v>-1125</v>
      </c>
      <c r="J4114" s="9">
        <v>80</v>
      </c>
      <c r="K4114" s="7">
        <v>1205</v>
      </c>
      <c r="L4114" s="24">
        <f>+Tabla2[[#This Row],[Stock Inventario]]*Tabla2[[#This Row],[Coste LÃ­nea]]</f>
        <v>5808.1333600000007</v>
      </c>
      <c r="M4114" s="24">
        <f>+Tabla2[[#This Row],[Variación Stock]]*Tabla2[[#This Row],[Coste LÃ­nea]]</f>
        <v>87485.00873500001</v>
      </c>
      <c r="N4114" s="22" t="str">
        <f>+IF(Tabla2[[#This Row],[Variación Stock]]&gt;0,"Sobrante",IF(Tabla2[[#This Row],[Variación Stock]]&lt;0,"Faltante","Sin novedad"))</f>
        <v>Sobrante</v>
      </c>
    </row>
    <row r="4115" spans="1:14" hidden="1" x14ac:dyDescent="0.25">
      <c r="A4115" s="11">
        <v>46053</v>
      </c>
      <c r="B4115" s="5" t="s">
        <v>1078</v>
      </c>
      <c r="C4115" s="3" t="s">
        <v>339</v>
      </c>
      <c r="D4115" s="5" t="s">
        <v>120</v>
      </c>
      <c r="E4115" s="5" t="s">
        <v>117</v>
      </c>
      <c r="F4115" s="6" t="s">
        <v>679</v>
      </c>
      <c r="G4115" s="4" t="s">
        <v>1</v>
      </c>
      <c r="H4115" s="25">
        <v>30.109111110000001</v>
      </c>
      <c r="I4115" s="8">
        <v>692</v>
      </c>
      <c r="J4115" s="9">
        <v>264</v>
      </c>
      <c r="K4115" s="7">
        <v>-428</v>
      </c>
      <c r="L4115" s="24">
        <f>+Tabla2[[#This Row],[Stock Inventario]]*Tabla2[[#This Row],[Coste LÃ­nea]]</f>
        <v>7948.8053330399998</v>
      </c>
      <c r="M4115" s="24">
        <f>+Tabla2[[#This Row],[Variación Stock]]*Tabla2[[#This Row],[Coste LÃ­nea]]</f>
        <v>-12886.69955508</v>
      </c>
      <c r="N4115" s="22" t="str">
        <f>+IF(Tabla2[[#This Row],[Variación Stock]]&gt;0,"Sobrante",IF(Tabla2[[#This Row],[Variación Stock]]&lt;0,"Faltante","Sin novedad"))</f>
        <v>Faltante</v>
      </c>
    </row>
    <row r="4116" spans="1:14" hidden="1" x14ac:dyDescent="0.25">
      <c r="A4116" s="11">
        <v>46053</v>
      </c>
      <c r="B4116" s="5" t="s">
        <v>1078</v>
      </c>
      <c r="C4116" s="3" t="s">
        <v>339</v>
      </c>
      <c r="D4116" s="5" t="s">
        <v>120</v>
      </c>
      <c r="E4116" s="5" t="s">
        <v>117</v>
      </c>
      <c r="F4116" s="6" t="s">
        <v>680</v>
      </c>
      <c r="G4116" s="4" t="s">
        <v>1</v>
      </c>
      <c r="H4116" s="25">
        <v>30.36706689</v>
      </c>
      <c r="I4116" s="8">
        <v>0</v>
      </c>
      <c r="J4116" s="9">
        <v>3922</v>
      </c>
      <c r="K4116" s="7">
        <v>3922</v>
      </c>
      <c r="L4116" s="24">
        <f>+Tabla2[[#This Row],[Stock Inventario]]*Tabla2[[#This Row],[Coste LÃ­nea]]</f>
        <v>119099.63634258001</v>
      </c>
      <c r="M4116" s="24">
        <f>+Tabla2[[#This Row],[Variación Stock]]*Tabla2[[#This Row],[Coste LÃ­nea]]</f>
        <v>119099.63634258001</v>
      </c>
      <c r="N4116" s="22" t="str">
        <f>+IF(Tabla2[[#This Row],[Variación Stock]]&gt;0,"Sobrante",IF(Tabla2[[#This Row],[Variación Stock]]&lt;0,"Faltante","Sin novedad"))</f>
        <v>Sobrante</v>
      </c>
    </row>
    <row r="4117" spans="1:14" hidden="1" x14ac:dyDescent="0.25">
      <c r="A4117" s="11">
        <v>46053</v>
      </c>
      <c r="B4117" s="5" t="s">
        <v>1078</v>
      </c>
      <c r="C4117" s="3" t="s">
        <v>339</v>
      </c>
      <c r="D4117" s="5" t="s">
        <v>120</v>
      </c>
      <c r="E4117" s="5" t="s">
        <v>117</v>
      </c>
      <c r="F4117" s="6" t="s">
        <v>681</v>
      </c>
      <c r="G4117" s="4" t="s">
        <v>1</v>
      </c>
      <c r="H4117" s="25">
        <v>25.010719009999999</v>
      </c>
      <c r="I4117" s="8">
        <v>-5049</v>
      </c>
      <c r="J4117" s="9">
        <v>450</v>
      </c>
      <c r="K4117" s="7">
        <v>5499</v>
      </c>
      <c r="L4117" s="24">
        <f>+Tabla2[[#This Row],[Stock Inventario]]*Tabla2[[#This Row],[Coste LÃ­nea]]</f>
        <v>11254.823554499999</v>
      </c>
      <c r="M4117" s="24">
        <f>+Tabla2[[#This Row],[Variación Stock]]*Tabla2[[#This Row],[Coste LÃ­nea]]</f>
        <v>137533.94383599001</v>
      </c>
      <c r="N4117" s="22" t="str">
        <f>+IF(Tabla2[[#This Row],[Variación Stock]]&gt;0,"Sobrante",IF(Tabla2[[#This Row],[Variación Stock]]&lt;0,"Faltante","Sin novedad"))</f>
        <v>Sobrante</v>
      </c>
    </row>
    <row r="4118" spans="1:14" hidden="1" x14ac:dyDescent="0.25">
      <c r="A4118" s="11">
        <v>46053</v>
      </c>
      <c r="B4118" s="5" t="s">
        <v>1078</v>
      </c>
      <c r="C4118" s="3" t="s">
        <v>339</v>
      </c>
      <c r="D4118" s="5" t="s">
        <v>120</v>
      </c>
      <c r="E4118" s="5" t="s">
        <v>117</v>
      </c>
      <c r="F4118" s="6" t="s">
        <v>682</v>
      </c>
      <c r="G4118" s="4" t="s">
        <v>1</v>
      </c>
      <c r="H4118" s="25">
        <v>27.358149999999998</v>
      </c>
      <c r="I4118" s="8">
        <v>0</v>
      </c>
      <c r="J4118" s="9">
        <v>0</v>
      </c>
      <c r="K4118" s="7">
        <v>0</v>
      </c>
      <c r="L4118" s="24">
        <f>+Tabla2[[#This Row],[Stock Inventario]]*Tabla2[[#This Row],[Coste LÃ­nea]]</f>
        <v>0</v>
      </c>
      <c r="M4118" s="24">
        <f>+Tabla2[[#This Row],[Variación Stock]]*Tabla2[[#This Row],[Coste LÃ­nea]]</f>
        <v>0</v>
      </c>
      <c r="N4118" s="22" t="str">
        <f>+IF(Tabla2[[#This Row],[Variación Stock]]&gt;0,"Sobrante",IF(Tabla2[[#This Row],[Variación Stock]]&lt;0,"Faltante","Sin novedad"))</f>
        <v>Sin novedad</v>
      </c>
    </row>
    <row r="4119" spans="1:14" hidden="1" x14ac:dyDescent="0.25">
      <c r="A4119" s="11">
        <v>46053</v>
      </c>
      <c r="B4119" s="5" t="s">
        <v>1078</v>
      </c>
      <c r="C4119" s="3" t="s">
        <v>339</v>
      </c>
      <c r="D4119" s="5" t="s">
        <v>120</v>
      </c>
      <c r="E4119" s="5" t="s">
        <v>117</v>
      </c>
      <c r="F4119" s="6" t="s">
        <v>683</v>
      </c>
      <c r="G4119" s="4" t="s">
        <v>1</v>
      </c>
      <c r="H4119" s="25">
        <v>32.015888930000003</v>
      </c>
      <c r="I4119" s="8">
        <v>603</v>
      </c>
      <c r="J4119" s="9">
        <v>230</v>
      </c>
      <c r="K4119" s="7">
        <v>-373</v>
      </c>
      <c r="L4119" s="24">
        <f>+Tabla2[[#This Row],[Stock Inventario]]*Tabla2[[#This Row],[Coste LÃ­nea]]</f>
        <v>7363.6544539000006</v>
      </c>
      <c r="M4119" s="24">
        <f>+Tabla2[[#This Row],[Variación Stock]]*Tabla2[[#This Row],[Coste LÃ­nea]]</f>
        <v>-11941.92657089</v>
      </c>
      <c r="N4119" s="22" t="str">
        <f>+IF(Tabla2[[#This Row],[Variación Stock]]&gt;0,"Sobrante",IF(Tabla2[[#This Row],[Variación Stock]]&lt;0,"Faltante","Sin novedad"))</f>
        <v>Faltante</v>
      </c>
    </row>
    <row r="4120" spans="1:14" hidden="1" x14ac:dyDescent="0.25">
      <c r="A4120" s="11">
        <v>46053</v>
      </c>
      <c r="B4120" s="5" t="s">
        <v>1078</v>
      </c>
      <c r="C4120" s="3" t="s">
        <v>339</v>
      </c>
      <c r="D4120" s="5" t="s">
        <v>323</v>
      </c>
      <c r="E4120" s="5" t="s">
        <v>117</v>
      </c>
      <c r="F4120" s="6" t="s">
        <v>347</v>
      </c>
      <c r="G4120" s="4" t="s">
        <v>1</v>
      </c>
      <c r="H4120" s="25">
        <v>12.51466177</v>
      </c>
      <c r="I4120" s="8">
        <v>8105</v>
      </c>
      <c r="J4120" s="9">
        <v>3300</v>
      </c>
      <c r="K4120" s="7">
        <v>-4805</v>
      </c>
      <c r="L4120" s="24">
        <f>+Tabla2[[#This Row],[Stock Inventario]]*Tabla2[[#This Row],[Coste LÃ­nea]]</f>
        <v>41298.383841000003</v>
      </c>
      <c r="M4120" s="24">
        <f>+Tabla2[[#This Row],[Variación Stock]]*Tabla2[[#This Row],[Coste LÃ­nea]]</f>
        <v>-60132.949804850003</v>
      </c>
      <c r="N4120" s="22" t="str">
        <f>+IF(Tabla2[[#This Row],[Variación Stock]]&gt;0,"Sobrante",IF(Tabla2[[#This Row],[Variación Stock]]&lt;0,"Faltante","Sin novedad"))</f>
        <v>Faltante</v>
      </c>
    </row>
    <row r="4121" spans="1:14" x14ac:dyDescent="0.25">
      <c r="A4121" s="11">
        <v>46053</v>
      </c>
      <c r="B4121" s="5" t="s">
        <v>1078</v>
      </c>
      <c r="C4121" s="3" t="s">
        <v>339</v>
      </c>
      <c r="D4121" s="5" t="s">
        <v>121</v>
      </c>
      <c r="E4121" s="5" t="s">
        <v>112</v>
      </c>
      <c r="F4121" s="6" t="s">
        <v>783</v>
      </c>
      <c r="G4121" s="4" t="s">
        <v>1</v>
      </c>
      <c r="H4121" s="25">
        <v>4.0679999999999996</v>
      </c>
      <c r="I4121" s="8">
        <v>-29400</v>
      </c>
      <c r="J4121" s="9">
        <v>4200</v>
      </c>
      <c r="K4121" s="7">
        <v>33600</v>
      </c>
      <c r="L4121" s="24">
        <f>+Tabla2[[#This Row],[Stock Inventario]]*Tabla2[[#This Row],[Coste LÃ­nea]]</f>
        <v>17085.599999999999</v>
      </c>
      <c r="M4121" s="24">
        <f>+Tabla2[[#This Row],[Variación Stock]]*Tabla2[[#This Row],[Coste LÃ­nea]]</f>
        <v>136684.79999999999</v>
      </c>
      <c r="N4121" s="22" t="str">
        <f>+IF(Tabla2[[#This Row],[Variación Stock]]&gt;0,"Sobrante",IF(Tabla2[[#This Row],[Variación Stock]]&lt;0,"Faltante","Sin novedad"))</f>
        <v>Sobrante</v>
      </c>
    </row>
    <row r="4122" spans="1:14" x14ac:dyDescent="0.25">
      <c r="A4122" s="11">
        <v>46053</v>
      </c>
      <c r="B4122" s="5" t="s">
        <v>1078</v>
      </c>
      <c r="C4122" s="3" t="s">
        <v>339</v>
      </c>
      <c r="D4122" s="5" t="s">
        <v>121</v>
      </c>
      <c r="E4122" s="5" t="s">
        <v>112</v>
      </c>
      <c r="F4122" s="6" t="s">
        <v>835</v>
      </c>
      <c r="G4122" s="4" t="s">
        <v>1</v>
      </c>
      <c r="H4122" s="25">
        <v>6.9158522400000004</v>
      </c>
      <c r="I4122" s="8">
        <v>-13410</v>
      </c>
      <c r="J4122" s="9">
        <v>0</v>
      </c>
      <c r="K4122" s="7">
        <v>13410</v>
      </c>
      <c r="L4122" s="24">
        <f>+Tabla2[[#This Row],[Stock Inventario]]*Tabla2[[#This Row],[Coste LÃ­nea]]</f>
        <v>0</v>
      </c>
      <c r="M4122" s="24">
        <f>+Tabla2[[#This Row],[Variación Stock]]*Tabla2[[#This Row],[Coste LÃ­nea]]</f>
        <v>92741.578538400005</v>
      </c>
      <c r="N4122" s="22" t="str">
        <f>+IF(Tabla2[[#This Row],[Variación Stock]]&gt;0,"Sobrante",IF(Tabla2[[#This Row],[Variación Stock]]&lt;0,"Faltante","Sin novedad"))</f>
        <v>Sobrante</v>
      </c>
    </row>
    <row r="4123" spans="1:14" x14ac:dyDescent="0.25">
      <c r="A4123" s="11">
        <v>46053</v>
      </c>
      <c r="B4123" s="5" t="s">
        <v>1078</v>
      </c>
      <c r="C4123" s="3" t="s">
        <v>339</v>
      </c>
      <c r="D4123" s="5" t="s">
        <v>121</v>
      </c>
      <c r="E4123" s="5" t="s">
        <v>112</v>
      </c>
      <c r="F4123" s="6" t="s">
        <v>784</v>
      </c>
      <c r="G4123" s="4" t="s">
        <v>1</v>
      </c>
      <c r="H4123" s="25">
        <v>5.3544533300000001</v>
      </c>
      <c r="I4123" s="8">
        <v>-1155</v>
      </c>
      <c r="J4123" s="9">
        <v>0</v>
      </c>
      <c r="K4123" s="7">
        <v>1155</v>
      </c>
      <c r="L4123" s="24">
        <f>+Tabla2[[#This Row],[Stock Inventario]]*Tabla2[[#This Row],[Coste LÃ­nea]]</f>
        <v>0</v>
      </c>
      <c r="M4123" s="24">
        <f>+Tabla2[[#This Row],[Variación Stock]]*Tabla2[[#This Row],[Coste LÃ­nea]]</f>
        <v>6184.3935961500001</v>
      </c>
      <c r="N4123" s="22" t="str">
        <f>+IF(Tabla2[[#This Row],[Variación Stock]]&gt;0,"Sobrante",IF(Tabla2[[#This Row],[Variación Stock]]&lt;0,"Faltante","Sin novedad"))</f>
        <v>Sobrante</v>
      </c>
    </row>
    <row r="4124" spans="1:14" x14ac:dyDescent="0.25">
      <c r="A4124" s="11">
        <v>46053</v>
      </c>
      <c r="B4124" s="5" t="s">
        <v>1078</v>
      </c>
      <c r="C4124" s="3" t="s">
        <v>339</v>
      </c>
      <c r="D4124" s="5" t="s">
        <v>121</v>
      </c>
      <c r="E4124" s="5" t="s">
        <v>112</v>
      </c>
      <c r="F4124" s="6" t="s">
        <v>785</v>
      </c>
      <c r="G4124" s="4" t="s">
        <v>1</v>
      </c>
      <c r="H4124" s="25">
        <v>2.9635938500000001</v>
      </c>
      <c r="I4124" s="8">
        <v>3820</v>
      </c>
      <c r="J4124" s="9">
        <v>3304</v>
      </c>
      <c r="K4124" s="7">
        <v>-516</v>
      </c>
      <c r="L4124" s="24">
        <f>+Tabla2[[#This Row],[Stock Inventario]]*Tabla2[[#This Row],[Coste LÃ­nea]]</f>
        <v>9791.714080400001</v>
      </c>
      <c r="M4124" s="24">
        <f>+Tabla2[[#This Row],[Variación Stock]]*Tabla2[[#This Row],[Coste LÃ­nea]]</f>
        <v>-1529.2144266</v>
      </c>
      <c r="N4124" s="22" t="str">
        <f>+IF(Tabla2[[#This Row],[Variación Stock]]&gt;0,"Sobrante",IF(Tabla2[[#This Row],[Variación Stock]]&lt;0,"Faltante","Sin novedad"))</f>
        <v>Faltante</v>
      </c>
    </row>
    <row r="4125" spans="1:14" hidden="1" x14ac:dyDescent="0.25">
      <c r="A4125" s="11">
        <v>46053</v>
      </c>
      <c r="B4125" s="5" t="s">
        <v>1078</v>
      </c>
      <c r="C4125" s="3" t="s">
        <v>339</v>
      </c>
      <c r="D4125" s="5" t="s">
        <v>323</v>
      </c>
      <c r="E4125" s="5" t="s">
        <v>117</v>
      </c>
      <c r="F4125" s="6" t="s">
        <v>770</v>
      </c>
      <c r="G4125" s="4" t="s">
        <v>1</v>
      </c>
      <c r="H4125" s="25">
        <v>5.7526719999999996</v>
      </c>
      <c r="I4125" s="8">
        <v>-60</v>
      </c>
      <c r="J4125" s="9">
        <v>0</v>
      </c>
      <c r="K4125" s="7">
        <v>60</v>
      </c>
      <c r="L4125" s="24">
        <f>+Tabla2[[#This Row],[Stock Inventario]]*Tabla2[[#This Row],[Coste LÃ­nea]]</f>
        <v>0</v>
      </c>
      <c r="M4125" s="24">
        <f>+Tabla2[[#This Row],[Variación Stock]]*Tabla2[[#This Row],[Coste LÃ­nea]]</f>
        <v>345.16031999999996</v>
      </c>
      <c r="N4125" s="22" t="str">
        <f>+IF(Tabla2[[#This Row],[Variación Stock]]&gt;0,"Sobrante",IF(Tabla2[[#This Row],[Variación Stock]]&lt;0,"Faltante","Sin novedad"))</f>
        <v>Sobrante</v>
      </c>
    </row>
    <row r="4126" spans="1:14" x14ac:dyDescent="0.25">
      <c r="A4126" s="11">
        <v>46053</v>
      </c>
      <c r="B4126" s="5" t="s">
        <v>1078</v>
      </c>
      <c r="C4126" s="3" t="s">
        <v>339</v>
      </c>
      <c r="D4126" s="5" t="s">
        <v>121</v>
      </c>
      <c r="E4126" s="5" t="s">
        <v>112</v>
      </c>
      <c r="F4126" s="6" t="s">
        <v>786</v>
      </c>
      <c r="G4126" s="4" t="s">
        <v>1</v>
      </c>
      <c r="H4126" s="25">
        <v>12.08168</v>
      </c>
      <c r="I4126" s="8">
        <v>-4170</v>
      </c>
      <c r="J4126" s="9">
        <v>2740</v>
      </c>
      <c r="K4126" s="7">
        <v>6910</v>
      </c>
      <c r="L4126" s="24">
        <f>+Tabla2[[#This Row],[Stock Inventario]]*Tabla2[[#This Row],[Coste LÃ­nea]]</f>
        <v>33103.803200000002</v>
      </c>
      <c r="M4126" s="24">
        <f>+Tabla2[[#This Row],[Variación Stock]]*Tabla2[[#This Row],[Coste LÃ­nea]]</f>
        <v>83484.408800000005</v>
      </c>
      <c r="N4126" s="22" t="str">
        <f>+IF(Tabla2[[#This Row],[Variación Stock]]&gt;0,"Sobrante",IF(Tabla2[[#This Row],[Variación Stock]]&lt;0,"Faltante","Sin novedad"))</f>
        <v>Sobrante</v>
      </c>
    </row>
    <row r="4127" spans="1:14" x14ac:dyDescent="0.25">
      <c r="A4127" s="11">
        <v>46053</v>
      </c>
      <c r="B4127" s="5" t="s">
        <v>1078</v>
      </c>
      <c r="C4127" s="3" t="s">
        <v>339</v>
      </c>
      <c r="D4127" s="5" t="s">
        <v>121</v>
      </c>
      <c r="E4127" s="5" t="s">
        <v>112</v>
      </c>
      <c r="F4127" s="6" t="s">
        <v>787</v>
      </c>
      <c r="G4127" s="4" t="s">
        <v>1</v>
      </c>
      <c r="H4127" s="25">
        <v>20.683798719999999</v>
      </c>
      <c r="I4127" s="8">
        <v>40</v>
      </c>
      <c r="J4127" s="9">
        <v>250</v>
      </c>
      <c r="K4127" s="7">
        <v>210</v>
      </c>
      <c r="L4127" s="24">
        <f>+Tabla2[[#This Row],[Stock Inventario]]*Tabla2[[#This Row],[Coste LÃ­nea]]</f>
        <v>5170.9496799999997</v>
      </c>
      <c r="M4127" s="24">
        <f>+Tabla2[[#This Row],[Variación Stock]]*Tabla2[[#This Row],[Coste LÃ­nea]]</f>
        <v>4343.5977311999995</v>
      </c>
      <c r="N4127" s="22" t="str">
        <f>+IF(Tabla2[[#This Row],[Variación Stock]]&gt;0,"Sobrante",IF(Tabla2[[#This Row],[Variación Stock]]&lt;0,"Faltante","Sin novedad"))</f>
        <v>Sobrante</v>
      </c>
    </row>
    <row r="4128" spans="1:14" x14ac:dyDescent="0.25">
      <c r="A4128" s="11">
        <v>46053</v>
      </c>
      <c r="B4128" s="5" t="s">
        <v>1078</v>
      </c>
      <c r="C4128" s="3" t="s">
        <v>339</v>
      </c>
      <c r="D4128" s="5" t="s">
        <v>121</v>
      </c>
      <c r="E4128" s="5" t="s">
        <v>112</v>
      </c>
      <c r="F4128" s="6" t="s">
        <v>788</v>
      </c>
      <c r="G4128" s="4" t="s">
        <v>1</v>
      </c>
      <c r="H4128" s="25">
        <v>3.8775692300000002</v>
      </c>
      <c r="I4128" s="8">
        <v>2645</v>
      </c>
      <c r="J4128" s="9">
        <v>1804</v>
      </c>
      <c r="K4128" s="7">
        <v>-841</v>
      </c>
      <c r="L4128" s="24">
        <f>+Tabla2[[#This Row],[Stock Inventario]]*Tabla2[[#This Row],[Coste LÃ­nea]]</f>
        <v>6995.1348909200005</v>
      </c>
      <c r="M4128" s="24">
        <f>+Tabla2[[#This Row],[Variación Stock]]*Tabla2[[#This Row],[Coste LÃ­nea]]</f>
        <v>-3261.0357224300001</v>
      </c>
      <c r="N4128" s="22" t="str">
        <f>+IF(Tabla2[[#This Row],[Variación Stock]]&gt;0,"Sobrante",IF(Tabla2[[#This Row],[Variación Stock]]&lt;0,"Faltante","Sin novedad"))</f>
        <v>Faltante</v>
      </c>
    </row>
    <row r="4129" spans="1:14" x14ac:dyDescent="0.25">
      <c r="A4129" s="11">
        <v>46053</v>
      </c>
      <c r="B4129" s="5" t="s">
        <v>1078</v>
      </c>
      <c r="C4129" s="3" t="s">
        <v>339</v>
      </c>
      <c r="D4129" s="5" t="s">
        <v>121</v>
      </c>
      <c r="E4129" s="5" t="s">
        <v>112</v>
      </c>
      <c r="F4129" s="6" t="s">
        <v>789</v>
      </c>
      <c r="G4129" s="4" t="s">
        <v>1</v>
      </c>
      <c r="H4129" s="25">
        <v>28.178271890000001</v>
      </c>
      <c r="I4129" s="8">
        <v>-220</v>
      </c>
      <c r="J4129" s="9">
        <v>1356</v>
      </c>
      <c r="K4129" s="7">
        <v>1576</v>
      </c>
      <c r="L4129" s="24">
        <f>+Tabla2[[#This Row],[Stock Inventario]]*Tabla2[[#This Row],[Coste LÃ­nea]]</f>
        <v>38209.736682840005</v>
      </c>
      <c r="M4129" s="24">
        <f>+Tabla2[[#This Row],[Variación Stock]]*Tabla2[[#This Row],[Coste LÃ­nea]]</f>
        <v>44408.95649864</v>
      </c>
      <c r="N4129" s="22" t="str">
        <f>+IF(Tabla2[[#This Row],[Variación Stock]]&gt;0,"Sobrante",IF(Tabla2[[#This Row],[Variación Stock]]&lt;0,"Faltante","Sin novedad"))</f>
        <v>Sobrante</v>
      </c>
    </row>
    <row r="4130" spans="1:14" x14ac:dyDescent="0.25">
      <c r="A4130" s="11">
        <v>46053</v>
      </c>
      <c r="B4130" s="5" t="s">
        <v>1078</v>
      </c>
      <c r="C4130" s="3" t="s">
        <v>339</v>
      </c>
      <c r="D4130" s="5" t="s">
        <v>121</v>
      </c>
      <c r="E4130" s="5" t="s">
        <v>112</v>
      </c>
      <c r="F4130" s="6" t="s">
        <v>790</v>
      </c>
      <c r="G4130" s="4" t="s">
        <v>1</v>
      </c>
      <c r="H4130" s="25">
        <v>5.64667429</v>
      </c>
      <c r="I4130" s="8">
        <v>-8100</v>
      </c>
      <c r="J4130" s="9">
        <v>0</v>
      </c>
      <c r="K4130" s="7">
        <v>8100</v>
      </c>
      <c r="L4130" s="24">
        <f>+Tabla2[[#This Row],[Stock Inventario]]*Tabla2[[#This Row],[Coste LÃ­nea]]</f>
        <v>0</v>
      </c>
      <c r="M4130" s="24">
        <f>+Tabla2[[#This Row],[Variación Stock]]*Tabla2[[#This Row],[Coste LÃ­nea]]</f>
        <v>45738.061749</v>
      </c>
      <c r="N4130" s="22" t="str">
        <f>+IF(Tabla2[[#This Row],[Variación Stock]]&gt;0,"Sobrante",IF(Tabla2[[#This Row],[Variación Stock]]&lt;0,"Faltante","Sin novedad"))</f>
        <v>Sobrante</v>
      </c>
    </row>
    <row r="4131" spans="1:14" hidden="1" x14ac:dyDescent="0.25">
      <c r="A4131" s="11">
        <v>46053</v>
      </c>
      <c r="B4131" s="5" t="s">
        <v>1078</v>
      </c>
      <c r="C4131" s="3" t="s">
        <v>339</v>
      </c>
      <c r="D4131" s="5" t="s">
        <v>120</v>
      </c>
      <c r="E4131" s="5" t="s">
        <v>117</v>
      </c>
      <c r="F4131" s="6" t="s">
        <v>684</v>
      </c>
      <c r="G4131" s="4" t="s">
        <v>2</v>
      </c>
      <c r="H4131" s="25">
        <v>260.61510199000003</v>
      </c>
      <c r="I4131" s="8">
        <v>0</v>
      </c>
      <c r="J4131" s="9">
        <v>0</v>
      </c>
      <c r="K4131" s="7">
        <v>0</v>
      </c>
      <c r="L4131" s="24">
        <f>+Tabla2[[#This Row],[Stock Inventario]]*Tabla2[[#This Row],[Coste LÃ­nea]]</f>
        <v>0</v>
      </c>
      <c r="M4131" s="24">
        <f>+Tabla2[[#This Row],[Variación Stock]]*Tabla2[[#This Row],[Coste LÃ­nea]]</f>
        <v>0</v>
      </c>
      <c r="N4131" s="22" t="str">
        <f>+IF(Tabla2[[#This Row],[Variación Stock]]&gt;0,"Sobrante",IF(Tabla2[[#This Row],[Variación Stock]]&lt;0,"Faltante","Sin novedad"))</f>
        <v>Sin novedad</v>
      </c>
    </row>
    <row r="4132" spans="1:14" hidden="1" x14ac:dyDescent="0.25">
      <c r="A4132" s="11">
        <v>46053</v>
      </c>
      <c r="B4132" s="5" t="s">
        <v>1078</v>
      </c>
      <c r="C4132" s="3" t="s">
        <v>339</v>
      </c>
      <c r="D4132" s="5" t="s">
        <v>120</v>
      </c>
      <c r="E4132" s="5" t="s">
        <v>117</v>
      </c>
      <c r="F4132" s="6" t="s">
        <v>685</v>
      </c>
      <c r="G4132" s="4" t="s">
        <v>1</v>
      </c>
      <c r="H4132" s="25">
        <v>4.0698580900000003</v>
      </c>
      <c r="I4132" s="8">
        <v>-175105</v>
      </c>
      <c r="J4132" s="9">
        <v>7020</v>
      </c>
      <c r="K4132" s="7">
        <v>182125</v>
      </c>
      <c r="L4132" s="24">
        <f>+Tabla2[[#This Row],[Stock Inventario]]*Tabla2[[#This Row],[Coste LÃ­nea]]</f>
        <v>28570.403791800003</v>
      </c>
      <c r="M4132" s="24">
        <f>+Tabla2[[#This Row],[Variación Stock]]*Tabla2[[#This Row],[Coste LÃ­nea]]</f>
        <v>741222.90464125003</v>
      </c>
      <c r="N4132" s="22" t="str">
        <f>+IF(Tabla2[[#This Row],[Variación Stock]]&gt;0,"Sobrante",IF(Tabla2[[#This Row],[Variación Stock]]&lt;0,"Faltante","Sin novedad"))</f>
        <v>Sobrante</v>
      </c>
    </row>
    <row r="4133" spans="1:14" hidden="1" x14ac:dyDescent="0.25">
      <c r="A4133" s="11">
        <v>46053</v>
      </c>
      <c r="B4133" s="5" t="s">
        <v>1078</v>
      </c>
      <c r="C4133" s="3" t="s">
        <v>339</v>
      </c>
      <c r="D4133" s="5" t="s">
        <v>120</v>
      </c>
      <c r="E4133" s="5" t="s">
        <v>117</v>
      </c>
      <c r="F4133" s="6" t="s">
        <v>686</v>
      </c>
      <c r="G4133" s="4" t="s">
        <v>1</v>
      </c>
      <c r="H4133" s="25">
        <v>0.80859347000000004</v>
      </c>
      <c r="I4133" s="8">
        <v>-495</v>
      </c>
      <c r="J4133" s="9">
        <v>0</v>
      </c>
      <c r="K4133" s="7">
        <v>495</v>
      </c>
      <c r="L4133" s="24">
        <f>+Tabla2[[#This Row],[Stock Inventario]]*Tabla2[[#This Row],[Coste LÃ­nea]]</f>
        <v>0</v>
      </c>
      <c r="M4133" s="24">
        <f>+Tabla2[[#This Row],[Variación Stock]]*Tabla2[[#This Row],[Coste LÃ­nea]]</f>
        <v>400.25376765000004</v>
      </c>
      <c r="N4133" s="22" t="str">
        <f>+IF(Tabla2[[#This Row],[Variación Stock]]&gt;0,"Sobrante",IF(Tabla2[[#This Row],[Variación Stock]]&lt;0,"Faltante","Sin novedad"))</f>
        <v>Sobrante</v>
      </c>
    </row>
    <row r="4134" spans="1:14" hidden="1" x14ac:dyDescent="0.25">
      <c r="A4134" s="11">
        <v>46053</v>
      </c>
      <c r="B4134" s="5" t="s">
        <v>1078</v>
      </c>
      <c r="C4134" s="3" t="s">
        <v>339</v>
      </c>
      <c r="D4134" s="5" t="s">
        <v>120</v>
      </c>
      <c r="E4134" s="5" t="s">
        <v>117</v>
      </c>
      <c r="F4134" s="6" t="s">
        <v>687</v>
      </c>
      <c r="G4134" s="4" t="s">
        <v>1</v>
      </c>
      <c r="H4134" s="25">
        <v>5.91968519</v>
      </c>
      <c r="I4134" s="8">
        <v>28645</v>
      </c>
      <c r="J4134" s="9">
        <v>0</v>
      </c>
      <c r="K4134" s="7">
        <v>-28645</v>
      </c>
      <c r="L4134" s="24">
        <f>+Tabla2[[#This Row],[Stock Inventario]]*Tabla2[[#This Row],[Coste LÃ­nea]]</f>
        <v>0</v>
      </c>
      <c r="M4134" s="24">
        <f>+Tabla2[[#This Row],[Variación Stock]]*Tabla2[[#This Row],[Coste LÃ­nea]]</f>
        <v>-169569.38226755001</v>
      </c>
      <c r="N4134" s="22" t="str">
        <f>+IF(Tabla2[[#This Row],[Variación Stock]]&gt;0,"Sobrante",IF(Tabla2[[#This Row],[Variación Stock]]&lt;0,"Faltante","Sin novedad"))</f>
        <v>Faltante</v>
      </c>
    </row>
    <row r="4135" spans="1:14" hidden="1" x14ac:dyDescent="0.25">
      <c r="A4135" s="11">
        <v>46053</v>
      </c>
      <c r="B4135" s="5" t="s">
        <v>1078</v>
      </c>
      <c r="C4135" s="3" t="s">
        <v>339</v>
      </c>
      <c r="D4135" s="5" t="s">
        <v>120</v>
      </c>
      <c r="E4135" s="5" t="s">
        <v>117</v>
      </c>
      <c r="F4135" s="6" t="s">
        <v>688</v>
      </c>
      <c r="G4135" s="4" t="s">
        <v>1</v>
      </c>
      <c r="H4135" s="25">
        <v>10.55083286</v>
      </c>
      <c r="I4135" s="8">
        <v>8804</v>
      </c>
      <c r="J4135" s="9">
        <v>2716</v>
      </c>
      <c r="K4135" s="7">
        <v>-6088</v>
      </c>
      <c r="L4135" s="24">
        <f>+Tabla2[[#This Row],[Stock Inventario]]*Tabla2[[#This Row],[Coste LÃ­nea]]</f>
        <v>28656.062047759999</v>
      </c>
      <c r="M4135" s="24">
        <f>+Tabla2[[#This Row],[Variación Stock]]*Tabla2[[#This Row],[Coste LÃ­nea]]</f>
        <v>-64233.470451679997</v>
      </c>
      <c r="N4135" s="22" t="str">
        <f>+IF(Tabla2[[#This Row],[Variación Stock]]&gt;0,"Sobrante",IF(Tabla2[[#This Row],[Variación Stock]]&lt;0,"Faltante","Sin novedad"))</f>
        <v>Faltante</v>
      </c>
    </row>
    <row r="4136" spans="1:14" hidden="1" x14ac:dyDescent="0.25">
      <c r="A4136" s="11">
        <v>46053</v>
      </c>
      <c r="B4136" s="5" t="s">
        <v>1078</v>
      </c>
      <c r="C4136" s="3" t="s">
        <v>339</v>
      </c>
      <c r="D4136" s="5" t="s">
        <v>323</v>
      </c>
      <c r="E4136" s="5" t="s">
        <v>117</v>
      </c>
      <c r="F4136" s="6" t="s">
        <v>771</v>
      </c>
      <c r="G4136" s="4" t="s">
        <v>1</v>
      </c>
      <c r="H4136" s="25">
        <v>14.203966660000001</v>
      </c>
      <c r="I4136" s="8">
        <v>-368</v>
      </c>
      <c r="J4136" s="9">
        <v>2130</v>
      </c>
      <c r="K4136" s="7">
        <v>2498</v>
      </c>
      <c r="L4136" s="24">
        <f>+Tabla2[[#This Row],[Stock Inventario]]*Tabla2[[#This Row],[Coste LÃ­nea]]</f>
        <v>30254.448985800002</v>
      </c>
      <c r="M4136" s="24">
        <f>+Tabla2[[#This Row],[Variación Stock]]*Tabla2[[#This Row],[Coste LÃ­nea]]</f>
        <v>35481.50871668</v>
      </c>
      <c r="N4136" s="22" t="str">
        <f>+IF(Tabla2[[#This Row],[Variación Stock]]&gt;0,"Sobrante",IF(Tabla2[[#This Row],[Variación Stock]]&lt;0,"Faltante","Sin novedad"))</f>
        <v>Sobrante</v>
      </c>
    </row>
    <row r="4137" spans="1:14" hidden="1" x14ac:dyDescent="0.25">
      <c r="A4137" s="11">
        <v>46053</v>
      </c>
      <c r="B4137" s="5" t="s">
        <v>1078</v>
      </c>
      <c r="C4137" s="3" t="s">
        <v>339</v>
      </c>
      <c r="D4137" s="5" t="s">
        <v>120</v>
      </c>
      <c r="E4137" s="5" t="s">
        <v>117</v>
      </c>
      <c r="F4137" s="6" t="s">
        <v>312</v>
      </c>
      <c r="G4137" s="4" t="s">
        <v>1</v>
      </c>
      <c r="H4137" s="25">
        <v>83.749250000000004</v>
      </c>
      <c r="I4137" s="8">
        <v>232</v>
      </c>
      <c r="J4137" s="9">
        <v>1530</v>
      </c>
      <c r="K4137" s="7">
        <v>1298</v>
      </c>
      <c r="L4137" s="24">
        <f>+Tabla2[[#This Row],[Stock Inventario]]*Tabla2[[#This Row],[Coste LÃ­nea]]</f>
        <v>128136.35250000001</v>
      </c>
      <c r="M4137" s="24">
        <f>+Tabla2[[#This Row],[Variación Stock]]*Tabla2[[#This Row],[Coste LÃ­nea]]</f>
        <v>108706.52650000001</v>
      </c>
      <c r="N4137" s="22" t="str">
        <f>+IF(Tabla2[[#This Row],[Variación Stock]]&gt;0,"Sobrante",IF(Tabla2[[#This Row],[Variación Stock]]&lt;0,"Faltante","Sin novedad"))</f>
        <v>Sobrante</v>
      </c>
    </row>
    <row r="4138" spans="1:14" hidden="1" x14ac:dyDescent="0.25">
      <c r="A4138" s="11">
        <v>46053</v>
      </c>
      <c r="B4138" s="5" t="s">
        <v>1078</v>
      </c>
      <c r="C4138" s="3" t="s">
        <v>339</v>
      </c>
      <c r="D4138" s="5" t="s">
        <v>323</v>
      </c>
      <c r="E4138" s="5" t="s">
        <v>117</v>
      </c>
      <c r="F4138" s="6" t="s">
        <v>772</v>
      </c>
      <c r="G4138" s="4" t="s">
        <v>2</v>
      </c>
      <c r="H4138" s="25">
        <v>7.9000060000000003</v>
      </c>
      <c r="I4138" s="8">
        <v>0</v>
      </c>
      <c r="J4138" s="9">
        <v>0</v>
      </c>
      <c r="K4138" s="7">
        <v>0</v>
      </c>
      <c r="L4138" s="24">
        <f>+Tabla2[[#This Row],[Stock Inventario]]*Tabla2[[#This Row],[Coste LÃ­nea]]</f>
        <v>0</v>
      </c>
      <c r="M4138" s="24">
        <f>+Tabla2[[#This Row],[Variación Stock]]*Tabla2[[#This Row],[Coste LÃ­nea]]</f>
        <v>0</v>
      </c>
      <c r="N4138" s="22" t="str">
        <f>+IF(Tabla2[[#This Row],[Variación Stock]]&gt;0,"Sobrante",IF(Tabla2[[#This Row],[Variación Stock]]&lt;0,"Faltante","Sin novedad"))</f>
        <v>Sin novedad</v>
      </c>
    </row>
    <row r="4139" spans="1:14" hidden="1" x14ac:dyDescent="0.25">
      <c r="A4139" s="11">
        <v>46053</v>
      </c>
      <c r="B4139" s="5" t="s">
        <v>1078</v>
      </c>
      <c r="C4139" s="3" t="s">
        <v>339</v>
      </c>
      <c r="D4139" s="5" t="s">
        <v>120</v>
      </c>
      <c r="E4139" s="5" t="s">
        <v>117</v>
      </c>
      <c r="F4139" s="6" t="s">
        <v>689</v>
      </c>
      <c r="G4139" s="4" t="s">
        <v>1</v>
      </c>
      <c r="H4139" s="25">
        <v>12.4006852</v>
      </c>
      <c r="I4139" s="8">
        <v>25968</v>
      </c>
      <c r="J4139" s="9">
        <v>120</v>
      </c>
      <c r="K4139" s="7">
        <v>-25848</v>
      </c>
      <c r="L4139" s="24">
        <f>+Tabla2[[#This Row],[Stock Inventario]]*Tabla2[[#This Row],[Coste LÃ­nea]]</f>
        <v>1488.082224</v>
      </c>
      <c r="M4139" s="24">
        <f>+Tabla2[[#This Row],[Variación Stock]]*Tabla2[[#This Row],[Coste LÃ­nea]]</f>
        <v>-320532.91104959999</v>
      </c>
      <c r="N4139" s="22" t="str">
        <f>+IF(Tabla2[[#This Row],[Variación Stock]]&gt;0,"Sobrante",IF(Tabla2[[#This Row],[Variación Stock]]&lt;0,"Faltante","Sin novedad"))</f>
        <v>Faltante</v>
      </c>
    </row>
    <row r="4140" spans="1:14" hidden="1" x14ac:dyDescent="0.25">
      <c r="A4140" s="11">
        <v>46053</v>
      </c>
      <c r="B4140" s="5" t="s">
        <v>1078</v>
      </c>
      <c r="C4140" s="3" t="s">
        <v>339</v>
      </c>
      <c r="D4140" s="5" t="s">
        <v>323</v>
      </c>
      <c r="E4140" s="5" t="s">
        <v>117</v>
      </c>
      <c r="F4140" s="6" t="s">
        <v>780</v>
      </c>
      <c r="G4140" s="4" t="s">
        <v>1</v>
      </c>
      <c r="H4140" s="25">
        <v>16.683164909999999</v>
      </c>
      <c r="I4140" s="8">
        <v>583</v>
      </c>
      <c r="J4140" s="9">
        <v>928</v>
      </c>
      <c r="K4140" s="7">
        <v>345</v>
      </c>
      <c r="L4140" s="24">
        <f>+Tabla2[[#This Row],[Stock Inventario]]*Tabla2[[#This Row],[Coste LÃ­nea]]</f>
        <v>15481.977036479999</v>
      </c>
      <c r="M4140" s="24">
        <f>+Tabla2[[#This Row],[Variación Stock]]*Tabla2[[#This Row],[Coste LÃ­nea]]</f>
        <v>5755.6918939499992</v>
      </c>
      <c r="N4140" s="22" t="str">
        <f>+IF(Tabla2[[#This Row],[Variación Stock]]&gt;0,"Sobrante",IF(Tabla2[[#This Row],[Variación Stock]]&lt;0,"Faltante","Sin novedad"))</f>
        <v>Sobrante</v>
      </c>
    </row>
    <row r="4141" spans="1:14" hidden="1" x14ac:dyDescent="0.25">
      <c r="A4141" s="11">
        <v>46053</v>
      </c>
      <c r="B4141" s="5" t="s">
        <v>1078</v>
      </c>
      <c r="C4141" s="3" t="s">
        <v>339</v>
      </c>
      <c r="D4141" s="5" t="s">
        <v>120</v>
      </c>
      <c r="E4141" s="5" t="s">
        <v>117</v>
      </c>
      <c r="F4141" s="6" t="s">
        <v>690</v>
      </c>
      <c r="G4141" s="4" t="s">
        <v>1</v>
      </c>
      <c r="H4141" s="25">
        <v>12.96927698</v>
      </c>
      <c r="I4141" s="8">
        <v>5337</v>
      </c>
      <c r="J4141" s="9">
        <v>1846</v>
      </c>
      <c r="K4141" s="7">
        <v>-3491</v>
      </c>
      <c r="L4141" s="24">
        <f>+Tabla2[[#This Row],[Stock Inventario]]*Tabla2[[#This Row],[Coste LÃ­nea]]</f>
        <v>23941.28530508</v>
      </c>
      <c r="M4141" s="24">
        <f>+Tabla2[[#This Row],[Variación Stock]]*Tabla2[[#This Row],[Coste LÃ­nea]]</f>
        <v>-45275.74593718</v>
      </c>
      <c r="N4141" s="22" t="str">
        <f>+IF(Tabla2[[#This Row],[Variación Stock]]&gt;0,"Sobrante",IF(Tabla2[[#This Row],[Variación Stock]]&lt;0,"Faltante","Sin novedad"))</f>
        <v>Faltante</v>
      </c>
    </row>
    <row r="4142" spans="1:14" hidden="1" x14ac:dyDescent="0.25">
      <c r="A4142" s="11">
        <v>46053</v>
      </c>
      <c r="B4142" s="5" t="s">
        <v>1078</v>
      </c>
      <c r="C4142" s="3" t="s">
        <v>339</v>
      </c>
      <c r="D4142" s="5" t="s">
        <v>120</v>
      </c>
      <c r="E4142" s="5" t="s">
        <v>117</v>
      </c>
      <c r="F4142" s="6" t="s">
        <v>691</v>
      </c>
      <c r="G4142" s="4" t="s">
        <v>1</v>
      </c>
      <c r="H4142" s="25">
        <v>13.132463810000001</v>
      </c>
      <c r="I4142" s="8">
        <v>0</v>
      </c>
      <c r="J4142" s="9">
        <v>0</v>
      </c>
      <c r="K4142" s="7">
        <v>0</v>
      </c>
      <c r="L4142" s="24">
        <f>+Tabla2[[#This Row],[Stock Inventario]]*Tabla2[[#This Row],[Coste LÃ­nea]]</f>
        <v>0</v>
      </c>
      <c r="M4142" s="24">
        <f>+Tabla2[[#This Row],[Variación Stock]]*Tabla2[[#This Row],[Coste LÃ­nea]]</f>
        <v>0</v>
      </c>
      <c r="N4142" s="22" t="str">
        <f>+IF(Tabla2[[#This Row],[Variación Stock]]&gt;0,"Sobrante",IF(Tabla2[[#This Row],[Variación Stock]]&lt;0,"Faltante","Sin novedad"))</f>
        <v>Sin novedad</v>
      </c>
    </row>
    <row r="4143" spans="1:14" hidden="1" x14ac:dyDescent="0.25">
      <c r="A4143" s="11">
        <v>46053</v>
      </c>
      <c r="B4143" s="5" t="s">
        <v>1078</v>
      </c>
      <c r="C4143" s="3" t="s">
        <v>339</v>
      </c>
      <c r="D4143" s="5" t="s">
        <v>120</v>
      </c>
      <c r="E4143" s="5" t="s">
        <v>117</v>
      </c>
      <c r="F4143" s="6" t="s">
        <v>313</v>
      </c>
      <c r="G4143" s="4" t="s">
        <v>1</v>
      </c>
      <c r="H4143" s="25">
        <v>38.54204695</v>
      </c>
      <c r="I4143" s="8">
        <v>4347</v>
      </c>
      <c r="J4143" s="9">
        <v>606</v>
      </c>
      <c r="K4143" s="7">
        <v>-3741</v>
      </c>
      <c r="L4143" s="24">
        <f>+Tabla2[[#This Row],[Stock Inventario]]*Tabla2[[#This Row],[Coste LÃ­nea]]</f>
        <v>23356.480451700001</v>
      </c>
      <c r="M4143" s="24">
        <f>+Tabla2[[#This Row],[Variación Stock]]*Tabla2[[#This Row],[Coste LÃ­nea]]</f>
        <v>-144185.79763995</v>
      </c>
      <c r="N4143" s="22" t="str">
        <f>+IF(Tabla2[[#This Row],[Variación Stock]]&gt;0,"Sobrante",IF(Tabla2[[#This Row],[Variación Stock]]&lt;0,"Faltante","Sin novedad"))</f>
        <v>Faltante</v>
      </c>
    </row>
    <row r="4144" spans="1:14" hidden="1" x14ac:dyDescent="0.25">
      <c r="A4144" s="11">
        <v>46053</v>
      </c>
      <c r="B4144" s="5" t="s">
        <v>1078</v>
      </c>
      <c r="C4144" s="3" t="s">
        <v>339</v>
      </c>
      <c r="D4144" s="5" t="s">
        <v>120</v>
      </c>
      <c r="E4144" s="5" t="s">
        <v>117</v>
      </c>
      <c r="F4144" s="6" t="s">
        <v>692</v>
      </c>
      <c r="G4144" s="4" t="s">
        <v>1</v>
      </c>
      <c r="H4144" s="25">
        <v>12.5218083</v>
      </c>
      <c r="I4144" s="8">
        <v>0</v>
      </c>
      <c r="J4144" s="9">
        <v>0</v>
      </c>
      <c r="K4144" s="7">
        <v>0</v>
      </c>
      <c r="L4144" s="24">
        <f>+Tabla2[[#This Row],[Stock Inventario]]*Tabla2[[#This Row],[Coste LÃ­nea]]</f>
        <v>0</v>
      </c>
      <c r="M4144" s="24">
        <f>+Tabla2[[#This Row],[Variación Stock]]*Tabla2[[#This Row],[Coste LÃ­nea]]</f>
        <v>0</v>
      </c>
      <c r="N4144" s="22" t="str">
        <f>+IF(Tabla2[[#This Row],[Variación Stock]]&gt;0,"Sobrante",IF(Tabla2[[#This Row],[Variación Stock]]&lt;0,"Faltante","Sin novedad"))</f>
        <v>Sin novedad</v>
      </c>
    </row>
    <row r="4145" spans="1:14" hidden="1" x14ac:dyDescent="0.25">
      <c r="A4145" s="11">
        <v>46053</v>
      </c>
      <c r="B4145" s="5" t="s">
        <v>1078</v>
      </c>
      <c r="C4145" s="3" t="s">
        <v>339</v>
      </c>
      <c r="D4145" s="5" t="s">
        <v>120</v>
      </c>
      <c r="E4145" s="5" t="s">
        <v>117</v>
      </c>
      <c r="F4145" s="6" t="s">
        <v>693</v>
      </c>
      <c r="G4145" s="4" t="s">
        <v>1</v>
      </c>
      <c r="H4145" s="25">
        <v>9.3004967000000001</v>
      </c>
      <c r="I4145" s="8">
        <v>19075</v>
      </c>
      <c r="J4145" s="9">
        <v>1928</v>
      </c>
      <c r="K4145" s="7">
        <v>-17147</v>
      </c>
      <c r="L4145" s="24">
        <f>+Tabla2[[#This Row],[Stock Inventario]]*Tabla2[[#This Row],[Coste LÃ­nea]]</f>
        <v>17931.357637600002</v>
      </c>
      <c r="M4145" s="24">
        <f>+Tabla2[[#This Row],[Variación Stock]]*Tabla2[[#This Row],[Coste LÃ­nea]]</f>
        <v>-159475.61691489999</v>
      </c>
      <c r="N4145" s="22" t="str">
        <f>+IF(Tabla2[[#This Row],[Variación Stock]]&gt;0,"Sobrante",IF(Tabla2[[#This Row],[Variación Stock]]&lt;0,"Faltante","Sin novedad"))</f>
        <v>Faltante</v>
      </c>
    </row>
    <row r="4146" spans="1:14" hidden="1" x14ac:dyDescent="0.25">
      <c r="A4146" s="11">
        <v>46053</v>
      </c>
      <c r="B4146" s="5" t="s">
        <v>1078</v>
      </c>
      <c r="C4146" s="3" t="s">
        <v>339</v>
      </c>
      <c r="D4146" s="5" t="s">
        <v>323</v>
      </c>
      <c r="E4146" s="5" t="s">
        <v>117</v>
      </c>
      <c r="F4146" s="6" t="s">
        <v>324</v>
      </c>
      <c r="G4146" s="4" t="s">
        <v>2</v>
      </c>
      <c r="H4146" s="25">
        <v>4832.9288793100004</v>
      </c>
      <c r="I4146" s="8">
        <v>16</v>
      </c>
      <c r="J4146" s="9">
        <v>15</v>
      </c>
      <c r="K4146" s="7">
        <v>-1</v>
      </c>
      <c r="L4146" s="24">
        <f>+Tabla2[[#This Row],[Stock Inventario]]*Tabla2[[#This Row],[Coste LÃ­nea]]</f>
        <v>72493.933189650008</v>
      </c>
      <c r="M4146" s="24">
        <f>+Tabla2[[#This Row],[Variación Stock]]*Tabla2[[#This Row],[Coste LÃ­nea]]</f>
        <v>-4832.9288793100004</v>
      </c>
      <c r="N4146" s="22" t="str">
        <f>+IF(Tabla2[[#This Row],[Variación Stock]]&gt;0,"Sobrante",IF(Tabla2[[#This Row],[Variación Stock]]&lt;0,"Faltante","Sin novedad"))</f>
        <v>Faltante</v>
      </c>
    </row>
    <row r="4147" spans="1:14" hidden="1" x14ac:dyDescent="0.25">
      <c r="A4147" s="11">
        <v>46053</v>
      </c>
      <c r="B4147" s="5" t="s">
        <v>1078</v>
      </c>
      <c r="C4147" s="3" t="s">
        <v>339</v>
      </c>
      <c r="D4147" s="5" t="s">
        <v>120</v>
      </c>
      <c r="E4147" s="5" t="s">
        <v>117</v>
      </c>
      <c r="F4147" s="6" t="s">
        <v>261</v>
      </c>
      <c r="G4147" s="4" t="s">
        <v>2</v>
      </c>
      <c r="H4147" s="25">
        <v>3795.1097861200001</v>
      </c>
      <c r="I4147" s="8">
        <v>0</v>
      </c>
      <c r="J4147" s="9">
        <v>0</v>
      </c>
      <c r="K4147" s="7">
        <v>0</v>
      </c>
      <c r="L4147" s="24">
        <f>+Tabla2[[#This Row],[Stock Inventario]]*Tabla2[[#This Row],[Coste LÃ­nea]]</f>
        <v>0</v>
      </c>
      <c r="M4147" s="24">
        <f>+Tabla2[[#This Row],[Variación Stock]]*Tabla2[[#This Row],[Coste LÃ­nea]]</f>
        <v>0</v>
      </c>
      <c r="N4147" s="22" t="str">
        <f>+IF(Tabla2[[#This Row],[Variación Stock]]&gt;0,"Sobrante",IF(Tabla2[[#This Row],[Variación Stock]]&lt;0,"Faltante","Sin novedad"))</f>
        <v>Sin novedad</v>
      </c>
    </row>
    <row r="4148" spans="1:14" hidden="1" x14ac:dyDescent="0.25">
      <c r="A4148" s="11">
        <v>46053</v>
      </c>
      <c r="B4148" s="5" t="s">
        <v>1078</v>
      </c>
      <c r="C4148" s="3" t="s">
        <v>339</v>
      </c>
      <c r="D4148" s="5" t="s">
        <v>323</v>
      </c>
      <c r="E4148" s="5" t="s">
        <v>117</v>
      </c>
      <c r="F4148" s="6" t="s">
        <v>348</v>
      </c>
      <c r="G4148" s="4" t="s">
        <v>1</v>
      </c>
      <c r="H4148" s="25">
        <v>13.779523259999999</v>
      </c>
      <c r="I4148" s="8">
        <v>210</v>
      </c>
      <c r="J4148" s="9">
        <v>10000</v>
      </c>
      <c r="K4148" s="7">
        <v>9790</v>
      </c>
      <c r="L4148" s="24">
        <f>+Tabla2[[#This Row],[Stock Inventario]]*Tabla2[[#This Row],[Coste LÃ­nea]]</f>
        <v>137795.23259999999</v>
      </c>
      <c r="M4148" s="24">
        <f>+Tabla2[[#This Row],[Variación Stock]]*Tabla2[[#This Row],[Coste LÃ­nea]]</f>
        <v>134901.53271539998</v>
      </c>
      <c r="N4148" s="22" t="str">
        <f>+IF(Tabla2[[#This Row],[Variación Stock]]&gt;0,"Sobrante",IF(Tabla2[[#This Row],[Variación Stock]]&lt;0,"Faltante","Sin novedad"))</f>
        <v>Sobrante</v>
      </c>
    </row>
    <row r="4149" spans="1:14" hidden="1" x14ac:dyDescent="0.25">
      <c r="A4149" s="11">
        <v>46053</v>
      </c>
      <c r="B4149" s="5" t="s">
        <v>1078</v>
      </c>
      <c r="C4149" s="3" t="s">
        <v>339</v>
      </c>
      <c r="D4149" s="5" t="s">
        <v>120</v>
      </c>
      <c r="E4149" s="5" t="s">
        <v>117</v>
      </c>
      <c r="F4149" s="6" t="s">
        <v>694</v>
      </c>
      <c r="G4149" s="4" t="s">
        <v>1</v>
      </c>
      <c r="H4149" s="25">
        <v>10.294228159999999</v>
      </c>
      <c r="I4149" s="8">
        <v>-5880</v>
      </c>
      <c r="J4149" s="9">
        <v>842</v>
      </c>
      <c r="K4149" s="7">
        <v>6722</v>
      </c>
      <c r="L4149" s="24">
        <f>+Tabla2[[#This Row],[Stock Inventario]]*Tabla2[[#This Row],[Coste LÃ­nea]]</f>
        <v>8667.7401107200003</v>
      </c>
      <c r="M4149" s="24">
        <f>+Tabla2[[#This Row],[Variación Stock]]*Tabla2[[#This Row],[Coste LÃ­nea]]</f>
        <v>69197.801691519999</v>
      </c>
      <c r="N4149" s="22" t="str">
        <f>+IF(Tabla2[[#This Row],[Variación Stock]]&gt;0,"Sobrante",IF(Tabla2[[#This Row],[Variación Stock]]&lt;0,"Faltante","Sin novedad"))</f>
        <v>Sobrante</v>
      </c>
    </row>
    <row r="4150" spans="1:14" s="39" customFormat="1" hidden="1" x14ac:dyDescent="0.25">
      <c r="A4150" s="11">
        <v>46053</v>
      </c>
      <c r="B4150" s="5" t="s">
        <v>1078</v>
      </c>
      <c r="C4150" s="3" t="s">
        <v>339</v>
      </c>
      <c r="D4150" s="5" t="s">
        <v>120</v>
      </c>
      <c r="E4150" s="5" t="s">
        <v>117</v>
      </c>
      <c r="F4150" s="6" t="s">
        <v>695</v>
      </c>
      <c r="G4150" s="4" t="s">
        <v>1</v>
      </c>
      <c r="H4150" s="25">
        <v>10.878091039999999</v>
      </c>
      <c r="I4150" s="8">
        <v>9423</v>
      </c>
      <c r="J4150" s="9">
        <v>3898</v>
      </c>
      <c r="K4150" s="7">
        <v>-5525</v>
      </c>
      <c r="L4150" s="24">
        <f>+Tabla2[[#This Row],[Stock Inventario]]*Tabla2[[#This Row],[Coste LÃ­nea]]</f>
        <v>42402.798873919994</v>
      </c>
      <c r="M4150" s="24">
        <f>+Tabla2[[#This Row],[Variación Stock]]*Tabla2[[#This Row],[Coste LÃ­nea]]</f>
        <v>-60101.452995999993</v>
      </c>
      <c r="N4150" s="22" t="str">
        <f>+IF(Tabla2[[#This Row],[Variación Stock]]&gt;0,"Sobrante",IF(Tabla2[[#This Row],[Variación Stock]]&lt;0,"Faltante","Sin novedad"))</f>
        <v>Faltante</v>
      </c>
    </row>
    <row r="4151" spans="1:14" hidden="1" x14ac:dyDescent="0.25">
      <c r="A4151" s="11">
        <v>46053</v>
      </c>
      <c r="B4151" s="5" t="s">
        <v>1078</v>
      </c>
      <c r="C4151" s="3" t="s">
        <v>339</v>
      </c>
      <c r="D4151" s="5" t="s">
        <v>120</v>
      </c>
      <c r="E4151" s="5" t="s">
        <v>117</v>
      </c>
      <c r="F4151" s="6" t="s">
        <v>696</v>
      </c>
      <c r="G4151" s="4" t="s">
        <v>1</v>
      </c>
      <c r="H4151" s="25">
        <v>13.54967794</v>
      </c>
      <c r="I4151" s="8">
        <v>1216</v>
      </c>
      <c r="J4151" s="9">
        <v>1776</v>
      </c>
      <c r="K4151" s="7">
        <v>560</v>
      </c>
      <c r="L4151" s="24">
        <f>+Tabla2[[#This Row],[Stock Inventario]]*Tabla2[[#This Row],[Coste LÃ­nea]]</f>
        <v>24064.228021440002</v>
      </c>
      <c r="M4151" s="24">
        <f>+Tabla2[[#This Row],[Variación Stock]]*Tabla2[[#This Row],[Coste LÃ­nea]]</f>
        <v>7587.8196464000002</v>
      </c>
      <c r="N4151" s="22" t="str">
        <f>+IF(Tabla2[[#This Row],[Variación Stock]]&gt;0,"Sobrante",IF(Tabla2[[#This Row],[Variación Stock]]&lt;0,"Faltante","Sin novedad"))</f>
        <v>Sobrante</v>
      </c>
    </row>
    <row r="4152" spans="1:14" hidden="1" x14ac:dyDescent="0.25">
      <c r="A4152" s="11">
        <v>46053</v>
      </c>
      <c r="B4152" s="5" t="s">
        <v>1078</v>
      </c>
      <c r="C4152" s="3" t="s">
        <v>339</v>
      </c>
      <c r="D4152" s="5" t="s">
        <v>120</v>
      </c>
      <c r="E4152" s="5" t="s">
        <v>117</v>
      </c>
      <c r="F4152" s="6" t="s">
        <v>697</v>
      </c>
      <c r="G4152" s="4" t="s">
        <v>1</v>
      </c>
      <c r="H4152" s="25">
        <v>104.14896632999999</v>
      </c>
      <c r="I4152" s="8">
        <v>0</v>
      </c>
      <c r="J4152" s="9">
        <v>0</v>
      </c>
      <c r="K4152" s="7">
        <v>0</v>
      </c>
      <c r="L4152" s="24">
        <f>+Tabla2[[#This Row],[Stock Inventario]]*Tabla2[[#This Row],[Coste LÃ­nea]]</f>
        <v>0</v>
      </c>
      <c r="M4152" s="24">
        <f>+Tabla2[[#This Row],[Variación Stock]]*Tabla2[[#This Row],[Coste LÃ­nea]]</f>
        <v>0</v>
      </c>
      <c r="N4152" s="22" t="str">
        <f>+IF(Tabla2[[#This Row],[Variación Stock]]&gt;0,"Sobrante",IF(Tabla2[[#This Row],[Variación Stock]]&lt;0,"Faltante","Sin novedad"))</f>
        <v>Sin novedad</v>
      </c>
    </row>
    <row r="4153" spans="1:14" x14ac:dyDescent="0.25">
      <c r="A4153" s="11">
        <v>46053</v>
      </c>
      <c r="B4153" s="5" t="s">
        <v>1078</v>
      </c>
      <c r="C4153" s="3" t="s">
        <v>339</v>
      </c>
      <c r="D4153" s="5" t="s">
        <v>121</v>
      </c>
      <c r="E4153" s="5" t="s">
        <v>112</v>
      </c>
      <c r="F4153" s="6" t="s">
        <v>355</v>
      </c>
      <c r="G4153" s="4" t="s">
        <v>1</v>
      </c>
      <c r="H4153" s="25">
        <v>45.040723980000003</v>
      </c>
      <c r="I4153" s="8">
        <v>-3128</v>
      </c>
      <c r="J4153" s="9">
        <v>106</v>
      </c>
      <c r="K4153" s="7">
        <v>3234</v>
      </c>
      <c r="L4153" s="24">
        <f>+Tabla2[[#This Row],[Stock Inventario]]*Tabla2[[#This Row],[Coste LÃ­nea]]</f>
        <v>4774.3167418800003</v>
      </c>
      <c r="M4153" s="24">
        <f>+Tabla2[[#This Row],[Variación Stock]]*Tabla2[[#This Row],[Coste LÃ­nea]]</f>
        <v>145661.70135132002</v>
      </c>
      <c r="N4153" s="22" t="str">
        <f>+IF(Tabla2[[#This Row],[Variación Stock]]&gt;0,"Sobrante",IF(Tabla2[[#This Row],[Variación Stock]]&lt;0,"Faltante","Sin novedad"))</f>
        <v>Sobrante</v>
      </c>
    </row>
    <row r="4154" spans="1:14" hidden="1" x14ac:dyDescent="0.25">
      <c r="A4154" s="11">
        <v>46053</v>
      </c>
      <c r="B4154" s="5" t="s">
        <v>1078</v>
      </c>
      <c r="C4154" s="3" t="s">
        <v>339</v>
      </c>
      <c r="D4154" s="5" t="s">
        <v>323</v>
      </c>
      <c r="E4154" s="5" t="s">
        <v>117</v>
      </c>
      <c r="F4154" s="6" t="s">
        <v>773</v>
      </c>
      <c r="G4154" s="4" t="s">
        <v>1</v>
      </c>
      <c r="H4154" s="25">
        <v>8.2292859999999995E-2</v>
      </c>
      <c r="I4154" s="8">
        <v>0</v>
      </c>
      <c r="J4154" s="9">
        <v>0</v>
      </c>
      <c r="K4154" s="7">
        <v>0</v>
      </c>
      <c r="L4154" s="24">
        <f>+Tabla2[[#This Row],[Stock Inventario]]*Tabla2[[#This Row],[Coste LÃ­nea]]</f>
        <v>0</v>
      </c>
      <c r="M4154" s="24">
        <f>+Tabla2[[#This Row],[Variación Stock]]*Tabla2[[#This Row],[Coste LÃ­nea]]</f>
        <v>0</v>
      </c>
      <c r="N4154" s="22" t="str">
        <f>+IF(Tabla2[[#This Row],[Variación Stock]]&gt;0,"Sobrante",IF(Tabla2[[#This Row],[Variación Stock]]&lt;0,"Faltante","Sin novedad"))</f>
        <v>Sin novedad</v>
      </c>
    </row>
    <row r="4155" spans="1:14" x14ac:dyDescent="0.25">
      <c r="A4155" s="11">
        <v>46053</v>
      </c>
      <c r="B4155" s="5" t="s">
        <v>1078</v>
      </c>
      <c r="C4155" s="3" t="s">
        <v>339</v>
      </c>
      <c r="D4155" s="5" t="s">
        <v>121</v>
      </c>
      <c r="E4155" s="5" t="s">
        <v>112</v>
      </c>
      <c r="F4155" s="6" t="s">
        <v>791</v>
      </c>
      <c r="G4155" s="4" t="s">
        <v>1</v>
      </c>
      <c r="H4155" s="25">
        <v>16.416571430000001</v>
      </c>
      <c r="I4155" s="8">
        <v>0</v>
      </c>
      <c r="J4155" s="9">
        <v>0</v>
      </c>
      <c r="K4155" s="7">
        <v>0</v>
      </c>
      <c r="L4155" s="24">
        <f>+Tabla2[[#This Row],[Stock Inventario]]*Tabla2[[#This Row],[Coste LÃ­nea]]</f>
        <v>0</v>
      </c>
      <c r="M4155" s="24">
        <f>+Tabla2[[#This Row],[Variación Stock]]*Tabla2[[#This Row],[Coste LÃ­nea]]</f>
        <v>0</v>
      </c>
      <c r="N4155" s="22" t="str">
        <f>+IF(Tabla2[[#This Row],[Variación Stock]]&gt;0,"Sobrante",IF(Tabla2[[#This Row],[Variación Stock]]&lt;0,"Faltante","Sin novedad"))</f>
        <v>Sin novedad</v>
      </c>
    </row>
    <row r="4156" spans="1:14" hidden="1" x14ac:dyDescent="0.25">
      <c r="A4156" s="11">
        <v>46053</v>
      </c>
      <c r="B4156" s="5" t="s">
        <v>1078</v>
      </c>
      <c r="C4156" s="3" t="s">
        <v>339</v>
      </c>
      <c r="D4156" s="5" t="s">
        <v>120</v>
      </c>
      <c r="E4156" s="5" t="s">
        <v>117</v>
      </c>
      <c r="F4156" s="6" t="s">
        <v>321</v>
      </c>
      <c r="G4156" s="4" t="s">
        <v>2</v>
      </c>
      <c r="H4156" s="25">
        <v>17671.085396940001</v>
      </c>
      <c r="I4156" s="8">
        <v>9</v>
      </c>
      <c r="J4156" s="9">
        <v>9</v>
      </c>
      <c r="K4156" s="7">
        <v>0</v>
      </c>
      <c r="L4156" s="24">
        <f>+Tabla2[[#This Row],[Stock Inventario]]*Tabla2[[#This Row],[Coste LÃ­nea]]</f>
        <v>159039.76857246002</v>
      </c>
      <c r="M4156" s="24">
        <f>+Tabla2[[#This Row],[Variación Stock]]*Tabla2[[#This Row],[Coste LÃ­nea]]</f>
        <v>0</v>
      </c>
      <c r="N4156" s="22" t="str">
        <f>+IF(Tabla2[[#This Row],[Variación Stock]]&gt;0,"Sobrante",IF(Tabla2[[#This Row],[Variación Stock]]&lt;0,"Faltante","Sin novedad"))</f>
        <v>Sin novedad</v>
      </c>
    </row>
    <row r="4157" spans="1:14" hidden="1" x14ac:dyDescent="0.25">
      <c r="A4157" s="11">
        <v>46053</v>
      </c>
      <c r="B4157" s="5" t="s">
        <v>1078</v>
      </c>
      <c r="C4157" s="3" t="s">
        <v>339</v>
      </c>
      <c r="D4157" s="5" t="s">
        <v>120</v>
      </c>
      <c r="E4157" s="5" t="s">
        <v>117</v>
      </c>
      <c r="F4157" s="6" t="s">
        <v>698</v>
      </c>
      <c r="G4157" s="4" t="s">
        <v>1</v>
      </c>
      <c r="H4157" s="25">
        <v>34.6045406</v>
      </c>
      <c r="I4157" s="8">
        <v>831</v>
      </c>
      <c r="J4157" s="9">
        <v>0</v>
      </c>
      <c r="K4157" s="7">
        <v>-831</v>
      </c>
      <c r="L4157" s="24">
        <f>+Tabla2[[#This Row],[Stock Inventario]]*Tabla2[[#This Row],[Coste LÃ­nea]]</f>
        <v>0</v>
      </c>
      <c r="M4157" s="24">
        <f>+Tabla2[[#This Row],[Variación Stock]]*Tabla2[[#This Row],[Coste LÃ­nea]]</f>
        <v>-28756.373238600001</v>
      </c>
      <c r="N4157" s="22" t="str">
        <f>+IF(Tabla2[[#This Row],[Variación Stock]]&gt;0,"Sobrante",IF(Tabla2[[#This Row],[Variación Stock]]&lt;0,"Faltante","Sin novedad"))</f>
        <v>Faltante</v>
      </c>
    </row>
    <row r="4158" spans="1:14" hidden="1" x14ac:dyDescent="0.25">
      <c r="A4158" s="11">
        <v>46053</v>
      </c>
      <c r="B4158" s="5" t="s">
        <v>1078</v>
      </c>
      <c r="C4158" s="3" t="s">
        <v>339</v>
      </c>
      <c r="D4158" s="5" t="s">
        <v>120</v>
      </c>
      <c r="E4158" s="5" t="s">
        <v>117</v>
      </c>
      <c r="F4158" s="6" t="s">
        <v>314</v>
      </c>
      <c r="G4158" s="4" t="s">
        <v>2</v>
      </c>
      <c r="H4158" s="25">
        <v>648.57965839999997</v>
      </c>
      <c r="I4158" s="8">
        <v>10</v>
      </c>
      <c r="J4158" s="9">
        <v>0</v>
      </c>
      <c r="K4158" s="7">
        <v>-10</v>
      </c>
      <c r="L4158" s="24">
        <f>+Tabla2[[#This Row],[Stock Inventario]]*Tabla2[[#This Row],[Coste LÃ­nea]]</f>
        <v>0</v>
      </c>
      <c r="M4158" s="24">
        <f>+Tabla2[[#This Row],[Variación Stock]]*Tabla2[[#This Row],[Coste LÃ­nea]]</f>
        <v>-6485.7965839999997</v>
      </c>
      <c r="N4158" s="22" t="str">
        <f>+IF(Tabla2[[#This Row],[Variación Stock]]&gt;0,"Sobrante",IF(Tabla2[[#This Row],[Variación Stock]]&lt;0,"Faltante","Sin novedad"))</f>
        <v>Faltante</v>
      </c>
    </row>
    <row r="4159" spans="1:14" hidden="1" x14ac:dyDescent="0.25">
      <c r="A4159" s="11">
        <v>46053</v>
      </c>
      <c r="B4159" s="5" t="s">
        <v>1078</v>
      </c>
      <c r="C4159" s="3" t="s">
        <v>339</v>
      </c>
      <c r="D4159" s="5" t="s">
        <v>120</v>
      </c>
      <c r="E4159" s="5" t="s">
        <v>117</v>
      </c>
      <c r="F4159" s="6" t="s">
        <v>699</v>
      </c>
      <c r="G4159" s="4" t="s">
        <v>2</v>
      </c>
      <c r="H4159" s="25">
        <v>5928.1262500000003</v>
      </c>
      <c r="I4159" s="8">
        <v>0</v>
      </c>
      <c r="J4159" s="9">
        <v>10</v>
      </c>
      <c r="K4159" s="7">
        <v>10</v>
      </c>
      <c r="L4159" s="24">
        <f>+Tabla2[[#This Row],[Stock Inventario]]*Tabla2[[#This Row],[Coste LÃ­nea]]</f>
        <v>59281.262500000004</v>
      </c>
      <c r="M4159" s="24">
        <f>+Tabla2[[#This Row],[Variación Stock]]*Tabla2[[#This Row],[Coste LÃ­nea]]</f>
        <v>59281.262500000004</v>
      </c>
      <c r="N4159" s="22" t="str">
        <f>+IF(Tabla2[[#This Row],[Variación Stock]]&gt;0,"Sobrante",IF(Tabla2[[#This Row],[Variación Stock]]&lt;0,"Faltante","Sin novedad"))</f>
        <v>Sobrante</v>
      </c>
    </row>
    <row r="4160" spans="1:14" hidden="1" x14ac:dyDescent="0.25">
      <c r="A4160" s="11">
        <v>46053</v>
      </c>
      <c r="B4160" s="5" t="s">
        <v>1078</v>
      </c>
      <c r="C4160" s="3" t="s">
        <v>339</v>
      </c>
      <c r="D4160" s="5" t="s">
        <v>120</v>
      </c>
      <c r="E4160" s="5" t="s">
        <v>117</v>
      </c>
      <c r="F4160" s="6" t="s">
        <v>206</v>
      </c>
      <c r="G4160" s="4" t="s">
        <v>2</v>
      </c>
      <c r="H4160" s="25">
        <v>287.72525953000002</v>
      </c>
      <c r="I4160" s="8">
        <v>0</v>
      </c>
      <c r="J4160" s="9">
        <v>0</v>
      </c>
      <c r="K4160" s="7">
        <v>0</v>
      </c>
      <c r="L4160" s="24">
        <f>+Tabla2[[#This Row],[Stock Inventario]]*Tabla2[[#This Row],[Coste LÃ­nea]]</f>
        <v>0</v>
      </c>
      <c r="M4160" s="24">
        <f>+Tabla2[[#This Row],[Variación Stock]]*Tabla2[[#This Row],[Coste LÃ­nea]]</f>
        <v>0</v>
      </c>
      <c r="N4160" s="22" t="str">
        <f>+IF(Tabla2[[#This Row],[Variación Stock]]&gt;0,"Sobrante",IF(Tabla2[[#This Row],[Variación Stock]]&lt;0,"Faltante","Sin novedad"))</f>
        <v>Sin novedad</v>
      </c>
    </row>
    <row r="4161" spans="1:14" hidden="1" x14ac:dyDescent="0.25">
      <c r="A4161" s="11">
        <v>46053</v>
      </c>
      <c r="B4161" s="5" t="s">
        <v>1078</v>
      </c>
      <c r="C4161" s="3" t="s">
        <v>339</v>
      </c>
      <c r="D4161" s="5" t="s">
        <v>323</v>
      </c>
      <c r="E4161" s="5" t="s">
        <v>117</v>
      </c>
      <c r="F4161" s="6" t="s">
        <v>325</v>
      </c>
      <c r="G4161" s="4" t="s">
        <v>2</v>
      </c>
      <c r="H4161" s="25">
        <v>1645.2914033699999</v>
      </c>
      <c r="I4161" s="8">
        <v>87</v>
      </c>
      <c r="J4161" s="9">
        <v>87</v>
      </c>
      <c r="K4161" s="7">
        <v>0</v>
      </c>
      <c r="L4161" s="24">
        <f>+Tabla2[[#This Row],[Stock Inventario]]*Tabla2[[#This Row],[Coste LÃ­nea]]</f>
        <v>143140.35209318998</v>
      </c>
      <c r="M4161" s="24">
        <f>+Tabla2[[#This Row],[Variación Stock]]*Tabla2[[#This Row],[Coste LÃ­nea]]</f>
        <v>0</v>
      </c>
      <c r="N4161" s="22" t="str">
        <f>+IF(Tabla2[[#This Row],[Variación Stock]]&gt;0,"Sobrante",IF(Tabla2[[#This Row],[Variación Stock]]&lt;0,"Faltante","Sin novedad"))</f>
        <v>Sin novedad</v>
      </c>
    </row>
    <row r="4162" spans="1:14" hidden="1" x14ac:dyDescent="0.25">
      <c r="A4162" s="11">
        <v>46053</v>
      </c>
      <c r="B4162" s="5" t="s">
        <v>1078</v>
      </c>
      <c r="C4162" s="3" t="s">
        <v>339</v>
      </c>
      <c r="D4162" s="5" t="s">
        <v>120</v>
      </c>
      <c r="E4162" s="5" t="s">
        <v>117</v>
      </c>
      <c r="F4162" s="6" t="s">
        <v>315</v>
      </c>
      <c r="G4162" s="4" t="s">
        <v>2</v>
      </c>
      <c r="H4162" s="25">
        <v>2289.3502371</v>
      </c>
      <c r="I4162" s="8">
        <v>34</v>
      </c>
      <c r="J4162" s="9">
        <v>17</v>
      </c>
      <c r="K4162" s="7">
        <v>-17</v>
      </c>
      <c r="L4162" s="24">
        <f>+Tabla2[[#This Row],[Stock Inventario]]*Tabla2[[#This Row],[Coste LÃ­nea]]</f>
        <v>38918.954030699999</v>
      </c>
      <c r="M4162" s="24">
        <f>+Tabla2[[#This Row],[Variación Stock]]*Tabla2[[#This Row],[Coste LÃ­nea]]</f>
        <v>-38918.954030699999</v>
      </c>
      <c r="N4162" s="22" t="str">
        <f>+IF(Tabla2[[#This Row],[Variación Stock]]&gt;0,"Sobrante",IF(Tabla2[[#This Row],[Variación Stock]]&lt;0,"Faltante","Sin novedad"))</f>
        <v>Faltante</v>
      </c>
    </row>
    <row r="4163" spans="1:14" hidden="1" x14ac:dyDescent="0.25">
      <c r="A4163" s="11">
        <v>46053</v>
      </c>
      <c r="B4163" s="5" t="s">
        <v>1078</v>
      </c>
      <c r="C4163" s="3" t="s">
        <v>339</v>
      </c>
      <c r="D4163" s="5" t="s">
        <v>120</v>
      </c>
      <c r="E4163" s="5" t="s">
        <v>117</v>
      </c>
      <c r="F4163" s="6" t="s">
        <v>700</v>
      </c>
      <c r="G4163" s="4" t="s">
        <v>1</v>
      </c>
      <c r="H4163" s="25">
        <v>1.2377491899999999</v>
      </c>
      <c r="I4163" s="8">
        <v>0</v>
      </c>
      <c r="J4163" s="9">
        <v>0</v>
      </c>
      <c r="K4163" s="7">
        <v>0</v>
      </c>
      <c r="L4163" s="24">
        <f>+Tabla2[[#This Row],[Stock Inventario]]*Tabla2[[#This Row],[Coste LÃ­nea]]</f>
        <v>0</v>
      </c>
      <c r="M4163" s="24">
        <f>+Tabla2[[#This Row],[Variación Stock]]*Tabla2[[#This Row],[Coste LÃ­nea]]</f>
        <v>0</v>
      </c>
      <c r="N4163" s="22" t="str">
        <f>+IF(Tabla2[[#This Row],[Variación Stock]]&gt;0,"Sobrante",IF(Tabla2[[#This Row],[Variación Stock]]&lt;0,"Faltante","Sin novedad"))</f>
        <v>Sin novedad</v>
      </c>
    </row>
    <row r="4164" spans="1:14" hidden="1" x14ac:dyDescent="0.25">
      <c r="A4164" s="11">
        <v>46053</v>
      </c>
      <c r="B4164" s="5" t="s">
        <v>1078</v>
      </c>
      <c r="C4164" s="3" t="s">
        <v>339</v>
      </c>
      <c r="D4164" s="5" t="s">
        <v>120</v>
      </c>
      <c r="E4164" s="5" t="s">
        <v>117</v>
      </c>
      <c r="F4164" s="6" t="s">
        <v>701</v>
      </c>
      <c r="G4164" s="4" t="s">
        <v>1</v>
      </c>
      <c r="H4164" s="25">
        <v>31.59727268</v>
      </c>
      <c r="I4164" s="8">
        <v>0</v>
      </c>
      <c r="J4164" s="9">
        <v>0</v>
      </c>
      <c r="K4164" s="7">
        <v>0</v>
      </c>
      <c r="L4164" s="24">
        <f>+Tabla2[[#This Row],[Stock Inventario]]*Tabla2[[#This Row],[Coste LÃ­nea]]</f>
        <v>0</v>
      </c>
      <c r="M4164" s="24">
        <f>+Tabla2[[#This Row],[Variación Stock]]*Tabla2[[#This Row],[Coste LÃ­nea]]</f>
        <v>0</v>
      </c>
      <c r="N4164" s="22" t="str">
        <f>+IF(Tabla2[[#This Row],[Variación Stock]]&gt;0,"Sobrante",IF(Tabla2[[#This Row],[Variación Stock]]&lt;0,"Faltante","Sin novedad"))</f>
        <v>Sin novedad</v>
      </c>
    </row>
    <row r="4165" spans="1:14" hidden="1" x14ac:dyDescent="0.25">
      <c r="A4165" s="11">
        <v>46053</v>
      </c>
      <c r="B4165" s="5" t="s">
        <v>1078</v>
      </c>
      <c r="C4165" s="3" t="s">
        <v>339</v>
      </c>
      <c r="D4165" s="5" t="s">
        <v>120</v>
      </c>
      <c r="E4165" s="5" t="s">
        <v>117</v>
      </c>
      <c r="F4165" s="6" t="s">
        <v>702</v>
      </c>
      <c r="G4165" s="4" t="s">
        <v>2</v>
      </c>
      <c r="H4165" s="25">
        <v>1110.3705716899999</v>
      </c>
      <c r="I4165" s="8">
        <v>-15</v>
      </c>
      <c r="J4165" s="9">
        <v>6</v>
      </c>
      <c r="K4165" s="7">
        <v>21</v>
      </c>
      <c r="L4165" s="24">
        <f>+Tabla2[[#This Row],[Stock Inventario]]*Tabla2[[#This Row],[Coste LÃ­nea]]</f>
        <v>6662.2234301399994</v>
      </c>
      <c r="M4165" s="24">
        <f>+Tabla2[[#This Row],[Variación Stock]]*Tabla2[[#This Row],[Coste LÃ­nea]]</f>
        <v>23317.782005489997</v>
      </c>
      <c r="N4165" s="22" t="str">
        <f>+IF(Tabla2[[#This Row],[Variación Stock]]&gt;0,"Sobrante",IF(Tabla2[[#This Row],[Variación Stock]]&lt;0,"Faltante","Sin novedad"))</f>
        <v>Sobrante</v>
      </c>
    </row>
    <row r="4166" spans="1:14" hidden="1" x14ac:dyDescent="0.25">
      <c r="A4166" s="11">
        <v>46053</v>
      </c>
      <c r="B4166" s="5" t="s">
        <v>1078</v>
      </c>
      <c r="C4166" s="3" t="s">
        <v>339</v>
      </c>
      <c r="D4166" s="5" t="s">
        <v>120</v>
      </c>
      <c r="E4166" s="5" t="s">
        <v>117</v>
      </c>
      <c r="F4166" s="6" t="s">
        <v>392</v>
      </c>
      <c r="G4166" s="4" t="s">
        <v>2</v>
      </c>
      <c r="H4166" s="25">
        <v>3833.3333333300002</v>
      </c>
      <c r="I4166" s="8">
        <v>0</v>
      </c>
      <c r="J4166" s="9">
        <v>0</v>
      </c>
      <c r="K4166" s="7">
        <v>0</v>
      </c>
      <c r="L4166" s="24">
        <f>+Tabla2[[#This Row],[Stock Inventario]]*Tabla2[[#This Row],[Coste LÃ­nea]]</f>
        <v>0</v>
      </c>
      <c r="M4166" s="24">
        <f>+Tabla2[[#This Row],[Variación Stock]]*Tabla2[[#This Row],[Coste LÃ­nea]]</f>
        <v>0</v>
      </c>
      <c r="N4166" s="22" t="str">
        <f>+IF(Tabla2[[#This Row],[Variación Stock]]&gt;0,"Sobrante",IF(Tabla2[[#This Row],[Variación Stock]]&lt;0,"Faltante","Sin novedad"))</f>
        <v>Sin novedad</v>
      </c>
    </row>
    <row r="4167" spans="1:14" hidden="1" x14ac:dyDescent="0.25">
      <c r="A4167" s="11">
        <v>46053</v>
      </c>
      <c r="B4167" s="5" t="s">
        <v>1078</v>
      </c>
      <c r="C4167" s="3" t="s">
        <v>339</v>
      </c>
      <c r="D4167" s="5" t="s">
        <v>323</v>
      </c>
      <c r="E4167" s="5" t="s">
        <v>117</v>
      </c>
      <c r="F4167" s="6" t="s">
        <v>345</v>
      </c>
      <c r="G4167" s="4" t="s">
        <v>1</v>
      </c>
      <c r="H4167" s="25">
        <v>20.981048869999999</v>
      </c>
      <c r="I4167" s="8">
        <v>0</v>
      </c>
      <c r="J4167" s="9">
        <v>0</v>
      </c>
      <c r="K4167" s="7">
        <v>0</v>
      </c>
      <c r="L4167" s="24">
        <f>+Tabla2[[#This Row],[Stock Inventario]]*Tabla2[[#This Row],[Coste LÃ­nea]]</f>
        <v>0</v>
      </c>
      <c r="M4167" s="24">
        <f>+Tabla2[[#This Row],[Variación Stock]]*Tabla2[[#This Row],[Coste LÃ­nea]]</f>
        <v>0</v>
      </c>
      <c r="N4167" s="22" t="str">
        <f>+IF(Tabla2[[#This Row],[Variación Stock]]&gt;0,"Sobrante",IF(Tabla2[[#This Row],[Variación Stock]]&lt;0,"Faltante","Sin novedad"))</f>
        <v>Sin novedad</v>
      </c>
    </row>
    <row r="4168" spans="1:14" hidden="1" x14ac:dyDescent="0.25">
      <c r="A4168" s="11">
        <v>46053</v>
      </c>
      <c r="B4168" s="5" t="s">
        <v>1078</v>
      </c>
      <c r="C4168" s="3" t="s">
        <v>339</v>
      </c>
      <c r="D4168" s="5" t="s">
        <v>120</v>
      </c>
      <c r="E4168" s="5" t="s">
        <v>117</v>
      </c>
      <c r="F4168" s="6" t="s">
        <v>703</v>
      </c>
      <c r="G4168" s="4" t="s">
        <v>1</v>
      </c>
      <c r="H4168" s="25">
        <v>1.8969430899999999</v>
      </c>
      <c r="I4168" s="8">
        <v>2800</v>
      </c>
      <c r="J4168" s="9">
        <v>0</v>
      </c>
      <c r="K4168" s="7">
        <v>-2800</v>
      </c>
      <c r="L4168" s="24">
        <f>+Tabla2[[#This Row],[Stock Inventario]]*Tabla2[[#This Row],[Coste LÃ­nea]]</f>
        <v>0</v>
      </c>
      <c r="M4168" s="24">
        <f>+Tabla2[[#This Row],[Variación Stock]]*Tabla2[[#This Row],[Coste LÃ­nea]]</f>
        <v>-5311.4406520000002</v>
      </c>
      <c r="N4168" s="22" t="str">
        <f>+IF(Tabla2[[#This Row],[Variación Stock]]&gt;0,"Sobrante",IF(Tabla2[[#This Row],[Variación Stock]]&lt;0,"Faltante","Sin novedad"))</f>
        <v>Faltante</v>
      </c>
    </row>
    <row r="4169" spans="1:14" hidden="1" x14ac:dyDescent="0.25">
      <c r="A4169" s="11">
        <v>46053</v>
      </c>
      <c r="B4169" s="5" t="s">
        <v>1078</v>
      </c>
      <c r="C4169" s="3" t="s">
        <v>339</v>
      </c>
      <c r="D4169" s="5" t="s">
        <v>120</v>
      </c>
      <c r="E4169" s="5" t="s">
        <v>117</v>
      </c>
      <c r="F4169" s="6" t="s">
        <v>704</v>
      </c>
      <c r="G4169" s="4" t="s">
        <v>1</v>
      </c>
      <c r="H4169" s="25">
        <v>18.415007580000001</v>
      </c>
      <c r="I4169" s="8">
        <v>-6534</v>
      </c>
      <c r="J4169" s="9">
        <v>0</v>
      </c>
      <c r="K4169" s="7">
        <v>6534</v>
      </c>
      <c r="L4169" s="24">
        <f>+Tabla2[[#This Row],[Stock Inventario]]*Tabla2[[#This Row],[Coste LÃ­nea]]</f>
        <v>0</v>
      </c>
      <c r="M4169" s="24">
        <f>+Tabla2[[#This Row],[Variación Stock]]*Tabla2[[#This Row],[Coste LÃ­nea]]</f>
        <v>120323.65952772001</v>
      </c>
      <c r="N4169" s="22" t="str">
        <f>+IF(Tabla2[[#This Row],[Variación Stock]]&gt;0,"Sobrante",IF(Tabla2[[#This Row],[Variación Stock]]&lt;0,"Faltante","Sin novedad"))</f>
        <v>Sobrante</v>
      </c>
    </row>
    <row r="4170" spans="1:14" hidden="1" x14ac:dyDescent="0.25">
      <c r="A4170" s="11">
        <v>46053</v>
      </c>
      <c r="B4170" s="5" t="s">
        <v>1078</v>
      </c>
      <c r="C4170" s="3" t="s">
        <v>339</v>
      </c>
      <c r="D4170" s="5" t="s">
        <v>120</v>
      </c>
      <c r="E4170" s="5" t="s">
        <v>117</v>
      </c>
      <c r="F4170" s="6" t="s">
        <v>705</v>
      </c>
      <c r="G4170" s="4" t="s">
        <v>1</v>
      </c>
      <c r="H4170" s="25">
        <v>1.88845906</v>
      </c>
      <c r="I4170" s="8">
        <v>0</v>
      </c>
      <c r="J4170" s="9">
        <v>0</v>
      </c>
      <c r="K4170" s="7">
        <v>0</v>
      </c>
      <c r="L4170" s="24">
        <f>+Tabla2[[#This Row],[Stock Inventario]]*Tabla2[[#This Row],[Coste LÃ­nea]]</f>
        <v>0</v>
      </c>
      <c r="M4170" s="24">
        <f>+Tabla2[[#This Row],[Variación Stock]]*Tabla2[[#This Row],[Coste LÃ­nea]]</f>
        <v>0</v>
      </c>
      <c r="N4170" s="22" t="str">
        <f>+IF(Tabla2[[#This Row],[Variación Stock]]&gt;0,"Sobrante",IF(Tabla2[[#This Row],[Variación Stock]]&lt;0,"Faltante","Sin novedad"))</f>
        <v>Sin novedad</v>
      </c>
    </row>
    <row r="4171" spans="1:14" hidden="1" x14ac:dyDescent="0.25">
      <c r="A4171" s="11">
        <v>46053</v>
      </c>
      <c r="B4171" s="5" t="s">
        <v>1078</v>
      </c>
      <c r="C4171" s="3" t="s">
        <v>339</v>
      </c>
      <c r="D4171" s="5" t="s">
        <v>120</v>
      </c>
      <c r="E4171" s="5" t="s">
        <v>117</v>
      </c>
      <c r="F4171" s="6" t="s">
        <v>343</v>
      </c>
      <c r="G4171" s="4" t="s">
        <v>1</v>
      </c>
      <c r="H4171" s="25">
        <v>240</v>
      </c>
      <c r="I4171" s="8">
        <v>-10</v>
      </c>
      <c r="J4171" s="9">
        <v>0</v>
      </c>
      <c r="K4171" s="7">
        <v>10</v>
      </c>
      <c r="L4171" s="24">
        <f>+Tabla2[[#This Row],[Stock Inventario]]*Tabla2[[#This Row],[Coste LÃ­nea]]</f>
        <v>0</v>
      </c>
      <c r="M4171" s="24">
        <f>+Tabla2[[#This Row],[Variación Stock]]*Tabla2[[#This Row],[Coste LÃ­nea]]</f>
        <v>2400</v>
      </c>
      <c r="N4171" s="22" t="str">
        <f>+IF(Tabla2[[#This Row],[Variación Stock]]&gt;0,"Sobrante",IF(Tabla2[[#This Row],[Variación Stock]]&lt;0,"Faltante","Sin novedad"))</f>
        <v>Sobrante</v>
      </c>
    </row>
    <row r="4172" spans="1:14" hidden="1" x14ac:dyDescent="0.25">
      <c r="A4172" s="11">
        <v>46053</v>
      </c>
      <c r="B4172" s="5" t="s">
        <v>1078</v>
      </c>
      <c r="C4172" s="3" t="s">
        <v>339</v>
      </c>
      <c r="D4172" s="5" t="s">
        <v>323</v>
      </c>
      <c r="E4172" s="5" t="s">
        <v>117</v>
      </c>
      <c r="F4172" s="6" t="s">
        <v>349</v>
      </c>
      <c r="G4172" s="4" t="s">
        <v>1</v>
      </c>
      <c r="H4172" s="25">
        <v>11.406611420000001</v>
      </c>
      <c r="I4172" s="8">
        <v>1052</v>
      </c>
      <c r="J4172" s="9">
        <v>1000</v>
      </c>
      <c r="K4172" s="7">
        <v>-52</v>
      </c>
      <c r="L4172" s="24">
        <f>+Tabla2[[#This Row],[Stock Inventario]]*Tabla2[[#This Row],[Coste LÃ­nea]]</f>
        <v>11406.611420000001</v>
      </c>
      <c r="M4172" s="24">
        <f>+Tabla2[[#This Row],[Variación Stock]]*Tabla2[[#This Row],[Coste LÃ­nea]]</f>
        <v>-593.14379384000006</v>
      </c>
      <c r="N4172" s="22" t="str">
        <f>+IF(Tabla2[[#This Row],[Variación Stock]]&gt;0,"Sobrante",IF(Tabla2[[#This Row],[Variación Stock]]&lt;0,"Faltante","Sin novedad"))</f>
        <v>Faltante</v>
      </c>
    </row>
    <row r="4173" spans="1:14" hidden="1" x14ac:dyDescent="0.25">
      <c r="A4173" s="11">
        <v>46053</v>
      </c>
      <c r="B4173" s="5" t="s">
        <v>1078</v>
      </c>
      <c r="C4173" s="3" t="s">
        <v>339</v>
      </c>
      <c r="D4173" s="5" t="s">
        <v>120</v>
      </c>
      <c r="E4173" s="5" t="s">
        <v>117</v>
      </c>
      <c r="F4173" s="6" t="s">
        <v>706</v>
      </c>
      <c r="G4173" s="4" t="s">
        <v>1</v>
      </c>
      <c r="H4173" s="25">
        <v>18.58584578</v>
      </c>
      <c r="I4173" s="8">
        <v>-4090</v>
      </c>
      <c r="J4173" s="9">
        <v>0</v>
      </c>
      <c r="K4173" s="7">
        <v>4090</v>
      </c>
      <c r="L4173" s="24">
        <f>+Tabla2[[#This Row],[Stock Inventario]]*Tabla2[[#This Row],[Coste LÃ­nea]]</f>
        <v>0</v>
      </c>
      <c r="M4173" s="24">
        <f>+Tabla2[[#This Row],[Variación Stock]]*Tabla2[[#This Row],[Coste LÃ­nea]]</f>
        <v>76016.109240199992</v>
      </c>
      <c r="N4173" s="22" t="str">
        <f>+IF(Tabla2[[#This Row],[Variación Stock]]&gt;0,"Sobrante",IF(Tabla2[[#This Row],[Variación Stock]]&lt;0,"Faltante","Sin novedad"))</f>
        <v>Sobrante</v>
      </c>
    </row>
    <row r="4174" spans="1:14" x14ac:dyDescent="0.25">
      <c r="A4174" s="11">
        <v>46053</v>
      </c>
      <c r="B4174" s="5" t="s">
        <v>1078</v>
      </c>
      <c r="C4174" s="3" t="s">
        <v>339</v>
      </c>
      <c r="D4174" s="5" t="s">
        <v>121</v>
      </c>
      <c r="E4174" s="5" t="s">
        <v>112</v>
      </c>
      <c r="F4174" s="6" t="s">
        <v>792</v>
      </c>
      <c r="G4174" s="4" t="s">
        <v>1</v>
      </c>
      <c r="H4174" s="25">
        <v>16.936054859999999</v>
      </c>
      <c r="I4174" s="8">
        <v>-50</v>
      </c>
      <c r="J4174" s="9">
        <v>0</v>
      </c>
      <c r="K4174" s="7">
        <v>50</v>
      </c>
      <c r="L4174" s="24">
        <f>+Tabla2[[#This Row],[Stock Inventario]]*Tabla2[[#This Row],[Coste LÃ­nea]]</f>
        <v>0</v>
      </c>
      <c r="M4174" s="24">
        <f>+Tabla2[[#This Row],[Variación Stock]]*Tabla2[[#This Row],[Coste LÃ­nea]]</f>
        <v>846.80274299999996</v>
      </c>
      <c r="N4174" s="22" t="str">
        <f>+IF(Tabla2[[#This Row],[Variación Stock]]&gt;0,"Sobrante",IF(Tabla2[[#This Row],[Variación Stock]]&lt;0,"Faltante","Sin novedad"))</f>
        <v>Sobrante</v>
      </c>
    </row>
    <row r="4175" spans="1:14" hidden="1" x14ac:dyDescent="0.25">
      <c r="A4175" s="11">
        <v>46053</v>
      </c>
      <c r="B4175" s="5" t="s">
        <v>1078</v>
      </c>
      <c r="C4175" s="3" t="s">
        <v>339</v>
      </c>
      <c r="D4175" s="5" t="s">
        <v>120</v>
      </c>
      <c r="E4175" s="5" t="s">
        <v>117</v>
      </c>
      <c r="F4175" s="6" t="s">
        <v>766</v>
      </c>
      <c r="G4175" s="4" t="s">
        <v>2</v>
      </c>
      <c r="H4175" s="25">
        <v>83.322999999999993</v>
      </c>
      <c r="I4175" s="8">
        <v>9</v>
      </c>
      <c r="J4175" s="9">
        <v>0</v>
      </c>
      <c r="K4175" s="7">
        <v>-9</v>
      </c>
      <c r="L4175" s="24">
        <f>+Tabla2[[#This Row],[Stock Inventario]]*Tabla2[[#This Row],[Coste LÃ­nea]]</f>
        <v>0</v>
      </c>
      <c r="M4175" s="24">
        <f>+Tabla2[[#This Row],[Variación Stock]]*Tabla2[[#This Row],[Coste LÃ­nea]]</f>
        <v>-749.90699999999993</v>
      </c>
      <c r="N4175" s="22" t="str">
        <f>+IF(Tabla2[[#This Row],[Variación Stock]]&gt;0,"Sobrante",IF(Tabla2[[#This Row],[Variación Stock]]&lt;0,"Faltante","Sin novedad"))</f>
        <v>Faltante</v>
      </c>
    </row>
    <row r="4176" spans="1:14" x14ac:dyDescent="0.25">
      <c r="A4176" s="11">
        <v>46053</v>
      </c>
      <c r="B4176" s="5" t="s">
        <v>1078</v>
      </c>
      <c r="C4176" s="3" t="s">
        <v>339</v>
      </c>
      <c r="D4176" s="5" t="s">
        <v>121</v>
      </c>
      <c r="E4176" s="5" t="s">
        <v>112</v>
      </c>
      <c r="F4176" s="6" t="s">
        <v>353</v>
      </c>
      <c r="G4176" s="4" t="s">
        <v>1</v>
      </c>
      <c r="H4176" s="25">
        <v>58.412030450000003</v>
      </c>
      <c r="I4176" s="8">
        <v>-3120</v>
      </c>
      <c r="J4176" s="9">
        <v>0</v>
      </c>
      <c r="K4176" s="7">
        <v>3120</v>
      </c>
      <c r="L4176" s="24">
        <f>+Tabla2[[#This Row],[Stock Inventario]]*Tabla2[[#This Row],[Coste LÃ­nea]]</f>
        <v>0</v>
      </c>
      <c r="M4176" s="24">
        <f>+Tabla2[[#This Row],[Variación Stock]]*Tabla2[[#This Row],[Coste LÃ­nea]]</f>
        <v>182245.535004</v>
      </c>
      <c r="N4176" s="22" t="str">
        <f>+IF(Tabla2[[#This Row],[Variación Stock]]&gt;0,"Sobrante",IF(Tabla2[[#This Row],[Variación Stock]]&lt;0,"Faltante","Sin novedad"))</f>
        <v>Sobrante</v>
      </c>
    </row>
    <row r="4177" spans="1:14" hidden="1" x14ac:dyDescent="0.25">
      <c r="A4177" s="11">
        <v>46053</v>
      </c>
      <c r="B4177" s="5" t="s">
        <v>1078</v>
      </c>
      <c r="C4177" s="3" t="s">
        <v>339</v>
      </c>
      <c r="D4177" s="5" t="s">
        <v>120</v>
      </c>
      <c r="E4177" s="5" t="s">
        <v>117</v>
      </c>
      <c r="F4177" s="6" t="s">
        <v>707</v>
      </c>
      <c r="G4177" s="4" t="s">
        <v>1</v>
      </c>
      <c r="H4177" s="25">
        <v>15.798591500000001</v>
      </c>
      <c r="I4177" s="8">
        <v>-3050</v>
      </c>
      <c r="J4177" s="9">
        <v>800</v>
      </c>
      <c r="K4177" s="7">
        <v>3850</v>
      </c>
      <c r="L4177" s="24">
        <f>+Tabla2[[#This Row],[Stock Inventario]]*Tabla2[[#This Row],[Coste LÃ­nea]]</f>
        <v>12638.8732</v>
      </c>
      <c r="M4177" s="24">
        <f>+Tabla2[[#This Row],[Variación Stock]]*Tabla2[[#This Row],[Coste LÃ­nea]]</f>
        <v>60824.577275000003</v>
      </c>
      <c r="N4177" s="22" t="str">
        <f>+IF(Tabla2[[#This Row],[Variación Stock]]&gt;0,"Sobrante",IF(Tabla2[[#This Row],[Variación Stock]]&lt;0,"Faltante","Sin novedad"))</f>
        <v>Sobrante</v>
      </c>
    </row>
    <row r="4178" spans="1:14" hidden="1" x14ac:dyDescent="0.25">
      <c r="A4178" s="11">
        <v>46053</v>
      </c>
      <c r="B4178" s="5" t="s">
        <v>1078</v>
      </c>
      <c r="C4178" s="3" t="s">
        <v>339</v>
      </c>
      <c r="D4178" s="5" t="s">
        <v>120</v>
      </c>
      <c r="E4178" s="5" t="s">
        <v>117</v>
      </c>
      <c r="F4178" s="6" t="s">
        <v>708</v>
      </c>
      <c r="G4178" s="4" t="s">
        <v>1</v>
      </c>
      <c r="H4178" s="25">
        <v>24.960225869999999</v>
      </c>
      <c r="I4178" s="8">
        <v>2892</v>
      </c>
      <c r="J4178" s="9">
        <v>0</v>
      </c>
      <c r="K4178" s="7">
        <v>-2892</v>
      </c>
      <c r="L4178" s="24">
        <f>+Tabla2[[#This Row],[Stock Inventario]]*Tabla2[[#This Row],[Coste LÃ­nea]]</f>
        <v>0</v>
      </c>
      <c r="M4178" s="24">
        <f>+Tabla2[[#This Row],[Variación Stock]]*Tabla2[[#This Row],[Coste LÃ­nea]]</f>
        <v>-72184.973216040002</v>
      </c>
      <c r="N4178" s="22" t="str">
        <f>+IF(Tabla2[[#This Row],[Variación Stock]]&gt;0,"Sobrante",IF(Tabla2[[#This Row],[Variación Stock]]&lt;0,"Faltante","Sin novedad"))</f>
        <v>Faltante</v>
      </c>
    </row>
    <row r="4179" spans="1:14" hidden="1" x14ac:dyDescent="0.25">
      <c r="A4179" s="11">
        <v>46053</v>
      </c>
      <c r="B4179" s="5" t="s">
        <v>1078</v>
      </c>
      <c r="C4179" s="3" t="s">
        <v>339</v>
      </c>
      <c r="D4179" s="5" t="s">
        <v>120</v>
      </c>
      <c r="E4179" s="5" t="s">
        <v>117</v>
      </c>
      <c r="F4179" s="6" t="s">
        <v>709</v>
      </c>
      <c r="G4179" s="4" t="s">
        <v>2</v>
      </c>
      <c r="H4179" s="25">
        <v>53.101138890000001</v>
      </c>
      <c r="I4179" s="8">
        <v>0</v>
      </c>
      <c r="J4179" s="9">
        <v>40</v>
      </c>
      <c r="K4179" s="7">
        <v>40</v>
      </c>
      <c r="L4179" s="24">
        <f>+Tabla2[[#This Row],[Stock Inventario]]*Tabla2[[#This Row],[Coste LÃ­nea]]</f>
        <v>2124.0455556000002</v>
      </c>
      <c r="M4179" s="24">
        <f>+Tabla2[[#This Row],[Variación Stock]]*Tabla2[[#This Row],[Coste LÃ­nea]]</f>
        <v>2124.0455556000002</v>
      </c>
      <c r="N4179" s="22" t="str">
        <f>+IF(Tabla2[[#This Row],[Variación Stock]]&gt;0,"Sobrante",IF(Tabla2[[#This Row],[Variación Stock]]&lt;0,"Faltante","Sin novedad"))</f>
        <v>Sobrante</v>
      </c>
    </row>
    <row r="4180" spans="1:14" hidden="1" x14ac:dyDescent="0.25">
      <c r="A4180" s="11">
        <v>46053</v>
      </c>
      <c r="B4180" s="5" t="s">
        <v>1078</v>
      </c>
      <c r="C4180" s="3" t="s">
        <v>339</v>
      </c>
      <c r="D4180" s="5" t="s">
        <v>120</v>
      </c>
      <c r="E4180" s="5" t="s">
        <v>117</v>
      </c>
      <c r="F4180" s="6" t="s">
        <v>710</v>
      </c>
      <c r="G4180" s="4" t="s">
        <v>1</v>
      </c>
      <c r="H4180" s="25">
        <v>14.77931856</v>
      </c>
      <c r="I4180" s="8">
        <v>-2609</v>
      </c>
      <c r="J4180" s="9">
        <v>1704</v>
      </c>
      <c r="K4180" s="7">
        <v>4313</v>
      </c>
      <c r="L4180" s="24">
        <f>+Tabla2[[#This Row],[Stock Inventario]]*Tabla2[[#This Row],[Coste LÃ­nea]]</f>
        <v>25183.958826239999</v>
      </c>
      <c r="M4180" s="24">
        <f>+Tabla2[[#This Row],[Variación Stock]]*Tabla2[[#This Row],[Coste LÃ­nea]]</f>
        <v>63743.200949279999</v>
      </c>
      <c r="N4180" s="22" t="str">
        <f>+IF(Tabla2[[#This Row],[Variación Stock]]&gt;0,"Sobrante",IF(Tabla2[[#This Row],[Variación Stock]]&lt;0,"Faltante","Sin novedad"))</f>
        <v>Sobrante</v>
      </c>
    </row>
    <row r="4181" spans="1:14" hidden="1" x14ac:dyDescent="0.25">
      <c r="A4181" s="11">
        <v>46053</v>
      </c>
      <c r="B4181" s="5" t="s">
        <v>1078</v>
      </c>
      <c r="C4181" s="3" t="s">
        <v>339</v>
      </c>
      <c r="D4181" s="5" t="s">
        <v>120</v>
      </c>
      <c r="E4181" s="5" t="s">
        <v>117</v>
      </c>
      <c r="F4181" s="6" t="s">
        <v>711</v>
      </c>
      <c r="G4181" s="4" t="s">
        <v>1</v>
      </c>
      <c r="H4181" s="25">
        <v>12.823530269999999</v>
      </c>
      <c r="I4181" s="8">
        <v>-16240</v>
      </c>
      <c r="J4181" s="9">
        <v>0</v>
      </c>
      <c r="K4181" s="7">
        <v>16240</v>
      </c>
      <c r="L4181" s="24">
        <f>+Tabla2[[#This Row],[Stock Inventario]]*Tabla2[[#This Row],[Coste LÃ­nea]]</f>
        <v>0</v>
      </c>
      <c r="M4181" s="24">
        <f>+Tabla2[[#This Row],[Variación Stock]]*Tabla2[[#This Row],[Coste LÃ­nea]]</f>
        <v>208254.13158479999</v>
      </c>
      <c r="N4181" s="22" t="str">
        <f>+IF(Tabla2[[#This Row],[Variación Stock]]&gt;0,"Sobrante",IF(Tabla2[[#This Row],[Variación Stock]]&lt;0,"Faltante","Sin novedad"))</f>
        <v>Sobrante</v>
      </c>
    </row>
    <row r="4182" spans="1:14" hidden="1" x14ac:dyDescent="0.25">
      <c r="A4182" s="11">
        <v>46053</v>
      </c>
      <c r="B4182" s="5" t="s">
        <v>1078</v>
      </c>
      <c r="C4182" s="3" t="s">
        <v>339</v>
      </c>
      <c r="D4182" s="5" t="s">
        <v>120</v>
      </c>
      <c r="E4182" s="5" t="s">
        <v>117</v>
      </c>
      <c r="F4182" s="6" t="s">
        <v>316</v>
      </c>
      <c r="G4182" s="4" t="s">
        <v>2</v>
      </c>
      <c r="H4182" s="25">
        <v>1756.7813333300001</v>
      </c>
      <c r="I4182" s="8">
        <v>57</v>
      </c>
      <c r="J4182" s="9">
        <v>72</v>
      </c>
      <c r="K4182" s="7">
        <v>15</v>
      </c>
      <c r="L4182" s="24">
        <f>+Tabla2[[#This Row],[Stock Inventario]]*Tabla2[[#This Row],[Coste LÃ­nea]]</f>
        <v>126488.25599976</v>
      </c>
      <c r="M4182" s="24">
        <f>+Tabla2[[#This Row],[Variación Stock]]*Tabla2[[#This Row],[Coste LÃ­nea]]</f>
        <v>26351.719999950001</v>
      </c>
      <c r="N4182" s="22" t="str">
        <f>+IF(Tabla2[[#This Row],[Variación Stock]]&gt;0,"Sobrante",IF(Tabla2[[#This Row],[Variación Stock]]&lt;0,"Faltante","Sin novedad"))</f>
        <v>Sobrante</v>
      </c>
    </row>
    <row r="4183" spans="1:14" hidden="1" x14ac:dyDescent="0.25">
      <c r="A4183" s="11">
        <v>46053</v>
      </c>
      <c r="B4183" s="5" t="s">
        <v>1078</v>
      </c>
      <c r="C4183" s="3" t="s">
        <v>339</v>
      </c>
      <c r="D4183" s="5" t="s">
        <v>120</v>
      </c>
      <c r="E4183" s="5" t="s">
        <v>117</v>
      </c>
      <c r="F4183" s="6" t="s">
        <v>376</v>
      </c>
      <c r="G4183" s="4" t="s">
        <v>2</v>
      </c>
      <c r="H4183" s="25">
        <v>2900.3227931299998</v>
      </c>
      <c r="I4183" s="8">
        <v>-16</v>
      </c>
      <c r="J4183" s="9">
        <v>14</v>
      </c>
      <c r="K4183" s="7">
        <v>30</v>
      </c>
      <c r="L4183" s="24">
        <f>+Tabla2[[#This Row],[Stock Inventario]]*Tabla2[[#This Row],[Coste LÃ­nea]]</f>
        <v>40604.519103819999</v>
      </c>
      <c r="M4183" s="24">
        <f>+Tabla2[[#This Row],[Variación Stock]]*Tabla2[[#This Row],[Coste LÃ­nea]]</f>
        <v>87009.683793899996</v>
      </c>
      <c r="N4183" s="22" t="str">
        <f>+IF(Tabla2[[#This Row],[Variación Stock]]&gt;0,"Sobrante",IF(Tabla2[[#This Row],[Variación Stock]]&lt;0,"Faltante","Sin novedad"))</f>
        <v>Sobrante</v>
      </c>
    </row>
    <row r="4184" spans="1:14" hidden="1" x14ac:dyDescent="0.25">
      <c r="A4184" s="11">
        <v>46053</v>
      </c>
      <c r="B4184" s="5" t="s">
        <v>1078</v>
      </c>
      <c r="C4184" s="3" t="s">
        <v>339</v>
      </c>
      <c r="D4184" s="5" t="s">
        <v>120</v>
      </c>
      <c r="E4184" s="5" t="s">
        <v>117</v>
      </c>
      <c r="F4184" s="6" t="s">
        <v>712</v>
      </c>
      <c r="G4184" s="4" t="s">
        <v>1</v>
      </c>
      <c r="H4184" s="25">
        <v>15.157083310000001</v>
      </c>
      <c r="I4184" s="8">
        <v>-26824</v>
      </c>
      <c r="J4184" s="9">
        <v>2000</v>
      </c>
      <c r="K4184" s="7">
        <v>28824</v>
      </c>
      <c r="L4184" s="24">
        <f>+Tabla2[[#This Row],[Stock Inventario]]*Tabla2[[#This Row],[Coste LÃ­nea]]</f>
        <v>30314.16662</v>
      </c>
      <c r="M4184" s="24">
        <f>+Tabla2[[#This Row],[Variación Stock]]*Tabla2[[#This Row],[Coste LÃ­nea]]</f>
        <v>436887.76932744001</v>
      </c>
      <c r="N4184" s="22" t="str">
        <f>+IF(Tabla2[[#This Row],[Variación Stock]]&gt;0,"Sobrante",IF(Tabla2[[#This Row],[Variación Stock]]&lt;0,"Faltante","Sin novedad"))</f>
        <v>Sobrante</v>
      </c>
    </row>
    <row r="4185" spans="1:14" hidden="1" x14ac:dyDescent="0.25">
      <c r="A4185" s="11">
        <v>46053</v>
      </c>
      <c r="B4185" s="5" t="s">
        <v>1078</v>
      </c>
      <c r="C4185" s="3" t="s">
        <v>339</v>
      </c>
      <c r="D4185" s="5" t="s">
        <v>120</v>
      </c>
      <c r="E4185" s="5" t="s">
        <v>117</v>
      </c>
      <c r="F4185" s="6" t="s">
        <v>713</v>
      </c>
      <c r="G4185" s="4" t="s">
        <v>1</v>
      </c>
      <c r="H4185" s="25">
        <v>30.21137307</v>
      </c>
      <c r="I4185" s="8">
        <v>0</v>
      </c>
      <c r="J4185" s="9">
        <v>5366</v>
      </c>
      <c r="K4185" s="7">
        <v>5366</v>
      </c>
      <c r="L4185" s="24">
        <f>+Tabla2[[#This Row],[Stock Inventario]]*Tabla2[[#This Row],[Coste LÃ­nea]]</f>
        <v>162114.22789362</v>
      </c>
      <c r="M4185" s="24">
        <f>+Tabla2[[#This Row],[Variación Stock]]*Tabla2[[#This Row],[Coste LÃ­nea]]</f>
        <v>162114.22789362</v>
      </c>
      <c r="N4185" s="22" t="str">
        <f>+IF(Tabla2[[#This Row],[Variación Stock]]&gt;0,"Sobrante",IF(Tabla2[[#This Row],[Variación Stock]]&lt;0,"Faltante","Sin novedad"))</f>
        <v>Sobrante</v>
      </c>
    </row>
    <row r="4186" spans="1:14" x14ac:dyDescent="0.25">
      <c r="A4186" s="11">
        <v>46053</v>
      </c>
      <c r="B4186" s="5" t="s">
        <v>1078</v>
      </c>
      <c r="C4186" s="3" t="s">
        <v>339</v>
      </c>
      <c r="D4186" s="5" t="s">
        <v>121</v>
      </c>
      <c r="E4186" s="5" t="s">
        <v>112</v>
      </c>
      <c r="F4186" s="6" t="s">
        <v>356</v>
      </c>
      <c r="G4186" s="4" t="s">
        <v>1</v>
      </c>
      <c r="H4186" s="25">
        <v>10.8</v>
      </c>
      <c r="I4186" s="8">
        <v>-1556</v>
      </c>
      <c r="J4186" s="9">
        <v>2270</v>
      </c>
      <c r="K4186" s="7">
        <v>3826</v>
      </c>
      <c r="L4186" s="24">
        <f>+Tabla2[[#This Row],[Stock Inventario]]*Tabla2[[#This Row],[Coste LÃ­nea]]</f>
        <v>24516</v>
      </c>
      <c r="M4186" s="24">
        <f>+Tabla2[[#This Row],[Variación Stock]]*Tabla2[[#This Row],[Coste LÃ­nea]]</f>
        <v>41320.800000000003</v>
      </c>
      <c r="N4186" s="22" t="str">
        <f>+IF(Tabla2[[#This Row],[Variación Stock]]&gt;0,"Sobrante",IF(Tabla2[[#This Row],[Variación Stock]]&lt;0,"Faltante","Sin novedad"))</f>
        <v>Sobrante</v>
      </c>
    </row>
    <row r="4187" spans="1:14" x14ac:dyDescent="0.25">
      <c r="A4187" s="11">
        <v>46053</v>
      </c>
      <c r="B4187" s="5" t="s">
        <v>1078</v>
      </c>
      <c r="C4187" s="3" t="s">
        <v>339</v>
      </c>
      <c r="D4187" s="5" t="s">
        <v>121</v>
      </c>
      <c r="E4187" s="5" t="s">
        <v>112</v>
      </c>
      <c r="F4187" s="6" t="s">
        <v>331</v>
      </c>
      <c r="G4187" s="4" t="s">
        <v>0</v>
      </c>
      <c r="H4187" s="25">
        <v>3676.0409307599998</v>
      </c>
      <c r="I4187" s="8">
        <v>39.07</v>
      </c>
      <c r="J4187" s="9">
        <v>37.950000000000003</v>
      </c>
      <c r="K4187" s="7">
        <v>-1.1200000000000001</v>
      </c>
      <c r="L4187" s="24">
        <f>+Tabla2[[#This Row],[Stock Inventario]]*Tabla2[[#This Row],[Coste LÃ­nea]]</f>
        <v>139505.753322342</v>
      </c>
      <c r="M4187" s="24">
        <f>+Tabla2[[#This Row],[Variación Stock]]*Tabla2[[#This Row],[Coste LÃ­nea]]</f>
        <v>-4117.1658424511998</v>
      </c>
      <c r="N4187" s="22" t="str">
        <f>+IF(Tabla2[[#This Row],[Variación Stock]]&gt;0,"Sobrante",IF(Tabla2[[#This Row],[Variación Stock]]&lt;0,"Faltante","Sin novedad"))</f>
        <v>Faltante</v>
      </c>
    </row>
    <row r="4188" spans="1:14" x14ac:dyDescent="0.25">
      <c r="A4188" s="11">
        <v>46053</v>
      </c>
      <c r="B4188" s="5" t="s">
        <v>1078</v>
      </c>
      <c r="C4188" s="3" t="s">
        <v>339</v>
      </c>
      <c r="D4188" s="5" t="s">
        <v>121</v>
      </c>
      <c r="E4188" s="5" t="s">
        <v>112</v>
      </c>
      <c r="F4188" s="6" t="s">
        <v>332</v>
      </c>
      <c r="G4188" s="4" t="s">
        <v>0</v>
      </c>
      <c r="H4188" s="25">
        <v>3183.4720738300002</v>
      </c>
      <c r="I4188" s="8">
        <v>47</v>
      </c>
      <c r="J4188" s="9">
        <v>9.66</v>
      </c>
      <c r="K4188" s="7">
        <v>-37.340000000000003</v>
      </c>
      <c r="L4188" s="24">
        <f>+Tabla2[[#This Row],[Stock Inventario]]*Tabla2[[#This Row],[Coste LÃ­nea]]</f>
        <v>30752.340233197803</v>
      </c>
      <c r="M4188" s="24">
        <f>+Tabla2[[#This Row],[Variación Stock]]*Tabla2[[#This Row],[Coste LÃ­nea]]</f>
        <v>-118870.84723681222</v>
      </c>
      <c r="N4188" s="22" t="str">
        <f>+IF(Tabla2[[#This Row],[Variación Stock]]&gt;0,"Sobrante",IF(Tabla2[[#This Row],[Variación Stock]]&lt;0,"Faltante","Sin novedad"))</f>
        <v>Faltante</v>
      </c>
    </row>
    <row r="4189" spans="1:14" x14ac:dyDescent="0.25">
      <c r="A4189" s="11">
        <v>46053</v>
      </c>
      <c r="B4189" s="5" t="s">
        <v>1078</v>
      </c>
      <c r="C4189" s="3" t="s">
        <v>339</v>
      </c>
      <c r="D4189" s="5" t="s">
        <v>121</v>
      </c>
      <c r="E4189" s="5" t="s">
        <v>112</v>
      </c>
      <c r="F4189" s="6" t="s">
        <v>333</v>
      </c>
      <c r="G4189" s="4" t="s">
        <v>0</v>
      </c>
      <c r="H4189" s="25">
        <v>3620.8961526200001</v>
      </c>
      <c r="I4189" s="8">
        <v>106</v>
      </c>
      <c r="J4189" s="9">
        <v>105.47</v>
      </c>
      <c r="K4189" s="7">
        <v>-0.53</v>
      </c>
      <c r="L4189" s="24">
        <f>+Tabla2[[#This Row],[Stock Inventario]]*Tabla2[[#This Row],[Coste LÃ­nea]]</f>
        <v>381895.91721683141</v>
      </c>
      <c r="M4189" s="24">
        <f>+Tabla2[[#This Row],[Variación Stock]]*Tabla2[[#This Row],[Coste LÃ­nea]]</f>
        <v>-1919.0749608886001</v>
      </c>
      <c r="N4189" s="22" t="str">
        <f>+IF(Tabla2[[#This Row],[Variación Stock]]&gt;0,"Sobrante",IF(Tabla2[[#This Row],[Variación Stock]]&lt;0,"Faltante","Sin novedad"))</f>
        <v>Faltante</v>
      </c>
    </row>
    <row r="4190" spans="1:14" x14ac:dyDescent="0.25">
      <c r="A4190" s="11">
        <v>46053</v>
      </c>
      <c r="B4190" s="5" t="s">
        <v>1078</v>
      </c>
      <c r="C4190" s="3" t="s">
        <v>339</v>
      </c>
      <c r="D4190" s="5" t="s">
        <v>121</v>
      </c>
      <c r="E4190" s="5" t="s">
        <v>112</v>
      </c>
      <c r="F4190" s="6" t="s">
        <v>377</v>
      </c>
      <c r="G4190" s="4" t="s">
        <v>0</v>
      </c>
      <c r="H4190" s="25">
        <v>4963.6632860099999</v>
      </c>
      <c r="I4190" s="8">
        <v>0</v>
      </c>
      <c r="J4190" s="9">
        <v>0</v>
      </c>
      <c r="K4190" s="7">
        <v>0</v>
      </c>
      <c r="L4190" s="24">
        <f>+Tabla2[[#This Row],[Stock Inventario]]*Tabla2[[#This Row],[Coste LÃ­nea]]</f>
        <v>0</v>
      </c>
      <c r="M4190" s="24">
        <f>+Tabla2[[#This Row],[Variación Stock]]*Tabla2[[#This Row],[Coste LÃ­nea]]</f>
        <v>0</v>
      </c>
      <c r="N4190" s="22" t="str">
        <f>+IF(Tabla2[[#This Row],[Variación Stock]]&gt;0,"Sobrante",IF(Tabla2[[#This Row],[Variación Stock]]&lt;0,"Faltante","Sin novedad"))</f>
        <v>Sin novedad</v>
      </c>
    </row>
    <row r="4191" spans="1:14" x14ac:dyDescent="0.25">
      <c r="A4191" s="11">
        <v>46053</v>
      </c>
      <c r="B4191" s="5" t="s">
        <v>1078</v>
      </c>
      <c r="C4191" s="3" t="s">
        <v>339</v>
      </c>
      <c r="D4191" s="5" t="s">
        <v>121</v>
      </c>
      <c r="E4191" s="5" t="s">
        <v>112</v>
      </c>
      <c r="F4191" s="6" t="s">
        <v>334</v>
      </c>
      <c r="G4191" s="4" t="s">
        <v>0</v>
      </c>
      <c r="H4191" s="25">
        <v>2119.8143934300001</v>
      </c>
      <c r="I4191" s="8">
        <v>21</v>
      </c>
      <c r="J4191" s="9">
        <v>20.22</v>
      </c>
      <c r="K4191" s="7">
        <v>-0.78</v>
      </c>
      <c r="L4191" s="24">
        <f>+Tabla2[[#This Row],[Stock Inventario]]*Tabla2[[#This Row],[Coste LÃ­nea]]</f>
        <v>42862.647035154601</v>
      </c>
      <c r="M4191" s="24">
        <f>+Tabla2[[#This Row],[Variación Stock]]*Tabla2[[#This Row],[Coste LÃ­nea]]</f>
        <v>-1653.4552268754001</v>
      </c>
      <c r="N4191" s="22" t="str">
        <f>+IF(Tabla2[[#This Row],[Variación Stock]]&gt;0,"Sobrante",IF(Tabla2[[#This Row],[Variación Stock]]&lt;0,"Faltante","Sin novedad"))</f>
        <v>Faltante</v>
      </c>
    </row>
    <row r="4192" spans="1:14" hidden="1" x14ac:dyDescent="0.25">
      <c r="A4192" s="11">
        <v>46053</v>
      </c>
      <c r="B4192" s="5" t="s">
        <v>1078</v>
      </c>
      <c r="C4192" s="3" t="s">
        <v>339</v>
      </c>
      <c r="D4192" s="5" t="s">
        <v>323</v>
      </c>
      <c r="E4192" s="5" t="s">
        <v>117</v>
      </c>
      <c r="F4192" s="6" t="s">
        <v>774</v>
      </c>
      <c r="G4192" s="4" t="s">
        <v>1</v>
      </c>
      <c r="H4192" s="25">
        <v>25.837315660000002</v>
      </c>
      <c r="I4192" s="8">
        <v>0</v>
      </c>
      <c r="J4192" s="9">
        <v>0</v>
      </c>
      <c r="K4192" s="7">
        <v>0</v>
      </c>
      <c r="L4192" s="24">
        <f>+Tabla2[[#This Row],[Stock Inventario]]*Tabla2[[#This Row],[Coste LÃ­nea]]</f>
        <v>0</v>
      </c>
      <c r="M4192" s="24">
        <f>+Tabla2[[#This Row],[Variación Stock]]*Tabla2[[#This Row],[Coste LÃ­nea]]</f>
        <v>0</v>
      </c>
      <c r="N4192" s="22" t="str">
        <f>+IF(Tabla2[[#This Row],[Variación Stock]]&gt;0,"Sobrante",IF(Tabla2[[#This Row],[Variación Stock]]&lt;0,"Faltante","Sin novedad"))</f>
        <v>Sin novedad</v>
      </c>
    </row>
    <row r="4193" spans="1:14" hidden="1" x14ac:dyDescent="0.25">
      <c r="A4193" s="11">
        <v>46053</v>
      </c>
      <c r="B4193" s="5" t="s">
        <v>1078</v>
      </c>
      <c r="C4193" s="3" t="s">
        <v>339</v>
      </c>
      <c r="D4193" s="5" t="s">
        <v>120</v>
      </c>
      <c r="E4193" s="5" t="s">
        <v>117</v>
      </c>
      <c r="F4193" s="6" t="s">
        <v>768</v>
      </c>
      <c r="G4193" s="4" t="s">
        <v>1</v>
      </c>
      <c r="H4193" s="25">
        <v>13.386050259999999</v>
      </c>
      <c r="I4193" s="8">
        <v>0</v>
      </c>
      <c r="J4193" s="9">
        <v>0</v>
      </c>
      <c r="K4193" s="7">
        <v>0</v>
      </c>
      <c r="L4193" s="24">
        <f>+Tabla2[[#This Row],[Stock Inventario]]*Tabla2[[#This Row],[Coste LÃ­nea]]</f>
        <v>0</v>
      </c>
      <c r="M4193" s="24">
        <f>+Tabla2[[#This Row],[Variación Stock]]*Tabla2[[#This Row],[Coste LÃ­nea]]</f>
        <v>0</v>
      </c>
      <c r="N4193" s="22" t="str">
        <f>+IF(Tabla2[[#This Row],[Variación Stock]]&gt;0,"Sobrante",IF(Tabla2[[#This Row],[Variación Stock]]&lt;0,"Faltante","Sin novedad"))</f>
        <v>Sin novedad</v>
      </c>
    </row>
    <row r="4194" spans="1:14" hidden="1" x14ac:dyDescent="0.25">
      <c r="A4194" s="11">
        <v>46053</v>
      </c>
      <c r="B4194" s="5" t="s">
        <v>1078</v>
      </c>
      <c r="C4194" s="3" t="s">
        <v>339</v>
      </c>
      <c r="D4194" s="5" t="s">
        <v>120</v>
      </c>
      <c r="E4194" s="5" t="s">
        <v>117</v>
      </c>
      <c r="F4194" s="6" t="s">
        <v>714</v>
      </c>
      <c r="G4194" s="4" t="s">
        <v>1</v>
      </c>
      <c r="H4194" s="25">
        <v>21.21158569</v>
      </c>
      <c r="I4194" s="8">
        <v>-1036</v>
      </c>
      <c r="J4194" s="9">
        <v>0</v>
      </c>
      <c r="K4194" s="7">
        <v>1036</v>
      </c>
      <c r="L4194" s="24">
        <f>+Tabla2[[#This Row],[Stock Inventario]]*Tabla2[[#This Row],[Coste LÃ­nea]]</f>
        <v>0</v>
      </c>
      <c r="M4194" s="24">
        <f>+Tabla2[[#This Row],[Variación Stock]]*Tabla2[[#This Row],[Coste LÃ­nea]]</f>
        <v>21975.20277484</v>
      </c>
      <c r="N4194" s="22" t="str">
        <f>+IF(Tabla2[[#This Row],[Variación Stock]]&gt;0,"Sobrante",IF(Tabla2[[#This Row],[Variación Stock]]&lt;0,"Faltante","Sin novedad"))</f>
        <v>Sobrante</v>
      </c>
    </row>
    <row r="4195" spans="1:14" hidden="1" x14ac:dyDescent="0.25">
      <c r="A4195" s="11">
        <v>46053</v>
      </c>
      <c r="B4195" s="5" t="s">
        <v>1078</v>
      </c>
      <c r="C4195" s="3" t="s">
        <v>339</v>
      </c>
      <c r="D4195" s="5" t="s">
        <v>120</v>
      </c>
      <c r="E4195" s="5" t="s">
        <v>117</v>
      </c>
      <c r="F4195" s="6" t="s">
        <v>715</v>
      </c>
      <c r="G4195" s="4" t="s">
        <v>1</v>
      </c>
      <c r="H4195" s="25">
        <v>55.369784940000002</v>
      </c>
      <c r="I4195" s="8">
        <v>-2218</v>
      </c>
      <c r="J4195" s="9">
        <v>400</v>
      </c>
      <c r="K4195" s="7">
        <v>2618</v>
      </c>
      <c r="L4195" s="24">
        <f>+Tabla2[[#This Row],[Stock Inventario]]*Tabla2[[#This Row],[Coste LÃ­nea]]</f>
        <v>22147.913976</v>
      </c>
      <c r="M4195" s="24">
        <f>+Tabla2[[#This Row],[Variación Stock]]*Tabla2[[#This Row],[Coste LÃ­nea]]</f>
        <v>144958.09697292</v>
      </c>
      <c r="N4195" s="22" t="str">
        <f>+IF(Tabla2[[#This Row],[Variación Stock]]&gt;0,"Sobrante",IF(Tabla2[[#This Row],[Variación Stock]]&lt;0,"Faltante","Sin novedad"))</f>
        <v>Sobrante</v>
      </c>
    </row>
    <row r="4196" spans="1:14" hidden="1" x14ac:dyDescent="0.25">
      <c r="A4196" s="11">
        <v>46053</v>
      </c>
      <c r="B4196" s="5" t="s">
        <v>1078</v>
      </c>
      <c r="C4196" s="3" t="s">
        <v>339</v>
      </c>
      <c r="D4196" s="5" t="s">
        <v>323</v>
      </c>
      <c r="E4196" s="5" t="s">
        <v>117</v>
      </c>
      <c r="F4196" s="6" t="s">
        <v>775</v>
      </c>
      <c r="G4196" s="4" t="s">
        <v>1</v>
      </c>
      <c r="H4196" s="25">
        <v>22.263002109999999</v>
      </c>
      <c r="I4196" s="8">
        <v>0</v>
      </c>
      <c r="J4196" s="9">
        <v>0</v>
      </c>
      <c r="K4196" s="7">
        <v>0</v>
      </c>
      <c r="L4196" s="24">
        <f>+Tabla2[[#This Row],[Stock Inventario]]*Tabla2[[#This Row],[Coste LÃ­nea]]</f>
        <v>0</v>
      </c>
      <c r="M4196" s="24">
        <f>+Tabla2[[#This Row],[Variación Stock]]*Tabla2[[#This Row],[Coste LÃ­nea]]</f>
        <v>0</v>
      </c>
      <c r="N4196" s="22" t="str">
        <f>+IF(Tabla2[[#This Row],[Variación Stock]]&gt;0,"Sobrante",IF(Tabla2[[#This Row],[Variación Stock]]&lt;0,"Faltante","Sin novedad"))</f>
        <v>Sin novedad</v>
      </c>
    </row>
    <row r="4197" spans="1:14" hidden="1" x14ac:dyDescent="0.25">
      <c r="A4197" s="11">
        <v>46053</v>
      </c>
      <c r="B4197" s="5" t="s">
        <v>1078</v>
      </c>
      <c r="C4197" s="3" t="s">
        <v>339</v>
      </c>
      <c r="D4197" s="5" t="s">
        <v>120</v>
      </c>
      <c r="E4197" s="5" t="s">
        <v>117</v>
      </c>
      <c r="F4197" s="6" t="s">
        <v>716</v>
      </c>
      <c r="G4197" s="4" t="s">
        <v>1</v>
      </c>
      <c r="H4197" s="25">
        <v>17.69502954</v>
      </c>
      <c r="I4197" s="8">
        <v>220</v>
      </c>
      <c r="J4197" s="9">
        <v>284</v>
      </c>
      <c r="K4197" s="7">
        <v>64</v>
      </c>
      <c r="L4197" s="24">
        <f>+Tabla2[[#This Row],[Stock Inventario]]*Tabla2[[#This Row],[Coste LÃ­nea]]</f>
        <v>5025.3883893600005</v>
      </c>
      <c r="M4197" s="24">
        <f>+Tabla2[[#This Row],[Variación Stock]]*Tabla2[[#This Row],[Coste LÃ­nea]]</f>
        <v>1132.48189056</v>
      </c>
      <c r="N4197" s="22" t="str">
        <f>+IF(Tabla2[[#This Row],[Variación Stock]]&gt;0,"Sobrante",IF(Tabla2[[#This Row],[Variación Stock]]&lt;0,"Faltante","Sin novedad"))</f>
        <v>Sobrante</v>
      </c>
    </row>
    <row r="4198" spans="1:14" hidden="1" x14ac:dyDescent="0.25">
      <c r="A4198" s="11">
        <v>46053</v>
      </c>
      <c r="B4198" s="5" t="s">
        <v>1078</v>
      </c>
      <c r="C4198" s="3" t="s">
        <v>339</v>
      </c>
      <c r="D4198" s="5" t="s">
        <v>323</v>
      </c>
      <c r="E4198" s="5" t="s">
        <v>117</v>
      </c>
      <c r="F4198" s="6" t="s">
        <v>350</v>
      </c>
      <c r="G4198" s="4" t="s">
        <v>1</v>
      </c>
      <c r="H4198" s="25">
        <v>36.819758819999997</v>
      </c>
      <c r="I4198" s="8">
        <v>-554</v>
      </c>
      <c r="J4198" s="9">
        <v>150</v>
      </c>
      <c r="K4198" s="7">
        <v>704</v>
      </c>
      <c r="L4198" s="24">
        <f>+Tabla2[[#This Row],[Stock Inventario]]*Tabla2[[#This Row],[Coste LÃ­nea]]</f>
        <v>5522.9638229999991</v>
      </c>
      <c r="M4198" s="24">
        <f>+Tabla2[[#This Row],[Variación Stock]]*Tabla2[[#This Row],[Coste LÃ­nea]]</f>
        <v>25921.110209279999</v>
      </c>
      <c r="N4198" s="22" t="str">
        <f>+IF(Tabla2[[#This Row],[Variación Stock]]&gt;0,"Sobrante",IF(Tabla2[[#This Row],[Variación Stock]]&lt;0,"Faltante","Sin novedad"))</f>
        <v>Sobrante</v>
      </c>
    </row>
    <row r="4199" spans="1:14" hidden="1" x14ac:dyDescent="0.25">
      <c r="A4199" s="11">
        <v>46053</v>
      </c>
      <c r="B4199" s="5" t="s">
        <v>1078</v>
      </c>
      <c r="C4199" s="3" t="s">
        <v>339</v>
      </c>
      <c r="D4199" s="5" t="s">
        <v>120</v>
      </c>
      <c r="E4199" s="5" t="s">
        <v>117</v>
      </c>
      <c r="F4199" s="6" t="s">
        <v>717</v>
      </c>
      <c r="G4199" s="4" t="s">
        <v>1</v>
      </c>
      <c r="H4199" s="25">
        <v>29.053270170000001</v>
      </c>
      <c r="I4199" s="8">
        <v>-300</v>
      </c>
      <c r="J4199" s="9">
        <v>0</v>
      </c>
      <c r="K4199" s="7">
        <v>300</v>
      </c>
      <c r="L4199" s="24">
        <f>+Tabla2[[#This Row],[Stock Inventario]]*Tabla2[[#This Row],[Coste LÃ­nea]]</f>
        <v>0</v>
      </c>
      <c r="M4199" s="24">
        <f>+Tabla2[[#This Row],[Variación Stock]]*Tabla2[[#This Row],[Coste LÃ­nea]]</f>
        <v>8715.9810510000007</v>
      </c>
      <c r="N4199" s="22" t="str">
        <f>+IF(Tabla2[[#This Row],[Variación Stock]]&gt;0,"Sobrante",IF(Tabla2[[#This Row],[Variación Stock]]&lt;0,"Faltante","Sin novedad"))</f>
        <v>Sobrante</v>
      </c>
    </row>
    <row r="4200" spans="1:14" hidden="1" x14ac:dyDescent="0.25">
      <c r="A4200" s="11">
        <v>46053</v>
      </c>
      <c r="B4200" s="5" t="s">
        <v>1078</v>
      </c>
      <c r="C4200" s="3" t="s">
        <v>339</v>
      </c>
      <c r="D4200" s="5" t="s">
        <v>120</v>
      </c>
      <c r="E4200" s="5" t="s">
        <v>117</v>
      </c>
      <c r="F4200" s="6" t="s">
        <v>718</v>
      </c>
      <c r="G4200" s="4" t="s">
        <v>1</v>
      </c>
      <c r="H4200" s="25">
        <v>10.464042109999999</v>
      </c>
      <c r="I4200" s="8">
        <v>2762</v>
      </c>
      <c r="J4200" s="9">
        <v>210</v>
      </c>
      <c r="K4200" s="7">
        <v>-2552</v>
      </c>
      <c r="L4200" s="24">
        <f>+Tabla2[[#This Row],[Stock Inventario]]*Tabla2[[#This Row],[Coste LÃ­nea]]</f>
        <v>2197.4488431</v>
      </c>
      <c r="M4200" s="24">
        <f>+Tabla2[[#This Row],[Variación Stock]]*Tabla2[[#This Row],[Coste LÃ­nea]]</f>
        <v>-26704.235464719997</v>
      </c>
      <c r="N4200" s="22" t="str">
        <f>+IF(Tabla2[[#This Row],[Variación Stock]]&gt;0,"Sobrante",IF(Tabla2[[#This Row],[Variación Stock]]&lt;0,"Faltante","Sin novedad"))</f>
        <v>Faltante</v>
      </c>
    </row>
    <row r="4201" spans="1:14" hidden="1" x14ac:dyDescent="0.25">
      <c r="A4201" s="11">
        <v>46053</v>
      </c>
      <c r="B4201" s="5" t="s">
        <v>1078</v>
      </c>
      <c r="C4201" s="3" t="s">
        <v>339</v>
      </c>
      <c r="D4201" s="5" t="s">
        <v>120</v>
      </c>
      <c r="E4201" s="5" t="s">
        <v>117</v>
      </c>
      <c r="F4201" s="6" t="s">
        <v>719</v>
      </c>
      <c r="G4201" s="4" t="s">
        <v>1</v>
      </c>
      <c r="H4201" s="25">
        <v>50.627536280000001</v>
      </c>
      <c r="I4201" s="8">
        <v>1144</v>
      </c>
      <c r="J4201" s="9">
        <v>2558</v>
      </c>
      <c r="K4201" s="7">
        <v>1414</v>
      </c>
      <c r="L4201" s="24">
        <f>+Tabla2[[#This Row],[Stock Inventario]]*Tabla2[[#This Row],[Coste LÃ­nea]]</f>
        <v>129505.23780424001</v>
      </c>
      <c r="M4201" s="24">
        <f>+Tabla2[[#This Row],[Variación Stock]]*Tabla2[[#This Row],[Coste LÃ­nea]]</f>
        <v>71587.336299920004</v>
      </c>
      <c r="N4201" s="22" t="str">
        <f>+IF(Tabla2[[#This Row],[Variación Stock]]&gt;0,"Sobrante",IF(Tabla2[[#This Row],[Variación Stock]]&lt;0,"Faltante","Sin novedad"))</f>
        <v>Sobrante</v>
      </c>
    </row>
    <row r="4202" spans="1:14" hidden="1" x14ac:dyDescent="0.25">
      <c r="A4202" s="11">
        <v>46053</v>
      </c>
      <c r="B4202" s="5" t="s">
        <v>1078</v>
      </c>
      <c r="C4202" s="3" t="s">
        <v>339</v>
      </c>
      <c r="D4202" s="5" t="s">
        <v>120</v>
      </c>
      <c r="E4202" s="5" t="s">
        <v>117</v>
      </c>
      <c r="F4202" s="6" t="s">
        <v>767</v>
      </c>
      <c r="G4202" s="4" t="s">
        <v>2</v>
      </c>
      <c r="H4202" s="25">
        <v>1965.2784650900001</v>
      </c>
      <c r="I4202" s="8">
        <v>302</v>
      </c>
      <c r="J4202" s="9">
        <v>1000</v>
      </c>
      <c r="K4202" s="7">
        <v>698</v>
      </c>
      <c r="L4202" s="24">
        <f>+Tabla2[[#This Row],[Stock Inventario]]*Tabla2[[#This Row],[Coste LÃ­nea]]</f>
        <v>1965278.4650900001</v>
      </c>
      <c r="M4202" s="24">
        <f>+Tabla2[[#This Row],[Variación Stock]]*Tabla2[[#This Row],[Coste LÃ­nea]]</f>
        <v>1371764.36863282</v>
      </c>
      <c r="N4202" s="22" t="str">
        <f>+IF(Tabla2[[#This Row],[Variación Stock]]&gt;0,"Sobrante",IF(Tabla2[[#This Row],[Variación Stock]]&lt;0,"Faltante","Sin novedad"))</f>
        <v>Sobrante</v>
      </c>
    </row>
    <row r="4203" spans="1:14" hidden="1" x14ac:dyDescent="0.25">
      <c r="A4203" s="11">
        <v>46053</v>
      </c>
      <c r="B4203" s="5" t="s">
        <v>1078</v>
      </c>
      <c r="C4203" s="3" t="s">
        <v>339</v>
      </c>
      <c r="D4203" s="5" t="s">
        <v>120</v>
      </c>
      <c r="E4203" s="5" t="s">
        <v>117</v>
      </c>
      <c r="F4203" s="6" t="s">
        <v>720</v>
      </c>
      <c r="G4203" s="4" t="s">
        <v>2</v>
      </c>
      <c r="H4203" s="25">
        <v>547.73333338999998</v>
      </c>
      <c r="I4203" s="8">
        <v>109</v>
      </c>
      <c r="J4203" s="9">
        <v>53</v>
      </c>
      <c r="K4203" s="7">
        <v>-56</v>
      </c>
      <c r="L4203" s="24">
        <f>+Tabla2[[#This Row],[Stock Inventario]]*Tabla2[[#This Row],[Coste LÃ­nea]]</f>
        <v>29029.866669669998</v>
      </c>
      <c r="M4203" s="24">
        <f>+Tabla2[[#This Row],[Variación Stock]]*Tabla2[[#This Row],[Coste LÃ­nea]]</f>
        <v>-30673.066669839998</v>
      </c>
      <c r="N4203" s="22" t="str">
        <f>+IF(Tabla2[[#This Row],[Variación Stock]]&gt;0,"Sobrante",IF(Tabla2[[#This Row],[Variación Stock]]&lt;0,"Faltante","Sin novedad"))</f>
        <v>Faltante</v>
      </c>
    </row>
    <row r="4204" spans="1:14" hidden="1" x14ac:dyDescent="0.25">
      <c r="A4204" s="11">
        <v>46053</v>
      </c>
      <c r="B4204" s="5" t="s">
        <v>1078</v>
      </c>
      <c r="C4204" s="3" t="s">
        <v>339</v>
      </c>
      <c r="D4204" s="5" t="s">
        <v>120</v>
      </c>
      <c r="E4204" s="5" t="s">
        <v>117</v>
      </c>
      <c r="F4204" s="6" t="s">
        <v>721</v>
      </c>
      <c r="G4204" s="4" t="s">
        <v>2</v>
      </c>
      <c r="H4204" s="25">
        <v>750.85294122000005</v>
      </c>
      <c r="I4204" s="8">
        <v>40</v>
      </c>
      <c r="J4204" s="9">
        <v>4</v>
      </c>
      <c r="K4204" s="7">
        <v>-36</v>
      </c>
      <c r="L4204" s="24">
        <f>+Tabla2[[#This Row],[Stock Inventario]]*Tabla2[[#This Row],[Coste LÃ­nea]]</f>
        <v>3003.4117648800002</v>
      </c>
      <c r="M4204" s="24">
        <f>+Tabla2[[#This Row],[Variación Stock]]*Tabla2[[#This Row],[Coste LÃ­nea]]</f>
        <v>-27030.705883920004</v>
      </c>
      <c r="N4204" s="22" t="str">
        <f>+IF(Tabla2[[#This Row],[Variación Stock]]&gt;0,"Sobrante",IF(Tabla2[[#This Row],[Variación Stock]]&lt;0,"Faltante","Sin novedad"))</f>
        <v>Faltante</v>
      </c>
    </row>
    <row r="4205" spans="1:14" x14ac:dyDescent="0.25">
      <c r="A4205" s="11">
        <v>46053</v>
      </c>
      <c r="B4205" s="5" t="s">
        <v>1078</v>
      </c>
      <c r="C4205" s="3" t="s">
        <v>339</v>
      </c>
      <c r="D4205" s="5" t="s">
        <v>121</v>
      </c>
      <c r="E4205" s="5" t="s">
        <v>112</v>
      </c>
      <c r="F4205" s="6" t="s">
        <v>802</v>
      </c>
      <c r="G4205" s="4" t="s">
        <v>1</v>
      </c>
      <c r="H4205" s="25">
        <v>21.83529412</v>
      </c>
      <c r="I4205" s="8">
        <v>-133</v>
      </c>
      <c r="J4205" s="9">
        <v>1896</v>
      </c>
      <c r="K4205" s="7">
        <v>2029</v>
      </c>
      <c r="L4205" s="24">
        <f>+Tabla2[[#This Row],[Stock Inventario]]*Tabla2[[#This Row],[Coste LÃ­nea]]</f>
        <v>41399.717651519997</v>
      </c>
      <c r="M4205" s="24">
        <f>+Tabla2[[#This Row],[Variación Stock]]*Tabla2[[#This Row],[Coste LÃ­nea]]</f>
        <v>44303.811769480002</v>
      </c>
      <c r="N4205" s="22" t="str">
        <f>+IF(Tabla2[[#This Row],[Variación Stock]]&gt;0,"Sobrante",IF(Tabla2[[#This Row],[Variación Stock]]&lt;0,"Faltante","Sin novedad"))</f>
        <v>Sobrante</v>
      </c>
    </row>
    <row r="4206" spans="1:14" hidden="1" x14ac:dyDescent="0.25">
      <c r="A4206" s="11">
        <v>46053</v>
      </c>
      <c r="B4206" s="5" t="s">
        <v>1078</v>
      </c>
      <c r="C4206" s="3" t="s">
        <v>339</v>
      </c>
      <c r="D4206" s="5" t="s">
        <v>323</v>
      </c>
      <c r="E4206" s="5" t="s">
        <v>117</v>
      </c>
      <c r="F4206" s="6" t="s">
        <v>351</v>
      </c>
      <c r="G4206" s="4" t="s">
        <v>2</v>
      </c>
      <c r="H4206" s="25">
        <v>1309.5238095499999</v>
      </c>
      <c r="I4206" s="8">
        <v>64</v>
      </c>
      <c r="J4206" s="9">
        <v>0</v>
      </c>
      <c r="K4206" s="7">
        <v>-64</v>
      </c>
      <c r="L4206" s="24">
        <f>+Tabla2[[#This Row],[Stock Inventario]]*Tabla2[[#This Row],[Coste LÃ­nea]]</f>
        <v>0</v>
      </c>
      <c r="M4206" s="24">
        <f>+Tabla2[[#This Row],[Variación Stock]]*Tabla2[[#This Row],[Coste LÃ­nea]]</f>
        <v>-83809.523811199993</v>
      </c>
      <c r="N4206" s="22" t="str">
        <f>+IF(Tabla2[[#This Row],[Variación Stock]]&gt;0,"Sobrante",IF(Tabla2[[#This Row],[Variación Stock]]&lt;0,"Faltante","Sin novedad"))</f>
        <v>Faltante</v>
      </c>
    </row>
    <row r="4207" spans="1:14" hidden="1" x14ac:dyDescent="0.25">
      <c r="A4207" s="11">
        <v>46053</v>
      </c>
      <c r="B4207" s="5" t="s">
        <v>1078</v>
      </c>
      <c r="C4207" s="3" t="s">
        <v>339</v>
      </c>
      <c r="D4207" s="5" t="s">
        <v>120</v>
      </c>
      <c r="E4207" s="5" t="s">
        <v>117</v>
      </c>
      <c r="F4207" s="6" t="s">
        <v>722</v>
      </c>
      <c r="G4207" s="4" t="s">
        <v>1</v>
      </c>
      <c r="H4207" s="25">
        <v>6.5112592500000002</v>
      </c>
      <c r="I4207" s="8">
        <v>-16299</v>
      </c>
      <c r="J4207" s="9">
        <v>40</v>
      </c>
      <c r="K4207" s="7">
        <v>16339</v>
      </c>
      <c r="L4207" s="24">
        <f>+Tabla2[[#This Row],[Stock Inventario]]*Tabla2[[#This Row],[Coste LÃ­nea]]</f>
        <v>260.45037000000002</v>
      </c>
      <c r="M4207" s="24">
        <f>+Tabla2[[#This Row],[Variación Stock]]*Tabla2[[#This Row],[Coste LÃ­nea]]</f>
        <v>106387.46488575</v>
      </c>
      <c r="N4207" s="22" t="str">
        <f>+IF(Tabla2[[#This Row],[Variación Stock]]&gt;0,"Sobrante",IF(Tabla2[[#This Row],[Variación Stock]]&lt;0,"Faltante","Sin novedad"))</f>
        <v>Sobrante</v>
      </c>
    </row>
    <row r="4208" spans="1:14" hidden="1" x14ac:dyDescent="0.25">
      <c r="A4208" s="11">
        <v>46053</v>
      </c>
      <c r="B4208" s="5" t="s">
        <v>1078</v>
      </c>
      <c r="C4208" s="3" t="s">
        <v>339</v>
      </c>
      <c r="D4208" s="5" t="s">
        <v>120</v>
      </c>
      <c r="E4208" s="5" t="s">
        <v>117</v>
      </c>
      <c r="F4208" s="6" t="s">
        <v>723</v>
      </c>
      <c r="G4208" s="4" t="s">
        <v>1</v>
      </c>
      <c r="H4208" s="25">
        <v>28.93669178</v>
      </c>
      <c r="I4208" s="8">
        <v>5000</v>
      </c>
      <c r="J4208" s="9">
        <v>0</v>
      </c>
      <c r="K4208" s="7">
        <v>-5000</v>
      </c>
      <c r="L4208" s="24">
        <f>+Tabla2[[#This Row],[Stock Inventario]]*Tabla2[[#This Row],[Coste LÃ­nea]]</f>
        <v>0</v>
      </c>
      <c r="M4208" s="24">
        <f>+Tabla2[[#This Row],[Variación Stock]]*Tabla2[[#This Row],[Coste LÃ­nea]]</f>
        <v>-144683.4589</v>
      </c>
      <c r="N4208" s="22" t="str">
        <f>+IF(Tabla2[[#This Row],[Variación Stock]]&gt;0,"Sobrante",IF(Tabla2[[#This Row],[Variación Stock]]&lt;0,"Faltante","Sin novedad"))</f>
        <v>Faltante</v>
      </c>
    </row>
    <row r="4209" spans="1:14" hidden="1" x14ac:dyDescent="0.25">
      <c r="A4209" s="11">
        <v>46053</v>
      </c>
      <c r="B4209" s="5" t="s">
        <v>1078</v>
      </c>
      <c r="C4209" s="3" t="s">
        <v>339</v>
      </c>
      <c r="D4209" s="5" t="s">
        <v>323</v>
      </c>
      <c r="E4209" s="5" t="s">
        <v>117</v>
      </c>
      <c r="F4209" s="6" t="s">
        <v>326</v>
      </c>
      <c r="G4209" s="4" t="s">
        <v>1</v>
      </c>
      <c r="H4209" s="25">
        <v>23.276470440000001</v>
      </c>
      <c r="I4209" s="8">
        <v>12551.999400000001</v>
      </c>
      <c r="J4209" s="9">
        <v>11600</v>
      </c>
      <c r="K4209" s="7">
        <v>-951.99943599999995</v>
      </c>
      <c r="L4209" s="24">
        <f>+Tabla2[[#This Row],[Stock Inventario]]*Tabla2[[#This Row],[Coste LÃ­nea]]</f>
        <v>270007.05710400001</v>
      </c>
      <c r="M4209" s="24">
        <f>+Tabla2[[#This Row],[Variación Stock]]*Tabla2[[#This Row],[Coste LÃ­nea]]</f>
        <v>-22159.186730950671</v>
      </c>
      <c r="N4209" s="22" t="str">
        <f>+IF(Tabla2[[#This Row],[Variación Stock]]&gt;0,"Sobrante",IF(Tabla2[[#This Row],[Variación Stock]]&lt;0,"Faltante","Sin novedad"))</f>
        <v>Faltante</v>
      </c>
    </row>
    <row r="4210" spans="1:14" hidden="1" x14ac:dyDescent="0.25">
      <c r="A4210" s="11">
        <v>46053</v>
      </c>
      <c r="B4210" s="5" t="s">
        <v>1078</v>
      </c>
      <c r="C4210" s="3" t="s">
        <v>339</v>
      </c>
      <c r="D4210" s="5" t="s">
        <v>323</v>
      </c>
      <c r="E4210" s="5" t="s">
        <v>117</v>
      </c>
      <c r="F4210" s="6" t="s">
        <v>327</v>
      </c>
      <c r="G4210" s="4" t="s">
        <v>1</v>
      </c>
      <c r="H4210" s="25">
        <v>56.626137929999999</v>
      </c>
      <c r="I4210" s="8">
        <v>6492</v>
      </c>
      <c r="J4210" s="9">
        <v>4000</v>
      </c>
      <c r="K4210" s="7">
        <v>-2492</v>
      </c>
      <c r="L4210" s="24">
        <f>+Tabla2[[#This Row],[Stock Inventario]]*Tabla2[[#This Row],[Coste LÃ­nea]]</f>
        <v>226504.55171999999</v>
      </c>
      <c r="M4210" s="24">
        <f>+Tabla2[[#This Row],[Variación Stock]]*Tabla2[[#This Row],[Coste LÃ­nea]]</f>
        <v>-141112.33572156</v>
      </c>
      <c r="N4210" s="22" t="str">
        <f>+IF(Tabla2[[#This Row],[Variación Stock]]&gt;0,"Sobrante",IF(Tabla2[[#This Row],[Variación Stock]]&lt;0,"Faltante","Sin novedad"))</f>
        <v>Faltante</v>
      </c>
    </row>
    <row r="4211" spans="1:14" hidden="1" x14ac:dyDescent="0.25">
      <c r="A4211" s="11">
        <v>46053</v>
      </c>
      <c r="B4211" s="5" t="s">
        <v>1078</v>
      </c>
      <c r="C4211" s="3" t="s">
        <v>339</v>
      </c>
      <c r="D4211" s="5" t="s">
        <v>120</v>
      </c>
      <c r="E4211" s="5" t="s">
        <v>117</v>
      </c>
      <c r="F4211" s="6" t="s">
        <v>724</v>
      </c>
      <c r="G4211" s="4" t="s">
        <v>1</v>
      </c>
      <c r="H4211" s="25">
        <v>19.172740739999998</v>
      </c>
      <c r="I4211" s="8">
        <v>3158</v>
      </c>
      <c r="J4211" s="9">
        <v>440</v>
      </c>
      <c r="K4211" s="7">
        <v>-2718</v>
      </c>
      <c r="L4211" s="24">
        <f>+Tabla2[[#This Row],[Stock Inventario]]*Tabla2[[#This Row],[Coste LÃ­nea]]</f>
        <v>8436.0059255999986</v>
      </c>
      <c r="M4211" s="24">
        <f>+Tabla2[[#This Row],[Variación Stock]]*Tabla2[[#This Row],[Coste LÃ­nea]]</f>
        <v>-52111.509331319998</v>
      </c>
      <c r="N4211" s="22" t="str">
        <f>+IF(Tabla2[[#This Row],[Variación Stock]]&gt;0,"Sobrante",IF(Tabla2[[#This Row],[Variación Stock]]&lt;0,"Faltante","Sin novedad"))</f>
        <v>Faltante</v>
      </c>
    </row>
    <row r="4212" spans="1:14" hidden="1" x14ac:dyDescent="0.25">
      <c r="A4212" s="11">
        <v>46053</v>
      </c>
      <c r="B4212" s="5" t="s">
        <v>1078</v>
      </c>
      <c r="C4212" s="3" t="s">
        <v>339</v>
      </c>
      <c r="D4212" s="5" t="s">
        <v>120</v>
      </c>
      <c r="E4212" s="5" t="s">
        <v>117</v>
      </c>
      <c r="F4212" s="6" t="s">
        <v>725</v>
      </c>
      <c r="G4212" s="4" t="s">
        <v>1</v>
      </c>
      <c r="H4212" s="25">
        <v>9.5113465999999995</v>
      </c>
      <c r="I4212" s="8">
        <v>-854</v>
      </c>
      <c r="J4212" s="9">
        <v>902</v>
      </c>
      <c r="K4212" s="7">
        <v>1756</v>
      </c>
      <c r="L4212" s="24">
        <f>+Tabla2[[#This Row],[Stock Inventario]]*Tabla2[[#This Row],[Coste LÃ­nea]]</f>
        <v>8579.2346331999997</v>
      </c>
      <c r="M4212" s="24">
        <f>+Tabla2[[#This Row],[Variación Stock]]*Tabla2[[#This Row],[Coste LÃ­nea]]</f>
        <v>16701.924629599998</v>
      </c>
      <c r="N4212" s="22" t="str">
        <f>+IF(Tabla2[[#This Row],[Variación Stock]]&gt;0,"Sobrante",IF(Tabla2[[#This Row],[Variación Stock]]&lt;0,"Faltante","Sin novedad"))</f>
        <v>Sobrante</v>
      </c>
    </row>
    <row r="4213" spans="1:14" hidden="1" x14ac:dyDescent="0.25">
      <c r="A4213" s="11">
        <v>46053</v>
      </c>
      <c r="B4213" s="5" t="s">
        <v>1078</v>
      </c>
      <c r="C4213" s="3" t="s">
        <v>339</v>
      </c>
      <c r="D4213" s="5" t="s">
        <v>323</v>
      </c>
      <c r="E4213" s="5" t="s">
        <v>117</v>
      </c>
      <c r="F4213" s="6" t="s">
        <v>776</v>
      </c>
      <c r="G4213" s="4" t="s">
        <v>1</v>
      </c>
      <c r="H4213" s="25">
        <v>4.2</v>
      </c>
      <c r="I4213" s="8">
        <v>242</v>
      </c>
      <c r="J4213" s="9">
        <v>0</v>
      </c>
      <c r="K4213" s="7">
        <v>-242</v>
      </c>
      <c r="L4213" s="24">
        <f>+Tabla2[[#This Row],[Stock Inventario]]*Tabla2[[#This Row],[Coste LÃ­nea]]</f>
        <v>0</v>
      </c>
      <c r="M4213" s="24">
        <f>+Tabla2[[#This Row],[Variación Stock]]*Tabla2[[#This Row],[Coste LÃ­nea]]</f>
        <v>-1016.4000000000001</v>
      </c>
      <c r="N4213" s="22" t="str">
        <f>+IF(Tabla2[[#This Row],[Variación Stock]]&gt;0,"Sobrante",IF(Tabla2[[#This Row],[Variación Stock]]&lt;0,"Faltante","Sin novedad"))</f>
        <v>Faltante</v>
      </c>
    </row>
    <row r="4214" spans="1:14" hidden="1" x14ac:dyDescent="0.25">
      <c r="A4214" s="11">
        <v>46053</v>
      </c>
      <c r="B4214" s="5" t="s">
        <v>1078</v>
      </c>
      <c r="C4214" s="3" t="s">
        <v>339</v>
      </c>
      <c r="D4214" s="5" t="s">
        <v>120</v>
      </c>
      <c r="E4214" s="5" t="s">
        <v>117</v>
      </c>
      <c r="F4214" s="6" t="s">
        <v>726</v>
      </c>
      <c r="G4214" s="4" t="s">
        <v>1</v>
      </c>
      <c r="H4214" s="25">
        <v>15.3146948</v>
      </c>
      <c r="I4214" s="8">
        <v>0</v>
      </c>
      <c r="J4214" s="9">
        <v>0</v>
      </c>
      <c r="K4214" s="7">
        <v>0</v>
      </c>
      <c r="L4214" s="24">
        <f>+Tabla2[[#This Row],[Stock Inventario]]*Tabla2[[#This Row],[Coste LÃ­nea]]</f>
        <v>0</v>
      </c>
      <c r="M4214" s="24">
        <f>+Tabla2[[#This Row],[Variación Stock]]*Tabla2[[#This Row],[Coste LÃ­nea]]</f>
        <v>0</v>
      </c>
      <c r="N4214" s="22" t="str">
        <f>+IF(Tabla2[[#This Row],[Variación Stock]]&gt;0,"Sobrante",IF(Tabla2[[#This Row],[Variación Stock]]&lt;0,"Faltante","Sin novedad"))</f>
        <v>Sin novedad</v>
      </c>
    </row>
    <row r="4215" spans="1:14" hidden="1" x14ac:dyDescent="0.25">
      <c r="A4215" s="11">
        <v>46053</v>
      </c>
      <c r="B4215" s="5" t="s">
        <v>1078</v>
      </c>
      <c r="C4215" s="3" t="s">
        <v>339</v>
      </c>
      <c r="D4215" s="5" t="s">
        <v>120</v>
      </c>
      <c r="E4215" s="5" t="s">
        <v>117</v>
      </c>
      <c r="F4215" s="6" t="s">
        <v>727</v>
      </c>
      <c r="G4215" s="4" t="s">
        <v>1</v>
      </c>
      <c r="H4215" s="25">
        <v>15</v>
      </c>
      <c r="I4215" s="8">
        <v>-660</v>
      </c>
      <c r="J4215" s="9">
        <v>630</v>
      </c>
      <c r="K4215" s="7">
        <v>1290</v>
      </c>
      <c r="L4215" s="24">
        <f>+Tabla2[[#This Row],[Stock Inventario]]*Tabla2[[#This Row],[Coste LÃ­nea]]</f>
        <v>9450</v>
      </c>
      <c r="M4215" s="24">
        <f>+Tabla2[[#This Row],[Variación Stock]]*Tabla2[[#This Row],[Coste LÃ­nea]]</f>
        <v>19350</v>
      </c>
      <c r="N4215" s="22" t="str">
        <f>+IF(Tabla2[[#This Row],[Variación Stock]]&gt;0,"Sobrante",IF(Tabla2[[#This Row],[Variación Stock]]&lt;0,"Faltante","Sin novedad"))</f>
        <v>Sobrante</v>
      </c>
    </row>
    <row r="4216" spans="1:14" hidden="1" x14ac:dyDescent="0.25">
      <c r="A4216" s="11">
        <v>46053</v>
      </c>
      <c r="B4216" s="5" t="s">
        <v>1078</v>
      </c>
      <c r="C4216" s="3" t="s">
        <v>339</v>
      </c>
      <c r="D4216" s="5" t="s">
        <v>120</v>
      </c>
      <c r="E4216" s="5" t="s">
        <v>117</v>
      </c>
      <c r="F4216" s="6" t="s">
        <v>728</v>
      </c>
      <c r="G4216" s="4" t="s">
        <v>1</v>
      </c>
      <c r="H4216" s="25">
        <v>60.755781599999999</v>
      </c>
      <c r="I4216" s="8">
        <v>2000</v>
      </c>
      <c r="J4216" s="9">
        <v>0</v>
      </c>
      <c r="K4216" s="7">
        <v>-2000</v>
      </c>
      <c r="L4216" s="24">
        <f>+Tabla2[[#This Row],[Stock Inventario]]*Tabla2[[#This Row],[Coste LÃ­nea]]</f>
        <v>0</v>
      </c>
      <c r="M4216" s="24">
        <f>+Tabla2[[#This Row],[Variación Stock]]*Tabla2[[#This Row],[Coste LÃ­nea]]</f>
        <v>-121511.5632</v>
      </c>
      <c r="N4216" s="22" t="str">
        <f>+IF(Tabla2[[#This Row],[Variación Stock]]&gt;0,"Sobrante",IF(Tabla2[[#This Row],[Variación Stock]]&lt;0,"Faltante","Sin novedad"))</f>
        <v>Faltante</v>
      </c>
    </row>
    <row r="4217" spans="1:14" x14ac:dyDescent="0.25">
      <c r="A4217" s="11">
        <v>46053</v>
      </c>
      <c r="B4217" s="5" t="s">
        <v>1078</v>
      </c>
      <c r="C4217" s="3" t="s">
        <v>339</v>
      </c>
      <c r="D4217" s="5" t="s">
        <v>121</v>
      </c>
      <c r="E4217" s="5" t="s">
        <v>112</v>
      </c>
      <c r="F4217" s="6" t="s">
        <v>793</v>
      </c>
      <c r="G4217" s="4" t="s">
        <v>1</v>
      </c>
      <c r="H4217" s="25">
        <v>54.742867339999997</v>
      </c>
      <c r="I4217" s="8">
        <v>0</v>
      </c>
      <c r="J4217" s="9">
        <v>0</v>
      </c>
      <c r="K4217" s="7">
        <v>0</v>
      </c>
      <c r="L4217" s="24">
        <f>+Tabla2[[#This Row],[Stock Inventario]]*Tabla2[[#This Row],[Coste LÃ­nea]]</f>
        <v>0</v>
      </c>
      <c r="M4217" s="24">
        <f>+Tabla2[[#This Row],[Variación Stock]]*Tabla2[[#This Row],[Coste LÃ­nea]]</f>
        <v>0</v>
      </c>
      <c r="N4217" s="22" t="str">
        <f>+IF(Tabla2[[#This Row],[Variación Stock]]&gt;0,"Sobrante",IF(Tabla2[[#This Row],[Variación Stock]]&lt;0,"Faltante","Sin novedad"))</f>
        <v>Sin novedad</v>
      </c>
    </row>
    <row r="4218" spans="1:14" hidden="1" x14ac:dyDescent="0.25">
      <c r="A4218" s="11">
        <v>46053</v>
      </c>
      <c r="B4218" s="5" t="s">
        <v>1078</v>
      </c>
      <c r="C4218" s="3" t="s">
        <v>339</v>
      </c>
      <c r="D4218" s="5" t="s">
        <v>323</v>
      </c>
      <c r="E4218" s="5" t="s">
        <v>117</v>
      </c>
      <c r="F4218" s="6" t="s">
        <v>781</v>
      </c>
      <c r="G4218" s="4" t="s">
        <v>2</v>
      </c>
      <c r="H4218" s="25">
        <v>6070.3696800199996</v>
      </c>
      <c r="I4218" s="8">
        <v>0</v>
      </c>
      <c r="J4218" s="9">
        <v>0</v>
      </c>
      <c r="K4218" s="7">
        <v>0</v>
      </c>
      <c r="L4218" s="24">
        <f>+Tabla2[[#This Row],[Stock Inventario]]*Tabla2[[#This Row],[Coste LÃ­nea]]</f>
        <v>0</v>
      </c>
      <c r="M4218" s="24">
        <f>+Tabla2[[#This Row],[Variación Stock]]*Tabla2[[#This Row],[Coste LÃ­nea]]</f>
        <v>0</v>
      </c>
      <c r="N4218" s="22" t="str">
        <f>+IF(Tabla2[[#This Row],[Variación Stock]]&gt;0,"Sobrante",IF(Tabla2[[#This Row],[Variación Stock]]&lt;0,"Faltante","Sin novedad"))</f>
        <v>Sin novedad</v>
      </c>
    </row>
    <row r="4219" spans="1:14" hidden="1" x14ac:dyDescent="0.25">
      <c r="A4219" s="11">
        <v>46053</v>
      </c>
      <c r="B4219" s="5" t="s">
        <v>1078</v>
      </c>
      <c r="C4219" s="3" t="s">
        <v>339</v>
      </c>
      <c r="D4219" s="5" t="s">
        <v>120</v>
      </c>
      <c r="E4219" s="5" t="s">
        <v>117</v>
      </c>
      <c r="F4219" s="6" t="s">
        <v>729</v>
      </c>
      <c r="G4219" s="4" t="s">
        <v>1</v>
      </c>
      <c r="H4219" s="25">
        <v>21.61672257</v>
      </c>
      <c r="I4219" s="8">
        <v>740</v>
      </c>
      <c r="J4219" s="9">
        <v>0</v>
      </c>
      <c r="K4219" s="7">
        <v>-740</v>
      </c>
      <c r="L4219" s="24">
        <f>+Tabla2[[#This Row],[Stock Inventario]]*Tabla2[[#This Row],[Coste LÃ­nea]]</f>
        <v>0</v>
      </c>
      <c r="M4219" s="24">
        <f>+Tabla2[[#This Row],[Variación Stock]]*Tabla2[[#This Row],[Coste LÃ­nea]]</f>
        <v>-15996.374701799999</v>
      </c>
      <c r="N4219" s="22" t="str">
        <f>+IF(Tabla2[[#This Row],[Variación Stock]]&gt;0,"Sobrante",IF(Tabla2[[#This Row],[Variación Stock]]&lt;0,"Faltante","Sin novedad"))</f>
        <v>Faltante</v>
      </c>
    </row>
    <row r="4220" spans="1:14" x14ac:dyDescent="0.25">
      <c r="A4220" s="11">
        <v>46053</v>
      </c>
      <c r="B4220" s="5" t="s">
        <v>1078</v>
      </c>
      <c r="C4220" s="3" t="s">
        <v>339</v>
      </c>
      <c r="D4220" s="5" t="s">
        <v>121</v>
      </c>
      <c r="E4220" s="5" t="s">
        <v>112</v>
      </c>
      <c r="F4220" s="6" t="s">
        <v>357</v>
      </c>
      <c r="G4220" s="4" t="s">
        <v>1</v>
      </c>
      <c r="H4220" s="25">
        <v>85.424136300000001</v>
      </c>
      <c r="I4220" s="8">
        <v>176</v>
      </c>
      <c r="J4220" s="9">
        <v>0</v>
      </c>
      <c r="K4220" s="7">
        <v>-176</v>
      </c>
      <c r="L4220" s="24">
        <f>+Tabla2[[#This Row],[Stock Inventario]]*Tabla2[[#This Row],[Coste LÃ­nea]]</f>
        <v>0</v>
      </c>
      <c r="M4220" s="24">
        <f>+Tabla2[[#This Row],[Variación Stock]]*Tabla2[[#This Row],[Coste LÃ­nea]]</f>
        <v>-15034.647988799999</v>
      </c>
      <c r="N4220" s="22" t="str">
        <f>+IF(Tabla2[[#This Row],[Variación Stock]]&gt;0,"Sobrante",IF(Tabla2[[#This Row],[Variación Stock]]&lt;0,"Faltante","Sin novedad"))</f>
        <v>Faltante</v>
      </c>
    </row>
    <row r="4221" spans="1:14" hidden="1" x14ac:dyDescent="0.25">
      <c r="A4221" s="11">
        <v>46053</v>
      </c>
      <c r="B4221" s="5" t="s">
        <v>1078</v>
      </c>
      <c r="C4221" s="3" t="s">
        <v>339</v>
      </c>
      <c r="D4221" s="5" t="s">
        <v>120</v>
      </c>
      <c r="E4221" s="5" t="s">
        <v>117</v>
      </c>
      <c r="F4221" s="6" t="s">
        <v>730</v>
      </c>
      <c r="G4221" s="4" t="s">
        <v>1</v>
      </c>
      <c r="H4221" s="25">
        <v>50.394806379999999</v>
      </c>
      <c r="I4221" s="8">
        <v>0</v>
      </c>
      <c r="J4221" s="9">
        <v>0</v>
      </c>
      <c r="K4221" s="7">
        <v>0</v>
      </c>
      <c r="L4221" s="24">
        <f>+Tabla2[[#This Row],[Stock Inventario]]*Tabla2[[#This Row],[Coste LÃ­nea]]</f>
        <v>0</v>
      </c>
      <c r="M4221" s="24">
        <f>+Tabla2[[#This Row],[Variación Stock]]*Tabla2[[#This Row],[Coste LÃ­nea]]</f>
        <v>0</v>
      </c>
      <c r="N4221" s="22" t="str">
        <f>+IF(Tabla2[[#This Row],[Variación Stock]]&gt;0,"Sobrante",IF(Tabla2[[#This Row],[Variación Stock]]&lt;0,"Faltante","Sin novedad"))</f>
        <v>Sin novedad</v>
      </c>
    </row>
    <row r="4222" spans="1:14" hidden="1" x14ac:dyDescent="0.25">
      <c r="A4222" s="11">
        <v>46053</v>
      </c>
      <c r="B4222" s="5" t="s">
        <v>1078</v>
      </c>
      <c r="C4222" s="3" t="s">
        <v>339</v>
      </c>
      <c r="D4222" s="5" t="s">
        <v>120</v>
      </c>
      <c r="E4222" s="5" t="s">
        <v>117</v>
      </c>
      <c r="F4222" s="6" t="s">
        <v>318</v>
      </c>
      <c r="G4222" s="4" t="s">
        <v>2</v>
      </c>
      <c r="H4222" s="25">
        <v>5928.1262500000003</v>
      </c>
      <c r="I4222" s="8">
        <v>8</v>
      </c>
      <c r="J4222" s="9">
        <v>8</v>
      </c>
      <c r="K4222" s="7">
        <v>0</v>
      </c>
      <c r="L4222" s="24">
        <f>+Tabla2[[#This Row],[Stock Inventario]]*Tabla2[[#This Row],[Coste LÃ­nea]]</f>
        <v>47425.01</v>
      </c>
      <c r="M4222" s="24">
        <f>+Tabla2[[#This Row],[Variación Stock]]*Tabla2[[#This Row],[Coste LÃ­nea]]</f>
        <v>0</v>
      </c>
      <c r="N4222" s="22" t="str">
        <f>+IF(Tabla2[[#This Row],[Variación Stock]]&gt;0,"Sobrante",IF(Tabla2[[#This Row],[Variación Stock]]&lt;0,"Faltante","Sin novedad"))</f>
        <v>Sin novedad</v>
      </c>
    </row>
    <row r="4223" spans="1:14" hidden="1" x14ac:dyDescent="0.25">
      <c r="A4223" s="11">
        <v>46053</v>
      </c>
      <c r="B4223" s="5" t="s">
        <v>1078</v>
      </c>
      <c r="C4223" s="3" t="s">
        <v>339</v>
      </c>
      <c r="D4223" s="5" t="s">
        <v>120</v>
      </c>
      <c r="E4223" s="5" t="s">
        <v>117</v>
      </c>
      <c r="F4223" s="6" t="s">
        <v>319</v>
      </c>
      <c r="G4223" s="4" t="s">
        <v>2</v>
      </c>
      <c r="H4223" s="25">
        <v>3455.3301711399999</v>
      </c>
      <c r="I4223" s="8">
        <v>41</v>
      </c>
      <c r="J4223" s="9">
        <v>37</v>
      </c>
      <c r="K4223" s="7">
        <v>-4</v>
      </c>
      <c r="L4223" s="24">
        <f>+Tabla2[[#This Row],[Stock Inventario]]*Tabla2[[#This Row],[Coste LÃ­nea]]</f>
        <v>127847.21633218</v>
      </c>
      <c r="M4223" s="24">
        <f>+Tabla2[[#This Row],[Variación Stock]]*Tabla2[[#This Row],[Coste LÃ­nea]]</f>
        <v>-13821.32068456</v>
      </c>
      <c r="N4223" s="22" t="str">
        <f>+IF(Tabla2[[#This Row],[Variación Stock]]&gt;0,"Sobrante",IF(Tabla2[[#This Row],[Variación Stock]]&lt;0,"Faltante","Sin novedad"))</f>
        <v>Faltante</v>
      </c>
    </row>
    <row r="4224" spans="1:14" hidden="1" x14ac:dyDescent="0.25">
      <c r="A4224" s="11">
        <v>46053</v>
      </c>
      <c r="B4224" s="5" t="s">
        <v>1078</v>
      </c>
      <c r="C4224" s="3" t="s">
        <v>339</v>
      </c>
      <c r="D4224" s="5" t="s">
        <v>120</v>
      </c>
      <c r="E4224" s="5" t="s">
        <v>117</v>
      </c>
      <c r="F4224" s="6" t="s">
        <v>731</v>
      </c>
      <c r="G4224" s="4" t="s">
        <v>1</v>
      </c>
      <c r="H4224" s="25">
        <v>9.5823249399999995</v>
      </c>
      <c r="I4224" s="8">
        <v>1182</v>
      </c>
      <c r="J4224" s="9">
        <v>0</v>
      </c>
      <c r="K4224" s="7">
        <v>-1182</v>
      </c>
      <c r="L4224" s="24">
        <f>+Tabla2[[#This Row],[Stock Inventario]]*Tabla2[[#This Row],[Coste LÃ­nea]]</f>
        <v>0</v>
      </c>
      <c r="M4224" s="24">
        <f>+Tabla2[[#This Row],[Variación Stock]]*Tabla2[[#This Row],[Coste LÃ­nea]]</f>
        <v>-11326.30807908</v>
      </c>
      <c r="N4224" s="22" t="str">
        <f>+IF(Tabla2[[#This Row],[Variación Stock]]&gt;0,"Sobrante",IF(Tabla2[[#This Row],[Variación Stock]]&lt;0,"Faltante","Sin novedad"))</f>
        <v>Faltante</v>
      </c>
    </row>
    <row r="4225" spans="1:14" hidden="1" x14ac:dyDescent="0.25">
      <c r="A4225" s="11">
        <v>46053</v>
      </c>
      <c r="B4225" s="5" t="s">
        <v>1078</v>
      </c>
      <c r="C4225" s="3" t="s">
        <v>339</v>
      </c>
      <c r="D4225" s="5" t="s">
        <v>120</v>
      </c>
      <c r="E4225" s="5" t="s">
        <v>117</v>
      </c>
      <c r="F4225" s="6" t="s">
        <v>732</v>
      </c>
      <c r="G4225" s="4" t="s">
        <v>1</v>
      </c>
      <c r="H4225" s="25">
        <v>18.616711599999999</v>
      </c>
      <c r="I4225" s="8">
        <v>2090</v>
      </c>
      <c r="J4225" s="9">
        <v>1534</v>
      </c>
      <c r="K4225" s="7">
        <v>-556</v>
      </c>
      <c r="L4225" s="24">
        <f>+Tabla2[[#This Row],[Stock Inventario]]*Tabla2[[#This Row],[Coste LÃ­nea]]</f>
        <v>28558.035594399997</v>
      </c>
      <c r="M4225" s="24">
        <f>+Tabla2[[#This Row],[Variación Stock]]*Tabla2[[#This Row],[Coste LÃ­nea]]</f>
        <v>-10350.891649599998</v>
      </c>
      <c r="N4225" s="22" t="str">
        <f>+IF(Tabla2[[#This Row],[Variación Stock]]&gt;0,"Sobrante",IF(Tabla2[[#This Row],[Variación Stock]]&lt;0,"Faltante","Sin novedad"))</f>
        <v>Faltante</v>
      </c>
    </row>
    <row r="4226" spans="1:14" hidden="1" x14ac:dyDescent="0.25">
      <c r="A4226" s="11">
        <v>46053</v>
      </c>
      <c r="B4226" s="5" t="s">
        <v>1078</v>
      </c>
      <c r="C4226" s="3" t="s">
        <v>339</v>
      </c>
      <c r="D4226" s="5" t="s">
        <v>323</v>
      </c>
      <c r="E4226" s="5" t="s">
        <v>117</v>
      </c>
      <c r="F4226" s="6" t="s">
        <v>328</v>
      </c>
      <c r="G4226" s="4" t="s">
        <v>2</v>
      </c>
      <c r="H4226" s="25">
        <v>20261.49076923</v>
      </c>
      <c r="I4226" s="8">
        <v>29.98</v>
      </c>
      <c r="J4226" s="9">
        <v>36.840000000000003</v>
      </c>
      <c r="K4226" s="7">
        <v>6.86</v>
      </c>
      <c r="L4226" s="24">
        <f>+Tabla2[[#This Row],[Stock Inventario]]*Tabla2[[#This Row],[Coste LÃ­nea]]</f>
        <v>746433.31993843324</v>
      </c>
      <c r="M4226" s="24">
        <f>+Tabla2[[#This Row],[Variación Stock]]*Tabla2[[#This Row],[Coste LÃ­nea]]</f>
        <v>138993.82667691782</v>
      </c>
      <c r="N4226" s="22" t="str">
        <f>+IF(Tabla2[[#This Row],[Variación Stock]]&gt;0,"Sobrante",IF(Tabla2[[#This Row],[Variación Stock]]&lt;0,"Faltante","Sin novedad"))</f>
        <v>Sobrante</v>
      </c>
    </row>
    <row r="4227" spans="1:14" hidden="1" x14ac:dyDescent="0.25">
      <c r="A4227" s="11">
        <v>46053</v>
      </c>
      <c r="B4227" s="5" t="s">
        <v>1078</v>
      </c>
      <c r="C4227" s="3" t="s">
        <v>339</v>
      </c>
      <c r="D4227" s="5" t="s">
        <v>323</v>
      </c>
      <c r="E4227" s="5" t="s">
        <v>117</v>
      </c>
      <c r="F4227" s="6" t="s">
        <v>329</v>
      </c>
      <c r="G4227" s="4" t="s">
        <v>2</v>
      </c>
      <c r="H4227" s="25">
        <v>7153.7631219499999</v>
      </c>
      <c r="I4227" s="8">
        <v>50</v>
      </c>
      <c r="J4227" s="9">
        <v>51</v>
      </c>
      <c r="K4227" s="7">
        <v>1</v>
      </c>
      <c r="L4227" s="24">
        <f>+Tabla2[[#This Row],[Stock Inventario]]*Tabla2[[#This Row],[Coste LÃ­nea]]</f>
        <v>364841.91921944998</v>
      </c>
      <c r="M4227" s="24">
        <f>+Tabla2[[#This Row],[Variación Stock]]*Tabla2[[#This Row],[Coste LÃ­nea]]</f>
        <v>7153.7631219499999</v>
      </c>
      <c r="N4227" s="22" t="str">
        <f>+IF(Tabla2[[#This Row],[Variación Stock]]&gt;0,"Sobrante",IF(Tabla2[[#This Row],[Variación Stock]]&lt;0,"Faltante","Sin novedad"))</f>
        <v>Sobrante</v>
      </c>
    </row>
    <row r="4228" spans="1:14" hidden="1" x14ac:dyDescent="0.25">
      <c r="A4228" s="11">
        <v>46053</v>
      </c>
      <c r="B4228" s="5" t="s">
        <v>1078</v>
      </c>
      <c r="C4228" s="3" t="s">
        <v>339</v>
      </c>
      <c r="D4228" s="5" t="s">
        <v>120</v>
      </c>
      <c r="E4228" s="5" t="s">
        <v>117</v>
      </c>
      <c r="F4228" s="6" t="s">
        <v>733</v>
      </c>
      <c r="G4228" s="4" t="s">
        <v>1</v>
      </c>
      <c r="H4228" s="25">
        <v>43.594779029999998</v>
      </c>
      <c r="I4228" s="8">
        <v>-28</v>
      </c>
      <c r="J4228" s="9">
        <v>334</v>
      </c>
      <c r="K4228" s="7">
        <v>362</v>
      </c>
      <c r="L4228" s="24">
        <f>+Tabla2[[#This Row],[Stock Inventario]]*Tabla2[[#This Row],[Coste LÃ­nea]]</f>
        <v>14560.65619602</v>
      </c>
      <c r="M4228" s="24">
        <f>+Tabla2[[#This Row],[Variación Stock]]*Tabla2[[#This Row],[Coste LÃ­nea]]</f>
        <v>15781.310008859999</v>
      </c>
      <c r="N4228" s="22" t="str">
        <f>+IF(Tabla2[[#This Row],[Variación Stock]]&gt;0,"Sobrante",IF(Tabla2[[#This Row],[Variación Stock]]&lt;0,"Faltante","Sin novedad"))</f>
        <v>Sobrante</v>
      </c>
    </row>
    <row r="4229" spans="1:14" hidden="1" x14ac:dyDescent="0.25">
      <c r="A4229" s="11">
        <v>46053</v>
      </c>
      <c r="B4229" s="5" t="s">
        <v>1078</v>
      </c>
      <c r="C4229" s="3" t="s">
        <v>339</v>
      </c>
      <c r="D4229" s="5" t="s">
        <v>120</v>
      </c>
      <c r="E4229" s="5" t="s">
        <v>117</v>
      </c>
      <c r="F4229" s="6" t="s">
        <v>734</v>
      </c>
      <c r="G4229" s="4" t="s">
        <v>1</v>
      </c>
      <c r="H4229" s="25">
        <v>16.654198109999999</v>
      </c>
      <c r="I4229" s="8">
        <v>0</v>
      </c>
      <c r="J4229" s="9">
        <v>0</v>
      </c>
      <c r="K4229" s="7">
        <v>0</v>
      </c>
      <c r="L4229" s="24">
        <f>+Tabla2[[#This Row],[Stock Inventario]]*Tabla2[[#This Row],[Coste LÃ­nea]]</f>
        <v>0</v>
      </c>
      <c r="M4229" s="24">
        <f>+Tabla2[[#This Row],[Variación Stock]]*Tabla2[[#This Row],[Coste LÃ­nea]]</f>
        <v>0</v>
      </c>
      <c r="N4229" s="22" t="str">
        <f>+IF(Tabla2[[#This Row],[Variación Stock]]&gt;0,"Sobrante",IF(Tabla2[[#This Row],[Variación Stock]]&lt;0,"Faltante","Sin novedad"))</f>
        <v>Sin novedad</v>
      </c>
    </row>
    <row r="4230" spans="1:14" hidden="1" x14ac:dyDescent="0.25">
      <c r="A4230" s="11">
        <v>46053</v>
      </c>
      <c r="B4230" s="5" t="s">
        <v>1078</v>
      </c>
      <c r="C4230" s="3" t="s">
        <v>339</v>
      </c>
      <c r="D4230" s="5" t="s">
        <v>120</v>
      </c>
      <c r="E4230" s="5" t="s">
        <v>117</v>
      </c>
      <c r="F4230" s="6" t="s">
        <v>735</v>
      </c>
      <c r="G4230" s="4" t="s">
        <v>1</v>
      </c>
      <c r="H4230" s="25">
        <v>10.29076948</v>
      </c>
      <c r="I4230" s="8">
        <v>7674</v>
      </c>
      <c r="J4230" s="9">
        <v>2854</v>
      </c>
      <c r="K4230" s="7">
        <v>-4820</v>
      </c>
      <c r="L4230" s="24">
        <f>+Tabla2[[#This Row],[Stock Inventario]]*Tabla2[[#This Row],[Coste LÃ­nea]]</f>
        <v>29369.85609592</v>
      </c>
      <c r="M4230" s="24">
        <f>+Tabla2[[#This Row],[Variación Stock]]*Tabla2[[#This Row],[Coste LÃ­nea]]</f>
        <v>-49601.508893599996</v>
      </c>
      <c r="N4230" s="22" t="str">
        <f>+IF(Tabla2[[#This Row],[Variación Stock]]&gt;0,"Sobrante",IF(Tabla2[[#This Row],[Variación Stock]]&lt;0,"Faltante","Sin novedad"))</f>
        <v>Faltante</v>
      </c>
    </row>
    <row r="4231" spans="1:14" hidden="1" x14ac:dyDescent="0.25">
      <c r="A4231" s="11">
        <v>46053</v>
      </c>
      <c r="B4231" s="5" t="s">
        <v>1078</v>
      </c>
      <c r="C4231" s="3" t="s">
        <v>339</v>
      </c>
      <c r="D4231" s="5" t="s">
        <v>120</v>
      </c>
      <c r="E4231" s="5" t="s">
        <v>117</v>
      </c>
      <c r="F4231" s="6" t="s">
        <v>736</v>
      </c>
      <c r="G4231" s="4" t="s">
        <v>1</v>
      </c>
      <c r="H4231" s="25">
        <v>11.667654199999999</v>
      </c>
      <c r="I4231" s="8">
        <v>475</v>
      </c>
      <c r="J4231" s="9">
        <v>400</v>
      </c>
      <c r="K4231" s="7">
        <v>-75</v>
      </c>
      <c r="L4231" s="24">
        <f>+Tabla2[[#This Row],[Stock Inventario]]*Tabla2[[#This Row],[Coste LÃ­nea]]</f>
        <v>4667.0616799999998</v>
      </c>
      <c r="M4231" s="24">
        <f>+Tabla2[[#This Row],[Variación Stock]]*Tabla2[[#This Row],[Coste LÃ­nea]]</f>
        <v>-875.07406499999991</v>
      </c>
      <c r="N4231" s="22" t="str">
        <f>+IF(Tabla2[[#This Row],[Variación Stock]]&gt;0,"Sobrante",IF(Tabla2[[#This Row],[Variación Stock]]&lt;0,"Faltante","Sin novedad"))</f>
        <v>Faltante</v>
      </c>
    </row>
    <row r="4232" spans="1:14" hidden="1" x14ac:dyDescent="0.25">
      <c r="A4232" s="11">
        <v>46053</v>
      </c>
      <c r="B4232" s="5" t="s">
        <v>1078</v>
      </c>
      <c r="C4232" s="3" t="s">
        <v>339</v>
      </c>
      <c r="D4232" s="5" t="s">
        <v>323</v>
      </c>
      <c r="E4232" s="5" t="s">
        <v>117</v>
      </c>
      <c r="F4232" s="6" t="s">
        <v>777</v>
      </c>
      <c r="G4232" s="4" t="s">
        <v>1</v>
      </c>
      <c r="H4232" s="25">
        <v>23.65629702</v>
      </c>
      <c r="I4232" s="8">
        <v>0</v>
      </c>
      <c r="J4232" s="9">
        <v>0</v>
      </c>
      <c r="K4232" s="7">
        <v>0</v>
      </c>
      <c r="L4232" s="24">
        <f>+Tabla2[[#This Row],[Stock Inventario]]*Tabla2[[#This Row],[Coste LÃ­nea]]</f>
        <v>0</v>
      </c>
      <c r="M4232" s="24">
        <f>+Tabla2[[#This Row],[Variación Stock]]*Tabla2[[#This Row],[Coste LÃ­nea]]</f>
        <v>0</v>
      </c>
      <c r="N4232" s="22" t="str">
        <f>+IF(Tabla2[[#This Row],[Variación Stock]]&gt;0,"Sobrante",IF(Tabla2[[#This Row],[Variación Stock]]&lt;0,"Faltante","Sin novedad"))</f>
        <v>Sin novedad</v>
      </c>
    </row>
    <row r="4233" spans="1:14" hidden="1" x14ac:dyDescent="0.25">
      <c r="A4233" s="11">
        <v>46053</v>
      </c>
      <c r="B4233" s="5" t="s">
        <v>1078</v>
      </c>
      <c r="C4233" s="3" t="s">
        <v>339</v>
      </c>
      <c r="D4233" s="5" t="s">
        <v>323</v>
      </c>
      <c r="E4233" s="5" t="s">
        <v>117</v>
      </c>
      <c r="F4233" s="6" t="s">
        <v>778</v>
      </c>
      <c r="G4233" s="4" t="s">
        <v>1</v>
      </c>
      <c r="H4233" s="25">
        <v>40.097522099999999</v>
      </c>
      <c r="I4233" s="8">
        <v>0</v>
      </c>
      <c r="J4233" s="9">
        <v>0</v>
      </c>
      <c r="K4233" s="7">
        <v>0</v>
      </c>
      <c r="L4233" s="24">
        <f>+Tabla2[[#This Row],[Stock Inventario]]*Tabla2[[#This Row],[Coste LÃ­nea]]</f>
        <v>0</v>
      </c>
      <c r="M4233" s="24">
        <f>+Tabla2[[#This Row],[Variación Stock]]*Tabla2[[#This Row],[Coste LÃ­nea]]</f>
        <v>0</v>
      </c>
      <c r="N4233" s="22" t="str">
        <f>+IF(Tabla2[[#This Row],[Variación Stock]]&gt;0,"Sobrante",IF(Tabla2[[#This Row],[Variación Stock]]&lt;0,"Faltante","Sin novedad"))</f>
        <v>Sin novedad</v>
      </c>
    </row>
    <row r="4234" spans="1:14" hidden="1" x14ac:dyDescent="0.25">
      <c r="A4234" s="11">
        <v>46053</v>
      </c>
      <c r="B4234" s="5" t="s">
        <v>1078</v>
      </c>
      <c r="C4234" s="3" t="s">
        <v>339</v>
      </c>
      <c r="D4234" s="5" t="s">
        <v>120</v>
      </c>
      <c r="E4234" s="5" t="s">
        <v>117</v>
      </c>
      <c r="F4234" s="6" t="s">
        <v>737</v>
      </c>
      <c r="G4234" s="4" t="s">
        <v>1</v>
      </c>
      <c r="H4234" s="25">
        <v>28.271326989999999</v>
      </c>
      <c r="I4234" s="8">
        <v>0</v>
      </c>
      <c r="J4234" s="9">
        <v>0</v>
      </c>
      <c r="K4234" s="7">
        <v>0</v>
      </c>
      <c r="L4234" s="24">
        <f>+Tabla2[[#This Row],[Stock Inventario]]*Tabla2[[#This Row],[Coste LÃ­nea]]</f>
        <v>0</v>
      </c>
      <c r="M4234" s="24">
        <f>+Tabla2[[#This Row],[Variación Stock]]*Tabla2[[#This Row],[Coste LÃ­nea]]</f>
        <v>0</v>
      </c>
      <c r="N4234" s="22" t="str">
        <f>+IF(Tabla2[[#This Row],[Variación Stock]]&gt;0,"Sobrante",IF(Tabla2[[#This Row],[Variación Stock]]&lt;0,"Faltante","Sin novedad"))</f>
        <v>Sin novedad</v>
      </c>
    </row>
    <row r="4235" spans="1:14" hidden="1" x14ac:dyDescent="0.25">
      <c r="A4235" s="11">
        <v>46053</v>
      </c>
      <c r="B4235" s="5" t="s">
        <v>1078</v>
      </c>
      <c r="C4235" s="3" t="s">
        <v>339</v>
      </c>
      <c r="D4235" s="5" t="s">
        <v>120</v>
      </c>
      <c r="E4235" s="5" t="s">
        <v>117</v>
      </c>
      <c r="F4235" s="6" t="s">
        <v>738</v>
      </c>
      <c r="G4235" s="4" t="s">
        <v>1</v>
      </c>
      <c r="H4235" s="25">
        <v>39.179842819999998</v>
      </c>
      <c r="I4235" s="8">
        <v>7</v>
      </c>
      <c r="J4235" s="9">
        <v>0</v>
      </c>
      <c r="K4235" s="7">
        <v>-7</v>
      </c>
      <c r="L4235" s="24">
        <f>+Tabla2[[#This Row],[Stock Inventario]]*Tabla2[[#This Row],[Coste LÃ­nea]]</f>
        <v>0</v>
      </c>
      <c r="M4235" s="24">
        <f>+Tabla2[[#This Row],[Variación Stock]]*Tabla2[[#This Row],[Coste LÃ­nea]]</f>
        <v>-274.25889974</v>
      </c>
      <c r="N4235" s="22" t="str">
        <f>+IF(Tabla2[[#This Row],[Variación Stock]]&gt;0,"Sobrante",IF(Tabla2[[#This Row],[Variación Stock]]&lt;0,"Faltante","Sin novedad"))</f>
        <v>Faltante</v>
      </c>
    </row>
    <row r="4236" spans="1:14" hidden="1" x14ac:dyDescent="0.25">
      <c r="A4236" s="11">
        <v>46053</v>
      </c>
      <c r="B4236" s="5" t="s">
        <v>1078</v>
      </c>
      <c r="C4236" s="3" t="s">
        <v>339</v>
      </c>
      <c r="D4236" s="5" t="s">
        <v>120</v>
      </c>
      <c r="E4236" s="5" t="s">
        <v>117</v>
      </c>
      <c r="F4236" s="6" t="s">
        <v>739</v>
      </c>
      <c r="G4236" s="4" t="s">
        <v>1</v>
      </c>
      <c r="H4236" s="25">
        <v>5.5221637000000001</v>
      </c>
      <c r="I4236" s="8">
        <v>-5</v>
      </c>
      <c r="J4236" s="9">
        <v>0</v>
      </c>
      <c r="K4236" s="7">
        <v>5</v>
      </c>
      <c r="L4236" s="24">
        <f>+Tabla2[[#This Row],[Stock Inventario]]*Tabla2[[#This Row],[Coste LÃ­nea]]</f>
        <v>0</v>
      </c>
      <c r="M4236" s="24">
        <f>+Tabla2[[#This Row],[Variación Stock]]*Tabla2[[#This Row],[Coste LÃ­nea]]</f>
        <v>27.610818500000001</v>
      </c>
      <c r="N4236" s="22" t="str">
        <f>+IF(Tabla2[[#This Row],[Variación Stock]]&gt;0,"Sobrante",IF(Tabla2[[#This Row],[Variación Stock]]&lt;0,"Faltante","Sin novedad"))</f>
        <v>Sobrante</v>
      </c>
    </row>
    <row r="4237" spans="1:14" hidden="1" x14ac:dyDescent="0.25">
      <c r="A4237" s="11">
        <v>46053</v>
      </c>
      <c r="B4237" s="5" t="s">
        <v>1078</v>
      </c>
      <c r="C4237" s="3" t="s">
        <v>339</v>
      </c>
      <c r="D4237" s="5" t="s">
        <v>120</v>
      </c>
      <c r="E4237" s="5" t="s">
        <v>117</v>
      </c>
      <c r="F4237" s="6" t="s">
        <v>740</v>
      </c>
      <c r="G4237" s="4" t="s">
        <v>1</v>
      </c>
      <c r="H4237" s="25">
        <v>0.48846031000000001</v>
      </c>
      <c r="I4237" s="8">
        <v>0</v>
      </c>
      <c r="J4237" s="9">
        <v>0</v>
      </c>
      <c r="K4237" s="7">
        <v>0</v>
      </c>
      <c r="L4237" s="24">
        <f>+Tabla2[[#This Row],[Stock Inventario]]*Tabla2[[#This Row],[Coste LÃ­nea]]</f>
        <v>0</v>
      </c>
      <c r="M4237" s="24">
        <f>+Tabla2[[#This Row],[Variación Stock]]*Tabla2[[#This Row],[Coste LÃ­nea]]</f>
        <v>0</v>
      </c>
      <c r="N4237" s="22" t="str">
        <f>+IF(Tabla2[[#This Row],[Variación Stock]]&gt;0,"Sobrante",IF(Tabla2[[#This Row],[Variación Stock]]&lt;0,"Faltante","Sin novedad"))</f>
        <v>Sin novedad</v>
      </c>
    </row>
    <row r="4238" spans="1:14" x14ac:dyDescent="0.25">
      <c r="A4238" s="11">
        <v>46053</v>
      </c>
      <c r="B4238" s="5" t="s">
        <v>1078</v>
      </c>
      <c r="C4238" s="3" t="s">
        <v>339</v>
      </c>
      <c r="D4238" s="5" t="s">
        <v>121</v>
      </c>
      <c r="E4238" s="5" t="s">
        <v>112</v>
      </c>
      <c r="F4238" s="6" t="s">
        <v>794</v>
      </c>
      <c r="G4238" s="4" t="s">
        <v>1</v>
      </c>
      <c r="H4238" s="25">
        <v>103.4045</v>
      </c>
      <c r="I4238" s="8">
        <v>0</v>
      </c>
      <c r="J4238" s="9">
        <v>0</v>
      </c>
      <c r="K4238" s="7">
        <v>0</v>
      </c>
      <c r="L4238" s="24">
        <f>+Tabla2[[#This Row],[Stock Inventario]]*Tabla2[[#This Row],[Coste LÃ­nea]]</f>
        <v>0</v>
      </c>
      <c r="M4238" s="24">
        <f>+Tabla2[[#This Row],[Variación Stock]]*Tabla2[[#This Row],[Coste LÃ­nea]]</f>
        <v>0</v>
      </c>
      <c r="N4238" s="22" t="str">
        <f>+IF(Tabla2[[#This Row],[Variación Stock]]&gt;0,"Sobrante",IF(Tabla2[[#This Row],[Variación Stock]]&lt;0,"Faltante","Sin novedad"))</f>
        <v>Sin novedad</v>
      </c>
    </row>
    <row r="4239" spans="1:14" x14ac:dyDescent="0.25">
      <c r="A4239" s="11">
        <v>46053</v>
      </c>
      <c r="B4239" s="5" t="s">
        <v>1078</v>
      </c>
      <c r="C4239" s="3" t="s">
        <v>339</v>
      </c>
      <c r="D4239" s="5" t="s">
        <v>121</v>
      </c>
      <c r="E4239" s="5" t="s">
        <v>112</v>
      </c>
      <c r="F4239" s="6" t="s">
        <v>795</v>
      </c>
      <c r="G4239" s="4" t="s">
        <v>1</v>
      </c>
      <c r="H4239" s="25">
        <v>64.225250000000003</v>
      </c>
      <c r="I4239" s="8">
        <v>-372</v>
      </c>
      <c r="J4239" s="9">
        <v>305</v>
      </c>
      <c r="K4239" s="7">
        <v>677</v>
      </c>
      <c r="L4239" s="24">
        <f>+Tabla2[[#This Row],[Stock Inventario]]*Tabla2[[#This Row],[Coste LÃ­nea]]</f>
        <v>19588.701250000002</v>
      </c>
      <c r="M4239" s="24">
        <f>+Tabla2[[#This Row],[Variación Stock]]*Tabla2[[#This Row],[Coste LÃ­nea]]</f>
        <v>43480.494250000003</v>
      </c>
      <c r="N4239" s="22" t="str">
        <f>+IF(Tabla2[[#This Row],[Variación Stock]]&gt;0,"Sobrante",IF(Tabla2[[#This Row],[Variación Stock]]&lt;0,"Faltante","Sin novedad"))</f>
        <v>Sobrante</v>
      </c>
    </row>
    <row r="4240" spans="1:14" x14ac:dyDescent="0.25">
      <c r="A4240" s="11">
        <v>46053</v>
      </c>
      <c r="B4240" s="5" t="s">
        <v>1078</v>
      </c>
      <c r="C4240" s="3" t="s">
        <v>339</v>
      </c>
      <c r="D4240" s="5" t="s">
        <v>121</v>
      </c>
      <c r="E4240" s="5" t="s">
        <v>112</v>
      </c>
      <c r="F4240" s="6" t="s">
        <v>796</v>
      </c>
      <c r="G4240" s="4" t="s">
        <v>1</v>
      </c>
      <c r="H4240" s="25">
        <v>97.15130164</v>
      </c>
      <c r="I4240" s="8">
        <v>-15</v>
      </c>
      <c r="J4240" s="9">
        <v>0</v>
      </c>
      <c r="K4240" s="7">
        <v>15</v>
      </c>
      <c r="L4240" s="24">
        <f>+Tabla2[[#This Row],[Stock Inventario]]*Tabla2[[#This Row],[Coste LÃ­nea]]</f>
        <v>0</v>
      </c>
      <c r="M4240" s="24">
        <f>+Tabla2[[#This Row],[Variación Stock]]*Tabla2[[#This Row],[Coste LÃ­nea]]</f>
        <v>1457.2695246000001</v>
      </c>
      <c r="N4240" s="22" t="str">
        <f>+IF(Tabla2[[#This Row],[Variación Stock]]&gt;0,"Sobrante",IF(Tabla2[[#This Row],[Variación Stock]]&lt;0,"Faltante","Sin novedad"))</f>
        <v>Sobrante</v>
      </c>
    </row>
    <row r="4241" spans="1:14" hidden="1" x14ac:dyDescent="0.25">
      <c r="A4241" s="11">
        <v>46053</v>
      </c>
      <c r="B4241" s="5" t="s">
        <v>1078</v>
      </c>
      <c r="C4241" s="3" t="s">
        <v>339</v>
      </c>
      <c r="D4241" s="5" t="s">
        <v>120</v>
      </c>
      <c r="E4241" s="5" t="s">
        <v>117</v>
      </c>
      <c r="F4241" s="6" t="s">
        <v>741</v>
      </c>
      <c r="G4241" s="4" t="s">
        <v>1</v>
      </c>
      <c r="H4241" s="25">
        <v>17.5872606</v>
      </c>
      <c r="I4241" s="8">
        <v>9653</v>
      </c>
      <c r="J4241" s="9">
        <v>3722</v>
      </c>
      <c r="K4241" s="7">
        <v>-5931</v>
      </c>
      <c r="L4241" s="24">
        <f>+Tabla2[[#This Row],[Stock Inventario]]*Tabla2[[#This Row],[Coste LÃ­nea]]</f>
        <v>65459.7839532</v>
      </c>
      <c r="M4241" s="24">
        <f>+Tabla2[[#This Row],[Variación Stock]]*Tabla2[[#This Row],[Coste LÃ­nea]]</f>
        <v>-104310.0426186</v>
      </c>
      <c r="N4241" s="22" t="str">
        <f>+IF(Tabla2[[#This Row],[Variación Stock]]&gt;0,"Sobrante",IF(Tabla2[[#This Row],[Variación Stock]]&lt;0,"Faltante","Sin novedad"))</f>
        <v>Faltante</v>
      </c>
    </row>
    <row r="4242" spans="1:14" hidden="1" x14ac:dyDescent="0.25">
      <c r="A4242" s="11">
        <v>46053</v>
      </c>
      <c r="B4242" s="5" t="s">
        <v>1078</v>
      </c>
      <c r="C4242" s="3" t="s">
        <v>339</v>
      </c>
      <c r="D4242" s="5" t="s">
        <v>120</v>
      </c>
      <c r="E4242" s="5" t="s">
        <v>117</v>
      </c>
      <c r="F4242" s="6" t="s">
        <v>742</v>
      </c>
      <c r="G4242" s="4" t="s">
        <v>1</v>
      </c>
      <c r="H4242" s="25">
        <v>9.22912979</v>
      </c>
      <c r="I4242" s="8">
        <v>100</v>
      </c>
      <c r="J4242" s="9">
        <v>0</v>
      </c>
      <c r="K4242" s="7">
        <v>-100</v>
      </c>
      <c r="L4242" s="24">
        <f>+Tabla2[[#This Row],[Stock Inventario]]*Tabla2[[#This Row],[Coste LÃ­nea]]</f>
        <v>0</v>
      </c>
      <c r="M4242" s="24">
        <f>+Tabla2[[#This Row],[Variación Stock]]*Tabla2[[#This Row],[Coste LÃ­nea]]</f>
        <v>-922.91297899999995</v>
      </c>
      <c r="N4242" s="22" t="str">
        <f>+IF(Tabla2[[#This Row],[Variación Stock]]&gt;0,"Sobrante",IF(Tabla2[[#This Row],[Variación Stock]]&lt;0,"Faltante","Sin novedad"))</f>
        <v>Faltante</v>
      </c>
    </row>
    <row r="4243" spans="1:14" hidden="1" x14ac:dyDescent="0.25">
      <c r="A4243" s="11">
        <v>46053</v>
      </c>
      <c r="B4243" s="5" t="s">
        <v>1078</v>
      </c>
      <c r="C4243" s="3" t="s">
        <v>339</v>
      </c>
      <c r="D4243" s="5" t="s">
        <v>120</v>
      </c>
      <c r="E4243" s="5" t="s">
        <v>117</v>
      </c>
      <c r="F4243" s="6" t="s">
        <v>268</v>
      </c>
      <c r="G4243" s="4" t="s">
        <v>1</v>
      </c>
      <c r="H4243" s="25">
        <v>10.515454200000001</v>
      </c>
      <c r="I4243" s="8">
        <v>0</v>
      </c>
      <c r="J4243" s="9">
        <v>0</v>
      </c>
      <c r="K4243" s="7">
        <v>0</v>
      </c>
      <c r="L4243" s="24">
        <f>+Tabla2[[#This Row],[Stock Inventario]]*Tabla2[[#This Row],[Coste LÃ­nea]]</f>
        <v>0</v>
      </c>
      <c r="M4243" s="24">
        <f>+Tabla2[[#This Row],[Variación Stock]]*Tabla2[[#This Row],[Coste LÃ­nea]]</f>
        <v>0</v>
      </c>
      <c r="N4243" s="22" t="str">
        <f>+IF(Tabla2[[#This Row],[Variación Stock]]&gt;0,"Sobrante",IF(Tabla2[[#This Row],[Variación Stock]]&lt;0,"Faltante","Sin novedad"))</f>
        <v>Sin novedad</v>
      </c>
    </row>
    <row r="4244" spans="1:14" hidden="1" x14ac:dyDescent="0.25">
      <c r="A4244" s="11">
        <v>46053</v>
      </c>
      <c r="B4244" s="5" t="s">
        <v>1078</v>
      </c>
      <c r="C4244" s="3" t="s">
        <v>339</v>
      </c>
      <c r="D4244" s="5" t="s">
        <v>120</v>
      </c>
      <c r="E4244" s="5" t="s">
        <v>117</v>
      </c>
      <c r="F4244" s="6" t="s">
        <v>743</v>
      </c>
      <c r="G4244" s="4" t="s">
        <v>1</v>
      </c>
      <c r="H4244" s="25">
        <v>21.345157799999999</v>
      </c>
      <c r="I4244" s="8">
        <v>0</v>
      </c>
      <c r="J4244" s="9">
        <v>0</v>
      </c>
      <c r="K4244" s="7">
        <v>0</v>
      </c>
      <c r="L4244" s="24">
        <f>+Tabla2[[#This Row],[Stock Inventario]]*Tabla2[[#This Row],[Coste LÃ­nea]]</f>
        <v>0</v>
      </c>
      <c r="M4244" s="24">
        <f>+Tabla2[[#This Row],[Variación Stock]]*Tabla2[[#This Row],[Coste LÃ­nea]]</f>
        <v>0</v>
      </c>
      <c r="N4244" s="22" t="str">
        <f>+IF(Tabla2[[#This Row],[Variación Stock]]&gt;0,"Sobrante",IF(Tabla2[[#This Row],[Variación Stock]]&lt;0,"Faltante","Sin novedad"))</f>
        <v>Sin novedad</v>
      </c>
    </row>
    <row r="4245" spans="1:14" hidden="1" x14ac:dyDescent="0.25">
      <c r="A4245" s="11">
        <v>46053</v>
      </c>
      <c r="B4245" s="5" t="s">
        <v>1078</v>
      </c>
      <c r="C4245" s="3" t="s">
        <v>339</v>
      </c>
      <c r="D4245" s="5" t="s">
        <v>120</v>
      </c>
      <c r="E4245" s="5" t="s">
        <v>117</v>
      </c>
      <c r="F4245" s="6" t="s">
        <v>744</v>
      </c>
      <c r="G4245" s="4" t="s">
        <v>1</v>
      </c>
      <c r="H4245" s="25">
        <v>4.6939230800000002</v>
      </c>
      <c r="I4245" s="8">
        <v>9126</v>
      </c>
      <c r="J4245" s="9">
        <v>0</v>
      </c>
      <c r="K4245" s="7">
        <v>-9126</v>
      </c>
      <c r="L4245" s="24">
        <f>+Tabla2[[#This Row],[Stock Inventario]]*Tabla2[[#This Row],[Coste LÃ­nea]]</f>
        <v>0</v>
      </c>
      <c r="M4245" s="24">
        <f>+Tabla2[[#This Row],[Variación Stock]]*Tabla2[[#This Row],[Coste LÃ­nea]]</f>
        <v>-42836.74202808</v>
      </c>
      <c r="N4245" s="22" t="str">
        <f>+IF(Tabla2[[#This Row],[Variación Stock]]&gt;0,"Sobrante",IF(Tabla2[[#This Row],[Variación Stock]]&lt;0,"Faltante","Sin novedad"))</f>
        <v>Faltante</v>
      </c>
    </row>
    <row r="4246" spans="1:14" hidden="1" x14ac:dyDescent="0.25">
      <c r="A4246" s="11">
        <v>46053</v>
      </c>
      <c r="B4246" s="5" t="s">
        <v>1078</v>
      </c>
      <c r="C4246" s="3" t="s">
        <v>339</v>
      </c>
      <c r="D4246" s="5" t="s">
        <v>120</v>
      </c>
      <c r="E4246" s="5" t="s">
        <v>117</v>
      </c>
      <c r="F4246" s="6" t="s">
        <v>745</v>
      </c>
      <c r="G4246" s="4" t="s">
        <v>1</v>
      </c>
      <c r="H4246" s="25">
        <v>18.82540569</v>
      </c>
      <c r="I4246" s="8">
        <v>2580</v>
      </c>
      <c r="J4246" s="9">
        <v>1408</v>
      </c>
      <c r="K4246" s="7">
        <v>-1172</v>
      </c>
      <c r="L4246" s="24">
        <f>+Tabla2[[#This Row],[Stock Inventario]]*Tabla2[[#This Row],[Coste LÃ­nea]]</f>
        <v>26506.171211519999</v>
      </c>
      <c r="M4246" s="24">
        <f>+Tabla2[[#This Row],[Variación Stock]]*Tabla2[[#This Row],[Coste LÃ­nea]]</f>
        <v>-22063.375468679998</v>
      </c>
      <c r="N4246" s="22" t="str">
        <f>+IF(Tabla2[[#This Row],[Variación Stock]]&gt;0,"Sobrante",IF(Tabla2[[#This Row],[Variación Stock]]&lt;0,"Faltante","Sin novedad"))</f>
        <v>Faltante</v>
      </c>
    </row>
    <row r="4247" spans="1:14" hidden="1" x14ac:dyDescent="0.25">
      <c r="A4247" s="11">
        <v>46053</v>
      </c>
      <c r="B4247" s="5" t="s">
        <v>1078</v>
      </c>
      <c r="C4247" s="3" t="s">
        <v>339</v>
      </c>
      <c r="D4247" s="5" t="s">
        <v>120</v>
      </c>
      <c r="E4247" s="5" t="s">
        <v>117</v>
      </c>
      <c r="F4247" s="6" t="s">
        <v>746</v>
      </c>
      <c r="G4247" s="4" t="s">
        <v>1</v>
      </c>
      <c r="H4247" s="25">
        <v>18.24759727</v>
      </c>
      <c r="I4247" s="8">
        <v>-12752</v>
      </c>
      <c r="J4247" s="9">
        <v>2380</v>
      </c>
      <c r="K4247" s="7">
        <v>15132</v>
      </c>
      <c r="L4247" s="24">
        <f>+Tabla2[[#This Row],[Stock Inventario]]*Tabla2[[#This Row],[Coste LÃ­nea]]</f>
        <v>43429.281502600003</v>
      </c>
      <c r="M4247" s="24">
        <f>+Tabla2[[#This Row],[Variación Stock]]*Tabla2[[#This Row],[Coste LÃ­nea]]</f>
        <v>276122.64188964001</v>
      </c>
      <c r="N4247" s="22" t="str">
        <f>+IF(Tabla2[[#This Row],[Variación Stock]]&gt;0,"Sobrante",IF(Tabla2[[#This Row],[Variación Stock]]&lt;0,"Faltante","Sin novedad"))</f>
        <v>Sobrante</v>
      </c>
    </row>
    <row r="4248" spans="1:14" hidden="1" x14ac:dyDescent="0.25">
      <c r="A4248" s="11">
        <v>46053</v>
      </c>
      <c r="B4248" s="5" t="s">
        <v>1078</v>
      </c>
      <c r="C4248" s="3" t="s">
        <v>339</v>
      </c>
      <c r="D4248" s="5" t="s">
        <v>120</v>
      </c>
      <c r="E4248" s="5" t="s">
        <v>117</v>
      </c>
      <c r="F4248" s="6" t="s">
        <v>747</v>
      </c>
      <c r="G4248" s="4" t="s">
        <v>1</v>
      </c>
      <c r="H4248" s="25">
        <v>34.307072980000001</v>
      </c>
      <c r="I4248" s="8">
        <v>986</v>
      </c>
      <c r="J4248" s="9">
        <v>400</v>
      </c>
      <c r="K4248" s="7">
        <v>-586</v>
      </c>
      <c r="L4248" s="24">
        <f>+Tabla2[[#This Row],[Stock Inventario]]*Tabla2[[#This Row],[Coste LÃ­nea]]</f>
        <v>13722.829192000001</v>
      </c>
      <c r="M4248" s="24">
        <f>+Tabla2[[#This Row],[Variación Stock]]*Tabla2[[#This Row],[Coste LÃ­nea]]</f>
        <v>-20103.944766280001</v>
      </c>
      <c r="N4248" s="22" t="str">
        <f>+IF(Tabla2[[#This Row],[Variación Stock]]&gt;0,"Sobrante",IF(Tabla2[[#This Row],[Variación Stock]]&lt;0,"Faltante","Sin novedad"))</f>
        <v>Faltante</v>
      </c>
    </row>
    <row r="4249" spans="1:14" hidden="1" x14ac:dyDescent="0.25">
      <c r="A4249" s="11">
        <v>46053</v>
      </c>
      <c r="B4249" s="5" t="s">
        <v>1078</v>
      </c>
      <c r="C4249" s="3" t="s">
        <v>339</v>
      </c>
      <c r="D4249" s="5" t="s">
        <v>120</v>
      </c>
      <c r="E4249" s="5" t="s">
        <v>117</v>
      </c>
      <c r="F4249" s="6" t="s">
        <v>748</v>
      </c>
      <c r="G4249" s="4" t="s">
        <v>1</v>
      </c>
      <c r="H4249" s="25">
        <v>19.89036192</v>
      </c>
      <c r="I4249" s="8">
        <v>0</v>
      </c>
      <c r="J4249" s="9">
        <v>0</v>
      </c>
      <c r="K4249" s="7">
        <v>0</v>
      </c>
      <c r="L4249" s="24">
        <f>+Tabla2[[#This Row],[Stock Inventario]]*Tabla2[[#This Row],[Coste LÃ­nea]]</f>
        <v>0</v>
      </c>
      <c r="M4249" s="24">
        <f>+Tabla2[[#This Row],[Variación Stock]]*Tabla2[[#This Row],[Coste LÃ­nea]]</f>
        <v>0</v>
      </c>
      <c r="N4249" s="22" t="str">
        <f>+IF(Tabla2[[#This Row],[Variación Stock]]&gt;0,"Sobrante",IF(Tabla2[[#This Row],[Variación Stock]]&lt;0,"Faltante","Sin novedad"))</f>
        <v>Sin novedad</v>
      </c>
    </row>
    <row r="4250" spans="1:14" hidden="1" x14ac:dyDescent="0.25">
      <c r="A4250" s="11">
        <v>46053</v>
      </c>
      <c r="B4250" s="5" t="s">
        <v>1078</v>
      </c>
      <c r="C4250" s="3" t="s">
        <v>339</v>
      </c>
      <c r="D4250" s="5" t="s">
        <v>120</v>
      </c>
      <c r="E4250" s="5" t="s">
        <v>117</v>
      </c>
      <c r="F4250" s="6" t="s">
        <v>749</v>
      </c>
      <c r="G4250" s="4" t="s">
        <v>1</v>
      </c>
      <c r="H4250" s="25">
        <v>23.56623544</v>
      </c>
      <c r="I4250" s="8">
        <v>-574</v>
      </c>
      <c r="J4250" s="9">
        <v>196</v>
      </c>
      <c r="K4250" s="7">
        <v>770</v>
      </c>
      <c r="L4250" s="24">
        <f>+Tabla2[[#This Row],[Stock Inventario]]*Tabla2[[#This Row],[Coste LÃ­nea]]</f>
        <v>4618.9821462399996</v>
      </c>
      <c r="M4250" s="24">
        <f>+Tabla2[[#This Row],[Variación Stock]]*Tabla2[[#This Row],[Coste LÃ­nea]]</f>
        <v>18146.001288799998</v>
      </c>
      <c r="N4250" s="22" t="str">
        <f>+IF(Tabla2[[#This Row],[Variación Stock]]&gt;0,"Sobrante",IF(Tabla2[[#This Row],[Variación Stock]]&lt;0,"Faltante","Sin novedad"))</f>
        <v>Sobrante</v>
      </c>
    </row>
    <row r="4251" spans="1:14" hidden="1" x14ac:dyDescent="0.25">
      <c r="A4251" s="11">
        <v>46053</v>
      </c>
      <c r="B4251" s="5" t="s">
        <v>1078</v>
      </c>
      <c r="C4251" s="3" t="s">
        <v>339</v>
      </c>
      <c r="D4251" s="5" t="s">
        <v>120</v>
      </c>
      <c r="E4251" s="5" t="s">
        <v>117</v>
      </c>
      <c r="F4251" s="6" t="s">
        <v>750</v>
      </c>
      <c r="G4251" s="4" t="s">
        <v>1</v>
      </c>
      <c r="H4251" s="25">
        <v>28.326653239999999</v>
      </c>
      <c r="I4251" s="8">
        <v>2720</v>
      </c>
      <c r="J4251" s="9">
        <v>970</v>
      </c>
      <c r="K4251" s="7">
        <v>-1750</v>
      </c>
      <c r="L4251" s="24">
        <f>+Tabla2[[#This Row],[Stock Inventario]]*Tabla2[[#This Row],[Coste LÃ­nea]]</f>
        <v>27476.853642800001</v>
      </c>
      <c r="M4251" s="24">
        <f>+Tabla2[[#This Row],[Variación Stock]]*Tabla2[[#This Row],[Coste LÃ­nea]]</f>
        <v>-49571.643169999996</v>
      </c>
      <c r="N4251" s="22" t="str">
        <f>+IF(Tabla2[[#This Row],[Variación Stock]]&gt;0,"Sobrante",IF(Tabla2[[#This Row],[Variación Stock]]&lt;0,"Faltante","Sin novedad"))</f>
        <v>Faltante</v>
      </c>
    </row>
    <row r="4252" spans="1:14" hidden="1" x14ac:dyDescent="0.25">
      <c r="A4252" s="11">
        <v>46053</v>
      </c>
      <c r="B4252" s="5" t="s">
        <v>1078</v>
      </c>
      <c r="C4252" s="3" t="s">
        <v>339</v>
      </c>
      <c r="D4252" s="5" t="s">
        <v>120</v>
      </c>
      <c r="E4252" s="5" t="s">
        <v>117</v>
      </c>
      <c r="F4252" s="6" t="s">
        <v>751</v>
      </c>
      <c r="G4252" s="4" t="s">
        <v>1</v>
      </c>
      <c r="H4252" s="25">
        <v>25.46326681</v>
      </c>
      <c r="I4252" s="8">
        <v>-1374</v>
      </c>
      <c r="J4252" s="9">
        <v>1010</v>
      </c>
      <c r="K4252" s="7">
        <v>2384</v>
      </c>
      <c r="L4252" s="24">
        <f>+Tabla2[[#This Row],[Stock Inventario]]*Tabla2[[#This Row],[Coste LÃ­nea]]</f>
        <v>25717.8994781</v>
      </c>
      <c r="M4252" s="24">
        <f>+Tabla2[[#This Row],[Variación Stock]]*Tabla2[[#This Row],[Coste LÃ­nea]]</f>
        <v>60704.428075039999</v>
      </c>
      <c r="N4252" s="22" t="str">
        <f>+IF(Tabla2[[#This Row],[Variación Stock]]&gt;0,"Sobrante",IF(Tabla2[[#This Row],[Variación Stock]]&lt;0,"Faltante","Sin novedad"))</f>
        <v>Sobrante</v>
      </c>
    </row>
    <row r="4253" spans="1:14" hidden="1" x14ac:dyDescent="0.25">
      <c r="A4253" s="11">
        <v>46053</v>
      </c>
      <c r="B4253" s="5" t="s">
        <v>1078</v>
      </c>
      <c r="C4253" s="3" t="s">
        <v>339</v>
      </c>
      <c r="D4253" s="5" t="s">
        <v>120</v>
      </c>
      <c r="E4253" s="5" t="s">
        <v>117</v>
      </c>
      <c r="F4253" s="6" t="s">
        <v>752</v>
      </c>
      <c r="G4253" s="4" t="s">
        <v>1</v>
      </c>
      <c r="H4253" s="25">
        <v>9.8114576299999996</v>
      </c>
      <c r="I4253" s="8">
        <v>0</v>
      </c>
      <c r="J4253" s="9">
        <v>0</v>
      </c>
      <c r="K4253" s="7">
        <v>0</v>
      </c>
      <c r="L4253" s="24">
        <f>+Tabla2[[#This Row],[Stock Inventario]]*Tabla2[[#This Row],[Coste LÃ­nea]]</f>
        <v>0</v>
      </c>
      <c r="M4253" s="24">
        <f>+Tabla2[[#This Row],[Variación Stock]]*Tabla2[[#This Row],[Coste LÃ­nea]]</f>
        <v>0</v>
      </c>
      <c r="N4253" s="22" t="str">
        <f>+IF(Tabla2[[#This Row],[Variación Stock]]&gt;0,"Sobrante",IF(Tabla2[[#This Row],[Variación Stock]]&lt;0,"Faltante","Sin novedad"))</f>
        <v>Sin novedad</v>
      </c>
    </row>
    <row r="4254" spans="1:14" hidden="1" x14ac:dyDescent="0.25">
      <c r="A4254" s="11">
        <v>46053</v>
      </c>
      <c r="B4254" s="5" t="s">
        <v>1078</v>
      </c>
      <c r="C4254" s="3" t="s">
        <v>339</v>
      </c>
      <c r="D4254" s="5" t="s">
        <v>120</v>
      </c>
      <c r="E4254" s="5" t="s">
        <v>117</v>
      </c>
      <c r="F4254" s="6" t="s">
        <v>753</v>
      </c>
      <c r="G4254" s="4" t="s">
        <v>1</v>
      </c>
      <c r="H4254" s="25">
        <v>12.2948936</v>
      </c>
      <c r="I4254" s="8">
        <v>-2000</v>
      </c>
      <c r="J4254" s="9">
        <v>0</v>
      </c>
      <c r="K4254" s="7">
        <v>2000</v>
      </c>
      <c r="L4254" s="24">
        <f>+Tabla2[[#This Row],[Stock Inventario]]*Tabla2[[#This Row],[Coste LÃ­nea]]</f>
        <v>0</v>
      </c>
      <c r="M4254" s="24">
        <f>+Tabla2[[#This Row],[Variación Stock]]*Tabla2[[#This Row],[Coste LÃ­nea]]</f>
        <v>24589.787199999999</v>
      </c>
      <c r="N4254" s="22" t="str">
        <f>+IF(Tabla2[[#This Row],[Variación Stock]]&gt;0,"Sobrante",IF(Tabla2[[#This Row],[Variación Stock]]&lt;0,"Faltante","Sin novedad"))</f>
        <v>Sobrante</v>
      </c>
    </row>
    <row r="4255" spans="1:14" hidden="1" x14ac:dyDescent="0.25">
      <c r="A4255" s="11">
        <v>46053</v>
      </c>
      <c r="B4255" s="5" t="s">
        <v>1078</v>
      </c>
      <c r="C4255" s="3" t="s">
        <v>339</v>
      </c>
      <c r="D4255" s="5" t="s">
        <v>120</v>
      </c>
      <c r="E4255" s="5" t="s">
        <v>117</v>
      </c>
      <c r="F4255" s="6" t="s">
        <v>754</v>
      </c>
      <c r="G4255" s="4" t="s">
        <v>1</v>
      </c>
      <c r="H4255" s="25">
        <v>8.1954436299999998</v>
      </c>
      <c r="I4255" s="8">
        <v>0</v>
      </c>
      <c r="J4255" s="9">
        <v>0</v>
      </c>
      <c r="K4255" s="7">
        <v>0</v>
      </c>
      <c r="L4255" s="24">
        <f>+Tabla2[[#This Row],[Stock Inventario]]*Tabla2[[#This Row],[Coste LÃ­nea]]</f>
        <v>0</v>
      </c>
      <c r="M4255" s="24">
        <f>+Tabla2[[#This Row],[Variación Stock]]*Tabla2[[#This Row],[Coste LÃ­nea]]</f>
        <v>0</v>
      </c>
      <c r="N4255" s="22" t="str">
        <f>+IF(Tabla2[[#This Row],[Variación Stock]]&gt;0,"Sobrante",IF(Tabla2[[#This Row],[Variación Stock]]&lt;0,"Faltante","Sin novedad"))</f>
        <v>Sin novedad</v>
      </c>
    </row>
    <row r="4256" spans="1:14" hidden="1" x14ac:dyDescent="0.25">
      <c r="A4256" s="11">
        <v>46053</v>
      </c>
      <c r="B4256" s="5" t="s">
        <v>1078</v>
      </c>
      <c r="C4256" s="3" t="s">
        <v>339</v>
      </c>
      <c r="D4256" s="5" t="s">
        <v>120</v>
      </c>
      <c r="E4256" s="5" t="s">
        <v>117</v>
      </c>
      <c r="F4256" s="6" t="s">
        <v>755</v>
      </c>
      <c r="G4256" s="4" t="s">
        <v>1</v>
      </c>
      <c r="H4256" s="25">
        <v>120.63729954</v>
      </c>
      <c r="I4256" s="8">
        <v>635</v>
      </c>
      <c r="J4256" s="9">
        <v>596</v>
      </c>
      <c r="K4256" s="7">
        <v>-39</v>
      </c>
      <c r="L4256" s="24">
        <f>+Tabla2[[#This Row],[Stock Inventario]]*Tabla2[[#This Row],[Coste LÃ­nea]]</f>
        <v>71899.830525840007</v>
      </c>
      <c r="M4256" s="24">
        <f>+Tabla2[[#This Row],[Variación Stock]]*Tabla2[[#This Row],[Coste LÃ­nea]]</f>
        <v>-4704.8546820600004</v>
      </c>
      <c r="N4256" s="22" t="str">
        <f>+IF(Tabla2[[#This Row],[Variación Stock]]&gt;0,"Sobrante",IF(Tabla2[[#This Row],[Variación Stock]]&lt;0,"Faltante","Sin novedad"))</f>
        <v>Faltante</v>
      </c>
    </row>
    <row r="4257" spans="1:14" x14ac:dyDescent="0.25">
      <c r="A4257" s="11">
        <v>46053</v>
      </c>
      <c r="B4257" s="5" t="s">
        <v>1078</v>
      </c>
      <c r="C4257" s="3" t="s">
        <v>339</v>
      </c>
      <c r="D4257" s="5" t="s">
        <v>121</v>
      </c>
      <c r="E4257" s="5" t="s">
        <v>112</v>
      </c>
      <c r="F4257" s="6" t="s">
        <v>797</v>
      </c>
      <c r="G4257" s="4" t="s">
        <v>1</v>
      </c>
      <c r="H4257" s="25">
        <v>10.224150870000001</v>
      </c>
      <c r="I4257" s="8">
        <v>0</v>
      </c>
      <c r="J4257" s="9">
        <v>3938</v>
      </c>
      <c r="K4257" s="7">
        <v>3938</v>
      </c>
      <c r="L4257" s="24">
        <f>+Tabla2[[#This Row],[Stock Inventario]]*Tabla2[[#This Row],[Coste LÃ­nea]]</f>
        <v>40262.706126060002</v>
      </c>
      <c r="M4257" s="24">
        <f>+Tabla2[[#This Row],[Variación Stock]]*Tabla2[[#This Row],[Coste LÃ­nea]]</f>
        <v>40262.706126060002</v>
      </c>
      <c r="N4257" s="22" t="str">
        <f>+IF(Tabla2[[#This Row],[Variación Stock]]&gt;0,"Sobrante",IF(Tabla2[[#This Row],[Variación Stock]]&lt;0,"Faltante","Sin novedad"))</f>
        <v>Sobrante</v>
      </c>
    </row>
    <row r="4258" spans="1:14" hidden="1" x14ac:dyDescent="0.25">
      <c r="A4258" s="11">
        <v>46053</v>
      </c>
      <c r="B4258" s="5" t="s">
        <v>1078</v>
      </c>
      <c r="C4258" s="3" t="s">
        <v>339</v>
      </c>
      <c r="D4258" s="5" t="s">
        <v>120</v>
      </c>
      <c r="E4258" s="5" t="s">
        <v>117</v>
      </c>
      <c r="F4258" s="6" t="s">
        <v>756</v>
      </c>
      <c r="G4258" s="4" t="s">
        <v>2</v>
      </c>
      <c r="H4258" s="25">
        <v>2361.1109812499999</v>
      </c>
      <c r="I4258" s="8">
        <v>21</v>
      </c>
      <c r="J4258" s="9">
        <v>7</v>
      </c>
      <c r="K4258" s="7">
        <v>-14</v>
      </c>
      <c r="L4258" s="24">
        <f>+Tabla2[[#This Row],[Stock Inventario]]*Tabla2[[#This Row],[Coste LÃ­nea]]</f>
        <v>16527.776868749999</v>
      </c>
      <c r="M4258" s="24">
        <f>+Tabla2[[#This Row],[Variación Stock]]*Tabla2[[#This Row],[Coste LÃ­nea]]</f>
        <v>-33055.553737499999</v>
      </c>
      <c r="N4258" s="22" t="str">
        <f>+IF(Tabla2[[#This Row],[Variación Stock]]&gt;0,"Sobrante",IF(Tabla2[[#This Row],[Variación Stock]]&lt;0,"Faltante","Sin novedad"))</f>
        <v>Faltante</v>
      </c>
    </row>
    <row r="4259" spans="1:14" hidden="1" x14ac:dyDescent="0.25">
      <c r="A4259" s="11">
        <v>46053</v>
      </c>
      <c r="B4259" s="5" t="s">
        <v>1078</v>
      </c>
      <c r="C4259" s="3" t="s">
        <v>339</v>
      </c>
      <c r="D4259" s="5" t="s">
        <v>323</v>
      </c>
      <c r="E4259" s="5" t="s">
        <v>117</v>
      </c>
      <c r="F4259" s="6" t="s">
        <v>330</v>
      </c>
      <c r="G4259" s="4" t="s">
        <v>2</v>
      </c>
      <c r="H4259" s="25">
        <v>1794.7556159000001</v>
      </c>
      <c r="I4259" s="8">
        <v>55</v>
      </c>
      <c r="J4259" s="9">
        <v>55</v>
      </c>
      <c r="K4259" s="7">
        <v>0</v>
      </c>
      <c r="L4259" s="24">
        <f>+Tabla2[[#This Row],[Stock Inventario]]*Tabla2[[#This Row],[Coste LÃ­nea]]</f>
        <v>98711.558874499999</v>
      </c>
      <c r="M4259" s="24">
        <f>+Tabla2[[#This Row],[Variación Stock]]*Tabla2[[#This Row],[Coste LÃ­nea]]</f>
        <v>0</v>
      </c>
      <c r="N4259" s="22" t="str">
        <f>+IF(Tabla2[[#This Row],[Variación Stock]]&gt;0,"Sobrante",IF(Tabla2[[#This Row],[Variación Stock]]&lt;0,"Faltante","Sin novedad"))</f>
        <v>Sin novedad</v>
      </c>
    </row>
    <row r="4260" spans="1:14" hidden="1" x14ac:dyDescent="0.25">
      <c r="A4260" s="11">
        <v>46053</v>
      </c>
      <c r="B4260" s="5" t="s">
        <v>1078</v>
      </c>
      <c r="C4260" s="3" t="s">
        <v>339</v>
      </c>
      <c r="D4260" s="5" t="s">
        <v>120</v>
      </c>
      <c r="E4260" s="5" t="s">
        <v>117</v>
      </c>
      <c r="F4260" s="6" t="s">
        <v>322</v>
      </c>
      <c r="G4260" s="4" t="s">
        <v>2</v>
      </c>
      <c r="H4260" s="25">
        <v>2624.3985064200001</v>
      </c>
      <c r="I4260" s="8">
        <v>1</v>
      </c>
      <c r="J4260" s="9">
        <v>12</v>
      </c>
      <c r="K4260" s="7">
        <v>11</v>
      </c>
      <c r="L4260" s="24">
        <f>+Tabla2[[#This Row],[Stock Inventario]]*Tabla2[[#This Row],[Coste LÃ­nea]]</f>
        <v>31492.782077039999</v>
      </c>
      <c r="M4260" s="24">
        <f>+Tabla2[[#This Row],[Variación Stock]]*Tabla2[[#This Row],[Coste LÃ­nea]]</f>
        <v>28868.383570620001</v>
      </c>
      <c r="N4260" s="22" t="str">
        <f>+IF(Tabla2[[#This Row],[Variación Stock]]&gt;0,"Sobrante",IF(Tabla2[[#This Row],[Variación Stock]]&lt;0,"Faltante","Sin novedad"))</f>
        <v>Sobrante</v>
      </c>
    </row>
    <row r="4261" spans="1:14" hidden="1" x14ac:dyDescent="0.25">
      <c r="A4261" s="11">
        <v>46053</v>
      </c>
      <c r="B4261" s="5" t="s">
        <v>1078</v>
      </c>
      <c r="C4261" s="3" t="s">
        <v>339</v>
      </c>
      <c r="D4261" s="5" t="s">
        <v>120</v>
      </c>
      <c r="E4261" s="5" t="s">
        <v>117</v>
      </c>
      <c r="F4261" s="6" t="s">
        <v>757</v>
      </c>
      <c r="G4261" s="4" t="s">
        <v>1</v>
      </c>
      <c r="H4261" s="25">
        <v>18.653928700000002</v>
      </c>
      <c r="I4261" s="8">
        <v>-3338</v>
      </c>
      <c r="J4261" s="9">
        <v>2500</v>
      </c>
      <c r="K4261" s="7">
        <v>5838</v>
      </c>
      <c r="L4261" s="24">
        <f>+Tabla2[[#This Row],[Stock Inventario]]*Tabla2[[#This Row],[Coste LÃ­nea]]</f>
        <v>46634.821750000003</v>
      </c>
      <c r="M4261" s="24">
        <f>+Tabla2[[#This Row],[Variación Stock]]*Tabla2[[#This Row],[Coste LÃ­nea]]</f>
        <v>108901.63575060001</v>
      </c>
      <c r="N4261" s="22" t="str">
        <f>+IF(Tabla2[[#This Row],[Variación Stock]]&gt;0,"Sobrante",IF(Tabla2[[#This Row],[Variación Stock]]&lt;0,"Faltante","Sin novedad"))</f>
        <v>Sobrante</v>
      </c>
    </row>
    <row r="4262" spans="1:14" x14ac:dyDescent="0.25">
      <c r="A4262" s="11">
        <v>46053</v>
      </c>
      <c r="B4262" s="5" t="s">
        <v>1078</v>
      </c>
      <c r="C4262" s="3" t="s">
        <v>339</v>
      </c>
      <c r="D4262" s="5" t="s">
        <v>121</v>
      </c>
      <c r="E4262" s="5" t="s">
        <v>112</v>
      </c>
      <c r="F4262" s="6" t="s">
        <v>798</v>
      </c>
      <c r="G4262" s="4" t="s">
        <v>1</v>
      </c>
      <c r="H4262" s="25">
        <v>29.620005989999999</v>
      </c>
      <c r="I4262" s="8">
        <v>46</v>
      </c>
      <c r="J4262" s="9">
        <v>414</v>
      </c>
      <c r="K4262" s="7">
        <v>368</v>
      </c>
      <c r="L4262" s="24">
        <f>+Tabla2[[#This Row],[Stock Inventario]]*Tabla2[[#This Row],[Coste LÃ­nea]]</f>
        <v>12262.682479859999</v>
      </c>
      <c r="M4262" s="24">
        <f>+Tabla2[[#This Row],[Variación Stock]]*Tabla2[[#This Row],[Coste LÃ­nea]]</f>
        <v>10900.16220432</v>
      </c>
      <c r="N4262" s="22" t="str">
        <f>+IF(Tabla2[[#This Row],[Variación Stock]]&gt;0,"Sobrante",IF(Tabla2[[#This Row],[Variación Stock]]&lt;0,"Faltante","Sin novedad"))</f>
        <v>Sobrante</v>
      </c>
    </row>
    <row r="4263" spans="1:14" x14ac:dyDescent="0.25">
      <c r="A4263" s="11">
        <v>46053</v>
      </c>
      <c r="B4263" s="5" t="s">
        <v>1078</v>
      </c>
      <c r="C4263" s="3" t="s">
        <v>339</v>
      </c>
      <c r="D4263" s="5" t="s">
        <v>121</v>
      </c>
      <c r="E4263" s="5" t="s">
        <v>112</v>
      </c>
      <c r="F4263" s="6" t="s">
        <v>799</v>
      </c>
      <c r="G4263" s="4" t="s">
        <v>1</v>
      </c>
      <c r="H4263" s="25">
        <v>46.119862300000001</v>
      </c>
      <c r="I4263" s="8">
        <v>-286</v>
      </c>
      <c r="J4263" s="9">
        <v>0</v>
      </c>
      <c r="K4263" s="7">
        <v>286</v>
      </c>
      <c r="L4263" s="24">
        <f>+Tabla2[[#This Row],[Stock Inventario]]*Tabla2[[#This Row],[Coste LÃ­nea]]</f>
        <v>0</v>
      </c>
      <c r="M4263" s="24">
        <f>+Tabla2[[#This Row],[Variación Stock]]*Tabla2[[#This Row],[Coste LÃ­nea]]</f>
        <v>13190.280617800001</v>
      </c>
      <c r="N4263" s="22" t="str">
        <f>+IF(Tabla2[[#This Row],[Variación Stock]]&gt;0,"Sobrante",IF(Tabla2[[#This Row],[Variación Stock]]&lt;0,"Faltante","Sin novedad"))</f>
        <v>Sobrante</v>
      </c>
    </row>
    <row r="4264" spans="1:14" x14ac:dyDescent="0.25">
      <c r="A4264" s="11">
        <v>46053</v>
      </c>
      <c r="B4264" s="5" t="s">
        <v>1078</v>
      </c>
      <c r="C4264" s="3" t="s">
        <v>339</v>
      </c>
      <c r="D4264" s="5" t="s">
        <v>121</v>
      </c>
      <c r="E4264" s="5" t="s">
        <v>112</v>
      </c>
      <c r="F4264" s="6" t="s">
        <v>800</v>
      </c>
      <c r="G4264" s="4" t="s">
        <v>1</v>
      </c>
      <c r="H4264" s="25">
        <v>46.119862300000001</v>
      </c>
      <c r="I4264" s="8">
        <v>0</v>
      </c>
      <c r="J4264" s="9">
        <v>0</v>
      </c>
      <c r="K4264" s="7">
        <v>0</v>
      </c>
      <c r="L4264" s="24">
        <f>+Tabla2[[#This Row],[Stock Inventario]]*Tabla2[[#This Row],[Coste LÃ­nea]]</f>
        <v>0</v>
      </c>
      <c r="M4264" s="24">
        <f>+Tabla2[[#This Row],[Variación Stock]]*Tabla2[[#This Row],[Coste LÃ­nea]]</f>
        <v>0</v>
      </c>
      <c r="N4264" s="22" t="str">
        <f>+IF(Tabla2[[#This Row],[Variación Stock]]&gt;0,"Sobrante",IF(Tabla2[[#This Row],[Variación Stock]]&lt;0,"Faltante","Sin novedad"))</f>
        <v>Sin novedad</v>
      </c>
    </row>
    <row r="4265" spans="1:14" hidden="1" x14ac:dyDescent="0.25">
      <c r="A4265" s="11">
        <v>46053</v>
      </c>
      <c r="B4265" s="5" t="s">
        <v>1078</v>
      </c>
      <c r="C4265" s="3" t="s">
        <v>339</v>
      </c>
      <c r="D4265" s="5" t="s">
        <v>120</v>
      </c>
      <c r="E4265" s="5" t="s">
        <v>117</v>
      </c>
      <c r="F4265" s="6" t="s">
        <v>758</v>
      </c>
      <c r="G4265" s="4" t="s">
        <v>2</v>
      </c>
      <c r="H4265" s="25">
        <v>9148.2894567000003</v>
      </c>
      <c r="I4265" s="8">
        <v>-10</v>
      </c>
      <c r="J4265" s="9">
        <v>0</v>
      </c>
      <c r="K4265" s="7">
        <v>10</v>
      </c>
      <c r="L4265" s="24">
        <f>+Tabla2[[#This Row],[Stock Inventario]]*Tabla2[[#This Row],[Coste LÃ­nea]]</f>
        <v>0</v>
      </c>
      <c r="M4265" s="24">
        <f>+Tabla2[[#This Row],[Variación Stock]]*Tabla2[[#This Row],[Coste LÃ­nea]]</f>
        <v>91482.89456700001</v>
      </c>
      <c r="N4265" s="22" t="str">
        <f>+IF(Tabla2[[#This Row],[Variación Stock]]&gt;0,"Sobrante",IF(Tabla2[[#This Row],[Variación Stock]]&lt;0,"Faltante","Sin novedad"))</f>
        <v>Sobrante</v>
      </c>
    </row>
    <row r="4266" spans="1:14" hidden="1" x14ac:dyDescent="0.25">
      <c r="A4266" s="11">
        <v>46053</v>
      </c>
      <c r="B4266" s="5" t="s">
        <v>1078</v>
      </c>
      <c r="C4266" s="3" t="s">
        <v>339</v>
      </c>
      <c r="D4266" s="5" t="s">
        <v>120</v>
      </c>
      <c r="E4266" s="5" t="s">
        <v>117</v>
      </c>
      <c r="F4266" s="6" t="s">
        <v>759</v>
      </c>
      <c r="G4266" s="4" t="s">
        <v>1</v>
      </c>
      <c r="H4266" s="25">
        <v>27.49856028</v>
      </c>
      <c r="I4266" s="8">
        <v>183</v>
      </c>
      <c r="J4266" s="9">
        <v>400</v>
      </c>
      <c r="K4266" s="7">
        <v>217</v>
      </c>
      <c r="L4266" s="24">
        <f>+Tabla2[[#This Row],[Stock Inventario]]*Tabla2[[#This Row],[Coste LÃ­nea]]</f>
        <v>10999.424112000001</v>
      </c>
      <c r="M4266" s="24">
        <f>+Tabla2[[#This Row],[Variación Stock]]*Tabla2[[#This Row],[Coste LÃ­nea]]</f>
        <v>5967.1875807599999</v>
      </c>
      <c r="N4266" s="22" t="str">
        <f>+IF(Tabla2[[#This Row],[Variación Stock]]&gt;0,"Sobrante",IF(Tabla2[[#This Row],[Variación Stock]]&lt;0,"Faltante","Sin novedad"))</f>
        <v>Sobrante</v>
      </c>
    </row>
    <row r="4267" spans="1:14" hidden="1" x14ac:dyDescent="0.25">
      <c r="A4267" s="11">
        <v>46053</v>
      </c>
      <c r="B4267" s="5" t="s">
        <v>1078</v>
      </c>
      <c r="C4267" s="3" t="s">
        <v>339</v>
      </c>
      <c r="D4267" s="5" t="s">
        <v>120</v>
      </c>
      <c r="E4267" s="5" t="s">
        <v>117</v>
      </c>
      <c r="F4267" s="6" t="s">
        <v>760</v>
      </c>
      <c r="G4267" s="4" t="s">
        <v>1</v>
      </c>
      <c r="H4267" s="25">
        <v>6.6714090099999996</v>
      </c>
      <c r="I4267" s="8">
        <v>-393</v>
      </c>
      <c r="J4267" s="9">
        <v>0</v>
      </c>
      <c r="K4267" s="7">
        <v>393</v>
      </c>
      <c r="L4267" s="24">
        <f>+Tabla2[[#This Row],[Stock Inventario]]*Tabla2[[#This Row],[Coste LÃ­nea]]</f>
        <v>0</v>
      </c>
      <c r="M4267" s="24">
        <f>+Tabla2[[#This Row],[Variación Stock]]*Tabla2[[#This Row],[Coste LÃ­nea]]</f>
        <v>2621.8637409299999</v>
      </c>
      <c r="N4267" s="22" t="str">
        <f>+IF(Tabla2[[#This Row],[Variación Stock]]&gt;0,"Sobrante",IF(Tabla2[[#This Row],[Variación Stock]]&lt;0,"Faltante","Sin novedad"))</f>
        <v>Sobrante</v>
      </c>
    </row>
    <row r="4268" spans="1:14" hidden="1" x14ac:dyDescent="0.25">
      <c r="A4268" s="11">
        <v>46053</v>
      </c>
      <c r="B4268" s="5" t="s">
        <v>1078</v>
      </c>
      <c r="C4268" s="3" t="s">
        <v>339</v>
      </c>
      <c r="D4268" s="5" t="s">
        <v>120</v>
      </c>
      <c r="E4268" s="5" t="s">
        <v>117</v>
      </c>
      <c r="F4268" s="6" t="s">
        <v>761</v>
      </c>
      <c r="G4268" s="4" t="s">
        <v>1</v>
      </c>
      <c r="H4268" s="25">
        <v>32.101201889999999</v>
      </c>
      <c r="I4268" s="8">
        <v>551</v>
      </c>
      <c r="J4268" s="9">
        <v>536</v>
      </c>
      <c r="K4268" s="7">
        <v>-15</v>
      </c>
      <c r="L4268" s="24">
        <f>+Tabla2[[#This Row],[Stock Inventario]]*Tabla2[[#This Row],[Coste LÃ­nea]]</f>
        <v>17206.244213039998</v>
      </c>
      <c r="M4268" s="24">
        <f>+Tabla2[[#This Row],[Variación Stock]]*Tabla2[[#This Row],[Coste LÃ­nea]]</f>
        <v>-481.51802835000001</v>
      </c>
      <c r="N4268" s="22" t="str">
        <f>+IF(Tabla2[[#This Row],[Variación Stock]]&gt;0,"Sobrante",IF(Tabla2[[#This Row],[Variación Stock]]&lt;0,"Faltante","Sin novedad"))</f>
        <v>Faltante</v>
      </c>
    </row>
    <row r="4269" spans="1:14" x14ac:dyDescent="0.25">
      <c r="A4269" s="11">
        <v>46053</v>
      </c>
      <c r="B4269" s="5" t="s">
        <v>1078</v>
      </c>
      <c r="C4269" s="3" t="s">
        <v>339</v>
      </c>
      <c r="D4269" s="5" t="s">
        <v>121</v>
      </c>
      <c r="E4269" s="5" t="s">
        <v>112</v>
      </c>
      <c r="F4269" s="6" t="s">
        <v>354</v>
      </c>
      <c r="G4269" s="4" t="s">
        <v>1</v>
      </c>
      <c r="H4269" s="25">
        <v>66.666666669999998</v>
      </c>
      <c r="I4269" s="8">
        <v>-12</v>
      </c>
      <c r="J4269" s="9">
        <v>705</v>
      </c>
      <c r="K4269" s="7">
        <v>717</v>
      </c>
      <c r="L4269" s="24">
        <f>+Tabla2[[#This Row],[Stock Inventario]]*Tabla2[[#This Row],[Coste LÃ­nea]]</f>
        <v>47000.000002349996</v>
      </c>
      <c r="M4269" s="24">
        <f>+Tabla2[[#This Row],[Variación Stock]]*Tabla2[[#This Row],[Coste LÃ­nea]]</f>
        <v>47800.000002389999</v>
      </c>
      <c r="N4269" s="22" t="str">
        <f>+IF(Tabla2[[#This Row],[Variación Stock]]&gt;0,"Sobrante",IF(Tabla2[[#This Row],[Variación Stock]]&lt;0,"Faltante","Sin novedad"))</f>
        <v>Sobrante</v>
      </c>
    </row>
    <row r="4270" spans="1:14" hidden="1" x14ac:dyDescent="0.25">
      <c r="A4270" s="11">
        <v>46053</v>
      </c>
      <c r="B4270" s="5" t="s">
        <v>1078</v>
      </c>
      <c r="C4270" s="3" t="s">
        <v>339</v>
      </c>
      <c r="D4270" s="5" t="s">
        <v>120</v>
      </c>
      <c r="E4270" s="5" t="s">
        <v>117</v>
      </c>
      <c r="F4270" s="6" t="s">
        <v>320</v>
      </c>
      <c r="G4270" s="4" t="s">
        <v>2</v>
      </c>
      <c r="H4270" s="25">
        <v>6476.7767878900004</v>
      </c>
      <c r="I4270" s="8">
        <v>5</v>
      </c>
      <c r="J4270" s="9">
        <v>5</v>
      </c>
      <c r="K4270" s="7">
        <v>0</v>
      </c>
      <c r="L4270" s="24">
        <f>+Tabla2[[#This Row],[Stock Inventario]]*Tabla2[[#This Row],[Coste LÃ­nea]]</f>
        <v>32383.883939450003</v>
      </c>
      <c r="M4270" s="24">
        <f>+Tabla2[[#This Row],[Variación Stock]]*Tabla2[[#This Row],[Coste LÃ­nea]]</f>
        <v>0</v>
      </c>
      <c r="N4270" s="22" t="str">
        <f>+IF(Tabla2[[#This Row],[Variación Stock]]&gt;0,"Sobrante",IF(Tabla2[[#This Row],[Variación Stock]]&lt;0,"Faltante","Sin novedad"))</f>
        <v>Sin novedad</v>
      </c>
    </row>
    <row r="4271" spans="1:14" hidden="1" x14ac:dyDescent="0.25">
      <c r="A4271" s="11">
        <v>46053</v>
      </c>
      <c r="B4271" s="5" t="s">
        <v>1078</v>
      </c>
      <c r="C4271" s="3" t="s">
        <v>339</v>
      </c>
      <c r="D4271" s="5" t="s">
        <v>120</v>
      </c>
      <c r="E4271" s="5" t="s">
        <v>117</v>
      </c>
      <c r="F4271" s="6" t="s">
        <v>762</v>
      </c>
      <c r="G4271" s="4" t="s">
        <v>1</v>
      </c>
      <c r="H4271" s="25">
        <v>35.738049760000003</v>
      </c>
      <c r="I4271" s="8">
        <v>-2304</v>
      </c>
      <c r="J4271" s="9">
        <v>0</v>
      </c>
      <c r="K4271" s="7">
        <v>2304</v>
      </c>
      <c r="L4271" s="24">
        <f>+Tabla2[[#This Row],[Stock Inventario]]*Tabla2[[#This Row],[Coste LÃ­nea]]</f>
        <v>0</v>
      </c>
      <c r="M4271" s="24">
        <f>+Tabla2[[#This Row],[Variación Stock]]*Tabla2[[#This Row],[Coste LÃ­nea]]</f>
        <v>82340.466647040012</v>
      </c>
      <c r="N4271" s="22" t="str">
        <f>+IF(Tabla2[[#This Row],[Variación Stock]]&gt;0,"Sobrante",IF(Tabla2[[#This Row],[Variación Stock]]&lt;0,"Faltante","Sin novedad"))</f>
        <v>Sobrante</v>
      </c>
    </row>
    <row r="4272" spans="1:14" hidden="1" x14ac:dyDescent="0.25">
      <c r="A4272" s="11">
        <v>46053</v>
      </c>
      <c r="B4272" s="5" t="s">
        <v>1078</v>
      </c>
      <c r="C4272" s="3" t="s">
        <v>339</v>
      </c>
      <c r="D4272" s="5" t="s">
        <v>120</v>
      </c>
      <c r="E4272" s="5" t="s">
        <v>117</v>
      </c>
      <c r="F4272" s="6" t="s">
        <v>96</v>
      </c>
      <c r="G4272" s="4" t="s">
        <v>2</v>
      </c>
      <c r="H4272" s="25">
        <v>4161.4534161499996</v>
      </c>
      <c r="I4272" s="8">
        <v>13</v>
      </c>
      <c r="J4272" s="9">
        <v>12</v>
      </c>
      <c r="K4272" s="7">
        <v>-1</v>
      </c>
      <c r="L4272" s="24">
        <f>+Tabla2[[#This Row],[Stock Inventario]]*Tabla2[[#This Row],[Coste LÃ­nea]]</f>
        <v>49937.440993799995</v>
      </c>
      <c r="M4272" s="24">
        <f>+Tabla2[[#This Row],[Variación Stock]]*Tabla2[[#This Row],[Coste LÃ­nea]]</f>
        <v>-4161.4534161499996</v>
      </c>
      <c r="N4272" s="22" t="str">
        <f>+IF(Tabla2[[#This Row],[Variación Stock]]&gt;0,"Sobrante",IF(Tabla2[[#This Row],[Variación Stock]]&lt;0,"Faltante","Sin novedad"))</f>
        <v>Faltante</v>
      </c>
    </row>
    <row r="4273" spans="1:14" hidden="1" x14ac:dyDescent="0.25">
      <c r="A4273" s="11">
        <v>46053</v>
      </c>
      <c r="B4273" s="5" t="s">
        <v>1078</v>
      </c>
      <c r="C4273" s="3" t="s">
        <v>339</v>
      </c>
      <c r="D4273" s="5" t="s">
        <v>323</v>
      </c>
      <c r="E4273" s="5" t="s">
        <v>117</v>
      </c>
      <c r="F4273" s="6" t="s">
        <v>779</v>
      </c>
      <c r="G4273" s="4" t="s">
        <v>1</v>
      </c>
      <c r="H4273" s="25">
        <v>1</v>
      </c>
      <c r="I4273" s="8">
        <v>5313.8490000000002</v>
      </c>
      <c r="J4273" s="9">
        <v>0</v>
      </c>
      <c r="K4273" s="7">
        <v>-5313.8490000000002</v>
      </c>
      <c r="L4273" s="24">
        <f>+Tabla2[[#This Row],[Stock Inventario]]*Tabla2[[#This Row],[Coste LÃ­nea]]</f>
        <v>0</v>
      </c>
      <c r="M4273" s="24">
        <f>+Tabla2[[#This Row],[Variación Stock]]*Tabla2[[#This Row],[Coste LÃ­nea]]</f>
        <v>-5313.8490000000002</v>
      </c>
      <c r="N4273" s="22" t="str">
        <f>+IF(Tabla2[[#This Row],[Variación Stock]]&gt;0,"Sobrante",IF(Tabla2[[#This Row],[Variación Stock]]&lt;0,"Faltante","Sin novedad"))</f>
        <v>Faltante</v>
      </c>
    </row>
    <row r="4274" spans="1:14" hidden="1" x14ac:dyDescent="0.25">
      <c r="A4274" s="11">
        <v>46053</v>
      </c>
      <c r="B4274" s="5" t="s">
        <v>1078</v>
      </c>
      <c r="C4274" s="3" t="s">
        <v>339</v>
      </c>
      <c r="D4274" s="5" t="s">
        <v>120</v>
      </c>
      <c r="E4274" s="5" t="s">
        <v>117</v>
      </c>
      <c r="F4274" s="6" t="s">
        <v>763</v>
      </c>
      <c r="G4274" s="4" t="s">
        <v>1</v>
      </c>
      <c r="H4274" s="25">
        <v>23.716363470000001</v>
      </c>
      <c r="I4274" s="8">
        <v>-180</v>
      </c>
      <c r="J4274" s="9">
        <v>0</v>
      </c>
      <c r="K4274" s="7">
        <v>180</v>
      </c>
      <c r="L4274" s="24">
        <f>+Tabla2[[#This Row],[Stock Inventario]]*Tabla2[[#This Row],[Coste LÃ­nea]]</f>
        <v>0</v>
      </c>
      <c r="M4274" s="24">
        <f>+Tabla2[[#This Row],[Variación Stock]]*Tabla2[[#This Row],[Coste LÃ­nea]]</f>
        <v>4268.9454246000005</v>
      </c>
      <c r="N4274" s="22" t="str">
        <f>+IF(Tabla2[[#This Row],[Variación Stock]]&gt;0,"Sobrante",IF(Tabla2[[#This Row],[Variación Stock]]&lt;0,"Faltante","Sin novedad"))</f>
        <v>Sobrante</v>
      </c>
    </row>
    <row r="4275" spans="1:14" hidden="1" x14ac:dyDescent="0.25">
      <c r="A4275" s="11">
        <v>46053</v>
      </c>
      <c r="B4275" s="5" t="s">
        <v>1078</v>
      </c>
      <c r="C4275" s="3" t="s">
        <v>339</v>
      </c>
      <c r="D4275" s="5" t="s">
        <v>120</v>
      </c>
      <c r="E4275" s="5" t="s">
        <v>117</v>
      </c>
      <c r="F4275" s="6" t="s">
        <v>764</v>
      </c>
      <c r="G4275" s="4" t="s">
        <v>1</v>
      </c>
      <c r="H4275" s="25">
        <v>34.65981884</v>
      </c>
      <c r="I4275" s="8">
        <v>2870</v>
      </c>
      <c r="J4275" s="9">
        <v>0</v>
      </c>
      <c r="K4275" s="7">
        <v>-2870</v>
      </c>
      <c r="L4275" s="24">
        <f>+Tabla2[[#This Row],[Stock Inventario]]*Tabla2[[#This Row],[Coste LÃ­nea]]</f>
        <v>0</v>
      </c>
      <c r="M4275" s="24">
        <f>+Tabla2[[#This Row],[Variación Stock]]*Tabla2[[#This Row],[Coste LÃ­nea]]</f>
        <v>-99473.680070799994</v>
      </c>
      <c r="N4275" s="22" t="str">
        <f>+IF(Tabla2[[#This Row],[Variación Stock]]&gt;0,"Sobrante",IF(Tabla2[[#This Row],[Variación Stock]]&lt;0,"Faltante","Sin novedad"))</f>
        <v>Faltante</v>
      </c>
    </row>
    <row r="4276" spans="1:14" hidden="1" x14ac:dyDescent="0.25">
      <c r="A4276" s="11">
        <v>46053</v>
      </c>
      <c r="B4276" s="5" t="s">
        <v>1078</v>
      </c>
      <c r="C4276" s="3" t="s">
        <v>339</v>
      </c>
      <c r="D4276" s="5" t="s">
        <v>323</v>
      </c>
      <c r="E4276" s="5" t="s">
        <v>117</v>
      </c>
      <c r="F4276" s="6" t="s">
        <v>782</v>
      </c>
      <c r="G4276" s="4" t="s">
        <v>2</v>
      </c>
      <c r="H4276" s="25">
        <v>637.92764901999999</v>
      </c>
      <c r="I4276" s="8">
        <v>0</v>
      </c>
      <c r="J4276" s="9">
        <v>0</v>
      </c>
      <c r="K4276" s="7">
        <v>0</v>
      </c>
      <c r="L4276" s="24">
        <f>+Tabla2[[#This Row],[Stock Inventario]]*Tabla2[[#This Row],[Coste LÃ­nea]]</f>
        <v>0</v>
      </c>
      <c r="M4276" s="24">
        <f>+Tabla2[[#This Row],[Variación Stock]]*Tabla2[[#This Row],[Coste LÃ­nea]]</f>
        <v>0</v>
      </c>
      <c r="N4276" s="22" t="str">
        <f>+IF(Tabla2[[#This Row],[Variación Stock]]&gt;0,"Sobrante",IF(Tabla2[[#This Row],[Variación Stock]]&lt;0,"Faltante","Sin novedad"))</f>
        <v>Sin novedad</v>
      </c>
    </row>
    <row r="4277" spans="1:14" hidden="1" x14ac:dyDescent="0.25">
      <c r="A4277" s="11">
        <v>46053</v>
      </c>
      <c r="B4277" s="5" t="s">
        <v>1078</v>
      </c>
      <c r="C4277" s="3" t="s">
        <v>339</v>
      </c>
      <c r="D4277" s="5" t="s">
        <v>120</v>
      </c>
      <c r="E4277" s="5" t="s">
        <v>117</v>
      </c>
      <c r="F4277" s="6" t="s">
        <v>765</v>
      </c>
      <c r="G4277" s="4" t="s">
        <v>2</v>
      </c>
      <c r="H4277" s="25">
        <v>435.94936706999999</v>
      </c>
      <c r="I4277" s="8">
        <v>99</v>
      </c>
      <c r="J4277" s="9">
        <v>0</v>
      </c>
      <c r="K4277" s="7">
        <v>-99</v>
      </c>
      <c r="L4277" s="24">
        <f>+Tabla2[[#This Row],[Stock Inventario]]*Tabla2[[#This Row],[Coste LÃ­nea]]</f>
        <v>0</v>
      </c>
      <c r="M4277" s="24">
        <f>+Tabla2[[#This Row],[Variación Stock]]*Tabla2[[#This Row],[Coste LÃ­nea]]</f>
        <v>-43158.987339929998</v>
      </c>
      <c r="N4277" s="22" t="str">
        <f>+IF(Tabla2[[#This Row],[Variación Stock]]&gt;0,"Sobrante",IF(Tabla2[[#This Row],[Variación Stock]]&lt;0,"Faltante","Sin novedad"))</f>
        <v>Faltante</v>
      </c>
    </row>
    <row r="4278" spans="1:14" x14ac:dyDescent="0.25">
      <c r="A4278" s="11">
        <v>46053</v>
      </c>
      <c r="B4278" s="5" t="s">
        <v>1078</v>
      </c>
      <c r="C4278" s="3" t="s">
        <v>339</v>
      </c>
      <c r="D4278" s="5" t="s">
        <v>121</v>
      </c>
      <c r="E4278" s="5" t="s">
        <v>112</v>
      </c>
      <c r="F4278" s="6" t="s">
        <v>801</v>
      </c>
      <c r="G4278" s="4" t="s">
        <v>1</v>
      </c>
      <c r="H4278" s="25">
        <v>16.463414660000002</v>
      </c>
      <c r="I4278" s="8">
        <v>-45315</v>
      </c>
      <c r="J4278" s="9">
        <v>4000</v>
      </c>
      <c r="K4278" s="7">
        <v>49315</v>
      </c>
      <c r="L4278" s="24">
        <f>+Tabla2[[#This Row],[Stock Inventario]]*Tabla2[[#This Row],[Coste LÃ­nea]]</f>
        <v>65853.658640000009</v>
      </c>
      <c r="M4278" s="24">
        <f>+Tabla2[[#This Row],[Variación Stock]]*Tabla2[[#This Row],[Coste LÃ­nea]]</f>
        <v>811893.29395790002</v>
      </c>
      <c r="N4278" s="22" t="str">
        <f>+IF(Tabla2[[#This Row],[Variación Stock]]&gt;0,"Sobrante",IF(Tabla2[[#This Row],[Variación Stock]]&lt;0,"Faltante","Sin novedad"))</f>
        <v>Sobrante</v>
      </c>
    </row>
    <row r="4279" spans="1:14" x14ac:dyDescent="0.25">
      <c r="A4279" s="11">
        <v>46053</v>
      </c>
      <c r="B4279" s="5" t="s">
        <v>1078</v>
      </c>
      <c r="C4279" s="3" t="s">
        <v>339</v>
      </c>
      <c r="D4279" s="5" t="s">
        <v>603</v>
      </c>
      <c r="E4279" s="5" t="s">
        <v>112</v>
      </c>
      <c r="F4279" s="6" t="s">
        <v>615</v>
      </c>
      <c r="G4279" s="4" t="s">
        <v>0</v>
      </c>
      <c r="H4279" s="25">
        <v>1738.90909091</v>
      </c>
      <c r="I4279" s="8">
        <v>90</v>
      </c>
      <c r="J4279" s="9">
        <v>82</v>
      </c>
      <c r="K4279" s="7">
        <v>-8</v>
      </c>
      <c r="L4279" s="24">
        <f>+Tabla2[[#This Row],[Stock Inventario]]*Tabla2[[#This Row],[Coste LÃ­nea]]</f>
        <v>142590.54545462001</v>
      </c>
      <c r="M4279" s="24">
        <f>+Tabla2[[#This Row],[Variación Stock]]*Tabla2[[#This Row],[Coste LÃ­nea]]</f>
        <v>-13911.27272728</v>
      </c>
      <c r="N4279" s="22" t="str">
        <f>+IF(Tabla2[[#This Row],[Variación Stock]]&gt;0,"Sobrante",IF(Tabla2[[#This Row],[Variación Stock]]&lt;0,"Faltante","Sin novedad"))</f>
        <v>Faltante</v>
      </c>
    </row>
    <row r="4280" spans="1:14" hidden="1" x14ac:dyDescent="0.25">
      <c r="A4280" s="11">
        <v>46053</v>
      </c>
      <c r="B4280" s="5" t="s">
        <v>1078</v>
      </c>
      <c r="C4280" s="3" t="s">
        <v>339</v>
      </c>
      <c r="D4280" s="5" t="s">
        <v>396</v>
      </c>
      <c r="E4280" s="5" t="s">
        <v>117</v>
      </c>
      <c r="F4280" s="6" t="s">
        <v>454</v>
      </c>
      <c r="G4280" s="4" t="s">
        <v>0</v>
      </c>
      <c r="H4280" s="25">
        <v>1594</v>
      </c>
      <c r="I4280" s="8">
        <v>2.0699999999999998</v>
      </c>
      <c r="J4280" s="9">
        <v>0</v>
      </c>
      <c r="K4280" s="7">
        <v>-2.0699999999999998</v>
      </c>
      <c r="L4280" s="24">
        <f>+Tabla2[[#This Row],[Stock Inventario]]*Tabla2[[#This Row],[Coste LÃ­nea]]</f>
        <v>0</v>
      </c>
      <c r="M4280" s="24">
        <f>+Tabla2[[#This Row],[Variación Stock]]*Tabla2[[#This Row],[Coste LÃ­nea]]</f>
        <v>-3299.58</v>
      </c>
      <c r="N4280" s="22" t="str">
        <f>+IF(Tabla2[[#This Row],[Variación Stock]]&gt;0,"Sobrante",IF(Tabla2[[#This Row],[Variación Stock]]&lt;0,"Faltante","Sin novedad"))</f>
        <v>Faltante</v>
      </c>
    </row>
    <row r="4281" spans="1:14" hidden="1" x14ac:dyDescent="0.25">
      <c r="A4281" s="11">
        <v>46053</v>
      </c>
      <c r="B4281" s="5" t="s">
        <v>1078</v>
      </c>
      <c r="C4281" s="3" t="s">
        <v>339</v>
      </c>
      <c r="D4281" s="5" t="s">
        <v>626</v>
      </c>
      <c r="E4281" s="5" t="s">
        <v>1079</v>
      </c>
      <c r="F4281" s="6" t="s">
        <v>663</v>
      </c>
      <c r="G4281" s="4" t="s">
        <v>1</v>
      </c>
      <c r="H4281" s="25">
        <v>11.7532</v>
      </c>
      <c r="I4281" s="8">
        <v>7800</v>
      </c>
      <c r="J4281" s="9">
        <v>10800</v>
      </c>
      <c r="K4281" s="7">
        <v>3000</v>
      </c>
      <c r="L4281" s="24">
        <f>+Tabla2[[#This Row],[Stock Inventario]]*Tabla2[[#This Row],[Coste LÃ­nea]]</f>
        <v>126934.56</v>
      </c>
      <c r="M4281" s="24">
        <f>+Tabla2[[#This Row],[Variación Stock]]*Tabla2[[#This Row],[Coste LÃ­nea]]</f>
        <v>35259.599999999999</v>
      </c>
      <c r="N4281" s="22" t="str">
        <f>+IF(Tabla2[[#This Row],[Variación Stock]]&gt;0,"Sobrante",IF(Tabla2[[#This Row],[Variación Stock]]&lt;0,"Faltante","Sin novedad"))</f>
        <v>Sobrante</v>
      </c>
    </row>
    <row r="4282" spans="1:14" hidden="1" x14ac:dyDescent="0.25">
      <c r="A4282" s="11">
        <v>46053</v>
      </c>
      <c r="B4282" s="5" t="s">
        <v>1078</v>
      </c>
      <c r="C4282" s="3" t="s">
        <v>339</v>
      </c>
      <c r="D4282" s="5" t="s">
        <v>626</v>
      </c>
      <c r="E4282" s="5" t="s">
        <v>1079</v>
      </c>
      <c r="F4282" s="6" t="s">
        <v>664</v>
      </c>
      <c r="G4282" s="4" t="s">
        <v>1</v>
      </c>
      <c r="H4282" s="25">
        <v>69.447999999999993</v>
      </c>
      <c r="I4282" s="8">
        <v>4000</v>
      </c>
      <c r="J4282" s="9">
        <v>2520</v>
      </c>
      <c r="K4282" s="7">
        <v>-1480</v>
      </c>
      <c r="L4282" s="24">
        <f>+Tabla2[[#This Row],[Stock Inventario]]*Tabla2[[#This Row],[Coste LÃ­nea]]</f>
        <v>175008.96</v>
      </c>
      <c r="M4282" s="24">
        <f>+Tabla2[[#This Row],[Variación Stock]]*Tabla2[[#This Row],[Coste LÃ­nea]]</f>
        <v>-102783.03999999999</v>
      </c>
      <c r="N4282" s="22" t="str">
        <f>+IF(Tabla2[[#This Row],[Variación Stock]]&gt;0,"Sobrante",IF(Tabla2[[#This Row],[Variación Stock]]&lt;0,"Faltante","Sin novedad"))</f>
        <v>Faltante</v>
      </c>
    </row>
    <row r="4283" spans="1:14" hidden="1" x14ac:dyDescent="0.25">
      <c r="A4283" s="11">
        <v>46053</v>
      </c>
      <c r="B4283" s="5" t="s">
        <v>1078</v>
      </c>
      <c r="C4283" s="3" t="s">
        <v>339</v>
      </c>
      <c r="D4283" s="5" t="s">
        <v>626</v>
      </c>
      <c r="E4283" s="5" t="s">
        <v>1079</v>
      </c>
      <c r="F4283" s="6" t="s">
        <v>665</v>
      </c>
      <c r="G4283" s="4" t="s">
        <v>1</v>
      </c>
      <c r="H4283" s="25">
        <v>22.645399999999999</v>
      </c>
      <c r="I4283" s="8">
        <v>9578</v>
      </c>
      <c r="J4283" s="9">
        <v>2350</v>
      </c>
      <c r="K4283" s="7">
        <v>-7228</v>
      </c>
      <c r="L4283" s="24">
        <f>+Tabla2[[#This Row],[Stock Inventario]]*Tabla2[[#This Row],[Coste LÃ­nea]]</f>
        <v>53216.689999999995</v>
      </c>
      <c r="M4283" s="24">
        <f>+Tabla2[[#This Row],[Variación Stock]]*Tabla2[[#This Row],[Coste LÃ­nea]]</f>
        <v>-163680.95119999998</v>
      </c>
      <c r="N4283" s="22" t="str">
        <f>+IF(Tabla2[[#This Row],[Variación Stock]]&gt;0,"Sobrante",IF(Tabla2[[#This Row],[Variación Stock]]&lt;0,"Faltante","Sin novedad"))</f>
        <v>Faltante</v>
      </c>
    </row>
    <row r="4284" spans="1:14" x14ac:dyDescent="0.25">
      <c r="A4284" s="11">
        <v>46053</v>
      </c>
      <c r="B4284" s="5" t="s">
        <v>1078</v>
      </c>
      <c r="C4284" s="3" t="s">
        <v>339</v>
      </c>
      <c r="D4284" s="5" t="s">
        <v>111</v>
      </c>
      <c r="E4284" s="5" t="s">
        <v>112</v>
      </c>
      <c r="F4284" s="6" t="s">
        <v>31</v>
      </c>
      <c r="G4284" s="4" t="s">
        <v>0</v>
      </c>
      <c r="H4284" s="25">
        <v>6774.5454545499997</v>
      </c>
      <c r="I4284" s="8">
        <v>9.32</v>
      </c>
      <c r="J4284" s="9">
        <v>12</v>
      </c>
      <c r="K4284" s="7">
        <v>2.68</v>
      </c>
      <c r="L4284" s="24">
        <f>+Tabla2[[#This Row],[Stock Inventario]]*Tabla2[[#This Row],[Coste LÃ­nea]]</f>
        <v>81294.545454599996</v>
      </c>
      <c r="M4284" s="24">
        <f>+Tabla2[[#This Row],[Variación Stock]]*Tabla2[[#This Row],[Coste LÃ­nea]]</f>
        <v>18155.781818194002</v>
      </c>
      <c r="N4284" s="22" t="str">
        <f>+IF(Tabla2[[#This Row],[Variación Stock]]&gt;0,"Sobrante",IF(Tabla2[[#This Row],[Variación Stock]]&lt;0,"Faltante","Sin novedad"))</f>
        <v>Sobrante</v>
      </c>
    </row>
    <row r="4285" spans="1:14" hidden="1" x14ac:dyDescent="0.25">
      <c r="A4285" s="11">
        <v>46053</v>
      </c>
      <c r="B4285" s="5" t="s">
        <v>1078</v>
      </c>
      <c r="C4285" s="3" t="s">
        <v>339</v>
      </c>
      <c r="D4285" s="5" t="s">
        <v>559</v>
      </c>
      <c r="E4285" s="5" t="s">
        <v>1080</v>
      </c>
      <c r="F4285" s="6" t="s">
        <v>598</v>
      </c>
      <c r="G4285" s="4" t="s">
        <v>2</v>
      </c>
      <c r="H4285" s="25">
        <v>62.83</v>
      </c>
      <c r="I4285" s="8">
        <v>0</v>
      </c>
      <c r="J4285" s="9">
        <v>56</v>
      </c>
      <c r="K4285" s="7">
        <v>56</v>
      </c>
      <c r="L4285" s="24">
        <f>+Tabla2[[#This Row],[Stock Inventario]]*Tabla2[[#This Row],[Coste LÃ­nea]]</f>
        <v>3518.48</v>
      </c>
      <c r="M4285" s="24">
        <f>+Tabla2[[#This Row],[Variación Stock]]*Tabla2[[#This Row],[Coste LÃ­nea]]</f>
        <v>3518.48</v>
      </c>
      <c r="N4285" s="22" t="str">
        <f>+IF(Tabla2[[#This Row],[Variación Stock]]&gt;0,"Sobrante",IF(Tabla2[[#This Row],[Variación Stock]]&lt;0,"Faltante","Sin novedad"))</f>
        <v>Sobrante</v>
      </c>
    </row>
    <row r="4286" spans="1:14" hidden="1" x14ac:dyDescent="0.25">
      <c r="A4286" s="11">
        <v>46053</v>
      </c>
      <c r="B4286" s="5" t="s">
        <v>1078</v>
      </c>
      <c r="C4286" s="3" t="s">
        <v>339</v>
      </c>
      <c r="D4286" s="5" t="s">
        <v>559</v>
      </c>
      <c r="E4286" s="5" t="s">
        <v>1080</v>
      </c>
      <c r="F4286" s="6" t="s">
        <v>599</v>
      </c>
      <c r="G4286" s="4" t="s">
        <v>2</v>
      </c>
      <c r="H4286" s="25">
        <v>76.944999999999993</v>
      </c>
      <c r="I4286" s="8">
        <v>0</v>
      </c>
      <c r="J4286" s="9">
        <v>0</v>
      </c>
      <c r="K4286" s="7">
        <v>0</v>
      </c>
      <c r="L4286" s="24">
        <f>+Tabla2[[#This Row],[Stock Inventario]]*Tabla2[[#This Row],[Coste LÃ­nea]]</f>
        <v>0</v>
      </c>
      <c r="M4286" s="24">
        <f>+Tabla2[[#This Row],[Variación Stock]]*Tabla2[[#This Row],[Coste LÃ­nea]]</f>
        <v>0</v>
      </c>
      <c r="N4286" s="22" t="str">
        <f>+IF(Tabla2[[#This Row],[Variación Stock]]&gt;0,"Sobrante",IF(Tabla2[[#This Row],[Variación Stock]]&lt;0,"Faltante","Sin novedad"))</f>
        <v>Sin novedad</v>
      </c>
    </row>
    <row r="4287" spans="1:14" hidden="1" x14ac:dyDescent="0.25">
      <c r="A4287" s="11">
        <v>46053</v>
      </c>
      <c r="B4287" s="5" t="s">
        <v>1078</v>
      </c>
      <c r="C4287" s="3" t="s">
        <v>339</v>
      </c>
      <c r="D4287" s="5" t="s">
        <v>559</v>
      </c>
      <c r="E4287" s="5" t="s">
        <v>1080</v>
      </c>
      <c r="F4287" s="6" t="s">
        <v>600</v>
      </c>
      <c r="G4287" s="4" t="s">
        <v>2</v>
      </c>
      <c r="H4287" s="25">
        <v>3748.5</v>
      </c>
      <c r="I4287" s="8">
        <v>75</v>
      </c>
      <c r="J4287" s="9">
        <v>0</v>
      </c>
      <c r="K4287" s="7">
        <v>-75</v>
      </c>
      <c r="L4287" s="24">
        <f>+Tabla2[[#This Row],[Stock Inventario]]*Tabla2[[#This Row],[Coste LÃ­nea]]</f>
        <v>0</v>
      </c>
      <c r="M4287" s="24">
        <f>+Tabla2[[#This Row],[Variación Stock]]*Tabla2[[#This Row],[Coste LÃ­nea]]</f>
        <v>-281137.5</v>
      </c>
      <c r="N4287" s="22" t="str">
        <f>+IF(Tabla2[[#This Row],[Variación Stock]]&gt;0,"Sobrante",IF(Tabla2[[#This Row],[Variación Stock]]&lt;0,"Faltante","Sin novedad"))</f>
        <v>Faltante</v>
      </c>
    </row>
    <row r="4288" spans="1:14" x14ac:dyDescent="0.25">
      <c r="A4288" s="11">
        <v>46053</v>
      </c>
      <c r="B4288" s="5" t="s">
        <v>1078</v>
      </c>
      <c r="C4288" s="3" t="s">
        <v>339</v>
      </c>
      <c r="D4288" s="5" t="s">
        <v>122</v>
      </c>
      <c r="E4288" s="5" t="s">
        <v>112</v>
      </c>
      <c r="F4288" s="6" t="s">
        <v>102</v>
      </c>
      <c r="G4288" s="4" t="s">
        <v>2</v>
      </c>
      <c r="H4288" s="25">
        <v>3458.3291316700002</v>
      </c>
      <c r="I4288" s="8">
        <v>0</v>
      </c>
      <c r="J4288" s="9">
        <v>0</v>
      </c>
      <c r="K4288" s="7">
        <v>0</v>
      </c>
      <c r="L4288" s="24">
        <f>+Tabla2[[#This Row],[Stock Inventario]]*Tabla2[[#This Row],[Coste LÃ­nea]]</f>
        <v>0</v>
      </c>
      <c r="M4288" s="24">
        <f>+Tabla2[[#This Row],[Variación Stock]]*Tabla2[[#This Row],[Coste LÃ­nea]]</f>
        <v>0</v>
      </c>
      <c r="N4288" s="22" t="str">
        <f>+IF(Tabla2[[#This Row],[Variación Stock]]&gt;0,"Sobrante",IF(Tabla2[[#This Row],[Variación Stock]]&lt;0,"Faltante","Sin novedad"))</f>
        <v>Sin novedad</v>
      </c>
    </row>
    <row r="4289" spans="1:14" x14ac:dyDescent="0.25">
      <c r="A4289" s="11">
        <v>46053</v>
      </c>
      <c r="B4289" s="5" t="s">
        <v>1078</v>
      </c>
      <c r="C4289" s="3" t="s">
        <v>339</v>
      </c>
      <c r="D4289" s="5" t="s">
        <v>122</v>
      </c>
      <c r="E4289" s="5" t="s">
        <v>112</v>
      </c>
      <c r="F4289" s="6" t="s">
        <v>103</v>
      </c>
      <c r="G4289" s="4" t="s">
        <v>2</v>
      </c>
      <c r="H4289" s="25">
        <v>3458.3283333300001</v>
      </c>
      <c r="I4289" s="8">
        <v>0</v>
      </c>
      <c r="J4289" s="9">
        <v>0</v>
      </c>
      <c r="K4289" s="7">
        <v>0</v>
      </c>
      <c r="L4289" s="24">
        <f>+Tabla2[[#This Row],[Stock Inventario]]*Tabla2[[#This Row],[Coste LÃ­nea]]</f>
        <v>0</v>
      </c>
      <c r="M4289" s="24">
        <f>+Tabla2[[#This Row],[Variación Stock]]*Tabla2[[#This Row],[Coste LÃ­nea]]</f>
        <v>0</v>
      </c>
      <c r="N4289" s="22" t="str">
        <f>+IF(Tabla2[[#This Row],[Variación Stock]]&gt;0,"Sobrante",IF(Tabla2[[#This Row],[Variación Stock]]&lt;0,"Faltante","Sin novedad"))</f>
        <v>Sin novedad</v>
      </c>
    </row>
    <row r="4290" spans="1:14" x14ac:dyDescent="0.25">
      <c r="A4290" s="11">
        <v>46053</v>
      </c>
      <c r="B4290" s="5" t="s">
        <v>1078</v>
      </c>
      <c r="C4290" s="3" t="s">
        <v>339</v>
      </c>
      <c r="D4290" s="5" t="s">
        <v>122</v>
      </c>
      <c r="E4290" s="5" t="s">
        <v>112</v>
      </c>
      <c r="F4290" s="6" t="s">
        <v>104</v>
      </c>
      <c r="G4290" s="4" t="s">
        <v>2</v>
      </c>
      <c r="H4290" s="25">
        <v>3458.25</v>
      </c>
      <c r="I4290" s="8">
        <v>0</v>
      </c>
      <c r="J4290" s="9">
        <v>0</v>
      </c>
      <c r="K4290" s="7">
        <v>0</v>
      </c>
      <c r="L4290" s="24">
        <f>+Tabla2[[#This Row],[Stock Inventario]]*Tabla2[[#This Row],[Coste LÃ­nea]]</f>
        <v>0</v>
      </c>
      <c r="M4290" s="24">
        <f>+Tabla2[[#This Row],[Variación Stock]]*Tabla2[[#This Row],[Coste LÃ­nea]]</f>
        <v>0</v>
      </c>
      <c r="N4290" s="22" t="str">
        <f>+IF(Tabla2[[#This Row],[Variación Stock]]&gt;0,"Sobrante",IF(Tabla2[[#This Row],[Variación Stock]]&lt;0,"Faltante","Sin novedad"))</f>
        <v>Sin novedad</v>
      </c>
    </row>
    <row r="4291" spans="1:14" x14ac:dyDescent="0.25">
      <c r="A4291" s="11">
        <v>46053</v>
      </c>
      <c r="B4291" s="5" t="s">
        <v>1078</v>
      </c>
      <c r="C4291" s="3" t="s">
        <v>339</v>
      </c>
      <c r="D4291" s="5" t="s">
        <v>122</v>
      </c>
      <c r="E4291" s="5" t="s">
        <v>112</v>
      </c>
      <c r="F4291" s="6" t="s">
        <v>105</v>
      </c>
      <c r="G4291" s="4" t="s">
        <v>2</v>
      </c>
      <c r="H4291" s="25">
        <v>3458.25</v>
      </c>
      <c r="I4291" s="8">
        <v>3</v>
      </c>
      <c r="J4291" s="9">
        <v>3</v>
      </c>
      <c r="K4291" s="7">
        <v>0</v>
      </c>
      <c r="L4291" s="24">
        <f>+Tabla2[[#This Row],[Stock Inventario]]*Tabla2[[#This Row],[Coste LÃ­nea]]</f>
        <v>10374.75</v>
      </c>
      <c r="M4291" s="24">
        <f>+Tabla2[[#This Row],[Variación Stock]]*Tabla2[[#This Row],[Coste LÃ­nea]]</f>
        <v>0</v>
      </c>
      <c r="N4291" s="22" t="str">
        <f>+IF(Tabla2[[#This Row],[Variación Stock]]&gt;0,"Sobrante",IF(Tabla2[[#This Row],[Variación Stock]]&lt;0,"Faltante","Sin novedad"))</f>
        <v>Sin novedad</v>
      </c>
    </row>
    <row r="4292" spans="1:14" x14ac:dyDescent="0.25">
      <c r="A4292" s="11">
        <v>46053</v>
      </c>
      <c r="B4292" s="5" t="s">
        <v>1078</v>
      </c>
      <c r="C4292" s="3" t="s">
        <v>339</v>
      </c>
      <c r="D4292" s="5" t="s">
        <v>122</v>
      </c>
      <c r="E4292" s="5" t="s">
        <v>112</v>
      </c>
      <c r="F4292" s="6" t="s">
        <v>106</v>
      </c>
      <c r="G4292" s="4" t="s">
        <v>2</v>
      </c>
      <c r="H4292" s="25">
        <v>3458.25</v>
      </c>
      <c r="I4292" s="8">
        <v>0</v>
      </c>
      <c r="J4292" s="9">
        <v>0</v>
      </c>
      <c r="K4292" s="7">
        <v>0</v>
      </c>
      <c r="L4292" s="24">
        <f>+Tabla2[[#This Row],[Stock Inventario]]*Tabla2[[#This Row],[Coste LÃ­nea]]</f>
        <v>0</v>
      </c>
      <c r="M4292" s="24">
        <f>+Tabla2[[#This Row],[Variación Stock]]*Tabla2[[#This Row],[Coste LÃ­nea]]</f>
        <v>0</v>
      </c>
      <c r="N4292" s="22" t="str">
        <f>+IF(Tabla2[[#This Row],[Variación Stock]]&gt;0,"Sobrante",IF(Tabla2[[#This Row],[Variación Stock]]&lt;0,"Faltante","Sin novedad"))</f>
        <v>Sin novedad</v>
      </c>
    </row>
    <row r="4293" spans="1:14" x14ac:dyDescent="0.25">
      <c r="A4293" s="11">
        <v>46053</v>
      </c>
      <c r="B4293" s="5" t="s">
        <v>1078</v>
      </c>
      <c r="C4293" s="3" t="s">
        <v>339</v>
      </c>
      <c r="D4293" s="5" t="s">
        <v>122</v>
      </c>
      <c r="E4293" s="5" t="s">
        <v>112</v>
      </c>
      <c r="F4293" s="6" t="s">
        <v>107</v>
      </c>
      <c r="G4293" s="4" t="s">
        <v>2</v>
      </c>
      <c r="H4293" s="25">
        <v>3458.25</v>
      </c>
      <c r="I4293" s="8">
        <v>0</v>
      </c>
      <c r="J4293" s="9">
        <v>0</v>
      </c>
      <c r="K4293" s="7">
        <v>0</v>
      </c>
      <c r="L4293" s="24">
        <f>+Tabla2[[#This Row],[Stock Inventario]]*Tabla2[[#This Row],[Coste LÃ­nea]]</f>
        <v>0</v>
      </c>
      <c r="M4293" s="24">
        <f>+Tabla2[[#This Row],[Variación Stock]]*Tabla2[[#This Row],[Coste LÃ­nea]]</f>
        <v>0</v>
      </c>
      <c r="N4293" s="22" t="str">
        <f>+IF(Tabla2[[#This Row],[Variación Stock]]&gt;0,"Sobrante",IF(Tabla2[[#This Row],[Variación Stock]]&lt;0,"Faltante","Sin novedad"))</f>
        <v>Sin novedad</v>
      </c>
    </row>
    <row r="4294" spans="1:14" x14ac:dyDescent="0.25">
      <c r="A4294" s="11">
        <v>46053</v>
      </c>
      <c r="B4294" s="5" t="s">
        <v>1078</v>
      </c>
      <c r="C4294" s="3" t="s">
        <v>339</v>
      </c>
      <c r="D4294" s="5" t="s">
        <v>122</v>
      </c>
      <c r="E4294" s="5" t="s">
        <v>112</v>
      </c>
      <c r="F4294" s="6" t="s">
        <v>108</v>
      </c>
      <c r="G4294" s="4" t="s">
        <v>2</v>
      </c>
      <c r="H4294" s="25">
        <v>3458.25</v>
      </c>
      <c r="I4294" s="8">
        <v>0</v>
      </c>
      <c r="J4294" s="9">
        <v>0</v>
      </c>
      <c r="K4294" s="7">
        <v>0</v>
      </c>
      <c r="L4294" s="24">
        <f>+Tabla2[[#This Row],[Stock Inventario]]*Tabla2[[#This Row],[Coste LÃ­nea]]</f>
        <v>0</v>
      </c>
      <c r="M4294" s="24">
        <f>+Tabla2[[#This Row],[Variación Stock]]*Tabla2[[#This Row],[Coste LÃ­nea]]</f>
        <v>0</v>
      </c>
      <c r="N4294" s="22" t="str">
        <f>+IF(Tabla2[[#This Row],[Variación Stock]]&gt;0,"Sobrante",IF(Tabla2[[#This Row],[Variación Stock]]&lt;0,"Faltante","Sin novedad"))</f>
        <v>Sin novedad</v>
      </c>
    </row>
    <row r="4295" spans="1:14" x14ac:dyDescent="0.25">
      <c r="A4295" s="11">
        <v>46053</v>
      </c>
      <c r="B4295" s="5" t="s">
        <v>1078</v>
      </c>
      <c r="C4295" s="3" t="s">
        <v>339</v>
      </c>
      <c r="D4295" s="5" t="s">
        <v>122</v>
      </c>
      <c r="E4295" s="5" t="s">
        <v>112</v>
      </c>
      <c r="F4295" s="6" t="s">
        <v>109</v>
      </c>
      <c r="G4295" s="4" t="s">
        <v>2</v>
      </c>
      <c r="H4295" s="25">
        <v>3458.25</v>
      </c>
      <c r="I4295" s="8">
        <v>4</v>
      </c>
      <c r="J4295" s="9">
        <v>4</v>
      </c>
      <c r="K4295" s="7">
        <v>0</v>
      </c>
      <c r="L4295" s="24">
        <f>+Tabla2[[#This Row],[Stock Inventario]]*Tabla2[[#This Row],[Coste LÃ­nea]]</f>
        <v>13833</v>
      </c>
      <c r="M4295" s="24">
        <f>+Tabla2[[#This Row],[Variación Stock]]*Tabla2[[#This Row],[Coste LÃ­nea]]</f>
        <v>0</v>
      </c>
      <c r="N4295" s="22" t="str">
        <f>+IF(Tabla2[[#This Row],[Variación Stock]]&gt;0,"Sobrante",IF(Tabla2[[#This Row],[Variación Stock]]&lt;0,"Faltante","Sin novedad"))</f>
        <v>Sin novedad</v>
      </c>
    </row>
    <row r="4296" spans="1:14" hidden="1" x14ac:dyDescent="0.25">
      <c r="A4296" s="11">
        <v>46053</v>
      </c>
      <c r="B4296" s="5" t="s">
        <v>1078</v>
      </c>
      <c r="C4296" s="3" t="s">
        <v>339</v>
      </c>
      <c r="D4296" s="5" t="s">
        <v>396</v>
      </c>
      <c r="E4296" s="5" t="s">
        <v>117</v>
      </c>
      <c r="F4296" s="6" t="s">
        <v>426</v>
      </c>
      <c r="G4296" s="4" t="s">
        <v>1</v>
      </c>
      <c r="H4296" s="25">
        <v>17.850000000000001</v>
      </c>
      <c r="I4296" s="8">
        <v>7784</v>
      </c>
      <c r="J4296" s="9">
        <v>0</v>
      </c>
      <c r="K4296" s="7">
        <v>-7784</v>
      </c>
      <c r="L4296" s="24">
        <f>+Tabla2[[#This Row],[Stock Inventario]]*Tabla2[[#This Row],[Coste LÃ­nea]]</f>
        <v>0</v>
      </c>
      <c r="M4296" s="24">
        <f>+Tabla2[[#This Row],[Variación Stock]]*Tabla2[[#This Row],[Coste LÃ­nea]]</f>
        <v>-138944.40000000002</v>
      </c>
      <c r="N4296" s="22" t="str">
        <f>+IF(Tabla2[[#This Row],[Variación Stock]]&gt;0,"Sobrante",IF(Tabla2[[#This Row],[Variación Stock]]&lt;0,"Faltante","Sin novedad"))</f>
        <v>Faltante</v>
      </c>
    </row>
    <row r="4297" spans="1:14" hidden="1" x14ac:dyDescent="0.25">
      <c r="A4297" s="11">
        <v>46053</v>
      </c>
      <c r="B4297" s="5" t="s">
        <v>1078</v>
      </c>
      <c r="C4297" s="3" t="s">
        <v>339</v>
      </c>
      <c r="D4297" s="5" t="s">
        <v>559</v>
      </c>
      <c r="E4297" s="5" t="s">
        <v>1080</v>
      </c>
      <c r="F4297" s="6" t="s">
        <v>601</v>
      </c>
      <c r="G4297" s="4" t="s">
        <v>2</v>
      </c>
      <c r="H4297" s="25">
        <v>135.84</v>
      </c>
      <c r="I4297" s="8">
        <v>0</v>
      </c>
      <c r="J4297" s="9">
        <v>0</v>
      </c>
      <c r="K4297" s="7">
        <v>0</v>
      </c>
      <c r="L4297" s="24">
        <f>+Tabla2[[#This Row],[Stock Inventario]]*Tabla2[[#This Row],[Coste LÃ­nea]]</f>
        <v>0</v>
      </c>
      <c r="M4297" s="24">
        <f>+Tabla2[[#This Row],[Variación Stock]]*Tabla2[[#This Row],[Coste LÃ­nea]]</f>
        <v>0</v>
      </c>
      <c r="N4297" s="22" t="str">
        <f>+IF(Tabla2[[#This Row],[Variación Stock]]&gt;0,"Sobrante",IF(Tabla2[[#This Row],[Variación Stock]]&lt;0,"Faltante","Sin novedad"))</f>
        <v>Sin novedad</v>
      </c>
    </row>
    <row r="4298" spans="1:14" x14ac:dyDescent="0.25">
      <c r="A4298" s="11">
        <v>46053</v>
      </c>
      <c r="B4298" s="5" t="s">
        <v>1078</v>
      </c>
      <c r="C4298" s="3" t="s">
        <v>339</v>
      </c>
      <c r="D4298" s="5" t="s">
        <v>111</v>
      </c>
      <c r="E4298" s="5" t="s">
        <v>112</v>
      </c>
      <c r="F4298" s="6" t="s">
        <v>286</v>
      </c>
      <c r="G4298" s="4" t="s">
        <v>0</v>
      </c>
      <c r="H4298" s="25">
        <v>8628.9583333299997</v>
      </c>
      <c r="I4298" s="8">
        <v>0</v>
      </c>
      <c r="J4298" s="9">
        <v>0</v>
      </c>
      <c r="K4298" s="7">
        <v>0</v>
      </c>
      <c r="L4298" s="24">
        <f>+Tabla2[[#This Row],[Stock Inventario]]*Tabla2[[#This Row],[Coste LÃ­nea]]</f>
        <v>0</v>
      </c>
      <c r="M4298" s="24">
        <f>+Tabla2[[#This Row],[Variación Stock]]*Tabla2[[#This Row],[Coste LÃ­nea]]</f>
        <v>0</v>
      </c>
      <c r="N4298" s="22" t="str">
        <f>+IF(Tabla2[[#This Row],[Variación Stock]]&gt;0,"Sobrante",IF(Tabla2[[#This Row],[Variación Stock]]&lt;0,"Faltante","Sin novedad"))</f>
        <v>Sin novedad</v>
      </c>
    </row>
    <row r="4299" spans="1:14" x14ac:dyDescent="0.25">
      <c r="A4299" s="11">
        <v>46053</v>
      </c>
      <c r="B4299" s="5" t="s">
        <v>1078</v>
      </c>
      <c r="C4299" s="3" t="s">
        <v>339</v>
      </c>
      <c r="D4299" s="5" t="s">
        <v>111</v>
      </c>
      <c r="E4299" s="5" t="s">
        <v>112</v>
      </c>
      <c r="F4299" s="6" t="s">
        <v>32</v>
      </c>
      <c r="G4299" s="4" t="s">
        <v>0</v>
      </c>
      <c r="H4299" s="25">
        <v>8628.9583333299997</v>
      </c>
      <c r="I4299" s="8">
        <v>26</v>
      </c>
      <c r="J4299" s="9">
        <v>28</v>
      </c>
      <c r="K4299" s="7">
        <v>2</v>
      </c>
      <c r="L4299" s="24">
        <f>+Tabla2[[#This Row],[Stock Inventario]]*Tabla2[[#This Row],[Coste LÃ­nea]]</f>
        <v>241610.83333324001</v>
      </c>
      <c r="M4299" s="24">
        <f>+Tabla2[[#This Row],[Variación Stock]]*Tabla2[[#This Row],[Coste LÃ­nea]]</f>
        <v>17257.916666659999</v>
      </c>
      <c r="N4299" s="22" t="str">
        <f>+IF(Tabla2[[#This Row],[Variación Stock]]&gt;0,"Sobrante",IF(Tabla2[[#This Row],[Variación Stock]]&lt;0,"Faltante","Sin novedad"))</f>
        <v>Sobrante</v>
      </c>
    </row>
    <row r="4300" spans="1:14" x14ac:dyDescent="0.25">
      <c r="A4300" s="11">
        <v>46053</v>
      </c>
      <c r="B4300" s="5" t="s">
        <v>1078</v>
      </c>
      <c r="C4300" s="3" t="s">
        <v>339</v>
      </c>
      <c r="D4300" s="5" t="s">
        <v>111</v>
      </c>
      <c r="E4300" s="5" t="s">
        <v>112</v>
      </c>
      <c r="F4300" s="6" t="s">
        <v>33</v>
      </c>
      <c r="G4300" s="4" t="s">
        <v>0</v>
      </c>
      <c r="H4300" s="25">
        <v>4004.4333333300001</v>
      </c>
      <c r="I4300" s="8">
        <v>72</v>
      </c>
      <c r="J4300" s="9">
        <v>86.5</v>
      </c>
      <c r="K4300" s="7">
        <v>14.5</v>
      </c>
      <c r="L4300" s="24">
        <f>+Tabla2[[#This Row],[Stock Inventario]]*Tabla2[[#This Row],[Coste LÃ­nea]]</f>
        <v>346383.48333304503</v>
      </c>
      <c r="M4300" s="24">
        <f>+Tabla2[[#This Row],[Variación Stock]]*Tabla2[[#This Row],[Coste LÃ­nea]]</f>
        <v>58064.283333284999</v>
      </c>
      <c r="N4300" s="22" t="str">
        <f>+IF(Tabla2[[#This Row],[Variación Stock]]&gt;0,"Sobrante",IF(Tabla2[[#This Row],[Variación Stock]]&lt;0,"Faltante","Sin novedad"))</f>
        <v>Sobrante</v>
      </c>
    </row>
    <row r="4301" spans="1:14" x14ac:dyDescent="0.25">
      <c r="A4301" s="11">
        <v>46053</v>
      </c>
      <c r="B4301" s="5" t="s">
        <v>1078</v>
      </c>
      <c r="C4301" s="3" t="s">
        <v>339</v>
      </c>
      <c r="D4301" s="5" t="s">
        <v>111</v>
      </c>
      <c r="E4301" s="5" t="s">
        <v>112</v>
      </c>
      <c r="F4301" s="6" t="s">
        <v>379</v>
      </c>
      <c r="G4301" s="4" t="s">
        <v>0</v>
      </c>
      <c r="H4301" s="25">
        <v>14293.772727269999</v>
      </c>
      <c r="I4301" s="8">
        <v>22</v>
      </c>
      <c r="J4301" s="9">
        <v>22</v>
      </c>
      <c r="K4301" s="7">
        <v>0</v>
      </c>
      <c r="L4301" s="24">
        <f>+Tabla2[[#This Row],[Stock Inventario]]*Tabla2[[#This Row],[Coste LÃ­nea]]</f>
        <v>314462.99999993999</v>
      </c>
      <c r="M4301" s="24">
        <f>+Tabla2[[#This Row],[Variación Stock]]*Tabla2[[#This Row],[Coste LÃ­nea]]</f>
        <v>0</v>
      </c>
      <c r="N4301" s="22" t="str">
        <f>+IF(Tabla2[[#This Row],[Variación Stock]]&gt;0,"Sobrante",IF(Tabla2[[#This Row],[Variación Stock]]&lt;0,"Faltante","Sin novedad"))</f>
        <v>Sin novedad</v>
      </c>
    </row>
    <row r="4302" spans="1:14" x14ac:dyDescent="0.25">
      <c r="A4302" s="11">
        <v>46053</v>
      </c>
      <c r="B4302" s="5" t="s">
        <v>1078</v>
      </c>
      <c r="C4302" s="3" t="s">
        <v>339</v>
      </c>
      <c r="D4302" s="5" t="s">
        <v>111</v>
      </c>
      <c r="E4302" s="5" t="s">
        <v>112</v>
      </c>
      <c r="F4302" s="6" t="s">
        <v>380</v>
      </c>
      <c r="G4302" s="4" t="s">
        <v>0</v>
      </c>
      <c r="H4302" s="25">
        <v>10667.40909091</v>
      </c>
      <c r="I4302" s="8">
        <v>22</v>
      </c>
      <c r="J4302" s="9">
        <v>22</v>
      </c>
      <c r="K4302" s="7">
        <v>0</v>
      </c>
      <c r="L4302" s="24">
        <f>+Tabla2[[#This Row],[Stock Inventario]]*Tabla2[[#This Row],[Coste LÃ­nea]]</f>
        <v>234683.00000001999</v>
      </c>
      <c r="M4302" s="24">
        <f>+Tabla2[[#This Row],[Variación Stock]]*Tabla2[[#This Row],[Coste LÃ­nea]]</f>
        <v>0</v>
      </c>
      <c r="N4302" s="22" t="str">
        <f>+IF(Tabla2[[#This Row],[Variación Stock]]&gt;0,"Sobrante",IF(Tabla2[[#This Row],[Variación Stock]]&lt;0,"Faltante","Sin novedad"))</f>
        <v>Sin novedad</v>
      </c>
    </row>
    <row r="4303" spans="1:14" x14ac:dyDescent="0.25">
      <c r="A4303" s="11">
        <v>46053</v>
      </c>
      <c r="B4303" s="5" t="s">
        <v>1078</v>
      </c>
      <c r="C4303" s="3" t="s">
        <v>339</v>
      </c>
      <c r="D4303" s="5" t="s">
        <v>111</v>
      </c>
      <c r="E4303" s="5" t="s">
        <v>112</v>
      </c>
      <c r="F4303" s="6" t="s">
        <v>381</v>
      </c>
      <c r="G4303" s="4" t="s">
        <v>0</v>
      </c>
      <c r="H4303" s="25">
        <v>8874.3181818199992</v>
      </c>
      <c r="I4303" s="8">
        <v>56.91</v>
      </c>
      <c r="J4303" s="9">
        <v>60.32</v>
      </c>
      <c r="K4303" s="7">
        <v>3.41</v>
      </c>
      <c r="L4303" s="24">
        <f>+Tabla2[[#This Row],[Stock Inventario]]*Tabla2[[#This Row],[Coste LÃ­nea]]</f>
        <v>535298.87272738235</v>
      </c>
      <c r="M4303" s="24">
        <f>+Tabla2[[#This Row],[Variación Stock]]*Tabla2[[#This Row],[Coste LÃ­nea]]</f>
        <v>30261.425000006198</v>
      </c>
      <c r="N4303" s="22" t="str">
        <f>+IF(Tabla2[[#This Row],[Variación Stock]]&gt;0,"Sobrante",IF(Tabla2[[#This Row],[Variación Stock]]&lt;0,"Faltante","Sin novedad"))</f>
        <v>Sobrante</v>
      </c>
    </row>
    <row r="4304" spans="1:14" hidden="1" x14ac:dyDescent="0.25">
      <c r="A4304" s="11">
        <v>46053</v>
      </c>
      <c r="B4304" s="5" t="s">
        <v>1078</v>
      </c>
      <c r="C4304" s="3" t="s">
        <v>339</v>
      </c>
      <c r="D4304" s="5" t="s">
        <v>119</v>
      </c>
      <c r="E4304" s="5" t="s">
        <v>117</v>
      </c>
      <c r="F4304" s="6" t="s">
        <v>13</v>
      </c>
      <c r="G4304" s="4" t="s">
        <v>2</v>
      </c>
      <c r="H4304" s="25">
        <v>8166.6666666700003</v>
      </c>
      <c r="I4304" s="8">
        <v>5</v>
      </c>
      <c r="J4304" s="9">
        <v>5</v>
      </c>
      <c r="K4304" s="7">
        <v>0</v>
      </c>
      <c r="L4304" s="24">
        <f>+Tabla2[[#This Row],[Stock Inventario]]*Tabla2[[#This Row],[Coste LÃ­nea]]</f>
        <v>40833.333333350005</v>
      </c>
      <c r="M4304" s="24">
        <f>+Tabla2[[#This Row],[Variación Stock]]*Tabla2[[#This Row],[Coste LÃ­nea]]</f>
        <v>0</v>
      </c>
      <c r="N4304" s="22" t="str">
        <f>+IF(Tabla2[[#This Row],[Variación Stock]]&gt;0,"Sobrante",IF(Tabla2[[#This Row],[Variación Stock]]&lt;0,"Faltante","Sin novedad"))</f>
        <v>Sin novedad</v>
      </c>
    </row>
    <row r="4305" spans="1:14" hidden="1" x14ac:dyDescent="0.25">
      <c r="A4305" s="11">
        <v>46053</v>
      </c>
      <c r="B4305" s="5" t="s">
        <v>1078</v>
      </c>
      <c r="C4305" s="3" t="s">
        <v>339</v>
      </c>
      <c r="D4305" s="5" t="s">
        <v>119</v>
      </c>
      <c r="E4305" s="5" t="s">
        <v>117</v>
      </c>
      <c r="F4305" s="6" t="s">
        <v>199</v>
      </c>
      <c r="G4305" s="4" t="s">
        <v>1</v>
      </c>
      <c r="H4305" s="25">
        <v>454.81299999999999</v>
      </c>
      <c r="I4305" s="8">
        <v>0</v>
      </c>
      <c r="J4305" s="9">
        <v>0</v>
      </c>
      <c r="K4305" s="7">
        <v>0</v>
      </c>
      <c r="L4305" s="24">
        <f>+Tabla2[[#This Row],[Stock Inventario]]*Tabla2[[#This Row],[Coste LÃ­nea]]</f>
        <v>0</v>
      </c>
      <c r="M4305" s="24">
        <f>+Tabla2[[#This Row],[Variación Stock]]*Tabla2[[#This Row],[Coste LÃ­nea]]</f>
        <v>0</v>
      </c>
      <c r="N4305" s="22" t="str">
        <f>+IF(Tabla2[[#This Row],[Variación Stock]]&gt;0,"Sobrante",IF(Tabla2[[#This Row],[Variación Stock]]&lt;0,"Faltante","Sin novedad"))</f>
        <v>Sin novedad</v>
      </c>
    </row>
    <row r="4306" spans="1:14" hidden="1" x14ac:dyDescent="0.25">
      <c r="A4306" s="11">
        <v>46053</v>
      </c>
      <c r="B4306" s="5" t="s">
        <v>1078</v>
      </c>
      <c r="C4306" s="3" t="s">
        <v>339</v>
      </c>
      <c r="D4306" s="5" t="s">
        <v>626</v>
      </c>
      <c r="E4306" s="5" t="s">
        <v>1079</v>
      </c>
      <c r="F4306" s="6" t="s">
        <v>666</v>
      </c>
      <c r="G4306" s="4" t="s">
        <v>2</v>
      </c>
      <c r="H4306" s="25">
        <v>45452</v>
      </c>
      <c r="I4306" s="8">
        <v>0</v>
      </c>
      <c r="J4306" s="9">
        <v>0</v>
      </c>
      <c r="K4306" s="7">
        <v>0</v>
      </c>
      <c r="L4306" s="24">
        <f>+Tabla2[[#This Row],[Stock Inventario]]*Tabla2[[#This Row],[Coste LÃ­nea]]</f>
        <v>0</v>
      </c>
      <c r="M4306" s="24">
        <f>+Tabla2[[#This Row],[Variación Stock]]*Tabla2[[#This Row],[Coste LÃ­nea]]</f>
        <v>0</v>
      </c>
      <c r="N4306" s="22" t="str">
        <f>+IF(Tabla2[[#This Row],[Variación Stock]]&gt;0,"Sobrante",IF(Tabla2[[#This Row],[Variación Stock]]&lt;0,"Faltante","Sin novedad"))</f>
        <v>Sin novedad</v>
      </c>
    </row>
    <row r="4307" spans="1:14" hidden="1" x14ac:dyDescent="0.25">
      <c r="A4307" s="11">
        <v>46053</v>
      </c>
      <c r="B4307" s="5" t="s">
        <v>1078</v>
      </c>
      <c r="C4307" s="3" t="s">
        <v>339</v>
      </c>
      <c r="D4307" s="5" t="s">
        <v>626</v>
      </c>
      <c r="E4307" s="5" t="s">
        <v>1079</v>
      </c>
      <c r="F4307" s="6" t="s">
        <v>667</v>
      </c>
      <c r="G4307" s="4" t="s">
        <v>2</v>
      </c>
      <c r="H4307" s="25">
        <v>56142</v>
      </c>
      <c r="I4307" s="8">
        <v>0</v>
      </c>
      <c r="J4307" s="9">
        <v>1</v>
      </c>
      <c r="K4307" s="7">
        <v>1</v>
      </c>
      <c r="L4307" s="24">
        <f>+Tabla2[[#This Row],[Stock Inventario]]*Tabla2[[#This Row],[Coste LÃ­nea]]</f>
        <v>56142</v>
      </c>
      <c r="M4307" s="24">
        <f>+Tabla2[[#This Row],[Variación Stock]]*Tabla2[[#This Row],[Coste LÃ­nea]]</f>
        <v>56142</v>
      </c>
      <c r="N4307" s="22" t="str">
        <f>+IF(Tabla2[[#This Row],[Variación Stock]]&gt;0,"Sobrante",IF(Tabla2[[#This Row],[Variación Stock]]&lt;0,"Faltante","Sin novedad"))</f>
        <v>Sobrante</v>
      </c>
    </row>
    <row r="4308" spans="1:14" hidden="1" x14ac:dyDescent="0.25">
      <c r="A4308" s="11">
        <v>46053</v>
      </c>
      <c r="B4308" s="5" t="s">
        <v>1078</v>
      </c>
      <c r="C4308" s="3" t="s">
        <v>339</v>
      </c>
      <c r="D4308" s="5" t="s">
        <v>626</v>
      </c>
      <c r="E4308" s="5" t="s">
        <v>1079</v>
      </c>
      <c r="F4308" s="6" t="s">
        <v>668</v>
      </c>
      <c r="G4308" s="4" t="s">
        <v>2</v>
      </c>
      <c r="H4308" s="25">
        <v>40422</v>
      </c>
      <c r="I4308" s="8">
        <v>0</v>
      </c>
      <c r="J4308" s="9">
        <v>0</v>
      </c>
      <c r="K4308" s="7">
        <v>0</v>
      </c>
      <c r="L4308" s="24">
        <f>+Tabla2[[#This Row],[Stock Inventario]]*Tabla2[[#This Row],[Coste LÃ­nea]]</f>
        <v>0</v>
      </c>
      <c r="M4308" s="24">
        <f>+Tabla2[[#This Row],[Variación Stock]]*Tabla2[[#This Row],[Coste LÃ­nea]]</f>
        <v>0</v>
      </c>
      <c r="N4308" s="22" t="str">
        <f>+IF(Tabla2[[#This Row],[Variación Stock]]&gt;0,"Sobrante",IF(Tabla2[[#This Row],[Variación Stock]]&lt;0,"Faltante","Sin novedad"))</f>
        <v>Sin novedad</v>
      </c>
    </row>
    <row r="4309" spans="1:14" hidden="1" x14ac:dyDescent="0.25">
      <c r="A4309" s="11">
        <v>46053</v>
      </c>
      <c r="B4309" s="5" t="s">
        <v>1078</v>
      </c>
      <c r="C4309" s="3" t="s">
        <v>339</v>
      </c>
      <c r="D4309" s="5" t="s">
        <v>626</v>
      </c>
      <c r="E4309" s="5" t="s">
        <v>1079</v>
      </c>
      <c r="F4309" s="6" t="s">
        <v>669</v>
      </c>
      <c r="G4309" s="4" t="s">
        <v>2</v>
      </c>
      <c r="H4309" s="25">
        <v>8771.4285714300004</v>
      </c>
      <c r="I4309" s="8">
        <v>60</v>
      </c>
      <c r="J4309" s="9">
        <v>10</v>
      </c>
      <c r="K4309" s="7">
        <v>-50</v>
      </c>
      <c r="L4309" s="24">
        <f>+Tabla2[[#This Row],[Stock Inventario]]*Tabla2[[#This Row],[Coste LÃ­nea]]</f>
        <v>87714.2857143</v>
      </c>
      <c r="M4309" s="24">
        <f>+Tabla2[[#This Row],[Variación Stock]]*Tabla2[[#This Row],[Coste LÃ­nea]]</f>
        <v>-438571.4285715</v>
      </c>
      <c r="N4309" s="22" t="str">
        <f>+IF(Tabla2[[#This Row],[Variación Stock]]&gt;0,"Sobrante",IF(Tabla2[[#This Row],[Variación Stock]]&lt;0,"Faltante","Sin novedad"))</f>
        <v>Faltante</v>
      </c>
    </row>
    <row r="4310" spans="1:14" hidden="1" x14ac:dyDescent="0.25">
      <c r="A4310" s="11">
        <v>46053</v>
      </c>
      <c r="B4310" s="5" t="s">
        <v>1078</v>
      </c>
      <c r="C4310" s="3" t="s">
        <v>339</v>
      </c>
      <c r="D4310" s="5" t="s">
        <v>626</v>
      </c>
      <c r="E4310" s="5" t="s">
        <v>1079</v>
      </c>
      <c r="F4310" s="6" t="s">
        <v>670</v>
      </c>
      <c r="G4310" s="4" t="s">
        <v>2</v>
      </c>
      <c r="H4310" s="25">
        <v>24179.127451</v>
      </c>
      <c r="I4310" s="8">
        <v>0</v>
      </c>
      <c r="J4310" s="9">
        <v>0</v>
      </c>
      <c r="K4310" s="7">
        <v>0</v>
      </c>
      <c r="L4310" s="24">
        <f>+Tabla2[[#This Row],[Stock Inventario]]*Tabla2[[#This Row],[Coste LÃ­nea]]</f>
        <v>0</v>
      </c>
      <c r="M4310" s="24">
        <f>+Tabla2[[#This Row],[Variación Stock]]*Tabla2[[#This Row],[Coste LÃ­nea]]</f>
        <v>0</v>
      </c>
      <c r="N4310" s="22" t="str">
        <f>+IF(Tabla2[[#This Row],[Variación Stock]]&gt;0,"Sobrante",IF(Tabla2[[#This Row],[Variación Stock]]&lt;0,"Faltante","Sin novedad"))</f>
        <v>Sin novedad</v>
      </c>
    </row>
    <row r="4311" spans="1:14" hidden="1" x14ac:dyDescent="0.25">
      <c r="A4311" s="11">
        <v>46053</v>
      </c>
      <c r="B4311" s="5" t="s">
        <v>1078</v>
      </c>
      <c r="C4311" s="3" t="s">
        <v>339</v>
      </c>
      <c r="D4311" s="5" t="s">
        <v>626</v>
      </c>
      <c r="E4311" s="5" t="s">
        <v>1079</v>
      </c>
      <c r="F4311" s="6" t="s">
        <v>676</v>
      </c>
      <c r="G4311" s="4" t="s">
        <v>2</v>
      </c>
      <c r="H4311" s="25">
        <v>18934.621848800001</v>
      </c>
      <c r="I4311" s="8">
        <v>20</v>
      </c>
      <c r="J4311" s="9">
        <v>8</v>
      </c>
      <c r="K4311" s="7">
        <v>-12</v>
      </c>
      <c r="L4311" s="24">
        <f>+Tabla2[[#This Row],[Stock Inventario]]*Tabla2[[#This Row],[Coste LÃ­nea]]</f>
        <v>151476.97479040001</v>
      </c>
      <c r="M4311" s="24">
        <f>+Tabla2[[#This Row],[Variación Stock]]*Tabla2[[#This Row],[Coste LÃ­nea]]</f>
        <v>-227215.46218560002</v>
      </c>
      <c r="N4311" s="22" t="str">
        <f>+IF(Tabla2[[#This Row],[Variación Stock]]&gt;0,"Sobrante",IF(Tabla2[[#This Row],[Variación Stock]]&lt;0,"Faltante","Sin novedad"))</f>
        <v>Faltante</v>
      </c>
    </row>
    <row r="4312" spans="1:14" hidden="1" x14ac:dyDescent="0.25">
      <c r="A4312" s="11">
        <v>46053</v>
      </c>
      <c r="B4312" s="5" t="s">
        <v>1078</v>
      </c>
      <c r="C4312" s="3" t="s">
        <v>339</v>
      </c>
      <c r="D4312" s="5" t="s">
        <v>396</v>
      </c>
      <c r="E4312" s="5" t="s">
        <v>117</v>
      </c>
      <c r="F4312" s="6" t="s">
        <v>427</v>
      </c>
      <c r="G4312" s="4" t="s">
        <v>1</v>
      </c>
      <c r="H4312" s="25">
        <v>99.166666669999998</v>
      </c>
      <c r="I4312" s="8">
        <v>447</v>
      </c>
      <c r="J4312" s="9">
        <v>448</v>
      </c>
      <c r="K4312" s="7">
        <v>1</v>
      </c>
      <c r="L4312" s="24">
        <f>+Tabla2[[#This Row],[Stock Inventario]]*Tabla2[[#This Row],[Coste LÃ­nea]]</f>
        <v>44426.666668159996</v>
      </c>
      <c r="M4312" s="24">
        <f>+Tabla2[[#This Row],[Variación Stock]]*Tabla2[[#This Row],[Coste LÃ­nea]]</f>
        <v>99.166666669999998</v>
      </c>
      <c r="N4312" s="22" t="str">
        <f>+IF(Tabla2[[#This Row],[Variación Stock]]&gt;0,"Sobrante",IF(Tabla2[[#This Row],[Variación Stock]]&lt;0,"Faltante","Sin novedad"))</f>
        <v>Sobrante</v>
      </c>
    </row>
    <row r="4313" spans="1:14" hidden="1" x14ac:dyDescent="0.25">
      <c r="A4313" s="11">
        <v>46053</v>
      </c>
      <c r="B4313" s="5" t="s">
        <v>1078</v>
      </c>
      <c r="C4313" s="3" t="s">
        <v>339</v>
      </c>
      <c r="D4313" s="5" t="s">
        <v>471</v>
      </c>
      <c r="E4313" s="5" t="s">
        <v>117</v>
      </c>
      <c r="F4313" s="6" t="s">
        <v>532</v>
      </c>
      <c r="G4313" s="4" t="s">
        <v>1</v>
      </c>
      <c r="H4313" s="25">
        <v>12</v>
      </c>
      <c r="I4313" s="8">
        <v>-3812.5551</v>
      </c>
      <c r="J4313" s="9">
        <v>1310</v>
      </c>
      <c r="K4313" s="7">
        <v>5122.5550759999996</v>
      </c>
      <c r="L4313" s="24">
        <f>+Tabla2[[#This Row],[Stock Inventario]]*Tabla2[[#This Row],[Coste LÃ­nea]]</f>
        <v>15720</v>
      </c>
      <c r="M4313" s="24">
        <f>+Tabla2[[#This Row],[Variación Stock]]*Tabla2[[#This Row],[Coste LÃ­nea]]</f>
        <v>61470.660911999992</v>
      </c>
      <c r="N4313" s="22" t="str">
        <f>+IF(Tabla2[[#This Row],[Variación Stock]]&gt;0,"Sobrante",IF(Tabla2[[#This Row],[Variación Stock]]&lt;0,"Faltante","Sin novedad"))</f>
        <v>Sobrante</v>
      </c>
    </row>
    <row r="4314" spans="1:14" hidden="1" x14ac:dyDescent="0.25">
      <c r="A4314" s="11">
        <v>46053</v>
      </c>
      <c r="B4314" s="5" t="s">
        <v>1078</v>
      </c>
      <c r="C4314" s="3" t="s">
        <v>339</v>
      </c>
      <c r="D4314" s="5" t="s">
        <v>471</v>
      </c>
      <c r="E4314" s="5" t="s">
        <v>117</v>
      </c>
      <c r="F4314" s="6" t="s">
        <v>533</v>
      </c>
      <c r="G4314" s="4" t="s">
        <v>1</v>
      </c>
      <c r="H4314" s="25">
        <v>5</v>
      </c>
      <c r="I4314" s="8">
        <v>22243.085599999999</v>
      </c>
      <c r="J4314" s="9">
        <v>9678</v>
      </c>
      <c r="K4314" s="7">
        <v>-12565.085566</v>
      </c>
      <c r="L4314" s="24">
        <f>+Tabla2[[#This Row],[Stock Inventario]]*Tabla2[[#This Row],[Coste LÃ­nea]]</f>
        <v>48390</v>
      </c>
      <c r="M4314" s="24">
        <f>+Tabla2[[#This Row],[Variación Stock]]*Tabla2[[#This Row],[Coste LÃ­nea]]</f>
        <v>-62825.427830000001</v>
      </c>
      <c r="N4314" s="22" t="str">
        <f>+IF(Tabla2[[#This Row],[Variación Stock]]&gt;0,"Sobrante",IF(Tabla2[[#This Row],[Variación Stock]]&lt;0,"Faltante","Sin novedad"))</f>
        <v>Faltante</v>
      </c>
    </row>
    <row r="4315" spans="1:14" hidden="1" x14ac:dyDescent="0.25">
      <c r="A4315" s="11">
        <v>46053</v>
      </c>
      <c r="B4315" s="5" t="s">
        <v>1078</v>
      </c>
      <c r="C4315" s="3" t="s">
        <v>339</v>
      </c>
      <c r="D4315" s="5" t="s">
        <v>471</v>
      </c>
      <c r="E4315" s="5" t="s">
        <v>117</v>
      </c>
      <c r="F4315" s="6" t="s">
        <v>534</v>
      </c>
      <c r="G4315" s="4" t="s">
        <v>1</v>
      </c>
      <c r="H4315" s="25">
        <v>37.5</v>
      </c>
      <c r="I4315" s="8">
        <v>3002.1052</v>
      </c>
      <c r="J4315" s="9">
        <v>950</v>
      </c>
      <c r="K4315" s="7">
        <v>-2052.1052295999998</v>
      </c>
      <c r="L4315" s="24">
        <f>+Tabla2[[#This Row],[Stock Inventario]]*Tabla2[[#This Row],[Coste LÃ­nea]]</f>
        <v>35625</v>
      </c>
      <c r="M4315" s="24">
        <f>+Tabla2[[#This Row],[Variación Stock]]*Tabla2[[#This Row],[Coste LÃ­nea]]</f>
        <v>-76953.94610999999</v>
      </c>
      <c r="N4315" s="22" t="str">
        <f>+IF(Tabla2[[#This Row],[Variación Stock]]&gt;0,"Sobrante",IF(Tabla2[[#This Row],[Variación Stock]]&lt;0,"Faltante","Sin novedad"))</f>
        <v>Faltante</v>
      </c>
    </row>
    <row r="4316" spans="1:14" hidden="1" x14ac:dyDescent="0.25">
      <c r="A4316" s="11">
        <v>46053</v>
      </c>
      <c r="B4316" s="5" t="s">
        <v>1078</v>
      </c>
      <c r="C4316" s="3" t="s">
        <v>339</v>
      </c>
      <c r="D4316" s="5" t="s">
        <v>471</v>
      </c>
      <c r="E4316" s="5" t="s">
        <v>117</v>
      </c>
      <c r="F4316" s="6" t="s">
        <v>535</v>
      </c>
      <c r="G4316" s="4" t="s">
        <v>1</v>
      </c>
      <c r="H4316" s="25">
        <v>15.5</v>
      </c>
      <c r="I4316" s="8">
        <v>0</v>
      </c>
      <c r="J4316" s="9">
        <v>0</v>
      </c>
      <c r="K4316" s="7">
        <v>0</v>
      </c>
      <c r="L4316" s="24">
        <f>+Tabla2[[#This Row],[Stock Inventario]]*Tabla2[[#This Row],[Coste LÃ­nea]]</f>
        <v>0</v>
      </c>
      <c r="M4316" s="24">
        <f>+Tabla2[[#This Row],[Variación Stock]]*Tabla2[[#This Row],[Coste LÃ­nea]]</f>
        <v>0</v>
      </c>
      <c r="N4316" s="22" t="str">
        <f>+IF(Tabla2[[#This Row],[Variación Stock]]&gt;0,"Sobrante",IF(Tabla2[[#This Row],[Variación Stock]]&lt;0,"Faltante","Sin novedad"))</f>
        <v>Sin novedad</v>
      </c>
    </row>
    <row r="4317" spans="1:14" hidden="1" x14ac:dyDescent="0.25">
      <c r="A4317" s="11">
        <v>46053</v>
      </c>
      <c r="B4317" s="5" t="s">
        <v>1078</v>
      </c>
      <c r="C4317" s="3" t="s">
        <v>339</v>
      </c>
      <c r="D4317" s="5" t="s">
        <v>471</v>
      </c>
      <c r="E4317" s="5" t="s">
        <v>117</v>
      </c>
      <c r="F4317" s="6" t="s">
        <v>536</v>
      </c>
      <c r="G4317" s="4" t="s">
        <v>1</v>
      </c>
      <c r="H4317" s="25">
        <v>6</v>
      </c>
      <c r="I4317" s="8">
        <v>1541.6667</v>
      </c>
      <c r="J4317" s="9">
        <v>0</v>
      </c>
      <c r="K4317" s="7">
        <v>-1541.6666720000001</v>
      </c>
      <c r="L4317" s="24">
        <f>+Tabla2[[#This Row],[Stock Inventario]]*Tabla2[[#This Row],[Coste LÃ­nea]]</f>
        <v>0</v>
      </c>
      <c r="M4317" s="24">
        <f>+Tabla2[[#This Row],[Variación Stock]]*Tabla2[[#This Row],[Coste LÃ­nea]]</f>
        <v>-9250.0000319999999</v>
      </c>
      <c r="N4317" s="22" t="str">
        <f>+IF(Tabla2[[#This Row],[Variación Stock]]&gt;0,"Sobrante",IF(Tabla2[[#This Row],[Variación Stock]]&lt;0,"Faltante","Sin novedad"))</f>
        <v>Faltante</v>
      </c>
    </row>
    <row r="4318" spans="1:14" hidden="1" x14ac:dyDescent="0.25">
      <c r="A4318" s="11">
        <v>46053</v>
      </c>
      <c r="B4318" s="5" t="s">
        <v>1078</v>
      </c>
      <c r="C4318" s="3" t="s">
        <v>339</v>
      </c>
      <c r="D4318" s="5" t="s">
        <v>119</v>
      </c>
      <c r="E4318" s="5" t="s">
        <v>117</v>
      </c>
      <c r="F4318" s="6" t="s">
        <v>14</v>
      </c>
      <c r="G4318" s="4" t="s">
        <v>1</v>
      </c>
      <c r="H4318" s="25">
        <v>33.499699999999997</v>
      </c>
      <c r="I4318" s="8">
        <v>19000</v>
      </c>
      <c r="J4318" s="9">
        <v>20000</v>
      </c>
      <c r="K4318" s="7">
        <v>1000</v>
      </c>
      <c r="L4318" s="24">
        <f>+Tabla2[[#This Row],[Stock Inventario]]*Tabla2[[#This Row],[Coste LÃ­nea]]</f>
        <v>669994</v>
      </c>
      <c r="M4318" s="24">
        <f>+Tabla2[[#This Row],[Variación Stock]]*Tabla2[[#This Row],[Coste LÃ­nea]]</f>
        <v>33499.699999999997</v>
      </c>
      <c r="N4318" s="22" t="str">
        <f>+IF(Tabla2[[#This Row],[Variación Stock]]&gt;0,"Sobrante",IF(Tabla2[[#This Row],[Variación Stock]]&lt;0,"Faltante","Sin novedad"))</f>
        <v>Sobrante</v>
      </c>
    </row>
    <row r="4319" spans="1:14" hidden="1" x14ac:dyDescent="0.25">
      <c r="A4319" s="11">
        <v>46053</v>
      </c>
      <c r="B4319" s="5" t="s">
        <v>1078</v>
      </c>
      <c r="C4319" s="3" t="s">
        <v>339</v>
      </c>
      <c r="D4319" s="5" t="s">
        <v>626</v>
      </c>
      <c r="E4319" s="5" t="s">
        <v>1079</v>
      </c>
      <c r="F4319" s="6" t="s">
        <v>671</v>
      </c>
      <c r="G4319" s="4" t="s">
        <v>1</v>
      </c>
      <c r="H4319" s="25">
        <v>20.623699999999999</v>
      </c>
      <c r="I4319" s="8">
        <v>122000</v>
      </c>
      <c r="J4319" s="9">
        <v>30000</v>
      </c>
      <c r="K4319" s="7">
        <v>-92000</v>
      </c>
      <c r="L4319" s="24">
        <f>+Tabla2[[#This Row],[Stock Inventario]]*Tabla2[[#This Row],[Coste LÃ­nea]]</f>
        <v>618711</v>
      </c>
      <c r="M4319" s="24">
        <f>+Tabla2[[#This Row],[Variación Stock]]*Tabla2[[#This Row],[Coste LÃ­nea]]</f>
        <v>-1897380.4</v>
      </c>
      <c r="N4319" s="22" t="str">
        <f>+IF(Tabla2[[#This Row],[Variación Stock]]&gt;0,"Sobrante",IF(Tabla2[[#This Row],[Variación Stock]]&lt;0,"Faltante","Sin novedad"))</f>
        <v>Faltante</v>
      </c>
    </row>
    <row r="4320" spans="1:14" hidden="1" x14ac:dyDescent="0.25">
      <c r="A4320" s="11">
        <v>46053</v>
      </c>
      <c r="B4320" s="5" t="s">
        <v>1078</v>
      </c>
      <c r="C4320" s="3" t="s">
        <v>339</v>
      </c>
      <c r="D4320" s="5" t="s">
        <v>471</v>
      </c>
      <c r="E4320" s="5" t="s">
        <v>117</v>
      </c>
      <c r="F4320" s="6" t="s">
        <v>537</v>
      </c>
      <c r="G4320" s="4" t="s">
        <v>1</v>
      </c>
      <c r="H4320" s="25">
        <v>30</v>
      </c>
      <c r="I4320" s="8">
        <v>-1290</v>
      </c>
      <c r="J4320" s="9">
        <v>0</v>
      </c>
      <c r="K4320" s="7">
        <v>1290</v>
      </c>
      <c r="L4320" s="24">
        <f>+Tabla2[[#This Row],[Stock Inventario]]*Tabla2[[#This Row],[Coste LÃ­nea]]</f>
        <v>0</v>
      </c>
      <c r="M4320" s="24">
        <f>+Tabla2[[#This Row],[Variación Stock]]*Tabla2[[#This Row],[Coste LÃ­nea]]</f>
        <v>38700</v>
      </c>
      <c r="N4320" s="22" t="str">
        <f>+IF(Tabla2[[#This Row],[Variación Stock]]&gt;0,"Sobrante",IF(Tabla2[[#This Row],[Variación Stock]]&lt;0,"Faltante","Sin novedad"))</f>
        <v>Sobrante</v>
      </c>
    </row>
    <row r="4321" spans="1:14" hidden="1" x14ac:dyDescent="0.25">
      <c r="A4321" s="11">
        <v>46053</v>
      </c>
      <c r="B4321" s="5" t="s">
        <v>1078</v>
      </c>
      <c r="C4321" s="3" t="s">
        <v>339</v>
      </c>
      <c r="D4321" s="5" t="s">
        <v>559</v>
      </c>
      <c r="E4321" s="5" t="s">
        <v>1080</v>
      </c>
      <c r="F4321" s="6" t="s">
        <v>582</v>
      </c>
      <c r="G4321" s="4" t="s">
        <v>2</v>
      </c>
      <c r="H4321" s="25">
        <v>6497</v>
      </c>
      <c r="I4321" s="8">
        <v>0</v>
      </c>
      <c r="J4321" s="9">
        <v>0</v>
      </c>
      <c r="K4321" s="7">
        <v>0</v>
      </c>
      <c r="L4321" s="24">
        <f>+Tabla2[[#This Row],[Stock Inventario]]*Tabla2[[#This Row],[Coste LÃ­nea]]</f>
        <v>0</v>
      </c>
      <c r="M4321" s="24">
        <f>+Tabla2[[#This Row],[Variación Stock]]*Tabla2[[#This Row],[Coste LÃ­nea]]</f>
        <v>0</v>
      </c>
      <c r="N4321" s="22" t="str">
        <f>+IF(Tabla2[[#This Row],[Variación Stock]]&gt;0,"Sobrante",IF(Tabla2[[#This Row],[Variación Stock]]&lt;0,"Faltante","Sin novedad"))</f>
        <v>Sin novedad</v>
      </c>
    </row>
    <row r="4322" spans="1:14" x14ac:dyDescent="0.25">
      <c r="A4322" s="11">
        <v>46053</v>
      </c>
      <c r="B4322" s="5" t="s">
        <v>1078</v>
      </c>
      <c r="C4322" s="3" t="s">
        <v>339</v>
      </c>
      <c r="D4322" s="5" t="s">
        <v>111</v>
      </c>
      <c r="E4322" s="5" t="s">
        <v>112</v>
      </c>
      <c r="F4322" s="6" t="s">
        <v>41</v>
      </c>
      <c r="G4322" s="4" t="s">
        <v>0</v>
      </c>
      <c r="H4322" s="25">
        <v>2904.0416666699998</v>
      </c>
      <c r="I4322" s="8">
        <v>21.72</v>
      </c>
      <c r="J4322" s="9">
        <v>22</v>
      </c>
      <c r="K4322" s="7">
        <v>0.28000000000000003</v>
      </c>
      <c r="L4322" s="24">
        <f>+Tabla2[[#This Row],[Stock Inventario]]*Tabla2[[#This Row],[Coste LÃ­nea]]</f>
        <v>63888.916666739999</v>
      </c>
      <c r="M4322" s="24">
        <f>+Tabla2[[#This Row],[Variación Stock]]*Tabla2[[#This Row],[Coste LÃ­nea]]</f>
        <v>813.13166666760003</v>
      </c>
      <c r="N4322" s="22" t="str">
        <f>+IF(Tabla2[[#This Row],[Variación Stock]]&gt;0,"Sobrante",IF(Tabla2[[#This Row],[Variación Stock]]&lt;0,"Faltante","Sin novedad"))</f>
        <v>Sobrante</v>
      </c>
    </row>
    <row r="4323" spans="1:14" x14ac:dyDescent="0.25">
      <c r="A4323" s="11">
        <v>46053</v>
      </c>
      <c r="B4323" s="5" t="s">
        <v>1078</v>
      </c>
      <c r="C4323" s="3" t="s">
        <v>339</v>
      </c>
      <c r="D4323" s="5" t="s">
        <v>111</v>
      </c>
      <c r="E4323" s="5" t="s">
        <v>112</v>
      </c>
      <c r="F4323" s="6" t="s">
        <v>42</v>
      </c>
      <c r="G4323" s="4" t="s">
        <v>0</v>
      </c>
      <c r="H4323" s="25">
        <v>2906.3333333300002</v>
      </c>
      <c r="I4323" s="8">
        <v>25.38</v>
      </c>
      <c r="J4323" s="9">
        <v>25</v>
      </c>
      <c r="K4323" s="7">
        <v>-0.38</v>
      </c>
      <c r="L4323" s="24">
        <f>+Tabla2[[#This Row],[Stock Inventario]]*Tabla2[[#This Row],[Coste LÃ­nea]]</f>
        <v>72658.333333250004</v>
      </c>
      <c r="M4323" s="24">
        <f>+Tabla2[[#This Row],[Variación Stock]]*Tabla2[[#This Row],[Coste LÃ­nea]]</f>
        <v>-1104.4066666654001</v>
      </c>
      <c r="N4323" s="22" t="str">
        <f>+IF(Tabla2[[#This Row],[Variación Stock]]&gt;0,"Sobrante",IF(Tabla2[[#This Row],[Variación Stock]]&lt;0,"Faltante","Sin novedad"))</f>
        <v>Faltante</v>
      </c>
    </row>
    <row r="4324" spans="1:14" x14ac:dyDescent="0.25">
      <c r="A4324" s="11">
        <v>46053</v>
      </c>
      <c r="B4324" s="5" t="s">
        <v>1078</v>
      </c>
      <c r="C4324" s="3" t="s">
        <v>339</v>
      </c>
      <c r="D4324" s="5" t="s">
        <v>118</v>
      </c>
      <c r="E4324" s="5" t="s">
        <v>112</v>
      </c>
      <c r="F4324" s="6" t="s">
        <v>302</v>
      </c>
      <c r="G4324" s="4" t="s">
        <v>2</v>
      </c>
      <c r="H4324" s="25">
        <v>444869</v>
      </c>
      <c r="I4324" s="8">
        <v>1</v>
      </c>
      <c r="J4324" s="9">
        <v>1</v>
      </c>
      <c r="K4324" s="7">
        <v>0</v>
      </c>
      <c r="L4324" s="24">
        <f>+Tabla2[[#This Row],[Stock Inventario]]*Tabla2[[#This Row],[Coste LÃ­nea]]</f>
        <v>444869</v>
      </c>
      <c r="M4324" s="24">
        <f>+Tabla2[[#This Row],[Variación Stock]]*Tabla2[[#This Row],[Coste LÃ­nea]]</f>
        <v>0</v>
      </c>
      <c r="N4324" s="22" t="str">
        <f>+IF(Tabla2[[#This Row],[Variación Stock]]&gt;0,"Sobrante",IF(Tabla2[[#This Row],[Variación Stock]]&lt;0,"Faltante","Sin novedad"))</f>
        <v>Sin novedad</v>
      </c>
    </row>
    <row r="4325" spans="1:14" hidden="1" x14ac:dyDescent="0.25">
      <c r="A4325" s="11">
        <v>46053</v>
      </c>
      <c r="B4325" s="5" t="s">
        <v>1078</v>
      </c>
      <c r="C4325" s="3" t="s">
        <v>339</v>
      </c>
      <c r="D4325" s="5" t="s">
        <v>829</v>
      </c>
      <c r="E4325" s="5" t="s">
        <v>117</v>
      </c>
      <c r="F4325" s="6" t="s">
        <v>834</v>
      </c>
      <c r="G4325" s="4" t="s">
        <v>1</v>
      </c>
      <c r="H4325" s="25">
        <v>10.193790849999999</v>
      </c>
      <c r="I4325" s="8">
        <v>2868</v>
      </c>
      <c r="J4325" s="9">
        <v>12000</v>
      </c>
      <c r="K4325" s="7">
        <v>9132</v>
      </c>
      <c r="L4325" s="24">
        <f>+Tabla2[[#This Row],[Stock Inventario]]*Tabla2[[#This Row],[Coste LÃ­nea]]</f>
        <v>122325.49019999999</v>
      </c>
      <c r="M4325" s="24">
        <f>+Tabla2[[#This Row],[Variación Stock]]*Tabla2[[#This Row],[Coste LÃ­nea]]</f>
        <v>93089.698042199991</v>
      </c>
      <c r="N4325" s="22" t="str">
        <f>+IF(Tabla2[[#This Row],[Variación Stock]]&gt;0,"Sobrante",IF(Tabla2[[#This Row],[Variación Stock]]&lt;0,"Faltante","Sin novedad"))</f>
        <v>Sobrante</v>
      </c>
    </row>
    <row r="4326" spans="1:14" x14ac:dyDescent="0.25">
      <c r="A4326" s="11">
        <v>46053</v>
      </c>
      <c r="B4326" s="5" t="s">
        <v>1078</v>
      </c>
      <c r="C4326" s="3" t="s">
        <v>339</v>
      </c>
      <c r="D4326" s="5" t="s">
        <v>118</v>
      </c>
      <c r="E4326" s="5" t="s">
        <v>112</v>
      </c>
      <c r="F4326" s="6" t="s">
        <v>303</v>
      </c>
      <c r="G4326" s="4" t="s">
        <v>81</v>
      </c>
      <c r="H4326" s="25">
        <v>15145.3</v>
      </c>
      <c r="I4326" s="8">
        <v>32</v>
      </c>
      <c r="J4326" s="9">
        <v>32</v>
      </c>
      <c r="K4326" s="7">
        <v>0</v>
      </c>
      <c r="L4326" s="24">
        <f>+Tabla2[[#This Row],[Stock Inventario]]*Tabla2[[#This Row],[Coste LÃ­nea]]</f>
        <v>484649.6</v>
      </c>
      <c r="M4326" s="24">
        <f>+Tabla2[[#This Row],[Variación Stock]]*Tabla2[[#This Row],[Coste LÃ­nea]]</f>
        <v>0</v>
      </c>
      <c r="N4326" s="22" t="str">
        <f>+IF(Tabla2[[#This Row],[Variación Stock]]&gt;0,"Sobrante",IF(Tabla2[[#This Row],[Variación Stock]]&lt;0,"Faltante","Sin novedad"))</f>
        <v>Sin novedad</v>
      </c>
    </row>
    <row r="4327" spans="1:14" hidden="1" x14ac:dyDescent="0.25">
      <c r="A4327" s="11">
        <v>46053</v>
      </c>
      <c r="B4327" s="5" t="s">
        <v>1078</v>
      </c>
      <c r="C4327" s="3" t="s">
        <v>339</v>
      </c>
      <c r="D4327" s="5" t="s">
        <v>396</v>
      </c>
      <c r="E4327" s="5" t="s">
        <v>117</v>
      </c>
      <c r="F4327" s="6" t="s">
        <v>455</v>
      </c>
      <c r="G4327" s="4" t="s">
        <v>1</v>
      </c>
      <c r="H4327" s="25">
        <v>16.262250000000002</v>
      </c>
      <c r="I4327" s="8">
        <v>7570</v>
      </c>
      <c r="J4327" s="9">
        <v>3000</v>
      </c>
      <c r="K4327" s="7">
        <v>-4570</v>
      </c>
      <c r="L4327" s="24">
        <f>+Tabla2[[#This Row],[Stock Inventario]]*Tabla2[[#This Row],[Coste LÃ­nea]]</f>
        <v>48786.750000000007</v>
      </c>
      <c r="M4327" s="24">
        <f>+Tabla2[[#This Row],[Variación Stock]]*Tabla2[[#This Row],[Coste LÃ­nea]]</f>
        <v>-74318.482500000013</v>
      </c>
      <c r="N4327" s="22" t="str">
        <f>+IF(Tabla2[[#This Row],[Variación Stock]]&gt;0,"Sobrante",IF(Tabla2[[#This Row],[Variación Stock]]&lt;0,"Faltante","Sin novedad"))</f>
        <v>Faltante</v>
      </c>
    </row>
    <row r="4328" spans="1:14" x14ac:dyDescent="0.25">
      <c r="A4328" s="11">
        <v>46053</v>
      </c>
      <c r="B4328" s="5" t="s">
        <v>1078</v>
      </c>
      <c r="C4328" s="3" t="s">
        <v>339</v>
      </c>
      <c r="D4328" s="5" t="s">
        <v>118</v>
      </c>
      <c r="E4328" s="5" t="s">
        <v>112</v>
      </c>
      <c r="F4328" s="6" t="s">
        <v>82</v>
      </c>
      <c r="G4328" s="4" t="s">
        <v>2</v>
      </c>
      <c r="H4328" s="25">
        <v>63372.666666669997</v>
      </c>
      <c r="I4328" s="8">
        <v>4</v>
      </c>
      <c r="J4328" s="9">
        <v>3</v>
      </c>
      <c r="K4328" s="7">
        <v>-1</v>
      </c>
      <c r="L4328" s="24">
        <f>+Tabla2[[#This Row],[Stock Inventario]]*Tabla2[[#This Row],[Coste LÃ­nea]]</f>
        <v>190118.00000000998</v>
      </c>
      <c r="M4328" s="24">
        <f>+Tabla2[[#This Row],[Variación Stock]]*Tabla2[[#This Row],[Coste LÃ­nea]]</f>
        <v>-63372.666666669997</v>
      </c>
      <c r="N4328" s="22" t="str">
        <f>+IF(Tabla2[[#This Row],[Variación Stock]]&gt;0,"Sobrante",IF(Tabla2[[#This Row],[Variación Stock]]&lt;0,"Faltante","Sin novedad"))</f>
        <v>Faltante</v>
      </c>
    </row>
    <row r="4329" spans="1:14" x14ac:dyDescent="0.25">
      <c r="A4329" s="11">
        <v>46053</v>
      </c>
      <c r="B4329" s="5" t="s">
        <v>1078</v>
      </c>
      <c r="C4329" s="3" t="s">
        <v>339</v>
      </c>
      <c r="D4329" s="5" t="s">
        <v>118</v>
      </c>
      <c r="E4329" s="5" t="s">
        <v>112</v>
      </c>
      <c r="F4329" s="6" t="s">
        <v>304</v>
      </c>
      <c r="G4329" s="4" t="s">
        <v>2</v>
      </c>
      <c r="H4329" s="25">
        <v>37616.5</v>
      </c>
      <c r="I4329" s="8">
        <v>8</v>
      </c>
      <c r="J4329" s="9">
        <v>8</v>
      </c>
      <c r="K4329" s="7">
        <v>0</v>
      </c>
      <c r="L4329" s="24">
        <f>+Tabla2[[#This Row],[Stock Inventario]]*Tabla2[[#This Row],[Coste LÃ­nea]]</f>
        <v>300932</v>
      </c>
      <c r="M4329" s="24">
        <f>+Tabla2[[#This Row],[Variación Stock]]*Tabla2[[#This Row],[Coste LÃ­nea]]</f>
        <v>0</v>
      </c>
      <c r="N4329" s="22" t="str">
        <f>+IF(Tabla2[[#This Row],[Variación Stock]]&gt;0,"Sobrante",IF(Tabla2[[#This Row],[Variación Stock]]&lt;0,"Faltante","Sin novedad"))</f>
        <v>Sin novedad</v>
      </c>
    </row>
    <row r="4330" spans="1:14" x14ac:dyDescent="0.25">
      <c r="A4330" s="11">
        <v>46053</v>
      </c>
      <c r="B4330" s="5" t="s">
        <v>1078</v>
      </c>
      <c r="C4330" s="3" t="s">
        <v>339</v>
      </c>
      <c r="D4330" s="5" t="s">
        <v>118</v>
      </c>
      <c r="E4330" s="5" t="s">
        <v>112</v>
      </c>
      <c r="F4330" s="6" t="s">
        <v>83</v>
      </c>
      <c r="G4330" s="4" t="s">
        <v>2</v>
      </c>
      <c r="H4330" s="25">
        <v>37607.75</v>
      </c>
      <c r="I4330" s="8">
        <v>15</v>
      </c>
      <c r="J4330" s="9">
        <v>15</v>
      </c>
      <c r="K4330" s="7">
        <v>0</v>
      </c>
      <c r="L4330" s="24">
        <f>+Tabla2[[#This Row],[Stock Inventario]]*Tabla2[[#This Row],[Coste LÃ­nea]]</f>
        <v>564116.25</v>
      </c>
      <c r="M4330" s="24">
        <f>+Tabla2[[#This Row],[Variación Stock]]*Tabla2[[#This Row],[Coste LÃ­nea]]</f>
        <v>0</v>
      </c>
      <c r="N4330" s="22" t="str">
        <f>+IF(Tabla2[[#This Row],[Variación Stock]]&gt;0,"Sobrante",IF(Tabla2[[#This Row],[Variación Stock]]&lt;0,"Faltante","Sin novedad"))</f>
        <v>Sin novedad</v>
      </c>
    </row>
    <row r="4331" spans="1:14" x14ac:dyDescent="0.25">
      <c r="A4331" s="11">
        <v>46053</v>
      </c>
      <c r="B4331" s="5" t="s">
        <v>1078</v>
      </c>
      <c r="C4331" s="3" t="s">
        <v>339</v>
      </c>
      <c r="D4331" s="5" t="s">
        <v>118</v>
      </c>
      <c r="E4331" s="5" t="s">
        <v>112</v>
      </c>
      <c r="F4331" s="6" t="s">
        <v>84</v>
      </c>
      <c r="G4331" s="4" t="s">
        <v>81</v>
      </c>
      <c r="H4331" s="25">
        <v>10879.03333333</v>
      </c>
      <c r="I4331" s="8">
        <v>0</v>
      </c>
      <c r="J4331" s="9">
        <v>0</v>
      </c>
      <c r="K4331" s="7">
        <v>0</v>
      </c>
      <c r="L4331" s="24">
        <f>+Tabla2[[#This Row],[Stock Inventario]]*Tabla2[[#This Row],[Coste LÃ­nea]]</f>
        <v>0</v>
      </c>
      <c r="M4331" s="24">
        <f>+Tabla2[[#This Row],[Variación Stock]]*Tabla2[[#This Row],[Coste LÃ­nea]]</f>
        <v>0</v>
      </c>
      <c r="N4331" s="22" t="str">
        <f>+IF(Tabla2[[#This Row],[Variación Stock]]&gt;0,"Sobrante",IF(Tabla2[[#This Row],[Variación Stock]]&lt;0,"Faltante","Sin novedad"))</f>
        <v>Sin novedad</v>
      </c>
    </row>
    <row r="4332" spans="1:14" x14ac:dyDescent="0.25">
      <c r="A4332" s="11">
        <v>46053</v>
      </c>
      <c r="B4332" s="5" t="s">
        <v>1078</v>
      </c>
      <c r="C4332" s="3" t="s">
        <v>339</v>
      </c>
      <c r="D4332" s="5" t="s">
        <v>118</v>
      </c>
      <c r="E4332" s="5" t="s">
        <v>112</v>
      </c>
      <c r="F4332" s="6" t="s">
        <v>85</v>
      </c>
      <c r="G4332" s="4" t="s">
        <v>81</v>
      </c>
      <c r="H4332" s="25">
        <v>10875.1</v>
      </c>
      <c r="I4332" s="8">
        <v>0</v>
      </c>
      <c r="J4332" s="9">
        <v>0</v>
      </c>
      <c r="K4332" s="7">
        <v>0</v>
      </c>
      <c r="L4332" s="24">
        <f>+Tabla2[[#This Row],[Stock Inventario]]*Tabla2[[#This Row],[Coste LÃ­nea]]</f>
        <v>0</v>
      </c>
      <c r="M4332" s="24">
        <f>+Tabla2[[#This Row],[Variación Stock]]*Tabla2[[#This Row],[Coste LÃ­nea]]</f>
        <v>0</v>
      </c>
      <c r="N4332" s="22" t="str">
        <f>+IF(Tabla2[[#This Row],[Variación Stock]]&gt;0,"Sobrante",IF(Tabla2[[#This Row],[Variación Stock]]&lt;0,"Faltante","Sin novedad"))</f>
        <v>Sin novedad</v>
      </c>
    </row>
    <row r="4333" spans="1:14" x14ac:dyDescent="0.25">
      <c r="A4333" s="11">
        <v>46053</v>
      </c>
      <c r="B4333" s="5" t="s">
        <v>1078</v>
      </c>
      <c r="C4333" s="3" t="s">
        <v>339</v>
      </c>
      <c r="D4333" s="5" t="s">
        <v>118</v>
      </c>
      <c r="E4333" s="5" t="s">
        <v>112</v>
      </c>
      <c r="F4333" s="6" t="s">
        <v>86</v>
      </c>
      <c r="G4333" s="4" t="s">
        <v>81</v>
      </c>
      <c r="H4333" s="25">
        <v>10889.4</v>
      </c>
      <c r="I4333" s="8">
        <v>10</v>
      </c>
      <c r="J4333" s="9">
        <v>10</v>
      </c>
      <c r="K4333" s="7">
        <v>0</v>
      </c>
      <c r="L4333" s="24">
        <f>+Tabla2[[#This Row],[Stock Inventario]]*Tabla2[[#This Row],[Coste LÃ­nea]]</f>
        <v>108894</v>
      </c>
      <c r="M4333" s="24">
        <f>+Tabla2[[#This Row],[Variación Stock]]*Tabla2[[#This Row],[Coste LÃ­nea]]</f>
        <v>0</v>
      </c>
      <c r="N4333" s="22" t="str">
        <f>+IF(Tabla2[[#This Row],[Variación Stock]]&gt;0,"Sobrante",IF(Tabla2[[#This Row],[Variación Stock]]&lt;0,"Faltante","Sin novedad"))</f>
        <v>Sin novedad</v>
      </c>
    </row>
    <row r="4334" spans="1:14" x14ac:dyDescent="0.25">
      <c r="A4334" s="11">
        <v>46053</v>
      </c>
      <c r="B4334" s="5" t="s">
        <v>1078</v>
      </c>
      <c r="C4334" s="3" t="s">
        <v>339</v>
      </c>
      <c r="D4334" s="5" t="s">
        <v>118</v>
      </c>
      <c r="E4334" s="5" t="s">
        <v>112</v>
      </c>
      <c r="F4334" s="6" t="s">
        <v>308</v>
      </c>
      <c r="G4334" s="4" t="s">
        <v>81</v>
      </c>
      <c r="H4334" s="25">
        <v>15144</v>
      </c>
      <c r="I4334" s="8">
        <v>23</v>
      </c>
      <c r="J4334" s="9">
        <v>22</v>
      </c>
      <c r="K4334" s="7">
        <v>-1</v>
      </c>
      <c r="L4334" s="24">
        <f>+Tabla2[[#This Row],[Stock Inventario]]*Tabla2[[#This Row],[Coste LÃ­nea]]</f>
        <v>333168</v>
      </c>
      <c r="M4334" s="24">
        <f>+Tabla2[[#This Row],[Variación Stock]]*Tabla2[[#This Row],[Coste LÃ­nea]]</f>
        <v>-15144</v>
      </c>
      <c r="N4334" s="22" t="str">
        <f>+IF(Tabla2[[#This Row],[Variación Stock]]&gt;0,"Sobrante",IF(Tabla2[[#This Row],[Variación Stock]]&lt;0,"Faltante","Sin novedad"))</f>
        <v>Faltante</v>
      </c>
    </row>
    <row r="4335" spans="1:14" x14ac:dyDescent="0.25">
      <c r="A4335" s="11">
        <v>46044</v>
      </c>
      <c r="B4335" s="5" t="s">
        <v>378</v>
      </c>
      <c r="C4335" s="3" t="s">
        <v>339</v>
      </c>
      <c r="D4335" s="5" t="s">
        <v>118</v>
      </c>
      <c r="E4335" s="5" t="s">
        <v>112</v>
      </c>
      <c r="F4335" s="6" t="s">
        <v>375</v>
      </c>
      <c r="G4335" s="4" t="s">
        <v>81</v>
      </c>
      <c r="H4335" s="25">
        <v>10705</v>
      </c>
      <c r="I4335" s="8">
        <v>13</v>
      </c>
      <c r="J4335" s="9">
        <v>11</v>
      </c>
      <c r="K4335" s="7">
        <v>-2</v>
      </c>
      <c r="L4335" s="24">
        <f>+Tabla2[[#This Row],[Stock Inventario]]*Tabla2[[#This Row],[Coste LÃ­nea]]</f>
        <v>117755</v>
      </c>
      <c r="M4335" s="24">
        <f>+Tabla2[[#This Row],[Variación Stock]]*Tabla2[[#This Row],[Coste LÃ­nea]]</f>
        <v>-21410</v>
      </c>
      <c r="N4335" s="22" t="str">
        <f>+IF(Tabla2[[#This Row],[Variación Stock]]&gt;0,"Sobrante",IF(Tabla2[[#This Row],[Variación Stock]]&lt;0,"Faltante","Sin novedad"))</f>
        <v>Faltante</v>
      </c>
    </row>
    <row r="4336" spans="1:14" x14ac:dyDescent="0.25">
      <c r="A4336" s="11">
        <v>46053</v>
      </c>
      <c r="B4336" s="5" t="s">
        <v>1078</v>
      </c>
      <c r="C4336" s="3" t="s">
        <v>339</v>
      </c>
      <c r="D4336" s="5" t="s">
        <v>118</v>
      </c>
      <c r="E4336" s="5" t="s">
        <v>112</v>
      </c>
      <c r="F4336" s="6" t="s">
        <v>89</v>
      </c>
      <c r="G4336" s="4" t="s">
        <v>81</v>
      </c>
      <c r="H4336" s="25">
        <v>4363.6000000000004</v>
      </c>
      <c r="I4336" s="8">
        <v>17</v>
      </c>
      <c r="J4336" s="9">
        <v>17</v>
      </c>
      <c r="K4336" s="7">
        <v>0</v>
      </c>
      <c r="L4336" s="24">
        <f>+Tabla2[[#This Row],[Stock Inventario]]*Tabla2[[#This Row],[Coste LÃ­nea]]</f>
        <v>74181.200000000012</v>
      </c>
      <c r="M4336" s="24">
        <f>+Tabla2[[#This Row],[Variación Stock]]*Tabla2[[#This Row],[Coste LÃ­nea]]</f>
        <v>0</v>
      </c>
      <c r="N4336" s="22" t="str">
        <f>+IF(Tabla2[[#This Row],[Variación Stock]]&gt;0,"Sobrante",IF(Tabla2[[#This Row],[Variación Stock]]&lt;0,"Faltante","Sin novedad"))</f>
        <v>Sin novedad</v>
      </c>
    </row>
    <row r="4337" spans="1:14" x14ac:dyDescent="0.25">
      <c r="A4337" s="11">
        <v>46044</v>
      </c>
      <c r="B4337" s="5" t="s">
        <v>378</v>
      </c>
      <c r="C4337" s="3" t="s">
        <v>339</v>
      </c>
      <c r="D4337" s="5" t="s">
        <v>118</v>
      </c>
      <c r="E4337" s="5" t="s">
        <v>112</v>
      </c>
      <c r="F4337" s="6" t="s">
        <v>83</v>
      </c>
      <c r="G4337" s="4" t="s">
        <v>2</v>
      </c>
      <c r="H4337" s="25">
        <v>37608</v>
      </c>
      <c r="I4337" s="8">
        <v>22</v>
      </c>
      <c r="J4337" s="9">
        <v>16</v>
      </c>
      <c r="K4337" s="7">
        <v>-6</v>
      </c>
      <c r="L4337" s="24">
        <f>+Tabla2[[#This Row],[Stock Inventario]]*Tabla2[[#This Row],[Coste LÃ­nea]]</f>
        <v>601728</v>
      </c>
      <c r="M4337" s="24">
        <f>+Tabla2[[#This Row],[Variación Stock]]*Tabla2[[#This Row],[Coste LÃ­nea]]</f>
        <v>-225648</v>
      </c>
      <c r="N4337" s="22" t="str">
        <f>+IF(Tabla2[[#This Row],[Variación Stock]]&gt;0,"Sobrante",IF(Tabla2[[#This Row],[Variación Stock]]&lt;0,"Faltante","Sin novedad"))</f>
        <v>Faltante</v>
      </c>
    </row>
    <row r="4338" spans="1:14" x14ac:dyDescent="0.25">
      <c r="A4338" s="11">
        <v>46053</v>
      </c>
      <c r="B4338" s="5" t="s">
        <v>1078</v>
      </c>
      <c r="C4338" s="3" t="s">
        <v>339</v>
      </c>
      <c r="D4338" s="5" t="s">
        <v>118</v>
      </c>
      <c r="E4338" s="5" t="s">
        <v>112</v>
      </c>
      <c r="F4338" s="6" t="s">
        <v>375</v>
      </c>
      <c r="G4338" s="4" t="s">
        <v>81</v>
      </c>
      <c r="H4338" s="25">
        <v>10709.9</v>
      </c>
      <c r="I4338" s="8">
        <v>15</v>
      </c>
      <c r="J4338" s="9">
        <v>15</v>
      </c>
      <c r="K4338" s="7">
        <v>0</v>
      </c>
      <c r="L4338" s="24">
        <f>+Tabla2[[#This Row],[Stock Inventario]]*Tabla2[[#This Row],[Coste LÃ­nea]]</f>
        <v>160648.5</v>
      </c>
      <c r="M4338" s="24">
        <f>+Tabla2[[#This Row],[Variación Stock]]*Tabla2[[#This Row],[Coste LÃ­nea]]</f>
        <v>0</v>
      </c>
      <c r="N4338" s="22" t="str">
        <f>+IF(Tabla2[[#This Row],[Variación Stock]]&gt;0,"Sobrante",IF(Tabla2[[#This Row],[Variación Stock]]&lt;0,"Faltante","Sin novedad"))</f>
        <v>Sin novedad</v>
      </c>
    </row>
    <row r="4339" spans="1:14" x14ac:dyDescent="0.25">
      <c r="A4339" s="11">
        <v>46053</v>
      </c>
      <c r="B4339" s="5" t="s">
        <v>1078</v>
      </c>
      <c r="C4339" s="3" t="s">
        <v>339</v>
      </c>
      <c r="D4339" s="5" t="s">
        <v>118</v>
      </c>
      <c r="E4339" s="5" t="s">
        <v>112</v>
      </c>
      <c r="F4339" s="6" t="s">
        <v>306</v>
      </c>
      <c r="G4339" s="4" t="s">
        <v>81</v>
      </c>
      <c r="H4339" s="25">
        <v>10715.3</v>
      </c>
      <c r="I4339" s="8">
        <v>17</v>
      </c>
      <c r="J4339" s="9">
        <v>17</v>
      </c>
      <c r="K4339" s="7">
        <v>0</v>
      </c>
      <c r="L4339" s="24">
        <f>+Tabla2[[#This Row],[Stock Inventario]]*Tabla2[[#This Row],[Coste LÃ­nea]]</f>
        <v>182160.09999999998</v>
      </c>
      <c r="M4339" s="24">
        <f>+Tabla2[[#This Row],[Variación Stock]]*Tabla2[[#This Row],[Coste LÃ­nea]]</f>
        <v>0</v>
      </c>
      <c r="N4339" s="22" t="str">
        <f>+IF(Tabla2[[#This Row],[Variación Stock]]&gt;0,"Sobrante",IF(Tabla2[[#This Row],[Variación Stock]]&lt;0,"Faltante","Sin novedad"))</f>
        <v>Sin novedad</v>
      </c>
    </row>
    <row r="4340" spans="1:14" x14ac:dyDescent="0.25">
      <c r="A4340" s="11">
        <v>46053</v>
      </c>
      <c r="B4340" s="5" t="s">
        <v>1078</v>
      </c>
      <c r="C4340" s="3" t="s">
        <v>339</v>
      </c>
      <c r="D4340" s="5" t="s">
        <v>118</v>
      </c>
      <c r="E4340" s="5" t="s">
        <v>112</v>
      </c>
      <c r="F4340" s="6" t="s">
        <v>307</v>
      </c>
      <c r="G4340" s="4" t="s">
        <v>81</v>
      </c>
      <c r="H4340" s="25">
        <v>10710.6</v>
      </c>
      <c r="I4340" s="8">
        <v>28</v>
      </c>
      <c r="J4340" s="9">
        <v>28</v>
      </c>
      <c r="K4340" s="7">
        <v>0</v>
      </c>
      <c r="L4340" s="24">
        <f>+Tabla2[[#This Row],[Stock Inventario]]*Tabla2[[#This Row],[Coste LÃ­nea]]</f>
        <v>299896.8</v>
      </c>
      <c r="M4340" s="24">
        <f>+Tabla2[[#This Row],[Variación Stock]]*Tabla2[[#This Row],[Coste LÃ­nea]]</f>
        <v>0</v>
      </c>
      <c r="N4340" s="22" t="str">
        <f>+IF(Tabla2[[#This Row],[Variación Stock]]&gt;0,"Sobrante",IF(Tabla2[[#This Row],[Variación Stock]]&lt;0,"Faltante","Sin novedad"))</f>
        <v>Sin novedad</v>
      </c>
    </row>
    <row r="4341" spans="1:14" hidden="1" x14ac:dyDescent="0.25">
      <c r="A4341" s="11">
        <v>46053</v>
      </c>
      <c r="B4341" s="5" t="s">
        <v>1078</v>
      </c>
      <c r="C4341" s="3" t="s">
        <v>339</v>
      </c>
      <c r="D4341" s="5" t="s">
        <v>396</v>
      </c>
      <c r="E4341" s="5" t="s">
        <v>117</v>
      </c>
      <c r="F4341" s="6" t="s">
        <v>456</v>
      </c>
      <c r="G4341" s="4" t="s">
        <v>1</v>
      </c>
      <c r="H4341" s="25">
        <v>28.478079170000001</v>
      </c>
      <c r="I4341" s="8">
        <v>-2030</v>
      </c>
      <c r="J4341" s="9">
        <v>0</v>
      </c>
      <c r="K4341" s="7">
        <v>2030</v>
      </c>
      <c r="L4341" s="24">
        <f>+Tabla2[[#This Row],[Stock Inventario]]*Tabla2[[#This Row],[Coste LÃ­nea]]</f>
        <v>0</v>
      </c>
      <c r="M4341" s="24">
        <f>+Tabla2[[#This Row],[Variación Stock]]*Tabla2[[#This Row],[Coste LÃ­nea]]</f>
        <v>57810.500715100003</v>
      </c>
      <c r="N4341" s="22" t="str">
        <f>+IF(Tabla2[[#This Row],[Variación Stock]]&gt;0,"Sobrante",IF(Tabla2[[#This Row],[Variación Stock]]&lt;0,"Faltante","Sin novedad"))</f>
        <v>Sobrante</v>
      </c>
    </row>
    <row r="4342" spans="1:14" x14ac:dyDescent="0.25">
      <c r="A4342" s="11">
        <v>46053</v>
      </c>
      <c r="B4342" s="5" t="s">
        <v>1078</v>
      </c>
      <c r="C4342" s="3" t="s">
        <v>339</v>
      </c>
      <c r="D4342" s="5" t="s">
        <v>118</v>
      </c>
      <c r="E4342" s="5" t="s">
        <v>112</v>
      </c>
      <c r="F4342" s="6" t="s">
        <v>91</v>
      </c>
      <c r="G4342" s="4" t="s">
        <v>2</v>
      </c>
      <c r="H4342" s="25">
        <v>70600.5</v>
      </c>
      <c r="I4342" s="8">
        <v>0</v>
      </c>
      <c r="J4342" s="9">
        <v>0</v>
      </c>
      <c r="K4342" s="7">
        <v>0</v>
      </c>
      <c r="L4342" s="24">
        <f>+Tabla2[[#This Row],[Stock Inventario]]*Tabla2[[#This Row],[Coste LÃ­nea]]</f>
        <v>0</v>
      </c>
      <c r="M4342" s="24">
        <f>+Tabla2[[#This Row],[Variación Stock]]*Tabla2[[#This Row],[Coste LÃ­nea]]</f>
        <v>0</v>
      </c>
      <c r="N4342" s="22" t="str">
        <f>+IF(Tabla2[[#This Row],[Variación Stock]]&gt;0,"Sobrante",IF(Tabla2[[#This Row],[Variación Stock]]&lt;0,"Faltante","Sin novedad"))</f>
        <v>Sin novedad</v>
      </c>
    </row>
    <row r="4343" spans="1:14" x14ac:dyDescent="0.25">
      <c r="A4343" s="11">
        <v>46053</v>
      </c>
      <c r="B4343" s="5" t="s">
        <v>1078</v>
      </c>
      <c r="C4343" s="3" t="s">
        <v>339</v>
      </c>
      <c r="D4343" s="5" t="s">
        <v>118</v>
      </c>
      <c r="E4343" s="5" t="s">
        <v>112</v>
      </c>
      <c r="F4343" s="6" t="s">
        <v>311</v>
      </c>
      <c r="G4343" s="4" t="s">
        <v>2</v>
      </c>
      <c r="H4343" s="25">
        <v>79652</v>
      </c>
      <c r="I4343" s="8">
        <v>1</v>
      </c>
      <c r="J4343" s="9">
        <v>1</v>
      </c>
      <c r="K4343" s="7">
        <v>0</v>
      </c>
      <c r="L4343" s="24">
        <f>+Tabla2[[#This Row],[Stock Inventario]]*Tabla2[[#This Row],[Coste LÃ­nea]]</f>
        <v>79652</v>
      </c>
      <c r="M4343" s="24">
        <f>+Tabla2[[#This Row],[Variación Stock]]*Tabla2[[#This Row],[Coste LÃ­nea]]</f>
        <v>0</v>
      </c>
      <c r="N4343" s="22" t="str">
        <f>+IF(Tabla2[[#This Row],[Variación Stock]]&gt;0,"Sobrante",IF(Tabla2[[#This Row],[Variación Stock]]&lt;0,"Faltante","Sin novedad"))</f>
        <v>Sin novedad</v>
      </c>
    </row>
    <row r="4344" spans="1:14" x14ac:dyDescent="0.25">
      <c r="A4344" s="11">
        <v>46037</v>
      </c>
      <c r="B4344" s="5" t="s">
        <v>338</v>
      </c>
      <c r="C4344" s="3" t="s">
        <v>339</v>
      </c>
      <c r="D4344" s="5" t="s">
        <v>118</v>
      </c>
      <c r="E4344" s="5" t="s">
        <v>112</v>
      </c>
      <c r="F4344" s="6" t="s">
        <v>305</v>
      </c>
      <c r="G4344" s="4" t="s">
        <v>81</v>
      </c>
      <c r="H4344" s="25">
        <v>10705</v>
      </c>
      <c r="I4344" s="8">
        <v>23</v>
      </c>
      <c r="J4344" s="9">
        <v>13</v>
      </c>
      <c r="K4344" s="7">
        <v>-10</v>
      </c>
      <c r="L4344" s="24">
        <f>+Tabla2[[#This Row],[Stock Inventario]]*Tabla2[[#This Row],[Coste LÃ­nea]]</f>
        <v>139165</v>
      </c>
      <c r="M4344" s="24">
        <f>+Tabla2[[#This Row],[Variación Stock]]*Tabla2[[#This Row],[Coste LÃ­nea]]</f>
        <v>-107050</v>
      </c>
      <c r="N4344" s="22" t="str">
        <f>+IF(Tabla2[[#This Row],[Variación Stock]]&gt;0,"Sobrante",IF(Tabla2[[#This Row],[Variación Stock]]&lt;0,"Faltante","Sin novedad"))</f>
        <v>Faltante</v>
      </c>
    </row>
    <row r="4345" spans="1:14" x14ac:dyDescent="0.25">
      <c r="A4345" s="11">
        <v>46053</v>
      </c>
      <c r="B4345" s="5" t="s">
        <v>1078</v>
      </c>
      <c r="C4345" s="3" t="s">
        <v>339</v>
      </c>
      <c r="D4345" s="5" t="s">
        <v>118</v>
      </c>
      <c r="E4345" s="5" t="s">
        <v>112</v>
      </c>
      <c r="F4345" s="6" t="s">
        <v>292</v>
      </c>
      <c r="G4345" s="4" t="s">
        <v>81</v>
      </c>
      <c r="H4345" s="25">
        <v>10705</v>
      </c>
      <c r="I4345" s="8">
        <v>0</v>
      </c>
      <c r="J4345" s="9">
        <v>0</v>
      </c>
      <c r="K4345" s="7">
        <v>0</v>
      </c>
      <c r="L4345" s="24">
        <f>+Tabla2[[#This Row],[Stock Inventario]]*Tabla2[[#This Row],[Coste LÃ­nea]]</f>
        <v>0</v>
      </c>
      <c r="M4345" s="24">
        <f>+Tabla2[[#This Row],[Variación Stock]]*Tabla2[[#This Row],[Coste LÃ­nea]]</f>
        <v>0</v>
      </c>
      <c r="N4345" s="22" t="str">
        <f>+IF(Tabla2[[#This Row],[Variación Stock]]&gt;0,"Sobrante",IF(Tabla2[[#This Row],[Variación Stock]]&lt;0,"Faltante","Sin novedad"))</f>
        <v>Sin novedad</v>
      </c>
    </row>
    <row r="4346" spans="1:14" x14ac:dyDescent="0.25">
      <c r="A4346" s="11">
        <v>46053</v>
      </c>
      <c r="B4346" s="5" t="s">
        <v>1078</v>
      </c>
      <c r="C4346" s="3" t="s">
        <v>339</v>
      </c>
      <c r="D4346" s="5" t="s">
        <v>118</v>
      </c>
      <c r="E4346" s="5" t="s">
        <v>112</v>
      </c>
      <c r="F4346" s="6" t="s">
        <v>92</v>
      </c>
      <c r="G4346" s="4" t="s">
        <v>81</v>
      </c>
      <c r="H4346" s="25">
        <v>10705</v>
      </c>
      <c r="I4346" s="8">
        <v>10</v>
      </c>
      <c r="J4346" s="9">
        <v>10</v>
      </c>
      <c r="K4346" s="7">
        <v>0</v>
      </c>
      <c r="L4346" s="24">
        <f>+Tabla2[[#This Row],[Stock Inventario]]*Tabla2[[#This Row],[Coste LÃ­nea]]</f>
        <v>107050</v>
      </c>
      <c r="M4346" s="24">
        <f>+Tabla2[[#This Row],[Variación Stock]]*Tabla2[[#This Row],[Coste LÃ­nea]]</f>
        <v>0</v>
      </c>
      <c r="N4346" s="22" t="str">
        <f>+IF(Tabla2[[#This Row],[Variación Stock]]&gt;0,"Sobrante",IF(Tabla2[[#This Row],[Variación Stock]]&lt;0,"Faltante","Sin novedad"))</f>
        <v>Sin novedad</v>
      </c>
    </row>
    <row r="4347" spans="1:14" x14ac:dyDescent="0.25">
      <c r="A4347" s="11">
        <v>46053</v>
      </c>
      <c r="B4347" s="5" t="s">
        <v>1078</v>
      </c>
      <c r="C4347" s="3" t="s">
        <v>339</v>
      </c>
      <c r="D4347" s="5" t="s">
        <v>118</v>
      </c>
      <c r="E4347" s="5" t="s">
        <v>112</v>
      </c>
      <c r="F4347" s="6" t="s">
        <v>186</v>
      </c>
      <c r="G4347" s="4" t="s">
        <v>2</v>
      </c>
      <c r="H4347" s="25">
        <v>53140</v>
      </c>
      <c r="I4347" s="8">
        <v>0</v>
      </c>
      <c r="J4347" s="9">
        <v>0</v>
      </c>
      <c r="K4347" s="7">
        <v>0</v>
      </c>
      <c r="L4347" s="24">
        <f>+Tabla2[[#This Row],[Stock Inventario]]*Tabla2[[#This Row],[Coste LÃ­nea]]</f>
        <v>0</v>
      </c>
      <c r="M4347" s="24">
        <f>+Tabla2[[#This Row],[Variación Stock]]*Tabla2[[#This Row],[Coste LÃ­nea]]</f>
        <v>0</v>
      </c>
      <c r="N4347" s="22" t="str">
        <f>+IF(Tabla2[[#This Row],[Variación Stock]]&gt;0,"Sobrante",IF(Tabla2[[#This Row],[Variación Stock]]&lt;0,"Faltante","Sin novedad"))</f>
        <v>Sin novedad</v>
      </c>
    </row>
    <row r="4348" spans="1:14" x14ac:dyDescent="0.25">
      <c r="A4348" s="11">
        <v>46053</v>
      </c>
      <c r="B4348" s="5" t="s">
        <v>1078</v>
      </c>
      <c r="C4348" s="3" t="s">
        <v>339</v>
      </c>
      <c r="D4348" s="5" t="s">
        <v>111</v>
      </c>
      <c r="E4348" s="5" t="s">
        <v>112</v>
      </c>
      <c r="F4348" s="6" t="s">
        <v>395</v>
      </c>
      <c r="G4348" s="4" t="s">
        <v>0</v>
      </c>
      <c r="H4348" s="25">
        <v>1794</v>
      </c>
      <c r="I4348" s="8">
        <v>44</v>
      </c>
      <c r="J4348" s="9">
        <v>0</v>
      </c>
      <c r="K4348" s="7">
        <v>-44</v>
      </c>
      <c r="L4348" s="24">
        <f>+Tabla2[[#This Row],[Stock Inventario]]*Tabla2[[#This Row],[Coste LÃ­nea]]</f>
        <v>0</v>
      </c>
      <c r="M4348" s="24">
        <f>+Tabla2[[#This Row],[Variación Stock]]*Tabla2[[#This Row],[Coste LÃ­nea]]</f>
        <v>-78936</v>
      </c>
      <c r="N4348" s="22" t="str">
        <f>+IF(Tabla2[[#This Row],[Variación Stock]]&gt;0,"Sobrante",IF(Tabla2[[#This Row],[Variación Stock]]&lt;0,"Faltante","Sin novedad"))</f>
        <v>Faltante</v>
      </c>
    </row>
    <row r="4349" spans="1:14" x14ac:dyDescent="0.25">
      <c r="A4349" s="11">
        <v>46053</v>
      </c>
      <c r="B4349" s="5" t="s">
        <v>1078</v>
      </c>
      <c r="C4349" s="3" t="s">
        <v>339</v>
      </c>
      <c r="D4349" s="5" t="s">
        <v>111</v>
      </c>
      <c r="E4349" s="5" t="s">
        <v>112</v>
      </c>
      <c r="F4349" s="6" t="s">
        <v>43</v>
      </c>
      <c r="G4349" s="4" t="s">
        <v>0</v>
      </c>
      <c r="H4349" s="25">
        <v>3022.8333333300002</v>
      </c>
      <c r="I4349" s="8">
        <v>14.7</v>
      </c>
      <c r="J4349" s="9">
        <v>55.5</v>
      </c>
      <c r="K4349" s="7">
        <v>40.799999999999997</v>
      </c>
      <c r="L4349" s="24">
        <f>+Tabla2[[#This Row],[Stock Inventario]]*Tabla2[[#This Row],[Coste LÃ­nea]]</f>
        <v>167767.24999981502</v>
      </c>
      <c r="M4349" s="24">
        <f>+Tabla2[[#This Row],[Variación Stock]]*Tabla2[[#This Row],[Coste LÃ­nea]]</f>
        <v>123331.599999864</v>
      </c>
      <c r="N4349" s="22" t="str">
        <f>+IF(Tabla2[[#This Row],[Variación Stock]]&gt;0,"Sobrante",IF(Tabla2[[#This Row],[Variación Stock]]&lt;0,"Faltante","Sin novedad"))</f>
        <v>Sobrante</v>
      </c>
    </row>
    <row r="4350" spans="1:14" hidden="1" x14ac:dyDescent="0.25">
      <c r="A4350" s="11">
        <v>46053</v>
      </c>
      <c r="B4350" s="5" t="s">
        <v>1078</v>
      </c>
      <c r="C4350" s="3" t="s">
        <v>339</v>
      </c>
      <c r="D4350" s="5" t="s">
        <v>396</v>
      </c>
      <c r="E4350" s="5" t="s">
        <v>117</v>
      </c>
      <c r="F4350" s="6" t="s">
        <v>428</v>
      </c>
      <c r="G4350" s="4" t="s">
        <v>1</v>
      </c>
      <c r="H4350" s="25">
        <v>58.31</v>
      </c>
      <c r="I4350" s="8">
        <v>5550</v>
      </c>
      <c r="J4350" s="9">
        <v>4660</v>
      </c>
      <c r="K4350" s="7">
        <v>-890</v>
      </c>
      <c r="L4350" s="24">
        <f>+Tabla2[[#This Row],[Stock Inventario]]*Tabla2[[#This Row],[Coste LÃ­nea]]</f>
        <v>271724.60000000003</v>
      </c>
      <c r="M4350" s="24">
        <f>+Tabla2[[#This Row],[Variación Stock]]*Tabla2[[#This Row],[Coste LÃ­nea]]</f>
        <v>-51895.9</v>
      </c>
      <c r="N4350" s="22" t="str">
        <f>+IF(Tabla2[[#This Row],[Variación Stock]]&gt;0,"Sobrante",IF(Tabla2[[#This Row],[Variación Stock]]&lt;0,"Faltante","Sin novedad"))</f>
        <v>Faltante</v>
      </c>
    </row>
    <row r="4351" spans="1:14" hidden="1" x14ac:dyDescent="0.25">
      <c r="A4351" s="11">
        <v>46053</v>
      </c>
      <c r="B4351" s="5" t="s">
        <v>1078</v>
      </c>
      <c r="C4351" s="3" t="s">
        <v>339</v>
      </c>
      <c r="D4351" s="5" t="s">
        <v>396</v>
      </c>
      <c r="E4351" s="5" t="s">
        <v>117</v>
      </c>
      <c r="F4351" s="6" t="s">
        <v>464</v>
      </c>
      <c r="G4351" s="4" t="s">
        <v>1</v>
      </c>
      <c r="H4351" s="25">
        <v>22.750050000000002</v>
      </c>
      <c r="I4351" s="8">
        <v>0</v>
      </c>
      <c r="J4351" s="9">
        <v>0</v>
      </c>
      <c r="K4351" s="7">
        <v>0</v>
      </c>
      <c r="L4351" s="24">
        <f>+Tabla2[[#This Row],[Stock Inventario]]*Tabla2[[#This Row],[Coste LÃ­nea]]</f>
        <v>0</v>
      </c>
      <c r="M4351" s="24">
        <f>+Tabla2[[#This Row],[Variación Stock]]*Tabla2[[#This Row],[Coste LÃ­nea]]</f>
        <v>0</v>
      </c>
      <c r="N4351" s="22" t="str">
        <f>+IF(Tabla2[[#This Row],[Variación Stock]]&gt;0,"Sobrante",IF(Tabla2[[#This Row],[Variación Stock]]&lt;0,"Faltante","Sin novedad"))</f>
        <v>Sin novedad</v>
      </c>
    </row>
    <row r="4352" spans="1:14" x14ac:dyDescent="0.25">
      <c r="A4352" s="11">
        <v>46053</v>
      </c>
      <c r="B4352" s="5" t="s">
        <v>1078</v>
      </c>
      <c r="C4352" s="3" t="s">
        <v>339</v>
      </c>
      <c r="D4352" s="5" t="s">
        <v>111</v>
      </c>
      <c r="E4352" s="5" t="s">
        <v>112</v>
      </c>
      <c r="F4352" s="6" t="s">
        <v>130</v>
      </c>
      <c r="G4352" s="4" t="s">
        <v>0</v>
      </c>
      <c r="H4352" s="25">
        <v>1997.7272727300001</v>
      </c>
      <c r="I4352" s="8">
        <v>0</v>
      </c>
      <c r="J4352" s="9">
        <v>0</v>
      </c>
      <c r="K4352" s="7">
        <v>0</v>
      </c>
      <c r="L4352" s="24">
        <f>+Tabla2[[#This Row],[Stock Inventario]]*Tabla2[[#This Row],[Coste LÃ­nea]]</f>
        <v>0</v>
      </c>
      <c r="M4352" s="24">
        <f>+Tabla2[[#This Row],[Variación Stock]]*Tabla2[[#This Row],[Coste LÃ­nea]]</f>
        <v>0</v>
      </c>
      <c r="N4352" s="22" t="str">
        <f>+IF(Tabla2[[#This Row],[Variación Stock]]&gt;0,"Sobrante",IF(Tabla2[[#This Row],[Variación Stock]]&lt;0,"Faltante","Sin novedad"))</f>
        <v>Sin novedad</v>
      </c>
    </row>
    <row r="4353" spans="1:14" x14ac:dyDescent="0.25">
      <c r="A4353" s="11">
        <v>46053</v>
      </c>
      <c r="B4353" s="5" t="s">
        <v>1078</v>
      </c>
      <c r="C4353" s="3" t="s">
        <v>339</v>
      </c>
      <c r="D4353" s="5" t="s">
        <v>111</v>
      </c>
      <c r="E4353" s="5" t="s">
        <v>112</v>
      </c>
      <c r="F4353" s="6" t="s">
        <v>113</v>
      </c>
      <c r="G4353" s="4" t="s">
        <v>0</v>
      </c>
      <c r="H4353" s="25">
        <v>20566.318181819999</v>
      </c>
      <c r="I4353" s="8">
        <v>26.14</v>
      </c>
      <c r="J4353" s="9">
        <v>30.14</v>
      </c>
      <c r="K4353" s="7">
        <v>4</v>
      </c>
      <c r="L4353" s="24">
        <f>+Tabla2[[#This Row],[Stock Inventario]]*Tabla2[[#This Row],[Coste LÃ­nea]]</f>
        <v>619868.83000005479</v>
      </c>
      <c r="M4353" s="24">
        <f>+Tabla2[[#This Row],[Variación Stock]]*Tabla2[[#This Row],[Coste LÃ­nea]]</f>
        <v>82265.272727279997</v>
      </c>
      <c r="N4353" s="22" t="str">
        <f>+IF(Tabla2[[#This Row],[Variación Stock]]&gt;0,"Sobrante",IF(Tabla2[[#This Row],[Variación Stock]]&lt;0,"Faltante","Sin novedad"))</f>
        <v>Sobrante</v>
      </c>
    </row>
    <row r="4354" spans="1:14" x14ac:dyDescent="0.25">
      <c r="A4354" s="11">
        <v>46053</v>
      </c>
      <c r="B4354" s="5" t="s">
        <v>1078</v>
      </c>
      <c r="C4354" s="3" t="s">
        <v>339</v>
      </c>
      <c r="D4354" s="5" t="s">
        <v>111</v>
      </c>
      <c r="E4354" s="5" t="s">
        <v>112</v>
      </c>
      <c r="F4354" s="6" t="s">
        <v>34</v>
      </c>
      <c r="G4354" s="4" t="s">
        <v>0</v>
      </c>
      <c r="H4354" s="25">
        <v>6433.0454545499997</v>
      </c>
      <c r="I4354" s="8">
        <v>30.62</v>
      </c>
      <c r="J4354" s="9">
        <v>33.15</v>
      </c>
      <c r="K4354" s="7">
        <v>2.5299999999999998</v>
      </c>
      <c r="L4354" s="24">
        <f>+Tabla2[[#This Row],[Stock Inventario]]*Tabla2[[#This Row],[Coste LÃ­nea]]</f>
        <v>213255.45681833249</v>
      </c>
      <c r="M4354" s="24">
        <f>+Tabla2[[#This Row],[Variación Stock]]*Tabla2[[#This Row],[Coste LÃ­nea]]</f>
        <v>16275.605000011497</v>
      </c>
      <c r="N4354" s="22" t="str">
        <f>+IF(Tabla2[[#This Row],[Variación Stock]]&gt;0,"Sobrante",IF(Tabla2[[#This Row],[Variación Stock]]&lt;0,"Faltante","Sin novedad"))</f>
        <v>Sobrante</v>
      </c>
    </row>
    <row r="4355" spans="1:14" hidden="1" x14ac:dyDescent="0.25">
      <c r="A4355" s="11">
        <v>46053</v>
      </c>
      <c r="B4355" s="5" t="s">
        <v>1078</v>
      </c>
      <c r="C4355" s="3" t="s">
        <v>339</v>
      </c>
      <c r="D4355" s="5" t="s">
        <v>626</v>
      </c>
      <c r="E4355" s="5" t="s">
        <v>1079</v>
      </c>
      <c r="F4355" s="6" t="s">
        <v>672</v>
      </c>
      <c r="G4355" s="4" t="s">
        <v>2</v>
      </c>
      <c r="H4355" s="25">
        <v>54021</v>
      </c>
      <c r="I4355" s="8">
        <v>7</v>
      </c>
      <c r="J4355" s="9">
        <v>0</v>
      </c>
      <c r="K4355" s="7">
        <v>-7</v>
      </c>
      <c r="L4355" s="24">
        <f>+Tabla2[[#This Row],[Stock Inventario]]*Tabla2[[#This Row],[Coste LÃ­nea]]</f>
        <v>0</v>
      </c>
      <c r="M4355" s="24">
        <f>+Tabla2[[#This Row],[Variación Stock]]*Tabla2[[#This Row],[Coste LÃ­nea]]</f>
        <v>-378147</v>
      </c>
      <c r="N4355" s="22" t="str">
        <f>+IF(Tabla2[[#This Row],[Variación Stock]]&gt;0,"Sobrante",IF(Tabla2[[#This Row],[Variación Stock]]&lt;0,"Faltante","Sin novedad"))</f>
        <v>Faltante</v>
      </c>
    </row>
    <row r="4356" spans="1:14" hidden="1" x14ac:dyDescent="0.25">
      <c r="A4356" s="11">
        <v>46053</v>
      </c>
      <c r="B4356" s="5" t="s">
        <v>1078</v>
      </c>
      <c r="C4356" s="3" t="s">
        <v>339</v>
      </c>
      <c r="D4356" s="5" t="s">
        <v>471</v>
      </c>
      <c r="E4356" s="5" t="s">
        <v>117</v>
      </c>
      <c r="F4356" s="6" t="s">
        <v>538</v>
      </c>
      <c r="G4356" s="4" t="s">
        <v>1</v>
      </c>
      <c r="H4356" s="25">
        <v>4</v>
      </c>
      <c r="I4356" s="8">
        <v>-1960.0002999999999</v>
      </c>
      <c r="J4356" s="9">
        <v>0</v>
      </c>
      <c r="K4356" s="7">
        <v>1960.0002999999999</v>
      </c>
      <c r="L4356" s="24">
        <f>+Tabla2[[#This Row],[Stock Inventario]]*Tabla2[[#This Row],[Coste LÃ­nea]]</f>
        <v>0</v>
      </c>
      <c r="M4356" s="24">
        <f>+Tabla2[[#This Row],[Variación Stock]]*Tabla2[[#This Row],[Coste LÃ­nea]]</f>
        <v>7840.0011999999997</v>
      </c>
      <c r="N4356" s="22" t="str">
        <f>+IF(Tabla2[[#This Row],[Variación Stock]]&gt;0,"Sobrante",IF(Tabla2[[#This Row],[Variación Stock]]&lt;0,"Faltante","Sin novedad"))</f>
        <v>Sobrante</v>
      </c>
    </row>
    <row r="4357" spans="1:14" hidden="1" x14ac:dyDescent="0.25">
      <c r="A4357" s="11">
        <v>46053</v>
      </c>
      <c r="B4357" s="5" t="s">
        <v>1078</v>
      </c>
      <c r="C4357" s="3" t="s">
        <v>339</v>
      </c>
      <c r="D4357" s="5" t="s">
        <v>471</v>
      </c>
      <c r="E4357" s="5" t="s">
        <v>117</v>
      </c>
      <c r="F4357" s="6" t="s">
        <v>539</v>
      </c>
      <c r="G4357" s="4" t="s">
        <v>1</v>
      </c>
      <c r="H4357" s="25">
        <v>1.6</v>
      </c>
      <c r="I4357" s="8">
        <v>2813.9445000000001</v>
      </c>
      <c r="J4357" s="9">
        <v>3000</v>
      </c>
      <c r="K4357" s="7">
        <v>186.055452</v>
      </c>
      <c r="L4357" s="24">
        <f>+Tabla2[[#This Row],[Stock Inventario]]*Tabla2[[#This Row],[Coste LÃ­nea]]</f>
        <v>4800</v>
      </c>
      <c r="M4357" s="24">
        <f>+Tabla2[[#This Row],[Variación Stock]]*Tabla2[[#This Row],[Coste LÃ­nea]]</f>
        <v>297.68872320000003</v>
      </c>
      <c r="N4357" s="22" t="str">
        <f>+IF(Tabla2[[#This Row],[Variación Stock]]&gt;0,"Sobrante",IF(Tabla2[[#This Row],[Variación Stock]]&lt;0,"Faltante","Sin novedad"))</f>
        <v>Sobrante</v>
      </c>
    </row>
    <row r="4358" spans="1:14" x14ac:dyDescent="0.25">
      <c r="A4358" s="11">
        <v>46064</v>
      </c>
      <c r="B4358" s="5" t="s">
        <v>1083</v>
      </c>
      <c r="C4358" s="3" t="s">
        <v>339</v>
      </c>
      <c r="D4358" s="5" t="s">
        <v>111</v>
      </c>
      <c r="E4358" s="5" t="s">
        <v>112</v>
      </c>
      <c r="F4358" s="6" t="s">
        <v>285</v>
      </c>
      <c r="G4358" s="4" t="s">
        <v>2</v>
      </c>
      <c r="H4358" s="25">
        <v>0</v>
      </c>
      <c r="I4358" s="8">
        <v>0</v>
      </c>
      <c r="J4358" s="9">
        <v>0</v>
      </c>
      <c r="K4358" s="7">
        <v>0</v>
      </c>
      <c r="L4358" s="24">
        <f>+Tabla2[[#This Row],[Stock Inventario]]*Tabla2[[#This Row],[Coste LÃ­nea]]</f>
        <v>0</v>
      </c>
      <c r="M4358" s="24">
        <f>+Tabla2[[#This Row],[Variación Stock]]*Tabla2[[#This Row],[Coste LÃ­nea]]</f>
        <v>0</v>
      </c>
      <c r="N4358" s="22" t="str">
        <f>+IF(Tabla2[[#This Row],[Variación Stock]]&gt;0,"Sobrante",IF(Tabla2[[#This Row],[Variación Stock]]&lt;0,"Faltante","Sin novedad"))</f>
        <v>Sin novedad</v>
      </c>
    </row>
    <row r="4359" spans="1:14" x14ac:dyDescent="0.25">
      <c r="A4359" s="11">
        <v>46064</v>
      </c>
      <c r="B4359" s="5" t="s">
        <v>1083</v>
      </c>
      <c r="C4359" s="3" t="s">
        <v>339</v>
      </c>
      <c r="D4359" s="5" t="s">
        <v>111</v>
      </c>
      <c r="E4359" s="5" t="s">
        <v>112</v>
      </c>
      <c r="F4359" s="6" t="s">
        <v>362</v>
      </c>
      <c r="G4359" s="4" t="s">
        <v>0</v>
      </c>
      <c r="H4359" s="25">
        <v>0</v>
      </c>
      <c r="I4359" s="8">
        <v>0</v>
      </c>
      <c r="J4359" s="9">
        <v>0</v>
      </c>
      <c r="K4359" s="7">
        <v>0</v>
      </c>
      <c r="L4359" s="24">
        <f>+Tabla2[[#This Row],[Stock Inventario]]*Tabla2[[#This Row],[Coste LÃ­nea]]</f>
        <v>0</v>
      </c>
      <c r="M4359" s="24">
        <f>+Tabla2[[#This Row],[Variación Stock]]*Tabla2[[#This Row],[Coste LÃ­nea]]</f>
        <v>0</v>
      </c>
      <c r="N4359" s="22" t="str">
        <f>+IF(Tabla2[[#This Row],[Variación Stock]]&gt;0,"Sobrante",IF(Tabla2[[#This Row],[Variación Stock]]&lt;0,"Faltante","Sin novedad"))</f>
        <v>Sin novedad</v>
      </c>
    </row>
    <row r="4360" spans="1:14" x14ac:dyDescent="0.25">
      <c r="A4360" s="11">
        <v>46064</v>
      </c>
      <c r="B4360" s="5" t="s">
        <v>1083</v>
      </c>
      <c r="C4360" s="3" t="s">
        <v>339</v>
      </c>
      <c r="D4360" s="5" t="s">
        <v>111</v>
      </c>
      <c r="E4360" s="5" t="s">
        <v>112</v>
      </c>
      <c r="F4360" s="6" t="s">
        <v>286</v>
      </c>
      <c r="G4360" s="4" t="s">
        <v>0</v>
      </c>
      <c r="H4360" s="25">
        <v>0</v>
      </c>
      <c r="I4360" s="8">
        <v>0</v>
      </c>
      <c r="J4360" s="9">
        <v>0</v>
      </c>
      <c r="K4360" s="7">
        <v>0</v>
      </c>
      <c r="L4360" s="24">
        <f>+Tabla2[[#This Row],[Stock Inventario]]*Tabla2[[#This Row],[Coste LÃ­nea]]</f>
        <v>0</v>
      </c>
      <c r="M4360" s="24">
        <f>+Tabla2[[#This Row],[Variación Stock]]*Tabla2[[#This Row],[Coste LÃ­nea]]</f>
        <v>0</v>
      </c>
      <c r="N4360" s="22" t="str">
        <f>+IF(Tabla2[[#This Row],[Variación Stock]]&gt;0,"Sobrante",IF(Tabla2[[#This Row],[Variación Stock]]&lt;0,"Faltante","Sin novedad"))</f>
        <v>Sin novedad</v>
      </c>
    </row>
    <row r="4361" spans="1:14" x14ac:dyDescent="0.25">
      <c r="A4361" s="11">
        <v>46064</v>
      </c>
      <c r="B4361" s="5" t="s">
        <v>1083</v>
      </c>
      <c r="C4361" s="3" t="s">
        <v>339</v>
      </c>
      <c r="D4361" s="5" t="s">
        <v>111</v>
      </c>
      <c r="E4361" s="5" t="s">
        <v>112</v>
      </c>
      <c r="F4361" s="6" t="s">
        <v>144</v>
      </c>
      <c r="G4361" s="4" t="s">
        <v>0</v>
      </c>
      <c r="H4361" s="25">
        <v>0</v>
      </c>
      <c r="I4361" s="8">
        <v>0</v>
      </c>
      <c r="J4361" s="9">
        <v>0</v>
      </c>
      <c r="K4361" s="7">
        <v>0</v>
      </c>
      <c r="L4361" s="24">
        <f>+Tabla2[[#This Row],[Stock Inventario]]*Tabla2[[#This Row],[Coste LÃ­nea]]</f>
        <v>0</v>
      </c>
      <c r="M4361" s="24">
        <f>+Tabla2[[#This Row],[Variación Stock]]*Tabla2[[#This Row],[Coste LÃ­nea]]</f>
        <v>0</v>
      </c>
      <c r="N4361" s="22" t="str">
        <f>+IF(Tabla2[[#This Row],[Variación Stock]]&gt;0,"Sobrante",IF(Tabla2[[#This Row],[Variación Stock]]&lt;0,"Faltante","Sin novedad"))</f>
        <v>Sin novedad</v>
      </c>
    </row>
    <row r="4362" spans="1:14" x14ac:dyDescent="0.25">
      <c r="A4362" s="11">
        <v>46064</v>
      </c>
      <c r="B4362" s="5" t="s">
        <v>1083</v>
      </c>
      <c r="C4362" s="3" t="s">
        <v>339</v>
      </c>
      <c r="D4362" s="5" t="s">
        <v>111</v>
      </c>
      <c r="E4362" s="5" t="s">
        <v>112</v>
      </c>
      <c r="F4362" s="6" t="s">
        <v>130</v>
      </c>
      <c r="G4362" s="4" t="s">
        <v>0</v>
      </c>
      <c r="H4362" s="25">
        <v>0</v>
      </c>
      <c r="I4362" s="8">
        <v>0</v>
      </c>
      <c r="J4362" s="9">
        <v>0</v>
      </c>
      <c r="K4362" s="7">
        <v>0</v>
      </c>
      <c r="L4362" s="24">
        <f>+Tabla2[[#This Row],[Stock Inventario]]*Tabla2[[#This Row],[Coste LÃ­nea]]</f>
        <v>0</v>
      </c>
      <c r="M4362" s="24">
        <f>+Tabla2[[#This Row],[Variación Stock]]*Tabla2[[#This Row],[Coste LÃ­nea]]</f>
        <v>0</v>
      </c>
      <c r="N4362" s="22" t="str">
        <f>+IF(Tabla2[[#This Row],[Variación Stock]]&gt;0,"Sobrante",IF(Tabla2[[#This Row],[Variación Stock]]&lt;0,"Faltante","Sin novedad"))</f>
        <v>Sin novedad</v>
      </c>
    </row>
    <row r="4363" spans="1:14" x14ac:dyDescent="0.25">
      <c r="A4363" s="11">
        <v>46064</v>
      </c>
      <c r="B4363" s="5" t="s">
        <v>1083</v>
      </c>
      <c r="C4363" s="3" t="s">
        <v>339</v>
      </c>
      <c r="D4363" s="5" t="s">
        <v>114</v>
      </c>
      <c r="E4363" s="5" t="s">
        <v>112</v>
      </c>
      <c r="F4363" s="6" t="s">
        <v>60</v>
      </c>
      <c r="G4363" s="4" t="s">
        <v>2</v>
      </c>
      <c r="H4363" s="25">
        <v>2323.75925925</v>
      </c>
      <c r="I4363" s="8">
        <f>50+26</f>
        <v>76</v>
      </c>
      <c r="J4363" s="9">
        <v>75</v>
      </c>
      <c r="K4363" s="7">
        <v>-1</v>
      </c>
      <c r="L4363" s="24">
        <f>+Tabla2[[#This Row],[Stock Inventario]]*Tabla2[[#This Row],[Coste LÃ­nea]]</f>
        <v>174281.94444374999</v>
      </c>
      <c r="M4363" s="24">
        <f>+Tabla2[[#This Row],[Variación Stock]]*Tabla2[[#This Row],[Coste LÃ­nea]]</f>
        <v>-2323.75925925</v>
      </c>
      <c r="N4363" s="22" t="str">
        <f>+IF(Tabla2[[#This Row],[Variación Stock]]&gt;0,"Sobrante",IF(Tabla2[[#This Row],[Variación Stock]]&lt;0,"Faltante","Sin novedad"))</f>
        <v>Faltante</v>
      </c>
    </row>
    <row r="4364" spans="1:14" x14ac:dyDescent="0.25">
      <c r="A4364" s="11">
        <v>46064</v>
      </c>
      <c r="B4364" s="5" t="s">
        <v>1083</v>
      </c>
      <c r="C4364" s="3" t="s">
        <v>339</v>
      </c>
      <c r="D4364" s="5" t="s">
        <v>111</v>
      </c>
      <c r="E4364" s="5" t="s">
        <v>112</v>
      </c>
      <c r="F4364" s="6" t="s">
        <v>17</v>
      </c>
      <c r="G4364" s="4" t="s">
        <v>0</v>
      </c>
      <c r="H4364" s="25">
        <v>14896.95833333</v>
      </c>
      <c r="I4364" s="8">
        <v>22</v>
      </c>
      <c r="J4364" s="9">
        <v>22</v>
      </c>
      <c r="K4364" s="7">
        <v>0</v>
      </c>
      <c r="L4364" s="24">
        <f>+Tabla2[[#This Row],[Stock Inventario]]*Tabla2[[#This Row],[Coste LÃ­nea]]</f>
        <v>327733.08333325997</v>
      </c>
      <c r="M4364" s="24">
        <f>+Tabla2[[#This Row],[Variación Stock]]*Tabla2[[#This Row],[Coste LÃ­nea]]</f>
        <v>0</v>
      </c>
      <c r="N4364" s="22" t="str">
        <f>+IF(Tabla2[[#This Row],[Variación Stock]]&gt;0,"Sobrante",IF(Tabla2[[#This Row],[Variación Stock]]&lt;0,"Faltante","Sin novedad"))</f>
        <v>Sin novedad</v>
      </c>
    </row>
    <row r="4365" spans="1:14" x14ac:dyDescent="0.25">
      <c r="A4365" s="11">
        <v>46064</v>
      </c>
      <c r="B4365" s="5" t="s">
        <v>1083</v>
      </c>
      <c r="C4365" s="3" t="s">
        <v>339</v>
      </c>
      <c r="D4365" s="5" t="s">
        <v>111</v>
      </c>
      <c r="E4365" s="5" t="s">
        <v>112</v>
      </c>
      <c r="F4365" s="6" t="s">
        <v>18</v>
      </c>
      <c r="G4365" s="4" t="s">
        <v>2</v>
      </c>
      <c r="H4365" s="25">
        <v>86743</v>
      </c>
      <c r="I4365" s="8">
        <v>2</v>
      </c>
      <c r="J4365" s="9">
        <v>2</v>
      </c>
      <c r="K4365" s="7">
        <v>0</v>
      </c>
      <c r="L4365" s="24">
        <f>+Tabla2[[#This Row],[Stock Inventario]]*Tabla2[[#This Row],[Coste LÃ­nea]]</f>
        <v>173486</v>
      </c>
      <c r="M4365" s="24">
        <f>+Tabla2[[#This Row],[Variación Stock]]*Tabla2[[#This Row],[Coste LÃ­nea]]</f>
        <v>0</v>
      </c>
      <c r="N4365" s="22" t="str">
        <f>+IF(Tabla2[[#This Row],[Variación Stock]]&gt;0,"Sobrante",IF(Tabla2[[#This Row],[Variación Stock]]&lt;0,"Faltante","Sin novedad"))</f>
        <v>Sin novedad</v>
      </c>
    </row>
    <row r="4366" spans="1:14" x14ac:dyDescent="0.25">
      <c r="A4366" s="11">
        <v>46064</v>
      </c>
      <c r="B4366" s="5" t="s">
        <v>1083</v>
      </c>
      <c r="C4366" s="3" t="s">
        <v>339</v>
      </c>
      <c r="D4366" s="5" t="s">
        <v>111</v>
      </c>
      <c r="E4366" s="5" t="s">
        <v>112</v>
      </c>
      <c r="F4366" s="6" t="s">
        <v>395</v>
      </c>
      <c r="G4366" s="4" t="s">
        <v>0</v>
      </c>
      <c r="H4366" s="25">
        <v>1736.1111111099999</v>
      </c>
      <c r="I4366" s="8">
        <v>100</v>
      </c>
      <c r="J4366" s="9">
        <v>148</v>
      </c>
      <c r="K4366" s="7">
        <v>48</v>
      </c>
      <c r="L4366" s="24">
        <f>+Tabla2[[#This Row],[Stock Inventario]]*Tabla2[[#This Row],[Coste LÃ­nea]]</f>
        <v>256944.44444428</v>
      </c>
      <c r="M4366" s="24">
        <f>+Tabla2[[#This Row],[Variación Stock]]*Tabla2[[#This Row],[Coste LÃ­nea]]</f>
        <v>83333.333333279996</v>
      </c>
      <c r="N4366" s="22" t="str">
        <f>+IF(Tabla2[[#This Row],[Variación Stock]]&gt;0,"Sobrante",IF(Tabla2[[#This Row],[Variación Stock]]&lt;0,"Faltante","Sin novedad"))</f>
        <v>Sobrante</v>
      </c>
    </row>
    <row r="4367" spans="1:14" x14ac:dyDescent="0.25">
      <c r="A4367" s="11">
        <v>46064</v>
      </c>
      <c r="B4367" s="5" t="s">
        <v>1083</v>
      </c>
      <c r="C4367" s="3" t="s">
        <v>339</v>
      </c>
      <c r="D4367" s="5" t="s">
        <v>111</v>
      </c>
      <c r="E4367" s="5" t="s">
        <v>112</v>
      </c>
      <c r="F4367" s="6" t="s">
        <v>131</v>
      </c>
      <c r="G4367" s="4" t="s">
        <v>0</v>
      </c>
      <c r="H4367" s="25">
        <v>7147.1666666700003</v>
      </c>
      <c r="I4367" s="8">
        <v>0</v>
      </c>
      <c r="J4367" s="9">
        <v>0</v>
      </c>
      <c r="K4367" s="7">
        <v>0</v>
      </c>
      <c r="L4367" s="24">
        <f>+Tabla2[[#This Row],[Stock Inventario]]*Tabla2[[#This Row],[Coste LÃ­nea]]</f>
        <v>0</v>
      </c>
      <c r="M4367" s="24">
        <f>+Tabla2[[#This Row],[Variación Stock]]*Tabla2[[#This Row],[Coste LÃ­nea]]</f>
        <v>0</v>
      </c>
      <c r="N4367" s="22" t="str">
        <f>+IF(Tabla2[[#This Row],[Variación Stock]]&gt;0,"Sobrante",IF(Tabla2[[#This Row],[Variación Stock]]&lt;0,"Faltante","Sin novedad"))</f>
        <v>Sin novedad</v>
      </c>
    </row>
    <row r="4368" spans="1:14" x14ac:dyDescent="0.25">
      <c r="A4368" s="11">
        <v>46064</v>
      </c>
      <c r="B4368" s="5" t="s">
        <v>1083</v>
      </c>
      <c r="C4368" s="3" t="s">
        <v>339</v>
      </c>
      <c r="D4368" s="5" t="s">
        <v>111</v>
      </c>
      <c r="E4368" s="5" t="s">
        <v>112</v>
      </c>
      <c r="F4368" s="6" t="s">
        <v>379</v>
      </c>
      <c r="G4368" s="4" t="s">
        <v>0</v>
      </c>
      <c r="H4368" s="25">
        <v>14293.772727269999</v>
      </c>
      <c r="I4368" s="8">
        <v>22</v>
      </c>
      <c r="J4368" s="9">
        <v>44</v>
      </c>
      <c r="K4368" s="7">
        <v>22</v>
      </c>
      <c r="L4368" s="24">
        <f>+Tabla2[[#This Row],[Stock Inventario]]*Tabla2[[#This Row],[Coste LÃ­nea]]</f>
        <v>628925.99999987998</v>
      </c>
      <c r="M4368" s="24">
        <f>+Tabla2[[#This Row],[Variación Stock]]*Tabla2[[#This Row],[Coste LÃ­nea]]</f>
        <v>314462.99999993999</v>
      </c>
      <c r="N4368" s="22" t="str">
        <f>+IF(Tabla2[[#This Row],[Variación Stock]]&gt;0,"Sobrante",IF(Tabla2[[#This Row],[Variación Stock]]&lt;0,"Faltante","Sin novedad"))</f>
        <v>Sobrante</v>
      </c>
    </row>
    <row r="4369" spans="1:14" x14ac:dyDescent="0.25">
      <c r="A4369" s="11">
        <v>46064</v>
      </c>
      <c r="B4369" s="5" t="s">
        <v>1083</v>
      </c>
      <c r="C4369" s="3" t="s">
        <v>339</v>
      </c>
      <c r="D4369" s="5" t="s">
        <v>111</v>
      </c>
      <c r="E4369" s="5" t="s">
        <v>112</v>
      </c>
      <c r="F4369" s="6" t="s">
        <v>1085</v>
      </c>
      <c r="G4369" s="4" t="s">
        <v>0</v>
      </c>
      <c r="H4369" s="25">
        <v>75399.814815000005</v>
      </c>
      <c r="I4369" s="8">
        <v>20</v>
      </c>
      <c r="J4369" s="9">
        <v>20</v>
      </c>
      <c r="K4369" s="7">
        <v>0</v>
      </c>
      <c r="L4369" s="24">
        <f>+Tabla2[[#This Row],[Stock Inventario]]*Tabla2[[#This Row],[Coste LÃ­nea]]</f>
        <v>1507996.2963</v>
      </c>
      <c r="M4369" s="24">
        <f>+Tabla2[[#This Row],[Variación Stock]]*Tabla2[[#This Row],[Coste LÃ­nea]]</f>
        <v>0</v>
      </c>
      <c r="N4369" s="22" t="str">
        <f>+IF(Tabla2[[#This Row],[Variación Stock]]&gt;0,"Sobrante",IF(Tabla2[[#This Row],[Variación Stock]]&lt;0,"Faltante","Sin novedad"))</f>
        <v>Sin novedad</v>
      </c>
    </row>
    <row r="4370" spans="1:14" x14ac:dyDescent="0.25">
      <c r="A4370" s="11">
        <v>46064</v>
      </c>
      <c r="B4370" s="5" t="s">
        <v>1083</v>
      </c>
      <c r="C4370" s="3" t="s">
        <v>339</v>
      </c>
      <c r="D4370" s="5" t="s">
        <v>111</v>
      </c>
      <c r="E4370" s="5" t="s">
        <v>112</v>
      </c>
      <c r="F4370" s="6" t="s">
        <v>15</v>
      </c>
      <c r="G4370" s="4" t="s">
        <v>0</v>
      </c>
      <c r="H4370" s="25">
        <v>11819.5</v>
      </c>
      <c r="I4370" s="8">
        <v>0</v>
      </c>
      <c r="J4370" s="9">
        <v>0</v>
      </c>
      <c r="K4370" s="7">
        <v>0</v>
      </c>
      <c r="L4370" s="24">
        <f>+Tabla2[[#This Row],[Stock Inventario]]*Tabla2[[#This Row],[Coste LÃ­nea]]</f>
        <v>0</v>
      </c>
      <c r="M4370" s="24">
        <f>+Tabla2[[#This Row],[Variación Stock]]*Tabla2[[#This Row],[Coste LÃ­nea]]</f>
        <v>0</v>
      </c>
      <c r="N4370" s="22" t="str">
        <f>+IF(Tabla2[[#This Row],[Variación Stock]]&gt;0,"Sobrante",IF(Tabla2[[#This Row],[Variación Stock]]&lt;0,"Faltante","Sin novedad"))</f>
        <v>Sin novedad</v>
      </c>
    </row>
    <row r="4371" spans="1:14" x14ac:dyDescent="0.25">
      <c r="A4371" s="11">
        <v>46064</v>
      </c>
      <c r="B4371" s="5" t="s">
        <v>1083</v>
      </c>
      <c r="C4371" s="3" t="s">
        <v>339</v>
      </c>
      <c r="D4371" s="5" t="s">
        <v>121</v>
      </c>
      <c r="E4371" s="5" t="s">
        <v>112</v>
      </c>
      <c r="F4371" s="6" t="s">
        <v>332</v>
      </c>
      <c r="G4371" s="4" t="s">
        <v>0</v>
      </c>
      <c r="H4371" s="25">
        <v>3245.5439533700001</v>
      </c>
      <c r="I4371" s="8">
        <v>-10.34</v>
      </c>
      <c r="J4371" s="9">
        <v>8</v>
      </c>
      <c r="K4371" s="7">
        <v>18.34</v>
      </c>
      <c r="L4371" s="24">
        <f>+Tabla2[[#This Row],[Stock Inventario]]*Tabla2[[#This Row],[Coste LÃ­nea]]</f>
        <v>25964.35162696</v>
      </c>
      <c r="M4371" s="24">
        <f>+Tabla2[[#This Row],[Variación Stock]]*Tabla2[[#This Row],[Coste LÃ­nea]]</f>
        <v>59523.276104805802</v>
      </c>
      <c r="N4371" s="22" t="str">
        <f>+IF(Tabla2[[#This Row],[Variación Stock]]&gt;0,"Sobrante",IF(Tabla2[[#This Row],[Variación Stock]]&lt;0,"Faltante","Sin novedad"))</f>
        <v>Sobrante</v>
      </c>
    </row>
    <row r="4372" spans="1:14" x14ac:dyDescent="0.25">
      <c r="A4372" s="11">
        <v>46064</v>
      </c>
      <c r="B4372" s="5" t="s">
        <v>1083</v>
      </c>
      <c r="C4372" s="3" t="s">
        <v>339</v>
      </c>
      <c r="D4372" s="5" t="s">
        <v>111</v>
      </c>
      <c r="E4372" s="5" t="s">
        <v>112</v>
      </c>
      <c r="F4372" s="6" t="s">
        <v>43</v>
      </c>
      <c r="G4372" s="4" t="s">
        <v>0</v>
      </c>
      <c r="H4372" s="25">
        <v>3059.2727272699999</v>
      </c>
      <c r="I4372" s="8">
        <v>49.5</v>
      </c>
      <c r="J4372" s="9">
        <v>65</v>
      </c>
      <c r="K4372" s="7">
        <v>15.5</v>
      </c>
      <c r="L4372" s="24">
        <f>+Tabla2[[#This Row],[Stock Inventario]]*Tabla2[[#This Row],[Coste LÃ­nea]]</f>
        <v>198852.72727254999</v>
      </c>
      <c r="M4372" s="24">
        <f>+Tabla2[[#This Row],[Variación Stock]]*Tabla2[[#This Row],[Coste LÃ­nea]]</f>
        <v>47418.727272684999</v>
      </c>
      <c r="N4372" s="22" t="str">
        <f>+IF(Tabla2[[#This Row],[Variación Stock]]&gt;0,"Sobrante",IF(Tabla2[[#This Row],[Variación Stock]]&lt;0,"Faltante","Sin novedad"))</f>
        <v>Sobrante</v>
      </c>
    </row>
    <row r="4373" spans="1:14" x14ac:dyDescent="0.25">
      <c r="A4373" s="11">
        <v>46064</v>
      </c>
      <c r="B4373" s="5" t="s">
        <v>1083</v>
      </c>
      <c r="C4373" s="3" t="s">
        <v>339</v>
      </c>
      <c r="D4373" s="5" t="s">
        <v>114</v>
      </c>
      <c r="E4373" s="5" t="s">
        <v>112</v>
      </c>
      <c r="F4373" s="6" t="s">
        <v>69</v>
      </c>
      <c r="G4373" s="4" t="s">
        <v>2</v>
      </c>
      <c r="H4373" s="25">
        <v>5424</v>
      </c>
      <c r="I4373" s="8">
        <v>36.67</v>
      </c>
      <c r="J4373" s="9">
        <v>52</v>
      </c>
      <c r="K4373" s="7">
        <v>15.33</v>
      </c>
      <c r="L4373" s="24">
        <f>+Tabla2[[#This Row],[Stock Inventario]]*Tabla2[[#This Row],[Coste LÃ­nea]]</f>
        <v>282048</v>
      </c>
      <c r="M4373" s="24">
        <f>+Tabla2[[#This Row],[Variación Stock]]*Tabla2[[#This Row],[Coste LÃ­nea]]</f>
        <v>83149.919999999998</v>
      </c>
      <c r="N4373" s="22" t="str">
        <f>+IF(Tabla2[[#This Row],[Variación Stock]]&gt;0,"Sobrante",IF(Tabla2[[#This Row],[Variación Stock]]&lt;0,"Faltante","Sin novedad"))</f>
        <v>Sobrante</v>
      </c>
    </row>
    <row r="4374" spans="1:14" x14ac:dyDescent="0.25">
      <c r="A4374" s="11">
        <v>46064</v>
      </c>
      <c r="B4374" s="5" t="s">
        <v>1083</v>
      </c>
      <c r="C4374" s="3" t="s">
        <v>339</v>
      </c>
      <c r="D4374" s="5" t="s">
        <v>114</v>
      </c>
      <c r="E4374" s="5" t="s">
        <v>112</v>
      </c>
      <c r="F4374" s="6" t="s">
        <v>65</v>
      </c>
      <c r="G4374" s="4" t="s">
        <v>2</v>
      </c>
      <c r="H4374" s="25">
        <v>5132.5</v>
      </c>
      <c r="I4374" s="8">
        <v>-5</v>
      </c>
      <c r="J4374" s="9">
        <v>7</v>
      </c>
      <c r="K4374" s="7">
        <v>12</v>
      </c>
      <c r="L4374" s="24">
        <f>+Tabla2[[#This Row],[Stock Inventario]]*Tabla2[[#This Row],[Coste LÃ­nea]]</f>
        <v>35927.5</v>
      </c>
      <c r="M4374" s="24">
        <f>+Tabla2[[#This Row],[Variación Stock]]*Tabla2[[#This Row],[Coste LÃ­nea]]</f>
        <v>61590</v>
      </c>
      <c r="N4374" s="22" t="str">
        <f>+IF(Tabla2[[#This Row],[Variación Stock]]&gt;0,"Sobrante",IF(Tabla2[[#This Row],[Variación Stock]]&lt;0,"Faltante","Sin novedad"))</f>
        <v>Sobrante</v>
      </c>
    </row>
    <row r="4375" spans="1:14" x14ac:dyDescent="0.25">
      <c r="A4375" s="11">
        <v>46064</v>
      </c>
      <c r="B4375" s="5" t="s">
        <v>1083</v>
      </c>
      <c r="C4375" s="3" t="s">
        <v>339</v>
      </c>
      <c r="D4375" s="5" t="s">
        <v>111</v>
      </c>
      <c r="E4375" s="5" t="s">
        <v>112</v>
      </c>
      <c r="F4375" s="6" t="s">
        <v>33</v>
      </c>
      <c r="G4375" s="4" t="s">
        <v>0</v>
      </c>
      <c r="H4375" s="25">
        <v>4004.4333333300001</v>
      </c>
      <c r="I4375" s="8">
        <v>0.5</v>
      </c>
      <c r="J4375" s="9">
        <v>12</v>
      </c>
      <c r="K4375" s="7">
        <v>11.5</v>
      </c>
      <c r="L4375" s="24">
        <f>+Tabla2[[#This Row],[Stock Inventario]]*Tabla2[[#This Row],[Coste LÃ­nea]]</f>
        <v>48053.199999960001</v>
      </c>
      <c r="M4375" s="24">
        <f>+Tabla2[[#This Row],[Variación Stock]]*Tabla2[[#This Row],[Coste LÃ­nea]]</f>
        <v>46050.983333295</v>
      </c>
      <c r="N4375" s="22" t="str">
        <f>+IF(Tabla2[[#This Row],[Variación Stock]]&gt;0,"Sobrante",IF(Tabla2[[#This Row],[Variación Stock]]&lt;0,"Faltante","Sin novedad"))</f>
        <v>Sobrante</v>
      </c>
    </row>
    <row r="4376" spans="1:14" x14ac:dyDescent="0.25">
      <c r="A4376" s="11">
        <v>46064</v>
      </c>
      <c r="B4376" s="5" t="s">
        <v>1083</v>
      </c>
      <c r="C4376" s="3" t="s">
        <v>339</v>
      </c>
      <c r="D4376" s="5" t="s">
        <v>111</v>
      </c>
      <c r="E4376" s="5" t="s">
        <v>112</v>
      </c>
      <c r="F4376" s="6" t="s">
        <v>58</v>
      </c>
      <c r="G4376" s="4" t="s">
        <v>0</v>
      </c>
      <c r="H4376" s="25">
        <v>6303.25</v>
      </c>
      <c r="I4376" s="8">
        <v>30.75</v>
      </c>
      <c r="J4376" s="9">
        <v>41</v>
      </c>
      <c r="K4376" s="7">
        <v>10.25</v>
      </c>
      <c r="L4376" s="24">
        <f>+Tabla2[[#This Row],[Stock Inventario]]*Tabla2[[#This Row],[Coste LÃ­nea]]</f>
        <v>258433.25</v>
      </c>
      <c r="M4376" s="24">
        <f>+Tabla2[[#This Row],[Variación Stock]]*Tabla2[[#This Row],[Coste LÃ­nea]]</f>
        <v>64608.3125</v>
      </c>
      <c r="N4376" s="22" t="str">
        <f>+IF(Tabla2[[#This Row],[Variación Stock]]&gt;0,"Sobrante",IF(Tabla2[[#This Row],[Variación Stock]]&lt;0,"Faltante","Sin novedad"))</f>
        <v>Sobrante</v>
      </c>
    </row>
    <row r="4377" spans="1:14" x14ac:dyDescent="0.25">
      <c r="A4377" s="11">
        <v>46064</v>
      </c>
      <c r="B4377" s="5" t="s">
        <v>1083</v>
      </c>
      <c r="C4377" s="3" t="s">
        <v>339</v>
      </c>
      <c r="D4377" s="5" t="s">
        <v>111</v>
      </c>
      <c r="E4377" s="5" t="s">
        <v>112</v>
      </c>
      <c r="F4377" s="6" t="s">
        <v>288</v>
      </c>
      <c r="G4377" s="4" t="s">
        <v>0</v>
      </c>
      <c r="H4377" s="25">
        <v>4795.4545454500003</v>
      </c>
      <c r="I4377" s="8">
        <v>31.93</v>
      </c>
      <c r="J4377" s="9">
        <v>42</v>
      </c>
      <c r="K4377" s="7">
        <v>10.07</v>
      </c>
      <c r="L4377" s="24">
        <f>+Tabla2[[#This Row],[Stock Inventario]]*Tabla2[[#This Row],[Coste LÃ­nea]]</f>
        <v>201409.09090890002</v>
      </c>
      <c r="M4377" s="24">
        <f>+Tabla2[[#This Row],[Variación Stock]]*Tabla2[[#This Row],[Coste LÃ­nea]]</f>
        <v>48290.227272681506</v>
      </c>
      <c r="N4377" s="22" t="str">
        <f>+IF(Tabla2[[#This Row],[Variación Stock]]&gt;0,"Sobrante",IF(Tabla2[[#This Row],[Variación Stock]]&lt;0,"Faltante","Sin novedad"))</f>
        <v>Sobrante</v>
      </c>
    </row>
    <row r="4378" spans="1:14" x14ac:dyDescent="0.25">
      <c r="A4378" s="11">
        <v>46064</v>
      </c>
      <c r="B4378" s="5" t="s">
        <v>1083</v>
      </c>
      <c r="C4378" s="3" t="s">
        <v>339</v>
      </c>
      <c r="D4378" s="5" t="s">
        <v>111</v>
      </c>
      <c r="E4378" s="5" t="s">
        <v>112</v>
      </c>
      <c r="F4378" s="6" t="s">
        <v>59</v>
      </c>
      <c r="G4378" s="4" t="s">
        <v>0</v>
      </c>
      <c r="H4378" s="25">
        <v>3426.7241379299999</v>
      </c>
      <c r="I4378" s="8">
        <v>271.5</v>
      </c>
      <c r="J4378" s="9">
        <v>281</v>
      </c>
      <c r="K4378" s="7">
        <v>9.5</v>
      </c>
      <c r="L4378" s="24">
        <f>+Tabla2[[#This Row],[Stock Inventario]]*Tabla2[[#This Row],[Coste LÃ­nea]]</f>
        <v>962909.48275832995</v>
      </c>
      <c r="M4378" s="24">
        <f>+Tabla2[[#This Row],[Variación Stock]]*Tabla2[[#This Row],[Coste LÃ­nea]]</f>
        <v>32553.879310335</v>
      </c>
      <c r="N4378" s="22" t="str">
        <f>+IF(Tabla2[[#This Row],[Variación Stock]]&gt;0,"Sobrante",IF(Tabla2[[#This Row],[Variación Stock]]&lt;0,"Faltante","Sin novedad"))</f>
        <v>Sobrante</v>
      </c>
    </row>
    <row r="4379" spans="1:14" x14ac:dyDescent="0.25">
      <c r="A4379" s="11">
        <v>46064</v>
      </c>
      <c r="B4379" s="5" t="s">
        <v>1083</v>
      </c>
      <c r="C4379" s="3" t="s">
        <v>339</v>
      </c>
      <c r="D4379" s="5" t="s">
        <v>111</v>
      </c>
      <c r="E4379" s="5" t="s">
        <v>112</v>
      </c>
      <c r="F4379" s="6" t="s">
        <v>57</v>
      </c>
      <c r="G4379" s="4" t="s">
        <v>0</v>
      </c>
      <c r="H4379" s="25">
        <v>1993.59090909</v>
      </c>
      <c r="I4379" s="8">
        <v>47.7</v>
      </c>
      <c r="J4379" s="9">
        <v>57</v>
      </c>
      <c r="K4379" s="7">
        <v>9.3000000000000007</v>
      </c>
      <c r="L4379" s="24">
        <f>+Tabla2[[#This Row],[Stock Inventario]]*Tabla2[[#This Row],[Coste LÃ­nea]]</f>
        <v>113634.68181813</v>
      </c>
      <c r="M4379" s="24">
        <f>+Tabla2[[#This Row],[Variación Stock]]*Tabla2[[#This Row],[Coste LÃ­nea]]</f>
        <v>18540.395454537</v>
      </c>
      <c r="N4379" s="22" t="str">
        <f>+IF(Tabla2[[#This Row],[Variación Stock]]&gt;0,"Sobrante",IF(Tabla2[[#This Row],[Variación Stock]]&lt;0,"Faltante","Sin novedad"))</f>
        <v>Sobrante</v>
      </c>
    </row>
    <row r="4380" spans="1:14" x14ac:dyDescent="0.25">
      <c r="A4380" s="11">
        <v>46064</v>
      </c>
      <c r="B4380" s="5" t="s">
        <v>1083</v>
      </c>
      <c r="C4380" s="3" t="s">
        <v>339</v>
      </c>
      <c r="D4380" s="5" t="s">
        <v>111</v>
      </c>
      <c r="E4380" s="5" t="s">
        <v>112</v>
      </c>
      <c r="F4380" s="6" t="s">
        <v>28</v>
      </c>
      <c r="G4380" s="4" t="s">
        <v>2</v>
      </c>
      <c r="H4380" s="25">
        <v>93956</v>
      </c>
      <c r="I4380" s="8">
        <v>1</v>
      </c>
      <c r="J4380" s="9">
        <v>1</v>
      </c>
      <c r="K4380" s="7">
        <v>0</v>
      </c>
      <c r="L4380" s="24">
        <f>+Tabla2[[#This Row],[Stock Inventario]]*Tabla2[[#This Row],[Coste LÃ­nea]]</f>
        <v>93956</v>
      </c>
      <c r="M4380" s="24">
        <f>+Tabla2[[#This Row],[Variación Stock]]*Tabla2[[#This Row],[Coste LÃ­nea]]</f>
        <v>0</v>
      </c>
      <c r="N4380" s="22" t="str">
        <f>+IF(Tabla2[[#This Row],[Variación Stock]]&gt;0,"Sobrante",IF(Tabla2[[#This Row],[Variación Stock]]&lt;0,"Faltante","Sin novedad"))</f>
        <v>Sin novedad</v>
      </c>
    </row>
    <row r="4381" spans="1:14" x14ac:dyDescent="0.25">
      <c r="A4381" s="11">
        <v>46064</v>
      </c>
      <c r="B4381" s="5" t="s">
        <v>1083</v>
      </c>
      <c r="C4381" s="3" t="s">
        <v>339</v>
      </c>
      <c r="D4381" s="5" t="s">
        <v>111</v>
      </c>
      <c r="E4381" s="5" t="s">
        <v>112</v>
      </c>
      <c r="F4381" s="6" t="s">
        <v>29</v>
      </c>
      <c r="G4381" s="4" t="s">
        <v>0</v>
      </c>
      <c r="H4381" s="25">
        <v>12951.25</v>
      </c>
      <c r="I4381" s="8">
        <v>0</v>
      </c>
      <c r="J4381" s="9">
        <v>0</v>
      </c>
      <c r="K4381" s="7">
        <v>0</v>
      </c>
      <c r="L4381" s="24">
        <f>+Tabla2[[#This Row],[Stock Inventario]]*Tabla2[[#This Row],[Coste LÃ­nea]]</f>
        <v>0</v>
      </c>
      <c r="M4381" s="24">
        <f>+Tabla2[[#This Row],[Variación Stock]]*Tabla2[[#This Row],[Coste LÃ­nea]]</f>
        <v>0</v>
      </c>
      <c r="N4381" s="22" t="str">
        <f>+IF(Tabla2[[#This Row],[Variación Stock]]&gt;0,"Sobrante",IF(Tabla2[[#This Row],[Variación Stock]]&lt;0,"Faltante","Sin novedad"))</f>
        <v>Sin novedad</v>
      </c>
    </row>
    <row r="4382" spans="1:14" x14ac:dyDescent="0.25">
      <c r="A4382" s="11">
        <v>46064</v>
      </c>
      <c r="B4382" s="5" t="s">
        <v>1083</v>
      </c>
      <c r="C4382" s="3" t="s">
        <v>339</v>
      </c>
      <c r="D4382" s="5" t="s">
        <v>111</v>
      </c>
      <c r="E4382" s="5" t="s">
        <v>112</v>
      </c>
      <c r="F4382" s="6" t="s">
        <v>30</v>
      </c>
      <c r="G4382" s="4" t="s">
        <v>0</v>
      </c>
      <c r="H4382" s="25">
        <v>3673.5</v>
      </c>
      <c r="I4382" s="8">
        <v>0</v>
      </c>
      <c r="J4382" s="9">
        <v>0</v>
      </c>
      <c r="K4382" s="7">
        <v>0</v>
      </c>
      <c r="L4382" s="24">
        <f>+Tabla2[[#This Row],[Stock Inventario]]*Tabla2[[#This Row],[Coste LÃ­nea]]</f>
        <v>0</v>
      </c>
      <c r="M4382" s="24">
        <f>+Tabla2[[#This Row],[Variación Stock]]*Tabla2[[#This Row],[Coste LÃ­nea]]</f>
        <v>0</v>
      </c>
      <c r="N4382" s="22" t="str">
        <f>+IF(Tabla2[[#This Row],[Variación Stock]]&gt;0,"Sobrante",IF(Tabla2[[#This Row],[Variación Stock]]&lt;0,"Faltante","Sin novedad"))</f>
        <v>Sin novedad</v>
      </c>
    </row>
    <row r="4383" spans="1:14" x14ac:dyDescent="0.25">
      <c r="A4383" s="11">
        <v>46064</v>
      </c>
      <c r="B4383" s="5" t="s">
        <v>1083</v>
      </c>
      <c r="C4383" s="3" t="s">
        <v>339</v>
      </c>
      <c r="D4383" s="5" t="s">
        <v>111</v>
      </c>
      <c r="E4383" s="5" t="s">
        <v>112</v>
      </c>
      <c r="F4383" s="6" t="s">
        <v>1084</v>
      </c>
      <c r="G4383" s="4" t="s">
        <v>0</v>
      </c>
      <c r="H4383" s="25">
        <v>3077.90909091</v>
      </c>
      <c r="I4383" s="8">
        <v>17.68</v>
      </c>
      <c r="J4383" s="9">
        <v>24</v>
      </c>
      <c r="K4383" s="7">
        <v>6.32</v>
      </c>
      <c r="L4383" s="24">
        <f>+Tabla2[[#This Row],[Stock Inventario]]*Tabla2[[#This Row],[Coste LÃ­nea]]</f>
        <v>73869.818181840004</v>
      </c>
      <c r="M4383" s="24">
        <f>+Tabla2[[#This Row],[Variación Stock]]*Tabla2[[#This Row],[Coste LÃ­nea]]</f>
        <v>19452.3854545512</v>
      </c>
      <c r="N4383" s="22" t="str">
        <f>+IF(Tabla2[[#This Row],[Variación Stock]]&gt;0,"Sobrante",IF(Tabla2[[#This Row],[Variación Stock]]&lt;0,"Faltante","Sin novedad"))</f>
        <v>Sobrante</v>
      </c>
    </row>
    <row r="4384" spans="1:14" x14ac:dyDescent="0.25">
      <c r="A4384" s="11">
        <v>46064</v>
      </c>
      <c r="B4384" s="5" t="s">
        <v>1083</v>
      </c>
      <c r="C4384" s="3" t="s">
        <v>339</v>
      </c>
      <c r="D4384" s="5" t="s">
        <v>118</v>
      </c>
      <c r="E4384" s="5" t="s">
        <v>112</v>
      </c>
      <c r="F4384" s="6" t="s">
        <v>90</v>
      </c>
      <c r="G4384" s="4" t="s">
        <v>81</v>
      </c>
      <c r="H4384" s="25">
        <v>4005.2666666700002</v>
      </c>
      <c r="I4384" s="8">
        <v>-2</v>
      </c>
      <c r="J4384" s="9">
        <v>4</v>
      </c>
      <c r="K4384" s="7">
        <v>6</v>
      </c>
      <c r="L4384" s="24">
        <f>+Tabla2[[#This Row],[Stock Inventario]]*Tabla2[[#This Row],[Coste LÃ­nea]]</f>
        <v>16021.066666680001</v>
      </c>
      <c r="M4384" s="24">
        <f>+Tabla2[[#This Row],[Variación Stock]]*Tabla2[[#This Row],[Coste LÃ­nea]]</f>
        <v>24031.60000002</v>
      </c>
      <c r="N4384" s="22" t="str">
        <f>+IF(Tabla2[[#This Row],[Variación Stock]]&gt;0,"Sobrante",IF(Tabla2[[#This Row],[Variación Stock]]&lt;0,"Faltante","Sin novedad"))</f>
        <v>Sobrante</v>
      </c>
    </row>
    <row r="4385" spans="1:14" x14ac:dyDescent="0.25">
      <c r="A4385" s="11">
        <v>46064</v>
      </c>
      <c r="B4385" s="5" t="s">
        <v>1083</v>
      </c>
      <c r="C4385" s="3" t="s">
        <v>339</v>
      </c>
      <c r="D4385" s="5" t="s">
        <v>111</v>
      </c>
      <c r="E4385" s="5" t="s">
        <v>112</v>
      </c>
      <c r="F4385" s="6" t="s">
        <v>51</v>
      </c>
      <c r="G4385" s="4" t="s">
        <v>0</v>
      </c>
      <c r="H4385" s="25">
        <v>9796.6363636400001</v>
      </c>
      <c r="I4385" s="8">
        <v>36.93</v>
      </c>
      <c r="J4385" s="9">
        <v>42</v>
      </c>
      <c r="K4385" s="7">
        <v>5.07</v>
      </c>
      <c r="L4385" s="24">
        <f>+Tabla2[[#This Row],[Stock Inventario]]*Tabla2[[#This Row],[Coste LÃ­nea]]</f>
        <v>411458.72727288003</v>
      </c>
      <c r="M4385" s="24">
        <f>+Tabla2[[#This Row],[Variación Stock]]*Tabla2[[#This Row],[Coste LÃ­nea]]</f>
        <v>49668.946363654803</v>
      </c>
      <c r="N4385" s="22" t="str">
        <f>+IF(Tabla2[[#This Row],[Variación Stock]]&gt;0,"Sobrante",IF(Tabla2[[#This Row],[Variación Stock]]&lt;0,"Faltante","Sin novedad"))</f>
        <v>Sobrante</v>
      </c>
    </row>
    <row r="4386" spans="1:14" x14ac:dyDescent="0.25">
      <c r="A4386" s="11">
        <v>46064</v>
      </c>
      <c r="B4386" s="5" t="s">
        <v>1083</v>
      </c>
      <c r="C4386" s="3" t="s">
        <v>339</v>
      </c>
      <c r="D4386" s="5" t="s">
        <v>111</v>
      </c>
      <c r="E4386" s="5" t="s">
        <v>112</v>
      </c>
      <c r="F4386" s="6" t="s">
        <v>973</v>
      </c>
      <c r="G4386" s="4" t="s">
        <v>0</v>
      </c>
      <c r="H4386" s="25">
        <v>3672</v>
      </c>
      <c r="I4386" s="8">
        <v>44</v>
      </c>
      <c r="J4386" s="9">
        <v>44</v>
      </c>
      <c r="K4386" s="7">
        <v>0</v>
      </c>
      <c r="L4386" s="24">
        <f>+Tabla2[[#This Row],[Stock Inventario]]*Tabla2[[#This Row],[Coste LÃ­nea]]</f>
        <v>161568</v>
      </c>
      <c r="M4386" s="24">
        <f>+Tabla2[[#This Row],[Variación Stock]]*Tabla2[[#This Row],[Coste LÃ­nea]]</f>
        <v>0</v>
      </c>
      <c r="N4386" s="22" t="str">
        <f>+IF(Tabla2[[#This Row],[Variación Stock]]&gt;0,"Sobrante",IF(Tabla2[[#This Row],[Variación Stock]]&lt;0,"Faltante","Sin novedad"))</f>
        <v>Sin novedad</v>
      </c>
    </row>
    <row r="4387" spans="1:14" x14ac:dyDescent="0.25">
      <c r="A4387" s="11">
        <v>46064</v>
      </c>
      <c r="B4387" s="5" t="s">
        <v>1083</v>
      </c>
      <c r="C4387" s="3" t="s">
        <v>339</v>
      </c>
      <c r="D4387" s="5" t="s">
        <v>111</v>
      </c>
      <c r="E4387" s="5" t="s">
        <v>112</v>
      </c>
      <c r="F4387" s="6" t="s">
        <v>31</v>
      </c>
      <c r="G4387" s="4" t="s">
        <v>0</v>
      </c>
      <c r="H4387" s="25">
        <v>6806.25</v>
      </c>
      <c r="I4387" s="8">
        <v>19</v>
      </c>
      <c r="J4387" s="9">
        <v>24</v>
      </c>
      <c r="K4387" s="7">
        <v>5</v>
      </c>
      <c r="L4387" s="24">
        <f>+Tabla2[[#This Row],[Stock Inventario]]*Tabla2[[#This Row],[Coste LÃ­nea]]</f>
        <v>163350</v>
      </c>
      <c r="M4387" s="24">
        <f>+Tabla2[[#This Row],[Variación Stock]]*Tabla2[[#This Row],[Coste LÃ­nea]]</f>
        <v>34031.25</v>
      </c>
      <c r="N4387" s="22" t="str">
        <f>+IF(Tabla2[[#This Row],[Variación Stock]]&gt;0,"Sobrante",IF(Tabla2[[#This Row],[Variación Stock]]&lt;0,"Faltante","Sin novedad"))</f>
        <v>Sobrante</v>
      </c>
    </row>
    <row r="4388" spans="1:14" x14ac:dyDescent="0.25">
      <c r="A4388" s="11">
        <v>46064</v>
      </c>
      <c r="B4388" s="5" t="s">
        <v>1083</v>
      </c>
      <c r="C4388" s="3" t="s">
        <v>339</v>
      </c>
      <c r="D4388" s="5" t="s">
        <v>111</v>
      </c>
      <c r="E4388" s="5" t="s">
        <v>112</v>
      </c>
      <c r="F4388" s="6" t="s">
        <v>42</v>
      </c>
      <c r="G4388" s="4" t="s">
        <v>0</v>
      </c>
      <c r="H4388" s="25">
        <v>2906.3333333300002</v>
      </c>
      <c r="I4388" s="8">
        <v>25</v>
      </c>
      <c r="J4388" s="9">
        <v>25</v>
      </c>
      <c r="K4388" s="7">
        <v>0</v>
      </c>
      <c r="L4388" s="24">
        <f>+Tabla2[[#This Row],[Stock Inventario]]*Tabla2[[#This Row],[Coste LÃ­nea]]</f>
        <v>72658.333333250004</v>
      </c>
      <c r="M4388" s="24">
        <f>+Tabla2[[#This Row],[Variación Stock]]*Tabla2[[#This Row],[Coste LÃ­nea]]</f>
        <v>0</v>
      </c>
      <c r="N4388" s="22" t="str">
        <f>+IF(Tabla2[[#This Row],[Variación Stock]]&gt;0,"Sobrante",IF(Tabla2[[#This Row],[Variación Stock]]&lt;0,"Faltante","Sin novedad"))</f>
        <v>Sin novedad</v>
      </c>
    </row>
    <row r="4389" spans="1:14" x14ac:dyDescent="0.25">
      <c r="A4389" s="11">
        <v>46064</v>
      </c>
      <c r="B4389" s="5" t="s">
        <v>1083</v>
      </c>
      <c r="C4389" s="3" t="s">
        <v>339</v>
      </c>
      <c r="D4389" s="5" t="s">
        <v>111</v>
      </c>
      <c r="E4389" s="5" t="s">
        <v>112</v>
      </c>
      <c r="F4389" s="6" t="s">
        <v>23</v>
      </c>
      <c r="G4389" s="4" t="s">
        <v>0</v>
      </c>
      <c r="H4389" s="25">
        <v>4724.9090909099996</v>
      </c>
      <c r="I4389" s="8">
        <v>30.1</v>
      </c>
      <c r="J4389" s="9">
        <v>34</v>
      </c>
      <c r="K4389" s="7">
        <v>3.9</v>
      </c>
      <c r="L4389" s="24">
        <f>+Tabla2[[#This Row],[Stock Inventario]]*Tabla2[[#This Row],[Coste LÃ­nea]]</f>
        <v>160646.90909094</v>
      </c>
      <c r="M4389" s="24">
        <f>+Tabla2[[#This Row],[Variación Stock]]*Tabla2[[#This Row],[Coste LÃ­nea]]</f>
        <v>18427.145454548998</v>
      </c>
      <c r="N4389" s="22" t="str">
        <f>+IF(Tabla2[[#This Row],[Variación Stock]]&gt;0,"Sobrante",IF(Tabla2[[#This Row],[Variación Stock]]&lt;0,"Faltante","Sin novedad"))</f>
        <v>Sobrante</v>
      </c>
    </row>
    <row r="4390" spans="1:14" x14ac:dyDescent="0.25">
      <c r="A4390" s="11">
        <v>46064</v>
      </c>
      <c r="B4390" s="5" t="s">
        <v>1083</v>
      </c>
      <c r="C4390" s="3" t="s">
        <v>339</v>
      </c>
      <c r="D4390" s="5" t="s">
        <v>111</v>
      </c>
      <c r="E4390" s="5" t="s">
        <v>112</v>
      </c>
      <c r="F4390" s="6" t="s">
        <v>35</v>
      </c>
      <c r="G4390" s="4" t="s">
        <v>0</v>
      </c>
      <c r="H4390" s="25">
        <v>6045.125</v>
      </c>
      <c r="I4390" s="8">
        <v>9</v>
      </c>
      <c r="J4390" s="9">
        <v>9</v>
      </c>
      <c r="K4390" s="7">
        <v>0</v>
      </c>
      <c r="L4390" s="24">
        <f>+Tabla2[[#This Row],[Stock Inventario]]*Tabla2[[#This Row],[Coste LÃ­nea]]</f>
        <v>54406.125</v>
      </c>
      <c r="M4390" s="24">
        <f>+Tabla2[[#This Row],[Variación Stock]]*Tabla2[[#This Row],[Coste LÃ­nea]]</f>
        <v>0</v>
      </c>
      <c r="N4390" s="22" t="str">
        <f>+IF(Tabla2[[#This Row],[Variación Stock]]&gt;0,"Sobrante",IF(Tabla2[[#This Row],[Variación Stock]]&lt;0,"Faltante","Sin novedad"))</f>
        <v>Sin novedad</v>
      </c>
    </row>
    <row r="4391" spans="1:14" x14ac:dyDescent="0.25">
      <c r="A4391" s="11">
        <v>46064</v>
      </c>
      <c r="B4391" s="5" t="s">
        <v>1083</v>
      </c>
      <c r="C4391" s="3" t="s">
        <v>339</v>
      </c>
      <c r="D4391" s="5" t="s">
        <v>111</v>
      </c>
      <c r="E4391" s="5" t="s">
        <v>112</v>
      </c>
      <c r="F4391" s="6" t="s">
        <v>39</v>
      </c>
      <c r="G4391" s="4" t="s">
        <v>0</v>
      </c>
      <c r="H4391" s="25">
        <v>9899.25</v>
      </c>
      <c r="I4391" s="8">
        <v>34.14</v>
      </c>
      <c r="J4391" s="9">
        <v>38</v>
      </c>
      <c r="K4391" s="7">
        <v>3.86</v>
      </c>
      <c r="L4391" s="24">
        <f>+Tabla2[[#This Row],[Stock Inventario]]*Tabla2[[#This Row],[Coste LÃ­nea]]</f>
        <v>376171.5</v>
      </c>
      <c r="M4391" s="24">
        <f>+Tabla2[[#This Row],[Variación Stock]]*Tabla2[[#This Row],[Coste LÃ­nea]]</f>
        <v>38211.104999999996</v>
      </c>
      <c r="N4391" s="22" t="str">
        <f>+IF(Tabla2[[#This Row],[Variación Stock]]&gt;0,"Sobrante",IF(Tabla2[[#This Row],[Variación Stock]]&lt;0,"Faltante","Sin novedad"))</f>
        <v>Sobrante</v>
      </c>
    </row>
    <row r="4392" spans="1:14" x14ac:dyDescent="0.25">
      <c r="A4392" s="11">
        <v>46064</v>
      </c>
      <c r="B4392" s="5" t="s">
        <v>1083</v>
      </c>
      <c r="C4392" s="3" t="s">
        <v>339</v>
      </c>
      <c r="D4392" s="5" t="s">
        <v>111</v>
      </c>
      <c r="E4392" s="5" t="s">
        <v>112</v>
      </c>
      <c r="F4392" s="6" t="s">
        <v>138</v>
      </c>
      <c r="G4392" s="4" t="s">
        <v>0</v>
      </c>
      <c r="H4392" s="25">
        <v>4504.1666666700003</v>
      </c>
      <c r="I4392" s="8">
        <v>0</v>
      </c>
      <c r="J4392" s="9">
        <v>0</v>
      </c>
      <c r="K4392" s="7">
        <v>0</v>
      </c>
      <c r="L4392" s="24">
        <f>+Tabla2[[#This Row],[Stock Inventario]]*Tabla2[[#This Row],[Coste LÃ­nea]]</f>
        <v>0</v>
      </c>
      <c r="M4392" s="24">
        <f>+Tabla2[[#This Row],[Variación Stock]]*Tabla2[[#This Row],[Coste LÃ­nea]]</f>
        <v>0</v>
      </c>
      <c r="N4392" s="22" t="str">
        <f>+IF(Tabla2[[#This Row],[Variación Stock]]&gt;0,"Sobrante",IF(Tabla2[[#This Row],[Variación Stock]]&lt;0,"Faltante","Sin novedad"))</f>
        <v>Sin novedad</v>
      </c>
    </row>
    <row r="4393" spans="1:14" x14ac:dyDescent="0.25">
      <c r="A4393" s="11">
        <v>46064</v>
      </c>
      <c r="B4393" s="5" t="s">
        <v>1083</v>
      </c>
      <c r="C4393" s="3" t="s">
        <v>339</v>
      </c>
      <c r="D4393" s="5" t="s">
        <v>111</v>
      </c>
      <c r="E4393" s="5" t="s">
        <v>112</v>
      </c>
      <c r="F4393" s="6" t="s">
        <v>37</v>
      </c>
      <c r="G4393" s="4" t="s">
        <v>0</v>
      </c>
      <c r="H4393" s="25">
        <v>4668.5</v>
      </c>
      <c r="I4393" s="8">
        <v>2</v>
      </c>
      <c r="J4393" s="9">
        <v>2</v>
      </c>
      <c r="K4393" s="7">
        <v>0</v>
      </c>
      <c r="L4393" s="24">
        <f>+Tabla2[[#This Row],[Stock Inventario]]*Tabla2[[#This Row],[Coste LÃ­nea]]</f>
        <v>9337</v>
      </c>
      <c r="M4393" s="24">
        <f>+Tabla2[[#This Row],[Variación Stock]]*Tabla2[[#This Row],[Coste LÃ­nea]]</f>
        <v>0</v>
      </c>
      <c r="N4393" s="22" t="str">
        <f>+IF(Tabla2[[#This Row],[Variación Stock]]&gt;0,"Sobrante",IF(Tabla2[[#This Row],[Variación Stock]]&lt;0,"Faltante","Sin novedad"))</f>
        <v>Sin novedad</v>
      </c>
    </row>
    <row r="4394" spans="1:14" x14ac:dyDescent="0.25">
      <c r="A4394" s="11">
        <v>46064</v>
      </c>
      <c r="B4394" s="5" t="s">
        <v>1083</v>
      </c>
      <c r="C4394" s="3" t="s">
        <v>339</v>
      </c>
      <c r="D4394" s="5" t="s">
        <v>111</v>
      </c>
      <c r="E4394" s="5" t="s">
        <v>112</v>
      </c>
      <c r="F4394" s="6" t="s">
        <v>55</v>
      </c>
      <c r="G4394" s="4" t="s">
        <v>0</v>
      </c>
      <c r="H4394" s="25">
        <v>3185.3636363599999</v>
      </c>
      <c r="I4394" s="8">
        <v>40.5</v>
      </c>
      <c r="J4394" s="9">
        <v>44</v>
      </c>
      <c r="K4394" s="7">
        <v>3.5</v>
      </c>
      <c r="L4394" s="24">
        <f>+Tabla2[[#This Row],[Stock Inventario]]*Tabla2[[#This Row],[Coste LÃ­nea]]</f>
        <v>140155.99999983999</v>
      </c>
      <c r="M4394" s="24">
        <f>+Tabla2[[#This Row],[Variación Stock]]*Tabla2[[#This Row],[Coste LÃ­nea]]</f>
        <v>11148.772727259999</v>
      </c>
      <c r="N4394" s="22" t="str">
        <f>+IF(Tabla2[[#This Row],[Variación Stock]]&gt;0,"Sobrante",IF(Tabla2[[#This Row],[Variación Stock]]&lt;0,"Faltante","Sin novedad"))</f>
        <v>Sobrante</v>
      </c>
    </row>
    <row r="4395" spans="1:14" x14ac:dyDescent="0.25">
      <c r="A4395" s="11">
        <v>46064</v>
      </c>
      <c r="B4395" s="5" t="s">
        <v>1083</v>
      </c>
      <c r="C4395" s="3" t="s">
        <v>339</v>
      </c>
      <c r="D4395" s="5" t="s">
        <v>111</v>
      </c>
      <c r="E4395" s="5" t="s">
        <v>112</v>
      </c>
      <c r="F4395" s="6" t="s">
        <v>20</v>
      </c>
      <c r="G4395" s="4" t="s">
        <v>0</v>
      </c>
      <c r="H4395" s="25">
        <v>6813.3636363599999</v>
      </c>
      <c r="I4395" s="8">
        <v>36</v>
      </c>
      <c r="J4395" s="9">
        <v>39</v>
      </c>
      <c r="K4395" s="7">
        <v>3</v>
      </c>
      <c r="L4395" s="24">
        <f>+Tabla2[[#This Row],[Stock Inventario]]*Tabla2[[#This Row],[Coste LÃ­nea]]</f>
        <v>265721.18181803997</v>
      </c>
      <c r="M4395" s="24">
        <f>+Tabla2[[#This Row],[Variación Stock]]*Tabla2[[#This Row],[Coste LÃ­nea]]</f>
        <v>20440.090909079998</v>
      </c>
      <c r="N4395" s="22" t="str">
        <f>+IF(Tabla2[[#This Row],[Variación Stock]]&gt;0,"Sobrante",IF(Tabla2[[#This Row],[Variación Stock]]&lt;0,"Faltante","Sin novedad"))</f>
        <v>Sobrante</v>
      </c>
    </row>
    <row r="4396" spans="1:14" x14ac:dyDescent="0.25">
      <c r="A4396" s="11">
        <v>46064</v>
      </c>
      <c r="B4396" s="5" t="s">
        <v>1083</v>
      </c>
      <c r="C4396" s="3" t="s">
        <v>339</v>
      </c>
      <c r="D4396" s="5" t="s">
        <v>111</v>
      </c>
      <c r="E4396" s="5" t="s">
        <v>112</v>
      </c>
      <c r="F4396" s="6" t="s">
        <v>226</v>
      </c>
      <c r="G4396" s="4" t="s">
        <v>0</v>
      </c>
      <c r="H4396" s="25">
        <v>4893.8500000000004</v>
      </c>
      <c r="I4396" s="8">
        <v>20</v>
      </c>
      <c r="J4396" s="9">
        <v>20</v>
      </c>
      <c r="K4396" s="7">
        <v>0</v>
      </c>
      <c r="L4396" s="24">
        <f>+Tabla2[[#This Row],[Stock Inventario]]*Tabla2[[#This Row],[Coste LÃ­nea]]</f>
        <v>97877</v>
      </c>
      <c r="M4396" s="24">
        <f>+Tabla2[[#This Row],[Variación Stock]]*Tabla2[[#This Row],[Coste LÃ­nea]]</f>
        <v>0</v>
      </c>
      <c r="N4396" s="22" t="str">
        <f>+IF(Tabla2[[#This Row],[Variación Stock]]&gt;0,"Sobrante",IF(Tabla2[[#This Row],[Variación Stock]]&lt;0,"Faltante","Sin novedad"))</f>
        <v>Sin novedad</v>
      </c>
    </row>
    <row r="4397" spans="1:14" x14ac:dyDescent="0.25">
      <c r="A4397" s="11">
        <v>46064</v>
      </c>
      <c r="B4397" s="5" t="s">
        <v>1083</v>
      </c>
      <c r="C4397" s="3" t="s">
        <v>339</v>
      </c>
      <c r="D4397" s="5" t="s">
        <v>114</v>
      </c>
      <c r="E4397" s="5" t="s">
        <v>112</v>
      </c>
      <c r="F4397" s="6" t="s">
        <v>66</v>
      </c>
      <c r="G4397" s="4" t="s">
        <v>2</v>
      </c>
      <c r="H4397" s="25">
        <v>5309.7916666700003</v>
      </c>
      <c r="I4397" s="8">
        <v>67</v>
      </c>
      <c r="J4397" s="9">
        <v>69</v>
      </c>
      <c r="K4397" s="7">
        <v>2</v>
      </c>
      <c r="L4397" s="24">
        <f>+Tabla2[[#This Row],[Stock Inventario]]*Tabla2[[#This Row],[Coste LÃ­nea]]</f>
        <v>366375.62500023004</v>
      </c>
      <c r="M4397" s="24">
        <f>+Tabla2[[#This Row],[Variación Stock]]*Tabla2[[#This Row],[Coste LÃ­nea]]</f>
        <v>10619.583333340001</v>
      </c>
      <c r="N4397" s="22" t="str">
        <f>+IF(Tabla2[[#This Row],[Variación Stock]]&gt;0,"Sobrante",IF(Tabla2[[#This Row],[Variación Stock]]&lt;0,"Faltante","Sin novedad"))</f>
        <v>Sobrante</v>
      </c>
    </row>
    <row r="4398" spans="1:14" x14ac:dyDescent="0.25">
      <c r="A4398" s="11">
        <v>46064</v>
      </c>
      <c r="B4398" s="5" t="s">
        <v>1083</v>
      </c>
      <c r="C4398" s="3" t="s">
        <v>339</v>
      </c>
      <c r="D4398" s="5" t="s">
        <v>118</v>
      </c>
      <c r="E4398" s="5" t="s">
        <v>112</v>
      </c>
      <c r="F4398" s="6" t="s">
        <v>88</v>
      </c>
      <c r="G4398" s="4" t="s">
        <v>81</v>
      </c>
      <c r="H4398" s="25">
        <v>4385.6000000000004</v>
      </c>
      <c r="I4398" s="8">
        <v>9</v>
      </c>
      <c r="J4398" s="9">
        <v>11</v>
      </c>
      <c r="K4398" s="7">
        <v>2</v>
      </c>
      <c r="L4398" s="24">
        <f>+Tabla2[[#This Row],[Stock Inventario]]*Tabla2[[#This Row],[Coste LÃ­nea]]</f>
        <v>48241.600000000006</v>
      </c>
      <c r="M4398" s="24">
        <f>+Tabla2[[#This Row],[Variación Stock]]*Tabla2[[#This Row],[Coste LÃ­nea]]</f>
        <v>8771.2000000000007</v>
      </c>
      <c r="N4398" s="22" t="str">
        <f>+IF(Tabla2[[#This Row],[Variación Stock]]&gt;0,"Sobrante",IF(Tabla2[[#This Row],[Variación Stock]]&lt;0,"Faltante","Sin novedad"))</f>
        <v>Sobrante</v>
      </c>
    </row>
    <row r="4399" spans="1:14" x14ac:dyDescent="0.25">
      <c r="A4399" s="11">
        <v>46064</v>
      </c>
      <c r="B4399" s="5" t="s">
        <v>1083</v>
      </c>
      <c r="C4399" s="3" t="s">
        <v>339</v>
      </c>
      <c r="D4399" s="5" t="s">
        <v>111</v>
      </c>
      <c r="E4399" s="5" t="s">
        <v>112</v>
      </c>
      <c r="F4399" s="6" t="s">
        <v>380</v>
      </c>
      <c r="G4399" s="4" t="s">
        <v>0</v>
      </c>
      <c r="H4399" s="25">
        <v>10667.40909091</v>
      </c>
      <c r="I4399" s="8">
        <v>22</v>
      </c>
      <c r="J4399" s="9">
        <v>22</v>
      </c>
      <c r="K4399" s="7">
        <v>0</v>
      </c>
      <c r="L4399" s="24">
        <f>+Tabla2[[#This Row],[Stock Inventario]]*Tabla2[[#This Row],[Coste LÃ­nea]]</f>
        <v>234683.00000001999</v>
      </c>
      <c r="M4399" s="24">
        <f>+Tabla2[[#This Row],[Variación Stock]]*Tabla2[[#This Row],[Coste LÃ­nea]]</f>
        <v>0</v>
      </c>
      <c r="N4399" s="22" t="str">
        <f>+IF(Tabla2[[#This Row],[Variación Stock]]&gt;0,"Sobrante",IF(Tabla2[[#This Row],[Variación Stock]]&lt;0,"Faltante","Sin novedad"))</f>
        <v>Sin novedad</v>
      </c>
    </row>
    <row r="4400" spans="1:14" x14ac:dyDescent="0.25">
      <c r="A4400" s="11">
        <v>46064</v>
      </c>
      <c r="B4400" s="5" t="s">
        <v>1083</v>
      </c>
      <c r="C4400" s="3" t="s">
        <v>339</v>
      </c>
      <c r="D4400" s="5" t="s">
        <v>111</v>
      </c>
      <c r="E4400" s="5" t="s">
        <v>112</v>
      </c>
      <c r="F4400" s="6" t="s">
        <v>24</v>
      </c>
      <c r="G4400" s="4" t="s">
        <v>0</v>
      </c>
      <c r="H4400" s="25">
        <v>3359.40909091</v>
      </c>
      <c r="I4400" s="8">
        <v>24.04</v>
      </c>
      <c r="J4400" s="9">
        <v>26</v>
      </c>
      <c r="K4400" s="7">
        <v>0</v>
      </c>
      <c r="L4400" s="24">
        <f>+Tabla2[[#This Row],[Stock Inventario]]*Tabla2[[#This Row],[Coste LÃ­nea]]</f>
        <v>87344.63636366</v>
      </c>
      <c r="M4400" s="24">
        <f>+Tabla2[[#This Row],[Variación Stock]]*Tabla2[[#This Row],[Coste LÃ­nea]]</f>
        <v>0</v>
      </c>
      <c r="N4400" s="22" t="str">
        <f>+IF(Tabla2[[#This Row],[Variación Stock]]&gt;0,"Sobrante",IF(Tabla2[[#This Row],[Variación Stock]]&lt;0,"Faltante","Sin novedad"))</f>
        <v>Sin novedad</v>
      </c>
    </row>
    <row r="4401" spans="1:14" x14ac:dyDescent="0.25">
      <c r="A4401" s="11">
        <v>46064</v>
      </c>
      <c r="B4401" s="5" t="s">
        <v>1083</v>
      </c>
      <c r="C4401" s="3" t="s">
        <v>339</v>
      </c>
      <c r="D4401" s="5" t="s">
        <v>111</v>
      </c>
      <c r="E4401" s="5" t="s">
        <v>112</v>
      </c>
      <c r="F4401" s="6" t="s">
        <v>19</v>
      </c>
      <c r="G4401" s="4" t="s">
        <v>0</v>
      </c>
      <c r="H4401" s="25">
        <v>6744</v>
      </c>
      <c r="I4401" s="8">
        <v>19.71</v>
      </c>
      <c r="J4401" s="9">
        <v>21</v>
      </c>
      <c r="K4401" s="7">
        <v>0</v>
      </c>
      <c r="L4401" s="24">
        <f>+Tabla2[[#This Row],[Stock Inventario]]*Tabla2[[#This Row],[Coste LÃ­nea]]</f>
        <v>141624</v>
      </c>
      <c r="M4401" s="24">
        <f>+Tabla2[[#This Row],[Variación Stock]]*Tabla2[[#This Row],[Coste LÃ­nea]]</f>
        <v>0</v>
      </c>
      <c r="N4401" s="22" t="str">
        <f>+IF(Tabla2[[#This Row],[Variación Stock]]&gt;0,"Sobrante",IF(Tabla2[[#This Row],[Variación Stock]]&lt;0,"Faltante","Sin novedad"))</f>
        <v>Sin novedad</v>
      </c>
    </row>
    <row r="4402" spans="1:14" x14ac:dyDescent="0.25">
      <c r="A4402" s="11">
        <v>46064</v>
      </c>
      <c r="B4402" s="5" t="s">
        <v>1083</v>
      </c>
      <c r="C4402" s="3" t="s">
        <v>339</v>
      </c>
      <c r="D4402" s="5" t="s">
        <v>111</v>
      </c>
      <c r="E4402" s="5" t="s">
        <v>112</v>
      </c>
      <c r="F4402" s="6" t="s">
        <v>365</v>
      </c>
      <c r="G4402" s="4" t="s">
        <v>0</v>
      </c>
      <c r="H4402" s="25">
        <v>12698.95454545</v>
      </c>
      <c r="I4402" s="8">
        <v>28</v>
      </c>
      <c r="J4402" s="9">
        <v>29</v>
      </c>
      <c r="K4402" s="7">
        <v>0</v>
      </c>
      <c r="L4402" s="24">
        <f>+Tabla2[[#This Row],[Stock Inventario]]*Tabla2[[#This Row],[Coste LÃ­nea]]</f>
        <v>368269.68181804998</v>
      </c>
      <c r="M4402" s="24">
        <f>+Tabla2[[#This Row],[Variación Stock]]*Tabla2[[#This Row],[Coste LÃ­nea]]</f>
        <v>0</v>
      </c>
      <c r="N4402" s="22" t="str">
        <f>+IF(Tabla2[[#This Row],[Variación Stock]]&gt;0,"Sobrante",IF(Tabla2[[#This Row],[Variación Stock]]&lt;0,"Faltante","Sin novedad"))</f>
        <v>Sin novedad</v>
      </c>
    </row>
    <row r="4403" spans="1:14" x14ac:dyDescent="0.25">
      <c r="A4403" s="11">
        <v>46064</v>
      </c>
      <c r="B4403" s="5" t="s">
        <v>1083</v>
      </c>
      <c r="C4403" s="3" t="s">
        <v>339</v>
      </c>
      <c r="D4403" s="5" t="s">
        <v>111</v>
      </c>
      <c r="E4403" s="5" t="s">
        <v>112</v>
      </c>
      <c r="F4403" s="6" t="s">
        <v>26</v>
      </c>
      <c r="G4403" s="4" t="s">
        <v>0</v>
      </c>
      <c r="H4403" s="25">
        <v>9152.4545454500003</v>
      </c>
      <c r="I4403" s="8">
        <v>20</v>
      </c>
      <c r="J4403" s="9">
        <v>21</v>
      </c>
      <c r="K4403" s="7">
        <v>0</v>
      </c>
      <c r="L4403" s="24">
        <f>+Tabla2[[#This Row],[Stock Inventario]]*Tabla2[[#This Row],[Coste LÃ­nea]]</f>
        <v>192201.54545445001</v>
      </c>
      <c r="M4403" s="24">
        <f>+Tabla2[[#This Row],[Variación Stock]]*Tabla2[[#This Row],[Coste LÃ­nea]]</f>
        <v>0</v>
      </c>
      <c r="N4403" s="22" t="str">
        <f>+IF(Tabla2[[#This Row],[Variación Stock]]&gt;0,"Sobrante",IF(Tabla2[[#This Row],[Variación Stock]]&lt;0,"Faltante","Sin novedad"))</f>
        <v>Sin novedad</v>
      </c>
    </row>
    <row r="4404" spans="1:14" x14ac:dyDescent="0.25">
      <c r="A4404" s="11">
        <v>46064</v>
      </c>
      <c r="B4404" s="5" t="s">
        <v>1083</v>
      </c>
      <c r="C4404" s="3" t="s">
        <v>339</v>
      </c>
      <c r="D4404" s="5" t="s">
        <v>111</v>
      </c>
      <c r="E4404" s="5" t="s">
        <v>112</v>
      </c>
      <c r="F4404" s="6" t="s">
        <v>45</v>
      </c>
      <c r="G4404" s="4" t="s">
        <v>2</v>
      </c>
      <c r="H4404" s="25">
        <v>24403</v>
      </c>
      <c r="I4404" s="8">
        <v>2</v>
      </c>
      <c r="J4404" s="9">
        <v>2</v>
      </c>
      <c r="K4404" s="7">
        <v>0</v>
      </c>
      <c r="L4404" s="24">
        <f>+Tabla2[[#This Row],[Stock Inventario]]*Tabla2[[#This Row],[Coste LÃ­nea]]</f>
        <v>48806</v>
      </c>
      <c r="M4404" s="24">
        <f>+Tabla2[[#This Row],[Variación Stock]]*Tabla2[[#This Row],[Coste LÃ­nea]]</f>
        <v>0</v>
      </c>
      <c r="N4404" s="22" t="str">
        <f>+IF(Tabla2[[#This Row],[Variación Stock]]&gt;0,"Sobrante",IF(Tabla2[[#This Row],[Variación Stock]]&lt;0,"Faltante","Sin novedad"))</f>
        <v>Sin novedad</v>
      </c>
    </row>
    <row r="4405" spans="1:14" x14ac:dyDescent="0.25">
      <c r="A4405" s="11">
        <v>46064</v>
      </c>
      <c r="B4405" s="5" t="s">
        <v>1083</v>
      </c>
      <c r="C4405" s="3" t="s">
        <v>339</v>
      </c>
      <c r="D4405" s="5" t="s">
        <v>111</v>
      </c>
      <c r="E4405" s="5" t="s">
        <v>112</v>
      </c>
      <c r="F4405" s="6" t="s">
        <v>40</v>
      </c>
      <c r="G4405" s="4" t="s">
        <v>0</v>
      </c>
      <c r="H4405" s="25">
        <v>1988.9655172400001</v>
      </c>
      <c r="I4405" s="8">
        <v>50</v>
      </c>
      <c r="J4405" s="9">
        <v>51</v>
      </c>
      <c r="K4405" s="7">
        <v>0</v>
      </c>
      <c r="L4405" s="24">
        <f>+Tabla2[[#This Row],[Stock Inventario]]*Tabla2[[#This Row],[Coste LÃ­nea]]</f>
        <v>101437.24137924</v>
      </c>
      <c r="M4405" s="24">
        <f>+Tabla2[[#This Row],[Variación Stock]]*Tabla2[[#This Row],[Coste LÃ­nea]]</f>
        <v>0</v>
      </c>
      <c r="N4405" s="22" t="str">
        <f>+IF(Tabla2[[#This Row],[Variación Stock]]&gt;0,"Sobrante",IF(Tabla2[[#This Row],[Variación Stock]]&lt;0,"Faltante","Sin novedad"))</f>
        <v>Sin novedad</v>
      </c>
    </row>
    <row r="4406" spans="1:14" x14ac:dyDescent="0.25">
      <c r="A4406" s="11">
        <v>46064</v>
      </c>
      <c r="B4406" s="5" t="s">
        <v>1083</v>
      </c>
      <c r="C4406" s="3" t="s">
        <v>339</v>
      </c>
      <c r="D4406" s="5" t="s">
        <v>111</v>
      </c>
      <c r="E4406" s="5" t="s">
        <v>112</v>
      </c>
      <c r="F4406" s="6" t="s">
        <v>47</v>
      </c>
      <c r="G4406" s="4" t="s">
        <v>2</v>
      </c>
      <c r="H4406" s="25">
        <v>22770</v>
      </c>
      <c r="I4406" s="8">
        <v>3</v>
      </c>
      <c r="J4406" s="9">
        <v>3</v>
      </c>
      <c r="K4406" s="7">
        <v>0</v>
      </c>
      <c r="L4406" s="24">
        <f>+Tabla2[[#This Row],[Stock Inventario]]*Tabla2[[#This Row],[Coste LÃ­nea]]</f>
        <v>68310</v>
      </c>
      <c r="M4406" s="24">
        <f>+Tabla2[[#This Row],[Variación Stock]]*Tabla2[[#This Row],[Coste LÃ­nea]]</f>
        <v>0</v>
      </c>
      <c r="N4406" s="22" t="str">
        <f>+IF(Tabla2[[#This Row],[Variación Stock]]&gt;0,"Sobrante",IF(Tabla2[[#This Row],[Variación Stock]]&lt;0,"Faltante","Sin novedad"))</f>
        <v>Sin novedad</v>
      </c>
    </row>
    <row r="4407" spans="1:14" x14ac:dyDescent="0.25">
      <c r="A4407" s="11">
        <v>46064</v>
      </c>
      <c r="B4407" s="5" t="s">
        <v>1083</v>
      </c>
      <c r="C4407" s="3" t="s">
        <v>339</v>
      </c>
      <c r="D4407" s="5" t="s">
        <v>118</v>
      </c>
      <c r="E4407" s="5" t="s">
        <v>112</v>
      </c>
      <c r="F4407" s="6" t="s">
        <v>89</v>
      </c>
      <c r="G4407" s="4" t="s">
        <v>81</v>
      </c>
      <c r="H4407" s="25">
        <v>4002.6</v>
      </c>
      <c r="I4407" s="8">
        <v>14</v>
      </c>
      <c r="J4407" s="9">
        <v>15</v>
      </c>
      <c r="K4407" s="7">
        <v>1</v>
      </c>
      <c r="L4407" s="24">
        <f>+Tabla2[[#This Row],[Stock Inventario]]*Tabla2[[#This Row],[Coste LÃ­nea]]</f>
        <v>60039</v>
      </c>
      <c r="M4407" s="24">
        <f>+Tabla2[[#This Row],[Variación Stock]]*Tabla2[[#This Row],[Coste LÃ­nea]]</f>
        <v>4002.6</v>
      </c>
      <c r="N4407" s="22" t="str">
        <f>+IF(Tabla2[[#This Row],[Variación Stock]]&gt;0,"Sobrante",IF(Tabla2[[#This Row],[Variación Stock]]&lt;0,"Faltante","Sin novedad"))</f>
        <v>Sobrante</v>
      </c>
    </row>
    <row r="4408" spans="1:14" x14ac:dyDescent="0.25">
      <c r="A4408" s="11">
        <v>46064</v>
      </c>
      <c r="B4408" s="5" t="s">
        <v>1083</v>
      </c>
      <c r="C4408" s="3" t="s">
        <v>339</v>
      </c>
      <c r="D4408" s="5" t="s">
        <v>111</v>
      </c>
      <c r="E4408" s="5" t="s">
        <v>112</v>
      </c>
      <c r="F4408" s="6" t="s">
        <v>49</v>
      </c>
      <c r="G4408" s="4" t="s">
        <v>2</v>
      </c>
      <c r="H4408" s="25">
        <v>21478</v>
      </c>
      <c r="I4408" s="8">
        <v>2</v>
      </c>
      <c r="J4408" s="9">
        <v>2</v>
      </c>
      <c r="K4408" s="7">
        <v>0</v>
      </c>
      <c r="L4408" s="24">
        <f>+Tabla2[[#This Row],[Stock Inventario]]*Tabla2[[#This Row],[Coste LÃ­nea]]</f>
        <v>42956</v>
      </c>
      <c r="M4408" s="24">
        <f>+Tabla2[[#This Row],[Variación Stock]]*Tabla2[[#This Row],[Coste LÃ­nea]]</f>
        <v>0</v>
      </c>
      <c r="N4408" s="22" t="str">
        <f>+IF(Tabla2[[#This Row],[Variación Stock]]&gt;0,"Sobrante",IF(Tabla2[[#This Row],[Variación Stock]]&lt;0,"Faltante","Sin novedad"))</f>
        <v>Sin novedad</v>
      </c>
    </row>
    <row r="4409" spans="1:14" x14ac:dyDescent="0.25">
      <c r="A4409" s="11">
        <v>46064</v>
      </c>
      <c r="B4409" s="5" t="s">
        <v>1083</v>
      </c>
      <c r="C4409" s="3" t="s">
        <v>339</v>
      </c>
      <c r="D4409" s="5" t="s">
        <v>118</v>
      </c>
      <c r="E4409" s="5" t="s">
        <v>112</v>
      </c>
      <c r="F4409" s="6" t="s">
        <v>308</v>
      </c>
      <c r="G4409" s="4" t="s">
        <v>81</v>
      </c>
      <c r="H4409" s="25">
        <v>13704.2</v>
      </c>
      <c r="I4409" s="8">
        <v>-1</v>
      </c>
      <c r="J4409" s="9">
        <v>0</v>
      </c>
      <c r="K4409" s="7">
        <v>1</v>
      </c>
      <c r="L4409" s="24">
        <f>+Tabla2[[#This Row],[Stock Inventario]]*Tabla2[[#This Row],[Coste LÃ­nea]]</f>
        <v>0</v>
      </c>
      <c r="M4409" s="24">
        <f>+Tabla2[[#This Row],[Variación Stock]]*Tabla2[[#This Row],[Coste LÃ­nea]]</f>
        <v>13704.2</v>
      </c>
      <c r="N4409" s="22" t="str">
        <f>+IF(Tabla2[[#This Row],[Variación Stock]]&gt;0,"Sobrante",IF(Tabla2[[#This Row],[Variación Stock]]&lt;0,"Faltante","Sin novedad"))</f>
        <v>Sobrante</v>
      </c>
    </row>
    <row r="4410" spans="1:14" x14ac:dyDescent="0.25">
      <c r="A4410" s="11">
        <v>46064</v>
      </c>
      <c r="B4410" s="5" t="s">
        <v>1083</v>
      </c>
      <c r="C4410" s="3" t="s">
        <v>339</v>
      </c>
      <c r="D4410" s="5" t="s">
        <v>111</v>
      </c>
      <c r="E4410" s="5" t="s">
        <v>112</v>
      </c>
      <c r="F4410" s="6" t="s">
        <v>140</v>
      </c>
      <c r="G4410" s="4" t="s">
        <v>0</v>
      </c>
      <c r="H4410" s="25">
        <v>5958.3333333299997</v>
      </c>
      <c r="I4410" s="8">
        <v>0</v>
      </c>
      <c r="J4410" s="9">
        <v>0</v>
      </c>
      <c r="K4410" s="7">
        <v>0</v>
      </c>
      <c r="L4410" s="24">
        <f>+Tabla2[[#This Row],[Stock Inventario]]*Tabla2[[#This Row],[Coste LÃ­nea]]</f>
        <v>0</v>
      </c>
      <c r="M4410" s="24">
        <f>+Tabla2[[#This Row],[Variación Stock]]*Tabla2[[#This Row],[Coste LÃ­nea]]</f>
        <v>0</v>
      </c>
      <c r="N4410" s="22" t="str">
        <f>+IF(Tabla2[[#This Row],[Variación Stock]]&gt;0,"Sobrante",IF(Tabla2[[#This Row],[Variación Stock]]&lt;0,"Faltante","Sin novedad"))</f>
        <v>Sin novedad</v>
      </c>
    </row>
    <row r="4411" spans="1:14" x14ac:dyDescent="0.25">
      <c r="A4411" s="11">
        <v>46064</v>
      </c>
      <c r="B4411" s="5" t="s">
        <v>1083</v>
      </c>
      <c r="C4411" s="3" t="s">
        <v>339</v>
      </c>
      <c r="D4411" s="5" t="s">
        <v>111</v>
      </c>
      <c r="E4411" s="5" t="s">
        <v>112</v>
      </c>
      <c r="F4411" s="6" t="s">
        <v>48</v>
      </c>
      <c r="G4411" s="4" t="s">
        <v>0</v>
      </c>
      <c r="H4411" s="25">
        <v>1886.3636363600001</v>
      </c>
      <c r="I4411" s="8">
        <v>36.32</v>
      </c>
      <c r="J4411" s="9">
        <v>37</v>
      </c>
      <c r="K4411" s="7">
        <v>0</v>
      </c>
      <c r="L4411" s="24">
        <f>+Tabla2[[#This Row],[Stock Inventario]]*Tabla2[[#This Row],[Coste LÃ­nea]]</f>
        <v>69795.454545319997</v>
      </c>
      <c r="M4411" s="24">
        <f>+Tabla2[[#This Row],[Variación Stock]]*Tabla2[[#This Row],[Coste LÃ­nea]]</f>
        <v>0</v>
      </c>
      <c r="N4411" s="22" t="str">
        <f>+IF(Tabla2[[#This Row],[Variación Stock]]&gt;0,"Sobrante",IF(Tabla2[[#This Row],[Variación Stock]]&lt;0,"Faltante","Sin novedad"))</f>
        <v>Sin novedad</v>
      </c>
    </row>
    <row r="4412" spans="1:14" x14ac:dyDescent="0.25">
      <c r="A4412" s="11">
        <v>46064</v>
      </c>
      <c r="B4412" s="5" t="s">
        <v>1083</v>
      </c>
      <c r="C4412" s="3" t="s">
        <v>339</v>
      </c>
      <c r="D4412" s="5" t="s">
        <v>118</v>
      </c>
      <c r="E4412" s="5" t="s">
        <v>112</v>
      </c>
      <c r="F4412" s="6" t="s">
        <v>370</v>
      </c>
      <c r="G4412" s="4" t="s">
        <v>0</v>
      </c>
      <c r="H4412" s="25">
        <v>2902.8333333300002</v>
      </c>
      <c r="I4412" s="8">
        <v>9.34</v>
      </c>
      <c r="J4412" s="9">
        <v>10</v>
      </c>
      <c r="K4412" s="7">
        <v>0</v>
      </c>
      <c r="L4412" s="24">
        <f>+Tabla2[[#This Row],[Stock Inventario]]*Tabla2[[#This Row],[Coste LÃ­nea]]</f>
        <v>29028.333333300001</v>
      </c>
      <c r="M4412" s="24">
        <f>+Tabla2[[#This Row],[Variación Stock]]*Tabla2[[#This Row],[Coste LÃ­nea]]</f>
        <v>0</v>
      </c>
      <c r="N4412" s="22" t="str">
        <f>+IF(Tabla2[[#This Row],[Variación Stock]]&gt;0,"Sobrante",IF(Tabla2[[#This Row],[Variación Stock]]&lt;0,"Faltante","Sin novedad"))</f>
        <v>Sin novedad</v>
      </c>
    </row>
    <row r="4413" spans="1:14" x14ac:dyDescent="0.25">
      <c r="A4413" s="11">
        <v>46064</v>
      </c>
      <c r="B4413" s="5" t="s">
        <v>1083</v>
      </c>
      <c r="C4413" s="3" t="s">
        <v>339</v>
      </c>
      <c r="D4413" s="5" t="s">
        <v>111</v>
      </c>
      <c r="E4413" s="5" t="s">
        <v>112</v>
      </c>
      <c r="F4413" s="6" t="s">
        <v>53</v>
      </c>
      <c r="G4413" s="4" t="s">
        <v>2</v>
      </c>
      <c r="H4413" s="25">
        <v>41250</v>
      </c>
      <c r="I4413" s="8">
        <v>2</v>
      </c>
      <c r="J4413" s="9">
        <v>2</v>
      </c>
      <c r="K4413" s="7">
        <v>0</v>
      </c>
      <c r="L4413" s="24">
        <f>+Tabla2[[#This Row],[Stock Inventario]]*Tabla2[[#This Row],[Coste LÃ­nea]]</f>
        <v>82500</v>
      </c>
      <c r="M4413" s="24">
        <f>+Tabla2[[#This Row],[Variación Stock]]*Tabla2[[#This Row],[Coste LÃ­nea]]</f>
        <v>0</v>
      </c>
      <c r="N4413" s="22" t="str">
        <f>+IF(Tabla2[[#This Row],[Variación Stock]]&gt;0,"Sobrante",IF(Tabla2[[#This Row],[Variación Stock]]&lt;0,"Faltante","Sin novedad"))</f>
        <v>Sin novedad</v>
      </c>
    </row>
    <row r="4414" spans="1:14" x14ac:dyDescent="0.25">
      <c r="A4414" s="11">
        <v>46064</v>
      </c>
      <c r="B4414" s="5" t="s">
        <v>1083</v>
      </c>
      <c r="C4414" s="3" t="s">
        <v>339</v>
      </c>
      <c r="D4414" s="5" t="s">
        <v>111</v>
      </c>
      <c r="E4414" s="5" t="s">
        <v>112</v>
      </c>
      <c r="F4414" s="6" t="s">
        <v>54</v>
      </c>
      <c r="G4414" s="4" t="s">
        <v>0</v>
      </c>
      <c r="H4414" s="25">
        <v>0</v>
      </c>
      <c r="I4414" s="8">
        <v>0</v>
      </c>
      <c r="J4414" s="9">
        <v>0</v>
      </c>
      <c r="K4414" s="7">
        <v>0</v>
      </c>
      <c r="L4414" s="24">
        <f>+Tabla2[[#This Row],[Stock Inventario]]*Tabla2[[#This Row],[Coste LÃ­nea]]</f>
        <v>0</v>
      </c>
      <c r="M4414" s="24">
        <f>+Tabla2[[#This Row],[Variación Stock]]*Tabla2[[#This Row],[Coste LÃ­nea]]</f>
        <v>0</v>
      </c>
      <c r="N4414" s="22" t="str">
        <f>+IF(Tabla2[[#This Row],[Variación Stock]]&gt;0,"Sobrante",IF(Tabla2[[#This Row],[Variación Stock]]&lt;0,"Faltante","Sin novedad"))</f>
        <v>Sin novedad</v>
      </c>
    </row>
    <row r="4415" spans="1:14" x14ac:dyDescent="0.25">
      <c r="A4415" s="11">
        <v>46064</v>
      </c>
      <c r="B4415" s="5" t="s">
        <v>1083</v>
      </c>
      <c r="C4415" s="3" t="s">
        <v>339</v>
      </c>
      <c r="D4415" s="5" t="s">
        <v>111</v>
      </c>
      <c r="E4415" s="5" t="s">
        <v>112</v>
      </c>
      <c r="F4415" s="6" t="s">
        <v>44</v>
      </c>
      <c r="G4415" s="4" t="s">
        <v>0</v>
      </c>
      <c r="H4415" s="25">
        <v>3500</v>
      </c>
      <c r="I4415" s="8">
        <v>10.35</v>
      </c>
      <c r="J4415" s="9">
        <v>11</v>
      </c>
      <c r="K4415" s="7">
        <v>0</v>
      </c>
      <c r="L4415" s="24">
        <f>+Tabla2[[#This Row],[Stock Inventario]]*Tabla2[[#This Row],[Coste LÃ­nea]]</f>
        <v>38500</v>
      </c>
      <c r="M4415" s="24">
        <f>+Tabla2[[#This Row],[Variación Stock]]*Tabla2[[#This Row],[Coste LÃ­nea]]</f>
        <v>0</v>
      </c>
      <c r="N4415" s="22" t="str">
        <f>+IF(Tabla2[[#This Row],[Variación Stock]]&gt;0,"Sobrante",IF(Tabla2[[#This Row],[Variación Stock]]&lt;0,"Faltante","Sin novedad"))</f>
        <v>Sin novedad</v>
      </c>
    </row>
    <row r="4416" spans="1:14" x14ac:dyDescent="0.25">
      <c r="A4416" s="11">
        <v>46064</v>
      </c>
      <c r="B4416" s="5" t="s">
        <v>1083</v>
      </c>
      <c r="C4416" s="3" t="s">
        <v>339</v>
      </c>
      <c r="D4416" s="5" t="s">
        <v>111</v>
      </c>
      <c r="E4416" s="5" t="s">
        <v>112</v>
      </c>
      <c r="F4416" s="6" t="s">
        <v>56</v>
      </c>
      <c r="G4416" s="4" t="s">
        <v>0</v>
      </c>
      <c r="H4416" s="25">
        <v>5291.6666666700003</v>
      </c>
      <c r="I4416" s="8">
        <v>0</v>
      </c>
      <c r="J4416" s="9">
        <v>0</v>
      </c>
      <c r="K4416" s="7">
        <v>0</v>
      </c>
      <c r="L4416" s="24">
        <f>+Tabla2[[#This Row],[Stock Inventario]]*Tabla2[[#This Row],[Coste LÃ­nea]]</f>
        <v>0</v>
      </c>
      <c r="M4416" s="24">
        <f>+Tabla2[[#This Row],[Variación Stock]]*Tabla2[[#This Row],[Coste LÃ­nea]]</f>
        <v>0</v>
      </c>
      <c r="N4416" s="22" t="str">
        <f>+IF(Tabla2[[#This Row],[Variación Stock]]&gt;0,"Sobrante",IF(Tabla2[[#This Row],[Variación Stock]]&lt;0,"Faltante","Sin novedad"))</f>
        <v>Sin novedad</v>
      </c>
    </row>
    <row r="4417" spans="1:14" x14ac:dyDescent="0.25">
      <c r="A4417" s="11">
        <v>46064</v>
      </c>
      <c r="B4417" s="5" t="s">
        <v>1083</v>
      </c>
      <c r="C4417" s="3" t="s">
        <v>339</v>
      </c>
      <c r="D4417" s="5" t="s">
        <v>111</v>
      </c>
      <c r="E4417" s="5" t="s">
        <v>112</v>
      </c>
      <c r="F4417" s="6" t="s">
        <v>16</v>
      </c>
      <c r="G4417" s="4" t="s">
        <v>0</v>
      </c>
      <c r="H4417" s="25">
        <v>2309.40625</v>
      </c>
      <c r="I4417" s="8">
        <v>13.5</v>
      </c>
      <c r="J4417" s="9">
        <v>14</v>
      </c>
      <c r="K4417" s="7">
        <v>0</v>
      </c>
      <c r="L4417" s="24">
        <f>+Tabla2[[#This Row],[Stock Inventario]]*Tabla2[[#This Row],[Coste LÃ­nea]]</f>
        <v>32331.6875</v>
      </c>
      <c r="M4417" s="24">
        <f>+Tabla2[[#This Row],[Variación Stock]]*Tabla2[[#This Row],[Coste LÃ­nea]]</f>
        <v>0</v>
      </c>
      <c r="N4417" s="22" t="str">
        <f>+IF(Tabla2[[#This Row],[Variación Stock]]&gt;0,"Sobrante",IF(Tabla2[[#This Row],[Variación Stock]]&lt;0,"Faltante","Sin novedad"))</f>
        <v>Sin novedad</v>
      </c>
    </row>
    <row r="4418" spans="1:14" x14ac:dyDescent="0.25">
      <c r="A4418" s="11">
        <v>46064</v>
      </c>
      <c r="B4418" s="5" t="s">
        <v>1083</v>
      </c>
      <c r="C4418" s="3" t="s">
        <v>339</v>
      </c>
      <c r="D4418" s="5" t="s">
        <v>111</v>
      </c>
      <c r="E4418" s="5" t="s">
        <v>112</v>
      </c>
      <c r="F4418" s="6" t="s">
        <v>364</v>
      </c>
      <c r="G4418" s="4" t="s">
        <v>0</v>
      </c>
      <c r="H4418" s="25">
        <v>10178.90909091</v>
      </c>
      <c r="I4418" s="8">
        <v>28.75</v>
      </c>
      <c r="J4418" s="9">
        <v>29</v>
      </c>
      <c r="K4418" s="7">
        <v>0</v>
      </c>
      <c r="L4418" s="24">
        <f>+Tabla2[[#This Row],[Stock Inventario]]*Tabla2[[#This Row],[Coste LÃ­nea]]</f>
        <v>295188.36363639002</v>
      </c>
      <c r="M4418" s="24">
        <f>+Tabla2[[#This Row],[Variación Stock]]*Tabla2[[#This Row],[Coste LÃ­nea]]</f>
        <v>0</v>
      </c>
      <c r="N4418" s="22" t="str">
        <f>+IF(Tabla2[[#This Row],[Variación Stock]]&gt;0,"Sobrante",IF(Tabla2[[#This Row],[Variación Stock]]&lt;0,"Faltante","Sin novedad"))</f>
        <v>Sin novedad</v>
      </c>
    </row>
    <row r="4419" spans="1:14" x14ac:dyDescent="0.25">
      <c r="A4419" s="11">
        <v>46064</v>
      </c>
      <c r="B4419" s="5" t="s">
        <v>1083</v>
      </c>
      <c r="C4419" s="3" t="s">
        <v>339</v>
      </c>
      <c r="D4419" s="5" t="s">
        <v>111</v>
      </c>
      <c r="E4419" s="5" t="s">
        <v>112</v>
      </c>
      <c r="F4419" s="6" t="s">
        <v>38</v>
      </c>
      <c r="G4419" s="4" t="s">
        <v>0</v>
      </c>
      <c r="H4419" s="25">
        <v>2222.09090909</v>
      </c>
      <c r="I4419" s="8">
        <v>78.75</v>
      </c>
      <c r="J4419" s="9">
        <v>79</v>
      </c>
      <c r="K4419" s="7">
        <v>0</v>
      </c>
      <c r="L4419" s="24">
        <f>+Tabla2[[#This Row],[Stock Inventario]]*Tabla2[[#This Row],[Coste LÃ­nea]]</f>
        <v>175545.18181811</v>
      </c>
      <c r="M4419" s="24">
        <f>+Tabla2[[#This Row],[Variación Stock]]*Tabla2[[#This Row],[Coste LÃ­nea]]</f>
        <v>0</v>
      </c>
      <c r="N4419" s="22" t="str">
        <f>+IF(Tabla2[[#This Row],[Variación Stock]]&gt;0,"Sobrante",IF(Tabla2[[#This Row],[Variación Stock]]&lt;0,"Faltante","Sin novedad"))</f>
        <v>Sin novedad</v>
      </c>
    </row>
    <row r="4420" spans="1:14" x14ac:dyDescent="0.25">
      <c r="A4420" s="11">
        <v>46064</v>
      </c>
      <c r="B4420" s="5" t="s">
        <v>1083</v>
      </c>
      <c r="C4420" s="3" t="s">
        <v>339</v>
      </c>
      <c r="D4420" s="5" t="s">
        <v>111</v>
      </c>
      <c r="E4420" s="5" t="s">
        <v>112</v>
      </c>
      <c r="F4420" s="6" t="s">
        <v>50</v>
      </c>
      <c r="G4420" s="4" t="s">
        <v>0</v>
      </c>
      <c r="H4420" s="25">
        <v>1809.40909091</v>
      </c>
      <c r="I4420" s="8">
        <v>36.799999999999997</v>
      </c>
      <c r="J4420" s="9">
        <v>37</v>
      </c>
      <c r="K4420" s="7">
        <v>0</v>
      </c>
      <c r="L4420" s="24">
        <f>+Tabla2[[#This Row],[Stock Inventario]]*Tabla2[[#This Row],[Coste LÃ­nea]]</f>
        <v>66948.136363669997</v>
      </c>
      <c r="M4420" s="24">
        <f>+Tabla2[[#This Row],[Variación Stock]]*Tabla2[[#This Row],[Coste LÃ­nea]]</f>
        <v>0</v>
      </c>
      <c r="N4420" s="22" t="str">
        <f>+IF(Tabla2[[#This Row],[Variación Stock]]&gt;0,"Sobrante",IF(Tabla2[[#This Row],[Variación Stock]]&lt;0,"Faltante","Sin novedad"))</f>
        <v>Sin novedad</v>
      </c>
    </row>
    <row r="4421" spans="1:14" x14ac:dyDescent="0.25">
      <c r="A4421" s="11">
        <v>46064</v>
      </c>
      <c r="B4421" s="5" t="s">
        <v>1083</v>
      </c>
      <c r="C4421" s="3" t="s">
        <v>339</v>
      </c>
      <c r="D4421" s="5" t="s">
        <v>111</v>
      </c>
      <c r="E4421" s="5" t="s">
        <v>112</v>
      </c>
      <c r="F4421" s="6" t="s">
        <v>52</v>
      </c>
      <c r="G4421" s="4" t="s">
        <v>0</v>
      </c>
      <c r="H4421" s="25">
        <v>6850.05</v>
      </c>
      <c r="I4421" s="8">
        <v>23.99</v>
      </c>
      <c r="J4421" s="9">
        <v>24</v>
      </c>
      <c r="K4421" s="7">
        <v>0</v>
      </c>
      <c r="L4421" s="24">
        <f>+Tabla2[[#This Row],[Stock Inventario]]*Tabla2[[#This Row],[Coste LÃ­nea]]</f>
        <v>164401.20000000001</v>
      </c>
      <c r="M4421" s="24">
        <f>+Tabla2[[#This Row],[Variación Stock]]*Tabla2[[#This Row],[Coste LÃ­nea]]</f>
        <v>0</v>
      </c>
      <c r="N4421" s="22" t="str">
        <f>+IF(Tabla2[[#This Row],[Variación Stock]]&gt;0,"Sobrante",IF(Tabla2[[#This Row],[Variación Stock]]&lt;0,"Faltante","Sin novedad"))</f>
        <v>Sin novedad</v>
      </c>
    </row>
    <row r="4422" spans="1:14" x14ac:dyDescent="0.25">
      <c r="A4422" s="11">
        <v>46064</v>
      </c>
      <c r="B4422" s="5" t="s">
        <v>1083</v>
      </c>
      <c r="C4422" s="3" t="s">
        <v>339</v>
      </c>
      <c r="D4422" s="5" t="s">
        <v>111</v>
      </c>
      <c r="E4422" s="5" t="s">
        <v>112</v>
      </c>
      <c r="F4422" s="6" t="s">
        <v>41</v>
      </c>
      <c r="G4422" s="4" t="s">
        <v>0</v>
      </c>
      <c r="H4422" s="25">
        <v>2904.0416666699998</v>
      </c>
      <c r="I4422" s="8">
        <v>20.02</v>
      </c>
      <c r="J4422" s="9">
        <v>20</v>
      </c>
      <c r="K4422" s="7">
        <v>0</v>
      </c>
      <c r="L4422" s="24">
        <f>+Tabla2[[#This Row],[Stock Inventario]]*Tabla2[[#This Row],[Coste LÃ­nea]]</f>
        <v>58080.833333399998</v>
      </c>
      <c r="M4422" s="24">
        <f>+Tabla2[[#This Row],[Variación Stock]]*Tabla2[[#This Row],[Coste LÃ­nea]]</f>
        <v>0</v>
      </c>
      <c r="N4422" s="22" t="str">
        <f>+IF(Tabla2[[#This Row],[Variación Stock]]&gt;0,"Sobrante",IF(Tabla2[[#This Row],[Variación Stock]]&lt;0,"Faltante","Sin novedad"))</f>
        <v>Sin novedad</v>
      </c>
    </row>
    <row r="4423" spans="1:14" x14ac:dyDescent="0.25">
      <c r="A4423" s="11">
        <v>46064</v>
      </c>
      <c r="B4423" s="5" t="s">
        <v>1083</v>
      </c>
      <c r="C4423" s="3" t="s">
        <v>339</v>
      </c>
      <c r="D4423" s="5" t="s">
        <v>114</v>
      </c>
      <c r="E4423" s="5" t="s">
        <v>112</v>
      </c>
      <c r="F4423" s="6" t="s">
        <v>146</v>
      </c>
      <c r="G4423" s="4" t="s">
        <v>2</v>
      </c>
      <c r="H4423" s="25">
        <v>0</v>
      </c>
      <c r="I4423" s="8">
        <v>0</v>
      </c>
      <c r="J4423" s="9">
        <v>0</v>
      </c>
      <c r="K4423" s="7">
        <v>0</v>
      </c>
      <c r="L4423" s="24">
        <f>+Tabla2[[#This Row],[Stock Inventario]]*Tabla2[[#This Row],[Coste LÃ­nea]]</f>
        <v>0</v>
      </c>
      <c r="M4423" s="24">
        <f>+Tabla2[[#This Row],[Variación Stock]]*Tabla2[[#This Row],[Coste LÃ­nea]]</f>
        <v>0</v>
      </c>
      <c r="N4423" s="22" t="str">
        <f>+IF(Tabla2[[#This Row],[Variación Stock]]&gt;0,"Sobrante",IF(Tabla2[[#This Row],[Variación Stock]]&lt;0,"Faltante","Sin novedad"))</f>
        <v>Sin novedad</v>
      </c>
    </row>
    <row r="4424" spans="1:14" x14ac:dyDescent="0.25">
      <c r="A4424" s="11">
        <v>46064</v>
      </c>
      <c r="B4424" s="5" t="s">
        <v>1083</v>
      </c>
      <c r="C4424" s="3" t="s">
        <v>339</v>
      </c>
      <c r="D4424" s="5" t="s">
        <v>114</v>
      </c>
      <c r="E4424" s="5" t="s">
        <v>112</v>
      </c>
      <c r="F4424" s="6" t="s">
        <v>147</v>
      </c>
      <c r="G4424" s="4" t="s">
        <v>2</v>
      </c>
      <c r="H4424" s="25">
        <v>3333.3333333300002</v>
      </c>
      <c r="I4424" s="8">
        <v>0</v>
      </c>
      <c r="J4424" s="9">
        <v>0</v>
      </c>
      <c r="K4424" s="7">
        <v>0</v>
      </c>
      <c r="L4424" s="24">
        <f>+Tabla2[[#This Row],[Stock Inventario]]*Tabla2[[#This Row],[Coste LÃ­nea]]</f>
        <v>0</v>
      </c>
      <c r="M4424" s="24">
        <f>+Tabla2[[#This Row],[Variación Stock]]*Tabla2[[#This Row],[Coste LÃ­nea]]</f>
        <v>0</v>
      </c>
      <c r="N4424" s="22" t="str">
        <f>+IF(Tabla2[[#This Row],[Variación Stock]]&gt;0,"Sobrante",IF(Tabla2[[#This Row],[Variación Stock]]&lt;0,"Faltante","Sin novedad"))</f>
        <v>Sin novedad</v>
      </c>
    </row>
    <row r="4425" spans="1:14" x14ac:dyDescent="0.25">
      <c r="A4425" s="11">
        <v>46064</v>
      </c>
      <c r="B4425" s="5" t="s">
        <v>1083</v>
      </c>
      <c r="C4425" s="3" t="s">
        <v>339</v>
      </c>
      <c r="D4425" s="5" t="s">
        <v>114</v>
      </c>
      <c r="E4425" s="5" t="s">
        <v>112</v>
      </c>
      <c r="F4425" s="6" t="s">
        <v>110</v>
      </c>
      <c r="G4425" s="4" t="s">
        <v>2</v>
      </c>
      <c r="H4425" s="25">
        <v>0</v>
      </c>
      <c r="I4425" s="8">
        <v>0</v>
      </c>
      <c r="J4425" s="9">
        <v>0</v>
      </c>
      <c r="K4425" s="7">
        <v>0</v>
      </c>
      <c r="L4425" s="24">
        <f>+Tabla2[[#This Row],[Stock Inventario]]*Tabla2[[#This Row],[Coste LÃ­nea]]</f>
        <v>0</v>
      </c>
      <c r="M4425" s="24">
        <f>+Tabla2[[#This Row],[Variación Stock]]*Tabla2[[#This Row],[Coste LÃ­nea]]</f>
        <v>0</v>
      </c>
      <c r="N4425" s="22" t="str">
        <f>+IF(Tabla2[[#This Row],[Variación Stock]]&gt;0,"Sobrante",IF(Tabla2[[#This Row],[Variación Stock]]&lt;0,"Faltante","Sin novedad"))</f>
        <v>Sin novedad</v>
      </c>
    </row>
    <row r="4426" spans="1:14" x14ac:dyDescent="0.25">
      <c r="A4426" s="11">
        <v>46064</v>
      </c>
      <c r="B4426" s="5" t="s">
        <v>1083</v>
      </c>
      <c r="C4426" s="3" t="s">
        <v>339</v>
      </c>
      <c r="D4426" s="5" t="s">
        <v>111</v>
      </c>
      <c r="E4426" s="5" t="s">
        <v>112</v>
      </c>
      <c r="F4426" s="6" t="s">
        <v>113</v>
      </c>
      <c r="G4426" s="4" t="s">
        <v>0</v>
      </c>
      <c r="H4426" s="25">
        <v>20566.318181819999</v>
      </c>
      <c r="I4426" s="8">
        <v>30.14</v>
      </c>
      <c r="J4426" s="9">
        <v>30</v>
      </c>
      <c r="K4426" s="7">
        <v>0</v>
      </c>
      <c r="L4426" s="24">
        <f>+Tabla2[[#This Row],[Stock Inventario]]*Tabla2[[#This Row],[Coste LÃ­nea]]</f>
        <v>616989.54545460001</v>
      </c>
      <c r="M4426" s="24">
        <f>+Tabla2[[#This Row],[Variación Stock]]*Tabla2[[#This Row],[Coste LÃ­nea]]</f>
        <v>0</v>
      </c>
      <c r="N4426" s="22" t="str">
        <f>+IF(Tabla2[[#This Row],[Variación Stock]]&gt;0,"Sobrante",IF(Tabla2[[#This Row],[Variación Stock]]&lt;0,"Faltante","Sin novedad"))</f>
        <v>Sin novedad</v>
      </c>
    </row>
    <row r="4427" spans="1:14" x14ac:dyDescent="0.25">
      <c r="A4427" s="11">
        <v>46064</v>
      </c>
      <c r="B4427" s="5" t="s">
        <v>1083</v>
      </c>
      <c r="C4427" s="3" t="s">
        <v>339</v>
      </c>
      <c r="D4427" s="5" t="s">
        <v>111</v>
      </c>
      <c r="E4427" s="5" t="s">
        <v>112</v>
      </c>
      <c r="F4427" s="6" t="s">
        <v>34</v>
      </c>
      <c r="G4427" s="4" t="s">
        <v>0</v>
      </c>
      <c r="H4427" s="25">
        <v>5941.2272727299996</v>
      </c>
      <c r="I4427" s="8">
        <v>49.15</v>
      </c>
      <c r="J4427" s="9">
        <v>49</v>
      </c>
      <c r="K4427" s="7">
        <v>0</v>
      </c>
      <c r="L4427" s="24">
        <f>+Tabla2[[#This Row],[Stock Inventario]]*Tabla2[[#This Row],[Coste LÃ­nea]]</f>
        <v>291120.13636377</v>
      </c>
      <c r="M4427" s="24">
        <f>+Tabla2[[#This Row],[Variación Stock]]*Tabla2[[#This Row],[Coste LÃ­nea]]</f>
        <v>0</v>
      </c>
      <c r="N4427" s="22" t="str">
        <f>+IF(Tabla2[[#This Row],[Variación Stock]]&gt;0,"Sobrante",IF(Tabla2[[#This Row],[Variación Stock]]&lt;0,"Faltante","Sin novedad"))</f>
        <v>Sin novedad</v>
      </c>
    </row>
    <row r="4428" spans="1:14" x14ac:dyDescent="0.25">
      <c r="A4428" s="11">
        <v>46064</v>
      </c>
      <c r="B4428" s="5" t="s">
        <v>1083</v>
      </c>
      <c r="C4428" s="3" t="s">
        <v>339</v>
      </c>
      <c r="D4428" s="5" t="s">
        <v>121</v>
      </c>
      <c r="E4428" s="5" t="s">
        <v>112</v>
      </c>
      <c r="F4428" s="6" t="s">
        <v>334</v>
      </c>
      <c r="G4428" s="4" t="s">
        <v>0</v>
      </c>
      <c r="H4428" s="25">
        <v>2164.9723335899998</v>
      </c>
      <c r="I4428" s="8">
        <v>20.22</v>
      </c>
      <c r="J4428" s="9">
        <v>20</v>
      </c>
      <c r="K4428" s="7">
        <v>0</v>
      </c>
      <c r="L4428" s="24">
        <f>+Tabla2[[#This Row],[Stock Inventario]]*Tabla2[[#This Row],[Coste LÃ­nea]]</f>
        <v>43299.446671799997</v>
      </c>
      <c r="M4428" s="24">
        <f>+Tabla2[[#This Row],[Variación Stock]]*Tabla2[[#This Row],[Coste LÃ­nea]]</f>
        <v>0</v>
      </c>
      <c r="N4428" s="22" t="str">
        <f>+IF(Tabla2[[#This Row],[Variación Stock]]&gt;0,"Sobrante",IF(Tabla2[[#This Row],[Variación Stock]]&lt;0,"Faltante","Sin novedad"))</f>
        <v>Sin novedad</v>
      </c>
    </row>
    <row r="4429" spans="1:14" x14ac:dyDescent="0.25">
      <c r="A4429" s="11">
        <v>46064</v>
      </c>
      <c r="B4429" s="5" t="s">
        <v>1083</v>
      </c>
      <c r="C4429" s="3" t="s">
        <v>339</v>
      </c>
      <c r="D4429" s="5" t="s">
        <v>111</v>
      </c>
      <c r="E4429" s="5" t="s">
        <v>112</v>
      </c>
      <c r="F4429" s="6" t="s">
        <v>381</v>
      </c>
      <c r="G4429" s="4" t="s">
        <v>0</v>
      </c>
      <c r="H4429" s="25">
        <v>4.5454550000000003E-2</v>
      </c>
      <c r="I4429" s="8">
        <v>58.32</v>
      </c>
      <c r="J4429" s="9">
        <v>58</v>
      </c>
      <c r="K4429" s="7">
        <v>0</v>
      </c>
      <c r="L4429" s="24">
        <f>+Tabla2[[#This Row],[Stock Inventario]]*Tabla2[[#This Row],[Coste LÃ­nea]]</f>
        <v>2.6363639000000001</v>
      </c>
      <c r="M4429" s="24">
        <f>+Tabla2[[#This Row],[Variación Stock]]*Tabla2[[#This Row],[Coste LÃ­nea]]</f>
        <v>0</v>
      </c>
      <c r="N4429" s="22" t="str">
        <f>+IF(Tabla2[[#This Row],[Variación Stock]]&gt;0,"Sobrante",IF(Tabla2[[#This Row],[Variación Stock]]&lt;0,"Faltante","Sin novedad"))</f>
        <v>Sin novedad</v>
      </c>
    </row>
    <row r="4430" spans="1:14" x14ac:dyDescent="0.25">
      <c r="A4430" s="11">
        <v>46064</v>
      </c>
      <c r="B4430" s="5" t="s">
        <v>1083</v>
      </c>
      <c r="C4430" s="3" t="s">
        <v>339</v>
      </c>
      <c r="D4430" s="5" t="s">
        <v>114</v>
      </c>
      <c r="E4430" s="5" t="s">
        <v>112</v>
      </c>
      <c r="F4430" s="6" t="s">
        <v>63</v>
      </c>
      <c r="G4430" s="4" t="s">
        <v>2</v>
      </c>
      <c r="H4430" s="25">
        <v>1395.83333333</v>
      </c>
      <c r="I4430" s="8">
        <v>12</v>
      </c>
      <c r="J4430" s="9">
        <v>12</v>
      </c>
      <c r="K4430" s="7">
        <v>0</v>
      </c>
      <c r="L4430" s="24">
        <f>+Tabla2[[#This Row],[Stock Inventario]]*Tabla2[[#This Row],[Coste LÃ­nea]]</f>
        <v>16749.99999996</v>
      </c>
      <c r="M4430" s="24">
        <f>+Tabla2[[#This Row],[Variación Stock]]*Tabla2[[#This Row],[Coste LÃ­nea]]</f>
        <v>0</v>
      </c>
      <c r="N4430" s="22" t="str">
        <f>+IF(Tabla2[[#This Row],[Variación Stock]]&gt;0,"Sobrante",IF(Tabla2[[#This Row],[Variación Stock]]&lt;0,"Faltante","Sin novedad"))</f>
        <v>Sin novedad</v>
      </c>
    </row>
    <row r="4431" spans="1:14" x14ac:dyDescent="0.25">
      <c r="A4431" s="11">
        <v>46064</v>
      </c>
      <c r="B4431" s="5" t="s">
        <v>1083</v>
      </c>
      <c r="C4431" s="3" t="s">
        <v>339</v>
      </c>
      <c r="D4431" s="5" t="s">
        <v>114</v>
      </c>
      <c r="E4431" s="5" t="s">
        <v>112</v>
      </c>
      <c r="F4431" s="6" t="s">
        <v>233</v>
      </c>
      <c r="G4431" s="4" t="s">
        <v>2</v>
      </c>
      <c r="H4431" s="25">
        <v>1860.01</v>
      </c>
      <c r="I4431" s="8">
        <v>0</v>
      </c>
      <c r="J4431" s="9">
        <v>0</v>
      </c>
      <c r="K4431" s="7">
        <v>0</v>
      </c>
      <c r="L4431" s="24">
        <f>+Tabla2[[#This Row],[Stock Inventario]]*Tabla2[[#This Row],[Coste LÃ­nea]]</f>
        <v>0</v>
      </c>
      <c r="M4431" s="24">
        <f>+Tabla2[[#This Row],[Variación Stock]]*Tabla2[[#This Row],[Coste LÃ­nea]]</f>
        <v>0</v>
      </c>
      <c r="N4431" s="22" t="str">
        <f>+IF(Tabla2[[#This Row],[Variación Stock]]&gt;0,"Sobrante",IF(Tabla2[[#This Row],[Variación Stock]]&lt;0,"Faltante","Sin novedad"))</f>
        <v>Sin novedad</v>
      </c>
    </row>
    <row r="4432" spans="1:14" x14ac:dyDescent="0.25">
      <c r="A4432" s="11">
        <v>46064</v>
      </c>
      <c r="B4432" s="5" t="s">
        <v>1083</v>
      </c>
      <c r="C4432" s="3" t="s">
        <v>339</v>
      </c>
      <c r="D4432" s="5" t="s">
        <v>111</v>
      </c>
      <c r="E4432" s="5" t="s">
        <v>112</v>
      </c>
      <c r="F4432" s="6" t="s">
        <v>22</v>
      </c>
      <c r="G4432" s="4" t="s">
        <v>0</v>
      </c>
      <c r="H4432" s="25">
        <v>13020.86363636</v>
      </c>
      <c r="I4432" s="8">
        <v>42.5</v>
      </c>
      <c r="J4432" s="9">
        <v>42</v>
      </c>
      <c r="K4432" s="7">
        <v>0</v>
      </c>
      <c r="L4432" s="24">
        <f>+Tabla2[[#This Row],[Stock Inventario]]*Tabla2[[#This Row],[Coste LÃ­nea]]</f>
        <v>546876.27272711997</v>
      </c>
      <c r="M4432" s="24">
        <f>+Tabla2[[#This Row],[Variación Stock]]*Tabla2[[#This Row],[Coste LÃ­nea]]</f>
        <v>0</v>
      </c>
      <c r="N4432" s="22" t="str">
        <f>+IF(Tabla2[[#This Row],[Variación Stock]]&gt;0,"Sobrante",IF(Tabla2[[#This Row],[Variación Stock]]&lt;0,"Faltante","Sin novedad"))</f>
        <v>Sin novedad</v>
      </c>
    </row>
    <row r="4433" spans="1:14" x14ac:dyDescent="0.25">
      <c r="A4433" s="11">
        <v>46064</v>
      </c>
      <c r="B4433" s="5" t="s">
        <v>1083</v>
      </c>
      <c r="C4433" s="3" t="s">
        <v>339</v>
      </c>
      <c r="D4433" s="5" t="s">
        <v>111</v>
      </c>
      <c r="E4433" s="5" t="s">
        <v>112</v>
      </c>
      <c r="F4433" s="6" t="s">
        <v>46</v>
      </c>
      <c r="G4433" s="4" t="s">
        <v>0</v>
      </c>
      <c r="H4433" s="25">
        <v>2056.3333333300002</v>
      </c>
      <c r="I4433" s="8">
        <v>37.5</v>
      </c>
      <c r="J4433" s="9">
        <v>37</v>
      </c>
      <c r="K4433" s="7">
        <v>0</v>
      </c>
      <c r="L4433" s="24">
        <f>+Tabla2[[#This Row],[Stock Inventario]]*Tabla2[[#This Row],[Coste LÃ­nea]]</f>
        <v>76084.333333210001</v>
      </c>
      <c r="M4433" s="24">
        <f>+Tabla2[[#This Row],[Variación Stock]]*Tabla2[[#This Row],[Coste LÃ­nea]]</f>
        <v>0</v>
      </c>
      <c r="N4433" s="22" t="str">
        <f>+IF(Tabla2[[#This Row],[Variación Stock]]&gt;0,"Sobrante",IF(Tabla2[[#This Row],[Variación Stock]]&lt;0,"Faltante","Sin novedad"))</f>
        <v>Sin novedad</v>
      </c>
    </row>
    <row r="4434" spans="1:14" x14ac:dyDescent="0.25">
      <c r="A4434" s="11">
        <v>46064</v>
      </c>
      <c r="B4434" s="5" t="s">
        <v>1083</v>
      </c>
      <c r="C4434" s="3" t="s">
        <v>339</v>
      </c>
      <c r="D4434" s="5" t="s">
        <v>114</v>
      </c>
      <c r="E4434" s="5" t="s">
        <v>112</v>
      </c>
      <c r="F4434" s="6" t="s">
        <v>62</v>
      </c>
      <c r="G4434" s="4" t="s">
        <v>2</v>
      </c>
      <c r="H4434" s="25">
        <v>1654.07134292</v>
      </c>
      <c r="I4434" s="8">
        <v>37</v>
      </c>
      <c r="J4434" s="9">
        <v>37</v>
      </c>
      <c r="K4434" s="7">
        <v>0</v>
      </c>
      <c r="L4434" s="24">
        <f>+Tabla2[[#This Row],[Stock Inventario]]*Tabla2[[#This Row],[Coste LÃ­nea]]</f>
        <v>61200.639688039999</v>
      </c>
      <c r="M4434" s="24">
        <f>+Tabla2[[#This Row],[Variación Stock]]*Tabla2[[#This Row],[Coste LÃ­nea]]</f>
        <v>0</v>
      </c>
      <c r="N4434" s="22" t="str">
        <f>+IF(Tabla2[[#This Row],[Variación Stock]]&gt;0,"Sobrante",IF(Tabla2[[#This Row],[Variación Stock]]&lt;0,"Faltante","Sin novedad"))</f>
        <v>Sin novedad</v>
      </c>
    </row>
    <row r="4435" spans="1:14" x14ac:dyDescent="0.25">
      <c r="A4435" s="11">
        <v>46064</v>
      </c>
      <c r="B4435" s="5" t="s">
        <v>1083</v>
      </c>
      <c r="C4435" s="3" t="s">
        <v>339</v>
      </c>
      <c r="D4435" s="5" t="s">
        <v>111</v>
      </c>
      <c r="E4435" s="5" t="s">
        <v>112</v>
      </c>
      <c r="F4435" s="6" t="s">
        <v>36</v>
      </c>
      <c r="G4435" s="4" t="s">
        <v>0</v>
      </c>
      <c r="H4435" s="25">
        <v>3951.875</v>
      </c>
      <c r="I4435" s="8">
        <v>107</v>
      </c>
      <c r="J4435" s="9">
        <v>107</v>
      </c>
      <c r="K4435" s="7">
        <v>0</v>
      </c>
      <c r="L4435" s="24">
        <f>+Tabla2[[#This Row],[Stock Inventario]]*Tabla2[[#This Row],[Coste LÃ­nea]]</f>
        <v>422850.625</v>
      </c>
      <c r="M4435" s="24">
        <f>+Tabla2[[#This Row],[Variación Stock]]*Tabla2[[#This Row],[Coste LÃ­nea]]</f>
        <v>0</v>
      </c>
      <c r="N4435" s="22" t="str">
        <f>+IF(Tabla2[[#This Row],[Variación Stock]]&gt;0,"Sobrante",IF(Tabla2[[#This Row],[Variación Stock]]&lt;0,"Faltante","Sin novedad"))</f>
        <v>Sin novedad</v>
      </c>
    </row>
    <row r="4436" spans="1:14" x14ac:dyDescent="0.25">
      <c r="A4436" s="11">
        <v>46064</v>
      </c>
      <c r="B4436" s="5" t="s">
        <v>1083</v>
      </c>
      <c r="C4436" s="3" t="s">
        <v>339</v>
      </c>
      <c r="D4436" s="5" t="s">
        <v>118</v>
      </c>
      <c r="E4436" s="5" t="s">
        <v>112</v>
      </c>
      <c r="F4436" s="6" t="s">
        <v>306</v>
      </c>
      <c r="G4436" s="4" t="s">
        <v>81</v>
      </c>
      <c r="H4436" s="25">
        <v>9702</v>
      </c>
      <c r="I4436" s="8">
        <v>27</v>
      </c>
      <c r="J4436" s="9">
        <v>26</v>
      </c>
      <c r="K4436" s="7">
        <v>-1</v>
      </c>
      <c r="L4436" s="24">
        <f>+Tabla2[[#This Row],[Stock Inventario]]*Tabla2[[#This Row],[Coste LÃ­nea]]</f>
        <v>252252</v>
      </c>
      <c r="M4436" s="24">
        <f>+Tabla2[[#This Row],[Variación Stock]]*Tabla2[[#This Row],[Coste LÃ­nea]]</f>
        <v>-9702</v>
      </c>
      <c r="N4436" s="22" t="str">
        <f>+IF(Tabla2[[#This Row],[Variación Stock]]&gt;0,"Sobrante",IF(Tabla2[[#This Row],[Variación Stock]]&lt;0,"Faltante","Sin novedad"))</f>
        <v>Faltante</v>
      </c>
    </row>
    <row r="4437" spans="1:14" x14ac:dyDescent="0.25">
      <c r="A4437" s="11">
        <v>46064</v>
      </c>
      <c r="B4437" s="5" t="s">
        <v>1083</v>
      </c>
      <c r="C4437" s="3" t="s">
        <v>339</v>
      </c>
      <c r="D4437" s="5" t="s">
        <v>114</v>
      </c>
      <c r="E4437" s="5" t="s">
        <v>112</v>
      </c>
      <c r="F4437" s="6" t="s">
        <v>148</v>
      </c>
      <c r="G4437" s="4" t="s">
        <v>2</v>
      </c>
      <c r="H4437" s="25">
        <v>0</v>
      </c>
      <c r="I4437" s="8">
        <v>0</v>
      </c>
      <c r="J4437" s="9">
        <v>0</v>
      </c>
      <c r="K4437" s="7">
        <v>0</v>
      </c>
      <c r="L4437" s="24">
        <f>+Tabla2[[#This Row],[Stock Inventario]]*Tabla2[[#This Row],[Coste LÃ­nea]]</f>
        <v>0</v>
      </c>
      <c r="M4437" s="24">
        <f>+Tabla2[[#This Row],[Variación Stock]]*Tabla2[[#This Row],[Coste LÃ­nea]]</f>
        <v>0</v>
      </c>
      <c r="N4437" s="22" t="str">
        <f>+IF(Tabla2[[#This Row],[Variación Stock]]&gt;0,"Sobrante",IF(Tabla2[[#This Row],[Variación Stock]]&lt;0,"Faltante","Sin novedad"))</f>
        <v>Sin novedad</v>
      </c>
    </row>
    <row r="4438" spans="1:14" x14ac:dyDescent="0.25">
      <c r="A4438" s="11">
        <v>46064</v>
      </c>
      <c r="B4438" s="5" t="s">
        <v>1083</v>
      </c>
      <c r="C4438" s="3" t="s">
        <v>339</v>
      </c>
      <c r="D4438" s="5" t="s">
        <v>114</v>
      </c>
      <c r="E4438" s="5" t="s">
        <v>112</v>
      </c>
      <c r="F4438" s="6" t="s">
        <v>64</v>
      </c>
      <c r="G4438" s="4" t="s">
        <v>2</v>
      </c>
      <c r="H4438" s="25">
        <v>5132.5</v>
      </c>
      <c r="I4438" s="8">
        <v>12</v>
      </c>
      <c r="J4438" s="9">
        <v>12</v>
      </c>
      <c r="K4438" s="7">
        <v>0</v>
      </c>
      <c r="L4438" s="24">
        <f>+Tabla2[[#This Row],[Stock Inventario]]*Tabla2[[#This Row],[Coste LÃ­nea]]</f>
        <v>61590</v>
      </c>
      <c r="M4438" s="24">
        <f>+Tabla2[[#This Row],[Variación Stock]]*Tabla2[[#This Row],[Coste LÃ­nea]]</f>
        <v>0</v>
      </c>
      <c r="N4438" s="22" t="str">
        <f>+IF(Tabla2[[#This Row],[Variación Stock]]&gt;0,"Sobrante",IF(Tabla2[[#This Row],[Variación Stock]]&lt;0,"Faltante","Sin novedad"))</f>
        <v>Sin novedad</v>
      </c>
    </row>
    <row r="4439" spans="1:14" x14ac:dyDescent="0.25">
      <c r="A4439" s="11">
        <v>46064</v>
      </c>
      <c r="B4439" s="5" t="s">
        <v>1083</v>
      </c>
      <c r="C4439" s="3" t="s">
        <v>339</v>
      </c>
      <c r="D4439" s="5" t="s">
        <v>114</v>
      </c>
      <c r="E4439" s="5" t="s">
        <v>112</v>
      </c>
      <c r="F4439" s="6" t="s">
        <v>373</v>
      </c>
      <c r="G4439" s="4" t="s">
        <v>2</v>
      </c>
      <c r="H4439" s="25">
        <v>2120.83</v>
      </c>
      <c r="I4439" s="8">
        <v>0</v>
      </c>
      <c r="J4439" s="9">
        <v>0</v>
      </c>
      <c r="K4439" s="7">
        <v>0</v>
      </c>
      <c r="L4439" s="24">
        <f>+Tabla2[[#This Row],[Stock Inventario]]*Tabla2[[#This Row],[Coste LÃ­nea]]</f>
        <v>0</v>
      </c>
      <c r="M4439" s="24">
        <f>+Tabla2[[#This Row],[Variación Stock]]*Tabla2[[#This Row],[Coste LÃ­nea]]</f>
        <v>0</v>
      </c>
      <c r="N4439" s="22" t="str">
        <f>+IF(Tabla2[[#This Row],[Variación Stock]]&gt;0,"Sobrante",IF(Tabla2[[#This Row],[Variación Stock]]&lt;0,"Faltante","Sin novedad"))</f>
        <v>Sin novedad</v>
      </c>
    </row>
    <row r="4440" spans="1:14" x14ac:dyDescent="0.25">
      <c r="A4440" s="11">
        <v>46064</v>
      </c>
      <c r="B4440" s="5" t="s">
        <v>1083</v>
      </c>
      <c r="C4440" s="3" t="s">
        <v>339</v>
      </c>
      <c r="D4440" s="5" t="s">
        <v>114</v>
      </c>
      <c r="E4440" s="5" t="s">
        <v>112</v>
      </c>
      <c r="F4440" s="6" t="s">
        <v>289</v>
      </c>
      <c r="G4440" s="4" t="s">
        <v>2</v>
      </c>
      <c r="H4440" s="25">
        <v>6387</v>
      </c>
      <c r="I4440" s="8">
        <v>5</v>
      </c>
      <c r="J4440" s="9">
        <v>5</v>
      </c>
      <c r="K4440" s="7">
        <v>0</v>
      </c>
      <c r="L4440" s="24">
        <f>+Tabla2[[#This Row],[Stock Inventario]]*Tabla2[[#This Row],[Coste LÃ­nea]]</f>
        <v>31935</v>
      </c>
      <c r="M4440" s="24">
        <f>+Tabla2[[#This Row],[Variación Stock]]*Tabla2[[#This Row],[Coste LÃ­nea]]</f>
        <v>0</v>
      </c>
      <c r="N4440" s="22" t="str">
        <f>+IF(Tabla2[[#This Row],[Variación Stock]]&gt;0,"Sobrante",IF(Tabla2[[#This Row],[Variación Stock]]&lt;0,"Faltante","Sin novedad"))</f>
        <v>Sin novedad</v>
      </c>
    </row>
    <row r="4441" spans="1:14" x14ac:dyDescent="0.25">
      <c r="A4441" s="11">
        <v>46064</v>
      </c>
      <c r="B4441" s="5" t="s">
        <v>1083</v>
      </c>
      <c r="C4441" s="3" t="s">
        <v>339</v>
      </c>
      <c r="D4441" s="5" t="s">
        <v>114</v>
      </c>
      <c r="E4441" s="5" t="s">
        <v>112</v>
      </c>
      <c r="F4441" s="6" t="s">
        <v>70</v>
      </c>
      <c r="G4441" s="4" t="s">
        <v>2</v>
      </c>
      <c r="H4441" s="25">
        <v>1966.66666667</v>
      </c>
      <c r="I4441" s="8">
        <v>0</v>
      </c>
      <c r="J4441" s="9">
        <v>0</v>
      </c>
      <c r="K4441" s="7">
        <v>0</v>
      </c>
      <c r="L4441" s="24">
        <f>+Tabla2[[#This Row],[Stock Inventario]]*Tabla2[[#This Row],[Coste LÃ­nea]]</f>
        <v>0</v>
      </c>
      <c r="M4441" s="24">
        <f>+Tabla2[[#This Row],[Variación Stock]]*Tabla2[[#This Row],[Coste LÃ­nea]]</f>
        <v>0</v>
      </c>
      <c r="N4441" s="22" t="str">
        <f>+IF(Tabla2[[#This Row],[Variación Stock]]&gt;0,"Sobrante",IF(Tabla2[[#This Row],[Variación Stock]]&lt;0,"Faltante","Sin novedad"))</f>
        <v>Sin novedad</v>
      </c>
    </row>
    <row r="4442" spans="1:14" x14ac:dyDescent="0.25">
      <c r="A4442" s="11">
        <v>46064</v>
      </c>
      <c r="B4442" s="5" t="s">
        <v>1083</v>
      </c>
      <c r="C4442" s="3" t="s">
        <v>339</v>
      </c>
      <c r="D4442" s="5" t="s">
        <v>115</v>
      </c>
      <c r="E4442" s="5" t="s">
        <v>112</v>
      </c>
      <c r="F4442" s="6" t="s">
        <v>290</v>
      </c>
      <c r="G4442" s="4" t="s">
        <v>2</v>
      </c>
      <c r="H4442" s="25">
        <v>11900.27777778</v>
      </c>
      <c r="I4442" s="8">
        <v>12</v>
      </c>
      <c r="J4442" s="9">
        <v>12</v>
      </c>
      <c r="K4442" s="7">
        <v>0</v>
      </c>
      <c r="L4442" s="24">
        <f>+Tabla2[[#This Row],[Stock Inventario]]*Tabla2[[#This Row],[Coste LÃ­nea]]</f>
        <v>142803.33333336</v>
      </c>
      <c r="M4442" s="24">
        <f>+Tabla2[[#This Row],[Variación Stock]]*Tabla2[[#This Row],[Coste LÃ­nea]]</f>
        <v>0</v>
      </c>
      <c r="N4442" s="22" t="str">
        <f>+IF(Tabla2[[#This Row],[Variación Stock]]&gt;0,"Sobrante",IF(Tabla2[[#This Row],[Variación Stock]]&lt;0,"Faltante","Sin novedad"))</f>
        <v>Sin novedad</v>
      </c>
    </row>
    <row r="4443" spans="1:14" x14ac:dyDescent="0.25">
      <c r="A4443" s="11">
        <v>46064</v>
      </c>
      <c r="B4443" s="5" t="s">
        <v>1083</v>
      </c>
      <c r="C4443" s="3" t="s">
        <v>339</v>
      </c>
      <c r="D4443" s="5" t="s">
        <v>115</v>
      </c>
      <c r="E4443" s="5" t="s">
        <v>112</v>
      </c>
      <c r="F4443" s="6" t="s">
        <v>71</v>
      </c>
      <c r="G4443" s="4" t="s">
        <v>2</v>
      </c>
      <c r="H4443" s="25">
        <v>2455.2333333299998</v>
      </c>
      <c r="I4443" s="8">
        <v>34</v>
      </c>
      <c r="J4443" s="9">
        <v>34</v>
      </c>
      <c r="K4443" s="7">
        <v>0</v>
      </c>
      <c r="L4443" s="24">
        <f>+Tabla2[[#This Row],[Stock Inventario]]*Tabla2[[#This Row],[Coste LÃ­nea]]</f>
        <v>83477.933333219989</v>
      </c>
      <c r="M4443" s="24">
        <f>+Tabla2[[#This Row],[Variación Stock]]*Tabla2[[#This Row],[Coste LÃ­nea]]</f>
        <v>0</v>
      </c>
      <c r="N4443" s="22" t="str">
        <f>+IF(Tabla2[[#This Row],[Variación Stock]]&gt;0,"Sobrante",IF(Tabla2[[#This Row],[Variación Stock]]&lt;0,"Faltante","Sin novedad"))</f>
        <v>Sin novedad</v>
      </c>
    </row>
    <row r="4444" spans="1:14" x14ac:dyDescent="0.25">
      <c r="A4444" s="11">
        <v>46064</v>
      </c>
      <c r="B4444" s="5" t="s">
        <v>1083</v>
      </c>
      <c r="C4444" s="3" t="s">
        <v>339</v>
      </c>
      <c r="D4444" s="5" t="s">
        <v>115</v>
      </c>
      <c r="E4444" s="5" t="s">
        <v>112</v>
      </c>
      <c r="F4444" s="6" t="s">
        <v>72</v>
      </c>
      <c r="G4444" s="4" t="s">
        <v>2</v>
      </c>
      <c r="H4444" s="25">
        <v>2359.5666666699999</v>
      </c>
      <c r="I4444" s="8">
        <v>29</v>
      </c>
      <c r="J4444" s="9">
        <v>29</v>
      </c>
      <c r="K4444" s="7">
        <v>0</v>
      </c>
      <c r="L4444" s="24">
        <f>+Tabla2[[#This Row],[Stock Inventario]]*Tabla2[[#This Row],[Coste LÃ­nea]]</f>
        <v>68427.433333430003</v>
      </c>
      <c r="M4444" s="24">
        <f>+Tabla2[[#This Row],[Variación Stock]]*Tabla2[[#This Row],[Coste LÃ­nea]]</f>
        <v>0</v>
      </c>
      <c r="N4444" s="22" t="str">
        <f>+IF(Tabla2[[#This Row],[Variación Stock]]&gt;0,"Sobrante",IF(Tabla2[[#This Row],[Variación Stock]]&lt;0,"Faltante","Sin novedad"))</f>
        <v>Sin novedad</v>
      </c>
    </row>
    <row r="4445" spans="1:14" x14ac:dyDescent="0.25">
      <c r="A4445" s="11">
        <v>46064</v>
      </c>
      <c r="B4445" s="5" t="s">
        <v>1083</v>
      </c>
      <c r="C4445" s="3" t="s">
        <v>339</v>
      </c>
      <c r="D4445" s="5" t="s">
        <v>115</v>
      </c>
      <c r="E4445" s="5" t="s">
        <v>112</v>
      </c>
      <c r="F4445" s="6" t="s">
        <v>73</v>
      </c>
      <c r="G4445" s="4" t="s">
        <v>2</v>
      </c>
      <c r="H4445" s="25">
        <v>3300</v>
      </c>
      <c r="I4445" s="8">
        <v>52</v>
      </c>
      <c r="J4445" s="9">
        <v>52</v>
      </c>
      <c r="K4445" s="7">
        <v>0</v>
      </c>
      <c r="L4445" s="24">
        <f>+Tabla2[[#This Row],[Stock Inventario]]*Tabla2[[#This Row],[Coste LÃ­nea]]</f>
        <v>171600</v>
      </c>
      <c r="M4445" s="24">
        <f>+Tabla2[[#This Row],[Variación Stock]]*Tabla2[[#This Row],[Coste LÃ­nea]]</f>
        <v>0</v>
      </c>
      <c r="N4445" s="22" t="str">
        <f>+IF(Tabla2[[#This Row],[Variación Stock]]&gt;0,"Sobrante",IF(Tabla2[[#This Row],[Variación Stock]]&lt;0,"Faltante","Sin novedad"))</f>
        <v>Sin novedad</v>
      </c>
    </row>
    <row r="4446" spans="1:14" x14ac:dyDescent="0.25">
      <c r="A4446" s="11">
        <v>46064</v>
      </c>
      <c r="B4446" s="5" t="s">
        <v>1083</v>
      </c>
      <c r="C4446" s="3" t="s">
        <v>339</v>
      </c>
      <c r="D4446" s="5" t="s">
        <v>115</v>
      </c>
      <c r="E4446" s="5" t="s">
        <v>112</v>
      </c>
      <c r="F4446" s="6" t="s">
        <v>77</v>
      </c>
      <c r="G4446" s="4" t="s">
        <v>2</v>
      </c>
      <c r="H4446" s="25">
        <v>2773.5</v>
      </c>
      <c r="I4446" s="8">
        <v>21</v>
      </c>
      <c r="J4446" s="9">
        <v>21</v>
      </c>
      <c r="K4446" s="7">
        <v>0</v>
      </c>
      <c r="L4446" s="24">
        <f>+Tabla2[[#This Row],[Stock Inventario]]*Tabla2[[#This Row],[Coste LÃ­nea]]</f>
        <v>58243.5</v>
      </c>
      <c r="M4446" s="24">
        <f>+Tabla2[[#This Row],[Variación Stock]]*Tabla2[[#This Row],[Coste LÃ­nea]]</f>
        <v>0</v>
      </c>
      <c r="N4446" s="22" t="str">
        <f>+IF(Tabla2[[#This Row],[Variación Stock]]&gt;0,"Sobrante",IF(Tabla2[[#This Row],[Variación Stock]]&lt;0,"Faltante","Sin novedad"))</f>
        <v>Sin novedad</v>
      </c>
    </row>
    <row r="4447" spans="1:14" x14ac:dyDescent="0.25">
      <c r="A4447" s="11">
        <v>46064</v>
      </c>
      <c r="B4447" s="5" t="s">
        <v>1083</v>
      </c>
      <c r="C4447" s="3" t="s">
        <v>339</v>
      </c>
      <c r="D4447" s="5" t="s">
        <v>115</v>
      </c>
      <c r="E4447" s="5" t="s">
        <v>112</v>
      </c>
      <c r="F4447" s="6" t="s">
        <v>74</v>
      </c>
      <c r="G4447" s="4" t="s">
        <v>2</v>
      </c>
      <c r="H4447" s="25">
        <v>3603.3333333300002</v>
      </c>
      <c r="I4447" s="8">
        <v>46</v>
      </c>
      <c r="J4447" s="9">
        <v>46</v>
      </c>
      <c r="K4447" s="7">
        <v>0</v>
      </c>
      <c r="L4447" s="24">
        <f>+Tabla2[[#This Row],[Stock Inventario]]*Tabla2[[#This Row],[Coste LÃ­nea]]</f>
        <v>165753.33333317999</v>
      </c>
      <c r="M4447" s="24">
        <f>+Tabla2[[#This Row],[Variación Stock]]*Tabla2[[#This Row],[Coste LÃ­nea]]</f>
        <v>0</v>
      </c>
      <c r="N4447" s="22" t="str">
        <f>+IF(Tabla2[[#This Row],[Variación Stock]]&gt;0,"Sobrante",IF(Tabla2[[#This Row],[Variación Stock]]&lt;0,"Faltante","Sin novedad"))</f>
        <v>Sin novedad</v>
      </c>
    </row>
    <row r="4448" spans="1:14" x14ac:dyDescent="0.25">
      <c r="A4448" s="11">
        <v>46064</v>
      </c>
      <c r="B4448" s="5" t="s">
        <v>1083</v>
      </c>
      <c r="C4448" s="3" t="s">
        <v>339</v>
      </c>
      <c r="D4448" s="5" t="s">
        <v>115</v>
      </c>
      <c r="E4448" s="5" t="s">
        <v>112</v>
      </c>
      <c r="F4448" s="6" t="s">
        <v>291</v>
      </c>
      <c r="G4448" s="4" t="s">
        <v>2</v>
      </c>
      <c r="H4448" s="25">
        <v>4102.8333333299997</v>
      </c>
      <c r="I4448" s="8">
        <v>68</v>
      </c>
      <c r="J4448" s="9">
        <v>68</v>
      </c>
      <c r="K4448" s="7">
        <v>0</v>
      </c>
      <c r="L4448" s="24">
        <f>+Tabla2[[#This Row],[Stock Inventario]]*Tabla2[[#This Row],[Coste LÃ­nea]]</f>
        <v>278992.66666643997</v>
      </c>
      <c r="M4448" s="24">
        <f>+Tabla2[[#This Row],[Variación Stock]]*Tabla2[[#This Row],[Coste LÃ­nea]]</f>
        <v>0</v>
      </c>
      <c r="N4448" s="22" t="str">
        <f>+IF(Tabla2[[#This Row],[Variación Stock]]&gt;0,"Sobrante",IF(Tabla2[[#This Row],[Variación Stock]]&lt;0,"Faltante","Sin novedad"))</f>
        <v>Sin novedad</v>
      </c>
    </row>
    <row r="4449" spans="1:14" x14ac:dyDescent="0.25">
      <c r="A4449" s="11">
        <v>46064</v>
      </c>
      <c r="B4449" s="5" t="s">
        <v>1083</v>
      </c>
      <c r="C4449" s="3" t="s">
        <v>339</v>
      </c>
      <c r="D4449" s="5" t="s">
        <v>115</v>
      </c>
      <c r="E4449" s="5" t="s">
        <v>112</v>
      </c>
      <c r="F4449" s="6" t="s">
        <v>368</v>
      </c>
      <c r="G4449" s="4" t="s">
        <v>2</v>
      </c>
      <c r="H4449" s="25">
        <v>3099.6666666699998</v>
      </c>
      <c r="I4449" s="8">
        <v>0</v>
      </c>
      <c r="J4449" s="9">
        <v>0</v>
      </c>
      <c r="K4449" s="7">
        <v>0</v>
      </c>
      <c r="L4449" s="24">
        <f>+Tabla2[[#This Row],[Stock Inventario]]*Tabla2[[#This Row],[Coste LÃ­nea]]</f>
        <v>0</v>
      </c>
      <c r="M4449" s="24">
        <f>+Tabla2[[#This Row],[Variación Stock]]*Tabla2[[#This Row],[Coste LÃ­nea]]</f>
        <v>0</v>
      </c>
      <c r="N4449" s="22" t="str">
        <f>+IF(Tabla2[[#This Row],[Variación Stock]]&gt;0,"Sobrante",IF(Tabla2[[#This Row],[Variación Stock]]&lt;0,"Faltante","Sin novedad"))</f>
        <v>Sin novedad</v>
      </c>
    </row>
    <row r="4450" spans="1:14" x14ac:dyDescent="0.25">
      <c r="A4450" s="11">
        <v>46064</v>
      </c>
      <c r="B4450" s="5" t="s">
        <v>1083</v>
      </c>
      <c r="C4450" s="3" t="s">
        <v>339</v>
      </c>
      <c r="D4450" s="5" t="s">
        <v>115</v>
      </c>
      <c r="E4450" s="5" t="s">
        <v>112</v>
      </c>
      <c r="F4450" s="6" t="s">
        <v>76</v>
      </c>
      <c r="G4450" s="4" t="s">
        <v>2</v>
      </c>
      <c r="H4450" s="25">
        <v>3338.5</v>
      </c>
      <c r="I4450" s="8">
        <v>67</v>
      </c>
      <c r="J4450" s="9">
        <v>67</v>
      </c>
      <c r="K4450" s="7">
        <v>0</v>
      </c>
      <c r="L4450" s="24">
        <f>+Tabla2[[#This Row],[Stock Inventario]]*Tabla2[[#This Row],[Coste LÃ­nea]]</f>
        <v>223679.5</v>
      </c>
      <c r="M4450" s="24">
        <f>+Tabla2[[#This Row],[Variación Stock]]*Tabla2[[#This Row],[Coste LÃ­nea]]</f>
        <v>0</v>
      </c>
      <c r="N4450" s="22" t="str">
        <f>+IF(Tabla2[[#This Row],[Variación Stock]]&gt;0,"Sobrante",IF(Tabla2[[#This Row],[Variación Stock]]&lt;0,"Faltante","Sin novedad"))</f>
        <v>Sin novedad</v>
      </c>
    </row>
    <row r="4451" spans="1:14" x14ac:dyDescent="0.25">
      <c r="A4451" s="11">
        <v>46064</v>
      </c>
      <c r="B4451" s="5" t="s">
        <v>1083</v>
      </c>
      <c r="C4451" s="3" t="s">
        <v>339</v>
      </c>
      <c r="D4451" s="5" t="s">
        <v>115</v>
      </c>
      <c r="E4451" s="5" t="s">
        <v>112</v>
      </c>
      <c r="F4451" s="6" t="s">
        <v>153</v>
      </c>
      <c r="G4451" s="4" t="s">
        <v>2</v>
      </c>
      <c r="H4451" s="25">
        <v>3200</v>
      </c>
      <c r="I4451" s="8">
        <v>0</v>
      </c>
      <c r="J4451" s="9">
        <v>0</v>
      </c>
      <c r="K4451" s="7">
        <v>0</v>
      </c>
      <c r="L4451" s="24">
        <f>+Tabla2[[#This Row],[Stock Inventario]]*Tabla2[[#This Row],[Coste LÃ­nea]]</f>
        <v>0</v>
      </c>
      <c r="M4451" s="24">
        <f>+Tabla2[[#This Row],[Variación Stock]]*Tabla2[[#This Row],[Coste LÃ­nea]]</f>
        <v>0</v>
      </c>
      <c r="N4451" s="22" t="str">
        <f>+IF(Tabla2[[#This Row],[Variación Stock]]&gt;0,"Sobrante",IF(Tabla2[[#This Row],[Variación Stock]]&lt;0,"Faltante","Sin novedad"))</f>
        <v>Sin novedad</v>
      </c>
    </row>
    <row r="4452" spans="1:14" x14ac:dyDescent="0.25">
      <c r="A4452" s="11">
        <v>46064</v>
      </c>
      <c r="B4452" s="5" t="s">
        <v>1083</v>
      </c>
      <c r="C4452" s="3" t="s">
        <v>339</v>
      </c>
      <c r="D4452" s="5" t="s">
        <v>114</v>
      </c>
      <c r="E4452" s="5" t="s">
        <v>112</v>
      </c>
      <c r="F4452" s="6" t="s">
        <v>68</v>
      </c>
      <c r="G4452" s="4" t="s">
        <v>2</v>
      </c>
      <c r="H4452" s="25">
        <v>5313.1666666700003</v>
      </c>
      <c r="I4452" s="8">
        <v>20</v>
      </c>
      <c r="J4452" s="9">
        <v>18</v>
      </c>
      <c r="K4452" s="7">
        <v>-2</v>
      </c>
      <c r="L4452" s="24">
        <f>+Tabla2[[#This Row],[Stock Inventario]]*Tabla2[[#This Row],[Coste LÃ­nea]]</f>
        <v>95637.000000060012</v>
      </c>
      <c r="M4452" s="24">
        <f>+Tabla2[[#This Row],[Variación Stock]]*Tabla2[[#This Row],[Coste LÃ­nea]]</f>
        <v>-10626.333333340001</v>
      </c>
      <c r="N4452" s="22" t="str">
        <f>+IF(Tabla2[[#This Row],[Variación Stock]]&gt;0,"Sobrante",IF(Tabla2[[#This Row],[Variación Stock]]&lt;0,"Faltante","Sin novedad"))</f>
        <v>Faltante</v>
      </c>
    </row>
    <row r="4453" spans="1:14" x14ac:dyDescent="0.25">
      <c r="A4453" s="11">
        <v>46064</v>
      </c>
      <c r="B4453" s="5" t="s">
        <v>1083</v>
      </c>
      <c r="C4453" s="3" t="s">
        <v>339</v>
      </c>
      <c r="D4453" s="5" t="s">
        <v>115</v>
      </c>
      <c r="E4453" s="5" t="s">
        <v>112</v>
      </c>
      <c r="F4453" s="6" t="s">
        <v>78</v>
      </c>
      <c r="G4453" s="4" t="s">
        <v>2</v>
      </c>
      <c r="H4453" s="25">
        <v>3261.8333333300002</v>
      </c>
      <c r="I4453" s="8">
        <v>5</v>
      </c>
      <c r="J4453" s="9">
        <v>5</v>
      </c>
      <c r="K4453" s="7">
        <v>0</v>
      </c>
      <c r="L4453" s="24">
        <f>+Tabla2[[#This Row],[Stock Inventario]]*Tabla2[[#This Row],[Coste LÃ­nea]]</f>
        <v>16309.16666665</v>
      </c>
      <c r="M4453" s="24">
        <f>+Tabla2[[#This Row],[Variación Stock]]*Tabla2[[#This Row],[Coste LÃ­nea]]</f>
        <v>0</v>
      </c>
      <c r="N4453" s="22" t="str">
        <f>+IF(Tabla2[[#This Row],[Variación Stock]]&gt;0,"Sobrante",IF(Tabla2[[#This Row],[Variación Stock]]&lt;0,"Faltante","Sin novedad"))</f>
        <v>Sin novedad</v>
      </c>
    </row>
    <row r="4454" spans="1:14" hidden="1" x14ac:dyDescent="0.25">
      <c r="A4454" s="11">
        <v>46064</v>
      </c>
      <c r="B4454" s="5" t="s">
        <v>1083</v>
      </c>
      <c r="C4454" s="3" t="s">
        <v>339</v>
      </c>
      <c r="D4454" s="5" t="s">
        <v>119</v>
      </c>
      <c r="E4454" s="5" t="s">
        <v>117</v>
      </c>
      <c r="F4454" s="6" t="s">
        <v>95</v>
      </c>
      <c r="G4454" s="4" t="s">
        <v>1</v>
      </c>
      <c r="H4454" s="25">
        <v>39</v>
      </c>
      <c r="I4454" s="8">
        <v>16899.777600000001</v>
      </c>
      <c r="J4454" s="9">
        <v>21200</v>
      </c>
      <c r="K4454" s="15">
        <v>4300.2224470000001</v>
      </c>
      <c r="L4454" s="24">
        <f>+Tabla2[[#This Row],[Stock Inventario]]*Tabla2[[#This Row],[Coste LÃ­nea]]</f>
        <v>826800</v>
      </c>
      <c r="M4454" s="24">
        <f>+Tabla2[[#This Row],[Variación Stock]]*Tabla2[[#This Row],[Coste LÃ­nea]]</f>
        <v>167708.675433</v>
      </c>
      <c r="N4454" s="22" t="str">
        <f>+IF(Tabla2[[#This Row],[Variación Stock]]&gt;0,"Sobrante",IF(Tabla2[[#This Row],[Variación Stock]]&lt;0,"Faltante","Sin novedad"))</f>
        <v>Sobrante</v>
      </c>
    </row>
    <row r="4455" spans="1:14" hidden="1" x14ac:dyDescent="0.25">
      <c r="A4455" s="11">
        <v>46064</v>
      </c>
      <c r="B4455" s="5" t="s">
        <v>1083</v>
      </c>
      <c r="C4455" s="3" t="s">
        <v>339</v>
      </c>
      <c r="D4455" s="5" t="s">
        <v>119</v>
      </c>
      <c r="E4455" s="5" t="s">
        <v>117</v>
      </c>
      <c r="F4455" s="6" t="s">
        <v>94</v>
      </c>
      <c r="G4455" s="4" t="s">
        <v>2</v>
      </c>
      <c r="H4455" s="25">
        <v>1500</v>
      </c>
      <c r="I4455" s="8">
        <v>-726</v>
      </c>
      <c r="J4455" s="9">
        <v>81</v>
      </c>
      <c r="K4455" s="15">
        <v>807</v>
      </c>
      <c r="L4455" s="24">
        <f>+Tabla2[[#This Row],[Stock Inventario]]*Tabla2[[#This Row],[Coste LÃ­nea]]</f>
        <v>121500</v>
      </c>
      <c r="M4455" s="24">
        <f>+Tabla2[[#This Row],[Variación Stock]]*Tabla2[[#This Row],[Coste LÃ­nea]]</f>
        <v>1210500</v>
      </c>
      <c r="N4455" s="22" t="str">
        <f>+IF(Tabla2[[#This Row],[Variación Stock]]&gt;0,"Sobrante",IF(Tabla2[[#This Row],[Variación Stock]]&lt;0,"Faltante","Sin novedad"))</f>
        <v>Sobrante</v>
      </c>
    </row>
    <row r="4456" spans="1:14" hidden="1" x14ac:dyDescent="0.25">
      <c r="A4456" s="11">
        <v>46064</v>
      </c>
      <c r="B4456" s="5" t="s">
        <v>1083</v>
      </c>
      <c r="C4456" s="3" t="s">
        <v>339</v>
      </c>
      <c r="D4456" s="5" t="s">
        <v>120</v>
      </c>
      <c r="E4456" s="5" t="s">
        <v>117</v>
      </c>
      <c r="F4456" s="6" t="s">
        <v>316</v>
      </c>
      <c r="G4456" s="4" t="s">
        <v>2</v>
      </c>
      <c r="H4456" s="25">
        <v>1758.9063333300001</v>
      </c>
      <c r="I4456" s="8">
        <v>-61</v>
      </c>
      <c r="J4456" s="9">
        <v>62</v>
      </c>
      <c r="K4456" s="15">
        <v>123</v>
      </c>
      <c r="L4456" s="24">
        <f>+Tabla2[[#This Row],[Stock Inventario]]*Tabla2[[#This Row],[Coste LÃ­nea]]</f>
        <v>109052.19266646</v>
      </c>
      <c r="M4456" s="24">
        <f>+Tabla2[[#This Row],[Variación Stock]]*Tabla2[[#This Row],[Coste LÃ­nea]]</f>
        <v>216345.47899959001</v>
      </c>
      <c r="N4456" s="22" t="str">
        <f>+IF(Tabla2[[#This Row],[Variación Stock]]&gt;0,"Sobrante",IF(Tabla2[[#This Row],[Variación Stock]]&lt;0,"Faltante","Sin novedad"))</f>
        <v>Sobrante</v>
      </c>
    </row>
    <row r="4457" spans="1:14" hidden="1" x14ac:dyDescent="0.25">
      <c r="A4457" s="11">
        <v>46064</v>
      </c>
      <c r="B4457" s="5" t="s">
        <v>1083</v>
      </c>
      <c r="C4457" s="3" t="s">
        <v>339</v>
      </c>
      <c r="D4457" s="5" t="s">
        <v>119</v>
      </c>
      <c r="E4457" s="5" t="s">
        <v>117</v>
      </c>
      <c r="F4457" s="6" t="s">
        <v>11</v>
      </c>
      <c r="G4457" s="4" t="s">
        <v>2</v>
      </c>
      <c r="H4457" s="25">
        <v>436.01333333000002</v>
      </c>
      <c r="I4457" s="8">
        <v>185</v>
      </c>
      <c r="J4457" s="9">
        <v>291</v>
      </c>
      <c r="K4457" s="15">
        <v>106</v>
      </c>
      <c r="L4457" s="24">
        <f>+Tabla2[[#This Row],[Stock Inventario]]*Tabla2[[#This Row],[Coste LÃ­nea]]</f>
        <v>126879.87999903</v>
      </c>
      <c r="M4457" s="24">
        <f>+Tabla2[[#This Row],[Variación Stock]]*Tabla2[[#This Row],[Coste LÃ­nea]]</f>
        <v>46217.413332980002</v>
      </c>
      <c r="N4457" s="22" t="str">
        <f>+IF(Tabla2[[#This Row],[Variación Stock]]&gt;0,"Sobrante",IF(Tabla2[[#This Row],[Variación Stock]]&lt;0,"Faltante","Sin novedad"))</f>
        <v>Sobrante</v>
      </c>
    </row>
    <row r="4458" spans="1:14" hidden="1" x14ac:dyDescent="0.25">
      <c r="A4458" s="11">
        <v>46064</v>
      </c>
      <c r="B4458" s="5" t="s">
        <v>1083</v>
      </c>
      <c r="C4458" s="3" t="s">
        <v>339</v>
      </c>
      <c r="D4458" s="5" t="s">
        <v>116</v>
      </c>
      <c r="E4458" s="5" t="s">
        <v>117</v>
      </c>
      <c r="F4458" s="6" t="s">
        <v>6</v>
      </c>
      <c r="G4458" s="4" t="s">
        <v>2</v>
      </c>
      <c r="H4458" s="25">
        <v>8870</v>
      </c>
      <c r="I4458" s="8">
        <v>3.5</v>
      </c>
      <c r="J4458" s="9">
        <v>51</v>
      </c>
      <c r="K4458" s="7">
        <v>47.5</v>
      </c>
      <c r="L4458" s="24">
        <f>+Tabla2[[#This Row],[Stock Inventario]]*Tabla2[[#This Row],[Coste LÃ­nea]]</f>
        <v>452370</v>
      </c>
      <c r="M4458" s="24">
        <f>+Tabla2[[#This Row],[Variación Stock]]*Tabla2[[#This Row],[Coste LÃ­nea]]</f>
        <v>421325</v>
      </c>
      <c r="N4458" s="22" t="str">
        <f>+IF(Tabla2[[#This Row],[Variación Stock]]&gt;0,"Sobrante",IF(Tabla2[[#This Row],[Variación Stock]]&lt;0,"Faltante","Sin novedad"))</f>
        <v>Sobrante</v>
      </c>
    </row>
    <row r="4459" spans="1:14" hidden="1" x14ac:dyDescent="0.25">
      <c r="A4459" s="11">
        <v>46064</v>
      </c>
      <c r="B4459" s="5" t="s">
        <v>1083</v>
      </c>
      <c r="C4459" s="3" t="s">
        <v>339</v>
      </c>
      <c r="D4459" s="5" t="s">
        <v>120</v>
      </c>
      <c r="E4459" s="5" t="s">
        <v>117</v>
      </c>
      <c r="F4459" s="6" t="s">
        <v>322</v>
      </c>
      <c r="G4459" s="4" t="s">
        <v>2</v>
      </c>
      <c r="H4459" s="25">
        <v>1940.3180376099999</v>
      </c>
      <c r="I4459" s="8">
        <v>-19</v>
      </c>
      <c r="J4459" s="9">
        <v>7</v>
      </c>
      <c r="K4459" s="7">
        <v>26</v>
      </c>
      <c r="L4459" s="24">
        <f>+Tabla2[[#This Row],[Stock Inventario]]*Tabla2[[#This Row],[Coste LÃ­nea]]</f>
        <v>13582.22626327</v>
      </c>
      <c r="M4459" s="24">
        <f>+Tabla2[[#This Row],[Variación Stock]]*Tabla2[[#This Row],[Coste LÃ­nea]]</f>
        <v>50448.268977859996</v>
      </c>
      <c r="N4459" s="22" t="str">
        <f>+IF(Tabla2[[#This Row],[Variación Stock]]&gt;0,"Sobrante",IF(Tabla2[[#This Row],[Variación Stock]]&lt;0,"Faltante","Sin novedad"))</f>
        <v>Sobrante</v>
      </c>
    </row>
    <row r="4460" spans="1:14" hidden="1" x14ac:dyDescent="0.25">
      <c r="A4460" s="11">
        <v>46064</v>
      </c>
      <c r="B4460" s="5" t="s">
        <v>1083</v>
      </c>
      <c r="C4460" s="3" t="s">
        <v>339</v>
      </c>
      <c r="D4460" s="5" t="s">
        <v>120</v>
      </c>
      <c r="E4460" s="5" t="s">
        <v>117</v>
      </c>
      <c r="F4460" s="6" t="s">
        <v>376</v>
      </c>
      <c r="G4460" s="4" t="s">
        <v>2</v>
      </c>
      <c r="H4460" s="25">
        <v>2901.7923862100001</v>
      </c>
      <c r="I4460" s="8">
        <v>-13</v>
      </c>
      <c r="J4460" s="9">
        <v>12</v>
      </c>
      <c r="K4460" s="15">
        <v>25</v>
      </c>
      <c r="L4460" s="24">
        <f>+Tabla2[[#This Row],[Stock Inventario]]*Tabla2[[#This Row],[Coste LÃ­nea]]</f>
        <v>34821.508634520003</v>
      </c>
      <c r="M4460" s="24">
        <f>+Tabla2[[#This Row],[Variación Stock]]*Tabla2[[#This Row],[Coste LÃ­nea]]</f>
        <v>72544.809655250006</v>
      </c>
      <c r="N4460" s="22" t="str">
        <f>+IF(Tabla2[[#This Row],[Variación Stock]]&gt;0,"Sobrante",IF(Tabla2[[#This Row],[Variación Stock]]&lt;0,"Faltante","Sin novedad"))</f>
        <v>Sobrante</v>
      </c>
    </row>
    <row r="4461" spans="1:14" hidden="1" x14ac:dyDescent="0.25">
      <c r="A4461" s="11">
        <v>46064</v>
      </c>
      <c r="B4461" s="5" t="s">
        <v>1083</v>
      </c>
      <c r="C4461" s="3" t="s">
        <v>339</v>
      </c>
      <c r="D4461" s="5" t="s">
        <v>120</v>
      </c>
      <c r="E4461" s="5" t="s">
        <v>117</v>
      </c>
      <c r="F4461" s="6" t="s">
        <v>314</v>
      </c>
      <c r="G4461" s="4" t="s">
        <v>2</v>
      </c>
      <c r="H4461" s="25">
        <v>669.41413851000004</v>
      </c>
      <c r="I4461" s="8">
        <v>-12</v>
      </c>
      <c r="J4461" s="9">
        <v>0</v>
      </c>
      <c r="K4461" s="7">
        <v>12</v>
      </c>
      <c r="L4461" s="24">
        <f>+Tabla2[[#This Row],[Stock Inventario]]*Tabla2[[#This Row],[Coste LÃ­nea]]</f>
        <v>0</v>
      </c>
      <c r="M4461" s="24">
        <f>+Tabla2[[#This Row],[Variación Stock]]*Tabla2[[#This Row],[Coste LÃ­nea]]</f>
        <v>8032.9696621200001</v>
      </c>
      <c r="N4461" s="22" t="str">
        <f>+IF(Tabla2[[#This Row],[Variación Stock]]&gt;0,"Sobrante",IF(Tabla2[[#This Row],[Variación Stock]]&lt;0,"Faltante","Sin novedad"))</f>
        <v>Sobrante</v>
      </c>
    </row>
    <row r="4462" spans="1:14" hidden="1" x14ac:dyDescent="0.25">
      <c r="A4462" s="11">
        <v>46064</v>
      </c>
      <c r="B4462" s="5" t="s">
        <v>1083</v>
      </c>
      <c r="C4462" s="3" t="s">
        <v>339</v>
      </c>
      <c r="D4462" s="5" t="s">
        <v>120</v>
      </c>
      <c r="E4462" s="5" t="s">
        <v>117</v>
      </c>
      <c r="F4462" s="6" t="s">
        <v>318</v>
      </c>
      <c r="G4462" s="4" t="s">
        <v>2</v>
      </c>
      <c r="H4462" s="25">
        <v>5943.1887500000003</v>
      </c>
      <c r="I4462" s="8">
        <v>7</v>
      </c>
      <c r="J4462" s="9">
        <v>16</v>
      </c>
      <c r="K4462" s="7">
        <v>9</v>
      </c>
      <c r="L4462" s="24">
        <f>+Tabla2[[#This Row],[Stock Inventario]]*Tabla2[[#This Row],[Coste LÃ­nea]]</f>
        <v>95091.02</v>
      </c>
      <c r="M4462" s="24">
        <f>+Tabla2[[#This Row],[Variación Stock]]*Tabla2[[#This Row],[Coste LÃ­nea]]</f>
        <v>53488.698750000003</v>
      </c>
      <c r="N4462" s="22" t="str">
        <f>+IF(Tabla2[[#This Row],[Variación Stock]]&gt;0,"Sobrante",IF(Tabla2[[#This Row],[Variación Stock]]&lt;0,"Faltante","Sin novedad"))</f>
        <v>Sobrante</v>
      </c>
    </row>
    <row r="4463" spans="1:14" x14ac:dyDescent="0.25">
      <c r="A4463" s="11">
        <v>46064</v>
      </c>
      <c r="B4463" s="5" t="s">
        <v>1083</v>
      </c>
      <c r="C4463" s="3" t="s">
        <v>339</v>
      </c>
      <c r="D4463" s="5" t="s">
        <v>118</v>
      </c>
      <c r="E4463" s="5" t="s">
        <v>112</v>
      </c>
      <c r="F4463" s="6" t="s">
        <v>152</v>
      </c>
      <c r="G4463" s="4" t="s">
        <v>2</v>
      </c>
      <c r="H4463" s="25">
        <v>0</v>
      </c>
      <c r="I4463" s="8">
        <v>0</v>
      </c>
      <c r="J4463" s="9">
        <v>0</v>
      </c>
      <c r="K4463" s="7">
        <v>0</v>
      </c>
      <c r="L4463" s="24">
        <f>+Tabla2[[#This Row],[Stock Inventario]]*Tabla2[[#This Row],[Coste LÃ­nea]]</f>
        <v>0</v>
      </c>
      <c r="M4463" s="24">
        <f>+Tabla2[[#This Row],[Variación Stock]]*Tabla2[[#This Row],[Coste LÃ­nea]]</f>
        <v>0</v>
      </c>
      <c r="N4463" s="22" t="str">
        <f>+IF(Tabla2[[#This Row],[Variación Stock]]&gt;0,"Sobrante",IF(Tabla2[[#This Row],[Variación Stock]]&lt;0,"Faltante","Sin novedad"))</f>
        <v>Sin novedad</v>
      </c>
    </row>
    <row r="4464" spans="1:14" x14ac:dyDescent="0.25">
      <c r="A4464" s="11">
        <v>46064</v>
      </c>
      <c r="B4464" s="5" t="s">
        <v>1083</v>
      </c>
      <c r="C4464" s="3" t="s">
        <v>339</v>
      </c>
      <c r="D4464" s="5" t="s">
        <v>118</v>
      </c>
      <c r="E4464" s="5" t="s">
        <v>112</v>
      </c>
      <c r="F4464" s="6" t="s">
        <v>292</v>
      </c>
      <c r="G4464" s="4" t="s">
        <v>81</v>
      </c>
      <c r="H4464" s="25">
        <v>0</v>
      </c>
      <c r="I4464" s="8">
        <v>0</v>
      </c>
      <c r="J4464" s="9">
        <v>0</v>
      </c>
      <c r="K4464" s="7">
        <v>0</v>
      </c>
      <c r="L4464" s="24">
        <f>+Tabla2[[#This Row],[Stock Inventario]]*Tabla2[[#This Row],[Coste LÃ­nea]]</f>
        <v>0</v>
      </c>
      <c r="M4464" s="24">
        <f>+Tabla2[[#This Row],[Variación Stock]]*Tabla2[[#This Row],[Coste LÃ­nea]]</f>
        <v>0</v>
      </c>
      <c r="N4464" s="22" t="str">
        <f>+IF(Tabla2[[#This Row],[Variación Stock]]&gt;0,"Sobrante",IF(Tabla2[[#This Row],[Variación Stock]]&lt;0,"Faltante","Sin novedad"))</f>
        <v>Sin novedad</v>
      </c>
    </row>
    <row r="4465" spans="1:14" x14ac:dyDescent="0.25">
      <c r="A4465" s="11">
        <v>46064</v>
      </c>
      <c r="B4465" s="5" t="s">
        <v>1083</v>
      </c>
      <c r="C4465" s="3" t="s">
        <v>339</v>
      </c>
      <c r="D4465" s="5" t="s">
        <v>118</v>
      </c>
      <c r="E4465" s="5" t="s">
        <v>112</v>
      </c>
      <c r="F4465" s="6" t="s">
        <v>293</v>
      </c>
      <c r="G4465" s="4" t="s">
        <v>2</v>
      </c>
      <c r="H4465" s="25">
        <v>125043</v>
      </c>
      <c r="I4465" s="8">
        <v>1</v>
      </c>
      <c r="J4465" s="9">
        <v>1</v>
      </c>
      <c r="K4465" s="7">
        <v>0</v>
      </c>
      <c r="L4465" s="24">
        <f>+Tabla2[[#This Row],[Stock Inventario]]*Tabla2[[#This Row],[Coste LÃ­nea]]</f>
        <v>125043</v>
      </c>
      <c r="M4465" s="24">
        <f>+Tabla2[[#This Row],[Variación Stock]]*Tabla2[[#This Row],[Coste LÃ­nea]]</f>
        <v>0</v>
      </c>
      <c r="N4465" s="22" t="str">
        <f>+IF(Tabla2[[#This Row],[Variación Stock]]&gt;0,"Sobrante",IF(Tabla2[[#This Row],[Variación Stock]]&lt;0,"Faltante","Sin novedad"))</f>
        <v>Sin novedad</v>
      </c>
    </row>
    <row r="4466" spans="1:14" x14ac:dyDescent="0.25">
      <c r="A4466" s="11">
        <v>46064</v>
      </c>
      <c r="B4466" s="5" t="s">
        <v>1083</v>
      </c>
      <c r="C4466" s="3" t="s">
        <v>339</v>
      </c>
      <c r="D4466" s="5" t="s">
        <v>118</v>
      </c>
      <c r="E4466" s="5" t="s">
        <v>112</v>
      </c>
      <c r="F4466" s="6" t="s">
        <v>294</v>
      </c>
      <c r="G4466" s="4" t="s">
        <v>2</v>
      </c>
      <c r="H4466" s="25">
        <v>22425</v>
      </c>
      <c r="I4466" s="8">
        <v>0</v>
      </c>
      <c r="J4466" s="9">
        <v>0</v>
      </c>
      <c r="K4466" s="7">
        <v>0</v>
      </c>
      <c r="L4466" s="24">
        <f>+Tabla2[[#This Row],[Stock Inventario]]*Tabla2[[#This Row],[Coste LÃ­nea]]</f>
        <v>0</v>
      </c>
      <c r="M4466" s="24">
        <f>+Tabla2[[#This Row],[Variación Stock]]*Tabla2[[#This Row],[Coste LÃ­nea]]</f>
        <v>0</v>
      </c>
      <c r="N4466" s="22" t="str">
        <f>+IF(Tabla2[[#This Row],[Variación Stock]]&gt;0,"Sobrante",IF(Tabla2[[#This Row],[Variación Stock]]&lt;0,"Faltante","Sin novedad"))</f>
        <v>Sin novedad</v>
      </c>
    </row>
    <row r="4467" spans="1:14" x14ac:dyDescent="0.25">
      <c r="A4467" s="11">
        <v>46064</v>
      </c>
      <c r="B4467" s="5" t="s">
        <v>1083</v>
      </c>
      <c r="C4467" s="3" t="s">
        <v>339</v>
      </c>
      <c r="D4467" s="5" t="s">
        <v>118</v>
      </c>
      <c r="E4467" s="5" t="s">
        <v>112</v>
      </c>
      <c r="F4467" s="6" t="s">
        <v>1086</v>
      </c>
      <c r="G4467" s="4" t="s">
        <v>2</v>
      </c>
      <c r="H4467" s="25">
        <v>22425.5</v>
      </c>
      <c r="I4467" s="8">
        <v>4</v>
      </c>
      <c r="J4467" s="9">
        <v>4</v>
      </c>
      <c r="K4467" s="7">
        <v>0</v>
      </c>
      <c r="L4467" s="24">
        <f>+Tabla2[[#This Row],[Stock Inventario]]*Tabla2[[#This Row],[Coste LÃ­nea]]</f>
        <v>89702</v>
      </c>
      <c r="M4467" s="24">
        <f>+Tabla2[[#This Row],[Variación Stock]]*Tabla2[[#This Row],[Coste LÃ­nea]]</f>
        <v>0</v>
      </c>
      <c r="N4467" s="22" t="str">
        <f>+IF(Tabla2[[#This Row],[Variación Stock]]&gt;0,"Sobrante",IF(Tabla2[[#This Row],[Variación Stock]]&lt;0,"Faltante","Sin novedad"))</f>
        <v>Sin novedad</v>
      </c>
    </row>
    <row r="4468" spans="1:14" x14ac:dyDescent="0.25">
      <c r="A4468" s="11">
        <v>46064</v>
      </c>
      <c r="B4468" s="5" t="s">
        <v>1083</v>
      </c>
      <c r="C4468" s="3" t="s">
        <v>339</v>
      </c>
      <c r="D4468" s="5" t="s">
        <v>118</v>
      </c>
      <c r="E4468" s="5" t="s">
        <v>112</v>
      </c>
      <c r="F4468" s="6" t="s">
        <v>174</v>
      </c>
      <c r="G4468" s="4" t="s">
        <v>0</v>
      </c>
      <c r="H4468" s="25">
        <v>2903.3333333300002</v>
      </c>
      <c r="I4468" s="8">
        <v>0</v>
      </c>
      <c r="J4468" s="9">
        <v>0</v>
      </c>
      <c r="K4468" s="7">
        <v>0</v>
      </c>
      <c r="L4468" s="24">
        <f>+Tabla2[[#This Row],[Stock Inventario]]*Tabla2[[#This Row],[Coste LÃ­nea]]</f>
        <v>0</v>
      </c>
      <c r="M4468" s="24">
        <f>+Tabla2[[#This Row],[Variación Stock]]*Tabla2[[#This Row],[Coste LÃ­nea]]</f>
        <v>0</v>
      </c>
      <c r="N4468" s="22" t="str">
        <f>+IF(Tabla2[[#This Row],[Variación Stock]]&gt;0,"Sobrante",IF(Tabla2[[#This Row],[Variación Stock]]&lt;0,"Faltante","Sin novedad"))</f>
        <v>Sin novedad</v>
      </c>
    </row>
    <row r="4469" spans="1:14" x14ac:dyDescent="0.25">
      <c r="A4469" s="11">
        <v>46064</v>
      </c>
      <c r="B4469" s="5" t="s">
        <v>1083</v>
      </c>
      <c r="C4469" s="3" t="s">
        <v>339</v>
      </c>
      <c r="D4469" s="5" t="s">
        <v>118</v>
      </c>
      <c r="E4469" s="5" t="s">
        <v>112</v>
      </c>
      <c r="F4469" s="6" t="s">
        <v>80</v>
      </c>
      <c r="G4469" s="4" t="s">
        <v>2</v>
      </c>
      <c r="H4469" s="25">
        <v>108834</v>
      </c>
      <c r="I4469" s="8">
        <v>0</v>
      </c>
      <c r="J4469" s="9">
        <v>0</v>
      </c>
      <c r="K4469" s="7">
        <v>0</v>
      </c>
      <c r="L4469" s="24">
        <f>+Tabla2[[#This Row],[Stock Inventario]]*Tabla2[[#This Row],[Coste LÃ­nea]]</f>
        <v>0</v>
      </c>
      <c r="M4469" s="24">
        <f>+Tabla2[[#This Row],[Variación Stock]]*Tabla2[[#This Row],[Coste LÃ­nea]]</f>
        <v>0</v>
      </c>
      <c r="N4469" s="22" t="str">
        <f>+IF(Tabla2[[#This Row],[Variación Stock]]&gt;0,"Sobrante",IF(Tabla2[[#This Row],[Variación Stock]]&lt;0,"Faltante","Sin novedad"))</f>
        <v>Sin novedad</v>
      </c>
    </row>
    <row r="4470" spans="1:14" x14ac:dyDescent="0.25">
      <c r="A4470" s="11">
        <v>46064</v>
      </c>
      <c r="B4470" s="5" t="s">
        <v>1083</v>
      </c>
      <c r="C4470" s="3" t="s">
        <v>339</v>
      </c>
      <c r="D4470" s="5" t="s">
        <v>118</v>
      </c>
      <c r="E4470" s="5" t="s">
        <v>112</v>
      </c>
      <c r="F4470" s="6" t="s">
        <v>296</v>
      </c>
      <c r="G4470" s="4" t="s">
        <v>2</v>
      </c>
      <c r="H4470" s="25">
        <v>28357</v>
      </c>
      <c r="I4470" s="8">
        <v>2</v>
      </c>
      <c r="J4470" s="9">
        <v>2</v>
      </c>
      <c r="K4470" s="7">
        <v>0</v>
      </c>
      <c r="L4470" s="24">
        <f>+Tabla2[[#This Row],[Stock Inventario]]*Tabla2[[#This Row],[Coste LÃ­nea]]</f>
        <v>56714</v>
      </c>
      <c r="M4470" s="24">
        <f>+Tabla2[[#This Row],[Variación Stock]]*Tabla2[[#This Row],[Coste LÃ­nea]]</f>
        <v>0</v>
      </c>
      <c r="N4470" s="22" t="str">
        <f>+IF(Tabla2[[#This Row],[Variación Stock]]&gt;0,"Sobrante",IF(Tabla2[[#This Row],[Variación Stock]]&lt;0,"Faltante","Sin novedad"))</f>
        <v>Sin novedad</v>
      </c>
    </row>
    <row r="4471" spans="1:14" x14ac:dyDescent="0.25">
      <c r="A4471" s="11">
        <v>46064</v>
      </c>
      <c r="B4471" s="5" t="s">
        <v>1083</v>
      </c>
      <c r="C4471" s="3" t="s">
        <v>339</v>
      </c>
      <c r="D4471" s="5" t="s">
        <v>118</v>
      </c>
      <c r="E4471" s="5" t="s">
        <v>112</v>
      </c>
      <c r="F4471" s="6" t="s">
        <v>297</v>
      </c>
      <c r="G4471" s="4" t="s">
        <v>2</v>
      </c>
      <c r="H4471" s="25">
        <v>87241.5</v>
      </c>
      <c r="I4471" s="8">
        <v>2</v>
      </c>
      <c r="J4471" s="9">
        <v>2</v>
      </c>
      <c r="K4471" s="7">
        <v>0</v>
      </c>
      <c r="L4471" s="24">
        <f>+Tabla2[[#This Row],[Stock Inventario]]*Tabla2[[#This Row],[Coste LÃ­nea]]</f>
        <v>174483</v>
      </c>
      <c r="M4471" s="24">
        <f>+Tabla2[[#This Row],[Variación Stock]]*Tabla2[[#This Row],[Coste LÃ­nea]]</f>
        <v>0</v>
      </c>
      <c r="N4471" s="22" t="str">
        <f>+IF(Tabla2[[#This Row],[Variación Stock]]&gt;0,"Sobrante",IF(Tabla2[[#This Row],[Variación Stock]]&lt;0,"Faltante","Sin novedad"))</f>
        <v>Sin novedad</v>
      </c>
    </row>
    <row r="4472" spans="1:14" x14ac:dyDescent="0.25">
      <c r="A4472" s="11">
        <v>46064</v>
      </c>
      <c r="B4472" s="5" t="s">
        <v>1083</v>
      </c>
      <c r="C4472" s="3" t="s">
        <v>339</v>
      </c>
      <c r="D4472" s="5" t="s">
        <v>118</v>
      </c>
      <c r="E4472" s="5" t="s">
        <v>112</v>
      </c>
      <c r="F4472" s="6" t="s">
        <v>298</v>
      </c>
      <c r="G4472" s="4" t="s">
        <v>2</v>
      </c>
      <c r="H4472" s="25">
        <v>63897.666666669997</v>
      </c>
      <c r="I4472" s="8">
        <v>0</v>
      </c>
      <c r="J4472" s="9">
        <v>0</v>
      </c>
      <c r="K4472" s="7">
        <v>0</v>
      </c>
      <c r="L4472" s="24">
        <f>+Tabla2[[#This Row],[Stock Inventario]]*Tabla2[[#This Row],[Coste LÃ­nea]]</f>
        <v>0</v>
      </c>
      <c r="M4472" s="24">
        <f>+Tabla2[[#This Row],[Variación Stock]]*Tabla2[[#This Row],[Coste LÃ­nea]]</f>
        <v>0</v>
      </c>
      <c r="N4472" s="22" t="str">
        <f>+IF(Tabla2[[#This Row],[Variación Stock]]&gt;0,"Sobrante",IF(Tabla2[[#This Row],[Variación Stock]]&lt;0,"Faltante","Sin novedad"))</f>
        <v>Sin novedad</v>
      </c>
    </row>
    <row r="4473" spans="1:14" x14ac:dyDescent="0.25">
      <c r="A4473" s="11">
        <v>46064</v>
      </c>
      <c r="B4473" s="5" t="s">
        <v>1083</v>
      </c>
      <c r="C4473" s="3" t="s">
        <v>339</v>
      </c>
      <c r="D4473" s="5" t="s">
        <v>118</v>
      </c>
      <c r="E4473" s="5" t="s">
        <v>112</v>
      </c>
      <c r="F4473" s="6" t="s">
        <v>92</v>
      </c>
      <c r="G4473" s="4" t="s">
        <v>81</v>
      </c>
      <c r="H4473" s="25">
        <v>9700</v>
      </c>
      <c r="I4473" s="8">
        <v>24</v>
      </c>
      <c r="J4473" s="9">
        <v>22</v>
      </c>
      <c r="K4473" s="7">
        <v>-2</v>
      </c>
      <c r="L4473" s="24">
        <f>+Tabla2[[#This Row],[Stock Inventario]]*Tabla2[[#This Row],[Coste LÃ­nea]]</f>
        <v>213400</v>
      </c>
      <c r="M4473" s="24">
        <f>+Tabla2[[#This Row],[Variación Stock]]*Tabla2[[#This Row],[Coste LÃ­nea]]</f>
        <v>-19400</v>
      </c>
      <c r="N4473" s="22" t="str">
        <f>+IF(Tabla2[[#This Row],[Variación Stock]]&gt;0,"Sobrante",IF(Tabla2[[#This Row],[Variación Stock]]&lt;0,"Faltante","Sin novedad"))</f>
        <v>Faltante</v>
      </c>
    </row>
    <row r="4474" spans="1:14" x14ac:dyDescent="0.25">
      <c r="A4474" s="11">
        <v>46064</v>
      </c>
      <c r="B4474" s="5" t="s">
        <v>1083</v>
      </c>
      <c r="C4474" s="3" t="s">
        <v>339</v>
      </c>
      <c r="D4474" s="5" t="s">
        <v>118</v>
      </c>
      <c r="E4474" s="5" t="s">
        <v>112</v>
      </c>
      <c r="F4474" s="6" t="s">
        <v>299</v>
      </c>
      <c r="G4474" s="4" t="s">
        <v>2</v>
      </c>
      <c r="H4474" s="25">
        <v>25109.5</v>
      </c>
      <c r="I4474" s="8">
        <v>3</v>
      </c>
      <c r="J4474" s="9">
        <v>3</v>
      </c>
      <c r="K4474" s="7">
        <v>0</v>
      </c>
      <c r="L4474" s="24">
        <f>+Tabla2[[#This Row],[Stock Inventario]]*Tabla2[[#This Row],[Coste LÃ­nea]]</f>
        <v>75328.5</v>
      </c>
      <c r="M4474" s="24">
        <f>+Tabla2[[#This Row],[Variación Stock]]*Tabla2[[#This Row],[Coste LÃ­nea]]</f>
        <v>0</v>
      </c>
      <c r="N4474" s="22" t="str">
        <f>+IF(Tabla2[[#This Row],[Variación Stock]]&gt;0,"Sobrante",IF(Tabla2[[#This Row],[Variación Stock]]&lt;0,"Faltante","Sin novedad"))</f>
        <v>Sin novedad</v>
      </c>
    </row>
    <row r="4475" spans="1:14" x14ac:dyDescent="0.25">
      <c r="A4475" s="11">
        <v>46064</v>
      </c>
      <c r="B4475" s="5" t="s">
        <v>1083</v>
      </c>
      <c r="C4475" s="3" t="s">
        <v>339</v>
      </c>
      <c r="D4475" s="5" t="s">
        <v>118</v>
      </c>
      <c r="E4475" s="5" t="s">
        <v>112</v>
      </c>
      <c r="F4475" s="6" t="s">
        <v>300</v>
      </c>
      <c r="G4475" s="4" t="s">
        <v>2</v>
      </c>
      <c r="H4475" s="25">
        <v>25109.5</v>
      </c>
      <c r="I4475" s="8">
        <v>0</v>
      </c>
      <c r="J4475" s="9">
        <v>0</v>
      </c>
      <c r="K4475" s="7">
        <v>0</v>
      </c>
      <c r="L4475" s="24">
        <f>+Tabla2[[#This Row],[Stock Inventario]]*Tabla2[[#This Row],[Coste LÃ­nea]]</f>
        <v>0</v>
      </c>
      <c r="M4475" s="24">
        <f>+Tabla2[[#This Row],[Variación Stock]]*Tabla2[[#This Row],[Coste LÃ­nea]]</f>
        <v>0</v>
      </c>
      <c r="N4475" s="22" t="str">
        <f>+IF(Tabla2[[#This Row],[Variación Stock]]&gt;0,"Sobrante",IF(Tabla2[[#This Row],[Variación Stock]]&lt;0,"Faltante","Sin novedad"))</f>
        <v>Sin novedad</v>
      </c>
    </row>
    <row r="4476" spans="1:14" x14ac:dyDescent="0.25">
      <c r="A4476" s="11">
        <v>46064</v>
      </c>
      <c r="B4476" s="5" t="s">
        <v>1083</v>
      </c>
      <c r="C4476" s="3" t="s">
        <v>339</v>
      </c>
      <c r="D4476" s="5" t="s">
        <v>118</v>
      </c>
      <c r="E4476" s="5" t="s">
        <v>112</v>
      </c>
      <c r="F4476" s="6" t="s">
        <v>301</v>
      </c>
      <c r="G4476" s="4" t="s">
        <v>81</v>
      </c>
      <c r="H4476" s="25">
        <v>13705.2</v>
      </c>
      <c r="I4476" s="8">
        <v>19</v>
      </c>
      <c r="J4476" s="9">
        <v>19</v>
      </c>
      <c r="K4476" s="7">
        <v>0</v>
      </c>
      <c r="L4476" s="24">
        <f>+Tabla2[[#This Row],[Stock Inventario]]*Tabla2[[#This Row],[Coste LÃ­nea]]</f>
        <v>260398.80000000002</v>
      </c>
      <c r="M4476" s="24">
        <f>+Tabla2[[#This Row],[Variación Stock]]*Tabla2[[#This Row],[Coste LÃ­nea]]</f>
        <v>0</v>
      </c>
      <c r="N4476" s="22" t="str">
        <f>+IF(Tabla2[[#This Row],[Variación Stock]]&gt;0,"Sobrante",IF(Tabla2[[#This Row],[Variación Stock]]&lt;0,"Faltante","Sin novedad"))</f>
        <v>Sin novedad</v>
      </c>
    </row>
    <row r="4477" spans="1:14" x14ac:dyDescent="0.25">
      <c r="A4477" s="11">
        <v>46064</v>
      </c>
      <c r="B4477" s="5" t="s">
        <v>1083</v>
      </c>
      <c r="C4477" s="3" t="s">
        <v>339</v>
      </c>
      <c r="D4477" s="5" t="s">
        <v>118</v>
      </c>
      <c r="E4477" s="5" t="s">
        <v>112</v>
      </c>
      <c r="F4477" s="6" t="s">
        <v>302</v>
      </c>
      <c r="G4477" s="4" t="s">
        <v>2</v>
      </c>
      <c r="H4477" s="25">
        <v>444869</v>
      </c>
      <c r="I4477" s="8">
        <v>1</v>
      </c>
      <c r="J4477" s="9">
        <v>1</v>
      </c>
      <c r="K4477" s="7">
        <v>0</v>
      </c>
      <c r="L4477" s="24">
        <f>+Tabla2[[#This Row],[Stock Inventario]]*Tabla2[[#This Row],[Coste LÃ­nea]]</f>
        <v>444869</v>
      </c>
      <c r="M4477" s="24">
        <f>+Tabla2[[#This Row],[Variación Stock]]*Tabla2[[#This Row],[Coste LÃ­nea]]</f>
        <v>0</v>
      </c>
      <c r="N4477" s="22" t="str">
        <f>+IF(Tabla2[[#This Row],[Variación Stock]]&gt;0,"Sobrante",IF(Tabla2[[#This Row],[Variación Stock]]&lt;0,"Faltante","Sin novedad"))</f>
        <v>Sin novedad</v>
      </c>
    </row>
    <row r="4478" spans="1:14" x14ac:dyDescent="0.25">
      <c r="A4478" s="11">
        <v>46064</v>
      </c>
      <c r="B4478" s="5" t="s">
        <v>1083</v>
      </c>
      <c r="C4478" s="3" t="s">
        <v>339</v>
      </c>
      <c r="D4478" s="5" t="s">
        <v>118</v>
      </c>
      <c r="E4478" s="5" t="s">
        <v>112</v>
      </c>
      <c r="F4478" s="6" t="s">
        <v>303</v>
      </c>
      <c r="G4478" s="4" t="s">
        <v>81</v>
      </c>
      <c r="H4478" s="25">
        <v>14349.53333333</v>
      </c>
      <c r="I4478" s="8">
        <v>23</v>
      </c>
      <c r="J4478" s="9">
        <v>23</v>
      </c>
      <c r="K4478" s="7">
        <v>0</v>
      </c>
      <c r="L4478" s="24">
        <f>+Tabla2[[#This Row],[Stock Inventario]]*Tabla2[[#This Row],[Coste LÃ­nea]]</f>
        <v>330039.26666659</v>
      </c>
      <c r="M4478" s="24">
        <f>+Tabla2[[#This Row],[Variación Stock]]*Tabla2[[#This Row],[Coste LÃ­nea]]</f>
        <v>0</v>
      </c>
      <c r="N4478" s="22" t="str">
        <f>+IF(Tabla2[[#This Row],[Variación Stock]]&gt;0,"Sobrante",IF(Tabla2[[#This Row],[Variación Stock]]&lt;0,"Faltante","Sin novedad"))</f>
        <v>Sin novedad</v>
      </c>
    </row>
    <row r="4479" spans="1:14" x14ac:dyDescent="0.25">
      <c r="A4479" s="11">
        <v>46064</v>
      </c>
      <c r="B4479" s="5" t="s">
        <v>1083</v>
      </c>
      <c r="C4479" s="3" t="s">
        <v>339</v>
      </c>
      <c r="D4479" s="5" t="s">
        <v>118</v>
      </c>
      <c r="E4479" s="5" t="s">
        <v>112</v>
      </c>
      <c r="F4479" s="6" t="s">
        <v>82</v>
      </c>
      <c r="G4479" s="4" t="s">
        <v>2</v>
      </c>
      <c r="H4479" s="25">
        <v>63372.666666669997</v>
      </c>
      <c r="I4479" s="8">
        <v>3</v>
      </c>
      <c r="J4479" s="9">
        <v>3</v>
      </c>
      <c r="K4479" s="7">
        <v>0</v>
      </c>
      <c r="L4479" s="24">
        <f>+Tabla2[[#This Row],[Stock Inventario]]*Tabla2[[#This Row],[Coste LÃ­nea]]</f>
        <v>190118.00000000998</v>
      </c>
      <c r="M4479" s="24">
        <f>+Tabla2[[#This Row],[Variación Stock]]*Tabla2[[#This Row],[Coste LÃ­nea]]</f>
        <v>0</v>
      </c>
      <c r="N4479" s="22" t="str">
        <f>+IF(Tabla2[[#This Row],[Variación Stock]]&gt;0,"Sobrante",IF(Tabla2[[#This Row],[Variación Stock]]&lt;0,"Faltante","Sin novedad"))</f>
        <v>Sin novedad</v>
      </c>
    </row>
    <row r="4480" spans="1:14" x14ac:dyDescent="0.25">
      <c r="A4480" s="11">
        <v>46064</v>
      </c>
      <c r="B4480" s="5" t="s">
        <v>1083</v>
      </c>
      <c r="C4480" s="3" t="s">
        <v>339</v>
      </c>
      <c r="D4480" s="5" t="s">
        <v>118</v>
      </c>
      <c r="E4480" s="5" t="s">
        <v>112</v>
      </c>
      <c r="F4480" s="6" t="s">
        <v>304</v>
      </c>
      <c r="G4480" s="4" t="s">
        <v>2</v>
      </c>
      <c r="H4480" s="25">
        <v>34226</v>
      </c>
      <c r="I4480" s="8">
        <v>4</v>
      </c>
      <c r="J4480" s="9">
        <v>4</v>
      </c>
      <c r="K4480" s="7">
        <v>0</v>
      </c>
      <c r="L4480" s="24">
        <f>+Tabla2[[#This Row],[Stock Inventario]]*Tabla2[[#This Row],[Coste LÃ­nea]]</f>
        <v>136904</v>
      </c>
      <c r="M4480" s="24">
        <f>+Tabla2[[#This Row],[Variación Stock]]*Tabla2[[#This Row],[Coste LÃ­nea]]</f>
        <v>0</v>
      </c>
      <c r="N4480" s="22" t="str">
        <f>+IF(Tabla2[[#This Row],[Variación Stock]]&gt;0,"Sobrante",IF(Tabla2[[#This Row],[Variación Stock]]&lt;0,"Faltante","Sin novedad"))</f>
        <v>Sin novedad</v>
      </c>
    </row>
    <row r="4481" spans="1:14" x14ac:dyDescent="0.25">
      <c r="A4481" s="11">
        <v>46064</v>
      </c>
      <c r="B4481" s="5" t="s">
        <v>1083</v>
      </c>
      <c r="C4481" s="3" t="s">
        <v>339</v>
      </c>
      <c r="D4481" s="5" t="s">
        <v>118</v>
      </c>
      <c r="E4481" s="5" t="s">
        <v>112</v>
      </c>
      <c r="F4481" s="6" t="s">
        <v>83</v>
      </c>
      <c r="G4481" s="4" t="s">
        <v>2</v>
      </c>
      <c r="H4481" s="25">
        <v>34226</v>
      </c>
      <c r="I4481" s="8">
        <v>14</v>
      </c>
      <c r="J4481" s="9">
        <v>14</v>
      </c>
      <c r="K4481" s="7">
        <v>0</v>
      </c>
      <c r="L4481" s="24">
        <f>+Tabla2[[#This Row],[Stock Inventario]]*Tabla2[[#This Row],[Coste LÃ­nea]]</f>
        <v>479164</v>
      </c>
      <c r="M4481" s="24">
        <f>+Tabla2[[#This Row],[Variación Stock]]*Tabla2[[#This Row],[Coste LÃ­nea]]</f>
        <v>0</v>
      </c>
      <c r="N4481" s="22" t="str">
        <f>+IF(Tabla2[[#This Row],[Variación Stock]]&gt;0,"Sobrante",IF(Tabla2[[#This Row],[Variación Stock]]&lt;0,"Faltante","Sin novedad"))</f>
        <v>Sin novedad</v>
      </c>
    </row>
    <row r="4482" spans="1:14" x14ac:dyDescent="0.25">
      <c r="A4482" s="11">
        <v>46064</v>
      </c>
      <c r="B4482" s="5" t="s">
        <v>1083</v>
      </c>
      <c r="C4482" s="3" t="s">
        <v>339</v>
      </c>
      <c r="D4482" s="5" t="s">
        <v>118</v>
      </c>
      <c r="E4482" s="5" t="s">
        <v>112</v>
      </c>
      <c r="F4482" s="6" t="s">
        <v>84</v>
      </c>
      <c r="G4482" s="4" t="s">
        <v>81</v>
      </c>
      <c r="H4482" s="25">
        <v>9853.7999999999993</v>
      </c>
      <c r="I4482" s="8">
        <v>0</v>
      </c>
      <c r="J4482" s="9">
        <v>0</v>
      </c>
      <c r="K4482" s="7">
        <v>0</v>
      </c>
      <c r="L4482" s="24">
        <f>+Tabla2[[#This Row],[Stock Inventario]]*Tabla2[[#This Row],[Coste LÃ­nea]]</f>
        <v>0</v>
      </c>
      <c r="M4482" s="24">
        <f>+Tabla2[[#This Row],[Variación Stock]]*Tabla2[[#This Row],[Coste LÃ­nea]]</f>
        <v>0</v>
      </c>
      <c r="N4482" s="22" t="str">
        <f>+IF(Tabla2[[#This Row],[Variación Stock]]&gt;0,"Sobrante",IF(Tabla2[[#This Row],[Variación Stock]]&lt;0,"Faltante","Sin novedad"))</f>
        <v>Sin novedad</v>
      </c>
    </row>
    <row r="4483" spans="1:14" x14ac:dyDescent="0.25">
      <c r="A4483" s="11">
        <v>46064</v>
      </c>
      <c r="B4483" s="5" t="s">
        <v>1083</v>
      </c>
      <c r="C4483" s="3" t="s">
        <v>339</v>
      </c>
      <c r="D4483" s="5" t="s">
        <v>118</v>
      </c>
      <c r="E4483" s="5" t="s">
        <v>112</v>
      </c>
      <c r="F4483" s="6" t="s">
        <v>85</v>
      </c>
      <c r="G4483" s="4" t="s">
        <v>81</v>
      </c>
      <c r="H4483" s="25">
        <v>9853.2000000000007</v>
      </c>
      <c r="I4483" s="8">
        <v>0</v>
      </c>
      <c r="J4483" s="9">
        <v>0</v>
      </c>
      <c r="K4483" s="7">
        <v>0</v>
      </c>
      <c r="L4483" s="24">
        <f>+Tabla2[[#This Row],[Stock Inventario]]*Tabla2[[#This Row],[Coste LÃ­nea]]</f>
        <v>0</v>
      </c>
      <c r="M4483" s="24">
        <f>+Tabla2[[#This Row],[Variación Stock]]*Tabla2[[#This Row],[Coste LÃ­nea]]</f>
        <v>0</v>
      </c>
      <c r="N4483" s="22" t="str">
        <f>+IF(Tabla2[[#This Row],[Variación Stock]]&gt;0,"Sobrante",IF(Tabla2[[#This Row],[Variación Stock]]&lt;0,"Faltante","Sin novedad"))</f>
        <v>Sin novedad</v>
      </c>
    </row>
    <row r="4484" spans="1:14" x14ac:dyDescent="0.25">
      <c r="A4484" s="11">
        <v>46064</v>
      </c>
      <c r="B4484" s="5" t="s">
        <v>1083</v>
      </c>
      <c r="C4484" s="3" t="s">
        <v>339</v>
      </c>
      <c r="D4484" s="5" t="s">
        <v>118</v>
      </c>
      <c r="E4484" s="5" t="s">
        <v>112</v>
      </c>
      <c r="F4484" s="6" t="s">
        <v>87</v>
      </c>
      <c r="G4484" s="4" t="s">
        <v>2</v>
      </c>
      <c r="H4484" s="25">
        <v>34232.333333330003</v>
      </c>
      <c r="I4484" s="8">
        <v>13</v>
      </c>
      <c r="J4484" s="9">
        <v>13</v>
      </c>
      <c r="K4484" s="7">
        <v>0</v>
      </c>
      <c r="L4484" s="24">
        <f>+Tabla2[[#This Row],[Stock Inventario]]*Tabla2[[#This Row],[Coste LÃ­nea]]</f>
        <v>445020.33333329007</v>
      </c>
      <c r="M4484" s="24">
        <f>+Tabla2[[#This Row],[Variación Stock]]*Tabla2[[#This Row],[Coste LÃ­nea]]</f>
        <v>0</v>
      </c>
      <c r="N4484" s="22" t="str">
        <f>+IF(Tabla2[[#This Row],[Variación Stock]]&gt;0,"Sobrante",IF(Tabla2[[#This Row],[Variación Stock]]&lt;0,"Faltante","Sin novedad"))</f>
        <v>Sin novedad</v>
      </c>
    </row>
    <row r="4485" spans="1:14" x14ac:dyDescent="0.25">
      <c r="A4485" s="11">
        <v>46064</v>
      </c>
      <c r="B4485" s="5" t="s">
        <v>1083</v>
      </c>
      <c r="C4485" s="3" t="s">
        <v>339</v>
      </c>
      <c r="D4485" s="5" t="s">
        <v>121</v>
      </c>
      <c r="E4485" s="5" t="s">
        <v>112</v>
      </c>
      <c r="F4485" s="6" t="s">
        <v>333</v>
      </c>
      <c r="G4485" s="4" t="s">
        <v>0</v>
      </c>
      <c r="H4485" s="25">
        <v>3659.04270434</v>
      </c>
      <c r="I4485" s="8">
        <v>103.47</v>
      </c>
      <c r="J4485" s="9">
        <v>101</v>
      </c>
      <c r="K4485" s="7">
        <v>0</v>
      </c>
      <c r="L4485" s="24">
        <f>+Tabla2[[#This Row],[Stock Inventario]]*Tabla2[[#This Row],[Coste LÃ­nea]]</f>
        <v>369563.31313834002</v>
      </c>
      <c r="M4485" s="24">
        <f>+Tabla2[[#This Row],[Variación Stock]]*Tabla2[[#This Row],[Coste LÃ­nea]]</f>
        <v>0</v>
      </c>
      <c r="N4485" s="22" t="str">
        <f>+IF(Tabla2[[#This Row],[Variación Stock]]&gt;0,"Sobrante",IF(Tabla2[[#This Row],[Variación Stock]]&lt;0,"Faltante","Sin novedad"))</f>
        <v>Sin novedad</v>
      </c>
    </row>
    <row r="4486" spans="1:14" x14ac:dyDescent="0.25">
      <c r="A4486" s="11">
        <v>46064</v>
      </c>
      <c r="B4486" s="5" t="s">
        <v>1083</v>
      </c>
      <c r="C4486" s="3" t="s">
        <v>339</v>
      </c>
      <c r="D4486" s="5" t="s">
        <v>114</v>
      </c>
      <c r="E4486" s="5" t="s">
        <v>112</v>
      </c>
      <c r="F4486" s="6" t="s">
        <v>3</v>
      </c>
      <c r="G4486" s="4" t="s">
        <v>2</v>
      </c>
      <c r="H4486" s="25">
        <v>1497.59166667</v>
      </c>
      <c r="I4486" s="8">
        <v>220.9</v>
      </c>
      <c r="J4486" s="9">
        <v>218</v>
      </c>
      <c r="K4486" s="7">
        <v>-2.9</v>
      </c>
      <c r="L4486" s="24">
        <f>+Tabla2[[#This Row],[Stock Inventario]]*Tabla2[[#This Row],[Coste LÃ­nea]]</f>
        <v>326474.98333406</v>
      </c>
      <c r="M4486" s="24">
        <f>+Tabla2[[#This Row],[Variación Stock]]*Tabla2[[#This Row],[Coste LÃ­nea]]</f>
        <v>-4343.0158333429999</v>
      </c>
      <c r="N4486" s="22" t="str">
        <f>+IF(Tabla2[[#This Row],[Variación Stock]]&gt;0,"Sobrante",IF(Tabla2[[#This Row],[Variación Stock]]&lt;0,"Faltante","Sin novedad"))</f>
        <v>Faltante</v>
      </c>
    </row>
    <row r="4487" spans="1:14" x14ac:dyDescent="0.25">
      <c r="A4487" s="11">
        <v>46064</v>
      </c>
      <c r="B4487" s="5" t="s">
        <v>1083</v>
      </c>
      <c r="C4487" s="3" t="s">
        <v>339</v>
      </c>
      <c r="D4487" s="5" t="s">
        <v>111</v>
      </c>
      <c r="E4487" s="5" t="s">
        <v>112</v>
      </c>
      <c r="F4487" s="6" t="s">
        <v>21</v>
      </c>
      <c r="G4487" s="4" t="s">
        <v>0</v>
      </c>
      <c r="H4487" s="25">
        <v>17377</v>
      </c>
      <c r="I4487" s="8">
        <v>24</v>
      </c>
      <c r="J4487" s="9">
        <v>21</v>
      </c>
      <c r="K4487" s="7">
        <v>-3</v>
      </c>
      <c r="L4487" s="24">
        <f>+Tabla2[[#This Row],[Stock Inventario]]*Tabla2[[#This Row],[Coste LÃ­nea]]</f>
        <v>364917</v>
      </c>
      <c r="M4487" s="24">
        <f>+Tabla2[[#This Row],[Variación Stock]]*Tabla2[[#This Row],[Coste LÃ­nea]]</f>
        <v>-52131</v>
      </c>
      <c r="N4487" s="22" t="str">
        <f>+IF(Tabla2[[#This Row],[Variación Stock]]&gt;0,"Sobrante",IF(Tabla2[[#This Row],[Variación Stock]]&lt;0,"Faltante","Sin novedad"))</f>
        <v>Faltante</v>
      </c>
    </row>
    <row r="4488" spans="1:14" x14ac:dyDescent="0.25">
      <c r="A4488" s="11">
        <v>46064</v>
      </c>
      <c r="B4488" s="5" t="s">
        <v>1083</v>
      </c>
      <c r="C4488" s="3" t="s">
        <v>339</v>
      </c>
      <c r="D4488" s="5" t="s">
        <v>111</v>
      </c>
      <c r="E4488" s="5" t="s">
        <v>112</v>
      </c>
      <c r="F4488" s="6" t="s">
        <v>32</v>
      </c>
      <c r="G4488" s="4" t="s">
        <v>0</v>
      </c>
      <c r="H4488" s="25">
        <v>8628.9583333299997</v>
      </c>
      <c r="I4488" s="8">
        <v>28</v>
      </c>
      <c r="J4488" s="9">
        <v>25</v>
      </c>
      <c r="K4488" s="7">
        <v>-3</v>
      </c>
      <c r="L4488" s="24">
        <f>+Tabla2[[#This Row],[Stock Inventario]]*Tabla2[[#This Row],[Coste LÃ­nea]]</f>
        <v>215723.95833324999</v>
      </c>
      <c r="M4488" s="24">
        <f>+Tabla2[[#This Row],[Variación Stock]]*Tabla2[[#This Row],[Coste LÃ­nea]]</f>
        <v>-25886.874999989999</v>
      </c>
      <c r="N4488" s="22" t="str">
        <f>+IF(Tabla2[[#This Row],[Variación Stock]]&gt;0,"Sobrante",IF(Tabla2[[#This Row],[Variación Stock]]&lt;0,"Faltante","Sin novedad"))</f>
        <v>Faltante</v>
      </c>
    </row>
    <row r="4489" spans="1:14" x14ac:dyDescent="0.25">
      <c r="A4489" s="11">
        <v>46064</v>
      </c>
      <c r="B4489" s="5" t="s">
        <v>1083</v>
      </c>
      <c r="C4489" s="3" t="s">
        <v>339</v>
      </c>
      <c r="D4489" s="5" t="s">
        <v>118</v>
      </c>
      <c r="E4489" s="5" t="s">
        <v>112</v>
      </c>
      <c r="F4489" s="6" t="s">
        <v>307</v>
      </c>
      <c r="G4489" s="4" t="s">
        <v>81</v>
      </c>
      <c r="H4489" s="25">
        <v>9701.2000000000007</v>
      </c>
      <c r="I4489" s="8">
        <v>21</v>
      </c>
      <c r="J4489" s="9">
        <v>21</v>
      </c>
      <c r="K4489" s="7">
        <v>0</v>
      </c>
      <c r="L4489" s="24">
        <f>+Tabla2[[#This Row],[Stock Inventario]]*Tabla2[[#This Row],[Coste LÃ­nea]]</f>
        <v>203725.2</v>
      </c>
      <c r="M4489" s="24">
        <f>+Tabla2[[#This Row],[Variación Stock]]*Tabla2[[#This Row],[Coste LÃ­nea]]</f>
        <v>0</v>
      </c>
      <c r="N4489" s="22" t="str">
        <f>+IF(Tabla2[[#This Row],[Variación Stock]]&gt;0,"Sobrante",IF(Tabla2[[#This Row],[Variación Stock]]&lt;0,"Faltante","Sin novedad"))</f>
        <v>Sin novedad</v>
      </c>
    </row>
    <row r="4490" spans="1:14" x14ac:dyDescent="0.25">
      <c r="A4490" s="11">
        <v>46064</v>
      </c>
      <c r="B4490" s="5" t="s">
        <v>1083</v>
      </c>
      <c r="C4490" s="3" t="s">
        <v>339</v>
      </c>
      <c r="D4490" s="5" t="s">
        <v>118</v>
      </c>
      <c r="E4490" s="5" t="s">
        <v>112</v>
      </c>
      <c r="F4490" s="6" t="s">
        <v>91</v>
      </c>
      <c r="G4490" s="4" t="s">
        <v>2</v>
      </c>
      <c r="H4490" s="25">
        <v>63886.666666669997</v>
      </c>
      <c r="I4490" s="8">
        <v>2</v>
      </c>
      <c r="J4490" s="9">
        <v>2</v>
      </c>
      <c r="K4490" s="7">
        <v>0</v>
      </c>
      <c r="L4490" s="24">
        <f>+Tabla2[[#This Row],[Stock Inventario]]*Tabla2[[#This Row],[Coste LÃ­nea]]</f>
        <v>127773.33333333999</v>
      </c>
      <c r="M4490" s="24">
        <f>+Tabla2[[#This Row],[Variación Stock]]*Tabla2[[#This Row],[Coste LÃ­nea]]</f>
        <v>0</v>
      </c>
      <c r="N4490" s="22" t="str">
        <f>+IF(Tabla2[[#This Row],[Variación Stock]]&gt;0,"Sobrante",IF(Tabla2[[#This Row],[Variación Stock]]&lt;0,"Faltante","Sin novedad"))</f>
        <v>Sin novedad</v>
      </c>
    </row>
    <row r="4491" spans="1:14" x14ac:dyDescent="0.25">
      <c r="A4491" s="11">
        <v>46064</v>
      </c>
      <c r="B4491" s="5" t="s">
        <v>1083</v>
      </c>
      <c r="C4491" s="3" t="s">
        <v>339</v>
      </c>
      <c r="D4491" s="5" t="s">
        <v>111</v>
      </c>
      <c r="E4491" s="5" t="s">
        <v>112</v>
      </c>
      <c r="F4491" s="6" t="s">
        <v>25</v>
      </c>
      <c r="G4491" s="4" t="s">
        <v>0</v>
      </c>
      <c r="H4491" s="25">
        <v>6549</v>
      </c>
      <c r="I4491" s="8">
        <v>17.38</v>
      </c>
      <c r="J4491" s="9">
        <v>14</v>
      </c>
      <c r="K4491" s="7">
        <v>-3.38</v>
      </c>
      <c r="L4491" s="24">
        <f>+Tabla2[[#This Row],[Stock Inventario]]*Tabla2[[#This Row],[Coste LÃ­nea]]</f>
        <v>91686</v>
      </c>
      <c r="M4491" s="24">
        <f>+Tabla2[[#This Row],[Variación Stock]]*Tabla2[[#This Row],[Coste LÃ­nea]]</f>
        <v>-22135.62</v>
      </c>
      <c r="N4491" s="22" t="str">
        <f>+IF(Tabla2[[#This Row],[Variación Stock]]&gt;0,"Sobrante",IF(Tabla2[[#This Row],[Variación Stock]]&lt;0,"Faltante","Sin novedad"))</f>
        <v>Faltante</v>
      </c>
    </row>
    <row r="4492" spans="1:14" x14ac:dyDescent="0.25">
      <c r="A4492" s="11">
        <v>46064</v>
      </c>
      <c r="B4492" s="5" t="s">
        <v>1083</v>
      </c>
      <c r="C4492" s="3" t="s">
        <v>339</v>
      </c>
      <c r="D4492" s="5" t="s">
        <v>115</v>
      </c>
      <c r="E4492" s="5" t="s">
        <v>112</v>
      </c>
      <c r="F4492" s="6" t="s">
        <v>367</v>
      </c>
      <c r="G4492" s="4" t="s">
        <v>2</v>
      </c>
      <c r="H4492" s="25">
        <v>3109.9949999999999</v>
      </c>
      <c r="I4492" s="8">
        <v>4.72</v>
      </c>
      <c r="J4492" s="9">
        <v>0</v>
      </c>
      <c r="K4492" s="7">
        <v>-4.72</v>
      </c>
      <c r="L4492" s="24">
        <f>+Tabla2[[#This Row],[Stock Inventario]]*Tabla2[[#This Row],[Coste LÃ­nea]]</f>
        <v>0</v>
      </c>
      <c r="M4492" s="24">
        <f>+Tabla2[[#This Row],[Variación Stock]]*Tabla2[[#This Row],[Coste LÃ­nea]]</f>
        <v>-14679.176399999998</v>
      </c>
      <c r="N4492" s="22" t="str">
        <f>+IF(Tabla2[[#This Row],[Variación Stock]]&gt;0,"Sobrante",IF(Tabla2[[#This Row],[Variación Stock]]&lt;0,"Faltante","Sin novedad"))</f>
        <v>Faltante</v>
      </c>
    </row>
    <row r="4493" spans="1:14" x14ac:dyDescent="0.25">
      <c r="A4493" s="11">
        <v>46064</v>
      </c>
      <c r="B4493" s="5" t="s">
        <v>1083</v>
      </c>
      <c r="C4493" s="3" t="s">
        <v>339</v>
      </c>
      <c r="D4493" s="5" t="s">
        <v>118</v>
      </c>
      <c r="E4493" s="5" t="s">
        <v>112</v>
      </c>
      <c r="F4493" s="6" t="s">
        <v>186</v>
      </c>
      <c r="G4493" s="4" t="s">
        <v>2</v>
      </c>
      <c r="H4493" s="25">
        <v>48500</v>
      </c>
      <c r="I4493" s="8">
        <v>0</v>
      </c>
      <c r="J4493" s="9">
        <v>0</v>
      </c>
      <c r="K4493" s="7">
        <v>0</v>
      </c>
      <c r="L4493" s="24">
        <f>+Tabla2[[#This Row],[Stock Inventario]]*Tabla2[[#This Row],[Coste LÃ­nea]]</f>
        <v>0</v>
      </c>
      <c r="M4493" s="24">
        <f>+Tabla2[[#This Row],[Variación Stock]]*Tabla2[[#This Row],[Coste LÃ­nea]]</f>
        <v>0</v>
      </c>
      <c r="N4493" s="22" t="str">
        <f>+IF(Tabla2[[#This Row],[Variación Stock]]&gt;0,"Sobrante",IF(Tabla2[[#This Row],[Variación Stock]]&lt;0,"Faltante","Sin novedad"))</f>
        <v>Sin novedad</v>
      </c>
    </row>
    <row r="4494" spans="1:14" x14ac:dyDescent="0.25">
      <c r="A4494" s="11">
        <v>46064</v>
      </c>
      <c r="B4494" s="5" t="s">
        <v>1083</v>
      </c>
      <c r="C4494" s="3" t="s">
        <v>339</v>
      </c>
      <c r="D4494" s="5" t="s">
        <v>118</v>
      </c>
      <c r="E4494" s="5" t="s">
        <v>112</v>
      </c>
      <c r="F4494" s="6" t="s">
        <v>309</v>
      </c>
      <c r="G4494" s="4" t="s">
        <v>2</v>
      </c>
      <c r="H4494" s="25">
        <v>97200</v>
      </c>
      <c r="I4494" s="8">
        <v>3</v>
      </c>
      <c r="J4494" s="9">
        <v>3</v>
      </c>
      <c r="K4494" s="7">
        <v>0</v>
      </c>
      <c r="L4494" s="24">
        <f>+Tabla2[[#This Row],[Stock Inventario]]*Tabla2[[#This Row],[Coste LÃ­nea]]</f>
        <v>291600</v>
      </c>
      <c r="M4494" s="24">
        <f>+Tabla2[[#This Row],[Variación Stock]]*Tabla2[[#This Row],[Coste LÃ­nea]]</f>
        <v>0</v>
      </c>
      <c r="N4494" s="22" t="str">
        <f>+IF(Tabla2[[#This Row],[Variación Stock]]&gt;0,"Sobrante",IF(Tabla2[[#This Row],[Variación Stock]]&lt;0,"Faltante","Sin novedad"))</f>
        <v>Sin novedad</v>
      </c>
    </row>
    <row r="4495" spans="1:14" x14ac:dyDescent="0.25">
      <c r="A4495" s="11">
        <v>46064</v>
      </c>
      <c r="B4495" s="5" t="s">
        <v>1083</v>
      </c>
      <c r="C4495" s="3" t="s">
        <v>339</v>
      </c>
      <c r="D4495" s="5" t="s">
        <v>118</v>
      </c>
      <c r="E4495" s="5" t="s">
        <v>112</v>
      </c>
      <c r="F4495" s="6" t="s">
        <v>310</v>
      </c>
      <c r="G4495" s="4" t="s">
        <v>2</v>
      </c>
      <c r="H4495" s="25">
        <v>73956.022408999997</v>
      </c>
      <c r="I4495" s="8">
        <v>4</v>
      </c>
      <c r="J4495" s="9">
        <v>4</v>
      </c>
      <c r="K4495" s="7">
        <v>0</v>
      </c>
      <c r="L4495" s="24">
        <f>+Tabla2[[#This Row],[Stock Inventario]]*Tabla2[[#This Row],[Coste LÃ­nea]]</f>
        <v>295824.08963599999</v>
      </c>
      <c r="M4495" s="24">
        <f>+Tabla2[[#This Row],[Variación Stock]]*Tabla2[[#This Row],[Coste LÃ­nea]]</f>
        <v>0</v>
      </c>
      <c r="N4495" s="22" t="str">
        <f>+IF(Tabla2[[#This Row],[Variación Stock]]&gt;0,"Sobrante",IF(Tabla2[[#This Row],[Variación Stock]]&lt;0,"Faltante","Sin novedad"))</f>
        <v>Sin novedad</v>
      </c>
    </row>
    <row r="4496" spans="1:14" x14ac:dyDescent="0.25">
      <c r="A4496" s="11">
        <v>46064</v>
      </c>
      <c r="B4496" s="5" t="s">
        <v>1083</v>
      </c>
      <c r="C4496" s="3" t="s">
        <v>339</v>
      </c>
      <c r="D4496" s="5" t="s">
        <v>118</v>
      </c>
      <c r="E4496" s="5" t="s">
        <v>112</v>
      </c>
      <c r="F4496" s="6" t="s">
        <v>311</v>
      </c>
      <c r="G4496" s="4" t="s">
        <v>2</v>
      </c>
      <c r="H4496" s="25">
        <v>79652</v>
      </c>
      <c r="I4496" s="8">
        <v>0</v>
      </c>
      <c r="J4496" s="9">
        <v>0</v>
      </c>
      <c r="K4496" s="7">
        <v>0</v>
      </c>
      <c r="L4496" s="24">
        <f>+Tabla2[[#This Row],[Stock Inventario]]*Tabla2[[#This Row],[Coste LÃ­nea]]</f>
        <v>0</v>
      </c>
      <c r="M4496" s="24">
        <f>+Tabla2[[#This Row],[Variación Stock]]*Tabla2[[#This Row],[Coste LÃ­nea]]</f>
        <v>0</v>
      </c>
      <c r="N4496" s="22" t="str">
        <f>+IF(Tabla2[[#This Row],[Variación Stock]]&gt;0,"Sobrante",IF(Tabla2[[#This Row],[Variación Stock]]&lt;0,"Faltante","Sin novedad"))</f>
        <v>Sin novedad</v>
      </c>
    </row>
    <row r="4497" spans="1:14" x14ac:dyDescent="0.25">
      <c r="A4497" s="11">
        <v>46064</v>
      </c>
      <c r="B4497" s="5" t="s">
        <v>1083</v>
      </c>
      <c r="C4497" s="3" t="s">
        <v>339</v>
      </c>
      <c r="D4497" s="5" t="s">
        <v>118</v>
      </c>
      <c r="E4497" s="5" t="s">
        <v>112</v>
      </c>
      <c r="F4497" s="6" t="s">
        <v>176</v>
      </c>
      <c r="G4497" s="4" t="s">
        <v>2</v>
      </c>
      <c r="H4497" s="25">
        <v>0</v>
      </c>
      <c r="I4497" s="8">
        <v>0</v>
      </c>
      <c r="J4497" s="9">
        <v>0</v>
      </c>
      <c r="K4497" s="7">
        <v>0</v>
      </c>
      <c r="L4497" s="24">
        <f>+Tabla2[[#This Row],[Stock Inventario]]*Tabla2[[#This Row],[Coste LÃ­nea]]</f>
        <v>0</v>
      </c>
      <c r="M4497" s="24">
        <f>+Tabla2[[#This Row],[Variación Stock]]*Tabla2[[#This Row],[Coste LÃ­nea]]</f>
        <v>0</v>
      </c>
      <c r="N4497" s="22" t="str">
        <f>+IF(Tabla2[[#This Row],[Variación Stock]]&gt;0,"Sobrante",IF(Tabla2[[#This Row],[Variación Stock]]&lt;0,"Faltante","Sin novedad"))</f>
        <v>Sin novedad</v>
      </c>
    </row>
    <row r="4498" spans="1:14" x14ac:dyDescent="0.25">
      <c r="A4498" s="11">
        <v>46064</v>
      </c>
      <c r="B4498" s="5" t="s">
        <v>1083</v>
      </c>
      <c r="C4498" s="3" t="s">
        <v>339</v>
      </c>
      <c r="D4498" s="5" t="s">
        <v>121</v>
      </c>
      <c r="E4498" s="5" t="s">
        <v>112</v>
      </c>
      <c r="F4498" s="6" t="s">
        <v>331</v>
      </c>
      <c r="G4498" s="4" t="s">
        <v>0</v>
      </c>
      <c r="H4498" s="25">
        <v>3713.5548079599998</v>
      </c>
      <c r="I4498" s="8">
        <v>35.450000000000003</v>
      </c>
      <c r="J4498" s="9">
        <v>30</v>
      </c>
      <c r="K4498" s="7">
        <v>-5.45</v>
      </c>
      <c r="L4498" s="24">
        <f>+Tabla2[[#This Row],[Stock Inventario]]*Tabla2[[#This Row],[Coste LÃ­nea]]</f>
        <v>111406.6442388</v>
      </c>
      <c r="M4498" s="24">
        <f>+Tabla2[[#This Row],[Variación Stock]]*Tabla2[[#This Row],[Coste LÃ­nea]]</f>
        <v>-20238.873703382</v>
      </c>
      <c r="N4498" s="22" t="str">
        <f>+IF(Tabla2[[#This Row],[Variación Stock]]&gt;0,"Sobrante",IF(Tabla2[[#This Row],[Variación Stock]]&lt;0,"Faltante","Sin novedad"))</f>
        <v>Faltante</v>
      </c>
    </row>
    <row r="4499" spans="1:14" x14ac:dyDescent="0.25">
      <c r="A4499" s="11">
        <v>46064</v>
      </c>
      <c r="B4499" s="5" t="s">
        <v>1083</v>
      </c>
      <c r="C4499" s="3" t="s">
        <v>339</v>
      </c>
      <c r="D4499" s="5" t="s">
        <v>118</v>
      </c>
      <c r="E4499" s="5" t="s">
        <v>112</v>
      </c>
      <c r="F4499" s="6" t="s">
        <v>375</v>
      </c>
      <c r="G4499" s="4" t="s">
        <v>81</v>
      </c>
      <c r="H4499" s="25">
        <v>10709.9</v>
      </c>
      <c r="I4499" s="8">
        <v>14</v>
      </c>
      <c r="J4499" s="9">
        <v>14</v>
      </c>
      <c r="K4499" s="7">
        <v>0</v>
      </c>
      <c r="L4499" s="24">
        <f>+Tabla2[[#This Row],[Stock Inventario]]*Tabla2[[#This Row],[Coste LÃ­nea]]</f>
        <v>149938.6</v>
      </c>
      <c r="M4499" s="24">
        <f>+Tabla2[[#This Row],[Variación Stock]]*Tabla2[[#This Row],[Coste LÃ­nea]]</f>
        <v>0</v>
      </c>
      <c r="N4499" s="22" t="str">
        <f>+IF(Tabla2[[#This Row],[Variación Stock]]&gt;0,"Sobrante",IF(Tabla2[[#This Row],[Variación Stock]]&lt;0,"Faltante","Sin novedad"))</f>
        <v>Sin novedad</v>
      </c>
    </row>
    <row r="4500" spans="1:14" hidden="1" x14ac:dyDescent="0.25">
      <c r="A4500" s="11">
        <v>46064</v>
      </c>
      <c r="B4500" s="5" t="s">
        <v>1083</v>
      </c>
      <c r="C4500" s="3" t="s">
        <v>339</v>
      </c>
      <c r="D4500" s="5" t="s">
        <v>323</v>
      </c>
      <c r="E4500" s="5" t="s">
        <v>117</v>
      </c>
      <c r="F4500" s="6" t="s">
        <v>328</v>
      </c>
      <c r="G4500" s="4" t="s">
        <v>2</v>
      </c>
      <c r="H4500" s="25">
        <v>20264.39357692</v>
      </c>
      <c r="I4500" s="8">
        <v>1.06</v>
      </c>
      <c r="J4500" s="9">
        <v>8</v>
      </c>
      <c r="K4500" s="7">
        <v>6.94</v>
      </c>
      <c r="L4500" s="24">
        <f>+Tabla2[[#This Row],[Stock Inventario]]*Tabla2[[#This Row],[Coste LÃ­nea]]</f>
        <v>162115.14861536</v>
      </c>
      <c r="M4500" s="24">
        <f>+Tabla2[[#This Row],[Variación Stock]]*Tabla2[[#This Row],[Coste LÃ­nea]]</f>
        <v>140634.8914238248</v>
      </c>
      <c r="N4500" s="22" t="str">
        <f>+IF(Tabla2[[#This Row],[Variación Stock]]&gt;0,"Sobrante",IF(Tabla2[[#This Row],[Variación Stock]]&lt;0,"Faltante","Sin novedad"))</f>
        <v>Sobrante</v>
      </c>
    </row>
    <row r="4501" spans="1:14" hidden="1" x14ac:dyDescent="0.25">
      <c r="A4501" s="11">
        <v>46064</v>
      </c>
      <c r="B4501" s="5" t="s">
        <v>1083</v>
      </c>
      <c r="C4501" s="3" t="s">
        <v>339</v>
      </c>
      <c r="D4501" s="5" t="s">
        <v>119</v>
      </c>
      <c r="E4501" s="5" t="s">
        <v>117</v>
      </c>
      <c r="F4501" s="6" t="s">
        <v>10</v>
      </c>
      <c r="G4501" s="4" t="s">
        <v>2</v>
      </c>
      <c r="H4501" s="25">
        <v>19000.25</v>
      </c>
      <c r="I4501" s="8">
        <v>3</v>
      </c>
      <c r="J4501" s="9">
        <v>6</v>
      </c>
      <c r="K4501" s="7">
        <v>3</v>
      </c>
      <c r="L4501" s="24">
        <f>+Tabla2[[#This Row],[Stock Inventario]]*Tabla2[[#This Row],[Coste LÃ­nea]]</f>
        <v>114001.5</v>
      </c>
      <c r="M4501" s="24">
        <f>+Tabla2[[#This Row],[Variación Stock]]*Tabla2[[#This Row],[Coste LÃ­nea]]</f>
        <v>57000.75</v>
      </c>
      <c r="N4501" s="22" t="str">
        <f>+IF(Tabla2[[#This Row],[Variación Stock]]&gt;0,"Sobrante",IF(Tabla2[[#This Row],[Variación Stock]]&lt;0,"Faltante","Sin novedad"))</f>
        <v>Sobrante</v>
      </c>
    </row>
    <row r="4502" spans="1:14" hidden="1" x14ac:dyDescent="0.25">
      <c r="A4502" s="11">
        <v>46064</v>
      </c>
      <c r="B4502" s="5" t="s">
        <v>1083</v>
      </c>
      <c r="C4502" s="3" t="s">
        <v>339</v>
      </c>
      <c r="D4502" s="5" t="s">
        <v>116</v>
      </c>
      <c r="E4502" s="5" t="s">
        <v>117</v>
      </c>
      <c r="F4502" s="6" t="s">
        <v>4</v>
      </c>
      <c r="G4502" s="4" t="s">
        <v>2</v>
      </c>
      <c r="H4502" s="25">
        <v>3250</v>
      </c>
      <c r="I4502" s="8">
        <v>33</v>
      </c>
      <c r="J4502" s="9">
        <v>34</v>
      </c>
      <c r="K4502" s="7">
        <v>1</v>
      </c>
      <c r="L4502" s="24">
        <f>+Tabla2[[#This Row],[Stock Inventario]]*Tabla2[[#This Row],[Coste LÃ­nea]]</f>
        <v>110500</v>
      </c>
      <c r="M4502" s="24">
        <f>+Tabla2[[#This Row],[Variación Stock]]*Tabla2[[#This Row],[Coste LÃ­nea]]</f>
        <v>3250</v>
      </c>
      <c r="N4502" s="22" t="str">
        <f>+IF(Tabla2[[#This Row],[Variación Stock]]&gt;0,"Sobrante",IF(Tabla2[[#This Row],[Variación Stock]]&lt;0,"Faltante","Sin novedad"))</f>
        <v>Sobrante</v>
      </c>
    </row>
    <row r="4503" spans="1:14" hidden="1" x14ac:dyDescent="0.25">
      <c r="A4503" s="11">
        <v>46064</v>
      </c>
      <c r="B4503" s="5" t="s">
        <v>1083</v>
      </c>
      <c r="C4503" s="3" t="s">
        <v>339</v>
      </c>
      <c r="D4503" s="5" t="s">
        <v>323</v>
      </c>
      <c r="E4503" s="5" t="s">
        <v>117</v>
      </c>
      <c r="F4503" s="6" t="s">
        <v>324</v>
      </c>
      <c r="G4503" s="4" t="s">
        <v>2</v>
      </c>
      <c r="H4503" s="25">
        <v>4833.0366379300003</v>
      </c>
      <c r="I4503" s="8">
        <v>9</v>
      </c>
      <c r="J4503" s="9">
        <v>10</v>
      </c>
      <c r="K4503" s="7">
        <v>1</v>
      </c>
      <c r="L4503" s="24">
        <f>+Tabla2[[#This Row],[Stock Inventario]]*Tabla2[[#This Row],[Coste LÃ­nea]]</f>
        <v>48330.366379300001</v>
      </c>
      <c r="M4503" s="24">
        <f>+Tabla2[[#This Row],[Variación Stock]]*Tabla2[[#This Row],[Coste LÃ­nea]]</f>
        <v>4833.0366379300003</v>
      </c>
      <c r="N4503" s="22" t="str">
        <f>+IF(Tabla2[[#This Row],[Variación Stock]]&gt;0,"Sobrante",IF(Tabla2[[#This Row],[Variación Stock]]&lt;0,"Faltante","Sin novedad"))</f>
        <v>Sobrante</v>
      </c>
    </row>
    <row r="4504" spans="1:14" hidden="1" x14ac:dyDescent="0.25">
      <c r="A4504" s="11">
        <v>46064</v>
      </c>
      <c r="B4504" s="5" t="s">
        <v>1083</v>
      </c>
      <c r="C4504" s="3" t="s">
        <v>339</v>
      </c>
      <c r="D4504" s="5" t="s">
        <v>116</v>
      </c>
      <c r="E4504" s="5" t="s">
        <v>117</v>
      </c>
      <c r="F4504" s="6" t="s">
        <v>157</v>
      </c>
      <c r="G4504" s="4" t="s">
        <v>1</v>
      </c>
      <c r="H4504" s="25">
        <v>30.99415205</v>
      </c>
      <c r="I4504" s="8">
        <v>0</v>
      </c>
      <c r="J4504" s="9">
        <v>0</v>
      </c>
      <c r="K4504" s="7">
        <v>0</v>
      </c>
      <c r="L4504" s="24">
        <f>+Tabla2[[#This Row],[Stock Inventario]]*Tabla2[[#This Row],[Coste LÃ­nea]]</f>
        <v>0</v>
      </c>
      <c r="M4504" s="24">
        <f>+Tabla2[[#This Row],[Variación Stock]]*Tabla2[[#This Row],[Coste LÃ­nea]]</f>
        <v>0</v>
      </c>
      <c r="N4504" s="22" t="str">
        <f>+IF(Tabla2[[#This Row],[Variación Stock]]&gt;0,"Sobrante",IF(Tabla2[[#This Row],[Variación Stock]]&lt;0,"Faltante","Sin novedad"))</f>
        <v>Sin novedad</v>
      </c>
    </row>
    <row r="4505" spans="1:14" hidden="1" x14ac:dyDescent="0.25">
      <c r="A4505" s="11">
        <v>46064</v>
      </c>
      <c r="B4505" s="5" t="s">
        <v>1083</v>
      </c>
      <c r="C4505" s="3" t="s">
        <v>339</v>
      </c>
      <c r="D4505" s="5" t="s">
        <v>120</v>
      </c>
      <c r="E4505" s="5" t="s">
        <v>117</v>
      </c>
      <c r="F4505" s="6" t="s">
        <v>330</v>
      </c>
      <c r="G4505" s="4" t="s">
        <v>2</v>
      </c>
      <c r="H4505" s="25">
        <v>2851.38809455</v>
      </c>
      <c r="I4505" s="8">
        <v>58</v>
      </c>
      <c r="J4505" s="9">
        <v>58</v>
      </c>
      <c r="K4505" s="7">
        <v>0</v>
      </c>
      <c r="L4505" s="24">
        <f>+Tabla2[[#This Row],[Stock Inventario]]*Tabla2[[#This Row],[Coste LÃ­nea]]</f>
        <v>165380.50948390001</v>
      </c>
      <c r="M4505" s="24">
        <f>+Tabla2[[#This Row],[Variación Stock]]*Tabla2[[#This Row],[Coste LÃ­nea]]</f>
        <v>0</v>
      </c>
      <c r="N4505" s="22" t="str">
        <f>+IF(Tabla2[[#This Row],[Variación Stock]]&gt;0,"Sobrante",IF(Tabla2[[#This Row],[Variación Stock]]&lt;0,"Faltante","Sin novedad"))</f>
        <v>Sin novedad</v>
      </c>
    </row>
    <row r="4506" spans="1:14" hidden="1" x14ac:dyDescent="0.25">
      <c r="A4506" s="11">
        <v>46064</v>
      </c>
      <c r="B4506" s="5" t="s">
        <v>1083</v>
      </c>
      <c r="C4506" s="3" t="s">
        <v>339</v>
      </c>
      <c r="D4506" s="5" t="s">
        <v>116</v>
      </c>
      <c r="E4506" s="5" t="s">
        <v>117</v>
      </c>
      <c r="F4506" s="6" t="s">
        <v>253</v>
      </c>
      <c r="G4506" s="4" t="s">
        <v>1</v>
      </c>
      <c r="H4506" s="25">
        <v>26.941605840000001</v>
      </c>
      <c r="I4506" s="8">
        <v>0</v>
      </c>
      <c r="J4506" s="9">
        <v>0</v>
      </c>
      <c r="K4506" s="7">
        <v>0</v>
      </c>
      <c r="L4506" s="24">
        <f>+Tabla2[[#This Row],[Stock Inventario]]*Tabla2[[#This Row],[Coste LÃ­nea]]</f>
        <v>0</v>
      </c>
      <c r="M4506" s="24">
        <f>+Tabla2[[#This Row],[Variación Stock]]*Tabla2[[#This Row],[Coste LÃ­nea]]</f>
        <v>0</v>
      </c>
      <c r="N4506" s="22" t="str">
        <f>+IF(Tabla2[[#This Row],[Variación Stock]]&gt;0,"Sobrante",IF(Tabla2[[#This Row],[Variación Stock]]&lt;0,"Faltante","Sin novedad"))</f>
        <v>Sin novedad</v>
      </c>
    </row>
    <row r="4507" spans="1:14" hidden="1" x14ac:dyDescent="0.25">
      <c r="A4507" s="11">
        <v>46064</v>
      </c>
      <c r="B4507" s="5" t="s">
        <v>1083</v>
      </c>
      <c r="C4507" s="3" t="s">
        <v>339</v>
      </c>
      <c r="D4507" s="5" t="s">
        <v>116</v>
      </c>
      <c r="E4507" s="5" t="s">
        <v>117</v>
      </c>
      <c r="F4507" s="6" t="s">
        <v>255</v>
      </c>
      <c r="G4507" s="4" t="s">
        <v>1</v>
      </c>
      <c r="H4507" s="25">
        <v>0</v>
      </c>
      <c r="I4507" s="8">
        <v>0</v>
      </c>
      <c r="J4507" s="9">
        <v>0</v>
      </c>
      <c r="K4507" s="7">
        <v>0</v>
      </c>
      <c r="L4507" s="24">
        <f>+Tabla2[[#This Row],[Stock Inventario]]*Tabla2[[#This Row],[Coste LÃ­nea]]</f>
        <v>0</v>
      </c>
      <c r="M4507" s="24">
        <f>+Tabla2[[#This Row],[Variación Stock]]*Tabla2[[#This Row],[Coste LÃ­nea]]</f>
        <v>0</v>
      </c>
      <c r="N4507" s="22" t="str">
        <f>+IF(Tabla2[[#This Row],[Variación Stock]]&gt;0,"Sobrante",IF(Tabla2[[#This Row],[Variación Stock]]&lt;0,"Faltante","Sin novedad"))</f>
        <v>Sin novedad</v>
      </c>
    </row>
    <row r="4508" spans="1:14" hidden="1" x14ac:dyDescent="0.25">
      <c r="A4508" s="11">
        <v>46064</v>
      </c>
      <c r="B4508" s="5" t="s">
        <v>1083</v>
      </c>
      <c r="C4508" s="3" t="s">
        <v>339</v>
      </c>
      <c r="D4508" s="5" t="s">
        <v>119</v>
      </c>
      <c r="E4508" s="5" t="s">
        <v>117</v>
      </c>
      <c r="F4508" s="6" t="s">
        <v>192</v>
      </c>
      <c r="G4508" s="4" t="s">
        <v>2</v>
      </c>
      <c r="H4508" s="25">
        <v>50966.18357488</v>
      </c>
      <c r="I4508" s="8">
        <v>0</v>
      </c>
      <c r="J4508" s="9">
        <v>0</v>
      </c>
      <c r="K4508" s="7">
        <v>0</v>
      </c>
      <c r="L4508" s="24">
        <f>+Tabla2[[#This Row],[Stock Inventario]]*Tabla2[[#This Row],[Coste LÃ­nea]]</f>
        <v>0</v>
      </c>
      <c r="M4508" s="24">
        <f>+Tabla2[[#This Row],[Variación Stock]]*Tabla2[[#This Row],[Coste LÃ­nea]]</f>
        <v>0</v>
      </c>
      <c r="N4508" s="22" t="str">
        <f>+IF(Tabla2[[#This Row],[Variación Stock]]&gt;0,"Sobrante",IF(Tabla2[[#This Row],[Variación Stock]]&lt;0,"Faltante","Sin novedad"))</f>
        <v>Sin novedad</v>
      </c>
    </row>
    <row r="4509" spans="1:14" hidden="1" x14ac:dyDescent="0.25">
      <c r="A4509" s="11">
        <v>46064</v>
      </c>
      <c r="B4509" s="5" t="s">
        <v>1083</v>
      </c>
      <c r="C4509" s="3" t="s">
        <v>339</v>
      </c>
      <c r="D4509" s="5" t="s">
        <v>119</v>
      </c>
      <c r="E4509" s="5" t="s">
        <v>117</v>
      </c>
      <c r="F4509" s="6" t="s">
        <v>193</v>
      </c>
      <c r="G4509" s="4" t="s">
        <v>1</v>
      </c>
      <c r="H4509" s="25">
        <v>0</v>
      </c>
      <c r="I4509" s="8">
        <v>0</v>
      </c>
      <c r="J4509" s="9">
        <v>0</v>
      </c>
      <c r="K4509" s="7">
        <v>0</v>
      </c>
      <c r="L4509" s="24">
        <f>+Tabla2[[#This Row],[Stock Inventario]]*Tabla2[[#This Row],[Coste LÃ­nea]]</f>
        <v>0</v>
      </c>
      <c r="M4509" s="24">
        <f>+Tabla2[[#This Row],[Variación Stock]]*Tabla2[[#This Row],[Coste LÃ­nea]]</f>
        <v>0</v>
      </c>
      <c r="N4509" s="22" t="str">
        <f>+IF(Tabla2[[#This Row],[Variación Stock]]&gt;0,"Sobrante",IF(Tabla2[[#This Row],[Variación Stock]]&lt;0,"Faltante","Sin novedad"))</f>
        <v>Sin novedad</v>
      </c>
    </row>
    <row r="4510" spans="1:14" hidden="1" x14ac:dyDescent="0.25">
      <c r="A4510" s="11">
        <v>46064</v>
      </c>
      <c r="B4510" s="5" t="s">
        <v>1083</v>
      </c>
      <c r="C4510" s="3" t="s">
        <v>339</v>
      </c>
      <c r="D4510" s="5" t="s">
        <v>119</v>
      </c>
      <c r="E4510" s="5" t="s">
        <v>117</v>
      </c>
      <c r="F4510" s="6" t="s">
        <v>199</v>
      </c>
      <c r="G4510" s="4" t="s">
        <v>1</v>
      </c>
      <c r="H4510" s="25">
        <v>454.81299999999999</v>
      </c>
      <c r="I4510" s="8">
        <v>0</v>
      </c>
      <c r="J4510" s="9">
        <v>0</v>
      </c>
      <c r="K4510" s="7">
        <v>0</v>
      </c>
      <c r="L4510" s="24">
        <f>+Tabla2[[#This Row],[Stock Inventario]]*Tabla2[[#This Row],[Coste LÃ­nea]]</f>
        <v>0</v>
      </c>
      <c r="M4510" s="24">
        <f>+Tabla2[[#This Row],[Variación Stock]]*Tabla2[[#This Row],[Coste LÃ­nea]]</f>
        <v>0</v>
      </c>
      <c r="N4510" s="22" t="str">
        <f>+IF(Tabla2[[#This Row],[Variación Stock]]&gt;0,"Sobrante",IF(Tabla2[[#This Row],[Variación Stock]]&lt;0,"Faltante","Sin novedad"))</f>
        <v>Sin novedad</v>
      </c>
    </row>
    <row r="4511" spans="1:14" hidden="1" x14ac:dyDescent="0.25">
      <c r="A4511" s="11">
        <v>46064</v>
      </c>
      <c r="B4511" s="5" t="s">
        <v>1083</v>
      </c>
      <c r="C4511" s="3" t="s">
        <v>339</v>
      </c>
      <c r="D4511" s="5" t="s">
        <v>116</v>
      </c>
      <c r="E4511" s="5" t="s">
        <v>117</v>
      </c>
      <c r="F4511" s="6" t="s">
        <v>546</v>
      </c>
      <c r="G4511" s="4" t="s">
        <v>1</v>
      </c>
      <c r="H4511" s="25">
        <v>28</v>
      </c>
      <c r="I4511" s="8">
        <v>45</v>
      </c>
      <c r="J4511" s="9">
        <v>0</v>
      </c>
      <c r="K4511" s="7">
        <v>0</v>
      </c>
      <c r="L4511" s="24">
        <f>+Tabla2[[#This Row],[Stock Inventario]]*Tabla2[[#This Row],[Coste LÃ­nea]]</f>
        <v>0</v>
      </c>
      <c r="M4511" s="24">
        <f>+Tabla2[[#This Row],[Variación Stock]]*Tabla2[[#This Row],[Coste LÃ­nea]]</f>
        <v>0</v>
      </c>
      <c r="N4511" s="22" t="str">
        <f>+IF(Tabla2[[#This Row],[Variación Stock]]&gt;0,"Sobrante",IF(Tabla2[[#This Row],[Variación Stock]]&lt;0,"Faltante","Sin novedad"))</f>
        <v>Sin novedad</v>
      </c>
    </row>
    <row r="4512" spans="1:14" hidden="1" x14ac:dyDescent="0.25">
      <c r="A4512" s="11">
        <v>46064</v>
      </c>
      <c r="B4512" s="5" t="s">
        <v>1083</v>
      </c>
      <c r="C4512" s="3" t="s">
        <v>339</v>
      </c>
      <c r="D4512" s="5" t="s">
        <v>119</v>
      </c>
      <c r="E4512" s="5" t="s">
        <v>117</v>
      </c>
      <c r="F4512" s="6" t="s">
        <v>200</v>
      </c>
      <c r="G4512" s="4" t="s">
        <v>1</v>
      </c>
      <c r="H4512" s="25">
        <v>58.31</v>
      </c>
      <c r="I4512" s="8">
        <v>0</v>
      </c>
      <c r="J4512" s="9">
        <v>0</v>
      </c>
      <c r="K4512" s="7">
        <v>0</v>
      </c>
      <c r="L4512" s="24">
        <f>+Tabla2[[#This Row],[Stock Inventario]]*Tabla2[[#This Row],[Coste LÃ­nea]]</f>
        <v>0</v>
      </c>
      <c r="M4512" s="24">
        <f>+Tabla2[[#This Row],[Variación Stock]]*Tabla2[[#This Row],[Coste LÃ­nea]]</f>
        <v>0</v>
      </c>
      <c r="N4512" s="22" t="str">
        <f>+IF(Tabla2[[#This Row],[Variación Stock]]&gt;0,"Sobrante",IF(Tabla2[[#This Row],[Variación Stock]]&lt;0,"Faltante","Sin novedad"))</f>
        <v>Sin novedad</v>
      </c>
    </row>
    <row r="4513" spans="1:14" hidden="1" x14ac:dyDescent="0.25">
      <c r="A4513" s="11">
        <v>46064</v>
      </c>
      <c r="B4513" s="5" t="s">
        <v>1083</v>
      </c>
      <c r="C4513" s="3" t="s">
        <v>339</v>
      </c>
      <c r="D4513" s="5" t="s">
        <v>120</v>
      </c>
      <c r="E4513" s="5" t="s">
        <v>117</v>
      </c>
      <c r="F4513" s="6" t="s">
        <v>730</v>
      </c>
      <c r="G4513" s="4" t="s">
        <v>1</v>
      </c>
      <c r="H4513" s="25">
        <v>50.048832169999997</v>
      </c>
      <c r="I4513" s="8">
        <v>0</v>
      </c>
      <c r="J4513" s="9">
        <v>0</v>
      </c>
      <c r="K4513" s="7">
        <v>0</v>
      </c>
      <c r="L4513" s="24">
        <f>+Tabla2[[#This Row],[Stock Inventario]]*Tabla2[[#This Row],[Coste LÃ­nea]]</f>
        <v>0</v>
      </c>
      <c r="M4513" s="24">
        <f>+Tabla2[[#This Row],[Variación Stock]]*Tabla2[[#This Row],[Coste LÃ­nea]]</f>
        <v>0</v>
      </c>
      <c r="N4513" s="22" t="str">
        <f>+IF(Tabla2[[#This Row],[Variación Stock]]&gt;0,"Sobrante",IF(Tabla2[[#This Row],[Variación Stock]]&lt;0,"Faltante","Sin novedad"))</f>
        <v>Sin novedad</v>
      </c>
    </row>
    <row r="4514" spans="1:14" hidden="1" x14ac:dyDescent="0.25">
      <c r="A4514" s="11">
        <v>46064</v>
      </c>
      <c r="B4514" s="5" t="s">
        <v>1083</v>
      </c>
      <c r="C4514" s="3" t="s">
        <v>339</v>
      </c>
      <c r="D4514" s="5" t="s">
        <v>120</v>
      </c>
      <c r="E4514" s="5" t="s">
        <v>117</v>
      </c>
      <c r="F4514" s="6" t="s">
        <v>320</v>
      </c>
      <c r="G4514" s="4" t="s">
        <v>2</v>
      </c>
      <c r="H4514" s="25">
        <v>6457.8305472000002</v>
      </c>
      <c r="I4514" s="8">
        <v>9</v>
      </c>
      <c r="J4514" s="9">
        <v>9</v>
      </c>
      <c r="K4514" s="7">
        <v>0</v>
      </c>
      <c r="L4514" s="24">
        <f>+Tabla2[[#This Row],[Stock Inventario]]*Tabla2[[#This Row],[Coste LÃ­nea]]</f>
        <v>58120.474924800001</v>
      </c>
      <c r="M4514" s="24">
        <f>+Tabla2[[#This Row],[Variación Stock]]*Tabla2[[#This Row],[Coste LÃ­nea]]</f>
        <v>0</v>
      </c>
      <c r="N4514" s="22" t="str">
        <f>+IF(Tabla2[[#This Row],[Variación Stock]]&gt;0,"Sobrante",IF(Tabla2[[#This Row],[Variación Stock]]&lt;0,"Faltante","Sin novedad"))</f>
        <v>Sin novedad</v>
      </c>
    </row>
    <row r="4515" spans="1:14" hidden="1" x14ac:dyDescent="0.25">
      <c r="A4515" s="11">
        <v>46064</v>
      </c>
      <c r="B4515" s="5" t="s">
        <v>1083</v>
      </c>
      <c r="C4515" s="3" t="s">
        <v>339</v>
      </c>
      <c r="D4515" s="5" t="s">
        <v>120</v>
      </c>
      <c r="E4515" s="5" t="s">
        <v>117</v>
      </c>
      <c r="F4515" s="6" t="s">
        <v>321</v>
      </c>
      <c r="G4515" s="4" t="s">
        <v>2</v>
      </c>
      <c r="H4515" s="25">
        <v>16425.13066658</v>
      </c>
      <c r="I4515" s="8">
        <v>7</v>
      </c>
      <c r="J4515" s="9">
        <v>7</v>
      </c>
      <c r="K4515" s="7">
        <v>0</v>
      </c>
      <c r="L4515" s="24">
        <f>+Tabla2[[#This Row],[Stock Inventario]]*Tabla2[[#This Row],[Coste LÃ­nea]]</f>
        <v>114975.91466606001</v>
      </c>
      <c r="M4515" s="24">
        <f>+Tabla2[[#This Row],[Variación Stock]]*Tabla2[[#This Row],[Coste LÃ­nea]]</f>
        <v>0</v>
      </c>
      <c r="N4515" s="22" t="str">
        <f>+IF(Tabla2[[#This Row],[Variación Stock]]&gt;0,"Sobrante",IF(Tabla2[[#This Row],[Variación Stock]]&lt;0,"Faltante","Sin novedad"))</f>
        <v>Sin novedad</v>
      </c>
    </row>
    <row r="4516" spans="1:14" hidden="1" x14ac:dyDescent="0.25">
      <c r="A4516" s="11">
        <v>46064</v>
      </c>
      <c r="B4516" s="5" t="s">
        <v>1083</v>
      </c>
      <c r="C4516" s="3" t="s">
        <v>339</v>
      </c>
      <c r="D4516" s="5" t="s">
        <v>116</v>
      </c>
      <c r="E4516" s="5" t="s">
        <v>117</v>
      </c>
      <c r="F4516" s="6" t="s">
        <v>7</v>
      </c>
      <c r="G4516" s="4" t="s">
        <v>2</v>
      </c>
      <c r="H4516" s="25">
        <v>13154.054054050001</v>
      </c>
      <c r="I4516" s="8">
        <v>74</v>
      </c>
      <c r="J4516" s="9">
        <v>73</v>
      </c>
      <c r="K4516" s="15">
        <v>-1</v>
      </c>
      <c r="L4516" s="24">
        <f>+Tabla2[[#This Row],[Stock Inventario]]*Tabla2[[#This Row],[Coste LÃ­nea]]</f>
        <v>960245.94594564999</v>
      </c>
      <c r="M4516" s="24">
        <f>+Tabla2[[#This Row],[Variación Stock]]*Tabla2[[#This Row],[Coste LÃ­nea]]</f>
        <v>-13154.054054050001</v>
      </c>
      <c r="N4516" s="22" t="str">
        <f>+IF(Tabla2[[#This Row],[Variación Stock]]&gt;0,"Sobrante",IF(Tabla2[[#This Row],[Variación Stock]]&lt;0,"Faltante","Sin novedad"))</f>
        <v>Faltante</v>
      </c>
    </row>
    <row r="4517" spans="1:14" hidden="1" x14ac:dyDescent="0.25">
      <c r="A4517" s="11">
        <v>46064</v>
      </c>
      <c r="B4517" s="5" t="s">
        <v>1083</v>
      </c>
      <c r="C4517" s="3" t="s">
        <v>339</v>
      </c>
      <c r="D4517" s="5" t="s">
        <v>119</v>
      </c>
      <c r="E4517" s="5" t="s">
        <v>117</v>
      </c>
      <c r="F4517" s="6" t="s">
        <v>13</v>
      </c>
      <c r="G4517" s="4" t="s">
        <v>2</v>
      </c>
      <c r="H4517" s="25">
        <v>13905</v>
      </c>
      <c r="I4517" s="8">
        <v>9</v>
      </c>
      <c r="J4517" s="9">
        <v>8</v>
      </c>
      <c r="K4517" s="7">
        <v>-1</v>
      </c>
      <c r="L4517" s="24">
        <f>+Tabla2[[#This Row],[Stock Inventario]]*Tabla2[[#This Row],[Coste LÃ­nea]]</f>
        <v>111240</v>
      </c>
      <c r="M4517" s="24">
        <f>+Tabla2[[#This Row],[Variación Stock]]*Tabla2[[#This Row],[Coste LÃ­nea]]</f>
        <v>-13905</v>
      </c>
      <c r="N4517" s="22" t="str">
        <f>+IF(Tabla2[[#This Row],[Variación Stock]]&gt;0,"Sobrante",IF(Tabla2[[#This Row],[Variación Stock]]&lt;0,"Faltante","Sin novedad"))</f>
        <v>Faltante</v>
      </c>
    </row>
    <row r="4518" spans="1:14" hidden="1" x14ac:dyDescent="0.25">
      <c r="A4518" s="11">
        <v>46064</v>
      </c>
      <c r="B4518" s="5" t="s">
        <v>1083</v>
      </c>
      <c r="C4518" s="3" t="s">
        <v>339</v>
      </c>
      <c r="D4518" s="5" t="s">
        <v>119</v>
      </c>
      <c r="E4518" s="5" t="s">
        <v>117</v>
      </c>
      <c r="F4518" s="6" t="s">
        <v>12</v>
      </c>
      <c r="G4518" s="4" t="s">
        <v>2</v>
      </c>
      <c r="H4518" s="25">
        <v>753.66666667000004</v>
      </c>
      <c r="I4518" s="8">
        <v>40</v>
      </c>
      <c r="J4518" s="9">
        <v>39</v>
      </c>
      <c r="K4518" s="7">
        <v>-1</v>
      </c>
      <c r="L4518" s="24">
        <f>+Tabla2[[#This Row],[Stock Inventario]]*Tabla2[[#This Row],[Coste LÃ­nea]]</f>
        <v>29393.000000130003</v>
      </c>
      <c r="M4518" s="24">
        <f>+Tabla2[[#This Row],[Variación Stock]]*Tabla2[[#This Row],[Coste LÃ­nea]]</f>
        <v>-753.66666667000004</v>
      </c>
      <c r="N4518" s="22" t="str">
        <f>+IF(Tabla2[[#This Row],[Variación Stock]]&gt;0,"Sobrante",IF(Tabla2[[#This Row],[Variación Stock]]&lt;0,"Faltante","Sin novedad"))</f>
        <v>Faltante</v>
      </c>
    </row>
    <row r="4519" spans="1:14" hidden="1" x14ac:dyDescent="0.25">
      <c r="A4519" s="11">
        <v>46064</v>
      </c>
      <c r="B4519" s="5" t="s">
        <v>1083</v>
      </c>
      <c r="C4519" s="3" t="s">
        <v>339</v>
      </c>
      <c r="D4519" s="5" t="s">
        <v>116</v>
      </c>
      <c r="E4519" s="5" t="s">
        <v>117</v>
      </c>
      <c r="F4519" s="6" t="s">
        <v>79</v>
      </c>
      <c r="G4519" s="4" t="s">
        <v>2</v>
      </c>
      <c r="H4519" s="25">
        <v>4850</v>
      </c>
      <c r="I4519" s="8">
        <v>18.5</v>
      </c>
      <c r="J4519" s="9">
        <v>16</v>
      </c>
      <c r="K4519" s="15">
        <v>-2.5</v>
      </c>
      <c r="L4519" s="24">
        <f>+Tabla2[[#This Row],[Stock Inventario]]*Tabla2[[#This Row],[Coste LÃ­nea]]</f>
        <v>77600</v>
      </c>
      <c r="M4519" s="24">
        <f>+Tabla2[[#This Row],[Variación Stock]]*Tabla2[[#This Row],[Coste LÃ­nea]]</f>
        <v>-12125</v>
      </c>
      <c r="N4519" s="22" t="str">
        <f>+IF(Tabla2[[#This Row],[Variación Stock]]&gt;0,"Sobrante",IF(Tabla2[[#This Row],[Variación Stock]]&lt;0,"Faltante","Sin novedad"))</f>
        <v>Faltante</v>
      </c>
    </row>
    <row r="4520" spans="1:14" hidden="1" x14ac:dyDescent="0.25">
      <c r="A4520" s="11">
        <v>46064</v>
      </c>
      <c r="B4520" s="5" t="s">
        <v>1083</v>
      </c>
      <c r="C4520" s="3" t="s">
        <v>339</v>
      </c>
      <c r="D4520" s="5" t="s">
        <v>323</v>
      </c>
      <c r="E4520" s="5" t="s">
        <v>117</v>
      </c>
      <c r="F4520" s="6" t="s">
        <v>325</v>
      </c>
      <c r="G4520" s="4" t="s">
        <v>2</v>
      </c>
      <c r="H4520" s="25">
        <v>1996.9894927</v>
      </c>
      <c r="I4520" s="8">
        <v>66</v>
      </c>
      <c r="J4520" s="9">
        <v>62</v>
      </c>
      <c r="K4520" s="15">
        <v>-4</v>
      </c>
      <c r="L4520" s="24">
        <f>+Tabla2[[#This Row],[Stock Inventario]]*Tabla2[[#This Row],[Coste LÃ­nea]]</f>
        <v>123813.3485474</v>
      </c>
      <c r="M4520" s="24">
        <f>+Tabla2[[#This Row],[Variación Stock]]*Tabla2[[#This Row],[Coste LÃ­nea]]</f>
        <v>-7987.9579708000001</v>
      </c>
      <c r="N4520" s="22" t="str">
        <f>+IF(Tabla2[[#This Row],[Variación Stock]]&gt;0,"Sobrante",IF(Tabla2[[#This Row],[Variación Stock]]&lt;0,"Faltante","Sin novedad"))</f>
        <v>Faltante</v>
      </c>
    </row>
    <row r="4521" spans="1:14" hidden="1" x14ac:dyDescent="0.25">
      <c r="A4521" s="11">
        <v>46064</v>
      </c>
      <c r="B4521" s="5" t="s">
        <v>1083</v>
      </c>
      <c r="C4521" s="3" t="s">
        <v>339</v>
      </c>
      <c r="D4521" s="5" t="s">
        <v>120</v>
      </c>
      <c r="E4521" s="5" t="s">
        <v>117</v>
      </c>
      <c r="F4521" s="6" t="s">
        <v>699</v>
      </c>
      <c r="G4521" s="4" t="s">
        <v>2</v>
      </c>
      <c r="H4521" s="25">
        <v>5943.1887500000003</v>
      </c>
      <c r="I4521" s="8">
        <v>10</v>
      </c>
      <c r="J4521" s="9">
        <v>0</v>
      </c>
      <c r="K4521" s="7">
        <v>-10</v>
      </c>
      <c r="L4521" s="24">
        <f>+Tabla2[[#This Row],[Stock Inventario]]*Tabla2[[#This Row],[Coste LÃ­nea]]</f>
        <v>0</v>
      </c>
      <c r="M4521" s="24">
        <f>+Tabla2[[#This Row],[Variación Stock]]*Tabla2[[#This Row],[Coste LÃ­nea]]</f>
        <v>-59431.887500000004</v>
      </c>
      <c r="N4521" s="22" t="str">
        <f>+IF(Tabla2[[#This Row],[Variación Stock]]&gt;0,"Sobrante",IF(Tabla2[[#This Row],[Variación Stock]]&lt;0,"Faltante","Sin novedad"))</f>
        <v>Faltante</v>
      </c>
    </row>
    <row r="4522" spans="1:14" hidden="1" x14ac:dyDescent="0.25">
      <c r="A4522" s="11">
        <v>46064</v>
      </c>
      <c r="B4522" s="5" t="s">
        <v>1083</v>
      </c>
      <c r="C4522" s="3" t="s">
        <v>339</v>
      </c>
      <c r="D4522" s="5" t="s">
        <v>120</v>
      </c>
      <c r="E4522" s="5" t="s">
        <v>117</v>
      </c>
      <c r="F4522" s="6" t="s">
        <v>319</v>
      </c>
      <c r="G4522" s="4" t="s">
        <v>2</v>
      </c>
      <c r="H4522" s="25">
        <v>4955.5749061300003</v>
      </c>
      <c r="I4522" s="8">
        <v>41</v>
      </c>
      <c r="J4522" s="9">
        <v>24</v>
      </c>
      <c r="K4522" s="7">
        <v>-17</v>
      </c>
      <c r="L4522" s="24">
        <f>+Tabla2[[#This Row],[Stock Inventario]]*Tabla2[[#This Row],[Coste LÃ­nea]]</f>
        <v>118933.79774712</v>
      </c>
      <c r="M4522" s="24">
        <f>+Tabla2[[#This Row],[Variación Stock]]*Tabla2[[#This Row],[Coste LÃ­nea]]</f>
        <v>-84244.773404210006</v>
      </c>
      <c r="N4522" s="22" t="str">
        <f>+IF(Tabla2[[#This Row],[Variación Stock]]&gt;0,"Sobrante",IF(Tabla2[[#This Row],[Variación Stock]]&lt;0,"Faltante","Sin novedad"))</f>
        <v>Faltante</v>
      </c>
    </row>
    <row r="4523" spans="1:14" hidden="1" x14ac:dyDescent="0.25">
      <c r="A4523" s="11">
        <v>46064</v>
      </c>
      <c r="B4523" s="5" t="s">
        <v>1083</v>
      </c>
      <c r="C4523" s="3" t="s">
        <v>339</v>
      </c>
      <c r="D4523" s="5" t="s">
        <v>323</v>
      </c>
      <c r="E4523" s="5" t="s">
        <v>117</v>
      </c>
      <c r="F4523" s="6" t="s">
        <v>329</v>
      </c>
      <c r="G4523" s="4" t="s">
        <v>2</v>
      </c>
      <c r="H4523" s="25">
        <v>7154.7847073200001</v>
      </c>
      <c r="I4523" s="8">
        <v>64</v>
      </c>
      <c r="J4523" s="9">
        <v>40</v>
      </c>
      <c r="K4523" s="15">
        <v>-24</v>
      </c>
      <c r="L4523" s="24">
        <f>+Tabla2[[#This Row],[Stock Inventario]]*Tabla2[[#This Row],[Coste LÃ­nea]]</f>
        <v>286191.38829279999</v>
      </c>
      <c r="M4523" s="24">
        <f>+Tabla2[[#This Row],[Variación Stock]]*Tabla2[[#This Row],[Coste LÃ­nea]]</f>
        <v>-171714.83297568001</v>
      </c>
      <c r="N4523" s="22" t="str">
        <f>+IF(Tabla2[[#This Row],[Variación Stock]]&gt;0,"Sobrante",IF(Tabla2[[#This Row],[Variación Stock]]&lt;0,"Faltante","Sin novedad"))</f>
        <v>Faltante</v>
      </c>
    </row>
    <row r="4524" spans="1:14" hidden="1" x14ac:dyDescent="0.25">
      <c r="A4524" s="11">
        <v>46064</v>
      </c>
      <c r="B4524" s="5" t="s">
        <v>1083</v>
      </c>
      <c r="C4524" s="3" t="s">
        <v>339</v>
      </c>
      <c r="D4524" s="5" t="s">
        <v>119</v>
      </c>
      <c r="E4524" s="5" t="s">
        <v>117</v>
      </c>
      <c r="F4524" s="6" t="s">
        <v>9</v>
      </c>
      <c r="G4524" s="4" t="s">
        <v>2</v>
      </c>
      <c r="H4524" s="25">
        <v>514.28571428999999</v>
      </c>
      <c r="I4524" s="8">
        <v>663</v>
      </c>
      <c r="J4524" s="9">
        <v>597</v>
      </c>
      <c r="K4524" s="15">
        <v>-66</v>
      </c>
      <c r="L4524" s="24">
        <f>+Tabla2[[#This Row],[Stock Inventario]]*Tabla2[[#This Row],[Coste LÃ­nea]]</f>
        <v>307028.57143113</v>
      </c>
      <c r="M4524" s="24">
        <f>+Tabla2[[#This Row],[Variación Stock]]*Tabla2[[#This Row],[Coste LÃ­nea]]</f>
        <v>-33942.857143139998</v>
      </c>
      <c r="N4524" s="22" t="str">
        <f>+IF(Tabla2[[#This Row],[Variación Stock]]&gt;0,"Sobrante",IF(Tabla2[[#This Row],[Variación Stock]]&lt;0,"Faltante","Sin novedad"))</f>
        <v>Faltante</v>
      </c>
    </row>
    <row r="4525" spans="1:14" hidden="1" x14ac:dyDescent="0.25">
      <c r="A4525" s="11">
        <v>46064</v>
      </c>
      <c r="B4525" s="5" t="s">
        <v>1083</v>
      </c>
      <c r="C4525" s="3" t="s">
        <v>339</v>
      </c>
      <c r="D4525" s="5" t="s">
        <v>119</v>
      </c>
      <c r="E4525" s="5" t="s">
        <v>117</v>
      </c>
      <c r="F4525" s="6" t="s">
        <v>93</v>
      </c>
      <c r="G4525" s="4" t="s">
        <v>1</v>
      </c>
      <c r="H4525" s="25">
        <v>54.545000000000002</v>
      </c>
      <c r="I4525" s="8">
        <v>11353.777700000001</v>
      </c>
      <c r="J4525" s="9">
        <v>10948</v>
      </c>
      <c r="K4525" s="7">
        <v>-405.77774599999998</v>
      </c>
      <c r="L4525" s="24">
        <f>+Tabla2[[#This Row],[Stock Inventario]]*Tabla2[[#This Row],[Coste LÃ­nea]]</f>
        <v>597158.66</v>
      </c>
      <c r="M4525" s="24">
        <f>+Tabla2[[#This Row],[Variación Stock]]*Tabla2[[#This Row],[Coste LÃ­nea]]</f>
        <v>-22133.147155570001</v>
      </c>
      <c r="N4525" s="22" t="str">
        <f>+IF(Tabla2[[#This Row],[Variación Stock]]&gt;0,"Sobrante",IF(Tabla2[[#This Row],[Variación Stock]]&lt;0,"Faltante","Sin novedad"))</f>
        <v>Faltante</v>
      </c>
    </row>
    <row r="4526" spans="1:14" hidden="1" x14ac:dyDescent="0.25">
      <c r="A4526" s="11">
        <v>46064</v>
      </c>
      <c r="B4526" s="5" t="s">
        <v>1083</v>
      </c>
      <c r="C4526" s="3" t="s">
        <v>339</v>
      </c>
      <c r="D4526" s="5" t="s">
        <v>120</v>
      </c>
      <c r="E4526" s="5" t="s">
        <v>117</v>
      </c>
      <c r="F4526" s="6" t="s">
        <v>312</v>
      </c>
      <c r="G4526" s="4" t="s">
        <v>1</v>
      </c>
      <c r="H4526" s="25">
        <v>56.779095910000002</v>
      </c>
      <c r="I4526" s="8">
        <v>1126</v>
      </c>
      <c r="J4526" s="9">
        <v>332</v>
      </c>
      <c r="K4526" s="7">
        <v>-794</v>
      </c>
      <c r="L4526" s="24">
        <f>+Tabla2[[#This Row],[Stock Inventario]]*Tabla2[[#This Row],[Coste LÃ­nea]]</f>
        <v>18850.65984212</v>
      </c>
      <c r="M4526" s="24">
        <f>+Tabla2[[#This Row],[Variación Stock]]*Tabla2[[#This Row],[Coste LÃ­nea]]</f>
        <v>-45082.602152539999</v>
      </c>
      <c r="N4526" s="22" t="str">
        <f>+IF(Tabla2[[#This Row],[Variación Stock]]&gt;0,"Sobrante",IF(Tabla2[[#This Row],[Variación Stock]]&lt;0,"Faltante","Sin novedad"))</f>
        <v>Faltante</v>
      </c>
    </row>
    <row r="4527" spans="1:14" hidden="1" x14ac:dyDescent="0.25">
      <c r="A4527" s="11">
        <v>46064</v>
      </c>
      <c r="B4527" s="5" t="s">
        <v>1083</v>
      </c>
      <c r="C4527" s="3" t="s">
        <v>339</v>
      </c>
      <c r="D4527" s="5" t="s">
        <v>116</v>
      </c>
      <c r="E4527" s="5" t="s">
        <v>117</v>
      </c>
      <c r="F4527" s="6" t="s">
        <v>5</v>
      </c>
      <c r="G4527" s="4" t="s">
        <v>1</v>
      </c>
      <c r="H4527" s="25">
        <v>23</v>
      </c>
      <c r="I4527" s="8">
        <v>7733.3333000000002</v>
      </c>
      <c r="J4527" s="9">
        <v>6172</v>
      </c>
      <c r="K4527" s="15">
        <v>-1561.3333399999999</v>
      </c>
      <c r="L4527" s="24">
        <f>+Tabla2[[#This Row],[Stock Inventario]]*Tabla2[[#This Row],[Coste LÃ­nea]]</f>
        <v>141956</v>
      </c>
      <c r="M4527" s="24">
        <f>+Tabla2[[#This Row],[Variación Stock]]*Tabla2[[#This Row],[Coste LÃ­nea]]</f>
        <v>-35910.666819999999</v>
      </c>
      <c r="N4527" s="22" t="str">
        <f>+IF(Tabla2[[#This Row],[Variación Stock]]&gt;0,"Sobrante",IF(Tabla2[[#This Row],[Variación Stock]]&lt;0,"Faltante","Sin novedad"))</f>
        <v>Faltante</v>
      </c>
    </row>
    <row r="4528" spans="1:14" hidden="1" x14ac:dyDescent="0.25">
      <c r="A4528" s="11">
        <v>46064</v>
      </c>
      <c r="B4528" s="5" t="s">
        <v>1083</v>
      </c>
      <c r="C4528" s="3" t="s">
        <v>339</v>
      </c>
      <c r="D4528" s="5" t="s">
        <v>119</v>
      </c>
      <c r="E4528" s="5" t="s">
        <v>117</v>
      </c>
      <c r="F4528" s="6" t="s">
        <v>8</v>
      </c>
      <c r="G4528" s="4" t="s">
        <v>1</v>
      </c>
      <c r="H4528" s="25">
        <v>50.866658409999999</v>
      </c>
      <c r="I4528" s="8">
        <v>13213.779500000001</v>
      </c>
      <c r="J4528" s="9">
        <v>11600</v>
      </c>
      <c r="K4528" s="7">
        <v>-1613.779495</v>
      </c>
      <c r="L4528" s="24">
        <f>+Tabla2[[#This Row],[Stock Inventario]]*Tabla2[[#This Row],[Coste LÃ­nea]]</f>
        <v>590053.23755600001</v>
      </c>
      <c r="M4528" s="24">
        <f>+Tabla2[[#This Row],[Variación Stock]]*Tabla2[[#This Row],[Coste LÃ­nea]]</f>
        <v>-82087.570321227307</v>
      </c>
      <c r="N4528" s="22" t="str">
        <f>+IF(Tabla2[[#This Row],[Variación Stock]]&gt;0,"Sobrante",IF(Tabla2[[#This Row],[Variación Stock]]&lt;0,"Faltante","Sin novedad"))</f>
        <v>Faltante</v>
      </c>
    </row>
    <row r="4529" spans="1:14" hidden="1" x14ac:dyDescent="0.25">
      <c r="A4529" s="11">
        <v>46064</v>
      </c>
      <c r="B4529" s="5" t="s">
        <v>1083</v>
      </c>
      <c r="C4529" s="3" t="s">
        <v>339</v>
      </c>
      <c r="D4529" s="5" t="s">
        <v>120</v>
      </c>
      <c r="E4529" s="5" t="s">
        <v>117</v>
      </c>
      <c r="F4529" s="6" t="s">
        <v>313</v>
      </c>
      <c r="G4529" s="4" t="s">
        <v>1</v>
      </c>
      <c r="H4529" s="25">
        <v>39.075090510000003</v>
      </c>
      <c r="I4529" s="8">
        <v>4080</v>
      </c>
      <c r="J4529" s="9">
        <v>216</v>
      </c>
      <c r="K4529" s="7">
        <v>-3864</v>
      </c>
      <c r="L4529" s="24">
        <f>+Tabla2[[#This Row],[Stock Inventario]]*Tabla2[[#This Row],[Coste LÃ­nea]]</f>
        <v>8440.2195501599999</v>
      </c>
      <c r="M4529" s="24">
        <f>+Tabla2[[#This Row],[Variación Stock]]*Tabla2[[#This Row],[Coste LÃ­nea]]</f>
        <v>-150986.14973064</v>
      </c>
      <c r="N4529" s="22" t="str">
        <f>+IF(Tabla2[[#This Row],[Variación Stock]]&gt;0,"Sobrante",IF(Tabla2[[#This Row],[Variación Stock]]&lt;0,"Faltante","Sin novedad"))</f>
        <v>Faltante</v>
      </c>
    </row>
    <row r="4530" spans="1:14" hidden="1" x14ac:dyDescent="0.25">
      <c r="A4530" s="11">
        <v>46064</v>
      </c>
      <c r="B4530" s="5" t="s">
        <v>1083</v>
      </c>
      <c r="C4530" s="3" t="s">
        <v>339</v>
      </c>
      <c r="D4530" s="5" t="s">
        <v>119</v>
      </c>
      <c r="E4530" s="5" t="s">
        <v>117</v>
      </c>
      <c r="F4530" s="6" t="s">
        <v>14</v>
      </c>
      <c r="G4530" s="4" t="s">
        <v>1</v>
      </c>
      <c r="H4530" s="25">
        <v>33.499666670000003</v>
      </c>
      <c r="I4530" s="8">
        <v>17000</v>
      </c>
      <c r="J4530" s="9">
        <v>3000</v>
      </c>
      <c r="K4530" s="7">
        <v>-14000</v>
      </c>
      <c r="L4530" s="24">
        <f>+Tabla2[[#This Row],[Stock Inventario]]*Tabla2[[#This Row],[Coste LÃ­nea]]</f>
        <v>100499.00001</v>
      </c>
      <c r="M4530" s="24">
        <f>+Tabla2[[#This Row],[Variación Stock]]*Tabla2[[#This Row],[Coste LÃ­nea]]</f>
        <v>-468995.33338000003</v>
      </c>
      <c r="N4530" s="22" t="str">
        <f>+IF(Tabla2[[#This Row],[Variación Stock]]&gt;0,"Sobrante",IF(Tabla2[[#This Row],[Variación Stock]]&lt;0,"Faltante","Sin novedad"))</f>
        <v>Faltante</v>
      </c>
    </row>
    <row r="4531" spans="1:14" x14ac:dyDescent="0.25">
      <c r="A4531" s="11">
        <v>46064</v>
      </c>
      <c r="B4531" s="5" t="s">
        <v>1083</v>
      </c>
      <c r="C4531" s="3" t="s">
        <v>339</v>
      </c>
      <c r="D4531" s="5" t="s">
        <v>122</v>
      </c>
      <c r="E4531" s="5" t="s">
        <v>112</v>
      </c>
      <c r="F4531" s="6" t="s">
        <v>102</v>
      </c>
      <c r="G4531" s="4" t="s">
        <v>2</v>
      </c>
      <c r="H4531" s="25">
        <v>3458.3291316700002</v>
      </c>
      <c r="I4531" s="8">
        <v>9</v>
      </c>
      <c r="J4531" s="9">
        <v>3</v>
      </c>
      <c r="K4531" s="7">
        <v>-6</v>
      </c>
      <c r="L4531" s="24">
        <f>+Tabla2[[#This Row],[Stock Inventario]]*Tabla2[[#This Row],[Coste LÃ­nea]]</f>
        <v>10374.987395010001</v>
      </c>
      <c r="M4531" s="24">
        <f>+Tabla2[[#This Row],[Variación Stock]]*Tabla2[[#This Row],[Coste LÃ­nea]]</f>
        <v>-20749.974790020002</v>
      </c>
      <c r="N4531" s="22" t="str">
        <f>+IF(Tabla2[[#This Row],[Variación Stock]]&gt;0,"Sobrante",IF(Tabla2[[#This Row],[Variación Stock]]&lt;0,"Faltante","Sin novedad"))</f>
        <v>Faltante</v>
      </c>
    </row>
    <row r="4532" spans="1:14" x14ac:dyDescent="0.25">
      <c r="A4532" s="11">
        <v>46064</v>
      </c>
      <c r="B4532" s="5" t="s">
        <v>1083</v>
      </c>
      <c r="C4532" s="3" t="s">
        <v>339</v>
      </c>
      <c r="D4532" s="5" t="s">
        <v>111</v>
      </c>
      <c r="E4532" s="5" t="s">
        <v>112</v>
      </c>
      <c r="F4532" s="6" t="s">
        <v>27</v>
      </c>
      <c r="G4532" s="4" t="s">
        <v>0</v>
      </c>
      <c r="H4532" s="25">
        <v>7154.55</v>
      </c>
      <c r="I4532" s="8">
        <v>86.38</v>
      </c>
      <c r="J4532" s="9">
        <v>80</v>
      </c>
      <c r="K4532" s="7">
        <v>-6.38</v>
      </c>
      <c r="L4532" s="24">
        <f>+Tabla2[[#This Row],[Stock Inventario]]*Tabla2[[#This Row],[Coste LÃ­nea]]</f>
        <v>572364</v>
      </c>
      <c r="M4532" s="24">
        <f>+Tabla2[[#This Row],[Variación Stock]]*Tabla2[[#This Row],[Coste LÃ­nea]]</f>
        <v>-45646.029000000002</v>
      </c>
      <c r="N4532" s="22" t="str">
        <f>+IF(Tabla2[[#This Row],[Variación Stock]]&gt;0,"Sobrante",IF(Tabla2[[#This Row],[Variación Stock]]&lt;0,"Faltante","Sin novedad"))</f>
        <v>Faltante</v>
      </c>
    </row>
    <row r="4533" spans="1:14" x14ac:dyDescent="0.25">
      <c r="A4533" s="11">
        <v>46064</v>
      </c>
      <c r="B4533" s="5" t="s">
        <v>1083</v>
      </c>
      <c r="C4533" s="3" t="s">
        <v>339</v>
      </c>
      <c r="D4533" s="5" t="s">
        <v>118</v>
      </c>
      <c r="E4533" s="5" t="s">
        <v>112</v>
      </c>
      <c r="F4533" s="6" t="s">
        <v>86</v>
      </c>
      <c r="G4533" s="4" t="s">
        <v>81</v>
      </c>
      <c r="H4533" s="25">
        <v>9615.4</v>
      </c>
      <c r="I4533" s="8">
        <v>10</v>
      </c>
      <c r="J4533" s="9">
        <v>2</v>
      </c>
      <c r="K4533" s="7">
        <v>-8</v>
      </c>
      <c r="L4533" s="24">
        <f>+Tabla2[[#This Row],[Stock Inventario]]*Tabla2[[#This Row],[Coste LÃ­nea]]</f>
        <v>19230.8</v>
      </c>
      <c r="M4533" s="24">
        <f>+Tabla2[[#This Row],[Variación Stock]]*Tabla2[[#This Row],[Coste LÃ­nea]]</f>
        <v>-76923.199999999997</v>
      </c>
      <c r="N4533" s="22" t="str">
        <f>+IF(Tabla2[[#This Row],[Variación Stock]]&gt;0,"Sobrante",IF(Tabla2[[#This Row],[Variación Stock]]&lt;0,"Faltante","Sin novedad"))</f>
        <v>Faltante</v>
      </c>
    </row>
    <row r="4534" spans="1:14" x14ac:dyDescent="0.25">
      <c r="A4534" s="11">
        <v>46064</v>
      </c>
      <c r="B4534" s="5" t="s">
        <v>1083</v>
      </c>
      <c r="C4534" s="3" t="s">
        <v>339</v>
      </c>
      <c r="D4534" s="5" t="s">
        <v>121</v>
      </c>
      <c r="E4534" s="5" t="s">
        <v>112</v>
      </c>
      <c r="F4534" s="6" t="s">
        <v>377</v>
      </c>
      <c r="G4534" s="4" t="s">
        <v>0</v>
      </c>
      <c r="H4534" s="25">
        <v>4942.8194726199999</v>
      </c>
      <c r="I4534" s="8">
        <v>0</v>
      </c>
      <c r="J4534" s="9">
        <v>0</v>
      </c>
      <c r="K4534" s="7">
        <v>0</v>
      </c>
      <c r="L4534" s="24">
        <f>+Tabla2[[#This Row],[Stock Inventario]]*Tabla2[[#This Row],[Coste LÃ­nea]]</f>
        <v>0</v>
      </c>
      <c r="M4534" s="24">
        <f>+Tabla2[[#This Row],[Variación Stock]]*Tabla2[[#This Row],[Coste LÃ­nea]]</f>
        <v>0</v>
      </c>
      <c r="N4534" s="22" t="str">
        <f>+IF(Tabla2[[#This Row],[Variación Stock]]&gt;0,"Sobrante",IF(Tabla2[[#This Row],[Variación Stock]]&lt;0,"Faltante","Sin novedad"))</f>
        <v>Sin novedad</v>
      </c>
    </row>
    <row r="4535" spans="1:14" x14ac:dyDescent="0.25">
      <c r="A4535" s="11">
        <v>46064</v>
      </c>
      <c r="B4535" s="5" t="s">
        <v>1083</v>
      </c>
      <c r="C4535" s="3" t="s">
        <v>339</v>
      </c>
      <c r="D4535" s="5" t="s">
        <v>114</v>
      </c>
      <c r="E4535" s="5" t="s">
        <v>112</v>
      </c>
      <c r="F4535" s="6" t="s">
        <v>67</v>
      </c>
      <c r="G4535" s="4" t="s">
        <v>2</v>
      </c>
      <c r="H4535" s="25">
        <v>5310.9583333299997</v>
      </c>
      <c r="I4535" s="8">
        <v>45.67</v>
      </c>
      <c r="J4535" s="9">
        <v>32</v>
      </c>
      <c r="K4535" s="7">
        <v>-13.67</v>
      </c>
      <c r="L4535" s="24">
        <f>+Tabla2[[#This Row],[Stock Inventario]]*Tabla2[[#This Row],[Coste LÃ­nea]]</f>
        <v>169950.66666655999</v>
      </c>
      <c r="M4535" s="24">
        <f>+Tabla2[[#This Row],[Variación Stock]]*Tabla2[[#This Row],[Coste LÃ­nea]]</f>
        <v>-72600.800416621103</v>
      </c>
      <c r="N4535" s="22" t="str">
        <f>+IF(Tabla2[[#This Row],[Variación Stock]]&gt;0,"Sobrante",IF(Tabla2[[#This Row],[Variación Stock]]&lt;0,"Faltante","Sin novedad"))</f>
        <v>Faltante</v>
      </c>
    </row>
    <row r="4536" spans="1:14" x14ac:dyDescent="0.25">
      <c r="A4536" s="11">
        <v>46064</v>
      </c>
      <c r="B4536" s="5" t="s">
        <v>1083</v>
      </c>
      <c r="C4536" s="3" t="s">
        <v>339</v>
      </c>
      <c r="D4536" s="5" t="s">
        <v>122</v>
      </c>
      <c r="E4536" s="5" t="s">
        <v>112</v>
      </c>
      <c r="F4536" s="6" t="s">
        <v>97</v>
      </c>
      <c r="G4536" s="4" t="s">
        <v>2</v>
      </c>
      <c r="H4536" s="25">
        <v>1234.3916666699999</v>
      </c>
      <c r="I4536" s="8">
        <v>51</v>
      </c>
      <c r="J4536" s="9">
        <v>51</v>
      </c>
      <c r="K4536" s="7">
        <v>0</v>
      </c>
      <c r="L4536" s="24">
        <f>+Tabla2[[#This Row],[Stock Inventario]]*Tabla2[[#This Row],[Coste LÃ­nea]]</f>
        <v>62953.975000169994</v>
      </c>
      <c r="M4536" s="24">
        <f>+Tabla2[[#This Row],[Variación Stock]]*Tabla2[[#This Row],[Coste LÃ­nea]]</f>
        <v>0</v>
      </c>
      <c r="N4536" s="22" t="str">
        <f>+IF(Tabla2[[#This Row],[Variación Stock]]&gt;0,"Sobrante",IF(Tabla2[[#This Row],[Variación Stock]]&lt;0,"Faltante","Sin novedad"))</f>
        <v>Sin novedad</v>
      </c>
    </row>
    <row r="4537" spans="1:14" x14ac:dyDescent="0.25">
      <c r="A4537" s="11">
        <v>46064</v>
      </c>
      <c r="B4537" s="5" t="s">
        <v>1083</v>
      </c>
      <c r="C4537" s="3" t="s">
        <v>339</v>
      </c>
      <c r="D4537" s="5" t="s">
        <v>122</v>
      </c>
      <c r="E4537" s="5" t="s">
        <v>112</v>
      </c>
      <c r="F4537" s="6" t="s">
        <v>98</v>
      </c>
      <c r="G4537" s="4" t="s">
        <v>2</v>
      </c>
      <c r="H4537" s="25">
        <v>1654.27380952</v>
      </c>
      <c r="I4537" s="8">
        <v>106</v>
      </c>
      <c r="J4537" s="9">
        <v>106</v>
      </c>
      <c r="K4537" s="7">
        <v>0</v>
      </c>
      <c r="L4537" s="24">
        <f>+Tabla2[[#This Row],[Stock Inventario]]*Tabla2[[#This Row],[Coste LÃ­nea]]</f>
        <v>175353.02380912</v>
      </c>
      <c r="M4537" s="24">
        <f>+Tabla2[[#This Row],[Variación Stock]]*Tabla2[[#This Row],[Coste LÃ­nea]]</f>
        <v>0</v>
      </c>
      <c r="N4537" s="22" t="str">
        <f>+IF(Tabla2[[#This Row],[Variación Stock]]&gt;0,"Sobrante",IF(Tabla2[[#This Row],[Variación Stock]]&lt;0,"Faltante","Sin novedad"))</f>
        <v>Sin novedad</v>
      </c>
    </row>
    <row r="4538" spans="1:14" x14ac:dyDescent="0.25">
      <c r="A4538" s="11">
        <v>46064</v>
      </c>
      <c r="B4538" s="5" t="s">
        <v>1083</v>
      </c>
      <c r="C4538" s="3" t="s">
        <v>339</v>
      </c>
      <c r="D4538" s="5" t="s">
        <v>122</v>
      </c>
      <c r="E4538" s="5" t="s">
        <v>112</v>
      </c>
      <c r="F4538" s="6" t="s">
        <v>99</v>
      </c>
      <c r="G4538" s="4" t="s">
        <v>2</v>
      </c>
      <c r="H4538" s="25">
        <v>7330</v>
      </c>
      <c r="I4538" s="8">
        <v>17</v>
      </c>
      <c r="J4538" s="9">
        <v>17</v>
      </c>
      <c r="K4538" s="7">
        <v>0</v>
      </c>
      <c r="L4538" s="24">
        <f>+Tabla2[[#This Row],[Stock Inventario]]*Tabla2[[#This Row],[Coste LÃ­nea]]</f>
        <v>124610</v>
      </c>
      <c r="M4538" s="24">
        <f>+Tabla2[[#This Row],[Variación Stock]]*Tabla2[[#This Row],[Coste LÃ­nea]]</f>
        <v>0</v>
      </c>
      <c r="N4538" s="22" t="str">
        <f>+IF(Tabla2[[#This Row],[Variación Stock]]&gt;0,"Sobrante",IF(Tabla2[[#This Row],[Variación Stock]]&lt;0,"Faltante","Sin novedad"))</f>
        <v>Sin novedad</v>
      </c>
    </row>
    <row r="4539" spans="1:14" x14ac:dyDescent="0.25">
      <c r="A4539" s="11">
        <v>46064</v>
      </c>
      <c r="B4539" s="5" t="s">
        <v>1083</v>
      </c>
      <c r="C4539" s="3" t="s">
        <v>339</v>
      </c>
      <c r="D4539" s="5" t="s">
        <v>122</v>
      </c>
      <c r="E4539" s="5" t="s">
        <v>112</v>
      </c>
      <c r="F4539" s="6" t="s">
        <v>100</v>
      </c>
      <c r="G4539" s="4" t="s">
        <v>2</v>
      </c>
      <c r="H4539" s="25">
        <v>7857</v>
      </c>
      <c r="I4539" s="8">
        <v>30</v>
      </c>
      <c r="J4539" s="9">
        <v>30</v>
      </c>
      <c r="K4539" s="7">
        <v>0</v>
      </c>
      <c r="L4539" s="24">
        <f>+Tabla2[[#This Row],[Stock Inventario]]*Tabla2[[#This Row],[Coste LÃ­nea]]</f>
        <v>235710</v>
      </c>
      <c r="M4539" s="24">
        <f>+Tabla2[[#This Row],[Variación Stock]]*Tabla2[[#This Row],[Coste LÃ­nea]]</f>
        <v>0</v>
      </c>
      <c r="N4539" s="22" t="str">
        <f>+IF(Tabla2[[#This Row],[Variación Stock]]&gt;0,"Sobrante",IF(Tabla2[[#This Row],[Variación Stock]]&lt;0,"Faltante","Sin novedad"))</f>
        <v>Sin novedad</v>
      </c>
    </row>
    <row r="4540" spans="1:14" x14ac:dyDescent="0.25">
      <c r="A4540" s="11">
        <v>46064</v>
      </c>
      <c r="B4540" s="5" t="s">
        <v>1083</v>
      </c>
      <c r="C4540" s="3" t="s">
        <v>339</v>
      </c>
      <c r="D4540" s="5" t="s">
        <v>122</v>
      </c>
      <c r="E4540" s="5" t="s">
        <v>112</v>
      </c>
      <c r="F4540" s="6" t="s">
        <v>101</v>
      </c>
      <c r="G4540" s="4" t="s">
        <v>2</v>
      </c>
      <c r="H4540" s="25">
        <v>1408.33333333</v>
      </c>
      <c r="I4540" s="8">
        <v>0</v>
      </c>
      <c r="J4540" s="9">
        <v>0</v>
      </c>
      <c r="K4540" s="7">
        <v>0</v>
      </c>
      <c r="L4540" s="24">
        <f>+Tabla2[[#This Row],[Stock Inventario]]*Tabla2[[#This Row],[Coste LÃ­nea]]</f>
        <v>0</v>
      </c>
      <c r="M4540" s="24">
        <f>+Tabla2[[#This Row],[Variación Stock]]*Tabla2[[#This Row],[Coste LÃ­nea]]</f>
        <v>0</v>
      </c>
      <c r="N4540" s="22" t="str">
        <f>+IF(Tabla2[[#This Row],[Variación Stock]]&gt;0,"Sobrante",IF(Tabla2[[#This Row],[Variación Stock]]&lt;0,"Faltante","Sin novedad"))</f>
        <v>Sin novedad</v>
      </c>
    </row>
    <row r="4541" spans="1:14" x14ac:dyDescent="0.25">
      <c r="A4541" s="11">
        <v>46064</v>
      </c>
      <c r="B4541" s="5" t="s">
        <v>1083</v>
      </c>
      <c r="C4541" s="3" t="s">
        <v>339</v>
      </c>
      <c r="D4541" s="5" t="s">
        <v>114</v>
      </c>
      <c r="E4541" s="5" t="s">
        <v>112</v>
      </c>
      <c r="F4541" s="6" t="s">
        <v>61</v>
      </c>
      <c r="G4541" s="4" t="s">
        <v>2</v>
      </c>
      <c r="H4541" s="25">
        <v>2119.75</v>
      </c>
      <c r="I4541" s="8">
        <v>60</v>
      </c>
      <c r="J4541" s="9">
        <v>60</v>
      </c>
      <c r="K4541" s="7">
        <v>0</v>
      </c>
      <c r="L4541" s="24">
        <f>+Tabla2[[#This Row],[Stock Inventario]]*Tabla2[[#This Row],[Coste LÃ­nea]]</f>
        <v>127185</v>
      </c>
      <c r="M4541" s="24">
        <f>+Tabla2[[#This Row],[Variación Stock]]*Tabla2[[#This Row],[Coste LÃ­nea]]</f>
        <v>0</v>
      </c>
      <c r="N4541" s="22" t="str">
        <f>+IF(Tabla2[[#This Row],[Variación Stock]]&gt;0,"Sobrante",IF(Tabla2[[#This Row],[Variación Stock]]&lt;0,"Faltante","Sin novedad"))</f>
        <v>Sin novedad</v>
      </c>
    </row>
    <row r="4542" spans="1:14" x14ac:dyDescent="0.25">
      <c r="A4542" s="11">
        <v>46064</v>
      </c>
      <c r="B4542" s="5" t="s">
        <v>1083</v>
      </c>
      <c r="C4542" s="3" t="s">
        <v>339</v>
      </c>
      <c r="D4542" s="5" t="s">
        <v>122</v>
      </c>
      <c r="E4542" s="5" t="s">
        <v>112</v>
      </c>
      <c r="F4542" s="6" t="s">
        <v>103</v>
      </c>
      <c r="G4542" s="4" t="s">
        <v>2</v>
      </c>
      <c r="H4542" s="25">
        <v>3458.3283333300001</v>
      </c>
      <c r="I4542" s="8">
        <v>0</v>
      </c>
      <c r="J4542" s="9">
        <v>0</v>
      </c>
      <c r="K4542" s="7">
        <v>0</v>
      </c>
      <c r="L4542" s="24">
        <f>+Tabla2[[#This Row],[Stock Inventario]]*Tabla2[[#This Row],[Coste LÃ­nea]]</f>
        <v>0</v>
      </c>
      <c r="M4542" s="24">
        <f>+Tabla2[[#This Row],[Variación Stock]]*Tabla2[[#This Row],[Coste LÃ­nea]]</f>
        <v>0</v>
      </c>
      <c r="N4542" s="22" t="str">
        <f>+IF(Tabla2[[#This Row],[Variación Stock]]&gt;0,"Sobrante",IF(Tabla2[[#This Row],[Variación Stock]]&lt;0,"Faltante","Sin novedad"))</f>
        <v>Sin novedad</v>
      </c>
    </row>
    <row r="4543" spans="1:14" x14ac:dyDescent="0.25">
      <c r="A4543" s="11">
        <v>46064</v>
      </c>
      <c r="B4543" s="5" t="s">
        <v>1083</v>
      </c>
      <c r="C4543" s="3" t="s">
        <v>339</v>
      </c>
      <c r="D4543" s="5" t="s">
        <v>122</v>
      </c>
      <c r="E4543" s="5" t="s">
        <v>112</v>
      </c>
      <c r="F4543" s="6" t="s">
        <v>104</v>
      </c>
      <c r="G4543" s="4" t="s">
        <v>2</v>
      </c>
      <c r="H4543" s="25">
        <v>3458.25</v>
      </c>
      <c r="I4543" s="8">
        <v>4</v>
      </c>
      <c r="J4543" s="9">
        <v>4</v>
      </c>
      <c r="K4543" s="7">
        <v>0</v>
      </c>
      <c r="L4543" s="24">
        <f>+Tabla2[[#This Row],[Stock Inventario]]*Tabla2[[#This Row],[Coste LÃ­nea]]</f>
        <v>13833</v>
      </c>
      <c r="M4543" s="24">
        <f>+Tabla2[[#This Row],[Variación Stock]]*Tabla2[[#This Row],[Coste LÃ­nea]]</f>
        <v>0</v>
      </c>
      <c r="N4543" s="22" t="str">
        <f>+IF(Tabla2[[#This Row],[Variación Stock]]&gt;0,"Sobrante",IF(Tabla2[[#This Row],[Variación Stock]]&lt;0,"Faltante","Sin novedad"))</f>
        <v>Sin novedad</v>
      </c>
    </row>
    <row r="4544" spans="1:14" x14ac:dyDescent="0.25">
      <c r="A4544" s="11">
        <v>46064</v>
      </c>
      <c r="B4544" s="5" t="s">
        <v>1083</v>
      </c>
      <c r="C4544" s="3" t="s">
        <v>339</v>
      </c>
      <c r="D4544" s="5" t="s">
        <v>122</v>
      </c>
      <c r="E4544" s="5" t="s">
        <v>112</v>
      </c>
      <c r="F4544" s="6" t="s">
        <v>105</v>
      </c>
      <c r="G4544" s="4" t="s">
        <v>2</v>
      </c>
      <c r="H4544" s="25">
        <v>3458.25</v>
      </c>
      <c r="I4544" s="8">
        <v>2</v>
      </c>
      <c r="J4544" s="9">
        <v>2</v>
      </c>
      <c r="K4544" s="7">
        <v>0</v>
      </c>
      <c r="L4544" s="24">
        <f>+Tabla2[[#This Row],[Stock Inventario]]*Tabla2[[#This Row],[Coste LÃ­nea]]</f>
        <v>6916.5</v>
      </c>
      <c r="M4544" s="24">
        <f>+Tabla2[[#This Row],[Variación Stock]]*Tabla2[[#This Row],[Coste LÃ­nea]]</f>
        <v>0</v>
      </c>
      <c r="N4544" s="22" t="str">
        <f>+IF(Tabla2[[#This Row],[Variación Stock]]&gt;0,"Sobrante",IF(Tabla2[[#This Row],[Variación Stock]]&lt;0,"Faltante","Sin novedad"))</f>
        <v>Sin novedad</v>
      </c>
    </row>
    <row r="4545" spans="1:14" x14ac:dyDescent="0.25">
      <c r="A4545" s="11">
        <v>46064</v>
      </c>
      <c r="B4545" s="5" t="s">
        <v>1083</v>
      </c>
      <c r="C4545" s="3" t="s">
        <v>339</v>
      </c>
      <c r="D4545" s="5" t="s">
        <v>122</v>
      </c>
      <c r="E4545" s="5" t="s">
        <v>112</v>
      </c>
      <c r="F4545" s="6" t="s">
        <v>106</v>
      </c>
      <c r="G4545" s="4" t="s">
        <v>2</v>
      </c>
      <c r="H4545" s="25">
        <v>3458.4691876699999</v>
      </c>
      <c r="I4545" s="8">
        <v>4</v>
      </c>
      <c r="J4545" s="9">
        <v>4</v>
      </c>
      <c r="K4545" s="7">
        <v>0</v>
      </c>
      <c r="L4545" s="24">
        <f>+Tabla2[[#This Row],[Stock Inventario]]*Tabla2[[#This Row],[Coste LÃ­nea]]</f>
        <v>13833.87675068</v>
      </c>
      <c r="M4545" s="24">
        <f>+Tabla2[[#This Row],[Variación Stock]]*Tabla2[[#This Row],[Coste LÃ­nea]]</f>
        <v>0</v>
      </c>
      <c r="N4545" s="22" t="str">
        <f>+IF(Tabla2[[#This Row],[Variación Stock]]&gt;0,"Sobrante",IF(Tabla2[[#This Row],[Variación Stock]]&lt;0,"Faltante","Sin novedad"))</f>
        <v>Sin novedad</v>
      </c>
    </row>
    <row r="4546" spans="1:14" x14ac:dyDescent="0.25">
      <c r="A4546" s="11">
        <v>46064</v>
      </c>
      <c r="B4546" s="5" t="s">
        <v>1083</v>
      </c>
      <c r="C4546" s="3" t="s">
        <v>339</v>
      </c>
      <c r="D4546" s="5" t="s">
        <v>122</v>
      </c>
      <c r="E4546" s="5" t="s">
        <v>112</v>
      </c>
      <c r="F4546" s="6" t="s">
        <v>107</v>
      </c>
      <c r="G4546" s="4" t="s">
        <v>2</v>
      </c>
      <c r="H4546" s="25">
        <v>3458.3333333300002</v>
      </c>
      <c r="I4546" s="8">
        <v>0</v>
      </c>
      <c r="J4546" s="9">
        <v>0</v>
      </c>
      <c r="K4546" s="7">
        <v>0</v>
      </c>
      <c r="L4546" s="24">
        <f>+Tabla2[[#This Row],[Stock Inventario]]*Tabla2[[#This Row],[Coste LÃ­nea]]</f>
        <v>0</v>
      </c>
      <c r="M4546" s="24">
        <f>+Tabla2[[#This Row],[Variación Stock]]*Tabla2[[#This Row],[Coste LÃ­nea]]</f>
        <v>0</v>
      </c>
      <c r="N4546" s="22" t="str">
        <f>+IF(Tabla2[[#This Row],[Variación Stock]]&gt;0,"Sobrante",IF(Tabla2[[#This Row],[Variación Stock]]&lt;0,"Faltante","Sin novedad"))</f>
        <v>Sin novedad</v>
      </c>
    </row>
    <row r="4547" spans="1:14" x14ac:dyDescent="0.25">
      <c r="A4547" s="11">
        <v>46064</v>
      </c>
      <c r="B4547" s="5" t="s">
        <v>1083</v>
      </c>
      <c r="C4547" s="3" t="s">
        <v>339</v>
      </c>
      <c r="D4547" s="5" t="s">
        <v>122</v>
      </c>
      <c r="E4547" s="5" t="s">
        <v>112</v>
      </c>
      <c r="F4547" s="6" t="s">
        <v>108</v>
      </c>
      <c r="G4547" s="4" t="s">
        <v>2</v>
      </c>
      <c r="H4547" s="25">
        <v>2766.665</v>
      </c>
      <c r="I4547" s="8">
        <v>0</v>
      </c>
      <c r="J4547" s="9">
        <v>0</v>
      </c>
      <c r="K4547" s="7">
        <v>0</v>
      </c>
      <c r="L4547" s="24">
        <f>+Tabla2[[#This Row],[Stock Inventario]]*Tabla2[[#This Row],[Coste LÃ­nea]]</f>
        <v>0</v>
      </c>
      <c r="M4547" s="24">
        <f>+Tabla2[[#This Row],[Variación Stock]]*Tabla2[[#This Row],[Coste LÃ­nea]]</f>
        <v>0</v>
      </c>
      <c r="N4547" s="22" t="str">
        <f>+IF(Tabla2[[#This Row],[Variación Stock]]&gt;0,"Sobrante",IF(Tabla2[[#This Row],[Variación Stock]]&lt;0,"Faltante","Sin novedad"))</f>
        <v>Sin novedad</v>
      </c>
    </row>
    <row r="4548" spans="1:14" x14ac:dyDescent="0.25">
      <c r="A4548" s="11">
        <v>46064</v>
      </c>
      <c r="B4548" s="5" t="s">
        <v>1083</v>
      </c>
      <c r="C4548" s="3" t="s">
        <v>339</v>
      </c>
      <c r="D4548" s="5" t="s">
        <v>122</v>
      </c>
      <c r="E4548" s="5" t="s">
        <v>112</v>
      </c>
      <c r="F4548" s="6" t="s">
        <v>109</v>
      </c>
      <c r="G4548" s="4" t="s">
        <v>2</v>
      </c>
      <c r="H4548" s="25">
        <v>3458.3333333300002</v>
      </c>
      <c r="I4548" s="8">
        <v>0</v>
      </c>
      <c r="J4548" s="9">
        <v>0</v>
      </c>
      <c r="K4548" s="7">
        <v>0</v>
      </c>
      <c r="L4548" s="24">
        <f>+Tabla2[[#This Row],[Stock Inventario]]*Tabla2[[#This Row],[Coste LÃ­nea]]</f>
        <v>0</v>
      </c>
      <c r="M4548" s="24">
        <f>+Tabla2[[#This Row],[Variación Stock]]*Tabla2[[#This Row],[Coste LÃ­nea]]</f>
        <v>0</v>
      </c>
      <c r="N4548" s="22" t="str">
        <f>+IF(Tabla2[[#This Row],[Variación Stock]]&gt;0,"Sobrante",IF(Tabla2[[#This Row],[Variación Stock]]&lt;0,"Faltante","Sin novedad"))</f>
        <v>Sin novedad</v>
      </c>
    </row>
    <row r="4549" spans="1:14" x14ac:dyDescent="0.25">
      <c r="A4549" s="11">
        <v>46065</v>
      </c>
      <c r="B4549" s="5" t="s">
        <v>1094</v>
      </c>
      <c r="C4549" s="3" t="s">
        <v>339</v>
      </c>
      <c r="D4549" s="5" t="s">
        <v>111</v>
      </c>
      <c r="E4549" s="5" t="s">
        <v>112</v>
      </c>
      <c r="F4549" s="6" t="s">
        <v>1089</v>
      </c>
      <c r="G4549" s="4" t="s">
        <v>1090</v>
      </c>
      <c r="H4549" s="25">
        <v>1658795.9259299999</v>
      </c>
      <c r="I4549" s="8">
        <v>1</v>
      </c>
      <c r="J4549" s="9">
        <v>0</v>
      </c>
      <c r="K4549" s="7">
        <v>-1</v>
      </c>
      <c r="L4549" s="24">
        <f>+Tabla2[[#This Row],[Stock Inventario]]*Tabla2[[#This Row],[Coste LÃ­nea]]</f>
        <v>0</v>
      </c>
      <c r="M4549" s="24">
        <f>+Tabla2[[#This Row],[Variación Stock]]*Tabla2[[#This Row],[Coste LÃ­nea]]</f>
        <v>-1658795.9259299999</v>
      </c>
      <c r="N4549" s="22" t="str">
        <f>+IF(Tabla2[[#This Row],[Variación Stock]]&gt;0,"Sobrante",IF(Tabla2[[#This Row],[Variación Stock]]&lt;0,"Faltante","Sin novedad"))</f>
        <v>Faltante</v>
      </c>
    </row>
    <row r="4550" spans="1:14" x14ac:dyDescent="0.25">
      <c r="A4550" s="11">
        <v>46037</v>
      </c>
      <c r="B4550" s="5" t="s">
        <v>283</v>
      </c>
      <c r="C4550" s="3" t="s">
        <v>284</v>
      </c>
      <c r="D4550" s="5" t="s">
        <v>111</v>
      </c>
      <c r="E4550" s="5" t="s">
        <v>112</v>
      </c>
      <c r="F4550" s="6" t="s">
        <v>285</v>
      </c>
      <c r="G4550" s="4" t="s">
        <v>2</v>
      </c>
      <c r="H4550" s="25">
        <v>0</v>
      </c>
      <c r="I4550" s="8">
        <v>1</v>
      </c>
      <c r="J4550" s="9">
        <v>1</v>
      </c>
      <c r="K4550" s="7">
        <v>0</v>
      </c>
      <c r="L4550" s="24">
        <f>+Tabla2[[#This Row],[Stock Inventario]]*Tabla2[[#This Row],[Coste LÃ­nea]]</f>
        <v>0</v>
      </c>
      <c r="M4550" s="24">
        <f>+Tabla2[[#This Row],[Variación Stock]]*Tabla2[[#This Row],[Coste LÃ­nea]]</f>
        <v>0</v>
      </c>
      <c r="N4550" s="22" t="str">
        <f>+IF(Tabla2[[#This Row],[Variación Stock]]&gt;0,"Sobrante",IF(Tabla2[[#This Row],[Variación Stock]]&lt;0,"Faltante","Sin novedad"))</f>
        <v>Sin novedad</v>
      </c>
    </row>
    <row r="4551" spans="1:14" x14ac:dyDescent="0.25">
      <c r="A4551" s="11">
        <v>46037</v>
      </c>
      <c r="B4551" s="5" t="s">
        <v>283</v>
      </c>
      <c r="C4551" s="3" t="s">
        <v>284</v>
      </c>
      <c r="D4551" s="5" t="s">
        <v>111</v>
      </c>
      <c r="E4551" s="5" t="s">
        <v>112</v>
      </c>
      <c r="F4551" s="6" t="s">
        <v>286</v>
      </c>
      <c r="G4551" s="4" t="s">
        <v>0</v>
      </c>
      <c r="H4551" s="25">
        <v>0</v>
      </c>
      <c r="I4551" s="8">
        <v>0</v>
      </c>
      <c r="J4551" s="9">
        <v>0</v>
      </c>
      <c r="K4551" s="7">
        <v>0</v>
      </c>
      <c r="L4551" s="24">
        <f>+Tabla2[[#This Row],[Stock Inventario]]*Tabla2[[#This Row],[Coste LÃ­nea]]</f>
        <v>0</v>
      </c>
      <c r="M4551" s="24">
        <f>+Tabla2[[#This Row],[Variación Stock]]*Tabla2[[#This Row],[Coste LÃ­nea]]</f>
        <v>0</v>
      </c>
      <c r="N4551" s="22" t="str">
        <f>+IF(Tabla2[[#This Row],[Variación Stock]]&gt;0,"Sobrante",IF(Tabla2[[#This Row],[Variación Stock]]&lt;0,"Faltante","Sin novedad"))</f>
        <v>Sin novedad</v>
      </c>
    </row>
    <row r="4552" spans="1:14" x14ac:dyDescent="0.25">
      <c r="A4552" s="11">
        <v>46037</v>
      </c>
      <c r="B4552" s="5" t="s">
        <v>283</v>
      </c>
      <c r="C4552" s="3" t="s">
        <v>284</v>
      </c>
      <c r="D4552" s="5" t="s">
        <v>111</v>
      </c>
      <c r="E4552" s="5" t="s">
        <v>112</v>
      </c>
      <c r="F4552" s="6" t="s">
        <v>130</v>
      </c>
      <c r="G4552" s="4" t="s">
        <v>0</v>
      </c>
      <c r="H4552" s="25">
        <v>0</v>
      </c>
      <c r="I4552" s="8">
        <v>0</v>
      </c>
      <c r="J4552" s="9">
        <v>0</v>
      </c>
      <c r="K4552" s="7">
        <v>0</v>
      </c>
      <c r="L4552" s="24">
        <f>+Tabla2[[#This Row],[Stock Inventario]]*Tabla2[[#This Row],[Coste LÃ­nea]]</f>
        <v>0</v>
      </c>
      <c r="M4552" s="24">
        <f>+Tabla2[[#This Row],[Variación Stock]]*Tabla2[[#This Row],[Coste LÃ­nea]]</f>
        <v>0</v>
      </c>
      <c r="N4552" s="22" t="str">
        <f>+IF(Tabla2[[#This Row],[Variación Stock]]&gt;0,"Sobrante",IF(Tabla2[[#This Row],[Variación Stock]]&lt;0,"Faltante","Sin novedad"))</f>
        <v>Sin novedad</v>
      </c>
    </row>
    <row r="4553" spans="1:14" x14ac:dyDescent="0.25">
      <c r="A4553" s="11">
        <v>46037</v>
      </c>
      <c r="B4553" s="5" t="s">
        <v>283</v>
      </c>
      <c r="C4553" s="3" t="s">
        <v>284</v>
      </c>
      <c r="D4553" s="5" t="s">
        <v>111</v>
      </c>
      <c r="E4553" s="5" t="s">
        <v>112</v>
      </c>
      <c r="F4553" s="6" t="s">
        <v>287</v>
      </c>
      <c r="G4553" s="4" t="s">
        <v>0</v>
      </c>
      <c r="H4553" s="25">
        <v>2309.40625</v>
      </c>
      <c r="I4553" s="8">
        <v>12</v>
      </c>
      <c r="J4553" s="9">
        <v>12</v>
      </c>
      <c r="K4553" s="7">
        <v>0</v>
      </c>
      <c r="L4553" s="24">
        <f>+Tabla2[[#This Row],[Stock Inventario]]*Tabla2[[#This Row],[Coste LÃ­nea]]</f>
        <v>27712.875</v>
      </c>
      <c r="M4553" s="24">
        <f>+Tabla2[[#This Row],[Variación Stock]]*Tabla2[[#This Row],[Coste LÃ­nea]]</f>
        <v>0</v>
      </c>
      <c r="N4553" s="22" t="str">
        <f>+IF(Tabla2[[#This Row],[Variación Stock]]&gt;0,"Sobrante",IF(Tabla2[[#This Row],[Variación Stock]]&lt;0,"Faltante","Sin novedad"))</f>
        <v>Sin novedad</v>
      </c>
    </row>
    <row r="4554" spans="1:14" x14ac:dyDescent="0.25">
      <c r="A4554" s="11">
        <v>46037</v>
      </c>
      <c r="B4554" s="5" t="s">
        <v>283</v>
      </c>
      <c r="C4554" s="3" t="s">
        <v>284</v>
      </c>
      <c r="D4554" s="5" t="s">
        <v>111</v>
      </c>
      <c r="E4554" s="5" t="s">
        <v>112</v>
      </c>
      <c r="F4554" s="6" t="s">
        <v>17</v>
      </c>
      <c r="G4554" s="4" t="s">
        <v>0</v>
      </c>
      <c r="H4554" s="25">
        <v>14896.95833333</v>
      </c>
      <c r="I4554" s="8">
        <v>16</v>
      </c>
      <c r="J4554" s="9">
        <v>16</v>
      </c>
      <c r="K4554" s="7">
        <v>0</v>
      </c>
      <c r="L4554" s="24">
        <f>+Tabla2[[#This Row],[Stock Inventario]]*Tabla2[[#This Row],[Coste LÃ­nea]]</f>
        <v>238351.33333328</v>
      </c>
      <c r="M4554" s="24">
        <f>+Tabla2[[#This Row],[Variación Stock]]*Tabla2[[#This Row],[Coste LÃ­nea]]</f>
        <v>0</v>
      </c>
      <c r="N4554" s="22" t="str">
        <f>+IF(Tabla2[[#This Row],[Variación Stock]]&gt;0,"Sobrante",IF(Tabla2[[#This Row],[Variación Stock]]&lt;0,"Faltante","Sin novedad"))</f>
        <v>Sin novedad</v>
      </c>
    </row>
    <row r="4555" spans="1:14" x14ac:dyDescent="0.25">
      <c r="A4555" s="11">
        <v>46037</v>
      </c>
      <c r="B4555" s="5" t="s">
        <v>283</v>
      </c>
      <c r="C4555" s="3" t="s">
        <v>284</v>
      </c>
      <c r="D4555" s="5" t="s">
        <v>111</v>
      </c>
      <c r="E4555" s="5" t="s">
        <v>112</v>
      </c>
      <c r="F4555" s="6" t="s">
        <v>18</v>
      </c>
      <c r="G4555" s="4" t="s">
        <v>2</v>
      </c>
      <c r="H4555" s="25">
        <v>86744</v>
      </c>
      <c r="I4555" s="8">
        <v>1</v>
      </c>
      <c r="J4555" s="9">
        <v>1</v>
      </c>
      <c r="K4555" s="7">
        <v>0</v>
      </c>
      <c r="L4555" s="24">
        <f>+Tabla2[[#This Row],[Stock Inventario]]*Tabla2[[#This Row],[Coste LÃ­nea]]</f>
        <v>86744</v>
      </c>
      <c r="M4555" s="24">
        <f>+Tabla2[[#This Row],[Variación Stock]]*Tabla2[[#This Row],[Coste LÃ­nea]]</f>
        <v>0</v>
      </c>
      <c r="N4555" s="22" t="str">
        <f>+IF(Tabla2[[#This Row],[Variación Stock]]&gt;0,"Sobrante",IF(Tabla2[[#This Row],[Variación Stock]]&lt;0,"Faltante","Sin novedad"))</f>
        <v>Sin novedad</v>
      </c>
    </row>
    <row r="4556" spans="1:14" x14ac:dyDescent="0.25">
      <c r="A4556" s="11">
        <v>46037</v>
      </c>
      <c r="B4556" s="5" t="s">
        <v>283</v>
      </c>
      <c r="C4556" s="3" t="s">
        <v>284</v>
      </c>
      <c r="D4556" s="5" t="s">
        <v>122</v>
      </c>
      <c r="E4556" s="5" t="s">
        <v>112</v>
      </c>
      <c r="F4556" s="6" t="s">
        <v>101</v>
      </c>
      <c r="G4556" s="4" t="s">
        <v>2</v>
      </c>
      <c r="H4556" s="25">
        <v>1408.33333333</v>
      </c>
      <c r="I4556" s="8">
        <v>0</v>
      </c>
      <c r="J4556" s="9">
        <v>7</v>
      </c>
      <c r="K4556" s="7">
        <v>7</v>
      </c>
      <c r="L4556" s="24">
        <f>+Tabla2[[#This Row],[Stock Inventario]]*Tabla2[[#This Row],[Coste LÃ­nea]]</f>
        <v>9858.3333333099999</v>
      </c>
      <c r="M4556" s="24">
        <f>+Tabla2[[#This Row],[Variación Stock]]*Tabla2[[#This Row],[Coste LÃ­nea]]</f>
        <v>9858.3333333099999</v>
      </c>
      <c r="N4556" s="22" t="str">
        <f>+IF(Tabla2[[#This Row],[Variación Stock]]&gt;0,"Sobrante",IF(Tabla2[[#This Row],[Variación Stock]]&lt;0,"Faltante","Sin novedad"))</f>
        <v>Sobrante</v>
      </c>
    </row>
    <row r="4557" spans="1:14" x14ac:dyDescent="0.25">
      <c r="A4557" s="11">
        <v>46037</v>
      </c>
      <c r="B4557" s="5" t="s">
        <v>283</v>
      </c>
      <c r="C4557" s="3" t="s">
        <v>284</v>
      </c>
      <c r="D4557" s="5" t="s">
        <v>114</v>
      </c>
      <c r="E4557" s="5" t="s">
        <v>112</v>
      </c>
      <c r="F4557" s="6" t="s">
        <v>65</v>
      </c>
      <c r="G4557" s="4" t="s">
        <v>2</v>
      </c>
      <c r="H4557" s="25">
        <v>4986.0833333299997</v>
      </c>
      <c r="I4557" s="8">
        <v>58</v>
      </c>
      <c r="J4557" s="9">
        <v>55</v>
      </c>
      <c r="K4557" s="7">
        <v>-3</v>
      </c>
      <c r="L4557" s="24">
        <f>+Tabla2[[#This Row],[Stock Inventario]]*Tabla2[[#This Row],[Coste LÃ­nea]]</f>
        <v>274234.58333314996</v>
      </c>
      <c r="M4557" s="24">
        <f>+Tabla2[[#This Row],[Variación Stock]]*Tabla2[[#This Row],[Coste LÃ­nea]]</f>
        <v>-14958.249999989999</v>
      </c>
      <c r="N4557" s="22" t="str">
        <f>+IF(Tabla2[[#This Row],[Variación Stock]]&gt;0,"Sobrante",IF(Tabla2[[#This Row],[Variación Stock]]&lt;0,"Faltante","Sin novedad"))</f>
        <v>Faltante</v>
      </c>
    </row>
    <row r="4558" spans="1:14" x14ac:dyDescent="0.25">
      <c r="A4558" s="11">
        <v>46037</v>
      </c>
      <c r="B4558" s="5" t="s">
        <v>283</v>
      </c>
      <c r="C4558" s="3" t="s">
        <v>284</v>
      </c>
      <c r="D4558" s="5" t="s">
        <v>111</v>
      </c>
      <c r="E4558" s="5" t="s">
        <v>112</v>
      </c>
      <c r="F4558" s="6" t="s">
        <v>15</v>
      </c>
      <c r="G4558" s="4" t="s">
        <v>0</v>
      </c>
      <c r="H4558" s="25">
        <v>11819.5</v>
      </c>
      <c r="I4558" s="8">
        <v>24</v>
      </c>
      <c r="J4558" s="9">
        <v>24</v>
      </c>
      <c r="K4558" s="7">
        <v>0</v>
      </c>
      <c r="L4558" s="24">
        <f>+Tabla2[[#This Row],[Stock Inventario]]*Tabla2[[#This Row],[Coste LÃ­nea]]</f>
        <v>283668</v>
      </c>
      <c r="M4558" s="24">
        <f>+Tabla2[[#This Row],[Variación Stock]]*Tabla2[[#This Row],[Coste LÃ­nea]]</f>
        <v>0</v>
      </c>
      <c r="N4558" s="22" t="str">
        <f>+IF(Tabla2[[#This Row],[Variación Stock]]&gt;0,"Sobrante",IF(Tabla2[[#This Row],[Variación Stock]]&lt;0,"Faltante","Sin novedad"))</f>
        <v>Sin novedad</v>
      </c>
    </row>
    <row r="4559" spans="1:14" x14ac:dyDescent="0.25">
      <c r="A4559" s="11">
        <v>46044</v>
      </c>
      <c r="B4559" s="5" t="s">
        <v>382</v>
      </c>
      <c r="C4559" s="3" t="s">
        <v>284</v>
      </c>
      <c r="D4559" s="5" t="s">
        <v>114</v>
      </c>
      <c r="E4559" s="5" t="s">
        <v>112</v>
      </c>
      <c r="F4559" s="6" t="s">
        <v>65</v>
      </c>
      <c r="G4559" s="4" t="s">
        <v>2</v>
      </c>
      <c r="H4559" s="25">
        <v>4986.0833333299997</v>
      </c>
      <c r="I4559" s="8">
        <v>49</v>
      </c>
      <c r="J4559" s="9">
        <v>55</v>
      </c>
      <c r="K4559" s="7">
        <v>6</v>
      </c>
      <c r="L4559" s="24">
        <f>+Tabla2[[#This Row],[Stock Inventario]]*Tabla2[[#This Row],[Coste LÃ­nea]]</f>
        <v>274234.58333314996</v>
      </c>
      <c r="M4559" s="24">
        <f>+Tabla2[[#This Row],[Variación Stock]]*Tabla2[[#This Row],[Coste LÃ­nea]]</f>
        <v>29916.499999979998</v>
      </c>
      <c r="N4559" s="22" t="str">
        <f>+IF(Tabla2[[#This Row],[Variación Stock]]&gt;0,"Sobrante",IF(Tabla2[[#This Row],[Variación Stock]]&lt;0,"Faltante","Sin novedad"))</f>
        <v>Sobrante</v>
      </c>
    </row>
    <row r="4560" spans="1:14" x14ac:dyDescent="0.25">
      <c r="A4560" s="11">
        <v>46044</v>
      </c>
      <c r="B4560" s="5" t="s">
        <v>382</v>
      </c>
      <c r="C4560" s="3" t="s">
        <v>284</v>
      </c>
      <c r="D4560" s="5" t="s">
        <v>111</v>
      </c>
      <c r="E4560" s="5" t="s">
        <v>112</v>
      </c>
      <c r="F4560" s="6" t="s">
        <v>48</v>
      </c>
      <c r="G4560" s="4" t="s">
        <v>0</v>
      </c>
      <c r="H4560" s="25">
        <v>1729.16666667</v>
      </c>
      <c r="I4560" s="8">
        <v>19</v>
      </c>
      <c r="J4560" s="9">
        <v>20</v>
      </c>
      <c r="K4560" s="7">
        <v>1</v>
      </c>
      <c r="L4560" s="24">
        <f>+Tabla2[[#This Row],[Stock Inventario]]*Tabla2[[#This Row],[Coste LÃ­nea]]</f>
        <v>34583.333333399998</v>
      </c>
      <c r="M4560" s="24">
        <f>+Tabla2[[#This Row],[Variación Stock]]*Tabla2[[#This Row],[Coste LÃ­nea]]</f>
        <v>1729.16666667</v>
      </c>
      <c r="N4560" s="22" t="str">
        <f>+IF(Tabla2[[#This Row],[Variación Stock]]&gt;0,"Sobrante",IF(Tabla2[[#This Row],[Variación Stock]]&lt;0,"Faltante","Sin novedad"))</f>
        <v>Sobrante</v>
      </c>
    </row>
    <row r="4561" spans="1:14" x14ac:dyDescent="0.25">
      <c r="A4561" s="11">
        <v>46044</v>
      </c>
      <c r="B4561" s="5" t="s">
        <v>382</v>
      </c>
      <c r="C4561" s="3" t="s">
        <v>284</v>
      </c>
      <c r="D4561" s="5" t="s">
        <v>111</v>
      </c>
      <c r="E4561" s="5" t="s">
        <v>112</v>
      </c>
      <c r="F4561" s="6" t="s">
        <v>50</v>
      </c>
      <c r="G4561" s="4" t="s">
        <v>0</v>
      </c>
      <c r="H4561" s="25">
        <v>1658.625</v>
      </c>
      <c r="I4561" s="8">
        <v>41</v>
      </c>
      <c r="J4561" s="9">
        <v>32</v>
      </c>
      <c r="K4561" s="7">
        <v>-9</v>
      </c>
      <c r="L4561" s="24">
        <f>+Tabla2[[#This Row],[Stock Inventario]]*Tabla2[[#This Row],[Coste LÃ­nea]]</f>
        <v>53076</v>
      </c>
      <c r="M4561" s="24">
        <f>+Tabla2[[#This Row],[Variación Stock]]*Tabla2[[#This Row],[Coste LÃ­nea]]</f>
        <v>-14927.625</v>
      </c>
      <c r="N4561" s="22" t="str">
        <f>+IF(Tabla2[[#This Row],[Variación Stock]]&gt;0,"Sobrante",IF(Tabla2[[#This Row],[Variación Stock]]&lt;0,"Faltante","Sin novedad"))</f>
        <v>Faltante</v>
      </c>
    </row>
    <row r="4562" spans="1:14" x14ac:dyDescent="0.25">
      <c r="A4562" s="11">
        <v>46037</v>
      </c>
      <c r="B4562" s="5" t="s">
        <v>283</v>
      </c>
      <c r="C4562" s="3" t="s">
        <v>284</v>
      </c>
      <c r="D4562" s="5" t="s">
        <v>111</v>
      </c>
      <c r="E4562" s="5" t="s">
        <v>112</v>
      </c>
      <c r="F4562" s="6" t="s">
        <v>36</v>
      </c>
      <c r="G4562" s="4" t="s">
        <v>0</v>
      </c>
      <c r="H4562" s="25">
        <v>4075.1666666699998</v>
      </c>
      <c r="I4562" s="8">
        <v>34</v>
      </c>
      <c r="J4562" s="9">
        <v>13</v>
      </c>
      <c r="K4562" s="7">
        <v>-21</v>
      </c>
      <c r="L4562" s="24">
        <f>+Tabla2[[#This Row],[Stock Inventario]]*Tabla2[[#This Row],[Coste LÃ­nea]]</f>
        <v>52977.16666671</v>
      </c>
      <c r="M4562" s="24">
        <f>+Tabla2[[#This Row],[Variación Stock]]*Tabla2[[#This Row],[Coste LÃ­nea]]</f>
        <v>-85578.500000069995</v>
      </c>
      <c r="N4562" s="22" t="str">
        <f>+IF(Tabla2[[#This Row],[Variación Stock]]&gt;0,"Sobrante",IF(Tabla2[[#This Row],[Variación Stock]]&lt;0,"Faltante","Sin novedad"))</f>
        <v>Faltante</v>
      </c>
    </row>
    <row r="4563" spans="1:14" x14ac:dyDescent="0.25">
      <c r="A4563" s="11">
        <v>46044</v>
      </c>
      <c r="B4563" s="5" t="s">
        <v>382</v>
      </c>
      <c r="C4563" s="3" t="s">
        <v>284</v>
      </c>
      <c r="D4563" s="5" t="s">
        <v>111</v>
      </c>
      <c r="E4563" s="5" t="s">
        <v>112</v>
      </c>
      <c r="F4563" s="6" t="s">
        <v>36</v>
      </c>
      <c r="G4563" s="4" t="s">
        <v>0</v>
      </c>
      <c r="H4563" s="25">
        <v>4075.1666666699998</v>
      </c>
      <c r="I4563" s="8">
        <v>-3</v>
      </c>
      <c r="J4563" s="9">
        <v>22</v>
      </c>
      <c r="K4563" s="7">
        <v>25</v>
      </c>
      <c r="L4563" s="24">
        <f>+Tabla2[[#This Row],[Stock Inventario]]*Tabla2[[#This Row],[Coste LÃ­nea]]</f>
        <v>89653.666666739999</v>
      </c>
      <c r="M4563" s="24">
        <f>+Tabla2[[#This Row],[Variación Stock]]*Tabla2[[#This Row],[Coste LÃ­nea]]</f>
        <v>101879.16666675</v>
      </c>
      <c r="N4563" s="22" t="str">
        <f>+IF(Tabla2[[#This Row],[Variación Stock]]&gt;0,"Sobrante",IF(Tabla2[[#This Row],[Variación Stock]]&lt;0,"Faltante","Sin novedad"))</f>
        <v>Sobrante</v>
      </c>
    </row>
    <row r="4564" spans="1:14" x14ac:dyDescent="0.25">
      <c r="A4564" s="11">
        <v>46044</v>
      </c>
      <c r="B4564" s="5" t="s">
        <v>382</v>
      </c>
      <c r="C4564" s="3" t="s">
        <v>284</v>
      </c>
      <c r="D4564" s="5" t="s">
        <v>111</v>
      </c>
      <c r="E4564" s="5" t="s">
        <v>112</v>
      </c>
      <c r="F4564" s="6" t="s">
        <v>16</v>
      </c>
      <c r="G4564" s="4" t="s">
        <v>0</v>
      </c>
      <c r="H4564" s="25">
        <v>2309.40625</v>
      </c>
      <c r="I4564" s="8">
        <v>10</v>
      </c>
      <c r="J4564" s="9">
        <v>33</v>
      </c>
      <c r="K4564" s="7">
        <v>23</v>
      </c>
      <c r="L4564" s="24">
        <f>+Tabla2[[#This Row],[Stock Inventario]]*Tabla2[[#This Row],[Coste LÃ­nea]]</f>
        <v>76210.40625</v>
      </c>
      <c r="M4564" s="24">
        <f>+Tabla2[[#This Row],[Variación Stock]]*Tabla2[[#This Row],[Coste LÃ­nea]]</f>
        <v>53116.34375</v>
      </c>
      <c r="N4564" s="22" t="str">
        <f>+IF(Tabla2[[#This Row],[Variación Stock]]&gt;0,"Sobrante",IF(Tabla2[[#This Row],[Variación Stock]]&lt;0,"Faltante","Sin novedad"))</f>
        <v>Sobrante</v>
      </c>
    </row>
    <row r="4565" spans="1:14" x14ac:dyDescent="0.25">
      <c r="A4565" s="11">
        <v>46037</v>
      </c>
      <c r="B4565" s="5" t="s">
        <v>283</v>
      </c>
      <c r="C4565" s="3" t="s">
        <v>284</v>
      </c>
      <c r="D4565" s="5" t="s">
        <v>111</v>
      </c>
      <c r="E4565" s="5" t="s">
        <v>112</v>
      </c>
      <c r="F4565" s="6" t="s">
        <v>19</v>
      </c>
      <c r="G4565" s="4" t="s">
        <v>0</v>
      </c>
      <c r="H4565" s="25">
        <v>6746.25</v>
      </c>
      <c r="I4565" s="8">
        <v>41.5</v>
      </c>
      <c r="J4565" s="9">
        <v>42</v>
      </c>
      <c r="K4565" s="7">
        <v>0.5</v>
      </c>
      <c r="L4565" s="24">
        <f>+Tabla2[[#This Row],[Stock Inventario]]*Tabla2[[#This Row],[Coste LÃ­nea]]</f>
        <v>283342.5</v>
      </c>
      <c r="M4565" s="24">
        <f>+Tabla2[[#This Row],[Variación Stock]]*Tabla2[[#This Row],[Coste LÃ­nea]]</f>
        <v>3373.125</v>
      </c>
      <c r="N4565" s="22" t="str">
        <f>+IF(Tabla2[[#This Row],[Variación Stock]]&gt;0,"Sobrante",IF(Tabla2[[#This Row],[Variación Stock]]&lt;0,"Faltante","Sin novedad"))</f>
        <v>Sobrante</v>
      </c>
    </row>
    <row r="4566" spans="1:14" x14ac:dyDescent="0.25">
      <c r="A4566" s="11">
        <v>46044</v>
      </c>
      <c r="B4566" s="5" t="s">
        <v>382</v>
      </c>
      <c r="C4566" s="3" t="s">
        <v>284</v>
      </c>
      <c r="D4566" s="5" t="s">
        <v>111</v>
      </c>
      <c r="E4566" s="5" t="s">
        <v>112</v>
      </c>
      <c r="F4566" s="6" t="s">
        <v>19</v>
      </c>
      <c r="G4566" s="4" t="s">
        <v>0</v>
      </c>
      <c r="H4566" s="25">
        <v>6746.25</v>
      </c>
      <c r="I4566" s="8">
        <v>40</v>
      </c>
      <c r="J4566" s="9">
        <v>41</v>
      </c>
      <c r="K4566" s="7">
        <v>1</v>
      </c>
      <c r="L4566" s="24">
        <f>+Tabla2[[#This Row],[Stock Inventario]]*Tabla2[[#This Row],[Coste LÃ­nea]]</f>
        <v>276596.25</v>
      </c>
      <c r="M4566" s="24">
        <f>+Tabla2[[#This Row],[Variación Stock]]*Tabla2[[#This Row],[Coste LÃ­nea]]</f>
        <v>6746.25</v>
      </c>
      <c r="N4566" s="22" t="str">
        <f>+IF(Tabla2[[#This Row],[Variación Stock]]&gt;0,"Sobrante",IF(Tabla2[[#This Row],[Variación Stock]]&lt;0,"Faltante","Sin novedad"))</f>
        <v>Sobrante</v>
      </c>
    </row>
    <row r="4567" spans="1:14" x14ac:dyDescent="0.25">
      <c r="A4567" s="11">
        <v>46037</v>
      </c>
      <c r="B4567" s="5" t="s">
        <v>283</v>
      </c>
      <c r="C4567" s="3" t="s">
        <v>284</v>
      </c>
      <c r="D4567" s="5" t="s">
        <v>111</v>
      </c>
      <c r="E4567" s="5" t="s">
        <v>112</v>
      </c>
      <c r="F4567" s="6" t="s">
        <v>28</v>
      </c>
      <c r="G4567" s="4" t="s">
        <v>2</v>
      </c>
      <c r="H4567" s="25">
        <v>93956</v>
      </c>
      <c r="I4567" s="8">
        <v>1</v>
      </c>
      <c r="J4567" s="9">
        <v>1</v>
      </c>
      <c r="K4567" s="7">
        <v>0</v>
      </c>
      <c r="L4567" s="24">
        <f>+Tabla2[[#This Row],[Stock Inventario]]*Tabla2[[#This Row],[Coste LÃ­nea]]</f>
        <v>93956</v>
      </c>
      <c r="M4567" s="24">
        <f>+Tabla2[[#This Row],[Variación Stock]]*Tabla2[[#This Row],[Coste LÃ­nea]]</f>
        <v>0</v>
      </c>
      <c r="N4567" s="22" t="str">
        <f>+IF(Tabla2[[#This Row],[Variación Stock]]&gt;0,"Sobrante",IF(Tabla2[[#This Row],[Variación Stock]]&lt;0,"Faltante","Sin novedad"))</f>
        <v>Sin novedad</v>
      </c>
    </row>
    <row r="4568" spans="1:14" x14ac:dyDescent="0.25">
      <c r="A4568" s="11">
        <v>46037</v>
      </c>
      <c r="B4568" s="5" t="s">
        <v>283</v>
      </c>
      <c r="C4568" s="3" t="s">
        <v>284</v>
      </c>
      <c r="D4568" s="5" t="s">
        <v>111</v>
      </c>
      <c r="E4568" s="5" t="s">
        <v>112</v>
      </c>
      <c r="F4568" s="6" t="s">
        <v>124</v>
      </c>
      <c r="G4568" s="4" t="s">
        <v>0</v>
      </c>
      <c r="H4568" s="25">
        <v>10178.90909091</v>
      </c>
      <c r="I4568" s="8">
        <v>35</v>
      </c>
      <c r="J4568" s="9">
        <v>35</v>
      </c>
      <c r="K4568" s="7">
        <v>0</v>
      </c>
      <c r="L4568" s="24">
        <f>+Tabla2[[#This Row],[Stock Inventario]]*Tabla2[[#This Row],[Coste LÃ­nea]]</f>
        <v>356261.81818184996</v>
      </c>
      <c r="M4568" s="24">
        <f>+Tabla2[[#This Row],[Variación Stock]]*Tabla2[[#This Row],[Coste LÃ­nea]]</f>
        <v>0</v>
      </c>
      <c r="N4568" s="22" t="str">
        <f>+IF(Tabla2[[#This Row],[Variación Stock]]&gt;0,"Sobrante",IF(Tabla2[[#This Row],[Variación Stock]]&lt;0,"Faltante","Sin novedad"))</f>
        <v>Sin novedad</v>
      </c>
    </row>
    <row r="4569" spans="1:14" x14ac:dyDescent="0.25">
      <c r="A4569" s="11">
        <v>46037</v>
      </c>
      <c r="B4569" s="5" t="s">
        <v>283</v>
      </c>
      <c r="C4569" s="3" t="s">
        <v>284</v>
      </c>
      <c r="D4569" s="5" t="s">
        <v>111</v>
      </c>
      <c r="E4569" s="5" t="s">
        <v>112</v>
      </c>
      <c r="F4569" s="6" t="s">
        <v>29</v>
      </c>
      <c r="G4569" s="4" t="s">
        <v>0</v>
      </c>
      <c r="H4569" s="25">
        <v>12951.25</v>
      </c>
      <c r="I4569" s="8">
        <v>8</v>
      </c>
      <c r="J4569" s="9">
        <v>8</v>
      </c>
      <c r="K4569" s="7">
        <v>0</v>
      </c>
      <c r="L4569" s="24">
        <f>+Tabla2[[#This Row],[Stock Inventario]]*Tabla2[[#This Row],[Coste LÃ­nea]]</f>
        <v>103610</v>
      </c>
      <c r="M4569" s="24">
        <f>+Tabla2[[#This Row],[Variación Stock]]*Tabla2[[#This Row],[Coste LÃ­nea]]</f>
        <v>0</v>
      </c>
      <c r="N4569" s="22" t="str">
        <f>+IF(Tabla2[[#This Row],[Variación Stock]]&gt;0,"Sobrante",IF(Tabla2[[#This Row],[Variación Stock]]&lt;0,"Faltante","Sin novedad"))</f>
        <v>Sin novedad</v>
      </c>
    </row>
    <row r="4570" spans="1:14" x14ac:dyDescent="0.25">
      <c r="A4570" s="11">
        <v>46037</v>
      </c>
      <c r="B4570" s="5" t="s">
        <v>283</v>
      </c>
      <c r="C4570" s="3" t="s">
        <v>284</v>
      </c>
      <c r="D4570" s="5" t="s">
        <v>111</v>
      </c>
      <c r="E4570" s="5" t="s">
        <v>112</v>
      </c>
      <c r="F4570" s="6" t="s">
        <v>30</v>
      </c>
      <c r="G4570" s="4" t="s">
        <v>0</v>
      </c>
      <c r="H4570" s="25">
        <v>3673.5</v>
      </c>
      <c r="I4570" s="8">
        <v>23</v>
      </c>
      <c r="J4570" s="9">
        <v>23</v>
      </c>
      <c r="K4570" s="7">
        <v>0</v>
      </c>
      <c r="L4570" s="24">
        <f>+Tabla2[[#This Row],[Stock Inventario]]*Tabla2[[#This Row],[Coste LÃ­nea]]</f>
        <v>84490.5</v>
      </c>
      <c r="M4570" s="24">
        <f>+Tabla2[[#This Row],[Variación Stock]]*Tabla2[[#This Row],[Coste LÃ­nea]]</f>
        <v>0</v>
      </c>
      <c r="N4570" s="22" t="str">
        <f>+IF(Tabla2[[#This Row],[Variación Stock]]&gt;0,"Sobrante",IF(Tabla2[[#This Row],[Variación Stock]]&lt;0,"Faltante","Sin novedad"))</f>
        <v>Sin novedad</v>
      </c>
    </row>
    <row r="4571" spans="1:14" x14ac:dyDescent="0.25">
      <c r="A4571" s="11">
        <v>46037</v>
      </c>
      <c r="B4571" s="5" t="s">
        <v>283</v>
      </c>
      <c r="C4571" s="3" t="s">
        <v>284</v>
      </c>
      <c r="D4571" s="5" t="s">
        <v>111</v>
      </c>
      <c r="E4571" s="5" t="s">
        <v>112</v>
      </c>
      <c r="F4571" s="6" t="s">
        <v>20</v>
      </c>
      <c r="G4571" s="4" t="s">
        <v>0</v>
      </c>
      <c r="H4571" s="25">
        <v>6839.875</v>
      </c>
      <c r="I4571" s="8">
        <v>10.14</v>
      </c>
      <c r="J4571" s="9">
        <v>12</v>
      </c>
      <c r="K4571" s="7">
        <v>1.86</v>
      </c>
      <c r="L4571" s="24">
        <f>+Tabla2[[#This Row],[Stock Inventario]]*Tabla2[[#This Row],[Coste LÃ­nea]]</f>
        <v>82078.5</v>
      </c>
      <c r="M4571" s="24">
        <f>+Tabla2[[#This Row],[Variación Stock]]*Tabla2[[#This Row],[Coste LÃ­nea]]</f>
        <v>12722.167500000001</v>
      </c>
      <c r="N4571" s="22" t="str">
        <f>+IF(Tabla2[[#This Row],[Variación Stock]]&gt;0,"Sobrante",IF(Tabla2[[#This Row],[Variación Stock]]&lt;0,"Faltante","Sin novedad"))</f>
        <v>Sobrante</v>
      </c>
    </row>
    <row r="4572" spans="1:14" x14ac:dyDescent="0.25">
      <c r="A4572" s="11">
        <v>46037</v>
      </c>
      <c r="B4572" s="5" t="s">
        <v>283</v>
      </c>
      <c r="C4572" s="3" t="s">
        <v>284</v>
      </c>
      <c r="D4572" s="5" t="s">
        <v>111</v>
      </c>
      <c r="E4572" s="5" t="s">
        <v>112</v>
      </c>
      <c r="F4572" s="6" t="s">
        <v>32</v>
      </c>
      <c r="G4572" s="4" t="s">
        <v>0</v>
      </c>
      <c r="H4572" s="25">
        <v>8628.9583333299997</v>
      </c>
      <c r="I4572" s="8">
        <v>22</v>
      </c>
      <c r="J4572" s="9">
        <v>22</v>
      </c>
      <c r="K4572" s="7">
        <v>0</v>
      </c>
      <c r="L4572" s="24">
        <f>+Tabla2[[#This Row],[Stock Inventario]]*Tabla2[[#This Row],[Coste LÃ­nea]]</f>
        <v>189837.08333326</v>
      </c>
      <c r="M4572" s="24">
        <f>+Tabla2[[#This Row],[Variación Stock]]*Tabla2[[#This Row],[Coste LÃ­nea]]</f>
        <v>0</v>
      </c>
      <c r="N4572" s="22" t="str">
        <f>+IF(Tabla2[[#This Row],[Variación Stock]]&gt;0,"Sobrante",IF(Tabla2[[#This Row],[Variación Stock]]&lt;0,"Faltante","Sin novedad"))</f>
        <v>Sin novedad</v>
      </c>
    </row>
    <row r="4573" spans="1:14" x14ac:dyDescent="0.25">
      <c r="A4573" s="11">
        <v>46044</v>
      </c>
      <c r="B4573" s="5" t="s">
        <v>382</v>
      </c>
      <c r="C4573" s="3" t="s">
        <v>284</v>
      </c>
      <c r="D4573" s="5" t="s">
        <v>111</v>
      </c>
      <c r="E4573" s="5" t="s">
        <v>112</v>
      </c>
      <c r="F4573" s="6" t="s">
        <v>20</v>
      </c>
      <c r="G4573" s="4" t="s">
        <v>0</v>
      </c>
      <c r="H4573" s="25">
        <v>6839.9166666700003</v>
      </c>
      <c r="I4573" s="8">
        <v>6</v>
      </c>
      <c r="J4573" s="9">
        <v>8</v>
      </c>
      <c r="K4573" s="7">
        <v>2</v>
      </c>
      <c r="L4573" s="24">
        <f>+Tabla2[[#This Row],[Stock Inventario]]*Tabla2[[#This Row],[Coste LÃ­nea]]</f>
        <v>54719.333333360002</v>
      </c>
      <c r="M4573" s="24">
        <f>+Tabla2[[#This Row],[Variación Stock]]*Tabla2[[#This Row],[Coste LÃ­nea]]</f>
        <v>13679.833333340001</v>
      </c>
      <c r="N4573" s="22" t="str">
        <f>+IF(Tabla2[[#This Row],[Variación Stock]]&gt;0,"Sobrante",IF(Tabla2[[#This Row],[Variación Stock]]&lt;0,"Faltante","Sin novedad"))</f>
        <v>Sobrante</v>
      </c>
    </row>
    <row r="4574" spans="1:14" hidden="1" x14ac:dyDescent="0.25">
      <c r="A4574" s="11">
        <v>46044</v>
      </c>
      <c r="B4574" s="5" t="s">
        <v>382</v>
      </c>
      <c r="C4574" s="3" t="s">
        <v>284</v>
      </c>
      <c r="D4574" s="5" t="s">
        <v>119</v>
      </c>
      <c r="E4574" s="5" t="s">
        <v>117</v>
      </c>
      <c r="F4574" s="6" t="s">
        <v>9</v>
      </c>
      <c r="G4574" s="4" t="s">
        <v>2</v>
      </c>
      <c r="H4574" s="25">
        <v>485.71428571000001</v>
      </c>
      <c r="I4574" s="8">
        <v>1867</v>
      </c>
      <c r="J4574" s="9">
        <v>1741</v>
      </c>
      <c r="K4574" s="7">
        <v>-126</v>
      </c>
      <c r="L4574" s="24">
        <f>+Tabla2[[#This Row],[Stock Inventario]]*Tabla2[[#This Row],[Coste LÃ­nea]]</f>
        <v>845628.57142111007</v>
      </c>
      <c r="M4574" s="24">
        <f>+Tabla2[[#This Row],[Variación Stock]]*Tabla2[[#This Row],[Coste LÃ­nea]]</f>
        <v>-61199.99999946</v>
      </c>
      <c r="N4574" s="22" t="str">
        <f>+IF(Tabla2[[#This Row],[Variación Stock]]&gt;0,"Sobrante",IF(Tabla2[[#This Row],[Variación Stock]]&lt;0,"Faltante","Sin novedad"))</f>
        <v>Faltante</v>
      </c>
    </row>
    <row r="4575" spans="1:14" x14ac:dyDescent="0.25">
      <c r="A4575" s="11">
        <v>46037</v>
      </c>
      <c r="B4575" s="5" t="s">
        <v>283</v>
      </c>
      <c r="C4575" s="3" t="s">
        <v>284</v>
      </c>
      <c r="D4575" s="5" t="s">
        <v>111</v>
      </c>
      <c r="E4575" s="5" t="s">
        <v>112</v>
      </c>
      <c r="F4575" s="6" t="s">
        <v>37</v>
      </c>
      <c r="G4575" s="4" t="s">
        <v>0</v>
      </c>
      <c r="H4575" s="25">
        <v>4279.4583333299997</v>
      </c>
      <c r="I4575" s="8">
        <v>13</v>
      </c>
      <c r="J4575" s="9">
        <v>15</v>
      </c>
      <c r="K4575" s="7">
        <v>2</v>
      </c>
      <c r="L4575" s="24">
        <f>+Tabla2[[#This Row],[Stock Inventario]]*Tabla2[[#This Row],[Coste LÃ­nea]]</f>
        <v>64191.87499995</v>
      </c>
      <c r="M4575" s="24">
        <f>+Tabla2[[#This Row],[Variación Stock]]*Tabla2[[#This Row],[Coste LÃ­nea]]</f>
        <v>8558.9166666599995</v>
      </c>
      <c r="N4575" s="22" t="str">
        <f>+IF(Tabla2[[#This Row],[Variación Stock]]&gt;0,"Sobrante",IF(Tabla2[[#This Row],[Variación Stock]]&lt;0,"Faltante","Sin novedad"))</f>
        <v>Sobrante</v>
      </c>
    </row>
    <row r="4576" spans="1:14" x14ac:dyDescent="0.25">
      <c r="A4576" s="11">
        <v>46037</v>
      </c>
      <c r="B4576" s="5" t="s">
        <v>283</v>
      </c>
      <c r="C4576" s="3" t="s">
        <v>284</v>
      </c>
      <c r="D4576" s="5" t="s">
        <v>111</v>
      </c>
      <c r="E4576" s="5" t="s">
        <v>112</v>
      </c>
      <c r="F4576" s="6" t="s">
        <v>35</v>
      </c>
      <c r="G4576" s="4" t="s">
        <v>0</v>
      </c>
      <c r="H4576" s="25">
        <v>6045.125</v>
      </c>
      <c r="I4576" s="8">
        <v>13</v>
      </c>
      <c r="J4576" s="9">
        <v>13</v>
      </c>
      <c r="K4576" s="7">
        <v>0</v>
      </c>
      <c r="L4576" s="24">
        <f>+Tabla2[[#This Row],[Stock Inventario]]*Tabla2[[#This Row],[Coste LÃ­nea]]</f>
        <v>78586.625</v>
      </c>
      <c r="M4576" s="24">
        <f>+Tabla2[[#This Row],[Variación Stock]]*Tabla2[[#This Row],[Coste LÃ­nea]]</f>
        <v>0</v>
      </c>
      <c r="N4576" s="22" t="str">
        <f>+IF(Tabla2[[#This Row],[Variación Stock]]&gt;0,"Sobrante",IF(Tabla2[[#This Row],[Variación Stock]]&lt;0,"Faltante","Sin novedad"))</f>
        <v>Sin novedad</v>
      </c>
    </row>
    <row r="4577" spans="1:14" x14ac:dyDescent="0.25">
      <c r="A4577" s="11">
        <v>46044</v>
      </c>
      <c r="B4577" s="5" t="s">
        <v>382</v>
      </c>
      <c r="C4577" s="3" t="s">
        <v>284</v>
      </c>
      <c r="D4577" s="5" t="s">
        <v>115</v>
      </c>
      <c r="E4577" s="5" t="s">
        <v>112</v>
      </c>
      <c r="F4577" s="6" t="s">
        <v>71</v>
      </c>
      <c r="G4577" s="4" t="s">
        <v>2</v>
      </c>
      <c r="H4577" s="25">
        <v>2335.0666666699999</v>
      </c>
      <c r="I4577" s="8">
        <v>43</v>
      </c>
      <c r="J4577" s="9">
        <v>42</v>
      </c>
      <c r="K4577" s="15">
        <v>-1</v>
      </c>
      <c r="L4577" s="24">
        <f>+Tabla2[[#This Row],[Stock Inventario]]*Tabla2[[#This Row],[Coste LÃ­nea]]</f>
        <v>98072.800000139992</v>
      </c>
      <c r="M4577" s="24">
        <f>+Tabla2[[#This Row],[Variación Stock]]*Tabla2[[#This Row],[Coste LÃ­nea]]</f>
        <v>-2335.0666666699999</v>
      </c>
      <c r="N4577" s="22" t="str">
        <f>+IF(Tabla2[[#This Row],[Variación Stock]]&gt;0,"Sobrante",IF(Tabla2[[#This Row],[Variación Stock]]&lt;0,"Faltante","Sin novedad"))</f>
        <v>Faltante</v>
      </c>
    </row>
    <row r="4578" spans="1:14" x14ac:dyDescent="0.25">
      <c r="A4578" s="11">
        <v>46037</v>
      </c>
      <c r="B4578" s="5" t="s">
        <v>283</v>
      </c>
      <c r="C4578" s="3" t="s">
        <v>284</v>
      </c>
      <c r="D4578" s="5" t="s">
        <v>111</v>
      </c>
      <c r="E4578" s="5" t="s">
        <v>112</v>
      </c>
      <c r="F4578" s="6" t="s">
        <v>138</v>
      </c>
      <c r="G4578" s="4" t="s">
        <v>0</v>
      </c>
      <c r="H4578" s="25">
        <v>4504.1666666700003</v>
      </c>
      <c r="I4578" s="8">
        <v>0</v>
      </c>
      <c r="J4578" s="9">
        <v>0</v>
      </c>
      <c r="K4578" s="7">
        <v>0</v>
      </c>
      <c r="L4578" s="24">
        <f>+Tabla2[[#This Row],[Stock Inventario]]*Tabla2[[#This Row],[Coste LÃ­nea]]</f>
        <v>0</v>
      </c>
      <c r="M4578" s="24">
        <f>+Tabla2[[#This Row],[Variación Stock]]*Tabla2[[#This Row],[Coste LÃ­nea]]</f>
        <v>0</v>
      </c>
      <c r="N4578" s="22" t="str">
        <f>+IF(Tabla2[[#This Row],[Variación Stock]]&gt;0,"Sobrante",IF(Tabla2[[#This Row],[Variación Stock]]&lt;0,"Faltante","Sin novedad"))</f>
        <v>Sin novedad</v>
      </c>
    </row>
    <row r="4579" spans="1:14" x14ac:dyDescent="0.25">
      <c r="A4579" s="11">
        <v>46037</v>
      </c>
      <c r="B4579" s="5" t="s">
        <v>283</v>
      </c>
      <c r="C4579" s="3" t="s">
        <v>284</v>
      </c>
      <c r="D4579" s="5" t="s">
        <v>115</v>
      </c>
      <c r="E4579" s="5" t="s">
        <v>112</v>
      </c>
      <c r="F4579" s="6" t="s">
        <v>72</v>
      </c>
      <c r="G4579" s="4" t="s">
        <v>2</v>
      </c>
      <c r="H4579" s="25">
        <v>2183.46666667</v>
      </c>
      <c r="I4579" s="8">
        <v>13</v>
      </c>
      <c r="J4579" s="9">
        <v>12</v>
      </c>
      <c r="K4579" s="15">
        <v>-1</v>
      </c>
      <c r="L4579" s="24">
        <f>+Tabla2[[#This Row],[Stock Inventario]]*Tabla2[[#This Row],[Coste LÃ­nea]]</f>
        <v>26201.600000040002</v>
      </c>
      <c r="M4579" s="24">
        <f>+Tabla2[[#This Row],[Variación Stock]]*Tabla2[[#This Row],[Coste LÃ­nea]]</f>
        <v>-2183.46666667</v>
      </c>
      <c r="N4579" s="22" t="str">
        <f>+IF(Tabla2[[#This Row],[Variación Stock]]&gt;0,"Sobrante",IF(Tabla2[[#This Row],[Variación Stock]]&lt;0,"Faltante","Sin novedad"))</f>
        <v>Faltante</v>
      </c>
    </row>
    <row r="4580" spans="1:14" x14ac:dyDescent="0.25">
      <c r="A4580" s="11">
        <v>46037</v>
      </c>
      <c r="B4580" s="5" t="s">
        <v>283</v>
      </c>
      <c r="C4580" s="3" t="s">
        <v>284</v>
      </c>
      <c r="D4580" s="5" t="s">
        <v>111</v>
      </c>
      <c r="E4580" s="5" t="s">
        <v>112</v>
      </c>
      <c r="F4580" s="6" t="s">
        <v>51</v>
      </c>
      <c r="G4580" s="4" t="s">
        <v>0</v>
      </c>
      <c r="H4580" s="25">
        <v>9648.9583333299997</v>
      </c>
      <c r="I4580" s="8">
        <v>25.34</v>
      </c>
      <c r="J4580" s="9">
        <v>25</v>
      </c>
      <c r="K4580" s="7">
        <v>-0.34</v>
      </c>
      <c r="L4580" s="24">
        <f>+Tabla2[[#This Row],[Stock Inventario]]*Tabla2[[#This Row],[Coste LÃ­nea]]</f>
        <v>241223.95833324999</v>
      </c>
      <c r="M4580" s="24">
        <f>+Tabla2[[#This Row],[Variación Stock]]*Tabla2[[#This Row],[Coste LÃ­nea]]</f>
        <v>-3280.6458333322003</v>
      </c>
      <c r="N4580" s="22" t="str">
        <f>+IF(Tabla2[[#This Row],[Variación Stock]]&gt;0,"Sobrante",IF(Tabla2[[#This Row],[Variación Stock]]&lt;0,"Faltante","Sin novedad"))</f>
        <v>Faltante</v>
      </c>
    </row>
    <row r="4581" spans="1:14" x14ac:dyDescent="0.25">
      <c r="A4581" s="11">
        <v>46037</v>
      </c>
      <c r="B4581" s="5" t="s">
        <v>283</v>
      </c>
      <c r="C4581" s="3" t="s">
        <v>284</v>
      </c>
      <c r="D4581" s="5" t="s">
        <v>111</v>
      </c>
      <c r="E4581" s="5" t="s">
        <v>112</v>
      </c>
      <c r="F4581" s="6" t="s">
        <v>39</v>
      </c>
      <c r="G4581" s="4" t="s">
        <v>0</v>
      </c>
      <c r="H4581" s="25">
        <v>9924</v>
      </c>
      <c r="I4581" s="8">
        <v>27</v>
      </c>
      <c r="J4581" s="9">
        <v>27</v>
      </c>
      <c r="K4581" s="7">
        <v>0</v>
      </c>
      <c r="L4581" s="24">
        <f>+Tabla2[[#This Row],[Stock Inventario]]*Tabla2[[#This Row],[Coste LÃ­nea]]</f>
        <v>267948</v>
      </c>
      <c r="M4581" s="24">
        <f>+Tabla2[[#This Row],[Variación Stock]]*Tabla2[[#This Row],[Coste LÃ­nea]]</f>
        <v>0</v>
      </c>
      <c r="N4581" s="22" t="str">
        <f>+IF(Tabla2[[#This Row],[Variación Stock]]&gt;0,"Sobrante",IF(Tabla2[[#This Row],[Variación Stock]]&lt;0,"Faltante","Sin novedad"))</f>
        <v>Sin novedad</v>
      </c>
    </row>
    <row r="4582" spans="1:14" x14ac:dyDescent="0.25">
      <c r="A4582" s="11">
        <v>46037</v>
      </c>
      <c r="B4582" s="5" t="s">
        <v>283</v>
      </c>
      <c r="C4582" s="3" t="s">
        <v>284</v>
      </c>
      <c r="D4582" s="5" t="s">
        <v>115</v>
      </c>
      <c r="E4582" s="5" t="s">
        <v>112</v>
      </c>
      <c r="F4582" s="6" t="s">
        <v>73</v>
      </c>
      <c r="G4582" s="4" t="s">
        <v>2</v>
      </c>
      <c r="H4582" s="25">
        <v>3299.9974999999999</v>
      </c>
      <c r="I4582" s="8">
        <v>46</v>
      </c>
      <c r="J4582" s="9">
        <v>45</v>
      </c>
      <c r="K4582" s="15">
        <v>-1</v>
      </c>
      <c r="L4582" s="24">
        <f>+Tabla2[[#This Row],[Stock Inventario]]*Tabla2[[#This Row],[Coste LÃ­nea]]</f>
        <v>148499.88750000001</v>
      </c>
      <c r="M4582" s="24">
        <f>+Tabla2[[#This Row],[Variación Stock]]*Tabla2[[#This Row],[Coste LÃ­nea]]</f>
        <v>-3299.9974999999999</v>
      </c>
      <c r="N4582" s="22" t="str">
        <f>+IF(Tabla2[[#This Row],[Variación Stock]]&gt;0,"Sobrante",IF(Tabla2[[#This Row],[Variación Stock]]&lt;0,"Faltante","Sin novedad"))</f>
        <v>Faltante</v>
      </c>
    </row>
    <row r="4583" spans="1:14" x14ac:dyDescent="0.25">
      <c r="A4583" s="11">
        <v>46037</v>
      </c>
      <c r="B4583" s="5" t="s">
        <v>283</v>
      </c>
      <c r="C4583" s="3" t="s">
        <v>284</v>
      </c>
      <c r="D4583" s="5" t="s">
        <v>115</v>
      </c>
      <c r="E4583" s="5" t="s">
        <v>112</v>
      </c>
      <c r="F4583" s="6" t="s">
        <v>291</v>
      </c>
      <c r="G4583" s="4" t="s">
        <v>2</v>
      </c>
      <c r="H4583" s="25">
        <v>4102.875</v>
      </c>
      <c r="I4583" s="8">
        <v>11</v>
      </c>
      <c r="J4583" s="9">
        <v>23</v>
      </c>
      <c r="K4583" s="7">
        <v>12</v>
      </c>
      <c r="L4583" s="24">
        <f>+Tabla2[[#This Row],[Stock Inventario]]*Tabla2[[#This Row],[Coste LÃ­nea]]</f>
        <v>94366.125</v>
      </c>
      <c r="M4583" s="24">
        <f>+Tabla2[[#This Row],[Variación Stock]]*Tabla2[[#This Row],[Coste LÃ­nea]]</f>
        <v>49234.5</v>
      </c>
      <c r="N4583" s="22" t="str">
        <f>+IF(Tabla2[[#This Row],[Variación Stock]]&gt;0,"Sobrante",IF(Tabla2[[#This Row],[Variación Stock]]&lt;0,"Faltante","Sin novedad"))</f>
        <v>Sobrante</v>
      </c>
    </row>
    <row r="4584" spans="1:14" x14ac:dyDescent="0.25">
      <c r="A4584" s="11">
        <v>46037</v>
      </c>
      <c r="B4584" s="5" t="s">
        <v>283</v>
      </c>
      <c r="C4584" s="3" t="s">
        <v>284</v>
      </c>
      <c r="D4584" s="5" t="s">
        <v>111</v>
      </c>
      <c r="E4584" s="5" t="s">
        <v>112</v>
      </c>
      <c r="F4584" s="6" t="s">
        <v>44</v>
      </c>
      <c r="G4584" s="4" t="s">
        <v>0</v>
      </c>
      <c r="H4584" s="25">
        <v>3500</v>
      </c>
      <c r="I4584" s="8">
        <v>13</v>
      </c>
      <c r="J4584" s="9">
        <v>13</v>
      </c>
      <c r="K4584" s="7">
        <v>0</v>
      </c>
      <c r="L4584" s="24">
        <f>+Tabla2[[#This Row],[Stock Inventario]]*Tabla2[[#This Row],[Coste LÃ­nea]]</f>
        <v>45500</v>
      </c>
      <c r="M4584" s="24">
        <f>+Tabla2[[#This Row],[Variación Stock]]*Tabla2[[#This Row],[Coste LÃ­nea]]</f>
        <v>0</v>
      </c>
      <c r="N4584" s="22" t="str">
        <f>+IF(Tabla2[[#This Row],[Variación Stock]]&gt;0,"Sobrante",IF(Tabla2[[#This Row],[Variación Stock]]&lt;0,"Faltante","Sin novedad"))</f>
        <v>Sin novedad</v>
      </c>
    </row>
    <row r="4585" spans="1:14" x14ac:dyDescent="0.25">
      <c r="A4585" s="11">
        <v>46037</v>
      </c>
      <c r="B4585" s="5" t="s">
        <v>283</v>
      </c>
      <c r="C4585" s="3" t="s">
        <v>284</v>
      </c>
      <c r="D4585" s="5" t="s">
        <v>111</v>
      </c>
      <c r="E4585" s="5" t="s">
        <v>112</v>
      </c>
      <c r="F4585" s="6" t="s">
        <v>45</v>
      </c>
      <c r="G4585" s="4" t="s">
        <v>2</v>
      </c>
      <c r="H4585" s="25">
        <v>26517.26</v>
      </c>
      <c r="I4585" s="8">
        <v>1</v>
      </c>
      <c r="J4585" s="9">
        <v>1</v>
      </c>
      <c r="K4585" s="7">
        <v>0</v>
      </c>
      <c r="L4585" s="24">
        <f>+Tabla2[[#This Row],[Stock Inventario]]*Tabla2[[#This Row],[Coste LÃ­nea]]</f>
        <v>26517.26</v>
      </c>
      <c r="M4585" s="24">
        <f>+Tabla2[[#This Row],[Variación Stock]]*Tabla2[[#This Row],[Coste LÃ­nea]]</f>
        <v>0</v>
      </c>
      <c r="N4585" s="22" t="str">
        <f>+IF(Tabla2[[#This Row],[Variación Stock]]&gt;0,"Sobrante",IF(Tabla2[[#This Row],[Variación Stock]]&lt;0,"Faltante","Sin novedad"))</f>
        <v>Sin novedad</v>
      </c>
    </row>
    <row r="4586" spans="1:14" x14ac:dyDescent="0.25">
      <c r="A4586" s="11">
        <v>46037</v>
      </c>
      <c r="B4586" s="5" t="s">
        <v>283</v>
      </c>
      <c r="C4586" s="3" t="s">
        <v>284</v>
      </c>
      <c r="D4586" s="5" t="s">
        <v>111</v>
      </c>
      <c r="E4586" s="5" t="s">
        <v>112</v>
      </c>
      <c r="F4586" s="6" t="s">
        <v>46</v>
      </c>
      <c r="G4586" s="4" t="s">
        <v>0</v>
      </c>
      <c r="H4586" s="25">
        <v>2056.3333333300002</v>
      </c>
      <c r="I4586" s="8">
        <v>61</v>
      </c>
      <c r="J4586" s="9">
        <v>61</v>
      </c>
      <c r="K4586" s="7">
        <v>0</v>
      </c>
      <c r="L4586" s="24">
        <f>+Tabla2[[#This Row],[Stock Inventario]]*Tabla2[[#This Row],[Coste LÃ­nea]]</f>
        <v>125436.33333313001</v>
      </c>
      <c r="M4586" s="24">
        <f>+Tabla2[[#This Row],[Variación Stock]]*Tabla2[[#This Row],[Coste LÃ­nea]]</f>
        <v>0</v>
      </c>
      <c r="N4586" s="22" t="str">
        <f>+IF(Tabla2[[#This Row],[Variación Stock]]&gt;0,"Sobrante",IF(Tabla2[[#This Row],[Variación Stock]]&lt;0,"Faltante","Sin novedad"))</f>
        <v>Sin novedad</v>
      </c>
    </row>
    <row r="4587" spans="1:14" x14ac:dyDescent="0.25">
      <c r="A4587" s="11">
        <v>46037</v>
      </c>
      <c r="B4587" s="5" t="s">
        <v>283</v>
      </c>
      <c r="C4587" s="3" t="s">
        <v>284</v>
      </c>
      <c r="D4587" s="5" t="s">
        <v>111</v>
      </c>
      <c r="E4587" s="5" t="s">
        <v>112</v>
      </c>
      <c r="F4587" s="6" t="s">
        <v>47</v>
      </c>
      <c r="G4587" s="4" t="s">
        <v>2</v>
      </c>
      <c r="H4587" s="25">
        <v>22770</v>
      </c>
      <c r="I4587" s="8">
        <v>1</v>
      </c>
      <c r="J4587" s="9">
        <v>1</v>
      </c>
      <c r="K4587" s="7">
        <v>0</v>
      </c>
      <c r="L4587" s="24">
        <f>+Tabla2[[#This Row],[Stock Inventario]]*Tabla2[[#This Row],[Coste LÃ­nea]]</f>
        <v>22770</v>
      </c>
      <c r="M4587" s="24">
        <f>+Tabla2[[#This Row],[Variación Stock]]*Tabla2[[#This Row],[Coste LÃ­nea]]</f>
        <v>0</v>
      </c>
      <c r="N4587" s="22" t="str">
        <f>+IF(Tabla2[[#This Row],[Variación Stock]]&gt;0,"Sobrante",IF(Tabla2[[#This Row],[Variación Stock]]&lt;0,"Faltante","Sin novedad"))</f>
        <v>Sin novedad</v>
      </c>
    </row>
    <row r="4588" spans="1:14" x14ac:dyDescent="0.25">
      <c r="A4588" s="11">
        <v>46037</v>
      </c>
      <c r="B4588" s="5" t="s">
        <v>283</v>
      </c>
      <c r="C4588" s="3" t="s">
        <v>284</v>
      </c>
      <c r="D4588" s="5" t="s">
        <v>111</v>
      </c>
      <c r="E4588" s="5" t="s">
        <v>112</v>
      </c>
      <c r="F4588" s="6" t="s">
        <v>48</v>
      </c>
      <c r="G4588" s="4" t="s">
        <v>0</v>
      </c>
      <c r="H4588" s="25">
        <v>1729.16666667</v>
      </c>
      <c r="I4588" s="8">
        <v>29</v>
      </c>
      <c r="J4588" s="9">
        <v>29</v>
      </c>
      <c r="K4588" s="7">
        <v>0</v>
      </c>
      <c r="L4588" s="24">
        <f>+Tabla2[[#This Row],[Stock Inventario]]*Tabla2[[#This Row],[Coste LÃ­nea]]</f>
        <v>50145.833333430004</v>
      </c>
      <c r="M4588" s="24">
        <f>+Tabla2[[#This Row],[Variación Stock]]*Tabla2[[#This Row],[Coste LÃ­nea]]</f>
        <v>0</v>
      </c>
      <c r="N4588" s="22" t="str">
        <f>+IF(Tabla2[[#This Row],[Variación Stock]]&gt;0,"Sobrante",IF(Tabla2[[#This Row],[Variación Stock]]&lt;0,"Faltante","Sin novedad"))</f>
        <v>Sin novedad</v>
      </c>
    </row>
    <row r="4589" spans="1:14" x14ac:dyDescent="0.25">
      <c r="A4589" s="11">
        <v>46037</v>
      </c>
      <c r="B4589" s="5" t="s">
        <v>283</v>
      </c>
      <c r="C4589" s="3" t="s">
        <v>284</v>
      </c>
      <c r="D4589" s="5" t="s">
        <v>111</v>
      </c>
      <c r="E4589" s="5" t="s">
        <v>112</v>
      </c>
      <c r="F4589" s="6" t="s">
        <v>49</v>
      </c>
      <c r="G4589" s="4" t="s">
        <v>2</v>
      </c>
      <c r="H4589" s="25">
        <v>23367.5</v>
      </c>
      <c r="I4589" s="8">
        <v>0</v>
      </c>
      <c r="J4589" s="9">
        <v>0</v>
      </c>
      <c r="K4589" s="7">
        <v>0</v>
      </c>
      <c r="L4589" s="24">
        <f>+Tabla2[[#This Row],[Stock Inventario]]*Tabla2[[#This Row],[Coste LÃ­nea]]</f>
        <v>0</v>
      </c>
      <c r="M4589" s="24">
        <f>+Tabla2[[#This Row],[Variación Stock]]*Tabla2[[#This Row],[Coste LÃ­nea]]</f>
        <v>0</v>
      </c>
      <c r="N4589" s="22" t="str">
        <f>+IF(Tabla2[[#This Row],[Variación Stock]]&gt;0,"Sobrante",IF(Tabla2[[#This Row],[Variación Stock]]&lt;0,"Faltante","Sin novedad"))</f>
        <v>Sin novedad</v>
      </c>
    </row>
    <row r="4590" spans="1:14" x14ac:dyDescent="0.25">
      <c r="A4590" s="11">
        <v>46037</v>
      </c>
      <c r="B4590" s="5" t="s">
        <v>283</v>
      </c>
      <c r="C4590" s="3" t="s">
        <v>284</v>
      </c>
      <c r="D4590" s="5" t="s">
        <v>111</v>
      </c>
      <c r="E4590" s="5" t="s">
        <v>112</v>
      </c>
      <c r="F4590" s="6" t="s">
        <v>50</v>
      </c>
      <c r="G4590" s="4" t="s">
        <v>0</v>
      </c>
      <c r="H4590" s="25">
        <v>1658.625</v>
      </c>
      <c r="I4590" s="8">
        <v>41</v>
      </c>
      <c r="J4590" s="9">
        <v>41</v>
      </c>
      <c r="K4590" s="7">
        <v>0</v>
      </c>
      <c r="L4590" s="24">
        <f>+Tabla2[[#This Row],[Stock Inventario]]*Tabla2[[#This Row],[Coste LÃ­nea]]</f>
        <v>68003.625</v>
      </c>
      <c r="M4590" s="24">
        <f>+Tabla2[[#This Row],[Variación Stock]]*Tabla2[[#This Row],[Coste LÃ­nea]]</f>
        <v>0</v>
      </c>
      <c r="N4590" s="22" t="str">
        <f>+IF(Tabla2[[#This Row],[Variación Stock]]&gt;0,"Sobrante",IF(Tabla2[[#This Row],[Variación Stock]]&lt;0,"Faltante","Sin novedad"))</f>
        <v>Sin novedad</v>
      </c>
    </row>
    <row r="4591" spans="1:14" x14ac:dyDescent="0.25">
      <c r="A4591" s="11">
        <v>46037</v>
      </c>
      <c r="B4591" s="5" t="s">
        <v>283</v>
      </c>
      <c r="C4591" s="3" t="s">
        <v>284</v>
      </c>
      <c r="D4591" s="5" t="s">
        <v>115</v>
      </c>
      <c r="E4591" s="5" t="s">
        <v>112</v>
      </c>
      <c r="F4591" s="6" t="s">
        <v>75</v>
      </c>
      <c r="G4591" s="4" t="s">
        <v>2</v>
      </c>
      <c r="H4591" s="25">
        <v>2298.1333333299999</v>
      </c>
      <c r="I4591" s="8">
        <v>541.82000000000005</v>
      </c>
      <c r="J4591" s="9">
        <v>0</v>
      </c>
      <c r="K4591" s="7">
        <v>-541.82000000000005</v>
      </c>
      <c r="L4591" s="24">
        <f>+Tabla2[[#This Row],[Stock Inventario]]*Tabla2[[#This Row],[Coste LÃ­nea]]</f>
        <v>0</v>
      </c>
      <c r="M4591" s="24">
        <f>+Tabla2[[#This Row],[Variación Stock]]*Tabla2[[#This Row],[Coste LÃ­nea]]</f>
        <v>-1245174.6026648607</v>
      </c>
      <c r="N4591" s="22" t="str">
        <f>+IF(Tabla2[[#This Row],[Variación Stock]]&gt;0,"Sobrante",IF(Tabla2[[#This Row],[Variación Stock]]&lt;0,"Faltante","Sin novedad"))</f>
        <v>Faltante</v>
      </c>
    </row>
    <row r="4592" spans="1:14" x14ac:dyDescent="0.25">
      <c r="A4592" s="11">
        <v>46037</v>
      </c>
      <c r="B4592" s="5" t="s">
        <v>283</v>
      </c>
      <c r="C4592" s="3" t="s">
        <v>284</v>
      </c>
      <c r="D4592" s="5" t="s">
        <v>111</v>
      </c>
      <c r="E4592" s="5" t="s">
        <v>112</v>
      </c>
      <c r="F4592" s="6" t="s">
        <v>141</v>
      </c>
      <c r="G4592" s="4" t="s">
        <v>0</v>
      </c>
      <c r="H4592" s="25">
        <v>5670.8333333299997</v>
      </c>
      <c r="I4592" s="8">
        <v>0</v>
      </c>
      <c r="J4592" s="9">
        <v>0</v>
      </c>
      <c r="K4592" s="7">
        <v>0</v>
      </c>
      <c r="L4592" s="24">
        <f>+Tabla2[[#This Row],[Stock Inventario]]*Tabla2[[#This Row],[Coste LÃ­nea]]</f>
        <v>0</v>
      </c>
      <c r="M4592" s="24">
        <f>+Tabla2[[#This Row],[Variación Stock]]*Tabla2[[#This Row],[Coste LÃ­nea]]</f>
        <v>0</v>
      </c>
      <c r="N4592" s="22" t="str">
        <f>+IF(Tabla2[[#This Row],[Variación Stock]]&gt;0,"Sobrante",IF(Tabla2[[#This Row],[Variación Stock]]&lt;0,"Faltante","Sin novedad"))</f>
        <v>Sin novedad</v>
      </c>
    </row>
    <row r="4593" spans="1:14" x14ac:dyDescent="0.25">
      <c r="A4593" s="11">
        <v>46044</v>
      </c>
      <c r="B4593" s="5" t="s">
        <v>382</v>
      </c>
      <c r="C4593" s="3" t="s">
        <v>284</v>
      </c>
      <c r="D4593" s="5" t="s">
        <v>115</v>
      </c>
      <c r="E4593" s="5" t="s">
        <v>112</v>
      </c>
      <c r="F4593" s="6" t="s">
        <v>367</v>
      </c>
      <c r="G4593" s="4" t="s">
        <v>2</v>
      </c>
      <c r="H4593" s="25">
        <v>18598</v>
      </c>
      <c r="I4593" s="8">
        <v>-2.17</v>
      </c>
      <c r="J4593" s="9">
        <v>0</v>
      </c>
      <c r="K4593" s="7">
        <v>2.17</v>
      </c>
      <c r="L4593" s="24">
        <f>+Tabla2[[#This Row],[Stock Inventario]]*Tabla2[[#This Row],[Coste LÃ­nea]]</f>
        <v>0</v>
      </c>
      <c r="M4593" s="24">
        <f>+Tabla2[[#This Row],[Variación Stock]]*Tabla2[[#This Row],[Coste LÃ­nea]]</f>
        <v>40357.659999999996</v>
      </c>
      <c r="N4593" s="22" t="str">
        <f>+IF(Tabla2[[#This Row],[Variación Stock]]&gt;0,"Sobrante",IF(Tabla2[[#This Row],[Variación Stock]]&lt;0,"Faltante","Sin novedad"))</f>
        <v>Sobrante</v>
      </c>
    </row>
    <row r="4594" spans="1:14" x14ac:dyDescent="0.25">
      <c r="A4594" s="11">
        <v>46037</v>
      </c>
      <c r="B4594" s="5" t="s">
        <v>283</v>
      </c>
      <c r="C4594" s="3" t="s">
        <v>284</v>
      </c>
      <c r="D4594" s="5" t="s">
        <v>111</v>
      </c>
      <c r="E4594" s="5" t="s">
        <v>112</v>
      </c>
      <c r="F4594" s="6" t="s">
        <v>53</v>
      </c>
      <c r="G4594" s="4" t="s">
        <v>2</v>
      </c>
      <c r="H4594" s="25">
        <v>45099.74</v>
      </c>
      <c r="I4594" s="8">
        <v>0</v>
      </c>
      <c r="J4594" s="9">
        <v>0</v>
      </c>
      <c r="K4594" s="7">
        <v>0</v>
      </c>
      <c r="L4594" s="24">
        <f>+Tabla2[[#This Row],[Stock Inventario]]*Tabla2[[#This Row],[Coste LÃ­nea]]</f>
        <v>0</v>
      </c>
      <c r="M4594" s="24">
        <f>+Tabla2[[#This Row],[Variación Stock]]*Tabla2[[#This Row],[Coste LÃ­nea]]</f>
        <v>0</v>
      </c>
      <c r="N4594" s="22" t="str">
        <f>+IF(Tabla2[[#This Row],[Variación Stock]]&gt;0,"Sobrante",IF(Tabla2[[#This Row],[Variación Stock]]&lt;0,"Faltante","Sin novedad"))</f>
        <v>Sin novedad</v>
      </c>
    </row>
    <row r="4595" spans="1:14" x14ac:dyDescent="0.25">
      <c r="A4595" s="11">
        <v>46037</v>
      </c>
      <c r="B4595" s="5" t="s">
        <v>283</v>
      </c>
      <c r="C4595" s="3" t="s">
        <v>284</v>
      </c>
      <c r="D4595" s="5" t="s">
        <v>111</v>
      </c>
      <c r="E4595" s="5" t="s">
        <v>112</v>
      </c>
      <c r="F4595" s="6" t="s">
        <v>54</v>
      </c>
      <c r="G4595" s="4" t="s">
        <v>0</v>
      </c>
      <c r="H4595" s="25">
        <v>0</v>
      </c>
      <c r="I4595" s="8">
        <v>6</v>
      </c>
      <c r="J4595" s="9">
        <v>6</v>
      </c>
      <c r="K4595" s="7">
        <v>0</v>
      </c>
      <c r="L4595" s="24">
        <f>+Tabla2[[#This Row],[Stock Inventario]]*Tabla2[[#This Row],[Coste LÃ­nea]]</f>
        <v>0</v>
      </c>
      <c r="M4595" s="24">
        <f>+Tabla2[[#This Row],[Variación Stock]]*Tabla2[[#This Row],[Coste LÃ­nea]]</f>
        <v>0</v>
      </c>
      <c r="N4595" s="22" t="str">
        <f>+IF(Tabla2[[#This Row],[Variación Stock]]&gt;0,"Sobrante",IF(Tabla2[[#This Row],[Variación Stock]]&lt;0,"Faltante","Sin novedad"))</f>
        <v>Sin novedad</v>
      </c>
    </row>
    <row r="4596" spans="1:14" x14ac:dyDescent="0.25">
      <c r="A4596" s="11">
        <v>46037</v>
      </c>
      <c r="B4596" s="5" t="s">
        <v>283</v>
      </c>
      <c r="C4596" s="3" t="s">
        <v>284</v>
      </c>
      <c r="D4596" s="5" t="s">
        <v>111</v>
      </c>
      <c r="E4596" s="5" t="s">
        <v>112</v>
      </c>
      <c r="F4596" s="6" t="s">
        <v>55</v>
      </c>
      <c r="G4596" s="4" t="s">
        <v>0</v>
      </c>
      <c r="H4596" s="25">
        <v>3171.7162499999999</v>
      </c>
      <c r="I4596" s="8">
        <v>6</v>
      </c>
      <c r="J4596" s="9">
        <v>6</v>
      </c>
      <c r="K4596" s="7">
        <v>0</v>
      </c>
      <c r="L4596" s="24">
        <f>+Tabla2[[#This Row],[Stock Inventario]]*Tabla2[[#This Row],[Coste LÃ­nea]]</f>
        <v>19030.297500000001</v>
      </c>
      <c r="M4596" s="24">
        <f>+Tabla2[[#This Row],[Variación Stock]]*Tabla2[[#This Row],[Coste LÃ­nea]]</f>
        <v>0</v>
      </c>
      <c r="N4596" s="22" t="str">
        <f>+IF(Tabla2[[#This Row],[Variación Stock]]&gt;0,"Sobrante",IF(Tabla2[[#This Row],[Variación Stock]]&lt;0,"Faltante","Sin novedad"))</f>
        <v>Sin novedad</v>
      </c>
    </row>
    <row r="4597" spans="1:14" x14ac:dyDescent="0.25">
      <c r="A4597" s="11">
        <v>46037</v>
      </c>
      <c r="B4597" s="5" t="s">
        <v>283</v>
      </c>
      <c r="C4597" s="3" t="s">
        <v>284</v>
      </c>
      <c r="D4597" s="5" t="s">
        <v>111</v>
      </c>
      <c r="E4597" s="5" t="s">
        <v>112</v>
      </c>
      <c r="F4597" s="6" t="s">
        <v>56</v>
      </c>
      <c r="G4597" s="4" t="s">
        <v>0</v>
      </c>
      <c r="H4597" s="25">
        <v>5291.6666666700003</v>
      </c>
      <c r="I4597" s="8">
        <v>1</v>
      </c>
      <c r="J4597" s="9">
        <v>1</v>
      </c>
      <c r="K4597" s="7">
        <v>0</v>
      </c>
      <c r="L4597" s="24">
        <f>+Tabla2[[#This Row],[Stock Inventario]]*Tabla2[[#This Row],[Coste LÃ­nea]]</f>
        <v>5291.6666666700003</v>
      </c>
      <c r="M4597" s="24">
        <f>+Tabla2[[#This Row],[Variación Stock]]*Tabla2[[#This Row],[Coste LÃ­nea]]</f>
        <v>0</v>
      </c>
      <c r="N4597" s="22" t="str">
        <f>+IF(Tabla2[[#This Row],[Variación Stock]]&gt;0,"Sobrante",IF(Tabla2[[#This Row],[Variación Stock]]&lt;0,"Faltante","Sin novedad"))</f>
        <v>Sin novedad</v>
      </c>
    </row>
    <row r="4598" spans="1:14" x14ac:dyDescent="0.25">
      <c r="A4598" s="11">
        <v>46037</v>
      </c>
      <c r="B4598" s="5" t="s">
        <v>283</v>
      </c>
      <c r="C4598" s="3" t="s">
        <v>284</v>
      </c>
      <c r="D4598" s="5" t="s">
        <v>111</v>
      </c>
      <c r="E4598" s="5" t="s">
        <v>112</v>
      </c>
      <c r="F4598" s="6" t="s">
        <v>113</v>
      </c>
      <c r="G4598" s="4" t="s">
        <v>0</v>
      </c>
      <c r="H4598" s="25">
        <v>15318.181818180001</v>
      </c>
      <c r="I4598" s="8">
        <v>17</v>
      </c>
      <c r="J4598" s="9">
        <v>17</v>
      </c>
      <c r="K4598" s="7">
        <v>0</v>
      </c>
      <c r="L4598" s="24">
        <f>+Tabla2[[#This Row],[Stock Inventario]]*Tabla2[[#This Row],[Coste LÃ­nea]]</f>
        <v>260409.09090906</v>
      </c>
      <c r="M4598" s="24">
        <f>+Tabla2[[#This Row],[Variación Stock]]*Tabla2[[#This Row],[Coste LÃ­nea]]</f>
        <v>0</v>
      </c>
      <c r="N4598" s="22" t="str">
        <f>+IF(Tabla2[[#This Row],[Variación Stock]]&gt;0,"Sobrante",IF(Tabla2[[#This Row],[Variación Stock]]&lt;0,"Faltante","Sin novedad"))</f>
        <v>Sin novedad</v>
      </c>
    </row>
    <row r="4599" spans="1:14" x14ac:dyDescent="0.25">
      <c r="A4599" s="11">
        <v>46037</v>
      </c>
      <c r="B4599" s="5" t="s">
        <v>283</v>
      </c>
      <c r="C4599" s="3" t="s">
        <v>284</v>
      </c>
      <c r="D4599" s="5" t="s">
        <v>111</v>
      </c>
      <c r="E4599" s="5" t="s">
        <v>112</v>
      </c>
      <c r="F4599" s="6" t="s">
        <v>52</v>
      </c>
      <c r="G4599" s="4" t="s">
        <v>0</v>
      </c>
      <c r="H4599" s="25">
        <v>6800.3640183199996</v>
      </c>
      <c r="I4599" s="8">
        <v>12</v>
      </c>
      <c r="J4599" s="9">
        <v>12</v>
      </c>
      <c r="K4599" s="7">
        <v>0</v>
      </c>
      <c r="L4599" s="24">
        <f>+Tabla2[[#This Row],[Stock Inventario]]*Tabla2[[#This Row],[Coste LÃ­nea]]</f>
        <v>81604.368219839991</v>
      </c>
      <c r="M4599" s="24">
        <f>+Tabla2[[#This Row],[Variación Stock]]*Tabla2[[#This Row],[Coste LÃ­nea]]</f>
        <v>0</v>
      </c>
      <c r="N4599" s="22" t="str">
        <f>+IF(Tabla2[[#This Row],[Variación Stock]]&gt;0,"Sobrante",IF(Tabla2[[#This Row],[Variación Stock]]&lt;0,"Faltante","Sin novedad"))</f>
        <v>Sin novedad</v>
      </c>
    </row>
    <row r="4600" spans="1:14" x14ac:dyDescent="0.25">
      <c r="A4600" s="11">
        <v>46044</v>
      </c>
      <c r="B4600" s="5" t="s">
        <v>382</v>
      </c>
      <c r="C4600" s="3" t="s">
        <v>284</v>
      </c>
      <c r="D4600" s="5" t="s">
        <v>115</v>
      </c>
      <c r="E4600" s="5" t="s">
        <v>112</v>
      </c>
      <c r="F4600" s="6" t="s">
        <v>368</v>
      </c>
      <c r="G4600" s="4" t="s">
        <v>2</v>
      </c>
      <c r="H4600" s="25">
        <v>3099.6666666699998</v>
      </c>
      <c r="I4600" s="8">
        <v>0</v>
      </c>
      <c r="J4600" s="9">
        <v>7</v>
      </c>
      <c r="K4600" s="7">
        <v>7</v>
      </c>
      <c r="L4600" s="24">
        <f>+Tabla2[[#This Row],[Stock Inventario]]*Tabla2[[#This Row],[Coste LÃ­nea]]</f>
        <v>21697.666666689998</v>
      </c>
      <c r="M4600" s="24">
        <f>+Tabla2[[#This Row],[Variación Stock]]*Tabla2[[#This Row],[Coste LÃ­nea]]</f>
        <v>21697.666666689998</v>
      </c>
      <c r="N4600" s="22" t="str">
        <f>+IF(Tabla2[[#This Row],[Variación Stock]]&gt;0,"Sobrante",IF(Tabla2[[#This Row],[Variación Stock]]&lt;0,"Faltante","Sin novedad"))</f>
        <v>Sobrante</v>
      </c>
    </row>
    <row r="4601" spans="1:14" x14ac:dyDescent="0.25">
      <c r="A4601" s="11">
        <v>46037</v>
      </c>
      <c r="B4601" s="5" t="s">
        <v>283</v>
      </c>
      <c r="C4601" s="3" t="s">
        <v>284</v>
      </c>
      <c r="D4601" s="5" t="s">
        <v>114</v>
      </c>
      <c r="E4601" s="5" t="s">
        <v>112</v>
      </c>
      <c r="F4601" s="6" t="s">
        <v>66</v>
      </c>
      <c r="G4601" s="4" t="s">
        <v>2</v>
      </c>
      <c r="H4601" s="25">
        <v>4986.1041666700003</v>
      </c>
      <c r="I4601" s="8">
        <v>52</v>
      </c>
      <c r="J4601" s="9">
        <v>41</v>
      </c>
      <c r="K4601" s="7">
        <v>-11</v>
      </c>
      <c r="L4601" s="24">
        <f>+Tabla2[[#This Row],[Stock Inventario]]*Tabla2[[#This Row],[Coste LÃ­nea]]</f>
        <v>204430.27083347001</v>
      </c>
      <c r="M4601" s="24">
        <f>+Tabla2[[#This Row],[Variación Stock]]*Tabla2[[#This Row],[Coste LÃ­nea]]</f>
        <v>-54847.145833369999</v>
      </c>
      <c r="N4601" s="22" t="str">
        <f>+IF(Tabla2[[#This Row],[Variación Stock]]&gt;0,"Sobrante",IF(Tabla2[[#This Row],[Variación Stock]]&lt;0,"Faltante","Sin novedad"))</f>
        <v>Faltante</v>
      </c>
    </row>
    <row r="4602" spans="1:14" x14ac:dyDescent="0.25">
      <c r="A4602" s="11">
        <v>46044</v>
      </c>
      <c r="B4602" s="5" t="s">
        <v>382</v>
      </c>
      <c r="C4602" s="3" t="s">
        <v>284</v>
      </c>
      <c r="D4602" s="5" t="s">
        <v>114</v>
      </c>
      <c r="E4602" s="5" t="s">
        <v>112</v>
      </c>
      <c r="F4602" s="6" t="s">
        <v>66</v>
      </c>
      <c r="G4602" s="4" t="s">
        <v>2</v>
      </c>
      <c r="H4602" s="25">
        <v>4986.0833333299997</v>
      </c>
      <c r="I4602" s="8">
        <v>24</v>
      </c>
      <c r="J4602" s="9">
        <v>25</v>
      </c>
      <c r="K4602" s="7">
        <v>1</v>
      </c>
      <c r="L4602" s="24">
        <f>+Tabla2[[#This Row],[Stock Inventario]]*Tabla2[[#This Row],[Coste LÃ­nea]]</f>
        <v>124652.08333324999</v>
      </c>
      <c r="M4602" s="24">
        <f>+Tabla2[[#This Row],[Variación Stock]]*Tabla2[[#This Row],[Coste LÃ­nea]]</f>
        <v>4986.0833333299997</v>
      </c>
      <c r="N4602" s="22" t="str">
        <f>+IF(Tabla2[[#This Row],[Variación Stock]]&gt;0,"Sobrante",IF(Tabla2[[#This Row],[Variación Stock]]&lt;0,"Faltante","Sin novedad"))</f>
        <v>Sobrante</v>
      </c>
    </row>
    <row r="4603" spans="1:14" x14ac:dyDescent="0.25">
      <c r="A4603" s="11">
        <v>46037</v>
      </c>
      <c r="B4603" s="5" t="s">
        <v>283</v>
      </c>
      <c r="C4603" s="3" t="s">
        <v>284</v>
      </c>
      <c r="D4603" s="5" t="s">
        <v>111</v>
      </c>
      <c r="E4603" s="5" t="s">
        <v>112</v>
      </c>
      <c r="F4603" s="6" t="s">
        <v>38</v>
      </c>
      <c r="G4603" s="4" t="s">
        <v>0</v>
      </c>
      <c r="H4603" s="25">
        <v>2244.5833333300002</v>
      </c>
      <c r="I4603" s="8">
        <v>30</v>
      </c>
      <c r="J4603" s="9">
        <v>8</v>
      </c>
      <c r="K4603" s="7">
        <v>-22</v>
      </c>
      <c r="L4603" s="24">
        <f>+Tabla2[[#This Row],[Stock Inventario]]*Tabla2[[#This Row],[Coste LÃ­nea]]</f>
        <v>17956.666666640001</v>
      </c>
      <c r="M4603" s="24">
        <f>+Tabla2[[#This Row],[Variación Stock]]*Tabla2[[#This Row],[Coste LÃ­nea]]</f>
        <v>-49380.833333260001</v>
      </c>
      <c r="N4603" s="22" t="str">
        <f>+IF(Tabla2[[#This Row],[Variación Stock]]&gt;0,"Sobrante",IF(Tabla2[[#This Row],[Variación Stock]]&lt;0,"Faltante","Sin novedad"))</f>
        <v>Faltante</v>
      </c>
    </row>
    <row r="4604" spans="1:14" x14ac:dyDescent="0.25">
      <c r="A4604" s="11">
        <v>46037</v>
      </c>
      <c r="B4604" s="5" t="s">
        <v>283</v>
      </c>
      <c r="C4604" s="3" t="s">
        <v>284</v>
      </c>
      <c r="D4604" s="5" t="s">
        <v>114</v>
      </c>
      <c r="E4604" s="5" t="s">
        <v>112</v>
      </c>
      <c r="F4604" s="6" t="s">
        <v>146</v>
      </c>
      <c r="G4604" s="4" t="s">
        <v>2</v>
      </c>
      <c r="H4604" s="25">
        <v>0</v>
      </c>
      <c r="I4604" s="8">
        <v>0</v>
      </c>
      <c r="J4604" s="9">
        <v>0</v>
      </c>
      <c r="K4604" s="7">
        <v>0</v>
      </c>
      <c r="L4604" s="24">
        <f>+Tabla2[[#This Row],[Stock Inventario]]*Tabla2[[#This Row],[Coste LÃ­nea]]</f>
        <v>0</v>
      </c>
      <c r="M4604" s="24">
        <f>+Tabla2[[#This Row],[Variación Stock]]*Tabla2[[#This Row],[Coste LÃ­nea]]</f>
        <v>0</v>
      </c>
      <c r="N4604" s="22" t="str">
        <f>+IF(Tabla2[[#This Row],[Variación Stock]]&gt;0,"Sobrante",IF(Tabla2[[#This Row],[Variación Stock]]&lt;0,"Faltante","Sin novedad"))</f>
        <v>Sin novedad</v>
      </c>
    </row>
    <row r="4605" spans="1:14" x14ac:dyDescent="0.25">
      <c r="A4605" s="11">
        <v>46037</v>
      </c>
      <c r="B4605" s="5" t="s">
        <v>283</v>
      </c>
      <c r="C4605" s="3" t="s">
        <v>284</v>
      </c>
      <c r="D4605" s="5" t="s">
        <v>114</v>
      </c>
      <c r="E4605" s="5" t="s">
        <v>112</v>
      </c>
      <c r="F4605" s="6" t="s">
        <v>147</v>
      </c>
      <c r="G4605" s="4" t="s">
        <v>2</v>
      </c>
      <c r="H4605" s="25">
        <v>3333.3333333300002</v>
      </c>
      <c r="I4605" s="8">
        <v>0</v>
      </c>
      <c r="J4605" s="9">
        <v>0</v>
      </c>
      <c r="K4605" s="7">
        <v>0</v>
      </c>
      <c r="L4605" s="24">
        <f>+Tabla2[[#This Row],[Stock Inventario]]*Tabla2[[#This Row],[Coste LÃ­nea]]</f>
        <v>0</v>
      </c>
      <c r="M4605" s="24">
        <f>+Tabla2[[#This Row],[Variación Stock]]*Tabla2[[#This Row],[Coste LÃ­nea]]</f>
        <v>0</v>
      </c>
      <c r="N4605" s="22" t="str">
        <f>+IF(Tabla2[[#This Row],[Variación Stock]]&gt;0,"Sobrante",IF(Tabla2[[#This Row],[Variación Stock]]&lt;0,"Faltante","Sin novedad"))</f>
        <v>Sin novedad</v>
      </c>
    </row>
    <row r="4606" spans="1:14" x14ac:dyDescent="0.25">
      <c r="A4606" s="11">
        <v>46044</v>
      </c>
      <c r="B4606" s="5" t="s">
        <v>382</v>
      </c>
      <c r="C4606" s="3" t="s">
        <v>284</v>
      </c>
      <c r="D4606" s="5" t="s">
        <v>111</v>
      </c>
      <c r="E4606" s="5" t="s">
        <v>112</v>
      </c>
      <c r="F4606" s="6" t="s">
        <v>38</v>
      </c>
      <c r="G4606" s="4" t="s">
        <v>0</v>
      </c>
      <c r="H4606" s="25">
        <v>2972.2291666699998</v>
      </c>
      <c r="I4606" s="8">
        <v>-16</v>
      </c>
      <c r="J4606" s="9">
        <v>8</v>
      </c>
      <c r="K4606" s="7">
        <v>24</v>
      </c>
      <c r="L4606" s="24">
        <f>+Tabla2[[#This Row],[Stock Inventario]]*Tabla2[[#This Row],[Coste LÃ­nea]]</f>
        <v>23777.833333359999</v>
      </c>
      <c r="M4606" s="24">
        <f>+Tabla2[[#This Row],[Variación Stock]]*Tabla2[[#This Row],[Coste LÃ­nea]]</f>
        <v>71333.500000079992</v>
      </c>
      <c r="N4606" s="22" t="str">
        <f>+IF(Tabla2[[#This Row],[Variación Stock]]&gt;0,"Sobrante",IF(Tabla2[[#This Row],[Variación Stock]]&lt;0,"Faltante","Sin novedad"))</f>
        <v>Sobrante</v>
      </c>
    </row>
    <row r="4607" spans="1:14" x14ac:dyDescent="0.25">
      <c r="A4607" s="11">
        <v>46037</v>
      </c>
      <c r="B4607" s="5" t="s">
        <v>283</v>
      </c>
      <c r="C4607" s="3" t="s">
        <v>284</v>
      </c>
      <c r="D4607" s="5" t="s">
        <v>114</v>
      </c>
      <c r="E4607" s="5" t="s">
        <v>112</v>
      </c>
      <c r="F4607" s="6" t="s">
        <v>60</v>
      </c>
      <c r="G4607" s="4" t="s">
        <v>2</v>
      </c>
      <c r="H4607" s="25">
        <v>2323.7453703800002</v>
      </c>
      <c r="I4607" s="8">
        <v>120</v>
      </c>
      <c r="J4607" s="9">
        <v>120</v>
      </c>
      <c r="K4607" s="7">
        <v>0</v>
      </c>
      <c r="L4607" s="24">
        <f>+Tabla2[[#This Row],[Stock Inventario]]*Tabla2[[#This Row],[Coste LÃ­nea]]</f>
        <v>278849.44444560003</v>
      </c>
      <c r="M4607" s="24">
        <f>+Tabla2[[#This Row],[Variación Stock]]*Tabla2[[#This Row],[Coste LÃ­nea]]</f>
        <v>0</v>
      </c>
      <c r="N4607" s="22" t="str">
        <f>+IF(Tabla2[[#This Row],[Variación Stock]]&gt;0,"Sobrante",IF(Tabla2[[#This Row],[Variación Stock]]&lt;0,"Faltante","Sin novedad"))</f>
        <v>Sin novedad</v>
      </c>
    </row>
    <row r="4608" spans="1:14" x14ac:dyDescent="0.25">
      <c r="A4608" s="11">
        <v>46037</v>
      </c>
      <c r="B4608" s="5" t="s">
        <v>283</v>
      </c>
      <c r="C4608" s="3" t="s">
        <v>284</v>
      </c>
      <c r="D4608" s="5" t="s">
        <v>118</v>
      </c>
      <c r="E4608" s="5" t="s">
        <v>112</v>
      </c>
      <c r="F4608" s="6" t="s">
        <v>123</v>
      </c>
      <c r="G4608" s="4" t="s">
        <v>0</v>
      </c>
      <c r="H4608" s="25">
        <v>1842.78125</v>
      </c>
      <c r="I4608" s="8">
        <v>34</v>
      </c>
      <c r="J4608" s="9">
        <v>36</v>
      </c>
      <c r="K4608" s="7">
        <v>2</v>
      </c>
      <c r="L4608" s="24">
        <f>+Tabla2[[#This Row],[Stock Inventario]]*Tabla2[[#This Row],[Coste LÃ­nea]]</f>
        <v>66340.125</v>
      </c>
      <c r="M4608" s="24">
        <f>+Tabla2[[#This Row],[Variación Stock]]*Tabla2[[#This Row],[Coste LÃ­nea]]</f>
        <v>3685.5625</v>
      </c>
      <c r="N4608" s="22" t="str">
        <f>+IF(Tabla2[[#This Row],[Variación Stock]]&gt;0,"Sobrante",IF(Tabla2[[#This Row],[Variación Stock]]&lt;0,"Faltante","Sin novedad"))</f>
        <v>Sobrante</v>
      </c>
    </row>
    <row r="4609" spans="1:14" x14ac:dyDescent="0.25">
      <c r="A4609" s="11">
        <v>46037</v>
      </c>
      <c r="B4609" s="5" t="s">
        <v>283</v>
      </c>
      <c r="C4609" s="3" t="s">
        <v>284</v>
      </c>
      <c r="D4609" s="5" t="s">
        <v>114</v>
      </c>
      <c r="E4609" s="5" t="s">
        <v>112</v>
      </c>
      <c r="F4609" s="6" t="s">
        <v>110</v>
      </c>
      <c r="G4609" s="4" t="s">
        <v>2</v>
      </c>
      <c r="H4609" s="25">
        <v>0</v>
      </c>
      <c r="I4609" s="8">
        <v>0</v>
      </c>
      <c r="J4609" s="9">
        <v>9</v>
      </c>
      <c r="K4609" s="7">
        <v>9</v>
      </c>
      <c r="L4609" s="24">
        <f>+Tabla2[[#This Row],[Stock Inventario]]*Tabla2[[#This Row],[Coste LÃ­nea]]</f>
        <v>0</v>
      </c>
      <c r="M4609" s="24">
        <f>+Tabla2[[#This Row],[Variación Stock]]*Tabla2[[#This Row],[Coste LÃ­nea]]</f>
        <v>0</v>
      </c>
      <c r="N4609" s="22" t="str">
        <f>+IF(Tabla2[[#This Row],[Variación Stock]]&gt;0,"Sobrante",IF(Tabla2[[#This Row],[Variación Stock]]&lt;0,"Faltante","Sin novedad"))</f>
        <v>Sobrante</v>
      </c>
    </row>
    <row r="4610" spans="1:14" x14ac:dyDescent="0.25">
      <c r="A4610" s="11">
        <v>46044</v>
      </c>
      <c r="B4610" s="5" t="s">
        <v>382</v>
      </c>
      <c r="C4610" s="3" t="s">
        <v>284</v>
      </c>
      <c r="D4610" s="5" t="s">
        <v>114</v>
      </c>
      <c r="E4610" s="5" t="s">
        <v>112</v>
      </c>
      <c r="F4610" s="6" t="s">
        <v>110</v>
      </c>
      <c r="G4610" s="4" t="s">
        <v>2</v>
      </c>
      <c r="H4610" s="25">
        <v>0</v>
      </c>
      <c r="I4610" s="8">
        <v>9</v>
      </c>
      <c r="J4610" s="9">
        <v>0</v>
      </c>
      <c r="K4610" s="7">
        <v>-9</v>
      </c>
      <c r="L4610" s="24">
        <f>+Tabla2[[#This Row],[Stock Inventario]]*Tabla2[[#This Row],[Coste LÃ­nea]]</f>
        <v>0</v>
      </c>
      <c r="M4610" s="24">
        <f>+Tabla2[[#This Row],[Variación Stock]]*Tabla2[[#This Row],[Coste LÃ­nea]]</f>
        <v>0</v>
      </c>
      <c r="N4610" s="22" t="str">
        <f>+IF(Tabla2[[#This Row],[Variación Stock]]&gt;0,"Sobrante",IF(Tabla2[[#This Row],[Variación Stock]]&lt;0,"Faltante","Sin novedad"))</f>
        <v>Faltante</v>
      </c>
    </row>
    <row r="4611" spans="1:14" x14ac:dyDescent="0.25">
      <c r="A4611" s="11">
        <v>46037</v>
      </c>
      <c r="B4611" s="5" t="s">
        <v>283</v>
      </c>
      <c r="C4611" s="3" t="s">
        <v>284</v>
      </c>
      <c r="D4611" s="5" t="s">
        <v>114</v>
      </c>
      <c r="E4611" s="5" t="s">
        <v>112</v>
      </c>
      <c r="F4611" s="6" t="s">
        <v>63</v>
      </c>
      <c r="G4611" s="4" t="s">
        <v>2</v>
      </c>
      <c r="H4611" s="25">
        <v>1395.83333333</v>
      </c>
      <c r="I4611" s="8">
        <v>20</v>
      </c>
      <c r="J4611" s="9">
        <v>20</v>
      </c>
      <c r="K4611" s="7">
        <v>0</v>
      </c>
      <c r="L4611" s="24">
        <f>+Tabla2[[#This Row],[Stock Inventario]]*Tabla2[[#This Row],[Coste LÃ­nea]]</f>
        <v>27916.666666599998</v>
      </c>
      <c r="M4611" s="24">
        <f>+Tabla2[[#This Row],[Variación Stock]]*Tabla2[[#This Row],[Coste LÃ­nea]]</f>
        <v>0</v>
      </c>
      <c r="N4611" s="22" t="str">
        <f>+IF(Tabla2[[#This Row],[Variación Stock]]&gt;0,"Sobrante",IF(Tabla2[[#This Row],[Variación Stock]]&lt;0,"Faltante","Sin novedad"))</f>
        <v>Sin novedad</v>
      </c>
    </row>
    <row r="4612" spans="1:14" x14ac:dyDescent="0.25">
      <c r="A4612" s="11">
        <v>46037</v>
      </c>
      <c r="B4612" s="5" t="s">
        <v>283</v>
      </c>
      <c r="C4612" s="3" t="s">
        <v>284</v>
      </c>
      <c r="D4612" s="5" t="s">
        <v>114</v>
      </c>
      <c r="E4612" s="5" t="s">
        <v>112</v>
      </c>
      <c r="F4612" s="6" t="s">
        <v>61</v>
      </c>
      <c r="G4612" s="4" t="s">
        <v>2</v>
      </c>
      <c r="H4612" s="25">
        <v>2119.75</v>
      </c>
      <c r="I4612" s="8">
        <v>78</v>
      </c>
      <c r="J4612" s="9">
        <v>90</v>
      </c>
      <c r="K4612" s="7">
        <v>12</v>
      </c>
      <c r="L4612" s="24">
        <f>+Tabla2[[#This Row],[Stock Inventario]]*Tabla2[[#This Row],[Coste LÃ­nea]]</f>
        <v>190777.5</v>
      </c>
      <c r="M4612" s="24">
        <f>+Tabla2[[#This Row],[Variación Stock]]*Tabla2[[#This Row],[Coste LÃ­nea]]</f>
        <v>25437</v>
      </c>
      <c r="N4612" s="22" t="str">
        <f>+IF(Tabla2[[#This Row],[Variación Stock]]&gt;0,"Sobrante",IF(Tabla2[[#This Row],[Variación Stock]]&lt;0,"Faltante","Sin novedad"))</f>
        <v>Sobrante</v>
      </c>
    </row>
    <row r="4613" spans="1:14" x14ac:dyDescent="0.25">
      <c r="A4613" s="11">
        <v>46037</v>
      </c>
      <c r="B4613" s="5" t="s">
        <v>283</v>
      </c>
      <c r="C4613" s="3" t="s">
        <v>284</v>
      </c>
      <c r="D4613" s="5" t="s">
        <v>114</v>
      </c>
      <c r="E4613" s="5" t="s">
        <v>112</v>
      </c>
      <c r="F4613" s="6" t="s">
        <v>67</v>
      </c>
      <c r="G4613" s="4" t="s">
        <v>2</v>
      </c>
      <c r="H4613" s="25">
        <v>4986.0833333299997</v>
      </c>
      <c r="I4613" s="8">
        <v>26.12</v>
      </c>
      <c r="J4613" s="9">
        <v>12</v>
      </c>
      <c r="K4613" s="7">
        <v>-14.12</v>
      </c>
      <c r="L4613" s="24">
        <f>+Tabla2[[#This Row],[Stock Inventario]]*Tabla2[[#This Row],[Coste LÃ­nea]]</f>
        <v>59832.999999959997</v>
      </c>
      <c r="M4613" s="24">
        <f>+Tabla2[[#This Row],[Variación Stock]]*Tabla2[[#This Row],[Coste LÃ­nea]]</f>
        <v>-70403.496666619598</v>
      </c>
      <c r="N4613" s="22" t="str">
        <f>+IF(Tabla2[[#This Row],[Variación Stock]]&gt;0,"Sobrante",IF(Tabla2[[#This Row],[Variación Stock]]&lt;0,"Faltante","Sin novedad"))</f>
        <v>Faltante</v>
      </c>
    </row>
    <row r="4614" spans="1:14" x14ac:dyDescent="0.25">
      <c r="A4614" s="11">
        <v>46044</v>
      </c>
      <c r="B4614" s="5" t="s">
        <v>382</v>
      </c>
      <c r="C4614" s="3" t="s">
        <v>284</v>
      </c>
      <c r="D4614" s="5" t="s">
        <v>114</v>
      </c>
      <c r="E4614" s="5" t="s">
        <v>112</v>
      </c>
      <c r="F4614" s="6" t="s">
        <v>67</v>
      </c>
      <c r="G4614" s="4" t="s">
        <v>2</v>
      </c>
      <c r="H4614" s="25">
        <v>4986.0833333299997</v>
      </c>
      <c r="I4614" s="8">
        <v>5.55</v>
      </c>
      <c r="J4614" s="9">
        <v>14</v>
      </c>
      <c r="K4614" s="7">
        <v>8.4499999999999993</v>
      </c>
      <c r="L4614" s="24">
        <f>+Tabla2[[#This Row],[Stock Inventario]]*Tabla2[[#This Row],[Coste LÃ­nea]]</f>
        <v>69805.166666620004</v>
      </c>
      <c r="M4614" s="24">
        <f>+Tabla2[[#This Row],[Variación Stock]]*Tabla2[[#This Row],[Coste LÃ­nea]]</f>
        <v>42132.404166638495</v>
      </c>
      <c r="N4614" s="22" t="str">
        <f>+IF(Tabla2[[#This Row],[Variación Stock]]&gt;0,"Sobrante",IF(Tabla2[[#This Row],[Variación Stock]]&lt;0,"Faltante","Sin novedad"))</f>
        <v>Sobrante</v>
      </c>
    </row>
    <row r="4615" spans="1:14" x14ac:dyDescent="0.25">
      <c r="A4615" s="11">
        <v>46037</v>
      </c>
      <c r="B4615" s="5" t="s">
        <v>283</v>
      </c>
      <c r="C4615" s="3" t="s">
        <v>284</v>
      </c>
      <c r="D4615" s="5" t="s">
        <v>114</v>
      </c>
      <c r="E4615" s="5" t="s">
        <v>112</v>
      </c>
      <c r="F4615" s="6" t="s">
        <v>68</v>
      </c>
      <c r="G4615" s="4" t="s">
        <v>2</v>
      </c>
      <c r="H4615" s="25">
        <v>4986.0833333299997</v>
      </c>
      <c r="I4615" s="8">
        <v>22</v>
      </c>
      <c r="J4615" s="9">
        <v>22</v>
      </c>
      <c r="K4615" s="7">
        <v>0</v>
      </c>
      <c r="L4615" s="24">
        <f>+Tabla2[[#This Row],[Stock Inventario]]*Tabla2[[#This Row],[Coste LÃ­nea]]</f>
        <v>109693.83333326</v>
      </c>
      <c r="M4615" s="24">
        <f>+Tabla2[[#This Row],[Variación Stock]]*Tabla2[[#This Row],[Coste LÃ­nea]]</f>
        <v>0</v>
      </c>
      <c r="N4615" s="22" t="str">
        <f>+IF(Tabla2[[#This Row],[Variación Stock]]&gt;0,"Sobrante",IF(Tabla2[[#This Row],[Variación Stock]]&lt;0,"Faltante","Sin novedad"))</f>
        <v>Sin novedad</v>
      </c>
    </row>
    <row r="4616" spans="1:14" x14ac:dyDescent="0.25">
      <c r="A4616" s="11">
        <v>46044</v>
      </c>
      <c r="B4616" s="5" t="s">
        <v>382</v>
      </c>
      <c r="C4616" s="3" t="s">
        <v>284</v>
      </c>
      <c r="D4616" s="5" t="s">
        <v>111</v>
      </c>
      <c r="E4616" s="5" t="s">
        <v>112</v>
      </c>
      <c r="F4616" s="6" t="s">
        <v>15</v>
      </c>
      <c r="G4616" s="4" t="s">
        <v>0</v>
      </c>
      <c r="H4616" s="25">
        <v>11819.5</v>
      </c>
      <c r="I4616" s="8">
        <v>24</v>
      </c>
      <c r="J4616" s="9">
        <v>29</v>
      </c>
      <c r="K4616" s="7">
        <v>5</v>
      </c>
      <c r="L4616" s="24">
        <f>+Tabla2[[#This Row],[Stock Inventario]]*Tabla2[[#This Row],[Coste LÃ­nea]]</f>
        <v>342765.5</v>
      </c>
      <c r="M4616" s="24">
        <f>+Tabla2[[#This Row],[Variación Stock]]*Tabla2[[#This Row],[Coste LÃ­nea]]</f>
        <v>59097.5</v>
      </c>
      <c r="N4616" s="22" t="str">
        <f>+IF(Tabla2[[#This Row],[Variación Stock]]&gt;0,"Sobrante",IF(Tabla2[[#This Row],[Variación Stock]]&lt;0,"Faltante","Sin novedad"))</f>
        <v>Sobrante</v>
      </c>
    </row>
    <row r="4617" spans="1:14" x14ac:dyDescent="0.25">
      <c r="A4617" s="11">
        <v>46037</v>
      </c>
      <c r="B4617" s="5" t="s">
        <v>283</v>
      </c>
      <c r="C4617" s="3" t="s">
        <v>284</v>
      </c>
      <c r="D4617" s="5" t="s">
        <v>114</v>
      </c>
      <c r="E4617" s="5" t="s">
        <v>112</v>
      </c>
      <c r="F4617" s="6" t="s">
        <v>148</v>
      </c>
      <c r="G4617" s="4" t="s">
        <v>2</v>
      </c>
      <c r="H4617" s="25">
        <v>0</v>
      </c>
      <c r="I4617" s="8">
        <v>0</v>
      </c>
      <c r="J4617" s="9">
        <v>0</v>
      </c>
      <c r="K4617" s="7">
        <v>0</v>
      </c>
      <c r="L4617" s="24">
        <f>+Tabla2[[#This Row],[Stock Inventario]]*Tabla2[[#This Row],[Coste LÃ­nea]]</f>
        <v>0</v>
      </c>
      <c r="M4617" s="24">
        <f>+Tabla2[[#This Row],[Variación Stock]]*Tabla2[[#This Row],[Coste LÃ­nea]]</f>
        <v>0</v>
      </c>
      <c r="N4617" s="22" t="str">
        <f>+IF(Tabla2[[#This Row],[Variación Stock]]&gt;0,"Sobrante",IF(Tabla2[[#This Row],[Variación Stock]]&lt;0,"Faltante","Sin novedad"))</f>
        <v>Sin novedad</v>
      </c>
    </row>
    <row r="4618" spans="1:14" x14ac:dyDescent="0.25">
      <c r="A4618" s="11">
        <v>46037</v>
      </c>
      <c r="B4618" s="5" t="s">
        <v>283</v>
      </c>
      <c r="C4618" s="3" t="s">
        <v>284</v>
      </c>
      <c r="D4618" s="5" t="s">
        <v>111</v>
      </c>
      <c r="E4618" s="5" t="s">
        <v>112</v>
      </c>
      <c r="F4618" s="6" t="s">
        <v>21</v>
      </c>
      <c r="G4618" s="4" t="s">
        <v>0</v>
      </c>
      <c r="H4618" s="25">
        <v>15769.5</v>
      </c>
      <c r="I4618" s="8">
        <v>24</v>
      </c>
      <c r="J4618" s="9">
        <v>22</v>
      </c>
      <c r="K4618" s="7">
        <v>-2</v>
      </c>
      <c r="L4618" s="24">
        <f>+Tabla2[[#This Row],[Stock Inventario]]*Tabla2[[#This Row],[Coste LÃ­nea]]</f>
        <v>346929</v>
      </c>
      <c r="M4618" s="24">
        <f>+Tabla2[[#This Row],[Variación Stock]]*Tabla2[[#This Row],[Coste LÃ­nea]]</f>
        <v>-31539</v>
      </c>
      <c r="N4618" s="22" t="str">
        <f>+IF(Tabla2[[#This Row],[Variación Stock]]&gt;0,"Sobrante",IF(Tabla2[[#This Row],[Variación Stock]]&lt;0,"Faltante","Sin novedad"))</f>
        <v>Faltante</v>
      </c>
    </row>
    <row r="4619" spans="1:14" x14ac:dyDescent="0.25">
      <c r="A4619" s="11">
        <v>46037</v>
      </c>
      <c r="B4619" s="5" t="s">
        <v>283</v>
      </c>
      <c r="C4619" s="3" t="s">
        <v>284</v>
      </c>
      <c r="D4619" s="5" t="s">
        <v>114</v>
      </c>
      <c r="E4619" s="5" t="s">
        <v>112</v>
      </c>
      <c r="F4619" s="6" t="s">
        <v>141</v>
      </c>
      <c r="G4619" s="4" t="s">
        <v>2</v>
      </c>
      <c r="H4619" s="25">
        <v>2120.83</v>
      </c>
      <c r="I4619" s="8">
        <v>0</v>
      </c>
      <c r="J4619" s="9">
        <v>0</v>
      </c>
      <c r="K4619" s="7">
        <v>0</v>
      </c>
      <c r="L4619" s="24">
        <f>+Tabla2[[#This Row],[Stock Inventario]]*Tabla2[[#This Row],[Coste LÃ­nea]]</f>
        <v>0</v>
      </c>
      <c r="M4619" s="24">
        <f>+Tabla2[[#This Row],[Variación Stock]]*Tabla2[[#This Row],[Coste LÃ­nea]]</f>
        <v>0</v>
      </c>
      <c r="N4619" s="22" t="str">
        <f>+IF(Tabla2[[#This Row],[Variación Stock]]&gt;0,"Sobrante",IF(Tabla2[[#This Row],[Variación Stock]]&lt;0,"Faltante","Sin novedad"))</f>
        <v>Sin novedad</v>
      </c>
    </row>
    <row r="4620" spans="1:14" x14ac:dyDescent="0.25">
      <c r="A4620" s="11">
        <v>46037</v>
      </c>
      <c r="B4620" s="5" t="s">
        <v>283</v>
      </c>
      <c r="C4620" s="3" t="s">
        <v>284</v>
      </c>
      <c r="D4620" s="5" t="s">
        <v>114</v>
      </c>
      <c r="E4620" s="5" t="s">
        <v>112</v>
      </c>
      <c r="F4620" s="6" t="s">
        <v>289</v>
      </c>
      <c r="G4620" s="4" t="s">
        <v>2</v>
      </c>
      <c r="H4620" s="25">
        <v>6387.35</v>
      </c>
      <c r="I4620" s="8">
        <v>3</v>
      </c>
      <c r="J4620" s="9">
        <v>3</v>
      </c>
      <c r="K4620" s="7">
        <v>0</v>
      </c>
      <c r="L4620" s="24">
        <f>+Tabla2[[#This Row],[Stock Inventario]]*Tabla2[[#This Row],[Coste LÃ­nea]]</f>
        <v>19162.050000000003</v>
      </c>
      <c r="M4620" s="24">
        <f>+Tabla2[[#This Row],[Variación Stock]]*Tabla2[[#This Row],[Coste LÃ­nea]]</f>
        <v>0</v>
      </c>
      <c r="N4620" s="22" t="str">
        <f>+IF(Tabla2[[#This Row],[Variación Stock]]&gt;0,"Sobrante",IF(Tabla2[[#This Row],[Variación Stock]]&lt;0,"Faltante","Sin novedad"))</f>
        <v>Sin novedad</v>
      </c>
    </row>
    <row r="4621" spans="1:14" x14ac:dyDescent="0.25">
      <c r="A4621" s="11">
        <v>46044</v>
      </c>
      <c r="B4621" s="5" t="s">
        <v>382</v>
      </c>
      <c r="C4621" s="3" t="s">
        <v>284</v>
      </c>
      <c r="D4621" s="5" t="s">
        <v>111</v>
      </c>
      <c r="E4621" s="5" t="s">
        <v>112</v>
      </c>
      <c r="F4621" s="6" t="s">
        <v>21</v>
      </c>
      <c r="G4621" s="4" t="s">
        <v>0</v>
      </c>
      <c r="H4621" s="25">
        <v>17377</v>
      </c>
      <c r="I4621" s="8">
        <v>20</v>
      </c>
      <c r="J4621" s="9">
        <v>23</v>
      </c>
      <c r="K4621" s="7">
        <v>3</v>
      </c>
      <c r="L4621" s="24">
        <f>+Tabla2[[#This Row],[Stock Inventario]]*Tabla2[[#This Row],[Coste LÃ­nea]]</f>
        <v>399671</v>
      </c>
      <c r="M4621" s="24">
        <f>+Tabla2[[#This Row],[Variación Stock]]*Tabla2[[#This Row],[Coste LÃ­nea]]</f>
        <v>52131</v>
      </c>
      <c r="N4621" s="22" t="str">
        <f>+IF(Tabla2[[#This Row],[Variación Stock]]&gt;0,"Sobrante",IF(Tabla2[[#This Row],[Variación Stock]]&lt;0,"Faltante","Sin novedad"))</f>
        <v>Sobrante</v>
      </c>
    </row>
    <row r="4622" spans="1:14" x14ac:dyDescent="0.25">
      <c r="A4622" s="11">
        <v>46037</v>
      </c>
      <c r="B4622" s="5" t="s">
        <v>283</v>
      </c>
      <c r="C4622" s="3" t="s">
        <v>284</v>
      </c>
      <c r="D4622" s="5" t="s">
        <v>115</v>
      </c>
      <c r="E4622" s="5" t="s">
        <v>112</v>
      </c>
      <c r="F4622" s="6" t="s">
        <v>290</v>
      </c>
      <c r="G4622" s="4" t="s">
        <v>2</v>
      </c>
      <c r="H4622" s="25">
        <v>11200</v>
      </c>
      <c r="I4622" s="8">
        <v>7</v>
      </c>
      <c r="J4622" s="9">
        <v>7</v>
      </c>
      <c r="K4622" s="7">
        <v>0</v>
      </c>
      <c r="L4622" s="24">
        <f>+Tabla2[[#This Row],[Stock Inventario]]*Tabla2[[#This Row],[Coste LÃ­nea]]</f>
        <v>78400</v>
      </c>
      <c r="M4622" s="24">
        <f>+Tabla2[[#This Row],[Variación Stock]]*Tabla2[[#This Row],[Coste LÃ­nea]]</f>
        <v>0</v>
      </c>
      <c r="N4622" s="22" t="str">
        <f>+IF(Tabla2[[#This Row],[Variación Stock]]&gt;0,"Sobrante",IF(Tabla2[[#This Row],[Variación Stock]]&lt;0,"Faltante","Sin novedad"))</f>
        <v>Sin novedad</v>
      </c>
    </row>
    <row r="4623" spans="1:14" x14ac:dyDescent="0.25">
      <c r="A4623" s="11">
        <v>46037</v>
      </c>
      <c r="B4623" s="5" t="s">
        <v>283</v>
      </c>
      <c r="C4623" s="3" t="s">
        <v>284</v>
      </c>
      <c r="D4623" s="5" t="s">
        <v>111</v>
      </c>
      <c r="E4623" s="5" t="s">
        <v>112</v>
      </c>
      <c r="F4623" s="6" t="s">
        <v>22</v>
      </c>
      <c r="G4623" s="4" t="s">
        <v>0</v>
      </c>
      <c r="H4623" s="25">
        <v>13020.86363636</v>
      </c>
      <c r="I4623" s="8">
        <v>34</v>
      </c>
      <c r="J4623" s="9">
        <v>36</v>
      </c>
      <c r="K4623" s="7">
        <v>2</v>
      </c>
      <c r="L4623" s="24">
        <f>+Tabla2[[#This Row],[Stock Inventario]]*Tabla2[[#This Row],[Coste LÃ­nea]]</f>
        <v>468751.09090895997</v>
      </c>
      <c r="M4623" s="24">
        <f>+Tabla2[[#This Row],[Variación Stock]]*Tabla2[[#This Row],[Coste LÃ­nea]]</f>
        <v>26041.72727272</v>
      </c>
      <c r="N4623" s="22" t="str">
        <f>+IF(Tabla2[[#This Row],[Variación Stock]]&gt;0,"Sobrante",IF(Tabla2[[#This Row],[Variación Stock]]&lt;0,"Faltante","Sin novedad"))</f>
        <v>Sobrante</v>
      </c>
    </row>
    <row r="4624" spans="1:14" x14ac:dyDescent="0.25">
      <c r="A4624" s="11">
        <v>46037</v>
      </c>
      <c r="B4624" s="5" t="s">
        <v>283</v>
      </c>
      <c r="C4624" s="3" t="s">
        <v>284</v>
      </c>
      <c r="D4624" s="5" t="s">
        <v>115</v>
      </c>
      <c r="E4624" s="5" t="s">
        <v>112</v>
      </c>
      <c r="F4624" s="6" t="s">
        <v>74</v>
      </c>
      <c r="G4624" s="4" t="s">
        <v>2</v>
      </c>
      <c r="H4624" s="25">
        <v>3736.1666666699998</v>
      </c>
      <c r="I4624" s="8">
        <v>3</v>
      </c>
      <c r="J4624" s="9">
        <v>3</v>
      </c>
      <c r="K4624" s="7">
        <v>0</v>
      </c>
      <c r="L4624" s="24">
        <f>+Tabla2[[#This Row],[Stock Inventario]]*Tabla2[[#This Row],[Coste LÃ­nea]]</f>
        <v>11208.500000009999</v>
      </c>
      <c r="M4624" s="24">
        <f>+Tabla2[[#This Row],[Variación Stock]]*Tabla2[[#This Row],[Coste LÃ­nea]]</f>
        <v>0</v>
      </c>
      <c r="N4624" s="22" t="str">
        <f>+IF(Tabla2[[#This Row],[Variación Stock]]&gt;0,"Sobrante",IF(Tabla2[[#This Row],[Variación Stock]]&lt;0,"Faltante","Sin novedad"))</f>
        <v>Sin novedad</v>
      </c>
    </row>
    <row r="4625" spans="1:14" x14ac:dyDescent="0.25">
      <c r="A4625" s="11">
        <v>46044</v>
      </c>
      <c r="B4625" s="5" t="s">
        <v>382</v>
      </c>
      <c r="C4625" s="3" t="s">
        <v>284</v>
      </c>
      <c r="D4625" s="5" t="s">
        <v>111</v>
      </c>
      <c r="E4625" s="5" t="s">
        <v>112</v>
      </c>
      <c r="F4625" s="6" t="s">
        <v>364</v>
      </c>
      <c r="G4625" s="4" t="s">
        <v>0</v>
      </c>
      <c r="H4625" s="25">
        <v>10178.90909091</v>
      </c>
      <c r="I4625" s="8">
        <v>35</v>
      </c>
      <c r="J4625" s="9">
        <v>36</v>
      </c>
      <c r="K4625" s="7">
        <v>1</v>
      </c>
      <c r="L4625" s="24">
        <f>+Tabla2[[#This Row],[Stock Inventario]]*Tabla2[[#This Row],[Coste LÃ­nea]]</f>
        <v>366440.72727276001</v>
      </c>
      <c r="M4625" s="24">
        <f>+Tabla2[[#This Row],[Variación Stock]]*Tabla2[[#This Row],[Coste LÃ­nea]]</f>
        <v>10178.90909091</v>
      </c>
      <c r="N4625" s="22" t="str">
        <f>+IF(Tabla2[[#This Row],[Variación Stock]]&gt;0,"Sobrante",IF(Tabla2[[#This Row],[Variación Stock]]&lt;0,"Faltante","Sin novedad"))</f>
        <v>Sobrante</v>
      </c>
    </row>
    <row r="4626" spans="1:14" x14ac:dyDescent="0.25">
      <c r="A4626" s="11">
        <v>46037</v>
      </c>
      <c r="B4626" s="5" t="s">
        <v>283</v>
      </c>
      <c r="C4626" s="3" t="s">
        <v>284</v>
      </c>
      <c r="D4626" s="5" t="s">
        <v>111</v>
      </c>
      <c r="E4626" s="5" t="s">
        <v>112</v>
      </c>
      <c r="F4626" s="6" t="s">
        <v>126</v>
      </c>
      <c r="G4626" s="4" t="s">
        <v>0</v>
      </c>
      <c r="H4626" s="25">
        <v>12698.95454545</v>
      </c>
      <c r="I4626" s="8">
        <v>36</v>
      </c>
      <c r="J4626" s="9">
        <v>37</v>
      </c>
      <c r="K4626" s="7">
        <v>1</v>
      </c>
      <c r="L4626" s="24">
        <f>+Tabla2[[#This Row],[Stock Inventario]]*Tabla2[[#This Row],[Coste LÃ­nea]]</f>
        <v>469861.31818165001</v>
      </c>
      <c r="M4626" s="24">
        <f>+Tabla2[[#This Row],[Variación Stock]]*Tabla2[[#This Row],[Coste LÃ­nea]]</f>
        <v>12698.95454545</v>
      </c>
      <c r="N4626" s="22" t="str">
        <f>+IF(Tabla2[[#This Row],[Variación Stock]]&gt;0,"Sobrante",IF(Tabla2[[#This Row],[Variación Stock]]&lt;0,"Faltante","Sin novedad"))</f>
        <v>Sobrante</v>
      </c>
    </row>
    <row r="4627" spans="1:14" x14ac:dyDescent="0.25">
      <c r="A4627" s="11">
        <v>46037</v>
      </c>
      <c r="B4627" s="5" t="s">
        <v>283</v>
      </c>
      <c r="C4627" s="3" t="s">
        <v>284</v>
      </c>
      <c r="D4627" s="5" t="s">
        <v>115</v>
      </c>
      <c r="E4627" s="5" t="s">
        <v>112</v>
      </c>
      <c r="F4627" s="6" t="s">
        <v>76</v>
      </c>
      <c r="G4627" s="4" t="s">
        <v>2</v>
      </c>
      <c r="H4627" s="25">
        <v>3567.4583333300002</v>
      </c>
      <c r="I4627" s="8">
        <v>18</v>
      </c>
      <c r="J4627" s="9">
        <v>18</v>
      </c>
      <c r="K4627" s="7">
        <v>0</v>
      </c>
      <c r="L4627" s="24">
        <f>+Tabla2[[#This Row],[Stock Inventario]]*Tabla2[[#This Row],[Coste LÃ­nea]]</f>
        <v>64214.249999940002</v>
      </c>
      <c r="M4627" s="24">
        <f>+Tabla2[[#This Row],[Variación Stock]]*Tabla2[[#This Row],[Coste LÃ­nea]]</f>
        <v>0</v>
      </c>
      <c r="N4627" s="22" t="str">
        <f>+IF(Tabla2[[#This Row],[Variación Stock]]&gt;0,"Sobrante",IF(Tabla2[[#This Row],[Variación Stock]]&lt;0,"Faltante","Sin novedad"))</f>
        <v>Sin novedad</v>
      </c>
    </row>
    <row r="4628" spans="1:14" x14ac:dyDescent="0.25">
      <c r="A4628" s="11">
        <v>46037</v>
      </c>
      <c r="B4628" s="5" t="s">
        <v>283</v>
      </c>
      <c r="C4628" s="3" t="s">
        <v>284</v>
      </c>
      <c r="D4628" s="5" t="s">
        <v>115</v>
      </c>
      <c r="E4628" s="5" t="s">
        <v>112</v>
      </c>
      <c r="F4628" s="6" t="s">
        <v>152</v>
      </c>
      <c r="G4628" s="4" t="s">
        <v>2</v>
      </c>
      <c r="H4628" s="25">
        <v>3099.6666666699998</v>
      </c>
      <c r="I4628" s="8">
        <v>0</v>
      </c>
      <c r="J4628" s="9">
        <v>0</v>
      </c>
      <c r="K4628" s="7">
        <v>0</v>
      </c>
      <c r="L4628" s="24">
        <f>+Tabla2[[#This Row],[Stock Inventario]]*Tabla2[[#This Row],[Coste LÃ­nea]]</f>
        <v>0</v>
      </c>
      <c r="M4628" s="24">
        <f>+Tabla2[[#This Row],[Variación Stock]]*Tabla2[[#This Row],[Coste LÃ­nea]]</f>
        <v>0</v>
      </c>
      <c r="N4628" s="22" t="str">
        <f>+IF(Tabla2[[#This Row],[Variación Stock]]&gt;0,"Sobrante",IF(Tabla2[[#This Row],[Variación Stock]]&lt;0,"Faltante","Sin novedad"))</f>
        <v>Sin novedad</v>
      </c>
    </row>
    <row r="4629" spans="1:14" x14ac:dyDescent="0.25">
      <c r="A4629" s="11">
        <v>46037</v>
      </c>
      <c r="B4629" s="5" t="s">
        <v>283</v>
      </c>
      <c r="C4629" s="3" t="s">
        <v>284</v>
      </c>
      <c r="D4629" s="5" t="s">
        <v>115</v>
      </c>
      <c r="E4629" s="5" t="s">
        <v>112</v>
      </c>
      <c r="F4629" s="6" t="s">
        <v>71</v>
      </c>
      <c r="G4629" s="4" t="s">
        <v>2</v>
      </c>
      <c r="H4629" s="25">
        <v>2418.998</v>
      </c>
      <c r="I4629" s="8">
        <v>18</v>
      </c>
      <c r="J4629" s="9">
        <v>18</v>
      </c>
      <c r="K4629" s="7">
        <v>0</v>
      </c>
      <c r="L4629" s="24">
        <f>+Tabla2[[#This Row],[Stock Inventario]]*Tabla2[[#This Row],[Coste LÃ­nea]]</f>
        <v>43541.964</v>
      </c>
      <c r="M4629" s="24">
        <f>+Tabla2[[#This Row],[Variación Stock]]*Tabla2[[#This Row],[Coste LÃ­nea]]</f>
        <v>0</v>
      </c>
      <c r="N4629" s="22" t="str">
        <f>+IF(Tabla2[[#This Row],[Variación Stock]]&gt;0,"Sobrante",IF(Tabla2[[#This Row],[Variación Stock]]&lt;0,"Faltante","Sin novedad"))</f>
        <v>Sin novedad</v>
      </c>
    </row>
    <row r="4630" spans="1:14" hidden="1" x14ac:dyDescent="0.25">
      <c r="A4630" s="11">
        <v>46044</v>
      </c>
      <c r="B4630" s="5" t="s">
        <v>382</v>
      </c>
      <c r="C4630" s="3" t="s">
        <v>284</v>
      </c>
      <c r="D4630" s="5" t="s">
        <v>119</v>
      </c>
      <c r="E4630" s="5" t="s">
        <v>117</v>
      </c>
      <c r="F4630" s="6" t="s">
        <v>8</v>
      </c>
      <c r="G4630" s="4" t="s">
        <v>1</v>
      </c>
      <c r="H4630" s="25">
        <v>51.00376412</v>
      </c>
      <c r="I4630" s="8">
        <v>5642.384</v>
      </c>
      <c r="J4630" s="9">
        <v>3400</v>
      </c>
      <c r="K4630" s="7">
        <v>-2242.3839670000002</v>
      </c>
      <c r="L4630" s="24">
        <f>+Tabla2[[#This Row],[Stock Inventario]]*Tabla2[[#This Row],[Coste LÃ­nea]]</f>
        <v>173412.79800800001</v>
      </c>
      <c r="M4630" s="24">
        <f>+Tabla2[[#This Row],[Variación Stock]]*Tabla2[[#This Row],[Coste LÃ­nea]]</f>
        <v>-114370.02291933788</v>
      </c>
      <c r="N4630" s="22" t="str">
        <f>+IF(Tabla2[[#This Row],[Variación Stock]]&gt;0,"Sobrante",IF(Tabla2[[#This Row],[Variación Stock]]&lt;0,"Faltante","Sin novedad"))</f>
        <v>Faltante</v>
      </c>
    </row>
    <row r="4631" spans="1:14" x14ac:dyDescent="0.25">
      <c r="A4631" s="11">
        <v>46037</v>
      </c>
      <c r="B4631" s="5" t="s">
        <v>283</v>
      </c>
      <c r="C4631" s="3" t="s">
        <v>284</v>
      </c>
      <c r="D4631" s="5" t="s">
        <v>115</v>
      </c>
      <c r="E4631" s="5" t="s">
        <v>112</v>
      </c>
      <c r="F4631" s="6" t="s">
        <v>153</v>
      </c>
      <c r="G4631" s="4" t="s">
        <v>2</v>
      </c>
      <c r="H4631" s="25">
        <v>3200</v>
      </c>
      <c r="I4631" s="8">
        <v>0</v>
      </c>
      <c r="J4631" s="9">
        <v>0</v>
      </c>
      <c r="K4631" s="7">
        <v>0</v>
      </c>
      <c r="L4631" s="24">
        <f>+Tabla2[[#This Row],[Stock Inventario]]*Tabla2[[#This Row],[Coste LÃ­nea]]</f>
        <v>0</v>
      </c>
      <c r="M4631" s="24">
        <f>+Tabla2[[#This Row],[Variación Stock]]*Tabla2[[#This Row],[Coste LÃ­nea]]</f>
        <v>0</v>
      </c>
      <c r="N4631" s="22" t="str">
        <f>+IF(Tabla2[[#This Row],[Variación Stock]]&gt;0,"Sobrante",IF(Tabla2[[#This Row],[Variación Stock]]&lt;0,"Faltante","Sin novedad"))</f>
        <v>Sin novedad</v>
      </c>
    </row>
    <row r="4632" spans="1:14" x14ac:dyDescent="0.25">
      <c r="A4632" s="11">
        <v>46037</v>
      </c>
      <c r="B4632" s="5" t="s">
        <v>283</v>
      </c>
      <c r="C4632" s="3" t="s">
        <v>284</v>
      </c>
      <c r="D4632" s="5" t="s">
        <v>115</v>
      </c>
      <c r="E4632" s="5" t="s">
        <v>112</v>
      </c>
      <c r="F4632" s="6" t="s">
        <v>77</v>
      </c>
      <c r="G4632" s="4" t="s">
        <v>2</v>
      </c>
      <c r="H4632" s="25">
        <v>3299.9991666699998</v>
      </c>
      <c r="I4632" s="8">
        <v>0</v>
      </c>
      <c r="J4632" s="9">
        <v>0</v>
      </c>
      <c r="K4632" s="7">
        <v>0</v>
      </c>
      <c r="L4632" s="24">
        <f>+Tabla2[[#This Row],[Stock Inventario]]*Tabla2[[#This Row],[Coste LÃ­nea]]</f>
        <v>0</v>
      </c>
      <c r="M4632" s="24">
        <f>+Tabla2[[#This Row],[Variación Stock]]*Tabla2[[#This Row],[Coste LÃ­nea]]</f>
        <v>0</v>
      </c>
      <c r="N4632" s="22" t="str">
        <f>+IF(Tabla2[[#This Row],[Variación Stock]]&gt;0,"Sobrante",IF(Tabla2[[#This Row],[Variación Stock]]&lt;0,"Faltante","Sin novedad"))</f>
        <v>Sin novedad</v>
      </c>
    </row>
    <row r="4633" spans="1:14" x14ac:dyDescent="0.25">
      <c r="A4633" s="11">
        <v>46037</v>
      </c>
      <c r="B4633" s="5" t="s">
        <v>283</v>
      </c>
      <c r="C4633" s="3" t="s">
        <v>284</v>
      </c>
      <c r="D4633" s="5" t="s">
        <v>115</v>
      </c>
      <c r="E4633" s="5" t="s">
        <v>112</v>
      </c>
      <c r="F4633" s="6" t="s">
        <v>78</v>
      </c>
      <c r="G4633" s="4" t="s">
        <v>2</v>
      </c>
      <c r="H4633" s="25">
        <v>3261.8333333300002</v>
      </c>
      <c r="I4633" s="8">
        <v>32</v>
      </c>
      <c r="J4633" s="9">
        <v>32</v>
      </c>
      <c r="K4633" s="7">
        <v>0</v>
      </c>
      <c r="L4633" s="24">
        <f>+Tabla2[[#This Row],[Stock Inventario]]*Tabla2[[#This Row],[Coste LÃ­nea]]</f>
        <v>104378.66666656001</v>
      </c>
      <c r="M4633" s="24">
        <f>+Tabla2[[#This Row],[Variación Stock]]*Tabla2[[#This Row],[Coste LÃ­nea]]</f>
        <v>0</v>
      </c>
      <c r="N4633" s="22" t="str">
        <f>+IF(Tabla2[[#This Row],[Variación Stock]]&gt;0,"Sobrante",IF(Tabla2[[#This Row],[Variación Stock]]&lt;0,"Faltante","Sin novedad"))</f>
        <v>Sin novedad</v>
      </c>
    </row>
    <row r="4634" spans="1:14" hidden="1" x14ac:dyDescent="0.25">
      <c r="A4634" s="11">
        <v>46037</v>
      </c>
      <c r="B4634" s="5" t="s">
        <v>283</v>
      </c>
      <c r="C4634" s="3" t="s">
        <v>284</v>
      </c>
      <c r="D4634" s="5" t="s">
        <v>119</v>
      </c>
      <c r="E4634" s="5" t="s">
        <v>117</v>
      </c>
      <c r="F4634" s="6" t="s">
        <v>9</v>
      </c>
      <c r="G4634" s="4" t="s">
        <v>2</v>
      </c>
      <c r="H4634" s="25">
        <v>485.71428571000001</v>
      </c>
      <c r="I4634" s="8">
        <v>1807</v>
      </c>
      <c r="J4634" s="9">
        <v>1930</v>
      </c>
      <c r="K4634" s="7">
        <v>123</v>
      </c>
      <c r="L4634" s="24">
        <f>+Tabla2[[#This Row],[Stock Inventario]]*Tabla2[[#This Row],[Coste LÃ­nea]]</f>
        <v>937428.57142030005</v>
      </c>
      <c r="M4634" s="24">
        <f>+Tabla2[[#This Row],[Variación Stock]]*Tabla2[[#This Row],[Coste LÃ­nea]]</f>
        <v>59742.857142330002</v>
      </c>
      <c r="N4634" s="22" t="str">
        <f>+IF(Tabla2[[#This Row],[Variación Stock]]&gt;0,"Sobrante",IF(Tabla2[[#This Row],[Variación Stock]]&lt;0,"Faltante","Sin novedad"))</f>
        <v>Sobrante</v>
      </c>
    </row>
    <row r="4635" spans="1:14" hidden="1" x14ac:dyDescent="0.25">
      <c r="A4635" s="11">
        <v>46037</v>
      </c>
      <c r="B4635" s="5" t="s">
        <v>283</v>
      </c>
      <c r="C4635" s="3" t="s">
        <v>284</v>
      </c>
      <c r="D4635" s="5" t="s">
        <v>116</v>
      </c>
      <c r="E4635" s="5" t="s">
        <v>117</v>
      </c>
      <c r="F4635" s="6" t="s">
        <v>6</v>
      </c>
      <c r="G4635" s="4" t="s">
        <v>2</v>
      </c>
      <c r="H4635" s="25">
        <v>8800</v>
      </c>
      <c r="I4635" s="8">
        <v>40.5</v>
      </c>
      <c r="J4635" s="9">
        <v>39</v>
      </c>
      <c r="K4635" s="15">
        <v>-1.5</v>
      </c>
      <c r="L4635" s="24">
        <f>+Tabla2[[#This Row],[Stock Inventario]]*Tabla2[[#This Row],[Coste LÃ­nea]]</f>
        <v>343200</v>
      </c>
      <c r="M4635" s="24">
        <f>+Tabla2[[#This Row],[Variación Stock]]*Tabla2[[#This Row],[Coste LÃ­nea]]</f>
        <v>-13200</v>
      </c>
      <c r="N4635" s="22" t="str">
        <f>+IF(Tabla2[[#This Row],[Variación Stock]]&gt;0,"Sobrante",IF(Tabla2[[#This Row],[Variación Stock]]&lt;0,"Faltante","Sin novedad"))</f>
        <v>Faltante</v>
      </c>
    </row>
    <row r="4636" spans="1:14" hidden="1" x14ac:dyDescent="0.25">
      <c r="A4636" s="11">
        <v>46044</v>
      </c>
      <c r="B4636" s="5" t="s">
        <v>382</v>
      </c>
      <c r="C4636" s="3" t="s">
        <v>284</v>
      </c>
      <c r="D4636" s="5" t="s">
        <v>116</v>
      </c>
      <c r="E4636" s="5" t="s">
        <v>117</v>
      </c>
      <c r="F4636" s="6" t="s">
        <v>6</v>
      </c>
      <c r="G4636" s="4" t="s">
        <v>2</v>
      </c>
      <c r="H4636" s="25">
        <v>8800</v>
      </c>
      <c r="I4636" s="8">
        <v>54</v>
      </c>
      <c r="J4636" s="9">
        <v>55</v>
      </c>
      <c r="K4636" s="7">
        <v>1</v>
      </c>
      <c r="L4636" s="24">
        <f>+Tabla2[[#This Row],[Stock Inventario]]*Tabla2[[#This Row],[Coste LÃ­nea]]</f>
        <v>484000</v>
      </c>
      <c r="M4636" s="24">
        <f>+Tabla2[[#This Row],[Variación Stock]]*Tabla2[[#This Row],[Coste LÃ­nea]]</f>
        <v>8800</v>
      </c>
      <c r="N4636" s="22" t="str">
        <f>+IF(Tabla2[[#This Row],[Variación Stock]]&gt;0,"Sobrante",IF(Tabla2[[#This Row],[Variación Stock]]&lt;0,"Faltante","Sin novedad"))</f>
        <v>Sobrante</v>
      </c>
    </row>
    <row r="4637" spans="1:14" hidden="1" x14ac:dyDescent="0.25">
      <c r="A4637" s="11">
        <v>46037</v>
      </c>
      <c r="B4637" s="5" t="s">
        <v>283</v>
      </c>
      <c r="C4637" s="3" t="s">
        <v>284</v>
      </c>
      <c r="D4637" s="5" t="s">
        <v>119</v>
      </c>
      <c r="E4637" s="5" t="s">
        <v>117</v>
      </c>
      <c r="F4637" s="6" t="s">
        <v>8</v>
      </c>
      <c r="G4637" s="4" t="s">
        <v>1</v>
      </c>
      <c r="H4637" s="25">
        <v>50.691016779999998</v>
      </c>
      <c r="I4637" s="8">
        <v>17466.668399999999</v>
      </c>
      <c r="J4637" s="9">
        <v>13304</v>
      </c>
      <c r="K4637" s="15">
        <v>-4162.6684230000001</v>
      </c>
      <c r="L4637" s="24">
        <f>+Tabla2[[#This Row],[Stock Inventario]]*Tabla2[[#This Row],[Coste LÃ­nea]]</f>
        <v>674393.28724112001</v>
      </c>
      <c r="M4637" s="24">
        <f>+Tabla2[[#This Row],[Variación Stock]]*Tabla2[[#This Row],[Coste LÃ­nea]]</f>
        <v>-211009.89487986913</v>
      </c>
      <c r="N4637" s="22" t="str">
        <f>+IF(Tabla2[[#This Row],[Variación Stock]]&gt;0,"Sobrante",IF(Tabla2[[#This Row],[Variación Stock]]&lt;0,"Faltante","Sin novedad"))</f>
        <v>Faltante</v>
      </c>
    </row>
    <row r="4638" spans="1:14" hidden="1" x14ac:dyDescent="0.25">
      <c r="A4638" s="11">
        <v>46037</v>
      </c>
      <c r="B4638" s="5" t="s">
        <v>283</v>
      </c>
      <c r="C4638" s="3" t="s">
        <v>284</v>
      </c>
      <c r="D4638" s="5" t="s">
        <v>116</v>
      </c>
      <c r="E4638" s="5" t="s">
        <v>117</v>
      </c>
      <c r="F4638" s="6" t="s">
        <v>4</v>
      </c>
      <c r="G4638" s="4" t="s">
        <v>2</v>
      </c>
      <c r="H4638" s="25">
        <v>3120</v>
      </c>
      <c r="I4638" s="8">
        <v>6</v>
      </c>
      <c r="J4638" s="9">
        <v>7</v>
      </c>
      <c r="K4638" s="7">
        <v>1</v>
      </c>
      <c r="L4638" s="24">
        <f>+Tabla2[[#This Row],[Stock Inventario]]*Tabla2[[#This Row],[Coste LÃ­nea]]</f>
        <v>21840</v>
      </c>
      <c r="M4638" s="24">
        <f>+Tabla2[[#This Row],[Variación Stock]]*Tabla2[[#This Row],[Coste LÃ­nea]]</f>
        <v>3120</v>
      </c>
      <c r="N4638" s="22" t="str">
        <f>+IF(Tabla2[[#This Row],[Variación Stock]]&gt;0,"Sobrante",IF(Tabla2[[#This Row],[Variación Stock]]&lt;0,"Faltante","Sin novedad"))</f>
        <v>Sobrante</v>
      </c>
    </row>
    <row r="4639" spans="1:14" x14ac:dyDescent="0.25">
      <c r="A4639" s="11">
        <v>46037</v>
      </c>
      <c r="B4639" s="5" t="s">
        <v>283</v>
      </c>
      <c r="C4639" s="3" t="s">
        <v>284</v>
      </c>
      <c r="D4639" s="5" t="s">
        <v>118</v>
      </c>
      <c r="E4639" s="5" t="s">
        <v>112</v>
      </c>
      <c r="F4639" s="6" t="s">
        <v>292</v>
      </c>
      <c r="G4639" s="4" t="s">
        <v>81</v>
      </c>
      <c r="H4639" s="25">
        <v>0</v>
      </c>
      <c r="I4639" s="8">
        <v>0</v>
      </c>
      <c r="J4639" s="9">
        <v>0</v>
      </c>
      <c r="K4639" s="7">
        <v>0</v>
      </c>
      <c r="L4639" s="24">
        <f>+Tabla2[[#This Row],[Stock Inventario]]*Tabla2[[#This Row],[Coste LÃ­nea]]</f>
        <v>0</v>
      </c>
      <c r="M4639" s="24">
        <f>+Tabla2[[#This Row],[Variación Stock]]*Tabla2[[#This Row],[Coste LÃ­nea]]</f>
        <v>0</v>
      </c>
      <c r="N4639" s="22" t="str">
        <f>+IF(Tabla2[[#This Row],[Variación Stock]]&gt;0,"Sobrante",IF(Tabla2[[#This Row],[Variación Stock]]&lt;0,"Faltante","Sin novedad"))</f>
        <v>Sin novedad</v>
      </c>
    </row>
    <row r="4640" spans="1:14" x14ac:dyDescent="0.25">
      <c r="A4640" s="11">
        <v>46037</v>
      </c>
      <c r="B4640" s="5" t="s">
        <v>283</v>
      </c>
      <c r="C4640" s="3" t="s">
        <v>284</v>
      </c>
      <c r="D4640" s="5" t="s">
        <v>118</v>
      </c>
      <c r="E4640" s="5" t="s">
        <v>112</v>
      </c>
      <c r="F4640" s="6" t="s">
        <v>293</v>
      </c>
      <c r="G4640" s="4" t="s">
        <v>2</v>
      </c>
      <c r="H4640" s="25">
        <v>125043</v>
      </c>
      <c r="I4640" s="8">
        <v>2</v>
      </c>
      <c r="J4640" s="9">
        <v>2</v>
      </c>
      <c r="K4640" s="7">
        <v>0</v>
      </c>
      <c r="L4640" s="24">
        <f>+Tabla2[[#This Row],[Stock Inventario]]*Tabla2[[#This Row],[Coste LÃ­nea]]</f>
        <v>250086</v>
      </c>
      <c r="M4640" s="24">
        <f>+Tabla2[[#This Row],[Variación Stock]]*Tabla2[[#This Row],[Coste LÃ­nea]]</f>
        <v>0</v>
      </c>
      <c r="N4640" s="22" t="str">
        <f>+IF(Tabla2[[#This Row],[Variación Stock]]&gt;0,"Sobrante",IF(Tabla2[[#This Row],[Variación Stock]]&lt;0,"Faltante","Sin novedad"))</f>
        <v>Sin novedad</v>
      </c>
    </row>
    <row r="4641" spans="1:14" x14ac:dyDescent="0.25">
      <c r="A4641" s="11">
        <v>46037</v>
      </c>
      <c r="B4641" s="5" t="s">
        <v>283</v>
      </c>
      <c r="C4641" s="3" t="s">
        <v>284</v>
      </c>
      <c r="D4641" s="5" t="s">
        <v>118</v>
      </c>
      <c r="E4641" s="5" t="s">
        <v>112</v>
      </c>
      <c r="F4641" s="6" t="s">
        <v>294</v>
      </c>
      <c r="G4641" s="4" t="s">
        <v>2</v>
      </c>
      <c r="H4641" s="25">
        <v>22425</v>
      </c>
      <c r="I4641" s="8">
        <v>1</v>
      </c>
      <c r="J4641" s="9">
        <v>1</v>
      </c>
      <c r="K4641" s="7">
        <v>0</v>
      </c>
      <c r="L4641" s="24">
        <f>+Tabla2[[#This Row],[Stock Inventario]]*Tabla2[[#This Row],[Coste LÃ­nea]]</f>
        <v>22425</v>
      </c>
      <c r="M4641" s="24">
        <f>+Tabla2[[#This Row],[Variación Stock]]*Tabla2[[#This Row],[Coste LÃ­nea]]</f>
        <v>0</v>
      </c>
      <c r="N4641" s="22" t="str">
        <f>+IF(Tabla2[[#This Row],[Variación Stock]]&gt;0,"Sobrante",IF(Tabla2[[#This Row],[Variación Stock]]&lt;0,"Faltante","Sin novedad"))</f>
        <v>Sin novedad</v>
      </c>
    </row>
    <row r="4642" spans="1:14" x14ac:dyDescent="0.25">
      <c r="A4642" s="11">
        <v>46037</v>
      </c>
      <c r="B4642" s="5" t="s">
        <v>283</v>
      </c>
      <c r="C4642" s="3" t="s">
        <v>284</v>
      </c>
      <c r="D4642" s="5" t="s">
        <v>118</v>
      </c>
      <c r="E4642" s="5" t="s">
        <v>112</v>
      </c>
      <c r="F4642" s="6" t="s">
        <v>295</v>
      </c>
      <c r="G4642" s="4" t="s">
        <v>2</v>
      </c>
      <c r="H4642" s="25">
        <v>71318</v>
      </c>
      <c r="I4642" s="8">
        <v>2</v>
      </c>
      <c r="J4642" s="9">
        <v>2</v>
      </c>
      <c r="K4642" s="7">
        <v>0</v>
      </c>
      <c r="L4642" s="24">
        <f>+Tabla2[[#This Row],[Stock Inventario]]*Tabla2[[#This Row],[Coste LÃ­nea]]</f>
        <v>142636</v>
      </c>
      <c r="M4642" s="24">
        <f>+Tabla2[[#This Row],[Variación Stock]]*Tabla2[[#This Row],[Coste LÃ­nea]]</f>
        <v>0</v>
      </c>
      <c r="N4642" s="22" t="str">
        <f>+IF(Tabla2[[#This Row],[Variación Stock]]&gt;0,"Sobrante",IF(Tabla2[[#This Row],[Variación Stock]]&lt;0,"Faltante","Sin novedad"))</f>
        <v>Sin novedad</v>
      </c>
    </row>
    <row r="4643" spans="1:14" x14ac:dyDescent="0.25">
      <c r="A4643" s="11">
        <v>46037</v>
      </c>
      <c r="B4643" s="5" t="s">
        <v>283</v>
      </c>
      <c r="C4643" s="3" t="s">
        <v>284</v>
      </c>
      <c r="D4643" s="5" t="s">
        <v>118</v>
      </c>
      <c r="E4643" s="5" t="s">
        <v>112</v>
      </c>
      <c r="F4643" s="6" t="s">
        <v>174</v>
      </c>
      <c r="G4643" s="4" t="s">
        <v>0</v>
      </c>
      <c r="H4643" s="25">
        <v>2903.3333333300002</v>
      </c>
      <c r="I4643" s="8">
        <v>0</v>
      </c>
      <c r="J4643" s="9">
        <v>0</v>
      </c>
      <c r="K4643" s="7">
        <v>0</v>
      </c>
      <c r="L4643" s="24">
        <f>+Tabla2[[#This Row],[Stock Inventario]]*Tabla2[[#This Row],[Coste LÃ­nea]]</f>
        <v>0</v>
      </c>
      <c r="M4643" s="24">
        <f>+Tabla2[[#This Row],[Variación Stock]]*Tabla2[[#This Row],[Coste LÃ­nea]]</f>
        <v>0</v>
      </c>
      <c r="N4643" s="22" t="str">
        <f>+IF(Tabla2[[#This Row],[Variación Stock]]&gt;0,"Sobrante",IF(Tabla2[[#This Row],[Variación Stock]]&lt;0,"Faltante","Sin novedad"))</f>
        <v>Sin novedad</v>
      </c>
    </row>
    <row r="4644" spans="1:14" x14ac:dyDescent="0.25">
      <c r="A4644" s="11">
        <v>46037</v>
      </c>
      <c r="B4644" s="5" t="s">
        <v>283</v>
      </c>
      <c r="C4644" s="3" t="s">
        <v>284</v>
      </c>
      <c r="D4644" s="5" t="s">
        <v>118</v>
      </c>
      <c r="E4644" s="5" t="s">
        <v>112</v>
      </c>
      <c r="F4644" s="6" t="s">
        <v>80</v>
      </c>
      <c r="G4644" s="4" t="s">
        <v>2</v>
      </c>
      <c r="H4644" s="25">
        <v>108834</v>
      </c>
      <c r="I4644" s="8">
        <v>2</v>
      </c>
      <c r="J4644" s="9">
        <v>2</v>
      </c>
      <c r="K4644" s="7">
        <v>0</v>
      </c>
      <c r="L4644" s="24">
        <f>+Tabla2[[#This Row],[Stock Inventario]]*Tabla2[[#This Row],[Coste LÃ­nea]]</f>
        <v>217668</v>
      </c>
      <c r="M4644" s="24">
        <f>+Tabla2[[#This Row],[Variación Stock]]*Tabla2[[#This Row],[Coste LÃ­nea]]</f>
        <v>0</v>
      </c>
      <c r="N4644" s="22" t="str">
        <f>+IF(Tabla2[[#This Row],[Variación Stock]]&gt;0,"Sobrante",IF(Tabla2[[#This Row],[Variación Stock]]&lt;0,"Faltante","Sin novedad"))</f>
        <v>Sin novedad</v>
      </c>
    </row>
    <row r="4645" spans="1:14" x14ac:dyDescent="0.25">
      <c r="A4645" s="11">
        <v>46037</v>
      </c>
      <c r="B4645" s="5" t="s">
        <v>283</v>
      </c>
      <c r="C4645" s="3" t="s">
        <v>284</v>
      </c>
      <c r="D4645" s="5" t="s">
        <v>118</v>
      </c>
      <c r="E4645" s="5" t="s">
        <v>112</v>
      </c>
      <c r="F4645" s="6" t="s">
        <v>296</v>
      </c>
      <c r="G4645" s="4" t="s">
        <v>2</v>
      </c>
      <c r="H4645" s="25">
        <v>27250</v>
      </c>
      <c r="I4645" s="8">
        <v>1</v>
      </c>
      <c r="J4645" s="9">
        <v>1</v>
      </c>
      <c r="K4645" s="7">
        <v>0</v>
      </c>
      <c r="L4645" s="24">
        <f>+Tabla2[[#This Row],[Stock Inventario]]*Tabla2[[#This Row],[Coste LÃ­nea]]</f>
        <v>27250</v>
      </c>
      <c r="M4645" s="24">
        <f>+Tabla2[[#This Row],[Variación Stock]]*Tabla2[[#This Row],[Coste LÃ­nea]]</f>
        <v>0</v>
      </c>
      <c r="N4645" s="22" t="str">
        <f>+IF(Tabla2[[#This Row],[Variación Stock]]&gt;0,"Sobrante",IF(Tabla2[[#This Row],[Variación Stock]]&lt;0,"Faltante","Sin novedad"))</f>
        <v>Sin novedad</v>
      </c>
    </row>
    <row r="4646" spans="1:14" x14ac:dyDescent="0.25">
      <c r="A4646" s="11">
        <v>46037</v>
      </c>
      <c r="B4646" s="5" t="s">
        <v>283</v>
      </c>
      <c r="C4646" s="3" t="s">
        <v>284</v>
      </c>
      <c r="D4646" s="5" t="s">
        <v>118</v>
      </c>
      <c r="E4646" s="5" t="s">
        <v>112</v>
      </c>
      <c r="F4646" s="6" t="s">
        <v>297</v>
      </c>
      <c r="G4646" s="4" t="s">
        <v>2</v>
      </c>
      <c r="H4646" s="25">
        <v>87241.5</v>
      </c>
      <c r="I4646" s="8">
        <v>2</v>
      </c>
      <c r="J4646" s="9">
        <v>2</v>
      </c>
      <c r="K4646" s="7">
        <v>0</v>
      </c>
      <c r="L4646" s="24">
        <f>+Tabla2[[#This Row],[Stock Inventario]]*Tabla2[[#This Row],[Coste LÃ­nea]]</f>
        <v>174483</v>
      </c>
      <c r="M4646" s="24">
        <f>+Tabla2[[#This Row],[Variación Stock]]*Tabla2[[#This Row],[Coste LÃ­nea]]</f>
        <v>0</v>
      </c>
      <c r="N4646" s="22" t="str">
        <f>+IF(Tabla2[[#This Row],[Variación Stock]]&gt;0,"Sobrante",IF(Tabla2[[#This Row],[Variación Stock]]&lt;0,"Faltante","Sin novedad"))</f>
        <v>Sin novedad</v>
      </c>
    </row>
    <row r="4647" spans="1:14" x14ac:dyDescent="0.25">
      <c r="A4647" s="11">
        <v>46037</v>
      </c>
      <c r="B4647" s="5" t="s">
        <v>283</v>
      </c>
      <c r="C4647" s="3" t="s">
        <v>284</v>
      </c>
      <c r="D4647" s="5" t="s">
        <v>118</v>
      </c>
      <c r="E4647" s="5" t="s">
        <v>112</v>
      </c>
      <c r="F4647" s="6" t="s">
        <v>298</v>
      </c>
      <c r="G4647" s="4" t="s">
        <v>2</v>
      </c>
      <c r="H4647" s="25">
        <v>63897.666666669997</v>
      </c>
      <c r="I4647" s="8">
        <v>2</v>
      </c>
      <c r="J4647" s="9">
        <v>2</v>
      </c>
      <c r="K4647" s="7">
        <v>0</v>
      </c>
      <c r="L4647" s="24">
        <f>+Tabla2[[#This Row],[Stock Inventario]]*Tabla2[[#This Row],[Coste LÃ­nea]]</f>
        <v>127795.33333333999</v>
      </c>
      <c r="M4647" s="24">
        <f>+Tabla2[[#This Row],[Variación Stock]]*Tabla2[[#This Row],[Coste LÃ­nea]]</f>
        <v>0</v>
      </c>
      <c r="N4647" s="22" t="str">
        <f>+IF(Tabla2[[#This Row],[Variación Stock]]&gt;0,"Sobrante",IF(Tabla2[[#This Row],[Variación Stock]]&lt;0,"Faltante","Sin novedad"))</f>
        <v>Sin novedad</v>
      </c>
    </row>
    <row r="4648" spans="1:14" x14ac:dyDescent="0.25">
      <c r="A4648" s="11">
        <v>46037</v>
      </c>
      <c r="B4648" s="5" t="s">
        <v>283</v>
      </c>
      <c r="C4648" s="3" t="s">
        <v>284</v>
      </c>
      <c r="D4648" s="5" t="s">
        <v>118</v>
      </c>
      <c r="E4648" s="5" t="s">
        <v>112</v>
      </c>
      <c r="F4648" s="6" t="s">
        <v>299</v>
      </c>
      <c r="G4648" s="4" t="s">
        <v>2</v>
      </c>
      <c r="H4648" s="25">
        <v>72880</v>
      </c>
      <c r="I4648" s="8">
        <v>3</v>
      </c>
      <c r="J4648" s="9">
        <v>3</v>
      </c>
      <c r="K4648" s="7">
        <v>0</v>
      </c>
      <c r="L4648" s="24">
        <f>+Tabla2[[#This Row],[Stock Inventario]]*Tabla2[[#This Row],[Coste LÃ­nea]]</f>
        <v>218640</v>
      </c>
      <c r="M4648" s="24">
        <f>+Tabla2[[#This Row],[Variación Stock]]*Tabla2[[#This Row],[Coste LÃ­nea]]</f>
        <v>0</v>
      </c>
      <c r="N4648" s="22" t="str">
        <f>+IF(Tabla2[[#This Row],[Variación Stock]]&gt;0,"Sobrante",IF(Tabla2[[#This Row],[Variación Stock]]&lt;0,"Faltante","Sin novedad"))</f>
        <v>Sin novedad</v>
      </c>
    </row>
    <row r="4649" spans="1:14" x14ac:dyDescent="0.25">
      <c r="A4649" s="11">
        <v>46037</v>
      </c>
      <c r="B4649" s="5" t="s">
        <v>283</v>
      </c>
      <c r="C4649" s="3" t="s">
        <v>284</v>
      </c>
      <c r="D4649" s="5" t="s">
        <v>118</v>
      </c>
      <c r="E4649" s="5" t="s">
        <v>112</v>
      </c>
      <c r="F4649" s="6" t="s">
        <v>300</v>
      </c>
      <c r="G4649" s="4" t="s">
        <v>2</v>
      </c>
      <c r="H4649" s="25">
        <v>25109.5</v>
      </c>
      <c r="I4649" s="8">
        <v>1</v>
      </c>
      <c r="J4649" s="9">
        <v>1</v>
      </c>
      <c r="K4649" s="7">
        <v>0</v>
      </c>
      <c r="L4649" s="24">
        <f>+Tabla2[[#This Row],[Stock Inventario]]*Tabla2[[#This Row],[Coste LÃ­nea]]</f>
        <v>25109.5</v>
      </c>
      <c r="M4649" s="24">
        <f>+Tabla2[[#This Row],[Variación Stock]]*Tabla2[[#This Row],[Coste LÃ­nea]]</f>
        <v>0</v>
      </c>
      <c r="N4649" s="22" t="str">
        <f>+IF(Tabla2[[#This Row],[Variación Stock]]&gt;0,"Sobrante",IF(Tabla2[[#This Row],[Variación Stock]]&lt;0,"Faltante","Sin novedad"))</f>
        <v>Sin novedad</v>
      </c>
    </row>
    <row r="4650" spans="1:14" hidden="1" x14ac:dyDescent="0.25">
      <c r="A4650" s="11">
        <v>46044</v>
      </c>
      <c r="B4650" s="5" t="s">
        <v>382</v>
      </c>
      <c r="C4650" s="3" t="s">
        <v>284</v>
      </c>
      <c r="D4650" s="5" t="s">
        <v>119</v>
      </c>
      <c r="E4650" s="5" t="s">
        <v>117</v>
      </c>
      <c r="F4650" s="6" t="s">
        <v>95</v>
      </c>
      <c r="G4650" s="4" t="s">
        <v>1</v>
      </c>
      <c r="H4650" s="25">
        <v>39</v>
      </c>
      <c r="I4650" s="8">
        <v>15733.3333</v>
      </c>
      <c r="J4650" s="9">
        <v>15000</v>
      </c>
      <c r="K4650" s="7">
        <v>-733.33325300000001</v>
      </c>
      <c r="L4650" s="24">
        <f>+Tabla2[[#This Row],[Stock Inventario]]*Tabla2[[#This Row],[Coste LÃ­nea]]</f>
        <v>585000</v>
      </c>
      <c r="M4650" s="24">
        <f>+Tabla2[[#This Row],[Variación Stock]]*Tabla2[[#This Row],[Coste LÃ­nea]]</f>
        <v>-28599.996867000002</v>
      </c>
      <c r="N4650" s="22" t="str">
        <f>+IF(Tabla2[[#This Row],[Variación Stock]]&gt;0,"Sobrante",IF(Tabla2[[#This Row],[Variación Stock]]&lt;0,"Faltante","Sin novedad"))</f>
        <v>Faltante</v>
      </c>
    </row>
    <row r="4651" spans="1:14" x14ac:dyDescent="0.25">
      <c r="A4651" s="11">
        <v>46044</v>
      </c>
      <c r="B4651" s="5" t="s">
        <v>382</v>
      </c>
      <c r="C4651" s="3" t="s">
        <v>284</v>
      </c>
      <c r="D4651" s="5" t="s">
        <v>111</v>
      </c>
      <c r="E4651" s="5" t="s">
        <v>112</v>
      </c>
      <c r="F4651" s="6" t="s">
        <v>51</v>
      </c>
      <c r="G4651" s="4" t="s">
        <v>0</v>
      </c>
      <c r="H4651" s="25">
        <v>9648.9583333299997</v>
      </c>
      <c r="I4651" s="8">
        <v>20.02</v>
      </c>
      <c r="J4651" s="9">
        <v>18</v>
      </c>
      <c r="K4651" s="7">
        <v>-2.02</v>
      </c>
      <c r="L4651" s="24">
        <f>+Tabla2[[#This Row],[Stock Inventario]]*Tabla2[[#This Row],[Coste LÃ­nea]]</f>
        <v>173681.24999993999</v>
      </c>
      <c r="M4651" s="24">
        <f>+Tabla2[[#This Row],[Variación Stock]]*Tabla2[[#This Row],[Coste LÃ­nea]]</f>
        <v>-19490.895833326598</v>
      </c>
      <c r="N4651" s="22" t="str">
        <f>+IF(Tabla2[[#This Row],[Variación Stock]]&gt;0,"Sobrante",IF(Tabla2[[#This Row],[Variación Stock]]&lt;0,"Faltante","Sin novedad"))</f>
        <v>Faltante</v>
      </c>
    </row>
    <row r="4652" spans="1:14" x14ac:dyDescent="0.25">
      <c r="A4652" s="11">
        <v>46037</v>
      </c>
      <c r="B4652" s="5" t="s">
        <v>283</v>
      </c>
      <c r="C4652" s="3" t="s">
        <v>284</v>
      </c>
      <c r="D4652" s="5" t="s">
        <v>111</v>
      </c>
      <c r="E4652" s="5" t="s">
        <v>112</v>
      </c>
      <c r="F4652" s="6" t="s">
        <v>23</v>
      </c>
      <c r="G4652" s="4" t="s">
        <v>0</v>
      </c>
      <c r="H4652" s="25">
        <v>4320.2272727299996</v>
      </c>
      <c r="I4652" s="8">
        <v>21.84</v>
      </c>
      <c r="J4652" s="9">
        <v>17</v>
      </c>
      <c r="K4652" s="7">
        <v>-4.84</v>
      </c>
      <c r="L4652" s="24">
        <f>+Tabla2[[#This Row],[Stock Inventario]]*Tabla2[[#This Row],[Coste LÃ­nea]]</f>
        <v>73443.863636409995</v>
      </c>
      <c r="M4652" s="24">
        <f>+Tabla2[[#This Row],[Variación Stock]]*Tabla2[[#This Row],[Coste LÃ­nea]]</f>
        <v>-20909.900000013196</v>
      </c>
      <c r="N4652" s="22" t="str">
        <f>+IF(Tabla2[[#This Row],[Variación Stock]]&gt;0,"Sobrante",IF(Tabla2[[#This Row],[Variación Stock]]&lt;0,"Faltante","Sin novedad"))</f>
        <v>Faltante</v>
      </c>
    </row>
    <row r="4653" spans="1:14" x14ac:dyDescent="0.25">
      <c r="A4653" s="11">
        <v>46037</v>
      </c>
      <c r="B4653" s="5" t="s">
        <v>283</v>
      </c>
      <c r="C4653" s="3" t="s">
        <v>284</v>
      </c>
      <c r="D4653" s="5" t="s">
        <v>118</v>
      </c>
      <c r="E4653" s="5" t="s">
        <v>112</v>
      </c>
      <c r="F4653" s="6" t="s">
        <v>82</v>
      </c>
      <c r="G4653" s="4" t="s">
        <v>2</v>
      </c>
      <c r="H4653" s="25">
        <v>63373</v>
      </c>
      <c r="I4653" s="8">
        <v>3</v>
      </c>
      <c r="J4653" s="9">
        <v>3</v>
      </c>
      <c r="K4653" s="7">
        <v>0</v>
      </c>
      <c r="L4653" s="24">
        <f>+Tabla2[[#This Row],[Stock Inventario]]*Tabla2[[#This Row],[Coste LÃ­nea]]</f>
        <v>190119</v>
      </c>
      <c r="M4653" s="24">
        <f>+Tabla2[[#This Row],[Variación Stock]]*Tabla2[[#This Row],[Coste LÃ­nea]]</f>
        <v>0</v>
      </c>
      <c r="N4653" s="22" t="str">
        <f>+IF(Tabla2[[#This Row],[Variación Stock]]&gt;0,"Sobrante",IF(Tabla2[[#This Row],[Variación Stock]]&lt;0,"Faltante","Sin novedad"))</f>
        <v>Sin novedad</v>
      </c>
    </row>
    <row r="4654" spans="1:14" x14ac:dyDescent="0.25">
      <c r="A4654" s="11">
        <v>46037</v>
      </c>
      <c r="B4654" s="5" t="s">
        <v>283</v>
      </c>
      <c r="C4654" s="3" t="s">
        <v>284</v>
      </c>
      <c r="D4654" s="5" t="s">
        <v>118</v>
      </c>
      <c r="E4654" s="5" t="s">
        <v>112</v>
      </c>
      <c r="F4654" s="6" t="s">
        <v>304</v>
      </c>
      <c r="G4654" s="4" t="s">
        <v>2</v>
      </c>
      <c r="H4654" s="25">
        <v>37617</v>
      </c>
      <c r="I4654" s="8">
        <v>5</v>
      </c>
      <c r="J4654" s="9">
        <v>5</v>
      </c>
      <c r="K4654" s="7">
        <v>0</v>
      </c>
      <c r="L4654" s="24">
        <f>+Tabla2[[#This Row],[Stock Inventario]]*Tabla2[[#This Row],[Coste LÃ­nea]]</f>
        <v>188085</v>
      </c>
      <c r="M4654" s="24">
        <f>+Tabla2[[#This Row],[Variación Stock]]*Tabla2[[#This Row],[Coste LÃ­nea]]</f>
        <v>0</v>
      </c>
      <c r="N4654" s="22" t="str">
        <f>+IF(Tabla2[[#This Row],[Variación Stock]]&gt;0,"Sobrante",IF(Tabla2[[#This Row],[Variación Stock]]&lt;0,"Faltante","Sin novedad"))</f>
        <v>Sin novedad</v>
      </c>
    </row>
    <row r="4655" spans="1:14" x14ac:dyDescent="0.25">
      <c r="A4655" s="11">
        <v>46037</v>
      </c>
      <c r="B4655" s="5" t="s">
        <v>283</v>
      </c>
      <c r="C4655" s="3" t="s">
        <v>284</v>
      </c>
      <c r="D4655" s="5" t="s">
        <v>118</v>
      </c>
      <c r="E4655" s="5" t="s">
        <v>112</v>
      </c>
      <c r="F4655" s="6" t="s">
        <v>83</v>
      </c>
      <c r="G4655" s="4" t="s">
        <v>2</v>
      </c>
      <c r="H4655" s="25">
        <v>37608</v>
      </c>
      <c r="I4655" s="8">
        <v>3</v>
      </c>
      <c r="J4655" s="9">
        <v>3</v>
      </c>
      <c r="K4655" s="7">
        <v>0</v>
      </c>
      <c r="L4655" s="24">
        <f>+Tabla2[[#This Row],[Stock Inventario]]*Tabla2[[#This Row],[Coste LÃ­nea]]</f>
        <v>112824</v>
      </c>
      <c r="M4655" s="24">
        <f>+Tabla2[[#This Row],[Variación Stock]]*Tabla2[[#This Row],[Coste LÃ­nea]]</f>
        <v>0</v>
      </c>
      <c r="N4655" s="22" t="str">
        <f>+IF(Tabla2[[#This Row],[Variación Stock]]&gt;0,"Sobrante",IF(Tabla2[[#This Row],[Variación Stock]]&lt;0,"Faltante","Sin novedad"))</f>
        <v>Sin novedad</v>
      </c>
    </row>
    <row r="4656" spans="1:14" x14ac:dyDescent="0.25">
      <c r="A4656" s="11">
        <v>46044</v>
      </c>
      <c r="B4656" s="5" t="s">
        <v>382</v>
      </c>
      <c r="C4656" s="3" t="s">
        <v>284</v>
      </c>
      <c r="D4656" s="5" t="s">
        <v>111</v>
      </c>
      <c r="E4656" s="5" t="s">
        <v>112</v>
      </c>
      <c r="F4656" s="6" t="s">
        <v>23</v>
      </c>
      <c r="G4656" s="4" t="s">
        <v>0</v>
      </c>
      <c r="H4656" s="25">
        <v>4724.9090909099996</v>
      </c>
      <c r="I4656" s="8">
        <v>13.84</v>
      </c>
      <c r="J4656" s="9">
        <v>15</v>
      </c>
      <c r="K4656" s="7">
        <v>1.1599999999999999</v>
      </c>
      <c r="L4656" s="24">
        <f>+Tabla2[[#This Row],[Stock Inventario]]*Tabla2[[#This Row],[Coste LÃ­nea]]</f>
        <v>70873.636363649988</v>
      </c>
      <c r="M4656" s="24">
        <f>+Tabla2[[#This Row],[Variación Stock]]*Tabla2[[#This Row],[Coste LÃ­nea]]</f>
        <v>5480.8945454555987</v>
      </c>
      <c r="N4656" s="22" t="str">
        <f>+IF(Tabla2[[#This Row],[Variación Stock]]&gt;0,"Sobrante",IF(Tabla2[[#This Row],[Variación Stock]]&lt;0,"Faltante","Sin novedad"))</f>
        <v>Sobrante</v>
      </c>
    </row>
    <row r="4657" spans="1:14" x14ac:dyDescent="0.25">
      <c r="A4657" s="11">
        <v>46037</v>
      </c>
      <c r="B4657" s="5" t="s">
        <v>283</v>
      </c>
      <c r="C4657" s="3" t="s">
        <v>284</v>
      </c>
      <c r="D4657" s="5" t="s">
        <v>118</v>
      </c>
      <c r="E4657" s="5" t="s">
        <v>112</v>
      </c>
      <c r="F4657" s="6" t="s">
        <v>85</v>
      </c>
      <c r="G4657" s="4" t="s">
        <v>81</v>
      </c>
      <c r="H4657" s="25">
        <v>9853.2000000000007</v>
      </c>
      <c r="I4657" s="8">
        <v>20</v>
      </c>
      <c r="J4657" s="9">
        <v>20</v>
      </c>
      <c r="K4657" s="7">
        <v>0</v>
      </c>
      <c r="L4657" s="24">
        <f>+Tabla2[[#This Row],[Stock Inventario]]*Tabla2[[#This Row],[Coste LÃ­nea]]</f>
        <v>197064</v>
      </c>
      <c r="M4657" s="24">
        <f>+Tabla2[[#This Row],[Variación Stock]]*Tabla2[[#This Row],[Coste LÃ­nea]]</f>
        <v>0</v>
      </c>
      <c r="N4657" s="22" t="str">
        <f>+IF(Tabla2[[#This Row],[Variación Stock]]&gt;0,"Sobrante",IF(Tabla2[[#This Row],[Variación Stock]]&lt;0,"Faltante","Sin novedad"))</f>
        <v>Sin novedad</v>
      </c>
    </row>
    <row r="4658" spans="1:14" x14ac:dyDescent="0.25">
      <c r="A4658" s="11">
        <v>46037</v>
      </c>
      <c r="B4658" s="5" t="s">
        <v>283</v>
      </c>
      <c r="C4658" s="3" t="s">
        <v>284</v>
      </c>
      <c r="D4658" s="5" t="s">
        <v>118</v>
      </c>
      <c r="E4658" s="5" t="s">
        <v>112</v>
      </c>
      <c r="F4658" s="6" t="s">
        <v>86</v>
      </c>
      <c r="G4658" s="4" t="s">
        <v>81</v>
      </c>
      <c r="H4658" s="25">
        <v>10889.4</v>
      </c>
      <c r="I4658" s="8">
        <v>5</v>
      </c>
      <c r="J4658" s="9">
        <v>5</v>
      </c>
      <c r="K4658" s="7">
        <v>0</v>
      </c>
      <c r="L4658" s="24">
        <f>+Tabla2[[#This Row],[Stock Inventario]]*Tabla2[[#This Row],[Coste LÃ­nea]]</f>
        <v>54447</v>
      </c>
      <c r="M4658" s="24">
        <f>+Tabla2[[#This Row],[Variación Stock]]*Tabla2[[#This Row],[Coste LÃ­nea]]</f>
        <v>0</v>
      </c>
      <c r="N4658" s="22" t="str">
        <f>+IF(Tabla2[[#This Row],[Variación Stock]]&gt;0,"Sobrante",IF(Tabla2[[#This Row],[Variación Stock]]&lt;0,"Faltante","Sin novedad"))</f>
        <v>Sin novedad</v>
      </c>
    </row>
    <row r="4659" spans="1:14" x14ac:dyDescent="0.25">
      <c r="A4659" s="11">
        <v>46044</v>
      </c>
      <c r="B4659" s="5" t="s">
        <v>382</v>
      </c>
      <c r="C4659" s="3" t="s">
        <v>284</v>
      </c>
      <c r="D4659" s="5" t="s">
        <v>111</v>
      </c>
      <c r="E4659" s="5" t="s">
        <v>112</v>
      </c>
      <c r="F4659" s="6" t="s">
        <v>52</v>
      </c>
      <c r="G4659" s="4" t="s">
        <v>0</v>
      </c>
      <c r="H4659" s="25">
        <v>6800.3640183199996</v>
      </c>
      <c r="I4659" s="8">
        <v>10.34</v>
      </c>
      <c r="J4659" s="9">
        <v>11</v>
      </c>
      <c r="K4659" s="7">
        <v>0.66</v>
      </c>
      <c r="L4659" s="24">
        <f>+Tabla2[[#This Row],[Stock Inventario]]*Tabla2[[#This Row],[Coste LÃ­nea]]</f>
        <v>74804.004201520002</v>
      </c>
      <c r="M4659" s="24">
        <f>+Tabla2[[#This Row],[Variación Stock]]*Tabla2[[#This Row],[Coste LÃ­nea]]</f>
        <v>4488.2402520912001</v>
      </c>
      <c r="N4659" s="22" t="str">
        <f>+IF(Tabla2[[#This Row],[Variación Stock]]&gt;0,"Sobrante",IF(Tabla2[[#This Row],[Variación Stock]]&lt;0,"Faltante","Sin novedad"))</f>
        <v>Sobrante</v>
      </c>
    </row>
    <row r="4660" spans="1:14" x14ac:dyDescent="0.25">
      <c r="A4660" s="11">
        <v>46037</v>
      </c>
      <c r="B4660" s="5" t="s">
        <v>283</v>
      </c>
      <c r="C4660" s="3" t="s">
        <v>284</v>
      </c>
      <c r="D4660" s="5" t="s">
        <v>114</v>
      </c>
      <c r="E4660" s="5" t="s">
        <v>112</v>
      </c>
      <c r="F4660" s="6" t="s">
        <v>62</v>
      </c>
      <c r="G4660" s="4" t="s">
        <v>2</v>
      </c>
      <c r="H4660" s="25">
        <v>1654.1729616299999</v>
      </c>
      <c r="I4660" s="8">
        <v>60.02</v>
      </c>
      <c r="J4660" s="9">
        <v>57</v>
      </c>
      <c r="K4660" s="7">
        <v>-3.02</v>
      </c>
      <c r="L4660" s="24">
        <f>+Tabla2[[#This Row],[Stock Inventario]]*Tabla2[[#This Row],[Coste LÃ­nea]]</f>
        <v>94287.858812909995</v>
      </c>
      <c r="M4660" s="24">
        <f>+Tabla2[[#This Row],[Variación Stock]]*Tabla2[[#This Row],[Coste LÃ­nea]]</f>
        <v>-4995.6023441225998</v>
      </c>
      <c r="N4660" s="22" t="str">
        <f>+IF(Tabla2[[#This Row],[Variación Stock]]&gt;0,"Sobrante",IF(Tabla2[[#This Row],[Variación Stock]]&lt;0,"Faltante","Sin novedad"))</f>
        <v>Faltante</v>
      </c>
    </row>
    <row r="4661" spans="1:14" x14ac:dyDescent="0.25">
      <c r="A4661" s="11">
        <v>46044</v>
      </c>
      <c r="B4661" s="5" t="s">
        <v>382</v>
      </c>
      <c r="C4661" s="3" t="s">
        <v>284</v>
      </c>
      <c r="D4661" s="5" t="s">
        <v>114</v>
      </c>
      <c r="E4661" s="5" t="s">
        <v>112</v>
      </c>
      <c r="F4661" s="6" t="s">
        <v>62</v>
      </c>
      <c r="G4661" s="4" t="s">
        <v>2</v>
      </c>
      <c r="H4661" s="25">
        <v>1654.1429856300001</v>
      </c>
      <c r="I4661" s="8">
        <v>72.09</v>
      </c>
      <c r="J4661" s="9">
        <v>71</v>
      </c>
      <c r="K4661" s="7">
        <v>-1.0900000000000001</v>
      </c>
      <c r="L4661" s="24">
        <f>+Tabla2[[#This Row],[Stock Inventario]]*Tabla2[[#This Row],[Coste LÃ­nea]]</f>
        <v>117444.15197973001</v>
      </c>
      <c r="M4661" s="24">
        <f>+Tabla2[[#This Row],[Variación Stock]]*Tabla2[[#This Row],[Coste LÃ­nea]]</f>
        <v>-1803.0158543367002</v>
      </c>
      <c r="N4661" s="22" t="str">
        <f>+IF(Tabla2[[#This Row],[Variación Stock]]&gt;0,"Sobrante",IF(Tabla2[[#This Row],[Variación Stock]]&lt;0,"Faltante","Sin novedad"))</f>
        <v>Faltante</v>
      </c>
    </row>
    <row r="4662" spans="1:14" x14ac:dyDescent="0.25">
      <c r="A4662" s="11">
        <v>46037</v>
      </c>
      <c r="B4662" s="5" t="s">
        <v>283</v>
      </c>
      <c r="C4662" s="3" t="s">
        <v>284</v>
      </c>
      <c r="D4662" s="5" t="s">
        <v>114</v>
      </c>
      <c r="E4662" s="5" t="s">
        <v>112</v>
      </c>
      <c r="F4662" s="6" t="s">
        <v>69</v>
      </c>
      <c r="G4662" s="4" t="s">
        <v>2</v>
      </c>
      <c r="H4662" s="25">
        <v>5133.7083333299997</v>
      </c>
      <c r="I4662" s="8">
        <v>61.12</v>
      </c>
      <c r="J4662" s="9">
        <v>51</v>
      </c>
      <c r="K4662" s="7">
        <v>-10.119999999999999</v>
      </c>
      <c r="L4662" s="24">
        <f>+Tabla2[[#This Row],[Stock Inventario]]*Tabla2[[#This Row],[Coste LÃ­nea]]</f>
        <v>261819.12499982998</v>
      </c>
      <c r="M4662" s="24">
        <f>+Tabla2[[#This Row],[Variación Stock]]*Tabla2[[#This Row],[Coste LÃ­nea]]</f>
        <v>-51953.128333299595</v>
      </c>
      <c r="N4662" s="22" t="str">
        <f>+IF(Tabla2[[#This Row],[Variación Stock]]&gt;0,"Sobrante",IF(Tabla2[[#This Row],[Variación Stock]]&lt;0,"Faltante","Sin novedad"))</f>
        <v>Faltante</v>
      </c>
    </row>
    <row r="4663" spans="1:14" x14ac:dyDescent="0.25">
      <c r="A4663" s="11">
        <v>46044</v>
      </c>
      <c r="B4663" s="5" t="s">
        <v>382</v>
      </c>
      <c r="C4663" s="3" t="s">
        <v>284</v>
      </c>
      <c r="D4663" s="5" t="s">
        <v>114</v>
      </c>
      <c r="E4663" s="5" t="s">
        <v>112</v>
      </c>
      <c r="F4663" s="6" t="s">
        <v>69</v>
      </c>
      <c r="G4663" s="4" t="s">
        <v>2</v>
      </c>
      <c r="H4663" s="25">
        <v>5133.6666666700003</v>
      </c>
      <c r="I4663" s="8">
        <v>40.549999999999997</v>
      </c>
      <c r="J4663" s="9">
        <v>39</v>
      </c>
      <c r="K4663" s="7">
        <v>-1.55</v>
      </c>
      <c r="L4663" s="24">
        <f>+Tabla2[[#This Row],[Stock Inventario]]*Tabla2[[#This Row],[Coste LÃ­nea]]</f>
        <v>200213.00000013001</v>
      </c>
      <c r="M4663" s="24">
        <f>+Tabla2[[#This Row],[Variación Stock]]*Tabla2[[#This Row],[Coste LÃ­nea]]</f>
        <v>-7957.1833333385002</v>
      </c>
      <c r="N4663" s="22" t="str">
        <f>+IF(Tabla2[[#This Row],[Variación Stock]]&gt;0,"Sobrante",IF(Tabla2[[#This Row],[Variación Stock]]&lt;0,"Faltante","Sin novedad"))</f>
        <v>Faltante</v>
      </c>
    </row>
    <row r="4664" spans="1:14" x14ac:dyDescent="0.25">
      <c r="A4664" s="11">
        <v>46037</v>
      </c>
      <c r="B4664" s="5" t="s">
        <v>283</v>
      </c>
      <c r="C4664" s="3" t="s">
        <v>284</v>
      </c>
      <c r="D4664" s="5" t="s">
        <v>118</v>
      </c>
      <c r="E4664" s="5" t="s">
        <v>112</v>
      </c>
      <c r="F4664" s="6" t="s">
        <v>306</v>
      </c>
      <c r="G4664" s="4" t="s">
        <v>81</v>
      </c>
      <c r="H4664" s="25">
        <v>10715.3</v>
      </c>
      <c r="I4664" s="8">
        <v>24</v>
      </c>
      <c r="J4664" s="9">
        <v>24</v>
      </c>
      <c r="K4664" s="7">
        <v>0</v>
      </c>
      <c r="L4664" s="24">
        <f>+Tabla2[[#This Row],[Stock Inventario]]*Tabla2[[#This Row],[Coste LÃ­nea]]</f>
        <v>257167.19999999998</v>
      </c>
      <c r="M4664" s="24">
        <f>+Tabla2[[#This Row],[Variación Stock]]*Tabla2[[#This Row],[Coste LÃ­nea]]</f>
        <v>0</v>
      </c>
      <c r="N4664" s="22" t="str">
        <f>+IF(Tabla2[[#This Row],[Variación Stock]]&gt;0,"Sobrante",IF(Tabla2[[#This Row],[Variación Stock]]&lt;0,"Faltante","Sin novedad"))</f>
        <v>Sin novedad</v>
      </c>
    </row>
    <row r="4665" spans="1:14" x14ac:dyDescent="0.25">
      <c r="A4665" s="11">
        <v>46037</v>
      </c>
      <c r="B4665" s="5" t="s">
        <v>283</v>
      </c>
      <c r="C4665" s="3" t="s">
        <v>284</v>
      </c>
      <c r="D4665" s="5" t="s">
        <v>111</v>
      </c>
      <c r="E4665" s="5" t="s">
        <v>112</v>
      </c>
      <c r="F4665" s="6" t="s">
        <v>24</v>
      </c>
      <c r="G4665" s="4" t="s">
        <v>0</v>
      </c>
      <c r="H4665" s="25">
        <v>3359.40909091</v>
      </c>
      <c r="I4665" s="8">
        <v>28.02</v>
      </c>
      <c r="J4665" s="9">
        <v>30</v>
      </c>
      <c r="K4665" s="7">
        <v>1.98</v>
      </c>
      <c r="L4665" s="24">
        <f>+Tabla2[[#This Row],[Stock Inventario]]*Tabla2[[#This Row],[Coste LÃ­nea]]</f>
        <v>100782.27272730001</v>
      </c>
      <c r="M4665" s="24">
        <f>+Tabla2[[#This Row],[Variación Stock]]*Tabla2[[#This Row],[Coste LÃ­nea]]</f>
        <v>6651.6300000018</v>
      </c>
      <c r="N4665" s="22" t="str">
        <f>+IF(Tabla2[[#This Row],[Variación Stock]]&gt;0,"Sobrante",IF(Tabla2[[#This Row],[Variación Stock]]&lt;0,"Faltante","Sin novedad"))</f>
        <v>Sobrante</v>
      </c>
    </row>
    <row r="4666" spans="1:14" x14ac:dyDescent="0.25">
      <c r="A4666" s="11">
        <v>46044</v>
      </c>
      <c r="B4666" s="5" t="s">
        <v>382</v>
      </c>
      <c r="C4666" s="3" t="s">
        <v>284</v>
      </c>
      <c r="D4666" s="5" t="s">
        <v>111</v>
      </c>
      <c r="E4666" s="5" t="s">
        <v>112</v>
      </c>
      <c r="F4666" s="6" t="s">
        <v>24</v>
      </c>
      <c r="G4666" s="4" t="s">
        <v>0</v>
      </c>
      <c r="H4666" s="25">
        <v>3359.40909091</v>
      </c>
      <c r="I4666" s="8">
        <v>29.34</v>
      </c>
      <c r="J4666" s="9">
        <v>30</v>
      </c>
      <c r="K4666" s="7">
        <v>0.66</v>
      </c>
      <c r="L4666" s="24">
        <f>+Tabla2[[#This Row],[Stock Inventario]]*Tabla2[[#This Row],[Coste LÃ­nea]]</f>
        <v>100782.27272730001</v>
      </c>
      <c r="M4666" s="24">
        <f>+Tabla2[[#This Row],[Variación Stock]]*Tabla2[[#This Row],[Coste LÃ­nea]]</f>
        <v>2217.2100000006003</v>
      </c>
      <c r="N4666" s="22" t="str">
        <f>+IF(Tabla2[[#This Row],[Variación Stock]]&gt;0,"Sobrante",IF(Tabla2[[#This Row],[Variación Stock]]&lt;0,"Faltante","Sin novedad"))</f>
        <v>Sobrante</v>
      </c>
    </row>
    <row r="4667" spans="1:14" x14ac:dyDescent="0.25">
      <c r="A4667" s="11">
        <v>46037</v>
      </c>
      <c r="B4667" s="5" t="s">
        <v>283</v>
      </c>
      <c r="C4667" s="3" t="s">
        <v>284</v>
      </c>
      <c r="D4667" s="5" t="s">
        <v>114</v>
      </c>
      <c r="E4667" s="5" t="s">
        <v>112</v>
      </c>
      <c r="F4667" s="6" t="s">
        <v>64</v>
      </c>
      <c r="G4667" s="4" t="s">
        <v>2</v>
      </c>
      <c r="H4667" s="25">
        <v>5132.5</v>
      </c>
      <c r="I4667" s="8">
        <v>7.5</v>
      </c>
      <c r="J4667" s="9">
        <v>16</v>
      </c>
      <c r="K4667" s="7">
        <v>8.5</v>
      </c>
      <c r="L4667" s="24">
        <f>+Tabla2[[#This Row],[Stock Inventario]]*Tabla2[[#This Row],[Coste LÃ­nea]]</f>
        <v>82120</v>
      </c>
      <c r="M4667" s="24">
        <f>+Tabla2[[#This Row],[Variación Stock]]*Tabla2[[#This Row],[Coste LÃ­nea]]</f>
        <v>43626.25</v>
      </c>
      <c r="N4667" s="22" t="str">
        <f>+IF(Tabla2[[#This Row],[Variación Stock]]&gt;0,"Sobrante",IF(Tabla2[[#This Row],[Variación Stock]]&lt;0,"Faltante","Sin novedad"))</f>
        <v>Sobrante</v>
      </c>
    </row>
    <row r="4668" spans="1:14" x14ac:dyDescent="0.25">
      <c r="A4668" s="11">
        <v>46044</v>
      </c>
      <c r="B4668" s="5" t="s">
        <v>382</v>
      </c>
      <c r="C4668" s="3" t="s">
        <v>284</v>
      </c>
      <c r="D4668" s="5" t="s">
        <v>114</v>
      </c>
      <c r="E4668" s="5" t="s">
        <v>112</v>
      </c>
      <c r="F4668" s="6" t="s">
        <v>64</v>
      </c>
      <c r="G4668" s="4" t="s">
        <v>2</v>
      </c>
      <c r="H4668" s="25">
        <v>5132.5</v>
      </c>
      <c r="I4668" s="8">
        <v>14.5</v>
      </c>
      <c r="J4668" s="9">
        <v>15</v>
      </c>
      <c r="K4668" s="7">
        <v>0.5</v>
      </c>
      <c r="L4668" s="24">
        <f>+Tabla2[[#This Row],[Stock Inventario]]*Tabla2[[#This Row],[Coste LÃ­nea]]</f>
        <v>76987.5</v>
      </c>
      <c r="M4668" s="24">
        <f>+Tabla2[[#This Row],[Variación Stock]]*Tabla2[[#This Row],[Coste LÃ­nea]]</f>
        <v>2566.25</v>
      </c>
      <c r="N4668" s="22" t="str">
        <f>+IF(Tabla2[[#This Row],[Variación Stock]]&gt;0,"Sobrante",IF(Tabla2[[#This Row],[Variación Stock]]&lt;0,"Faltante","Sin novedad"))</f>
        <v>Sobrante</v>
      </c>
    </row>
    <row r="4669" spans="1:14" x14ac:dyDescent="0.25">
      <c r="A4669" s="11">
        <v>46037</v>
      </c>
      <c r="B4669" s="5" t="s">
        <v>283</v>
      </c>
      <c r="C4669" s="3" t="s">
        <v>284</v>
      </c>
      <c r="D4669" s="5" t="s">
        <v>118</v>
      </c>
      <c r="E4669" s="5" t="s">
        <v>112</v>
      </c>
      <c r="F4669" s="6" t="s">
        <v>186</v>
      </c>
      <c r="G4669" s="4" t="s">
        <v>2</v>
      </c>
      <c r="H4669" s="25">
        <v>48500</v>
      </c>
      <c r="I4669" s="8">
        <v>0</v>
      </c>
      <c r="J4669" s="9">
        <v>0</v>
      </c>
      <c r="K4669" s="7">
        <v>0</v>
      </c>
      <c r="L4669" s="24">
        <f>+Tabla2[[#This Row],[Stock Inventario]]*Tabla2[[#This Row],[Coste LÃ­nea]]</f>
        <v>0</v>
      </c>
      <c r="M4669" s="24">
        <f>+Tabla2[[#This Row],[Variación Stock]]*Tabla2[[#This Row],[Coste LÃ­nea]]</f>
        <v>0</v>
      </c>
      <c r="N4669" s="22" t="str">
        <f>+IF(Tabla2[[#This Row],[Variación Stock]]&gt;0,"Sobrante",IF(Tabla2[[#This Row],[Variación Stock]]&lt;0,"Faltante","Sin novedad"))</f>
        <v>Sin novedad</v>
      </c>
    </row>
    <row r="4670" spans="1:14" x14ac:dyDescent="0.25">
      <c r="A4670" s="11">
        <v>46037</v>
      </c>
      <c r="B4670" s="5" t="s">
        <v>283</v>
      </c>
      <c r="C4670" s="3" t="s">
        <v>284</v>
      </c>
      <c r="D4670" s="5" t="s">
        <v>118</v>
      </c>
      <c r="E4670" s="5" t="s">
        <v>112</v>
      </c>
      <c r="F4670" s="6" t="s">
        <v>309</v>
      </c>
      <c r="G4670" s="4" t="s">
        <v>2</v>
      </c>
      <c r="H4670" s="25">
        <v>83261</v>
      </c>
      <c r="I4670" s="8">
        <v>1</v>
      </c>
      <c r="J4670" s="9">
        <v>1</v>
      </c>
      <c r="K4670" s="7">
        <v>0</v>
      </c>
      <c r="L4670" s="24">
        <f>+Tabla2[[#This Row],[Stock Inventario]]*Tabla2[[#This Row],[Coste LÃ­nea]]</f>
        <v>83261</v>
      </c>
      <c r="M4670" s="24">
        <f>+Tabla2[[#This Row],[Variación Stock]]*Tabla2[[#This Row],[Coste LÃ­nea]]</f>
        <v>0</v>
      </c>
      <c r="N4670" s="22" t="str">
        <f>+IF(Tabla2[[#This Row],[Variación Stock]]&gt;0,"Sobrante",IF(Tabla2[[#This Row],[Variación Stock]]&lt;0,"Faltante","Sin novedad"))</f>
        <v>Sin novedad</v>
      </c>
    </row>
    <row r="4671" spans="1:14" x14ac:dyDescent="0.25">
      <c r="A4671" s="11">
        <v>46037</v>
      </c>
      <c r="B4671" s="5" t="s">
        <v>283</v>
      </c>
      <c r="C4671" s="3" t="s">
        <v>284</v>
      </c>
      <c r="D4671" s="5" t="s">
        <v>118</v>
      </c>
      <c r="E4671" s="5" t="s">
        <v>112</v>
      </c>
      <c r="F4671" s="6" t="s">
        <v>310</v>
      </c>
      <c r="G4671" s="4" t="s">
        <v>2</v>
      </c>
      <c r="H4671" s="25">
        <v>79309.523809499995</v>
      </c>
      <c r="I4671" s="8">
        <v>1</v>
      </c>
      <c r="J4671" s="9">
        <v>1</v>
      </c>
      <c r="K4671" s="7">
        <v>0</v>
      </c>
      <c r="L4671" s="24">
        <f>+Tabla2[[#This Row],[Stock Inventario]]*Tabla2[[#This Row],[Coste LÃ­nea]]</f>
        <v>79309.523809499995</v>
      </c>
      <c r="M4671" s="24">
        <f>+Tabla2[[#This Row],[Variación Stock]]*Tabla2[[#This Row],[Coste LÃ­nea]]</f>
        <v>0</v>
      </c>
      <c r="N4671" s="22" t="str">
        <f>+IF(Tabla2[[#This Row],[Variación Stock]]&gt;0,"Sobrante",IF(Tabla2[[#This Row],[Variación Stock]]&lt;0,"Faltante","Sin novedad"))</f>
        <v>Sin novedad</v>
      </c>
    </row>
    <row r="4672" spans="1:14" x14ac:dyDescent="0.25">
      <c r="A4672" s="11">
        <v>46037</v>
      </c>
      <c r="B4672" s="5" t="s">
        <v>283</v>
      </c>
      <c r="C4672" s="3" t="s">
        <v>284</v>
      </c>
      <c r="D4672" s="5" t="s">
        <v>118</v>
      </c>
      <c r="E4672" s="5" t="s">
        <v>112</v>
      </c>
      <c r="F4672" s="6" t="s">
        <v>311</v>
      </c>
      <c r="G4672" s="4" t="s">
        <v>2</v>
      </c>
      <c r="H4672" s="25">
        <v>79652</v>
      </c>
      <c r="I4672" s="8">
        <v>1</v>
      </c>
      <c r="J4672" s="9">
        <v>1</v>
      </c>
      <c r="K4672" s="7">
        <v>0</v>
      </c>
      <c r="L4672" s="24">
        <f>+Tabla2[[#This Row],[Stock Inventario]]*Tabla2[[#This Row],[Coste LÃ­nea]]</f>
        <v>79652</v>
      </c>
      <c r="M4672" s="24">
        <f>+Tabla2[[#This Row],[Variación Stock]]*Tabla2[[#This Row],[Coste LÃ­nea]]</f>
        <v>0</v>
      </c>
      <c r="N4672" s="22" t="str">
        <f>+IF(Tabla2[[#This Row],[Variación Stock]]&gt;0,"Sobrante",IF(Tabla2[[#This Row],[Variación Stock]]&lt;0,"Faltante","Sin novedad"))</f>
        <v>Sin novedad</v>
      </c>
    </row>
    <row r="4673" spans="1:14" x14ac:dyDescent="0.25">
      <c r="A4673" s="11">
        <v>46037</v>
      </c>
      <c r="B4673" s="5" t="s">
        <v>283</v>
      </c>
      <c r="C4673" s="3" t="s">
        <v>284</v>
      </c>
      <c r="D4673" s="5" t="s">
        <v>111</v>
      </c>
      <c r="E4673" s="5" t="s">
        <v>112</v>
      </c>
      <c r="F4673" s="6" t="s">
        <v>57</v>
      </c>
      <c r="G4673" s="4" t="s">
        <v>0</v>
      </c>
      <c r="H4673" s="25">
        <v>1993.59090909</v>
      </c>
      <c r="I4673" s="8">
        <v>30.68</v>
      </c>
      <c r="J4673" s="9">
        <v>52</v>
      </c>
      <c r="K4673" s="7">
        <v>21.32</v>
      </c>
      <c r="L4673" s="24">
        <f>+Tabla2[[#This Row],[Stock Inventario]]*Tabla2[[#This Row],[Coste LÃ­nea]]</f>
        <v>103666.72727268</v>
      </c>
      <c r="M4673" s="24">
        <f>+Tabla2[[#This Row],[Variación Stock]]*Tabla2[[#This Row],[Coste LÃ­nea]]</f>
        <v>42503.358181798802</v>
      </c>
      <c r="N4673" s="22" t="str">
        <f>+IF(Tabla2[[#This Row],[Variación Stock]]&gt;0,"Sobrante",IF(Tabla2[[#This Row],[Variación Stock]]&lt;0,"Faltante","Sin novedad"))</f>
        <v>Sobrante</v>
      </c>
    </row>
    <row r="4674" spans="1:14" hidden="1" x14ac:dyDescent="0.25">
      <c r="A4674" s="11">
        <v>46044</v>
      </c>
      <c r="B4674" s="5" t="s">
        <v>382</v>
      </c>
      <c r="C4674" s="3" t="s">
        <v>284</v>
      </c>
      <c r="D4674" s="5" t="s">
        <v>116</v>
      </c>
      <c r="E4674" s="5" t="s">
        <v>117</v>
      </c>
      <c r="F4674" s="6" t="s">
        <v>4</v>
      </c>
      <c r="G4674" s="4" t="s">
        <v>2</v>
      </c>
      <c r="H4674" s="25">
        <v>3250</v>
      </c>
      <c r="I4674" s="8">
        <v>27</v>
      </c>
      <c r="J4674" s="9">
        <v>28</v>
      </c>
      <c r="K4674" s="7">
        <v>1</v>
      </c>
      <c r="L4674" s="24">
        <f>+Tabla2[[#This Row],[Stock Inventario]]*Tabla2[[#This Row],[Coste LÃ­nea]]</f>
        <v>91000</v>
      </c>
      <c r="M4674" s="24">
        <f>+Tabla2[[#This Row],[Variación Stock]]*Tabla2[[#This Row],[Coste LÃ­nea]]</f>
        <v>3250</v>
      </c>
      <c r="N4674" s="22" t="str">
        <f>+IF(Tabla2[[#This Row],[Variación Stock]]&gt;0,"Sobrante",IF(Tabla2[[#This Row],[Variación Stock]]&lt;0,"Faltante","Sin novedad"))</f>
        <v>Sobrante</v>
      </c>
    </row>
    <row r="4675" spans="1:14" hidden="1" x14ac:dyDescent="0.25">
      <c r="A4675" s="11">
        <v>46037</v>
      </c>
      <c r="B4675" s="5" t="s">
        <v>283</v>
      </c>
      <c r="C4675" s="3" t="s">
        <v>284</v>
      </c>
      <c r="D4675" s="5" t="s">
        <v>116</v>
      </c>
      <c r="E4675" s="5" t="s">
        <v>117</v>
      </c>
      <c r="F4675" s="6" t="s">
        <v>79</v>
      </c>
      <c r="G4675" s="4" t="s">
        <v>2</v>
      </c>
      <c r="H4675" s="25">
        <v>4680</v>
      </c>
      <c r="I4675" s="8">
        <v>27.5</v>
      </c>
      <c r="J4675" s="9">
        <v>24.5</v>
      </c>
      <c r="K4675" s="7">
        <v>-3</v>
      </c>
      <c r="L4675" s="24">
        <f>+Tabla2[[#This Row],[Stock Inventario]]*Tabla2[[#This Row],[Coste LÃ­nea]]</f>
        <v>114660</v>
      </c>
      <c r="M4675" s="24">
        <f>+Tabla2[[#This Row],[Variación Stock]]*Tabla2[[#This Row],[Coste LÃ­nea]]</f>
        <v>-14040</v>
      </c>
      <c r="N4675" s="22" t="str">
        <f>+IF(Tabla2[[#This Row],[Variación Stock]]&gt;0,"Sobrante",IF(Tabla2[[#This Row],[Variación Stock]]&lt;0,"Faltante","Sin novedad"))</f>
        <v>Faltante</v>
      </c>
    </row>
    <row r="4676" spans="1:14" hidden="1" x14ac:dyDescent="0.25">
      <c r="A4676" s="11">
        <v>46037</v>
      </c>
      <c r="B4676" s="5" t="s">
        <v>283</v>
      </c>
      <c r="C4676" s="3" t="s">
        <v>284</v>
      </c>
      <c r="D4676" s="5" t="s">
        <v>119</v>
      </c>
      <c r="E4676" s="5" t="s">
        <v>117</v>
      </c>
      <c r="F4676" s="6" t="s">
        <v>10</v>
      </c>
      <c r="G4676" s="4" t="s">
        <v>2</v>
      </c>
      <c r="H4676" s="25">
        <v>17250</v>
      </c>
      <c r="I4676" s="8">
        <v>17</v>
      </c>
      <c r="J4676" s="9">
        <v>17</v>
      </c>
      <c r="K4676" s="7">
        <v>0</v>
      </c>
      <c r="L4676" s="24">
        <f>+Tabla2[[#This Row],[Stock Inventario]]*Tabla2[[#This Row],[Coste LÃ­nea]]</f>
        <v>293250</v>
      </c>
      <c r="M4676" s="24">
        <f>+Tabla2[[#This Row],[Variación Stock]]*Tabla2[[#This Row],[Coste LÃ­nea]]</f>
        <v>0</v>
      </c>
      <c r="N4676" s="22" t="str">
        <f>+IF(Tabla2[[#This Row],[Variación Stock]]&gt;0,"Sobrante",IF(Tabla2[[#This Row],[Variación Stock]]&lt;0,"Faltante","Sin novedad"))</f>
        <v>Sin novedad</v>
      </c>
    </row>
    <row r="4677" spans="1:14" hidden="1" x14ac:dyDescent="0.25">
      <c r="A4677" s="11">
        <v>46044</v>
      </c>
      <c r="B4677" s="5" t="s">
        <v>382</v>
      </c>
      <c r="C4677" s="3" t="s">
        <v>284</v>
      </c>
      <c r="D4677" s="5" t="s">
        <v>116</v>
      </c>
      <c r="E4677" s="5" t="s">
        <v>117</v>
      </c>
      <c r="F4677" s="6" t="s">
        <v>79</v>
      </c>
      <c r="G4677" s="4" t="s">
        <v>2</v>
      </c>
      <c r="H4677" s="25">
        <v>4850</v>
      </c>
      <c r="I4677" s="8">
        <v>58</v>
      </c>
      <c r="J4677" s="9">
        <v>56</v>
      </c>
      <c r="K4677" s="7">
        <v>-2</v>
      </c>
      <c r="L4677" s="24">
        <f>+Tabla2[[#This Row],[Stock Inventario]]*Tabla2[[#This Row],[Coste LÃ­nea]]</f>
        <v>271600</v>
      </c>
      <c r="M4677" s="24">
        <f>+Tabla2[[#This Row],[Variación Stock]]*Tabla2[[#This Row],[Coste LÃ­nea]]</f>
        <v>-9700</v>
      </c>
      <c r="N4677" s="22" t="str">
        <f>+IF(Tabla2[[#This Row],[Variación Stock]]&gt;0,"Sobrante",IF(Tabla2[[#This Row],[Variación Stock]]&lt;0,"Faltante","Sin novedad"))</f>
        <v>Faltante</v>
      </c>
    </row>
    <row r="4678" spans="1:14" hidden="1" x14ac:dyDescent="0.25">
      <c r="A4678" s="11">
        <v>46037</v>
      </c>
      <c r="B4678" s="5" t="s">
        <v>283</v>
      </c>
      <c r="C4678" s="3" t="s">
        <v>284</v>
      </c>
      <c r="D4678" s="5" t="s">
        <v>119</v>
      </c>
      <c r="E4678" s="5" t="s">
        <v>117</v>
      </c>
      <c r="F4678" s="6" t="s">
        <v>95</v>
      </c>
      <c r="G4678" s="4" t="s">
        <v>1</v>
      </c>
      <c r="H4678" s="25">
        <v>39</v>
      </c>
      <c r="I4678" s="8">
        <v>32148.444299999999</v>
      </c>
      <c r="J4678" s="9">
        <v>14348</v>
      </c>
      <c r="K4678" s="7">
        <v>-7800</v>
      </c>
      <c r="L4678" s="24">
        <f>+Tabla2[[#This Row],[Stock Inventario]]*Tabla2[[#This Row],[Coste LÃ­nea]]</f>
        <v>559572</v>
      </c>
      <c r="M4678" s="24">
        <f>+Tabla2[[#This Row],[Variación Stock]]*Tabla2[[#This Row],[Coste LÃ­nea]]</f>
        <v>-304200</v>
      </c>
      <c r="N4678" s="22" t="str">
        <f>+IF(Tabla2[[#This Row],[Variación Stock]]&gt;0,"Sobrante",IF(Tabla2[[#This Row],[Variación Stock]]&lt;0,"Faltante","Sin novedad"))</f>
        <v>Faltante</v>
      </c>
    </row>
    <row r="4679" spans="1:14" hidden="1" x14ac:dyDescent="0.25">
      <c r="A4679" s="11">
        <v>46037</v>
      </c>
      <c r="B4679" s="5" t="s">
        <v>283</v>
      </c>
      <c r="C4679" s="3" t="s">
        <v>284</v>
      </c>
      <c r="D4679" s="5" t="s">
        <v>119</v>
      </c>
      <c r="E4679" s="5" t="s">
        <v>117</v>
      </c>
      <c r="F4679" s="6" t="s">
        <v>94</v>
      </c>
      <c r="G4679" s="4" t="s">
        <v>2</v>
      </c>
      <c r="H4679" s="25">
        <v>1500</v>
      </c>
      <c r="I4679" s="8">
        <v>130</v>
      </c>
      <c r="J4679" s="9">
        <v>99</v>
      </c>
      <c r="K4679" s="7">
        <v>-31</v>
      </c>
      <c r="L4679" s="24">
        <f>+Tabla2[[#This Row],[Stock Inventario]]*Tabla2[[#This Row],[Coste LÃ­nea]]</f>
        <v>148500</v>
      </c>
      <c r="M4679" s="24">
        <f>+Tabla2[[#This Row],[Variación Stock]]*Tabla2[[#This Row],[Coste LÃ­nea]]</f>
        <v>-46500</v>
      </c>
      <c r="N4679" s="22" t="str">
        <f>+IF(Tabla2[[#This Row],[Variación Stock]]&gt;0,"Sobrante",IF(Tabla2[[#This Row],[Variación Stock]]&lt;0,"Faltante","Sin novedad"))</f>
        <v>Faltante</v>
      </c>
    </row>
    <row r="4680" spans="1:14" hidden="1" x14ac:dyDescent="0.25">
      <c r="A4680" s="11">
        <v>46037</v>
      </c>
      <c r="B4680" s="5" t="s">
        <v>283</v>
      </c>
      <c r="C4680" s="3" t="s">
        <v>284</v>
      </c>
      <c r="D4680" s="5" t="s">
        <v>119</v>
      </c>
      <c r="E4680" s="5" t="s">
        <v>117</v>
      </c>
      <c r="F4680" s="6" t="s">
        <v>11</v>
      </c>
      <c r="G4680" s="4" t="s">
        <v>2</v>
      </c>
      <c r="H4680" s="25">
        <v>415.976</v>
      </c>
      <c r="I4680" s="8">
        <v>294</v>
      </c>
      <c r="J4680" s="9">
        <v>452</v>
      </c>
      <c r="K4680" s="7">
        <v>158</v>
      </c>
      <c r="L4680" s="24">
        <f>+Tabla2[[#This Row],[Stock Inventario]]*Tabla2[[#This Row],[Coste LÃ­nea]]</f>
        <v>188021.152</v>
      </c>
      <c r="M4680" s="24">
        <f>+Tabla2[[#This Row],[Variación Stock]]*Tabla2[[#This Row],[Coste LÃ­nea]]</f>
        <v>65724.207999999999</v>
      </c>
      <c r="N4680" s="22" t="str">
        <f>+IF(Tabla2[[#This Row],[Variación Stock]]&gt;0,"Sobrante",IF(Tabla2[[#This Row],[Variación Stock]]&lt;0,"Faltante","Sin novedad"))</f>
        <v>Sobrante</v>
      </c>
    </row>
    <row r="4681" spans="1:14" hidden="1" x14ac:dyDescent="0.25">
      <c r="A4681" s="11">
        <v>46037</v>
      </c>
      <c r="B4681" s="5" t="s">
        <v>283</v>
      </c>
      <c r="C4681" s="3" t="s">
        <v>284</v>
      </c>
      <c r="D4681" s="5" t="s">
        <v>119</v>
      </c>
      <c r="E4681" s="5" t="s">
        <v>117</v>
      </c>
      <c r="F4681" s="6" t="s">
        <v>12</v>
      </c>
      <c r="G4681" s="4" t="s">
        <v>2</v>
      </c>
      <c r="H4681" s="25">
        <v>0</v>
      </c>
      <c r="I4681" s="8">
        <v>30</v>
      </c>
      <c r="J4681" s="9">
        <v>15</v>
      </c>
      <c r="K4681" s="7">
        <v>-15</v>
      </c>
      <c r="L4681" s="24">
        <f>+Tabla2[[#This Row],[Stock Inventario]]*Tabla2[[#This Row],[Coste LÃ­nea]]</f>
        <v>0</v>
      </c>
      <c r="M4681" s="24">
        <f>+Tabla2[[#This Row],[Variación Stock]]*Tabla2[[#This Row],[Coste LÃ­nea]]</f>
        <v>0</v>
      </c>
      <c r="N4681" s="22" t="str">
        <f>+IF(Tabla2[[#This Row],[Variación Stock]]&gt;0,"Sobrante",IF(Tabla2[[#This Row],[Variación Stock]]&lt;0,"Faltante","Sin novedad"))</f>
        <v>Faltante</v>
      </c>
    </row>
    <row r="4682" spans="1:14" hidden="1" x14ac:dyDescent="0.25">
      <c r="A4682" s="11">
        <v>46037</v>
      </c>
      <c r="B4682" s="5" t="s">
        <v>283</v>
      </c>
      <c r="C4682" s="3" t="s">
        <v>284</v>
      </c>
      <c r="D4682" s="5" t="s">
        <v>119</v>
      </c>
      <c r="E4682" s="5" t="s">
        <v>117</v>
      </c>
      <c r="F4682" s="6" t="s">
        <v>200</v>
      </c>
      <c r="G4682" s="4" t="s">
        <v>1</v>
      </c>
      <c r="H4682" s="25">
        <v>58.31</v>
      </c>
      <c r="I4682" s="8">
        <v>0</v>
      </c>
      <c r="J4682" s="9">
        <v>0</v>
      </c>
      <c r="K4682" s="7">
        <v>0</v>
      </c>
      <c r="L4682" s="24">
        <f>+Tabla2[[#This Row],[Stock Inventario]]*Tabla2[[#This Row],[Coste LÃ­nea]]</f>
        <v>0</v>
      </c>
      <c r="M4682" s="24">
        <f>+Tabla2[[#This Row],[Variación Stock]]*Tabla2[[#This Row],[Coste LÃ­nea]]</f>
        <v>0</v>
      </c>
      <c r="N4682" s="22" t="str">
        <f>+IF(Tabla2[[#This Row],[Variación Stock]]&gt;0,"Sobrante",IF(Tabla2[[#This Row],[Variación Stock]]&lt;0,"Faltante","Sin novedad"))</f>
        <v>Sin novedad</v>
      </c>
    </row>
    <row r="4683" spans="1:14" hidden="1" x14ac:dyDescent="0.25">
      <c r="A4683" s="11">
        <v>46037</v>
      </c>
      <c r="B4683" s="5" t="s">
        <v>283</v>
      </c>
      <c r="C4683" s="3" t="s">
        <v>284</v>
      </c>
      <c r="D4683" s="5" t="s">
        <v>116</v>
      </c>
      <c r="E4683" s="5" t="s">
        <v>117</v>
      </c>
      <c r="F4683" s="6" t="s">
        <v>5</v>
      </c>
      <c r="G4683" s="4" t="s">
        <v>1</v>
      </c>
      <c r="H4683" s="25">
        <v>22</v>
      </c>
      <c r="I4683" s="8">
        <v>3166.6667000000002</v>
      </c>
      <c r="J4683" s="9">
        <v>0</v>
      </c>
      <c r="K4683" s="7">
        <v>-3166.6666700000001</v>
      </c>
      <c r="L4683" s="24">
        <f>+Tabla2[[#This Row],[Stock Inventario]]*Tabla2[[#This Row],[Coste LÃ­nea]]</f>
        <v>0</v>
      </c>
      <c r="M4683" s="24">
        <f>+Tabla2[[#This Row],[Variación Stock]]*Tabla2[[#This Row],[Coste LÃ­nea]]</f>
        <v>-69666.666740000001</v>
      </c>
      <c r="N4683" s="22" t="str">
        <f>+IF(Tabla2[[#This Row],[Variación Stock]]&gt;0,"Sobrante",IF(Tabla2[[#This Row],[Variación Stock]]&lt;0,"Faltante","Sin novedad"))</f>
        <v>Faltante</v>
      </c>
    </row>
    <row r="4684" spans="1:14" hidden="1" x14ac:dyDescent="0.25">
      <c r="A4684" s="11">
        <v>46044</v>
      </c>
      <c r="B4684" s="5" t="s">
        <v>382</v>
      </c>
      <c r="C4684" s="3" t="s">
        <v>284</v>
      </c>
      <c r="D4684" s="5" t="s">
        <v>116</v>
      </c>
      <c r="E4684" s="5" t="s">
        <v>117</v>
      </c>
      <c r="F4684" s="6" t="s">
        <v>5</v>
      </c>
      <c r="G4684" s="4" t="s">
        <v>1</v>
      </c>
      <c r="H4684" s="25">
        <v>22</v>
      </c>
      <c r="I4684" s="8">
        <v>-12020</v>
      </c>
      <c r="J4684" s="9">
        <v>9300</v>
      </c>
      <c r="K4684" s="7">
        <v>21320</v>
      </c>
      <c r="L4684" s="24">
        <f>+Tabla2[[#This Row],[Stock Inventario]]*Tabla2[[#This Row],[Coste LÃ­nea]]</f>
        <v>204600</v>
      </c>
      <c r="M4684" s="24">
        <f>+Tabla2[[#This Row],[Variación Stock]]*Tabla2[[#This Row],[Coste LÃ­nea]]</f>
        <v>469040</v>
      </c>
      <c r="N4684" s="22" t="str">
        <f>+IF(Tabla2[[#This Row],[Variación Stock]]&gt;0,"Sobrante",IF(Tabla2[[#This Row],[Variación Stock]]&lt;0,"Faltante","Sin novedad"))</f>
        <v>Sobrante</v>
      </c>
    </row>
    <row r="4685" spans="1:14" hidden="1" x14ac:dyDescent="0.25">
      <c r="A4685" s="11">
        <v>46037</v>
      </c>
      <c r="B4685" s="5" t="s">
        <v>283</v>
      </c>
      <c r="C4685" s="3" t="s">
        <v>284</v>
      </c>
      <c r="D4685" s="5" t="s">
        <v>119</v>
      </c>
      <c r="E4685" s="5" t="s">
        <v>117</v>
      </c>
      <c r="F4685" s="6" t="s">
        <v>93</v>
      </c>
      <c r="G4685" s="4" t="s">
        <v>1</v>
      </c>
      <c r="H4685" s="25">
        <v>60</v>
      </c>
      <c r="I4685" s="8">
        <v>4181.8888999999999</v>
      </c>
      <c r="J4685" s="9">
        <v>2534</v>
      </c>
      <c r="K4685" s="7">
        <v>-1647.8888690000001</v>
      </c>
      <c r="L4685" s="24">
        <f>+Tabla2[[#This Row],[Stock Inventario]]*Tabla2[[#This Row],[Coste LÃ­nea]]</f>
        <v>152040</v>
      </c>
      <c r="M4685" s="24">
        <f>+Tabla2[[#This Row],[Variación Stock]]*Tabla2[[#This Row],[Coste LÃ­nea]]</f>
        <v>-98873.332140000013</v>
      </c>
      <c r="N4685" s="22" t="str">
        <f>+IF(Tabla2[[#This Row],[Variación Stock]]&gt;0,"Sobrante",IF(Tabla2[[#This Row],[Variación Stock]]&lt;0,"Faltante","Sin novedad"))</f>
        <v>Faltante</v>
      </c>
    </row>
    <row r="4686" spans="1:14" hidden="1" x14ac:dyDescent="0.25">
      <c r="A4686" s="11">
        <v>46037</v>
      </c>
      <c r="B4686" s="5" t="s">
        <v>283</v>
      </c>
      <c r="C4686" s="3" t="s">
        <v>284</v>
      </c>
      <c r="D4686" s="5" t="s">
        <v>116</v>
      </c>
      <c r="E4686" s="5" t="s">
        <v>117</v>
      </c>
      <c r="F4686" s="6" t="s">
        <v>7</v>
      </c>
      <c r="G4686" s="4" t="s">
        <v>2</v>
      </c>
      <c r="H4686" s="25">
        <v>12802.912621359999</v>
      </c>
      <c r="I4686" s="8">
        <v>130.5</v>
      </c>
      <c r="J4686" s="9">
        <v>116.5</v>
      </c>
      <c r="K4686" s="15">
        <v>-14</v>
      </c>
      <c r="L4686" s="24">
        <f>+Tabla2[[#This Row],[Stock Inventario]]*Tabla2[[#This Row],[Coste LÃ­nea]]</f>
        <v>1491539.3203884398</v>
      </c>
      <c r="M4686" s="24">
        <f>+Tabla2[[#This Row],[Variación Stock]]*Tabla2[[#This Row],[Coste LÃ­nea]]</f>
        <v>-179240.77669904</v>
      </c>
      <c r="N4686" s="22" t="str">
        <f>+IF(Tabla2[[#This Row],[Variación Stock]]&gt;0,"Sobrante",IF(Tabla2[[#This Row],[Variación Stock]]&lt;0,"Faltante","Sin novedad"))</f>
        <v>Faltante</v>
      </c>
    </row>
    <row r="4687" spans="1:14" hidden="1" x14ac:dyDescent="0.25">
      <c r="A4687" s="11">
        <v>46044</v>
      </c>
      <c r="B4687" s="5" t="s">
        <v>382</v>
      </c>
      <c r="C4687" s="3" t="s">
        <v>284</v>
      </c>
      <c r="D4687" s="5" t="s">
        <v>116</v>
      </c>
      <c r="E4687" s="5" t="s">
        <v>117</v>
      </c>
      <c r="F4687" s="6" t="s">
        <v>7</v>
      </c>
      <c r="G4687" s="4" t="s">
        <v>2</v>
      </c>
      <c r="H4687" s="25">
        <v>12764.705882349999</v>
      </c>
      <c r="I4687" s="8">
        <v>95.5</v>
      </c>
      <c r="J4687" s="9">
        <v>87.5</v>
      </c>
      <c r="K4687" s="15">
        <v>-8</v>
      </c>
      <c r="L4687" s="24">
        <f>+Tabla2[[#This Row],[Stock Inventario]]*Tabla2[[#This Row],[Coste LÃ­nea]]</f>
        <v>1116911.7647056249</v>
      </c>
      <c r="M4687" s="24">
        <f>+Tabla2[[#This Row],[Variación Stock]]*Tabla2[[#This Row],[Coste LÃ­nea]]</f>
        <v>-102117.64705879999</v>
      </c>
      <c r="N4687" s="22" t="str">
        <f>+IF(Tabla2[[#This Row],[Variación Stock]]&gt;0,"Sobrante",IF(Tabla2[[#This Row],[Variación Stock]]&lt;0,"Faltante","Sin novedad"))</f>
        <v>Faltante</v>
      </c>
    </row>
    <row r="4688" spans="1:14" hidden="1" x14ac:dyDescent="0.25">
      <c r="A4688" s="11">
        <v>46037</v>
      </c>
      <c r="B4688" s="5" t="s">
        <v>283</v>
      </c>
      <c r="C4688" s="3" t="s">
        <v>284</v>
      </c>
      <c r="D4688" s="5" t="s">
        <v>120</v>
      </c>
      <c r="E4688" s="5" t="s">
        <v>117</v>
      </c>
      <c r="F4688" s="6" t="s">
        <v>315</v>
      </c>
      <c r="G4688" s="4" t="s">
        <v>2</v>
      </c>
      <c r="H4688" s="25">
        <v>2168.6496757</v>
      </c>
      <c r="I4688" s="8">
        <v>9</v>
      </c>
      <c r="J4688" s="9">
        <v>9</v>
      </c>
      <c r="K4688" s="7">
        <v>0</v>
      </c>
      <c r="L4688" s="24">
        <f>+Tabla2[[#This Row],[Stock Inventario]]*Tabla2[[#This Row],[Coste LÃ­nea]]</f>
        <v>19517.847081299999</v>
      </c>
      <c r="M4688" s="24">
        <f>+Tabla2[[#This Row],[Variación Stock]]*Tabla2[[#This Row],[Coste LÃ­nea]]</f>
        <v>0</v>
      </c>
      <c r="N4688" s="22" t="str">
        <f>+IF(Tabla2[[#This Row],[Variación Stock]]&gt;0,"Sobrante",IF(Tabla2[[#This Row],[Variación Stock]]&lt;0,"Faltante","Sin novedad"))</f>
        <v>Sin novedad</v>
      </c>
    </row>
    <row r="4689" spans="1:14" hidden="1" x14ac:dyDescent="0.25">
      <c r="A4689" s="11">
        <v>46037</v>
      </c>
      <c r="B4689" s="5" t="s">
        <v>283</v>
      </c>
      <c r="C4689" s="3" t="s">
        <v>284</v>
      </c>
      <c r="D4689" s="5" t="s">
        <v>120</v>
      </c>
      <c r="E4689" s="5" t="s">
        <v>117</v>
      </c>
      <c r="F4689" s="6" t="s">
        <v>312</v>
      </c>
      <c r="G4689" s="4" t="s">
        <v>1</v>
      </c>
      <c r="H4689" s="25">
        <v>66.842553050000006</v>
      </c>
      <c r="I4689" s="8">
        <v>1178</v>
      </c>
      <c r="J4689" s="9">
        <v>1294</v>
      </c>
      <c r="K4689" s="7">
        <v>116</v>
      </c>
      <c r="L4689" s="24">
        <f>+Tabla2[[#This Row],[Stock Inventario]]*Tabla2[[#This Row],[Coste LÃ­nea]]</f>
        <v>86494.263646700012</v>
      </c>
      <c r="M4689" s="24">
        <f>+Tabla2[[#This Row],[Variación Stock]]*Tabla2[[#This Row],[Coste LÃ­nea]]</f>
        <v>7753.7361538000005</v>
      </c>
      <c r="N4689" s="22" t="str">
        <f>+IF(Tabla2[[#This Row],[Variación Stock]]&gt;0,"Sobrante",IF(Tabla2[[#This Row],[Variación Stock]]&lt;0,"Faltante","Sin novedad"))</f>
        <v>Sobrante</v>
      </c>
    </row>
    <row r="4690" spans="1:14" hidden="1" x14ac:dyDescent="0.25">
      <c r="A4690" s="11">
        <v>46044</v>
      </c>
      <c r="B4690" s="5" t="s">
        <v>382</v>
      </c>
      <c r="C4690" s="3" t="s">
        <v>284</v>
      </c>
      <c r="D4690" s="5" t="s">
        <v>120</v>
      </c>
      <c r="E4690" s="5" t="s">
        <v>117</v>
      </c>
      <c r="F4690" s="6" t="s">
        <v>312</v>
      </c>
      <c r="G4690" s="4" t="s">
        <v>1</v>
      </c>
      <c r="H4690" s="25">
        <v>78.540000000000006</v>
      </c>
      <c r="I4690" s="8">
        <v>-252</v>
      </c>
      <c r="J4690" s="9">
        <v>2000</v>
      </c>
      <c r="K4690" s="7">
        <v>2252</v>
      </c>
      <c r="L4690" s="24">
        <f>+Tabla2[[#This Row],[Stock Inventario]]*Tabla2[[#This Row],[Coste LÃ­nea]]</f>
        <v>157080</v>
      </c>
      <c r="M4690" s="24">
        <f>+Tabla2[[#This Row],[Variación Stock]]*Tabla2[[#This Row],[Coste LÃ­nea]]</f>
        <v>176872.08000000002</v>
      </c>
      <c r="N4690" s="22" t="str">
        <f>+IF(Tabla2[[#This Row],[Variación Stock]]&gt;0,"Sobrante",IF(Tabla2[[#This Row],[Variación Stock]]&lt;0,"Faltante","Sin novedad"))</f>
        <v>Sobrante</v>
      </c>
    </row>
    <row r="4691" spans="1:14" hidden="1" x14ac:dyDescent="0.25">
      <c r="A4691" s="11">
        <v>46037</v>
      </c>
      <c r="B4691" s="5" t="s">
        <v>283</v>
      </c>
      <c r="C4691" s="3" t="s">
        <v>284</v>
      </c>
      <c r="D4691" s="5" t="s">
        <v>120</v>
      </c>
      <c r="E4691" s="5" t="s">
        <v>117</v>
      </c>
      <c r="F4691" s="6" t="s">
        <v>318</v>
      </c>
      <c r="G4691" s="4" t="s">
        <v>2</v>
      </c>
      <c r="H4691" s="25">
        <v>4372.9455555000004</v>
      </c>
      <c r="I4691" s="8">
        <v>16</v>
      </c>
      <c r="J4691" s="9">
        <v>16</v>
      </c>
      <c r="K4691" s="7">
        <v>0</v>
      </c>
      <c r="L4691" s="24">
        <f>+Tabla2[[#This Row],[Stock Inventario]]*Tabla2[[#This Row],[Coste LÃ­nea]]</f>
        <v>69967.128888000007</v>
      </c>
      <c r="M4691" s="24">
        <f>+Tabla2[[#This Row],[Variación Stock]]*Tabla2[[#This Row],[Coste LÃ­nea]]</f>
        <v>0</v>
      </c>
      <c r="N4691" s="22" t="str">
        <f>+IF(Tabla2[[#This Row],[Variación Stock]]&gt;0,"Sobrante",IF(Tabla2[[#This Row],[Variación Stock]]&lt;0,"Faltante","Sin novedad"))</f>
        <v>Sin novedad</v>
      </c>
    </row>
    <row r="4692" spans="1:14" hidden="1" x14ac:dyDescent="0.25">
      <c r="A4692" s="11">
        <v>46037</v>
      </c>
      <c r="B4692" s="5" t="s">
        <v>283</v>
      </c>
      <c r="C4692" s="3" t="s">
        <v>284</v>
      </c>
      <c r="D4692" s="5" t="s">
        <v>120</v>
      </c>
      <c r="E4692" s="5" t="s">
        <v>117</v>
      </c>
      <c r="F4692" s="6" t="s">
        <v>319</v>
      </c>
      <c r="G4692" s="4" t="s">
        <v>2</v>
      </c>
      <c r="H4692" s="25">
        <v>2106.3735325100001</v>
      </c>
      <c r="I4692" s="8">
        <v>12</v>
      </c>
      <c r="J4692" s="9">
        <v>12</v>
      </c>
      <c r="K4692" s="7">
        <v>0</v>
      </c>
      <c r="L4692" s="24">
        <f>+Tabla2[[#This Row],[Stock Inventario]]*Tabla2[[#This Row],[Coste LÃ­nea]]</f>
        <v>25276.48239012</v>
      </c>
      <c r="M4692" s="24">
        <f>+Tabla2[[#This Row],[Variación Stock]]*Tabla2[[#This Row],[Coste LÃ­nea]]</f>
        <v>0</v>
      </c>
      <c r="N4692" s="22" t="str">
        <f>+IF(Tabla2[[#This Row],[Variación Stock]]&gt;0,"Sobrante",IF(Tabla2[[#This Row],[Variación Stock]]&lt;0,"Faltante","Sin novedad"))</f>
        <v>Sin novedad</v>
      </c>
    </row>
    <row r="4693" spans="1:14" hidden="1" x14ac:dyDescent="0.25">
      <c r="A4693" s="11">
        <v>46037</v>
      </c>
      <c r="B4693" s="5" t="s">
        <v>283</v>
      </c>
      <c r="C4693" s="3" t="s">
        <v>284</v>
      </c>
      <c r="D4693" s="5" t="s">
        <v>120</v>
      </c>
      <c r="E4693" s="5" t="s">
        <v>117</v>
      </c>
      <c r="F4693" s="6" t="s">
        <v>313</v>
      </c>
      <c r="G4693" s="4" t="s">
        <v>1</v>
      </c>
      <c r="H4693" s="25">
        <v>32.376289980000003</v>
      </c>
      <c r="I4693" s="8">
        <v>172</v>
      </c>
      <c r="J4693" s="9">
        <v>730</v>
      </c>
      <c r="K4693" s="7">
        <v>558</v>
      </c>
      <c r="L4693" s="24">
        <f>+Tabla2[[#This Row],[Stock Inventario]]*Tabla2[[#This Row],[Coste LÃ­nea]]</f>
        <v>23634.691685400001</v>
      </c>
      <c r="M4693" s="24">
        <f>+Tabla2[[#This Row],[Variación Stock]]*Tabla2[[#This Row],[Coste LÃ­nea]]</f>
        <v>18065.96980884</v>
      </c>
      <c r="N4693" s="22" t="str">
        <f>+IF(Tabla2[[#This Row],[Variación Stock]]&gt;0,"Sobrante",IF(Tabla2[[#This Row],[Variación Stock]]&lt;0,"Faltante","Sin novedad"))</f>
        <v>Sobrante</v>
      </c>
    </row>
    <row r="4694" spans="1:14" hidden="1" x14ac:dyDescent="0.25">
      <c r="A4694" s="11">
        <v>46044</v>
      </c>
      <c r="B4694" s="5" t="s">
        <v>382</v>
      </c>
      <c r="C4694" s="3" t="s">
        <v>284</v>
      </c>
      <c r="D4694" s="5" t="s">
        <v>120</v>
      </c>
      <c r="E4694" s="5" t="s">
        <v>117</v>
      </c>
      <c r="F4694" s="6" t="s">
        <v>313</v>
      </c>
      <c r="G4694" s="4" t="s">
        <v>1</v>
      </c>
      <c r="H4694" s="25">
        <v>38.537011829999997</v>
      </c>
      <c r="I4694" s="8">
        <v>230</v>
      </c>
      <c r="J4694" s="9">
        <v>2</v>
      </c>
      <c r="K4694" s="7">
        <v>-228</v>
      </c>
      <c r="L4694" s="24">
        <f>+Tabla2[[#This Row],[Stock Inventario]]*Tabla2[[#This Row],[Coste LÃ­nea]]</f>
        <v>77.074023659999995</v>
      </c>
      <c r="M4694" s="24">
        <f>+Tabla2[[#This Row],[Variación Stock]]*Tabla2[[#This Row],[Coste LÃ­nea]]</f>
        <v>-8786.4386972399989</v>
      </c>
      <c r="N4694" s="22" t="str">
        <f>+IF(Tabla2[[#This Row],[Variación Stock]]&gt;0,"Sobrante",IF(Tabla2[[#This Row],[Variación Stock]]&lt;0,"Faltante","Sin novedad"))</f>
        <v>Faltante</v>
      </c>
    </row>
    <row r="4695" spans="1:14" hidden="1" x14ac:dyDescent="0.25">
      <c r="A4695" s="11">
        <v>46037</v>
      </c>
      <c r="B4695" s="5" t="s">
        <v>283</v>
      </c>
      <c r="C4695" s="3" t="s">
        <v>284</v>
      </c>
      <c r="D4695" s="5" t="s">
        <v>120</v>
      </c>
      <c r="E4695" s="5" t="s">
        <v>117</v>
      </c>
      <c r="F4695" s="6" t="s">
        <v>321</v>
      </c>
      <c r="G4695" s="4" t="s">
        <v>2</v>
      </c>
      <c r="H4695" s="25">
        <v>16272.235458220001</v>
      </c>
      <c r="I4695" s="8">
        <v>16</v>
      </c>
      <c r="J4695" s="9">
        <v>15</v>
      </c>
      <c r="K4695" s="15">
        <v>-1</v>
      </c>
      <c r="L4695" s="24">
        <f>+Tabla2[[#This Row],[Stock Inventario]]*Tabla2[[#This Row],[Coste LÃ­nea]]</f>
        <v>244083.5318733</v>
      </c>
      <c r="M4695" s="24">
        <f>+Tabla2[[#This Row],[Variación Stock]]*Tabla2[[#This Row],[Coste LÃ­nea]]</f>
        <v>-16272.235458220001</v>
      </c>
      <c r="N4695" s="22" t="str">
        <f>+IF(Tabla2[[#This Row],[Variación Stock]]&gt;0,"Sobrante",IF(Tabla2[[#This Row],[Variación Stock]]&lt;0,"Faltante","Sin novedad"))</f>
        <v>Faltante</v>
      </c>
    </row>
    <row r="4696" spans="1:14" hidden="1" x14ac:dyDescent="0.25">
      <c r="A4696" s="11">
        <v>46037</v>
      </c>
      <c r="B4696" s="5" t="s">
        <v>283</v>
      </c>
      <c r="C4696" s="3" t="s">
        <v>284</v>
      </c>
      <c r="D4696" s="5" t="s">
        <v>120</v>
      </c>
      <c r="E4696" s="5" t="s">
        <v>117</v>
      </c>
      <c r="F4696" s="6" t="s">
        <v>314</v>
      </c>
      <c r="G4696" s="4" t="s">
        <v>2</v>
      </c>
      <c r="H4696" s="25">
        <v>776.49056369000004</v>
      </c>
      <c r="I4696" s="8">
        <v>-24</v>
      </c>
      <c r="J4696" s="9">
        <v>54</v>
      </c>
      <c r="K4696" s="7">
        <v>78</v>
      </c>
      <c r="L4696" s="24">
        <f>+Tabla2[[#This Row],[Stock Inventario]]*Tabla2[[#This Row],[Coste LÃ­nea]]</f>
        <v>41930.49043926</v>
      </c>
      <c r="M4696" s="24">
        <f>+Tabla2[[#This Row],[Variación Stock]]*Tabla2[[#This Row],[Coste LÃ­nea]]</f>
        <v>60566.263967820007</v>
      </c>
      <c r="N4696" s="22" t="str">
        <f>+IF(Tabla2[[#This Row],[Variación Stock]]&gt;0,"Sobrante",IF(Tabla2[[#This Row],[Variación Stock]]&lt;0,"Faltante","Sin novedad"))</f>
        <v>Sobrante</v>
      </c>
    </row>
    <row r="4697" spans="1:14" hidden="1" x14ac:dyDescent="0.25">
      <c r="A4697" s="11">
        <v>46037</v>
      </c>
      <c r="B4697" s="5" t="s">
        <v>283</v>
      </c>
      <c r="C4697" s="3" t="s">
        <v>284</v>
      </c>
      <c r="D4697" s="5" t="s">
        <v>323</v>
      </c>
      <c r="E4697" s="5" t="s">
        <v>117</v>
      </c>
      <c r="F4697" s="6" t="s">
        <v>324</v>
      </c>
      <c r="G4697" s="4" t="s">
        <v>2</v>
      </c>
      <c r="H4697" s="25">
        <v>9211.16803282</v>
      </c>
      <c r="I4697" s="8">
        <v>7</v>
      </c>
      <c r="J4697" s="9">
        <v>7</v>
      </c>
      <c r="K4697" s="7">
        <v>0</v>
      </c>
      <c r="L4697" s="24">
        <f>+Tabla2[[#This Row],[Stock Inventario]]*Tabla2[[#This Row],[Coste LÃ­nea]]</f>
        <v>64478.176229739998</v>
      </c>
      <c r="M4697" s="24">
        <f>+Tabla2[[#This Row],[Variación Stock]]*Tabla2[[#This Row],[Coste LÃ­nea]]</f>
        <v>0</v>
      </c>
      <c r="N4697" s="22" t="str">
        <f>+IF(Tabla2[[#This Row],[Variación Stock]]&gt;0,"Sobrante",IF(Tabla2[[#This Row],[Variación Stock]]&lt;0,"Faltante","Sin novedad"))</f>
        <v>Sin novedad</v>
      </c>
    </row>
    <row r="4698" spans="1:14" hidden="1" x14ac:dyDescent="0.25">
      <c r="A4698" s="11">
        <v>46044</v>
      </c>
      <c r="B4698" s="5" t="s">
        <v>382</v>
      </c>
      <c r="C4698" s="3" t="s">
        <v>284</v>
      </c>
      <c r="D4698" s="5" t="s">
        <v>120</v>
      </c>
      <c r="E4698" s="5" t="s">
        <v>117</v>
      </c>
      <c r="F4698" s="6" t="s">
        <v>314</v>
      </c>
      <c r="G4698" s="4" t="s">
        <v>2</v>
      </c>
      <c r="H4698" s="25">
        <v>656.61771185999999</v>
      </c>
      <c r="I4698" s="8">
        <v>38</v>
      </c>
      <c r="J4698" s="9">
        <v>34</v>
      </c>
      <c r="K4698" s="7">
        <v>-4</v>
      </c>
      <c r="L4698" s="24">
        <f>+Tabla2[[#This Row],[Stock Inventario]]*Tabla2[[#This Row],[Coste LÃ­nea]]</f>
        <v>22325.002203240001</v>
      </c>
      <c r="M4698" s="24">
        <f>+Tabla2[[#This Row],[Variación Stock]]*Tabla2[[#This Row],[Coste LÃ­nea]]</f>
        <v>-2626.4708474399999</v>
      </c>
      <c r="N4698" s="22" t="str">
        <f>+IF(Tabla2[[#This Row],[Variación Stock]]&gt;0,"Sobrante",IF(Tabla2[[#This Row],[Variación Stock]]&lt;0,"Faltante","Sin novedad"))</f>
        <v>Faltante</v>
      </c>
    </row>
    <row r="4699" spans="1:14" hidden="1" x14ac:dyDescent="0.25">
      <c r="A4699" s="11">
        <v>46037</v>
      </c>
      <c r="B4699" s="5" t="s">
        <v>283</v>
      </c>
      <c r="C4699" s="3" t="s">
        <v>284</v>
      </c>
      <c r="D4699" s="5" t="s">
        <v>323</v>
      </c>
      <c r="E4699" s="5" t="s">
        <v>117</v>
      </c>
      <c r="F4699" s="6" t="s">
        <v>325</v>
      </c>
      <c r="G4699" s="4" t="s">
        <v>2</v>
      </c>
      <c r="H4699" s="25">
        <v>2050.0821666000002</v>
      </c>
      <c r="I4699" s="8">
        <v>-27</v>
      </c>
      <c r="J4699" s="9">
        <v>43</v>
      </c>
      <c r="K4699" s="7">
        <v>70</v>
      </c>
      <c r="L4699" s="24">
        <f>+Tabla2[[#This Row],[Stock Inventario]]*Tabla2[[#This Row],[Coste LÃ­nea]]</f>
        <v>88153.533163800006</v>
      </c>
      <c r="M4699" s="24">
        <f>+Tabla2[[#This Row],[Variación Stock]]*Tabla2[[#This Row],[Coste LÃ­nea]]</f>
        <v>143505.75166200002</v>
      </c>
      <c r="N4699" s="22" t="str">
        <f>+IF(Tabla2[[#This Row],[Variación Stock]]&gt;0,"Sobrante",IF(Tabla2[[#This Row],[Variación Stock]]&lt;0,"Faltante","Sin novedad"))</f>
        <v>Sobrante</v>
      </c>
    </row>
    <row r="4700" spans="1:14" hidden="1" x14ac:dyDescent="0.25">
      <c r="A4700" s="11">
        <v>46044</v>
      </c>
      <c r="B4700" s="5" t="s">
        <v>382</v>
      </c>
      <c r="C4700" s="3" t="s">
        <v>284</v>
      </c>
      <c r="D4700" s="5" t="s">
        <v>323</v>
      </c>
      <c r="E4700" s="5" t="s">
        <v>117</v>
      </c>
      <c r="F4700" s="6" t="s">
        <v>325</v>
      </c>
      <c r="G4700" s="4" t="s">
        <v>2</v>
      </c>
      <c r="H4700" s="25">
        <v>2015.4481796</v>
      </c>
      <c r="I4700" s="8">
        <v>55</v>
      </c>
      <c r="J4700" s="9">
        <v>57</v>
      </c>
      <c r="K4700" s="7">
        <v>2</v>
      </c>
      <c r="L4700" s="24">
        <f>+Tabla2[[#This Row],[Stock Inventario]]*Tabla2[[#This Row],[Coste LÃ­nea]]</f>
        <v>114880.5462372</v>
      </c>
      <c r="M4700" s="24">
        <f>+Tabla2[[#This Row],[Variación Stock]]*Tabla2[[#This Row],[Coste LÃ­nea]]</f>
        <v>4030.8963592</v>
      </c>
      <c r="N4700" s="22" t="str">
        <f>+IF(Tabla2[[#This Row],[Variación Stock]]&gt;0,"Sobrante",IF(Tabla2[[#This Row],[Variación Stock]]&lt;0,"Faltante","Sin novedad"))</f>
        <v>Sobrante</v>
      </c>
    </row>
    <row r="4701" spans="1:14" hidden="1" x14ac:dyDescent="0.25">
      <c r="A4701" s="11">
        <v>46044</v>
      </c>
      <c r="B4701" s="5" t="s">
        <v>382</v>
      </c>
      <c r="C4701" s="3" t="s">
        <v>284</v>
      </c>
      <c r="D4701" s="5" t="s">
        <v>120</v>
      </c>
      <c r="E4701" s="5" t="s">
        <v>117</v>
      </c>
      <c r="F4701" s="6" t="s">
        <v>315</v>
      </c>
      <c r="G4701" s="4" t="s">
        <v>2</v>
      </c>
      <c r="H4701" s="25">
        <v>2224.8677035000001</v>
      </c>
      <c r="I4701" s="8">
        <v>13</v>
      </c>
      <c r="J4701" s="9">
        <v>11</v>
      </c>
      <c r="K4701" s="7">
        <v>-2</v>
      </c>
      <c r="L4701" s="24">
        <f>+Tabla2[[#This Row],[Stock Inventario]]*Tabla2[[#This Row],[Coste LÃ­nea]]</f>
        <v>24473.544738500001</v>
      </c>
      <c r="M4701" s="24">
        <f>+Tabla2[[#This Row],[Variación Stock]]*Tabla2[[#This Row],[Coste LÃ­nea]]</f>
        <v>-4449.7354070000001</v>
      </c>
      <c r="N4701" s="22" t="str">
        <f>+IF(Tabla2[[#This Row],[Variación Stock]]&gt;0,"Sobrante",IF(Tabla2[[#This Row],[Variación Stock]]&lt;0,"Faltante","Sin novedad"))</f>
        <v>Faltante</v>
      </c>
    </row>
    <row r="4702" spans="1:14" hidden="1" x14ac:dyDescent="0.25">
      <c r="A4702" s="11">
        <v>46037</v>
      </c>
      <c r="B4702" s="5" t="s">
        <v>283</v>
      </c>
      <c r="C4702" s="3" t="s">
        <v>284</v>
      </c>
      <c r="D4702" s="5" t="s">
        <v>120</v>
      </c>
      <c r="E4702" s="5" t="s">
        <v>117</v>
      </c>
      <c r="F4702" s="6" t="s">
        <v>316</v>
      </c>
      <c r="G4702" s="4" t="s">
        <v>2</v>
      </c>
      <c r="H4702" s="25">
        <v>1521.0488106</v>
      </c>
      <c r="I4702" s="8">
        <v>-9</v>
      </c>
      <c r="J4702" s="9">
        <v>66</v>
      </c>
      <c r="K4702" s="7">
        <v>75</v>
      </c>
      <c r="L4702" s="24">
        <f>+Tabla2[[#This Row],[Stock Inventario]]*Tabla2[[#This Row],[Coste LÃ­nea]]</f>
        <v>100389.2214996</v>
      </c>
      <c r="M4702" s="24">
        <f>+Tabla2[[#This Row],[Variación Stock]]*Tabla2[[#This Row],[Coste LÃ­nea]]</f>
        <v>114078.660795</v>
      </c>
      <c r="N4702" s="22" t="str">
        <f>+IF(Tabla2[[#This Row],[Variación Stock]]&gt;0,"Sobrante",IF(Tabla2[[#This Row],[Variación Stock]]&lt;0,"Faltante","Sin novedad"))</f>
        <v>Sobrante</v>
      </c>
    </row>
    <row r="4703" spans="1:14" hidden="1" x14ac:dyDescent="0.25">
      <c r="A4703" s="11">
        <v>46037</v>
      </c>
      <c r="B4703" s="5" t="s">
        <v>283</v>
      </c>
      <c r="C4703" s="3" t="s">
        <v>284</v>
      </c>
      <c r="D4703" s="5" t="s">
        <v>323</v>
      </c>
      <c r="E4703" s="5" t="s">
        <v>117</v>
      </c>
      <c r="F4703" s="6" t="s">
        <v>330</v>
      </c>
      <c r="G4703" s="4" t="s">
        <v>2</v>
      </c>
      <c r="H4703" s="25">
        <v>7663.94653397</v>
      </c>
      <c r="I4703" s="8">
        <v>69</v>
      </c>
      <c r="J4703" s="9">
        <v>69</v>
      </c>
      <c r="K4703" s="7">
        <v>0</v>
      </c>
      <c r="L4703" s="24">
        <f>+Tabla2[[#This Row],[Stock Inventario]]*Tabla2[[#This Row],[Coste LÃ­nea]]</f>
        <v>528812.31084393</v>
      </c>
      <c r="M4703" s="24">
        <f>+Tabla2[[#This Row],[Variación Stock]]*Tabla2[[#This Row],[Coste LÃ­nea]]</f>
        <v>0</v>
      </c>
      <c r="N4703" s="22" t="str">
        <f>+IF(Tabla2[[#This Row],[Variación Stock]]&gt;0,"Sobrante",IF(Tabla2[[#This Row],[Variación Stock]]&lt;0,"Faltante","Sin novedad"))</f>
        <v>Sin novedad</v>
      </c>
    </row>
    <row r="4704" spans="1:14" x14ac:dyDescent="0.25">
      <c r="A4704" s="11">
        <v>46044</v>
      </c>
      <c r="B4704" s="5" t="s">
        <v>382</v>
      </c>
      <c r="C4704" s="3" t="s">
        <v>284</v>
      </c>
      <c r="D4704" s="5" t="s">
        <v>111</v>
      </c>
      <c r="E4704" s="5" t="s">
        <v>112</v>
      </c>
      <c r="F4704" s="6" t="s">
        <v>57</v>
      </c>
      <c r="G4704" s="4" t="s">
        <v>0</v>
      </c>
      <c r="H4704" s="25">
        <v>1993.59090909</v>
      </c>
      <c r="I4704" s="8">
        <v>34.68</v>
      </c>
      <c r="J4704" s="9">
        <v>44</v>
      </c>
      <c r="K4704" s="7">
        <v>9.32</v>
      </c>
      <c r="L4704" s="24">
        <f>+Tabla2[[#This Row],[Stock Inventario]]*Tabla2[[#This Row],[Coste LÃ­nea]]</f>
        <v>87717.999999959997</v>
      </c>
      <c r="M4704" s="24">
        <f>+Tabla2[[#This Row],[Variación Stock]]*Tabla2[[#This Row],[Coste LÃ­nea]]</f>
        <v>18580.2672727188</v>
      </c>
      <c r="N4704" s="22" t="str">
        <f>+IF(Tabla2[[#This Row],[Variación Stock]]&gt;0,"Sobrante",IF(Tabla2[[#This Row],[Variación Stock]]&lt;0,"Faltante","Sin novedad"))</f>
        <v>Sobrante</v>
      </c>
    </row>
    <row r="4705" spans="1:14" hidden="1" x14ac:dyDescent="0.25">
      <c r="A4705" s="11">
        <v>46044</v>
      </c>
      <c r="B4705" s="5" t="s">
        <v>382</v>
      </c>
      <c r="C4705" s="3" t="s">
        <v>284</v>
      </c>
      <c r="D4705" s="5" t="s">
        <v>119</v>
      </c>
      <c r="E4705" s="5" t="s">
        <v>117</v>
      </c>
      <c r="F4705" s="6" t="s">
        <v>94</v>
      </c>
      <c r="G4705" s="4" t="s">
        <v>2</v>
      </c>
      <c r="H4705" s="25">
        <v>1300</v>
      </c>
      <c r="I4705" s="8">
        <v>96</v>
      </c>
      <c r="J4705" s="9">
        <v>155</v>
      </c>
      <c r="K4705" s="7">
        <v>59</v>
      </c>
      <c r="L4705" s="24">
        <f>+Tabla2[[#This Row],[Stock Inventario]]*Tabla2[[#This Row],[Coste LÃ­nea]]</f>
        <v>201500</v>
      </c>
      <c r="M4705" s="24">
        <f>+Tabla2[[#This Row],[Variación Stock]]*Tabla2[[#This Row],[Coste LÃ­nea]]</f>
        <v>76700</v>
      </c>
      <c r="N4705" s="22" t="str">
        <f>+IF(Tabla2[[#This Row],[Variación Stock]]&gt;0,"Sobrante",IF(Tabla2[[#This Row],[Variación Stock]]&lt;0,"Faltante","Sin novedad"))</f>
        <v>Sobrante</v>
      </c>
    </row>
    <row r="4706" spans="1:14" x14ac:dyDescent="0.25">
      <c r="A4706" s="11">
        <v>46037</v>
      </c>
      <c r="B4706" s="5" t="s">
        <v>283</v>
      </c>
      <c r="C4706" s="3" t="s">
        <v>284</v>
      </c>
      <c r="D4706" s="5" t="s">
        <v>121</v>
      </c>
      <c r="E4706" s="5" t="s">
        <v>112</v>
      </c>
      <c r="F4706" s="6" t="s">
        <v>333</v>
      </c>
      <c r="G4706" s="4" t="s">
        <v>0</v>
      </c>
      <c r="H4706" s="25">
        <v>3055.80310022</v>
      </c>
      <c r="I4706" s="8">
        <v>41</v>
      </c>
      <c r="J4706" s="9">
        <v>41</v>
      </c>
      <c r="K4706" s="7">
        <v>0</v>
      </c>
      <c r="L4706" s="24">
        <f>+Tabla2[[#This Row],[Stock Inventario]]*Tabla2[[#This Row],[Coste LÃ­nea]]</f>
        <v>125287.92710902001</v>
      </c>
      <c r="M4706" s="24">
        <f>+Tabla2[[#This Row],[Variación Stock]]*Tabla2[[#This Row],[Coste LÃ­nea]]</f>
        <v>0</v>
      </c>
      <c r="N4706" s="22" t="str">
        <f>+IF(Tabla2[[#This Row],[Variación Stock]]&gt;0,"Sobrante",IF(Tabla2[[#This Row],[Variación Stock]]&lt;0,"Faltante","Sin novedad"))</f>
        <v>Sin novedad</v>
      </c>
    </row>
    <row r="4707" spans="1:14" x14ac:dyDescent="0.25">
      <c r="A4707" s="11">
        <v>46037</v>
      </c>
      <c r="B4707" s="5" t="s">
        <v>283</v>
      </c>
      <c r="C4707" s="3" t="s">
        <v>284</v>
      </c>
      <c r="D4707" s="5" t="s">
        <v>121</v>
      </c>
      <c r="E4707" s="5" t="s">
        <v>112</v>
      </c>
      <c r="F4707" s="6" t="s">
        <v>334</v>
      </c>
      <c r="G4707" s="4" t="s">
        <v>0</v>
      </c>
      <c r="H4707" s="25">
        <v>8239.9012388899991</v>
      </c>
      <c r="I4707" s="8">
        <v>68</v>
      </c>
      <c r="J4707" s="9">
        <v>68</v>
      </c>
      <c r="K4707" s="7">
        <v>0</v>
      </c>
      <c r="L4707" s="24">
        <f>+Tabla2[[#This Row],[Stock Inventario]]*Tabla2[[#This Row],[Coste LÃ­nea]]</f>
        <v>560313.28424451989</v>
      </c>
      <c r="M4707" s="24">
        <f>+Tabla2[[#This Row],[Variación Stock]]*Tabla2[[#This Row],[Coste LÃ­nea]]</f>
        <v>0</v>
      </c>
      <c r="N4707" s="22" t="str">
        <f>+IF(Tabla2[[#This Row],[Variación Stock]]&gt;0,"Sobrante",IF(Tabla2[[#This Row],[Variación Stock]]&lt;0,"Faltante","Sin novedad"))</f>
        <v>Sin novedad</v>
      </c>
    </row>
    <row r="4708" spans="1:14" x14ac:dyDescent="0.25">
      <c r="A4708" s="11">
        <v>46037</v>
      </c>
      <c r="B4708" s="5" t="s">
        <v>283</v>
      </c>
      <c r="C4708" s="3" t="s">
        <v>284</v>
      </c>
      <c r="D4708" s="5" t="s">
        <v>121</v>
      </c>
      <c r="E4708" s="5" t="s">
        <v>112</v>
      </c>
      <c r="F4708" s="6" t="s">
        <v>335</v>
      </c>
      <c r="G4708" s="4" t="s">
        <v>0</v>
      </c>
      <c r="H4708" s="25">
        <v>4187.4239350999997</v>
      </c>
      <c r="I4708" s="8">
        <v>42</v>
      </c>
      <c r="J4708" s="9">
        <v>42</v>
      </c>
      <c r="K4708" s="7">
        <v>0</v>
      </c>
      <c r="L4708" s="24">
        <f>+Tabla2[[#This Row],[Stock Inventario]]*Tabla2[[#This Row],[Coste LÃ­nea]]</f>
        <v>175871.80527419999</v>
      </c>
      <c r="M4708" s="24">
        <f>+Tabla2[[#This Row],[Variación Stock]]*Tabla2[[#This Row],[Coste LÃ­nea]]</f>
        <v>0</v>
      </c>
      <c r="N4708" s="22" t="str">
        <f>+IF(Tabla2[[#This Row],[Variación Stock]]&gt;0,"Sobrante",IF(Tabla2[[#This Row],[Variación Stock]]&lt;0,"Faltante","Sin novedad"))</f>
        <v>Sin novedad</v>
      </c>
    </row>
    <row r="4709" spans="1:14" x14ac:dyDescent="0.25">
      <c r="A4709" s="11">
        <v>46037</v>
      </c>
      <c r="B4709" s="5" t="s">
        <v>283</v>
      </c>
      <c r="C4709" s="3" t="s">
        <v>284</v>
      </c>
      <c r="D4709" s="5" t="s">
        <v>111</v>
      </c>
      <c r="E4709" s="5" t="s">
        <v>112</v>
      </c>
      <c r="F4709" s="6" t="s">
        <v>25</v>
      </c>
      <c r="G4709" s="4" t="s">
        <v>0</v>
      </c>
      <c r="H4709" s="25">
        <v>6003.25</v>
      </c>
      <c r="I4709" s="8">
        <v>27.34</v>
      </c>
      <c r="J4709" s="9">
        <v>26</v>
      </c>
      <c r="K4709" s="7">
        <v>-1.34</v>
      </c>
      <c r="L4709" s="24">
        <f>+Tabla2[[#This Row],[Stock Inventario]]*Tabla2[[#This Row],[Coste LÃ­nea]]</f>
        <v>156084.5</v>
      </c>
      <c r="M4709" s="24">
        <f>+Tabla2[[#This Row],[Variación Stock]]*Tabla2[[#This Row],[Coste LÃ­nea]]</f>
        <v>-8044.3550000000005</v>
      </c>
      <c r="N4709" s="22" t="str">
        <f>+IF(Tabla2[[#This Row],[Variación Stock]]&gt;0,"Sobrante",IF(Tabla2[[#This Row],[Variación Stock]]&lt;0,"Faltante","Sin novedad"))</f>
        <v>Faltante</v>
      </c>
    </row>
    <row r="4710" spans="1:14" x14ac:dyDescent="0.25">
      <c r="A4710" s="11">
        <v>46044</v>
      </c>
      <c r="B4710" s="5" t="s">
        <v>382</v>
      </c>
      <c r="C4710" s="3" t="s">
        <v>284</v>
      </c>
      <c r="D4710" s="5" t="s">
        <v>111</v>
      </c>
      <c r="E4710" s="5" t="s">
        <v>112</v>
      </c>
      <c r="F4710" s="6" t="s">
        <v>25</v>
      </c>
      <c r="G4710" s="4" t="s">
        <v>0</v>
      </c>
      <c r="H4710" s="25">
        <v>6003.25</v>
      </c>
      <c r="I4710" s="8">
        <v>24.68</v>
      </c>
      <c r="J4710" s="9">
        <v>26</v>
      </c>
      <c r="K4710" s="7">
        <v>1.32</v>
      </c>
      <c r="L4710" s="24">
        <f>+Tabla2[[#This Row],[Stock Inventario]]*Tabla2[[#This Row],[Coste LÃ­nea]]</f>
        <v>156084.5</v>
      </c>
      <c r="M4710" s="24">
        <f>+Tabla2[[#This Row],[Variación Stock]]*Tabla2[[#This Row],[Coste LÃ­nea]]</f>
        <v>7924.29</v>
      </c>
      <c r="N4710" s="22" t="str">
        <f>+IF(Tabla2[[#This Row],[Variación Stock]]&gt;0,"Sobrante",IF(Tabla2[[#This Row],[Variación Stock]]&lt;0,"Faltante","Sin novedad"))</f>
        <v>Sobrante</v>
      </c>
    </row>
    <row r="4711" spans="1:14" x14ac:dyDescent="0.25">
      <c r="A4711" s="11">
        <v>46037</v>
      </c>
      <c r="B4711" s="5" t="s">
        <v>283</v>
      </c>
      <c r="C4711" s="3" t="s">
        <v>284</v>
      </c>
      <c r="D4711" s="5" t="s">
        <v>122</v>
      </c>
      <c r="E4711" s="5" t="s">
        <v>112</v>
      </c>
      <c r="F4711" s="6" t="s">
        <v>99</v>
      </c>
      <c r="G4711" s="4" t="s">
        <v>2</v>
      </c>
      <c r="H4711" s="25">
        <v>7330</v>
      </c>
      <c r="I4711" s="8">
        <v>68</v>
      </c>
      <c r="J4711" s="9">
        <v>68</v>
      </c>
      <c r="K4711" s="7">
        <v>0</v>
      </c>
      <c r="L4711" s="24">
        <f>+Tabla2[[#This Row],[Stock Inventario]]*Tabla2[[#This Row],[Coste LÃ­nea]]</f>
        <v>498440</v>
      </c>
      <c r="M4711" s="24">
        <f>+Tabla2[[#This Row],[Variación Stock]]*Tabla2[[#This Row],[Coste LÃ­nea]]</f>
        <v>0</v>
      </c>
      <c r="N4711" s="22" t="str">
        <f>+IF(Tabla2[[#This Row],[Variación Stock]]&gt;0,"Sobrante",IF(Tabla2[[#This Row],[Variación Stock]]&lt;0,"Faltante","Sin novedad"))</f>
        <v>Sin novedad</v>
      </c>
    </row>
    <row r="4712" spans="1:14" x14ac:dyDescent="0.25">
      <c r="A4712" s="11">
        <v>46037</v>
      </c>
      <c r="B4712" s="5" t="s">
        <v>283</v>
      </c>
      <c r="C4712" s="3" t="s">
        <v>284</v>
      </c>
      <c r="D4712" s="5" t="s">
        <v>122</v>
      </c>
      <c r="E4712" s="5" t="s">
        <v>112</v>
      </c>
      <c r="F4712" s="6" t="s">
        <v>100</v>
      </c>
      <c r="G4712" s="4" t="s">
        <v>2</v>
      </c>
      <c r="H4712" s="25">
        <v>7857</v>
      </c>
      <c r="I4712" s="8">
        <v>58</v>
      </c>
      <c r="J4712" s="9">
        <v>58</v>
      </c>
      <c r="K4712" s="7">
        <v>0</v>
      </c>
      <c r="L4712" s="24">
        <f>+Tabla2[[#This Row],[Stock Inventario]]*Tabla2[[#This Row],[Coste LÃ­nea]]</f>
        <v>455706</v>
      </c>
      <c r="M4712" s="24">
        <f>+Tabla2[[#This Row],[Variación Stock]]*Tabla2[[#This Row],[Coste LÃ­nea]]</f>
        <v>0</v>
      </c>
      <c r="N4712" s="22" t="str">
        <f>+IF(Tabla2[[#This Row],[Variación Stock]]&gt;0,"Sobrante",IF(Tabla2[[#This Row],[Variación Stock]]&lt;0,"Faltante","Sin novedad"))</f>
        <v>Sin novedad</v>
      </c>
    </row>
    <row r="4713" spans="1:14" x14ac:dyDescent="0.25">
      <c r="A4713" s="11">
        <v>46037</v>
      </c>
      <c r="B4713" s="5" t="s">
        <v>283</v>
      </c>
      <c r="C4713" s="3" t="s">
        <v>284</v>
      </c>
      <c r="D4713" s="5" t="s">
        <v>122</v>
      </c>
      <c r="E4713" s="5" t="s">
        <v>112</v>
      </c>
      <c r="F4713" s="6" t="s">
        <v>97</v>
      </c>
      <c r="G4713" s="4" t="s">
        <v>2</v>
      </c>
      <c r="H4713" s="25">
        <v>1234.3916666699999</v>
      </c>
      <c r="I4713" s="8">
        <v>99</v>
      </c>
      <c r="J4713" s="9">
        <v>98</v>
      </c>
      <c r="K4713" s="15">
        <v>-1</v>
      </c>
      <c r="L4713" s="24">
        <f>+Tabla2[[#This Row],[Stock Inventario]]*Tabla2[[#This Row],[Coste LÃ­nea]]</f>
        <v>120970.38333365999</v>
      </c>
      <c r="M4713" s="24">
        <f>+Tabla2[[#This Row],[Variación Stock]]*Tabla2[[#This Row],[Coste LÃ­nea]]</f>
        <v>-1234.3916666699999</v>
      </c>
      <c r="N4713" s="22" t="str">
        <f>+IF(Tabla2[[#This Row],[Variación Stock]]&gt;0,"Sobrante",IF(Tabla2[[#This Row],[Variación Stock]]&lt;0,"Faltante","Sin novedad"))</f>
        <v>Faltante</v>
      </c>
    </row>
    <row r="4714" spans="1:14" x14ac:dyDescent="0.25">
      <c r="A4714" s="11">
        <v>46037</v>
      </c>
      <c r="B4714" s="5" t="s">
        <v>283</v>
      </c>
      <c r="C4714" s="3" t="s">
        <v>284</v>
      </c>
      <c r="D4714" s="5" t="s">
        <v>122</v>
      </c>
      <c r="E4714" s="5" t="s">
        <v>112</v>
      </c>
      <c r="F4714" s="6" t="s">
        <v>98</v>
      </c>
      <c r="G4714" s="4" t="s">
        <v>2</v>
      </c>
      <c r="H4714" s="25">
        <v>1654.21666667</v>
      </c>
      <c r="I4714" s="8">
        <v>136</v>
      </c>
      <c r="J4714" s="9">
        <v>132</v>
      </c>
      <c r="K4714" s="15">
        <v>-4</v>
      </c>
      <c r="L4714" s="24">
        <f>+Tabla2[[#This Row],[Stock Inventario]]*Tabla2[[#This Row],[Coste LÃ­nea]]</f>
        <v>218356.60000044</v>
      </c>
      <c r="M4714" s="24">
        <f>+Tabla2[[#This Row],[Variación Stock]]*Tabla2[[#This Row],[Coste LÃ­nea]]</f>
        <v>-6616.86666668</v>
      </c>
      <c r="N4714" s="22" t="str">
        <f>+IF(Tabla2[[#This Row],[Variación Stock]]&gt;0,"Sobrante",IF(Tabla2[[#This Row],[Variación Stock]]&lt;0,"Faltante","Sin novedad"))</f>
        <v>Faltante</v>
      </c>
    </row>
    <row r="4715" spans="1:14" x14ac:dyDescent="0.25">
      <c r="A4715" s="11">
        <v>46037</v>
      </c>
      <c r="B4715" s="5" t="s">
        <v>283</v>
      </c>
      <c r="C4715" s="3" t="s">
        <v>284</v>
      </c>
      <c r="D4715" s="5" t="s">
        <v>122</v>
      </c>
      <c r="E4715" s="5" t="s">
        <v>112</v>
      </c>
      <c r="F4715" s="6" t="s">
        <v>103</v>
      </c>
      <c r="G4715" s="4" t="s">
        <v>2</v>
      </c>
      <c r="H4715" s="25">
        <v>3458.3283333300001</v>
      </c>
      <c r="I4715" s="8">
        <v>10</v>
      </c>
      <c r="J4715" s="9">
        <v>10</v>
      </c>
      <c r="K4715" s="7">
        <v>0</v>
      </c>
      <c r="L4715" s="24">
        <f>+Tabla2[[#This Row],[Stock Inventario]]*Tabla2[[#This Row],[Coste LÃ­nea]]</f>
        <v>34583.283333300002</v>
      </c>
      <c r="M4715" s="24">
        <f>+Tabla2[[#This Row],[Variación Stock]]*Tabla2[[#This Row],[Coste LÃ­nea]]</f>
        <v>0</v>
      </c>
      <c r="N4715" s="22" t="str">
        <f>+IF(Tabla2[[#This Row],[Variación Stock]]&gt;0,"Sobrante",IF(Tabla2[[#This Row],[Variación Stock]]&lt;0,"Faltante","Sin novedad"))</f>
        <v>Sin novedad</v>
      </c>
    </row>
    <row r="4716" spans="1:14" x14ac:dyDescent="0.25">
      <c r="A4716" s="11">
        <v>46037</v>
      </c>
      <c r="B4716" s="5" t="s">
        <v>283</v>
      </c>
      <c r="C4716" s="3" t="s">
        <v>284</v>
      </c>
      <c r="D4716" s="5" t="s">
        <v>122</v>
      </c>
      <c r="E4716" s="5" t="s">
        <v>112</v>
      </c>
      <c r="F4716" s="6" t="s">
        <v>104</v>
      </c>
      <c r="G4716" s="4" t="s">
        <v>2</v>
      </c>
      <c r="H4716" s="25">
        <v>3458.25</v>
      </c>
      <c r="I4716" s="8">
        <v>8</v>
      </c>
      <c r="J4716" s="9">
        <v>8</v>
      </c>
      <c r="K4716" s="7">
        <v>0</v>
      </c>
      <c r="L4716" s="24">
        <f>+Tabla2[[#This Row],[Stock Inventario]]*Tabla2[[#This Row],[Coste LÃ­nea]]</f>
        <v>27666</v>
      </c>
      <c r="M4716" s="24">
        <f>+Tabla2[[#This Row],[Variación Stock]]*Tabla2[[#This Row],[Coste LÃ­nea]]</f>
        <v>0</v>
      </c>
      <c r="N4716" s="22" t="str">
        <f>+IF(Tabla2[[#This Row],[Variación Stock]]&gt;0,"Sobrante",IF(Tabla2[[#This Row],[Variación Stock]]&lt;0,"Faltante","Sin novedad"))</f>
        <v>Sin novedad</v>
      </c>
    </row>
    <row r="4717" spans="1:14" x14ac:dyDescent="0.25">
      <c r="A4717" s="11">
        <v>46037</v>
      </c>
      <c r="B4717" s="5" t="s">
        <v>283</v>
      </c>
      <c r="C4717" s="3" t="s">
        <v>284</v>
      </c>
      <c r="D4717" s="5" t="s">
        <v>122</v>
      </c>
      <c r="E4717" s="5" t="s">
        <v>112</v>
      </c>
      <c r="F4717" s="6" t="s">
        <v>105</v>
      </c>
      <c r="G4717" s="4" t="s">
        <v>2</v>
      </c>
      <c r="H4717" s="25">
        <v>3458.25</v>
      </c>
      <c r="I4717" s="8">
        <v>8</v>
      </c>
      <c r="J4717" s="9">
        <v>8</v>
      </c>
      <c r="K4717" s="7">
        <v>0</v>
      </c>
      <c r="L4717" s="24">
        <f>+Tabla2[[#This Row],[Stock Inventario]]*Tabla2[[#This Row],[Coste LÃ­nea]]</f>
        <v>27666</v>
      </c>
      <c r="M4717" s="24">
        <f>+Tabla2[[#This Row],[Variación Stock]]*Tabla2[[#This Row],[Coste LÃ­nea]]</f>
        <v>0</v>
      </c>
      <c r="N4717" s="22" t="str">
        <f>+IF(Tabla2[[#This Row],[Variación Stock]]&gt;0,"Sobrante",IF(Tabla2[[#This Row],[Variación Stock]]&lt;0,"Faltante","Sin novedad"))</f>
        <v>Sin novedad</v>
      </c>
    </row>
    <row r="4718" spans="1:14" x14ac:dyDescent="0.25">
      <c r="A4718" s="11">
        <v>46044</v>
      </c>
      <c r="B4718" s="5" t="s">
        <v>382</v>
      </c>
      <c r="C4718" s="3" t="s">
        <v>284</v>
      </c>
      <c r="D4718" s="5" t="s">
        <v>118</v>
      </c>
      <c r="E4718" s="5" t="s">
        <v>112</v>
      </c>
      <c r="F4718" s="6" t="s">
        <v>370</v>
      </c>
      <c r="G4718" s="4" t="s">
        <v>0</v>
      </c>
      <c r="H4718" s="25">
        <v>1842.78125</v>
      </c>
      <c r="I4718" s="8">
        <v>33</v>
      </c>
      <c r="J4718" s="9">
        <v>32</v>
      </c>
      <c r="K4718" s="7">
        <v>-1</v>
      </c>
      <c r="L4718" s="24">
        <f>+Tabla2[[#This Row],[Stock Inventario]]*Tabla2[[#This Row],[Coste LÃ­nea]]</f>
        <v>58969</v>
      </c>
      <c r="M4718" s="24">
        <f>+Tabla2[[#This Row],[Variación Stock]]*Tabla2[[#This Row],[Coste LÃ­nea]]</f>
        <v>-1842.78125</v>
      </c>
      <c r="N4718" s="22" t="str">
        <f>+IF(Tabla2[[#This Row],[Variación Stock]]&gt;0,"Sobrante",IF(Tabla2[[#This Row],[Variación Stock]]&lt;0,"Faltante","Sin novedad"))</f>
        <v>Faltante</v>
      </c>
    </row>
    <row r="4719" spans="1:14" x14ac:dyDescent="0.25">
      <c r="A4719" s="11">
        <v>46037</v>
      </c>
      <c r="B4719" s="5" t="s">
        <v>283</v>
      </c>
      <c r="C4719" s="3" t="s">
        <v>284</v>
      </c>
      <c r="D4719" s="5" t="s">
        <v>122</v>
      </c>
      <c r="E4719" s="5" t="s">
        <v>112</v>
      </c>
      <c r="F4719" s="6" t="s">
        <v>107</v>
      </c>
      <c r="G4719" s="4" t="s">
        <v>2</v>
      </c>
      <c r="H4719" s="25">
        <v>3458.3291316700002</v>
      </c>
      <c r="I4719" s="8">
        <v>8</v>
      </c>
      <c r="J4719" s="9">
        <v>8</v>
      </c>
      <c r="K4719" s="7">
        <v>0</v>
      </c>
      <c r="L4719" s="24">
        <f>+Tabla2[[#This Row],[Stock Inventario]]*Tabla2[[#This Row],[Coste LÃ­nea]]</f>
        <v>27666.633053360001</v>
      </c>
      <c r="M4719" s="24">
        <f>+Tabla2[[#This Row],[Variación Stock]]*Tabla2[[#This Row],[Coste LÃ­nea]]</f>
        <v>0</v>
      </c>
      <c r="N4719" s="22" t="str">
        <f>+IF(Tabla2[[#This Row],[Variación Stock]]&gt;0,"Sobrante",IF(Tabla2[[#This Row],[Variación Stock]]&lt;0,"Faltante","Sin novedad"))</f>
        <v>Sin novedad</v>
      </c>
    </row>
    <row r="4720" spans="1:14" x14ac:dyDescent="0.25">
      <c r="A4720" s="11">
        <v>46037</v>
      </c>
      <c r="B4720" s="5" t="s">
        <v>283</v>
      </c>
      <c r="C4720" s="3" t="s">
        <v>284</v>
      </c>
      <c r="D4720" s="5" t="s">
        <v>122</v>
      </c>
      <c r="E4720" s="5" t="s">
        <v>112</v>
      </c>
      <c r="F4720" s="6" t="s">
        <v>108</v>
      </c>
      <c r="G4720" s="4" t="s">
        <v>2</v>
      </c>
      <c r="H4720" s="25">
        <v>2766.665</v>
      </c>
      <c r="I4720" s="8">
        <v>0</v>
      </c>
      <c r="J4720" s="9">
        <v>0</v>
      </c>
      <c r="K4720" s="7">
        <v>0</v>
      </c>
      <c r="L4720" s="24">
        <f>+Tabla2[[#This Row],[Stock Inventario]]*Tabla2[[#This Row],[Coste LÃ­nea]]</f>
        <v>0</v>
      </c>
      <c r="M4720" s="24">
        <f>+Tabla2[[#This Row],[Variación Stock]]*Tabla2[[#This Row],[Coste LÃ­nea]]</f>
        <v>0</v>
      </c>
      <c r="N4720" s="22" t="str">
        <f>+IF(Tabla2[[#This Row],[Variación Stock]]&gt;0,"Sobrante",IF(Tabla2[[#This Row],[Variación Stock]]&lt;0,"Faltante","Sin novedad"))</f>
        <v>Sin novedad</v>
      </c>
    </row>
    <row r="4721" spans="1:14" x14ac:dyDescent="0.25">
      <c r="A4721" s="11">
        <v>46037</v>
      </c>
      <c r="B4721" s="5" t="s">
        <v>283</v>
      </c>
      <c r="C4721" s="3" t="s">
        <v>284</v>
      </c>
      <c r="D4721" s="5" t="s">
        <v>122</v>
      </c>
      <c r="E4721" s="5" t="s">
        <v>112</v>
      </c>
      <c r="F4721" s="6" t="s">
        <v>109</v>
      </c>
      <c r="G4721" s="4" t="s">
        <v>2</v>
      </c>
      <c r="H4721" s="25">
        <v>3458.3333333300002</v>
      </c>
      <c r="I4721" s="8">
        <v>10</v>
      </c>
      <c r="J4721" s="9">
        <v>10</v>
      </c>
      <c r="K4721" s="7">
        <v>0</v>
      </c>
      <c r="L4721" s="24">
        <f>+Tabla2[[#This Row],[Stock Inventario]]*Tabla2[[#This Row],[Coste LÃ­nea]]</f>
        <v>34583.333333300005</v>
      </c>
      <c r="M4721" s="24">
        <f>+Tabla2[[#This Row],[Variación Stock]]*Tabla2[[#This Row],[Coste LÃ­nea]]</f>
        <v>0</v>
      </c>
      <c r="N4721" s="22" t="str">
        <f>+IF(Tabla2[[#This Row],[Variación Stock]]&gt;0,"Sobrante",IF(Tabla2[[#This Row],[Variación Stock]]&lt;0,"Faltante","Sin novedad"))</f>
        <v>Sin novedad</v>
      </c>
    </row>
    <row r="4722" spans="1:14" hidden="1" x14ac:dyDescent="0.25">
      <c r="A4722" s="11">
        <v>46044</v>
      </c>
      <c r="B4722" s="5" t="s">
        <v>382</v>
      </c>
      <c r="C4722" s="3" t="s">
        <v>284</v>
      </c>
      <c r="D4722" s="5" t="s">
        <v>120</v>
      </c>
      <c r="E4722" s="5" t="s">
        <v>117</v>
      </c>
      <c r="F4722" s="6" t="s">
        <v>316</v>
      </c>
      <c r="G4722" s="4" t="s">
        <v>2</v>
      </c>
      <c r="H4722" s="25">
        <v>1517.3646666699999</v>
      </c>
      <c r="I4722" s="8">
        <v>41</v>
      </c>
      <c r="J4722" s="9">
        <v>40</v>
      </c>
      <c r="K4722" s="7">
        <v>-1</v>
      </c>
      <c r="L4722" s="24">
        <f>+Tabla2[[#This Row],[Stock Inventario]]*Tabla2[[#This Row],[Coste LÃ­nea]]</f>
        <v>60694.586666799994</v>
      </c>
      <c r="M4722" s="24">
        <f>+Tabla2[[#This Row],[Variación Stock]]*Tabla2[[#This Row],[Coste LÃ­nea]]</f>
        <v>-1517.3646666699999</v>
      </c>
      <c r="N4722" s="22" t="str">
        <f>+IF(Tabla2[[#This Row],[Variación Stock]]&gt;0,"Sobrante",IF(Tabla2[[#This Row],[Variación Stock]]&lt;0,"Faltante","Sin novedad"))</f>
        <v>Faltante</v>
      </c>
    </row>
    <row r="4723" spans="1:14" hidden="1" x14ac:dyDescent="0.25">
      <c r="A4723" s="11">
        <v>46044</v>
      </c>
      <c r="B4723" s="5" t="s">
        <v>382</v>
      </c>
      <c r="C4723" s="3" t="s">
        <v>284</v>
      </c>
      <c r="D4723" s="5" t="s">
        <v>120</v>
      </c>
      <c r="E4723" s="5" t="s">
        <v>117</v>
      </c>
      <c r="F4723" s="6" t="s">
        <v>376</v>
      </c>
      <c r="G4723" s="4" t="s">
        <v>2</v>
      </c>
      <c r="H4723" s="25">
        <v>2700.3227931299998</v>
      </c>
      <c r="I4723" s="8">
        <v>55</v>
      </c>
      <c r="J4723" s="9">
        <v>9</v>
      </c>
      <c r="K4723" s="7">
        <v>-46</v>
      </c>
      <c r="L4723" s="24">
        <f>+Tabla2[[#This Row],[Stock Inventario]]*Tabla2[[#This Row],[Coste LÃ­nea]]</f>
        <v>24302.905138169997</v>
      </c>
      <c r="M4723" s="24">
        <f>+Tabla2[[#This Row],[Variación Stock]]*Tabla2[[#This Row],[Coste LÃ­nea]]</f>
        <v>-124214.84848397999</v>
      </c>
      <c r="N4723" s="22" t="str">
        <f>+IF(Tabla2[[#This Row],[Variación Stock]]&gt;0,"Sobrante",IF(Tabla2[[#This Row],[Variación Stock]]&lt;0,"Faltante","Sin novedad"))</f>
        <v>Faltante</v>
      </c>
    </row>
    <row r="4724" spans="1:14" hidden="1" x14ac:dyDescent="0.25">
      <c r="A4724" s="11">
        <v>46044</v>
      </c>
      <c r="B4724" s="5" t="s">
        <v>382</v>
      </c>
      <c r="C4724" s="3" t="s">
        <v>284</v>
      </c>
      <c r="D4724" s="5" t="s">
        <v>119</v>
      </c>
      <c r="E4724" s="5" t="s">
        <v>117</v>
      </c>
      <c r="F4724" s="6" t="s">
        <v>11</v>
      </c>
      <c r="G4724" s="4" t="s">
        <v>2</v>
      </c>
      <c r="H4724" s="25">
        <v>415.97500000000002</v>
      </c>
      <c r="I4724" s="8">
        <v>248</v>
      </c>
      <c r="J4724" s="9">
        <v>259</v>
      </c>
      <c r="K4724" s="7">
        <v>11</v>
      </c>
      <c r="L4724" s="24">
        <f>+Tabla2[[#This Row],[Stock Inventario]]*Tabla2[[#This Row],[Coste LÃ­nea]]</f>
        <v>107737.52500000001</v>
      </c>
      <c r="M4724" s="24">
        <f>+Tabla2[[#This Row],[Variación Stock]]*Tabla2[[#This Row],[Coste LÃ­nea]]</f>
        <v>4575.7250000000004</v>
      </c>
      <c r="N4724" s="22" t="str">
        <f>+IF(Tabla2[[#This Row],[Variación Stock]]&gt;0,"Sobrante",IF(Tabla2[[#This Row],[Variación Stock]]&lt;0,"Faltante","Sin novedad"))</f>
        <v>Sobrante</v>
      </c>
    </row>
    <row r="4725" spans="1:14" x14ac:dyDescent="0.25">
      <c r="A4725" s="11">
        <v>46037</v>
      </c>
      <c r="B4725" s="5" t="s">
        <v>283</v>
      </c>
      <c r="C4725" s="3" t="s">
        <v>284</v>
      </c>
      <c r="D4725" s="5" t="s">
        <v>111</v>
      </c>
      <c r="E4725" s="5" t="s">
        <v>112</v>
      </c>
      <c r="F4725" s="6" t="s">
        <v>26</v>
      </c>
      <c r="G4725" s="4" t="s">
        <v>0</v>
      </c>
      <c r="H4725" s="25">
        <v>8389.75</v>
      </c>
      <c r="I4725" s="8">
        <v>9</v>
      </c>
      <c r="J4725" s="9">
        <v>11</v>
      </c>
      <c r="K4725" s="7">
        <v>2</v>
      </c>
      <c r="L4725" s="24">
        <f>+Tabla2[[#This Row],[Stock Inventario]]*Tabla2[[#This Row],[Coste LÃ­nea]]</f>
        <v>92287.25</v>
      </c>
      <c r="M4725" s="24">
        <f>+Tabla2[[#This Row],[Variación Stock]]*Tabla2[[#This Row],[Coste LÃ­nea]]</f>
        <v>16779.5</v>
      </c>
      <c r="N4725" s="22" t="str">
        <f>+IF(Tabla2[[#This Row],[Variación Stock]]&gt;0,"Sobrante",IF(Tabla2[[#This Row],[Variación Stock]]&lt;0,"Faltante","Sin novedad"))</f>
        <v>Sobrante</v>
      </c>
    </row>
    <row r="4726" spans="1:14" x14ac:dyDescent="0.25">
      <c r="A4726" s="11">
        <v>46037</v>
      </c>
      <c r="B4726" s="5" t="s">
        <v>283</v>
      </c>
      <c r="C4726" s="3" t="s">
        <v>284</v>
      </c>
      <c r="D4726" s="5" t="s">
        <v>111</v>
      </c>
      <c r="E4726" s="5" t="s">
        <v>112</v>
      </c>
      <c r="F4726" s="6" t="s">
        <v>27</v>
      </c>
      <c r="G4726" s="4" t="s">
        <v>0</v>
      </c>
      <c r="H4726" s="25">
        <v>7122.4772727299996</v>
      </c>
      <c r="I4726" s="8">
        <v>14</v>
      </c>
      <c r="J4726" s="9">
        <v>15</v>
      </c>
      <c r="K4726" s="7">
        <v>1</v>
      </c>
      <c r="L4726" s="24">
        <f>+Tabla2[[#This Row],[Stock Inventario]]*Tabla2[[#This Row],[Coste LÃ­nea]]</f>
        <v>106837.15909094999</v>
      </c>
      <c r="M4726" s="24">
        <f>+Tabla2[[#This Row],[Variación Stock]]*Tabla2[[#This Row],[Coste LÃ­nea]]</f>
        <v>7122.4772727299996</v>
      </c>
      <c r="N4726" s="22" t="str">
        <f>+IF(Tabla2[[#This Row],[Variación Stock]]&gt;0,"Sobrante",IF(Tabla2[[#This Row],[Variación Stock]]&lt;0,"Faltante","Sin novedad"))</f>
        <v>Sobrante</v>
      </c>
    </row>
    <row r="4727" spans="1:14" hidden="1" x14ac:dyDescent="0.25">
      <c r="A4727" s="11">
        <v>46037</v>
      </c>
      <c r="B4727" s="5" t="s">
        <v>283</v>
      </c>
      <c r="C4727" s="3" t="s">
        <v>284</v>
      </c>
      <c r="D4727" s="5" t="s">
        <v>120</v>
      </c>
      <c r="E4727" s="5" t="s">
        <v>117</v>
      </c>
      <c r="F4727" s="6" t="s">
        <v>317</v>
      </c>
      <c r="G4727" s="4" t="s">
        <v>2</v>
      </c>
      <c r="H4727" s="25">
        <v>3260.4930431299999</v>
      </c>
      <c r="I4727" s="8">
        <v>47</v>
      </c>
      <c r="J4727" s="9">
        <v>60</v>
      </c>
      <c r="K4727" s="7">
        <v>13</v>
      </c>
      <c r="L4727" s="24">
        <f>+Tabla2[[#This Row],[Stock Inventario]]*Tabla2[[#This Row],[Coste LÃ­nea]]</f>
        <v>195629.58258779999</v>
      </c>
      <c r="M4727" s="24">
        <f>+Tabla2[[#This Row],[Variación Stock]]*Tabla2[[#This Row],[Coste LÃ­nea]]</f>
        <v>42386.409560690001</v>
      </c>
      <c r="N4727" s="22" t="str">
        <f>+IF(Tabla2[[#This Row],[Variación Stock]]&gt;0,"Sobrante",IF(Tabla2[[#This Row],[Variación Stock]]&lt;0,"Faltante","Sin novedad"))</f>
        <v>Sobrante</v>
      </c>
    </row>
    <row r="4728" spans="1:14" hidden="1" x14ac:dyDescent="0.25">
      <c r="A4728" s="11">
        <v>46037</v>
      </c>
      <c r="B4728" s="5" t="s">
        <v>283</v>
      </c>
      <c r="C4728" s="3" t="s">
        <v>284</v>
      </c>
      <c r="D4728" s="5" t="s">
        <v>323</v>
      </c>
      <c r="E4728" s="5" t="s">
        <v>117</v>
      </c>
      <c r="F4728" s="6" t="s">
        <v>326</v>
      </c>
      <c r="G4728" s="4" t="s">
        <v>1</v>
      </c>
      <c r="H4728" s="25">
        <v>31.318912749999999</v>
      </c>
      <c r="I4728" s="8">
        <v>26200</v>
      </c>
      <c r="J4728" s="9">
        <v>12800</v>
      </c>
      <c r="K4728" s="7">
        <v>-13399.999997000001</v>
      </c>
      <c r="L4728" s="24">
        <f>+Tabla2[[#This Row],[Stock Inventario]]*Tabla2[[#This Row],[Coste LÃ­nea]]</f>
        <v>400882.08319999999</v>
      </c>
      <c r="M4728" s="24">
        <f>+Tabla2[[#This Row],[Variación Stock]]*Tabla2[[#This Row],[Coste LÃ­nea]]</f>
        <v>-419673.43075604329</v>
      </c>
      <c r="N4728" s="22" t="str">
        <f>+IF(Tabla2[[#This Row],[Variación Stock]]&gt;0,"Sobrante",IF(Tabla2[[#This Row],[Variación Stock]]&lt;0,"Faltante","Sin novedad"))</f>
        <v>Faltante</v>
      </c>
    </row>
    <row r="4729" spans="1:14" x14ac:dyDescent="0.25">
      <c r="A4729" s="11">
        <v>46044</v>
      </c>
      <c r="B4729" s="5" t="s">
        <v>382</v>
      </c>
      <c r="C4729" s="3" t="s">
        <v>284</v>
      </c>
      <c r="D4729" s="5" t="s">
        <v>111</v>
      </c>
      <c r="E4729" s="5" t="s">
        <v>112</v>
      </c>
      <c r="F4729" s="6" t="s">
        <v>365</v>
      </c>
      <c r="G4729" s="4" t="s">
        <v>0</v>
      </c>
      <c r="H4729" s="25">
        <v>12698.95454545</v>
      </c>
      <c r="I4729" s="8">
        <v>37</v>
      </c>
      <c r="J4729" s="9">
        <v>37</v>
      </c>
      <c r="K4729" s="7">
        <v>0</v>
      </c>
      <c r="L4729" s="24">
        <f>+Tabla2[[#This Row],[Stock Inventario]]*Tabla2[[#This Row],[Coste LÃ­nea]]</f>
        <v>469861.31818165001</v>
      </c>
      <c r="M4729" s="24">
        <f>+Tabla2[[#This Row],[Variación Stock]]*Tabla2[[#This Row],[Coste LÃ­nea]]</f>
        <v>0</v>
      </c>
      <c r="N4729" s="22" t="str">
        <f>+IF(Tabla2[[#This Row],[Variación Stock]]&gt;0,"Sobrante",IF(Tabla2[[#This Row],[Variación Stock]]&lt;0,"Faltante","Sin novedad"))</f>
        <v>Sin novedad</v>
      </c>
    </row>
    <row r="4730" spans="1:14" x14ac:dyDescent="0.25">
      <c r="A4730" s="11">
        <v>46044</v>
      </c>
      <c r="B4730" s="5" t="s">
        <v>382</v>
      </c>
      <c r="C4730" s="3" t="s">
        <v>284</v>
      </c>
      <c r="D4730" s="5" t="s">
        <v>111</v>
      </c>
      <c r="E4730" s="5" t="s">
        <v>112</v>
      </c>
      <c r="F4730" s="6" t="s">
        <v>22</v>
      </c>
      <c r="G4730" s="4" t="s">
        <v>0</v>
      </c>
      <c r="H4730" s="25">
        <v>13020.86363636</v>
      </c>
      <c r="I4730" s="8">
        <v>36</v>
      </c>
      <c r="J4730" s="9">
        <v>36</v>
      </c>
      <c r="K4730" s="7">
        <v>0</v>
      </c>
      <c r="L4730" s="24">
        <f>+Tabla2[[#This Row],[Stock Inventario]]*Tabla2[[#This Row],[Coste LÃ­nea]]</f>
        <v>468751.09090895997</v>
      </c>
      <c r="M4730" s="24">
        <f>+Tabla2[[#This Row],[Variación Stock]]*Tabla2[[#This Row],[Coste LÃ­nea]]</f>
        <v>0</v>
      </c>
      <c r="N4730" s="22" t="str">
        <f>+IF(Tabla2[[#This Row],[Variación Stock]]&gt;0,"Sobrante",IF(Tabla2[[#This Row],[Variación Stock]]&lt;0,"Faltante","Sin novedad"))</f>
        <v>Sin novedad</v>
      </c>
    </row>
    <row r="4731" spans="1:14" x14ac:dyDescent="0.25">
      <c r="A4731" s="11">
        <v>46044</v>
      </c>
      <c r="B4731" s="5" t="s">
        <v>382</v>
      </c>
      <c r="C4731" s="3" t="s">
        <v>284</v>
      </c>
      <c r="D4731" s="5" t="s">
        <v>118</v>
      </c>
      <c r="E4731" s="5" t="s">
        <v>112</v>
      </c>
      <c r="F4731" s="6" t="s">
        <v>302</v>
      </c>
      <c r="G4731" s="4" t="s">
        <v>2</v>
      </c>
      <c r="H4731" s="25">
        <v>444869</v>
      </c>
      <c r="I4731" s="8">
        <v>1</v>
      </c>
      <c r="J4731" s="9">
        <v>1</v>
      </c>
      <c r="K4731" s="7">
        <v>0</v>
      </c>
      <c r="L4731" s="24">
        <f>+Tabla2[[#This Row],[Stock Inventario]]*Tabla2[[#This Row],[Coste LÃ­nea]]</f>
        <v>444869</v>
      </c>
      <c r="M4731" s="24">
        <f>+Tabla2[[#This Row],[Variación Stock]]*Tabla2[[#This Row],[Coste LÃ­nea]]</f>
        <v>0</v>
      </c>
      <c r="N4731" s="22" t="str">
        <f>+IF(Tabla2[[#This Row],[Variación Stock]]&gt;0,"Sobrante",IF(Tabla2[[#This Row],[Variación Stock]]&lt;0,"Faltante","Sin novedad"))</f>
        <v>Sin novedad</v>
      </c>
    </row>
    <row r="4732" spans="1:14" x14ac:dyDescent="0.25">
      <c r="A4732" s="11">
        <v>46044</v>
      </c>
      <c r="B4732" s="5" t="s">
        <v>382</v>
      </c>
      <c r="C4732" s="3" t="s">
        <v>284</v>
      </c>
      <c r="D4732" s="5" t="s">
        <v>111</v>
      </c>
      <c r="E4732" s="5" t="s">
        <v>112</v>
      </c>
      <c r="F4732" s="6" t="s">
        <v>27</v>
      </c>
      <c r="G4732" s="4" t="s">
        <v>0</v>
      </c>
      <c r="H4732" s="25">
        <v>7122.4772727299996</v>
      </c>
      <c r="I4732" s="8">
        <v>-3</v>
      </c>
      <c r="J4732" s="9">
        <v>0</v>
      </c>
      <c r="K4732" s="7">
        <v>3</v>
      </c>
      <c r="L4732" s="24">
        <f>+Tabla2[[#This Row],[Stock Inventario]]*Tabla2[[#This Row],[Coste LÃ­nea]]</f>
        <v>0</v>
      </c>
      <c r="M4732" s="24">
        <f>+Tabla2[[#This Row],[Variación Stock]]*Tabla2[[#This Row],[Coste LÃ­nea]]</f>
        <v>21367.431818189998</v>
      </c>
      <c r="N4732" s="22" t="str">
        <f>+IF(Tabla2[[#This Row],[Variación Stock]]&gt;0,"Sobrante",IF(Tabla2[[#This Row],[Variación Stock]]&lt;0,"Faltante","Sin novedad"))</f>
        <v>Sobrante</v>
      </c>
    </row>
    <row r="4733" spans="1:14" x14ac:dyDescent="0.25">
      <c r="A4733" s="11">
        <v>46037</v>
      </c>
      <c r="B4733" s="5" t="s">
        <v>283</v>
      </c>
      <c r="C4733" s="3" t="s">
        <v>284</v>
      </c>
      <c r="D4733" s="5" t="s">
        <v>111</v>
      </c>
      <c r="E4733" s="5" t="s">
        <v>112</v>
      </c>
      <c r="F4733" s="6" t="s">
        <v>288</v>
      </c>
      <c r="G4733" s="4" t="s">
        <v>0</v>
      </c>
      <c r="H4733" s="25">
        <v>4721.625</v>
      </c>
      <c r="I4733" s="8">
        <v>36</v>
      </c>
      <c r="J4733" s="9">
        <v>25</v>
      </c>
      <c r="K4733" s="7">
        <v>-11</v>
      </c>
      <c r="L4733" s="24">
        <f>+Tabla2[[#This Row],[Stock Inventario]]*Tabla2[[#This Row],[Coste LÃ­nea]]</f>
        <v>118040.625</v>
      </c>
      <c r="M4733" s="24">
        <f>+Tabla2[[#This Row],[Variación Stock]]*Tabla2[[#This Row],[Coste LÃ­nea]]</f>
        <v>-51937.875</v>
      </c>
      <c r="N4733" s="22" t="str">
        <f>+IF(Tabla2[[#This Row],[Variación Stock]]&gt;0,"Sobrante",IF(Tabla2[[#This Row],[Variación Stock]]&lt;0,"Faltante","Sin novedad"))</f>
        <v>Faltante</v>
      </c>
    </row>
    <row r="4734" spans="1:14" x14ac:dyDescent="0.25">
      <c r="A4734" s="11">
        <v>46044</v>
      </c>
      <c r="B4734" s="5" t="s">
        <v>382</v>
      </c>
      <c r="C4734" s="3" t="s">
        <v>284</v>
      </c>
      <c r="D4734" s="5" t="s">
        <v>111</v>
      </c>
      <c r="E4734" s="5" t="s">
        <v>112</v>
      </c>
      <c r="F4734" s="6" t="s">
        <v>288</v>
      </c>
      <c r="G4734" s="4" t="s">
        <v>0</v>
      </c>
      <c r="H4734" s="25">
        <v>4721.625</v>
      </c>
      <c r="I4734" s="8">
        <v>13.34</v>
      </c>
      <c r="J4734" s="9">
        <v>20</v>
      </c>
      <c r="K4734" s="7">
        <v>6.66</v>
      </c>
      <c r="L4734" s="24">
        <f>+Tabla2[[#This Row],[Stock Inventario]]*Tabla2[[#This Row],[Coste LÃ­nea]]</f>
        <v>94432.5</v>
      </c>
      <c r="M4734" s="24">
        <f>+Tabla2[[#This Row],[Variación Stock]]*Tabla2[[#This Row],[Coste LÃ­nea]]</f>
        <v>31446.022499999999</v>
      </c>
      <c r="N4734" s="22" t="str">
        <f>+IF(Tabla2[[#This Row],[Variación Stock]]&gt;0,"Sobrante",IF(Tabla2[[#This Row],[Variación Stock]]&lt;0,"Faltante","Sin novedad"))</f>
        <v>Sobrante</v>
      </c>
    </row>
    <row r="4735" spans="1:14" hidden="1" x14ac:dyDescent="0.25">
      <c r="A4735" s="11">
        <v>46044</v>
      </c>
      <c r="B4735" s="5" t="s">
        <v>382</v>
      </c>
      <c r="C4735" s="3" t="s">
        <v>284</v>
      </c>
      <c r="D4735" s="5" t="s">
        <v>120</v>
      </c>
      <c r="E4735" s="5" t="s">
        <v>117</v>
      </c>
      <c r="F4735" s="6" t="s">
        <v>321</v>
      </c>
      <c r="G4735" s="4" t="s">
        <v>2</v>
      </c>
      <c r="H4735" s="25">
        <v>16080.436960970001</v>
      </c>
      <c r="I4735" s="8">
        <v>21</v>
      </c>
      <c r="J4735" s="9">
        <v>21</v>
      </c>
      <c r="K4735" s="7">
        <v>0</v>
      </c>
      <c r="L4735" s="24">
        <f>+Tabla2[[#This Row],[Stock Inventario]]*Tabla2[[#This Row],[Coste LÃ­nea]]</f>
        <v>337689.17618037004</v>
      </c>
      <c r="M4735" s="24">
        <f>+Tabla2[[#This Row],[Variación Stock]]*Tabla2[[#This Row],[Coste LÃ­nea]]</f>
        <v>0</v>
      </c>
      <c r="N4735" s="22" t="str">
        <f>+IF(Tabla2[[#This Row],[Variación Stock]]&gt;0,"Sobrante",IF(Tabla2[[#This Row],[Variación Stock]]&lt;0,"Faltante","Sin novedad"))</f>
        <v>Sin novedad</v>
      </c>
    </row>
    <row r="4736" spans="1:14" x14ac:dyDescent="0.25">
      <c r="A4736" s="11">
        <v>46044</v>
      </c>
      <c r="B4736" s="5" t="s">
        <v>382</v>
      </c>
      <c r="C4736" s="3" t="s">
        <v>284</v>
      </c>
      <c r="D4736" s="5" t="s">
        <v>122</v>
      </c>
      <c r="E4736" s="5" t="s">
        <v>112</v>
      </c>
      <c r="F4736" s="6" t="s">
        <v>99</v>
      </c>
      <c r="G4736" s="4" t="s">
        <v>2</v>
      </c>
      <c r="H4736" s="25">
        <v>7330</v>
      </c>
      <c r="I4736" s="8">
        <v>44</v>
      </c>
      <c r="J4736" s="9">
        <v>44</v>
      </c>
      <c r="K4736" s="7">
        <v>0</v>
      </c>
      <c r="L4736" s="24">
        <f>+Tabla2[[#This Row],[Stock Inventario]]*Tabla2[[#This Row],[Coste LÃ­nea]]</f>
        <v>322520</v>
      </c>
      <c r="M4736" s="24">
        <f>+Tabla2[[#This Row],[Variación Stock]]*Tabla2[[#This Row],[Coste LÃ­nea]]</f>
        <v>0</v>
      </c>
      <c r="N4736" s="22" t="str">
        <f>+IF(Tabla2[[#This Row],[Variación Stock]]&gt;0,"Sobrante",IF(Tabla2[[#This Row],[Variación Stock]]&lt;0,"Faltante","Sin novedad"))</f>
        <v>Sin novedad</v>
      </c>
    </row>
    <row r="4737" spans="1:14" x14ac:dyDescent="0.25">
      <c r="A4737" s="11">
        <v>46037</v>
      </c>
      <c r="B4737" s="5" t="s">
        <v>283</v>
      </c>
      <c r="C4737" s="3" t="s">
        <v>284</v>
      </c>
      <c r="D4737" s="5" t="s">
        <v>111</v>
      </c>
      <c r="E4737" s="5" t="s">
        <v>112</v>
      </c>
      <c r="F4737" s="6" t="s">
        <v>58</v>
      </c>
      <c r="G4737" s="4" t="s">
        <v>0</v>
      </c>
      <c r="H4737" s="25">
        <v>6303.0416666700003</v>
      </c>
      <c r="I4737" s="8">
        <v>16.5</v>
      </c>
      <c r="J4737" s="9">
        <v>42</v>
      </c>
      <c r="K4737" s="7">
        <v>25.5</v>
      </c>
      <c r="L4737" s="24">
        <f>+Tabla2[[#This Row],[Stock Inventario]]*Tabla2[[#This Row],[Coste LÃ­nea]]</f>
        <v>264727.75000013999</v>
      </c>
      <c r="M4737" s="24">
        <f>+Tabla2[[#This Row],[Variación Stock]]*Tabla2[[#This Row],[Coste LÃ­nea]]</f>
        <v>160727.56250008501</v>
      </c>
      <c r="N4737" s="22" t="str">
        <f>+IF(Tabla2[[#This Row],[Variación Stock]]&gt;0,"Sobrante",IF(Tabla2[[#This Row],[Variación Stock]]&lt;0,"Faltante","Sin novedad"))</f>
        <v>Sobrante</v>
      </c>
    </row>
    <row r="4738" spans="1:14" x14ac:dyDescent="0.25">
      <c r="A4738" s="11">
        <v>46044</v>
      </c>
      <c r="B4738" s="5" t="s">
        <v>382</v>
      </c>
      <c r="C4738" s="3" t="s">
        <v>284</v>
      </c>
      <c r="D4738" s="5" t="s">
        <v>111</v>
      </c>
      <c r="E4738" s="5" t="s">
        <v>112</v>
      </c>
      <c r="F4738" s="6" t="s">
        <v>58</v>
      </c>
      <c r="G4738" s="4" t="s">
        <v>0</v>
      </c>
      <c r="H4738" s="25">
        <v>6303.25</v>
      </c>
      <c r="I4738" s="8">
        <v>23</v>
      </c>
      <c r="J4738" s="9">
        <v>36</v>
      </c>
      <c r="K4738" s="7">
        <v>13</v>
      </c>
      <c r="L4738" s="24">
        <f>+Tabla2[[#This Row],[Stock Inventario]]*Tabla2[[#This Row],[Coste LÃ­nea]]</f>
        <v>226917</v>
      </c>
      <c r="M4738" s="24">
        <f>+Tabla2[[#This Row],[Variación Stock]]*Tabla2[[#This Row],[Coste LÃ­nea]]</f>
        <v>81942.25</v>
      </c>
      <c r="N4738" s="22" t="str">
        <f>+IF(Tabla2[[#This Row],[Variación Stock]]&gt;0,"Sobrante",IF(Tabla2[[#This Row],[Variación Stock]]&lt;0,"Faltante","Sin novedad"))</f>
        <v>Sobrante</v>
      </c>
    </row>
    <row r="4739" spans="1:14" x14ac:dyDescent="0.25">
      <c r="A4739" s="11">
        <v>46037</v>
      </c>
      <c r="B4739" s="5" t="s">
        <v>283</v>
      </c>
      <c r="C4739" s="3" t="s">
        <v>284</v>
      </c>
      <c r="D4739" s="5" t="s">
        <v>111</v>
      </c>
      <c r="E4739" s="5" t="s">
        <v>112</v>
      </c>
      <c r="F4739" s="6" t="s">
        <v>59</v>
      </c>
      <c r="G4739" s="4" t="s">
        <v>0</v>
      </c>
      <c r="H4739" s="25">
        <v>2047.54310345</v>
      </c>
      <c r="I4739" s="8">
        <v>143</v>
      </c>
      <c r="J4739" s="9">
        <v>123</v>
      </c>
      <c r="K4739" s="7">
        <v>-20</v>
      </c>
      <c r="L4739" s="24">
        <f>+Tabla2[[#This Row],[Stock Inventario]]*Tabla2[[#This Row],[Coste LÃ­nea]]</f>
        <v>251847.80172434999</v>
      </c>
      <c r="M4739" s="24">
        <f>+Tabla2[[#This Row],[Variación Stock]]*Tabla2[[#This Row],[Coste LÃ­nea]]</f>
        <v>-40950.862069000003</v>
      </c>
      <c r="N4739" s="22" t="str">
        <f>+IF(Tabla2[[#This Row],[Variación Stock]]&gt;0,"Sobrante",IF(Tabla2[[#This Row],[Variación Stock]]&lt;0,"Faltante","Sin novedad"))</f>
        <v>Faltante</v>
      </c>
    </row>
    <row r="4740" spans="1:14" hidden="1" x14ac:dyDescent="0.25">
      <c r="A4740" s="11">
        <v>46044</v>
      </c>
      <c r="B4740" s="5" t="s">
        <v>382</v>
      </c>
      <c r="C4740" s="3" t="s">
        <v>284</v>
      </c>
      <c r="D4740" s="5" t="s">
        <v>323</v>
      </c>
      <c r="E4740" s="5" t="s">
        <v>117</v>
      </c>
      <c r="F4740" s="6" t="s">
        <v>326</v>
      </c>
      <c r="G4740" s="4" t="s">
        <v>1</v>
      </c>
      <c r="H4740" s="25">
        <v>28.99074663</v>
      </c>
      <c r="I4740" s="8">
        <v>23985</v>
      </c>
      <c r="J4740" s="9">
        <v>17000</v>
      </c>
      <c r="K4740" s="7">
        <v>-6985</v>
      </c>
      <c r="L4740" s="24">
        <f>+Tabla2[[#This Row],[Stock Inventario]]*Tabla2[[#This Row],[Coste LÃ­nea]]</f>
        <v>492842.69271000003</v>
      </c>
      <c r="M4740" s="24">
        <f>+Tabla2[[#This Row],[Variación Stock]]*Tabla2[[#This Row],[Coste LÃ­nea]]</f>
        <v>-202500.36521054999</v>
      </c>
      <c r="N4740" s="22" t="str">
        <f>+IF(Tabla2[[#This Row],[Variación Stock]]&gt;0,"Sobrante",IF(Tabla2[[#This Row],[Variación Stock]]&lt;0,"Faltante","Sin novedad"))</f>
        <v>Faltante</v>
      </c>
    </row>
    <row r="4741" spans="1:14" x14ac:dyDescent="0.25">
      <c r="A4741" s="11">
        <v>46044</v>
      </c>
      <c r="B4741" s="5" t="s">
        <v>382</v>
      </c>
      <c r="C4741" s="3" t="s">
        <v>284</v>
      </c>
      <c r="D4741" s="5" t="s">
        <v>111</v>
      </c>
      <c r="E4741" s="5" t="s">
        <v>112</v>
      </c>
      <c r="F4741" s="6" t="s">
        <v>39</v>
      </c>
      <c r="G4741" s="4" t="s">
        <v>0</v>
      </c>
      <c r="H4741" s="25">
        <v>9924</v>
      </c>
      <c r="I4741" s="8">
        <v>27</v>
      </c>
      <c r="J4741" s="9">
        <v>27</v>
      </c>
      <c r="K4741" s="7">
        <v>0</v>
      </c>
      <c r="L4741" s="24">
        <f>+Tabla2[[#This Row],[Stock Inventario]]*Tabla2[[#This Row],[Coste LÃ­nea]]</f>
        <v>267948</v>
      </c>
      <c r="M4741" s="24">
        <f>+Tabla2[[#This Row],[Variación Stock]]*Tabla2[[#This Row],[Coste LÃ­nea]]</f>
        <v>0</v>
      </c>
      <c r="N4741" s="22" t="str">
        <f>+IF(Tabla2[[#This Row],[Variación Stock]]&gt;0,"Sobrante",IF(Tabla2[[#This Row],[Variación Stock]]&lt;0,"Faltante","Sin novedad"))</f>
        <v>Sin novedad</v>
      </c>
    </row>
    <row r="4742" spans="1:14" x14ac:dyDescent="0.25">
      <c r="A4742" s="11">
        <v>46044</v>
      </c>
      <c r="B4742" s="5" t="s">
        <v>382</v>
      </c>
      <c r="C4742" s="3" t="s">
        <v>284</v>
      </c>
      <c r="D4742" s="5" t="s">
        <v>122</v>
      </c>
      <c r="E4742" s="5" t="s">
        <v>112</v>
      </c>
      <c r="F4742" s="6" t="s">
        <v>100</v>
      </c>
      <c r="G4742" s="4" t="s">
        <v>2</v>
      </c>
      <c r="H4742" s="25">
        <v>7857</v>
      </c>
      <c r="I4742" s="8">
        <v>34</v>
      </c>
      <c r="J4742" s="9">
        <v>34</v>
      </c>
      <c r="K4742" s="7">
        <v>0</v>
      </c>
      <c r="L4742" s="24">
        <f>+Tabla2[[#This Row],[Stock Inventario]]*Tabla2[[#This Row],[Coste LÃ­nea]]</f>
        <v>267138</v>
      </c>
      <c r="M4742" s="24">
        <f>+Tabla2[[#This Row],[Variación Stock]]*Tabla2[[#This Row],[Coste LÃ­nea]]</f>
        <v>0</v>
      </c>
      <c r="N4742" s="22" t="str">
        <f>+IF(Tabla2[[#This Row],[Variación Stock]]&gt;0,"Sobrante",IF(Tabla2[[#This Row],[Variación Stock]]&lt;0,"Faltante","Sin novedad"))</f>
        <v>Sin novedad</v>
      </c>
    </row>
    <row r="4743" spans="1:14" x14ac:dyDescent="0.25">
      <c r="A4743" s="11">
        <v>46044</v>
      </c>
      <c r="B4743" s="5" t="s">
        <v>382</v>
      </c>
      <c r="C4743" s="3" t="s">
        <v>284</v>
      </c>
      <c r="D4743" s="5" t="s">
        <v>111</v>
      </c>
      <c r="E4743" s="5" t="s">
        <v>112</v>
      </c>
      <c r="F4743" s="6" t="s">
        <v>113</v>
      </c>
      <c r="G4743" s="4" t="s">
        <v>0</v>
      </c>
      <c r="H4743" s="25">
        <v>15318.181818180001</v>
      </c>
      <c r="I4743" s="8">
        <v>17</v>
      </c>
      <c r="J4743" s="9">
        <v>17</v>
      </c>
      <c r="K4743" s="7">
        <v>0</v>
      </c>
      <c r="L4743" s="24">
        <f>+Tabla2[[#This Row],[Stock Inventario]]*Tabla2[[#This Row],[Coste LÃ­nea]]</f>
        <v>260409.09090906</v>
      </c>
      <c r="M4743" s="24">
        <f>+Tabla2[[#This Row],[Variación Stock]]*Tabla2[[#This Row],[Coste LÃ­nea]]</f>
        <v>0</v>
      </c>
      <c r="N4743" s="22" t="str">
        <f>+IF(Tabla2[[#This Row],[Variación Stock]]&gt;0,"Sobrante",IF(Tabla2[[#This Row],[Variación Stock]]&lt;0,"Faltante","Sin novedad"))</f>
        <v>Sin novedad</v>
      </c>
    </row>
    <row r="4744" spans="1:14" hidden="1" x14ac:dyDescent="0.25">
      <c r="A4744" s="11">
        <v>46044</v>
      </c>
      <c r="B4744" s="5" t="s">
        <v>382</v>
      </c>
      <c r="C4744" s="3" t="s">
        <v>284</v>
      </c>
      <c r="D4744" s="5" t="s">
        <v>119</v>
      </c>
      <c r="E4744" s="5" t="s">
        <v>117</v>
      </c>
      <c r="F4744" s="6" t="s">
        <v>10</v>
      </c>
      <c r="G4744" s="4" t="s">
        <v>2</v>
      </c>
      <c r="H4744" s="25">
        <v>17250.131652659999</v>
      </c>
      <c r="I4744" s="8">
        <v>15</v>
      </c>
      <c r="J4744" s="9">
        <v>15</v>
      </c>
      <c r="K4744" s="7">
        <v>0</v>
      </c>
      <c r="L4744" s="24">
        <f>+Tabla2[[#This Row],[Stock Inventario]]*Tabla2[[#This Row],[Coste LÃ­nea]]</f>
        <v>258751.97478989998</v>
      </c>
      <c r="M4744" s="24">
        <f>+Tabla2[[#This Row],[Variación Stock]]*Tabla2[[#This Row],[Coste LÃ­nea]]</f>
        <v>0</v>
      </c>
      <c r="N4744" s="22" t="str">
        <f>+IF(Tabla2[[#This Row],[Variación Stock]]&gt;0,"Sobrante",IF(Tabla2[[#This Row],[Variación Stock]]&lt;0,"Faltante","Sin novedad"))</f>
        <v>Sin novedad</v>
      </c>
    </row>
    <row r="4745" spans="1:14" x14ac:dyDescent="0.25">
      <c r="A4745" s="11">
        <v>46044</v>
      </c>
      <c r="B4745" s="5" t="s">
        <v>382</v>
      </c>
      <c r="C4745" s="3" t="s">
        <v>284</v>
      </c>
      <c r="D4745" s="5" t="s">
        <v>118</v>
      </c>
      <c r="E4745" s="5" t="s">
        <v>112</v>
      </c>
      <c r="F4745" s="6" t="s">
        <v>303</v>
      </c>
      <c r="G4745" s="4" t="s">
        <v>81</v>
      </c>
      <c r="H4745" s="25">
        <v>15145.266666670001</v>
      </c>
      <c r="I4745" s="8">
        <v>17</v>
      </c>
      <c r="J4745" s="9">
        <v>17</v>
      </c>
      <c r="K4745" s="7">
        <v>0</v>
      </c>
      <c r="L4745" s="24">
        <f>+Tabla2[[#This Row],[Stock Inventario]]*Tabla2[[#This Row],[Coste LÃ­nea]]</f>
        <v>257469.53333339002</v>
      </c>
      <c r="M4745" s="24">
        <f>+Tabla2[[#This Row],[Variación Stock]]*Tabla2[[#This Row],[Coste LÃ­nea]]</f>
        <v>0</v>
      </c>
      <c r="N4745" s="22" t="str">
        <f>+IF(Tabla2[[#This Row],[Variación Stock]]&gt;0,"Sobrante",IF(Tabla2[[#This Row],[Variación Stock]]&lt;0,"Faltante","Sin novedad"))</f>
        <v>Sin novedad</v>
      </c>
    </row>
    <row r="4746" spans="1:14" x14ac:dyDescent="0.25">
      <c r="A4746" s="11">
        <v>46044</v>
      </c>
      <c r="B4746" s="5" t="s">
        <v>382</v>
      </c>
      <c r="C4746" s="3" t="s">
        <v>284</v>
      </c>
      <c r="D4746" s="5" t="s">
        <v>118</v>
      </c>
      <c r="E4746" s="5" t="s">
        <v>112</v>
      </c>
      <c r="F4746" s="6" t="s">
        <v>306</v>
      </c>
      <c r="G4746" s="4" t="s">
        <v>81</v>
      </c>
      <c r="H4746" s="25">
        <v>10715.3</v>
      </c>
      <c r="I4746" s="8">
        <v>24</v>
      </c>
      <c r="J4746" s="9">
        <v>24</v>
      </c>
      <c r="K4746" s="7">
        <v>0</v>
      </c>
      <c r="L4746" s="24">
        <f>+Tabla2[[#This Row],[Stock Inventario]]*Tabla2[[#This Row],[Coste LÃ­nea]]</f>
        <v>257167.19999999998</v>
      </c>
      <c r="M4746" s="24">
        <f>+Tabla2[[#This Row],[Variación Stock]]*Tabla2[[#This Row],[Coste LÃ­nea]]</f>
        <v>0</v>
      </c>
      <c r="N4746" s="22" t="str">
        <f>+IF(Tabla2[[#This Row],[Variación Stock]]&gt;0,"Sobrante",IF(Tabla2[[#This Row],[Variación Stock]]&lt;0,"Faltante","Sin novedad"))</f>
        <v>Sin novedad</v>
      </c>
    </row>
    <row r="4747" spans="1:14" x14ac:dyDescent="0.25">
      <c r="A4747" s="11">
        <v>46044</v>
      </c>
      <c r="B4747" s="5" t="s">
        <v>382</v>
      </c>
      <c r="C4747" s="3" t="s">
        <v>284</v>
      </c>
      <c r="D4747" s="5" t="s">
        <v>114</v>
      </c>
      <c r="E4747" s="5" t="s">
        <v>112</v>
      </c>
      <c r="F4747" s="6" t="s">
        <v>60</v>
      </c>
      <c r="G4747" s="4" t="s">
        <v>2</v>
      </c>
      <c r="H4747" s="25">
        <v>2323.7849794200001</v>
      </c>
      <c r="I4747" s="8">
        <v>108</v>
      </c>
      <c r="J4747" s="9">
        <v>108</v>
      </c>
      <c r="K4747" s="7">
        <v>0</v>
      </c>
      <c r="L4747" s="24">
        <f>+Tabla2[[#This Row],[Stock Inventario]]*Tabla2[[#This Row],[Coste LÃ­nea]]</f>
        <v>250968.77777736002</v>
      </c>
      <c r="M4747" s="24">
        <f>+Tabla2[[#This Row],[Variación Stock]]*Tabla2[[#This Row],[Coste LÃ­nea]]</f>
        <v>0</v>
      </c>
      <c r="N4747" s="22" t="str">
        <f>+IF(Tabla2[[#This Row],[Variación Stock]]&gt;0,"Sobrante",IF(Tabla2[[#This Row],[Variación Stock]]&lt;0,"Faltante","Sin novedad"))</f>
        <v>Sin novedad</v>
      </c>
    </row>
    <row r="4748" spans="1:14" x14ac:dyDescent="0.25">
      <c r="A4748" s="11">
        <v>46044</v>
      </c>
      <c r="B4748" s="5" t="s">
        <v>382</v>
      </c>
      <c r="C4748" s="3" t="s">
        <v>284</v>
      </c>
      <c r="D4748" s="5" t="s">
        <v>118</v>
      </c>
      <c r="E4748" s="5" t="s">
        <v>112</v>
      </c>
      <c r="F4748" s="6" t="s">
        <v>293</v>
      </c>
      <c r="G4748" s="4" t="s">
        <v>2</v>
      </c>
      <c r="H4748" s="25">
        <v>125043</v>
      </c>
      <c r="I4748" s="8">
        <v>2</v>
      </c>
      <c r="J4748" s="9">
        <v>2</v>
      </c>
      <c r="K4748" s="7">
        <v>0</v>
      </c>
      <c r="L4748" s="24">
        <f>+Tabla2[[#This Row],[Stock Inventario]]*Tabla2[[#This Row],[Coste LÃ­nea]]</f>
        <v>250086</v>
      </c>
      <c r="M4748" s="24">
        <f>+Tabla2[[#This Row],[Variación Stock]]*Tabla2[[#This Row],[Coste LÃ­nea]]</f>
        <v>0</v>
      </c>
      <c r="N4748" s="22" t="str">
        <f>+IF(Tabla2[[#This Row],[Variación Stock]]&gt;0,"Sobrante",IF(Tabla2[[#This Row],[Variación Stock]]&lt;0,"Faltante","Sin novedad"))</f>
        <v>Sin novedad</v>
      </c>
    </row>
    <row r="4749" spans="1:14" x14ac:dyDescent="0.25">
      <c r="A4749" s="11">
        <v>46044</v>
      </c>
      <c r="B4749" s="5" t="s">
        <v>382</v>
      </c>
      <c r="C4749" s="3" t="s">
        <v>284</v>
      </c>
      <c r="D4749" s="5" t="s">
        <v>111</v>
      </c>
      <c r="E4749" s="5" t="s">
        <v>112</v>
      </c>
      <c r="F4749" s="6" t="s">
        <v>17</v>
      </c>
      <c r="G4749" s="4" t="s">
        <v>0</v>
      </c>
      <c r="H4749" s="25">
        <v>14896.95833333</v>
      </c>
      <c r="I4749" s="8">
        <v>16</v>
      </c>
      <c r="J4749" s="9">
        <v>16</v>
      </c>
      <c r="K4749" s="7">
        <v>0</v>
      </c>
      <c r="L4749" s="24">
        <f>+Tabla2[[#This Row],[Stock Inventario]]*Tabla2[[#This Row],[Coste LÃ­nea]]</f>
        <v>238351.33333328</v>
      </c>
      <c r="M4749" s="24">
        <f>+Tabla2[[#This Row],[Variación Stock]]*Tabla2[[#This Row],[Coste LÃ­nea]]</f>
        <v>0</v>
      </c>
      <c r="N4749" s="22" t="str">
        <f>+IF(Tabla2[[#This Row],[Variación Stock]]&gt;0,"Sobrante",IF(Tabla2[[#This Row],[Variación Stock]]&lt;0,"Faltante","Sin novedad"))</f>
        <v>Sin novedad</v>
      </c>
    </row>
    <row r="4750" spans="1:14" x14ac:dyDescent="0.25">
      <c r="A4750" s="11">
        <v>46044</v>
      </c>
      <c r="B4750" s="5" t="s">
        <v>382</v>
      </c>
      <c r="C4750" s="3" t="s">
        <v>284</v>
      </c>
      <c r="D4750" s="5" t="s">
        <v>111</v>
      </c>
      <c r="E4750" s="5" t="s">
        <v>112</v>
      </c>
      <c r="F4750" s="6" t="s">
        <v>59</v>
      </c>
      <c r="G4750" s="4" t="s">
        <v>0</v>
      </c>
      <c r="H4750" s="25">
        <v>3072.2083333300002</v>
      </c>
      <c r="I4750" s="8">
        <v>-135.5</v>
      </c>
      <c r="J4750" s="9">
        <v>19</v>
      </c>
      <c r="K4750" s="7">
        <v>154.5</v>
      </c>
      <c r="L4750" s="24">
        <f>+Tabla2[[#This Row],[Stock Inventario]]*Tabla2[[#This Row],[Coste LÃ­nea]]</f>
        <v>58371.958333270006</v>
      </c>
      <c r="M4750" s="24">
        <f>+Tabla2[[#This Row],[Variación Stock]]*Tabla2[[#This Row],[Coste LÃ­nea]]</f>
        <v>474656.18749948504</v>
      </c>
      <c r="N4750" s="22" t="str">
        <f>+IF(Tabla2[[#This Row],[Variación Stock]]&gt;0,"Sobrante",IF(Tabla2[[#This Row],[Variación Stock]]&lt;0,"Faltante","Sin novedad"))</f>
        <v>Sobrante</v>
      </c>
    </row>
    <row r="4751" spans="1:14" x14ac:dyDescent="0.25">
      <c r="A4751" s="11">
        <v>46044</v>
      </c>
      <c r="B4751" s="5" t="s">
        <v>382</v>
      </c>
      <c r="C4751" s="3" t="s">
        <v>284</v>
      </c>
      <c r="D4751" s="5" t="s">
        <v>118</v>
      </c>
      <c r="E4751" s="5" t="s">
        <v>112</v>
      </c>
      <c r="F4751" s="6" t="s">
        <v>299</v>
      </c>
      <c r="G4751" s="4" t="s">
        <v>2</v>
      </c>
      <c r="H4751" s="25">
        <v>72880</v>
      </c>
      <c r="I4751" s="8">
        <v>3</v>
      </c>
      <c r="J4751" s="9">
        <v>3</v>
      </c>
      <c r="K4751" s="7">
        <v>0</v>
      </c>
      <c r="L4751" s="24">
        <f>+Tabla2[[#This Row],[Stock Inventario]]*Tabla2[[#This Row],[Coste LÃ­nea]]</f>
        <v>218640</v>
      </c>
      <c r="M4751" s="24">
        <f>+Tabla2[[#This Row],[Variación Stock]]*Tabla2[[#This Row],[Coste LÃ­nea]]</f>
        <v>0</v>
      </c>
      <c r="N4751" s="22" t="str">
        <f>+IF(Tabla2[[#This Row],[Variación Stock]]&gt;0,"Sobrante",IF(Tabla2[[#This Row],[Variación Stock]]&lt;0,"Faltante","Sin novedad"))</f>
        <v>Sin novedad</v>
      </c>
    </row>
    <row r="4752" spans="1:14" x14ac:dyDescent="0.25">
      <c r="A4752" s="11">
        <v>46044</v>
      </c>
      <c r="B4752" s="5" t="s">
        <v>382</v>
      </c>
      <c r="C4752" s="3" t="s">
        <v>284</v>
      </c>
      <c r="D4752" s="5" t="s">
        <v>118</v>
      </c>
      <c r="E4752" s="5" t="s">
        <v>112</v>
      </c>
      <c r="F4752" s="6" t="s">
        <v>80</v>
      </c>
      <c r="G4752" s="4" t="s">
        <v>2</v>
      </c>
      <c r="H4752" s="25">
        <v>108834</v>
      </c>
      <c r="I4752" s="8">
        <v>2</v>
      </c>
      <c r="J4752" s="9">
        <v>2</v>
      </c>
      <c r="K4752" s="7">
        <v>0</v>
      </c>
      <c r="L4752" s="24">
        <f>+Tabla2[[#This Row],[Stock Inventario]]*Tabla2[[#This Row],[Coste LÃ­nea]]</f>
        <v>217668</v>
      </c>
      <c r="M4752" s="24">
        <f>+Tabla2[[#This Row],[Variación Stock]]*Tabla2[[#This Row],[Coste LÃ­nea]]</f>
        <v>0</v>
      </c>
      <c r="N4752" s="22" t="str">
        <f>+IF(Tabla2[[#This Row],[Variación Stock]]&gt;0,"Sobrante",IF(Tabla2[[#This Row],[Variación Stock]]&lt;0,"Faltante","Sin novedad"))</f>
        <v>Sin novedad</v>
      </c>
    </row>
    <row r="4753" spans="1:14" x14ac:dyDescent="0.25">
      <c r="A4753" s="11">
        <v>46037</v>
      </c>
      <c r="B4753" s="5" t="s">
        <v>283</v>
      </c>
      <c r="C4753" s="3" t="s">
        <v>284</v>
      </c>
      <c r="D4753" s="5" t="s">
        <v>118</v>
      </c>
      <c r="E4753" s="5" t="s">
        <v>112</v>
      </c>
      <c r="F4753" s="6" t="s">
        <v>301</v>
      </c>
      <c r="G4753" s="4" t="s">
        <v>81</v>
      </c>
      <c r="H4753" s="25">
        <v>15151.2</v>
      </c>
      <c r="I4753" s="8">
        <v>19</v>
      </c>
      <c r="J4753" s="9">
        <v>14</v>
      </c>
      <c r="K4753" s="7">
        <v>-5</v>
      </c>
      <c r="L4753" s="24">
        <f>+Tabla2[[#This Row],[Stock Inventario]]*Tabla2[[#This Row],[Coste LÃ­nea]]</f>
        <v>212116.80000000002</v>
      </c>
      <c r="M4753" s="24">
        <f>+Tabla2[[#This Row],[Variación Stock]]*Tabla2[[#This Row],[Coste LÃ­nea]]</f>
        <v>-75756</v>
      </c>
      <c r="N4753" s="22" t="str">
        <f>+IF(Tabla2[[#This Row],[Variación Stock]]&gt;0,"Sobrante",IF(Tabla2[[#This Row],[Variación Stock]]&lt;0,"Faltante","Sin novedad"))</f>
        <v>Faltante</v>
      </c>
    </row>
    <row r="4754" spans="1:14" x14ac:dyDescent="0.25">
      <c r="A4754" s="11">
        <v>46044</v>
      </c>
      <c r="B4754" s="5" t="s">
        <v>382</v>
      </c>
      <c r="C4754" s="3" t="s">
        <v>284</v>
      </c>
      <c r="D4754" s="5" t="s">
        <v>118</v>
      </c>
      <c r="E4754" s="5" t="s">
        <v>112</v>
      </c>
      <c r="F4754" s="6" t="s">
        <v>301</v>
      </c>
      <c r="G4754" s="4" t="s">
        <v>81</v>
      </c>
      <c r="H4754" s="25">
        <v>15151.2</v>
      </c>
      <c r="I4754" s="8">
        <v>14</v>
      </c>
      <c r="J4754" s="9">
        <v>19</v>
      </c>
      <c r="K4754" s="7">
        <v>5</v>
      </c>
      <c r="L4754" s="24">
        <f>+Tabla2[[#This Row],[Stock Inventario]]*Tabla2[[#This Row],[Coste LÃ­nea]]</f>
        <v>287872.8</v>
      </c>
      <c r="M4754" s="24">
        <f>+Tabla2[[#This Row],[Variación Stock]]*Tabla2[[#This Row],[Coste LÃ­nea]]</f>
        <v>75756</v>
      </c>
      <c r="N4754" s="22" t="str">
        <f>+IF(Tabla2[[#This Row],[Variación Stock]]&gt;0,"Sobrante",IF(Tabla2[[#This Row],[Variación Stock]]&lt;0,"Faltante","Sin novedad"))</f>
        <v>Sobrante</v>
      </c>
    </row>
    <row r="4755" spans="1:14" hidden="1" x14ac:dyDescent="0.25">
      <c r="A4755" s="11">
        <v>46037</v>
      </c>
      <c r="B4755" s="5" t="s">
        <v>283</v>
      </c>
      <c r="C4755" s="3" t="s">
        <v>284</v>
      </c>
      <c r="D4755" s="5" t="s">
        <v>323</v>
      </c>
      <c r="E4755" s="5" t="s">
        <v>117</v>
      </c>
      <c r="F4755" s="6" t="s">
        <v>327</v>
      </c>
      <c r="G4755" s="4" t="s">
        <v>1</v>
      </c>
      <c r="H4755" s="25">
        <v>45.287459560000002</v>
      </c>
      <c r="I4755" s="8">
        <v>4300</v>
      </c>
      <c r="J4755" s="9">
        <v>3754</v>
      </c>
      <c r="K4755" s="7">
        <v>-546</v>
      </c>
      <c r="L4755" s="24">
        <f>+Tabla2[[#This Row],[Stock Inventario]]*Tabla2[[#This Row],[Coste LÃ­nea]]</f>
        <v>170009.12318824002</v>
      </c>
      <c r="M4755" s="24">
        <f>+Tabla2[[#This Row],[Variación Stock]]*Tabla2[[#This Row],[Coste LÃ­nea]]</f>
        <v>-24726.952919760002</v>
      </c>
      <c r="N4755" s="22" t="str">
        <f>+IF(Tabla2[[#This Row],[Variación Stock]]&gt;0,"Sobrante",IF(Tabla2[[#This Row],[Variación Stock]]&lt;0,"Faltante","Sin novedad"))</f>
        <v>Faltante</v>
      </c>
    </row>
    <row r="4756" spans="1:14" x14ac:dyDescent="0.25">
      <c r="A4756" s="11">
        <v>46037</v>
      </c>
      <c r="B4756" s="5" t="s">
        <v>283</v>
      </c>
      <c r="C4756" s="3" t="s">
        <v>284</v>
      </c>
      <c r="D4756" s="5" t="s">
        <v>111</v>
      </c>
      <c r="E4756" s="5" t="s">
        <v>112</v>
      </c>
      <c r="F4756" s="6" t="s">
        <v>40</v>
      </c>
      <c r="G4756" s="4" t="s">
        <v>0</v>
      </c>
      <c r="H4756" s="25">
        <v>2077.8620689700001</v>
      </c>
      <c r="I4756" s="8">
        <v>83</v>
      </c>
      <c r="J4756" s="9">
        <v>78</v>
      </c>
      <c r="K4756" s="7">
        <v>-5</v>
      </c>
      <c r="L4756" s="24">
        <f>+Tabla2[[#This Row],[Stock Inventario]]*Tabla2[[#This Row],[Coste LÃ­nea]]</f>
        <v>162073.24137966</v>
      </c>
      <c r="M4756" s="24">
        <f>+Tabla2[[#This Row],[Variación Stock]]*Tabla2[[#This Row],[Coste LÃ­nea]]</f>
        <v>-10389.310344850001</v>
      </c>
      <c r="N4756" s="22" t="str">
        <f>+IF(Tabla2[[#This Row],[Variación Stock]]&gt;0,"Sobrante",IF(Tabla2[[#This Row],[Variación Stock]]&lt;0,"Faltante","Sin novedad"))</f>
        <v>Faltante</v>
      </c>
    </row>
    <row r="4757" spans="1:14" x14ac:dyDescent="0.25">
      <c r="A4757" s="11">
        <v>46044</v>
      </c>
      <c r="B4757" s="5" t="s">
        <v>382</v>
      </c>
      <c r="C4757" s="3" t="s">
        <v>284</v>
      </c>
      <c r="D4757" s="5" t="s">
        <v>111</v>
      </c>
      <c r="E4757" s="5" t="s">
        <v>112</v>
      </c>
      <c r="F4757" s="6" t="s">
        <v>40</v>
      </c>
      <c r="G4757" s="4" t="s">
        <v>0</v>
      </c>
      <c r="H4757" s="25">
        <v>2172.3017241399998</v>
      </c>
      <c r="I4757" s="8">
        <v>76</v>
      </c>
      <c r="J4757" s="9">
        <v>73</v>
      </c>
      <c r="K4757" s="7">
        <v>-3</v>
      </c>
      <c r="L4757" s="24">
        <f>+Tabla2[[#This Row],[Stock Inventario]]*Tabla2[[#This Row],[Coste LÃ­nea]]</f>
        <v>158578.02586221998</v>
      </c>
      <c r="M4757" s="24">
        <f>+Tabla2[[#This Row],[Variación Stock]]*Tabla2[[#This Row],[Coste LÃ­nea]]</f>
        <v>-6516.9051724199999</v>
      </c>
      <c r="N4757" s="22" t="str">
        <f>+IF(Tabla2[[#This Row],[Variación Stock]]&gt;0,"Sobrante",IF(Tabla2[[#This Row],[Variación Stock]]&lt;0,"Faltante","Sin novedad"))</f>
        <v>Faltante</v>
      </c>
    </row>
    <row r="4758" spans="1:14" x14ac:dyDescent="0.25">
      <c r="A4758" s="11">
        <v>46044</v>
      </c>
      <c r="B4758" s="5" t="s">
        <v>382</v>
      </c>
      <c r="C4758" s="3" t="s">
        <v>284</v>
      </c>
      <c r="D4758" s="5" t="s">
        <v>118</v>
      </c>
      <c r="E4758" s="5" t="s">
        <v>112</v>
      </c>
      <c r="F4758" s="6" t="s">
        <v>85</v>
      </c>
      <c r="G4758" s="4" t="s">
        <v>81</v>
      </c>
      <c r="H4758" s="25">
        <v>9853.2000000000007</v>
      </c>
      <c r="I4758" s="8">
        <v>20</v>
      </c>
      <c r="J4758" s="9">
        <v>20</v>
      </c>
      <c r="K4758" s="7">
        <v>0</v>
      </c>
      <c r="L4758" s="24">
        <f>+Tabla2[[#This Row],[Stock Inventario]]*Tabla2[[#This Row],[Coste LÃ­nea]]</f>
        <v>197064</v>
      </c>
      <c r="M4758" s="24">
        <f>+Tabla2[[#This Row],[Variación Stock]]*Tabla2[[#This Row],[Coste LÃ­nea]]</f>
        <v>0</v>
      </c>
      <c r="N4758" s="22" t="str">
        <f>+IF(Tabla2[[#This Row],[Variación Stock]]&gt;0,"Sobrante",IF(Tabla2[[#This Row],[Variación Stock]]&lt;0,"Faltante","Sin novedad"))</f>
        <v>Sin novedad</v>
      </c>
    </row>
    <row r="4759" spans="1:14" x14ac:dyDescent="0.25">
      <c r="A4759" s="11">
        <v>46044</v>
      </c>
      <c r="B4759" s="5" t="s">
        <v>382</v>
      </c>
      <c r="C4759" s="3" t="s">
        <v>284</v>
      </c>
      <c r="D4759" s="5" t="s">
        <v>118</v>
      </c>
      <c r="E4759" s="5" t="s">
        <v>112</v>
      </c>
      <c r="F4759" s="6" t="s">
        <v>82</v>
      </c>
      <c r="G4759" s="4" t="s">
        <v>2</v>
      </c>
      <c r="H4759" s="25">
        <v>63372.666666669997</v>
      </c>
      <c r="I4759" s="8">
        <v>3</v>
      </c>
      <c r="J4759" s="9">
        <v>3</v>
      </c>
      <c r="K4759" s="7">
        <v>0</v>
      </c>
      <c r="L4759" s="24">
        <f>+Tabla2[[#This Row],[Stock Inventario]]*Tabla2[[#This Row],[Coste LÃ­nea]]</f>
        <v>190118.00000000998</v>
      </c>
      <c r="M4759" s="24">
        <f>+Tabla2[[#This Row],[Variación Stock]]*Tabla2[[#This Row],[Coste LÃ­nea]]</f>
        <v>0</v>
      </c>
      <c r="N4759" s="22" t="str">
        <f>+IF(Tabla2[[#This Row],[Variación Stock]]&gt;0,"Sobrante",IF(Tabla2[[#This Row],[Variación Stock]]&lt;0,"Faltante","Sin novedad"))</f>
        <v>Sin novedad</v>
      </c>
    </row>
    <row r="4760" spans="1:14" x14ac:dyDescent="0.25">
      <c r="A4760" s="11">
        <v>46044</v>
      </c>
      <c r="B4760" s="5" t="s">
        <v>382</v>
      </c>
      <c r="C4760" s="3" t="s">
        <v>284</v>
      </c>
      <c r="D4760" s="5" t="s">
        <v>111</v>
      </c>
      <c r="E4760" s="5" t="s">
        <v>112</v>
      </c>
      <c r="F4760" s="6" t="s">
        <v>29</v>
      </c>
      <c r="G4760" s="4" t="s">
        <v>0</v>
      </c>
      <c r="H4760" s="25">
        <v>12951.25</v>
      </c>
      <c r="I4760" s="8">
        <v>6</v>
      </c>
      <c r="J4760" s="9">
        <v>7</v>
      </c>
      <c r="K4760" s="7">
        <v>1</v>
      </c>
      <c r="L4760" s="24">
        <f>+Tabla2[[#This Row],[Stock Inventario]]*Tabla2[[#This Row],[Coste LÃ­nea]]</f>
        <v>90658.75</v>
      </c>
      <c r="M4760" s="24">
        <f>+Tabla2[[#This Row],[Variación Stock]]*Tabla2[[#This Row],[Coste LÃ­nea]]</f>
        <v>12951.25</v>
      </c>
      <c r="N4760" s="22" t="str">
        <f>+IF(Tabla2[[#This Row],[Variación Stock]]&gt;0,"Sobrante",IF(Tabla2[[#This Row],[Variación Stock]]&lt;0,"Faltante","Sin novedad"))</f>
        <v>Sobrante</v>
      </c>
    </row>
    <row r="4761" spans="1:14" x14ac:dyDescent="0.25">
      <c r="A4761" s="11">
        <v>46044</v>
      </c>
      <c r="B4761" s="5" t="s">
        <v>382</v>
      </c>
      <c r="C4761" s="3" t="s">
        <v>284</v>
      </c>
      <c r="D4761" s="5" t="s">
        <v>118</v>
      </c>
      <c r="E4761" s="5" t="s">
        <v>112</v>
      </c>
      <c r="F4761" s="6" t="s">
        <v>297</v>
      </c>
      <c r="G4761" s="4" t="s">
        <v>2</v>
      </c>
      <c r="H4761" s="25">
        <v>87241.5</v>
      </c>
      <c r="I4761" s="8">
        <v>2</v>
      </c>
      <c r="J4761" s="9">
        <v>2</v>
      </c>
      <c r="K4761" s="7">
        <v>0</v>
      </c>
      <c r="L4761" s="24">
        <f>+Tabla2[[#This Row],[Stock Inventario]]*Tabla2[[#This Row],[Coste LÃ­nea]]</f>
        <v>174483</v>
      </c>
      <c r="M4761" s="24">
        <f>+Tabla2[[#This Row],[Variación Stock]]*Tabla2[[#This Row],[Coste LÃ­nea]]</f>
        <v>0</v>
      </c>
      <c r="N4761" s="22" t="str">
        <f>+IF(Tabla2[[#This Row],[Variación Stock]]&gt;0,"Sobrante",IF(Tabla2[[#This Row],[Variación Stock]]&lt;0,"Faltante","Sin novedad"))</f>
        <v>Sin novedad</v>
      </c>
    </row>
    <row r="4762" spans="1:14" hidden="1" x14ac:dyDescent="0.25">
      <c r="A4762" s="11">
        <v>46044</v>
      </c>
      <c r="B4762" s="5" t="s">
        <v>382</v>
      </c>
      <c r="C4762" s="3" t="s">
        <v>284</v>
      </c>
      <c r="D4762" s="5" t="s">
        <v>119</v>
      </c>
      <c r="E4762" s="5" t="s">
        <v>117</v>
      </c>
      <c r="F4762" s="6" t="s">
        <v>93</v>
      </c>
      <c r="G4762" s="4" t="s">
        <v>1</v>
      </c>
      <c r="H4762" s="25">
        <v>54.545000000000002</v>
      </c>
      <c r="I4762" s="8">
        <v>-3995.3334</v>
      </c>
      <c r="J4762" s="9">
        <v>1880</v>
      </c>
      <c r="K4762" s="7">
        <v>5875.3333549999998</v>
      </c>
      <c r="L4762" s="24">
        <f>+Tabla2[[#This Row],[Stock Inventario]]*Tabla2[[#This Row],[Coste LÃ­nea]]</f>
        <v>102544.6</v>
      </c>
      <c r="M4762" s="24">
        <f>+Tabla2[[#This Row],[Variación Stock]]*Tabla2[[#This Row],[Coste LÃ­nea]]</f>
        <v>320470.057848475</v>
      </c>
      <c r="N4762" s="22" t="str">
        <f>+IF(Tabla2[[#This Row],[Variación Stock]]&gt;0,"Sobrante",IF(Tabla2[[#This Row],[Variación Stock]]&lt;0,"Faltante","Sin novedad"))</f>
        <v>Sobrante</v>
      </c>
    </row>
    <row r="4763" spans="1:14" x14ac:dyDescent="0.25">
      <c r="A4763" s="11">
        <v>46037</v>
      </c>
      <c r="B4763" s="5" t="s">
        <v>283</v>
      </c>
      <c r="C4763" s="3" t="s">
        <v>284</v>
      </c>
      <c r="D4763" s="5" t="s">
        <v>114</v>
      </c>
      <c r="E4763" s="5" t="s">
        <v>112</v>
      </c>
      <c r="F4763" s="6" t="s">
        <v>3</v>
      </c>
      <c r="G4763" s="4" t="s">
        <v>2</v>
      </c>
      <c r="H4763" s="25">
        <v>1497.59166667</v>
      </c>
      <c r="I4763" s="8">
        <v>135.69999999999999</v>
      </c>
      <c r="J4763" s="9">
        <v>135</v>
      </c>
      <c r="K4763" s="7">
        <v>-0.7</v>
      </c>
      <c r="L4763" s="24">
        <f>+Tabla2[[#This Row],[Stock Inventario]]*Tabla2[[#This Row],[Coste LÃ­nea]]</f>
        <v>202174.87500045</v>
      </c>
      <c r="M4763" s="24">
        <f>+Tabla2[[#This Row],[Variación Stock]]*Tabla2[[#This Row],[Coste LÃ­nea]]</f>
        <v>-1048.3141666689999</v>
      </c>
      <c r="N4763" s="22" t="str">
        <f>+IF(Tabla2[[#This Row],[Variación Stock]]&gt;0,"Sobrante",IF(Tabla2[[#This Row],[Variación Stock]]&lt;0,"Faltante","Sin novedad"))</f>
        <v>Faltante</v>
      </c>
    </row>
    <row r="4764" spans="1:14" x14ac:dyDescent="0.25">
      <c r="A4764" s="11">
        <v>46044</v>
      </c>
      <c r="B4764" s="5" t="s">
        <v>382</v>
      </c>
      <c r="C4764" s="3" t="s">
        <v>284</v>
      </c>
      <c r="D4764" s="5" t="s">
        <v>114</v>
      </c>
      <c r="E4764" s="5" t="s">
        <v>112</v>
      </c>
      <c r="F4764" s="6" t="s">
        <v>3</v>
      </c>
      <c r="G4764" s="4" t="s">
        <v>2</v>
      </c>
      <c r="H4764" s="25">
        <v>1497.59166667</v>
      </c>
      <c r="I4764" s="8">
        <v>144.19999999999999</v>
      </c>
      <c r="J4764" s="9">
        <v>141</v>
      </c>
      <c r="K4764" s="7">
        <v>-3.2</v>
      </c>
      <c r="L4764" s="24">
        <f>+Tabla2[[#This Row],[Stock Inventario]]*Tabla2[[#This Row],[Coste LÃ­nea]]</f>
        <v>211160.42500046999</v>
      </c>
      <c r="M4764" s="24">
        <f>+Tabla2[[#This Row],[Variación Stock]]*Tabla2[[#This Row],[Coste LÃ­nea]]</f>
        <v>-4792.2933333440005</v>
      </c>
      <c r="N4764" s="22" t="str">
        <f>+IF(Tabla2[[#This Row],[Variación Stock]]&gt;0,"Sobrante",IF(Tabla2[[#This Row],[Variación Stock]]&lt;0,"Faltante","Sin novedad"))</f>
        <v>Faltante</v>
      </c>
    </row>
    <row r="4765" spans="1:14" x14ac:dyDescent="0.25">
      <c r="A4765" s="11">
        <v>46044</v>
      </c>
      <c r="B4765" s="5" t="s">
        <v>382</v>
      </c>
      <c r="C4765" s="3" t="s">
        <v>284</v>
      </c>
      <c r="D4765" s="5" t="s">
        <v>111</v>
      </c>
      <c r="E4765" s="5" t="s">
        <v>112</v>
      </c>
      <c r="F4765" s="6" t="s">
        <v>30</v>
      </c>
      <c r="G4765" s="4" t="s">
        <v>0</v>
      </c>
      <c r="H4765" s="25">
        <v>3673.5</v>
      </c>
      <c r="I4765" s="8">
        <v>23</v>
      </c>
      <c r="J4765" s="9">
        <v>22</v>
      </c>
      <c r="K4765" s="7">
        <v>-1</v>
      </c>
      <c r="L4765" s="24">
        <f>+Tabla2[[#This Row],[Stock Inventario]]*Tabla2[[#This Row],[Coste LÃ­nea]]</f>
        <v>80817</v>
      </c>
      <c r="M4765" s="24">
        <f>+Tabla2[[#This Row],[Variación Stock]]*Tabla2[[#This Row],[Coste LÃ­nea]]</f>
        <v>-3673.5</v>
      </c>
      <c r="N4765" s="22" t="str">
        <f>+IF(Tabla2[[#This Row],[Variación Stock]]&gt;0,"Sobrante",IF(Tabla2[[#This Row],[Variación Stock]]&lt;0,"Faltante","Sin novedad"))</f>
        <v>Faltante</v>
      </c>
    </row>
    <row r="4766" spans="1:14" x14ac:dyDescent="0.25">
      <c r="A4766" s="11">
        <v>46037</v>
      </c>
      <c r="B4766" s="5" t="s">
        <v>283</v>
      </c>
      <c r="C4766" s="3" t="s">
        <v>284</v>
      </c>
      <c r="D4766" s="5" t="s">
        <v>114</v>
      </c>
      <c r="E4766" s="5" t="s">
        <v>112</v>
      </c>
      <c r="F4766" s="6" t="s">
        <v>70</v>
      </c>
      <c r="G4766" s="4" t="s">
        <v>2</v>
      </c>
      <c r="H4766" s="25">
        <v>1835.41666667</v>
      </c>
      <c r="I4766" s="8">
        <v>32</v>
      </c>
      <c r="J4766" s="9">
        <v>30</v>
      </c>
      <c r="K4766" s="7">
        <v>-2</v>
      </c>
      <c r="L4766" s="24">
        <f>+Tabla2[[#This Row],[Stock Inventario]]*Tabla2[[#This Row],[Coste LÃ­nea]]</f>
        <v>55062.500000100001</v>
      </c>
      <c r="M4766" s="24">
        <f>+Tabla2[[#This Row],[Variación Stock]]*Tabla2[[#This Row],[Coste LÃ­nea]]</f>
        <v>-3670.8333333400001</v>
      </c>
      <c r="N4766" s="22" t="str">
        <f>+IF(Tabla2[[#This Row],[Variación Stock]]&gt;0,"Sobrante",IF(Tabla2[[#This Row],[Variación Stock]]&lt;0,"Faltante","Sin novedad"))</f>
        <v>Faltante</v>
      </c>
    </row>
    <row r="4767" spans="1:14" hidden="1" x14ac:dyDescent="0.25">
      <c r="A4767" s="11">
        <v>46044</v>
      </c>
      <c r="B4767" s="5" t="s">
        <v>382</v>
      </c>
      <c r="C4767" s="3" t="s">
        <v>284</v>
      </c>
      <c r="D4767" s="5" t="s">
        <v>323</v>
      </c>
      <c r="E4767" s="5" t="s">
        <v>117</v>
      </c>
      <c r="F4767" s="6" t="s">
        <v>327</v>
      </c>
      <c r="G4767" s="4" t="s">
        <v>1</v>
      </c>
      <c r="H4767" s="25">
        <v>41.579090909999998</v>
      </c>
      <c r="I4767" s="8">
        <v>4050.6</v>
      </c>
      <c r="J4767" s="9">
        <v>3000</v>
      </c>
      <c r="K4767" s="7">
        <v>-1050.5999999999999</v>
      </c>
      <c r="L4767" s="24">
        <f>+Tabla2[[#This Row],[Stock Inventario]]*Tabla2[[#This Row],[Coste LÃ­nea]]</f>
        <v>124737.27273</v>
      </c>
      <c r="M4767" s="24">
        <f>+Tabla2[[#This Row],[Variación Stock]]*Tabla2[[#This Row],[Coste LÃ­nea]]</f>
        <v>-43682.992910045992</v>
      </c>
      <c r="N4767" s="22" t="str">
        <f>+IF(Tabla2[[#This Row],[Variación Stock]]&gt;0,"Sobrante",IF(Tabla2[[#This Row],[Variación Stock]]&lt;0,"Faltante","Sin novedad"))</f>
        <v>Faltante</v>
      </c>
    </row>
    <row r="4768" spans="1:14" x14ac:dyDescent="0.25">
      <c r="A4768" s="11">
        <v>46044</v>
      </c>
      <c r="B4768" s="5" t="s">
        <v>382</v>
      </c>
      <c r="C4768" s="3" t="s">
        <v>284</v>
      </c>
      <c r="D4768" s="5" t="s">
        <v>114</v>
      </c>
      <c r="E4768" s="5" t="s">
        <v>112</v>
      </c>
      <c r="F4768" s="6" t="s">
        <v>70</v>
      </c>
      <c r="G4768" s="4" t="s">
        <v>2</v>
      </c>
      <c r="H4768" s="25">
        <v>1835.41666667</v>
      </c>
      <c r="I4768" s="8">
        <v>30</v>
      </c>
      <c r="J4768" s="9">
        <v>32</v>
      </c>
      <c r="K4768" s="7">
        <v>2</v>
      </c>
      <c r="L4768" s="24">
        <f>+Tabla2[[#This Row],[Stock Inventario]]*Tabla2[[#This Row],[Coste LÃ­nea]]</f>
        <v>58733.333333440001</v>
      </c>
      <c r="M4768" s="24">
        <f>+Tabla2[[#This Row],[Variación Stock]]*Tabla2[[#This Row],[Coste LÃ­nea]]</f>
        <v>3670.8333333400001</v>
      </c>
      <c r="N4768" s="22" t="str">
        <f>+IF(Tabla2[[#This Row],[Variación Stock]]&gt;0,"Sobrante",IF(Tabla2[[#This Row],[Variación Stock]]&lt;0,"Faltante","Sin novedad"))</f>
        <v>Sobrante</v>
      </c>
    </row>
    <row r="4769" spans="1:14" x14ac:dyDescent="0.25">
      <c r="A4769" s="11">
        <v>46044</v>
      </c>
      <c r="B4769" s="5" t="s">
        <v>382</v>
      </c>
      <c r="C4769" s="3" t="s">
        <v>284</v>
      </c>
      <c r="D4769" s="5" t="s">
        <v>115</v>
      </c>
      <c r="E4769" s="5" t="s">
        <v>112</v>
      </c>
      <c r="F4769" s="6" t="s">
        <v>74</v>
      </c>
      <c r="G4769" s="4" t="s">
        <v>2</v>
      </c>
      <c r="H4769" s="25">
        <v>3465.1666666699998</v>
      </c>
      <c r="I4769" s="8">
        <v>45</v>
      </c>
      <c r="J4769" s="9">
        <v>45</v>
      </c>
      <c r="K4769" s="7">
        <v>0</v>
      </c>
      <c r="L4769" s="24">
        <f>+Tabla2[[#This Row],[Stock Inventario]]*Tabla2[[#This Row],[Coste LÃ­nea]]</f>
        <v>155932.50000015</v>
      </c>
      <c r="M4769" s="24">
        <f>+Tabla2[[#This Row],[Variación Stock]]*Tabla2[[#This Row],[Coste LÃ­nea]]</f>
        <v>0</v>
      </c>
      <c r="N4769" s="22" t="str">
        <f>+IF(Tabla2[[#This Row],[Variación Stock]]&gt;0,"Sobrante",IF(Tabla2[[#This Row],[Variación Stock]]&lt;0,"Faltante","Sin novedad"))</f>
        <v>Sin novedad</v>
      </c>
    </row>
    <row r="4770" spans="1:14" x14ac:dyDescent="0.25">
      <c r="A4770" s="11">
        <v>46044</v>
      </c>
      <c r="B4770" s="5" t="s">
        <v>382</v>
      </c>
      <c r="C4770" s="3" t="s">
        <v>284</v>
      </c>
      <c r="D4770" s="5" t="s">
        <v>118</v>
      </c>
      <c r="E4770" s="5" t="s">
        <v>112</v>
      </c>
      <c r="F4770" s="6" t="s">
        <v>307</v>
      </c>
      <c r="G4770" s="4" t="s">
        <v>81</v>
      </c>
      <c r="H4770" s="25">
        <v>10710.6</v>
      </c>
      <c r="I4770" s="8">
        <v>14</v>
      </c>
      <c r="J4770" s="9">
        <v>14</v>
      </c>
      <c r="K4770" s="7">
        <v>0</v>
      </c>
      <c r="L4770" s="24">
        <f>+Tabla2[[#This Row],[Stock Inventario]]*Tabla2[[#This Row],[Coste LÃ­nea]]</f>
        <v>149948.4</v>
      </c>
      <c r="M4770" s="24">
        <f>+Tabla2[[#This Row],[Variación Stock]]*Tabla2[[#This Row],[Coste LÃ­nea]]</f>
        <v>0</v>
      </c>
      <c r="N4770" s="22" t="str">
        <f>+IF(Tabla2[[#This Row],[Variación Stock]]&gt;0,"Sobrante",IF(Tabla2[[#This Row],[Variación Stock]]&lt;0,"Faltante","Sin novedad"))</f>
        <v>Sin novedad</v>
      </c>
    </row>
    <row r="4771" spans="1:14" x14ac:dyDescent="0.25">
      <c r="A4771" s="11">
        <v>46044</v>
      </c>
      <c r="B4771" s="5" t="s">
        <v>382</v>
      </c>
      <c r="C4771" s="3" t="s">
        <v>284</v>
      </c>
      <c r="D4771" s="5" t="s">
        <v>114</v>
      </c>
      <c r="E4771" s="5" t="s">
        <v>112</v>
      </c>
      <c r="F4771" s="6" t="s">
        <v>63</v>
      </c>
      <c r="G4771" s="4" t="s">
        <v>2</v>
      </c>
      <c r="H4771" s="25">
        <v>1395.83333333</v>
      </c>
      <c r="I4771" s="8">
        <v>19</v>
      </c>
      <c r="J4771" s="9">
        <v>18</v>
      </c>
      <c r="K4771" s="7">
        <v>-1</v>
      </c>
      <c r="L4771" s="24">
        <f>+Tabla2[[#This Row],[Stock Inventario]]*Tabla2[[#This Row],[Coste LÃ­nea]]</f>
        <v>25124.999999939999</v>
      </c>
      <c r="M4771" s="24">
        <f>+Tabla2[[#This Row],[Variación Stock]]*Tabla2[[#This Row],[Coste LÃ­nea]]</f>
        <v>-1395.83333333</v>
      </c>
      <c r="N4771" s="22" t="str">
        <f>+IF(Tabla2[[#This Row],[Variación Stock]]&gt;0,"Sobrante",IF(Tabla2[[#This Row],[Variación Stock]]&lt;0,"Faltante","Sin novedad"))</f>
        <v>Faltante</v>
      </c>
    </row>
    <row r="4772" spans="1:14" x14ac:dyDescent="0.25">
      <c r="A4772" s="11">
        <v>46044</v>
      </c>
      <c r="B4772" s="5" t="s">
        <v>382</v>
      </c>
      <c r="C4772" s="3" t="s">
        <v>284</v>
      </c>
      <c r="D4772" s="5" t="s">
        <v>114</v>
      </c>
      <c r="E4772" s="5" t="s">
        <v>112</v>
      </c>
      <c r="F4772" s="6" t="s">
        <v>61</v>
      </c>
      <c r="G4772" s="4" t="s">
        <v>2</v>
      </c>
      <c r="H4772" s="25">
        <v>2119.75</v>
      </c>
      <c r="I4772" s="8">
        <v>69</v>
      </c>
      <c r="J4772" s="9">
        <v>69</v>
      </c>
      <c r="K4772" s="7">
        <v>0</v>
      </c>
      <c r="L4772" s="24">
        <f>+Tabla2[[#This Row],[Stock Inventario]]*Tabla2[[#This Row],[Coste LÃ­nea]]</f>
        <v>146262.75</v>
      </c>
      <c r="M4772" s="24">
        <f>+Tabla2[[#This Row],[Variación Stock]]*Tabla2[[#This Row],[Coste LÃ­nea]]</f>
        <v>0</v>
      </c>
      <c r="N4772" s="22" t="str">
        <f>+IF(Tabla2[[#This Row],[Variación Stock]]&gt;0,"Sobrante",IF(Tabla2[[#This Row],[Variación Stock]]&lt;0,"Faltante","Sin novedad"))</f>
        <v>Sin novedad</v>
      </c>
    </row>
    <row r="4773" spans="1:14" x14ac:dyDescent="0.25">
      <c r="A4773" s="11">
        <v>46044</v>
      </c>
      <c r="B4773" s="5" t="s">
        <v>382</v>
      </c>
      <c r="C4773" s="3" t="s">
        <v>284</v>
      </c>
      <c r="D4773" s="5" t="s">
        <v>118</v>
      </c>
      <c r="E4773" s="5" t="s">
        <v>112</v>
      </c>
      <c r="F4773" s="6" t="s">
        <v>295</v>
      </c>
      <c r="G4773" s="4" t="s">
        <v>2</v>
      </c>
      <c r="H4773" s="25">
        <v>71318</v>
      </c>
      <c r="I4773" s="8">
        <v>2</v>
      </c>
      <c r="J4773" s="9">
        <v>2</v>
      </c>
      <c r="K4773" s="7">
        <v>0</v>
      </c>
      <c r="L4773" s="24">
        <f>+Tabla2[[#This Row],[Stock Inventario]]*Tabla2[[#This Row],[Coste LÃ­nea]]</f>
        <v>142636</v>
      </c>
      <c r="M4773" s="24">
        <f>+Tabla2[[#This Row],[Variación Stock]]*Tabla2[[#This Row],[Coste LÃ­nea]]</f>
        <v>0</v>
      </c>
      <c r="N4773" s="22" t="str">
        <f>+IF(Tabla2[[#This Row],[Variación Stock]]&gt;0,"Sobrante",IF(Tabla2[[#This Row],[Variación Stock]]&lt;0,"Faltante","Sin novedad"))</f>
        <v>Sin novedad</v>
      </c>
    </row>
    <row r="4774" spans="1:14" hidden="1" x14ac:dyDescent="0.25">
      <c r="A4774" s="11">
        <v>46044</v>
      </c>
      <c r="B4774" s="5" t="s">
        <v>382</v>
      </c>
      <c r="C4774" s="3" t="s">
        <v>284</v>
      </c>
      <c r="D4774" s="5" t="s">
        <v>120</v>
      </c>
      <c r="E4774" s="5" t="s">
        <v>117</v>
      </c>
      <c r="F4774" s="6" t="s">
        <v>319</v>
      </c>
      <c r="G4774" s="4" t="s">
        <v>2</v>
      </c>
      <c r="H4774" s="25">
        <v>3371.9832877099998</v>
      </c>
      <c r="I4774" s="8">
        <v>26</v>
      </c>
      <c r="J4774" s="9">
        <v>10</v>
      </c>
      <c r="K4774" s="7">
        <v>-16</v>
      </c>
      <c r="L4774" s="24">
        <f>+Tabla2[[#This Row],[Stock Inventario]]*Tabla2[[#This Row],[Coste LÃ­nea]]</f>
        <v>33719.832877099994</v>
      </c>
      <c r="M4774" s="24">
        <f>+Tabla2[[#This Row],[Variación Stock]]*Tabla2[[#This Row],[Coste LÃ­nea]]</f>
        <v>-53951.732603359997</v>
      </c>
      <c r="N4774" s="22" t="str">
        <f>+IF(Tabla2[[#This Row],[Variación Stock]]&gt;0,"Sobrante",IF(Tabla2[[#This Row],[Variación Stock]]&lt;0,"Faltante","Sin novedad"))</f>
        <v>Faltante</v>
      </c>
    </row>
    <row r="4775" spans="1:14" hidden="1" x14ac:dyDescent="0.25">
      <c r="A4775" s="11">
        <v>46037</v>
      </c>
      <c r="B4775" s="5" t="s">
        <v>283</v>
      </c>
      <c r="C4775" s="3" t="s">
        <v>284</v>
      </c>
      <c r="D4775" s="5" t="s">
        <v>323</v>
      </c>
      <c r="E4775" s="5" t="s">
        <v>117</v>
      </c>
      <c r="F4775" s="6" t="s">
        <v>328</v>
      </c>
      <c r="G4775" s="4" t="s">
        <v>2</v>
      </c>
      <c r="H4775" s="25">
        <v>31393.863636329999</v>
      </c>
      <c r="I4775" s="8">
        <v>45.8</v>
      </c>
      <c r="J4775" s="9">
        <v>49.5</v>
      </c>
      <c r="K4775" s="7">
        <v>3.7</v>
      </c>
      <c r="L4775" s="24">
        <f>+Tabla2[[#This Row],[Stock Inventario]]*Tabla2[[#This Row],[Coste LÃ­nea]]</f>
        <v>1553996.249998335</v>
      </c>
      <c r="M4775" s="24">
        <f>+Tabla2[[#This Row],[Variación Stock]]*Tabla2[[#This Row],[Coste LÃ­nea]]</f>
        <v>116157.29545442101</v>
      </c>
      <c r="N4775" s="22" t="str">
        <f>+IF(Tabla2[[#This Row],[Variación Stock]]&gt;0,"Sobrante",IF(Tabla2[[#This Row],[Variación Stock]]&lt;0,"Faltante","Sin novedad"))</f>
        <v>Sobrante</v>
      </c>
    </row>
    <row r="4776" spans="1:14" x14ac:dyDescent="0.25">
      <c r="A4776" s="11">
        <v>46037</v>
      </c>
      <c r="B4776" s="5" t="s">
        <v>283</v>
      </c>
      <c r="C4776" s="3" t="s">
        <v>284</v>
      </c>
      <c r="D4776" s="5" t="s">
        <v>121</v>
      </c>
      <c r="E4776" s="5" t="s">
        <v>112</v>
      </c>
      <c r="F4776" s="6" t="s">
        <v>331</v>
      </c>
      <c r="G4776" s="4" t="s">
        <v>0</v>
      </c>
      <c r="H4776" s="25">
        <v>95</v>
      </c>
      <c r="I4776" s="8">
        <v>2.5</v>
      </c>
      <c r="J4776" s="9">
        <v>0</v>
      </c>
      <c r="K4776" s="7">
        <v>-2.5</v>
      </c>
      <c r="L4776" s="24">
        <f>+Tabla2[[#This Row],[Stock Inventario]]*Tabla2[[#This Row],[Coste LÃ­nea]]</f>
        <v>0</v>
      </c>
      <c r="M4776" s="24">
        <f>+Tabla2[[#This Row],[Variación Stock]]*Tabla2[[#This Row],[Coste LÃ­nea]]</f>
        <v>-237.5</v>
      </c>
      <c r="N4776" s="22" t="str">
        <f>+IF(Tabla2[[#This Row],[Variación Stock]]&gt;0,"Sobrante",IF(Tabla2[[#This Row],[Variación Stock]]&lt;0,"Faltante","Sin novedad"))</f>
        <v>Faltante</v>
      </c>
    </row>
    <row r="4777" spans="1:14" x14ac:dyDescent="0.25">
      <c r="A4777" s="11">
        <v>46044</v>
      </c>
      <c r="B4777" s="5" t="s">
        <v>382</v>
      </c>
      <c r="C4777" s="3" t="s">
        <v>284</v>
      </c>
      <c r="D4777" s="5" t="s">
        <v>121</v>
      </c>
      <c r="E4777" s="5" t="s">
        <v>112</v>
      </c>
      <c r="F4777" s="6" t="s">
        <v>334</v>
      </c>
      <c r="G4777" s="4" t="s">
        <v>0</v>
      </c>
      <c r="H4777" s="25">
        <v>1929.2098808600001</v>
      </c>
      <c r="I4777" s="8">
        <v>68</v>
      </c>
      <c r="J4777" s="9">
        <v>68</v>
      </c>
      <c r="K4777" s="7">
        <v>0</v>
      </c>
      <c r="L4777" s="24">
        <f>+Tabla2[[#This Row],[Stock Inventario]]*Tabla2[[#This Row],[Coste LÃ­nea]]</f>
        <v>131186.27189848002</v>
      </c>
      <c r="M4777" s="24">
        <f>+Tabla2[[#This Row],[Variación Stock]]*Tabla2[[#This Row],[Coste LÃ­nea]]</f>
        <v>0</v>
      </c>
      <c r="N4777" s="22" t="str">
        <f>+IF(Tabla2[[#This Row],[Variación Stock]]&gt;0,"Sobrante",IF(Tabla2[[#This Row],[Variación Stock]]&lt;0,"Faltante","Sin novedad"))</f>
        <v>Sin novedad</v>
      </c>
    </row>
    <row r="4778" spans="1:14" x14ac:dyDescent="0.25">
      <c r="A4778" s="11">
        <v>46044</v>
      </c>
      <c r="B4778" s="5" t="s">
        <v>382</v>
      </c>
      <c r="C4778" s="3" t="s">
        <v>284</v>
      </c>
      <c r="D4778" s="5" t="s">
        <v>118</v>
      </c>
      <c r="E4778" s="5" t="s">
        <v>112</v>
      </c>
      <c r="F4778" s="6" t="s">
        <v>298</v>
      </c>
      <c r="G4778" s="4" t="s">
        <v>2</v>
      </c>
      <c r="H4778" s="25">
        <v>63897.666666669997</v>
      </c>
      <c r="I4778" s="8">
        <v>2</v>
      </c>
      <c r="J4778" s="9">
        <v>2</v>
      </c>
      <c r="K4778" s="7">
        <v>0</v>
      </c>
      <c r="L4778" s="24">
        <f>+Tabla2[[#This Row],[Stock Inventario]]*Tabla2[[#This Row],[Coste LÃ­nea]]</f>
        <v>127795.33333333999</v>
      </c>
      <c r="M4778" s="24">
        <f>+Tabla2[[#This Row],[Variación Stock]]*Tabla2[[#This Row],[Coste LÃ­nea]]</f>
        <v>0</v>
      </c>
      <c r="N4778" s="22" t="str">
        <f>+IF(Tabla2[[#This Row],[Variación Stock]]&gt;0,"Sobrante",IF(Tabla2[[#This Row],[Variación Stock]]&lt;0,"Faltante","Sin novedad"))</f>
        <v>Sin novedad</v>
      </c>
    </row>
    <row r="4779" spans="1:14" x14ac:dyDescent="0.25">
      <c r="A4779" s="11">
        <v>46044</v>
      </c>
      <c r="B4779" s="5" t="s">
        <v>382</v>
      </c>
      <c r="C4779" s="3" t="s">
        <v>284</v>
      </c>
      <c r="D4779" s="5" t="s">
        <v>111</v>
      </c>
      <c r="E4779" s="5" t="s">
        <v>112</v>
      </c>
      <c r="F4779" s="6" t="s">
        <v>46</v>
      </c>
      <c r="G4779" s="4" t="s">
        <v>0</v>
      </c>
      <c r="H4779" s="25">
        <v>2056.3333333300002</v>
      </c>
      <c r="I4779" s="8">
        <v>61</v>
      </c>
      <c r="J4779" s="9">
        <v>61</v>
      </c>
      <c r="K4779" s="7">
        <v>0</v>
      </c>
      <c r="L4779" s="24">
        <f>+Tabla2[[#This Row],[Stock Inventario]]*Tabla2[[#This Row],[Coste LÃ­nea]]</f>
        <v>125436.33333313001</v>
      </c>
      <c r="M4779" s="24">
        <f>+Tabla2[[#This Row],[Variación Stock]]*Tabla2[[#This Row],[Coste LÃ­nea]]</f>
        <v>0</v>
      </c>
      <c r="N4779" s="22" t="str">
        <f>+IF(Tabla2[[#This Row],[Variación Stock]]&gt;0,"Sobrante",IF(Tabla2[[#This Row],[Variación Stock]]&lt;0,"Faltante","Sin novedad"))</f>
        <v>Sin novedad</v>
      </c>
    </row>
    <row r="4780" spans="1:14" x14ac:dyDescent="0.25">
      <c r="A4780" s="11">
        <v>46037</v>
      </c>
      <c r="B4780" s="5" t="s">
        <v>283</v>
      </c>
      <c r="C4780" s="3" t="s">
        <v>284</v>
      </c>
      <c r="D4780" s="5" t="s">
        <v>121</v>
      </c>
      <c r="E4780" s="5" t="s">
        <v>112</v>
      </c>
      <c r="F4780" s="6" t="s">
        <v>332</v>
      </c>
      <c r="G4780" s="4" t="s">
        <v>0</v>
      </c>
      <c r="H4780" s="25">
        <v>2979.9057392099999</v>
      </c>
      <c r="I4780" s="8">
        <v>49</v>
      </c>
      <c r="J4780" s="9">
        <v>50</v>
      </c>
      <c r="K4780" s="7">
        <v>1</v>
      </c>
      <c r="L4780" s="24">
        <f>+Tabla2[[#This Row],[Stock Inventario]]*Tabla2[[#This Row],[Coste LÃ­nea]]</f>
        <v>148995.2869605</v>
      </c>
      <c r="M4780" s="24">
        <f>+Tabla2[[#This Row],[Variación Stock]]*Tabla2[[#This Row],[Coste LÃ­nea]]</f>
        <v>2979.9057392099999</v>
      </c>
      <c r="N4780" s="22" t="str">
        <f>+IF(Tabla2[[#This Row],[Variación Stock]]&gt;0,"Sobrante",IF(Tabla2[[#This Row],[Variación Stock]]&lt;0,"Faltante","Sin novedad"))</f>
        <v>Sobrante</v>
      </c>
    </row>
    <row r="4781" spans="1:14" hidden="1" x14ac:dyDescent="0.25">
      <c r="A4781" s="11">
        <v>46044</v>
      </c>
      <c r="B4781" s="5" t="s">
        <v>382</v>
      </c>
      <c r="C4781" s="3" t="s">
        <v>284</v>
      </c>
      <c r="D4781" s="5" t="s">
        <v>323</v>
      </c>
      <c r="E4781" s="5" t="s">
        <v>117</v>
      </c>
      <c r="F4781" s="6" t="s">
        <v>328</v>
      </c>
      <c r="G4781" s="4" t="s">
        <v>2</v>
      </c>
      <c r="H4781" s="25">
        <v>20272.394615379999</v>
      </c>
      <c r="I4781" s="8">
        <v>61.88</v>
      </c>
      <c r="J4781" s="9">
        <v>63</v>
      </c>
      <c r="K4781" s="7">
        <v>1.1200000000000001</v>
      </c>
      <c r="L4781" s="24">
        <f>+Tabla2[[#This Row],[Stock Inventario]]*Tabla2[[#This Row],[Coste LÃ­nea]]</f>
        <v>1277160.8607689398</v>
      </c>
      <c r="M4781" s="24">
        <f>+Tabla2[[#This Row],[Variación Stock]]*Tabla2[[#This Row],[Coste LÃ­nea]]</f>
        <v>22705.081969225601</v>
      </c>
      <c r="N4781" s="22" t="str">
        <f>+IF(Tabla2[[#This Row],[Variación Stock]]&gt;0,"Sobrante",IF(Tabla2[[#This Row],[Variación Stock]]&lt;0,"Faltante","Sin novedad"))</f>
        <v>Sobrante</v>
      </c>
    </row>
    <row r="4782" spans="1:14" x14ac:dyDescent="0.25">
      <c r="A4782" s="11">
        <v>46044</v>
      </c>
      <c r="B4782" s="5" t="s">
        <v>382</v>
      </c>
      <c r="C4782" s="3" t="s">
        <v>284</v>
      </c>
      <c r="D4782" s="5" t="s">
        <v>121</v>
      </c>
      <c r="E4782" s="5" t="s">
        <v>112</v>
      </c>
      <c r="F4782" s="6" t="s">
        <v>332</v>
      </c>
      <c r="G4782" s="4" t="s">
        <v>0</v>
      </c>
      <c r="H4782" s="25">
        <v>2901.3961267599998</v>
      </c>
      <c r="I4782" s="8">
        <v>42</v>
      </c>
      <c r="J4782" s="9">
        <v>43</v>
      </c>
      <c r="K4782" s="7">
        <v>1</v>
      </c>
      <c r="L4782" s="24">
        <f>+Tabla2[[#This Row],[Stock Inventario]]*Tabla2[[#This Row],[Coste LÃ­nea]]</f>
        <v>124760.03345067998</v>
      </c>
      <c r="M4782" s="24">
        <f>+Tabla2[[#This Row],[Variación Stock]]*Tabla2[[#This Row],[Coste LÃ­nea]]</f>
        <v>2901.3961267599998</v>
      </c>
      <c r="N4782" s="22" t="str">
        <f>+IF(Tabla2[[#This Row],[Variación Stock]]&gt;0,"Sobrante",IF(Tabla2[[#This Row],[Variación Stock]]&lt;0,"Faltante","Sin novedad"))</f>
        <v>Sobrante</v>
      </c>
    </row>
    <row r="4783" spans="1:14" x14ac:dyDescent="0.25">
      <c r="A4783" s="11">
        <v>46044</v>
      </c>
      <c r="B4783" s="5" t="s">
        <v>382</v>
      </c>
      <c r="C4783" s="3" t="s">
        <v>284</v>
      </c>
      <c r="D4783" s="5" t="s">
        <v>121</v>
      </c>
      <c r="E4783" s="5" t="s">
        <v>112</v>
      </c>
      <c r="F4783" s="6" t="s">
        <v>333</v>
      </c>
      <c r="G4783" s="4" t="s">
        <v>0</v>
      </c>
      <c r="H4783" s="25">
        <v>3292.65804514</v>
      </c>
      <c r="I4783" s="8">
        <v>41</v>
      </c>
      <c r="J4783" s="9">
        <v>40</v>
      </c>
      <c r="K4783" s="7">
        <v>-1</v>
      </c>
      <c r="L4783" s="24">
        <f>+Tabla2[[#This Row],[Stock Inventario]]*Tabla2[[#This Row],[Coste LÃ­nea]]</f>
        <v>131706.32180559999</v>
      </c>
      <c r="M4783" s="24">
        <f>+Tabla2[[#This Row],[Variación Stock]]*Tabla2[[#This Row],[Coste LÃ­nea]]</f>
        <v>-3292.65804514</v>
      </c>
      <c r="N4783" s="22" t="str">
        <f>+IF(Tabla2[[#This Row],[Variación Stock]]&gt;0,"Sobrante",IF(Tabla2[[#This Row],[Variación Stock]]&lt;0,"Faltante","Sin novedad"))</f>
        <v>Faltante</v>
      </c>
    </row>
    <row r="4784" spans="1:14" x14ac:dyDescent="0.25">
      <c r="A4784" s="11">
        <v>46044</v>
      </c>
      <c r="B4784" s="5" t="s">
        <v>382</v>
      </c>
      <c r="C4784" s="3" t="s">
        <v>284</v>
      </c>
      <c r="D4784" s="5" t="s">
        <v>111</v>
      </c>
      <c r="E4784" s="5" t="s">
        <v>112</v>
      </c>
      <c r="F4784" s="6" t="s">
        <v>31</v>
      </c>
      <c r="G4784" s="4" t="s">
        <v>0</v>
      </c>
      <c r="H4784" s="25">
        <v>6774.5454545499997</v>
      </c>
      <c r="I4784" s="8">
        <v>18.34</v>
      </c>
      <c r="J4784" s="9">
        <v>18</v>
      </c>
      <c r="K4784" s="7">
        <v>-0.34</v>
      </c>
      <c r="L4784" s="24">
        <f>+Tabla2[[#This Row],[Stock Inventario]]*Tabla2[[#This Row],[Coste LÃ­nea]]</f>
        <v>121941.81818189999</v>
      </c>
      <c r="M4784" s="24">
        <f>+Tabla2[[#This Row],[Variación Stock]]*Tabla2[[#This Row],[Coste LÃ­nea]]</f>
        <v>-2303.3454545469999</v>
      </c>
      <c r="N4784" s="22" t="str">
        <f>+IF(Tabla2[[#This Row],[Variación Stock]]&gt;0,"Sobrante",IF(Tabla2[[#This Row],[Variación Stock]]&lt;0,"Faltante","Sin novedad"))</f>
        <v>Faltante</v>
      </c>
    </row>
    <row r="4785" spans="1:14" x14ac:dyDescent="0.25">
      <c r="A4785" s="11">
        <v>46044</v>
      </c>
      <c r="B4785" s="5" t="s">
        <v>382</v>
      </c>
      <c r="C4785" s="3" t="s">
        <v>284</v>
      </c>
      <c r="D4785" s="5" t="s">
        <v>121</v>
      </c>
      <c r="E4785" s="5" t="s">
        <v>112</v>
      </c>
      <c r="F4785" s="6" t="s">
        <v>377</v>
      </c>
      <c r="G4785" s="4" t="s">
        <v>0</v>
      </c>
      <c r="H4785" s="25">
        <v>4481.6813725399998</v>
      </c>
      <c r="I4785" s="8">
        <v>38</v>
      </c>
      <c r="J4785" s="9">
        <v>39</v>
      </c>
      <c r="K4785" s="7">
        <v>1</v>
      </c>
      <c r="L4785" s="24">
        <f>+Tabla2[[#This Row],[Stock Inventario]]*Tabla2[[#This Row],[Coste LÃ­nea]]</f>
        <v>174785.57352906</v>
      </c>
      <c r="M4785" s="24">
        <f>+Tabla2[[#This Row],[Variación Stock]]*Tabla2[[#This Row],[Coste LÃ­nea]]</f>
        <v>4481.6813725399998</v>
      </c>
      <c r="N4785" s="22" t="str">
        <f>+IF(Tabla2[[#This Row],[Variación Stock]]&gt;0,"Sobrante",IF(Tabla2[[#This Row],[Variación Stock]]&lt;0,"Faltante","Sin novedad"))</f>
        <v>Sobrante</v>
      </c>
    </row>
    <row r="4786" spans="1:14" hidden="1" x14ac:dyDescent="0.25">
      <c r="A4786" s="11">
        <v>46037</v>
      </c>
      <c r="B4786" s="5" t="s">
        <v>283</v>
      </c>
      <c r="C4786" s="3" t="s">
        <v>284</v>
      </c>
      <c r="D4786" s="5" t="s">
        <v>323</v>
      </c>
      <c r="E4786" s="5" t="s">
        <v>117</v>
      </c>
      <c r="F4786" s="6" t="s">
        <v>329</v>
      </c>
      <c r="G4786" s="4" t="s">
        <v>2</v>
      </c>
      <c r="H4786" s="25">
        <v>9204.3375632700008</v>
      </c>
      <c r="I4786" s="8">
        <v>30</v>
      </c>
      <c r="J4786" s="9">
        <v>29</v>
      </c>
      <c r="K4786" s="7">
        <v>-1</v>
      </c>
      <c r="L4786" s="24">
        <f>+Tabla2[[#This Row],[Stock Inventario]]*Tabla2[[#This Row],[Coste LÃ­nea]]</f>
        <v>266925.78933483001</v>
      </c>
      <c r="M4786" s="24">
        <f>+Tabla2[[#This Row],[Variación Stock]]*Tabla2[[#This Row],[Coste LÃ­nea]]</f>
        <v>-9204.3375632700008</v>
      </c>
      <c r="N4786" s="22" t="str">
        <f>+IF(Tabla2[[#This Row],[Variación Stock]]&gt;0,"Sobrante",IF(Tabla2[[#This Row],[Variación Stock]]&lt;0,"Faltante","Sin novedad"))</f>
        <v>Faltante</v>
      </c>
    </row>
    <row r="4787" spans="1:14" x14ac:dyDescent="0.25">
      <c r="A4787" s="11">
        <v>46037</v>
      </c>
      <c r="B4787" s="5" t="s">
        <v>283</v>
      </c>
      <c r="C4787" s="3" t="s">
        <v>284</v>
      </c>
      <c r="D4787" s="5" t="s">
        <v>111</v>
      </c>
      <c r="E4787" s="5" t="s">
        <v>112</v>
      </c>
      <c r="F4787" s="6" t="s">
        <v>31</v>
      </c>
      <c r="G4787" s="4" t="s">
        <v>0</v>
      </c>
      <c r="H4787" s="25">
        <v>6774.5454545499997</v>
      </c>
      <c r="I4787" s="8">
        <v>22</v>
      </c>
      <c r="J4787" s="9">
        <v>23</v>
      </c>
      <c r="K4787" s="7">
        <v>1</v>
      </c>
      <c r="L4787" s="24">
        <f>+Tabla2[[#This Row],[Stock Inventario]]*Tabla2[[#This Row],[Coste LÃ­nea]]</f>
        <v>155814.54545464998</v>
      </c>
      <c r="M4787" s="24">
        <f>+Tabla2[[#This Row],[Variación Stock]]*Tabla2[[#This Row],[Coste LÃ­nea]]</f>
        <v>6774.5454545499997</v>
      </c>
      <c r="N4787" s="22" t="str">
        <f>+IF(Tabla2[[#This Row],[Variación Stock]]&gt;0,"Sobrante",IF(Tabla2[[#This Row],[Variación Stock]]&lt;0,"Faltante","Sin novedad"))</f>
        <v>Sobrante</v>
      </c>
    </row>
    <row r="4788" spans="1:14" x14ac:dyDescent="0.25">
      <c r="A4788" s="11">
        <v>46044</v>
      </c>
      <c r="B4788" s="5" t="s">
        <v>382</v>
      </c>
      <c r="C4788" s="3" t="s">
        <v>284</v>
      </c>
      <c r="D4788" s="5" t="s">
        <v>118</v>
      </c>
      <c r="E4788" s="5" t="s">
        <v>112</v>
      </c>
      <c r="F4788" s="6" t="s">
        <v>304</v>
      </c>
      <c r="G4788" s="4" t="s">
        <v>2</v>
      </c>
      <c r="H4788" s="25">
        <v>37616.833333330003</v>
      </c>
      <c r="I4788" s="8">
        <v>3</v>
      </c>
      <c r="J4788" s="9">
        <v>3</v>
      </c>
      <c r="K4788" s="7">
        <v>0</v>
      </c>
      <c r="L4788" s="24">
        <f>+Tabla2[[#This Row],[Stock Inventario]]*Tabla2[[#This Row],[Coste LÃ­nea]]</f>
        <v>112850.49999999002</v>
      </c>
      <c r="M4788" s="24">
        <f>+Tabla2[[#This Row],[Variación Stock]]*Tabla2[[#This Row],[Coste LÃ­nea]]</f>
        <v>0</v>
      </c>
      <c r="N4788" s="22" t="str">
        <f>+IF(Tabla2[[#This Row],[Variación Stock]]&gt;0,"Sobrante",IF(Tabla2[[#This Row],[Variación Stock]]&lt;0,"Faltante","Sin novedad"))</f>
        <v>Sin novedad</v>
      </c>
    </row>
    <row r="4789" spans="1:14" x14ac:dyDescent="0.25">
      <c r="A4789" s="11">
        <v>46037</v>
      </c>
      <c r="B4789" s="5" t="s">
        <v>283</v>
      </c>
      <c r="C4789" s="3" t="s">
        <v>284</v>
      </c>
      <c r="D4789" s="5" t="s">
        <v>122</v>
      </c>
      <c r="E4789" s="5" t="s">
        <v>112</v>
      </c>
      <c r="F4789" s="6" t="s">
        <v>102</v>
      </c>
      <c r="G4789" s="4" t="s">
        <v>2</v>
      </c>
      <c r="H4789" s="25">
        <v>3458.3333333300002</v>
      </c>
      <c r="I4789" s="8">
        <v>16</v>
      </c>
      <c r="J4789" s="9">
        <v>17</v>
      </c>
      <c r="K4789" s="7">
        <v>1</v>
      </c>
      <c r="L4789" s="24">
        <f>+Tabla2[[#This Row],[Stock Inventario]]*Tabla2[[#This Row],[Coste LÃ­nea]]</f>
        <v>58791.666666610006</v>
      </c>
      <c r="M4789" s="24">
        <f>+Tabla2[[#This Row],[Variación Stock]]*Tabla2[[#This Row],[Coste LÃ­nea]]</f>
        <v>3458.3333333300002</v>
      </c>
      <c r="N4789" s="22" t="str">
        <f>+IF(Tabla2[[#This Row],[Variación Stock]]&gt;0,"Sobrante",IF(Tabla2[[#This Row],[Variación Stock]]&lt;0,"Faltante","Sin novedad"))</f>
        <v>Sobrante</v>
      </c>
    </row>
    <row r="4790" spans="1:14" x14ac:dyDescent="0.25">
      <c r="A4790" s="11">
        <v>46044</v>
      </c>
      <c r="B4790" s="5" t="s">
        <v>382</v>
      </c>
      <c r="C4790" s="3" t="s">
        <v>284</v>
      </c>
      <c r="D4790" s="5" t="s">
        <v>118</v>
      </c>
      <c r="E4790" s="5" t="s">
        <v>112</v>
      </c>
      <c r="F4790" s="6" t="s">
        <v>86</v>
      </c>
      <c r="G4790" s="4" t="s">
        <v>81</v>
      </c>
      <c r="H4790" s="25">
        <v>10889.4</v>
      </c>
      <c r="I4790" s="8">
        <v>10</v>
      </c>
      <c r="J4790" s="9">
        <v>10</v>
      </c>
      <c r="K4790" s="7">
        <v>0</v>
      </c>
      <c r="L4790" s="24">
        <f>+Tabla2[[#This Row],[Stock Inventario]]*Tabla2[[#This Row],[Coste LÃ­nea]]</f>
        <v>108894</v>
      </c>
      <c r="M4790" s="24">
        <f>+Tabla2[[#This Row],[Variación Stock]]*Tabla2[[#This Row],[Coste LÃ­nea]]</f>
        <v>0</v>
      </c>
      <c r="N4790" s="22" t="str">
        <f>+IF(Tabla2[[#This Row],[Variación Stock]]&gt;0,"Sobrante",IF(Tabla2[[#This Row],[Variación Stock]]&lt;0,"Faltante","Sin novedad"))</f>
        <v>Sin novedad</v>
      </c>
    </row>
    <row r="4791" spans="1:14" x14ac:dyDescent="0.25">
      <c r="A4791" s="11">
        <v>46044</v>
      </c>
      <c r="B4791" s="5" t="s">
        <v>382</v>
      </c>
      <c r="C4791" s="3" t="s">
        <v>284</v>
      </c>
      <c r="D4791" s="5" t="s">
        <v>115</v>
      </c>
      <c r="E4791" s="5" t="s">
        <v>112</v>
      </c>
      <c r="F4791" s="6" t="s">
        <v>76</v>
      </c>
      <c r="G4791" s="4" t="s">
        <v>2</v>
      </c>
      <c r="H4791" s="25">
        <v>3179.6666666699998</v>
      </c>
      <c r="I4791" s="8">
        <v>34</v>
      </c>
      <c r="J4791" s="9">
        <v>34</v>
      </c>
      <c r="K4791" s="7">
        <v>0</v>
      </c>
      <c r="L4791" s="24">
        <f>+Tabla2[[#This Row],[Stock Inventario]]*Tabla2[[#This Row],[Coste LÃ­nea]]</f>
        <v>108108.66666677999</v>
      </c>
      <c r="M4791" s="24">
        <f>+Tabla2[[#This Row],[Variación Stock]]*Tabla2[[#This Row],[Coste LÃ­nea]]</f>
        <v>0</v>
      </c>
      <c r="N4791" s="22" t="str">
        <f>+IF(Tabla2[[#This Row],[Variación Stock]]&gt;0,"Sobrante",IF(Tabla2[[#This Row],[Variación Stock]]&lt;0,"Faltante","Sin novedad"))</f>
        <v>Sin novedad</v>
      </c>
    </row>
    <row r="4792" spans="1:14" x14ac:dyDescent="0.25">
      <c r="A4792" s="11">
        <v>46037</v>
      </c>
      <c r="B4792" s="5" t="s">
        <v>283</v>
      </c>
      <c r="C4792" s="3" t="s">
        <v>284</v>
      </c>
      <c r="D4792" s="5" t="s">
        <v>122</v>
      </c>
      <c r="E4792" s="5" t="s">
        <v>112</v>
      </c>
      <c r="F4792" s="6" t="s">
        <v>106</v>
      </c>
      <c r="G4792" s="4" t="s">
        <v>2</v>
      </c>
      <c r="H4792" s="25">
        <v>3458.25</v>
      </c>
      <c r="I4792" s="8">
        <v>12</v>
      </c>
      <c r="J4792" s="9">
        <v>8</v>
      </c>
      <c r="K4792" s="7">
        <v>-4</v>
      </c>
      <c r="L4792" s="24">
        <f>+Tabla2[[#This Row],[Stock Inventario]]*Tabla2[[#This Row],[Coste LÃ­nea]]</f>
        <v>27666</v>
      </c>
      <c r="M4792" s="24">
        <f>+Tabla2[[#This Row],[Variación Stock]]*Tabla2[[#This Row],[Coste LÃ­nea]]</f>
        <v>-13833</v>
      </c>
      <c r="N4792" s="22" t="str">
        <f>+IF(Tabla2[[#This Row],[Variación Stock]]&gt;0,"Sobrante",IF(Tabla2[[#This Row],[Variación Stock]]&lt;0,"Faltante","Sin novedad"))</f>
        <v>Faltante</v>
      </c>
    </row>
    <row r="4793" spans="1:14" x14ac:dyDescent="0.25">
      <c r="A4793" s="11">
        <v>46044</v>
      </c>
      <c r="B4793" s="5" t="s">
        <v>382</v>
      </c>
      <c r="C4793" s="3" t="s">
        <v>284</v>
      </c>
      <c r="D4793" s="5" t="s">
        <v>122</v>
      </c>
      <c r="E4793" s="5" t="s">
        <v>112</v>
      </c>
      <c r="F4793" s="6" t="s">
        <v>106</v>
      </c>
      <c r="G4793" s="4" t="s">
        <v>2</v>
      </c>
      <c r="H4793" s="25">
        <v>3458.25</v>
      </c>
      <c r="I4793" s="8">
        <v>6</v>
      </c>
      <c r="J4793" s="9">
        <v>10</v>
      </c>
      <c r="K4793" s="7">
        <v>4</v>
      </c>
      <c r="L4793" s="24">
        <f>+Tabla2[[#This Row],[Stock Inventario]]*Tabla2[[#This Row],[Coste LÃ­nea]]</f>
        <v>34582.5</v>
      </c>
      <c r="M4793" s="24">
        <f>+Tabla2[[#This Row],[Variación Stock]]*Tabla2[[#This Row],[Coste LÃ­nea]]</f>
        <v>13833</v>
      </c>
      <c r="N4793" s="22" t="str">
        <f>+IF(Tabla2[[#This Row],[Variación Stock]]&gt;0,"Sobrante",IF(Tabla2[[#This Row],[Variación Stock]]&lt;0,"Faltante","Sin novedad"))</f>
        <v>Sobrante</v>
      </c>
    </row>
    <row r="4794" spans="1:14" x14ac:dyDescent="0.25">
      <c r="A4794" s="11">
        <v>46044</v>
      </c>
      <c r="B4794" s="5" t="s">
        <v>382</v>
      </c>
      <c r="C4794" s="3" t="s">
        <v>284</v>
      </c>
      <c r="D4794" s="5" t="s">
        <v>122</v>
      </c>
      <c r="E4794" s="5" t="s">
        <v>112</v>
      </c>
      <c r="F4794" s="6" t="s">
        <v>108</v>
      </c>
      <c r="G4794" s="4" t="s">
        <v>2</v>
      </c>
      <c r="H4794" s="25">
        <v>2766.665</v>
      </c>
      <c r="I4794" s="8">
        <v>0</v>
      </c>
      <c r="J4794" s="9">
        <v>10</v>
      </c>
      <c r="K4794" s="7">
        <v>10</v>
      </c>
      <c r="L4794" s="24">
        <f>+Tabla2[[#This Row],[Stock Inventario]]*Tabla2[[#This Row],[Coste LÃ­nea]]</f>
        <v>27666.65</v>
      </c>
      <c r="M4794" s="24">
        <f>+Tabla2[[#This Row],[Variación Stock]]*Tabla2[[#This Row],[Coste LÃ­nea]]</f>
        <v>27666.65</v>
      </c>
      <c r="N4794" s="22" t="str">
        <f>+IF(Tabla2[[#This Row],[Variación Stock]]&gt;0,"Sobrante",IF(Tabla2[[#This Row],[Variación Stock]]&lt;0,"Faltante","Sin novedad"))</f>
        <v>Sobrante</v>
      </c>
    </row>
    <row r="4795" spans="1:14" x14ac:dyDescent="0.25">
      <c r="A4795" s="11">
        <v>46044</v>
      </c>
      <c r="B4795" s="5" t="s">
        <v>382</v>
      </c>
      <c r="C4795" s="3" t="s">
        <v>284</v>
      </c>
      <c r="D4795" s="5" t="s">
        <v>122</v>
      </c>
      <c r="E4795" s="5" t="s">
        <v>112</v>
      </c>
      <c r="F4795" s="6" t="s">
        <v>109</v>
      </c>
      <c r="G4795" s="4" t="s">
        <v>2</v>
      </c>
      <c r="H4795" s="25">
        <v>3458.3333333300002</v>
      </c>
      <c r="I4795" s="8">
        <v>10</v>
      </c>
      <c r="J4795" s="9">
        <v>0</v>
      </c>
      <c r="K4795" s="7">
        <v>-10</v>
      </c>
      <c r="L4795" s="24">
        <f>+Tabla2[[#This Row],[Stock Inventario]]*Tabla2[[#This Row],[Coste LÃ­nea]]</f>
        <v>0</v>
      </c>
      <c r="M4795" s="24">
        <f>+Tabla2[[#This Row],[Variación Stock]]*Tabla2[[#This Row],[Coste LÃ­nea]]</f>
        <v>-34583.333333300005</v>
      </c>
      <c r="N4795" s="22" t="str">
        <f>+IF(Tabla2[[#This Row],[Variación Stock]]&gt;0,"Sobrante",IF(Tabla2[[#This Row],[Variación Stock]]&lt;0,"Faltante","Sin novedad"))</f>
        <v>Faltante</v>
      </c>
    </row>
    <row r="4796" spans="1:14" x14ac:dyDescent="0.25">
      <c r="A4796" s="11">
        <v>46044</v>
      </c>
      <c r="B4796" s="5" t="s">
        <v>382</v>
      </c>
      <c r="C4796" s="3" t="s">
        <v>284</v>
      </c>
      <c r="D4796" s="5" t="s">
        <v>122</v>
      </c>
      <c r="E4796" s="5" t="s">
        <v>112</v>
      </c>
      <c r="F4796" s="6" t="s">
        <v>98</v>
      </c>
      <c r="G4796" s="4" t="s">
        <v>2</v>
      </c>
      <c r="H4796" s="25">
        <v>1654.2666666699999</v>
      </c>
      <c r="I4796" s="8">
        <v>61</v>
      </c>
      <c r="J4796" s="9">
        <v>61</v>
      </c>
      <c r="K4796" s="7">
        <v>0</v>
      </c>
      <c r="L4796" s="24">
        <f>+Tabla2[[#This Row],[Stock Inventario]]*Tabla2[[#This Row],[Coste LÃ­nea]]</f>
        <v>100910.26666687</v>
      </c>
      <c r="M4796" s="24">
        <f>+Tabla2[[#This Row],[Variación Stock]]*Tabla2[[#This Row],[Coste LÃ­nea]]</f>
        <v>0</v>
      </c>
      <c r="N4796" s="22" t="str">
        <f>+IF(Tabla2[[#This Row],[Variación Stock]]&gt;0,"Sobrante",IF(Tabla2[[#This Row],[Variación Stock]]&lt;0,"Faltante","Sin novedad"))</f>
        <v>Sin novedad</v>
      </c>
    </row>
    <row r="4797" spans="1:14" x14ac:dyDescent="0.25">
      <c r="A4797" s="11">
        <v>46044</v>
      </c>
      <c r="B4797" s="5" t="s">
        <v>382</v>
      </c>
      <c r="C4797" s="3" t="s">
        <v>284</v>
      </c>
      <c r="D4797" s="5" t="s">
        <v>111</v>
      </c>
      <c r="E4797" s="5" t="s">
        <v>112</v>
      </c>
      <c r="F4797" s="6" t="s">
        <v>32</v>
      </c>
      <c r="G4797" s="4" t="s">
        <v>0</v>
      </c>
      <c r="H4797" s="25">
        <v>8628.9583333299997</v>
      </c>
      <c r="I4797" s="8">
        <v>22</v>
      </c>
      <c r="J4797" s="9">
        <v>24</v>
      </c>
      <c r="K4797" s="7">
        <v>2</v>
      </c>
      <c r="L4797" s="24">
        <f>+Tabla2[[#This Row],[Stock Inventario]]*Tabla2[[#This Row],[Coste LÃ­nea]]</f>
        <v>207094.99999991999</v>
      </c>
      <c r="M4797" s="24">
        <f>+Tabla2[[#This Row],[Variación Stock]]*Tabla2[[#This Row],[Coste LÃ­nea]]</f>
        <v>17257.916666659999</v>
      </c>
      <c r="N4797" s="22" t="str">
        <f>+IF(Tabla2[[#This Row],[Variación Stock]]&gt;0,"Sobrante",IF(Tabla2[[#This Row],[Variación Stock]]&lt;0,"Faltante","Sin novedad"))</f>
        <v>Sobrante</v>
      </c>
    </row>
    <row r="4798" spans="1:14" x14ac:dyDescent="0.25">
      <c r="A4798" s="11">
        <v>46044</v>
      </c>
      <c r="B4798" s="5" t="s">
        <v>382</v>
      </c>
      <c r="C4798" s="3" t="s">
        <v>284</v>
      </c>
      <c r="D4798" s="5" t="s">
        <v>111</v>
      </c>
      <c r="E4798" s="5" t="s">
        <v>112</v>
      </c>
      <c r="F4798" s="6" t="s">
        <v>18</v>
      </c>
      <c r="G4798" s="4" t="s">
        <v>2</v>
      </c>
      <c r="H4798" s="25">
        <v>100385</v>
      </c>
      <c r="I4798" s="8">
        <v>1</v>
      </c>
      <c r="J4798" s="9">
        <v>1</v>
      </c>
      <c r="K4798" s="7">
        <v>0</v>
      </c>
      <c r="L4798" s="24">
        <f>+Tabla2[[#This Row],[Stock Inventario]]*Tabla2[[#This Row],[Coste LÃ­nea]]</f>
        <v>100385</v>
      </c>
      <c r="M4798" s="24">
        <f>+Tabla2[[#This Row],[Variación Stock]]*Tabla2[[#This Row],[Coste LÃ­nea]]</f>
        <v>0</v>
      </c>
      <c r="N4798" s="22" t="str">
        <f>+IF(Tabla2[[#This Row],[Variación Stock]]&gt;0,"Sobrante",IF(Tabla2[[#This Row],[Variación Stock]]&lt;0,"Faltante","Sin novedad"))</f>
        <v>Sin novedad</v>
      </c>
    </row>
    <row r="4799" spans="1:14" x14ac:dyDescent="0.25">
      <c r="A4799" s="11">
        <v>46044</v>
      </c>
      <c r="B4799" s="5" t="s">
        <v>382</v>
      </c>
      <c r="C4799" s="3" t="s">
        <v>284</v>
      </c>
      <c r="D4799" s="5" t="s">
        <v>114</v>
      </c>
      <c r="E4799" s="5" t="s">
        <v>112</v>
      </c>
      <c r="F4799" s="6" t="s">
        <v>68</v>
      </c>
      <c r="G4799" s="4" t="s">
        <v>2</v>
      </c>
      <c r="H4799" s="25">
        <v>4986.0833333299997</v>
      </c>
      <c r="I4799" s="8">
        <v>20</v>
      </c>
      <c r="J4799" s="9">
        <v>20</v>
      </c>
      <c r="K4799" s="7">
        <v>0</v>
      </c>
      <c r="L4799" s="24">
        <f>+Tabla2[[#This Row],[Stock Inventario]]*Tabla2[[#This Row],[Coste LÃ­nea]]</f>
        <v>99721.666666599995</v>
      </c>
      <c r="M4799" s="24">
        <f>+Tabla2[[#This Row],[Variación Stock]]*Tabla2[[#This Row],[Coste LÃ­nea]]</f>
        <v>0</v>
      </c>
      <c r="N4799" s="22" t="str">
        <f>+IF(Tabla2[[#This Row],[Variación Stock]]&gt;0,"Sobrante",IF(Tabla2[[#This Row],[Variación Stock]]&lt;0,"Faltante","Sin novedad"))</f>
        <v>Sin novedad</v>
      </c>
    </row>
    <row r="4800" spans="1:14" x14ac:dyDescent="0.25">
      <c r="A4800" s="11">
        <v>46044</v>
      </c>
      <c r="B4800" s="5" t="s">
        <v>382</v>
      </c>
      <c r="C4800" s="3" t="s">
        <v>284</v>
      </c>
      <c r="D4800" s="5" t="s">
        <v>122</v>
      </c>
      <c r="E4800" s="5" t="s">
        <v>112</v>
      </c>
      <c r="F4800" s="6" t="s">
        <v>97</v>
      </c>
      <c r="G4800" s="4" t="s">
        <v>2</v>
      </c>
      <c r="H4800" s="25">
        <v>1234.3916666699999</v>
      </c>
      <c r="I4800" s="8">
        <v>80</v>
      </c>
      <c r="J4800" s="9">
        <v>80</v>
      </c>
      <c r="K4800" s="7">
        <v>0</v>
      </c>
      <c r="L4800" s="24">
        <f>+Tabla2[[#This Row],[Stock Inventario]]*Tabla2[[#This Row],[Coste LÃ­nea]]</f>
        <v>98751.333333599992</v>
      </c>
      <c r="M4800" s="24">
        <f>+Tabla2[[#This Row],[Variación Stock]]*Tabla2[[#This Row],[Coste LÃ­nea]]</f>
        <v>0</v>
      </c>
      <c r="N4800" s="22" t="str">
        <f>+IF(Tabla2[[#This Row],[Variación Stock]]&gt;0,"Sobrante",IF(Tabla2[[#This Row],[Variación Stock]]&lt;0,"Faltante","Sin novedad"))</f>
        <v>Sin novedad</v>
      </c>
    </row>
    <row r="4801" spans="1:14" x14ac:dyDescent="0.25">
      <c r="A4801" s="11">
        <v>46037</v>
      </c>
      <c r="B4801" s="5" t="s">
        <v>283</v>
      </c>
      <c r="C4801" s="3" t="s">
        <v>284</v>
      </c>
      <c r="D4801" s="5" t="s">
        <v>111</v>
      </c>
      <c r="E4801" s="5" t="s">
        <v>112</v>
      </c>
      <c r="F4801" s="6" t="s">
        <v>33</v>
      </c>
      <c r="G4801" s="4" t="s">
        <v>0</v>
      </c>
      <c r="H4801" s="25">
        <v>3481.25</v>
      </c>
      <c r="I4801" s="8">
        <v>63</v>
      </c>
      <c r="J4801" s="9">
        <v>72</v>
      </c>
      <c r="K4801" s="7">
        <v>9</v>
      </c>
      <c r="L4801" s="24">
        <f>+Tabla2[[#This Row],[Stock Inventario]]*Tabla2[[#This Row],[Coste LÃ­nea]]</f>
        <v>250650</v>
      </c>
      <c r="M4801" s="24">
        <f>+Tabla2[[#This Row],[Variación Stock]]*Tabla2[[#This Row],[Coste LÃ­nea]]</f>
        <v>31331.25</v>
      </c>
      <c r="N4801" s="22" t="str">
        <f>+IF(Tabla2[[#This Row],[Variación Stock]]&gt;0,"Sobrante",IF(Tabla2[[#This Row],[Variación Stock]]&lt;0,"Faltante","Sin novedad"))</f>
        <v>Sobrante</v>
      </c>
    </row>
    <row r="4802" spans="1:14" x14ac:dyDescent="0.25">
      <c r="A4802" s="11">
        <v>46044</v>
      </c>
      <c r="B4802" s="5" t="s">
        <v>382</v>
      </c>
      <c r="C4802" s="3" t="s">
        <v>284</v>
      </c>
      <c r="D4802" s="5" t="s">
        <v>111</v>
      </c>
      <c r="E4802" s="5" t="s">
        <v>112</v>
      </c>
      <c r="F4802" s="6" t="s">
        <v>33</v>
      </c>
      <c r="G4802" s="4" t="s">
        <v>0</v>
      </c>
      <c r="H4802" s="25">
        <v>3754.15625</v>
      </c>
      <c r="I4802" s="8">
        <v>42</v>
      </c>
      <c r="J4802" s="9">
        <v>43</v>
      </c>
      <c r="K4802" s="7">
        <v>1</v>
      </c>
      <c r="L4802" s="24">
        <f>+Tabla2[[#This Row],[Stock Inventario]]*Tabla2[[#This Row],[Coste LÃ­nea]]</f>
        <v>161428.71875</v>
      </c>
      <c r="M4802" s="24">
        <f>+Tabla2[[#This Row],[Variación Stock]]*Tabla2[[#This Row],[Coste LÃ­nea]]</f>
        <v>3754.15625</v>
      </c>
      <c r="N4802" s="22" t="str">
        <f>+IF(Tabla2[[#This Row],[Variación Stock]]&gt;0,"Sobrante",IF(Tabla2[[#This Row],[Variación Stock]]&lt;0,"Faltante","Sin novedad"))</f>
        <v>Sobrante</v>
      </c>
    </row>
    <row r="4803" spans="1:14" x14ac:dyDescent="0.25">
      <c r="A4803" s="11">
        <v>46044</v>
      </c>
      <c r="B4803" s="5" t="s">
        <v>382</v>
      </c>
      <c r="C4803" s="3" t="s">
        <v>284</v>
      </c>
      <c r="D4803" s="5" t="s">
        <v>115</v>
      </c>
      <c r="E4803" s="5" t="s">
        <v>112</v>
      </c>
      <c r="F4803" s="6" t="s">
        <v>291</v>
      </c>
      <c r="G4803" s="4" t="s">
        <v>2</v>
      </c>
      <c r="H4803" s="25">
        <v>4102.8333333299997</v>
      </c>
      <c r="I4803" s="8">
        <v>23</v>
      </c>
      <c r="J4803" s="9">
        <v>23</v>
      </c>
      <c r="K4803" s="7">
        <v>0</v>
      </c>
      <c r="L4803" s="24">
        <f>+Tabla2[[#This Row],[Stock Inventario]]*Tabla2[[#This Row],[Coste LÃ­nea]]</f>
        <v>94365.166666589997</v>
      </c>
      <c r="M4803" s="24">
        <f>+Tabla2[[#This Row],[Variación Stock]]*Tabla2[[#This Row],[Coste LÃ­nea]]</f>
        <v>0</v>
      </c>
      <c r="N4803" s="22" t="str">
        <f>+IF(Tabla2[[#This Row],[Variación Stock]]&gt;0,"Sobrante",IF(Tabla2[[#This Row],[Variación Stock]]&lt;0,"Faltante","Sin novedad"))</f>
        <v>Sin novedad</v>
      </c>
    </row>
    <row r="4804" spans="1:14" x14ac:dyDescent="0.25">
      <c r="A4804" s="11">
        <v>46044</v>
      </c>
      <c r="B4804" s="5" t="s">
        <v>382</v>
      </c>
      <c r="C4804" s="3" t="s">
        <v>284</v>
      </c>
      <c r="D4804" s="5" t="s">
        <v>111</v>
      </c>
      <c r="E4804" s="5" t="s">
        <v>112</v>
      </c>
      <c r="F4804" s="6" t="s">
        <v>28</v>
      </c>
      <c r="G4804" s="4" t="s">
        <v>2</v>
      </c>
      <c r="H4804" s="25">
        <v>93956</v>
      </c>
      <c r="I4804" s="8">
        <v>1</v>
      </c>
      <c r="J4804" s="9">
        <v>1</v>
      </c>
      <c r="K4804" s="7">
        <v>0</v>
      </c>
      <c r="L4804" s="24">
        <f>+Tabla2[[#This Row],[Stock Inventario]]*Tabla2[[#This Row],[Coste LÃ­nea]]</f>
        <v>93956</v>
      </c>
      <c r="M4804" s="24">
        <f>+Tabla2[[#This Row],[Variación Stock]]*Tabla2[[#This Row],[Coste LÃ­nea]]</f>
        <v>0</v>
      </c>
      <c r="N4804" s="22" t="str">
        <f>+IF(Tabla2[[#This Row],[Variación Stock]]&gt;0,"Sobrante",IF(Tabla2[[#This Row],[Variación Stock]]&lt;0,"Faltante","Sin novedad"))</f>
        <v>Sin novedad</v>
      </c>
    </row>
    <row r="4805" spans="1:14" x14ac:dyDescent="0.25">
      <c r="A4805" s="11">
        <v>46044</v>
      </c>
      <c r="B4805" s="5" t="s">
        <v>382</v>
      </c>
      <c r="C4805" s="3" t="s">
        <v>284</v>
      </c>
      <c r="D4805" s="5" t="s">
        <v>111</v>
      </c>
      <c r="E4805" s="5" t="s">
        <v>112</v>
      </c>
      <c r="F4805" s="6" t="s">
        <v>26</v>
      </c>
      <c r="G4805" s="4" t="s">
        <v>0</v>
      </c>
      <c r="H4805" s="25">
        <v>8389.75</v>
      </c>
      <c r="I4805" s="8">
        <v>11</v>
      </c>
      <c r="J4805" s="9">
        <v>11</v>
      </c>
      <c r="K4805" s="7">
        <v>0</v>
      </c>
      <c r="L4805" s="24">
        <f>+Tabla2[[#This Row],[Stock Inventario]]*Tabla2[[#This Row],[Coste LÃ­nea]]</f>
        <v>92287.25</v>
      </c>
      <c r="M4805" s="24">
        <f>+Tabla2[[#This Row],[Variación Stock]]*Tabla2[[#This Row],[Coste LÃ­nea]]</f>
        <v>0</v>
      </c>
      <c r="N4805" s="22" t="str">
        <f>+IF(Tabla2[[#This Row],[Variación Stock]]&gt;0,"Sobrante",IF(Tabla2[[#This Row],[Variación Stock]]&lt;0,"Faltante","Sin novedad"))</f>
        <v>Sin novedad</v>
      </c>
    </row>
    <row r="4806" spans="1:14" hidden="1" x14ac:dyDescent="0.25">
      <c r="A4806" s="11">
        <v>46044</v>
      </c>
      <c r="B4806" s="5" t="s">
        <v>382</v>
      </c>
      <c r="C4806" s="3" t="s">
        <v>284</v>
      </c>
      <c r="D4806" s="5" t="s">
        <v>323</v>
      </c>
      <c r="E4806" s="5" t="s">
        <v>117</v>
      </c>
      <c r="F4806" s="6" t="s">
        <v>329</v>
      </c>
      <c r="G4806" s="4" t="s">
        <v>2</v>
      </c>
      <c r="H4806" s="25">
        <v>7157.6045853699998</v>
      </c>
      <c r="I4806" s="8">
        <v>17</v>
      </c>
      <c r="J4806" s="9">
        <v>19</v>
      </c>
      <c r="K4806" s="7">
        <v>2</v>
      </c>
      <c r="L4806" s="24">
        <f>+Tabla2[[#This Row],[Stock Inventario]]*Tabla2[[#This Row],[Coste LÃ­nea]]</f>
        <v>135994.48712203</v>
      </c>
      <c r="M4806" s="24">
        <f>+Tabla2[[#This Row],[Variación Stock]]*Tabla2[[#This Row],[Coste LÃ­nea]]</f>
        <v>14315.20917074</v>
      </c>
      <c r="N4806" s="22" t="str">
        <f>+IF(Tabla2[[#This Row],[Variación Stock]]&gt;0,"Sobrante",IF(Tabla2[[#This Row],[Variación Stock]]&lt;0,"Faltante","Sin novedad"))</f>
        <v>Sobrante</v>
      </c>
    </row>
    <row r="4807" spans="1:14" x14ac:dyDescent="0.25">
      <c r="A4807" s="11">
        <v>46044</v>
      </c>
      <c r="B4807" s="5" t="s">
        <v>382</v>
      </c>
      <c r="C4807" s="3" t="s">
        <v>284</v>
      </c>
      <c r="D4807" s="5" t="s">
        <v>118</v>
      </c>
      <c r="E4807" s="5" t="s">
        <v>112</v>
      </c>
      <c r="F4807" s="6" t="s">
        <v>308</v>
      </c>
      <c r="G4807" s="4" t="s">
        <v>81</v>
      </c>
      <c r="H4807" s="25">
        <v>15144</v>
      </c>
      <c r="I4807" s="8">
        <v>6</v>
      </c>
      <c r="J4807" s="9">
        <v>6</v>
      </c>
      <c r="K4807" s="7">
        <v>0</v>
      </c>
      <c r="L4807" s="24">
        <f>+Tabla2[[#This Row],[Stock Inventario]]*Tabla2[[#This Row],[Coste LÃ­nea]]</f>
        <v>90864</v>
      </c>
      <c r="M4807" s="24">
        <f>+Tabla2[[#This Row],[Variación Stock]]*Tabla2[[#This Row],[Coste LÃ­nea]]</f>
        <v>0</v>
      </c>
      <c r="N4807" s="22" t="str">
        <f>+IF(Tabla2[[#This Row],[Variación Stock]]&gt;0,"Sobrante",IF(Tabla2[[#This Row],[Variación Stock]]&lt;0,"Faltante","Sin novedad"))</f>
        <v>Sin novedad</v>
      </c>
    </row>
    <row r="4808" spans="1:14" hidden="1" x14ac:dyDescent="0.25">
      <c r="A4808" s="11">
        <v>46044</v>
      </c>
      <c r="B4808" s="5" t="s">
        <v>382</v>
      </c>
      <c r="C4808" s="3" t="s">
        <v>284</v>
      </c>
      <c r="D4808" s="5" t="s">
        <v>119</v>
      </c>
      <c r="E4808" s="5" t="s">
        <v>117</v>
      </c>
      <c r="F4808" s="6" t="s">
        <v>14</v>
      </c>
      <c r="G4808" s="4" t="s">
        <v>1</v>
      </c>
      <c r="H4808" s="25">
        <v>31.416</v>
      </c>
      <c r="I4808" s="8">
        <v>17000</v>
      </c>
      <c r="J4808" s="9">
        <v>15722</v>
      </c>
      <c r="K4808" s="7">
        <v>-1278</v>
      </c>
      <c r="L4808" s="24">
        <f>+Tabla2[[#This Row],[Stock Inventario]]*Tabla2[[#This Row],[Coste LÃ­nea]]</f>
        <v>493922.35200000001</v>
      </c>
      <c r="M4808" s="24">
        <f>+Tabla2[[#This Row],[Variación Stock]]*Tabla2[[#This Row],[Coste LÃ­nea]]</f>
        <v>-40149.648000000001</v>
      </c>
      <c r="N4808" s="22" t="str">
        <f>+IF(Tabla2[[#This Row],[Variación Stock]]&gt;0,"Sobrante",IF(Tabla2[[#This Row],[Variación Stock]]&lt;0,"Faltante","Sin novedad"))</f>
        <v>Faltante</v>
      </c>
    </row>
    <row r="4809" spans="1:14" x14ac:dyDescent="0.25">
      <c r="A4809" s="11">
        <v>46037</v>
      </c>
      <c r="B4809" s="5" t="s">
        <v>283</v>
      </c>
      <c r="C4809" s="3" t="s">
        <v>284</v>
      </c>
      <c r="D4809" s="5" t="s">
        <v>111</v>
      </c>
      <c r="E4809" s="5" t="s">
        <v>112</v>
      </c>
      <c r="F4809" s="6" t="s">
        <v>41</v>
      </c>
      <c r="G4809" s="4" t="s">
        <v>0</v>
      </c>
      <c r="H4809" s="25">
        <v>1917.6875</v>
      </c>
      <c r="I4809" s="8">
        <v>43.02</v>
      </c>
      <c r="J4809" s="9">
        <v>44</v>
      </c>
      <c r="K4809" s="7">
        <v>0.98</v>
      </c>
      <c r="L4809" s="24">
        <f>+Tabla2[[#This Row],[Stock Inventario]]*Tabla2[[#This Row],[Coste LÃ­nea]]</f>
        <v>84378.25</v>
      </c>
      <c r="M4809" s="24">
        <f>+Tabla2[[#This Row],[Variación Stock]]*Tabla2[[#This Row],[Coste LÃ­nea]]</f>
        <v>1879.33375</v>
      </c>
      <c r="N4809" s="22" t="str">
        <f>+IF(Tabla2[[#This Row],[Variación Stock]]&gt;0,"Sobrante",IF(Tabla2[[#This Row],[Variación Stock]]&lt;0,"Faltante","Sin novedad"))</f>
        <v>Sobrante</v>
      </c>
    </row>
    <row r="4810" spans="1:14" x14ac:dyDescent="0.25">
      <c r="A4810" s="11">
        <v>46044</v>
      </c>
      <c r="B4810" s="5" t="s">
        <v>382</v>
      </c>
      <c r="C4810" s="3" t="s">
        <v>284</v>
      </c>
      <c r="D4810" s="5" t="s">
        <v>111</v>
      </c>
      <c r="E4810" s="5" t="s">
        <v>112</v>
      </c>
      <c r="F4810" s="6" t="s">
        <v>41</v>
      </c>
      <c r="G4810" s="4" t="s">
        <v>0</v>
      </c>
      <c r="H4810" s="25">
        <v>2904.0416666699998</v>
      </c>
      <c r="I4810" s="8">
        <v>43.34</v>
      </c>
      <c r="J4810" s="9">
        <v>42</v>
      </c>
      <c r="K4810" s="7">
        <v>-1.34</v>
      </c>
      <c r="L4810" s="24">
        <f>+Tabla2[[#This Row],[Stock Inventario]]*Tabla2[[#This Row],[Coste LÃ­nea]]</f>
        <v>121969.75000013999</v>
      </c>
      <c r="M4810" s="24">
        <f>+Tabla2[[#This Row],[Variación Stock]]*Tabla2[[#This Row],[Coste LÃ­nea]]</f>
        <v>-3891.4158333378</v>
      </c>
      <c r="N4810" s="22" t="str">
        <f>+IF(Tabla2[[#This Row],[Variación Stock]]&gt;0,"Sobrante",IF(Tabla2[[#This Row],[Variación Stock]]&lt;0,"Faltante","Sin novedad"))</f>
        <v>Faltante</v>
      </c>
    </row>
    <row r="4811" spans="1:14" x14ac:dyDescent="0.25">
      <c r="A4811" s="11">
        <v>46044</v>
      </c>
      <c r="B4811" s="5" t="s">
        <v>382</v>
      </c>
      <c r="C4811" s="3" t="s">
        <v>284</v>
      </c>
      <c r="D4811" s="5" t="s">
        <v>118</v>
      </c>
      <c r="E4811" s="5" t="s">
        <v>112</v>
      </c>
      <c r="F4811" s="6" t="s">
        <v>90</v>
      </c>
      <c r="G4811" s="4" t="s">
        <v>81</v>
      </c>
      <c r="H4811" s="25">
        <v>4385.2</v>
      </c>
      <c r="I4811" s="8">
        <v>20</v>
      </c>
      <c r="J4811" s="9">
        <v>20</v>
      </c>
      <c r="K4811" s="7">
        <v>0</v>
      </c>
      <c r="L4811" s="24">
        <f>+Tabla2[[#This Row],[Stock Inventario]]*Tabla2[[#This Row],[Coste LÃ­nea]]</f>
        <v>87704</v>
      </c>
      <c r="M4811" s="24">
        <f>+Tabla2[[#This Row],[Variación Stock]]*Tabla2[[#This Row],[Coste LÃ­nea]]</f>
        <v>0</v>
      </c>
      <c r="N4811" s="22" t="str">
        <f>+IF(Tabla2[[#This Row],[Variación Stock]]&gt;0,"Sobrante",IF(Tabla2[[#This Row],[Variación Stock]]&lt;0,"Faltante","Sin novedad"))</f>
        <v>Sin novedad</v>
      </c>
    </row>
    <row r="4812" spans="1:14" x14ac:dyDescent="0.25">
      <c r="A4812" s="11">
        <v>46044</v>
      </c>
      <c r="B4812" s="5" t="s">
        <v>382</v>
      </c>
      <c r="C4812" s="3" t="s">
        <v>284</v>
      </c>
      <c r="D4812" s="5" t="s">
        <v>115</v>
      </c>
      <c r="E4812" s="5" t="s">
        <v>112</v>
      </c>
      <c r="F4812" s="6" t="s">
        <v>78</v>
      </c>
      <c r="G4812" s="4" t="s">
        <v>2</v>
      </c>
      <c r="H4812" s="25">
        <v>3261.8333333300002</v>
      </c>
      <c r="I4812" s="8">
        <v>26</v>
      </c>
      <c r="J4812" s="9">
        <v>26</v>
      </c>
      <c r="K4812" s="7">
        <v>0</v>
      </c>
      <c r="L4812" s="24">
        <f>+Tabla2[[#This Row],[Stock Inventario]]*Tabla2[[#This Row],[Coste LÃ­nea]]</f>
        <v>84807.66666658</v>
      </c>
      <c r="M4812" s="24">
        <f>+Tabla2[[#This Row],[Variación Stock]]*Tabla2[[#This Row],[Coste LÃ­nea]]</f>
        <v>0</v>
      </c>
      <c r="N4812" s="22" t="str">
        <f>+IF(Tabla2[[#This Row],[Variación Stock]]&gt;0,"Sobrante",IF(Tabla2[[#This Row],[Variación Stock]]&lt;0,"Faltante","Sin novedad"))</f>
        <v>Sin novedad</v>
      </c>
    </row>
    <row r="4813" spans="1:14" x14ac:dyDescent="0.25">
      <c r="A4813" s="11">
        <v>46037</v>
      </c>
      <c r="B4813" s="5" t="s">
        <v>283</v>
      </c>
      <c r="C4813" s="3" t="s">
        <v>284</v>
      </c>
      <c r="D4813" s="5" t="s">
        <v>111</v>
      </c>
      <c r="E4813" s="5" t="s">
        <v>112</v>
      </c>
      <c r="F4813" s="6" t="s">
        <v>42</v>
      </c>
      <c r="G4813" s="4" t="s">
        <v>0</v>
      </c>
      <c r="H4813" s="25">
        <v>2628.875</v>
      </c>
      <c r="I4813" s="8">
        <v>2.34</v>
      </c>
      <c r="J4813" s="9">
        <v>28</v>
      </c>
      <c r="K4813" s="7">
        <v>25.66</v>
      </c>
      <c r="L4813" s="24">
        <f>+Tabla2[[#This Row],[Stock Inventario]]*Tabla2[[#This Row],[Coste LÃ­nea]]</f>
        <v>73608.5</v>
      </c>
      <c r="M4813" s="24">
        <f>+Tabla2[[#This Row],[Variación Stock]]*Tabla2[[#This Row],[Coste LÃ­nea]]</f>
        <v>67456.932499999995</v>
      </c>
      <c r="N4813" s="22" t="str">
        <f>+IF(Tabla2[[#This Row],[Variación Stock]]&gt;0,"Sobrante",IF(Tabla2[[#This Row],[Variación Stock]]&lt;0,"Faltante","Sin novedad"))</f>
        <v>Sobrante</v>
      </c>
    </row>
    <row r="4814" spans="1:14" x14ac:dyDescent="0.25">
      <c r="A4814" s="11">
        <v>46044</v>
      </c>
      <c r="B4814" s="5" t="s">
        <v>382</v>
      </c>
      <c r="C4814" s="3" t="s">
        <v>284</v>
      </c>
      <c r="D4814" s="5" t="s">
        <v>118</v>
      </c>
      <c r="E4814" s="5" t="s">
        <v>112</v>
      </c>
      <c r="F4814" s="6" t="s">
        <v>311</v>
      </c>
      <c r="G4814" s="4" t="s">
        <v>2</v>
      </c>
      <c r="H4814" s="25">
        <v>79652</v>
      </c>
      <c r="I4814" s="8">
        <v>1</v>
      </c>
      <c r="J4814" s="9">
        <v>1</v>
      </c>
      <c r="K4814" s="7">
        <v>0</v>
      </c>
      <c r="L4814" s="24">
        <f>+Tabla2[[#This Row],[Stock Inventario]]*Tabla2[[#This Row],[Coste LÃ­nea]]</f>
        <v>79652</v>
      </c>
      <c r="M4814" s="24">
        <f>+Tabla2[[#This Row],[Variación Stock]]*Tabla2[[#This Row],[Coste LÃ­nea]]</f>
        <v>0</v>
      </c>
      <c r="N4814" s="22" t="str">
        <f>+IF(Tabla2[[#This Row],[Variación Stock]]&gt;0,"Sobrante",IF(Tabla2[[#This Row],[Variación Stock]]&lt;0,"Faltante","Sin novedad"))</f>
        <v>Sin novedad</v>
      </c>
    </row>
    <row r="4815" spans="1:14" x14ac:dyDescent="0.25">
      <c r="A4815" s="11">
        <v>46044</v>
      </c>
      <c r="B4815" s="5" t="s">
        <v>382</v>
      </c>
      <c r="C4815" s="3" t="s">
        <v>284</v>
      </c>
      <c r="D4815" s="5" t="s">
        <v>111</v>
      </c>
      <c r="E4815" s="5" t="s">
        <v>112</v>
      </c>
      <c r="F4815" s="6" t="s">
        <v>42</v>
      </c>
      <c r="G4815" s="4" t="s">
        <v>0</v>
      </c>
      <c r="H4815" s="25">
        <v>2906.3333333300002</v>
      </c>
      <c r="I4815" s="8">
        <v>25.36</v>
      </c>
      <c r="J4815" s="9">
        <v>24</v>
      </c>
      <c r="K4815" s="7">
        <v>-1.36</v>
      </c>
      <c r="L4815" s="24">
        <f>+Tabla2[[#This Row],[Stock Inventario]]*Tabla2[[#This Row],[Coste LÃ­nea]]</f>
        <v>69751.999999920008</v>
      </c>
      <c r="M4815" s="24">
        <f>+Tabla2[[#This Row],[Variación Stock]]*Tabla2[[#This Row],[Coste LÃ­nea]]</f>
        <v>-3952.6133333288008</v>
      </c>
      <c r="N4815" s="22" t="str">
        <f>+IF(Tabla2[[#This Row],[Variación Stock]]&gt;0,"Sobrante",IF(Tabla2[[#This Row],[Variación Stock]]&lt;0,"Faltante","Sin novedad"))</f>
        <v>Faltante</v>
      </c>
    </row>
    <row r="4816" spans="1:14" x14ac:dyDescent="0.25">
      <c r="A4816" s="11">
        <v>46044</v>
      </c>
      <c r="B4816" s="5" t="s">
        <v>382</v>
      </c>
      <c r="C4816" s="3" t="s">
        <v>284</v>
      </c>
      <c r="D4816" s="5" t="s">
        <v>115</v>
      </c>
      <c r="E4816" s="5" t="s">
        <v>112</v>
      </c>
      <c r="F4816" s="6" t="s">
        <v>72</v>
      </c>
      <c r="G4816" s="4" t="s">
        <v>2</v>
      </c>
      <c r="H4816" s="25">
        <v>2183.46666667</v>
      </c>
      <c r="I4816" s="8">
        <v>36</v>
      </c>
      <c r="J4816" s="9">
        <v>36</v>
      </c>
      <c r="K4816" s="7">
        <v>0</v>
      </c>
      <c r="L4816" s="24">
        <f>+Tabla2[[#This Row],[Stock Inventario]]*Tabla2[[#This Row],[Coste LÃ­nea]]</f>
        <v>78604.800000119998</v>
      </c>
      <c r="M4816" s="24">
        <f>+Tabla2[[#This Row],[Variación Stock]]*Tabla2[[#This Row],[Coste LÃ­nea]]</f>
        <v>0</v>
      </c>
      <c r="N4816" s="22" t="str">
        <f>+IF(Tabla2[[#This Row],[Variación Stock]]&gt;0,"Sobrante",IF(Tabla2[[#This Row],[Variación Stock]]&lt;0,"Faltante","Sin novedad"))</f>
        <v>Sin novedad</v>
      </c>
    </row>
    <row r="4817" spans="1:14" x14ac:dyDescent="0.25">
      <c r="A4817" s="11">
        <v>46044</v>
      </c>
      <c r="B4817" s="5" t="s">
        <v>382</v>
      </c>
      <c r="C4817" s="3" t="s">
        <v>284</v>
      </c>
      <c r="D4817" s="5" t="s">
        <v>111</v>
      </c>
      <c r="E4817" s="5" t="s">
        <v>112</v>
      </c>
      <c r="F4817" s="6" t="s">
        <v>35</v>
      </c>
      <c r="G4817" s="4" t="s">
        <v>0</v>
      </c>
      <c r="H4817" s="25">
        <v>6045.125</v>
      </c>
      <c r="I4817" s="8">
        <v>13</v>
      </c>
      <c r="J4817" s="9">
        <v>13</v>
      </c>
      <c r="K4817" s="7">
        <v>0</v>
      </c>
      <c r="L4817" s="24">
        <f>+Tabla2[[#This Row],[Stock Inventario]]*Tabla2[[#This Row],[Coste LÃ­nea]]</f>
        <v>78586.625</v>
      </c>
      <c r="M4817" s="24">
        <f>+Tabla2[[#This Row],[Variación Stock]]*Tabla2[[#This Row],[Coste LÃ­nea]]</f>
        <v>0</v>
      </c>
      <c r="N4817" s="22" t="str">
        <f>+IF(Tabla2[[#This Row],[Variación Stock]]&gt;0,"Sobrante",IF(Tabla2[[#This Row],[Variación Stock]]&lt;0,"Faltante","Sin novedad"))</f>
        <v>Sin novedad</v>
      </c>
    </row>
    <row r="4818" spans="1:14" x14ac:dyDescent="0.25">
      <c r="A4818" s="11">
        <v>46037</v>
      </c>
      <c r="B4818" s="5" t="s">
        <v>283</v>
      </c>
      <c r="C4818" s="3" t="s">
        <v>284</v>
      </c>
      <c r="D4818" s="5" t="s">
        <v>118</v>
      </c>
      <c r="E4818" s="5" t="s">
        <v>112</v>
      </c>
      <c r="F4818" s="6" t="s">
        <v>302</v>
      </c>
      <c r="G4818" s="4" t="s">
        <v>2</v>
      </c>
      <c r="H4818" s="25">
        <v>444869</v>
      </c>
      <c r="I4818" s="8">
        <v>0</v>
      </c>
      <c r="J4818" s="9">
        <v>1</v>
      </c>
      <c r="K4818" s="7">
        <v>1</v>
      </c>
      <c r="L4818" s="24">
        <f>+Tabla2[[#This Row],[Stock Inventario]]*Tabla2[[#This Row],[Coste LÃ­nea]]</f>
        <v>444869</v>
      </c>
      <c r="M4818" s="24">
        <f>+Tabla2[[#This Row],[Variación Stock]]*Tabla2[[#This Row],[Coste LÃ­nea]]</f>
        <v>444869</v>
      </c>
      <c r="N4818" s="22" t="str">
        <f>+IF(Tabla2[[#This Row],[Variación Stock]]&gt;0,"Sobrante",IF(Tabla2[[#This Row],[Variación Stock]]&lt;0,"Faltante","Sin novedad"))</f>
        <v>Sobrante</v>
      </c>
    </row>
    <row r="4819" spans="1:14" x14ac:dyDescent="0.25">
      <c r="A4819" s="11">
        <v>46037</v>
      </c>
      <c r="B4819" s="5" t="s">
        <v>283</v>
      </c>
      <c r="C4819" s="3" t="s">
        <v>284</v>
      </c>
      <c r="D4819" s="5" t="s">
        <v>118</v>
      </c>
      <c r="E4819" s="5" t="s">
        <v>112</v>
      </c>
      <c r="F4819" s="6" t="s">
        <v>303</v>
      </c>
      <c r="G4819" s="4" t="s">
        <v>81</v>
      </c>
      <c r="H4819" s="25">
        <v>15144.3</v>
      </c>
      <c r="I4819" s="8">
        <v>26</v>
      </c>
      <c r="J4819" s="9">
        <v>25</v>
      </c>
      <c r="K4819" s="7">
        <v>-1</v>
      </c>
      <c r="L4819" s="24">
        <f>+Tabla2[[#This Row],[Stock Inventario]]*Tabla2[[#This Row],[Coste LÃ­nea]]</f>
        <v>378607.5</v>
      </c>
      <c r="M4819" s="24">
        <f>+Tabla2[[#This Row],[Variación Stock]]*Tabla2[[#This Row],[Coste LÃ­nea]]</f>
        <v>-15144.3</v>
      </c>
      <c r="N4819" s="22" t="str">
        <f>+IF(Tabla2[[#This Row],[Variación Stock]]&gt;0,"Sobrante",IF(Tabla2[[#This Row],[Variación Stock]]&lt;0,"Faltante","Sin novedad"))</f>
        <v>Faltante</v>
      </c>
    </row>
    <row r="4820" spans="1:14" x14ac:dyDescent="0.25">
      <c r="A4820" s="11">
        <v>46044</v>
      </c>
      <c r="B4820" s="5" t="s">
        <v>382</v>
      </c>
      <c r="C4820" s="3" t="s">
        <v>284</v>
      </c>
      <c r="D4820" s="5" t="s">
        <v>118</v>
      </c>
      <c r="E4820" s="5" t="s">
        <v>112</v>
      </c>
      <c r="F4820" s="6" t="s">
        <v>87</v>
      </c>
      <c r="G4820" s="4" t="s">
        <v>2</v>
      </c>
      <c r="H4820" s="25">
        <v>37612</v>
      </c>
      <c r="I4820" s="8">
        <v>2</v>
      </c>
      <c r="J4820" s="9">
        <v>2</v>
      </c>
      <c r="K4820" s="7">
        <v>0</v>
      </c>
      <c r="L4820" s="24">
        <f>+Tabla2[[#This Row],[Stock Inventario]]*Tabla2[[#This Row],[Coste LÃ­nea]]</f>
        <v>75224</v>
      </c>
      <c r="M4820" s="24">
        <f>+Tabla2[[#This Row],[Variación Stock]]*Tabla2[[#This Row],[Coste LÃ­nea]]</f>
        <v>0</v>
      </c>
      <c r="N4820" s="22" t="str">
        <f>+IF(Tabla2[[#This Row],[Variación Stock]]&gt;0,"Sobrante",IF(Tabla2[[#This Row],[Variación Stock]]&lt;0,"Faltante","Sin novedad"))</f>
        <v>Sin novedad</v>
      </c>
    </row>
    <row r="4821" spans="1:14" x14ac:dyDescent="0.25">
      <c r="A4821" s="11">
        <v>46037</v>
      </c>
      <c r="B4821" s="5" t="s">
        <v>283</v>
      </c>
      <c r="C4821" s="3" t="s">
        <v>284</v>
      </c>
      <c r="D4821" s="5" t="s">
        <v>118</v>
      </c>
      <c r="E4821" s="5" t="s">
        <v>112</v>
      </c>
      <c r="F4821" s="6" t="s">
        <v>84</v>
      </c>
      <c r="G4821" s="4" t="s">
        <v>81</v>
      </c>
      <c r="H4821" s="25">
        <v>9853.7999999999993</v>
      </c>
      <c r="I4821" s="8">
        <v>15</v>
      </c>
      <c r="J4821" s="9">
        <v>3</v>
      </c>
      <c r="K4821" s="7">
        <v>-12</v>
      </c>
      <c r="L4821" s="24">
        <f>+Tabla2[[#This Row],[Stock Inventario]]*Tabla2[[#This Row],[Coste LÃ­nea]]</f>
        <v>29561.399999999998</v>
      </c>
      <c r="M4821" s="24">
        <f>+Tabla2[[#This Row],[Variación Stock]]*Tabla2[[#This Row],[Coste LÃ­nea]]</f>
        <v>-118245.59999999999</v>
      </c>
      <c r="N4821" s="22" t="str">
        <f>+IF(Tabla2[[#This Row],[Variación Stock]]&gt;0,"Sobrante",IF(Tabla2[[#This Row],[Variación Stock]]&lt;0,"Faltante","Sin novedad"))</f>
        <v>Faltante</v>
      </c>
    </row>
    <row r="4822" spans="1:14" x14ac:dyDescent="0.25">
      <c r="A4822" s="11">
        <v>46044</v>
      </c>
      <c r="B4822" s="5" t="s">
        <v>382</v>
      </c>
      <c r="C4822" s="3" t="s">
        <v>284</v>
      </c>
      <c r="D4822" s="5" t="s">
        <v>118</v>
      </c>
      <c r="E4822" s="5" t="s">
        <v>112</v>
      </c>
      <c r="F4822" s="6" t="s">
        <v>310</v>
      </c>
      <c r="G4822" s="4" t="s">
        <v>2</v>
      </c>
      <c r="H4822" s="25">
        <v>73956.022408999997</v>
      </c>
      <c r="I4822" s="8">
        <v>1</v>
      </c>
      <c r="J4822" s="9">
        <v>1</v>
      </c>
      <c r="K4822" s="7">
        <v>0</v>
      </c>
      <c r="L4822" s="24">
        <f>+Tabla2[[#This Row],[Stock Inventario]]*Tabla2[[#This Row],[Coste LÃ­nea]]</f>
        <v>73956.022408999997</v>
      </c>
      <c r="M4822" s="24">
        <f>+Tabla2[[#This Row],[Variación Stock]]*Tabla2[[#This Row],[Coste LÃ­nea]]</f>
        <v>0</v>
      </c>
      <c r="N4822" s="22" t="str">
        <f>+IF(Tabla2[[#This Row],[Variación Stock]]&gt;0,"Sobrante",IF(Tabla2[[#This Row],[Variación Stock]]&lt;0,"Faltante","Sin novedad"))</f>
        <v>Sin novedad</v>
      </c>
    </row>
    <row r="4823" spans="1:14" x14ac:dyDescent="0.25">
      <c r="A4823" s="11">
        <v>46044</v>
      </c>
      <c r="B4823" s="5" t="s">
        <v>382</v>
      </c>
      <c r="C4823" s="3" t="s">
        <v>284</v>
      </c>
      <c r="D4823" s="5" t="s">
        <v>118</v>
      </c>
      <c r="E4823" s="5" t="s">
        <v>112</v>
      </c>
      <c r="F4823" s="6" t="s">
        <v>84</v>
      </c>
      <c r="G4823" s="4" t="s">
        <v>81</v>
      </c>
      <c r="H4823" s="25">
        <v>9853.7999999999993</v>
      </c>
      <c r="I4823" s="8">
        <v>3</v>
      </c>
      <c r="J4823" s="9">
        <v>15</v>
      </c>
      <c r="K4823" s="7">
        <v>12</v>
      </c>
      <c r="L4823" s="24">
        <f>+Tabla2[[#This Row],[Stock Inventario]]*Tabla2[[#This Row],[Coste LÃ­nea]]</f>
        <v>147807</v>
      </c>
      <c r="M4823" s="24">
        <f>+Tabla2[[#This Row],[Variación Stock]]*Tabla2[[#This Row],[Coste LÃ­nea]]</f>
        <v>118245.59999999999</v>
      </c>
      <c r="N4823" s="22" t="str">
        <f>+IF(Tabla2[[#This Row],[Variación Stock]]&gt;0,"Sobrante",IF(Tabla2[[#This Row],[Variación Stock]]&lt;0,"Faltante","Sin novedad"))</f>
        <v>Sobrante</v>
      </c>
    </row>
    <row r="4824" spans="1:14" hidden="1" x14ac:dyDescent="0.25">
      <c r="A4824" s="11">
        <v>46044</v>
      </c>
      <c r="B4824" s="5" t="s">
        <v>382</v>
      </c>
      <c r="C4824" s="3" t="s">
        <v>284</v>
      </c>
      <c r="D4824" s="5" t="s">
        <v>120</v>
      </c>
      <c r="E4824" s="5" t="s">
        <v>117</v>
      </c>
      <c r="F4824" s="6" t="s">
        <v>318</v>
      </c>
      <c r="G4824" s="4" t="s">
        <v>2</v>
      </c>
      <c r="H4824" s="25">
        <v>5396.4738635900003</v>
      </c>
      <c r="I4824" s="8">
        <v>13</v>
      </c>
      <c r="J4824" s="9">
        <v>13</v>
      </c>
      <c r="K4824" s="7">
        <v>0</v>
      </c>
      <c r="L4824" s="24">
        <f>+Tabla2[[#This Row],[Stock Inventario]]*Tabla2[[#This Row],[Coste LÃ­nea]]</f>
        <v>70154.160226670007</v>
      </c>
      <c r="M4824" s="24">
        <f>+Tabla2[[#This Row],[Variación Stock]]*Tabla2[[#This Row],[Coste LÃ­nea]]</f>
        <v>0</v>
      </c>
      <c r="N4824" s="22" t="str">
        <f>+IF(Tabla2[[#This Row],[Variación Stock]]&gt;0,"Sobrante",IF(Tabla2[[#This Row],[Variación Stock]]&lt;0,"Faltante","Sin novedad"))</f>
        <v>Sin novedad</v>
      </c>
    </row>
    <row r="4825" spans="1:14" x14ac:dyDescent="0.25">
      <c r="A4825" s="11">
        <v>46037</v>
      </c>
      <c r="B4825" s="5" t="s">
        <v>283</v>
      </c>
      <c r="C4825" s="3" t="s">
        <v>284</v>
      </c>
      <c r="D4825" s="5" t="s">
        <v>118</v>
      </c>
      <c r="E4825" s="5" t="s">
        <v>112</v>
      </c>
      <c r="F4825" s="6" t="s">
        <v>87</v>
      </c>
      <c r="G4825" s="4" t="s">
        <v>2</v>
      </c>
      <c r="H4825" s="25">
        <v>37612</v>
      </c>
      <c r="I4825" s="8">
        <v>4</v>
      </c>
      <c r="J4825" s="9">
        <v>5</v>
      </c>
      <c r="K4825" s="7">
        <v>1</v>
      </c>
      <c r="L4825" s="24">
        <f>+Tabla2[[#This Row],[Stock Inventario]]*Tabla2[[#This Row],[Coste LÃ­nea]]</f>
        <v>188060</v>
      </c>
      <c r="M4825" s="24">
        <f>+Tabla2[[#This Row],[Variación Stock]]*Tabla2[[#This Row],[Coste LÃ­nea]]</f>
        <v>37612</v>
      </c>
      <c r="N4825" s="22" t="str">
        <f>+IF(Tabla2[[#This Row],[Variación Stock]]&gt;0,"Sobrante",IF(Tabla2[[#This Row],[Variación Stock]]&lt;0,"Faltante","Sin novedad"))</f>
        <v>Sobrante</v>
      </c>
    </row>
    <row r="4826" spans="1:14" x14ac:dyDescent="0.25">
      <c r="A4826" s="11">
        <v>46037</v>
      </c>
      <c r="B4826" s="5" t="s">
        <v>283</v>
      </c>
      <c r="C4826" s="3" t="s">
        <v>284</v>
      </c>
      <c r="D4826" s="5" t="s">
        <v>118</v>
      </c>
      <c r="E4826" s="5" t="s">
        <v>112</v>
      </c>
      <c r="F4826" s="6" t="s">
        <v>88</v>
      </c>
      <c r="G4826" s="4" t="s">
        <v>81</v>
      </c>
      <c r="H4826" s="25">
        <v>4385.6000000000004</v>
      </c>
      <c r="I4826" s="8">
        <v>23</v>
      </c>
      <c r="J4826" s="9">
        <v>21</v>
      </c>
      <c r="K4826" s="7">
        <v>-2</v>
      </c>
      <c r="L4826" s="24">
        <f>+Tabla2[[#This Row],[Stock Inventario]]*Tabla2[[#This Row],[Coste LÃ­nea]]</f>
        <v>92097.600000000006</v>
      </c>
      <c r="M4826" s="24">
        <f>+Tabla2[[#This Row],[Variación Stock]]*Tabla2[[#This Row],[Coste LÃ­nea]]</f>
        <v>-8771.2000000000007</v>
      </c>
      <c r="N4826" s="22" t="str">
        <f>+IF(Tabla2[[#This Row],[Variación Stock]]&gt;0,"Sobrante",IF(Tabla2[[#This Row],[Variación Stock]]&lt;0,"Faltante","Sin novedad"))</f>
        <v>Faltante</v>
      </c>
    </row>
    <row r="4827" spans="1:14" x14ac:dyDescent="0.25">
      <c r="A4827" s="11">
        <v>46044</v>
      </c>
      <c r="B4827" s="5" t="s">
        <v>382</v>
      </c>
      <c r="C4827" s="3" t="s">
        <v>284</v>
      </c>
      <c r="D4827" s="5" t="s">
        <v>115</v>
      </c>
      <c r="E4827" s="5" t="s">
        <v>112</v>
      </c>
      <c r="F4827" s="6" t="s">
        <v>290</v>
      </c>
      <c r="G4827" s="4" t="s">
        <v>2</v>
      </c>
      <c r="H4827" s="25">
        <v>11200</v>
      </c>
      <c r="I4827" s="8">
        <v>6</v>
      </c>
      <c r="J4827" s="9">
        <v>6</v>
      </c>
      <c r="K4827" s="7">
        <v>0</v>
      </c>
      <c r="L4827" s="24">
        <f>+Tabla2[[#This Row],[Stock Inventario]]*Tabla2[[#This Row],[Coste LÃ­nea]]</f>
        <v>67200</v>
      </c>
      <c r="M4827" s="24">
        <f>+Tabla2[[#This Row],[Variación Stock]]*Tabla2[[#This Row],[Coste LÃ­nea]]</f>
        <v>0</v>
      </c>
      <c r="N4827" s="22" t="str">
        <f>+IF(Tabla2[[#This Row],[Variación Stock]]&gt;0,"Sobrante",IF(Tabla2[[#This Row],[Variación Stock]]&lt;0,"Faltante","Sin novedad"))</f>
        <v>Sin novedad</v>
      </c>
    </row>
    <row r="4828" spans="1:14" hidden="1" x14ac:dyDescent="0.25">
      <c r="A4828" s="11">
        <v>46044</v>
      </c>
      <c r="B4828" s="5" t="s">
        <v>382</v>
      </c>
      <c r="C4828" s="3" t="s">
        <v>284</v>
      </c>
      <c r="D4828" s="5" t="s">
        <v>120</v>
      </c>
      <c r="E4828" s="5" t="s">
        <v>117</v>
      </c>
      <c r="F4828" s="6" t="s">
        <v>322</v>
      </c>
      <c r="G4828" s="4" t="s">
        <v>2</v>
      </c>
      <c r="H4828" s="25">
        <v>2218.6638458100001</v>
      </c>
      <c r="I4828" s="8">
        <v>28</v>
      </c>
      <c r="J4828" s="9">
        <v>28</v>
      </c>
      <c r="K4828" s="7">
        <v>0</v>
      </c>
      <c r="L4828" s="24">
        <f>+Tabla2[[#This Row],[Stock Inventario]]*Tabla2[[#This Row],[Coste LÃ­nea]]</f>
        <v>62122.587682680001</v>
      </c>
      <c r="M4828" s="24">
        <f>+Tabla2[[#This Row],[Variación Stock]]*Tabla2[[#This Row],[Coste LÃ­nea]]</f>
        <v>0</v>
      </c>
      <c r="N4828" s="22" t="str">
        <f>+IF(Tabla2[[#This Row],[Variación Stock]]&gt;0,"Sobrante",IF(Tabla2[[#This Row],[Variación Stock]]&lt;0,"Faltante","Sin novedad"))</f>
        <v>Sin novedad</v>
      </c>
    </row>
    <row r="4829" spans="1:14" hidden="1" x14ac:dyDescent="0.25">
      <c r="A4829" s="11">
        <v>46044</v>
      </c>
      <c r="B4829" s="5" t="s">
        <v>382</v>
      </c>
      <c r="C4829" s="3" t="s">
        <v>284</v>
      </c>
      <c r="D4829" s="5" t="s">
        <v>323</v>
      </c>
      <c r="E4829" s="5" t="s">
        <v>117</v>
      </c>
      <c r="F4829" s="6" t="s">
        <v>330</v>
      </c>
      <c r="G4829" s="4" t="s">
        <v>2</v>
      </c>
      <c r="H4829" s="25">
        <v>1575.4194626999999</v>
      </c>
      <c r="I4829" s="8">
        <v>87</v>
      </c>
      <c r="J4829" s="9">
        <v>84</v>
      </c>
      <c r="K4829" s="7">
        <v>-3</v>
      </c>
      <c r="L4829" s="24">
        <f>+Tabla2[[#This Row],[Stock Inventario]]*Tabla2[[#This Row],[Coste LÃ­nea]]</f>
        <v>132335.23486679999</v>
      </c>
      <c r="M4829" s="24">
        <f>+Tabla2[[#This Row],[Variación Stock]]*Tabla2[[#This Row],[Coste LÃ­nea]]</f>
        <v>-4726.2583881</v>
      </c>
      <c r="N4829" s="22" t="str">
        <f>+IF(Tabla2[[#This Row],[Variación Stock]]&gt;0,"Sobrante",IF(Tabla2[[#This Row],[Variación Stock]]&lt;0,"Faltante","Sin novedad"))</f>
        <v>Faltante</v>
      </c>
    </row>
    <row r="4830" spans="1:14" x14ac:dyDescent="0.25">
      <c r="A4830" s="11">
        <v>46044</v>
      </c>
      <c r="B4830" s="5" t="s">
        <v>382</v>
      </c>
      <c r="C4830" s="3" t="s">
        <v>284</v>
      </c>
      <c r="D4830" s="5" t="s">
        <v>118</v>
      </c>
      <c r="E4830" s="5" t="s">
        <v>112</v>
      </c>
      <c r="F4830" s="6" t="s">
        <v>88</v>
      </c>
      <c r="G4830" s="4" t="s">
        <v>81</v>
      </c>
      <c r="H4830" s="25">
        <v>4385.6000000000004</v>
      </c>
      <c r="I4830" s="8">
        <v>19</v>
      </c>
      <c r="J4830" s="9">
        <v>25</v>
      </c>
      <c r="K4830" s="7">
        <v>6</v>
      </c>
      <c r="L4830" s="24">
        <f>+Tabla2[[#This Row],[Stock Inventario]]*Tabla2[[#This Row],[Coste LÃ­nea]]</f>
        <v>109640.00000000001</v>
      </c>
      <c r="M4830" s="24">
        <f>+Tabla2[[#This Row],[Variación Stock]]*Tabla2[[#This Row],[Coste LÃ­nea]]</f>
        <v>26313.600000000002</v>
      </c>
      <c r="N4830" s="22" t="str">
        <f>+IF(Tabla2[[#This Row],[Variación Stock]]&gt;0,"Sobrante",IF(Tabla2[[#This Row],[Variación Stock]]&lt;0,"Faltante","Sin novedad"))</f>
        <v>Sobrante</v>
      </c>
    </row>
    <row r="4831" spans="1:14" x14ac:dyDescent="0.25">
      <c r="A4831" s="11">
        <v>46037</v>
      </c>
      <c r="B4831" s="5" t="s">
        <v>283</v>
      </c>
      <c r="C4831" s="3" t="s">
        <v>284</v>
      </c>
      <c r="D4831" s="5" t="s">
        <v>118</v>
      </c>
      <c r="E4831" s="5" t="s">
        <v>112</v>
      </c>
      <c r="F4831" s="6" t="s">
        <v>89</v>
      </c>
      <c r="G4831" s="4" t="s">
        <v>81</v>
      </c>
      <c r="H4831" s="25">
        <v>4363.6000000000004</v>
      </c>
      <c r="I4831" s="8">
        <v>29</v>
      </c>
      <c r="J4831" s="9">
        <v>19</v>
      </c>
      <c r="K4831" s="7">
        <v>-10</v>
      </c>
      <c r="L4831" s="24">
        <f>+Tabla2[[#This Row],[Stock Inventario]]*Tabla2[[#This Row],[Coste LÃ­nea]]</f>
        <v>82908.400000000009</v>
      </c>
      <c r="M4831" s="24">
        <f>+Tabla2[[#This Row],[Variación Stock]]*Tabla2[[#This Row],[Coste LÃ­nea]]</f>
        <v>-43636</v>
      </c>
      <c r="N4831" s="22" t="str">
        <f>+IF(Tabla2[[#This Row],[Variación Stock]]&gt;0,"Sobrante",IF(Tabla2[[#This Row],[Variación Stock]]&lt;0,"Faltante","Sin novedad"))</f>
        <v>Faltante</v>
      </c>
    </row>
    <row r="4832" spans="1:14" x14ac:dyDescent="0.25">
      <c r="A4832" s="11">
        <v>46044</v>
      </c>
      <c r="B4832" s="5" t="s">
        <v>382</v>
      </c>
      <c r="C4832" s="3" t="s">
        <v>284</v>
      </c>
      <c r="D4832" s="5" t="s">
        <v>118</v>
      </c>
      <c r="E4832" s="5" t="s">
        <v>112</v>
      </c>
      <c r="F4832" s="6" t="s">
        <v>89</v>
      </c>
      <c r="G4832" s="4" t="s">
        <v>81</v>
      </c>
      <c r="H4832" s="25">
        <v>4363.6000000000004</v>
      </c>
      <c r="I4832" s="8">
        <v>16</v>
      </c>
      <c r="J4832" s="9">
        <v>26</v>
      </c>
      <c r="K4832" s="7">
        <v>10</v>
      </c>
      <c r="L4832" s="24">
        <f>+Tabla2[[#This Row],[Stock Inventario]]*Tabla2[[#This Row],[Coste LÃ­nea]]</f>
        <v>113453.6</v>
      </c>
      <c r="M4832" s="24">
        <f>+Tabla2[[#This Row],[Variación Stock]]*Tabla2[[#This Row],[Coste LÃ­nea]]</f>
        <v>43636</v>
      </c>
      <c r="N4832" s="22" t="str">
        <f>+IF(Tabla2[[#This Row],[Variación Stock]]&gt;0,"Sobrante",IF(Tabla2[[#This Row],[Variación Stock]]&lt;0,"Faltante","Sin novedad"))</f>
        <v>Sobrante</v>
      </c>
    </row>
    <row r="4833" spans="1:14" x14ac:dyDescent="0.25">
      <c r="A4833" s="11">
        <v>46037</v>
      </c>
      <c r="B4833" s="5" t="s">
        <v>283</v>
      </c>
      <c r="C4833" s="3" t="s">
        <v>284</v>
      </c>
      <c r="D4833" s="5" t="s">
        <v>118</v>
      </c>
      <c r="E4833" s="5" t="s">
        <v>112</v>
      </c>
      <c r="F4833" s="6" t="s">
        <v>90</v>
      </c>
      <c r="G4833" s="4" t="s">
        <v>81</v>
      </c>
      <c r="H4833" s="25">
        <v>4005.2</v>
      </c>
      <c r="I4833" s="8">
        <v>22</v>
      </c>
      <c r="J4833" s="9">
        <v>23</v>
      </c>
      <c r="K4833" s="7">
        <v>1</v>
      </c>
      <c r="L4833" s="24">
        <f>+Tabla2[[#This Row],[Stock Inventario]]*Tabla2[[#This Row],[Coste LÃ­nea]]</f>
        <v>92119.599999999991</v>
      </c>
      <c r="M4833" s="24">
        <f>+Tabla2[[#This Row],[Variación Stock]]*Tabla2[[#This Row],[Coste LÃ­nea]]</f>
        <v>4005.2</v>
      </c>
      <c r="N4833" s="22" t="str">
        <f>+IF(Tabla2[[#This Row],[Variación Stock]]&gt;0,"Sobrante",IF(Tabla2[[#This Row],[Variación Stock]]&lt;0,"Faltante","Sin novedad"))</f>
        <v>Sobrante</v>
      </c>
    </row>
    <row r="4834" spans="1:14" x14ac:dyDescent="0.25">
      <c r="A4834" s="11">
        <v>46044</v>
      </c>
      <c r="B4834" s="5" t="s">
        <v>382</v>
      </c>
      <c r="C4834" s="3" t="s">
        <v>284</v>
      </c>
      <c r="D4834" s="5" t="s">
        <v>118</v>
      </c>
      <c r="E4834" s="5" t="s">
        <v>112</v>
      </c>
      <c r="F4834" s="6" t="s">
        <v>375</v>
      </c>
      <c r="G4834" s="4" t="s">
        <v>81</v>
      </c>
      <c r="H4834" s="25">
        <v>10705</v>
      </c>
      <c r="I4834" s="8">
        <v>11</v>
      </c>
      <c r="J4834" s="9">
        <v>10</v>
      </c>
      <c r="K4834" s="7">
        <v>-1</v>
      </c>
      <c r="L4834" s="24">
        <f>+Tabla2[[#This Row],[Stock Inventario]]*Tabla2[[#This Row],[Coste LÃ­nea]]</f>
        <v>107050</v>
      </c>
      <c r="M4834" s="24">
        <f>+Tabla2[[#This Row],[Variación Stock]]*Tabla2[[#This Row],[Coste LÃ­nea]]</f>
        <v>-10705</v>
      </c>
      <c r="N4834" s="22" t="str">
        <f>+IF(Tabla2[[#This Row],[Variación Stock]]&gt;0,"Sobrante",IF(Tabla2[[#This Row],[Variación Stock]]&lt;0,"Faltante","Sin novedad"))</f>
        <v>Faltante</v>
      </c>
    </row>
    <row r="4835" spans="1:14" hidden="1" x14ac:dyDescent="0.25">
      <c r="A4835" s="11">
        <v>46044</v>
      </c>
      <c r="B4835" s="5" t="s">
        <v>382</v>
      </c>
      <c r="C4835" s="3" t="s">
        <v>284</v>
      </c>
      <c r="D4835" s="5" t="s">
        <v>120</v>
      </c>
      <c r="E4835" s="5" t="s">
        <v>117</v>
      </c>
      <c r="F4835" s="6" t="s">
        <v>320</v>
      </c>
      <c r="G4835" s="4" t="s">
        <v>2</v>
      </c>
      <c r="H4835" s="25">
        <v>6495.1191714500001</v>
      </c>
      <c r="I4835" s="8">
        <v>8</v>
      </c>
      <c r="J4835" s="9">
        <v>8</v>
      </c>
      <c r="K4835" s="7">
        <v>0</v>
      </c>
      <c r="L4835" s="24">
        <f>+Tabla2[[#This Row],[Stock Inventario]]*Tabla2[[#This Row],[Coste LÃ­nea]]</f>
        <v>51960.953371600001</v>
      </c>
      <c r="M4835" s="24">
        <f>+Tabla2[[#This Row],[Variación Stock]]*Tabla2[[#This Row],[Coste LÃ­nea]]</f>
        <v>0</v>
      </c>
      <c r="N4835" s="22" t="str">
        <f>+IF(Tabla2[[#This Row],[Variación Stock]]&gt;0,"Sobrante",IF(Tabla2[[#This Row],[Variación Stock]]&lt;0,"Faltante","Sin novedad"))</f>
        <v>Sin novedad</v>
      </c>
    </row>
    <row r="4836" spans="1:14" x14ac:dyDescent="0.25">
      <c r="A4836" s="11">
        <v>46044</v>
      </c>
      <c r="B4836" s="5" t="s">
        <v>382</v>
      </c>
      <c r="C4836" s="3" t="s">
        <v>284</v>
      </c>
      <c r="D4836" s="5" t="s">
        <v>111</v>
      </c>
      <c r="E4836" s="5" t="s">
        <v>112</v>
      </c>
      <c r="F4836" s="6" t="s">
        <v>37</v>
      </c>
      <c r="G4836" s="4" t="s">
        <v>0</v>
      </c>
      <c r="H4836" s="25">
        <v>4279.4583333299997</v>
      </c>
      <c r="I4836" s="8">
        <v>12</v>
      </c>
      <c r="J4836" s="9">
        <v>12</v>
      </c>
      <c r="K4836" s="7">
        <v>0</v>
      </c>
      <c r="L4836" s="24">
        <f>+Tabla2[[#This Row],[Stock Inventario]]*Tabla2[[#This Row],[Coste LÃ­nea]]</f>
        <v>51353.499999959997</v>
      </c>
      <c r="M4836" s="24">
        <f>+Tabla2[[#This Row],[Variación Stock]]*Tabla2[[#This Row],[Coste LÃ­nea]]</f>
        <v>0</v>
      </c>
      <c r="N4836" s="22" t="str">
        <f>+IF(Tabla2[[#This Row],[Variación Stock]]&gt;0,"Sobrante",IF(Tabla2[[#This Row],[Variación Stock]]&lt;0,"Faltante","Sin novedad"))</f>
        <v>Sin novedad</v>
      </c>
    </row>
    <row r="4837" spans="1:14" x14ac:dyDescent="0.25">
      <c r="A4837" s="11">
        <v>46044</v>
      </c>
      <c r="B4837" s="5" t="s">
        <v>382</v>
      </c>
      <c r="C4837" s="3" t="s">
        <v>284</v>
      </c>
      <c r="D4837" s="5" t="s">
        <v>111</v>
      </c>
      <c r="E4837" s="5" t="s">
        <v>112</v>
      </c>
      <c r="F4837" s="6" t="s">
        <v>44</v>
      </c>
      <c r="G4837" s="4" t="s">
        <v>0</v>
      </c>
      <c r="H4837" s="25">
        <v>3500</v>
      </c>
      <c r="I4837" s="8">
        <v>13</v>
      </c>
      <c r="J4837" s="9">
        <v>13</v>
      </c>
      <c r="K4837" s="7">
        <v>0</v>
      </c>
      <c r="L4837" s="24">
        <f>+Tabla2[[#This Row],[Stock Inventario]]*Tabla2[[#This Row],[Coste LÃ­nea]]</f>
        <v>45500</v>
      </c>
      <c r="M4837" s="24">
        <f>+Tabla2[[#This Row],[Variación Stock]]*Tabla2[[#This Row],[Coste LÃ­nea]]</f>
        <v>0</v>
      </c>
      <c r="N4837" s="22" t="str">
        <f>+IF(Tabla2[[#This Row],[Variación Stock]]&gt;0,"Sobrante",IF(Tabla2[[#This Row],[Variación Stock]]&lt;0,"Faltante","Sin novedad"))</f>
        <v>Sin novedad</v>
      </c>
    </row>
    <row r="4838" spans="1:14" x14ac:dyDescent="0.25">
      <c r="A4838" s="11">
        <v>46037</v>
      </c>
      <c r="B4838" s="5" t="s">
        <v>283</v>
      </c>
      <c r="C4838" s="3" t="s">
        <v>284</v>
      </c>
      <c r="D4838" s="5" t="s">
        <v>118</v>
      </c>
      <c r="E4838" s="5" t="s">
        <v>112</v>
      </c>
      <c r="F4838" s="6" t="s">
        <v>305</v>
      </c>
      <c r="G4838" s="4" t="s">
        <v>81</v>
      </c>
      <c r="H4838" s="25">
        <v>10705</v>
      </c>
      <c r="I4838" s="8">
        <v>16</v>
      </c>
      <c r="J4838" s="9">
        <v>18</v>
      </c>
      <c r="K4838" s="7">
        <v>2</v>
      </c>
      <c r="L4838" s="24">
        <f>+Tabla2[[#This Row],[Stock Inventario]]*Tabla2[[#This Row],[Coste LÃ­nea]]</f>
        <v>192690</v>
      </c>
      <c r="M4838" s="24">
        <f>+Tabla2[[#This Row],[Variación Stock]]*Tabla2[[#This Row],[Coste LÃ­nea]]</f>
        <v>21410</v>
      </c>
      <c r="N4838" s="22" t="str">
        <f>+IF(Tabla2[[#This Row],[Variación Stock]]&gt;0,"Sobrante",IF(Tabla2[[#This Row],[Variación Stock]]&lt;0,"Faltante","Sin novedad"))</f>
        <v>Sobrante</v>
      </c>
    </row>
    <row r="4839" spans="1:14" x14ac:dyDescent="0.25">
      <c r="A4839" s="11">
        <v>46044</v>
      </c>
      <c r="B4839" s="5" t="s">
        <v>382</v>
      </c>
      <c r="C4839" s="3" t="s">
        <v>284</v>
      </c>
      <c r="D4839" s="5" t="s">
        <v>122</v>
      </c>
      <c r="E4839" s="5" t="s">
        <v>112</v>
      </c>
      <c r="F4839" s="6" t="s">
        <v>102</v>
      </c>
      <c r="G4839" s="4" t="s">
        <v>2</v>
      </c>
      <c r="H4839" s="25">
        <v>3458.3270308299998</v>
      </c>
      <c r="I4839" s="8">
        <v>12</v>
      </c>
      <c r="J4839" s="9">
        <v>12</v>
      </c>
      <c r="K4839" s="7">
        <v>0</v>
      </c>
      <c r="L4839" s="24">
        <f>+Tabla2[[#This Row],[Stock Inventario]]*Tabla2[[#This Row],[Coste LÃ­nea]]</f>
        <v>41499.924369959997</v>
      </c>
      <c r="M4839" s="24">
        <f>+Tabla2[[#This Row],[Variación Stock]]*Tabla2[[#This Row],[Coste LÃ­nea]]</f>
        <v>0</v>
      </c>
      <c r="N4839" s="22" t="str">
        <f>+IF(Tabla2[[#This Row],[Variación Stock]]&gt;0,"Sobrante",IF(Tabla2[[#This Row],[Variación Stock]]&lt;0,"Faltante","Sin novedad"))</f>
        <v>Sin novedad</v>
      </c>
    </row>
    <row r="4840" spans="1:14" hidden="1" x14ac:dyDescent="0.25">
      <c r="A4840" s="11">
        <v>46037</v>
      </c>
      <c r="B4840" s="5" t="s">
        <v>283</v>
      </c>
      <c r="C4840" s="3" t="s">
        <v>284</v>
      </c>
      <c r="D4840" s="5" t="s">
        <v>120</v>
      </c>
      <c r="E4840" s="5" t="s">
        <v>117</v>
      </c>
      <c r="F4840" s="6" t="s">
        <v>322</v>
      </c>
      <c r="G4840" s="4" t="s">
        <v>2</v>
      </c>
      <c r="H4840" s="25">
        <v>1889.6690877799999</v>
      </c>
      <c r="I4840" s="8">
        <v>52</v>
      </c>
      <c r="J4840" s="9">
        <v>62</v>
      </c>
      <c r="K4840" s="7">
        <v>10</v>
      </c>
      <c r="L4840" s="24">
        <f>+Tabla2[[#This Row],[Stock Inventario]]*Tabla2[[#This Row],[Coste LÃ­nea]]</f>
        <v>117159.48344236</v>
      </c>
      <c r="M4840" s="24">
        <f>+Tabla2[[#This Row],[Variación Stock]]*Tabla2[[#This Row],[Coste LÃ­nea]]</f>
        <v>18896.6908778</v>
      </c>
      <c r="N4840" s="22" t="str">
        <f>+IF(Tabla2[[#This Row],[Variación Stock]]&gt;0,"Sobrante",IF(Tabla2[[#This Row],[Variación Stock]]&lt;0,"Faltante","Sin novedad"))</f>
        <v>Sobrante</v>
      </c>
    </row>
    <row r="4841" spans="1:14" x14ac:dyDescent="0.25">
      <c r="A4841" s="11">
        <v>46044</v>
      </c>
      <c r="B4841" s="5" t="s">
        <v>382</v>
      </c>
      <c r="C4841" s="3" t="s">
        <v>284</v>
      </c>
      <c r="D4841" s="5" t="s">
        <v>115</v>
      </c>
      <c r="E4841" s="5" t="s">
        <v>112</v>
      </c>
      <c r="F4841" s="6" t="s">
        <v>73</v>
      </c>
      <c r="G4841" s="4" t="s">
        <v>2</v>
      </c>
      <c r="H4841" s="25">
        <v>3121.3333333300002</v>
      </c>
      <c r="I4841" s="8">
        <v>12</v>
      </c>
      <c r="J4841" s="9">
        <v>12</v>
      </c>
      <c r="K4841" s="7">
        <v>0</v>
      </c>
      <c r="L4841" s="24">
        <f>+Tabla2[[#This Row],[Stock Inventario]]*Tabla2[[#This Row],[Coste LÃ­nea]]</f>
        <v>37455.999999960004</v>
      </c>
      <c r="M4841" s="24">
        <f>+Tabla2[[#This Row],[Variación Stock]]*Tabla2[[#This Row],[Coste LÃ­nea]]</f>
        <v>0</v>
      </c>
      <c r="N4841" s="22" t="str">
        <f>+IF(Tabla2[[#This Row],[Variación Stock]]&gt;0,"Sobrante",IF(Tabla2[[#This Row],[Variación Stock]]&lt;0,"Faltante","Sin novedad"))</f>
        <v>Sin novedad</v>
      </c>
    </row>
    <row r="4842" spans="1:14" x14ac:dyDescent="0.25">
      <c r="A4842" s="11">
        <v>46037</v>
      </c>
      <c r="B4842" s="5" t="s">
        <v>283</v>
      </c>
      <c r="C4842" s="3" t="s">
        <v>284</v>
      </c>
      <c r="D4842" s="5" t="s">
        <v>118</v>
      </c>
      <c r="E4842" s="5" t="s">
        <v>112</v>
      </c>
      <c r="F4842" s="6" t="s">
        <v>307</v>
      </c>
      <c r="G4842" s="4" t="s">
        <v>81</v>
      </c>
      <c r="H4842" s="25">
        <v>10710.6</v>
      </c>
      <c r="I4842" s="8">
        <v>6</v>
      </c>
      <c r="J4842" s="9">
        <v>4</v>
      </c>
      <c r="K4842" s="7">
        <v>-2</v>
      </c>
      <c r="L4842" s="24">
        <f>+Tabla2[[#This Row],[Stock Inventario]]*Tabla2[[#This Row],[Coste LÃ­nea]]</f>
        <v>42842.400000000001</v>
      </c>
      <c r="M4842" s="24">
        <f>+Tabla2[[#This Row],[Variación Stock]]*Tabla2[[#This Row],[Coste LÃ­nea]]</f>
        <v>-21421.200000000001</v>
      </c>
      <c r="N4842" s="22" t="str">
        <f>+IF(Tabla2[[#This Row],[Variación Stock]]&gt;0,"Sobrante",IF(Tabla2[[#This Row],[Variación Stock]]&lt;0,"Faltante","Sin novedad"))</f>
        <v>Faltante</v>
      </c>
    </row>
    <row r="4843" spans="1:14" x14ac:dyDescent="0.25">
      <c r="A4843" s="11">
        <v>46044</v>
      </c>
      <c r="B4843" s="5" t="s">
        <v>382</v>
      </c>
      <c r="C4843" s="3" t="s">
        <v>284</v>
      </c>
      <c r="D4843" s="5" t="s">
        <v>122</v>
      </c>
      <c r="E4843" s="5" t="s">
        <v>112</v>
      </c>
      <c r="F4843" s="6" t="s">
        <v>103</v>
      </c>
      <c r="G4843" s="4" t="s">
        <v>2</v>
      </c>
      <c r="H4843" s="25">
        <v>3458.3283333300001</v>
      </c>
      <c r="I4843" s="8">
        <v>10</v>
      </c>
      <c r="J4843" s="9">
        <v>10</v>
      </c>
      <c r="K4843" s="7">
        <v>0</v>
      </c>
      <c r="L4843" s="24">
        <f>+Tabla2[[#This Row],[Stock Inventario]]*Tabla2[[#This Row],[Coste LÃ­nea]]</f>
        <v>34583.283333300002</v>
      </c>
      <c r="M4843" s="24">
        <f>+Tabla2[[#This Row],[Variación Stock]]*Tabla2[[#This Row],[Coste LÃ­nea]]</f>
        <v>0</v>
      </c>
      <c r="N4843" s="22" t="str">
        <f>+IF(Tabla2[[#This Row],[Variación Stock]]&gt;0,"Sobrante",IF(Tabla2[[#This Row],[Variación Stock]]&lt;0,"Faltante","Sin novedad"))</f>
        <v>Sin novedad</v>
      </c>
    </row>
    <row r="4844" spans="1:14" x14ac:dyDescent="0.25">
      <c r="A4844" s="11">
        <v>46037</v>
      </c>
      <c r="B4844" s="5" t="s">
        <v>283</v>
      </c>
      <c r="C4844" s="3" t="s">
        <v>284</v>
      </c>
      <c r="D4844" s="5" t="s">
        <v>118</v>
      </c>
      <c r="E4844" s="5" t="s">
        <v>112</v>
      </c>
      <c r="F4844" s="6" t="s">
        <v>91</v>
      </c>
      <c r="G4844" s="4" t="s">
        <v>2</v>
      </c>
      <c r="H4844" s="25">
        <v>70600.5</v>
      </c>
      <c r="I4844" s="8">
        <v>1</v>
      </c>
      <c r="J4844" s="9">
        <v>2</v>
      </c>
      <c r="K4844" s="7">
        <v>1</v>
      </c>
      <c r="L4844" s="24">
        <f>+Tabla2[[#This Row],[Stock Inventario]]*Tabla2[[#This Row],[Coste LÃ­nea]]</f>
        <v>141201</v>
      </c>
      <c r="M4844" s="24">
        <f>+Tabla2[[#This Row],[Variación Stock]]*Tabla2[[#This Row],[Coste LÃ­nea]]</f>
        <v>70600.5</v>
      </c>
      <c r="N4844" s="22" t="str">
        <f>+IF(Tabla2[[#This Row],[Variación Stock]]&gt;0,"Sobrante",IF(Tabla2[[#This Row],[Variación Stock]]&lt;0,"Faltante","Sin novedad"))</f>
        <v>Sobrante</v>
      </c>
    </row>
    <row r="4845" spans="1:14" hidden="1" x14ac:dyDescent="0.25">
      <c r="A4845" s="11">
        <v>46037</v>
      </c>
      <c r="B4845" s="5" t="s">
        <v>283</v>
      </c>
      <c r="C4845" s="3" t="s">
        <v>284</v>
      </c>
      <c r="D4845" s="5" t="s">
        <v>120</v>
      </c>
      <c r="E4845" s="5" t="s">
        <v>117</v>
      </c>
      <c r="F4845" s="6" t="s">
        <v>320</v>
      </c>
      <c r="G4845" s="4" t="s">
        <v>2</v>
      </c>
      <c r="H4845" s="25">
        <v>6620.7003902899996</v>
      </c>
      <c r="I4845" s="8">
        <v>28</v>
      </c>
      <c r="J4845" s="9">
        <v>14</v>
      </c>
      <c r="K4845" s="15">
        <v>-14</v>
      </c>
      <c r="L4845" s="24">
        <f>+Tabla2[[#This Row],[Stock Inventario]]*Tabla2[[#This Row],[Coste LÃ­nea]]</f>
        <v>92689.805464059988</v>
      </c>
      <c r="M4845" s="24">
        <f>+Tabla2[[#This Row],[Variación Stock]]*Tabla2[[#This Row],[Coste LÃ­nea]]</f>
        <v>-92689.805464059988</v>
      </c>
      <c r="N4845" s="22" t="str">
        <f>+IF(Tabla2[[#This Row],[Variación Stock]]&gt;0,"Sobrante",IF(Tabla2[[#This Row],[Variación Stock]]&lt;0,"Faltante","Sin novedad"))</f>
        <v>Faltante</v>
      </c>
    </row>
    <row r="4846" spans="1:14" hidden="1" x14ac:dyDescent="0.25">
      <c r="A4846" s="11">
        <v>46044</v>
      </c>
      <c r="B4846" s="5" t="s">
        <v>382</v>
      </c>
      <c r="C4846" s="3" t="s">
        <v>284</v>
      </c>
      <c r="D4846" s="5" t="s">
        <v>323</v>
      </c>
      <c r="E4846" s="5" t="s">
        <v>117</v>
      </c>
      <c r="F4846" s="6" t="s">
        <v>324</v>
      </c>
      <c r="G4846" s="4" t="s">
        <v>2</v>
      </c>
      <c r="H4846" s="25">
        <v>4832.9288793100004</v>
      </c>
      <c r="I4846" s="8">
        <v>6</v>
      </c>
      <c r="J4846" s="9">
        <v>6</v>
      </c>
      <c r="K4846" s="7">
        <v>0</v>
      </c>
      <c r="L4846" s="24">
        <f>+Tabla2[[#This Row],[Stock Inventario]]*Tabla2[[#This Row],[Coste LÃ­nea]]</f>
        <v>28997.573275860002</v>
      </c>
      <c r="M4846" s="24">
        <f>+Tabla2[[#This Row],[Variación Stock]]*Tabla2[[#This Row],[Coste LÃ­nea]]</f>
        <v>0</v>
      </c>
      <c r="N4846" s="22" t="str">
        <f>+IF(Tabla2[[#This Row],[Variación Stock]]&gt;0,"Sobrante",IF(Tabla2[[#This Row],[Variación Stock]]&lt;0,"Faltante","Sin novedad"))</f>
        <v>Sin novedad</v>
      </c>
    </row>
    <row r="4847" spans="1:14" x14ac:dyDescent="0.25">
      <c r="A4847" s="11">
        <v>46037</v>
      </c>
      <c r="B4847" s="5" t="s">
        <v>283</v>
      </c>
      <c r="C4847" s="3" t="s">
        <v>284</v>
      </c>
      <c r="D4847" s="5" t="s">
        <v>118</v>
      </c>
      <c r="E4847" s="5" t="s">
        <v>112</v>
      </c>
      <c r="F4847" s="6" t="s">
        <v>308</v>
      </c>
      <c r="G4847" s="4" t="s">
        <v>81</v>
      </c>
      <c r="H4847" s="25">
        <v>15144</v>
      </c>
      <c r="I4847" s="8">
        <v>17</v>
      </c>
      <c r="J4847" s="9">
        <v>16</v>
      </c>
      <c r="K4847" s="7">
        <v>-1</v>
      </c>
      <c r="L4847" s="24">
        <f>+Tabla2[[#This Row],[Stock Inventario]]*Tabla2[[#This Row],[Coste LÃ­nea]]</f>
        <v>242304</v>
      </c>
      <c r="M4847" s="24">
        <f>+Tabla2[[#This Row],[Variación Stock]]*Tabla2[[#This Row],[Coste LÃ­nea]]</f>
        <v>-15144</v>
      </c>
      <c r="N4847" s="22" t="str">
        <f>+IF(Tabla2[[#This Row],[Variación Stock]]&gt;0,"Sobrante",IF(Tabla2[[#This Row],[Variación Stock]]&lt;0,"Faltante","Sin novedad"))</f>
        <v>Faltante</v>
      </c>
    </row>
    <row r="4848" spans="1:14" x14ac:dyDescent="0.25">
      <c r="A4848" s="11">
        <v>46044</v>
      </c>
      <c r="B4848" s="5" t="s">
        <v>382</v>
      </c>
      <c r="C4848" s="3" t="s">
        <v>284</v>
      </c>
      <c r="D4848" s="5" t="s">
        <v>122</v>
      </c>
      <c r="E4848" s="5" t="s">
        <v>112</v>
      </c>
      <c r="F4848" s="6" t="s">
        <v>107</v>
      </c>
      <c r="G4848" s="4" t="s">
        <v>2</v>
      </c>
      <c r="H4848" s="25">
        <v>3458.3291316700002</v>
      </c>
      <c r="I4848" s="8">
        <v>8</v>
      </c>
      <c r="J4848" s="9">
        <v>8</v>
      </c>
      <c r="K4848" s="7">
        <v>0</v>
      </c>
      <c r="L4848" s="24">
        <f>+Tabla2[[#This Row],[Stock Inventario]]*Tabla2[[#This Row],[Coste LÃ­nea]]</f>
        <v>27666.633053360001</v>
      </c>
      <c r="M4848" s="24">
        <f>+Tabla2[[#This Row],[Variación Stock]]*Tabla2[[#This Row],[Coste LÃ­nea]]</f>
        <v>0</v>
      </c>
      <c r="N4848" s="22" t="str">
        <f>+IF(Tabla2[[#This Row],[Variación Stock]]&gt;0,"Sobrante",IF(Tabla2[[#This Row],[Variación Stock]]&lt;0,"Faltante","Sin novedad"))</f>
        <v>Sin novedad</v>
      </c>
    </row>
    <row r="4849" spans="1:14" x14ac:dyDescent="0.25">
      <c r="A4849" s="11">
        <v>46044</v>
      </c>
      <c r="B4849" s="5" t="s">
        <v>382</v>
      </c>
      <c r="C4849" s="3" t="s">
        <v>284</v>
      </c>
      <c r="D4849" s="5" t="s">
        <v>122</v>
      </c>
      <c r="E4849" s="5" t="s">
        <v>112</v>
      </c>
      <c r="F4849" s="6" t="s">
        <v>105</v>
      </c>
      <c r="G4849" s="4" t="s">
        <v>2</v>
      </c>
      <c r="H4849" s="25">
        <v>3458.25</v>
      </c>
      <c r="I4849" s="8">
        <v>8</v>
      </c>
      <c r="J4849" s="9">
        <v>8</v>
      </c>
      <c r="K4849" s="7">
        <v>0</v>
      </c>
      <c r="L4849" s="24">
        <f>+Tabla2[[#This Row],[Stock Inventario]]*Tabla2[[#This Row],[Coste LÃ­nea]]</f>
        <v>27666</v>
      </c>
      <c r="M4849" s="24">
        <f>+Tabla2[[#This Row],[Variación Stock]]*Tabla2[[#This Row],[Coste LÃ­nea]]</f>
        <v>0</v>
      </c>
      <c r="N4849" s="22" t="str">
        <f>+IF(Tabla2[[#This Row],[Variación Stock]]&gt;0,"Sobrante",IF(Tabla2[[#This Row],[Variación Stock]]&lt;0,"Faltante","Sin novedad"))</f>
        <v>Sin novedad</v>
      </c>
    </row>
    <row r="4850" spans="1:14" x14ac:dyDescent="0.25">
      <c r="A4850" s="11">
        <v>46044</v>
      </c>
      <c r="B4850" s="5" t="s">
        <v>382</v>
      </c>
      <c r="C4850" s="3" t="s">
        <v>284</v>
      </c>
      <c r="D4850" s="5" t="s">
        <v>118</v>
      </c>
      <c r="E4850" s="5" t="s">
        <v>112</v>
      </c>
      <c r="F4850" s="6" t="s">
        <v>296</v>
      </c>
      <c r="G4850" s="4" t="s">
        <v>2</v>
      </c>
      <c r="H4850" s="25">
        <v>27250</v>
      </c>
      <c r="I4850" s="8">
        <v>1</v>
      </c>
      <c r="J4850" s="9">
        <v>1</v>
      </c>
      <c r="K4850" s="7">
        <v>0</v>
      </c>
      <c r="L4850" s="24">
        <f>+Tabla2[[#This Row],[Stock Inventario]]*Tabla2[[#This Row],[Coste LÃ­nea]]</f>
        <v>27250</v>
      </c>
      <c r="M4850" s="24">
        <f>+Tabla2[[#This Row],[Variación Stock]]*Tabla2[[#This Row],[Coste LÃ­nea]]</f>
        <v>0</v>
      </c>
      <c r="N4850" s="22" t="str">
        <f>+IF(Tabla2[[#This Row],[Variación Stock]]&gt;0,"Sobrante",IF(Tabla2[[#This Row],[Variación Stock]]&lt;0,"Faltante","Sin novedad"))</f>
        <v>Sin novedad</v>
      </c>
    </row>
    <row r="4851" spans="1:14" x14ac:dyDescent="0.25">
      <c r="A4851" s="11">
        <v>46044</v>
      </c>
      <c r="B4851" s="5" t="s">
        <v>382</v>
      </c>
      <c r="C4851" s="3" t="s">
        <v>284</v>
      </c>
      <c r="D4851" s="5" t="s">
        <v>111</v>
      </c>
      <c r="E4851" s="5" t="s">
        <v>112</v>
      </c>
      <c r="F4851" s="6" t="s">
        <v>45</v>
      </c>
      <c r="G4851" s="4" t="s">
        <v>2</v>
      </c>
      <c r="H4851" s="25">
        <v>26517.26</v>
      </c>
      <c r="I4851" s="8">
        <v>1</v>
      </c>
      <c r="J4851" s="9">
        <v>1</v>
      </c>
      <c r="K4851" s="7">
        <v>0</v>
      </c>
      <c r="L4851" s="24">
        <f>+Tabla2[[#This Row],[Stock Inventario]]*Tabla2[[#This Row],[Coste LÃ­nea]]</f>
        <v>26517.26</v>
      </c>
      <c r="M4851" s="24">
        <f>+Tabla2[[#This Row],[Variación Stock]]*Tabla2[[#This Row],[Coste LÃ­nea]]</f>
        <v>0</v>
      </c>
      <c r="N4851" s="22" t="str">
        <f>+IF(Tabla2[[#This Row],[Variación Stock]]&gt;0,"Sobrante",IF(Tabla2[[#This Row],[Variación Stock]]&lt;0,"Faltante","Sin novedad"))</f>
        <v>Sin novedad</v>
      </c>
    </row>
    <row r="4852" spans="1:14" x14ac:dyDescent="0.25">
      <c r="A4852" s="11">
        <v>46037</v>
      </c>
      <c r="B4852" s="5" t="s">
        <v>283</v>
      </c>
      <c r="C4852" s="3" t="s">
        <v>284</v>
      </c>
      <c r="D4852" s="5" t="s">
        <v>118</v>
      </c>
      <c r="E4852" s="5" t="s">
        <v>112</v>
      </c>
      <c r="F4852" s="6" t="s">
        <v>92</v>
      </c>
      <c r="G4852" s="4" t="s">
        <v>81</v>
      </c>
      <c r="H4852" s="25">
        <v>9700</v>
      </c>
      <c r="I4852" s="8">
        <v>6</v>
      </c>
      <c r="J4852" s="9">
        <v>11</v>
      </c>
      <c r="K4852" s="7">
        <v>5</v>
      </c>
      <c r="L4852" s="24">
        <f>+Tabla2[[#This Row],[Stock Inventario]]*Tabla2[[#This Row],[Coste LÃ­nea]]</f>
        <v>106700</v>
      </c>
      <c r="M4852" s="24">
        <f>+Tabla2[[#This Row],[Variación Stock]]*Tabla2[[#This Row],[Coste LÃ­nea]]</f>
        <v>48500</v>
      </c>
      <c r="N4852" s="22" t="str">
        <f>+IF(Tabla2[[#This Row],[Variación Stock]]&gt;0,"Sobrante",IF(Tabla2[[#This Row],[Variación Stock]]&lt;0,"Faltante","Sin novedad"))</f>
        <v>Sobrante</v>
      </c>
    </row>
    <row r="4853" spans="1:14" x14ac:dyDescent="0.25">
      <c r="A4853" s="11">
        <v>46044</v>
      </c>
      <c r="B4853" s="5" t="s">
        <v>382</v>
      </c>
      <c r="C4853" s="3" t="s">
        <v>284</v>
      </c>
      <c r="D4853" s="5" t="s">
        <v>118</v>
      </c>
      <c r="E4853" s="5" t="s">
        <v>112</v>
      </c>
      <c r="F4853" s="6" t="s">
        <v>300</v>
      </c>
      <c r="G4853" s="4" t="s">
        <v>2</v>
      </c>
      <c r="H4853" s="25">
        <v>25109.5</v>
      </c>
      <c r="I4853" s="8">
        <v>1</v>
      </c>
      <c r="J4853" s="9">
        <v>1</v>
      </c>
      <c r="K4853" s="7">
        <v>0</v>
      </c>
      <c r="L4853" s="24">
        <f>+Tabla2[[#This Row],[Stock Inventario]]*Tabla2[[#This Row],[Coste LÃ­nea]]</f>
        <v>25109.5</v>
      </c>
      <c r="M4853" s="24">
        <f>+Tabla2[[#This Row],[Variación Stock]]*Tabla2[[#This Row],[Coste LÃ­nea]]</f>
        <v>0</v>
      </c>
      <c r="N4853" s="22" t="str">
        <f>+IF(Tabla2[[#This Row],[Variación Stock]]&gt;0,"Sobrante",IF(Tabla2[[#This Row],[Variación Stock]]&lt;0,"Faltante","Sin novedad"))</f>
        <v>Sin novedad</v>
      </c>
    </row>
    <row r="4854" spans="1:14" hidden="1" x14ac:dyDescent="0.25">
      <c r="A4854" s="11">
        <v>46037</v>
      </c>
      <c r="B4854" s="5" t="s">
        <v>283</v>
      </c>
      <c r="C4854" s="3" t="s">
        <v>284</v>
      </c>
      <c r="D4854" s="5" t="s">
        <v>120</v>
      </c>
      <c r="E4854" s="5" t="s">
        <v>117</v>
      </c>
      <c r="F4854" s="6" t="s">
        <v>96</v>
      </c>
      <c r="G4854" s="4" t="s">
        <v>2</v>
      </c>
      <c r="H4854" s="25">
        <v>4080</v>
      </c>
      <c r="I4854" s="8">
        <v>-45</v>
      </c>
      <c r="J4854" s="9">
        <v>42</v>
      </c>
      <c r="K4854" s="7">
        <v>87</v>
      </c>
      <c r="L4854" s="24">
        <f>+Tabla2[[#This Row],[Stock Inventario]]*Tabla2[[#This Row],[Coste LÃ­nea]]</f>
        <v>171360</v>
      </c>
      <c r="M4854" s="24">
        <f>+Tabla2[[#This Row],[Variación Stock]]*Tabla2[[#This Row],[Coste LÃ­nea]]</f>
        <v>354960</v>
      </c>
      <c r="N4854" s="22" t="str">
        <f>+IF(Tabla2[[#This Row],[Variación Stock]]&gt;0,"Sobrante",IF(Tabla2[[#This Row],[Variación Stock]]&lt;0,"Faltante","Sin novedad"))</f>
        <v>Sobrante</v>
      </c>
    </row>
    <row r="4855" spans="1:14" hidden="1" x14ac:dyDescent="0.25">
      <c r="A4855" s="11">
        <v>46044</v>
      </c>
      <c r="B4855" s="5" t="s">
        <v>382</v>
      </c>
      <c r="C4855" s="3" t="s">
        <v>284</v>
      </c>
      <c r="D4855" s="5" t="s">
        <v>120</v>
      </c>
      <c r="E4855" s="5" t="s">
        <v>117</v>
      </c>
      <c r="F4855" s="6" t="s">
        <v>96</v>
      </c>
      <c r="G4855" s="4" t="s">
        <v>2</v>
      </c>
      <c r="H4855" s="25">
        <v>3902.6086956499998</v>
      </c>
      <c r="I4855" s="8">
        <v>-59</v>
      </c>
      <c r="J4855" s="9">
        <v>10</v>
      </c>
      <c r="K4855" s="7">
        <v>69</v>
      </c>
      <c r="L4855" s="24">
        <f>+Tabla2[[#This Row],[Stock Inventario]]*Tabla2[[#This Row],[Coste LÃ­nea]]</f>
        <v>39026.086956499996</v>
      </c>
      <c r="M4855" s="24">
        <f>+Tabla2[[#This Row],[Variación Stock]]*Tabla2[[#This Row],[Coste LÃ­nea]]</f>
        <v>269279.99999985</v>
      </c>
      <c r="N4855" s="22" t="str">
        <f>+IF(Tabla2[[#This Row],[Variación Stock]]&gt;0,"Sobrante",IF(Tabla2[[#This Row],[Variación Stock]]&lt;0,"Faltante","Sin novedad"))</f>
        <v>Sobrante</v>
      </c>
    </row>
    <row r="4856" spans="1:14" x14ac:dyDescent="0.25">
      <c r="A4856" s="11">
        <v>46044</v>
      </c>
      <c r="B4856" s="5" t="s">
        <v>382</v>
      </c>
      <c r="C4856" s="3" t="s">
        <v>284</v>
      </c>
      <c r="D4856" s="5" t="s">
        <v>118</v>
      </c>
      <c r="E4856" s="5" t="s">
        <v>112</v>
      </c>
      <c r="F4856" s="6" t="s">
        <v>92</v>
      </c>
      <c r="G4856" s="4" t="s">
        <v>81</v>
      </c>
      <c r="H4856" s="25">
        <v>10705.05</v>
      </c>
      <c r="I4856" s="8">
        <v>3</v>
      </c>
      <c r="J4856" s="9">
        <v>4</v>
      </c>
      <c r="K4856" s="7">
        <v>1</v>
      </c>
      <c r="L4856" s="24">
        <f>+Tabla2[[#This Row],[Stock Inventario]]*Tabla2[[#This Row],[Coste LÃ­nea]]</f>
        <v>42820.2</v>
      </c>
      <c r="M4856" s="24">
        <f>+Tabla2[[#This Row],[Variación Stock]]*Tabla2[[#This Row],[Coste LÃ­nea]]</f>
        <v>10705.05</v>
      </c>
      <c r="N4856" s="22" t="str">
        <f>+IF(Tabla2[[#This Row],[Variación Stock]]&gt;0,"Sobrante",IF(Tabla2[[#This Row],[Variación Stock]]&lt;0,"Faltante","Sin novedad"))</f>
        <v>Sobrante</v>
      </c>
    </row>
    <row r="4857" spans="1:14" x14ac:dyDescent="0.25">
      <c r="A4857" s="11">
        <v>46044</v>
      </c>
      <c r="B4857" s="5" t="s">
        <v>382</v>
      </c>
      <c r="C4857" s="3" t="s">
        <v>284</v>
      </c>
      <c r="D4857" s="5" t="s">
        <v>111</v>
      </c>
      <c r="E4857" s="5" t="s">
        <v>112</v>
      </c>
      <c r="F4857" s="6" t="s">
        <v>47</v>
      </c>
      <c r="G4857" s="4" t="s">
        <v>2</v>
      </c>
      <c r="H4857" s="25">
        <v>22770</v>
      </c>
      <c r="I4857" s="8">
        <v>1</v>
      </c>
      <c r="J4857" s="9">
        <v>1</v>
      </c>
      <c r="K4857" s="7">
        <v>0</v>
      </c>
      <c r="L4857" s="24">
        <f>+Tabla2[[#This Row],[Stock Inventario]]*Tabla2[[#This Row],[Coste LÃ­nea]]</f>
        <v>22770</v>
      </c>
      <c r="M4857" s="24">
        <f>+Tabla2[[#This Row],[Variación Stock]]*Tabla2[[#This Row],[Coste LÃ­nea]]</f>
        <v>0</v>
      </c>
      <c r="N4857" s="22" t="str">
        <f>+IF(Tabla2[[#This Row],[Variación Stock]]&gt;0,"Sobrante",IF(Tabla2[[#This Row],[Variación Stock]]&lt;0,"Faltante","Sin novedad"))</f>
        <v>Sin novedad</v>
      </c>
    </row>
    <row r="4858" spans="1:14" x14ac:dyDescent="0.25">
      <c r="A4858" s="11">
        <v>46044</v>
      </c>
      <c r="B4858" s="5" t="s">
        <v>382</v>
      </c>
      <c r="C4858" s="3" t="s">
        <v>284</v>
      </c>
      <c r="D4858" s="5" t="s">
        <v>118</v>
      </c>
      <c r="E4858" s="5" t="s">
        <v>112</v>
      </c>
      <c r="F4858" s="6" t="s">
        <v>294</v>
      </c>
      <c r="G4858" s="4" t="s">
        <v>2</v>
      </c>
      <c r="H4858" s="25">
        <v>22425</v>
      </c>
      <c r="I4858" s="8">
        <v>1</v>
      </c>
      <c r="J4858" s="9">
        <v>1</v>
      </c>
      <c r="K4858" s="7">
        <v>0</v>
      </c>
      <c r="L4858" s="24">
        <f>+Tabla2[[#This Row],[Stock Inventario]]*Tabla2[[#This Row],[Coste LÃ­nea]]</f>
        <v>22425</v>
      </c>
      <c r="M4858" s="24">
        <f>+Tabla2[[#This Row],[Variación Stock]]*Tabla2[[#This Row],[Coste LÃ­nea]]</f>
        <v>0</v>
      </c>
      <c r="N4858" s="22" t="str">
        <f>+IF(Tabla2[[#This Row],[Variación Stock]]&gt;0,"Sobrante",IF(Tabla2[[#This Row],[Variación Stock]]&lt;0,"Faltante","Sin novedad"))</f>
        <v>Sin novedad</v>
      </c>
    </row>
    <row r="4859" spans="1:14" hidden="1" x14ac:dyDescent="0.25">
      <c r="A4859" s="11">
        <v>46037</v>
      </c>
      <c r="B4859" s="5" t="s">
        <v>283</v>
      </c>
      <c r="C4859" s="3" t="s">
        <v>284</v>
      </c>
      <c r="D4859" s="5" t="s">
        <v>119</v>
      </c>
      <c r="E4859" s="5" t="s">
        <v>117</v>
      </c>
      <c r="F4859" s="6" t="s">
        <v>13</v>
      </c>
      <c r="G4859" s="4" t="s">
        <v>2</v>
      </c>
      <c r="H4859" s="25">
        <v>8166.6666666700003</v>
      </c>
      <c r="I4859" s="8">
        <v>1</v>
      </c>
      <c r="J4859" s="9">
        <v>0</v>
      </c>
      <c r="K4859" s="15">
        <v>-1</v>
      </c>
      <c r="L4859" s="24">
        <f>+Tabla2[[#This Row],[Stock Inventario]]*Tabla2[[#This Row],[Coste LÃ­nea]]</f>
        <v>0</v>
      </c>
      <c r="M4859" s="24">
        <f>+Tabla2[[#This Row],[Variación Stock]]*Tabla2[[#This Row],[Coste LÃ­nea]]</f>
        <v>-8166.6666666700003</v>
      </c>
      <c r="N4859" s="22" t="str">
        <f>+IF(Tabla2[[#This Row],[Variación Stock]]&gt;0,"Sobrante",IF(Tabla2[[#This Row],[Variación Stock]]&lt;0,"Faltante","Sin novedad"))</f>
        <v>Faltante</v>
      </c>
    </row>
    <row r="4860" spans="1:14" x14ac:dyDescent="0.25">
      <c r="A4860" s="11">
        <v>46044</v>
      </c>
      <c r="B4860" s="5" t="s">
        <v>382</v>
      </c>
      <c r="C4860" s="3" t="s">
        <v>284</v>
      </c>
      <c r="D4860" s="5" t="s">
        <v>111</v>
      </c>
      <c r="E4860" s="5" t="s">
        <v>112</v>
      </c>
      <c r="F4860" s="6" t="s">
        <v>366</v>
      </c>
      <c r="G4860" s="4" t="s">
        <v>0</v>
      </c>
      <c r="H4860" s="25">
        <v>1794</v>
      </c>
      <c r="I4860" s="8">
        <v>64</v>
      </c>
      <c r="J4860" s="9">
        <v>44</v>
      </c>
      <c r="K4860" s="7">
        <v>-20</v>
      </c>
      <c r="L4860" s="24">
        <f>+Tabla2[[#This Row],[Stock Inventario]]*Tabla2[[#This Row],[Coste LÃ­nea]]</f>
        <v>78936</v>
      </c>
      <c r="M4860" s="24">
        <f>+Tabla2[[#This Row],[Variación Stock]]*Tabla2[[#This Row],[Coste LÃ­nea]]</f>
        <v>-35880</v>
      </c>
      <c r="N4860" s="22" t="str">
        <f>+IF(Tabla2[[#This Row],[Variación Stock]]&gt;0,"Sobrante",IF(Tabla2[[#This Row],[Variación Stock]]&lt;0,"Faltante","Sin novedad"))</f>
        <v>Faltante</v>
      </c>
    </row>
    <row r="4861" spans="1:14" x14ac:dyDescent="0.25">
      <c r="A4861" s="11">
        <v>46044</v>
      </c>
      <c r="B4861" s="5" t="s">
        <v>382</v>
      </c>
      <c r="C4861" s="3" t="s">
        <v>284</v>
      </c>
      <c r="D4861" s="5" t="s">
        <v>122</v>
      </c>
      <c r="E4861" s="5" t="s">
        <v>112</v>
      </c>
      <c r="F4861" s="6" t="s">
        <v>104</v>
      </c>
      <c r="G4861" s="4" t="s">
        <v>2</v>
      </c>
      <c r="H4861" s="25">
        <v>3458.25</v>
      </c>
      <c r="I4861" s="8">
        <v>6</v>
      </c>
      <c r="J4861" s="9">
        <v>6</v>
      </c>
      <c r="K4861" s="7">
        <v>0</v>
      </c>
      <c r="L4861" s="24">
        <f>+Tabla2[[#This Row],[Stock Inventario]]*Tabla2[[#This Row],[Coste LÃ­nea]]</f>
        <v>20749.5</v>
      </c>
      <c r="M4861" s="24">
        <f>+Tabla2[[#This Row],[Variación Stock]]*Tabla2[[#This Row],[Coste LÃ­nea]]</f>
        <v>0</v>
      </c>
      <c r="N4861" s="22" t="str">
        <f>+IF(Tabla2[[#This Row],[Variación Stock]]&gt;0,"Sobrante",IF(Tabla2[[#This Row],[Variación Stock]]&lt;0,"Faltante","Sin novedad"))</f>
        <v>Sin novedad</v>
      </c>
    </row>
    <row r="4862" spans="1:14" x14ac:dyDescent="0.25">
      <c r="A4862" s="11">
        <v>46044</v>
      </c>
      <c r="B4862" s="5" t="s">
        <v>382</v>
      </c>
      <c r="C4862" s="3" t="s">
        <v>284</v>
      </c>
      <c r="D4862" s="5" t="s">
        <v>114</v>
      </c>
      <c r="E4862" s="5" t="s">
        <v>112</v>
      </c>
      <c r="F4862" s="6" t="s">
        <v>289</v>
      </c>
      <c r="G4862" s="4" t="s">
        <v>2</v>
      </c>
      <c r="H4862" s="25">
        <v>6387.35</v>
      </c>
      <c r="I4862" s="8">
        <v>3</v>
      </c>
      <c r="J4862" s="9">
        <v>3</v>
      </c>
      <c r="K4862" s="7">
        <v>0</v>
      </c>
      <c r="L4862" s="24">
        <f>+Tabla2[[#This Row],[Stock Inventario]]*Tabla2[[#This Row],[Coste LÃ­nea]]</f>
        <v>19162.050000000003</v>
      </c>
      <c r="M4862" s="24">
        <f>+Tabla2[[#This Row],[Variación Stock]]*Tabla2[[#This Row],[Coste LÃ­nea]]</f>
        <v>0</v>
      </c>
      <c r="N4862" s="22" t="str">
        <f>+IF(Tabla2[[#This Row],[Variación Stock]]&gt;0,"Sobrante",IF(Tabla2[[#This Row],[Variación Stock]]&lt;0,"Faltante","Sin novedad"))</f>
        <v>Sin novedad</v>
      </c>
    </row>
    <row r="4863" spans="1:14" x14ac:dyDescent="0.25">
      <c r="A4863" s="11">
        <v>46044</v>
      </c>
      <c r="B4863" s="5" t="s">
        <v>382</v>
      </c>
      <c r="C4863" s="3" t="s">
        <v>284</v>
      </c>
      <c r="D4863" s="5" t="s">
        <v>111</v>
      </c>
      <c r="E4863" s="5" t="s">
        <v>112</v>
      </c>
      <c r="F4863" s="6" t="s">
        <v>55</v>
      </c>
      <c r="G4863" s="4" t="s">
        <v>0</v>
      </c>
      <c r="H4863" s="25">
        <v>3171.7162499999999</v>
      </c>
      <c r="I4863" s="8">
        <v>6</v>
      </c>
      <c r="J4863" s="9">
        <v>6</v>
      </c>
      <c r="K4863" s="7">
        <v>0</v>
      </c>
      <c r="L4863" s="24">
        <f>+Tabla2[[#This Row],[Stock Inventario]]*Tabla2[[#This Row],[Coste LÃ­nea]]</f>
        <v>19030.297500000001</v>
      </c>
      <c r="M4863" s="24">
        <f>+Tabla2[[#This Row],[Variación Stock]]*Tabla2[[#This Row],[Coste LÃ­nea]]</f>
        <v>0</v>
      </c>
      <c r="N4863" s="22" t="str">
        <f>+IF(Tabla2[[#This Row],[Variación Stock]]&gt;0,"Sobrante",IF(Tabla2[[#This Row],[Variación Stock]]&lt;0,"Faltante","Sin novedad"))</f>
        <v>Sin novedad</v>
      </c>
    </row>
    <row r="4864" spans="1:14" x14ac:dyDescent="0.25">
      <c r="A4864" s="11">
        <v>46044</v>
      </c>
      <c r="B4864" s="5" t="s">
        <v>382</v>
      </c>
      <c r="C4864" s="3" t="s">
        <v>284</v>
      </c>
      <c r="D4864" s="5" t="s">
        <v>122</v>
      </c>
      <c r="E4864" s="5" t="s">
        <v>112</v>
      </c>
      <c r="F4864" s="6" t="s">
        <v>101</v>
      </c>
      <c r="G4864" s="4" t="s">
        <v>2</v>
      </c>
      <c r="H4864" s="25">
        <v>1408.33333333</v>
      </c>
      <c r="I4864" s="8">
        <v>7</v>
      </c>
      <c r="J4864" s="9">
        <v>7</v>
      </c>
      <c r="K4864" s="7">
        <v>0</v>
      </c>
      <c r="L4864" s="24">
        <f>+Tabla2[[#This Row],[Stock Inventario]]*Tabla2[[#This Row],[Coste LÃ­nea]]</f>
        <v>9858.3333333099999</v>
      </c>
      <c r="M4864" s="24">
        <f>+Tabla2[[#This Row],[Variación Stock]]*Tabla2[[#This Row],[Coste LÃ­nea]]</f>
        <v>0</v>
      </c>
      <c r="N4864" s="22" t="str">
        <f>+IF(Tabla2[[#This Row],[Variación Stock]]&gt;0,"Sobrante",IF(Tabla2[[#This Row],[Variación Stock]]&lt;0,"Faltante","Sin novedad"))</f>
        <v>Sin novedad</v>
      </c>
    </row>
    <row r="4865" spans="1:14" x14ac:dyDescent="0.25">
      <c r="A4865" s="11">
        <v>46044</v>
      </c>
      <c r="B4865" s="5" t="s">
        <v>382</v>
      </c>
      <c r="C4865" s="3" t="s">
        <v>284</v>
      </c>
      <c r="D4865" s="5" t="s">
        <v>111</v>
      </c>
      <c r="E4865" s="5" t="s">
        <v>112</v>
      </c>
      <c r="F4865" s="6" t="s">
        <v>56</v>
      </c>
      <c r="G4865" s="4" t="s">
        <v>0</v>
      </c>
      <c r="H4865" s="25">
        <v>5291.6666666700003</v>
      </c>
      <c r="I4865" s="8">
        <v>1</v>
      </c>
      <c r="J4865" s="9">
        <v>1</v>
      </c>
      <c r="K4865" s="7">
        <v>0</v>
      </c>
      <c r="L4865" s="24">
        <f>+Tabla2[[#This Row],[Stock Inventario]]*Tabla2[[#This Row],[Coste LÃ­nea]]</f>
        <v>5291.6666666700003</v>
      </c>
      <c r="M4865" s="24">
        <f>+Tabla2[[#This Row],[Variación Stock]]*Tabla2[[#This Row],[Coste LÃ­nea]]</f>
        <v>0</v>
      </c>
      <c r="N4865" s="22" t="str">
        <f>+IF(Tabla2[[#This Row],[Variación Stock]]&gt;0,"Sobrante",IF(Tabla2[[#This Row],[Variación Stock]]&lt;0,"Faltante","Sin novedad"))</f>
        <v>Sin novedad</v>
      </c>
    </row>
    <row r="4866" spans="1:14" hidden="1" x14ac:dyDescent="0.25">
      <c r="A4866" s="11">
        <v>46037</v>
      </c>
      <c r="B4866" s="5" t="s">
        <v>283</v>
      </c>
      <c r="C4866" s="3" t="s">
        <v>284</v>
      </c>
      <c r="D4866" s="5" t="s">
        <v>119</v>
      </c>
      <c r="E4866" s="5" t="s">
        <v>117</v>
      </c>
      <c r="F4866" s="6" t="s">
        <v>14</v>
      </c>
      <c r="G4866" s="4" t="s">
        <v>1</v>
      </c>
      <c r="H4866" s="25">
        <v>31.416</v>
      </c>
      <c r="I4866" s="8">
        <v>12094</v>
      </c>
      <c r="J4866" s="9">
        <v>4000</v>
      </c>
      <c r="K4866" s="7">
        <v>-8094</v>
      </c>
      <c r="L4866" s="24">
        <f>+Tabla2[[#This Row],[Stock Inventario]]*Tabla2[[#This Row],[Coste LÃ­nea]]</f>
        <v>125664</v>
      </c>
      <c r="M4866" s="24">
        <f>+Tabla2[[#This Row],[Variación Stock]]*Tabla2[[#This Row],[Coste LÃ­nea]]</f>
        <v>-254281.10399999999</v>
      </c>
      <c r="N4866" s="22" t="str">
        <f>+IF(Tabla2[[#This Row],[Variación Stock]]&gt;0,"Sobrante",IF(Tabla2[[#This Row],[Variación Stock]]&lt;0,"Faltante","Sin novedad"))</f>
        <v>Faltante</v>
      </c>
    </row>
    <row r="4867" spans="1:14" x14ac:dyDescent="0.25">
      <c r="A4867" s="11">
        <v>46044</v>
      </c>
      <c r="B4867" s="5" t="s">
        <v>382</v>
      </c>
      <c r="C4867" s="3" t="s">
        <v>284</v>
      </c>
      <c r="D4867" s="5" t="s">
        <v>111</v>
      </c>
      <c r="E4867" s="5" t="s">
        <v>112</v>
      </c>
      <c r="F4867" s="6" t="s">
        <v>285</v>
      </c>
      <c r="G4867" s="4" t="s">
        <v>2</v>
      </c>
      <c r="H4867" s="25">
        <v>0</v>
      </c>
      <c r="I4867" s="8">
        <v>1</v>
      </c>
      <c r="J4867" s="9">
        <v>1</v>
      </c>
      <c r="K4867" s="7">
        <v>0</v>
      </c>
      <c r="L4867" s="24">
        <f>+Tabla2[[#This Row],[Stock Inventario]]*Tabla2[[#This Row],[Coste LÃ­nea]]</f>
        <v>0</v>
      </c>
      <c r="M4867" s="24">
        <f>+Tabla2[[#This Row],[Variación Stock]]*Tabla2[[#This Row],[Coste LÃ­nea]]</f>
        <v>0</v>
      </c>
      <c r="N4867" s="22" t="str">
        <f>+IF(Tabla2[[#This Row],[Variación Stock]]&gt;0,"Sobrante",IF(Tabla2[[#This Row],[Variación Stock]]&lt;0,"Faltante","Sin novedad"))</f>
        <v>Sin novedad</v>
      </c>
    </row>
    <row r="4868" spans="1:14" x14ac:dyDescent="0.25">
      <c r="A4868" s="11">
        <v>46044</v>
      </c>
      <c r="B4868" s="5" t="s">
        <v>382</v>
      </c>
      <c r="C4868" s="3" t="s">
        <v>284</v>
      </c>
      <c r="D4868" s="5" t="s">
        <v>111</v>
      </c>
      <c r="E4868" s="5" t="s">
        <v>112</v>
      </c>
      <c r="F4868" s="6" t="s">
        <v>286</v>
      </c>
      <c r="G4868" s="4" t="s">
        <v>0</v>
      </c>
      <c r="H4868" s="25">
        <v>0</v>
      </c>
      <c r="I4868" s="8">
        <v>0</v>
      </c>
      <c r="J4868" s="9">
        <v>0</v>
      </c>
      <c r="K4868" s="7">
        <v>0</v>
      </c>
      <c r="L4868" s="24">
        <f>+Tabla2[[#This Row],[Stock Inventario]]*Tabla2[[#This Row],[Coste LÃ­nea]]</f>
        <v>0</v>
      </c>
      <c r="M4868" s="24">
        <f>+Tabla2[[#This Row],[Variación Stock]]*Tabla2[[#This Row],[Coste LÃ­nea]]</f>
        <v>0</v>
      </c>
      <c r="N4868" s="22" t="str">
        <f>+IF(Tabla2[[#This Row],[Variación Stock]]&gt;0,"Sobrante",IF(Tabla2[[#This Row],[Variación Stock]]&lt;0,"Faltante","Sin novedad"))</f>
        <v>Sin novedad</v>
      </c>
    </row>
    <row r="4869" spans="1:14" x14ac:dyDescent="0.25">
      <c r="A4869" s="11">
        <v>46044</v>
      </c>
      <c r="B4869" s="5" t="s">
        <v>382</v>
      </c>
      <c r="C4869" s="3" t="s">
        <v>284</v>
      </c>
      <c r="D4869" s="5" t="s">
        <v>111</v>
      </c>
      <c r="E4869" s="5" t="s">
        <v>112</v>
      </c>
      <c r="F4869" s="6" t="s">
        <v>130</v>
      </c>
      <c r="G4869" s="4" t="s">
        <v>0</v>
      </c>
      <c r="H4869" s="25">
        <v>0</v>
      </c>
      <c r="I4869" s="8">
        <v>0</v>
      </c>
      <c r="J4869" s="9">
        <v>0</v>
      </c>
      <c r="K4869" s="7">
        <v>0</v>
      </c>
      <c r="L4869" s="24">
        <f>+Tabla2[[#This Row],[Stock Inventario]]*Tabla2[[#This Row],[Coste LÃ­nea]]</f>
        <v>0</v>
      </c>
      <c r="M4869" s="24">
        <f>+Tabla2[[#This Row],[Variación Stock]]*Tabla2[[#This Row],[Coste LÃ­nea]]</f>
        <v>0</v>
      </c>
      <c r="N4869" s="22" t="str">
        <f>+IF(Tabla2[[#This Row],[Variación Stock]]&gt;0,"Sobrante",IF(Tabla2[[#This Row],[Variación Stock]]&lt;0,"Faltante","Sin novedad"))</f>
        <v>Sin novedad</v>
      </c>
    </row>
    <row r="4870" spans="1:14" x14ac:dyDescent="0.25">
      <c r="A4870" s="11">
        <v>46037</v>
      </c>
      <c r="B4870" s="5" t="s">
        <v>283</v>
      </c>
      <c r="C4870" s="3" t="s">
        <v>284</v>
      </c>
      <c r="D4870" s="5" t="s">
        <v>111</v>
      </c>
      <c r="E4870" s="5" t="s">
        <v>112</v>
      </c>
      <c r="F4870" s="6" t="s">
        <v>43</v>
      </c>
      <c r="G4870" s="4" t="s">
        <v>0</v>
      </c>
      <c r="H4870" s="25">
        <v>3022.8541666699998</v>
      </c>
      <c r="I4870" s="8">
        <v>88.34</v>
      </c>
      <c r="J4870" s="9">
        <v>72</v>
      </c>
      <c r="K4870" s="7">
        <v>-16.34</v>
      </c>
      <c r="L4870" s="24">
        <f>+Tabla2[[#This Row],[Stock Inventario]]*Tabla2[[#This Row],[Coste LÃ­nea]]</f>
        <v>217645.50000023999</v>
      </c>
      <c r="M4870" s="24">
        <f>+Tabla2[[#This Row],[Variación Stock]]*Tabla2[[#This Row],[Coste LÃ­nea]]</f>
        <v>-49393.437083387798</v>
      </c>
      <c r="N4870" s="22" t="str">
        <f>+IF(Tabla2[[#This Row],[Variación Stock]]&gt;0,"Sobrante",IF(Tabla2[[#This Row],[Variación Stock]]&lt;0,"Faltante","Sin novedad"))</f>
        <v>Faltante</v>
      </c>
    </row>
    <row r="4871" spans="1:14" x14ac:dyDescent="0.25">
      <c r="A4871" s="11">
        <v>46044</v>
      </c>
      <c r="B4871" s="5" t="s">
        <v>382</v>
      </c>
      <c r="C4871" s="3" t="s">
        <v>284</v>
      </c>
      <c r="D4871" s="5" t="s">
        <v>111</v>
      </c>
      <c r="E4871" s="5" t="s">
        <v>112</v>
      </c>
      <c r="F4871" s="6" t="s">
        <v>138</v>
      </c>
      <c r="G4871" s="4" t="s">
        <v>0</v>
      </c>
      <c r="H4871" s="25">
        <v>4504.1666666700003</v>
      </c>
      <c r="I4871" s="8">
        <v>0</v>
      </c>
      <c r="J4871" s="9">
        <v>0</v>
      </c>
      <c r="K4871" s="7">
        <v>0</v>
      </c>
      <c r="L4871" s="24">
        <f>+Tabla2[[#This Row],[Stock Inventario]]*Tabla2[[#This Row],[Coste LÃ­nea]]</f>
        <v>0</v>
      </c>
      <c r="M4871" s="24">
        <f>+Tabla2[[#This Row],[Variación Stock]]*Tabla2[[#This Row],[Coste LÃ­nea]]</f>
        <v>0</v>
      </c>
      <c r="N4871" s="22" t="str">
        <f>+IF(Tabla2[[#This Row],[Variación Stock]]&gt;0,"Sobrante",IF(Tabla2[[#This Row],[Variación Stock]]&lt;0,"Faltante","Sin novedad"))</f>
        <v>Sin novedad</v>
      </c>
    </row>
    <row r="4872" spans="1:14" x14ac:dyDescent="0.25">
      <c r="A4872" s="11">
        <v>46044</v>
      </c>
      <c r="B4872" s="5" t="s">
        <v>382</v>
      </c>
      <c r="C4872" s="3" t="s">
        <v>284</v>
      </c>
      <c r="D4872" s="5" t="s">
        <v>111</v>
      </c>
      <c r="E4872" s="5" t="s">
        <v>112</v>
      </c>
      <c r="F4872" s="6" t="s">
        <v>49</v>
      </c>
      <c r="G4872" s="4" t="s">
        <v>2</v>
      </c>
      <c r="H4872" s="25">
        <v>23367.5</v>
      </c>
      <c r="I4872" s="8">
        <v>0</v>
      </c>
      <c r="J4872" s="9">
        <v>0</v>
      </c>
      <c r="K4872" s="7">
        <v>0</v>
      </c>
      <c r="L4872" s="24">
        <f>+Tabla2[[#This Row],[Stock Inventario]]*Tabla2[[#This Row],[Coste LÃ­nea]]</f>
        <v>0</v>
      </c>
      <c r="M4872" s="24">
        <f>+Tabla2[[#This Row],[Variación Stock]]*Tabla2[[#This Row],[Coste LÃ­nea]]</f>
        <v>0</v>
      </c>
      <c r="N4872" s="22" t="str">
        <f>+IF(Tabla2[[#This Row],[Variación Stock]]&gt;0,"Sobrante",IF(Tabla2[[#This Row],[Variación Stock]]&lt;0,"Faltante","Sin novedad"))</f>
        <v>Sin novedad</v>
      </c>
    </row>
    <row r="4873" spans="1:14" x14ac:dyDescent="0.25">
      <c r="A4873" s="11">
        <v>46044</v>
      </c>
      <c r="B4873" s="5" t="s">
        <v>382</v>
      </c>
      <c r="C4873" s="3" t="s">
        <v>284</v>
      </c>
      <c r="D4873" s="5" t="s">
        <v>111</v>
      </c>
      <c r="E4873" s="5" t="s">
        <v>112</v>
      </c>
      <c r="F4873" s="6" t="s">
        <v>53</v>
      </c>
      <c r="G4873" s="4" t="s">
        <v>2</v>
      </c>
      <c r="H4873" s="25">
        <v>45099.74</v>
      </c>
      <c r="I4873" s="8">
        <v>0</v>
      </c>
      <c r="J4873" s="9">
        <v>0</v>
      </c>
      <c r="K4873" s="7">
        <v>0</v>
      </c>
      <c r="L4873" s="24">
        <f>+Tabla2[[#This Row],[Stock Inventario]]*Tabla2[[#This Row],[Coste LÃ­nea]]</f>
        <v>0</v>
      </c>
      <c r="M4873" s="24">
        <f>+Tabla2[[#This Row],[Variación Stock]]*Tabla2[[#This Row],[Coste LÃ­nea]]</f>
        <v>0</v>
      </c>
      <c r="N4873" s="22" t="str">
        <f>+IF(Tabla2[[#This Row],[Variación Stock]]&gt;0,"Sobrante",IF(Tabla2[[#This Row],[Variación Stock]]&lt;0,"Faltante","Sin novedad"))</f>
        <v>Sin novedad</v>
      </c>
    </row>
    <row r="4874" spans="1:14" x14ac:dyDescent="0.25">
      <c r="A4874" s="11">
        <v>46044</v>
      </c>
      <c r="B4874" s="5" t="s">
        <v>382</v>
      </c>
      <c r="C4874" s="3" t="s">
        <v>284</v>
      </c>
      <c r="D4874" s="5" t="s">
        <v>111</v>
      </c>
      <c r="E4874" s="5" t="s">
        <v>112</v>
      </c>
      <c r="F4874" s="6" t="s">
        <v>54</v>
      </c>
      <c r="G4874" s="4" t="s">
        <v>0</v>
      </c>
      <c r="H4874" s="25">
        <v>0</v>
      </c>
      <c r="I4874" s="8">
        <v>6</v>
      </c>
      <c r="J4874" s="9">
        <v>6</v>
      </c>
      <c r="K4874" s="7">
        <v>0</v>
      </c>
      <c r="L4874" s="24">
        <f>+Tabla2[[#This Row],[Stock Inventario]]*Tabla2[[#This Row],[Coste LÃ­nea]]</f>
        <v>0</v>
      </c>
      <c r="M4874" s="24">
        <f>+Tabla2[[#This Row],[Variación Stock]]*Tabla2[[#This Row],[Coste LÃ­nea]]</f>
        <v>0</v>
      </c>
      <c r="N4874" s="22" t="str">
        <f>+IF(Tabla2[[#This Row],[Variación Stock]]&gt;0,"Sobrante",IF(Tabla2[[#This Row],[Variación Stock]]&lt;0,"Faltante","Sin novedad"))</f>
        <v>Sin novedad</v>
      </c>
    </row>
    <row r="4875" spans="1:14" x14ac:dyDescent="0.25">
      <c r="A4875" s="11">
        <v>46044</v>
      </c>
      <c r="B4875" s="5" t="s">
        <v>382</v>
      </c>
      <c r="C4875" s="3" t="s">
        <v>284</v>
      </c>
      <c r="D4875" s="5" t="s">
        <v>114</v>
      </c>
      <c r="E4875" s="5" t="s">
        <v>112</v>
      </c>
      <c r="F4875" s="6" t="s">
        <v>146</v>
      </c>
      <c r="G4875" s="4" t="s">
        <v>2</v>
      </c>
      <c r="H4875" s="25">
        <v>0</v>
      </c>
      <c r="I4875" s="8">
        <v>0</v>
      </c>
      <c r="J4875" s="9">
        <v>0</v>
      </c>
      <c r="K4875" s="7">
        <v>0</v>
      </c>
      <c r="L4875" s="24">
        <f>+Tabla2[[#This Row],[Stock Inventario]]*Tabla2[[#This Row],[Coste LÃ­nea]]</f>
        <v>0</v>
      </c>
      <c r="M4875" s="24">
        <f>+Tabla2[[#This Row],[Variación Stock]]*Tabla2[[#This Row],[Coste LÃ­nea]]</f>
        <v>0</v>
      </c>
      <c r="N4875" s="22" t="str">
        <f>+IF(Tabla2[[#This Row],[Variación Stock]]&gt;0,"Sobrante",IF(Tabla2[[#This Row],[Variación Stock]]&lt;0,"Faltante","Sin novedad"))</f>
        <v>Sin novedad</v>
      </c>
    </row>
    <row r="4876" spans="1:14" x14ac:dyDescent="0.25">
      <c r="A4876" s="11">
        <v>46044</v>
      </c>
      <c r="B4876" s="5" t="s">
        <v>382</v>
      </c>
      <c r="C4876" s="3" t="s">
        <v>284</v>
      </c>
      <c r="D4876" s="5" t="s">
        <v>114</v>
      </c>
      <c r="E4876" s="5" t="s">
        <v>112</v>
      </c>
      <c r="F4876" s="6" t="s">
        <v>147</v>
      </c>
      <c r="G4876" s="4" t="s">
        <v>2</v>
      </c>
      <c r="H4876" s="25">
        <v>3333.3333333300002</v>
      </c>
      <c r="I4876" s="8">
        <v>0</v>
      </c>
      <c r="J4876" s="9">
        <v>0</v>
      </c>
      <c r="K4876" s="7">
        <v>0</v>
      </c>
      <c r="L4876" s="24">
        <f>+Tabla2[[#This Row],[Stock Inventario]]*Tabla2[[#This Row],[Coste LÃ­nea]]</f>
        <v>0</v>
      </c>
      <c r="M4876" s="24">
        <f>+Tabla2[[#This Row],[Variación Stock]]*Tabla2[[#This Row],[Coste LÃ­nea]]</f>
        <v>0</v>
      </c>
      <c r="N4876" s="22" t="str">
        <f>+IF(Tabla2[[#This Row],[Variación Stock]]&gt;0,"Sobrante",IF(Tabla2[[#This Row],[Variación Stock]]&lt;0,"Faltante","Sin novedad"))</f>
        <v>Sin novedad</v>
      </c>
    </row>
    <row r="4877" spans="1:14" x14ac:dyDescent="0.25">
      <c r="A4877" s="11">
        <v>46044</v>
      </c>
      <c r="B4877" s="5" t="s">
        <v>382</v>
      </c>
      <c r="C4877" s="3" t="s">
        <v>284</v>
      </c>
      <c r="D4877" s="5" t="s">
        <v>111</v>
      </c>
      <c r="E4877" s="5" t="s">
        <v>112</v>
      </c>
      <c r="F4877" s="6" t="s">
        <v>43</v>
      </c>
      <c r="G4877" s="4" t="s">
        <v>0</v>
      </c>
      <c r="H4877" s="25">
        <v>2545.0104166699998</v>
      </c>
      <c r="I4877" s="8">
        <v>37.020000000000003</v>
      </c>
      <c r="J4877" s="9">
        <v>41</v>
      </c>
      <c r="K4877" s="7">
        <v>3.98</v>
      </c>
      <c r="L4877" s="24">
        <f>+Tabla2[[#This Row],[Stock Inventario]]*Tabla2[[#This Row],[Coste LÃ­nea]]</f>
        <v>104345.42708346999</v>
      </c>
      <c r="M4877" s="24">
        <f>+Tabla2[[#This Row],[Variación Stock]]*Tabla2[[#This Row],[Coste LÃ­nea]]</f>
        <v>10129.141458346599</v>
      </c>
      <c r="N4877" s="22" t="str">
        <f>+IF(Tabla2[[#This Row],[Variación Stock]]&gt;0,"Sobrante",IF(Tabla2[[#This Row],[Variación Stock]]&lt;0,"Faltante","Sin novedad"))</f>
        <v>Sobrante</v>
      </c>
    </row>
    <row r="4878" spans="1:14" x14ac:dyDescent="0.25">
      <c r="A4878" s="11">
        <v>46044</v>
      </c>
      <c r="B4878" s="5" t="s">
        <v>382</v>
      </c>
      <c r="C4878" s="3" t="s">
        <v>284</v>
      </c>
      <c r="D4878" s="5" t="s">
        <v>114</v>
      </c>
      <c r="E4878" s="5" t="s">
        <v>112</v>
      </c>
      <c r="F4878" s="6" t="s">
        <v>148</v>
      </c>
      <c r="G4878" s="4" t="s">
        <v>2</v>
      </c>
      <c r="H4878" s="25">
        <v>0</v>
      </c>
      <c r="I4878" s="8">
        <v>0</v>
      </c>
      <c r="J4878" s="9">
        <v>0</v>
      </c>
      <c r="K4878" s="7">
        <v>0</v>
      </c>
      <c r="L4878" s="24">
        <f>+Tabla2[[#This Row],[Stock Inventario]]*Tabla2[[#This Row],[Coste LÃ­nea]]</f>
        <v>0</v>
      </c>
      <c r="M4878" s="24">
        <f>+Tabla2[[#This Row],[Variación Stock]]*Tabla2[[#This Row],[Coste LÃ­nea]]</f>
        <v>0</v>
      </c>
      <c r="N4878" s="22" t="str">
        <f>+IF(Tabla2[[#This Row],[Variación Stock]]&gt;0,"Sobrante",IF(Tabla2[[#This Row],[Variación Stock]]&lt;0,"Faltante","Sin novedad"))</f>
        <v>Sin novedad</v>
      </c>
    </row>
    <row r="4879" spans="1:14" x14ac:dyDescent="0.25">
      <c r="A4879" s="11">
        <v>46044</v>
      </c>
      <c r="B4879" s="5" t="s">
        <v>382</v>
      </c>
      <c r="C4879" s="3" t="s">
        <v>284</v>
      </c>
      <c r="D4879" s="5" t="s">
        <v>114</v>
      </c>
      <c r="E4879" s="5" t="s">
        <v>112</v>
      </c>
      <c r="F4879" s="6" t="s">
        <v>373</v>
      </c>
      <c r="G4879" s="4" t="s">
        <v>2</v>
      </c>
      <c r="H4879" s="25">
        <v>2120.83</v>
      </c>
      <c r="I4879" s="8">
        <v>0</v>
      </c>
      <c r="J4879" s="9">
        <v>0</v>
      </c>
      <c r="K4879" s="7">
        <v>0</v>
      </c>
      <c r="L4879" s="24">
        <f>+Tabla2[[#This Row],[Stock Inventario]]*Tabla2[[#This Row],[Coste LÃ­nea]]</f>
        <v>0</v>
      </c>
      <c r="M4879" s="24">
        <f>+Tabla2[[#This Row],[Variación Stock]]*Tabla2[[#This Row],[Coste LÃ­nea]]</f>
        <v>0</v>
      </c>
      <c r="N4879" s="22" t="str">
        <f>+IF(Tabla2[[#This Row],[Variación Stock]]&gt;0,"Sobrante",IF(Tabla2[[#This Row],[Variación Stock]]&lt;0,"Faltante","Sin novedad"))</f>
        <v>Sin novedad</v>
      </c>
    </row>
    <row r="4880" spans="1:14" x14ac:dyDescent="0.25">
      <c r="A4880" s="11">
        <v>46044</v>
      </c>
      <c r="B4880" s="5" t="s">
        <v>382</v>
      </c>
      <c r="C4880" s="3" t="s">
        <v>284</v>
      </c>
      <c r="D4880" s="5" t="s">
        <v>115</v>
      </c>
      <c r="E4880" s="5" t="s">
        <v>112</v>
      </c>
      <c r="F4880" s="6" t="s">
        <v>77</v>
      </c>
      <c r="G4880" s="4" t="s">
        <v>2</v>
      </c>
      <c r="H4880" s="25">
        <v>2773.5</v>
      </c>
      <c r="I4880" s="8">
        <v>0</v>
      </c>
      <c r="J4880" s="9">
        <v>0</v>
      </c>
      <c r="K4880" s="7">
        <v>0</v>
      </c>
      <c r="L4880" s="24">
        <f>+Tabla2[[#This Row],[Stock Inventario]]*Tabla2[[#This Row],[Coste LÃ­nea]]</f>
        <v>0</v>
      </c>
      <c r="M4880" s="24">
        <f>+Tabla2[[#This Row],[Variación Stock]]*Tabla2[[#This Row],[Coste LÃ­nea]]</f>
        <v>0</v>
      </c>
      <c r="N4880" s="22" t="str">
        <f>+IF(Tabla2[[#This Row],[Variación Stock]]&gt;0,"Sobrante",IF(Tabla2[[#This Row],[Variación Stock]]&lt;0,"Faltante","Sin novedad"))</f>
        <v>Sin novedad</v>
      </c>
    </row>
    <row r="4881" spans="1:14" x14ac:dyDescent="0.25">
      <c r="A4881" s="11">
        <v>46037</v>
      </c>
      <c r="B4881" s="5" t="s">
        <v>283</v>
      </c>
      <c r="C4881" s="3" t="s">
        <v>284</v>
      </c>
      <c r="D4881" s="5" t="s">
        <v>111</v>
      </c>
      <c r="E4881" s="5" t="s">
        <v>112</v>
      </c>
      <c r="F4881" s="6" t="s">
        <v>34</v>
      </c>
      <c r="G4881" s="4" t="s">
        <v>0</v>
      </c>
      <c r="H4881" s="25">
        <v>5896.9583333299997</v>
      </c>
      <c r="I4881" s="8">
        <v>34</v>
      </c>
      <c r="J4881" s="9">
        <v>35</v>
      </c>
      <c r="K4881" s="7">
        <v>1</v>
      </c>
      <c r="L4881" s="24">
        <f>+Tabla2[[#This Row],[Stock Inventario]]*Tabla2[[#This Row],[Coste LÃ­nea]]</f>
        <v>206393.54166654998</v>
      </c>
      <c r="M4881" s="24">
        <f>+Tabla2[[#This Row],[Variación Stock]]*Tabla2[[#This Row],[Coste LÃ­nea]]</f>
        <v>5896.9583333299997</v>
      </c>
      <c r="N4881" s="22" t="str">
        <f>+IF(Tabla2[[#This Row],[Variación Stock]]&gt;0,"Sobrante",IF(Tabla2[[#This Row],[Variación Stock]]&lt;0,"Faltante","Sin novedad"))</f>
        <v>Sobrante</v>
      </c>
    </row>
    <row r="4882" spans="1:14" x14ac:dyDescent="0.25">
      <c r="A4882" s="11">
        <v>46044</v>
      </c>
      <c r="B4882" s="5" t="s">
        <v>382</v>
      </c>
      <c r="C4882" s="3" t="s">
        <v>284</v>
      </c>
      <c r="D4882" s="5" t="s">
        <v>115</v>
      </c>
      <c r="E4882" s="5" t="s">
        <v>112</v>
      </c>
      <c r="F4882" s="6" t="s">
        <v>153</v>
      </c>
      <c r="G4882" s="4" t="s">
        <v>2</v>
      </c>
      <c r="H4882" s="25">
        <v>3200</v>
      </c>
      <c r="I4882" s="8">
        <v>0</v>
      </c>
      <c r="J4882" s="9">
        <v>0</v>
      </c>
      <c r="K4882" s="7">
        <v>0</v>
      </c>
      <c r="L4882" s="24">
        <f>+Tabla2[[#This Row],[Stock Inventario]]*Tabla2[[#This Row],[Coste LÃ­nea]]</f>
        <v>0</v>
      </c>
      <c r="M4882" s="24">
        <f>+Tabla2[[#This Row],[Variación Stock]]*Tabla2[[#This Row],[Coste LÃ­nea]]</f>
        <v>0</v>
      </c>
      <c r="N4882" s="22" t="str">
        <f>+IF(Tabla2[[#This Row],[Variación Stock]]&gt;0,"Sobrante",IF(Tabla2[[#This Row],[Variación Stock]]&lt;0,"Faltante","Sin novedad"))</f>
        <v>Sin novedad</v>
      </c>
    </row>
    <row r="4883" spans="1:14" x14ac:dyDescent="0.25">
      <c r="A4883" s="11">
        <v>46044</v>
      </c>
      <c r="B4883" s="5" t="s">
        <v>382</v>
      </c>
      <c r="C4883" s="3" t="s">
        <v>284</v>
      </c>
      <c r="D4883" s="5" t="s">
        <v>118</v>
      </c>
      <c r="E4883" s="5" t="s">
        <v>112</v>
      </c>
      <c r="F4883" s="6" t="s">
        <v>292</v>
      </c>
      <c r="G4883" s="4" t="s">
        <v>81</v>
      </c>
      <c r="H4883" s="25">
        <v>0</v>
      </c>
      <c r="I4883" s="8">
        <v>0</v>
      </c>
      <c r="J4883" s="9">
        <v>0</v>
      </c>
      <c r="K4883" s="7">
        <v>0</v>
      </c>
      <c r="L4883" s="24">
        <f>+Tabla2[[#This Row],[Stock Inventario]]*Tabla2[[#This Row],[Coste LÃ­nea]]</f>
        <v>0</v>
      </c>
      <c r="M4883" s="24">
        <f>+Tabla2[[#This Row],[Variación Stock]]*Tabla2[[#This Row],[Coste LÃ­nea]]</f>
        <v>0</v>
      </c>
      <c r="N4883" s="22" t="str">
        <f>+IF(Tabla2[[#This Row],[Variación Stock]]&gt;0,"Sobrante",IF(Tabla2[[#This Row],[Variación Stock]]&lt;0,"Faltante","Sin novedad"))</f>
        <v>Sin novedad</v>
      </c>
    </row>
    <row r="4884" spans="1:14" x14ac:dyDescent="0.25">
      <c r="A4884" s="11">
        <v>46044</v>
      </c>
      <c r="B4884" s="5" t="s">
        <v>382</v>
      </c>
      <c r="C4884" s="3" t="s">
        <v>284</v>
      </c>
      <c r="D4884" s="5" t="s">
        <v>118</v>
      </c>
      <c r="E4884" s="5" t="s">
        <v>112</v>
      </c>
      <c r="F4884" s="6" t="s">
        <v>174</v>
      </c>
      <c r="G4884" s="4" t="s">
        <v>0</v>
      </c>
      <c r="H4884" s="25">
        <v>2903.3333333300002</v>
      </c>
      <c r="I4884" s="8">
        <v>0</v>
      </c>
      <c r="J4884" s="9">
        <v>0</v>
      </c>
      <c r="K4884" s="7">
        <v>0</v>
      </c>
      <c r="L4884" s="24">
        <f>+Tabla2[[#This Row],[Stock Inventario]]*Tabla2[[#This Row],[Coste LÃ­nea]]</f>
        <v>0</v>
      </c>
      <c r="M4884" s="24">
        <f>+Tabla2[[#This Row],[Variación Stock]]*Tabla2[[#This Row],[Coste LÃ­nea]]</f>
        <v>0</v>
      </c>
      <c r="N4884" s="22" t="str">
        <f>+IF(Tabla2[[#This Row],[Variación Stock]]&gt;0,"Sobrante",IF(Tabla2[[#This Row],[Variación Stock]]&lt;0,"Faltante","Sin novedad"))</f>
        <v>Sin novedad</v>
      </c>
    </row>
    <row r="4885" spans="1:14" x14ac:dyDescent="0.25">
      <c r="A4885" s="11">
        <v>46044</v>
      </c>
      <c r="B4885" s="5" t="s">
        <v>382</v>
      </c>
      <c r="C4885" s="3" t="s">
        <v>284</v>
      </c>
      <c r="D4885" s="5" t="s">
        <v>118</v>
      </c>
      <c r="E4885" s="5" t="s">
        <v>112</v>
      </c>
      <c r="F4885" s="6" t="s">
        <v>83</v>
      </c>
      <c r="G4885" s="4" t="s">
        <v>2</v>
      </c>
      <c r="H4885" s="25">
        <v>37608</v>
      </c>
      <c r="I4885" s="8">
        <v>0</v>
      </c>
      <c r="J4885" s="9">
        <v>0</v>
      </c>
      <c r="K4885" s="7">
        <v>0</v>
      </c>
      <c r="L4885" s="24">
        <f>+Tabla2[[#This Row],[Stock Inventario]]*Tabla2[[#This Row],[Coste LÃ­nea]]</f>
        <v>0</v>
      </c>
      <c r="M4885" s="24">
        <f>+Tabla2[[#This Row],[Variación Stock]]*Tabla2[[#This Row],[Coste LÃ­nea]]</f>
        <v>0</v>
      </c>
      <c r="N4885" s="22" t="str">
        <f>+IF(Tabla2[[#This Row],[Variación Stock]]&gt;0,"Sobrante",IF(Tabla2[[#This Row],[Variación Stock]]&lt;0,"Faltante","Sin novedad"))</f>
        <v>Sin novedad</v>
      </c>
    </row>
    <row r="4886" spans="1:14" x14ac:dyDescent="0.25">
      <c r="A4886" s="11">
        <v>46044</v>
      </c>
      <c r="B4886" s="5" t="s">
        <v>382</v>
      </c>
      <c r="C4886" s="3" t="s">
        <v>284</v>
      </c>
      <c r="D4886" s="5" t="s">
        <v>118</v>
      </c>
      <c r="E4886" s="5" t="s">
        <v>112</v>
      </c>
      <c r="F4886" s="6" t="s">
        <v>91</v>
      </c>
      <c r="G4886" s="4" t="s">
        <v>2</v>
      </c>
      <c r="H4886" s="25">
        <v>70600.5</v>
      </c>
      <c r="I4886" s="8">
        <v>0</v>
      </c>
      <c r="J4886" s="9">
        <v>0</v>
      </c>
      <c r="K4886" s="7">
        <v>0</v>
      </c>
      <c r="L4886" s="24">
        <f>+Tabla2[[#This Row],[Stock Inventario]]*Tabla2[[#This Row],[Coste LÃ­nea]]</f>
        <v>0</v>
      </c>
      <c r="M4886" s="24">
        <f>+Tabla2[[#This Row],[Variación Stock]]*Tabla2[[#This Row],[Coste LÃ­nea]]</f>
        <v>0</v>
      </c>
      <c r="N4886" s="22" t="str">
        <f>+IF(Tabla2[[#This Row],[Variación Stock]]&gt;0,"Sobrante",IF(Tabla2[[#This Row],[Variación Stock]]&lt;0,"Faltante","Sin novedad"))</f>
        <v>Sin novedad</v>
      </c>
    </row>
    <row r="4887" spans="1:14" x14ac:dyDescent="0.25">
      <c r="A4887" s="11">
        <v>46044</v>
      </c>
      <c r="B4887" s="5" t="s">
        <v>382</v>
      </c>
      <c r="C4887" s="3" t="s">
        <v>284</v>
      </c>
      <c r="D4887" s="5" t="s">
        <v>118</v>
      </c>
      <c r="E4887" s="5" t="s">
        <v>112</v>
      </c>
      <c r="F4887" s="6" t="s">
        <v>186</v>
      </c>
      <c r="G4887" s="4" t="s">
        <v>2</v>
      </c>
      <c r="H4887" s="25">
        <v>48500</v>
      </c>
      <c r="I4887" s="8">
        <v>0</v>
      </c>
      <c r="J4887" s="9">
        <v>0</v>
      </c>
      <c r="K4887" s="7">
        <v>0</v>
      </c>
      <c r="L4887" s="24">
        <f>+Tabla2[[#This Row],[Stock Inventario]]*Tabla2[[#This Row],[Coste LÃ­nea]]</f>
        <v>0</v>
      </c>
      <c r="M4887" s="24">
        <f>+Tabla2[[#This Row],[Variación Stock]]*Tabla2[[#This Row],[Coste LÃ­nea]]</f>
        <v>0</v>
      </c>
      <c r="N4887" s="22" t="str">
        <f>+IF(Tabla2[[#This Row],[Variación Stock]]&gt;0,"Sobrante",IF(Tabla2[[#This Row],[Variación Stock]]&lt;0,"Faltante","Sin novedad"))</f>
        <v>Sin novedad</v>
      </c>
    </row>
    <row r="4888" spans="1:14" x14ac:dyDescent="0.25">
      <c r="A4888" s="11">
        <v>46044</v>
      </c>
      <c r="B4888" s="5" t="s">
        <v>382</v>
      </c>
      <c r="C4888" s="3" t="s">
        <v>284</v>
      </c>
      <c r="D4888" s="5" t="s">
        <v>118</v>
      </c>
      <c r="E4888" s="5" t="s">
        <v>112</v>
      </c>
      <c r="F4888" s="6" t="s">
        <v>309</v>
      </c>
      <c r="G4888" s="4" t="s">
        <v>2</v>
      </c>
      <c r="H4888" s="25">
        <v>74130.252101000005</v>
      </c>
      <c r="I4888" s="8">
        <v>0</v>
      </c>
      <c r="J4888" s="9">
        <v>0</v>
      </c>
      <c r="K4888" s="7">
        <v>0</v>
      </c>
      <c r="L4888" s="24">
        <f>+Tabla2[[#This Row],[Stock Inventario]]*Tabla2[[#This Row],[Coste LÃ­nea]]</f>
        <v>0</v>
      </c>
      <c r="M4888" s="24">
        <f>+Tabla2[[#This Row],[Variación Stock]]*Tabla2[[#This Row],[Coste LÃ­nea]]</f>
        <v>0</v>
      </c>
      <c r="N4888" s="22" t="str">
        <f>+IF(Tabla2[[#This Row],[Variación Stock]]&gt;0,"Sobrante",IF(Tabla2[[#This Row],[Variación Stock]]&lt;0,"Faltante","Sin novedad"))</f>
        <v>Sin novedad</v>
      </c>
    </row>
    <row r="4889" spans="1:14" hidden="1" x14ac:dyDescent="0.25">
      <c r="A4889" s="11">
        <v>46044</v>
      </c>
      <c r="B4889" s="5" t="s">
        <v>382</v>
      </c>
      <c r="C4889" s="3" t="s">
        <v>284</v>
      </c>
      <c r="D4889" s="5" t="s">
        <v>119</v>
      </c>
      <c r="E4889" s="5" t="s">
        <v>117</v>
      </c>
      <c r="F4889" s="6" t="s">
        <v>12</v>
      </c>
      <c r="G4889" s="4" t="s">
        <v>2</v>
      </c>
      <c r="H4889" s="25">
        <v>0</v>
      </c>
      <c r="I4889" s="8">
        <v>15</v>
      </c>
      <c r="J4889" s="9">
        <v>15</v>
      </c>
      <c r="K4889" s="7">
        <v>0</v>
      </c>
      <c r="L4889" s="24">
        <f>+Tabla2[[#This Row],[Stock Inventario]]*Tabla2[[#This Row],[Coste LÃ­nea]]</f>
        <v>0</v>
      </c>
      <c r="M4889" s="24">
        <f>+Tabla2[[#This Row],[Variación Stock]]*Tabla2[[#This Row],[Coste LÃ­nea]]</f>
        <v>0</v>
      </c>
      <c r="N4889" s="22" t="str">
        <f>+IF(Tabla2[[#This Row],[Variación Stock]]&gt;0,"Sobrante",IF(Tabla2[[#This Row],[Variación Stock]]&lt;0,"Faltante","Sin novedad"))</f>
        <v>Sin novedad</v>
      </c>
    </row>
    <row r="4890" spans="1:14" hidden="1" x14ac:dyDescent="0.25">
      <c r="A4890" s="11">
        <v>46044</v>
      </c>
      <c r="B4890" s="5" t="s">
        <v>382</v>
      </c>
      <c r="C4890" s="3" t="s">
        <v>284</v>
      </c>
      <c r="D4890" s="5" t="s">
        <v>119</v>
      </c>
      <c r="E4890" s="5" t="s">
        <v>117</v>
      </c>
      <c r="F4890" s="6" t="s">
        <v>13</v>
      </c>
      <c r="G4890" s="4" t="s">
        <v>2</v>
      </c>
      <c r="H4890" s="25">
        <v>8166.6666666700003</v>
      </c>
      <c r="I4890" s="8">
        <v>0</v>
      </c>
      <c r="J4890" s="9">
        <v>0</v>
      </c>
      <c r="K4890" s="7">
        <v>0</v>
      </c>
      <c r="L4890" s="24">
        <f>+Tabla2[[#This Row],[Stock Inventario]]*Tabla2[[#This Row],[Coste LÃ­nea]]</f>
        <v>0</v>
      </c>
      <c r="M4890" s="24">
        <f>+Tabla2[[#This Row],[Variación Stock]]*Tabla2[[#This Row],[Coste LÃ­nea]]</f>
        <v>0</v>
      </c>
      <c r="N4890" s="22" t="str">
        <f>+IF(Tabla2[[#This Row],[Variación Stock]]&gt;0,"Sobrante",IF(Tabla2[[#This Row],[Variación Stock]]&lt;0,"Faltante","Sin novedad"))</f>
        <v>Sin novedad</v>
      </c>
    </row>
    <row r="4891" spans="1:14" hidden="1" x14ac:dyDescent="0.25">
      <c r="A4891" s="11">
        <v>46044</v>
      </c>
      <c r="B4891" s="5" t="s">
        <v>382</v>
      </c>
      <c r="C4891" s="3" t="s">
        <v>284</v>
      </c>
      <c r="D4891" s="5" t="s">
        <v>119</v>
      </c>
      <c r="E4891" s="5" t="s">
        <v>117</v>
      </c>
      <c r="F4891" s="6" t="s">
        <v>200</v>
      </c>
      <c r="G4891" s="4" t="s">
        <v>1</v>
      </c>
      <c r="H4891" s="25">
        <v>58.31</v>
      </c>
      <c r="I4891" s="8">
        <v>0</v>
      </c>
      <c r="J4891" s="9">
        <v>0</v>
      </c>
      <c r="K4891" s="7">
        <v>0</v>
      </c>
      <c r="L4891" s="24">
        <f>+Tabla2[[#This Row],[Stock Inventario]]*Tabla2[[#This Row],[Coste LÃ­nea]]</f>
        <v>0</v>
      </c>
      <c r="M4891" s="24">
        <f>+Tabla2[[#This Row],[Variación Stock]]*Tabla2[[#This Row],[Coste LÃ­nea]]</f>
        <v>0</v>
      </c>
      <c r="N4891" s="22" t="str">
        <f>+IF(Tabla2[[#This Row],[Variación Stock]]&gt;0,"Sobrante",IF(Tabla2[[#This Row],[Variación Stock]]&lt;0,"Faltante","Sin novedad"))</f>
        <v>Sin novedad</v>
      </c>
    </row>
    <row r="4892" spans="1:14" x14ac:dyDescent="0.25">
      <c r="A4892" s="11">
        <v>46044</v>
      </c>
      <c r="B4892" s="5" t="s">
        <v>382</v>
      </c>
      <c r="C4892" s="3" t="s">
        <v>284</v>
      </c>
      <c r="D4892" s="5" t="s">
        <v>121</v>
      </c>
      <c r="E4892" s="5" t="s">
        <v>112</v>
      </c>
      <c r="F4892" s="6" t="s">
        <v>331</v>
      </c>
      <c r="G4892" s="4" t="s">
        <v>0</v>
      </c>
      <c r="H4892" s="25">
        <v>3350.3922764200001</v>
      </c>
      <c r="I4892" s="8">
        <v>0</v>
      </c>
      <c r="J4892" s="9">
        <v>0</v>
      </c>
      <c r="K4892" s="7">
        <v>0</v>
      </c>
      <c r="L4892" s="24">
        <f>+Tabla2[[#This Row],[Stock Inventario]]*Tabla2[[#This Row],[Coste LÃ­nea]]</f>
        <v>0</v>
      </c>
      <c r="M4892" s="24">
        <f>+Tabla2[[#This Row],[Variación Stock]]*Tabla2[[#This Row],[Coste LÃ­nea]]</f>
        <v>0</v>
      </c>
      <c r="N4892" s="22" t="str">
        <f>+IF(Tabla2[[#This Row],[Variación Stock]]&gt;0,"Sobrante",IF(Tabla2[[#This Row],[Variación Stock]]&lt;0,"Faltante","Sin novedad"))</f>
        <v>Sin novedad</v>
      </c>
    </row>
    <row r="4893" spans="1:14" x14ac:dyDescent="0.25">
      <c r="A4893" s="11">
        <v>46044</v>
      </c>
      <c r="B4893" s="5" t="s">
        <v>382</v>
      </c>
      <c r="C4893" s="3" t="s">
        <v>284</v>
      </c>
      <c r="D4893" s="5" t="s">
        <v>111</v>
      </c>
      <c r="E4893" s="5" t="s">
        <v>112</v>
      </c>
      <c r="F4893" s="6" t="s">
        <v>34</v>
      </c>
      <c r="G4893" s="4" t="s">
        <v>0</v>
      </c>
      <c r="H4893" s="25">
        <v>5896.9583333299997</v>
      </c>
      <c r="I4893" s="8">
        <v>35</v>
      </c>
      <c r="J4893" s="9">
        <v>28</v>
      </c>
      <c r="K4893" s="7">
        <v>-7</v>
      </c>
      <c r="L4893" s="24">
        <f>+Tabla2[[#This Row],[Stock Inventario]]*Tabla2[[#This Row],[Coste LÃ­nea]]</f>
        <v>165114.83333324001</v>
      </c>
      <c r="M4893" s="24">
        <f>+Tabla2[[#This Row],[Variación Stock]]*Tabla2[[#This Row],[Coste LÃ­nea]]</f>
        <v>-41278.708333310002</v>
      </c>
      <c r="N4893" s="22" t="str">
        <f>+IF(Tabla2[[#This Row],[Variación Stock]]&gt;0,"Sobrante",IF(Tabla2[[#This Row],[Variación Stock]]&lt;0,"Faltante","Sin novedad"))</f>
        <v>Faltante</v>
      </c>
    </row>
    <row r="4894" spans="1:14" x14ac:dyDescent="0.25">
      <c r="A4894" s="11">
        <v>46053</v>
      </c>
      <c r="B4894" s="5" t="s">
        <v>971</v>
      </c>
      <c r="C4894" s="3" t="s">
        <v>284</v>
      </c>
      <c r="D4894" s="5" t="s">
        <v>111</v>
      </c>
      <c r="E4894" s="5" t="s">
        <v>112</v>
      </c>
      <c r="F4894" s="6" t="s">
        <v>285</v>
      </c>
      <c r="G4894" s="4" t="s">
        <v>2</v>
      </c>
      <c r="H4894" s="25">
        <f>3500*12</f>
        <v>42000</v>
      </c>
      <c r="I4894" s="8">
        <v>1</v>
      </c>
      <c r="J4894" s="9">
        <v>1</v>
      </c>
      <c r="K4894" s="7">
        <v>0</v>
      </c>
      <c r="L4894" s="24">
        <f>+Tabla2[[#This Row],[Stock Inventario]]*Tabla2[[#This Row],[Coste LÃ­nea]]</f>
        <v>42000</v>
      </c>
      <c r="M4894" s="24">
        <f>+Tabla2[[#This Row],[Variación Stock]]*Tabla2[[#This Row],[Coste LÃ­nea]]</f>
        <v>0</v>
      </c>
      <c r="N4894" s="22" t="str">
        <f>+IF(Tabla2[[#This Row],[Variación Stock]]&gt;0,"Sobrante",IF(Tabla2[[#This Row],[Variación Stock]]&lt;0,"Faltante","Sin novedad"))</f>
        <v>Sin novedad</v>
      </c>
    </row>
    <row r="4895" spans="1:14" x14ac:dyDescent="0.25">
      <c r="A4895" s="11">
        <v>46053</v>
      </c>
      <c r="B4895" s="5" t="s">
        <v>971</v>
      </c>
      <c r="C4895" s="3" t="s">
        <v>284</v>
      </c>
      <c r="D4895" s="5" t="s">
        <v>111</v>
      </c>
      <c r="E4895" s="5" t="s">
        <v>112</v>
      </c>
      <c r="F4895" s="6" t="s">
        <v>44</v>
      </c>
      <c r="G4895" s="4" t="s">
        <v>0</v>
      </c>
      <c r="H4895" s="25">
        <v>3500</v>
      </c>
      <c r="I4895" s="8">
        <v>13</v>
      </c>
      <c r="J4895" s="9">
        <v>13</v>
      </c>
      <c r="K4895" s="7">
        <v>0</v>
      </c>
      <c r="L4895" s="24">
        <f>+Tabla2[[#This Row],[Stock Inventario]]*Tabla2[[#This Row],[Coste LÃ­nea]]</f>
        <v>45500</v>
      </c>
      <c r="M4895" s="24">
        <f>+Tabla2[[#This Row],[Variación Stock]]*Tabla2[[#This Row],[Coste LÃ­nea]]</f>
        <v>0</v>
      </c>
      <c r="N4895" s="22" t="str">
        <f>+IF(Tabla2[[#This Row],[Variación Stock]]&gt;0,"Sobrante",IF(Tabla2[[#This Row],[Variación Stock]]&lt;0,"Faltante","Sin novedad"))</f>
        <v>Sin novedad</v>
      </c>
    </row>
    <row r="4896" spans="1:14" hidden="1" x14ac:dyDescent="0.25">
      <c r="A4896" s="11">
        <v>46053</v>
      </c>
      <c r="B4896" s="5" t="s">
        <v>971</v>
      </c>
      <c r="C4896" s="3" t="s">
        <v>284</v>
      </c>
      <c r="D4896" s="5" t="s">
        <v>829</v>
      </c>
      <c r="E4896" s="5" t="s">
        <v>117</v>
      </c>
      <c r="F4896" s="6" t="s">
        <v>831</v>
      </c>
      <c r="G4896" s="4" t="s">
        <v>1</v>
      </c>
      <c r="H4896" s="25">
        <v>86.679012349999994</v>
      </c>
      <c r="I4896" s="8">
        <v>-1984</v>
      </c>
      <c r="J4896" s="9">
        <v>3300</v>
      </c>
      <c r="K4896" s="7">
        <v>5283.9999980000002</v>
      </c>
      <c r="L4896" s="24">
        <f>+Tabla2[[#This Row],[Stock Inventario]]*Tabla2[[#This Row],[Coste LÃ­nea]]</f>
        <v>286040.74075499998</v>
      </c>
      <c r="M4896" s="24">
        <f>+Tabla2[[#This Row],[Variación Stock]]*Tabla2[[#This Row],[Coste LÃ­nea]]</f>
        <v>458011.90108404198</v>
      </c>
      <c r="N4896" s="22" t="str">
        <f>+IF(Tabla2[[#This Row],[Variación Stock]]&gt;0,"Sobrante",IF(Tabla2[[#This Row],[Variación Stock]]&lt;0,"Faltante","Sin novedad"))</f>
        <v>Sobrante</v>
      </c>
    </row>
    <row r="4897" spans="1:14" hidden="1" x14ac:dyDescent="0.25">
      <c r="A4897" s="11">
        <v>46053</v>
      </c>
      <c r="B4897" s="5" t="s">
        <v>971</v>
      </c>
      <c r="C4897" s="3" t="s">
        <v>284</v>
      </c>
      <c r="D4897" s="5" t="s">
        <v>829</v>
      </c>
      <c r="E4897" s="5" t="s">
        <v>117</v>
      </c>
      <c r="F4897" s="6" t="s">
        <v>832</v>
      </c>
      <c r="G4897" s="4" t="s">
        <v>1</v>
      </c>
      <c r="H4897" s="25">
        <v>43.443333330000002</v>
      </c>
      <c r="I4897" s="8">
        <v>850</v>
      </c>
      <c r="J4897" s="9">
        <v>300</v>
      </c>
      <c r="K4897" s="7">
        <v>-550</v>
      </c>
      <c r="L4897" s="24">
        <f>+Tabla2[[#This Row],[Stock Inventario]]*Tabla2[[#This Row],[Coste LÃ­nea]]</f>
        <v>13032.999999</v>
      </c>
      <c r="M4897" s="24">
        <f>+Tabla2[[#This Row],[Variación Stock]]*Tabla2[[#This Row],[Coste LÃ­nea]]</f>
        <v>-23893.833331500002</v>
      </c>
      <c r="N4897" s="22" t="str">
        <f>+IF(Tabla2[[#This Row],[Variación Stock]]&gt;0,"Sobrante",IF(Tabla2[[#This Row],[Variación Stock]]&lt;0,"Faltante","Sin novedad"))</f>
        <v>Faltante</v>
      </c>
    </row>
    <row r="4898" spans="1:14" hidden="1" x14ac:dyDescent="0.25">
      <c r="A4898" s="11">
        <v>46053</v>
      </c>
      <c r="B4898" s="5" t="s">
        <v>971</v>
      </c>
      <c r="C4898" s="3" t="s">
        <v>284</v>
      </c>
      <c r="D4898" s="5" t="s">
        <v>829</v>
      </c>
      <c r="E4898" s="5" t="s">
        <v>117</v>
      </c>
      <c r="F4898" s="6" t="s">
        <v>833</v>
      </c>
      <c r="G4898" s="4" t="s">
        <v>1</v>
      </c>
      <c r="H4898" s="25">
        <v>18.85916667</v>
      </c>
      <c r="I4898" s="8">
        <v>38178.728600000002</v>
      </c>
      <c r="J4898" s="9">
        <v>8000</v>
      </c>
      <c r="K4898" s="7">
        <v>-36178.728565999998</v>
      </c>
      <c r="L4898" s="24">
        <f>+Tabla2[[#This Row],[Stock Inventario]]*Tabla2[[#This Row],[Coste LÃ­nea]]</f>
        <v>150873.33335999999</v>
      </c>
      <c r="M4898" s="24">
        <f>+Tabla2[[#This Row],[Variación Stock]]*Tabla2[[#This Row],[Coste LÃ­nea]]</f>
        <v>-682300.67193488404</v>
      </c>
      <c r="N4898" s="22" t="str">
        <f>+IF(Tabla2[[#This Row],[Variación Stock]]&gt;0,"Sobrante",IF(Tabla2[[#This Row],[Variación Stock]]&lt;0,"Faltante","Sin novedad"))</f>
        <v>Faltante</v>
      </c>
    </row>
    <row r="4899" spans="1:14" hidden="1" x14ac:dyDescent="0.25">
      <c r="A4899" s="11">
        <v>46053</v>
      </c>
      <c r="B4899" s="5" t="s">
        <v>971</v>
      </c>
      <c r="C4899" s="3" t="s">
        <v>284</v>
      </c>
      <c r="D4899" s="5" t="s">
        <v>829</v>
      </c>
      <c r="E4899" s="5" t="s">
        <v>117</v>
      </c>
      <c r="F4899" s="6" t="s">
        <v>830</v>
      </c>
      <c r="G4899" s="4" t="s">
        <v>1</v>
      </c>
      <c r="H4899" s="25">
        <v>8.2499666699999992</v>
      </c>
      <c r="I4899" s="8">
        <v>235088</v>
      </c>
      <c r="J4899" s="9">
        <v>42000</v>
      </c>
      <c r="K4899" s="7">
        <v>-253088</v>
      </c>
      <c r="L4899" s="24">
        <f>+Tabla2[[#This Row],[Stock Inventario]]*Tabla2[[#This Row],[Coste LÃ­nea]]</f>
        <v>346498.60013999994</v>
      </c>
      <c r="M4899" s="24">
        <f>+Tabla2[[#This Row],[Variación Stock]]*Tabla2[[#This Row],[Coste LÃ­nea]]</f>
        <v>-2087967.5645769597</v>
      </c>
      <c r="N4899" s="22" t="str">
        <f>+IF(Tabla2[[#This Row],[Variación Stock]]&gt;0,"Sobrante",IF(Tabla2[[#This Row],[Variación Stock]]&lt;0,"Faltante","Sin novedad"))</f>
        <v>Faltante</v>
      </c>
    </row>
    <row r="4900" spans="1:14" hidden="1" x14ac:dyDescent="0.25">
      <c r="A4900" s="11">
        <v>46053</v>
      </c>
      <c r="B4900" s="5" t="s">
        <v>971</v>
      </c>
      <c r="C4900" s="3" t="s">
        <v>284</v>
      </c>
      <c r="D4900" s="5" t="s">
        <v>818</v>
      </c>
      <c r="E4900" s="5" t="s">
        <v>117</v>
      </c>
      <c r="F4900" s="6" t="s">
        <v>819</v>
      </c>
      <c r="G4900" s="4" t="s">
        <v>1</v>
      </c>
      <c r="H4900" s="25">
        <v>50.792000000000002</v>
      </c>
      <c r="I4900" s="8">
        <v>-120</v>
      </c>
      <c r="J4900" s="9">
        <v>370</v>
      </c>
      <c r="K4900" s="7">
        <v>490</v>
      </c>
      <c r="L4900" s="24">
        <f>+Tabla2[[#This Row],[Stock Inventario]]*Tabla2[[#This Row],[Coste LÃ­nea]]</f>
        <v>18793.04</v>
      </c>
      <c r="M4900" s="24">
        <f>+Tabla2[[#This Row],[Variación Stock]]*Tabla2[[#This Row],[Coste LÃ­nea]]</f>
        <v>24888.080000000002</v>
      </c>
      <c r="N4900" s="22" t="str">
        <f>+IF(Tabla2[[#This Row],[Variación Stock]]&gt;0,"Sobrante",IF(Tabla2[[#This Row],[Variación Stock]]&lt;0,"Faltante","Sin novedad"))</f>
        <v>Sobrante</v>
      </c>
    </row>
    <row r="4901" spans="1:14" hidden="1" x14ac:dyDescent="0.25">
      <c r="A4901" s="11">
        <v>46053</v>
      </c>
      <c r="B4901" s="5" t="s">
        <v>971</v>
      </c>
      <c r="C4901" s="3" t="s">
        <v>284</v>
      </c>
      <c r="D4901" s="5" t="s">
        <v>818</v>
      </c>
      <c r="E4901" s="5" t="s">
        <v>117</v>
      </c>
      <c r="F4901" s="6" t="s">
        <v>820</v>
      </c>
      <c r="G4901" s="4" t="s">
        <v>1</v>
      </c>
      <c r="H4901" s="25">
        <v>68.056896550000005</v>
      </c>
      <c r="I4901" s="8">
        <v>3478</v>
      </c>
      <c r="J4901" s="9">
        <v>2500</v>
      </c>
      <c r="K4901" s="7">
        <v>-978</v>
      </c>
      <c r="L4901" s="24">
        <f>+Tabla2[[#This Row],[Stock Inventario]]*Tabla2[[#This Row],[Coste LÃ­nea]]</f>
        <v>170142.24137500001</v>
      </c>
      <c r="M4901" s="24">
        <f>+Tabla2[[#This Row],[Variación Stock]]*Tabla2[[#This Row],[Coste LÃ­nea]]</f>
        <v>-66559.644825900003</v>
      </c>
      <c r="N4901" s="22" t="str">
        <f>+IF(Tabla2[[#This Row],[Variación Stock]]&gt;0,"Sobrante",IF(Tabla2[[#This Row],[Variación Stock]]&lt;0,"Faltante","Sin novedad"))</f>
        <v>Faltante</v>
      </c>
    </row>
    <row r="4902" spans="1:14" hidden="1" x14ac:dyDescent="0.25">
      <c r="A4902" s="11">
        <v>46053</v>
      </c>
      <c r="B4902" s="5" t="s">
        <v>971</v>
      </c>
      <c r="C4902" s="3" t="s">
        <v>284</v>
      </c>
      <c r="D4902" s="5" t="s">
        <v>803</v>
      </c>
      <c r="E4902" s="5" t="s">
        <v>117</v>
      </c>
      <c r="F4902" s="6" t="s">
        <v>805</v>
      </c>
      <c r="G4902" s="4" t="s">
        <v>1</v>
      </c>
      <c r="H4902" s="25">
        <v>18.52965</v>
      </c>
      <c r="I4902" s="8">
        <v>0</v>
      </c>
      <c r="J4902" s="9">
        <v>0</v>
      </c>
      <c r="K4902" s="7">
        <v>0</v>
      </c>
      <c r="L4902" s="24">
        <f>+Tabla2[[#This Row],[Stock Inventario]]*Tabla2[[#This Row],[Coste LÃ­nea]]</f>
        <v>0</v>
      </c>
      <c r="M4902" s="24">
        <f>+Tabla2[[#This Row],[Variación Stock]]*Tabla2[[#This Row],[Coste LÃ­nea]]</f>
        <v>0</v>
      </c>
      <c r="N4902" s="22" t="str">
        <f>+IF(Tabla2[[#This Row],[Variación Stock]]&gt;0,"Sobrante",IF(Tabla2[[#This Row],[Variación Stock]]&lt;0,"Faltante","Sin novedad"))</f>
        <v>Sin novedad</v>
      </c>
    </row>
    <row r="4903" spans="1:14" x14ac:dyDescent="0.25">
      <c r="A4903" s="11">
        <v>46053</v>
      </c>
      <c r="B4903" s="5" t="s">
        <v>971</v>
      </c>
      <c r="C4903" s="3" t="s">
        <v>284</v>
      </c>
      <c r="D4903" s="5" t="s">
        <v>603</v>
      </c>
      <c r="E4903" s="5" t="s">
        <v>112</v>
      </c>
      <c r="F4903" s="6" t="s">
        <v>606</v>
      </c>
      <c r="G4903" s="4" t="s">
        <v>1</v>
      </c>
      <c r="H4903" s="25">
        <v>129.33199999999999</v>
      </c>
      <c r="I4903" s="8">
        <v>-4</v>
      </c>
      <c r="J4903" s="9">
        <v>0</v>
      </c>
      <c r="K4903" s="7">
        <v>4</v>
      </c>
      <c r="L4903" s="24">
        <f>+Tabla2[[#This Row],[Stock Inventario]]*Tabla2[[#This Row],[Coste LÃ­nea]]</f>
        <v>0</v>
      </c>
      <c r="M4903" s="24">
        <f>+Tabla2[[#This Row],[Variación Stock]]*Tabla2[[#This Row],[Coste LÃ­nea]]</f>
        <v>517.32799999999997</v>
      </c>
      <c r="N4903" s="22" t="str">
        <f>+IF(Tabla2[[#This Row],[Variación Stock]]&gt;0,"Sobrante",IF(Tabla2[[#This Row],[Variación Stock]]&lt;0,"Faltante","Sin novedad"))</f>
        <v>Sobrante</v>
      </c>
    </row>
    <row r="4904" spans="1:14" x14ac:dyDescent="0.25">
      <c r="A4904" s="11">
        <v>46053</v>
      </c>
      <c r="B4904" s="5" t="s">
        <v>971</v>
      </c>
      <c r="C4904" s="3" t="s">
        <v>284</v>
      </c>
      <c r="D4904" s="5" t="s">
        <v>122</v>
      </c>
      <c r="E4904" s="5" t="s">
        <v>112</v>
      </c>
      <c r="F4904" s="6" t="s">
        <v>99</v>
      </c>
      <c r="G4904" s="4" t="s">
        <v>2</v>
      </c>
      <c r="H4904" s="25">
        <v>7330</v>
      </c>
      <c r="I4904" s="8">
        <v>29</v>
      </c>
      <c r="J4904" s="9">
        <v>29</v>
      </c>
      <c r="K4904" s="7">
        <v>0</v>
      </c>
      <c r="L4904" s="24">
        <f>+Tabla2[[#This Row],[Stock Inventario]]*Tabla2[[#This Row],[Coste LÃ­nea]]</f>
        <v>212570</v>
      </c>
      <c r="M4904" s="24">
        <f>+Tabla2[[#This Row],[Variación Stock]]*Tabla2[[#This Row],[Coste LÃ­nea]]</f>
        <v>0</v>
      </c>
      <c r="N4904" s="22" t="str">
        <f>+IF(Tabla2[[#This Row],[Variación Stock]]&gt;0,"Sobrante",IF(Tabla2[[#This Row],[Variación Stock]]&lt;0,"Faltante","Sin novedad"))</f>
        <v>Sin novedad</v>
      </c>
    </row>
    <row r="4905" spans="1:14" x14ac:dyDescent="0.25">
      <c r="A4905" s="11">
        <v>46053</v>
      </c>
      <c r="B4905" s="5" t="s">
        <v>971</v>
      </c>
      <c r="C4905" s="3" t="s">
        <v>284</v>
      </c>
      <c r="D4905" s="5" t="s">
        <v>603</v>
      </c>
      <c r="E4905" s="5" t="s">
        <v>112</v>
      </c>
      <c r="F4905" s="6" t="s">
        <v>616</v>
      </c>
      <c r="G4905" s="4" t="s">
        <v>1</v>
      </c>
      <c r="H4905" s="25">
        <v>38</v>
      </c>
      <c r="I4905" s="8">
        <v>-1883.1578</v>
      </c>
      <c r="J4905" s="9">
        <v>50</v>
      </c>
      <c r="K4905" s="7">
        <v>1933.1578380000001</v>
      </c>
      <c r="L4905" s="24">
        <f>+Tabla2[[#This Row],[Stock Inventario]]*Tabla2[[#This Row],[Coste LÃ­nea]]</f>
        <v>1900</v>
      </c>
      <c r="M4905" s="24">
        <f>+Tabla2[[#This Row],[Variación Stock]]*Tabla2[[#This Row],[Coste LÃ­nea]]</f>
        <v>73459.997843999998</v>
      </c>
      <c r="N4905" s="22" t="str">
        <f>+IF(Tabla2[[#This Row],[Variación Stock]]&gt;0,"Sobrante",IF(Tabla2[[#This Row],[Variación Stock]]&lt;0,"Faltante","Sin novedad"))</f>
        <v>Sobrante</v>
      </c>
    </row>
    <row r="4906" spans="1:14" x14ac:dyDescent="0.25">
      <c r="A4906" s="11">
        <v>46053</v>
      </c>
      <c r="B4906" s="5" t="s">
        <v>971</v>
      </c>
      <c r="C4906" s="3" t="s">
        <v>284</v>
      </c>
      <c r="D4906" s="5" t="s">
        <v>122</v>
      </c>
      <c r="E4906" s="5" t="s">
        <v>112</v>
      </c>
      <c r="F4906" s="6" t="s">
        <v>101</v>
      </c>
      <c r="G4906" s="4" t="s">
        <v>2</v>
      </c>
      <c r="H4906" s="25">
        <v>1408.33333333</v>
      </c>
      <c r="I4906" s="8">
        <v>3</v>
      </c>
      <c r="J4906" s="9">
        <v>0</v>
      </c>
      <c r="K4906" s="7">
        <v>-3</v>
      </c>
      <c r="L4906" s="24">
        <f>+Tabla2[[#This Row],[Stock Inventario]]*Tabla2[[#This Row],[Coste LÃ­nea]]</f>
        <v>0</v>
      </c>
      <c r="M4906" s="24">
        <f>+Tabla2[[#This Row],[Variación Stock]]*Tabla2[[#This Row],[Coste LÃ­nea]]</f>
        <v>-4224.9999999900001</v>
      </c>
      <c r="N4906" s="22" t="str">
        <f>+IF(Tabla2[[#This Row],[Variación Stock]]&gt;0,"Sobrante",IF(Tabla2[[#This Row],[Variación Stock]]&lt;0,"Faltante","Sin novedad"))</f>
        <v>Faltante</v>
      </c>
    </row>
    <row r="4907" spans="1:14" x14ac:dyDescent="0.25">
      <c r="A4907" s="11">
        <v>46053</v>
      </c>
      <c r="B4907" s="5" t="s">
        <v>971</v>
      </c>
      <c r="C4907" s="3" t="s">
        <v>284</v>
      </c>
      <c r="D4907" s="5" t="s">
        <v>122</v>
      </c>
      <c r="E4907" s="5" t="s">
        <v>112</v>
      </c>
      <c r="F4907" s="6" t="s">
        <v>100</v>
      </c>
      <c r="G4907" s="4" t="s">
        <v>2</v>
      </c>
      <c r="H4907" s="25">
        <v>7857</v>
      </c>
      <c r="I4907" s="8">
        <v>20</v>
      </c>
      <c r="J4907" s="9">
        <v>20</v>
      </c>
      <c r="K4907" s="7">
        <v>0</v>
      </c>
      <c r="L4907" s="24">
        <f>+Tabla2[[#This Row],[Stock Inventario]]*Tabla2[[#This Row],[Coste LÃ­nea]]</f>
        <v>157140</v>
      </c>
      <c r="M4907" s="24">
        <f>+Tabla2[[#This Row],[Variación Stock]]*Tabla2[[#This Row],[Coste LÃ­nea]]</f>
        <v>0</v>
      </c>
      <c r="N4907" s="22" t="str">
        <f>+IF(Tabla2[[#This Row],[Variación Stock]]&gt;0,"Sobrante",IF(Tabla2[[#This Row],[Variación Stock]]&lt;0,"Faltante","Sin novedad"))</f>
        <v>Sin novedad</v>
      </c>
    </row>
    <row r="4908" spans="1:14" x14ac:dyDescent="0.25">
      <c r="A4908" s="11">
        <v>46053</v>
      </c>
      <c r="B4908" s="5" t="s">
        <v>971</v>
      </c>
      <c r="C4908" s="3" t="s">
        <v>284</v>
      </c>
      <c r="D4908" s="5" t="s">
        <v>114</v>
      </c>
      <c r="E4908" s="5" t="s">
        <v>112</v>
      </c>
      <c r="F4908" s="6" t="s">
        <v>65</v>
      </c>
      <c r="G4908" s="4" t="s">
        <v>2</v>
      </c>
      <c r="H4908" s="25">
        <v>5132.4583333299997</v>
      </c>
      <c r="I4908" s="8">
        <v>19</v>
      </c>
      <c r="J4908" s="9">
        <v>41</v>
      </c>
      <c r="K4908" s="7">
        <v>22</v>
      </c>
      <c r="L4908" s="24">
        <f>+Tabla2[[#This Row],[Stock Inventario]]*Tabla2[[#This Row],[Coste LÃ­nea]]</f>
        <v>210430.79166652999</v>
      </c>
      <c r="M4908" s="24">
        <f>+Tabla2[[#This Row],[Variación Stock]]*Tabla2[[#This Row],[Coste LÃ­nea]]</f>
        <v>112914.08333326</v>
      </c>
      <c r="N4908" s="22" t="str">
        <f>+IF(Tabla2[[#This Row],[Variación Stock]]&gt;0,"Sobrante",IF(Tabla2[[#This Row],[Variación Stock]]&lt;0,"Faltante","Sin novedad"))</f>
        <v>Sobrante</v>
      </c>
    </row>
    <row r="4909" spans="1:14" hidden="1" x14ac:dyDescent="0.25">
      <c r="A4909" s="11">
        <v>46053</v>
      </c>
      <c r="B4909" s="5" t="s">
        <v>971</v>
      </c>
      <c r="C4909" s="3" t="s">
        <v>284</v>
      </c>
      <c r="D4909" s="5" t="s">
        <v>471</v>
      </c>
      <c r="E4909" s="5" t="s">
        <v>117</v>
      </c>
      <c r="F4909" s="6" t="s">
        <v>542</v>
      </c>
      <c r="G4909" s="4" t="s">
        <v>1</v>
      </c>
      <c r="H4909" s="25">
        <v>14</v>
      </c>
      <c r="I4909" s="8">
        <v>47049.496899999998</v>
      </c>
      <c r="J4909" s="9">
        <v>6000</v>
      </c>
      <c r="K4909" s="7">
        <v>-41049.496915000003</v>
      </c>
      <c r="L4909" s="24">
        <f>+Tabla2[[#This Row],[Stock Inventario]]*Tabla2[[#This Row],[Coste LÃ­nea]]</f>
        <v>84000</v>
      </c>
      <c r="M4909" s="24">
        <f>+Tabla2[[#This Row],[Variación Stock]]*Tabla2[[#This Row],[Coste LÃ­nea]]</f>
        <v>-574692.95681</v>
      </c>
      <c r="N4909" s="22" t="str">
        <f>+IF(Tabla2[[#This Row],[Variación Stock]]&gt;0,"Sobrante",IF(Tabla2[[#This Row],[Variación Stock]]&lt;0,"Faltante","Sin novedad"))</f>
        <v>Faltante</v>
      </c>
    </row>
    <row r="4910" spans="1:14" x14ac:dyDescent="0.25">
      <c r="A4910" s="11">
        <v>46053</v>
      </c>
      <c r="B4910" s="5" t="s">
        <v>971</v>
      </c>
      <c r="C4910" s="3" t="s">
        <v>284</v>
      </c>
      <c r="D4910" s="5" t="s">
        <v>111</v>
      </c>
      <c r="E4910" s="5" t="s">
        <v>112</v>
      </c>
      <c r="F4910" s="6" t="s">
        <v>45</v>
      </c>
      <c r="G4910" s="4" t="s">
        <v>2</v>
      </c>
      <c r="H4910" s="25">
        <v>26517.26</v>
      </c>
      <c r="I4910" s="8">
        <v>0</v>
      </c>
      <c r="J4910" s="9">
        <v>0</v>
      </c>
      <c r="K4910" s="7">
        <v>0</v>
      </c>
      <c r="L4910" s="24">
        <f>+Tabla2[[#This Row],[Stock Inventario]]*Tabla2[[#This Row],[Coste LÃ­nea]]</f>
        <v>0</v>
      </c>
      <c r="M4910" s="24">
        <f>+Tabla2[[#This Row],[Variación Stock]]*Tabla2[[#This Row],[Coste LÃ­nea]]</f>
        <v>0</v>
      </c>
      <c r="N4910" s="22" t="str">
        <f>+IF(Tabla2[[#This Row],[Variación Stock]]&gt;0,"Sobrante",IF(Tabla2[[#This Row],[Variación Stock]]&lt;0,"Faltante","Sin novedad"))</f>
        <v>Sin novedad</v>
      </c>
    </row>
    <row r="4911" spans="1:14" x14ac:dyDescent="0.25">
      <c r="A4911" s="11">
        <v>46053</v>
      </c>
      <c r="B4911" s="5" t="s">
        <v>971</v>
      </c>
      <c r="C4911" s="3" t="s">
        <v>284</v>
      </c>
      <c r="D4911" s="5" t="s">
        <v>111</v>
      </c>
      <c r="E4911" s="5" t="s">
        <v>112</v>
      </c>
      <c r="F4911" s="6" t="s">
        <v>46</v>
      </c>
      <c r="G4911" s="4" t="s">
        <v>0</v>
      </c>
      <c r="H4911" s="25">
        <v>2056.3333333300002</v>
      </c>
      <c r="I4911" s="8">
        <v>61</v>
      </c>
      <c r="J4911" s="9">
        <v>61</v>
      </c>
      <c r="K4911" s="7">
        <v>0</v>
      </c>
      <c r="L4911" s="24">
        <f>+Tabla2[[#This Row],[Stock Inventario]]*Tabla2[[#This Row],[Coste LÃ­nea]]</f>
        <v>125436.33333313001</v>
      </c>
      <c r="M4911" s="24">
        <f>+Tabla2[[#This Row],[Variación Stock]]*Tabla2[[#This Row],[Coste LÃ­nea]]</f>
        <v>0</v>
      </c>
      <c r="N4911" s="22" t="str">
        <f>+IF(Tabla2[[#This Row],[Variación Stock]]&gt;0,"Sobrante",IF(Tabla2[[#This Row],[Variación Stock]]&lt;0,"Faltante","Sin novedad"))</f>
        <v>Sin novedad</v>
      </c>
    </row>
    <row r="4912" spans="1:14" x14ac:dyDescent="0.25">
      <c r="A4912" s="11">
        <v>46053</v>
      </c>
      <c r="B4912" s="5" t="s">
        <v>971</v>
      </c>
      <c r="C4912" s="3" t="s">
        <v>284</v>
      </c>
      <c r="D4912" s="5" t="s">
        <v>111</v>
      </c>
      <c r="E4912" s="5" t="s">
        <v>112</v>
      </c>
      <c r="F4912" s="6" t="s">
        <v>47</v>
      </c>
      <c r="G4912" s="4" t="s">
        <v>2</v>
      </c>
      <c r="H4912" s="25">
        <v>24693.34</v>
      </c>
      <c r="I4912" s="8">
        <v>0</v>
      </c>
      <c r="J4912" s="9">
        <v>0</v>
      </c>
      <c r="K4912" s="7">
        <v>0</v>
      </c>
      <c r="L4912" s="24">
        <f>+Tabla2[[#This Row],[Stock Inventario]]*Tabla2[[#This Row],[Coste LÃ­nea]]</f>
        <v>0</v>
      </c>
      <c r="M4912" s="24">
        <f>+Tabla2[[#This Row],[Variación Stock]]*Tabla2[[#This Row],[Coste LÃ­nea]]</f>
        <v>0</v>
      </c>
      <c r="N4912" s="22" t="str">
        <f>+IF(Tabla2[[#This Row],[Variación Stock]]&gt;0,"Sobrante",IF(Tabla2[[#This Row],[Variación Stock]]&lt;0,"Faltante","Sin novedad"))</f>
        <v>Sin novedad</v>
      </c>
    </row>
    <row r="4913" spans="1:14" x14ac:dyDescent="0.25">
      <c r="A4913" s="11">
        <v>46053</v>
      </c>
      <c r="B4913" s="5" t="s">
        <v>971</v>
      </c>
      <c r="C4913" s="3" t="s">
        <v>284</v>
      </c>
      <c r="D4913" s="5" t="s">
        <v>111</v>
      </c>
      <c r="E4913" s="5" t="s">
        <v>112</v>
      </c>
      <c r="F4913" s="6" t="s">
        <v>48</v>
      </c>
      <c r="G4913" s="4" t="s">
        <v>0</v>
      </c>
      <c r="H4913" s="25">
        <v>1729.16666667</v>
      </c>
      <c r="I4913" s="8">
        <v>20</v>
      </c>
      <c r="J4913" s="9">
        <v>20</v>
      </c>
      <c r="K4913" s="7">
        <v>0</v>
      </c>
      <c r="L4913" s="24">
        <f>+Tabla2[[#This Row],[Stock Inventario]]*Tabla2[[#This Row],[Coste LÃ­nea]]</f>
        <v>34583.333333399998</v>
      </c>
      <c r="M4913" s="24">
        <f>+Tabla2[[#This Row],[Variación Stock]]*Tabla2[[#This Row],[Coste LÃ­nea]]</f>
        <v>0</v>
      </c>
      <c r="N4913" s="22" t="str">
        <f>+IF(Tabla2[[#This Row],[Variación Stock]]&gt;0,"Sobrante",IF(Tabla2[[#This Row],[Variación Stock]]&lt;0,"Faltante","Sin novedad"))</f>
        <v>Sin novedad</v>
      </c>
    </row>
    <row r="4914" spans="1:14" x14ac:dyDescent="0.25">
      <c r="A4914" s="11">
        <v>46053</v>
      </c>
      <c r="B4914" s="5" t="s">
        <v>971</v>
      </c>
      <c r="C4914" s="3" t="s">
        <v>284</v>
      </c>
      <c r="D4914" s="5" t="s">
        <v>111</v>
      </c>
      <c r="E4914" s="5" t="s">
        <v>112</v>
      </c>
      <c r="F4914" s="6" t="s">
        <v>49</v>
      </c>
      <c r="G4914" s="4" t="s">
        <v>2</v>
      </c>
      <c r="H4914" s="25">
        <v>23367.465</v>
      </c>
      <c r="I4914" s="8">
        <v>0</v>
      </c>
      <c r="J4914" s="9">
        <v>0</v>
      </c>
      <c r="K4914" s="7">
        <v>0</v>
      </c>
      <c r="L4914" s="24">
        <f>+Tabla2[[#This Row],[Stock Inventario]]*Tabla2[[#This Row],[Coste LÃ­nea]]</f>
        <v>0</v>
      </c>
      <c r="M4914" s="24">
        <f>+Tabla2[[#This Row],[Variación Stock]]*Tabla2[[#This Row],[Coste LÃ­nea]]</f>
        <v>0</v>
      </c>
      <c r="N4914" s="22" t="str">
        <f>+IF(Tabla2[[#This Row],[Variación Stock]]&gt;0,"Sobrante",IF(Tabla2[[#This Row],[Variación Stock]]&lt;0,"Faltante","Sin novedad"))</f>
        <v>Sin novedad</v>
      </c>
    </row>
    <row r="4915" spans="1:14" x14ac:dyDescent="0.25">
      <c r="A4915" s="11">
        <v>46053</v>
      </c>
      <c r="B4915" s="5" t="s">
        <v>971</v>
      </c>
      <c r="C4915" s="3" t="s">
        <v>284</v>
      </c>
      <c r="D4915" s="5" t="s">
        <v>111</v>
      </c>
      <c r="E4915" s="5" t="s">
        <v>112</v>
      </c>
      <c r="F4915" s="6" t="s">
        <v>50</v>
      </c>
      <c r="G4915" s="4" t="s">
        <v>0</v>
      </c>
      <c r="H4915" s="25">
        <v>1658.625</v>
      </c>
      <c r="I4915" s="8">
        <v>8</v>
      </c>
      <c r="J4915" s="9">
        <v>8</v>
      </c>
      <c r="K4915" s="7">
        <v>0</v>
      </c>
      <c r="L4915" s="24">
        <f>+Tabla2[[#This Row],[Stock Inventario]]*Tabla2[[#This Row],[Coste LÃ­nea]]</f>
        <v>13269</v>
      </c>
      <c r="M4915" s="24">
        <f>+Tabla2[[#This Row],[Variación Stock]]*Tabla2[[#This Row],[Coste LÃ­nea]]</f>
        <v>0</v>
      </c>
      <c r="N4915" s="22" t="str">
        <f>+IF(Tabla2[[#This Row],[Variación Stock]]&gt;0,"Sobrante",IF(Tabla2[[#This Row],[Variación Stock]]&lt;0,"Faltante","Sin novedad"))</f>
        <v>Sin novedad</v>
      </c>
    </row>
    <row r="4916" spans="1:14" hidden="1" x14ac:dyDescent="0.25">
      <c r="A4916" s="11">
        <v>46053</v>
      </c>
      <c r="B4916" s="5" t="s">
        <v>971</v>
      </c>
      <c r="C4916" s="3" t="s">
        <v>284</v>
      </c>
      <c r="D4916" s="5" t="s">
        <v>471</v>
      </c>
      <c r="E4916" s="5" t="s">
        <v>117</v>
      </c>
      <c r="F4916" s="6" t="s">
        <v>478</v>
      </c>
      <c r="G4916" s="4" t="s">
        <v>1</v>
      </c>
      <c r="H4916" s="25">
        <v>14</v>
      </c>
      <c r="I4916" s="8">
        <v>6370</v>
      </c>
      <c r="J4916" s="9">
        <v>3130</v>
      </c>
      <c r="K4916" s="7">
        <v>-4940</v>
      </c>
      <c r="L4916" s="24">
        <f>+Tabla2[[#This Row],[Stock Inventario]]*Tabla2[[#This Row],[Coste LÃ­nea]]</f>
        <v>43820</v>
      </c>
      <c r="M4916" s="24">
        <f>+Tabla2[[#This Row],[Variación Stock]]*Tabla2[[#This Row],[Coste LÃ­nea]]</f>
        <v>-69160</v>
      </c>
      <c r="N4916" s="22" t="str">
        <f>+IF(Tabla2[[#This Row],[Variación Stock]]&gt;0,"Sobrante",IF(Tabla2[[#This Row],[Variación Stock]]&lt;0,"Faltante","Sin novedad"))</f>
        <v>Faltante</v>
      </c>
    </row>
    <row r="4917" spans="1:14" hidden="1" x14ac:dyDescent="0.25">
      <c r="A4917" s="11">
        <v>46053</v>
      </c>
      <c r="B4917" s="5" t="s">
        <v>971</v>
      </c>
      <c r="C4917" s="3" t="s">
        <v>284</v>
      </c>
      <c r="D4917" s="5" t="s">
        <v>471</v>
      </c>
      <c r="E4917" s="5" t="s">
        <v>117</v>
      </c>
      <c r="F4917" s="6" t="s">
        <v>479</v>
      </c>
      <c r="G4917" s="4" t="s">
        <v>1</v>
      </c>
      <c r="H4917" s="25">
        <v>7.5</v>
      </c>
      <c r="I4917" s="8">
        <v>0</v>
      </c>
      <c r="J4917" s="9">
        <v>0</v>
      </c>
      <c r="K4917" s="7">
        <v>0</v>
      </c>
      <c r="L4917" s="24">
        <f>+Tabla2[[#This Row],[Stock Inventario]]*Tabla2[[#This Row],[Coste LÃ­nea]]</f>
        <v>0</v>
      </c>
      <c r="M4917" s="24">
        <f>+Tabla2[[#This Row],[Variación Stock]]*Tabla2[[#This Row],[Coste LÃ­nea]]</f>
        <v>0</v>
      </c>
      <c r="N4917" s="22" t="str">
        <f>+IF(Tabla2[[#This Row],[Variación Stock]]&gt;0,"Sobrante",IF(Tabla2[[#This Row],[Variación Stock]]&lt;0,"Faltante","Sin novedad"))</f>
        <v>Sin novedad</v>
      </c>
    </row>
    <row r="4918" spans="1:14" hidden="1" x14ac:dyDescent="0.25">
      <c r="A4918" s="11">
        <v>46053</v>
      </c>
      <c r="B4918" s="5" t="s">
        <v>971</v>
      </c>
      <c r="C4918" s="3" t="s">
        <v>284</v>
      </c>
      <c r="D4918" s="5" t="s">
        <v>471</v>
      </c>
      <c r="E4918" s="5" t="s">
        <v>117</v>
      </c>
      <c r="F4918" s="6" t="s">
        <v>480</v>
      </c>
      <c r="G4918" s="4" t="s">
        <v>1</v>
      </c>
      <c r="H4918" s="25">
        <v>10</v>
      </c>
      <c r="I4918" s="8">
        <v>11716.9421</v>
      </c>
      <c r="J4918" s="9">
        <v>2997</v>
      </c>
      <c r="K4918" s="7">
        <v>-12219.942053700001</v>
      </c>
      <c r="L4918" s="24">
        <f>+Tabla2[[#This Row],[Stock Inventario]]*Tabla2[[#This Row],[Coste LÃ­nea]]</f>
        <v>29970</v>
      </c>
      <c r="M4918" s="24">
        <f>+Tabla2[[#This Row],[Variación Stock]]*Tabla2[[#This Row],[Coste LÃ­nea]]</f>
        <v>-122199.420537</v>
      </c>
      <c r="N4918" s="22" t="str">
        <f>+IF(Tabla2[[#This Row],[Variación Stock]]&gt;0,"Sobrante",IF(Tabla2[[#This Row],[Variación Stock]]&lt;0,"Faltante","Sin novedad"))</f>
        <v>Faltante</v>
      </c>
    </row>
    <row r="4919" spans="1:14" hidden="1" x14ac:dyDescent="0.25">
      <c r="A4919" s="11">
        <v>46053</v>
      </c>
      <c r="B4919" s="5" t="s">
        <v>971</v>
      </c>
      <c r="C4919" s="3" t="s">
        <v>284</v>
      </c>
      <c r="D4919" s="5" t="s">
        <v>471</v>
      </c>
      <c r="E4919" s="5" t="s">
        <v>117</v>
      </c>
      <c r="F4919" s="6" t="s">
        <v>476</v>
      </c>
      <c r="G4919" s="4" t="s">
        <v>1</v>
      </c>
      <c r="H4919" s="25">
        <v>19</v>
      </c>
      <c r="I4919" s="8">
        <v>4062</v>
      </c>
      <c r="J4919" s="9">
        <v>2610</v>
      </c>
      <c r="K4919" s="7">
        <v>-1452</v>
      </c>
      <c r="L4919" s="24">
        <f>+Tabla2[[#This Row],[Stock Inventario]]*Tabla2[[#This Row],[Coste LÃ­nea]]</f>
        <v>49590</v>
      </c>
      <c r="M4919" s="24">
        <f>+Tabla2[[#This Row],[Variación Stock]]*Tabla2[[#This Row],[Coste LÃ­nea]]</f>
        <v>-27588</v>
      </c>
      <c r="N4919" s="22" t="str">
        <f>+IF(Tabla2[[#This Row],[Variación Stock]]&gt;0,"Sobrante",IF(Tabla2[[#This Row],[Variación Stock]]&lt;0,"Faltante","Sin novedad"))</f>
        <v>Faltante</v>
      </c>
    </row>
    <row r="4920" spans="1:14" hidden="1" x14ac:dyDescent="0.25">
      <c r="A4920" s="11">
        <v>46053</v>
      </c>
      <c r="B4920" s="5" t="s">
        <v>971</v>
      </c>
      <c r="C4920" s="3" t="s">
        <v>284</v>
      </c>
      <c r="D4920" s="5" t="s">
        <v>471</v>
      </c>
      <c r="E4920" s="5" t="s">
        <v>117</v>
      </c>
      <c r="F4920" s="6" t="s">
        <v>481</v>
      </c>
      <c r="G4920" s="4" t="s">
        <v>1</v>
      </c>
      <c r="H4920" s="25">
        <v>28</v>
      </c>
      <c r="I4920" s="8">
        <v>9764.4652000000006</v>
      </c>
      <c r="J4920" s="9">
        <v>2003</v>
      </c>
      <c r="K4920" s="7">
        <v>-10161.465220300001</v>
      </c>
      <c r="L4920" s="24">
        <f>+Tabla2[[#This Row],[Stock Inventario]]*Tabla2[[#This Row],[Coste LÃ­nea]]</f>
        <v>56084</v>
      </c>
      <c r="M4920" s="24">
        <f>+Tabla2[[#This Row],[Variación Stock]]*Tabla2[[#This Row],[Coste LÃ­nea]]</f>
        <v>-284521.02616840001</v>
      </c>
      <c r="N4920" s="22" t="str">
        <f>+IF(Tabla2[[#This Row],[Variación Stock]]&gt;0,"Sobrante",IF(Tabla2[[#This Row],[Variación Stock]]&lt;0,"Faltante","Sin novedad"))</f>
        <v>Faltante</v>
      </c>
    </row>
    <row r="4921" spans="1:14" hidden="1" x14ac:dyDescent="0.25">
      <c r="A4921" s="11">
        <v>46053</v>
      </c>
      <c r="B4921" s="5" t="s">
        <v>971</v>
      </c>
      <c r="C4921" s="3" t="s">
        <v>284</v>
      </c>
      <c r="D4921" s="5" t="s">
        <v>803</v>
      </c>
      <c r="E4921" s="5" t="s">
        <v>117</v>
      </c>
      <c r="F4921" s="6" t="s">
        <v>806</v>
      </c>
      <c r="G4921" s="4" t="s">
        <v>1</v>
      </c>
      <c r="H4921" s="25">
        <v>20.111000000000001</v>
      </c>
      <c r="I4921" s="8">
        <v>11061.047200000001</v>
      </c>
      <c r="J4921" s="9">
        <v>3000</v>
      </c>
      <c r="K4921" s="7">
        <v>-10061.047211999999</v>
      </c>
      <c r="L4921" s="24">
        <f>+Tabla2[[#This Row],[Stock Inventario]]*Tabla2[[#This Row],[Coste LÃ­nea]]</f>
        <v>60333</v>
      </c>
      <c r="M4921" s="24">
        <f>+Tabla2[[#This Row],[Variación Stock]]*Tabla2[[#This Row],[Coste LÃ­nea]]</f>
        <v>-202337.72048053201</v>
      </c>
      <c r="N4921" s="22" t="str">
        <f>+IF(Tabla2[[#This Row],[Variación Stock]]&gt;0,"Sobrante",IF(Tabla2[[#This Row],[Variación Stock]]&lt;0,"Faltante","Sin novedad"))</f>
        <v>Faltante</v>
      </c>
    </row>
    <row r="4922" spans="1:14" hidden="1" x14ac:dyDescent="0.25">
      <c r="A4922" s="11">
        <v>46053</v>
      </c>
      <c r="B4922" s="5" t="s">
        <v>971</v>
      </c>
      <c r="C4922" s="3" t="s">
        <v>284</v>
      </c>
      <c r="D4922" s="5" t="s">
        <v>471</v>
      </c>
      <c r="E4922" s="5" t="s">
        <v>117</v>
      </c>
      <c r="F4922" s="6" t="s">
        <v>482</v>
      </c>
      <c r="G4922" s="4" t="s">
        <v>1</v>
      </c>
      <c r="H4922" s="25">
        <v>19.8</v>
      </c>
      <c r="I4922" s="8">
        <v>8414.7041000000008</v>
      </c>
      <c r="J4922" s="9">
        <v>1058</v>
      </c>
      <c r="K4922" s="7">
        <v>-9006.7040720000005</v>
      </c>
      <c r="L4922" s="24">
        <f>+Tabla2[[#This Row],[Stock Inventario]]*Tabla2[[#This Row],[Coste LÃ­nea]]</f>
        <v>20948.400000000001</v>
      </c>
      <c r="M4922" s="24">
        <f>+Tabla2[[#This Row],[Variación Stock]]*Tabla2[[#This Row],[Coste LÃ­nea]]</f>
        <v>-178332.74062560001</v>
      </c>
      <c r="N4922" s="22" t="str">
        <f>+IF(Tabla2[[#This Row],[Variación Stock]]&gt;0,"Sobrante",IF(Tabla2[[#This Row],[Variación Stock]]&lt;0,"Faltante","Sin novedad"))</f>
        <v>Faltante</v>
      </c>
    </row>
    <row r="4923" spans="1:14" hidden="1" x14ac:dyDescent="0.25">
      <c r="A4923" s="11">
        <v>46053</v>
      </c>
      <c r="B4923" s="5" t="s">
        <v>971</v>
      </c>
      <c r="C4923" s="3" t="s">
        <v>284</v>
      </c>
      <c r="D4923" s="5" t="s">
        <v>396</v>
      </c>
      <c r="E4923" s="5" t="s">
        <v>117</v>
      </c>
      <c r="F4923" s="6" t="s">
        <v>412</v>
      </c>
      <c r="G4923" s="4" t="s">
        <v>1</v>
      </c>
      <c r="H4923" s="25">
        <v>20.059999999999999</v>
      </c>
      <c r="I4923" s="8">
        <v>2275</v>
      </c>
      <c r="J4923" s="9">
        <v>2000</v>
      </c>
      <c r="K4923" s="7">
        <v>-275</v>
      </c>
      <c r="L4923" s="24">
        <f>+Tabla2[[#This Row],[Stock Inventario]]*Tabla2[[#This Row],[Coste LÃ­nea]]</f>
        <v>40120</v>
      </c>
      <c r="M4923" s="24">
        <f>+Tabla2[[#This Row],[Variación Stock]]*Tabla2[[#This Row],[Coste LÃ­nea]]</f>
        <v>-5516.5</v>
      </c>
      <c r="N4923" s="22" t="str">
        <f>+IF(Tabla2[[#This Row],[Variación Stock]]&gt;0,"Sobrante",IF(Tabla2[[#This Row],[Variación Stock]]&lt;0,"Faltante","Sin novedad"))</f>
        <v>Faltante</v>
      </c>
    </row>
    <row r="4924" spans="1:14" hidden="1" x14ac:dyDescent="0.25">
      <c r="A4924" s="11">
        <v>46053</v>
      </c>
      <c r="B4924" s="5" t="s">
        <v>971</v>
      </c>
      <c r="C4924" s="3" t="s">
        <v>284</v>
      </c>
      <c r="D4924" s="5" t="s">
        <v>803</v>
      </c>
      <c r="E4924" s="5" t="s">
        <v>117</v>
      </c>
      <c r="F4924" s="6" t="s">
        <v>807</v>
      </c>
      <c r="G4924" s="4" t="s">
        <v>1</v>
      </c>
      <c r="H4924" s="25">
        <v>40.9694</v>
      </c>
      <c r="I4924" s="8">
        <v>392</v>
      </c>
      <c r="J4924" s="9">
        <v>1000</v>
      </c>
      <c r="K4924" s="7">
        <v>608.00000199999999</v>
      </c>
      <c r="L4924" s="24">
        <f>+Tabla2[[#This Row],[Stock Inventario]]*Tabla2[[#This Row],[Coste LÃ­nea]]</f>
        <v>40969.4</v>
      </c>
      <c r="M4924" s="24">
        <f>+Tabla2[[#This Row],[Variación Stock]]*Tabla2[[#This Row],[Coste LÃ­nea]]</f>
        <v>24909.3952819388</v>
      </c>
      <c r="N4924" s="22" t="str">
        <f>+IF(Tabla2[[#This Row],[Variación Stock]]&gt;0,"Sobrante",IF(Tabla2[[#This Row],[Variación Stock]]&lt;0,"Faltante","Sin novedad"))</f>
        <v>Sobrante</v>
      </c>
    </row>
    <row r="4925" spans="1:14" hidden="1" x14ac:dyDescent="0.25">
      <c r="A4925" s="11">
        <v>46053</v>
      </c>
      <c r="B4925" s="5" t="s">
        <v>971</v>
      </c>
      <c r="C4925" s="3" t="s">
        <v>284</v>
      </c>
      <c r="D4925" s="5" t="s">
        <v>559</v>
      </c>
      <c r="E4925" s="5" t="s">
        <v>1080</v>
      </c>
      <c r="F4925" s="6" t="s">
        <v>569</v>
      </c>
      <c r="G4925" s="4" t="s">
        <v>2</v>
      </c>
      <c r="H4925" s="25">
        <v>271.26</v>
      </c>
      <c r="I4925" s="8">
        <v>301</v>
      </c>
      <c r="J4925" s="9">
        <v>200</v>
      </c>
      <c r="K4925" s="7">
        <v>-301</v>
      </c>
      <c r="L4925" s="24">
        <f>+Tabla2[[#This Row],[Stock Inventario]]*Tabla2[[#This Row],[Coste LÃ­nea]]</f>
        <v>54252</v>
      </c>
      <c r="M4925" s="24">
        <f>+Tabla2[[#This Row],[Variación Stock]]*Tabla2[[#This Row],[Coste LÃ­nea]]</f>
        <v>-81649.259999999995</v>
      </c>
      <c r="N4925" s="22" t="str">
        <f>+IF(Tabla2[[#This Row],[Variación Stock]]&gt;0,"Sobrante",IF(Tabla2[[#This Row],[Variación Stock]]&lt;0,"Faltante","Sin novedad"))</f>
        <v>Faltante</v>
      </c>
    </row>
    <row r="4926" spans="1:14" hidden="1" x14ac:dyDescent="0.25">
      <c r="A4926" s="11">
        <v>46053</v>
      </c>
      <c r="B4926" s="5" t="s">
        <v>971</v>
      </c>
      <c r="C4926" s="3" t="s">
        <v>284</v>
      </c>
      <c r="D4926" s="5" t="s">
        <v>559</v>
      </c>
      <c r="E4926" s="5" t="s">
        <v>1080</v>
      </c>
      <c r="F4926" s="6" t="s">
        <v>560</v>
      </c>
      <c r="G4926" s="4" t="s">
        <v>2</v>
      </c>
      <c r="H4926" s="25">
        <v>470.00240000000002</v>
      </c>
      <c r="I4926" s="8">
        <v>0</v>
      </c>
      <c r="J4926" s="9">
        <v>0</v>
      </c>
      <c r="K4926" s="7">
        <v>0</v>
      </c>
      <c r="L4926" s="24">
        <f>+Tabla2[[#This Row],[Stock Inventario]]*Tabla2[[#This Row],[Coste LÃ­nea]]</f>
        <v>0</v>
      </c>
      <c r="M4926" s="24">
        <f>+Tabla2[[#This Row],[Variación Stock]]*Tabla2[[#This Row],[Coste LÃ­nea]]</f>
        <v>0</v>
      </c>
      <c r="N4926" s="22" t="str">
        <f>+IF(Tabla2[[#This Row],[Variación Stock]]&gt;0,"Sobrante",IF(Tabla2[[#This Row],[Variación Stock]]&lt;0,"Faltante","Sin novedad"))</f>
        <v>Sin novedad</v>
      </c>
    </row>
    <row r="4927" spans="1:14" hidden="1" x14ac:dyDescent="0.25">
      <c r="A4927" s="11">
        <v>46053</v>
      </c>
      <c r="B4927" s="5" t="s">
        <v>971</v>
      </c>
      <c r="C4927" s="3" t="s">
        <v>284</v>
      </c>
      <c r="D4927" s="5" t="s">
        <v>559</v>
      </c>
      <c r="E4927" s="5" t="s">
        <v>1080</v>
      </c>
      <c r="F4927" s="6" t="s">
        <v>563</v>
      </c>
      <c r="G4927" s="4" t="s">
        <v>2</v>
      </c>
      <c r="H4927" s="25">
        <v>470.00240000000002</v>
      </c>
      <c r="I4927" s="8">
        <v>0</v>
      </c>
      <c r="J4927" s="9">
        <v>0</v>
      </c>
      <c r="K4927" s="7">
        <v>0</v>
      </c>
      <c r="L4927" s="24">
        <f>+Tabla2[[#This Row],[Stock Inventario]]*Tabla2[[#This Row],[Coste LÃ­nea]]</f>
        <v>0</v>
      </c>
      <c r="M4927" s="24">
        <f>+Tabla2[[#This Row],[Variación Stock]]*Tabla2[[#This Row],[Coste LÃ­nea]]</f>
        <v>0</v>
      </c>
      <c r="N4927" s="22" t="str">
        <f>+IF(Tabla2[[#This Row],[Variación Stock]]&gt;0,"Sobrante",IF(Tabla2[[#This Row],[Variación Stock]]&lt;0,"Faltante","Sin novedad"))</f>
        <v>Sin novedad</v>
      </c>
    </row>
    <row r="4928" spans="1:14" hidden="1" x14ac:dyDescent="0.25">
      <c r="A4928" s="11">
        <v>46053</v>
      </c>
      <c r="B4928" s="5" t="s">
        <v>971</v>
      </c>
      <c r="C4928" s="3" t="s">
        <v>284</v>
      </c>
      <c r="D4928" s="5" t="s">
        <v>559</v>
      </c>
      <c r="E4928" s="5" t="s">
        <v>1080</v>
      </c>
      <c r="F4928" s="6" t="s">
        <v>570</v>
      </c>
      <c r="G4928" s="4" t="s">
        <v>2</v>
      </c>
      <c r="H4928" s="25">
        <v>521.92999999999995</v>
      </c>
      <c r="I4928" s="8">
        <v>200</v>
      </c>
      <c r="J4928" s="9">
        <v>200</v>
      </c>
      <c r="K4928" s="7">
        <v>-100</v>
      </c>
      <c r="L4928" s="24">
        <f>+Tabla2[[#This Row],[Stock Inventario]]*Tabla2[[#This Row],[Coste LÃ­nea]]</f>
        <v>104385.99999999999</v>
      </c>
      <c r="M4928" s="24">
        <f>+Tabla2[[#This Row],[Variación Stock]]*Tabla2[[#This Row],[Coste LÃ­nea]]</f>
        <v>-52192.999999999993</v>
      </c>
      <c r="N4928" s="22" t="str">
        <f>+IF(Tabla2[[#This Row],[Variación Stock]]&gt;0,"Sobrante",IF(Tabla2[[#This Row],[Variación Stock]]&lt;0,"Faltante","Sin novedad"))</f>
        <v>Faltante</v>
      </c>
    </row>
    <row r="4929" spans="1:14" hidden="1" x14ac:dyDescent="0.25">
      <c r="A4929" s="11">
        <v>46053</v>
      </c>
      <c r="B4929" s="5" t="s">
        <v>971</v>
      </c>
      <c r="C4929" s="3" t="s">
        <v>284</v>
      </c>
      <c r="D4929" s="5" t="s">
        <v>559</v>
      </c>
      <c r="E4929" s="5" t="s">
        <v>1080</v>
      </c>
      <c r="F4929" s="6" t="s">
        <v>571</v>
      </c>
      <c r="G4929" s="4" t="s">
        <v>2</v>
      </c>
      <c r="H4929" s="25">
        <v>681.28</v>
      </c>
      <c r="I4929" s="8">
        <v>500</v>
      </c>
      <c r="J4929" s="9">
        <v>200</v>
      </c>
      <c r="K4929" s="7">
        <v>-400</v>
      </c>
      <c r="L4929" s="24">
        <f>+Tabla2[[#This Row],[Stock Inventario]]*Tabla2[[#This Row],[Coste LÃ­nea]]</f>
        <v>136256</v>
      </c>
      <c r="M4929" s="24">
        <f>+Tabla2[[#This Row],[Variación Stock]]*Tabla2[[#This Row],[Coste LÃ­nea]]</f>
        <v>-272512</v>
      </c>
      <c r="N4929" s="22" t="str">
        <f>+IF(Tabla2[[#This Row],[Variación Stock]]&gt;0,"Sobrante",IF(Tabla2[[#This Row],[Variación Stock]]&lt;0,"Faltante","Sin novedad"))</f>
        <v>Faltante</v>
      </c>
    </row>
    <row r="4930" spans="1:14" hidden="1" x14ac:dyDescent="0.25">
      <c r="A4930" s="11">
        <v>46053</v>
      </c>
      <c r="B4930" s="5" t="s">
        <v>971</v>
      </c>
      <c r="C4930" s="3" t="s">
        <v>284</v>
      </c>
      <c r="D4930" s="5" t="s">
        <v>471</v>
      </c>
      <c r="E4930" s="5" t="s">
        <v>117</v>
      </c>
      <c r="F4930" s="6" t="s">
        <v>483</v>
      </c>
      <c r="G4930" s="4" t="s">
        <v>1</v>
      </c>
      <c r="H4930" s="25">
        <v>13</v>
      </c>
      <c r="I4930" s="8">
        <v>713</v>
      </c>
      <c r="J4930" s="9">
        <v>472</v>
      </c>
      <c r="K4930" s="7">
        <v>-741</v>
      </c>
      <c r="L4930" s="24">
        <f>+Tabla2[[#This Row],[Stock Inventario]]*Tabla2[[#This Row],[Coste LÃ­nea]]</f>
        <v>6136</v>
      </c>
      <c r="M4930" s="24">
        <f>+Tabla2[[#This Row],[Variación Stock]]*Tabla2[[#This Row],[Coste LÃ­nea]]</f>
        <v>-9633</v>
      </c>
      <c r="N4930" s="22" t="str">
        <f>+IF(Tabla2[[#This Row],[Variación Stock]]&gt;0,"Sobrante",IF(Tabla2[[#This Row],[Variación Stock]]&lt;0,"Faltante","Sin novedad"))</f>
        <v>Faltante</v>
      </c>
    </row>
    <row r="4931" spans="1:14" x14ac:dyDescent="0.25">
      <c r="A4931" s="11">
        <v>46053</v>
      </c>
      <c r="B4931" s="5" t="s">
        <v>971</v>
      </c>
      <c r="C4931" s="3" t="s">
        <v>284</v>
      </c>
      <c r="D4931" s="5" t="s">
        <v>118</v>
      </c>
      <c r="E4931" s="5" t="s">
        <v>112</v>
      </c>
      <c r="F4931" s="6" t="s">
        <v>293</v>
      </c>
      <c r="G4931" s="4" t="s">
        <v>2</v>
      </c>
      <c r="H4931" s="25">
        <v>125043</v>
      </c>
      <c r="I4931" s="8">
        <v>1</v>
      </c>
      <c r="J4931" s="9">
        <v>1</v>
      </c>
      <c r="K4931" s="7">
        <v>0</v>
      </c>
      <c r="L4931" s="24">
        <f>+Tabla2[[#This Row],[Stock Inventario]]*Tabla2[[#This Row],[Coste LÃ­nea]]</f>
        <v>125043</v>
      </c>
      <c r="M4931" s="24">
        <f>+Tabla2[[#This Row],[Variación Stock]]*Tabla2[[#This Row],[Coste LÃ­nea]]</f>
        <v>0</v>
      </c>
      <c r="N4931" s="22" t="str">
        <f>+IF(Tabla2[[#This Row],[Variación Stock]]&gt;0,"Sobrante",IF(Tabla2[[#This Row],[Variación Stock]]&lt;0,"Faltante","Sin novedad"))</f>
        <v>Sin novedad</v>
      </c>
    </row>
    <row r="4932" spans="1:14" hidden="1" x14ac:dyDescent="0.25">
      <c r="A4932" s="11">
        <v>46053</v>
      </c>
      <c r="B4932" s="5" t="s">
        <v>971</v>
      </c>
      <c r="C4932" s="3" t="s">
        <v>284</v>
      </c>
      <c r="D4932" s="5" t="s">
        <v>626</v>
      </c>
      <c r="E4932" s="5" t="s">
        <v>1079</v>
      </c>
      <c r="F4932" s="6" t="s">
        <v>635</v>
      </c>
      <c r="G4932" s="4" t="s">
        <v>1</v>
      </c>
      <c r="H4932" s="25">
        <v>13.83777778</v>
      </c>
      <c r="I4932" s="8">
        <v>3001.5</v>
      </c>
      <c r="J4932" s="9">
        <v>1500</v>
      </c>
      <c r="K4932" s="7">
        <v>-1501.5</v>
      </c>
      <c r="L4932" s="24">
        <f>+Tabla2[[#This Row],[Stock Inventario]]*Tabla2[[#This Row],[Coste LÃ­nea]]</f>
        <v>20756.666669999999</v>
      </c>
      <c r="M4932" s="24">
        <f>+Tabla2[[#This Row],[Variación Stock]]*Tabla2[[#This Row],[Coste LÃ­nea]]</f>
        <v>-20777.423336669999</v>
      </c>
      <c r="N4932" s="22" t="str">
        <f>+IF(Tabla2[[#This Row],[Variación Stock]]&gt;0,"Sobrante",IF(Tabla2[[#This Row],[Variación Stock]]&lt;0,"Faltante","Sin novedad"))</f>
        <v>Faltante</v>
      </c>
    </row>
    <row r="4933" spans="1:14" hidden="1" x14ac:dyDescent="0.25">
      <c r="A4933" s="11">
        <v>46053</v>
      </c>
      <c r="B4933" s="5" t="s">
        <v>971</v>
      </c>
      <c r="C4933" s="3" t="s">
        <v>284</v>
      </c>
      <c r="D4933" s="5" t="s">
        <v>824</v>
      </c>
      <c r="E4933" s="5" t="s">
        <v>117</v>
      </c>
      <c r="F4933" s="6" t="s">
        <v>825</v>
      </c>
      <c r="G4933" s="4" t="s">
        <v>1</v>
      </c>
      <c r="H4933" s="25">
        <v>173.386</v>
      </c>
      <c r="I4933" s="8">
        <v>0</v>
      </c>
      <c r="J4933" s="9">
        <v>0</v>
      </c>
      <c r="K4933" s="7">
        <v>0</v>
      </c>
      <c r="L4933" s="24">
        <f>+Tabla2[[#This Row],[Stock Inventario]]*Tabla2[[#This Row],[Coste LÃ­nea]]</f>
        <v>0</v>
      </c>
      <c r="M4933" s="24">
        <f>+Tabla2[[#This Row],[Variación Stock]]*Tabla2[[#This Row],[Coste LÃ­nea]]</f>
        <v>0</v>
      </c>
      <c r="N4933" s="22" t="str">
        <f>+IF(Tabla2[[#This Row],[Variación Stock]]&gt;0,"Sobrante",IF(Tabla2[[#This Row],[Variación Stock]]&lt;0,"Faltante","Sin novedad"))</f>
        <v>Sin novedad</v>
      </c>
    </row>
    <row r="4934" spans="1:14" hidden="1" x14ac:dyDescent="0.25">
      <c r="A4934" s="11">
        <v>46053</v>
      </c>
      <c r="B4934" s="5" t="s">
        <v>971</v>
      </c>
      <c r="C4934" s="3" t="s">
        <v>284</v>
      </c>
      <c r="D4934" s="5" t="s">
        <v>396</v>
      </c>
      <c r="E4934" s="5" t="s">
        <v>117</v>
      </c>
      <c r="F4934" s="6" t="s">
        <v>458</v>
      </c>
      <c r="G4934" s="4" t="s">
        <v>1</v>
      </c>
      <c r="H4934" s="25">
        <v>12.150080000000001</v>
      </c>
      <c r="I4934" s="8">
        <v>0</v>
      </c>
      <c r="J4934" s="9">
        <v>0</v>
      </c>
      <c r="K4934" s="7">
        <v>0</v>
      </c>
      <c r="L4934" s="24">
        <f>+Tabla2[[#This Row],[Stock Inventario]]*Tabla2[[#This Row],[Coste LÃ­nea]]</f>
        <v>0</v>
      </c>
      <c r="M4934" s="24">
        <f>+Tabla2[[#This Row],[Variación Stock]]*Tabla2[[#This Row],[Coste LÃ­nea]]</f>
        <v>0</v>
      </c>
      <c r="N4934" s="22" t="str">
        <f>+IF(Tabla2[[#This Row],[Variación Stock]]&gt;0,"Sobrante",IF(Tabla2[[#This Row],[Variación Stock]]&lt;0,"Faltante","Sin novedad"))</f>
        <v>Sin novedad</v>
      </c>
    </row>
    <row r="4935" spans="1:14" x14ac:dyDescent="0.25">
      <c r="A4935" s="11">
        <v>46053</v>
      </c>
      <c r="B4935" s="5" t="s">
        <v>971</v>
      </c>
      <c r="C4935" s="3" t="s">
        <v>284</v>
      </c>
      <c r="D4935" s="5" t="s">
        <v>111</v>
      </c>
      <c r="E4935" s="5" t="s">
        <v>112</v>
      </c>
      <c r="F4935" s="6" t="s">
        <v>35</v>
      </c>
      <c r="G4935" s="4" t="s">
        <v>0</v>
      </c>
      <c r="H4935" s="25">
        <v>6045.125</v>
      </c>
      <c r="I4935" s="8">
        <v>13</v>
      </c>
      <c r="J4935" s="9">
        <v>13</v>
      </c>
      <c r="K4935" s="7">
        <v>0</v>
      </c>
      <c r="L4935" s="24">
        <f>+Tabla2[[#This Row],[Stock Inventario]]*Tabla2[[#This Row],[Coste LÃ­nea]]</f>
        <v>78586.625</v>
      </c>
      <c r="M4935" s="24">
        <f>+Tabla2[[#This Row],[Variación Stock]]*Tabla2[[#This Row],[Coste LÃ­nea]]</f>
        <v>0</v>
      </c>
      <c r="N4935" s="22" t="str">
        <f>+IF(Tabla2[[#This Row],[Variación Stock]]&gt;0,"Sobrante",IF(Tabla2[[#This Row],[Variación Stock]]&lt;0,"Faltante","Sin novedad"))</f>
        <v>Sin novedad</v>
      </c>
    </row>
    <row r="4936" spans="1:14" hidden="1" x14ac:dyDescent="0.25">
      <c r="A4936" s="11">
        <v>46053</v>
      </c>
      <c r="B4936" s="5" t="s">
        <v>971</v>
      </c>
      <c r="C4936" s="3" t="s">
        <v>284</v>
      </c>
      <c r="D4936" s="5" t="s">
        <v>803</v>
      </c>
      <c r="E4936" s="5" t="s">
        <v>117</v>
      </c>
      <c r="F4936" s="6" t="s">
        <v>804</v>
      </c>
      <c r="G4936" s="4" t="s">
        <v>1</v>
      </c>
      <c r="H4936" s="25">
        <v>120</v>
      </c>
      <c r="I4936" s="8">
        <v>0</v>
      </c>
      <c r="J4936" s="9">
        <v>0</v>
      </c>
      <c r="K4936" s="7">
        <v>0</v>
      </c>
      <c r="L4936" s="24">
        <f>+Tabla2[[#This Row],[Stock Inventario]]*Tabla2[[#This Row],[Coste LÃ­nea]]</f>
        <v>0</v>
      </c>
      <c r="M4936" s="24">
        <f>+Tabla2[[#This Row],[Variación Stock]]*Tabla2[[#This Row],[Coste LÃ­nea]]</f>
        <v>0</v>
      </c>
      <c r="N4936" s="22" t="str">
        <f>+IF(Tabla2[[#This Row],[Variación Stock]]&gt;0,"Sobrante",IF(Tabla2[[#This Row],[Variación Stock]]&lt;0,"Faltante","Sin novedad"))</f>
        <v>Sin novedad</v>
      </c>
    </row>
    <row r="4937" spans="1:14" x14ac:dyDescent="0.25">
      <c r="A4937" s="11">
        <v>46053</v>
      </c>
      <c r="B4937" s="5" t="s">
        <v>971</v>
      </c>
      <c r="C4937" s="3" t="s">
        <v>284</v>
      </c>
      <c r="D4937" s="5" t="s">
        <v>111</v>
      </c>
      <c r="E4937" s="5" t="s">
        <v>112</v>
      </c>
      <c r="F4937" s="6" t="s">
        <v>36</v>
      </c>
      <c r="G4937" s="4" t="s">
        <v>0</v>
      </c>
      <c r="H4937" s="25">
        <v>3951.875</v>
      </c>
      <c r="I4937" s="8">
        <v>12</v>
      </c>
      <c r="J4937" s="9">
        <v>19</v>
      </c>
      <c r="K4937" s="7">
        <v>7</v>
      </c>
      <c r="L4937" s="24">
        <f>+Tabla2[[#This Row],[Stock Inventario]]*Tabla2[[#This Row],[Coste LÃ­nea]]</f>
        <v>75085.625</v>
      </c>
      <c r="M4937" s="24">
        <f>+Tabla2[[#This Row],[Variación Stock]]*Tabla2[[#This Row],[Coste LÃ­nea]]</f>
        <v>27663.125</v>
      </c>
      <c r="N4937" s="22" t="str">
        <f>+IF(Tabla2[[#This Row],[Variación Stock]]&gt;0,"Sobrante",IF(Tabla2[[#This Row],[Variación Stock]]&lt;0,"Faltante","Sin novedad"))</f>
        <v>Sobrante</v>
      </c>
    </row>
    <row r="4938" spans="1:14" hidden="1" x14ac:dyDescent="0.25">
      <c r="A4938" s="11">
        <v>46053</v>
      </c>
      <c r="B4938" s="5" t="s">
        <v>971</v>
      </c>
      <c r="C4938" s="3" t="s">
        <v>284</v>
      </c>
      <c r="D4938" s="5" t="s">
        <v>471</v>
      </c>
      <c r="E4938" s="5" t="s">
        <v>117</v>
      </c>
      <c r="F4938" s="6" t="s">
        <v>484</v>
      </c>
      <c r="G4938" s="4" t="s">
        <v>1</v>
      </c>
      <c r="H4938" s="25">
        <v>2200</v>
      </c>
      <c r="I4938" s="8">
        <v>4059.1318999999999</v>
      </c>
      <c r="J4938" s="9">
        <v>1374000</v>
      </c>
      <c r="K4938" s="7">
        <v>1369190.86812</v>
      </c>
      <c r="L4938" s="24">
        <f>+Tabla2[[#This Row],[Stock Inventario]]*Tabla2[[#This Row],[Coste LÃ­nea]]</f>
        <v>3022800000</v>
      </c>
      <c r="M4938" s="24">
        <f>+Tabla2[[#This Row],[Variación Stock]]*Tabla2[[#This Row],[Coste LÃ­nea]]</f>
        <v>3012219909.8639998</v>
      </c>
      <c r="N4938" s="22" t="str">
        <f>+IF(Tabla2[[#This Row],[Variación Stock]]&gt;0,"Sobrante",IF(Tabla2[[#This Row],[Variación Stock]]&lt;0,"Faltante","Sin novedad"))</f>
        <v>Sobrante</v>
      </c>
    </row>
    <row r="4939" spans="1:14" hidden="1" x14ac:dyDescent="0.25">
      <c r="A4939" s="11">
        <v>46053</v>
      </c>
      <c r="B4939" s="5" t="s">
        <v>971</v>
      </c>
      <c r="C4939" s="3" t="s">
        <v>284</v>
      </c>
      <c r="D4939" s="5" t="s">
        <v>471</v>
      </c>
      <c r="E4939" s="5" t="s">
        <v>117</v>
      </c>
      <c r="F4939" s="6" t="s">
        <v>485</v>
      </c>
      <c r="G4939" s="4" t="s">
        <v>1</v>
      </c>
      <c r="H4939" s="25">
        <v>60</v>
      </c>
      <c r="I4939" s="8">
        <v>0</v>
      </c>
      <c r="J4939" s="9">
        <v>0</v>
      </c>
      <c r="K4939" s="7">
        <v>0</v>
      </c>
      <c r="L4939" s="24">
        <f>+Tabla2[[#This Row],[Stock Inventario]]*Tabla2[[#This Row],[Coste LÃ­nea]]</f>
        <v>0</v>
      </c>
      <c r="M4939" s="24">
        <f>+Tabla2[[#This Row],[Variación Stock]]*Tabla2[[#This Row],[Coste LÃ­nea]]</f>
        <v>0</v>
      </c>
      <c r="N4939" s="22" t="str">
        <f>+IF(Tabla2[[#This Row],[Variación Stock]]&gt;0,"Sobrante",IF(Tabla2[[#This Row],[Variación Stock]]&lt;0,"Faltante","Sin novedad"))</f>
        <v>Sin novedad</v>
      </c>
    </row>
    <row r="4940" spans="1:14" hidden="1" x14ac:dyDescent="0.25">
      <c r="A4940" s="11">
        <v>46053</v>
      </c>
      <c r="B4940" s="5" t="s">
        <v>971</v>
      </c>
      <c r="C4940" s="3" t="s">
        <v>284</v>
      </c>
      <c r="D4940" s="5" t="s">
        <v>547</v>
      </c>
      <c r="E4940" s="5" t="s">
        <v>117</v>
      </c>
      <c r="F4940" s="6" t="s">
        <v>552</v>
      </c>
      <c r="G4940" s="4" t="s">
        <v>1</v>
      </c>
      <c r="H4940" s="25">
        <v>18.725999999999999</v>
      </c>
      <c r="I4940" s="8">
        <v>6950</v>
      </c>
      <c r="J4940" s="9">
        <v>6750</v>
      </c>
      <c r="K4940" s="7">
        <v>-5200</v>
      </c>
      <c r="L4940" s="24">
        <f>+Tabla2[[#This Row],[Stock Inventario]]*Tabla2[[#This Row],[Coste LÃ­nea]]</f>
        <v>126400.5</v>
      </c>
      <c r="M4940" s="24">
        <f>+Tabla2[[#This Row],[Variación Stock]]*Tabla2[[#This Row],[Coste LÃ­nea]]</f>
        <v>-97375.2</v>
      </c>
      <c r="N4940" s="22" t="str">
        <f>+IF(Tabla2[[#This Row],[Variación Stock]]&gt;0,"Sobrante",IF(Tabla2[[#This Row],[Variación Stock]]&lt;0,"Faltante","Sin novedad"))</f>
        <v>Faltante</v>
      </c>
    </row>
    <row r="4941" spans="1:14" hidden="1" x14ac:dyDescent="0.25">
      <c r="A4941" s="11">
        <v>46053</v>
      </c>
      <c r="B4941" s="5" t="s">
        <v>971</v>
      </c>
      <c r="C4941" s="3" t="s">
        <v>284</v>
      </c>
      <c r="D4941" s="5" t="s">
        <v>396</v>
      </c>
      <c r="E4941" s="5" t="s">
        <v>117</v>
      </c>
      <c r="F4941" s="6" t="s">
        <v>403</v>
      </c>
      <c r="G4941" s="4" t="s">
        <v>1</v>
      </c>
      <c r="H4941" s="25">
        <v>202.15</v>
      </c>
      <c r="I4941" s="8">
        <v>600</v>
      </c>
      <c r="J4941" s="9">
        <v>500</v>
      </c>
      <c r="K4941" s="7">
        <v>-100</v>
      </c>
      <c r="L4941" s="24">
        <f>+Tabla2[[#This Row],[Stock Inventario]]*Tabla2[[#This Row],[Coste LÃ­nea]]</f>
        <v>101075</v>
      </c>
      <c r="M4941" s="24">
        <f>+Tabla2[[#This Row],[Variación Stock]]*Tabla2[[#This Row],[Coste LÃ­nea]]</f>
        <v>-20215</v>
      </c>
      <c r="N4941" s="22" t="str">
        <f>+IF(Tabla2[[#This Row],[Variación Stock]]&gt;0,"Sobrante",IF(Tabla2[[#This Row],[Variación Stock]]&lt;0,"Faltante","Sin novedad"))</f>
        <v>Faltante</v>
      </c>
    </row>
    <row r="4942" spans="1:14" x14ac:dyDescent="0.25">
      <c r="A4942" s="11">
        <v>46053</v>
      </c>
      <c r="B4942" s="5" t="s">
        <v>971</v>
      </c>
      <c r="C4942" s="3" t="s">
        <v>284</v>
      </c>
      <c r="D4942" s="5" t="s">
        <v>603</v>
      </c>
      <c r="E4942" s="5" t="s">
        <v>112</v>
      </c>
      <c r="F4942" s="6" t="s">
        <v>611</v>
      </c>
      <c r="G4942" s="4" t="s">
        <v>2</v>
      </c>
      <c r="H4942" s="25">
        <v>1600</v>
      </c>
      <c r="I4942" s="8">
        <v>0</v>
      </c>
      <c r="J4942" s="9">
        <v>0</v>
      </c>
      <c r="K4942" s="7">
        <v>0</v>
      </c>
      <c r="L4942" s="24">
        <f>+Tabla2[[#This Row],[Stock Inventario]]*Tabla2[[#This Row],[Coste LÃ­nea]]</f>
        <v>0</v>
      </c>
      <c r="M4942" s="24">
        <f>+Tabla2[[#This Row],[Variación Stock]]*Tabla2[[#This Row],[Coste LÃ­nea]]</f>
        <v>0</v>
      </c>
      <c r="N4942" s="22" t="str">
        <f>+IF(Tabla2[[#This Row],[Variación Stock]]&gt;0,"Sobrante",IF(Tabla2[[#This Row],[Variación Stock]]&lt;0,"Faltante","Sin novedad"))</f>
        <v>Sin novedad</v>
      </c>
    </row>
    <row r="4943" spans="1:14" hidden="1" x14ac:dyDescent="0.25">
      <c r="A4943" s="11">
        <v>46053</v>
      </c>
      <c r="B4943" s="5" t="s">
        <v>971</v>
      </c>
      <c r="C4943" s="3" t="s">
        <v>284</v>
      </c>
      <c r="D4943" s="5" t="s">
        <v>396</v>
      </c>
      <c r="E4943" s="5" t="s">
        <v>117</v>
      </c>
      <c r="F4943" s="6" t="s">
        <v>429</v>
      </c>
      <c r="G4943" s="4" t="s">
        <v>1</v>
      </c>
      <c r="H4943" s="25">
        <v>10.616</v>
      </c>
      <c r="I4943" s="8">
        <v>108668</v>
      </c>
      <c r="J4943" s="9">
        <v>23000</v>
      </c>
      <c r="K4943" s="7">
        <v>-105668</v>
      </c>
      <c r="L4943" s="24">
        <f>+Tabla2[[#This Row],[Stock Inventario]]*Tabla2[[#This Row],[Coste LÃ­nea]]</f>
        <v>244168</v>
      </c>
      <c r="M4943" s="24">
        <f>+Tabla2[[#This Row],[Variación Stock]]*Tabla2[[#This Row],[Coste LÃ­nea]]</f>
        <v>-1121771.4879999999</v>
      </c>
      <c r="N4943" s="22" t="str">
        <f>+IF(Tabla2[[#This Row],[Variación Stock]]&gt;0,"Sobrante",IF(Tabla2[[#This Row],[Variación Stock]]&lt;0,"Faltante","Sin novedad"))</f>
        <v>Faltante</v>
      </c>
    </row>
    <row r="4944" spans="1:14" hidden="1" x14ac:dyDescent="0.25">
      <c r="A4944" s="11">
        <v>46053</v>
      </c>
      <c r="B4944" s="5" t="s">
        <v>971</v>
      </c>
      <c r="C4944" s="3" t="s">
        <v>284</v>
      </c>
      <c r="D4944" s="5" t="s">
        <v>471</v>
      </c>
      <c r="E4944" s="5" t="s">
        <v>117</v>
      </c>
      <c r="F4944" s="6" t="s">
        <v>486</v>
      </c>
      <c r="G4944" s="4" t="s">
        <v>1</v>
      </c>
      <c r="H4944" s="25">
        <v>11.98</v>
      </c>
      <c r="I4944" s="8">
        <v>0</v>
      </c>
      <c r="J4944" s="9">
        <v>0</v>
      </c>
      <c r="K4944" s="7">
        <v>0</v>
      </c>
      <c r="L4944" s="24">
        <f>+Tabla2[[#This Row],[Stock Inventario]]*Tabla2[[#This Row],[Coste LÃ­nea]]</f>
        <v>0</v>
      </c>
      <c r="M4944" s="24">
        <f>+Tabla2[[#This Row],[Variación Stock]]*Tabla2[[#This Row],[Coste LÃ­nea]]</f>
        <v>0</v>
      </c>
      <c r="N4944" s="22" t="str">
        <f>+IF(Tabla2[[#This Row],[Variación Stock]]&gt;0,"Sobrante",IF(Tabla2[[#This Row],[Variación Stock]]&lt;0,"Faltante","Sin novedad"))</f>
        <v>Sin novedad</v>
      </c>
    </row>
    <row r="4945" spans="1:14" hidden="1" x14ac:dyDescent="0.25">
      <c r="A4945" s="11">
        <v>46053</v>
      </c>
      <c r="B4945" s="5" t="s">
        <v>971</v>
      </c>
      <c r="C4945" s="3" t="s">
        <v>284</v>
      </c>
      <c r="D4945" s="5" t="s">
        <v>396</v>
      </c>
      <c r="E4945" s="5" t="s">
        <v>117</v>
      </c>
      <c r="F4945" s="6" t="s">
        <v>430</v>
      </c>
      <c r="G4945" s="4" t="s">
        <v>1</v>
      </c>
      <c r="H4945" s="25">
        <v>18.245000000000001</v>
      </c>
      <c r="I4945" s="8">
        <v>2566</v>
      </c>
      <c r="J4945" s="9">
        <v>2000</v>
      </c>
      <c r="K4945" s="7">
        <v>-566</v>
      </c>
      <c r="L4945" s="24">
        <f>+Tabla2[[#This Row],[Stock Inventario]]*Tabla2[[#This Row],[Coste LÃ­nea]]</f>
        <v>36490</v>
      </c>
      <c r="M4945" s="24">
        <f>+Tabla2[[#This Row],[Variación Stock]]*Tabla2[[#This Row],[Coste LÃ­nea]]</f>
        <v>-10326.67</v>
      </c>
      <c r="N4945" s="22" t="str">
        <f>+IF(Tabla2[[#This Row],[Variación Stock]]&gt;0,"Sobrante",IF(Tabla2[[#This Row],[Variación Stock]]&lt;0,"Faltante","Sin novedad"))</f>
        <v>Faltante</v>
      </c>
    </row>
    <row r="4946" spans="1:14" hidden="1" x14ac:dyDescent="0.25">
      <c r="A4946" s="11">
        <v>46053</v>
      </c>
      <c r="B4946" s="5" t="s">
        <v>971</v>
      </c>
      <c r="C4946" s="3" t="s">
        <v>284</v>
      </c>
      <c r="D4946" s="5" t="s">
        <v>119</v>
      </c>
      <c r="E4946" s="5" t="s">
        <v>117</v>
      </c>
      <c r="F4946" s="6" t="s">
        <v>192</v>
      </c>
      <c r="G4946" s="4" t="s">
        <v>2</v>
      </c>
      <c r="H4946" s="25">
        <v>8233.3333333299997</v>
      </c>
      <c r="I4946" s="8">
        <v>0</v>
      </c>
      <c r="J4946" s="9">
        <v>0</v>
      </c>
      <c r="K4946" s="7">
        <v>0</v>
      </c>
      <c r="L4946" s="24">
        <f>+Tabla2[[#This Row],[Stock Inventario]]*Tabla2[[#This Row],[Coste LÃ­nea]]</f>
        <v>0</v>
      </c>
      <c r="M4946" s="24">
        <f>+Tabla2[[#This Row],[Variación Stock]]*Tabla2[[#This Row],[Coste LÃ­nea]]</f>
        <v>0</v>
      </c>
      <c r="N4946" s="22" t="str">
        <f>+IF(Tabla2[[#This Row],[Variación Stock]]&gt;0,"Sobrante",IF(Tabla2[[#This Row],[Variación Stock]]&lt;0,"Faltante","Sin novedad"))</f>
        <v>Sin novedad</v>
      </c>
    </row>
    <row r="4947" spans="1:14" hidden="1" x14ac:dyDescent="0.25">
      <c r="A4947" s="11">
        <v>46053</v>
      </c>
      <c r="B4947" s="5" t="s">
        <v>971</v>
      </c>
      <c r="C4947" s="3" t="s">
        <v>284</v>
      </c>
      <c r="D4947" s="5" t="s">
        <v>396</v>
      </c>
      <c r="E4947" s="5" t="s">
        <v>117</v>
      </c>
      <c r="F4947" s="6" t="s">
        <v>431</v>
      </c>
      <c r="G4947" s="4" t="s">
        <v>1</v>
      </c>
      <c r="H4947" s="25">
        <v>4.8816800000000002</v>
      </c>
      <c r="I4947" s="8">
        <v>78266</v>
      </c>
      <c r="J4947" s="9">
        <v>17500</v>
      </c>
      <c r="K4947" s="7">
        <v>-60766</v>
      </c>
      <c r="L4947" s="24">
        <f>+Tabla2[[#This Row],[Stock Inventario]]*Tabla2[[#This Row],[Coste LÃ­nea]]</f>
        <v>85429.400000000009</v>
      </c>
      <c r="M4947" s="24">
        <f>+Tabla2[[#This Row],[Variación Stock]]*Tabla2[[#This Row],[Coste LÃ­nea]]</f>
        <v>-296640.16688000003</v>
      </c>
      <c r="N4947" s="22" t="str">
        <f>+IF(Tabla2[[#This Row],[Variación Stock]]&gt;0,"Sobrante",IF(Tabla2[[#This Row],[Variación Stock]]&lt;0,"Faltante","Sin novedad"))</f>
        <v>Faltante</v>
      </c>
    </row>
    <row r="4948" spans="1:14" hidden="1" x14ac:dyDescent="0.25">
      <c r="A4948" s="11">
        <v>46053</v>
      </c>
      <c r="B4948" s="5" t="s">
        <v>971</v>
      </c>
      <c r="C4948" s="3" t="s">
        <v>284</v>
      </c>
      <c r="D4948" s="5" t="s">
        <v>396</v>
      </c>
      <c r="E4948" s="5" t="s">
        <v>117</v>
      </c>
      <c r="F4948" s="6" t="s">
        <v>432</v>
      </c>
      <c r="G4948" s="4" t="s">
        <v>2</v>
      </c>
      <c r="H4948" s="25">
        <v>32.939</v>
      </c>
      <c r="I4948" s="8">
        <v>0</v>
      </c>
      <c r="J4948" s="9">
        <v>180</v>
      </c>
      <c r="K4948" s="7">
        <v>180</v>
      </c>
      <c r="L4948" s="24">
        <f>+Tabla2[[#This Row],[Stock Inventario]]*Tabla2[[#This Row],[Coste LÃ­nea]]</f>
        <v>5929.02</v>
      </c>
      <c r="M4948" s="24">
        <f>+Tabla2[[#This Row],[Variación Stock]]*Tabla2[[#This Row],[Coste LÃ­nea]]</f>
        <v>5929.02</v>
      </c>
      <c r="N4948" s="22" t="str">
        <f>+IF(Tabla2[[#This Row],[Variación Stock]]&gt;0,"Sobrante",IF(Tabla2[[#This Row],[Variación Stock]]&lt;0,"Faltante","Sin novedad"))</f>
        <v>Sobrante</v>
      </c>
    </row>
    <row r="4949" spans="1:14" x14ac:dyDescent="0.25">
      <c r="A4949" s="11">
        <v>46053</v>
      </c>
      <c r="B4949" s="5" t="s">
        <v>971</v>
      </c>
      <c r="C4949" s="3" t="s">
        <v>284</v>
      </c>
      <c r="D4949" s="5" t="s">
        <v>111</v>
      </c>
      <c r="E4949" s="5" t="s">
        <v>112</v>
      </c>
      <c r="F4949" s="6" t="s">
        <v>16</v>
      </c>
      <c r="G4949" s="4" t="s">
        <v>0</v>
      </c>
      <c r="H4949" s="25">
        <v>2309.40625</v>
      </c>
      <c r="I4949" s="8">
        <v>33</v>
      </c>
      <c r="J4949" s="9">
        <v>32</v>
      </c>
      <c r="K4949" s="7">
        <v>-1</v>
      </c>
      <c r="L4949" s="24">
        <f>+Tabla2[[#This Row],[Stock Inventario]]*Tabla2[[#This Row],[Coste LÃ­nea]]</f>
        <v>73901</v>
      </c>
      <c r="M4949" s="24">
        <f>+Tabla2[[#This Row],[Variación Stock]]*Tabla2[[#This Row],[Coste LÃ­nea]]</f>
        <v>-2309.40625</v>
      </c>
      <c r="N4949" s="22" t="str">
        <f>+IF(Tabla2[[#This Row],[Variación Stock]]&gt;0,"Sobrante",IF(Tabla2[[#This Row],[Variación Stock]]&lt;0,"Faltante","Sin novedad"))</f>
        <v>Faltante</v>
      </c>
    </row>
    <row r="4950" spans="1:14" hidden="1" x14ac:dyDescent="0.25">
      <c r="A4950" s="11">
        <v>46053</v>
      </c>
      <c r="B4950" s="5" t="s">
        <v>971</v>
      </c>
      <c r="C4950" s="3" t="s">
        <v>284</v>
      </c>
      <c r="D4950" s="5" t="s">
        <v>471</v>
      </c>
      <c r="E4950" s="5" t="s">
        <v>117</v>
      </c>
      <c r="F4950" s="6" t="s">
        <v>475</v>
      </c>
      <c r="G4950" s="4" t="s">
        <v>1</v>
      </c>
      <c r="H4950" s="25">
        <v>6.5</v>
      </c>
      <c r="I4950" s="8">
        <v>0</v>
      </c>
      <c r="J4950" s="9">
        <v>0</v>
      </c>
      <c r="K4950" s="7">
        <v>0</v>
      </c>
      <c r="L4950" s="24">
        <f>+Tabla2[[#This Row],[Stock Inventario]]*Tabla2[[#This Row],[Coste LÃ­nea]]</f>
        <v>0</v>
      </c>
      <c r="M4950" s="24">
        <f>+Tabla2[[#This Row],[Variación Stock]]*Tabla2[[#This Row],[Coste LÃ­nea]]</f>
        <v>0</v>
      </c>
      <c r="N4950" s="22" t="str">
        <f>+IF(Tabla2[[#This Row],[Variación Stock]]&gt;0,"Sobrante",IF(Tabla2[[#This Row],[Variación Stock]]&lt;0,"Faltante","Sin novedad"))</f>
        <v>Sin novedad</v>
      </c>
    </row>
    <row r="4951" spans="1:14" hidden="1" x14ac:dyDescent="0.25">
      <c r="A4951" s="11">
        <v>46053</v>
      </c>
      <c r="B4951" s="5" t="s">
        <v>971</v>
      </c>
      <c r="C4951" s="3" t="s">
        <v>284</v>
      </c>
      <c r="D4951" s="5" t="s">
        <v>471</v>
      </c>
      <c r="E4951" s="5" t="s">
        <v>117</v>
      </c>
      <c r="F4951" s="6" t="s">
        <v>487</v>
      </c>
      <c r="G4951" s="4" t="s">
        <v>1</v>
      </c>
      <c r="H4951" s="25">
        <v>7</v>
      </c>
      <c r="I4951" s="8">
        <v>4700</v>
      </c>
      <c r="J4951" s="9">
        <v>300</v>
      </c>
      <c r="K4951" s="7">
        <v>-4400</v>
      </c>
      <c r="L4951" s="24">
        <f>+Tabla2[[#This Row],[Stock Inventario]]*Tabla2[[#This Row],[Coste LÃ­nea]]</f>
        <v>2100</v>
      </c>
      <c r="M4951" s="24">
        <f>+Tabla2[[#This Row],[Variación Stock]]*Tabla2[[#This Row],[Coste LÃ­nea]]</f>
        <v>-30800</v>
      </c>
      <c r="N4951" s="22" t="str">
        <f>+IF(Tabla2[[#This Row],[Variación Stock]]&gt;0,"Sobrante",IF(Tabla2[[#This Row],[Variación Stock]]&lt;0,"Faltante","Sin novedad"))</f>
        <v>Faltante</v>
      </c>
    </row>
    <row r="4952" spans="1:14" hidden="1" x14ac:dyDescent="0.25">
      <c r="A4952" s="11">
        <v>46053</v>
      </c>
      <c r="B4952" s="5" t="s">
        <v>971</v>
      </c>
      <c r="C4952" s="3" t="s">
        <v>284</v>
      </c>
      <c r="D4952" s="5" t="s">
        <v>559</v>
      </c>
      <c r="E4952" s="5" t="s">
        <v>1080</v>
      </c>
      <c r="F4952" s="6" t="s">
        <v>562</v>
      </c>
      <c r="G4952" s="4" t="s">
        <v>2</v>
      </c>
      <c r="H4952" s="25">
        <v>1700</v>
      </c>
      <c r="I4952" s="8">
        <v>0</v>
      </c>
      <c r="J4952" s="9">
        <v>0</v>
      </c>
      <c r="K4952" s="7">
        <v>0</v>
      </c>
      <c r="L4952" s="24">
        <f>+Tabla2[[#This Row],[Stock Inventario]]*Tabla2[[#This Row],[Coste LÃ­nea]]</f>
        <v>0</v>
      </c>
      <c r="M4952" s="24">
        <f>+Tabla2[[#This Row],[Variación Stock]]*Tabla2[[#This Row],[Coste LÃ­nea]]</f>
        <v>0</v>
      </c>
      <c r="N4952" s="22" t="str">
        <f>+IF(Tabla2[[#This Row],[Variación Stock]]&gt;0,"Sobrante",IF(Tabla2[[#This Row],[Variación Stock]]&lt;0,"Faltante","Sin novedad"))</f>
        <v>Sin novedad</v>
      </c>
    </row>
    <row r="4953" spans="1:14" hidden="1" x14ac:dyDescent="0.25">
      <c r="A4953" s="11">
        <v>46053</v>
      </c>
      <c r="B4953" s="5" t="s">
        <v>971</v>
      </c>
      <c r="C4953" s="3" t="s">
        <v>284</v>
      </c>
      <c r="D4953" s="5" t="s">
        <v>626</v>
      </c>
      <c r="E4953" s="5" t="s">
        <v>1079</v>
      </c>
      <c r="F4953" s="6" t="s">
        <v>677</v>
      </c>
      <c r="G4953" s="4" t="s">
        <v>2</v>
      </c>
      <c r="H4953" s="25">
        <v>320</v>
      </c>
      <c r="I4953" s="8">
        <v>0</v>
      </c>
      <c r="J4953" s="9">
        <v>0</v>
      </c>
      <c r="K4953" s="7">
        <v>0</v>
      </c>
      <c r="L4953" s="24">
        <f>+Tabla2[[#This Row],[Stock Inventario]]*Tabla2[[#This Row],[Coste LÃ­nea]]</f>
        <v>0</v>
      </c>
      <c r="M4953" s="24">
        <f>+Tabla2[[#This Row],[Variación Stock]]*Tabla2[[#This Row],[Coste LÃ­nea]]</f>
        <v>0</v>
      </c>
      <c r="N4953" s="22" t="str">
        <f>+IF(Tabla2[[#This Row],[Variación Stock]]&gt;0,"Sobrante",IF(Tabla2[[#This Row],[Variación Stock]]&lt;0,"Faltante","Sin novedad"))</f>
        <v>Sin novedad</v>
      </c>
    </row>
    <row r="4954" spans="1:14" hidden="1" x14ac:dyDescent="0.25">
      <c r="A4954" s="11">
        <v>46053</v>
      </c>
      <c r="B4954" s="5" t="s">
        <v>971</v>
      </c>
      <c r="C4954" s="3" t="s">
        <v>284</v>
      </c>
      <c r="D4954" s="5" t="s">
        <v>559</v>
      </c>
      <c r="E4954" s="5" t="s">
        <v>1080</v>
      </c>
      <c r="F4954" s="6" t="s">
        <v>587</v>
      </c>
      <c r="G4954" s="4" t="s">
        <v>2</v>
      </c>
      <c r="H4954" s="25">
        <v>320</v>
      </c>
      <c r="I4954" s="8">
        <v>0</v>
      </c>
      <c r="J4954" s="9">
        <v>0</v>
      </c>
      <c r="K4954" s="7">
        <v>0</v>
      </c>
      <c r="L4954" s="24">
        <f>+Tabla2[[#This Row],[Stock Inventario]]*Tabla2[[#This Row],[Coste LÃ­nea]]</f>
        <v>0</v>
      </c>
      <c r="M4954" s="24">
        <f>+Tabla2[[#This Row],[Variación Stock]]*Tabla2[[#This Row],[Coste LÃ­nea]]</f>
        <v>0</v>
      </c>
      <c r="N4954" s="22" t="str">
        <f>+IF(Tabla2[[#This Row],[Variación Stock]]&gt;0,"Sobrante",IF(Tabla2[[#This Row],[Variación Stock]]&lt;0,"Faltante","Sin novedad"))</f>
        <v>Sin novedad</v>
      </c>
    </row>
    <row r="4955" spans="1:14" hidden="1" x14ac:dyDescent="0.25">
      <c r="A4955" s="11">
        <v>46053</v>
      </c>
      <c r="B4955" s="5" t="s">
        <v>971</v>
      </c>
      <c r="C4955" s="3" t="s">
        <v>284</v>
      </c>
      <c r="D4955" s="5" t="s">
        <v>626</v>
      </c>
      <c r="E4955" s="5" t="s">
        <v>1079</v>
      </c>
      <c r="F4955" s="6" t="s">
        <v>639</v>
      </c>
      <c r="G4955" s="4" t="s">
        <v>2</v>
      </c>
      <c r="H4955" s="25">
        <v>55.92</v>
      </c>
      <c r="I4955" s="8">
        <v>500</v>
      </c>
      <c r="J4955" s="9">
        <v>500</v>
      </c>
      <c r="K4955" s="7">
        <v>0</v>
      </c>
      <c r="L4955" s="24">
        <f>+Tabla2[[#This Row],[Stock Inventario]]*Tabla2[[#This Row],[Coste LÃ­nea]]</f>
        <v>27960</v>
      </c>
      <c r="M4955" s="24">
        <f>+Tabla2[[#This Row],[Variación Stock]]*Tabla2[[#This Row],[Coste LÃ­nea]]</f>
        <v>0</v>
      </c>
      <c r="N4955" s="22" t="str">
        <f>+IF(Tabla2[[#This Row],[Variación Stock]]&gt;0,"Sobrante",IF(Tabla2[[#This Row],[Variación Stock]]&lt;0,"Faltante","Sin novedad"))</f>
        <v>Sin novedad</v>
      </c>
    </row>
    <row r="4956" spans="1:14" hidden="1" x14ac:dyDescent="0.25">
      <c r="A4956" s="11">
        <v>46053</v>
      </c>
      <c r="B4956" s="5" t="s">
        <v>971</v>
      </c>
      <c r="C4956" s="3" t="s">
        <v>284</v>
      </c>
      <c r="D4956" s="5" t="s">
        <v>559</v>
      </c>
      <c r="E4956" s="5" t="s">
        <v>1080</v>
      </c>
      <c r="F4956" s="6" t="s">
        <v>602</v>
      </c>
      <c r="G4956" s="4" t="s">
        <v>2</v>
      </c>
      <c r="H4956" s="25">
        <v>1550</v>
      </c>
      <c r="I4956" s="8">
        <v>0</v>
      </c>
      <c r="J4956" s="9">
        <v>0</v>
      </c>
      <c r="K4956" s="7">
        <v>0</v>
      </c>
      <c r="L4956" s="24">
        <f>+Tabla2[[#This Row],[Stock Inventario]]*Tabla2[[#This Row],[Coste LÃ­nea]]</f>
        <v>0</v>
      </c>
      <c r="M4956" s="24">
        <f>+Tabla2[[#This Row],[Variación Stock]]*Tabla2[[#This Row],[Coste LÃ­nea]]</f>
        <v>0</v>
      </c>
      <c r="N4956" s="22" t="str">
        <f>+IF(Tabla2[[#This Row],[Variación Stock]]&gt;0,"Sobrante",IF(Tabla2[[#This Row],[Variación Stock]]&lt;0,"Faltante","Sin novedad"))</f>
        <v>Sin novedad</v>
      </c>
    </row>
    <row r="4957" spans="1:14" hidden="1" x14ac:dyDescent="0.25">
      <c r="A4957" s="11">
        <v>46053</v>
      </c>
      <c r="B4957" s="5" t="s">
        <v>971</v>
      </c>
      <c r="C4957" s="3" t="s">
        <v>284</v>
      </c>
      <c r="D4957" s="5" t="s">
        <v>626</v>
      </c>
      <c r="E4957" s="5" t="s">
        <v>1079</v>
      </c>
      <c r="F4957" s="6" t="s">
        <v>630</v>
      </c>
      <c r="G4957" s="4" t="s">
        <v>2</v>
      </c>
      <c r="H4957" s="25">
        <v>672.27</v>
      </c>
      <c r="I4957" s="8">
        <v>200</v>
      </c>
      <c r="J4957" s="9">
        <v>150</v>
      </c>
      <c r="K4957" s="7">
        <v>-50</v>
      </c>
      <c r="L4957" s="24">
        <f>+Tabla2[[#This Row],[Stock Inventario]]*Tabla2[[#This Row],[Coste LÃ­nea]]</f>
        <v>100840.5</v>
      </c>
      <c r="M4957" s="24">
        <f>+Tabla2[[#This Row],[Variación Stock]]*Tabla2[[#This Row],[Coste LÃ­nea]]</f>
        <v>-33613.5</v>
      </c>
      <c r="N4957" s="22" t="str">
        <f>+IF(Tabla2[[#This Row],[Variación Stock]]&gt;0,"Sobrante",IF(Tabla2[[#This Row],[Variación Stock]]&lt;0,"Faltante","Sin novedad"))</f>
        <v>Faltante</v>
      </c>
    </row>
    <row r="4958" spans="1:14" hidden="1" x14ac:dyDescent="0.25">
      <c r="A4958" s="11">
        <v>46053</v>
      </c>
      <c r="B4958" s="5" t="s">
        <v>971</v>
      </c>
      <c r="C4958" s="3" t="s">
        <v>284</v>
      </c>
      <c r="D4958" s="5" t="s">
        <v>559</v>
      </c>
      <c r="E4958" s="5" t="s">
        <v>1080</v>
      </c>
      <c r="F4958" s="6" t="s">
        <v>572</v>
      </c>
      <c r="G4958" s="4" t="s">
        <v>2</v>
      </c>
      <c r="H4958" s="25">
        <v>39.03</v>
      </c>
      <c r="I4958" s="8">
        <v>147</v>
      </c>
      <c r="J4958" s="9">
        <v>23</v>
      </c>
      <c r="K4958" s="7">
        <v>-124</v>
      </c>
      <c r="L4958" s="24">
        <f>+Tabla2[[#This Row],[Stock Inventario]]*Tabla2[[#This Row],[Coste LÃ­nea]]</f>
        <v>897.69</v>
      </c>
      <c r="M4958" s="24">
        <f>+Tabla2[[#This Row],[Variación Stock]]*Tabla2[[#This Row],[Coste LÃ­nea]]</f>
        <v>-4839.72</v>
      </c>
      <c r="N4958" s="22" t="str">
        <f>+IF(Tabla2[[#This Row],[Variación Stock]]&gt;0,"Sobrante",IF(Tabla2[[#This Row],[Variación Stock]]&lt;0,"Faltante","Sin novedad"))</f>
        <v>Faltante</v>
      </c>
    </row>
    <row r="4959" spans="1:14" hidden="1" x14ac:dyDescent="0.25">
      <c r="A4959" s="11">
        <v>46053</v>
      </c>
      <c r="B4959" s="5" t="s">
        <v>971</v>
      </c>
      <c r="C4959" s="3" t="s">
        <v>284</v>
      </c>
      <c r="D4959" s="5" t="s">
        <v>559</v>
      </c>
      <c r="E4959" s="5" t="s">
        <v>1080</v>
      </c>
      <c r="F4959" s="6" t="s">
        <v>573</v>
      </c>
      <c r="G4959" s="4" t="s">
        <v>2</v>
      </c>
      <c r="H4959" s="25">
        <v>976.55</v>
      </c>
      <c r="I4959" s="8">
        <v>30</v>
      </c>
      <c r="J4959" s="9">
        <v>100</v>
      </c>
      <c r="K4959" s="7">
        <v>70</v>
      </c>
      <c r="L4959" s="24">
        <f>+Tabla2[[#This Row],[Stock Inventario]]*Tabla2[[#This Row],[Coste LÃ­nea]]</f>
        <v>97655</v>
      </c>
      <c r="M4959" s="24">
        <f>+Tabla2[[#This Row],[Variación Stock]]*Tabla2[[#This Row],[Coste LÃ­nea]]</f>
        <v>68358.5</v>
      </c>
      <c r="N4959" s="22" t="str">
        <f>+IF(Tabla2[[#This Row],[Variación Stock]]&gt;0,"Sobrante",IF(Tabla2[[#This Row],[Variación Stock]]&lt;0,"Faltante","Sin novedad"))</f>
        <v>Sobrante</v>
      </c>
    </row>
    <row r="4960" spans="1:14" hidden="1" x14ac:dyDescent="0.25">
      <c r="A4960" s="11">
        <v>46053</v>
      </c>
      <c r="B4960" s="5" t="s">
        <v>971</v>
      </c>
      <c r="C4960" s="3" t="s">
        <v>284</v>
      </c>
      <c r="D4960" s="5" t="s">
        <v>559</v>
      </c>
      <c r="E4960" s="5" t="s">
        <v>1080</v>
      </c>
      <c r="F4960" s="6" t="s">
        <v>574</v>
      </c>
      <c r="G4960" s="4" t="s">
        <v>2</v>
      </c>
      <c r="H4960" s="25">
        <v>385.44</v>
      </c>
      <c r="I4960" s="8">
        <v>200</v>
      </c>
      <c r="J4960" s="9">
        <v>100</v>
      </c>
      <c r="K4960" s="7">
        <v>-100</v>
      </c>
      <c r="L4960" s="24">
        <f>+Tabla2[[#This Row],[Stock Inventario]]*Tabla2[[#This Row],[Coste LÃ­nea]]</f>
        <v>38544</v>
      </c>
      <c r="M4960" s="24">
        <f>+Tabla2[[#This Row],[Variación Stock]]*Tabla2[[#This Row],[Coste LÃ­nea]]</f>
        <v>-38544</v>
      </c>
      <c r="N4960" s="22" t="str">
        <f>+IF(Tabla2[[#This Row],[Variación Stock]]&gt;0,"Sobrante",IF(Tabla2[[#This Row],[Variación Stock]]&lt;0,"Faltante","Sin novedad"))</f>
        <v>Faltante</v>
      </c>
    </row>
    <row r="4961" spans="1:14" hidden="1" x14ac:dyDescent="0.25">
      <c r="A4961" s="11">
        <v>46053</v>
      </c>
      <c r="B4961" s="5" t="s">
        <v>971</v>
      </c>
      <c r="C4961" s="3" t="s">
        <v>284</v>
      </c>
      <c r="D4961" s="5" t="s">
        <v>559</v>
      </c>
      <c r="E4961" s="5" t="s">
        <v>1080</v>
      </c>
      <c r="F4961" s="6" t="s">
        <v>588</v>
      </c>
      <c r="G4961" s="4" t="s">
        <v>2</v>
      </c>
      <c r="H4961" s="25">
        <v>129.59</v>
      </c>
      <c r="I4961" s="8">
        <v>0</v>
      </c>
      <c r="J4961" s="9">
        <v>0</v>
      </c>
      <c r="K4961" s="7">
        <v>0</v>
      </c>
      <c r="L4961" s="24">
        <f>+Tabla2[[#This Row],[Stock Inventario]]*Tabla2[[#This Row],[Coste LÃ­nea]]</f>
        <v>0</v>
      </c>
      <c r="M4961" s="24">
        <f>+Tabla2[[#This Row],[Variación Stock]]*Tabla2[[#This Row],[Coste LÃ­nea]]</f>
        <v>0</v>
      </c>
      <c r="N4961" s="22" t="str">
        <f>+IF(Tabla2[[#This Row],[Variación Stock]]&gt;0,"Sobrante",IF(Tabla2[[#This Row],[Variación Stock]]&lt;0,"Faltante","Sin novedad"))</f>
        <v>Sin novedad</v>
      </c>
    </row>
    <row r="4962" spans="1:14" hidden="1" x14ac:dyDescent="0.25">
      <c r="A4962" s="11">
        <v>46053</v>
      </c>
      <c r="B4962" s="5" t="s">
        <v>971</v>
      </c>
      <c r="C4962" s="3" t="s">
        <v>284</v>
      </c>
      <c r="D4962" s="5" t="s">
        <v>559</v>
      </c>
      <c r="E4962" s="5" t="s">
        <v>1080</v>
      </c>
      <c r="F4962" s="6" t="s">
        <v>575</v>
      </c>
      <c r="G4962" s="4" t="s">
        <v>2</v>
      </c>
      <c r="H4962" s="25">
        <f>36235.5/50</f>
        <v>724.71</v>
      </c>
      <c r="I4962" s="8">
        <v>60</v>
      </c>
      <c r="J4962" s="9">
        <v>150</v>
      </c>
      <c r="K4962" s="7">
        <v>90</v>
      </c>
      <c r="L4962" s="24">
        <f>+Tabla2[[#This Row],[Stock Inventario]]*Tabla2[[#This Row],[Coste LÃ­nea]]</f>
        <v>108706.5</v>
      </c>
      <c r="M4962" s="24">
        <f>+Tabla2[[#This Row],[Variación Stock]]*Tabla2[[#This Row],[Coste LÃ­nea]]</f>
        <v>65223.9</v>
      </c>
      <c r="N4962" s="22" t="str">
        <f>+IF(Tabla2[[#This Row],[Variación Stock]]&gt;0,"Sobrante",IF(Tabla2[[#This Row],[Variación Stock]]&lt;0,"Faltante","Sin novedad"))</f>
        <v>Sobrante</v>
      </c>
    </row>
    <row r="4963" spans="1:14" hidden="1" x14ac:dyDescent="0.25">
      <c r="A4963" s="11">
        <v>46053</v>
      </c>
      <c r="B4963" s="5" t="s">
        <v>971</v>
      </c>
      <c r="C4963" s="3" t="s">
        <v>284</v>
      </c>
      <c r="D4963" s="5" t="s">
        <v>626</v>
      </c>
      <c r="E4963" s="5" t="s">
        <v>1079</v>
      </c>
      <c r="F4963" s="6" t="s">
        <v>631</v>
      </c>
      <c r="G4963" s="4" t="s">
        <v>2</v>
      </c>
      <c r="H4963" s="25">
        <v>877</v>
      </c>
      <c r="I4963" s="8">
        <v>110</v>
      </c>
      <c r="J4963" s="9">
        <v>1</v>
      </c>
      <c r="K4963" s="7">
        <v>-119</v>
      </c>
      <c r="L4963" s="24">
        <f>+Tabla2[[#This Row],[Stock Inventario]]*Tabla2[[#This Row],[Coste LÃ­nea]]</f>
        <v>877</v>
      </c>
      <c r="M4963" s="24">
        <f>+Tabla2[[#This Row],[Variación Stock]]*Tabla2[[#This Row],[Coste LÃ­nea]]</f>
        <v>-104363</v>
      </c>
      <c r="N4963" s="22" t="str">
        <f>+IF(Tabla2[[#This Row],[Variación Stock]]&gt;0,"Sobrante",IF(Tabla2[[#This Row],[Variación Stock]]&lt;0,"Faltante","Sin novedad"))</f>
        <v>Faltante</v>
      </c>
    </row>
    <row r="4964" spans="1:14" hidden="1" x14ac:dyDescent="0.25">
      <c r="A4964" s="11">
        <v>46053</v>
      </c>
      <c r="B4964" s="5" t="s">
        <v>971</v>
      </c>
      <c r="C4964" s="3" t="s">
        <v>284</v>
      </c>
      <c r="D4964" s="5" t="s">
        <v>559</v>
      </c>
      <c r="E4964" s="5" t="s">
        <v>1080</v>
      </c>
      <c r="F4964" s="6" t="s">
        <v>584</v>
      </c>
      <c r="G4964" s="4" t="s">
        <v>2</v>
      </c>
      <c r="H4964" s="25">
        <v>22</v>
      </c>
      <c r="I4964" s="8">
        <v>0</v>
      </c>
      <c r="J4964" s="9">
        <v>14</v>
      </c>
      <c r="K4964" s="7">
        <v>14</v>
      </c>
      <c r="L4964" s="24">
        <f>+Tabla2[[#This Row],[Stock Inventario]]*Tabla2[[#This Row],[Coste LÃ­nea]]</f>
        <v>308</v>
      </c>
      <c r="M4964" s="24">
        <f>+Tabla2[[#This Row],[Variación Stock]]*Tabla2[[#This Row],[Coste LÃ­nea]]</f>
        <v>308</v>
      </c>
      <c r="N4964" s="22" t="str">
        <f>+IF(Tabla2[[#This Row],[Variación Stock]]&gt;0,"Sobrante",IF(Tabla2[[#This Row],[Variación Stock]]&lt;0,"Faltante","Sin novedad"))</f>
        <v>Sobrante</v>
      </c>
    </row>
    <row r="4965" spans="1:14" hidden="1" x14ac:dyDescent="0.25">
      <c r="A4965" s="11">
        <v>46053</v>
      </c>
      <c r="B4965" s="5" t="s">
        <v>971</v>
      </c>
      <c r="C4965" s="3" t="s">
        <v>284</v>
      </c>
      <c r="D4965" s="5" t="s">
        <v>626</v>
      </c>
      <c r="E4965" s="5" t="s">
        <v>1079</v>
      </c>
      <c r="F4965" s="6" t="s">
        <v>632</v>
      </c>
      <c r="G4965" s="4" t="s">
        <v>2</v>
      </c>
      <c r="H4965" s="25">
        <v>17</v>
      </c>
      <c r="I4965" s="8">
        <v>1900</v>
      </c>
      <c r="J4965" s="9">
        <v>0</v>
      </c>
      <c r="K4965" s="7">
        <v>-1900</v>
      </c>
      <c r="L4965" s="24">
        <f>+Tabla2[[#This Row],[Stock Inventario]]*Tabla2[[#This Row],[Coste LÃ­nea]]</f>
        <v>0</v>
      </c>
      <c r="M4965" s="24">
        <f>+Tabla2[[#This Row],[Variación Stock]]*Tabla2[[#This Row],[Coste LÃ­nea]]</f>
        <v>-32300</v>
      </c>
      <c r="N4965" s="22" t="str">
        <f>+IF(Tabla2[[#This Row],[Variación Stock]]&gt;0,"Sobrante",IF(Tabla2[[#This Row],[Variación Stock]]&lt;0,"Faltante","Sin novedad"))</f>
        <v>Faltante</v>
      </c>
    </row>
    <row r="4966" spans="1:14" hidden="1" x14ac:dyDescent="0.25">
      <c r="A4966" s="11">
        <v>46053</v>
      </c>
      <c r="B4966" s="5" t="s">
        <v>971</v>
      </c>
      <c r="C4966" s="3" t="s">
        <v>284</v>
      </c>
      <c r="D4966" s="5" t="s">
        <v>559</v>
      </c>
      <c r="E4966" s="5" t="s">
        <v>1080</v>
      </c>
      <c r="F4966" s="6" t="s">
        <v>585</v>
      </c>
      <c r="G4966" s="4" t="s">
        <v>2</v>
      </c>
      <c r="H4966" s="25">
        <v>22</v>
      </c>
      <c r="I4966" s="8">
        <v>400</v>
      </c>
      <c r="J4966" s="9">
        <v>8</v>
      </c>
      <c r="K4966" s="7">
        <v>-392</v>
      </c>
      <c r="L4966" s="24">
        <f>+Tabla2[[#This Row],[Stock Inventario]]*Tabla2[[#This Row],[Coste LÃ­nea]]</f>
        <v>176</v>
      </c>
      <c r="M4966" s="24">
        <f>+Tabla2[[#This Row],[Variación Stock]]*Tabla2[[#This Row],[Coste LÃ­nea]]</f>
        <v>-8624</v>
      </c>
      <c r="N4966" s="22" t="str">
        <f>+IF(Tabla2[[#This Row],[Variación Stock]]&gt;0,"Sobrante",IF(Tabla2[[#This Row],[Variación Stock]]&lt;0,"Faltante","Sin novedad"))</f>
        <v>Faltante</v>
      </c>
    </row>
    <row r="4967" spans="1:14" hidden="1" x14ac:dyDescent="0.25">
      <c r="A4967" s="11">
        <v>46053</v>
      </c>
      <c r="B4967" s="5" t="s">
        <v>971</v>
      </c>
      <c r="C4967" s="3" t="s">
        <v>284</v>
      </c>
      <c r="D4967" s="5" t="s">
        <v>559</v>
      </c>
      <c r="E4967" s="5" t="s">
        <v>1080</v>
      </c>
      <c r="F4967" s="6" t="s">
        <v>565</v>
      </c>
      <c r="G4967" s="4" t="s">
        <v>2</v>
      </c>
      <c r="H4967" s="25">
        <v>302</v>
      </c>
      <c r="I4967" s="8">
        <v>0</v>
      </c>
      <c r="J4967" s="9">
        <v>0</v>
      </c>
      <c r="K4967" s="7">
        <v>0</v>
      </c>
      <c r="L4967" s="24">
        <f>+Tabla2[[#This Row],[Stock Inventario]]*Tabla2[[#This Row],[Coste LÃ­nea]]</f>
        <v>0</v>
      </c>
      <c r="M4967" s="24">
        <f>+Tabla2[[#This Row],[Variación Stock]]*Tabla2[[#This Row],[Coste LÃ­nea]]</f>
        <v>0</v>
      </c>
      <c r="N4967" s="22" t="str">
        <f>+IF(Tabla2[[#This Row],[Variación Stock]]&gt;0,"Sobrante",IF(Tabla2[[#This Row],[Variación Stock]]&lt;0,"Faltante","Sin novedad"))</f>
        <v>Sin novedad</v>
      </c>
    </row>
    <row r="4968" spans="1:14" hidden="1" x14ac:dyDescent="0.25">
      <c r="A4968" s="11">
        <v>46053</v>
      </c>
      <c r="B4968" s="5" t="s">
        <v>971</v>
      </c>
      <c r="C4968" s="3" t="s">
        <v>284</v>
      </c>
      <c r="D4968" s="5" t="s">
        <v>559</v>
      </c>
      <c r="E4968" s="5" t="s">
        <v>1080</v>
      </c>
      <c r="F4968" s="6" t="s">
        <v>561</v>
      </c>
      <c r="G4968" s="4" t="s">
        <v>2</v>
      </c>
      <c r="H4968" s="25">
        <v>302</v>
      </c>
      <c r="I4968" s="8">
        <v>0</v>
      </c>
      <c r="J4968" s="9">
        <v>0</v>
      </c>
      <c r="K4968" s="7">
        <v>0</v>
      </c>
      <c r="L4968" s="24">
        <f>+Tabla2[[#This Row],[Stock Inventario]]*Tabla2[[#This Row],[Coste LÃ­nea]]</f>
        <v>0</v>
      </c>
      <c r="M4968" s="24">
        <f>+Tabla2[[#This Row],[Variación Stock]]*Tabla2[[#This Row],[Coste LÃ­nea]]</f>
        <v>0</v>
      </c>
      <c r="N4968" s="22" t="str">
        <f>+IF(Tabla2[[#This Row],[Variación Stock]]&gt;0,"Sobrante",IF(Tabla2[[#This Row],[Variación Stock]]&lt;0,"Faltante","Sin novedad"))</f>
        <v>Sin novedad</v>
      </c>
    </row>
    <row r="4969" spans="1:14" hidden="1" x14ac:dyDescent="0.25">
      <c r="A4969" s="11">
        <v>46053</v>
      </c>
      <c r="B4969" s="5" t="s">
        <v>971</v>
      </c>
      <c r="C4969" s="3" t="s">
        <v>284</v>
      </c>
      <c r="D4969" s="5" t="s">
        <v>626</v>
      </c>
      <c r="E4969" s="5" t="s">
        <v>1079</v>
      </c>
      <c r="F4969" s="6" t="s">
        <v>629</v>
      </c>
      <c r="G4969" s="4" t="s">
        <v>2</v>
      </c>
      <c r="H4969" s="25">
        <v>1300</v>
      </c>
      <c r="I4969" s="8">
        <v>50</v>
      </c>
      <c r="J4969" s="9">
        <v>50</v>
      </c>
      <c r="K4969" s="7">
        <v>0</v>
      </c>
      <c r="L4969" s="24">
        <f>+Tabla2[[#This Row],[Stock Inventario]]*Tabla2[[#This Row],[Coste LÃ­nea]]</f>
        <v>65000</v>
      </c>
      <c r="M4969" s="24">
        <f>+Tabla2[[#This Row],[Variación Stock]]*Tabla2[[#This Row],[Coste LÃ­nea]]</f>
        <v>0</v>
      </c>
      <c r="N4969" s="22" t="str">
        <f>+IF(Tabla2[[#This Row],[Variación Stock]]&gt;0,"Sobrante",IF(Tabla2[[#This Row],[Variación Stock]]&lt;0,"Faltante","Sin novedad"))</f>
        <v>Sin novedad</v>
      </c>
    </row>
    <row r="4970" spans="1:14" hidden="1" x14ac:dyDescent="0.25">
      <c r="A4970" s="11">
        <v>46053</v>
      </c>
      <c r="B4970" s="5" t="s">
        <v>971</v>
      </c>
      <c r="C4970" s="3" t="s">
        <v>284</v>
      </c>
      <c r="D4970" s="5" t="s">
        <v>559</v>
      </c>
      <c r="E4970" s="5" t="s">
        <v>1080</v>
      </c>
      <c r="F4970" s="6" t="s">
        <v>586</v>
      </c>
      <c r="G4970" s="4" t="s">
        <v>2</v>
      </c>
      <c r="H4970" s="25">
        <v>11</v>
      </c>
      <c r="I4970" s="8">
        <v>400</v>
      </c>
      <c r="J4970" s="9">
        <v>0</v>
      </c>
      <c r="K4970" s="7">
        <v>-400</v>
      </c>
      <c r="L4970" s="24">
        <f>+Tabla2[[#This Row],[Stock Inventario]]*Tabla2[[#This Row],[Coste LÃ­nea]]</f>
        <v>0</v>
      </c>
      <c r="M4970" s="24">
        <f>+Tabla2[[#This Row],[Variación Stock]]*Tabla2[[#This Row],[Coste LÃ­nea]]</f>
        <v>-4400</v>
      </c>
      <c r="N4970" s="22" t="str">
        <f>+IF(Tabla2[[#This Row],[Variación Stock]]&gt;0,"Sobrante",IF(Tabla2[[#This Row],[Variación Stock]]&lt;0,"Faltante","Sin novedad"))</f>
        <v>Faltante</v>
      </c>
    </row>
    <row r="4971" spans="1:14" hidden="1" x14ac:dyDescent="0.25">
      <c r="A4971" s="11">
        <v>46053</v>
      </c>
      <c r="B4971" s="5" t="s">
        <v>971</v>
      </c>
      <c r="C4971" s="3" t="s">
        <v>284</v>
      </c>
      <c r="D4971" s="5" t="s">
        <v>559</v>
      </c>
      <c r="E4971" s="5" t="s">
        <v>1080</v>
      </c>
      <c r="F4971" s="6" t="s">
        <v>566</v>
      </c>
      <c r="G4971" s="4" t="s">
        <v>2</v>
      </c>
      <c r="H4971" s="25">
        <v>25</v>
      </c>
      <c r="I4971" s="8">
        <v>0</v>
      </c>
      <c r="J4971" s="9">
        <v>0</v>
      </c>
      <c r="K4971" s="7">
        <v>-2000</v>
      </c>
      <c r="L4971" s="24">
        <f>+Tabla2[[#This Row],[Stock Inventario]]*Tabla2[[#This Row],[Coste LÃ­nea]]</f>
        <v>0</v>
      </c>
      <c r="M4971" s="24">
        <f>+Tabla2[[#This Row],[Variación Stock]]*Tabla2[[#This Row],[Coste LÃ­nea]]</f>
        <v>-50000</v>
      </c>
      <c r="N4971" s="22" t="str">
        <f>+IF(Tabla2[[#This Row],[Variación Stock]]&gt;0,"Sobrante",IF(Tabla2[[#This Row],[Variación Stock]]&lt;0,"Faltante","Sin novedad"))</f>
        <v>Faltante</v>
      </c>
    </row>
    <row r="4972" spans="1:14" hidden="1" x14ac:dyDescent="0.25">
      <c r="A4972" s="11">
        <v>46053</v>
      </c>
      <c r="B4972" s="5" t="s">
        <v>971</v>
      </c>
      <c r="C4972" s="3" t="s">
        <v>284</v>
      </c>
      <c r="D4972" s="5" t="s">
        <v>626</v>
      </c>
      <c r="E4972" s="5" t="s">
        <v>1079</v>
      </c>
      <c r="F4972" s="6" t="s">
        <v>633</v>
      </c>
      <c r="G4972" s="4" t="s">
        <v>2</v>
      </c>
      <c r="H4972" s="25">
        <v>714.29</v>
      </c>
      <c r="I4972" s="8">
        <v>250</v>
      </c>
      <c r="J4972" s="9">
        <v>120</v>
      </c>
      <c r="K4972" s="7">
        <v>-230</v>
      </c>
      <c r="L4972" s="24">
        <f>+Tabla2[[#This Row],[Stock Inventario]]*Tabla2[[#This Row],[Coste LÃ­nea]]</f>
        <v>85714.799999999988</v>
      </c>
      <c r="M4972" s="24">
        <f>+Tabla2[[#This Row],[Variación Stock]]*Tabla2[[#This Row],[Coste LÃ­nea]]</f>
        <v>-164286.69999999998</v>
      </c>
      <c r="N4972" s="22" t="str">
        <f>+IF(Tabla2[[#This Row],[Variación Stock]]&gt;0,"Sobrante",IF(Tabla2[[#This Row],[Variación Stock]]&lt;0,"Faltante","Sin novedad"))</f>
        <v>Faltante</v>
      </c>
    </row>
    <row r="4973" spans="1:14" hidden="1" x14ac:dyDescent="0.25">
      <c r="A4973" s="11">
        <v>46053</v>
      </c>
      <c r="B4973" s="5" t="s">
        <v>971</v>
      </c>
      <c r="C4973" s="3" t="s">
        <v>284</v>
      </c>
      <c r="D4973" s="5" t="s">
        <v>559</v>
      </c>
      <c r="E4973" s="5" t="s">
        <v>1080</v>
      </c>
      <c r="F4973" s="6" t="s">
        <v>589</v>
      </c>
      <c r="G4973" s="4" t="s">
        <v>2</v>
      </c>
      <c r="H4973" s="25">
        <v>348.29199999999997</v>
      </c>
      <c r="I4973" s="8">
        <v>0</v>
      </c>
      <c r="J4973" s="9">
        <v>0</v>
      </c>
      <c r="K4973" s="7">
        <v>0</v>
      </c>
      <c r="L4973" s="24">
        <f>+Tabla2[[#This Row],[Stock Inventario]]*Tabla2[[#This Row],[Coste LÃ­nea]]</f>
        <v>0</v>
      </c>
      <c r="M4973" s="24">
        <f>+Tabla2[[#This Row],[Variación Stock]]*Tabla2[[#This Row],[Coste LÃ­nea]]</f>
        <v>0</v>
      </c>
      <c r="N4973" s="22" t="str">
        <f>+IF(Tabla2[[#This Row],[Variación Stock]]&gt;0,"Sobrante",IF(Tabla2[[#This Row],[Variación Stock]]&lt;0,"Faltante","Sin novedad"))</f>
        <v>Sin novedad</v>
      </c>
    </row>
    <row r="4974" spans="1:14" x14ac:dyDescent="0.25">
      <c r="A4974" s="11">
        <v>46053</v>
      </c>
      <c r="B4974" s="5" t="s">
        <v>971</v>
      </c>
      <c r="C4974" s="3" t="s">
        <v>284</v>
      </c>
      <c r="D4974" s="5" t="s">
        <v>111</v>
      </c>
      <c r="E4974" s="5" t="s">
        <v>112</v>
      </c>
      <c r="F4974" s="6" t="s">
        <v>140</v>
      </c>
      <c r="G4974" s="4" t="s">
        <v>0</v>
      </c>
      <c r="H4974" s="25">
        <v>5958.3333333299997</v>
      </c>
      <c r="I4974" s="8">
        <v>0</v>
      </c>
      <c r="J4974" s="9">
        <v>0</v>
      </c>
      <c r="K4974" s="7">
        <v>0</v>
      </c>
      <c r="L4974" s="24">
        <f>+Tabla2[[#This Row],[Stock Inventario]]*Tabla2[[#This Row],[Coste LÃ­nea]]</f>
        <v>0</v>
      </c>
      <c r="M4974" s="24">
        <f>+Tabla2[[#This Row],[Variación Stock]]*Tabla2[[#This Row],[Coste LÃ­nea]]</f>
        <v>0</v>
      </c>
      <c r="N4974" s="22" t="str">
        <f>+IF(Tabla2[[#This Row],[Variación Stock]]&gt;0,"Sobrante",IF(Tabla2[[#This Row],[Variación Stock]]&lt;0,"Faltante","Sin novedad"))</f>
        <v>Sin novedad</v>
      </c>
    </row>
    <row r="4975" spans="1:14" hidden="1" x14ac:dyDescent="0.25">
      <c r="A4975" s="11">
        <v>46053</v>
      </c>
      <c r="B4975" s="5" t="s">
        <v>971</v>
      </c>
      <c r="C4975" s="3" t="s">
        <v>284</v>
      </c>
      <c r="D4975" s="5" t="s">
        <v>471</v>
      </c>
      <c r="E4975" s="5" t="s">
        <v>117</v>
      </c>
      <c r="F4975" s="6" t="s">
        <v>473</v>
      </c>
      <c r="G4975" s="4" t="s">
        <v>1</v>
      </c>
      <c r="H4975" s="25">
        <v>350</v>
      </c>
      <c r="I4975" s="8">
        <v>-24</v>
      </c>
      <c r="J4975" s="9">
        <v>0</v>
      </c>
      <c r="K4975" s="7">
        <v>24</v>
      </c>
      <c r="L4975" s="24">
        <f>+Tabla2[[#This Row],[Stock Inventario]]*Tabla2[[#This Row],[Coste LÃ­nea]]</f>
        <v>0</v>
      </c>
      <c r="M4975" s="24">
        <f>+Tabla2[[#This Row],[Variación Stock]]*Tabla2[[#This Row],[Coste LÃ­nea]]</f>
        <v>8400</v>
      </c>
      <c r="N4975" s="22" t="str">
        <f>+IF(Tabla2[[#This Row],[Variación Stock]]&gt;0,"Sobrante",IF(Tabla2[[#This Row],[Variación Stock]]&lt;0,"Faltante","Sin novedad"))</f>
        <v>Sobrante</v>
      </c>
    </row>
    <row r="4976" spans="1:14" hidden="1" x14ac:dyDescent="0.25">
      <c r="A4976" s="11">
        <v>46053</v>
      </c>
      <c r="B4976" s="5" t="s">
        <v>971</v>
      </c>
      <c r="C4976" s="3" t="s">
        <v>284</v>
      </c>
      <c r="D4976" s="5" t="s">
        <v>626</v>
      </c>
      <c r="E4976" s="5" t="s">
        <v>1079</v>
      </c>
      <c r="F4976" s="6" t="s">
        <v>640</v>
      </c>
      <c r="G4976" s="4" t="s">
        <v>1</v>
      </c>
      <c r="H4976" s="25">
        <v>25.0914</v>
      </c>
      <c r="I4976" s="8">
        <v>15001</v>
      </c>
      <c r="J4976" s="9">
        <v>5000</v>
      </c>
      <c r="K4976" s="7">
        <v>-15001</v>
      </c>
      <c r="L4976" s="24">
        <f>+Tabla2[[#This Row],[Stock Inventario]]*Tabla2[[#This Row],[Coste LÃ­nea]]</f>
        <v>125457</v>
      </c>
      <c r="M4976" s="24">
        <f>+Tabla2[[#This Row],[Variación Stock]]*Tabla2[[#This Row],[Coste LÃ­nea]]</f>
        <v>-376396.09139999998</v>
      </c>
      <c r="N4976" s="22" t="str">
        <f>+IF(Tabla2[[#This Row],[Variación Stock]]&gt;0,"Sobrante",IF(Tabla2[[#This Row],[Variación Stock]]&lt;0,"Faltante","Sin novedad"))</f>
        <v>Faltante</v>
      </c>
    </row>
    <row r="4977" spans="1:14" x14ac:dyDescent="0.25">
      <c r="A4977" s="11">
        <v>46053</v>
      </c>
      <c r="B4977" s="5" t="s">
        <v>971</v>
      </c>
      <c r="C4977" s="3" t="s">
        <v>284</v>
      </c>
      <c r="D4977" s="5" t="s">
        <v>114</v>
      </c>
      <c r="E4977" s="5" t="s">
        <v>112</v>
      </c>
      <c r="F4977" s="6" t="s">
        <v>373</v>
      </c>
      <c r="G4977" s="4" t="s">
        <v>2</v>
      </c>
      <c r="H4977" s="25">
        <v>2120.83</v>
      </c>
      <c r="I4977" s="8">
        <v>0</v>
      </c>
      <c r="J4977" s="9">
        <v>0</v>
      </c>
      <c r="K4977" s="7">
        <v>0</v>
      </c>
      <c r="L4977" s="24">
        <f>+Tabla2[[#This Row],[Stock Inventario]]*Tabla2[[#This Row],[Coste LÃ­nea]]</f>
        <v>0</v>
      </c>
      <c r="M4977" s="24">
        <f>+Tabla2[[#This Row],[Variación Stock]]*Tabla2[[#This Row],[Coste LÃ­nea]]</f>
        <v>0</v>
      </c>
      <c r="N4977" s="22" t="str">
        <f>+IF(Tabla2[[#This Row],[Variación Stock]]&gt;0,"Sobrante",IF(Tabla2[[#This Row],[Variación Stock]]&lt;0,"Faltante","Sin novedad"))</f>
        <v>Sin novedad</v>
      </c>
    </row>
    <row r="4978" spans="1:14" hidden="1" x14ac:dyDescent="0.25">
      <c r="A4978" s="11">
        <v>46053</v>
      </c>
      <c r="B4978" s="5" t="s">
        <v>971</v>
      </c>
      <c r="C4978" s="3" t="s">
        <v>284</v>
      </c>
      <c r="D4978" s="5" t="s">
        <v>471</v>
      </c>
      <c r="E4978" s="5" t="s">
        <v>117</v>
      </c>
      <c r="F4978" s="6" t="s">
        <v>474</v>
      </c>
      <c r="G4978" s="4" t="s">
        <v>1</v>
      </c>
      <c r="H4978" s="25">
        <v>5</v>
      </c>
      <c r="I4978" s="8">
        <v>-2709.5122000000001</v>
      </c>
      <c r="J4978" s="9">
        <v>0</v>
      </c>
      <c r="K4978" s="7">
        <v>2709.5121899999999</v>
      </c>
      <c r="L4978" s="24">
        <f>+Tabla2[[#This Row],[Stock Inventario]]*Tabla2[[#This Row],[Coste LÃ­nea]]</f>
        <v>0</v>
      </c>
      <c r="M4978" s="24">
        <f>+Tabla2[[#This Row],[Variación Stock]]*Tabla2[[#This Row],[Coste LÃ­nea]]</f>
        <v>13547.560949999999</v>
      </c>
      <c r="N4978" s="22" t="str">
        <f>+IF(Tabla2[[#This Row],[Variación Stock]]&gt;0,"Sobrante",IF(Tabla2[[#This Row],[Variación Stock]]&lt;0,"Faltante","Sin novedad"))</f>
        <v>Sobrante</v>
      </c>
    </row>
    <row r="4979" spans="1:14" hidden="1" x14ac:dyDescent="0.25">
      <c r="A4979" s="11">
        <v>46053</v>
      </c>
      <c r="B4979" s="5" t="s">
        <v>971</v>
      </c>
      <c r="C4979" s="3" t="s">
        <v>284</v>
      </c>
      <c r="D4979" s="5" t="s">
        <v>471</v>
      </c>
      <c r="E4979" s="5" t="s">
        <v>117</v>
      </c>
      <c r="F4979" s="6" t="s">
        <v>540</v>
      </c>
      <c r="G4979" s="4" t="s">
        <v>1</v>
      </c>
      <c r="H4979" s="25">
        <v>310</v>
      </c>
      <c r="I4979" s="8">
        <v>-274.88889999999998</v>
      </c>
      <c r="J4979" s="9">
        <v>328</v>
      </c>
      <c r="K4979" s="7">
        <v>52.888896799999998</v>
      </c>
      <c r="L4979" s="24">
        <f>+Tabla2[[#This Row],[Stock Inventario]]*Tabla2[[#This Row],[Coste LÃ­nea]]</f>
        <v>101680</v>
      </c>
      <c r="M4979" s="24">
        <f>+Tabla2[[#This Row],[Variación Stock]]*Tabla2[[#This Row],[Coste LÃ­nea]]</f>
        <v>16395.558008</v>
      </c>
      <c r="N4979" s="22" t="str">
        <f>+IF(Tabla2[[#This Row],[Variación Stock]]&gt;0,"Sobrante",IF(Tabla2[[#This Row],[Variación Stock]]&lt;0,"Faltante","Sin novedad"))</f>
        <v>Sobrante</v>
      </c>
    </row>
    <row r="4980" spans="1:14" x14ac:dyDescent="0.25">
      <c r="A4980" s="11">
        <v>46053</v>
      </c>
      <c r="B4980" s="5" t="s">
        <v>971</v>
      </c>
      <c r="C4980" s="3" t="s">
        <v>284</v>
      </c>
      <c r="D4980" s="5" t="s">
        <v>111</v>
      </c>
      <c r="E4980" s="5" t="s">
        <v>112</v>
      </c>
      <c r="F4980" s="6" t="s">
        <v>17</v>
      </c>
      <c r="G4980" s="4" t="s">
        <v>0</v>
      </c>
      <c r="H4980" s="25">
        <v>14896.95833333</v>
      </c>
      <c r="I4980" s="8">
        <v>16</v>
      </c>
      <c r="J4980" s="9">
        <v>16</v>
      </c>
      <c r="K4980" s="7">
        <v>0</v>
      </c>
      <c r="L4980" s="24">
        <f>+Tabla2[[#This Row],[Stock Inventario]]*Tabla2[[#This Row],[Coste LÃ­nea]]</f>
        <v>238351.33333328</v>
      </c>
      <c r="M4980" s="24">
        <f>+Tabla2[[#This Row],[Variación Stock]]*Tabla2[[#This Row],[Coste LÃ­nea]]</f>
        <v>0</v>
      </c>
      <c r="N4980" s="22" t="str">
        <f>+IF(Tabla2[[#This Row],[Variación Stock]]&gt;0,"Sobrante",IF(Tabla2[[#This Row],[Variación Stock]]&lt;0,"Faltante","Sin novedad"))</f>
        <v>Sin novedad</v>
      </c>
    </row>
    <row r="4981" spans="1:14" x14ac:dyDescent="0.25">
      <c r="A4981" s="11">
        <v>46053</v>
      </c>
      <c r="B4981" s="5" t="s">
        <v>971</v>
      </c>
      <c r="C4981" s="3" t="s">
        <v>284</v>
      </c>
      <c r="D4981" s="5" t="s">
        <v>111</v>
      </c>
      <c r="E4981" s="5" t="s">
        <v>112</v>
      </c>
      <c r="F4981" s="6" t="s">
        <v>18</v>
      </c>
      <c r="G4981" s="4" t="s">
        <v>2</v>
      </c>
      <c r="H4981" s="25">
        <v>95560</v>
      </c>
      <c r="I4981" s="8">
        <v>1</v>
      </c>
      <c r="J4981" s="9">
        <v>1</v>
      </c>
      <c r="K4981" s="7">
        <v>0</v>
      </c>
      <c r="L4981" s="24">
        <f>+Tabla2[[#This Row],[Stock Inventario]]*Tabla2[[#This Row],[Coste LÃ­nea]]</f>
        <v>95560</v>
      </c>
      <c r="M4981" s="24">
        <f>+Tabla2[[#This Row],[Variación Stock]]*Tabla2[[#This Row],[Coste LÃ­nea]]</f>
        <v>0</v>
      </c>
      <c r="N4981" s="22" t="str">
        <f>+IF(Tabla2[[#This Row],[Variación Stock]]&gt;0,"Sobrante",IF(Tabla2[[#This Row],[Variación Stock]]&lt;0,"Faltante","Sin novedad"))</f>
        <v>Sin novedad</v>
      </c>
    </row>
    <row r="4982" spans="1:14" x14ac:dyDescent="0.25">
      <c r="A4982" s="11">
        <v>46053</v>
      </c>
      <c r="B4982" s="5" t="s">
        <v>971</v>
      </c>
      <c r="C4982" s="3" t="s">
        <v>284</v>
      </c>
      <c r="D4982" s="5" t="s">
        <v>111</v>
      </c>
      <c r="E4982" s="5" t="s">
        <v>112</v>
      </c>
      <c r="F4982" s="6" t="s">
        <v>19</v>
      </c>
      <c r="G4982" s="4" t="s">
        <v>0</v>
      </c>
      <c r="H4982" s="25">
        <v>6746.25</v>
      </c>
      <c r="I4982" s="8">
        <v>39</v>
      </c>
      <c r="J4982" s="9">
        <v>39</v>
      </c>
      <c r="K4982" s="7">
        <v>0</v>
      </c>
      <c r="L4982" s="24">
        <f>+Tabla2[[#This Row],[Stock Inventario]]*Tabla2[[#This Row],[Coste LÃ­nea]]</f>
        <v>263103.75</v>
      </c>
      <c r="M4982" s="24">
        <f>+Tabla2[[#This Row],[Variación Stock]]*Tabla2[[#This Row],[Coste LÃ­nea]]</f>
        <v>0</v>
      </c>
      <c r="N4982" s="22" t="str">
        <f>+IF(Tabla2[[#This Row],[Variación Stock]]&gt;0,"Sobrante",IF(Tabla2[[#This Row],[Variación Stock]]&lt;0,"Faltante","Sin novedad"))</f>
        <v>Sin novedad</v>
      </c>
    </row>
    <row r="4983" spans="1:14" x14ac:dyDescent="0.25">
      <c r="A4983" s="11">
        <v>46053</v>
      </c>
      <c r="B4983" s="5" t="s">
        <v>971</v>
      </c>
      <c r="C4983" s="3" t="s">
        <v>284</v>
      </c>
      <c r="D4983" s="5" t="s">
        <v>111</v>
      </c>
      <c r="E4983" s="5" t="s">
        <v>112</v>
      </c>
      <c r="F4983" s="6" t="s">
        <v>131</v>
      </c>
      <c r="G4983" s="4" t="s">
        <v>0</v>
      </c>
      <c r="H4983" s="25">
        <v>7147.1666666700003</v>
      </c>
      <c r="I4983" s="8">
        <v>0</v>
      </c>
      <c r="J4983" s="9">
        <v>0</v>
      </c>
      <c r="K4983" s="7">
        <v>0</v>
      </c>
      <c r="L4983" s="24">
        <f>+Tabla2[[#This Row],[Stock Inventario]]*Tabla2[[#This Row],[Coste LÃ­nea]]</f>
        <v>0</v>
      </c>
      <c r="M4983" s="24">
        <f>+Tabla2[[#This Row],[Variación Stock]]*Tabla2[[#This Row],[Coste LÃ­nea]]</f>
        <v>0</v>
      </c>
      <c r="N4983" s="22" t="str">
        <f>+IF(Tabla2[[#This Row],[Variación Stock]]&gt;0,"Sobrante",IF(Tabla2[[#This Row],[Variación Stock]]&lt;0,"Faltante","Sin novedad"))</f>
        <v>Sin novedad</v>
      </c>
    </row>
    <row r="4984" spans="1:14" x14ac:dyDescent="0.25">
      <c r="A4984" s="11">
        <v>46053</v>
      </c>
      <c r="B4984" s="5" t="s">
        <v>971</v>
      </c>
      <c r="C4984" s="3" t="s">
        <v>284</v>
      </c>
      <c r="D4984" s="5" t="s">
        <v>111</v>
      </c>
      <c r="E4984" s="5" t="s">
        <v>112</v>
      </c>
      <c r="F4984" s="6" t="s">
        <v>138</v>
      </c>
      <c r="G4984" s="4" t="s">
        <v>0</v>
      </c>
      <c r="H4984" s="25">
        <v>4504.1666666700003</v>
      </c>
      <c r="I4984" s="8">
        <v>0</v>
      </c>
      <c r="J4984" s="9">
        <v>0</v>
      </c>
      <c r="K4984" s="7">
        <v>0</v>
      </c>
      <c r="L4984" s="24">
        <f>+Tabla2[[#This Row],[Stock Inventario]]*Tabla2[[#This Row],[Coste LÃ­nea]]</f>
        <v>0</v>
      </c>
      <c r="M4984" s="24">
        <f>+Tabla2[[#This Row],[Variación Stock]]*Tabla2[[#This Row],[Coste LÃ­nea]]</f>
        <v>0</v>
      </c>
      <c r="N4984" s="22" t="str">
        <f>+IF(Tabla2[[#This Row],[Variación Stock]]&gt;0,"Sobrante",IF(Tabla2[[#This Row],[Variación Stock]]&lt;0,"Faltante","Sin novedad"))</f>
        <v>Sin novedad</v>
      </c>
    </row>
    <row r="4985" spans="1:14" x14ac:dyDescent="0.25">
      <c r="A4985" s="11">
        <v>46053</v>
      </c>
      <c r="B4985" s="5" t="s">
        <v>971</v>
      </c>
      <c r="C4985" s="3" t="s">
        <v>284</v>
      </c>
      <c r="D4985" s="5" t="s">
        <v>111</v>
      </c>
      <c r="E4985" s="5" t="s">
        <v>112</v>
      </c>
      <c r="F4985" s="6" t="s">
        <v>20</v>
      </c>
      <c r="G4985" s="4" t="s">
        <v>0</v>
      </c>
      <c r="H4985" s="25">
        <v>7461.7272727299996</v>
      </c>
      <c r="I4985" s="8">
        <v>19.34</v>
      </c>
      <c r="J4985" s="9">
        <v>20</v>
      </c>
      <c r="K4985" s="7">
        <v>0.66</v>
      </c>
      <c r="L4985" s="24">
        <f>+Tabla2[[#This Row],[Stock Inventario]]*Tabla2[[#This Row],[Coste LÃ­nea]]</f>
        <v>149234.54545459998</v>
      </c>
      <c r="M4985" s="24">
        <f>+Tabla2[[#This Row],[Variación Stock]]*Tabla2[[#This Row],[Coste LÃ­nea]]</f>
        <v>4924.7400000017997</v>
      </c>
      <c r="N4985" s="22" t="str">
        <f>+IF(Tabla2[[#This Row],[Variación Stock]]&gt;0,"Sobrante",IF(Tabla2[[#This Row],[Variación Stock]]&lt;0,"Faltante","Sin novedad"))</f>
        <v>Sobrante</v>
      </c>
    </row>
    <row r="4986" spans="1:14" hidden="1" x14ac:dyDescent="0.25">
      <c r="A4986" s="11">
        <v>46053</v>
      </c>
      <c r="B4986" s="5" t="s">
        <v>971</v>
      </c>
      <c r="C4986" s="3" t="s">
        <v>284</v>
      </c>
      <c r="D4986" s="5" t="s">
        <v>396</v>
      </c>
      <c r="E4986" s="5" t="s">
        <v>117</v>
      </c>
      <c r="F4986" s="6" t="s">
        <v>397</v>
      </c>
      <c r="G4986" s="4" t="s">
        <v>1</v>
      </c>
      <c r="H4986" s="25">
        <v>150</v>
      </c>
      <c r="I4986" s="8">
        <v>0</v>
      </c>
      <c r="J4986" s="9">
        <v>0</v>
      </c>
      <c r="K4986" s="7">
        <v>0</v>
      </c>
      <c r="L4986" s="24">
        <f>+Tabla2[[#This Row],[Stock Inventario]]*Tabla2[[#This Row],[Coste LÃ­nea]]</f>
        <v>0</v>
      </c>
      <c r="M4986" s="24">
        <f>+Tabla2[[#This Row],[Variación Stock]]*Tabla2[[#This Row],[Coste LÃ­nea]]</f>
        <v>0</v>
      </c>
      <c r="N4986" s="22" t="str">
        <f>+IF(Tabla2[[#This Row],[Variación Stock]]&gt;0,"Sobrante",IF(Tabla2[[#This Row],[Variación Stock]]&lt;0,"Faltante","Sin novedad"))</f>
        <v>Sin novedad</v>
      </c>
    </row>
    <row r="4987" spans="1:14" x14ac:dyDescent="0.25">
      <c r="A4987" s="11">
        <v>46053</v>
      </c>
      <c r="B4987" s="5" t="s">
        <v>971</v>
      </c>
      <c r="C4987" s="3" t="s">
        <v>284</v>
      </c>
      <c r="D4987" s="5" t="s">
        <v>603</v>
      </c>
      <c r="E4987" s="5" t="s">
        <v>112</v>
      </c>
      <c r="F4987" s="6" t="s">
        <v>612</v>
      </c>
      <c r="G4987" s="4" t="s">
        <v>1</v>
      </c>
      <c r="H4987" s="25">
        <v>49.252538629999997</v>
      </c>
      <c r="I4987" s="8">
        <v>2908</v>
      </c>
      <c r="J4987" s="9">
        <v>3130</v>
      </c>
      <c r="K4987" s="7">
        <v>222</v>
      </c>
      <c r="L4987" s="24">
        <f>+Tabla2[[#This Row],[Stock Inventario]]*Tabla2[[#This Row],[Coste LÃ­nea]]</f>
        <v>154160.44591189999</v>
      </c>
      <c r="M4987" s="24">
        <f>+Tabla2[[#This Row],[Variación Stock]]*Tabla2[[#This Row],[Coste LÃ­nea]]</f>
        <v>10934.06357586</v>
      </c>
      <c r="N4987" s="22" t="str">
        <f>+IF(Tabla2[[#This Row],[Variación Stock]]&gt;0,"Sobrante",IF(Tabla2[[#This Row],[Variación Stock]]&lt;0,"Faltante","Sin novedad"))</f>
        <v>Sobrante</v>
      </c>
    </row>
    <row r="4988" spans="1:14" hidden="1" x14ac:dyDescent="0.25">
      <c r="A4988" s="11">
        <v>46053</v>
      </c>
      <c r="B4988" s="5" t="s">
        <v>971</v>
      </c>
      <c r="C4988" s="3" t="s">
        <v>284</v>
      </c>
      <c r="D4988" s="5" t="s">
        <v>547</v>
      </c>
      <c r="E4988" s="5" t="s">
        <v>117</v>
      </c>
      <c r="F4988" s="6" t="s">
        <v>558</v>
      </c>
      <c r="G4988" s="4" t="s">
        <v>1</v>
      </c>
      <c r="H4988" s="25">
        <v>8.2562499999999996</v>
      </c>
      <c r="I4988" s="8">
        <v>5936</v>
      </c>
      <c r="J4988" s="9">
        <v>4876</v>
      </c>
      <c r="K4988" s="7">
        <v>-1060</v>
      </c>
      <c r="L4988" s="24">
        <f>+Tabla2[[#This Row],[Stock Inventario]]*Tabla2[[#This Row],[Coste LÃ­nea]]</f>
        <v>40257.474999999999</v>
      </c>
      <c r="M4988" s="24">
        <f>+Tabla2[[#This Row],[Variación Stock]]*Tabla2[[#This Row],[Coste LÃ­nea]]</f>
        <v>-8751.625</v>
      </c>
      <c r="N4988" s="22" t="str">
        <f>+IF(Tabla2[[#This Row],[Variación Stock]]&gt;0,"Sobrante",IF(Tabla2[[#This Row],[Variación Stock]]&lt;0,"Faltante","Sin novedad"))</f>
        <v>Faltante</v>
      </c>
    </row>
    <row r="4989" spans="1:14" x14ac:dyDescent="0.25">
      <c r="A4989" s="11">
        <v>46053</v>
      </c>
      <c r="B4989" s="5" t="s">
        <v>971</v>
      </c>
      <c r="C4989" s="3" t="s">
        <v>284</v>
      </c>
      <c r="D4989" s="5" t="s">
        <v>603</v>
      </c>
      <c r="E4989" s="5" t="s">
        <v>112</v>
      </c>
      <c r="F4989" s="6" t="s">
        <v>605</v>
      </c>
      <c r="G4989" s="4" t="s">
        <v>2</v>
      </c>
      <c r="H4989" s="25">
        <v>1222.2222222222222</v>
      </c>
      <c r="I4989" s="8">
        <v>-32</v>
      </c>
      <c r="J4989" s="9">
        <v>0</v>
      </c>
      <c r="K4989" s="7">
        <v>32</v>
      </c>
      <c r="L4989" s="24">
        <f>+Tabla2[[#This Row],[Stock Inventario]]*Tabla2[[#This Row],[Coste LÃ­nea]]</f>
        <v>0</v>
      </c>
      <c r="M4989" s="24">
        <f>+Tabla2[[#This Row],[Variación Stock]]*Tabla2[[#This Row],[Coste LÃ­nea]]</f>
        <v>39111.111111111109</v>
      </c>
      <c r="N4989" s="22" t="str">
        <f>+IF(Tabla2[[#This Row],[Variación Stock]]&gt;0,"Sobrante",IF(Tabla2[[#This Row],[Variación Stock]]&lt;0,"Faltante","Sin novedad"))</f>
        <v>Sobrante</v>
      </c>
    </row>
    <row r="4990" spans="1:14" hidden="1" x14ac:dyDescent="0.25">
      <c r="A4990" s="11">
        <v>46053</v>
      </c>
      <c r="B4990" s="5" t="s">
        <v>971</v>
      </c>
      <c r="C4990" s="3" t="s">
        <v>284</v>
      </c>
      <c r="D4990" s="5" t="s">
        <v>119</v>
      </c>
      <c r="E4990" s="5" t="s">
        <v>117</v>
      </c>
      <c r="F4990" s="6" t="s">
        <v>9</v>
      </c>
      <c r="G4990" s="4" t="s">
        <v>2</v>
      </c>
      <c r="H4990" s="25">
        <v>514.28571428999999</v>
      </c>
      <c r="I4990" s="8">
        <v>1665</v>
      </c>
      <c r="J4990" s="9">
        <v>1485</v>
      </c>
      <c r="K4990" s="7">
        <v>-180</v>
      </c>
      <c r="L4990" s="24">
        <f>+Tabla2[[#This Row],[Stock Inventario]]*Tabla2[[#This Row],[Coste LÃ­nea]]</f>
        <v>763714.28572064999</v>
      </c>
      <c r="M4990" s="24">
        <f>+Tabla2[[#This Row],[Variación Stock]]*Tabla2[[#This Row],[Coste LÃ­nea]]</f>
        <v>-92571.428572199991</v>
      </c>
      <c r="N4990" s="22" t="str">
        <f>+IF(Tabla2[[#This Row],[Variación Stock]]&gt;0,"Sobrante",IF(Tabla2[[#This Row],[Variación Stock]]&lt;0,"Faltante","Sin novedad"))</f>
        <v>Faltante</v>
      </c>
    </row>
    <row r="4991" spans="1:14" hidden="1" x14ac:dyDescent="0.25">
      <c r="A4991" s="11">
        <v>46053</v>
      </c>
      <c r="B4991" s="5" t="s">
        <v>971</v>
      </c>
      <c r="C4991" s="3" t="s">
        <v>284</v>
      </c>
      <c r="D4991" s="5" t="s">
        <v>471</v>
      </c>
      <c r="E4991" s="5" t="s">
        <v>117</v>
      </c>
      <c r="F4991" s="6" t="s">
        <v>488</v>
      </c>
      <c r="G4991" s="4" t="s">
        <v>1</v>
      </c>
      <c r="H4991" s="25">
        <v>6.5</v>
      </c>
      <c r="I4991" s="8">
        <v>3305.556</v>
      </c>
      <c r="J4991" s="9">
        <v>1582</v>
      </c>
      <c r="K4991" s="7">
        <v>-3123.5560180000002</v>
      </c>
      <c r="L4991" s="24">
        <f>+Tabla2[[#This Row],[Stock Inventario]]*Tabla2[[#This Row],[Coste LÃ­nea]]</f>
        <v>10283</v>
      </c>
      <c r="M4991" s="24">
        <f>+Tabla2[[#This Row],[Variación Stock]]*Tabla2[[#This Row],[Coste LÃ­nea]]</f>
        <v>-20303.114117000001</v>
      </c>
      <c r="N4991" s="22" t="str">
        <f>+IF(Tabla2[[#This Row],[Variación Stock]]&gt;0,"Sobrante",IF(Tabla2[[#This Row],[Variación Stock]]&lt;0,"Faltante","Sin novedad"))</f>
        <v>Faltante</v>
      </c>
    </row>
    <row r="4992" spans="1:14" x14ac:dyDescent="0.25">
      <c r="A4992" s="11">
        <v>46053</v>
      </c>
      <c r="B4992" s="5" t="s">
        <v>971</v>
      </c>
      <c r="C4992" s="3" t="s">
        <v>284</v>
      </c>
      <c r="D4992" s="5" t="s">
        <v>111</v>
      </c>
      <c r="E4992" s="5" t="s">
        <v>112</v>
      </c>
      <c r="F4992" s="6" t="s">
        <v>37</v>
      </c>
      <c r="G4992" s="4" t="s">
        <v>0</v>
      </c>
      <c r="H4992" s="25">
        <v>4318.125</v>
      </c>
      <c r="I4992" s="8">
        <v>7</v>
      </c>
      <c r="J4992" s="9">
        <v>7</v>
      </c>
      <c r="K4992" s="7">
        <v>0</v>
      </c>
      <c r="L4992" s="24">
        <f>+Tabla2[[#This Row],[Stock Inventario]]*Tabla2[[#This Row],[Coste LÃ­nea]]</f>
        <v>30226.875</v>
      </c>
      <c r="M4992" s="24">
        <f>+Tabla2[[#This Row],[Variación Stock]]*Tabla2[[#This Row],[Coste LÃ­nea]]</f>
        <v>0</v>
      </c>
      <c r="N4992" s="22" t="str">
        <f>+IF(Tabla2[[#This Row],[Variación Stock]]&gt;0,"Sobrante",IF(Tabla2[[#This Row],[Variación Stock]]&lt;0,"Faltante","Sin novedad"))</f>
        <v>Sin novedad</v>
      </c>
    </row>
    <row r="4993" spans="1:14" x14ac:dyDescent="0.25">
      <c r="A4993" s="11">
        <v>46053</v>
      </c>
      <c r="B4993" s="5" t="s">
        <v>971</v>
      </c>
      <c r="C4993" s="3" t="s">
        <v>284</v>
      </c>
      <c r="D4993" s="5" t="s">
        <v>114</v>
      </c>
      <c r="E4993" s="5" t="s">
        <v>112</v>
      </c>
      <c r="F4993" s="6" t="s">
        <v>233</v>
      </c>
      <c r="G4993" s="4" t="s">
        <v>2</v>
      </c>
      <c r="H4993" s="25">
        <v>1860.01</v>
      </c>
      <c r="I4993" s="8">
        <v>0</v>
      </c>
      <c r="J4993" s="9">
        <v>0</v>
      </c>
      <c r="K4993" s="7">
        <v>0</v>
      </c>
      <c r="L4993" s="24">
        <f>+Tabla2[[#This Row],[Stock Inventario]]*Tabla2[[#This Row],[Coste LÃ­nea]]</f>
        <v>0</v>
      </c>
      <c r="M4993" s="24">
        <f>+Tabla2[[#This Row],[Variación Stock]]*Tabla2[[#This Row],[Coste LÃ­nea]]</f>
        <v>0</v>
      </c>
      <c r="N4993" s="22" t="str">
        <f>+IF(Tabla2[[#This Row],[Variación Stock]]&gt;0,"Sobrante",IF(Tabla2[[#This Row],[Variación Stock]]&lt;0,"Faltante","Sin novedad"))</f>
        <v>Sin novedad</v>
      </c>
    </row>
    <row r="4994" spans="1:14" hidden="1" x14ac:dyDescent="0.25">
      <c r="A4994" s="11">
        <v>46053</v>
      </c>
      <c r="B4994" s="5" t="s">
        <v>971</v>
      </c>
      <c r="C4994" s="3" t="s">
        <v>284</v>
      </c>
      <c r="D4994" s="5" t="s">
        <v>803</v>
      </c>
      <c r="E4994" s="5" t="s">
        <v>117</v>
      </c>
      <c r="F4994" s="6" t="s">
        <v>811</v>
      </c>
      <c r="G4994" s="4" t="s">
        <v>1</v>
      </c>
      <c r="H4994" s="25">
        <v>247.38325990999999</v>
      </c>
      <c r="I4994" s="8">
        <v>11</v>
      </c>
      <c r="J4994" s="9">
        <v>0</v>
      </c>
      <c r="K4994" s="7">
        <v>-11</v>
      </c>
      <c r="L4994" s="24">
        <f>+Tabla2[[#This Row],[Stock Inventario]]*Tabla2[[#This Row],[Coste LÃ­nea]]</f>
        <v>0</v>
      </c>
      <c r="M4994" s="24">
        <f>+Tabla2[[#This Row],[Variación Stock]]*Tabla2[[#This Row],[Coste LÃ­nea]]</f>
        <v>-2721.2158590099998</v>
      </c>
      <c r="N4994" s="22" t="str">
        <f>+IF(Tabla2[[#This Row],[Variación Stock]]&gt;0,"Sobrante",IF(Tabla2[[#This Row],[Variación Stock]]&lt;0,"Faltante","Sin novedad"))</f>
        <v>Faltante</v>
      </c>
    </row>
    <row r="4995" spans="1:14" hidden="1" x14ac:dyDescent="0.25">
      <c r="A4995" s="11">
        <v>46053</v>
      </c>
      <c r="B4995" s="5" t="s">
        <v>971</v>
      </c>
      <c r="C4995" s="3" t="s">
        <v>284</v>
      </c>
      <c r="D4995" s="5" t="s">
        <v>396</v>
      </c>
      <c r="E4995" s="5" t="s">
        <v>117</v>
      </c>
      <c r="F4995" s="6" t="s">
        <v>433</v>
      </c>
      <c r="G4995" s="4" t="s">
        <v>1</v>
      </c>
      <c r="H4995" s="25">
        <v>57.990152889999997</v>
      </c>
      <c r="I4995" s="8">
        <v>-52</v>
      </c>
      <c r="J4995" s="9">
        <v>0</v>
      </c>
      <c r="K4995" s="7">
        <v>52</v>
      </c>
      <c r="L4995" s="24">
        <f>+Tabla2[[#This Row],[Stock Inventario]]*Tabla2[[#This Row],[Coste LÃ­nea]]</f>
        <v>0</v>
      </c>
      <c r="M4995" s="24">
        <f>+Tabla2[[#This Row],[Variación Stock]]*Tabla2[[#This Row],[Coste LÃ­nea]]</f>
        <v>3015.4879502799999</v>
      </c>
      <c r="N4995" s="22" t="str">
        <f>+IF(Tabla2[[#This Row],[Variación Stock]]&gt;0,"Sobrante",IF(Tabla2[[#This Row],[Variación Stock]]&lt;0,"Faltante","Sin novedad"))</f>
        <v>Sobrante</v>
      </c>
    </row>
    <row r="4996" spans="1:14" hidden="1" x14ac:dyDescent="0.25">
      <c r="A4996" s="11">
        <v>46053</v>
      </c>
      <c r="B4996" s="5" t="s">
        <v>971</v>
      </c>
      <c r="C4996" s="3" t="s">
        <v>284</v>
      </c>
      <c r="D4996" s="5" t="s">
        <v>803</v>
      </c>
      <c r="E4996" s="5" t="s">
        <v>117</v>
      </c>
      <c r="F4996" s="6" t="s">
        <v>808</v>
      </c>
      <c r="G4996" s="4" t="s">
        <v>1</v>
      </c>
      <c r="H4996" s="25">
        <v>35.85341176</v>
      </c>
      <c r="I4996" s="8">
        <v>488</v>
      </c>
      <c r="J4996" s="9">
        <v>0</v>
      </c>
      <c r="K4996" s="7">
        <v>-488</v>
      </c>
      <c r="L4996" s="24">
        <f>+Tabla2[[#This Row],[Stock Inventario]]*Tabla2[[#This Row],[Coste LÃ­nea]]</f>
        <v>0</v>
      </c>
      <c r="M4996" s="24">
        <f>+Tabla2[[#This Row],[Variación Stock]]*Tabla2[[#This Row],[Coste LÃ­nea]]</f>
        <v>-17496.464938879999</v>
      </c>
      <c r="N4996" s="22" t="str">
        <f>+IF(Tabla2[[#This Row],[Variación Stock]]&gt;0,"Sobrante",IF(Tabla2[[#This Row],[Variación Stock]]&lt;0,"Faltante","Sin novedad"))</f>
        <v>Faltante</v>
      </c>
    </row>
    <row r="4997" spans="1:14" hidden="1" x14ac:dyDescent="0.25">
      <c r="A4997" s="11">
        <v>46053</v>
      </c>
      <c r="B4997" s="5" t="s">
        <v>971</v>
      </c>
      <c r="C4997" s="3" t="s">
        <v>284</v>
      </c>
      <c r="D4997" s="5" t="s">
        <v>119</v>
      </c>
      <c r="E4997" s="5" t="s">
        <v>117</v>
      </c>
      <c r="F4997" s="6" t="s">
        <v>193</v>
      </c>
      <c r="G4997" s="4" t="s">
        <v>1</v>
      </c>
      <c r="H4997" s="25">
        <v>62.6</v>
      </c>
      <c r="I4997" s="8">
        <v>0</v>
      </c>
      <c r="J4997" s="9">
        <v>0</v>
      </c>
      <c r="K4997" s="7">
        <v>0</v>
      </c>
      <c r="L4997" s="24">
        <f>+Tabla2[[#This Row],[Stock Inventario]]*Tabla2[[#This Row],[Coste LÃ­nea]]</f>
        <v>0</v>
      </c>
      <c r="M4997" s="24">
        <f>+Tabla2[[#This Row],[Variación Stock]]*Tabla2[[#This Row],[Coste LÃ­nea]]</f>
        <v>0</v>
      </c>
      <c r="N4997" s="22" t="str">
        <f>+IF(Tabla2[[#This Row],[Variación Stock]]&gt;0,"Sobrante",IF(Tabla2[[#This Row],[Variación Stock]]&lt;0,"Faltante","Sin novedad"))</f>
        <v>Sin novedad</v>
      </c>
    </row>
    <row r="4998" spans="1:14" hidden="1" x14ac:dyDescent="0.25">
      <c r="A4998" s="11">
        <v>46053</v>
      </c>
      <c r="B4998" s="5" t="s">
        <v>971</v>
      </c>
      <c r="C4998" s="3" t="s">
        <v>284</v>
      </c>
      <c r="D4998" s="5" t="s">
        <v>116</v>
      </c>
      <c r="E4998" s="5" t="s">
        <v>117</v>
      </c>
      <c r="F4998" s="6" t="s">
        <v>157</v>
      </c>
      <c r="G4998" s="4" t="s">
        <v>1</v>
      </c>
      <c r="H4998" s="25">
        <v>30.99415205</v>
      </c>
      <c r="I4998" s="8">
        <v>0</v>
      </c>
      <c r="J4998" s="9">
        <v>0</v>
      </c>
      <c r="K4998" s="7">
        <v>0</v>
      </c>
      <c r="L4998" s="24">
        <f>+Tabla2[[#This Row],[Stock Inventario]]*Tabla2[[#This Row],[Coste LÃ­nea]]</f>
        <v>0</v>
      </c>
      <c r="M4998" s="24">
        <f>+Tabla2[[#This Row],[Variación Stock]]*Tabla2[[#This Row],[Coste LÃ­nea]]</f>
        <v>0</v>
      </c>
      <c r="N4998" s="22" t="str">
        <f>+IF(Tabla2[[#This Row],[Variación Stock]]&gt;0,"Sobrante",IF(Tabla2[[#This Row],[Variación Stock]]&lt;0,"Faltante","Sin novedad"))</f>
        <v>Sin novedad</v>
      </c>
    </row>
    <row r="4999" spans="1:14" hidden="1" x14ac:dyDescent="0.25">
      <c r="A4999" s="11">
        <v>46053</v>
      </c>
      <c r="B4999" s="5" t="s">
        <v>971</v>
      </c>
      <c r="C4999" s="3" t="s">
        <v>284</v>
      </c>
      <c r="D4999" s="5" t="s">
        <v>471</v>
      </c>
      <c r="E4999" s="5" t="s">
        <v>117</v>
      </c>
      <c r="F4999" s="6" t="s">
        <v>489</v>
      </c>
      <c r="G4999" s="4" t="s">
        <v>1</v>
      </c>
      <c r="H4999" s="25">
        <v>5</v>
      </c>
      <c r="I4999" s="8">
        <v>-775</v>
      </c>
      <c r="J4999" s="9">
        <v>0</v>
      </c>
      <c r="K4999" s="7">
        <v>775</v>
      </c>
      <c r="L4999" s="24">
        <f>+Tabla2[[#This Row],[Stock Inventario]]*Tabla2[[#This Row],[Coste LÃ­nea]]</f>
        <v>0</v>
      </c>
      <c r="M4999" s="24">
        <f>+Tabla2[[#This Row],[Variación Stock]]*Tabla2[[#This Row],[Coste LÃ­nea]]</f>
        <v>3875</v>
      </c>
      <c r="N4999" s="22" t="str">
        <f>+IF(Tabla2[[#This Row],[Variación Stock]]&gt;0,"Sobrante",IF(Tabla2[[#This Row],[Variación Stock]]&lt;0,"Faltante","Sin novedad"))</f>
        <v>Sobrante</v>
      </c>
    </row>
    <row r="5000" spans="1:14" hidden="1" x14ac:dyDescent="0.25">
      <c r="A5000" s="11">
        <v>46053</v>
      </c>
      <c r="B5000" s="5" t="s">
        <v>971</v>
      </c>
      <c r="C5000" s="3" t="s">
        <v>284</v>
      </c>
      <c r="D5000" s="5" t="s">
        <v>396</v>
      </c>
      <c r="E5000" s="5" t="s">
        <v>117</v>
      </c>
      <c r="F5000" s="6" t="s">
        <v>465</v>
      </c>
      <c r="G5000" s="4" t="s">
        <v>1</v>
      </c>
      <c r="H5000" s="25">
        <v>21</v>
      </c>
      <c r="I5000" s="8">
        <v>0</v>
      </c>
      <c r="J5000" s="9">
        <v>0</v>
      </c>
      <c r="K5000" s="7">
        <v>0</v>
      </c>
      <c r="L5000" s="24">
        <f>+Tabla2[[#This Row],[Stock Inventario]]*Tabla2[[#This Row],[Coste LÃ­nea]]</f>
        <v>0</v>
      </c>
      <c r="M5000" s="24">
        <f>+Tabla2[[#This Row],[Variación Stock]]*Tabla2[[#This Row],[Coste LÃ­nea]]</f>
        <v>0</v>
      </c>
      <c r="N5000" s="22" t="str">
        <f>+IF(Tabla2[[#This Row],[Variación Stock]]&gt;0,"Sobrante",IF(Tabla2[[#This Row],[Variación Stock]]&lt;0,"Faltante","Sin novedad"))</f>
        <v>Sin novedad</v>
      </c>
    </row>
    <row r="5001" spans="1:14" hidden="1" x14ac:dyDescent="0.25">
      <c r="A5001" s="11">
        <v>46053</v>
      </c>
      <c r="B5001" s="5" t="s">
        <v>971</v>
      </c>
      <c r="C5001" s="3" t="s">
        <v>284</v>
      </c>
      <c r="D5001" s="5" t="s">
        <v>471</v>
      </c>
      <c r="E5001" s="5" t="s">
        <v>117</v>
      </c>
      <c r="F5001" s="6" t="s">
        <v>490</v>
      </c>
      <c r="G5001" s="4" t="s">
        <v>1</v>
      </c>
      <c r="H5001" s="25">
        <v>4</v>
      </c>
      <c r="I5001" s="8">
        <v>76549.672600000005</v>
      </c>
      <c r="J5001" s="9">
        <v>850</v>
      </c>
      <c r="K5001" s="7">
        <v>-96699.672584999993</v>
      </c>
      <c r="L5001" s="24">
        <f>+Tabla2[[#This Row],[Stock Inventario]]*Tabla2[[#This Row],[Coste LÃ­nea]]</f>
        <v>3400</v>
      </c>
      <c r="M5001" s="24">
        <f>+Tabla2[[#This Row],[Variación Stock]]*Tabla2[[#This Row],[Coste LÃ­nea]]</f>
        <v>-386798.69033999997</v>
      </c>
      <c r="N5001" s="22" t="str">
        <f>+IF(Tabla2[[#This Row],[Variación Stock]]&gt;0,"Sobrante",IF(Tabla2[[#This Row],[Variación Stock]]&lt;0,"Faltante","Sin novedad"))</f>
        <v>Faltante</v>
      </c>
    </row>
    <row r="5002" spans="1:14" hidden="1" x14ac:dyDescent="0.25">
      <c r="A5002" s="11">
        <v>46053</v>
      </c>
      <c r="B5002" s="5" t="s">
        <v>971</v>
      </c>
      <c r="C5002" s="3" t="s">
        <v>284</v>
      </c>
      <c r="D5002" s="5" t="s">
        <v>471</v>
      </c>
      <c r="E5002" s="5" t="s">
        <v>117</v>
      </c>
      <c r="F5002" s="6" t="s">
        <v>491</v>
      </c>
      <c r="G5002" s="4" t="s">
        <v>1</v>
      </c>
      <c r="H5002" s="25">
        <v>6.5</v>
      </c>
      <c r="I5002" s="8">
        <v>9940</v>
      </c>
      <c r="J5002" s="9">
        <v>0</v>
      </c>
      <c r="K5002" s="7">
        <v>-9940</v>
      </c>
      <c r="L5002" s="24">
        <f>+Tabla2[[#This Row],[Stock Inventario]]*Tabla2[[#This Row],[Coste LÃ­nea]]</f>
        <v>0</v>
      </c>
      <c r="M5002" s="24">
        <f>+Tabla2[[#This Row],[Variación Stock]]*Tabla2[[#This Row],[Coste LÃ­nea]]</f>
        <v>-64610</v>
      </c>
      <c r="N5002" s="22" t="str">
        <f>+IF(Tabla2[[#This Row],[Variación Stock]]&gt;0,"Sobrante",IF(Tabla2[[#This Row],[Variación Stock]]&lt;0,"Faltante","Sin novedad"))</f>
        <v>Faltante</v>
      </c>
    </row>
    <row r="5003" spans="1:14" hidden="1" x14ac:dyDescent="0.25">
      <c r="A5003" s="11">
        <v>46053</v>
      </c>
      <c r="B5003" s="5" t="s">
        <v>971</v>
      </c>
      <c r="C5003" s="3" t="s">
        <v>284</v>
      </c>
      <c r="D5003" s="5" t="s">
        <v>471</v>
      </c>
      <c r="E5003" s="5" t="s">
        <v>117</v>
      </c>
      <c r="F5003" s="6" t="s">
        <v>492</v>
      </c>
      <c r="G5003" s="4" t="s">
        <v>1</v>
      </c>
      <c r="H5003" s="25">
        <v>5.2</v>
      </c>
      <c r="I5003" s="8">
        <v>7757.1414000000004</v>
      </c>
      <c r="J5003" s="9">
        <v>2334</v>
      </c>
      <c r="K5003" s="7">
        <v>-7423.1414100000002</v>
      </c>
      <c r="L5003" s="24">
        <f>+Tabla2[[#This Row],[Stock Inventario]]*Tabla2[[#This Row],[Coste LÃ­nea]]</f>
        <v>12136.800000000001</v>
      </c>
      <c r="M5003" s="24">
        <f>+Tabla2[[#This Row],[Variación Stock]]*Tabla2[[#This Row],[Coste LÃ­nea]]</f>
        <v>-38600.335332000002</v>
      </c>
      <c r="N5003" s="22" t="str">
        <f>+IF(Tabla2[[#This Row],[Variación Stock]]&gt;0,"Sobrante",IF(Tabla2[[#This Row],[Variación Stock]]&lt;0,"Faltante","Sin novedad"))</f>
        <v>Faltante</v>
      </c>
    </row>
    <row r="5004" spans="1:14" hidden="1" x14ac:dyDescent="0.25">
      <c r="A5004" s="11">
        <v>46053</v>
      </c>
      <c r="B5004" s="5" t="s">
        <v>971</v>
      </c>
      <c r="C5004" s="3" t="s">
        <v>284</v>
      </c>
      <c r="D5004" s="5" t="s">
        <v>471</v>
      </c>
      <c r="E5004" s="5" t="s">
        <v>117</v>
      </c>
      <c r="F5004" s="6" t="s">
        <v>493</v>
      </c>
      <c r="G5004" s="4" t="s">
        <v>1</v>
      </c>
      <c r="H5004" s="25">
        <v>16</v>
      </c>
      <c r="I5004" s="8">
        <v>1260</v>
      </c>
      <c r="J5004" s="9">
        <v>534</v>
      </c>
      <c r="K5004" s="7">
        <v>-1086.000002</v>
      </c>
      <c r="L5004" s="24">
        <f>+Tabla2[[#This Row],[Stock Inventario]]*Tabla2[[#This Row],[Coste LÃ­nea]]</f>
        <v>8544</v>
      </c>
      <c r="M5004" s="24">
        <f>+Tabla2[[#This Row],[Variación Stock]]*Tabla2[[#This Row],[Coste LÃ­nea]]</f>
        <v>-17376.000032</v>
      </c>
      <c r="N5004" s="22" t="str">
        <f>+IF(Tabla2[[#This Row],[Variación Stock]]&gt;0,"Sobrante",IF(Tabla2[[#This Row],[Variación Stock]]&lt;0,"Faltante","Sin novedad"))</f>
        <v>Faltante</v>
      </c>
    </row>
    <row r="5005" spans="1:14" hidden="1" x14ac:dyDescent="0.25">
      <c r="A5005" s="11">
        <v>46053</v>
      </c>
      <c r="B5005" s="5" t="s">
        <v>971</v>
      </c>
      <c r="C5005" s="3" t="s">
        <v>284</v>
      </c>
      <c r="D5005" s="5" t="s">
        <v>818</v>
      </c>
      <c r="E5005" s="5" t="s">
        <v>117</v>
      </c>
      <c r="F5005" s="6" t="s">
        <v>821</v>
      </c>
      <c r="G5005" s="4" t="s">
        <v>1</v>
      </c>
      <c r="H5005" s="25">
        <v>31.81697479</v>
      </c>
      <c r="I5005" s="8">
        <v>-40</v>
      </c>
      <c r="J5005" s="9">
        <v>1000</v>
      </c>
      <c r="K5005" s="7">
        <v>1040</v>
      </c>
      <c r="L5005" s="24">
        <f>+Tabla2[[#This Row],[Stock Inventario]]*Tabla2[[#This Row],[Coste LÃ­nea]]</f>
        <v>31816.97479</v>
      </c>
      <c r="M5005" s="24">
        <f>+Tabla2[[#This Row],[Variación Stock]]*Tabla2[[#This Row],[Coste LÃ­nea]]</f>
        <v>33089.653781599998</v>
      </c>
      <c r="N5005" s="22" t="str">
        <f>+IF(Tabla2[[#This Row],[Variación Stock]]&gt;0,"Sobrante",IF(Tabla2[[#This Row],[Variación Stock]]&lt;0,"Faltante","Sin novedad"))</f>
        <v>Sobrante</v>
      </c>
    </row>
    <row r="5006" spans="1:14" x14ac:dyDescent="0.25">
      <c r="A5006" s="11">
        <v>46053</v>
      </c>
      <c r="B5006" s="5" t="s">
        <v>971</v>
      </c>
      <c r="C5006" s="3" t="s">
        <v>284</v>
      </c>
      <c r="D5006" s="5" t="s">
        <v>115</v>
      </c>
      <c r="E5006" s="5" t="s">
        <v>112</v>
      </c>
      <c r="F5006" s="6" t="s">
        <v>71</v>
      </c>
      <c r="G5006" s="4" t="s">
        <v>2</v>
      </c>
      <c r="H5006" s="25">
        <v>2335.0666666699999</v>
      </c>
      <c r="I5006" s="8">
        <v>23</v>
      </c>
      <c r="J5006" s="9">
        <v>23</v>
      </c>
      <c r="K5006" s="7">
        <v>0</v>
      </c>
      <c r="L5006" s="24">
        <f>+Tabla2[[#This Row],[Stock Inventario]]*Tabla2[[#This Row],[Coste LÃ­nea]]</f>
        <v>53706.53333341</v>
      </c>
      <c r="M5006" s="24">
        <f>+Tabla2[[#This Row],[Variación Stock]]*Tabla2[[#This Row],[Coste LÃ­nea]]</f>
        <v>0</v>
      </c>
      <c r="N5006" s="22" t="str">
        <f>+IF(Tabla2[[#This Row],[Variación Stock]]&gt;0,"Sobrante",IF(Tabla2[[#This Row],[Variación Stock]]&lt;0,"Faltante","Sin novedad"))</f>
        <v>Sin novedad</v>
      </c>
    </row>
    <row r="5007" spans="1:14" x14ac:dyDescent="0.25">
      <c r="A5007" s="11">
        <v>46053</v>
      </c>
      <c r="B5007" s="5" t="s">
        <v>971</v>
      </c>
      <c r="C5007" s="3" t="s">
        <v>284</v>
      </c>
      <c r="D5007" s="5" t="s">
        <v>115</v>
      </c>
      <c r="E5007" s="5" t="s">
        <v>112</v>
      </c>
      <c r="F5007" s="6" t="s">
        <v>72</v>
      </c>
      <c r="G5007" s="4" t="s">
        <v>2</v>
      </c>
      <c r="H5007" s="25">
        <v>2183.46666667</v>
      </c>
      <c r="I5007" s="8">
        <v>15</v>
      </c>
      <c r="J5007" s="9">
        <v>13</v>
      </c>
      <c r="K5007" s="7">
        <v>-2</v>
      </c>
      <c r="L5007" s="24">
        <f>+Tabla2[[#This Row],[Stock Inventario]]*Tabla2[[#This Row],[Coste LÃ­nea]]</f>
        <v>28385.066666710001</v>
      </c>
      <c r="M5007" s="24">
        <f>+Tabla2[[#This Row],[Variación Stock]]*Tabla2[[#This Row],[Coste LÃ­nea]]</f>
        <v>-4366.93333334</v>
      </c>
      <c r="N5007" s="22" t="str">
        <f>+IF(Tabla2[[#This Row],[Variación Stock]]&gt;0,"Sobrante",IF(Tabla2[[#This Row],[Variación Stock]]&lt;0,"Faltante","Sin novedad"))</f>
        <v>Faltante</v>
      </c>
    </row>
    <row r="5008" spans="1:14" x14ac:dyDescent="0.25">
      <c r="A5008" s="11">
        <v>46053</v>
      </c>
      <c r="B5008" s="5" t="s">
        <v>971</v>
      </c>
      <c r="C5008" s="3" t="s">
        <v>284</v>
      </c>
      <c r="D5008" s="5" t="s">
        <v>115</v>
      </c>
      <c r="E5008" s="5" t="s">
        <v>112</v>
      </c>
      <c r="F5008" s="6" t="s">
        <v>73</v>
      </c>
      <c r="G5008" s="4" t="s">
        <v>2</v>
      </c>
      <c r="H5008" s="25">
        <v>3348.5729166699998</v>
      </c>
      <c r="I5008" s="8">
        <v>23</v>
      </c>
      <c r="J5008" s="9">
        <v>23</v>
      </c>
      <c r="K5008" s="7">
        <v>0</v>
      </c>
      <c r="L5008" s="24">
        <f>+Tabla2[[#This Row],[Stock Inventario]]*Tabla2[[#This Row],[Coste LÃ­nea]]</f>
        <v>77017.177083410003</v>
      </c>
      <c r="M5008" s="24">
        <f>+Tabla2[[#This Row],[Variación Stock]]*Tabla2[[#This Row],[Coste LÃ­nea]]</f>
        <v>0</v>
      </c>
      <c r="N5008" s="22" t="str">
        <f>+IF(Tabla2[[#This Row],[Variación Stock]]&gt;0,"Sobrante",IF(Tabla2[[#This Row],[Variación Stock]]&lt;0,"Faltante","Sin novedad"))</f>
        <v>Sin novedad</v>
      </c>
    </row>
    <row r="5009" spans="1:14" x14ac:dyDescent="0.25">
      <c r="A5009" s="11">
        <v>46053</v>
      </c>
      <c r="B5009" s="5" t="s">
        <v>971</v>
      </c>
      <c r="C5009" s="3" t="s">
        <v>284</v>
      </c>
      <c r="D5009" s="5" t="s">
        <v>115</v>
      </c>
      <c r="E5009" s="5" t="s">
        <v>112</v>
      </c>
      <c r="F5009" s="6" t="s">
        <v>153</v>
      </c>
      <c r="G5009" s="4" t="s">
        <v>2</v>
      </c>
      <c r="H5009" s="25">
        <v>3200</v>
      </c>
      <c r="I5009" s="8">
        <v>0</v>
      </c>
      <c r="J5009" s="9">
        <v>0</v>
      </c>
      <c r="K5009" s="7">
        <v>0</v>
      </c>
      <c r="L5009" s="24">
        <f>+Tabla2[[#This Row],[Stock Inventario]]*Tabla2[[#This Row],[Coste LÃ­nea]]</f>
        <v>0</v>
      </c>
      <c r="M5009" s="24">
        <f>+Tabla2[[#This Row],[Variación Stock]]*Tabla2[[#This Row],[Coste LÃ­nea]]</f>
        <v>0</v>
      </c>
      <c r="N5009" s="22" t="str">
        <f>+IF(Tabla2[[#This Row],[Variación Stock]]&gt;0,"Sobrante",IF(Tabla2[[#This Row],[Variación Stock]]&lt;0,"Faltante","Sin novedad"))</f>
        <v>Sin novedad</v>
      </c>
    </row>
    <row r="5010" spans="1:14" x14ac:dyDescent="0.25">
      <c r="A5010" s="11">
        <v>46053</v>
      </c>
      <c r="B5010" s="5" t="s">
        <v>971</v>
      </c>
      <c r="C5010" s="3" t="s">
        <v>284</v>
      </c>
      <c r="D5010" s="5" t="s">
        <v>115</v>
      </c>
      <c r="E5010" s="5" t="s">
        <v>112</v>
      </c>
      <c r="F5010" s="6" t="s">
        <v>77</v>
      </c>
      <c r="G5010" s="4" t="s">
        <v>2</v>
      </c>
      <c r="H5010" s="25">
        <v>2773.5</v>
      </c>
      <c r="I5010" s="8">
        <v>28</v>
      </c>
      <c r="J5010" s="9">
        <v>28</v>
      </c>
      <c r="K5010" s="7">
        <v>0</v>
      </c>
      <c r="L5010" s="24">
        <f>+Tabla2[[#This Row],[Stock Inventario]]*Tabla2[[#This Row],[Coste LÃ­nea]]</f>
        <v>77658</v>
      </c>
      <c r="M5010" s="24">
        <f>+Tabla2[[#This Row],[Variación Stock]]*Tabla2[[#This Row],[Coste LÃ­nea]]</f>
        <v>0</v>
      </c>
      <c r="N5010" s="22" t="str">
        <f>+IF(Tabla2[[#This Row],[Variación Stock]]&gt;0,"Sobrante",IF(Tabla2[[#This Row],[Variación Stock]]&lt;0,"Faltante","Sin novedad"))</f>
        <v>Sin novedad</v>
      </c>
    </row>
    <row r="5011" spans="1:14" x14ac:dyDescent="0.25">
      <c r="A5011" s="11">
        <v>46053</v>
      </c>
      <c r="B5011" s="5" t="s">
        <v>971</v>
      </c>
      <c r="C5011" s="3" t="s">
        <v>284</v>
      </c>
      <c r="D5011" s="5" t="s">
        <v>115</v>
      </c>
      <c r="E5011" s="5" t="s">
        <v>112</v>
      </c>
      <c r="F5011" s="6" t="s">
        <v>74</v>
      </c>
      <c r="G5011" s="4" t="s">
        <v>2</v>
      </c>
      <c r="H5011" s="25">
        <v>3736.0833333300002</v>
      </c>
      <c r="I5011" s="8">
        <v>5</v>
      </c>
      <c r="J5011" s="9">
        <v>5</v>
      </c>
      <c r="K5011" s="7">
        <v>0</v>
      </c>
      <c r="L5011" s="24">
        <f>+Tabla2[[#This Row],[Stock Inventario]]*Tabla2[[#This Row],[Coste LÃ­nea]]</f>
        <v>18680.416666650002</v>
      </c>
      <c r="M5011" s="24">
        <f>+Tabla2[[#This Row],[Variación Stock]]*Tabla2[[#This Row],[Coste LÃ­nea]]</f>
        <v>0</v>
      </c>
      <c r="N5011" s="22" t="str">
        <f>+IF(Tabla2[[#This Row],[Variación Stock]]&gt;0,"Sobrante",IF(Tabla2[[#This Row],[Variación Stock]]&lt;0,"Faltante","Sin novedad"))</f>
        <v>Sin novedad</v>
      </c>
    </row>
    <row r="5012" spans="1:14" x14ac:dyDescent="0.25">
      <c r="A5012" s="11">
        <v>46053</v>
      </c>
      <c r="B5012" s="5" t="s">
        <v>971</v>
      </c>
      <c r="C5012" s="3" t="s">
        <v>284</v>
      </c>
      <c r="D5012" s="5" t="s">
        <v>115</v>
      </c>
      <c r="E5012" s="5" t="s">
        <v>112</v>
      </c>
      <c r="F5012" s="6" t="s">
        <v>291</v>
      </c>
      <c r="G5012" s="4" t="s">
        <v>2</v>
      </c>
      <c r="H5012" s="25">
        <v>4102.8541666700003</v>
      </c>
      <c r="I5012" s="8">
        <v>12</v>
      </c>
      <c r="J5012" s="9">
        <v>12</v>
      </c>
      <c r="K5012" s="7">
        <v>0</v>
      </c>
      <c r="L5012" s="24">
        <f>+Tabla2[[#This Row],[Stock Inventario]]*Tabla2[[#This Row],[Coste LÃ­nea]]</f>
        <v>49234.250000040003</v>
      </c>
      <c r="M5012" s="24">
        <f>+Tabla2[[#This Row],[Variación Stock]]*Tabla2[[#This Row],[Coste LÃ­nea]]</f>
        <v>0</v>
      </c>
      <c r="N5012" s="22" t="str">
        <f>+IF(Tabla2[[#This Row],[Variación Stock]]&gt;0,"Sobrante",IF(Tabla2[[#This Row],[Variación Stock]]&lt;0,"Faltante","Sin novedad"))</f>
        <v>Sin novedad</v>
      </c>
    </row>
    <row r="5013" spans="1:14" x14ac:dyDescent="0.25">
      <c r="A5013" s="11">
        <v>46053</v>
      </c>
      <c r="B5013" s="5" t="s">
        <v>971</v>
      </c>
      <c r="C5013" s="3" t="s">
        <v>284</v>
      </c>
      <c r="D5013" s="5" t="s">
        <v>115</v>
      </c>
      <c r="E5013" s="5" t="s">
        <v>112</v>
      </c>
      <c r="F5013" s="6" t="s">
        <v>78</v>
      </c>
      <c r="G5013" s="4" t="s">
        <v>2</v>
      </c>
      <c r="H5013" s="25">
        <v>3261.8333333300002</v>
      </c>
      <c r="I5013" s="8">
        <v>21</v>
      </c>
      <c r="J5013" s="9">
        <v>21</v>
      </c>
      <c r="K5013" s="7">
        <v>0</v>
      </c>
      <c r="L5013" s="24">
        <f>+Tabla2[[#This Row],[Stock Inventario]]*Tabla2[[#This Row],[Coste LÃ­nea]]</f>
        <v>68498.499999930005</v>
      </c>
      <c r="M5013" s="24">
        <f>+Tabla2[[#This Row],[Variación Stock]]*Tabla2[[#This Row],[Coste LÃ­nea]]</f>
        <v>0</v>
      </c>
      <c r="N5013" s="22" t="str">
        <f>+IF(Tabla2[[#This Row],[Variación Stock]]&gt;0,"Sobrante",IF(Tabla2[[#This Row],[Variación Stock]]&lt;0,"Faltante","Sin novedad"))</f>
        <v>Sin novedad</v>
      </c>
    </row>
    <row r="5014" spans="1:14" x14ac:dyDescent="0.25">
      <c r="A5014" s="11">
        <v>46053</v>
      </c>
      <c r="B5014" s="5" t="s">
        <v>971</v>
      </c>
      <c r="C5014" s="3" t="s">
        <v>284</v>
      </c>
      <c r="D5014" s="5" t="s">
        <v>115</v>
      </c>
      <c r="E5014" s="5" t="s">
        <v>112</v>
      </c>
      <c r="F5014" s="6" t="s">
        <v>367</v>
      </c>
      <c r="G5014" s="4" t="s">
        <v>2</v>
      </c>
      <c r="H5014" s="25">
        <v>2298.1333333299999</v>
      </c>
      <c r="I5014" s="8">
        <v>-7.72</v>
      </c>
      <c r="J5014" s="9">
        <v>18</v>
      </c>
      <c r="K5014" s="7">
        <v>25.72</v>
      </c>
      <c r="L5014" s="24">
        <f>+Tabla2[[#This Row],[Stock Inventario]]*Tabla2[[#This Row],[Coste LÃ­nea]]</f>
        <v>41366.399999939997</v>
      </c>
      <c r="M5014" s="24">
        <f>+Tabla2[[#This Row],[Variación Stock]]*Tabla2[[#This Row],[Coste LÃ­nea]]</f>
        <v>59107.989333247599</v>
      </c>
      <c r="N5014" s="22" t="str">
        <f>+IF(Tabla2[[#This Row],[Variación Stock]]&gt;0,"Sobrante",IF(Tabla2[[#This Row],[Variación Stock]]&lt;0,"Faltante","Sin novedad"))</f>
        <v>Sobrante</v>
      </c>
    </row>
    <row r="5015" spans="1:14" x14ac:dyDescent="0.25">
      <c r="A5015" s="11">
        <v>46053</v>
      </c>
      <c r="B5015" s="5" t="s">
        <v>971</v>
      </c>
      <c r="C5015" s="3" t="s">
        <v>284</v>
      </c>
      <c r="D5015" s="5" t="s">
        <v>115</v>
      </c>
      <c r="E5015" s="5" t="s">
        <v>112</v>
      </c>
      <c r="F5015" s="6" t="s">
        <v>368</v>
      </c>
      <c r="G5015" s="4" t="s">
        <v>2</v>
      </c>
      <c r="H5015" s="25">
        <v>3099.6666666699998</v>
      </c>
      <c r="I5015" s="8">
        <v>7</v>
      </c>
      <c r="J5015" s="9">
        <v>0</v>
      </c>
      <c r="K5015" s="7">
        <v>-7</v>
      </c>
      <c r="L5015" s="24">
        <f>+Tabla2[[#This Row],[Stock Inventario]]*Tabla2[[#This Row],[Coste LÃ­nea]]</f>
        <v>0</v>
      </c>
      <c r="M5015" s="24">
        <f>+Tabla2[[#This Row],[Variación Stock]]*Tabla2[[#This Row],[Coste LÃ­nea]]</f>
        <v>-21697.666666689998</v>
      </c>
      <c r="N5015" s="22" t="str">
        <f>+IF(Tabla2[[#This Row],[Variación Stock]]&gt;0,"Sobrante",IF(Tabla2[[#This Row],[Variación Stock]]&lt;0,"Faltante","Sin novedad"))</f>
        <v>Faltante</v>
      </c>
    </row>
    <row r="5016" spans="1:14" x14ac:dyDescent="0.25">
      <c r="A5016" s="11">
        <v>46053</v>
      </c>
      <c r="B5016" s="5" t="s">
        <v>971</v>
      </c>
      <c r="C5016" s="3" t="s">
        <v>284</v>
      </c>
      <c r="D5016" s="5" t="s">
        <v>115</v>
      </c>
      <c r="E5016" s="5" t="s">
        <v>112</v>
      </c>
      <c r="F5016" s="6" t="s">
        <v>76</v>
      </c>
      <c r="G5016" s="4" t="s">
        <v>2</v>
      </c>
      <c r="H5016" s="25">
        <v>3567.44444445</v>
      </c>
      <c r="I5016" s="8">
        <v>7</v>
      </c>
      <c r="J5016" s="9">
        <v>7</v>
      </c>
      <c r="K5016" s="7">
        <v>0</v>
      </c>
      <c r="L5016" s="24">
        <f>+Tabla2[[#This Row],[Stock Inventario]]*Tabla2[[#This Row],[Coste LÃ­nea]]</f>
        <v>24972.111111149999</v>
      </c>
      <c r="M5016" s="24">
        <f>+Tabla2[[#This Row],[Variación Stock]]*Tabla2[[#This Row],[Coste LÃ­nea]]</f>
        <v>0</v>
      </c>
      <c r="N5016" s="22" t="str">
        <f>+IF(Tabla2[[#This Row],[Variación Stock]]&gt;0,"Sobrante",IF(Tabla2[[#This Row],[Variación Stock]]&lt;0,"Faltante","Sin novedad"))</f>
        <v>Sin novedad</v>
      </c>
    </row>
    <row r="5017" spans="1:14" x14ac:dyDescent="0.25">
      <c r="A5017" s="11">
        <v>46053</v>
      </c>
      <c r="B5017" s="5" t="s">
        <v>971</v>
      </c>
      <c r="C5017" s="3" t="s">
        <v>284</v>
      </c>
      <c r="D5017" s="5" t="s">
        <v>115</v>
      </c>
      <c r="E5017" s="5" t="s">
        <v>112</v>
      </c>
      <c r="F5017" s="6" t="s">
        <v>290</v>
      </c>
      <c r="G5017" s="4" t="s">
        <v>2</v>
      </c>
      <c r="H5017" s="25">
        <v>11200</v>
      </c>
      <c r="I5017" s="8">
        <v>2</v>
      </c>
      <c r="J5017" s="9">
        <v>2</v>
      </c>
      <c r="K5017" s="7">
        <v>0</v>
      </c>
      <c r="L5017" s="24">
        <f>+Tabla2[[#This Row],[Stock Inventario]]*Tabla2[[#This Row],[Coste LÃ­nea]]</f>
        <v>22400</v>
      </c>
      <c r="M5017" s="24">
        <f>+Tabla2[[#This Row],[Variación Stock]]*Tabla2[[#This Row],[Coste LÃ­nea]]</f>
        <v>0</v>
      </c>
      <c r="N5017" s="22" t="str">
        <f>+IF(Tabla2[[#This Row],[Variación Stock]]&gt;0,"Sobrante",IF(Tabla2[[#This Row],[Variación Stock]]&lt;0,"Faltante","Sin novedad"))</f>
        <v>Sin novedad</v>
      </c>
    </row>
    <row r="5018" spans="1:14" hidden="1" x14ac:dyDescent="0.25">
      <c r="A5018" s="11">
        <v>46053</v>
      </c>
      <c r="B5018" s="5" t="s">
        <v>971</v>
      </c>
      <c r="C5018" s="3" t="s">
        <v>284</v>
      </c>
      <c r="D5018" s="5" t="s">
        <v>471</v>
      </c>
      <c r="E5018" s="5" t="s">
        <v>117</v>
      </c>
      <c r="F5018" s="6" t="s">
        <v>494</v>
      </c>
      <c r="G5018" s="4" t="s">
        <v>1</v>
      </c>
      <c r="H5018" s="25">
        <v>26</v>
      </c>
      <c r="I5018" s="8">
        <v>-1800</v>
      </c>
      <c r="J5018" s="9">
        <v>0</v>
      </c>
      <c r="K5018" s="7">
        <v>1800</v>
      </c>
      <c r="L5018" s="24">
        <f>+Tabla2[[#This Row],[Stock Inventario]]*Tabla2[[#This Row],[Coste LÃ­nea]]</f>
        <v>0</v>
      </c>
      <c r="M5018" s="24">
        <f>+Tabla2[[#This Row],[Variación Stock]]*Tabla2[[#This Row],[Coste LÃ­nea]]</f>
        <v>46800</v>
      </c>
      <c r="N5018" s="22" t="str">
        <f>+IF(Tabla2[[#This Row],[Variación Stock]]&gt;0,"Sobrante",IF(Tabla2[[#This Row],[Variación Stock]]&lt;0,"Faltante","Sin novedad"))</f>
        <v>Sobrante</v>
      </c>
    </row>
    <row r="5019" spans="1:14" hidden="1" x14ac:dyDescent="0.25">
      <c r="A5019" s="11">
        <v>46053</v>
      </c>
      <c r="B5019" s="5" t="s">
        <v>971</v>
      </c>
      <c r="C5019" s="3" t="s">
        <v>284</v>
      </c>
      <c r="D5019" s="5" t="s">
        <v>471</v>
      </c>
      <c r="E5019" s="5" t="s">
        <v>117</v>
      </c>
      <c r="F5019" s="6" t="s">
        <v>495</v>
      </c>
      <c r="G5019" s="4" t="s">
        <v>1</v>
      </c>
      <c r="H5019" s="25">
        <v>29</v>
      </c>
      <c r="I5019" s="8">
        <v>19818.333600000002</v>
      </c>
      <c r="J5019" s="9">
        <v>6050</v>
      </c>
      <c r="K5019" s="7">
        <v>-19768.333622999999</v>
      </c>
      <c r="L5019" s="24">
        <f>+Tabla2[[#This Row],[Stock Inventario]]*Tabla2[[#This Row],[Coste LÃ­nea]]</f>
        <v>175450</v>
      </c>
      <c r="M5019" s="24">
        <f>+Tabla2[[#This Row],[Variación Stock]]*Tabla2[[#This Row],[Coste LÃ­nea]]</f>
        <v>-573281.67506699997</v>
      </c>
      <c r="N5019" s="22" t="str">
        <f>+IF(Tabla2[[#This Row],[Variación Stock]]&gt;0,"Sobrante",IF(Tabla2[[#This Row],[Variación Stock]]&lt;0,"Faltante","Sin novedad"))</f>
        <v>Faltante</v>
      </c>
    </row>
    <row r="5020" spans="1:14" hidden="1" x14ac:dyDescent="0.25">
      <c r="A5020" s="11">
        <v>46053</v>
      </c>
      <c r="B5020" s="5" t="s">
        <v>971</v>
      </c>
      <c r="C5020" s="3" t="s">
        <v>284</v>
      </c>
      <c r="D5020" s="5" t="s">
        <v>396</v>
      </c>
      <c r="E5020" s="5" t="s">
        <v>117</v>
      </c>
      <c r="F5020" s="6" t="s">
        <v>410</v>
      </c>
      <c r="G5020" s="4" t="s">
        <v>1</v>
      </c>
      <c r="H5020" s="25">
        <v>35.5</v>
      </c>
      <c r="I5020" s="8">
        <v>3010</v>
      </c>
      <c r="J5020" s="9">
        <v>4000</v>
      </c>
      <c r="K5020" s="7">
        <v>990</v>
      </c>
      <c r="L5020" s="24">
        <f>+Tabla2[[#This Row],[Stock Inventario]]*Tabla2[[#This Row],[Coste LÃ­nea]]</f>
        <v>142000</v>
      </c>
      <c r="M5020" s="24">
        <f>+Tabla2[[#This Row],[Variación Stock]]*Tabla2[[#This Row],[Coste LÃ­nea]]</f>
        <v>35145</v>
      </c>
      <c r="N5020" s="22" t="str">
        <f>+IF(Tabla2[[#This Row],[Variación Stock]]&gt;0,"Sobrante",IF(Tabla2[[#This Row],[Variación Stock]]&lt;0,"Faltante","Sin novedad"))</f>
        <v>Sobrante</v>
      </c>
    </row>
    <row r="5021" spans="1:14" hidden="1" x14ac:dyDescent="0.25">
      <c r="A5021" s="11">
        <v>46053</v>
      </c>
      <c r="B5021" s="5" t="s">
        <v>971</v>
      </c>
      <c r="C5021" s="3" t="s">
        <v>284</v>
      </c>
      <c r="D5021" s="5" t="s">
        <v>116</v>
      </c>
      <c r="E5021" s="5" t="s">
        <v>117</v>
      </c>
      <c r="F5021" s="6" t="s">
        <v>6</v>
      </c>
      <c r="G5021" s="4" t="s">
        <v>2</v>
      </c>
      <c r="H5021" s="25">
        <v>9663.3333333299997</v>
      </c>
      <c r="I5021" s="8">
        <v>15.5</v>
      </c>
      <c r="J5021" s="9">
        <v>51.5</v>
      </c>
      <c r="K5021" s="7">
        <v>36</v>
      </c>
      <c r="L5021" s="24">
        <f>+Tabla2[[#This Row],[Stock Inventario]]*Tabla2[[#This Row],[Coste LÃ­nea]]</f>
        <v>497661.66666649497</v>
      </c>
      <c r="M5021" s="24">
        <f>+Tabla2[[#This Row],[Variación Stock]]*Tabla2[[#This Row],[Coste LÃ­nea]]</f>
        <v>347879.99999987998</v>
      </c>
      <c r="N5021" s="22" t="str">
        <f>+IF(Tabla2[[#This Row],[Variación Stock]]&gt;0,"Sobrante",IF(Tabla2[[#This Row],[Variación Stock]]&lt;0,"Faltante","Sin novedad"))</f>
        <v>Sobrante</v>
      </c>
    </row>
    <row r="5022" spans="1:14" hidden="1" x14ac:dyDescent="0.25">
      <c r="A5022" s="11">
        <v>46053</v>
      </c>
      <c r="B5022" s="5" t="s">
        <v>971</v>
      </c>
      <c r="C5022" s="3" t="s">
        <v>284</v>
      </c>
      <c r="D5022" s="5" t="s">
        <v>116</v>
      </c>
      <c r="E5022" s="5" t="s">
        <v>117</v>
      </c>
      <c r="F5022" s="6" t="s">
        <v>546</v>
      </c>
      <c r="G5022" s="4" t="s">
        <v>1</v>
      </c>
      <c r="H5022" s="25">
        <v>28</v>
      </c>
      <c r="I5022" s="8">
        <v>0</v>
      </c>
      <c r="J5022" s="9">
        <v>0</v>
      </c>
      <c r="K5022" s="7">
        <v>0</v>
      </c>
      <c r="L5022" s="24">
        <f>+Tabla2[[#This Row],[Stock Inventario]]*Tabla2[[#This Row],[Coste LÃ­nea]]</f>
        <v>0</v>
      </c>
      <c r="M5022" s="24">
        <f>+Tabla2[[#This Row],[Variación Stock]]*Tabla2[[#This Row],[Coste LÃ­nea]]</f>
        <v>0</v>
      </c>
      <c r="N5022" s="22" t="str">
        <f>+IF(Tabla2[[#This Row],[Variación Stock]]&gt;0,"Sobrante",IF(Tabla2[[#This Row],[Variación Stock]]&lt;0,"Faltante","Sin novedad"))</f>
        <v>Sin novedad</v>
      </c>
    </row>
    <row r="5023" spans="1:14" x14ac:dyDescent="0.25">
      <c r="A5023" s="11">
        <v>46053</v>
      </c>
      <c r="B5023" s="5" t="s">
        <v>971</v>
      </c>
      <c r="C5023" s="3" t="s">
        <v>284</v>
      </c>
      <c r="D5023" s="5" t="s">
        <v>114</v>
      </c>
      <c r="E5023" s="5" t="s">
        <v>112</v>
      </c>
      <c r="F5023" s="6" t="s">
        <v>66</v>
      </c>
      <c r="G5023" s="4" t="s">
        <v>2</v>
      </c>
      <c r="H5023" s="25">
        <v>4986.125</v>
      </c>
      <c r="I5023" s="8">
        <v>56</v>
      </c>
      <c r="J5023" s="9">
        <v>56</v>
      </c>
      <c r="K5023" s="7">
        <v>0</v>
      </c>
      <c r="L5023" s="24">
        <f>+Tabla2[[#This Row],[Stock Inventario]]*Tabla2[[#This Row],[Coste LÃ­nea]]</f>
        <v>279223</v>
      </c>
      <c r="M5023" s="24">
        <f>+Tabla2[[#This Row],[Variación Stock]]*Tabla2[[#This Row],[Coste LÃ­nea]]</f>
        <v>0</v>
      </c>
      <c r="N5023" s="22" t="str">
        <f>+IF(Tabla2[[#This Row],[Variación Stock]]&gt;0,"Sobrante",IF(Tabla2[[#This Row],[Variación Stock]]&lt;0,"Faltante","Sin novedad"))</f>
        <v>Sin novedad</v>
      </c>
    </row>
    <row r="5024" spans="1:14" hidden="1" x14ac:dyDescent="0.25">
      <c r="A5024" s="11">
        <v>46053</v>
      </c>
      <c r="B5024" s="5" t="s">
        <v>971</v>
      </c>
      <c r="C5024" s="3" t="s">
        <v>284</v>
      </c>
      <c r="D5024" s="5" t="s">
        <v>471</v>
      </c>
      <c r="E5024" s="5" t="s">
        <v>117</v>
      </c>
      <c r="F5024" s="6" t="s">
        <v>496</v>
      </c>
      <c r="G5024" s="4" t="s">
        <v>1</v>
      </c>
      <c r="H5024" s="25">
        <v>9</v>
      </c>
      <c r="I5024" s="8">
        <v>11493.48</v>
      </c>
      <c r="J5024" s="9">
        <v>1250</v>
      </c>
      <c r="K5024" s="7">
        <v>-13243.480037400001</v>
      </c>
      <c r="L5024" s="24">
        <f>+Tabla2[[#This Row],[Stock Inventario]]*Tabla2[[#This Row],[Coste LÃ­nea]]</f>
        <v>11250</v>
      </c>
      <c r="M5024" s="24">
        <f>+Tabla2[[#This Row],[Variación Stock]]*Tabla2[[#This Row],[Coste LÃ­nea]]</f>
        <v>-119191.32033660001</v>
      </c>
      <c r="N5024" s="22" t="str">
        <f>+IF(Tabla2[[#This Row],[Variación Stock]]&gt;0,"Sobrante",IF(Tabla2[[#This Row],[Variación Stock]]&lt;0,"Faltante","Sin novedad"))</f>
        <v>Faltante</v>
      </c>
    </row>
    <row r="5025" spans="1:14" x14ac:dyDescent="0.25">
      <c r="A5025" s="11">
        <v>46053</v>
      </c>
      <c r="B5025" s="5" t="s">
        <v>971</v>
      </c>
      <c r="C5025" s="3" t="s">
        <v>284</v>
      </c>
      <c r="D5025" s="5" t="s">
        <v>111</v>
      </c>
      <c r="E5025" s="5" t="s">
        <v>112</v>
      </c>
      <c r="F5025" s="6" t="s">
        <v>38</v>
      </c>
      <c r="G5025" s="4" t="s">
        <v>0</v>
      </c>
      <c r="H5025" s="25">
        <v>2789.3636363599999</v>
      </c>
      <c r="I5025" s="8">
        <v>5</v>
      </c>
      <c r="J5025" s="9">
        <v>6</v>
      </c>
      <c r="K5025" s="7">
        <v>1</v>
      </c>
      <c r="L5025" s="24">
        <f>+Tabla2[[#This Row],[Stock Inventario]]*Tabla2[[#This Row],[Coste LÃ­nea]]</f>
        <v>16736.181818159999</v>
      </c>
      <c r="M5025" s="24">
        <f>+Tabla2[[#This Row],[Variación Stock]]*Tabla2[[#This Row],[Coste LÃ­nea]]</f>
        <v>2789.3636363599999</v>
      </c>
      <c r="N5025" s="22" t="str">
        <f>+IF(Tabla2[[#This Row],[Variación Stock]]&gt;0,"Sobrante",IF(Tabla2[[#This Row],[Variación Stock]]&lt;0,"Faltante","Sin novedad"))</f>
        <v>Sobrante</v>
      </c>
    </row>
    <row r="5026" spans="1:14" hidden="1" x14ac:dyDescent="0.25">
      <c r="A5026" s="11">
        <v>46053</v>
      </c>
      <c r="B5026" s="5" t="s">
        <v>971</v>
      </c>
      <c r="C5026" s="3" t="s">
        <v>284</v>
      </c>
      <c r="D5026" s="5" t="s">
        <v>803</v>
      </c>
      <c r="E5026" s="5" t="s">
        <v>117</v>
      </c>
      <c r="F5026" s="6" t="s">
        <v>809</v>
      </c>
      <c r="G5026" s="4" t="s">
        <v>1</v>
      </c>
      <c r="H5026" s="25">
        <v>46.806453779999998</v>
      </c>
      <c r="I5026" s="8">
        <v>125</v>
      </c>
      <c r="J5026" s="9">
        <v>0</v>
      </c>
      <c r="K5026" s="7">
        <v>-125</v>
      </c>
      <c r="L5026" s="24">
        <f>+Tabla2[[#This Row],[Stock Inventario]]*Tabla2[[#This Row],[Coste LÃ­nea]]</f>
        <v>0</v>
      </c>
      <c r="M5026" s="24">
        <f>+Tabla2[[#This Row],[Variación Stock]]*Tabla2[[#This Row],[Coste LÃ­nea]]</f>
        <v>-5850.8067224999995</v>
      </c>
      <c r="N5026" s="22" t="str">
        <f>+IF(Tabla2[[#This Row],[Variación Stock]]&gt;0,"Sobrante",IF(Tabla2[[#This Row],[Variación Stock]]&lt;0,"Faltante","Sin novedad"))</f>
        <v>Faltante</v>
      </c>
    </row>
    <row r="5027" spans="1:14" hidden="1" x14ac:dyDescent="0.25">
      <c r="A5027" s="11">
        <v>46053</v>
      </c>
      <c r="B5027" s="5" t="s">
        <v>971</v>
      </c>
      <c r="C5027" s="3" t="s">
        <v>284</v>
      </c>
      <c r="D5027" s="5" t="s">
        <v>396</v>
      </c>
      <c r="E5027" s="5" t="s">
        <v>117</v>
      </c>
      <c r="F5027" s="6" t="s">
        <v>459</v>
      </c>
      <c r="G5027" s="4" t="s">
        <v>1</v>
      </c>
      <c r="H5027" s="25">
        <v>82.471081679999998</v>
      </c>
      <c r="I5027" s="8">
        <v>666</v>
      </c>
      <c r="J5027" s="9">
        <v>0</v>
      </c>
      <c r="K5027" s="7">
        <v>-666</v>
      </c>
      <c r="L5027" s="24">
        <f>+Tabla2[[#This Row],[Stock Inventario]]*Tabla2[[#This Row],[Coste LÃ­nea]]</f>
        <v>0</v>
      </c>
      <c r="M5027" s="24">
        <f>+Tabla2[[#This Row],[Variación Stock]]*Tabla2[[#This Row],[Coste LÃ­nea]]</f>
        <v>-54925.74039888</v>
      </c>
      <c r="N5027" s="22" t="str">
        <f>+IF(Tabla2[[#This Row],[Variación Stock]]&gt;0,"Sobrante",IF(Tabla2[[#This Row],[Variación Stock]]&lt;0,"Faltante","Sin novedad"))</f>
        <v>Faltante</v>
      </c>
    </row>
    <row r="5028" spans="1:14" x14ac:dyDescent="0.25">
      <c r="A5028" s="11">
        <v>46053</v>
      </c>
      <c r="B5028" s="5" t="s">
        <v>971</v>
      </c>
      <c r="C5028" s="3" t="s">
        <v>284</v>
      </c>
      <c r="D5028" s="5" t="s">
        <v>114</v>
      </c>
      <c r="E5028" s="5" t="s">
        <v>112</v>
      </c>
      <c r="F5028" s="6" t="s">
        <v>110</v>
      </c>
      <c r="G5028" s="4" t="s">
        <v>2</v>
      </c>
      <c r="H5028" s="25">
        <v>4126.8333333299997</v>
      </c>
      <c r="I5028" s="8">
        <v>0</v>
      </c>
      <c r="J5028" s="9">
        <v>11</v>
      </c>
      <c r="K5028" s="7">
        <v>11</v>
      </c>
      <c r="L5028" s="24">
        <f>+Tabla2[[#This Row],[Stock Inventario]]*Tabla2[[#This Row],[Coste LÃ­nea]]</f>
        <v>45395.166666630001</v>
      </c>
      <c r="M5028" s="24">
        <f>+Tabla2[[#This Row],[Variación Stock]]*Tabla2[[#This Row],[Coste LÃ­nea]]</f>
        <v>45395.166666630001</v>
      </c>
      <c r="N5028" s="22" t="str">
        <f>+IF(Tabla2[[#This Row],[Variación Stock]]&gt;0,"Sobrante",IF(Tabla2[[#This Row],[Variación Stock]]&lt;0,"Faltante","Sin novedad"))</f>
        <v>Sobrante</v>
      </c>
    </row>
    <row r="5029" spans="1:14" x14ac:dyDescent="0.25">
      <c r="A5029" s="11">
        <v>46053</v>
      </c>
      <c r="B5029" s="5" t="s">
        <v>971</v>
      </c>
      <c r="C5029" s="3" t="s">
        <v>284</v>
      </c>
      <c r="D5029" s="5" t="s">
        <v>114</v>
      </c>
      <c r="E5029" s="5" t="s">
        <v>112</v>
      </c>
      <c r="F5029" s="6" t="s">
        <v>60</v>
      </c>
      <c r="G5029" s="4" t="s">
        <v>2</v>
      </c>
      <c r="H5029" s="25">
        <v>1769.5210905399999</v>
      </c>
      <c r="I5029" s="8">
        <v>117</v>
      </c>
      <c r="J5029" s="9">
        <v>118</v>
      </c>
      <c r="K5029" s="7">
        <v>1</v>
      </c>
      <c r="L5029" s="24">
        <f>+Tabla2[[#This Row],[Stock Inventario]]*Tabla2[[#This Row],[Coste LÃ­nea]]</f>
        <v>208803.48868372</v>
      </c>
      <c r="M5029" s="24">
        <f>+Tabla2[[#This Row],[Variación Stock]]*Tabla2[[#This Row],[Coste LÃ­nea]]</f>
        <v>1769.5210905399999</v>
      </c>
      <c r="N5029" s="22" t="str">
        <f>+IF(Tabla2[[#This Row],[Variación Stock]]&gt;0,"Sobrante",IF(Tabla2[[#This Row],[Variación Stock]]&lt;0,"Faltante","Sin novedad"))</f>
        <v>Sobrante</v>
      </c>
    </row>
    <row r="5030" spans="1:14" x14ac:dyDescent="0.25">
      <c r="A5030" s="11">
        <v>46053</v>
      </c>
      <c r="B5030" s="5" t="s">
        <v>971</v>
      </c>
      <c r="C5030" s="3" t="s">
        <v>284</v>
      </c>
      <c r="D5030" s="5" t="s">
        <v>114</v>
      </c>
      <c r="E5030" s="5" t="s">
        <v>112</v>
      </c>
      <c r="F5030" s="6" t="s">
        <v>61</v>
      </c>
      <c r="G5030" s="4" t="s">
        <v>2</v>
      </c>
      <c r="H5030" s="25">
        <v>2119.6875</v>
      </c>
      <c r="I5030" s="8">
        <v>80</v>
      </c>
      <c r="J5030" s="9">
        <v>81</v>
      </c>
      <c r="K5030" s="7">
        <v>1</v>
      </c>
      <c r="L5030" s="24">
        <f>+Tabla2[[#This Row],[Stock Inventario]]*Tabla2[[#This Row],[Coste LÃ­nea]]</f>
        <v>171694.6875</v>
      </c>
      <c r="M5030" s="24">
        <f>+Tabla2[[#This Row],[Variación Stock]]*Tabla2[[#This Row],[Coste LÃ­nea]]</f>
        <v>2119.6875</v>
      </c>
      <c r="N5030" s="22" t="str">
        <f>+IF(Tabla2[[#This Row],[Variación Stock]]&gt;0,"Sobrante",IF(Tabla2[[#This Row],[Variación Stock]]&lt;0,"Faltante","Sin novedad"))</f>
        <v>Sobrante</v>
      </c>
    </row>
    <row r="5031" spans="1:14" hidden="1" x14ac:dyDescent="0.25">
      <c r="A5031" s="11">
        <v>46053</v>
      </c>
      <c r="B5031" s="5" t="s">
        <v>971</v>
      </c>
      <c r="C5031" s="3" t="s">
        <v>284</v>
      </c>
      <c r="D5031" s="5" t="s">
        <v>824</v>
      </c>
      <c r="E5031" s="5" t="s">
        <v>117</v>
      </c>
      <c r="F5031" s="6" t="s">
        <v>826</v>
      </c>
      <c r="G5031" s="4" t="s">
        <v>1</v>
      </c>
      <c r="H5031" s="25">
        <v>41.195</v>
      </c>
      <c r="I5031" s="8">
        <v>1425</v>
      </c>
      <c r="J5031" s="9">
        <v>2300</v>
      </c>
      <c r="K5031" s="7">
        <v>875</v>
      </c>
      <c r="L5031" s="24">
        <f>+Tabla2[[#This Row],[Stock Inventario]]*Tabla2[[#This Row],[Coste LÃ­nea]]</f>
        <v>94748.5</v>
      </c>
      <c r="M5031" s="24">
        <f>+Tabla2[[#This Row],[Variación Stock]]*Tabla2[[#This Row],[Coste LÃ­nea]]</f>
        <v>36045.625</v>
      </c>
      <c r="N5031" s="22" t="str">
        <f>+IF(Tabla2[[#This Row],[Variación Stock]]&gt;0,"Sobrante",IF(Tabla2[[#This Row],[Variación Stock]]&lt;0,"Faltante","Sin novedad"))</f>
        <v>Sobrante</v>
      </c>
    </row>
    <row r="5032" spans="1:14" hidden="1" x14ac:dyDescent="0.25">
      <c r="A5032" s="11">
        <v>46053</v>
      </c>
      <c r="B5032" s="5" t="s">
        <v>971</v>
      </c>
      <c r="C5032" s="3" t="s">
        <v>284</v>
      </c>
      <c r="D5032" s="5" t="s">
        <v>471</v>
      </c>
      <c r="E5032" s="5" t="s">
        <v>117</v>
      </c>
      <c r="F5032" s="6" t="s">
        <v>497</v>
      </c>
      <c r="G5032" s="4" t="s">
        <v>1</v>
      </c>
      <c r="H5032" s="25">
        <v>8.1999999999999993</v>
      </c>
      <c r="I5032" s="8">
        <v>6400</v>
      </c>
      <c r="J5032" s="9">
        <v>0</v>
      </c>
      <c r="K5032" s="7">
        <v>-6400</v>
      </c>
      <c r="L5032" s="24">
        <f>+Tabla2[[#This Row],[Stock Inventario]]*Tabla2[[#This Row],[Coste LÃ­nea]]</f>
        <v>0</v>
      </c>
      <c r="M5032" s="24">
        <f>+Tabla2[[#This Row],[Variación Stock]]*Tabla2[[#This Row],[Coste LÃ­nea]]</f>
        <v>-52479.999999999993</v>
      </c>
      <c r="N5032" s="22" t="str">
        <f>+IF(Tabla2[[#This Row],[Variación Stock]]&gt;0,"Sobrante",IF(Tabla2[[#This Row],[Variación Stock]]&lt;0,"Faltante","Sin novedad"))</f>
        <v>Faltante</v>
      </c>
    </row>
    <row r="5033" spans="1:14" x14ac:dyDescent="0.25">
      <c r="A5033" s="11">
        <v>46053</v>
      </c>
      <c r="B5033" s="5" t="s">
        <v>971</v>
      </c>
      <c r="C5033" s="3" t="s">
        <v>284</v>
      </c>
      <c r="D5033" s="5" t="s">
        <v>114</v>
      </c>
      <c r="E5033" s="5" t="s">
        <v>112</v>
      </c>
      <c r="F5033" s="6" t="s">
        <v>67</v>
      </c>
      <c r="G5033" s="4" t="s">
        <v>2</v>
      </c>
      <c r="H5033" s="25">
        <v>4986.0833333299997</v>
      </c>
      <c r="I5033" s="8">
        <v>43.94</v>
      </c>
      <c r="J5033" s="9">
        <v>39</v>
      </c>
      <c r="K5033" s="7">
        <v>-4.9400000000000004</v>
      </c>
      <c r="L5033" s="24">
        <f>+Tabla2[[#This Row],[Stock Inventario]]*Tabla2[[#This Row],[Coste LÃ­nea]]</f>
        <v>194457.24999986999</v>
      </c>
      <c r="M5033" s="24">
        <f>+Tabla2[[#This Row],[Variación Stock]]*Tabla2[[#This Row],[Coste LÃ­nea]]</f>
        <v>-24631.251666650202</v>
      </c>
      <c r="N5033" s="22" t="str">
        <f>+IF(Tabla2[[#This Row],[Variación Stock]]&gt;0,"Sobrante",IF(Tabla2[[#This Row],[Variación Stock]]&lt;0,"Faltante","Sin novedad"))</f>
        <v>Faltante</v>
      </c>
    </row>
    <row r="5034" spans="1:14" hidden="1" x14ac:dyDescent="0.25">
      <c r="A5034" s="11">
        <v>46053</v>
      </c>
      <c r="B5034" s="5" t="s">
        <v>971</v>
      </c>
      <c r="C5034" s="3" t="s">
        <v>284</v>
      </c>
      <c r="D5034" s="5" t="s">
        <v>471</v>
      </c>
      <c r="E5034" s="5" t="s">
        <v>117</v>
      </c>
      <c r="F5034" s="6" t="s">
        <v>498</v>
      </c>
      <c r="G5034" s="4" t="s">
        <v>1</v>
      </c>
      <c r="H5034" s="25">
        <v>24</v>
      </c>
      <c r="I5034" s="8">
        <v>7458.5964999999997</v>
      </c>
      <c r="J5034" s="9">
        <v>962</v>
      </c>
      <c r="K5034" s="7">
        <v>-7496.5964641</v>
      </c>
      <c r="L5034" s="24">
        <f>+Tabla2[[#This Row],[Stock Inventario]]*Tabla2[[#This Row],[Coste LÃ­nea]]</f>
        <v>23088</v>
      </c>
      <c r="M5034" s="24">
        <f>+Tabla2[[#This Row],[Variación Stock]]*Tabla2[[#This Row],[Coste LÃ­nea]]</f>
        <v>-179918.31513840001</v>
      </c>
      <c r="N5034" s="22" t="str">
        <f>+IF(Tabla2[[#This Row],[Variación Stock]]&gt;0,"Sobrante",IF(Tabla2[[#This Row],[Variación Stock]]&lt;0,"Faltante","Sin novedad"))</f>
        <v>Faltante</v>
      </c>
    </row>
    <row r="5035" spans="1:14" hidden="1" x14ac:dyDescent="0.25">
      <c r="A5035" s="11">
        <v>46053</v>
      </c>
      <c r="B5035" s="5" t="s">
        <v>971</v>
      </c>
      <c r="C5035" s="3" t="s">
        <v>284</v>
      </c>
      <c r="D5035" s="5" t="s">
        <v>119</v>
      </c>
      <c r="E5035" s="5" t="s">
        <v>117</v>
      </c>
      <c r="F5035" s="6" t="s">
        <v>10</v>
      </c>
      <c r="G5035" s="4" t="s">
        <v>2</v>
      </c>
      <c r="H5035" s="25">
        <v>25875</v>
      </c>
      <c r="I5035" s="8">
        <v>-3</v>
      </c>
      <c r="J5035" s="9">
        <v>6</v>
      </c>
      <c r="K5035" s="7">
        <v>9</v>
      </c>
      <c r="L5035" s="24">
        <f>+Tabla2[[#This Row],[Stock Inventario]]*Tabla2[[#This Row],[Coste LÃ­nea]]</f>
        <v>155250</v>
      </c>
      <c r="M5035" s="24">
        <f>+Tabla2[[#This Row],[Variación Stock]]*Tabla2[[#This Row],[Coste LÃ­nea]]</f>
        <v>232875</v>
      </c>
      <c r="N5035" s="22" t="str">
        <f>+IF(Tabla2[[#This Row],[Variación Stock]]&gt;0,"Sobrante",IF(Tabla2[[#This Row],[Variación Stock]]&lt;0,"Faltante","Sin novedad"))</f>
        <v>Sobrante</v>
      </c>
    </row>
    <row r="5036" spans="1:14" hidden="1" x14ac:dyDescent="0.25">
      <c r="A5036" s="11">
        <v>46053</v>
      </c>
      <c r="B5036" s="5" t="s">
        <v>971</v>
      </c>
      <c r="C5036" s="3" t="s">
        <v>284</v>
      </c>
      <c r="D5036" s="5" t="s">
        <v>396</v>
      </c>
      <c r="E5036" s="5" t="s">
        <v>117</v>
      </c>
      <c r="F5036" s="6" t="s">
        <v>434</v>
      </c>
      <c r="G5036" s="4" t="s">
        <v>1</v>
      </c>
      <c r="H5036" s="25">
        <v>159.88999999999999</v>
      </c>
      <c r="I5036" s="8">
        <v>1000</v>
      </c>
      <c r="J5036" s="9">
        <v>500</v>
      </c>
      <c r="K5036" s="7">
        <v>-500</v>
      </c>
      <c r="L5036" s="24">
        <f>+Tabla2[[#This Row],[Stock Inventario]]*Tabla2[[#This Row],[Coste LÃ­nea]]</f>
        <v>79945</v>
      </c>
      <c r="M5036" s="24">
        <f>+Tabla2[[#This Row],[Variación Stock]]*Tabla2[[#This Row],[Coste LÃ­nea]]</f>
        <v>-79945</v>
      </c>
      <c r="N5036" s="22" t="str">
        <f>+IF(Tabla2[[#This Row],[Variación Stock]]&gt;0,"Sobrante",IF(Tabla2[[#This Row],[Variación Stock]]&lt;0,"Faltante","Sin novedad"))</f>
        <v>Faltante</v>
      </c>
    </row>
    <row r="5037" spans="1:14" hidden="1" x14ac:dyDescent="0.25">
      <c r="A5037" s="11">
        <v>46053</v>
      </c>
      <c r="B5037" s="5" t="s">
        <v>971</v>
      </c>
      <c r="C5037" s="3" t="s">
        <v>284</v>
      </c>
      <c r="D5037" s="5" t="s">
        <v>396</v>
      </c>
      <c r="E5037" s="5" t="s">
        <v>117</v>
      </c>
      <c r="F5037" s="6" t="s">
        <v>466</v>
      </c>
      <c r="G5037" s="4" t="s">
        <v>1</v>
      </c>
      <c r="H5037" s="25">
        <v>10.735200000000001</v>
      </c>
      <c r="I5037" s="8">
        <v>0</v>
      </c>
      <c r="J5037" s="9">
        <v>0</v>
      </c>
      <c r="K5037" s="7">
        <v>0</v>
      </c>
      <c r="L5037" s="24">
        <f>+Tabla2[[#This Row],[Stock Inventario]]*Tabla2[[#This Row],[Coste LÃ­nea]]</f>
        <v>0</v>
      </c>
      <c r="M5037" s="24">
        <f>+Tabla2[[#This Row],[Variación Stock]]*Tabla2[[#This Row],[Coste LÃ­nea]]</f>
        <v>0</v>
      </c>
      <c r="N5037" s="22" t="str">
        <f>+IF(Tabla2[[#This Row],[Variación Stock]]&gt;0,"Sobrante",IF(Tabla2[[#This Row],[Variación Stock]]&lt;0,"Faltante","Sin novedad"))</f>
        <v>Sin novedad</v>
      </c>
    </row>
    <row r="5038" spans="1:14" hidden="1" x14ac:dyDescent="0.25">
      <c r="A5038" s="11">
        <v>46053</v>
      </c>
      <c r="B5038" s="5" t="s">
        <v>971</v>
      </c>
      <c r="C5038" s="3" t="s">
        <v>284</v>
      </c>
      <c r="D5038" s="5" t="s">
        <v>815</v>
      </c>
      <c r="E5038" s="5" t="s">
        <v>117</v>
      </c>
      <c r="F5038" s="6" t="s">
        <v>817</v>
      </c>
      <c r="G5038" s="4" t="s">
        <v>2</v>
      </c>
      <c r="H5038" s="25">
        <v>2500</v>
      </c>
      <c r="I5038" s="8">
        <v>0</v>
      </c>
      <c r="J5038" s="9">
        <v>0</v>
      </c>
      <c r="K5038" s="7">
        <v>0</v>
      </c>
      <c r="L5038" s="24">
        <f>+Tabla2[[#This Row],[Stock Inventario]]*Tabla2[[#This Row],[Coste LÃ­nea]]</f>
        <v>0</v>
      </c>
      <c r="M5038" s="24">
        <f>+Tabla2[[#This Row],[Variación Stock]]*Tabla2[[#This Row],[Coste LÃ­nea]]</f>
        <v>0</v>
      </c>
      <c r="N5038" s="22" t="str">
        <f>+IF(Tabla2[[#This Row],[Variación Stock]]&gt;0,"Sobrante",IF(Tabla2[[#This Row],[Variación Stock]]&lt;0,"Faltante","Sin novedad"))</f>
        <v>Sin novedad</v>
      </c>
    </row>
    <row r="5039" spans="1:14" hidden="1" x14ac:dyDescent="0.25">
      <c r="A5039" s="11">
        <v>46053</v>
      </c>
      <c r="B5039" s="5" t="s">
        <v>971</v>
      </c>
      <c r="C5039" s="3" t="s">
        <v>284</v>
      </c>
      <c r="D5039" s="5" t="s">
        <v>803</v>
      </c>
      <c r="E5039" s="5" t="s">
        <v>117</v>
      </c>
      <c r="F5039" s="6" t="s">
        <v>813</v>
      </c>
      <c r="G5039" s="4" t="s">
        <v>1</v>
      </c>
      <c r="H5039" s="25">
        <v>68.37</v>
      </c>
      <c r="I5039" s="8">
        <v>2597</v>
      </c>
      <c r="J5039" s="9">
        <v>0</v>
      </c>
      <c r="K5039" s="7">
        <v>-2597</v>
      </c>
      <c r="L5039" s="24">
        <f>+Tabla2[[#This Row],[Stock Inventario]]*Tabla2[[#This Row],[Coste LÃ­nea]]</f>
        <v>0</v>
      </c>
      <c r="M5039" s="24">
        <f>+Tabla2[[#This Row],[Variación Stock]]*Tabla2[[#This Row],[Coste LÃ­nea]]</f>
        <v>-177556.89</v>
      </c>
      <c r="N5039" s="22" t="str">
        <f>+IF(Tabla2[[#This Row],[Variación Stock]]&gt;0,"Sobrante",IF(Tabla2[[#This Row],[Variación Stock]]&lt;0,"Faltante","Sin novedad"))</f>
        <v>Faltante</v>
      </c>
    </row>
    <row r="5040" spans="1:14" hidden="1" x14ac:dyDescent="0.25">
      <c r="A5040" s="11">
        <v>46053</v>
      </c>
      <c r="B5040" s="5" t="s">
        <v>971</v>
      </c>
      <c r="C5040" s="3" t="s">
        <v>284</v>
      </c>
      <c r="D5040" s="5" t="s">
        <v>559</v>
      </c>
      <c r="E5040" s="5" t="s">
        <v>1080</v>
      </c>
      <c r="F5040" s="6" t="s">
        <v>576</v>
      </c>
      <c r="G5040" s="4" t="s">
        <v>2</v>
      </c>
      <c r="H5040" s="25">
        <v>1388.73</v>
      </c>
      <c r="I5040" s="8">
        <v>1</v>
      </c>
      <c r="J5040" s="9">
        <v>3</v>
      </c>
      <c r="K5040" s="7">
        <v>2</v>
      </c>
      <c r="L5040" s="24">
        <f>+Tabla2[[#This Row],[Stock Inventario]]*Tabla2[[#This Row],[Coste LÃ­nea]]</f>
        <v>4166.1900000000005</v>
      </c>
      <c r="M5040" s="24">
        <f>+Tabla2[[#This Row],[Variación Stock]]*Tabla2[[#This Row],[Coste LÃ­nea]]</f>
        <v>2777.46</v>
      </c>
      <c r="N5040" s="22" t="str">
        <f>+IF(Tabla2[[#This Row],[Variación Stock]]&gt;0,"Sobrante",IF(Tabla2[[#This Row],[Variación Stock]]&lt;0,"Faltante","Sin novedad"))</f>
        <v>Sobrante</v>
      </c>
    </row>
    <row r="5041" spans="1:14" hidden="1" x14ac:dyDescent="0.25">
      <c r="A5041" s="11">
        <v>46053</v>
      </c>
      <c r="B5041" s="5" t="s">
        <v>971</v>
      </c>
      <c r="C5041" s="3" t="s">
        <v>284</v>
      </c>
      <c r="D5041" s="5" t="s">
        <v>116</v>
      </c>
      <c r="E5041" s="5" t="s">
        <v>117</v>
      </c>
      <c r="F5041" s="6" t="s">
        <v>253</v>
      </c>
      <c r="G5041" s="4" t="s">
        <v>1</v>
      </c>
      <c r="H5041" s="25">
        <v>26.941605840000001</v>
      </c>
      <c r="I5041" s="8">
        <v>0</v>
      </c>
      <c r="J5041" s="9">
        <v>0</v>
      </c>
      <c r="K5041" s="7">
        <v>0</v>
      </c>
      <c r="L5041" s="24">
        <f>+Tabla2[[#This Row],[Stock Inventario]]*Tabla2[[#This Row],[Coste LÃ­nea]]</f>
        <v>0</v>
      </c>
      <c r="M5041" s="24">
        <f>+Tabla2[[#This Row],[Variación Stock]]*Tabla2[[#This Row],[Coste LÃ­nea]]</f>
        <v>0</v>
      </c>
      <c r="N5041" s="22" t="str">
        <f>+IF(Tabla2[[#This Row],[Variación Stock]]&gt;0,"Sobrante",IF(Tabla2[[#This Row],[Variación Stock]]&lt;0,"Faltante","Sin novedad"))</f>
        <v>Sin novedad</v>
      </c>
    </row>
    <row r="5042" spans="1:14" hidden="1" x14ac:dyDescent="0.25">
      <c r="A5042" s="11">
        <v>46053</v>
      </c>
      <c r="B5042" s="5" t="s">
        <v>971</v>
      </c>
      <c r="C5042" s="3" t="s">
        <v>284</v>
      </c>
      <c r="D5042" s="5" t="s">
        <v>396</v>
      </c>
      <c r="E5042" s="5" t="s">
        <v>117</v>
      </c>
      <c r="F5042" s="6" t="s">
        <v>435</v>
      </c>
      <c r="G5042" s="4" t="s">
        <v>1</v>
      </c>
      <c r="H5042" s="25">
        <v>83.553333330000001</v>
      </c>
      <c r="I5042" s="8">
        <v>830</v>
      </c>
      <c r="J5042" s="9">
        <v>0</v>
      </c>
      <c r="K5042" s="7">
        <v>-830</v>
      </c>
      <c r="L5042" s="24">
        <f>+Tabla2[[#This Row],[Stock Inventario]]*Tabla2[[#This Row],[Coste LÃ­nea]]</f>
        <v>0</v>
      </c>
      <c r="M5042" s="24">
        <f>+Tabla2[[#This Row],[Variación Stock]]*Tabla2[[#This Row],[Coste LÃ­nea]]</f>
        <v>-69349.266663899994</v>
      </c>
      <c r="N5042" s="22" t="str">
        <f>+IF(Tabla2[[#This Row],[Variación Stock]]&gt;0,"Sobrante",IF(Tabla2[[#This Row],[Variación Stock]]&lt;0,"Faltante","Sin novedad"))</f>
        <v>Faltante</v>
      </c>
    </row>
    <row r="5043" spans="1:14" hidden="1" x14ac:dyDescent="0.25">
      <c r="A5043" s="11">
        <v>46053</v>
      </c>
      <c r="B5043" s="5" t="s">
        <v>971</v>
      </c>
      <c r="C5043" s="3" t="s">
        <v>284</v>
      </c>
      <c r="D5043" s="5" t="s">
        <v>547</v>
      </c>
      <c r="E5043" s="5" t="s">
        <v>117</v>
      </c>
      <c r="F5043" s="6" t="s">
        <v>548</v>
      </c>
      <c r="G5043" s="4" t="s">
        <v>1</v>
      </c>
      <c r="H5043" s="25">
        <v>21.274999999999999</v>
      </c>
      <c r="I5043" s="8">
        <v>0</v>
      </c>
      <c r="J5043" s="9">
        <v>0</v>
      </c>
      <c r="K5043" s="7">
        <v>0</v>
      </c>
      <c r="L5043" s="24">
        <f>+Tabla2[[#This Row],[Stock Inventario]]*Tabla2[[#This Row],[Coste LÃ­nea]]</f>
        <v>0</v>
      </c>
      <c r="M5043" s="24">
        <f>+Tabla2[[#This Row],[Variación Stock]]*Tabla2[[#This Row],[Coste LÃ­nea]]</f>
        <v>0</v>
      </c>
      <c r="N5043" s="22" t="str">
        <f>+IF(Tabla2[[#This Row],[Variación Stock]]&gt;0,"Sobrante",IF(Tabla2[[#This Row],[Variación Stock]]&lt;0,"Faltante","Sin novedad"))</f>
        <v>Sin novedad</v>
      </c>
    </row>
    <row r="5044" spans="1:14" hidden="1" x14ac:dyDescent="0.25">
      <c r="A5044" s="11">
        <v>46053</v>
      </c>
      <c r="B5044" s="5" t="s">
        <v>971</v>
      </c>
      <c r="C5044" s="3" t="s">
        <v>284</v>
      </c>
      <c r="D5044" s="5" t="s">
        <v>396</v>
      </c>
      <c r="E5044" s="5" t="s">
        <v>117</v>
      </c>
      <c r="F5044" s="6" t="s">
        <v>436</v>
      </c>
      <c r="G5044" s="4" t="s">
        <v>1</v>
      </c>
      <c r="H5044" s="25">
        <v>42.05</v>
      </c>
      <c r="I5044" s="8">
        <v>0</v>
      </c>
      <c r="J5044" s="9">
        <v>0</v>
      </c>
      <c r="K5044" s="7">
        <v>0</v>
      </c>
      <c r="L5044" s="24">
        <f>+Tabla2[[#This Row],[Stock Inventario]]*Tabla2[[#This Row],[Coste LÃ­nea]]</f>
        <v>0</v>
      </c>
      <c r="M5044" s="24">
        <f>+Tabla2[[#This Row],[Variación Stock]]*Tabla2[[#This Row],[Coste LÃ­nea]]</f>
        <v>0</v>
      </c>
      <c r="N5044" s="22" t="str">
        <f>+IF(Tabla2[[#This Row],[Variación Stock]]&gt;0,"Sobrante",IF(Tabla2[[#This Row],[Variación Stock]]&lt;0,"Faltante","Sin novedad"))</f>
        <v>Sin novedad</v>
      </c>
    </row>
    <row r="5045" spans="1:14" hidden="1" x14ac:dyDescent="0.25">
      <c r="A5045" s="11">
        <v>46053</v>
      </c>
      <c r="B5045" s="5" t="s">
        <v>971</v>
      </c>
      <c r="C5045" s="3" t="s">
        <v>284</v>
      </c>
      <c r="D5045" s="5" t="s">
        <v>547</v>
      </c>
      <c r="E5045" s="5" t="s">
        <v>117</v>
      </c>
      <c r="F5045" s="6" t="s">
        <v>553</v>
      </c>
      <c r="G5045" s="4" t="s">
        <v>1</v>
      </c>
      <c r="H5045" s="25">
        <v>17.858762890000001</v>
      </c>
      <c r="I5045" s="8">
        <v>2500</v>
      </c>
      <c r="J5045" s="9">
        <v>13800</v>
      </c>
      <c r="K5045" s="7">
        <v>-8100</v>
      </c>
      <c r="L5045" s="24">
        <f>+Tabla2[[#This Row],[Stock Inventario]]*Tabla2[[#This Row],[Coste LÃ­nea]]</f>
        <v>246450.92788200002</v>
      </c>
      <c r="M5045" s="24">
        <f>+Tabla2[[#This Row],[Variación Stock]]*Tabla2[[#This Row],[Coste LÃ­nea]]</f>
        <v>-144655.97940900002</v>
      </c>
      <c r="N5045" s="22" t="str">
        <f>+IF(Tabla2[[#This Row],[Variación Stock]]&gt;0,"Sobrante",IF(Tabla2[[#This Row],[Variación Stock]]&lt;0,"Faltante","Sin novedad"))</f>
        <v>Faltante</v>
      </c>
    </row>
    <row r="5046" spans="1:14" hidden="1" x14ac:dyDescent="0.25">
      <c r="A5046" s="11">
        <v>46053</v>
      </c>
      <c r="B5046" s="5" t="s">
        <v>971</v>
      </c>
      <c r="C5046" s="3" t="s">
        <v>284</v>
      </c>
      <c r="D5046" s="5" t="s">
        <v>547</v>
      </c>
      <c r="E5046" s="5" t="s">
        <v>117</v>
      </c>
      <c r="F5046" s="6" t="s">
        <v>554</v>
      </c>
      <c r="G5046" s="4" t="s">
        <v>1</v>
      </c>
      <c r="H5046" s="25">
        <v>28.84</v>
      </c>
      <c r="I5046" s="8">
        <v>-500</v>
      </c>
      <c r="J5046" s="9">
        <v>0</v>
      </c>
      <c r="K5046" s="7">
        <v>500</v>
      </c>
      <c r="L5046" s="24">
        <f>+Tabla2[[#This Row],[Stock Inventario]]*Tabla2[[#This Row],[Coste LÃ­nea]]</f>
        <v>0</v>
      </c>
      <c r="M5046" s="24">
        <f>+Tabla2[[#This Row],[Variación Stock]]*Tabla2[[#This Row],[Coste LÃ­nea]]</f>
        <v>14420</v>
      </c>
      <c r="N5046" s="22" t="str">
        <f>+IF(Tabla2[[#This Row],[Variación Stock]]&gt;0,"Sobrante",IF(Tabla2[[#This Row],[Variación Stock]]&lt;0,"Faltante","Sin novedad"))</f>
        <v>Sobrante</v>
      </c>
    </row>
    <row r="5047" spans="1:14" hidden="1" x14ac:dyDescent="0.25">
      <c r="A5047" s="11">
        <v>46053</v>
      </c>
      <c r="B5047" s="5" t="s">
        <v>971</v>
      </c>
      <c r="C5047" s="3" t="s">
        <v>284</v>
      </c>
      <c r="D5047" s="5" t="s">
        <v>559</v>
      </c>
      <c r="E5047" s="5" t="s">
        <v>1080</v>
      </c>
      <c r="F5047" s="6" t="s">
        <v>577</v>
      </c>
      <c r="G5047" s="4" t="s">
        <v>2</v>
      </c>
      <c r="H5047" s="25">
        <v>179.65</v>
      </c>
      <c r="I5047" s="8">
        <v>400</v>
      </c>
      <c r="J5047" s="9">
        <v>200</v>
      </c>
      <c r="K5047" s="7">
        <v>-200</v>
      </c>
      <c r="L5047" s="24">
        <f>+Tabla2[[#This Row],[Stock Inventario]]*Tabla2[[#This Row],[Coste LÃ­nea]]</f>
        <v>35930</v>
      </c>
      <c r="M5047" s="24">
        <f>+Tabla2[[#This Row],[Variación Stock]]*Tabla2[[#This Row],[Coste LÃ­nea]]</f>
        <v>-35930</v>
      </c>
      <c r="N5047" s="22" t="str">
        <f>+IF(Tabla2[[#This Row],[Variación Stock]]&gt;0,"Sobrante",IF(Tabla2[[#This Row],[Variación Stock]]&lt;0,"Faltante","Sin novedad"))</f>
        <v>Faltante</v>
      </c>
    </row>
    <row r="5048" spans="1:14" hidden="1" x14ac:dyDescent="0.25">
      <c r="A5048" s="11">
        <v>46053</v>
      </c>
      <c r="B5048" s="5" t="s">
        <v>971</v>
      </c>
      <c r="C5048" s="3" t="s">
        <v>284</v>
      </c>
      <c r="D5048" s="5" t="s">
        <v>559</v>
      </c>
      <c r="E5048" s="5" t="s">
        <v>1080</v>
      </c>
      <c r="F5048" s="6" t="s">
        <v>578</v>
      </c>
      <c r="G5048" s="4" t="s">
        <v>2</v>
      </c>
      <c r="H5048" s="25">
        <v>179.65</v>
      </c>
      <c r="I5048" s="8">
        <v>500</v>
      </c>
      <c r="J5048" s="9">
        <v>200</v>
      </c>
      <c r="K5048" s="7">
        <v>-300</v>
      </c>
      <c r="L5048" s="24">
        <f>+Tabla2[[#This Row],[Stock Inventario]]*Tabla2[[#This Row],[Coste LÃ­nea]]</f>
        <v>35930</v>
      </c>
      <c r="M5048" s="24">
        <f>+Tabla2[[#This Row],[Variación Stock]]*Tabla2[[#This Row],[Coste LÃ­nea]]</f>
        <v>-53895</v>
      </c>
      <c r="N5048" s="22" t="str">
        <f>+IF(Tabla2[[#This Row],[Variación Stock]]&gt;0,"Sobrante",IF(Tabla2[[#This Row],[Variación Stock]]&lt;0,"Faltante","Sin novedad"))</f>
        <v>Faltante</v>
      </c>
    </row>
    <row r="5049" spans="1:14" hidden="1" x14ac:dyDescent="0.25">
      <c r="A5049" s="11">
        <v>46053</v>
      </c>
      <c r="B5049" s="5" t="s">
        <v>971</v>
      </c>
      <c r="C5049" s="3" t="s">
        <v>284</v>
      </c>
      <c r="D5049" s="5" t="s">
        <v>396</v>
      </c>
      <c r="E5049" s="5" t="s">
        <v>117</v>
      </c>
      <c r="F5049" s="6" t="s">
        <v>467</v>
      </c>
      <c r="G5049" s="4" t="s">
        <v>2</v>
      </c>
      <c r="H5049" s="25">
        <v>4.7356828193832596</v>
      </c>
      <c r="I5049" s="8">
        <v>0</v>
      </c>
      <c r="J5049" s="9">
        <v>0</v>
      </c>
      <c r="K5049" s="7">
        <v>0</v>
      </c>
      <c r="L5049" s="24">
        <f>+Tabla2[[#This Row],[Stock Inventario]]*Tabla2[[#This Row],[Coste LÃ­nea]]</f>
        <v>0</v>
      </c>
      <c r="M5049" s="24">
        <f>+Tabla2[[#This Row],[Variación Stock]]*Tabla2[[#This Row],[Coste LÃ­nea]]</f>
        <v>0</v>
      </c>
      <c r="N5049" s="22" t="str">
        <f>+IF(Tabla2[[#This Row],[Variación Stock]]&gt;0,"Sobrante",IF(Tabla2[[#This Row],[Variación Stock]]&lt;0,"Faltante","Sin novedad"))</f>
        <v>Sin novedad</v>
      </c>
    </row>
    <row r="5050" spans="1:14" hidden="1" x14ac:dyDescent="0.25">
      <c r="A5050" s="11">
        <v>46053</v>
      </c>
      <c r="B5050" s="5" t="s">
        <v>971</v>
      </c>
      <c r="C5050" s="3" t="s">
        <v>284</v>
      </c>
      <c r="D5050" s="5" t="s">
        <v>471</v>
      </c>
      <c r="E5050" s="5" t="s">
        <v>117</v>
      </c>
      <c r="F5050" s="6" t="s">
        <v>499</v>
      </c>
      <c r="G5050" s="4" t="s">
        <v>1</v>
      </c>
      <c r="H5050" s="25">
        <v>5.8</v>
      </c>
      <c r="I5050" s="8">
        <v>16400</v>
      </c>
      <c r="J5050" s="9">
        <v>0</v>
      </c>
      <c r="K5050" s="7">
        <v>-16400</v>
      </c>
      <c r="L5050" s="24">
        <f>+Tabla2[[#This Row],[Stock Inventario]]*Tabla2[[#This Row],[Coste LÃ­nea]]</f>
        <v>0</v>
      </c>
      <c r="M5050" s="24">
        <f>+Tabla2[[#This Row],[Variación Stock]]*Tabla2[[#This Row],[Coste LÃ­nea]]</f>
        <v>-95120</v>
      </c>
      <c r="N5050" s="22" t="str">
        <f>+IF(Tabla2[[#This Row],[Variación Stock]]&gt;0,"Sobrante",IF(Tabla2[[#This Row],[Variación Stock]]&lt;0,"Faltante","Sin novedad"))</f>
        <v>Faltante</v>
      </c>
    </row>
    <row r="5051" spans="1:14" hidden="1" x14ac:dyDescent="0.25">
      <c r="A5051" s="11">
        <v>46053</v>
      </c>
      <c r="B5051" s="5" t="s">
        <v>971</v>
      </c>
      <c r="C5051" s="3" t="s">
        <v>284</v>
      </c>
      <c r="D5051" s="5" t="s">
        <v>626</v>
      </c>
      <c r="E5051" s="5" t="s">
        <v>1079</v>
      </c>
      <c r="F5051" s="6" t="s">
        <v>636</v>
      </c>
      <c r="G5051" s="4" t="s">
        <v>2</v>
      </c>
      <c r="H5051" s="25">
        <v>648.20000000000005</v>
      </c>
      <c r="I5051" s="8">
        <v>0</v>
      </c>
      <c r="J5051" s="9">
        <v>1</v>
      </c>
      <c r="K5051" s="7">
        <v>1</v>
      </c>
      <c r="L5051" s="24">
        <f>+Tabla2[[#This Row],[Stock Inventario]]*Tabla2[[#This Row],[Coste LÃ­nea]]</f>
        <v>648.20000000000005</v>
      </c>
      <c r="M5051" s="24">
        <f>+Tabla2[[#This Row],[Variación Stock]]*Tabla2[[#This Row],[Coste LÃ­nea]]</f>
        <v>648.20000000000005</v>
      </c>
      <c r="N5051" s="22" t="str">
        <f>+IF(Tabla2[[#This Row],[Variación Stock]]&gt;0,"Sobrante",IF(Tabla2[[#This Row],[Variación Stock]]&lt;0,"Faltante","Sin novedad"))</f>
        <v>Sobrante</v>
      </c>
    </row>
    <row r="5052" spans="1:14" hidden="1" x14ac:dyDescent="0.25">
      <c r="A5052" s="11">
        <v>46053</v>
      </c>
      <c r="B5052" s="5" t="s">
        <v>971</v>
      </c>
      <c r="C5052" s="3" t="s">
        <v>284</v>
      </c>
      <c r="D5052" s="5" t="s">
        <v>626</v>
      </c>
      <c r="E5052" s="5" t="s">
        <v>1079</v>
      </c>
      <c r="F5052" s="6" t="s">
        <v>641</v>
      </c>
      <c r="G5052" s="4" t="s">
        <v>2</v>
      </c>
      <c r="H5052" s="25">
        <v>895.4</v>
      </c>
      <c r="I5052" s="8">
        <v>140</v>
      </c>
      <c r="J5052" s="9">
        <v>100</v>
      </c>
      <c r="K5052" s="7">
        <v>-40</v>
      </c>
      <c r="L5052" s="24">
        <f>+Tabla2[[#This Row],[Stock Inventario]]*Tabla2[[#This Row],[Coste LÃ­nea]]</f>
        <v>89540</v>
      </c>
      <c r="M5052" s="24">
        <f>+Tabla2[[#This Row],[Variación Stock]]*Tabla2[[#This Row],[Coste LÃ­nea]]</f>
        <v>-35816</v>
      </c>
      <c r="N5052" s="22" t="str">
        <f>+IF(Tabla2[[#This Row],[Variación Stock]]&gt;0,"Sobrante",IF(Tabla2[[#This Row],[Variación Stock]]&lt;0,"Faltante","Sin novedad"))</f>
        <v>Faltante</v>
      </c>
    </row>
    <row r="5053" spans="1:14" hidden="1" x14ac:dyDescent="0.25">
      <c r="A5053" s="11">
        <v>46053</v>
      </c>
      <c r="B5053" s="5" t="s">
        <v>971</v>
      </c>
      <c r="C5053" s="3" t="s">
        <v>284</v>
      </c>
      <c r="D5053" s="5" t="s">
        <v>626</v>
      </c>
      <c r="E5053" s="5" t="s">
        <v>1079</v>
      </c>
      <c r="F5053" s="6" t="s">
        <v>642</v>
      </c>
      <c r="G5053" s="4" t="s">
        <v>1</v>
      </c>
      <c r="H5053" s="25">
        <v>31.364249999999998</v>
      </c>
      <c r="I5053" s="8">
        <v>8000</v>
      </c>
      <c r="J5053" s="9">
        <v>0</v>
      </c>
      <c r="K5053" s="7">
        <v>-8000</v>
      </c>
      <c r="L5053" s="24">
        <f>+Tabla2[[#This Row],[Stock Inventario]]*Tabla2[[#This Row],[Coste LÃ­nea]]</f>
        <v>0</v>
      </c>
      <c r="M5053" s="24">
        <f>+Tabla2[[#This Row],[Variación Stock]]*Tabla2[[#This Row],[Coste LÃ­nea]]</f>
        <v>-250914</v>
      </c>
      <c r="N5053" s="22" t="str">
        <f>+IF(Tabla2[[#This Row],[Variación Stock]]&gt;0,"Sobrante",IF(Tabla2[[#This Row],[Variación Stock]]&lt;0,"Faltante","Sin novedad"))</f>
        <v>Faltante</v>
      </c>
    </row>
    <row r="5054" spans="1:14" hidden="1" x14ac:dyDescent="0.25">
      <c r="A5054" s="11">
        <v>46053</v>
      </c>
      <c r="B5054" s="5" t="s">
        <v>971</v>
      </c>
      <c r="C5054" s="3" t="s">
        <v>284</v>
      </c>
      <c r="D5054" s="5" t="s">
        <v>626</v>
      </c>
      <c r="E5054" s="5" t="s">
        <v>1079</v>
      </c>
      <c r="F5054" s="6" t="s">
        <v>637</v>
      </c>
      <c r="G5054" s="4" t="s">
        <v>1</v>
      </c>
      <c r="H5054" s="25">
        <v>83.811999999999998</v>
      </c>
      <c r="I5054" s="8">
        <v>0</v>
      </c>
      <c r="J5054" s="9">
        <v>0</v>
      </c>
      <c r="K5054" s="7">
        <v>0</v>
      </c>
      <c r="L5054" s="24">
        <f>+Tabla2[[#This Row],[Stock Inventario]]*Tabla2[[#This Row],[Coste LÃ­nea]]</f>
        <v>0</v>
      </c>
      <c r="M5054" s="24">
        <f>+Tabla2[[#This Row],[Variación Stock]]*Tabla2[[#This Row],[Coste LÃ­nea]]</f>
        <v>0</v>
      </c>
      <c r="N5054" s="22" t="str">
        <f>+IF(Tabla2[[#This Row],[Variación Stock]]&gt;0,"Sobrante",IF(Tabla2[[#This Row],[Variación Stock]]&lt;0,"Faltante","Sin novedad"))</f>
        <v>Sin novedad</v>
      </c>
    </row>
    <row r="5055" spans="1:14" hidden="1" x14ac:dyDescent="0.25">
      <c r="A5055" s="11">
        <v>46053</v>
      </c>
      <c r="B5055" s="5" t="s">
        <v>971</v>
      </c>
      <c r="C5055" s="3" t="s">
        <v>284</v>
      </c>
      <c r="D5055" s="5" t="s">
        <v>626</v>
      </c>
      <c r="E5055" s="5" t="s">
        <v>1079</v>
      </c>
      <c r="F5055" s="6" t="s">
        <v>628</v>
      </c>
      <c r="G5055" s="4" t="s">
        <v>2</v>
      </c>
      <c r="H5055" s="25">
        <v>5350</v>
      </c>
      <c r="I5055" s="8">
        <v>0</v>
      </c>
      <c r="J5055" s="9">
        <v>0</v>
      </c>
      <c r="K5055" s="7">
        <v>0</v>
      </c>
      <c r="L5055" s="24">
        <f>+Tabla2[[#This Row],[Stock Inventario]]*Tabla2[[#This Row],[Coste LÃ­nea]]</f>
        <v>0</v>
      </c>
      <c r="M5055" s="24">
        <f>+Tabla2[[#This Row],[Variación Stock]]*Tabla2[[#This Row],[Coste LÃ­nea]]</f>
        <v>0</v>
      </c>
      <c r="N5055" s="22" t="str">
        <f>+IF(Tabla2[[#This Row],[Variación Stock]]&gt;0,"Sobrante",IF(Tabla2[[#This Row],[Variación Stock]]&lt;0,"Faltante","Sin novedad"))</f>
        <v>Sin novedad</v>
      </c>
    </row>
    <row r="5056" spans="1:14" hidden="1" x14ac:dyDescent="0.25">
      <c r="A5056" s="11">
        <v>46053</v>
      </c>
      <c r="B5056" s="5" t="s">
        <v>971</v>
      </c>
      <c r="C5056" s="3" t="s">
        <v>284</v>
      </c>
      <c r="D5056" s="5" t="s">
        <v>626</v>
      </c>
      <c r="E5056" s="5" t="s">
        <v>1079</v>
      </c>
      <c r="F5056" s="6" t="s">
        <v>643</v>
      </c>
      <c r="G5056" s="4" t="s">
        <v>2</v>
      </c>
      <c r="H5056" s="25">
        <v>5089.6666666700003</v>
      </c>
      <c r="I5056" s="8">
        <v>1</v>
      </c>
      <c r="J5056" s="9">
        <v>0</v>
      </c>
      <c r="K5056" s="7">
        <v>-1</v>
      </c>
      <c r="L5056" s="24">
        <f>+Tabla2[[#This Row],[Stock Inventario]]*Tabla2[[#This Row],[Coste LÃ­nea]]</f>
        <v>0</v>
      </c>
      <c r="M5056" s="24">
        <f>+Tabla2[[#This Row],[Variación Stock]]*Tabla2[[#This Row],[Coste LÃ­nea]]</f>
        <v>-5089.6666666700003</v>
      </c>
      <c r="N5056" s="22" t="str">
        <f>+IF(Tabla2[[#This Row],[Variación Stock]]&gt;0,"Sobrante",IF(Tabla2[[#This Row],[Variación Stock]]&lt;0,"Faltante","Sin novedad"))</f>
        <v>Faltante</v>
      </c>
    </row>
    <row r="5057" spans="1:14" x14ac:dyDescent="0.25">
      <c r="A5057" s="11">
        <v>46053</v>
      </c>
      <c r="B5057" s="5" t="s">
        <v>971</v>
      </c>
      <c r="C5057" s="3" t="s">
        <v>284</v>
      </c>
      <c r="D5057" s="5" t="s">
        <v>111</v>
      </c>
      <c r="E5057" s="5" t="s">
        <v>112</v>
      </c>
      <c r="F5057" s="6" t="s">
        <v>15</v>
      </c>
      <c r="G5057" s="4" t="s">
        <v>0</v>
      </c>
      <c r="H5057" s="25">
        <v>11819.5</v>
      </c>
      <c r="I5057" s="8">
        <v>29</v>
      </c>
      <c r="J5057" s="9">
        <v>26</v>
      </c>
      <c r="K5057" s="7">
        <v>-3</v>
      </c>
      <c r="L5057" s="24">
        <f>+Tabla2[[#This Row],[Stock Inventario]]*Tabla2[[#This Row],[Coste LÃ­nea]]</f>
        <v>307307</v>
      </c>
      <c r="M5057" s="24">
        <f>+Tabla2[[#This Row],[Variación Stock]]*Tabla2[[#This Row],[Coste LÃ­nea]]</f>
        <v>-35458.5</v>
      </c>
      <c r="N5057" s="22" t="str">
        <f>+IF(Tabla2[[#This Row],[Variación Stock]]&gt;0,"Sobrante",IF(Tabla2[[#This Row],[Variación Stock]]&lt;0,"Faltante","Sin novedad"))</f>
        <v>Faltante</v>
      </c>
    </row>
    <row r="5058" spans="1:14" x14ac:dyDescent="0.25">
      <c r="A5058" s="11">
        <v>46053</v>
      </c>
      <c r="B5058" s="5" t="s">
        <v>971</v>
      </c>
      <c r="C5058" s="3" t="s">
        <v>284</v>
      </c>
      <c r="D5058" s="5" t="s">
        <v>111</v>
      </c>
      <c r="E5058" s="5" t="s">
        <v>112</v>
      </c>
      <c r="F5058" s="6" t="s">
        <v>21</v>
      </c>
      <c r="G5058" s="4" t="s">
        <v>0</v>
      </c>
      <c r="H5058" s="25">
        <v>17377</v>
      </c>
      <c r="I5058" s="8">
        <v>9</v>
      </c>
      <c r="J5058" s="9">
        <v>10</v>
      </c>
      <c r="K5058" s="7">
        <v>1</v>
      </c>
      <c r="L5058" s="24">
        <f>+Tabla2[[#This Row],[Stock Inventario]]*Tabla2[[#This Row],[Coste LÃ­nea]]</f>
        <v>173770</v>
      </c>
      <c r="M5058" s="24">
        <f>+Tabla2[[#This Row],[Variación Stock]]*Tabla2[[#This Row],[Coste LÃ­nea]]</f>
        <v>17377</v>
      </c>
      <c r="N5058" s="22" t="str">
        <f>+IF(Tabla2[[#This Row],[Variación Stock]]&gt;0,"Sobrante",IF(Tabla2[[#This Row],[Variación Stock]]&lt;0,"Faltante","Sin novedad"))</f>
        <v>Sobrante</v>
      </c>
    </row>
    <row r="5059" spans="1:14" x14ac:dyDescent="0.25">
      <c r="A5059" s="11">
        <v>46053</v>
      </c>
      <c r="B5059" s="5" t="s">
        <v>971</v>
      </c>
      <c r="C5059" s="3" t="s">
        <v>284</v>
      </c>
      <c r="D5059" s="5" t="s">
        <v>111</v>
      </c>
      <c r="E5059" s="5" t="s">
        <v>112</v>
      </c>
      <c r="F5059" s="6" t="s">
        <v>22</v>
      </c>
      <c r="G5059" s="4" t="s">
        <v>0</v>
      </c>
      <c r="H5059" s="25">
        <v>13020.86363636</v>
      </c>
      <c r="I5059" s="8">
        <v>36</v>
      </c>
      <c r="J5059" s="9">
        <v>36</v>
      </c>
      <c r="K5059" s="7">
        <v>0</v>
      </c>
      <c r="L5059" s="24">
        <f>+Tabla2[[#This Row],[Stock Inventario]]*Tabla2[[#This Row],[Coste LÃ­nea]]</f>
        <v>468751.09090895997</v>
      </c>
      <c r="M5059" s="24">
        <f>+Tabla2[[#This Row],[Variación Stock]]*Tabla2[[#This Row],[Coste LÃ­nea]]</f>
        <v>0</v>
      </c>
      <c r="N5059" s="22" t="str">
        <f>+IF(Tabla2[[#This Row],[Variación Stock]]&gt;0,"Sobrante",IF(Tabla2[[#This Row],[Variación Stock]]&lt;0,"Faltante","Sin novedad"))</f>
        <v>Sin novedad</v>
      </c>
    </row>
    <row r="5060" spans="1:14" x14ac:dyDescent="0.25">
      <c r="A5060" s="11">
        <v>46053</v>
      </c>
      <c r="B5060" s="5" t="s">
        <v>971</v>
      </c>
      <c r="C5060" s="3" t="s">
        <v>284</v>
      </c>
      <c r="D5060" s="5" t="s">
        <v>111</v>
      </c>
      <c r="E5060" s="5" t="s">
        <v>112</v>
      </c>
      <c r="F5060" s="6" t="s">
        <v>364</v>
      </c>
      <c r="G5060" s="4" t="s">
        <v>0</v>
      </c>
      <c r="H5060" s="25">
        <v>10178.90909091</v>
      </c>
      <c r="I5060" s="8">
        <v>28</v>
      </c>
      <c r="J5060" s="9">
        <v>29</v>
      </c>
      <c r="K5060" s="7">
        <v>1</v>
      </c>
      <c r="L5060" s="24">
        <f>+Tabla2[[#This Row],[Stock Inventario]]*Tabla2[[#This Row],[Coste LÃ­nea]]</f>
        <v>295188.36363639002</v>
      </c>
      <c r="M5060" s="24">
        <f>+Tabla2[[#This Row],[Variación Stock]]*Tabla2[[#This Row],[Coste LÃ­nea]]</f>
        <v>10178.90909091</v>
      </c>
      <c r="N5060" s="22" t="str">
        <f>+IF(Tabla2[[#This Row],[Variación Stock]]&gt;0,"Sobrante",IF(Tabla2[[#This Row],[Variación Stock]]&lt;0,"Faltante","Sin novedad"))</f>
        <v>Sobrante</v>
      </c>
    </row>
    <row r="5061" spans="1:14" x14ac:dyDescent="0.25">
      <c r="A5061" s="11">
        <v>46053</v>
      </c>
      <c r="B5061" s="5" t="s">
        <v>971</v>
      </c>
      <c r="C5061" s="3" t="s">
        <v>284</v>
      </c>
      <c r="D5061" s="5" t="s">
        <v>111</v>
      </c>
      <c r="E5061" s="5" t="s">
        <v>112</v>
      </c>
      <c r="F5061" s="6" t="s">
        <v>365</v>
      </c>
      <c r="G5061" s="4" t="s">
        <v>0</v>
      </c>
      <c r="H5061" s="25">
        <v>12698.95454545</v>
      </c>
      <c r="I5061" s="8">
        <v>31</v>
      </c>
      <c r="J5061" s="9">
        <v>32</v>
      </c>
      <c r="K5061" s="7">
        <v>1</v>
      </c>
      <c r="L5061" s="24">
        <f>+Tabla2[[#This Row],[Stock Inventario]]*Tabla2[[#This Row],[Coste LÃ­nea]]</f>
        <v>406366.54545440001</v>
      </c>
      <c r="M5061" s="24">
        <f>+Tabla2[[#This Row],[Variación Stock]]*Tabla2[[#This Row],[Coste LÃ­nea]]</f>
        <v>12698.95454545</v>
      </c>
      <c r="N5061" s="22" t="str">
        <f>+IF(Tabla2[[#This Row],[Variación Stock]]&gt;0,"Sobrante",IF(Tabla2[[#This Row],[Variación Stock]]&lt;0,"Faltante","Sin novedad"))</f>
        <v>Sobrante</v>
      </c>
    </row>
    <row r="5062" spans="1:14" hidden="1" x14ac:dyDescent="0.25">
      <c r="A5062" s="11">
        <v>46053</v>
      </c>
      <c r="B5062" s="5" t="s">
        <v>971</v>
      </c>
      <c r="C5062" s="3" t="s">
        <v>284</v>
      </c>
      <c r="D5062" s="5" t="s">
        <v>818</v>
      </c>
      <c r="E5062" s="5" t="s">
        <v>117</v>
      </c>
      <c r="F5062" s="6" t="s">
        <v>822</v>
      </c>
      <c r="G5062" s="4" t="s">
        <v>1</v>
      </c>
      <c r="H5062" s="25">
        <v>19.744680850000002</v>
      </c>
      <c r="I5062" s="8">
        <v>0</v>
      </c>
      <c r="J5062" s="9">
        <v>0</v>
      </c>
      <c r="K5062" s="7">
        <v>0</v>
      </c>
      <c r="L5062" s="24">
        <f>+Tabla2[[#This Row],[Stock Inventario]]*Tabla2[[#This Row],[Coste LÃ­nea]]</f>
        <v>0</v>
      </c>
      <c r="M5062" s="24">
        <f>+Tabla2[[#This Row],[Variación Stock]]*Tabla2[[#This Row],[Coste LÃ­nea]]</f>
        <v>0</v>
      </c>
      <c r="N5062" s="22" t="str">
        <f>+IF(Tabla2[[#This Row],[Variación Stock]]&gt;0,"Sobrante",IF(Tabla2[[#This Row],[Variación Stock]]&lt;0,"Faltante","Sin novedad"))</f>
        <v>Sin novedad</v>
      </c>
    </row>
    <row r="5063" spans="1:14" x14ac:dyDescent="0.25">
      <c r="A5063" s="11">
        <v>46053</v>
      </c>
      <c r="B5063" s="5" t="s">
        <v>971</v>
      </c>
      <c r="C5063" s="3" t="s">
        <v>284</v>
      </c>
      <c r="D5063" s="5" t="s">
        <v>114</v>
      </c>
      <c r="E5063" s="5" t="s">
        <v>112</v>
      </c>
      <c r="F5063" s="6" t="s">
        <v>68</v>
      </c>
      <c r="G5063" s="4" t="s">
        <v>2</v>
      </c>
      <c r="H5063" s="25">
        <v>4986.0833333299997</v>
      </c>
      <c r="I5063" s="8">
        <v>19</v>
      </c>
      <c r="J5063" s="9">
        <v>19</v>
      </c>
      <c r="K5063" s="7">
        <v>0</v>
      </c>
      <c r="L5063" s="24">
        <f>+Tabla2[[#This Row],[Stock Inventario]]*Tabla2[[#This Row],[Coste LÃ­nea]]</f>
        <v>94735.583333269999</v>
      </c>
      <c r="M5063" s="24">
        <f>+Tabla2[[#This Row],[Variación Stock]]*Tabla2[[#This Row],[Coste LÃ­nea]]</f>
        <v>0</v>
      </c>
      <c r="N5063" s="22" t="str">
        <f>+IF(Tabla2[[#This Row],[Variación Stock]]&gt;0,"Sobrante",IF(Tabla2[[#This Row],[Variación Stock]]&lt;0,"Faltante","Sin novedad"))</f>
        <v>Sin novedad</v>
      </c>
    </row>
    <row r="5064" spans="1:14" hidden="1" x14ac:dyDescent="0.25">
      <c r="A5064" s="11">
        <v>46053</v>
      </c>
      <c r="B5064" s="5" t="s">
        <v>971</v>
      </c>
      <c r="C5064" s="3" t="s">
        <v>284</v>
      </c>
      <c r="D5064" s="5" t="s">
        <v>626</v>
      </c>
      <c r="E5064" s="5" t="s">
        <v>1079</v>
      </c>
      <c r="F5064" s="6" t="s">
        <v>644</v>
      </c>
      <c r="G5064" s="4" t="s">
        <v>2</v>
      </c>
      <c r="H5064" s="25">
        <v>6295</v>
      </c>
      <c r="I5064" s="8">
        <v>2</v>
      </c>
      <c r="J5064" s="9">
        <v>2</v>
      </c>
      <c r="K5064" s="7">
        <v>0</v>
      </c>
      <c r="L5064" s="24">
        <f>+Tabla2[[#This Row],[Stock Inventario]]*Tabla2[[#This Row],[Coste LÃ­nea]]</f>
        <v>12590</v>
      </c>
      <c r="M5064" s="24">
        <f>+Tabla2[[#This Row],[Variación Stock]]*Tabla2[[#This Row],[Coste LÃ­nea]]</f>
        <v>0</v>
      </c>
      <c r="N5064" s="22" t="str">
        <f>+IF(Tabla2[[#This Row],[Variación Stock]]&gt;0,"Sobrante",IF(Tabla2[[#This Row],[Variación Stock]]&lt;0,"Faltante","Sin novedad"))</f>
        <v>Sin novedad</v>
      </c>
    </row>
    <row r="5065" spans="1:14" hidden="1" x14ac:dyDescent="0.25">
      <c r="A5065" s="11">
        <v>46053</v>
      </c>
      <c r="B5065" s="5" t="s">
        <v>971</v>
      </c>
      <c r="C5065" s="3" t="s">
        <v>284</v>
      </c>
      <c r="D5065" s="5" t="s">
        <v>803</v>
      </c>
      <c r="E5065" s="5" t="s">
        <v>117</v>
      </c>
      <c r="F5065" s="6" t="s">
        <v>814</v>
      </c>
      <c r="G5065" s="4" t="s">
        <v>1</v>
      </c>
      <c r="H5065" s="25">
        <v>16.600000000000001</v>
      </c>
      <c r="I5065" s="8">
        <v>500</v>
      </c>
      <c r="J5065" s="9">
        <v>0</v>
      </c>
      <c r="K5065" s="7">
        <v>-500</v>
      </c>
      <c r="L5065" s="24">
        <f>+Tabla2[[#This Row],[Stock Inventario]]*Tabla2[[#This Row],[Coste LÃ­nea]]</f>
        <v>0</v>
      </c>
      <c r="M5065" s="24">
        <f>+Tabla2[[#This Row],[Variación Stock]]*Tabla2[[#This Row],[Coste LÃ­nea]]</f>
        <v>-8300</v>
      </c>
      <c r="N5065" s="22" t="str">
        <f>+IF(Tabla2[[#This Row],[Variación Stock]]&gt;0,"Sobrante",IF(Tabla2[[#This Row],[Variación Stock]]&lt;0,"Faltante","Sin novedad"))</f>
        <v>Faltante</v>
      </c>
    </row>
    <row r="5066" spans="1:14" hidden="1" x14ac:dyDescent="0.25">
      <c r="A5066" s="11">
        <v>46053</v>
      </c>
      <c r="B5066" s="5" t="s">
        <v>971</v>
      </c>
      <c r="C5066" s="3" t="s">
        <v>284</v>
      </c>
      <c r="D5066" s="5" t="s">
        <v>471</v>
      </c>
      <c r="E5066" s="5" t="s">
        <v>117</v>
      </c>
      <c r="F5066" s="6" t="s">
        <v>500</v>
      </c>
      <c r="G5066" s="4" t="s">
        <v>1</v>
      </c>
      <c r="H5066" s="25">
        <v>4.5</v>
      </c>
      <c r="I5066" s="8">
        <v>1500</v>
      </c>
      <c r="J5066" s="9">
        <v>0</v>
      </c>
      <c r="K5066" s="7">
        <v>-1500</v>
      </c>
      <c r="L5066" s="24">
        <f>+Tabla2[[#This Row],[Stock Inventario]]*Tabla2[[#This Row],[Coste LÃ­nea]]</f>
        <v>0</v>
      </c>
      <c r="M5066" s="24">
        <f>+Tabla2[[#This Row],[Variación Stock]]*Tabla2[[#This Row],[Coste LÃ­nea]]</f>
        <v>-6750</v>
      </c>
      <c r="N5066" s="22" t="str">
        <f>+IF(Tabla2[[#This Row],[Variación Stock]]&gt;0,"Sobrante",IF(Tabla2[[#This Row],[Variación Stock]]&lt;0,"Faltante","Sin novedad"))</f>
        <v>Faltante</v>
      </c>
    </row>
    <row r="5067" spans="1:14" hidden="1" x14ac:dyDescent="0.25">
      <c r="A5067" s="11">
        <v>46053</v>
      </c>
      <c r="B5067" s="5" t="s">
        <v>971</v>
      </c>
      <c r="C5067" s="3" t="s">
        <v>284</v>
      </c>
      <c r="D5067" s="5" t="s">
        <v>626</v>
      </c>
      <c r="E5067" s="5" t="s">
        <v>1079</v>
      </c>
      <c r="F5067" s="6" t="s">
        <v>645</v>
      </c>
      <c r="G5067" s="4" t="s">
        <v>2</v>
      </c>
      <c r="H5067" s="25">
        <v>5182.3333333299997</v>
      </c>
      <c r="I5067" s="8">
        <v>9</v>
      </c>
      <c r="J5067" s="9">
        <v>0</v>
      </c>
      <c r="K5067" s="7">
        <v>-9</v>
      </c>
      <c r="L5067" s="24">
        <f>+Tabla2[[#This Row],[Stock Inventario]]*Tabla2[[#This Row],[Coste LÃ­nea]]</f>
        <v>0</v>
      </c>
      <c r="M5067" s="24">
        <f>+Tabla2[[#This Row],[Variación Stock]]*Tabla2[[#This Row],[Coste LÃ­nea]]</f>
        <v>-46640.999999969994</v>
      </c>
      <c r="N5067" s="22" t="str">
        <f>+IF(Tabla2[[#This Row],[Variación Stock]]&gt;0,"Sobrante",IF(Tabla2[[#This Row],[Variación Stock]]&lt;0,"Faltante","Sin novedad"))</f>
        <v>Faltante</v>
      </c>
    </row>
    <row r="5068" spans="1:14" hidden="1" x14ac:dyDescent="0.25">
      <c r="A5068" s="11">
        <v>46053</v>
      </c>
      <c r="B5068" s="5" t="s">
        <v>971</v>
      </c>
      <c r="C5068" s="3" t="s">
        <v>284</v>
      </c>
      <c r="D5068" s="5" t="s">
        <v>626</v>
      </c>
      <c r="E5068" s="5" t="s">
        <v>1079</v>
      </c>
      <c r="F5068" s="6" t="s">
        <v>646</v>
      </c>
      <c r="G5068" s="4" t="s">
        <v>2</v>
      </c>
      <c r="H5068" s="25">
        <v>5182.3333333299997</v>
      </c>
      <c r="I5068" s="8">
        <v>12</v>
      </c>
      <c r="J5068" s="9">
        <v>0</v>
      </c>
      <c r="K5068" s="7">
        <v>-12</v>
      </c>
      <c r="L5068" s="24">
        <f>+Tabla2[[#This Row],[Stock Inventario]]*Tabla2[[#This Row],[Coste LÃ­nea]]</f>
        <v>0</v>
      </c>
      <c r="M5068" s="24">
        <f>+Tabla2[[#This Row],[Variación Stock]]*Tabla2[[#This Row],[Coste LÃ­nea]]</f>
        <v>-62187.999999959997</v>
      </c>
      <c r="N5068" s="22" t="str">
        <f>+IF(Tabla2[[#This Row],[Variación Stock]]&gt;0,"Sobrante",IF(Tabla2[[#This Row],[Variación Stock]]&lt;0,"Faltante","Sin novedad"))</f>
        <v>Faltante</v>
      </c>
    </row>
    <row r="5069" spans="1:14" hidden="1" x14ac:dyDescent="0.25">
      <c r="A5069" s="11">
        <v>46053</v>
      </c>
      <c r="B5069" s="5" t="s">
        <v>971</v>
      </c>
      <c r="C5069" s="3" t="s">
        <v>284</v>
      </c>
      <c r="D5069" s="5" t="s">
        <v>626</v>
      </c>
      <c r="E5069" s="5" t="s">
        <v>1079</v>
      </c>
      <c r="F5069" s="6" t="s">
        <v>647</v>
      </c>
      <c r="G5069" s="4" t="s">
        <v>2</v>
      </c>
      <c r="H5069" s="25">
        <v>2371.6999999999998</v>
      </c>
      <c r="I5069" s="8">
        <v>26</v>
      </c>
      <c r="J5069" s="9">
        <v>12</v>
      </c>
      <c r="K5069" s="7">
        <v>-14</v>
      </c>
      <c r="L5069" s="24">
        <f>+Tabla2[[#This Row],[Stock Inventario]]*Tabla2[[#This Row],[Coste LÃ­nea]]</f>
        <v>28460.399999999998</v>
      </c>
      <c r="M5069" s="24">
        <f>+Tabla2[[#This Row],[Variación Stock]]*Tabla2[[#This Row],[Coste LÃ­nea]]</f>
        <v>-33203.799999999996</v>
      </c>
      <c r="N5069" s="22" t="str">
        <f>+IF(Tabla2[[#This Row],[Variación Stock]]&gt;0,"Sobrante",IF(Tabla2[[#This Row],[Variación Stock]]&lt;0,"Faltante","Sin novedad"))</f>
        <v>Faltante</v>
      </c>
    </row>
    <row r="5070" spans="1:14" hidden="1" x14ac:dyDescent="0.25">
      <c r="A5070" s="11">
        <v>46053</v>
      </c>
      <c r="B5070" s="5" t="s">
        <v>971</v>
      </c>
      <c r="C5070" s="3" t="s">
        <v>284</v>
      </c>
      <c r="D5070" s="5" t="s">
        <v>626</v>
      </c>
      <c r="E5070" s="5" t="s">
        <v>1079</v>
      </c>
      <c r="F5070" s="6" t="s">
        <v>648</v>
      </c>
      <c r="G5070" s="4" t="s">
        <v>2</v>
      </c>
      <c r="H5070" s="25">
        <v>5136</v>
      </c>
      <c r="I5070" s="8">
        <v>0</v>
      </c>
      <c r="J5070" s="9">
        <v>0</v>
      </c>
      <c r="K5070" s="7">
        <v>0</v>
      </c>
      <c r="L5070" s="24">
        <f>+Tabla2[[#This Row],[Stock Inventario]]*Tabla2[[#This Row],[Coste LÃ­nea]]</f>
        <v>0</v>
      </c>
      <c r="M5070" s="24">
        <f>+Tabla2[[#This Row],[Variación Stock]]*Tabla2[[#This Row],[Coste LÃ­nea]]</f>
        <v>0</v>
      </c>
      <c r="N5070" s="22" t="str">
        <f>+IF(Tabla2[[#This Row],[Variación Stock]]&gt;0,"Sobrante",IF(Tabla2[[#This Row],[Variación Stock]]&lt;0,"Faltante","Sin novedad"))</f>
        <v>Sin novedad</v>
      </c>
    </row>
    <row r="5071" spans="1:14" hidden="1" x14ac:dyDescent="0.25">
      <c r="A5071" s="11">
        <v>46053</v>
      </c>
      <c r="B5071" s="5" t="s">
        <v>971</v>
      </c>
      <c r="C5071" s="3" t="s">
        <v>284</v>
      </c>
      <c r="D5071" s="5" t="s">
        <v>626</v>
      </c>
      <c r="E5071" s="5" t="s">
        <v>1079</v>
      </c>
      <c r="F5071" s="6" t="s">
        <v>649</v>
      </c>
      <c r="G5071" s="4" t="s">
        <v>2</v>
      </c>
      <c r="H5071" s="25">
        <v>3026.25</v>
      </c>
      <c r="I5071" s="8">
        <v>3</v>
      </c>
      <c r="J5071" s="9">
        <v>8</v>
      </c>
      <c r="K5071" s="7">
        <v>5</v>
      </c>
      <c r="L5071" s="24">
        <f>+Tabla2[[#This Row],[Stock Inventario]]*Tabla2[[#This Row],[Coste LÃ­nea]]</f>
        <v>24210</v>
      </c>
      <c r="M5071" s="24">
        <f>+Tabla2[[#This Row],[Variación Stock]]*Tabla2[[#This Row],[Coste LÃ­nea]]</f>
        <v>15131.25</v>
      </c>
      <c r="N5071" s="22" t="str">
        <f>+IF(Tabla2[[#This Row],[Variación Stock]]&gt;0,"Sobrante",IF(Tabla2[[#This Row],[Variación Stock]]&lt;0,"Faltante","Sin novedad"))</f>
        <v>Sobrante</v>
      </c>
    </row>
    <row r="5072" spans="1:14" hidden="1" x14ac:dyDescent="0.25">
      <c r="A5072" s="11">
        <v>46053</v>
      </c>
      <c r="B5072" s="5" t="s">
        <v>971</v>
      </c>
      <c r="C5072" s="3" t="s">
        <v>284</v>
      </c>
      <c r="D5072" s="5" t="s">
        <v>626</v>
      </c>
      <c r="E5072" s="5" t="s">
        <v>1079</v>
      </c>
      <c r="F5072" s="6" t="s">
        <v>650</v>
      </c>
      <c r="G5072" s="4" t="s">
        <v>2</v>
      </c>
      <c r="H5072" s="25">
        <v>1477.16666667</v>
      </c>
      <c r="I5072" s="8">
        <v>0</v>
      </c>
      <c r="J5072" s="9">
        <v>0</v>
      </c>
      <c r="K5072" s="7">
        <v>0</v>
      </c>
      <c r="L5072" s="24">
        <f>+Tabla2[[#This Row],[Stock Inventario]]*Tabla2[[#This Row],[Coste LÃ­nea]]</f>
        <v>0</v>
      </c>
      <c r="M5072" s="24">
        <f>+Tabla2[[#This Row],[Variación Stock]]*Tabla2[[#This Row],[Coste LÃ­nea]]</f>
        <v>0</v>
      </c>
      <c r="N5072" s="22" t="str">
        <f>+IF(Tabla2[[#This Row],[Variación Stock]]&gt;0,"Sobrante",IF(Tabla2[[#This Row],[Variación Stock]]&lt;0,"Faltante","Sin novedad"))</f>
        <v>Sin novedad</v>
      </c>
    </row>
    <row r="5073" spans="1:14" x14ac:dyDescent="0.25">
      <c r="A5073" s="11">
        <v>46053</v>
      </c>
      <c r="B5073" s="5" t="s">
        <v>971</v>
      </c>
      <c r="C5073" s="3" t="s">
        <v>284</v>
      </c>
      <c r="D5073" s="5" t="s">
        <v>118</v>
      </c>
      <c r="E5073" s="5" t="s">
        <v>112</v>
      </c>
      <c r="F5073" s="6" t="s">
        <v>294</v>
      </c>
      <c r="G5073" s="4" t="s">
        <v>2</v>
      </c>
      <c r="H5073" s="25">
        <v>22425</v>
      </c>
      <c r="I5073" s="8">
        <v>0</v>
      </c>
      <c r="J5073" s="9">
        <v>0</v>
      </c>
      <c r="K5073" s="7">
        <v>0</v>
      </c>
      <c r="L5073" s="24">
        <f>+Tabla2[[#This Row],[Stock Inventario]]*Tabla2[[#This Row],[Coste LÃ­nea]]</f>
        <v>0</v>
      </c>
      <c r="M5073" s="24">
        <f>+Tabla2[[#This Row],[Variación Stock]]*Tabla2[[#This Row],[Coste LÃ­nea]]</f>
        <v>0</v>
      </c>
      <c r="N5073" s="22" t="str">
        <f>+IF(Tabla2[[#This Row],[Variación Stock]]&gt;0,"Sobrante",IF(Tabla2[[#This Row],[Variación Stock]]&lt;0,"Faltante","Sin novedad"))</f>
        <v>Sin novedad</v>
      </c>
    </row>
    <row r="5074" spans="1:14" x14ac:dyDescent="0.25">
      <c r="A5074" s="11">
        <v>46053</v>
      </c>
      <c r="B5074" s="5" t="s">
        <v>971</v>
      </c>
      <c r="C5074" s="3" t="s">
        <v>284</v>
      </c>
      <c r="D5074" s="5" t="s">
        <v>118</v>
      </c>
      <c r="E5074" s="5" t="s">
        <v>112</v>
      </c>
      <c r="F5074" s="6" t="s">
        <v>295</v>
      </c>
      <c r="G5074" s="4" t="s">
        <v>2</v>
      </c>
      <c r="H5074" s="25">
        <v>71318</v>
      </c>
      <c r="I5074" s="8">
        <v>0</v>
      </c>
      <c r="J5074" s="9">
        <v>0</v>
      </c>
      <c r="K5074" s="7">
        <v>0</v>
      </c>
      <c r="L5074" s="24">
        <f>+Tabla2[[#This Row],[Stock Inventario]]*Tabla2[[#This Row],[Coste LÃ­nea]]</f>
        <v>0</v>
      </c>
      <c r="M5074" s="24">
        <f>+Tabla2[[#This Row],[Variación Stock]]*Tabla2[[#This Row],[Coste LÃ­nea]]</f>
        <v>0</v>
      </c>
      <c r="N5074" s="22" t="str">
        <f>+IF(Tabla2[[#This Row],[Variación Stock]]&gt;0,"Sobrante",IF(Tabla2[[#This Row],[Variación Stock]]&lt;0,"Faltante","Sin novedad"))</f>
        <v>Sin novedad</v>
      </c>
    </row>
    <row r="5075" spans="1:14" x14ac:dyDescent="0.25">
      <c r="A5075" s="11">
        <v>46053</v>
      </c>
      <c r="B5075" s="5" t="s">
        <v>971</v>
      </c>
      <c r="C5075" s="3" t="s">
        <v>284</v>
      </c>
      <c r="D5075" s="5" t="s">
        <v>118</v>
      </c>
      <c r="E5075" s="5" t="s">
        <v>112</v>
      </c>
      <c r="F5075" s="6" t="s">
        <v>174</v>
      </c>
      <c r="G5075" s="4" t="s">
        <v>0</v>
      </c>
      <c r="H5075" s="25">
        <v>2903.3333333300002</v>
      </c>
      <c r="I5075" s="8">
        <v>0</v>
      </c>
      <c r="J5075" s="9">
        <v>0</v>
      </c>
      <c r="K5075" s="7">
        <v>0</v>
      </c>
      <c r="L5075" s="24">
        <f>+Tabla2[[#This Row],[Stock Inventario]]*Tabla2[[#This Row],[Coste LÃ­nea]]</f>
        <v>0</v>
      </c>
      <c r="M5075" s="24">
        <f>+Tabla2[[#This Row],[Variación Stock]]*Tabla2[[#This Row],[Coste LÃ­nea]]</f>
        <v>0</v>
      </c>
      <c r="N5075" s="22" t="str">
        <f>+IF(Tabla2[[#This Row],[Variación Stock]]&gt;0,"Sobrante",IF(Tabla2[[#This Row],[Variación Stock]]&lt;0,"Faltante","Sin novedad"))</f>
        <v>Sin novedad</v>
      </c>
    </row>
    <row r="5076" spans="1:14" hidden="1" x14ac:dyDescent="0.25">
      <c r="A5076" s="11">
        <v>46053</v>
      </c>
      <c r="B5076" s="5" t="s">
        <v>971</v>
      </c>
      <c r="C5076" s="3" t="s">
        <v>284</v>
      </c>
      <c r="D5076" s="5" t="s">
        <v>626</v>
      </c>
      <c r="E5076" s="5" t="s">
        <v>1079</v>
      </c>
      <c r="F5076" s="6" t="s">
        <v>651</v>
      </c>
      <c r="G5076" s="4" t="s">
        <v>2</v>
      </c>
      <c r="H5076" s="25">
        <f>54706/5000</f>
        <v>10.9412</v>
      </c>
      <c r="I5076" s="8">
        <v>0</v>
      </c>
      <c r="J5076" s="9">
        <v>0</v>
      </c>
      <c r="K5076" s="7">
        <v>0</v>
      </c>
      <c r="L5076" s="24">
        <f>+Tabla2[[#This Row],[Stock Inventario]]*Tabla2[[#This Row],[Coste LÃ­nea]]</f>
        <v>0</v>
      </c>
      <c r="M5076" s="24">
        <f>+Tabla2[[#This Row],[Variación Stock]]*Tabla2[[#This Row],[Coste LÃ­nea]]</f>
        <v>0</v>
      </c>
      <c r="N5076" s="22" t="str">
        <f>+IF(Tabla2[[#This Row],[Variación Stock]]&gt;0,"Sobrante",IF(Tabla2[[#This Row],[Variación Stock]]&lt;0,"Faltante","Sin novedad"))</f>
        <v>Sin novedad</v>
      </c>
    </row>
    <row r="5077" spans="1:14" hidden="1" x14ac:dyDescent="0.25">
      <c r="A5077" s="11">
        <v>46053</v>
      </c>
      <c r="B5077" s="5" t="s">
        <v>971</v>
      </c>
      <c r="C5077" s="3" t="s">
        <v>284</v>
      </c>
      <c r="D5077" s="5" t="s">
        <v>827</v>
      </c>
      <c r="E5077" s="5" t="s">
        <v>117</v>
      </c>
      <c r="F5077" s="6" t="s">
        <v>828</v>
      </c>
      <c r="G5077" s="4" t="s">
        <v>1</v>
      </c>
      <c r="H5077" s="25">
        <v>15.153499999999999</v>
      </c>
      <c r="I5077" s="8">
        <v>4500</v>
      </c>
      <c r="J5077" s="9">
        <v>4000</v>
      </c>
      <c r="K5077" s="7">
        <v>-500.00000599999998</v>
      </c>
      <c r="L5077" s="24">
        <f>+Tabla2[[#This Row],[Stock Inventario]]*Tabla2[[#This Row],[Coste LÃ­nea]]</f>
        <v>60614</v>
      </c>
      <c r="M5077" s="24">
        <f>+Tabla2[[#This Row],[Variación Stock]]*Tabla2[[#This Row],[Coste LÃ­nea]]</f>
        <v>-7576.7500909209994</v>
      </c>
      <c r="N5077" s="22" t="str">
        <f>+IF(Tabla2[[#This Row],[Variación Stock]]&gt;0,"Sobrante",IF(Tabla2[[#This Row],[Variación Stock]]&lt;0,"Faltante","Sin novedad"))</f>
        <v>Faltante</v>
      </c>
    </row>
    <row r="5078" spans="1:14" hidden="1" x14ac:dyDescent="0.25">
      <c r="A5078" s="11">
        <v>46053</v>
      </c>
      <c r="B5078" s="5" t="s">
        <v>971</v>
      </c>
      <c r="C5078" s="3" t="s">
        <v>284</v>
      </c>
      <c r="D5078" s="5" t="s">
        <v>119</v>
      </c>
      <c r="E5078" s="5" t="s">
        <v>117</v>
      </c>
      <c r="F5078" s="6" t="s">
        <v>8</v>
      </c>
      <c r="G5078" s="4" t="s">
        <v>1</v>
      </c>
      <c r="H5078" s="25">
        <v>51.135831379999999</v>
      </c>
      <c r="I5078" s="8">
        <v>4122.7794999999996</v>
      </c>
      <c r="J5078" s="9">
        <v>9622</v>
      </c>
      <c r="K5078" s="7">
        <v>5499.220491</v>
      </c>
      <c r="L5078" s="24">
        <f>+Tabla2[[#This Row],[Stock Inventario]]*Tabla2[[#This Row],[Coste LÃ­nea]]</f>
        <v>492028.96953836002</v>
      </c>
      <c r="M5078" s="24">
        <f>+Tabla2[[#This Row],[Variación Stock]]*Tabla2[[#This Row],[Coste LÃ­nea]]</f>
        <v>281207.21174921683</v>
      </c>
      <c r="N5078" s="22" t="str">
        <f>+IF(Tabla2[[#This Row],[Variación Stock]]&gt;0,"Sobrante",IF(Tabla2[[#This Row],[Variación Stock]]&lt;0,"Faltante","Sin novedad"))</f>
        <v>Sobrante</v>
      </c>
    </row>
    <row r="5079" spans="1:14" hidden="1" x14ac:dyDescent="0.25">
      <c r="A5079" s="11">
        <v>46053</v>
      </c>
      <c r="B5079" s="5" t="s">
        <v>971</v>
      </c>
      <c r="C5079" s="3" t="s">
        <v>284</v>
      </c>
      <c r="D5079" s="5" t="s">
        <v>116</v>
      </c>
      <c r="E5079" s="5" t="s">
        <v>117</v>
      </c>
      <c r="F5079" s="6" t="s">
        <v>4</v>
      </c>
      <c r="G5079" s="4" t="s">
        <v>2</v>
      </c>
      <c r="H5079" s="25">
        <v>3250</v>
      </c>
      <c r="I5079" s="8">
        <v>25</v>
      </c>
      <c r="J5079" s="9">
        <v>26</v>
      </c>
      <c r="K5079" s="7">
        <v>1</v>
      </c>
      <c r="L5079" s="24">
        <f>+Tabla2[[#This Row],[Stock Inventario]]*Tabla2[[#This Row],[Coste LÃ­nea]]</f>
        <v>84500</v>
      </c>
      <c r="M5079" s="24">
        <f>+Tabla2[[#This Row],[Variación Stock]]*Tabla2[[#This Row],[Coste LÃ­nea]]</f>
        <v>3250</v>
      </c>
      <c r="N5079" s="22" t="str">
        <f>+IF(Tabla2[[#This Row],[Variación Stock]]&gt;0,"Sobrante",IF(Tabla2[[#This Row],[Variación Stock]]&lt;0,"Faltante","Sin novedad"))</f>
        <v>Sobrante</v>
      </c>
    </row>
    <row r="5080" spans="1:14" hidden="1" x14ac:dyDescent="0.25">
      <c r="A5080" s="11">
        <v>46053</v>
      </c>
      <c r="B5080" s="5" t="s">
        <v>971</v>
      </c>
      <c r="C5080" s="3" t="s">
        <v>284</v>
      </c>
      <c r="D5080" s="5" t="s">
        <v>116</v>
      </c>
      <c r="E5080" s="5" t="s">
        <v>117</v>
      </c>
      <c r="F5080" s="6" t="s">
        <v>79</v>
      </c>
      <c r="G5080" s="4" t="s">
        <v>2</v>
      </c>
      <c r="H5080" s="25">
        <v>4850</v>
      </c>
      <c r="I5080" s="8">
        <v>51</v>
      </c>
      <c r="J5080" s="9">
        <v>51</v>
      </c>
      <c r="K5080" s="7">
        <v>0</v>
      </c>
      <c r="L5080" s="24">
        <f>+Tabla2[[#This Row],[Stock Inventario]]*Tabla2[[#This Row],[Coste LÃ­nea]]</f>
        <v>247350</v>
      </c>
      <c r="M5080" s="24">
        <f>+Tabla2[[#This Row],[Variación Stock]]*Tabla2[[#This Row],[Coste LÃ­nea]]</f>
        <v>0</v>
      </c>
      <c r="N5080" s="22" t="str">
        <f>+IF(Tabla2[[#This Row],[Variación Stock]]&gt;0,"Sobrante",IF(Tabla2[[#This Row],[Variación Stock]]&lt;0,"Faltante","Sin novedad"))</f>
        <v>Sin novedad</v>
      </c>
    </row>
    <row r="5081" spans="1:14" hidden="1" x14ac:dyDescent="0.25">
      <c r="A5081" s="11">
        <v>46053</v>
      </c>
      <c r="B5081" s="5" t="s">
        <v>971</v>
      </c>
      <c r="C5081" s="3" t="s">
        <v>284</v>
      </c>
      <c r="D5081" s="5" t="s">
        <v>119</v>
      </c>
      <c r="E5081" s="5" t="s">
        <v>117</v>
      </c>
      <c r="F5081" s="6" t="s">
        <v>95</v>
      </c>
      <c r="G5081" s="4" t="s">
        <v>1</v>
      </c>
      <c r="H5081" s="25">
        <v>39</v>
      </c>
      <c r="I5081" s="8">
        <v>26483.333299999998</v>
      </c>
      <c r="J5081" s="9">
        <v>27260</v>
      </c>
      <c r="K5081" s="7">
        <v>776.66667299999995</v>
      </c>
      <c r="L5081" s="24">
        <f>+Tabla2[[#This Row],[Stock Inventario]]*Tabla2[[#This Row],[Coste LÃ­nea]]</f>
        <v>1063140</v>
      </c>
      <c r="M5081" s="24">
        <f>+Tabla2[[#This Row],[Variación Stock]]*Tabla2[[#This Row],[Coste LÃ­nea]]</f>
        <v>30290.000246999996</v>
      </c>
      <c r="N5081" s="22" t="str">
        <f>+IF(Tabla2[[#This Row],[Variación Stock]]&gt;0,"Sobrante",IF(Tabla2[[#This Row],[Variación Stock]]&lt;0,"Faltante","Sin novedad"))</f>
        <v>Sobrante</v>
      </c>
    </row>
    <row r="5082" spans="1:14" x14ac:dyDescent="0.25">
      <c r="A5082" s="11">
        <v>46053</v>
      </c>
      <c r="B5082" s="5" t="s">
        <v>971</v>
      </c>
      <c r="C5082" s="3" t="s">
        <v>284</v>
      </c>
      <c r="D5082" s="5" t="s">
        <v>118</v>
      </c>
      <c r="E5082" s="5" t="s">
        <v>112</v>
      </c>
      <c r="F5082" s="6" t="s">
        <v>80</v>
      </c>
      <c r="G5082" s="4" t="s">
        <v>2</v>
      </c>
      <c r="H5082" s="25">
        <v>108834</v>
      </c>
      <c r="I5082" s="8">
        <v>2</v>
      </c>
      <c r="J5082" s="9">
        <v>2</v>
      </c>
      <c r="K5082" s="7">
        <v>0</v>
      </c>
      <c r="L5082" s="24">
        <f>+Tabla2[[#This Row],[Stock Inventario]]*Tabla2[[#This Row],[Coste LÃ­nea]]</f>
        <v>217668</v>
      </c>
      <c r="M5082" s="24">
        <f>+Tabla2[[#This Row],[Variación Stock]]*Tabla2[[#This Row],[Coste LÃ­nea]]</f>
        <v>0</v>
      </c>
      <c r="N5082" s="22" t="str">
        <f>+IF(Tabla2[[#This Row],[Variación Stock]]&gt;0,"Sobrante",IF(Tabla2[[#This Row],[Variación Stock]]&lt;0,"Faltante","Sin novedad"))</f>
        <v>Sin novedad</v>
      </c>
    </row>
    <row r="5083" spans="1:14" hidden="1" x14ac:dyDescent="0.25">
      <c r="A5083" s="11">
        <v>46053</v>
      </c>
      <c r="B5083" s="5" t="s">
        <v>971</v>
      </c>
      <c r="C5083" s="3" t="s">
        <v>284</v>
      </c>
      <c r="D5083" s="5" t="s">
        <v>471</v>
      </c>
      <c r="E5083" s="5" t="s">
        <v>117</v>
      </c>
      <c r="F5083" s="6" t="s">
        <v>501</v>
      </c>
      <c r="G5083" s="4" t="s">
        <v>1</v>
      </c>
      <c r="H5083" s="25">
        <v>70</v>
      </c>
      <c r="I5083" s="8">
        <v>-21</v>
      </c>
      <c r="J5083" s="9">
        <v>0</v>
      </c>
      <c r="K5083" s="7">
        <v>21</v>
      </c>
      <c r="L5083" s="24">
        <f>+Tabla2[[#This Row],[Stock Inventario]]*Tabla2[[#This Row],[Coste LÃ­nea]]</f>
        <v>0</v>
      </c>
      <c r="M5083" s="24">
        <f>+Tabla2[[#This Row],[Variación Stock]]*Tabla2[[#This Row],[Coste LÃ­nea]]</f>
        <v>1470</v>
      </c>
      <c r="N5083" s="22" t="str">
        <f>+IF(Tabla2[[#This Row],[Variación Stock]]&gt;0,"Sobrante",IF(Tabla2[[#This Row],[Variación Stock]]&lt;0,"Faltante","Sin novedad"))</f>
        <v>Sobrante</v>
      </c>
    </row>
    <row r="5084" spans="1:14" hidden="1" x14ac:dyDescent="0.25">
      <c r="A5084" s="11">
        <v>46053</v>
      </c>
      <c r="B5084" s="5" t="s">
        <v>971</v>
      </c>
      <c r="C5084" s="3" t="s">
        <v>284</v>
      </c>
      <c r="D5084" s="5" t="s">
        <v>471</v>
      </c>
      <c r="E5084" s="5" t="s">
        <v>117</v>
      </c>
      <c r="F5084" s="6" t="s">
        <v>541</v>
      </c>
      <c r="G5084" s="4" t="s">
        <v>1</v>
      </c>
      <c r="H5084" s="25">
        <v>180</v>
      </c>
      <c r="I5084" s="8">
        <v>136</v>
      </c>
      <c r="J5084" s="9">
        <v>0</v>
      </c>
      <c r="K5084" s="7">
        <v>-136</v>
      </c>
      <c r="L5084" s="24">
        <f>+Tabla2[[#This Row],[Stock Inventario]]*Tabla2[[#This Row],[Coste LÃ­nea]]</f>
        <v>0</v>
      </c>
      <c r="M5084" s="24">
        <f>+Tabla2[[#This Row],[Variación Stock]]*Tabla2[[#This Row],[Coste LÃ­nea]]</f>
        <v>-24480</v>
      </c>
      <c r="N5084" s="22" t="str">
        <f>+IF(Tabla2[[#This Row],[Variación Stock]]&gt;0,"Sobrante",IF(Tabla2[[#This Row],[Variación Stock]]&lt;0,"Faltante","Sin novedad"))</f>
        <v>Faltante</v>
      </c>
    </row>
    <row r="5085" spans="1:14" x14ac:dyDescent="0.25">
      <c r="A5085" s="11">
        <v>46053</v>
      </c>
      <c r="B5085" s="5" t="s">
        <v>971</v>
      </c>
      <c r="C5085" s="3" t="s">
        <v>284</v>
      </c>
      <c r="D5085" s="5" t="s">
        <v>118</v>
      </c>
      <c r="E5085" s="5" t="s">
        <v>112</v>
      </c>
      <c r="F5085" s="6" t="s">
        <v>296</v>
      </c>
      <c r="G5085" s="4" t="s">
        <v>2</v>
      </c>
      <c r="H5085" s="25">
        <v>27250</v>
      </c>
      <c r="I5085" s="8">
        <v>0</v>
      </c>
      <c r="J5085" s="9">
        <v>0</v>
      </c>
      <c r="K5085" s="7">
        <v>0</v>
      </c>
      <c r="L5085" s="24">
        <f>+Tabla2[[#This Row],[Stock Inventario]]*Tabla2[[#This Row],[Coste LÃ­nea]]</f>
        <v>0</v>
      </c>
      <c r="M5085" s="24">
        <f>+Tabla2[[#This Row],[Variación Stock]]*Tabla2[[#This Row],[Coste LÃ­nea]]</f>
        <v>0</v>
      </c>
      <c r="N5085" s="22" t="str">
        <f>+IF(Tabla2[[#This Row],[Variación Stock]]&gt;0,"Sobrante",IF(Tabla2[[#This Row],[Variación Stock]]&lt;0,"Faltante","Sin novedad"))</f>
        <v>Sin novedad</v>
      </c>
    </row>
    <row r="5086" spans="1:14" x14ac:dyDescent="0.25">
      <c r="A5086" s="11">
        <v>46053</v>
      </c>
      <c r="B5086" s="5" t="s">
        <v>971</v>
      </c>
      <c r="C5086" s="3" t="s">
        <v>284</v>
      </c>
      <c r="D5086" s="5" t="s">
        <v>118</v>
      </c>
      <c r="E5086" s="5" t="s">
        <v>112</v>
      </c>
      <c r="F5086" s="6" t="s">
        <v>297</v>
      </c>
      <c r="G5086" s="4" t="s">
        <v>2</v>
      </c>
      <c r="H5086" s="25">
        <v>87241.5</v>
      </c>
      <c r="I5086" s="8">
        <v>2</v>
      </c>
      <c r="J5086" s="9">
        <v>2</v>
      </c>
      <c r="K5086" s="7">
        <v>0</v>
      </c>
      <c r="L5086" s="24">
        <f>+Tabla2[[#This Row],[Stock Inventario]]*Tabla2[[#This Row],[Coste LÃ­nea]]</f>
        <v>174483</v>
      </c>
      <c r="M5086" s="24">
        <f>+Tabla2[[#This Row],[Variación Stock]]*Tabla2[[#This Row],[Coste LÃ­nea]]</f>
        <v>0</v>
      </c>
      <c r="N5086" s="22" t="str">
        <f>+IF(Tabla2[[#This Row],[Variación Stock]]&gt;0,"Sobrante",IF(Tabla2[[#This Row],[Variación Stock]]&lt;0,"Faltante","Sin novedad"))</f>
        <v>Sin novedad</v>
      </c>
    </row>
    <row r="5087" spans="1:14" x14ac:dyDescent="0.25">
      <c r="A5087" s="11">
        <v>46053</v>
      </c>
      <c r="B5087" s="5" t="s">
        <v>971</v>
      </c>
      <c r="C5087" s="3" t="s">
        <v>284</v>
      </c>
      <c r="D5087" s="5" t="s">
        <v>603</v>
      </c>
      <c r="E5087" s="5" t="s">
        <v>112</v>
      </c>
      <c r="F5087" s="6" t="s">
        <v>617</v>
      </c>
      <c r="G5087" s="4" t="s">
        <v>1</v>
      </c>
      <c r="H5087" s="25">
        <v>17</v>
      </c>
      <c r="I5087" s="8">
        <v>2288.4209999999998</v>
      </c>
      <c r="J5087" s="9">
        <v>1796</v>
      </c>
      <c r="K5087" s="7">
        <v>-492.42100599999998</v>
      </c>
      <c r="L5087" s="24">
        <f>+Tabla2[[#This Row],[Stock Inventario]]*Tabla2[[#This Row],[Coste LÃ­nea]]</f>
        <v>30532</v>
      </c>
      <c r="M5087" s="24">
        <f>+Tabla2[[#This Row],[Variación Stock]]*Tabla2[[#This Row],[Coste LÃ­nea]]</f>
        <v>-8371.1571019999992</v>
      </c>
      <c r="N5087" s="22" t="str">
        <f>+IF(Tabla2[[#This Row],[Variación Stock]]&gt;0,"Sobrante",IF(Tabla2[[#This Row],[Variación Stock]]&lt;0,"Faltante","Sin novedad"))</f>
        <v>Faltante</v>
      </c>
    </row>
    <row r="5088" spans="1:14" hidden="1" x14ac:dyDescent="0.25">
      <c r="A5088" s="11">
        <v>46053</v>
      </c>
      <c r="B5088" s="5" t="s">
        <v>971</v>
      </c>
      <c r="C5088" s="3" t="s">
        <v>284</v>
      </c>
      <c r="D5088" s="5" t="s">
        <v>471</v>
      </c>
      <c r="E5088" s="5" t="s">
        <v>117</v>
      </c>
      <c r="F5088" s="6" t="s">
        <v>502</v>
      </c>
      <c r="G5088" s="4" t="s">
        <v>1</v>
      </c>
      <c r="H5088" s="25">
        <v>16</v>
      </c>
      <c r="I5088" s="8">
        <v>12184.2107</v>
      </c>
      <c r="J5088" s="9">
        <v>0</v>
      </c>
      <c r="K5088" s="7">
        <v>-14184.210677999999</v>
      </c>
      <c r="L5088" s="24">
        <f>+Tabla2[[#This Row],[Stock Inventario]]*Tabla2[[#This Row],[Coste LÃ­nea]]</f>
        <v>0</v>
      </c>
      <c r="M5088" s="24">
        <f>+Tabla2[[#This Row],[Variación Stock]]*Tabla2[[#This Row],[Coste LÃ­nea]]</f>
        <v>-226947.37084799999</v>
      </c>
      <c r="N5088" s="22" t="str">
        <f>+IF(Tabla2[[#This Row],[Variación Stock]]&gt;0,"Sobrante",IF(Tabla2[[#This Row],[Variación Stock]]&lt;0,"Faltante","Sin novedad"))</f>
        <v>Faltante</v>
      </c>
    </row>
    <row r="5089" spans="1:14" x14ac:dyDescent="0.25">
      <c r="A5089" s="11">
        <v>46053</v>
      </c>
      <c r="B5089" s="5" t="s">
        <v>971</v>
      </c>
      <c r="C5089" s="3" t="s">
        <v>284</v>
      </c>
      <c r="D5089" s="5" t="s">
        <v>603</v>
      </c>
      <c r="E5089" s="5" t="s">
        <v>112</v>
      </c>
      <c r="F5089" s="6" t="s">
        <v>610</v>
      </c>
      <c r="G5089" s="4" t="s">
        <v>1</v>
      </c>
      <c r="H5089" s="25">
        <v>22.174666670000001</v>
      </c>
      <c r="I5089" s="8">
        <v>4500</v>
      </c>
      <c r="J5089" s="9">
        <v>1500</v>
      </c>
      <c r="K5089" s="7">
        <v>-3000</v>
      </c>
      <c r="L5089" s="24">
        <f>+Tabla2[[#This Row],[Stock Inventario]]*Tabla2[[#This Row],[Coste LÃ­nea]]</f>
        <v>33262.000005000002</v>
      </c>
      <c r="M5089" s="24">
        <f>+Tabla2[[#This Row],[Variación Stock]]*Tabla2[[#This Row],[Coste LÃ­nea]]</f>
        <v>-66524.000010000003</v>
      </c>
      <c r="N5089" s="22" t="str">
        <f>+IF(Tabla2[[#This Row],[Variación Stock]]&gt;0,"Sobrante",IF(Tabla2[[#This Row],[Variación Stock]]&lt;0,"Faltante","Sin novedad"))</f>
        <v>Faltante</v>
      </c>
    </row>
    <row r="5090" spans="1:14" hidden="1" x14ac:dyDescent="0.25">
      <c r="A5090" s="11">
        <v>46053</v>
      </c>
      <c r="B5090" s="5" t="s">
        <v>971</v>
      </c>
      <c r="C5090" s="3" t="s">
        <v>284</v>
      </c>
      <c r="D5090" s="5" t="s">
        <v>396</v>
      </c>
      <c r="E5090" s="5" t="s">
        <v>117</v>
      </c>
      <c r="F5090" s="6" t="s">
        <v>400</v>
      </c>
      <c r="G5090" s="4" t="s">
        <v>1</v>
      </c>
      <c r="H5090" s="25">
        <v>20</v>
      </c>
      <c r="I5090" s="8">
        <v>0</v>
      </c>
      <c r="J5090" s="9">
        <v>3000</v>
      </c>
      <c r="K5090" s="7">
        <v>3000</v>
      </c>
      <c r="L5090" s="24">
        <f>+Tabla2[[#This Row],[Stock Inventario]]*Tabla2[[#This Row],[Coste LÃ­nea]]</f>
        <v>60000</v>
      </c>
      <c r="M5090" s="24">
        <f>+Tabla2[[#This Row],[Variación Stock]]*Tabla2[[#This Row],[Coste LÃ­nea]]</f>
        <v>60000</v>
      </c>
      <c r="N5090" s="22" t="str">
        <f>+IF(Tabla2[[#This Row],[Variación Stock]]&gt;0,"Sobrante",IF(Tabla2[[#This Row],[Variación Stock]]&lt;0,"Faltante","Sin novedad"))</f>
        <v>Sobrante</v>
      </c>
    </row>
    <row r="5091" spans="1:14" hidden="1" x14ac:dyDescent="0.25">
      <c r="A5091" s="11">
        <v>46053</v>
      </c>
      <c r="B5091" s="5" t="s">
        <v>971</v>
      </c>
      <c r="C5091" s="3" t="s">
        <v>284</v>
      </c>
      <c r="D5091" s="5" t="s">
        <v>626</v>
      </c>
      <c r="E5091" s="5" t="s">
        <v>1079</v>
      </c>
      <c r="F5091" s="6" t="s">
        <v>652</v>
      </c>
      <c r="G5091" s="4" t="s">
        <v>1</v>
      </c>
      <c r="H5091" s="25">
        <v>76.721052630000003</v>
      </c>
      <c r="I5091" s="8">
        <v>0</v>
      </c>
      <c r="J5091" s="9">
        <v>0</v>
      </c>
      <c r="K5091" s="7">
        <v>0</v>
      </c>
      <c r="L5091" s="24">
        <f>+Tabla2[[#This Row],[Stock Inventario]]*Tabla2[[#This Row],[Coste LÃ­nea]]</f>
        <v>0</v>
      </c>
      <c r="M5091" s="24">
        <f>+Tabla2[[#This Row],[Variación Stock]]*Tabla2[[#This Row],[Coste LÃ­nea]]</f>
        <v>0</v>
      </c>
      <c r="N5091" s="22" t="str">
        <f>+IF(Tabla2[[#This Row],[Variación Stock]]&gt;0,"Sobrante",IF(Tabla2[[#This Row],[Variación Stock]]&lt;0,"Faltante","Sin novedad"))</f>
        <v>Sin novedad</v>
      </c>
    </row>
    <row r="5092" spans="1:14" x14ac:dyDescent="0.25">
      <c r="A5092" s="11">
        <v>46053</v>
      </c>
      <c r="B5092" s="5" t="s">
        <v>971</v>
      </c>
      <c r="C5092" s="3" t="s">
        <v>284</v>
      </c>
      <c r="D5092" s="5" t="s">
        <v>111</v>
      </c>
      <c r="E5092" s="5" t="s">
        <v>112</v>
      </c>
      <c r="F5092" s="6" t="s">
        <v>51</v>
      </c>
      <c r="G5092" s="4" t="s">
        <v>0</v>
      </c>
      <c r="H5092" s="25">
        <v>9648.9583333299997</v>
      </c>
      <c r="I5092" s="8">
        <v>-3.2</v>
      </c>
      <c r="J5092" s="9">
        <v>0</v>
      </c>
      <c r="K5092" s="7">
        <v>3.2</v>
      </c>
      <c r="L5092" s="24">
        <f>+Tabla2[[#This Row],[Stock Inventario]]*Tabla2[[#This Row],[Coste LÃ­nea]]</f>
        <v>0</v>
      </c>
      <c r="M5092" s="24">
        <f>+Tabla2[[#This Row],[Variación Stock]]*Tabla2[[#This Row],[Coste LÃ­nea]]</f>
        <v>30876.666666656001</v>
      </c>
      <c r="N5092" s="22" t="str">
        <f>+IF(Tabla2[[#This Row],[Variación Stock]]&gt;0,"Sobrante",IF(Tabla2[[#This Row],[Variación Stock]]&lt;0,"Faltante","Sin novedad"))</f>
        <v>Sobrante</v>
      </c>
    </row>
    <row r="5093" spans="1:14" x14ac:dyDescent="0.25">
      <c r="A5093" s="11">
        <v>46053</v>
      </c>
      <c r="B5093" s="5" t="s">
        <v>971</v>
      </c>
      <c r="C5093" s="3" t="s">
        <v>284</v>
      </c>
      <c r="D5093" s="5" t="s">
        <v>111</v>
      </c>
      <c r="E5093" s="5" t="s">
        <v>112</v>
      </c>
      <c r="F5093" s="6" t="s">
        <v>23</v>
      </c>
      <c r="G5093" s="4" t="s">
        <v>0</v>
      </c>
      <c r="H5093" s="25">
        <v>4724.9090909099996</v>
      </c>
      <c r="I5093" s="8">
        <v>-3.48</v>
      </c>
      <c r="J5093" s="9">
        <v>10</v>
      </c>
      <c r="K5093" s="7">
        <v>13.48</v>
      </c>
      <c r="L5093" s="24">
        <f>+Tabla2[[#This Row],[Stock Inventario]]*Tabla2[[#This Row],[Coste LÃ­nea]]</f>
        <v>47249.090909099992</v>
      </c>
      <c r="M5093" s="24">
        <f>+Tabla2[[#This Row],[Variación Stock]]*Tabla2[[#This Row],[Coste LÃ­nea]]</f>
        <v>63691.774545466797</v>
      </c>
      <c r="N5093" s="22" t="str">
        <f>+IF(Tabla2[[#This Row],[Variación Stock]]&gt;0,"Sobrante",IF(Tabla2[[#This Row],[Variación Stock]]&lt;0,"Faltante","Sin novedad"))</f>
        <v>Sobrante</v>
      </c>
    </row>
    <row r="5094" spans="1:14" x14ac:dyDescent="0.25">
      <c r="A5094" s="11">
        <v>46053</v>
      </c>
      <c r="B5094" s="5" t="s">
        <v>971</v>
      </c>
      <c r="C5094" s="3" t="s">
        <v>284</v>
      </c>
      <c r="D5094" s="5" t="s">
        <v>111</v>
      </c>
      <c r="E5094" s="5" t="s">
        <v>112</v>
      </c>
      <c r="F5094" s="6" t="s">
        <v>52</v>
      </c>
      <c r="G5094" s="4" t="s">
        <v>0</v>
      </c>
      <c r="H5094" s="25">
        <v>6800.3640183199996</v>
      </c>
      <c r="I5094" s="8">
        <v>7.68</v>
      </c>
      <c r="J5094" s="9">
        <v>8</v>
      </c>
      <c r="K5094" s="7">
        <v>0.32</v>
      </c>
      <c r="L5094" s="24">
        <f>+Tabla2[[#This Row],[Stock Inventario]]*Tabla2[[#This Row],[Coste LÃ­nea]]</f>
        <v>54402.912146559996</v>
      </c>
      <c r="M5094" s="24">
        <f>+Tabla2[[#This Row],[Variación Stock]]*Tabla2[[#This Row],[Coste LÃ­nea]]</f>
        <v>2176.1164858623997</v>
      </c>
      <c r="N5094" s="22" t="str">
        <f>+IF(Tabla2[[#This Row],[Variación Stock]]&gt;0,"Sobrante",IF(Tabla2[[#This Row],[Variación Stock]]&lt;0,"Faltante","Sin novedad"))</f>
        <v>Sobrante</v>
      </c>
    </row>
    <row r="5095" spans="1:14" x14ac:dyDescent="0.25">
      <c r="A5095" s="11">
        <v>46053</v>
      </c>
      <c r="B5095" s="5" t="s">
        <v>971</v>
      </c>
      <c r="C5095" s="3" t="s">
        <v>284</v>
      </c>
      <c r="D5095" s="5" t="s">
        <v>114</v>
      </c>
      <c r="E5095" s="5" t="s">
        <v>112</v>
      </c>
      <c r="F5095" s="6" t="s">
        <v>62</v>
      </c>
      <c r="G5095" s="4" t="s">
        <v>2</v>
      </c>
      <c r="H5095" s="25">
        <v>1646.59232617</v>
      </c>
      <c r="I5095" s="8">
        <v>36.159999999999997</v>
      </c>
      <c r="J5095" s="9">
        <v>29</v>
      </c>
      <c r="K5095" s="7">
        <v>-7.16</v>
      </c>
      <c r="L5095" s="24">
        <f>+Tabla2[[#This Row],[Stock Inventario]]*Tabla2[[#This Row],[Coste LÃ­nea]]</f>
        <v>47751.177458929997</v>
      </c>
      <c r="M5095" s="24">
        <f>+Tabla2[[#This Row],[Variación Stock]]*Tabla2[[#This Row],[Coste LÃ­nea]]</f>
        <v>-11789.601055377199</v>
      </c>
      <c r="N5095" s="22" t="str">
        <f>+IF(Tabla2[[#This Row],[Variación Stock]]&gt;0,"Sobrante",IF(Tabla2[[#This Row],[Variación Stock]]&lt;0,"Faltante","Sin novedad"))</f>
        <v>Faltante</v>
      </c>
    </row>
    <row r="5096" spans="1:14" x14ac:dyDescent="0.25">
      <c r="A5096" s="11">
        <v>46053</v>
      </c>
      <c r="B5096" s="5" t="s">
        <v>971</v>
      </c>
      <c r="C5096" s="3" t="s">
        <v>284</v>
      </c>
      <c r="D5096" s="5" t="s">
        <v>114</v>
      </c>
      <c r="E5096" s="5" t="s">
        <v>112</v>
      </c>
      <c r="F5096" s="6" t="s">
        <v>69</v>
      </c>
      <c r="G5096" s="4" t="s">
        <v>2</v>
      </c>
      <c r="H5096" s="25">
        <v>5133.6666666700003</v>
      </c>
      <c r="I5096" s="8">
        <v>27.94</v>
      </c>
      <c r="J5096" s="9">
        <v>32</v>
      </c>
      <c r="K5096" s="7">
        <v>4.0599999999999996</v>
      </c>
      <c r="L5096" s="24">
        <f>+Tabla2[[#This Row],[Stock Inventario]]*Tabla2[[#This Row],[Coste LÃ­nea]]</f>
        <v>164277.33333344001</v>
      </c>
      <c r="M5096" s="24">
        <f>+Tabla2[[#This Row],[Variación Stock]]*Tabla2[[#This Row],[Coste LÃ­nea]]</f>
        <v>20842.686666680198</v>
      </c>
      <c r="N5096" s="22" t="str">
        <f>+IF(Tabla2[[#This Row],[Variación Stock]]&gt;0,"Sobrante",IF(Tabla2[[#This Row],[Variación Stock]]&lt;0,"Faltante","Sin novedad"))</f>
        <v>Sobrante</v>
      </c>
    </row>
    <row r="5097" spans="1:14" x14ac:dyDescent="0.25">
      <c r="A5097" s="11">
        <v>46053</v>
      </c>
      <c r="B5097" s="5" t="s">
        <v>971</v>
      </c>
      <c r="C5097" s="3" t="s">
        <v>284</v>
      </c>
      <c r="D5097" s="5" t="s">
        <v>111</v>
      </c>
      <c r="E5097" s="5" t="s">
        <v>112</v>
      </c>
      <c r="F5097" s="6" t="s">
        <v>24</v>
      </c>
      <c r="G5097" s="4" t="s">
        <v>0</v>
      </c>
      <c r="H5097" s="25">
        <v>3359.40909091</v>
      </c>
      <c r="I5097" s="8">
        <v>24.06</v>
      </c>
      <c r="J5097" s="9">
        <v>30</v>
      </c>
      <c r="K5097" s="7">
        <v>5.94</v>
      </c>
      <c r="L5097" s="24">
        <f>+Tabla2[[#This Row],[Stock Inventario]]*Tabla2[[#This Row],[Coste LÃ­nea]]</f>
        <v>100782.27272730001</v>
      </c>
      <c r="M5097" s="24">
        <f>+Tabla2[[#This Row],[Variación Stock]]*Tabla2[[#This Row],[Coste LÃ­nea]]</f>
        <v>19954.890000005402</v>
      </c>
      <c r="N5097" s="22" t="str">
        <f>+IF(Tabla2[[#This Row],[Variación Stock]]&gt;0,"Sobrante",IF(Tabla2[[#This Row],[Variación Stock]]&lt;0,"Faltante","Sin novedad"))</f>
        <v>Sobrante</v>
      </c>
    </row>
    <row r="5098" spans="1:14" hidden="1" x14ac:dyDescent="0.25">
      <c r="A5098" s="11">
        <v>46053</v>
      </c>
      <c r="B5098" s="5" t="s">
        <v>971</v>
      </c>
      <c r="C5098" s="3" t="s">
        <v>284</v>
      </c>
      <c r="D5098" s="5" t="s">
        <v>626</v>
      </c>
      <c r="E5098" s="5" t="s">
        <v>1079</v>
      </c>
      <c r="F5098" s="6" t="s">
        <v>653</v>
      </c>
      <c r="G5098" s="4" t="s">
        <v>2</v>
      </c>
      <c r="H5098" s="25">
        <v>424.55</v>
      </c>
      <c r="I5098" s="8">
        <v>420</v>
      </c>
      <c r="J5098" s="9">
        <v>30</v>
      </c>
      <c r="K5098" s="7">
        <v>-390</v>
      </c>
      <c r="L5098" s="24">
        <f>+Tabla2[[#This Row],[Stock Inventario]]*Tabla2[[#This Row],[Coste LÃ­nea]]</f>
        <v>12736.5</v>
      </c>
      <c r="M5098" s="24">
        <f>+Tabla2[[#This Row],[Variación Stock]]*Tabla2[[#This Row],[Coste LÃ­nea]]</f>
        <v>-165574.5</v>
      </c>
      <c r="N5098" s="22" t="str">
        <f>+IF(Tabla2[[#This Row],[Variación Stock]]&gt;0,"Sobrante",IF(Tabla2[[#This Row],[Variación Stock]]&lt;0,"Faltante","Sin novedad"))</f>
        <v>Faltante</v>
      </c>
    </row>
    <row r="5099" spans="1:14" hidden="1" x14ac:dyDescent="0.25">
      <c r="A5099" s="11">
        <v>46053</v>
      </c>
      <c r="B5099" s="5" t="s">
        <v>971</v>
      </c>
      <c r="C5099" s="3" t="s">
        <v>284</v>
      </c>
      <c r="D5099" s="5" t="s">
        <v>626</v>
      </c>
      <c r="E5099" s="5" t="s">
        <v>1079</v>
      </c>
      <c r="F5099" s="6" t="s">
        <v>654</v>
      </c>
      <c r="G5099" s="4" t="s">
        <v>2</v>
      </c>
      <c r="H5099" s="25">
        <v>4703.0555555600004</v>
      </c>
      <c r="I5099" s="8">
        <v>36</v>
      </c>
      <c r="J5099" s="9">
        <v>36</v>
      </c>
      <c r="K5099" s="7">
        <v>0</v>
      </c>
      <c r="L5099" s="24">
        <f>+Tabla2[[#This Row],[Stock Inventario]]*Tabla2[[#This Row],[Coste LÃ­nea]]</f>
        <v>169310.00000016001</v>
      </c>
      <c r="M5099" s="24">
        <f>+Tabla2[[#This Row],[Variación Stock]]*Tabla2[[#This Row],[Coste LÃ­nea]]</f>
        <v>0</v>
      </c>
      <c r="N5099" s="22" t="str">
        <f>+IF(Tabla2[[#This Row],[Variación Stock]]&gt;0,"Sobrante",IF(Tabla2[[#This Row],[Variación Stock]]&lt;0,"Faltante","Sin novedad"))</f>
        <v>Sin novedad</v>
      </c>
    </row>
    <row r="5100" spans="1:14" x14ac:dyDescent="0.25">
      <c r="A5100" s="11">
        <v>46053</v>
      </c>
      <c r="B5100" s="5" t="s">
        <v>971</v>
      </c>
      <c r="C5100" s="3" t="s">
        <v>284</v>
      </c>
      <c r="D5100" s="5" t="s">
        <v>603</v>
      </c>
      <c r="E5100" s="5" t="s">
        <v>112</v>
      </c>
      <c r="F5100" s="6" t="s">
        <v>623</v>
      </c>
      <c r="G5100" s="4" t="s">
        <v>1</v>
      </c>
      <c r="H5100" s="25">
        <v>482.66444444000001</v>
      </c>
      <c r="I5100" s="8">
        <v>1577</v>
      </c>
      <c r="J5100" s="9">
        <v>2500</v>
      </c>
      <c r="K5100" s="7">
        <v>923</v>
      </c>
      <c r="L5100" s="24">
        <f>+Tabla2[[#This Row],[Stock Inventario]]*Tabla2[[#This Row],[Coste LÃ­nea]]</f>
        <v>1206661.1111000001</v>
      </c>
      <c r="M5100" s="24">
        <f>+Tabla2[[#This Row],[Variación Stock]]*Tabla2[[#This Row],[Coste LÃ­nea]]</f>
        <v>445499.28221812</v>
      </c>
      <c r="N5100" s="22" t="str">
        <f>+IF(Tabla2[[#This Row],[Variación Stock]]&gt;0,"Sobrante",IF(Tabla2[[#This Row],[Variación Stock]]&lt;0,"Faltante","Sin novedad"))</f>
        <v>Sobrante</v>
      </c>
    </row>
    <row r="5101" spans="1:14" x14ac:dyDescent="0.25">
      <c r="A5101" s="11">
        <v>46053</v>
      </c>
      <c r="B5101" s="5" t="s">
        <v>971</v>
      </c>
      <c r="C5101" s="3" t="s">
        <v>284</v>
      </c>
      <c r="D5101" s="5" t="s">
        <v>111</v>
      </c>
      <c r="E5101" s="5" t="s">
        <v>112</v>
      </c>
      <c r="F5101" s="6" t="s">
        <v>39</v>
      </c>
      <c r="G5101" s="4" t="s">
        <v>0</v>
      </c>
      <c r="H5101" s="25">
        <v>10145.63636364</v>
      </c>
      <c r="I5101" s="8">
        <v>27</v>
      </c>
      <c r="J5101" s="9">
        <v>27</v>
      </c>
      <c r="K5101" s="7">
        <v>0</v>
      </c>
      <c r="L5101" s="24">
        <f>+Tabla2[[#This Row],[Stock Inventario]]*Tabla2[[#This Row],[Coste LÃ­nea]]</f>
        <v>273932.18181828002</v>
      </c>
      <c r="M5101" s="24">
        <f>+Tabla2[[#This Row],[Variación Stock]]*Tabla2[[#This Row],[Coste LÃ­nea]]</f>
        <v>0</v>
      </c>
      <c r="N5101" s="22" t="str">
        <f>+IF(Tabla2[[#This Row],[Variación Stock]]&gt;0,"Sobrante",IF(Tabla2[[#This Row],[Variación Stock]]&lt;0,"Faltante","Sin novedad"))</f>
        <v>Sin novedad</v>
      </c>
    </row>
    <row r="5102" spans="1:14" hidden="1" x14ac:dyDescent="0.25">
      <c r="A5102" s="11">
        <v>46053</v>
      </c>
      <c r="B5102" s="5" t="s">
        <v>971</v>
      </c>
      <c r="C5102" s="3" t="s">
        <v>284</v>
      </c>
      <c r="D5102" s="5" t="s">
        <v>559</v>
      </c>
      <c r="E5102" s="5" t="s">
        <v>1080</v>
      </c>
      <c r="F5102" s="6" t="s">
        <v>590</v>
      </c>
      <c r="G5102" s="4" t="s">
        <v>2</v>
      </c>
      <c r="H5102" s="25">
        <v>119.25</v>
      </c>
      <c r="I5102" s="8">
        <v>0</v>
      </c>
      <c r="J5102" s="9">
        <v>20</v>
      </c>
      <c r="K5102" s="7">
        <v>20</v>
      </c>
      <c r="L5102" s="24">
        <f>+Tabla2[[#This Row],[Stock Inventario]]*Tabla2[[#This Row],[Coste LÃ­nea]]</f>
        <v>2385</v>
      </c>
      <c r="M5102" s="24">
        <f>+Tabla2[[#This Row],[Variación Stock]]*Tabla2[[#This Row],[Coste LÃ­nea]]</f>
        <v>2385</v>
      </c>
      <c r="N5102" s="22" t="str">
        <f>+IF(Tabla2[[#This Row],[Variación Stock]]&gt;0,"Sobrante",IF(Tabla2[[#This Row],[Variación Stock]]&lt;0,"Faltante","Sin novedad"))</f>
        <v>Sobrante</v>
      </c>
    </row>
    <row r="5103" spans="1:14" hidden="1" x14ac:dyDescent="0.25">
      <c r="A5103" s="11">
        <v>46053</v>
      </c>
      <c r="B5103" s="5" t="s">
        <v>971</v>
      </c>
      <c r="C5103" s="3" t="s">
        <v>284</v>
      </c>
      <c r="D5103" s="5" t="s">
        <v>626</v>
      </c>
      <c r="E5103" s="5" t="s">
        <v>1079</v>
      </c>
      <c r="F5103" s="6" t="s">
        <v>655</v>
      </c>
      <c r="G5103" s="4" t="s">
        <v>2</v>
      </c>
      <c r="H5103" s="25">
        <v>217.31714285999999</v>
      </c>
      <c r="I5103" s="8">
        <v>709</v>
      </c>
      <c r="J5103" s="9">
        <v>700</v>
      </c>
      <c r="K5103" s="7">
        <v>-702</v>
      </c>
      <c r="L5103" s="24">
        <f>+Tabla2[[#This Row],[Stock Inventario]]*Tabla2[[#This Row],[Coste LÃ­nea]]</f>
        <v>152122.00000199999</v>
      </c>
      <c r="M5103" s="24">
        <f>+Tabla2[[#This Row],[Variación Stock]]*Tabla2[[#This Row],[Coste LÃ­nea]]</f>
        <v>-152556.63428771999</v>
      </c>
      <c r="N5103" s="22" t="str">
        <f>+IF(Tabla2[[#This Row],[Variación Stock]]&gt;0,"Sobrante",IF(Tabla2[[#This Row],[Variación Stock]]&lt;0,"Faltante","Sin novedad"))</f>
        <v>Faltante</v>
      </c>
    </row>
    <row r="5104" spans="1:14" hidden="1" x14ac:dyDescent="0.25">
      <c r="A5104" s="11">
        <v>46053</v>
      </c>
      <c r="B5104" s="5" t="s">
        <v>971</v>
      </c>
      <c r="C5104" s="3" t="s">
        <v>284</v>
      </c>
      <c r="D5104" s="5" t="s">
        <v>626</v>
      </c>
      <c r="E5104" s="5" t="s">
        <v>1079</v>
      </c>
      <c r="F5104" s="6" t="s">
        <v>656</v>
      </c>
      <c r="G5104" s="4" t="s">
        <v>2</v>
      </c>
      <c r="H5104" s="25">
        <v>217.32</v>
      </c>
      <c r="I5104" s="8">
        <v>500</v>
      </c>
      <c r="J5104" s="9">
        <v>200</v>
      </c>
      <c r="K5104" s="7">
        <v>-498</v>
      </c>
      <c r="L5104" s="24">
        <f>+Tabla2[[#This Row],[Stock Inventario]]*Tabla2[[#This Row],[Coste LÃ­nea]]</f>
        <v>43464</v>
      </c>
      <c r="M5104" s="24">
        <f>+Tabla2[[#This Row],[Variación Stock]]*Tabla2[[#This Row],[Coste LÃ­nea]]</f>
        <v>-108225.36</v>
      </c>
      <c r="N5104" s="22" t="str">
        <f>+IF(Tabla2[[#This Row],[Variación Stock]]&gt;0,"Sobrante",IF(Tabla2[[#This Row],[Variación Stock]]&lt;0,"Faltante","Sin novedad"))</f>
        <v>Faltante</v>
      </c>
    </row>
    <row r="5105" spans="1:14" hidden="1" x14ac:dyDescent="0.25">
      <c r="A5105" s="11">
        <v>46053</v>
      </c>
      <c r="B5105" s="5" t="s">
        <v>971</v>
      </c>
      <c r="C5105" s="3" t="s">
        <v>284</v>
      </c>
      <c r="D5105" s="5" t="s">
        <v>626</v>
      </c>
      <c r="E5105" s="5" t="s">
        <v>1079</v>
      </c>
      <c r="F5105" s="6" t="s">
        <v>627</v>
      </c>
      <c r="G5105" s="4" t="s">
        <v>2</v>
      </c>
      <c r="H5105" s="25">
        <v>217.32</v>
      </c>
      <c r="I5105" s="8">
        <v>0</v>
      </c>
      <c r="J5105" s="9">
        <v>0</v>
      </c>
      <c r="K5105" s="7">
        <v>0</v>
      </c>
      <c r="L5105" s="24">
        <f>+Tabla2[[#This Row],[Stock Inventario]]*Tabla2[[#This Row],[Coste LÃ­nea]]</f>
        <v>0</v>
      </c>
      <c r="M5105" s="24">
        <f>+Tabla2[[#This Row],[Variación Stock]]*Tabla2[[#This Row],[Coste LÃ­nea]]</f>
        <v>0</v>
      </c>
      <c r="N5105" s="22" t="str">
        <f>+IF(Tabla2[[#This Row],[Variación Stock]]&gt;0,"Sobrante",IF(Tabla2[[#This Row],[Variación Stock]]&lt;0,"Faltante","Sin novedad"))</f>
        <v>Sin novedad</v>
      </c>
    </row>
    <row r="5106" spans="1:14" hidden="1" x14ac:dyDescent="0.25">
      <c r="A5106" s="11">
        <v>46053</v>
      </c>
      <c r="B5106" s="5" t="s">
        <v>971</v>
      </c>
      <c r="C5106" s="3" t="s">
        <v>284</v>
      </c>
      <c r="D5106" s="5" t="s">
        <v>471</v>
      </c>
      <c r="E5106" s="5" t="s">
        <v>117</v>
      </c>
      <c r="F5106" s="6" t="s">
        <v>503</v>
      </c>
      <c r="G5106" s="4" t="s">
        <v>1</v>
      </c>
      <c r="H5106" s="25">
        <v>2.8</v>
      </c>
      <c r="I5106" s="8">
        <v>9300</v>
      </c>
      <c r="J5106" s="9">
        <v>0</v>
      </c>
      <c r="K5106" s="7">
        <v>-9300</v>
      </c>
      <c r="L5106" s="24">
        <f>+Tabla2[[#This Row],[Stock Inventario]]*Tabla2[[#This Row],[Coste LÃ­nea]]</f>
        <v>0</v>
      </c>
      <c r="M5106" s="24">
        <f>+Tabla2[[#This Row],[Variación Stock]]*Tabla2[[#This Row],[Coste LÃ­nea]]</f>
        <v>-26040</v>
      </c>
      <c r="N5106" s="22" t="str">
        <f>+IF(Tabla2[[#This Row],[Variación Stock]]&gt;0,"Sobrante",IF(Tabla2[[#This Row],[Variación Stock]]&lt;0,"Faltante","Sin novedad"))</f>
        <v>Faltante</v>
      </c>
    </row>
    <row r="5107" spans="1:14" hidden="1" x14ac:dyDescent="0.25">
      <c r="A5107" s="11">
        <v>46053</v>
      </c>
      <c r="B5107" s="5" t="s">
        <v>971</v>
      </c>
      <c r="C5107" s="3" t="s">
        <v>284</v>
      </c>
      <c r="D5107" s="5" t="s">
        <v>471</v>
      </c>
      <c r="E5107" s="5" t="s">
        <v>117</v>
      </c>
      <c r="F5107" s="6" t="s">
        <v>543</v>
      </c>
      <c r="G5107" s="4" t="s">
        <v>1</v>
      </c>
      <c r="H5107" s="25">
        <v>9</v>
      </c>
      <c r="I5107" s="8">
        <v>-6400</v>
      </c>
      <c r="J5107" s="9">
        <v>0</v>
      </c>
      <c r="K5107" s="7">
        <v>6400</v>
      </c>
      <c r="L5107" s="24">
        <f>+Tabla2[[#This Row],[Stock Inventario]]*Tabla2[[#This Row],[Coste LÃ­nea]]</f>
        <v>0</v>
      </c>
      <c r="M5107" s="24">
        <f>+Tabla2[[#This Row],[Variación Stock]]*Tabla2[[#This Row],[Coste LÃ­nea]]</f>
        <v>57600</v>
      </c>
      <c r="N5107" s="22" t="str">
        <f>+IF(Tabla2[[#This Row],[Variación Stock]]&gt;0,"Sobrante",IF(Tabla2[[#This Row],[Variación Stock]]&lt;0,"Faltante","Sin novedad"))</f>
        <v>Sobrante</v>
      </c>
    </row>
    <row r="5108" spans="1:14" hidden="1" x14ac:dyDescent="0.25">
      <c r="A5108" s="11">
        <v>46053</v>
      </c>
      <c r="B5108" s="5" t="s">
        <v>971</v>
      </c>
      <c r="C5108" s="3" t="s">
        <v>284</v>
      </c>
      <c r="D5108" s="5" t="s">
        <v>471</v>
      </c>
      <c r="E5108" s="5" t="s">
        <v>117</v>
      </c>
      <c r="F5108" s="6" t="s">
        <v>504</v>
      </c>
      <c r="G5108" s="4" t="s">
        <v>1</v>
      </c>
      <c r="H5108" s="25">
        <v>6.8</v>
      </c>
      <c r="I5108" s="8">
        <v>-197.77770000000001</v>
      </c>
      <c r="J5108" s="9">
        <v>0</v>
      </c>
      <c r="K5108" s="7">
        <v>197.77771200000001</v>
      </c>
      <c r="L5108" s="24">
        <f>+Tabla2[[#This Row],[Stock Inventario]]*Tabla2[[#This Row],[Coste LÃ­nea]]</f>
        <v>0</v>
      </c>
      <c r="M5108" s="24">
        <f>+Tabla2[[#This Row],[Variación Stock]]*Tabla2[[#This Row],[Coste LÃ­nea]]</f>
        <v>1344.8884416000001</v>
      </c>
      <c r="N5108" s="22" t="str">
        <f>+IF(Tabla2[[#This Row],[Variación Stock]]&gt;0,"Sobrante",IF(Tabla2[[#This Row],[Variación Stock]]&lt;0,"Faltante","Sin novedad"))</f>
        <v>Sobrante</v>
      </c>
    </row>
    <row r="5109" spans="1:14" hidden="1" x14ac:dyDescent="0.25">
      <c r="A5109" s="11">
        <v>46053</v>
      </c>
      <c r="B5109" s="5" t="s">
        <v>971</v>
      </c>
      <c r="C5109" s="3" t="s">
        <v>284</v>
      </c>
      <c r="D5109" s="5" t="s">
        <v>396</v>
      </c>
      <c r="E5109" s="5" t="s">
        <v>117</v>
      </c>
      <c r="F5109" s="6" t="s">
        <v>437</v>
      </c>
      <c r="G5109" s="4" t="s">
        <v>1</v>
      </c>
      <c r="H5109" s="25">
        <v>4.2671999999999999</v>
      </c>
      <c r="I5109" s="8">
        <v>39931</v>
      </c>
      <c r="J5109" s="9">
        <v>11500</v>
      </c>
      <c r="K5109" s="7">
        <v>-33431</v>
      </c>
      <c r="L5109" s="24">
        <f>+Tabla2[[#This Row],[Stock Inventario]]*Tabla2[[#This Row],[Coste LÃ­nea]]</f>
        <v>49072.799999999996</v>
      </c>
      <c r="M5109" s="24">
        <f>+Tabla2[[#This Row],[Variación Stock]]*Tabla2[[#This Row],[Coste LÃ­nea]]</f>
        <v>-142656.76319999999</v>
      </c>
      <c r="N5109" s="22" t="str">
        <f>+IF(Tabla2[[#This Row],[Variación Stock]]&gt;0,"Sobrante",IF(Tabla2[[#This Row],[Variación Stock]]&lt;0,"Faltante","Sin novedad"))</f>
        <v>Faltante</v>
      </c>
    </row>
    <row r="5110" spans="1:14" hidden="1" x14ac:dyDescent="0.25">
      <c r="A5110" s="11">
        <v>46053</v>
      </c>
      <c r="B5110" s="5" t="s">
        <v>971</v>
      </c>
      <c r="C5110" s="3" t="s">
        <v>284</v>
      </c>
      <c r="D5110" s="5" t="s">
        <v>396</v>
      </c>
      <c r="E5110" s="5" t="s">
        <v>117</v>
      </c>
      <c r="F5110" s="6" t="s">
        <v>438</v>
      </c>
      <c r="G5110" s="4" t="s">
        <v>1</v>
      </c>
      <c r="H5110" s="25">
        <v>3.7180833299999998</v>
      </c>
      <c r="I5110" s="8">
        <v>0</v>
      </c>
      <c r="J5110" s="9">
        <v>0</v>
      </c>
      <c r="K5110" s="7">
        <v>0</v>
      </c>
      <c r="L5110" s="24">
        <f>+Tabla2[[#This Row],[Stock Inventario]]*Tabla2[[#This Row],[Coste LÃ­nea]]</f>
        <v>0</v>
      </c>
      <c r="M5110" s="24">
        <f>+Tabla2[[#This Row],[Variación Stock]]*Tabla2[[#This Row],[Coste LÃ­nea]]</f>
        <v>0</v>
      </c>
      <c r="N5110" s="22" t="str">
        <f>+IF(Tabla2[[#This Row],[Variación Stock]]&gt;0,"Sobrante",IF(Tabla2[[#This Row],[Variación Stock]]&lt;0,"Faltante","Sin novedad"))</f>
        <v>Sin novedad</v>
      </c>
    </row>
    <row r="5111" spans="1:14" hidden="1" x14ac:dyDescent="0.25">
      <c r="A5111" s="11">
        <v>46053</v>
      </c>
      <c r="B5111" s="5" t="s">
        <v>971</v>
      </c>
      <c r="C5111" s="3" t="s">
        <v>284</v>
      </c>
      <c r="D5111" s="5" t="s">
        <v>559</v>
      </c>
      <c r="E5111" s="5" t="s">
        <v>1080</v>
      </c>
      <c r="F5111" s="6" t="s">
        <v>583</v>
      </c>
      <c r="G5111" s="4" t="s">
        <v>2</v>
      </c>
      <c r="H5111" s="25">
        <v>136.85</v>
      </c>
      <c r="I5111" s="8">
        <v>100</v>
      </c>
      <c r="J5111" s="9">
        <v>58</v>
      </c>
      <c r="K5111" s="7">
        <v>-42</v>
      </c>
      <c r="L5111" s="24">
        <f>+Tabla2[[#This Row],[Stock Inventario]]*Tabla2[[#This Row],[Coste LÃ­nea]]</f>
        <v>7937.2999999999993</v>
      </c>
      <c r="M5111" s="24">
        <f>+Tabla2[[#This Row],[Variación Stock]]*Tabla2[[#This Row],[Coste LÃ­nea]]</f>
        <v>-5747.7</v>
      </c>
      <c r="N5111" s="22" t="str">
        <f>+IF(Tabla2[[#This Row],[Variación Stock]]&gt;0,"Sobrante",IF(Tabla2[[#This Row],[Variación Stock]]&lt;0,"Faltante","Sin novedad"))</f>
        <v>Faltante</v>
      </c>
    </row>
    <row r="5112" spans="1:14" hidden="1" x14ac:dyDescent="0.25">
      <c r="A5112" s="11">
        <v>46053</v>
      </c>
      <c r="B5112" s="5" t="s">
        <v>971</v>
      </c>
      <c r="C5112" s="3" t="s">
        <v>284</v>
      </c>
      <c r="D5112" s="5" t="s">
        <v>471</v>
      </c>
      <c r="E5112" s="5" t="s">
        <v>117</v>
      </c>
      <c r="F5112" s="6" t="s">
        <v>545</v>
      </c>
      <c r="G5112" s="4" t="s">
        <v>1</v>
      </c>
      <c r="H5112" s="25">
        <v>33</v>
      </c>
      <c r="I5112" s="8">
        <v>1221.3333</v>
      </c>
      <c r="J5112" s="9">
        <v>0</v>
      </c>
      <c r="K5112" s="7">
        <v>-1221.3333313999999</v>
      </c>
      <c r="L5112" s="24">
        <f>+Tabla2[[#This Row],[Stock Inventario]]*Tabla2[[#This Row],[Coste LÃ­nea]]</f>
        <v>0</v>
      </c>
      <c r="M5112" s="24">
        <f>+Tabla2[[#This Row],[Variación Stock]]*Tabla2[[#This Row],[Coste LÃ­nea]]</f>
        <v>-40303.999936199994</v>
      </c>
      <c r="N5112" s="22" t="str">
        <f>+IF(Tabla2[[#This Row],[Variación Stock]]&gt;0,"Sobrante",IF(Tabla2[[#This Row],[Variación Stock]]&lt;0,"Faltante","Sin novedad"))</f>
        <v>Faltante</v>
      </c>
    </row>
    <row r="5113" spans="1:14" x14ac:dyDescent="0.25">
      <c r="A5113" s="11">
        <v>46053</v>
      </c>
      <c r="B5113" s="5" t="s">
        <v>971</v>
      </c>
      <c r="C5113" s="3" t="s">
        <v>284</v>
      </c>
      <c r="D5113" s="5" t="s">
        <v>603</v>
      </c>
      <c r="E5113" s="5" t="s">
        <v>112</v>
      </c>
      <c r="F5113" s="6" t="s">
        <v>618</v>
      </c>
      <c r="G5113" s="4" t="s">
        <v>1</v>
      </c>
      <c r="H5113" s="25">
        <v>16</v>
      </c>
      <c r="I5113" s="8">
        <v>-2707.7808</v>
      </c>
      <c r="J5113" s="9">
        <v>500</v>
      </c>
      <c r="K5113" s="7">
        <v>3207.7807637999999</v>
      </c>
      <c r="L5113" s="24">
        <f>+Tabla2[[#This Row],[Stock Inventario]]*Tabla2[[#This Row],[Coste LÃ­nea]]</f>
        <v>8000</v>
      </c>
      <c r="M5113" s="24">
        <f>+Tabla2[[#This Row],[Variación Stock]]*Tabla2[[#This Row],[Coste LÃ­nea]]</f>
        <v>51324.492220799999</v>
      </c>
      <c r="N5113" s="22" t="str">
        <f>+IF(Tabla2[[#This Row],[Variación Stock]]&gt;0,"Sobrante",IF(Tabla2[[#This Row],[Variación Stock]]&lt;0,"Faltante","Sin novedad"))</f>
        <v>Sobrante</v>
      </c>
    </row>
    <row r="5114" spans="1:14" hidden="1" x14ac:dyDescent="0.25">
      <c r="A5114" s="11">
        <v>46053</v>
      </c>
      <c r="B5114" s="5" t="s">
        <v>971</v>
      </c>
      <c r="C5114" s="3" t="s">
        <v>284</v>
      </c>
      <c r="D5114" s="5" t="s">
        <v>626</v>
      </c>
      <c r="E5114" s="5" t="s">
        <v>1079</v>
      </c>
      <c r="F5114" s="6" t="s">
        <v>657</v>
      </c>
      <c r="G5114" s="4" t="s">
        <v>1</v>
      </c>
      <c r="H5114" s="25">
        <v>2.6021000000000001</v>
      </c>
      <c r="I5114" s="8">
        <v>20000</v>
      </c>
      <c r="J5114" s="9">
        <v>5000</v>
      </c>
      <c r="K5114" s="7">
        <v>-15000</v>
      </c>
      <c r="L5114" s="24">
        <f>+Tabla2[[#This Row],[Stock Inventario]]*Tabla2[[#This Row],[Coste LÃ­nea]]</f>
        <v>13010.5</v>
      </c>
      <c r="M5114" s="24">
        <f>+Tabla2[[#This Row],[Variación Stock]]*Tabla2[[#This Row],[Coste LÃ­nea]]</f>
        <v>-39031.5</v>
      </c>
      <c r="N5114" s="22" t="str">
        <f>+IF(Tabla2[[#This Row],[Variación Stock]]&gt;0,"Sobrante",IF(Tabla2[[#This Row],[Variación Stock]]&lt;0,"Faltante","Sin novedad"))</f>
        <v>Faltante</v>
      </c>
    </row>
    <row r="5115" spans="1:14" hidden="1" x14ac:dyDescent="0.25">
      <c r="A5115" s="11">
        <v>46053</v>
      </c>
      <c r="B5115" s="5" t="s">
        <v>971</v>
      </c>
      <c r="C5115" s="3" t="s">
        <v>284</v>
      </c>
      <c r="D5115" s="5" t="s">
        <v>471</v>
      </c>
      <c r="E5115" s="5" t="s">
        <v>117</v>
      </c>
      <c r="F5115" s="6" t="s">
        <v>505</v>
      </c>
      <c r="G5115" s="4" t="s">
        <v>2</v>
      </c>
      <c r="H5115" s="25">
        <v>4000</v>
      </c>
      <c r="I5115" s="8">
        <v>497.5</v>
      </c>
      <c r="J5115" s="9">
        <v>524</v>
      </c>
      <c r="K5115" s="7">
        <v>26.5</v>
      </c>
      <c r="L5115" s="24">
        <f>+Tabla2[[#This Row],[Stock Inventario]]*Tabla2[[#This Row],[Coste LÃ­nea]]</f>
        <v>2096000</v>
      </c>
      <c r="M5115" s="24">
        <f>+Tabla2[[#This Row],[Variación Stock]]*Tabla2[[#This Row],[Coste LÃ­nea]]</f>
        <v>106000</v>
      </c>
      <c r="N5115" s="22" t="str">
        <f>+IF(Tabla2[[#This Row],[Variación Stock]]&gt;0,"Sobrante",IF(Tabla2[[#This Row],[Variación Stock]]&lt;0,"Faltante","Sin novedad"))</f>
        <v>Sobrante</v>
      </c>
    </row>
    <row r="5116" spans="1:14" x14ac:dyDescent="0.25">
      <c r="A5116" s="11">
        <v>46053</v>
      </c>
      <c r="B5116" s="5" t="s">
        <v>971</v>
      </c>
      <c r="C5116" s="3" t="s">
        <v>284</v>
      </c>
      <c r="D5116" s="5" t="s">
        <v>603</v>
      </c>
      <c r="E5116" s="5" t="s">
        <v>112</v>
      </c>
      <c r="F5116" s="6" t="s">
        <v>624</v>
      </c>
      <c r="G5116" s="4" t="s">
        <v>1</v>
      </c>
      <c r="H5116" s="25">
        <v>100</v>
      </c>
      <c r="I5116" s="8">
        <v>0</v>
      </c>
      <c r="J5116" s="9">
        <v>0</v>
      </c>
      <c r="K5116" s="7">
        <v>0</v>
      </c>
      <c r="L5116" s="24">
        <f>+Tabla2[[#This Row],[Stock Inventario]]*Tabla2[[#This Row],[Coste LÃ­nea]]</f>
        <v>0</v>
      </c>
      <c r="M5116" s="24">
        <f>+Tabla2[[#This Row],[Variación Stock]]*Tabla2[[#This Row],[Coste LÃ­nea]]</f>
        <v>0</v>
      </c>
      <c r="N5116" s="22" t="str">
        <f>+IF(Tabla2[[#This Row],[Variación Stock]]&gt;0,"Sobrante",IF(Tabla2[[#This Row],[Variación Stock]]&lt;0,"Faltante","Sin novedad"))</f>
        <v>Sin novedad</v>
      </c>
    </row>
    <row r="5117" spans="1:14" hidden="1" x14ac:dyDescent="0.25">
      <c r="A5117" s="11">
        <v>46053</v>
      </c>
      <c r="B5117" s="5" t="s">
        <v>971</v>
      </c>
      <c r="C5117" s="3" t="s">
        <v>284</v>
      </c>
      <c r="D5117" s="5" t="s">
        <v>396</v>
      </c>
      <c r="E5117" s="5" t="s">
        <v>117</v>
      </c>
      <c r="F5117" s="6" t="s">
        <v>423</v>
      </c>
      <c r="G5117" s="4" t="s">
        <v>1</v>
      </c>
      <c r="H5117" s="25">
        <v>69.02</v>
      </c>
      <c r="I5117" s="8">
        <v>4037.3332999999998</v>
      </c>
      <c r="J5117" s="9">
        <v>1500</v>
      </c>
      <c r="K5117" s="7">
        <v>-2537.3333360000001</v>
      </c>
      <c r="L5117" s="24">
        <f>+Tabla2[[#This Row],[Stock Inventario]]*Tabla2[[#This Row],[Coste LÃ­nea]]</f>
        <v>103530</v>
      </c>
      <c r="M5117" s="24">
        <f>+Tabla2[[#This Row],[Variación Stock]]*Tabla2[[#This Row],[Coste LÃ­nea]]</f>
        <v>-175126.74685072</v>
      </c>
      <c r="N5117" s="22" t="str">
        <f>+IF(Tabla2[[#This Row],[Variación Stock]]&gt;0,"Sobrante",IF(Tabla2[[#This Row],[Variación Stock]]&lt;0,"Faltante","Sin novedad"))</f>
        <v>Faltante</v>
      </c>
    </row>
    <row r="5118" spans="1:14" hidden="1" x14ac:dyDescent="0.25">
      <c r="A5118" s="11">
        <v>46053</v>
      </c>
      <c r="B5118" s="5" t="s">
        <v>971</v>
      </c>
      <c r="C5118" s="3" t="s">
        <v>284</v>
      </c>
      <c r="D5118" s="5" t="s">
        <v>396</v>
      </c>
      <c r="E5118" s="5" t="s">
        <v>117</v>
      </c>
      <c r="F5118" s="6" t="s">
        <v>469</v>
      </c>
      <c r="G5118" s="4" t="s">
        <v>2</v>
      </c>
      <c r="H5118" s="25">
        <v>354.16666666999998</v>
      </c>
      <c r="I5118" s="8">
        <v>437.5</v>
      </c>
      <c r="J5118" s="9">
        <v>206</v>
      </c>
      <c r="K5118" s="7">
        <v>-231.5</v>
      </c>
      <c r="L5118" s="24">
        <f>+Tabla2[[#This Row],[Stock Inventario]]*Tabla2[[#This Row],[Coste LÃ­nea]]</f>
        <v>72958.33333401999</v>
      </c>
      <c r="M5118" s="24">
        <f>+Tabla2[[#This Row],[Variación Stock]]*Tabla2[[#This Row],[Coste LÃ­nea]]</f>
        <v>-81989.583334105002</v>
      </c>
      <c r="N5118" s="22" t="str">
        <f>+IF(Tabla2[[#This Row],[Variación Stock]]&gt;0,"Sobrante",IF(Tabla2[[#This Row],[Variación Stock]]&lt;0,"Faltante","Sin novedad"))</f>
        <v>Faltante</v>
      </c>
    </row>
    <row r="5119" spans="1:14" hidden="1" x14ac:dyDescent="0.25">
      <c r="A5119" s="11">
        <v>46053</v>
      </c>
      <c r="B5119" s="5" t="s">
        <v>971</v>
      </c>
      <c r="C5119" s="3" t="s">
        <v>284</v>
      </c>
      <c r="D5119" s="5" t="s">
        <v>396</v>
      </c>
      <c r="E5119" s="5" t="s">
        <v>117</v>
      </c>
      <c r="F5119" s="6" t="s">
        <v>470</v>
      </c>
      <c r="G5119" s="4" t="s">
        <v>2</v>
      </c>
      <c r="H5119" s="25">
        <v>726.66666667000004</v>
      </c>
      <c r="I5119" s="8">
        <v>555.5</v>
      </c>
      <c r="J5119" s="9">
        <v>196</v>
      </c>
      <c r="K5119" s="7">
        <v>-359.5</v>
      </c>
      <c r="L5119" s="24">
        <f>+Tabla2[[#This Row],[Stock Inventario]]*Tabla2[[#This Row],[Coste LÃ­nea]]</f>
        <v>142426.66666732001</v>
      </c>
      <c r="M5119" s="24">
        <f>+Tabla2[[#This Row],[Variación Stock]]*Tabla2[[#This Row],[Coste LÃ­nea]]</f>
        <v>-261236.66666786501</v>
      </c>
      <c r="N5119" s="22" t="str">
        <f>+IF(Tabla2[[#This Row],[Variación Stock]]&gt;0,"Sobrante",IF(Tabla2[[#This Row],[Variación Stock]]&lt;0,"Faltante","Sin novedad"))</f>
        <v>Faltante</v>
      </c>
    </row>
    <row r="5120" spans="1:14" hidden="1" x14ac:dyDescent="0.25">
      <c r="A5120" s="11">
        <v>46053</v>
      </c>
      <c r="B5120" s="5" t="s">
        <v>971</v>
      </c>
      <c r="C5120" s="3" t="s">
        <v>284</v>
      </c>
      <c r="D5120" s="5" t="s">
        <v>626</v>
      </c>
      <c r="E5120" s="5" t="s">
        <v>1079</v>
      </c>
      <c r="F5120" s="6" t="s">
        <v>658</v>
      </c>
      <c r="G5120" s="4" t="s">
        <v>2</v>
      </c>
      <c r="H5120" s="25">
        <v>68049</v>
      </c>
      <c r="I5120" s="8">
        <v>1</v>
      </c>
      <c r="J5120" s="9">
        <v>0</v>
      </c>
      <c r="K5120" s="7">
        <v>-1</v>
      </c>
      <c r="L5120" s="24">
        <f>+Tabla2[[#This Row],[Stock Inventario]]*Tabla2[[#This Row],[Coste LÃ­nea]]</f>
        <v>0</v>
      </c>
      <c r="M5120" s="24">
        <f>+Tabla2[[#This Row],[Variación Stock]]*Tabla2[[#This Row],[Coste LÃ­nea]]</f>
        <v>-68049</v>
      </c>
      <c r="N5120" s="22" t="str">
        <f>+IF(Tabla2[[#This Row],[Variación Stock]]&gt;0,"Sobrante",IF(Tabla2[[#This Row],[Variación Stock]]&lt;0,"Faltante","Sin novedad"))</f>
        <v>Faltante</v>
      </c>
    </row>
    <row r="5121" spans="1:14" hidden="1" x14ac:dyDescent="0.25">
      <c r="A5121" s="11">
        <v>46053</v>
      </c>
      <c r="B5121" s="5" t="s">
        <v>971</v>
      </c>
      <c r="C5121" s="3" t="s">
        <v>284</v>
      </c>
      <c r="D5121" s="5" t="s">
        <v>626</v>
      </c>
      <c r="E5121" s="5" t="s">
        <v>1079</v>
      </c>
      <c r="F5121" s="6" t="s">
        <v>638</v>
      </c>
      <c r="G5121" s="4" t="s">
        <v>2</v>
      </c>
      <c r="H5121" s="25">
        <v>4516</v>
      </c>
      <c r="I5121" s="8">
        <v>1</v>
      </c>
      <c r="J5121" s="9">
        <v>2</v>
      </c>
      <c r="K5121" s="7">
        <v>-1</v>
      </c>
      <c r="L5121" s="24">
        <f>+Tabla2[[#This Row],[Stock Inventario]]*Tabla2[[#This Row],[Coste LÃ­nea]]</f>
        <v>9032</v>
      </c>
      <c r="M5121" s="24">
        <f>+Tabla2[[#This Row],[Variación Stock]]*Tabla2[[#This Row],[Coste LÃ­nea]]</f>
        <v>-4516</v>
      </c>
      <c r="N5121" s="22" t="str">
        <f>+IF(Tabla2[[#This Row],[Variación Stock]]&gt;0,"Sobrante",IF(Tabla2[[#This Row],[Variación Stock]]&lt;0,"Faltante","Sin novedad"))</f>
        <v>Faltante</v>
      </c>
    </row>
    <row r="5122" spans="1:14" hidden="1" x14ac:dyDescent="0.25">
      <c r="A5122" s="11">
        <v>46053</v>
      </c>
      <c r="B5122" s="5" t="s">
        <v>971</v>
      </c>
      <c r="C5122" s="3" t="s">
        <v>284</v>
      </c>
      <c r="D5122" s="5" t="s">
        <v>471</v>
      </c>
      <c r="E5122" s="5" t="s">
        <v>117</v>
      </c>
      <c r="F5122" s="6" t="s">
        <v>506</v>
      </c>
      <c r="G5122" s="4" t="s">
        <v>1</v>
      </c>
      <c r="H5122" s="25">
        <v>10.5</v>
      </c>
      <c r="I5122" s="8">
        <v>1069.4127000000001</v>
      </c>
      <c r="J5122" s="9">
        <v>772</v>
      </c>
      <c r="K5122" s="7">
        <v>-997.41269820000002</v>
      </c>
      <c r="L5122" s="24">
        <f>+Tabla2[[#This Row],[Stock Inventario]]*Tabla2[[#This Row],[Coste LÃ­nea]]</f>
        <v>8106</v>
      </c>
      <c r="M5122" s="24">
        <f>+Tabla2[[#This Row],[Variación Stock]]*Tabla2[[#This Row],[Coste LÃ­nea]]</f>
        <v>-10472.833331100001</v>
      </c>
      <c r="N5122" s="22" t="str">
        <f>+IF(Tabla2[[#This Row],[Variación Stock]]&gt;0,"Sobrante",IF(Tabla2[[#This Row],[Variación Stock]]&lt;0,"Faltante","Sin novedad"))</f>
        <v>Faltante</v>
      </c>
    </row>
    <row r="5123" spans="1:14" x14ac:dyDescent="0.25">
      <c r="A5123" s="11">
        <v>46053</v>
      </c>
      <c r="B5123" s="5" t="s">
        <v>971</v>
      </c>
      <c r="C5123" s="3" t="s">
        <v>284</v>
      </c>
      <c r="D5123" s="5" t="s">
        <v>603</v>
      </c>
      <c r="E5123" s="5" t="s">
        <v>112</v>
      </c>
      <c r="F5123" s="6" t="s">
        <v>613</v>
      </c>
      <c r="G5123" s="4" t="s">
        <v>0</v>
      </c>
      <c r="H5123" s="25">
        <v>638.27160492999997</v>
      </c>
      <c r="I5123" s="8">
        <v>0</v>
      </c>
      <c r="J5123" s="9">
        <v>0</v>
      </c>
      <c r="K5123" s="7">
        <v>0</v>
      </c>
      <c r="L5123" s="24">
        <f>+Tabla2[[#This Row],[Stock Inventario]]*Tabla2[[#This Row],[Coste LÃ­nea]]</f>
        <v>0</v>
      </c>
      <c r="M5123" s="24">
        <f>+Tabla2[[#This Row],[Variación Stock]]*Tabla2[[#This Row],[Coste LÃ­nea]]</f>
        <v>0</v>
      </c>
      <c r="N5123" s="22" t="str">
        <f>+IF(Tabla2[[#This Row],[Variación Stock]]&gt;0,"Sobrante",IF(Tabla2[[#This Row],[Variación Stock]]&lt;0,"Faltante","Sin novedad"))</f>
        <v>Sin novedad</v>
      </c>
    </row>
    <row r="5124" spans="1:14" x14ac:dyDescent="0.25">
      <c r="A5124" s="11">
        <v>46053</v>
      </c>
      <c r="B5124" s="5" t="s">
        <v>971</v>
      </c>
      <c r="C5124" s="3" t="s">
        <v>284</v>
      </c>
      <c r="D5124" s="5" t="s">
        <v>114</v>
      </c>
      <c r="E5124" s="5" t="s">
        <v>112</v>
      </c>
      <c r="F5124" s="6" t="s">
        <v>148</v>
      </c>
      <c r="G5124" s="4" t="s">
        <v>2</v>
      </c>
      <c r="H5124" s="25">
        <v>4986.1810224199999</v>
      </c>
      <c r="I5124" s="8">
        <v>0</v>
      </c>
      <c r="J5124" s="9">
        <v>0</v>
      </c>
      <c r="K5124" s="7">
        <v>0</v>
      </c>
      <c r="L5124" s="24">
        <f>+Tabla2[[#This Row],[Stock Inventario]]*Tabla2[[#This Row],[Coste LÃ­nea]]</f>
        <v>0</v>
      </c>
      <c r="M5124" s="24">
        <f>+Tabla2[[#This Row],[Variación Stock]]*Tabla2[[#This Row],[Coste LÃ­nea]]</f>
        <v>0</v>
      </c>
      <c r="N5124" s="22" t="str">
        <f>+IF(Tabla2[[#This Row],[Variación Stock]]&gt;0,"Sobrante",IF(Tabla2[[#This Row],[Variación Stock]]&lt;0,"Faltante","Sin novedad"))</f>
        <v>Sin novedad</v>
      </c>
    </row>
    <row r="5125" spans="1:14" x14ac:dyDescent="0.25">
      <c r="A5125" s="11">
        <v>46053</v>
      </c>
      <c r="B5125" s="5" t="s">
        <v>971</v>
      </c>
      <c r="C5125" s="3" t="s">
        <v>284</v>
      </c>
      <c r="D5125" s="5" t="s">
        <v>114</v>
      </c>
      <c r="E5125" s="5" t="s">
        <v>112</v>
      </c>
      <c r="F5125" s="6" t="s">
        <v>64</v>
      </c>
      <c r="G5125" s="4" t="s">
        <v>2</v>
      </c>
      <c r="H5125" s="25">
        <v>5132.5</v>
      </c>
      <c r="I5125" s="8">
        <v>13.5</v>
      </c>
      <c r="J5125" s="9">
        <v>14</v>
      </c>
      <c r="K5125" s="7">
        <v>0.5</v>
      </c>
      <c r="L5125" s="24">
        <f>+Tabla2[[#This Row],[Stock Inventario]]*Tabla2[[#This Row],[Coste LÃ­nea]]</f>
        <v>71855</v>
      </c>
      <c r="M5125" s="24">
        <f>+Tabla2[[#This Row],[Variación Stock]]*Tabla2[[#This Row],[Coste LÃ­nea]]</f>
        <v>2566.25</v>
      </c>
      <c r="N5125" s="22" t="str">
        <f>+IF(Tabla2[[#This Row],[Variación Stock]]&gt;0,"Sobrante",IF(Tabla2[[#This Row],[Variación Stock]]&lt;0,"Faltante","Sin novedad"))</f>
        <v>Sobrante</v>
      </c>
    </row>
    <row r="5126" spans="1:14" hidden="1" x14ac:dyDescent="0.25">
      <c r="A5126" s="11">
        <v>46053</v>
      </c>
      <c r="B5126" s="5" t="s">
        <v>971</v>
      </c>
      <c r="C5126" s="3" t="s">
        <v>284</v>
      </c>
      <c r="D5126" s="5" t="s">
        <v>396</v>
      </c>
      <c r="E5126" s="5" t="s">
        <v>117</v>
      </c>
      <c r="F5126" s="6" t="s">
        <v>398</v>
      </c>
      <c r="G5126" s="4" t="s">
        <v>1</v>
      </c>
      <c r="H5126" s="25">
        <v>65.333333330000002</v>
      </c>
      <c r="I5126" s="8">
        <v>-2</v>
      </c>
      <c r="J5126" s="9">
        <v>0</v>
      </c>
      <c r="K5126" s="7">
        <v>2</v>
      </c>
      <c r="L5126" s="24">
        <f>+Tabla2[[#This Row],[Stock Inventario]]*Tabla2[[#This Row],[Coste LÃ­nea]]</f>
        <v>0</v>
      </c>
      <c r="M5126" s="24">
        <f>+Tabla2[[#This Row],[Variación Stock]]*Tabla2[[#This Row],[Coste LÃ­nea]]</f>
        <v>130.66666666</v>
      </c>
      <c r="N5126" s="22" t="str">
        <f>+IF(Tabla2[[#This Row],[Variación Stock]]&gt;0,"Sobrante",IF(Tabla2[[#This Row],[Variación Stock]]&lt;0,"Faltante","Sin novedad"))</f>
        <v>Sobrante</v>
      </c>
    </row>
    <row r="5127" spans="1:14" x14ac:dyDescent="0.25">
      <c r="A5127" s="11">
        <v>46053</v>
      </c>
      <c r="B5127" s="5" t="s">
        <v>971</v>
      </c>
      <c r="C5127" s="3" t="s">
        <v>284</v>
      </c>
      <c r="D5127" s="5" t="s">
        <v>111</v>
      </c>
      <c r="E5127" s="5" t="s">
        <v>112</v>
      </c>
      <c r="F5127" s="6" t="s">
        <v>57</v>
      </c>
      <c r="G5127" s="4" t="s">
        <v>0</v>
      </c>
      <c r="H5127" s="25">
        <v>1993.59090909</v>
      </c>
      <c r="I5127" s="8">
        <v>10</v>
      </c>
      <c r="J5127" s="9">
        <v>30</v>
      </c>
      <c r="K5127" s="7">
        <v>20</v>
      </c>
      <c r="L5127" s="24">
        <f>+Tabla2[[#This Row],[Stock Inventario]]*Tabla2[[#This Row],[Coste LÃ­nea]]</f>
        <v>59807.727272700002</v>
      </c>
      <c r="M5127" s="24">
        <f>+Tabla2[[#This Row],[Variación Stock]]*Tabla2[[#This Row],[Coste LÃ­nea]]</f>
        <v>39871.818181800001</v>
      </c>
      <c r="N5127" s="22" t="str">
        <f>+IF(Tabla2[[#This Row],[Variación Stock]]&gt;0,"Sobrante",IF(Tabla2[[#This Row],[Variación Stock]]&lt;0,"Faltante","Sin novedad"))</f>
        <v>Sobrante</v>
      </c>
    </row>
    <row r="5128" spans="1:14" x14ac:dyDescent="0.25">
      <c r="A5128" s="11">
        <v>46053</v>
      </c>
      <c r="B5128" s="5" t="s">
        <v>971</v>
      </c>
      <c r="C5128" s="3" t="s">
        <v>284</v>
      </c>
      <c r="D5128" s="5" t="s">
        <v>118</v>
      </c>
      <c r="E5128" s="5" t="s">
        <v>112</v>
      </c>
      <c r="F5128" s="6" t="s">
        <v>298</v>
      </c>
      <c r="G5128" s="4" t="s">
        <v>2</v>
      </c>
      <c r="H5128" s="25">
        <v>63897.666666669997</v>
      </c>
      <c r="I5128" s="8">
        <v>1</v>
      </c>
      <c r="J5128" s="9">
        <v>1</v>
      </c>
      <c r="K5128" s="7">
        <v>0</v>
      </c>
      <c r="L5128" s="24">
        <f>+Tabla2[[#This Row],[Stock Inventario]]*Tabla2[[#This Row],[Coste LÃ­nea]]</f>
        <v>63897.666666669997</v>
      </c>
      <c r="M5128" s="24">
        <f>+Tabla2[[#This Row],[Variación Stock]]*Tabla2[[#This Row],[Coste LÃ­nea]]</f>
        <v>0</v>
      </c>
      <c r="N5128" s="22" t="str">
        <f>+IF(Tabla2[[#This Row],[Variación Stock]]&gt;0,"Sobrante",IF(Tabla2[[#This Row],[Variación Stock]]&lt;0,"Faltante","Sin novedad"))</f>
        <v>Sin novedad</v>
      </c>
    </row>
    <row r="5129" spans="1:14" hidden="1" x14ac:dyDescent="0.25">
      <c r="A5129" s="11">
        <v>46053</v>
      </c>
      <c r="B5129" s="5" t="s">
        <v>971</v>
      </c>
      <c r="C5129" s="3" t="s">
        <v>284</v>
      </c>
      <c r="D5129" s="5" t="s">
        <v>119</v>
      </c>
      <c r="E5129" s="5" t="s">
        <v>117</v>
      </c>
      <c r="F5129" s="6" t="s">
        <v>94</v>
      </c>
      <c r="G5129" s="4" t="s">
        <v>2</v>
      </c>
      <c r="H5129" s="25">
        <v>1500</v>
      </c>
      <c r="I5129" s="8">
        <v>272</v>
      </c>
      <c r="J5129" s="9">
        <v>162</v>
      </c>
      <c r="K5129" s="7">
        <v>-110</v>
      </c>
      <c r="L5129" s="24">
        <f>+Tabla2[[#This Row],[Stock Inventario]]*Tabla2[[#This Row],[Coste LÃ­nea]]</f>
        <v>243000</v>
      </c>
      <c r="M5129" s="24">
        <f>+Tabla2[[#This Row],[Variación Stock]]*Tabla2[[#This Row],[Coste LÃ­nea]]</f>
        <v>-165000</v>
      </c>
      <c r="N5129" s="22" t="str">
        <f>+IF(Tabla2[[#This Row],[Variación Stock]]&gt;0,"Sobrante",IF(Tabla2[[#This Row],[Variación Stock]]&lt;0,"Faltante","Sin novedad"))</f>
        <v>Faltante</v>
      </c>
    </row>
    <row r="5130" spans="1:14" hidden="1" x14ac:dyDescent="0.25">
      <c r="A5130" s="11">
        <v>46053</v>
      </c>
      <c r="B5130" s="5" t="s">
        <v>971</v>
      </c>
      <c r="C5130" s="3" t="s">
        <v>284</v>
      </c>
      <c r="D5130" s="5" t="s">
        <v>471</v>
      </c>
      <c r="E5130" s="5" t="s">
        <v>117</v>
      </c>
      <c r="F5130" s="6" t="s">
        <v>507</v>
      </c>
      <c r="G5130" s="4" t="s">
        <v>1</v>
      </c>
      <c r="H5130" s="25">
        <v>35</v>
      </c>
      <c r="I5130" s="8">
        <v>891</v>
      </c>
      <c r="J5130" s="9">
        <v>96</v>
      </c>
      <c r="K5130" s="7">
        <v>-795</v>
      </c>
      <c r="L5130" s="24">
        <f>+Tabla2[[#This Row],[Stock Inventario]]*Tabla2[[#This Row],[Coste LÃ­nea]]</f>
        <v>3360</v>
      </c>
      <c r="M5130" s="24">
        <f>+Tabla2[[#This Row],[Variación Stock]]*Tabla2[[#This Row],[Coste LÃ­nea]]</f>
        <v>-27825</v>
      </c>
      <c r="N5130" s="22" t="str">
        <f>+IF(Tabla2[[#This Row],[Variación Stock]]&gt;0,"Sobrante",IF(Tabla2[[#This Row],[Variación Stock]]&lt;0,"Faltante","Sin novedad"))</f>
        <v>Faltante</v>
      </c>
    </row>
    <row r="5131" spans="1:14" hidden="1" x14ac:dyDescent="0.25">
      <c r="A5131" s="11">
        <v>46053</v>
      </c>
      <c r="B5131" s="5" t="s">
        <v>971</v>
      </c>
      <c r="C5131" s="3" t="s">
        <v>284</v>
      </c>
      <c r="D5131" s="5" t="s">
        <v>547</v>
      </c>
      <c r="E5131" s="5" t="s">
        <v>117</v>
      </c>
      <c r="F5131" s="6" t="s">
        <v>555</v>
      </c>
      <c r="G5131" s="4" t="s">
        <v>1</v>
      </c>
      <c r="H5131" s="25">
        <v>4.609</v>
      </c>
      <c r="I5131" s="8">
        <v>37070</v>
      </c>
      <c r="J5131" s="9">
        <v>10500</v>
      </c>
      <c r="K5131" s="7">
        <v>-32570</v>
      </c>
      <c r="L5131" s="24">
        <f>+Tabla2[[#This Row],[Stock Inventario]]*Tabla2[[#This Row],[Coste LÃ­nea]]</f>
        <v>48394.5</v>
      </c>
      <c r="M5131" s="24">
        <f>+Tabla2[[#This Row],[Variación Stock]]*Tabla2[[#This Row],[Coste LÃ­nea]]</f>
        <v>-150115.13</v>
      </c>
      <c r="N5131" s="22" t="str">
        <f>+IF(Tabla2[[#This Row],[Variación Stock]]&gt;0,"Sobrante",IF(Tabla2[[#This Row],[Variación Stock]]&lt;0,"Faltante","Sin novedad"))</f>
        <v>Faltante</v>
      </c>
    </row>
    <row r="5132" spans="1:14" hidden="1" x14ac:dyDescent="0.25">
      <c r="A5132" s="11">
        <v>46053</v>
      </c>
      <c r="B5132" s="5" t="s">
        <v>971</v>
      </c>
      <c r="C5132" s="3" t="s">
        <v>284</v>
      </c>
      <c r="D5132" s="5" t="s">
        <v>471</v>
      </c>
      <c r="E5132" s="5" t="s">
        <v>117</v>
      </c>
      <c r="F5132" s="6" t="s">
        <v>508</v>
      </c>
      <c r="G5132" s="4" t="s">
        <v>1</v>
      </c>
      <c r="H5132" s="25">
        <v>3.6</v>
      </c>
      <c r="I5132" s="8">
        <v>-1380</v>
      </c>
      <c r="J5132" s="9">
        <v>0</v>
      </c>
      <c r="K5132" s="7">
        <v>1380</v>
      </c>
      <c r="L5132" s="24">
        <f>+Tabla2[[#This Row],[Stock Inventario]]*Tabla2[[#This Row],[Coste LÃ­nea]]</f>
        <v>0</v>
      </c>
      <c r="M5132" s="24">
        <f>+Tabla2[[#This Row],[Variación Stock]]*Tabla2[[#This Row],[Coste LÃ­nea]]</f>
        <v>4968</v>
      </c>
      <c r="N5132" s="22" t="str">
        <f>+IF(Tabla2[[#This Row],[Variación Stock]]&gt;0,"Sobrante",IF(Tabla2[[#This Row],[Variación Stock]]&lt;0,"Faltante","Sin novedad"))</f>
        <v>Sobrante</v>
      </c>
    </row>
    <row r="5133" spans="1:14" x14ac:dyDescent="0.25">
      <c r="A5133" s="11">
        <v>46053</v>
      </c>
      <c r="B5133" s="5" t="s">
        <v>971</v>
      </c>
      <c r="C5133" s="3" t="s">
        <v>284</v>
      </c>
      <c r="D5133" s="5" t="s">
        <v>114</v>
      </c>
      <c r="E5133" s="5" t="s">
        <v>112</v>
      </c>
      <c r="F5133" s="6" t="s">
        <v>146</v>
      </c>
      <c r="G5133" s="4" t="s">
        <v>2</v>
      </c>
      <c r="H5133" s="25">
        <v>4900</v>
      </c>
      <c r="I5133" s="8">
        <v>0</v>
      </c>
      <c r="J5133" s="9">
        <v>0</v>
      </c>
      <c r="K5133" s="7">
        <v>0</v>
      </c>
      <c r="L5133" s="24">
        <f>+Tabla2[[#This Row],[Stock Inventario]]*Tabla2[[#This Row],[Coste LÃ­nea]]</f>
        <v>0</v>
      </c>
      <c r="M5133" s="24">
        <f>+Tabla2[[#This Row],[Variación Stock]]*Tabla2[[#This Row],[Coste LÃ­nea]]</f>
        <v>0</v>
      </c>
      <c r="N5133" s="22" t="str">
        <f>+IF(Tabla2[[#This Row],[Variación Stock]]&gt;0,"Sobrante",IF(Tabla2[[#This Row],[Variación Stock]]&lt;0,"Faltante","Sin novedad"))</f>
        <v>Sin novedad</v>
      </c>
    </row>
    <row r="5134" spans="1:14" x14ac:dyDescent="0.25">
      <c r="A5134" s="11">
        <v>46053</v>
      </c>
      <c r="B5134" s="5" t="s">
        <v>971</v>
      </c>
      <c r="C5134" s="3" t="s">
        <v>284</v>
      </c>
      <c r="D5134" s="5" t="s">
        <v>111</v>
      </c>
      <c r="E5134" s="5" t="s">
        <v>112</v>
      </c>
      <c r="F5134" s="6" t="s">
        <v>25</v>
      </c>
      <c r="G5134" s="4" t="s">
        <v>0</v>
      </c>
      <c r="H5134" s="25">
        <v>6549</v>
      </c>
      <c r="I5134" s="8">
        <v>21.38</v>
      </c>
      <c r="J5134" s="9">
        <v>23</v>
      </c>
      <c r="K5134" s="7">
        <v>1.62</v>
      </c>
      <c r="L5134" s="24">
        <f>+Tabla2[[#This Row],[Stock Inventario]]*Tabla2[[#This Row],[Coste LÃ­nea]]</f>
        <v>150627</v>
      </c>
      <c r="M5134" s="24">
        <f>+Tabla2[[#This Row],[Variación Stock]]*Tabla2[[#This Row],[Coste LÃ­nea]]</f>
        <v>10609.380000000001</v>
      </c>
      <c r="N5134" s="22" t="str">
        <f>+IF(Tabla2[[#This Row],[Variación Stock]]&gt;0,"Sobrante",IF(Tabla2[[#This Row],[Variación Stock]]&lt;0,"Faltante","Sin novedad"))</f>
        <v>Sobrante</v>
      </c>
    </row>
    <row r="5135" spans="1:14" hidden="1" x14ac:dyDescent="0.25">
      <c r="A5135" s="11">
        <v>46053</v>
      </c>
      <c r="B5135" s="5" t="s">
        <v>971</v>
      </c>
      <c r="C5135" s="3" t="s">
        <v>284</v>
      </c>
      <c r="D5135" s="5" t="s">
        <v>471</v>
      </c>
      <c r="E5135" s="5" t="s">
        <v>117</v>
      </c>
      <c r="F5135" s="6" t="s">
        <v>509</v>
      </c>
      <c r="G5135" s="4" t="s">
        <v>1</v>
      </c>
      <c r="H5135" s="25">
        <v>5.2</v>
      </c>
      <c r="I5135" s="8">
        <v>0</v>
      </c>
      <c r="J5135" s="9">
        <v>0</v>
      </c>
      <c r="K5135" s="7">
        <v>0</v>
      </c>
      <c r="L5135" s="24">
        <f>+Tabla2[[#This Row],[Stock Inventario]]*Tabla2[[#This Row],[Coste LÃ­nea]]</f>
        <v>0</v>
      </c>
      <c r="M5135" s="24">
        <f>+Tabla2[[#This Row],[Variación Stock]]*Tabla2[[#This Row],[Coste LÃ­nea]]</f>
        <v>0</v>
      </c>
      <c r="N5135" s="22" t="str">
        <f>+IF(Tabla2[[#This Row],[Variación Stock]]&gt;0,"Sobrante",IF(Tabla2[[#This Row],[Variación Stock]]&lt;0,"Faltante","Sin novedad"))</f>
        <v>Sin novedad</v>
      </c>
    </row>
    <row r="5136" spans="1:14" x14ac:dyDescent="0.25">
      <c r="A5136" s="11">
        <v>46053</v>
      </c>
      <c r="B5136" s="5" t="s">
        <v>971</v>
      </c>
      <c r="C5136" s="3" t="s">
        <v>284</v>
      </c>
      <c r="D5136" s="5" t="s">
        <v>603</v>
      </c>
      <c r="E5136" s="5" t="s">
        <v>112</v>
      </c>
      <c r="F5136" s="6" t="s">
        <v>625</v>
      </c>
      <c r="G5136" s="4" t="s">
        <v>1</v>
      </c>
      <c r="H5136" s="25">
        <v>4.5</v>
      </c>
      <c r="I5136" s="8">
        <v>234250.0001</v>
      </c>
      <c r="J5136" s="9">
        <v>20000</v>
      </c>
      <c r="K5136" s="7">
        <v>-234250.00005999999</v>
      </c>
      <c r="L5136" s="24">
        <f>+Tabla2[[#This Row],[Stock Inventario]]*Tabla2[[#This Row],[Coste LÃ­nea]]</f>
        <v>90000</v>
      </c>
      <c r="M5136" s="24">
        <f>+Tabla2[[#This Row],[Variación Stock]]*Tabla2[[#This Row],[Coste LÃ­nea]]</f>
        <v>-1054125.00027</v>
      </c>
      <c r="N5136" s="22" t="str">
        <f>+IF(Tabla2[[#This Row],[Variación Stock]]&gt;0,"Sobrante",IF(Tabla2[[#This Row],[Variación Stock]]&lt;0,"Faltante","Sin novedad"))</f>
        <v>Faltante</v>
      </c>
    </row>
    <row r="5137" spans="1:14" hidden="1" x14ac:dyDescent="0.25">
      <c r="A5137" s="11">
        <v>46053</v>
      </c>
      <c r="B5137" s="5" t="s">
        <v>971</v>
      </c>
      <c r="C5137" s="3" t="s">
        <v>284</v>
      </c>
      <c r="D5137" s="5" t="s">
        <v>471</v>
      </c>
      <c r="E5137" s="5" t="s">
        <v>117</v>
      </c>
      <c r="F5137" s="6" t="s">
        <v>544</v>
      </c>
      <c r="G5137" s="4" t="s">
        <v>1</v>
      </c>
      <c r="H5137" s="25">
        <v>4.5</v>
      </c>
      <c r="I5137" s="8">
        <v>127850.22689999999</v>
      </c>
      <c r="J5137" s="9">
        <v>21162</v>
      </c>
      <c r="K5137" s="7">
        <v>-106688.22686</v>
      </c>
      <c r="L5137" s="24">
        <f>+Tabla2[[#This Row],[Stock Inventario]]*Tabla2[[#This Row],[Coste LÃ­nea]]</f>
        <v>95229</v>
      </c>
      <c r="M5137" s="24">
        <f>+Tabla2[[#This Row],[Variación Stock]]*Tabla2[[#This Row],[Coste LÃ­nea]]</f>
        <v>-480097.02087000001</v>
      </c>
      <c r="N5137" s="22" t="str">
        <f>+IF(Tabla2[[#This Row],[Variación Stock]]&gt;0,"Sobrante",IF(Tabla2[[#This Row],[Variación Stock]]&lt;0,"Faltante","Sin novedad"))</f>
        <v>Faltante</v>
      </c>
    </row>
    <row r="5138" spans="1:14" hidden="1" x14ac:dyDescent="0.25">
      <c r="A5138" s="11">
        <v>46053</v>
      </c>
      <c r="B5138" s="5" t="s">
        <v>971</v>
      </c>
      <c r="C5138" s="3" t="s">
        <v>284</v>
      </c>
      <c r="D5138" s="5" t="s">
        <v>471</v>
      </c>
      <c r="E5138" s="5" t="s">
        <v>117</v>
      </c>
      <c r="F5138" s="6" t="s">
        <v>510</v>
      </c>
      <c r="G5138" s="4" t="s">
        <v>1</v>
      </c>
      <c r="H5138" s="25">
        <v>6</v>
      </c>
      <c r="I5138" s="8">
        <v>0</v>
      </c>
      <c r="J5138" s="9">
        <v>0</v>
      </c>
      <c r="K5138" s="7">
        <v>0</v>
      </c>
      <c r="L5138" s="24">
        <f>+Tabla2[[#This Row],[Stock Inventario]]*Tabla2[[#This Row],[Coste LÃ­nea]]</f>
        <v>0</v>
      </c>
      <c r="M5138" s="24">
        <f>+Tabla2[[#This Row],[Variación Stock]]*Tabla2[[#This Row],[Coste LÃ­nea]]</f>
        <v>0</v>
      </c>
      <c r="N5138" s="22" t="str">
        <f>+IF(Tabla2[[#This Row],[Variación Stock]]&gt;0,"Sobrante",IF(Tabla2[[#This Row],[Variación Stock]]&lt;0,"Faltante","Sin novedad"))</f>
        <v>Sin novedad</v>
      </c>
    </row>
    <row r="5139" spans="1:14" hidden="1" x14ac:dyDescent="0.25">
      <c r="A5139" s="11">
        <v>46053</v>
      </c>
      <c r="B5139" s="5" t="s">
        <v>971</v>
      </c>
      <c r="C5139" s="3" t="s">
        <v>284</v>
      </c>
      <c r="D5139" s="5" t="s">
        <v>626</v>
      </c>
      <c r="E5139" s="5" t="s">
        <v>1079</v>
      </c>
      <c r="F5139" s="6" t="s">
        <v>659</v>
      </c>
      <c r="G5139" s="4" t="s">
        <v>2</v>
      </c>
      <c r="H5139" s="25">
        <v>48438</v>
      </c>
      <c r="I5139" s="8">
        <v>1</v>
      </c>
      <c r="J5139" s="9">
        <v>1</v>
      </c>
      <c r="K5139" s="7">
        <v>0</v>
      </c>
      <c r="L5139" s="24">
        <f>+Tabla2[[#This Row],[Stock Inventario]]*Tabla2[[#This Row],[Coste LÃ­nea]]</f>
        <v>48438</v>
      </c>
      <c r="M5139" s="24">
        <f>+Tabla2[[#This Row],[Variación Stock]]*Tabla2[[#This Row],[Coste LÃ­nea]]</f>
        <v>0</v>
      </c>
      <c r="N5139" s="22" t="str">
        <f>+IF(Tabla2[[#This Row],[Variación Stock]]&gt;0,"Sobrante",IF(Tabla2[[#This Row],[Variación Stock]]&lt;0,"Faltante","Sin novedad"))</f>
        <v>Sin novedad</v>
      </c>
    </row>
    <row r="5140" spans="1:14" hidden="1" x14ac:dyDescent="0.25">
      <c r="A5140" s="11">
        <v>46053</v>
      </c>
      <c r="B5140" s="5" t="s">
        <v>971</v>
      </c>
      <c r="C5140" s="3" t="s">
        <v>284</v>
      </c>
      <c r="D5140" s="5" t="s">
        <v>626</v>
      </c>
      <c r="E5140" s="5" t="s">
        <v>1079</v>
      </c>
      <c r="F5140" s="6" t="s">
        <v>673</v>
      </c>
      <c r="G5140" s="4" t="s">
        <v>2</v>
      </c>
      <c r="H5140" s="25">
        <v>14013</v>
      </c>
      <c r="I5140" s="8">
        <v>1500</v>
      </c>
      <c r="J5140" s="9">
        <v>0</v>
      </c>
      <c r="K5140" s="7">
        <v>-1500</v>
      </c>
      <c r="L5140" s="24">
        <f>+Tabla2[[#This Row],[Stock Inventario]]*Tabla2[[#This Row],[Coste LÃ­nea]]</f>
        <v>0</v>
      </c>
      <c r="M5140" s="24">
        <f>+Tabla2[[#This Row],[Variación Stock]]*Tabla2[[#This Row],[Coste LÃ­nea]]</f>
        <v>-21019500</v>
      </c>
      <c r="N5140" s="22" t="str">
        <f>+IF(Tabla2[[#This Row],[Variación Stock]]&gt;0,"Sobrante",IF(Tabla2[[#This Row],[Variación Stock]]&lt;0,"Faltante","Sin novedad"))</f>
        <v>Faltante</v>
      </c>
    </row>
    <row r="5141" spans="1:14" hidden="1" x14ac:dyDescent="0.25">
      <c r="A5141" s="11">
        <v>46053</v>
      </c>
      <c r="B5141" s="5" t="s">
        <v>971</v>
      </c>
      <c r="C5141" s="3" t="s">
        <v>284</v>
      </c>
      <c r="D5141" s="5" t="s">
        <v>626</v>
      </c>
      <c r="E5141" s="5" t="s">
        <v>1079</v>
      </c>
      <c r="F5141" s="6" t="s">
        <v>660</v>
      </c>
      <c r="G5141" s="4" t="s">
        <v>2</v>
      </c>
      <c r="H5141" s="25">
        <v>49574.75</v>
      </c>
      <c r="I5141" s="8">
        <v>10</v>
      </c>
      <c r="J5141" s="9">
        <v>1</v>
      </c>
      <c r="K5141" s="7">
        <v>-9</v>
      </c>
      <c r="L5141" s="24">
        <f>+Tabla2[[#This Row],[Stock Inventario]]*Tabla2[[#This Row],[Coste LÃ­nea]]</f>
        <v>49574.75</v>
      </c>
      <c r="M5141" s="24">
        <f>+Tabla2[[#This Row],[Variación Stock]]*Tabla2[[#This Row],[Coste LÃ­nea]]</f>
        <v>-446172.75</v>
      </c>
      <c r="N5141" s="22" t="str">
        <f>+IF(Tabla2[[#This Row],[Variación Stock]]&gt;0,"Sobrante",IF(Tabla2[[#This Row],[Variación Stock]]&lt;0,"Faltante","Sin novedad"))</f>
        <v>Faltante</v>
      </c>
    </row>
    <row r="5142" spans="1:14" hidden="1" x14ac:dyDescent="0.25">
      <c r="A5142" s="11">
        <v>46053</v>
      </c>
      <c r="B5142" s="5" t="s">
        <v>971</v>
      </c>
      <c r="C5142" s="3" t="s">
        <v>284</v>
      </c>
      <c r="D5142" s="5" t="s">
        <v>626</v>
      </c>
      <c r="E5142" s="5" t="s">
        <v>1079</v>
      </c>
      <c r="F5142" s="6" t="s">
        <v>661</v>
      </c>
      <c r="G5142" s="4" t="s">
        <v>2</v>
      </c>
      <c r="H5142" s="25">
        <v>83812</v>
      </c>
      <c r="I5142" s="8">
        <v>0</v>
      </c>
      <c r="J5142" s="9">
        <v>3</v>
      </c>
      <c r="K5142" s="7">
        <v>3</v>
      </c>
      <c r="L5142" s="24">
        <f>+Tabla2[[#This Row],[Stock Inventario]]*Tabla2[[#This Row],[Coste LÃ­nea]]</f>
        <v>251436</v>
      </c>
      <c r="M5142" s="24">
        <f>+Tabla2[[#This Row],[Variación Stock]]*Tabla2[[#This Row],[Coste LÃ­nea]]</f>
        <v>251436</v>
      </c>
      <c r="N5142" s="22" t="str">
        <f>+IF(Tabla2[[#This Row],[Variación Stock]]&gt;0,"Sobrante",IF(Tabla2[[#This Row],[Variación Stock]]&lt;0,"Faltante","Sin novedad"))</f>
        <v>Sobrante</v>
      </c>
    </row>
    <row r="5143" spans="1:14" hidden="1" x14ac:dyDescent="0.25">
      <c r="A5143" s="11">
        <v>46053</v>
      </c>
      <c r="B5143" s="5" t="s">
        <v>971</v>
      </c>
      <c r="C5143" s="3" t="s">
        <v>284</v>
      </c>
      <c r="D5143" s="5" t="s">
        <v>471</v>
      </c>
      <c r="E5143" s="5" t="s">
        <v>117</v>
      </c>
      <c r="F5143" s="6" t="s">
        <v>511</v>
      </c>
      <c r="G5143" s="4" t="s">
        <v>1</v>
      </c>
      <c r="H5143" s="25">
        <v>6.5</v>
      </c>
      <c r="I5143" s="8">
        <v>0</v>
      </c>
      <c r="J5143" s="9">
        <v>0</v>
      </c>
      <c r="K5143" s="7">
        <v>0</v>
      </c>
      <c r="L5143" s="24">
        <f>+Tabla2[[#This Row],[Stock Inventario]]*Tabla2[[#This Row],[Coste LÃ­nea]]</f>
        <v>0</v>
      </c>
      <c r="M5143" s="24">
        <f>+Tabla2[[#This Row],[Variación Stock]]*Tabla2[[#This Row],[Coste LÃ­nea]]</f>
        <v>0</v>
      </c>
      <c r="N5143" s="22" t="str">
        <f>+IF(Tabla2[[#This Row],[Variación Stock]]&gt;0,"Sobrante",IF(Tabla2[[#This Row],[Variación Stock]]&lt;0,"Faltante","Sin novedad"))</f>
        <v>Sin novedad</v>
      </c>
    </row>
    <row r="5144" spans="1:14" hidden="1" x14ac:dyDescent="0.25">
      <c r="A5144" s="11">
        <v>46053</v>
      </c>
      <c r="B5144" s="5" t="s">
        <v>971</v>
      </c>
      <c r="C5144" s="3" t="s">
        <v>284</v>
      </c>
      <c r="D5144" s="5" t="s">
        <v>818</v>
      </c>
      <c r="E5144" s="5" t="s">
        <v>117</v>
      </c>
      <c r="F5144" s="6" t="s">
        <v>823</v>
      </c>
      <c r="G5144" s="4" t="s">
        <v>1</v>
      </c>
      <c r="H5144" s="25">
        <v>47.895873020000003</v>
      </c>
      <c r="I5144" s="8">
        <v>1670</v>
      </c>
      <c r="J5144" s="9">
        <v>0</v>
      </c>
      <c r="K5144" s="7">
        <v>-1670</v>
      </c>
      <c r="L5144" s="24">
        <f>+Tabla2[[#This Row],[Stock Inventario]]*Tabla2[[#This Row],[Coste LÃ­nea]]</f>
        <v>0</v>
      </c>
      <c r="M5144" s="24">
        <f>+Tabla2[[#This Row],[Variación Stock]]*Tabla2[[#This Row],[Coste LÃ­nea]]</f>
        <v>-79986.107943399998</v>
      </c>
      <c r="N5144" s="22" t="str">
        <f>+IF(Tabla2[[#This Row],[Variación Stock]]&gt;0,"Sobrante",IF(Tabla2[[#This Row],[Variación Stock]]&lt;0,"Faltante","Sin novedad"))</f>
        <v>Faltante</v>
      </c>
    </row>
    <row r="5145" spans="1:14" hidden="1" x14ac:dyDescent="0.25">
      <c r="A5145" s="11">
        <v>46053</v>
      </c>
      <c r="B5145" s="5" t="s">
        <v>971</v>
      </c>
      <c r="C5145" s="3" t="s">
        <v>284</v>
      </c>
      <c r="D5145" s="5" t="s">
        <v>396</v>
      </c>
      <c r="E5145" s="5" t="s">
        <v>117</v>
      </c>
      <c r="F5145" s="6" t="s">
        <v>401</v>
      </c>
      <c r="G5145" s="4" t="s">
        <v>1</v>
      </c>
      <c r="H5145" s="25">
        <v>15</v>
      </c>
      <c r="I5145" s="8">
        <v>7353</v>
      </c>
      <c r="J5145" s="9">
        <v>7348</v>
      </c>
      <c r="K5145" s="7">
        <v>-5</v>
      </c>
      <c r="L5145" s="24">
        <f>+Tabla2[[#This Row],[Stock Inventario]]*Tabla2[[#This Row],[Coste LÃ­nea]]</f>
        <v>110220</v>
      </c>
      <c r="M5145" s="24">
        <f>+Tabla2[[#This Row],[Variación Stock]]*Tabla2[[#This Row],[Coste LÃ­nea]]</f>
        <v>-75</v>
      </c>
      <c r="N5145" s="22" t="str">
        <f>+IF(Tabla2[[#This Row],[Variación Stock]]&gt;0,"Sobrante",IF(Tabla2[[#This Row],[Variación Stock]]&lt;0,"Faltante","Sin novedad"))</f>
        <v>Faltante</v>
      </c>
    </row>
    <row r="5146" spans="1:14" hidden="1" x14ac:dyDescent="0.25">
      <c r="A5146" s="11">
        <v>46053</v>
      </c>
      <c r="B5146" s="5" t="s">
        <v>971</v>
      </c>
      <c r="C5146" s="3" t="s">
        <v>284</v>
      </c>
      <c r="D5146" s="5" t="s">
        <v>396</v>
      </c>
      <c r="E5146" s="5" t="s">
        <v>117</v>
      </c>
      <c r="F5146" s="6" t="s">
        <v>439</v>
      </c>
      <c r="G5146" s="4" t="s">
        <v>1</v>
      </c>
      <c r="H5146" s="25">
        <v>21.75438596</v>
      </c>
      <c r="I5146" s="8">
        <v>3596</v>
      </c>
      <c r="J5146" s="9">
        <v>1995</v>
      </c>
      <c r="K5146" s="7">
        <v>-3026</v>
      </c>
      <c r="L5146" s="24">
        <f>+Tabla2[[#This Row],[Stock Inventario]]*Tabla2[[#This Row],[Coste LÃ­nea]]</f>
        <v>43399.999990199998</v>
      </c>
      <c r="M5146" s="24">
        <f>+Tabla2[[#This Row],[Variación Stock]]*Tabla2[[#This Row],[Coste LÃ­nea]]</f>
        <v>-65828.771914960002</v>
      </c>
      <c r="N5146" s="22" t="str">
        <f>+IF(Tabla2[[#This Row],[Variación Stock]]&gt;0,"Sobrante",IF(Tabla2[[#This Row],[Variación Stock]]&lt;0,"Faltante","Sin novedad"))</f>
        <v>Faltante</v>
      </c>
    </row>
    <row r="5147" spans="1:14" hidden="1" x14ac:dyDescent="0.25">
      <c r="A5147" s="11">
        <v>46053</v>
      </c>
      <c r="B5147" s="5" t="s">
        <v>971</v>
      </c>
      <c r="C5147" s="3" t="s">
        <v>284</v>
      </c>
      <c r="D5147" s="5" t="s">
        <v>396</v>
      </c>
      <c r="E5147" s="5" t="s">
        <v>117</v>
      </c>
      <c r="F5147" s="6" t="s">
        <v>440</v>
      </c>
      <c r="G5147" s="4" t="s">
        <v>1</v>
      </c>
      <c r="H5147" s="25">
        <v>20.079999999999998</v>
      </c>
      <c r="I5147" s="8">
        <v>820</v>
      </c>
      <c r="J5147" s="9">
        <v>720</v>
      </c>
      <c r="K5147" s="7">
        <v>-100</v>
      </c>
      <c r="L5147" s="24">
        <f>+Tabla2[[#This Row],[Stock Inventario]]*Tabla2[[#This Row],[Coste LÃ­nea]]</f>
        <v>14457.599999999999</v>
      </c>
      <c r="M5147" s="24">
        <f>+Tabla2[[#This Row],[Variación Stock]]*Tabla2[[#This Row],[Coste LÃ­nea]]</f>
        <v>-2007.9999999999998</v>
      </c>
      <c r="N5147" s="22" t="str">
        <f>+IF(Tabla2[[#This Row],[Variación Stock]]&gt;0,"Sobrante",IF(Tabla2[[#This Row],[Variación Stock]]&lt;0,"Faltante","Sin novedad"))</f>
        <v>Faltante</v>
      </c>
    </row>
    <row r="5148" spans="1:14" x14ac:dyDescent="0.25">
      <c r="A5148" s="11">
        <v>46053</v>
      </c>
      <c r="B5148" s="5" t="s">
        <v>971</v>
      </c>
      <c r="C5148" s="3" t="s">
        <v>284</v>
      </c>
      <c r="D5148" s="5" t="s">
        <v>122</v>
      </c>
      <c r="E5148" s="5" t="s">
        <v>112</v>
      </c>
      <c r="F5148" s="6" t="s">
        <v>97</v>
      </c>
      <c r="G5148" s="4" t="s">
        <v>2</v>
      </c>
      <c r="H5148" s="25">
        <v>1234.3916666699999</v>
      </c>
      <c r="I5148" s="8">
        <v>48</v>
      </c>
      <c r="J5148" s="9">
        <v>48</v>
      </c>
      <c r="K5148" s="7">
        <v>0</v>
      </c>
      <c r="L5148" s="24">
        <f>+Tabla2[[#This Row],[Stock Inventario]]*Tabla2[[#This Row],[Coste LÃ­nea]]</f>
        <v>59250.800000160001</v>
      </c>
      <c r="M5148" s="24">
        <f>+Tabla2[[#This Row],[Variación Stock]]*Tabla2[[#This Row],[Coste LÃ­nea]]</f>
        <v>0</v>
      </c>
      <c r="N5148" s="22" t="str">
        <f>+IF(Tabla2[[#This Row],[Variación Stock]]&gt;0,"Sobrante",IF(Tabla2[[#This Row],[Variación Stock]]&lt;0,"Faltante","Sin novedad"))</f>
        <v>Sin novedad</v>
      </c>
    </row>
    <row r="5149" spans="1:14" x14ac:dyDescent="0.25">
      <c r="A5149" s="11">
        <v>46053</v>
      </c>
      <c r="B5149" s="5" t="s">
        <v>971</v>
      </c>
      <c r="C5149" s="3" t="s">
        <v>284</v>
      </c>
      <c r="D5149" s="5" t="s">
        <v>122</v>
      </c>
      <c r="E5149" s="5" t="s">
        <v>112</v>
      </c>
      <c r="F5149" s="6" t="s">
        <v>98</v>
      </c>
      <c r="G5149" s="4" t="s">
        <v>2</v>
      </c>
      <c r="H5149" s="25">
        <v>1654.21666667</v>
      </c>
      <c r="I5149" s="8">
        <v>59</v>
      </c>
      <c r="J5149" s="9">
        <v>60</v>
      </c>
      <c r="K5149" s="7">
        <v>1</v>
      </c>
      <c r="L5149" s="24">
        <f>+Tabla2[[#This Row],[Stock Inventario]]*Tabla2[[#This Row],[Coste LÃ­nea]]</f>
        <v>99253.000000200002</v>
      </c>
      <c r="M5149" s="24">
        <f>+Tabla2[[#This Row],[Variación Stock]]*Tabla2[[#This Row],[Coste LÃ­nea]]</f>
        <v>1654.21666667</v>
      </c>
      <c r="N5149" s="22" t="str">
        <f>+IF(Tabla2[[#This Row],[Variación Stock]]&gt;0,"Sobrante",IF(Tabla2[[#This Row],[Variación Stock]]&lt;0,"Faltante","Sin novedad"))</f>
        <v>Sobrante</v>
      </c>
    </row>
    <row r="5150" spans="1:14" x14ac:dyDescent="0.25">
      <c r="A5150" s="11">
        <v>46053</v>
      </c>
      <c r="B5150" s="5" t="s">
        <v>971</v>
      </c>
      <c r="C5150" s="3" t="s">
        <v>284</v>
      </c>
      <c r="D5150" s="5" t="s">
        <v>603</v>
      </c>
      <c r="E5150" s="5" t="s">
        <v>112</v>
      </c>
      <c r="F5150" s="6" t="s">
        <v>608</v>
      </c>
      <c r="G5150" s="4" t="s">
        <v>2</v>
      </c>
      <c r="H5150" s="25">
        <v>2571.4285714299999</v>
      </c>
      <c r="I5150" s="8">
        <v>1</v>
      </c>
      <c r="J5150" s="9">
        <v>18</v>
      </c>
      <c r="K5150" s="7">
        <v>-4</v>
      </c>
      <c r="L5150" s="24">
        <f>+Tabla2[[#This Row],[Stock Inventario]]*Tabla2[[#This Row],[Coste LÃ­nea]]</f>
        <v>46285.714285739996</v>
      </c>
      <c r="M5150" s="24">
        <f>+Tabla2[[#This Row],[Variación Stock]]*Tabla2[[#This Row],[Coste LÃ­nea]]</f>
        <v>-10285.71428572</v>
      </c>
      <c r="N5150" s="22" t="str">
        <f>+IF(Tabla2[[#This Row],[Variación Stock]]&gt;0,"Sobrante",IF(Tabla2[[#This Row],[Variación Stock]]&lt;0,"Faltante","Sin novedad"))</f>
        <v>Faltante</v>
      </c>
    </row>
    <row r="5151" spans="1:14" hidden="1" x14ac:dyDescent="0.25">
      <c r="A5151" s="11">
        <v>46053</v>
      </c>
      <c r="B5151" s="5" t="s">
        <v>971</v>
      </c>
      <c r="C5151" s="3" t="s">
        <v>284</v>
      </c>
      <c r="D5151" s="5" t="s">
        <v>471</v>
      </c>
      <c r="E5151" s="5" t="s">
        <v>117</v>
      </c>
      <c r="F5151" s="6" t="s">
        <v>512</v>
      </c>
      <c r="G5151" s="4" t="s">
        <v>1</v>
      </c>
      <c r="H5151" s="25">
        <v>8.6</v>
      </c>
      <c r="I5151" s="8">
        <v>0</v>
      </c>
      <c r="J5151" s="9">
        <v>0</v>
      </c>
      <c r="K5151" s="7">
        <v>0</v>
      </c>
      <c r="L5151" s="24">
        <f>+Tabla2[[#This Row],[Stock Inventario]]*Tabla2[[#This Row],[Coste LÃ­nea]]</f>
        <v>0</v>
      </c>
      <c r="M5151" s="24">
        <f>+Tabla2[[#This Row],[Variación Stock]]*Tabla2[[#This Row],[Coste LÃ­nea]]</f>
        <v>0</v>
      </c>
      <c r="N5151" s="22" t="str">
        <f>+IF(Tabla2[[#This Row],[Variación Stock]]&gt;0,"Sobrante",IF(Tabla2[[#This Row],[Variación Stock]]&lt;0,"Faltante","Sin novedad"))</f>
        <v>Sin novedad</v>
      </c>
    </row>
    <row r="5152" spans="1:14" hidden="1" x14ac:dyDescent="0.25">
      <c r="A5152" s="11">
        <v>46053</v>
      </c>
      <c r="B5152" s="5" t="s">
        <v>971</v>
      </c>
      <c r="C5152" s="3" t="s">
        <v>284</v>
      </c>
      <c r="D5152" s="5" t="s">
        <v>559</v>
      </c>
      <c r="E5152" s="5" t="s">
        <v>1080</v>
      </c>
      <c r="F5152" s="6" t="s">
        <v>567</v>
      </c>
      <c r="G5152" s="4" t="s">
        <v>2</v>
      </c>
      <c r="H5152" s="25">
        <v>2203.4</v>
      </c>
      <c r="I5152" s="8">
        <v>0</v>
      </c>
      <c r="J5152" s="9">
        <v>44</v>
      </c>
      <c r="K5152" s="7">
        <v>44</v>
      </c>
      <c r="L5152" s="24">
        <f>+Tabla2[[#This Row],[Stock Inventario]]*Tabla2[[#This Row],[Coste LÃ­nea]]</f>
        <v>96949.6</v>
      </c>
      <c r="M5152" s="24">
        <f>+Tabla2[[#This Row],[Variación Stock]]*Tabla2[[#This Row],[Coste LÃ­nea]]</f>
        <v>96949.6</v>
      </c>
      <c r="N5152" s="22" t="str">
        <f>+IF(Tabla2[[#This Row],[Variación Stock]]&gt;0,"Sobrante",IF(Tabla2[[#This Row],[Variación Stock]]&lt;0,"Faltante","Sin novedad"))</f>
        <v>Sobrante</v>
      </c>
    </row>
    <row r="5153" spans="1:14" hidden="1" x14ac:dyDescent="0.25">
      <c r="A5153" s="11">
        <v>46053</v>
      </c>
      <c r="B5153" s="5" t="s">
        <v>971</v>
      </c>
      <c r="C5153" s="3" t="s">
        <v>284</v>
      </c>
      <c r="D5153" s="5" t="s">
        <v>471</v>
      </c>
      <c r="E5153" s="5" t="s">
        <v>117</v>
      </c>
      <c r="F5153" s="6" t="s">
        <v>513</v>
      </c>
      <c r="G5153" s="4" t="s">
        <v>1</v>
      </c>
      <c r="H5153" s="25">
        <v>3.8</v>
      </c>
      <c r="I5153" s="8">
        <v>17960.000100000001</v>
      </c>
      <c r="J5153" s="9">
        <v>1305</v>
      </c>
      <c r="K5153" s="7">
        <v>-17855.000080000002</v>
      </c>
      <c r="L5153" s="24">
        <f>+Tabla2[[#This Row],[Stock Inventario]]*Tabla2[[#This Row],[Coste LÃ­nea]]</f>
        <v>4959</v>
      </c>
      <c r="M5153" s="24">
        <f>+Tabla2[[#This Row],[Variación Stock]]*Tabla2[[#This Row],[Coste LÃ­nea]]</f>
        <v>-67849.000304000001</v>
      </c>
      <c r="N5153" s="22" t="str">
        <f>+IF(Tabla2[[#This Row],[Variación Stock]]&gt;0,"Sobrante",IF(Tabla2[[#This Row],[Variación Stock]]&lt;0,"Faltante","Sin novedad"))</f>
        <v>Faltante</v>
      </c>
    </row>
    <row r="5154" spans="1:14" x14ac:dyDescent="0.25">
      <c r="A5154" s="11">
        <v>46053</v>
      </c>
      <c r="B5154" s="5" t="s">
        <v>971</v>
      </c>
      <c r="C5154" s="3" t="s">
        <v>284</v>
      </c>
      <c r="D5154" s="5" t="s">
        <v>603</v>
      </c>
      <c r="E5154" s="5" t="s">
        <v>112</v>
      </c>
      <c r="F5154" s="6" t="s">
        <v>619</v>
      </c>
      <c r="G5154" s="4" t="s">
        <v>1</v>
      </c>
      <c r="H5154" s="25">
        <v>3.8</v>
      </c>
      <c r="I5154" s="8">
        <v>4580</v>
      </c>
      <c r="J5154" s="9">
        <v>1568</v>
      </c>
      <c r="K5154" s="7">
        <v>-3012.0000239999999</v>
      </c>
      <c r="L5154" s="24">
        <f>+Tabla2[[#This Row],[Stock Inventario]]*Tabla2[[#This Row],[Coste LÃ­nea]]</f>
        <v>5958.4</v>
      </c>
      <c r="M5154" s="24">
        <f>+Tabla2[[#This Row],[Variación Stock]]*Tabla2[[#This Row],[Coste LÃ­nea]]</f>
        <v>-11445.6000912</v>
      </c>
      <c r="N5154" s="22" t="str">
        <f>+IF(Tabla2[[#This Row],[Variación Stock]]&gt;0,"Sobrante",IF(Tabla2[[#This Row],[Variación Stock]]&lt;0,"Faltante","Sin novedad"))</f>
        <v>Faltante</v>
      </c>
    </row>
    <row r="5155" spans="1:14" hidden="1" x14ac:dyDescent="0.25">
      <c r="A5155" s="11">
        <v>46053</v>
      </c>
      <c r="B5155" s="5" t="s">
        <v>971</v>
      </c>
      <c r="C5155" s="3" t="s">
        <v>284</v>
      </c>
      <c r="D5155" s="5" t="s">
        <v>396</v>
      </c>
      <c r="E5155" s="5" t="s">
        <v>117</v>
      </c>
      <c r="F5155" s="6" t="s">
        <v>413</v>
      </c>
      <c r="G5155" s="4" t="s">
        <v>1</v>
      </c>
      <c r="H5155" s="25">
        <v>21.08</v>
      </c>
      <c r="I5155" s="8">
        <v>2250</v>
      </c>
      <c r="J5155" s="9">
        <v>1000</v>
      </c>
      <c r="K5155" s="7">
        <v>-1250</v>
      </c>
      <c r="L5155" s="24">
        <f>+Tabla2[[#This Row],[Stock Inventario]]*Tabla2[[#This Row],[Coste LÃ­nea]]</f>
        <v>21080</v>
      </c>
      <c r="M5155" s="24">
        <f>+Tabla2[[#This Row],[Variación Stock]]*Tabla2[[#This Row],[Coste LÃ­nea]]</f>
        <v>-26349.999999999996</v>
      </c>
      <c r="N5155" s="22" t="str">
        <f>+IF(Tabla2[[#This Row],[Variación Stock]]&gt;0,"Sobrante",IF(Tabla2[[#This Row],[Variación Stock]]&lt;0,"Faltante","Sin novedad"))</f>
        <v>Faltante</v>
      </c>
    </row>
    <row r="5156" spans="1:14" hidden="1" x14ac:dyDescent="0.25">
      <c r="A5156" s="11">
        <v>46053</v>
      </c>
      <c r="B5156" s="5" t="s">
        <v>971</v>
      </c>
      <c r="C5156" s="3" t="s">
        <v>284</v>
      </c>
      <c r="D5156" s="5" t="s">
        <v>547</v>
      </c>
      <c r="E5156" s="5" t="s">
        <v>117</v>
      </c>
      <c r="F5156" s="6" t="s">
        <v>556</v>
      </c>
      <c r="G5156" s="4" t="s">
        <v>1</v>
      </c>
      <c r="H5156" s="25">
        <v>54.083333330000002</v>
      </c>
      <c r="I5156" s="8">
        <v>2968.9277000000002</v>
      </c>
      <c r="J5156" s="9">
        <v>2600</v>
      </c>
      <c r="K5156" s="7">
        <v>-368.92768000000001</v>
      </c>
      <c r="L5156" s="24">
        <f>+Tabla2[[#This Row],[Stock Inventario]]*Tabla2[[#This Row],[Coste LÃ­nea]]</f>
        <v>140616.666658</v>
      </c>
      <c r="M5156" s="24">
        <f>+Tabla2[[#This Row],[Variación Stock]]*Tabla2[[#This Row],[Coste LÃ­nea]]</f>
        <v>-19952.838692103574</v>
      </c>
      <c r="N5156" s="22" t="str">
        <f>+IF(Tabla2[[#This Row],[Variación Stock]]&gt;0,"Sobrante",IF(Tabla2[[#This Row],[Variación Stock]]&lt;0,"Faltante","Sin novedad"))</f>
        <v>Faltante</v>
      </c>
    </row>
    <row r="5157" spans="1:14" x14ac:dyDescent="0.25">
      <c r="A5157" s="11">
        <v>46053</v>
      </c>
      <c r="B5157" s="5" t="s">
        <v>971</v>
      </c>
      <c r="C5157" s="3" t="s">
        <v>284</v>
      </c>
      <c r="D5157" s="5" t="s">
        <v>603</v>
      </c>
      <c r="E5157" s="5" t="s">
        <v>112</v>
      </c>
      <c r="F5157" s="6" t="s">
        <v>620</v>
      </c>
      <c r="G5157" s="4" t="s">
        <v>1</v>
      </c>
      <c r="H5157" s="25">
        <v>11.8</v>
      </c>
      <c r="I5157" s="8">
        <v>-264.75119999999998</v>
      </c>
      <c r="J5157" s="9">
        <v>922</v>
      </c>
      <c r="K5157" s="7">
        <v>1186.7512039999999</v>
      </c>
      <c r="L5157" s="24">
        <f>+Tabla2[[#This Row],[Stock Inventario]]*Tabla2[[#This Row],[Coste LÃ­nea]]</f>
        <v>10879.6</v>
      </c>
      <c r="M5157" s="24">
        <f>+Tabla2[[#This Row],[Variación Stock]]*Tabla2[[#This Row],[Coste LÃ­nea]]</f>
        <v>14003.6642072</v>
      </c>
      <c r="N5157" s="22" t="str">
        <f>+IF(Tabla2[[#This Row],[Variación Stock]]&gt;0,"Sobrante",IF(Tabla2[[#This Row],[Variación Stock]]&lt;0,"Faltante","Sin novedad"))</f>
        <v>Sobrante</v>
      </c>
    </row>
    <row r="5158" spans="1:14" hidden="1" x14ac:dyDescent="0.25">
      <c r="A5158" s="11">
        <v>46053</v>
      </c>
      <c r="B5158" s="5" t="s">
        <v>971</v>
      </c>
      <c r="C5158" s="3" t="s">
        <v>284</v>
      </c>
      <c r="D5158" s="5" t="s">
        <v>471</v>
      </c>
      <c r="E5158" s="5" t="s">
        <v>117</v>
      </c>
      <c r="F5158" s="6" t="s">
        <v>514</v>
      </c>
      <c r="G5158" s="4" t="s">
        <v>1</v>
      </c>
      <c r="H5158" s="25">
        <v>11.8</v>
      </c>
      <c r="I5158" s="8">
        <v>700</v>
      </c>
      <c r="J5158" s="9">
        <v>0</v>
      </c>
      <c r="K5158" s="7">
        <v>-1700</v>
      </c>
      <c r="L5158" s="24">
        <f>+Tabla2[[#This Row],[Stock Inventario]]*Tabla2[[#This Row],[Coste LÃ­nea]]</f>
        <v>0</v>
      </c>
      <c r="M5158" s="24">
        <f>+Tabla2[[#This Row],[Variación Stock]]*Tabla2[[#This Row],[Coste LÃ­nea]]</f>
        <v>-20060</v>
      </c>
      <c r="N5158" s="22" t="str">
        <f>+IF(Tabla2[[#This Row],[Variación Stock]]&gt;0,"Sobrante",IF(Tabla2[[#This Row],[Variación Stock]]&lt;0,"Faltante","Sin novedad"))</f>
        <v>Faltante</v>
      </c>
    </row>
    <row r="5159" spans="1:14" x14ac:dyDescent="0.25">
      <c r="A5159" s="11">
        <v>46053</v>
      </c>
      <c r="B5159" s="5" t="s">
        <v>971</v>
      </c>
      <c r="C5159" s="3" t="s">
        <v>284</v>
      </c>
      <c r="D5159" s="5" t="s">
        <v>603</v>
      </c>
      <c r="E5159" s="5" t="s">
        <v>112</v>
      </c>
      <c r="F5159" s="6" t="s">
        <v>621</v>
      </c>
      <c r="G5159" s="4" t="s">
        <v>1</v>
      </c>
      <c r="H5159" s="25">
        <v>12</v>
      </c>
      <c r="I5159" s="8">
        <v>1185.3684000000001</v>
      </c>
      <c r="J5159" s="9">
        <v>614</v>
      </c>
      <c r="K5159" s="7">
        <v>-571.36840400000006</v>
      </c>
      <c r="L5159" s="24">
        <f>+Tabla2[[#This Row],[Stock Inventario]]*Tabla2[[#This Row],[Coste LÃ­nea]]</f>
        <v>7368</v>
      </c>
      <c r="M5159" s="24">
        <f>+Tabla2[[#This Row],[Variación Stock]]*Tabla2[[#This Row],[Coste LÃ­nea]]</f>
        <v>-6856.4208480000007</v>
      </c>
      <c r="N5159" s="22" t="str">
        <f>+IF(Tabla2[[#This Row],[Variación Stock]]&gt;0,"Sobrante",IF(Tabla2[[#This Row],[Variación Stock]]&lt;0,"Faltante","Sin novedad"))</f>
        <v>Faltante</v>
      </c>
    </row>
    <row r="5160" spans="1:14" hidden="1" x14ac:dyDescent="0.25">
      <c r="A5160" s="11">
        <v>46053</v>
      </c>
      <c r="B5160" s="5" t="s">
        <v>971</v>
      </c>
      <c r="C5160" s="3" t="s">
        <v>284</v>
      </c>
      <c r="D5160" s="5" t="s">
        <v>471</v>
      </c>
      <c r="E5160" s="5" t="s">
        <v>117</v>
      </c>
      <c r="F5160" s="6" t="s">
        <v>515</v>
      </c>
      <c r="G5160" s="4" t="s">
        <v>1</v>
      </c>
      <c r="H5160" s="25">
        <v>6</v>
      </c>
      <c r="I5160" s="8">
        <v>29700</v>
      </c>
      <c r="J5160" s="9">
        <v>0</v>
      </c>
      <c r="K5160" s="7">
        <v>-29700</v>
      </c>
      <c r="L5160" s="24">
        <f>+Tabla2[[#This Row],[Stock Inventario]]*Tabla2[[#This Row],[Coste LÃ­nea]]</f>
        <v>0</v>
      </c>
      <c r="M5160" s="24">
        <f>+Tabla2[[#This Row],[Variación Stock]]*Tabla2[[#This Row],[Coste LÃ­nea]]</f>
        <v>-178200</v>
      </c>
      <c r="N5160" s="22" t="str">
        <f>+IF(Tabla2[[#This Row],[Variación Stock]]&gt;0,"Sobrante",IF(Tabla2[[#This Row],[Variación Stock]]&lt;0,"Faltante","Sin novedad"))</f>
        <v>Faltante</v>
      </c>
    </row>
    <row r="5161" spans="1:14" x14ac:dyDescent="0.25">
      <c r="A5161" s="11">
        <v>46053</v>
      </c>
      <c r="B5161" s="5" t="s">
        <v>971</v>
      </c>
      <c r="C5161" s="3" t="s">
        <v>284</v>
      </c>
      <c r="D5161" s="5" t="s">
        <v>118</v>
      </c>
      <c r="E5161" s="5" t="s">
        <v>112</v>
      </c>
      <c r="F5161" s="6" t="s">
        <v>370</v>
      </c>
      <c r="G5161" s="4" t="s">
        <v>0</v>
      </c>
      <c r="H5161" s="25">
        <v>2902.8333333300002</v>
      </c>
      <c r="I5161" s="8">
        <v>27</v>
      </c>
      <c r="J5161" s="9">
        <v>28</v>
      </c>
      <c r="K5161" s="7">
        <v>1</v>
      </c>
      <c r="L5161" s="24">
        <f>+Tabla2[[#This Row],[Stock Inventario]]*Tabla2[[#This Row],[Coste LÃ­nea]]</f>
        <v>81279.333333240007</v>
      </c>
      <c r="M5161" s="24">
        <f>+Tabla2[[#This Row],[Variación Stock]]*Tabla2[[#This Row],[Coste LÃ­nea]]</f>
        <v>2902.8333333300002</v>
      </c>
      <c r="N5161" s="22" t="str">
        <f>+IF(Tabla2[[#This Row],[Variación Stock]]&gt;0,"Sobrante",IF(Tabla2[[#This Row],[Variación Stock]]&lt;0,"Faltante","Sin novedad"))</f>
        <v>Sobrante</v>
      </c>
    </row>
    <row r="5162" spans="1:14" hidden="1" x14ac:dyDescent="0.25">
      <c r="A5162" s="11">
        <v>46053</v>
      </c>
      <c r="B5162" s="5" t="s">
        <v>971</v>
      </c>
      <c r="C5162" s="3" t="s">
        <v>284</v>
      </c>
      <c r="D5162" s="5" t="s">
        <v>396</v>
      </c>
      <c r="E5162" s="5" t="s">
        <v>117</v>
      </c>
      <c r="F5162" s="6" t="s">
        <v>424</v>
      </c>
      <c r="G5162" s="4" t="s">
        <v>1</v>
      </c>
      <c r="H5162" s="25">
        <v>130.9</v>
      </c>
      <c r="I5162" s="8">
        <v>340</v>
      </c>
      <c r="J5162" s="9">
        <v>260</v>
      </c>
      <c r="K5162" s="7">
        <v>-80</v>
      </c>
      <c r="L5162" s="24">
        <f>+Tabla2[[#This Row],[Stock Inventario]]*Tabla2[[#This Row],[Coste LÃ­nea]]</f>
        <v>34034</v>
      </c>
      <c r="M5162" s="24">
        <f>+Tabla2[[#This Row],[Variación Stock]]*Tabla2[[#This Row],[Coste LÃ­nea]]</f>
        <v>-10472</v>
      </c>
      <c r="N5162" s="22" t="str">
        <f>+IF(Tabla2[[#This Row],[Variación Stock]]&gt;0,"Sobrante",IF(Tabla2[[#This Row],[Variación Stock]]&lt;0,"Faltante","Sin novedad"))</f>
        <v>Faltante</v>
      </c>
    </row>
    <row r="5163" spans="1:14" hidden="1" x14ac:dyDescent="0.25">
      <c r="A5163" s="11">
        <v>46053</v>
      </c>
      <c r="B5163" s="5" t="s">
        <v>971</v>
      </c>
      <c r="C5163" s="3" t="s">
        <v>284</v>
      </c>
      <c r="D5163" s="5" t="s">
        <v>396</v>
      </c>
      <c r="E5163" s="5" t="s">
        <v>117</v>
      </c>
      <c r="F5163" s="6" t="s">
        <v>402</v>
      </c>
      <c r="G5163" s="4" t="s">
        <v>1</v>
      </c>
      <c r="H5163" s="25">
        <v>32</v>
      </c>
      <c r="I5163" s="8">
        <v>8995.0005000000001</v>
      </c>
      <c r="J5163" s="9">
        <v>3328</v>
      </c>
      <c r="K5163" s="7">
        <v>-5667.0005000000001</v>
      </c>
      <c r="L5163" s="24">
        <f>+Tabla2[[#This Row],[Stock Inventario]]*Tabla2[[#This Row],[Coste LÃ­nea]]</f>
        <v>106496</v>
      </c>
      <c r="M5163" s="24">
        <f>+Tabla2[[#This Row],[Variación Stock]]*Tabla2[[#This Row],[Coste LÃ­nea]]</f>
        <v>-181344.016</v>
      </c>
      <c r="N5163" s="22" t="str">
        <f>+IF(Tabla2[[#This Row],[Variación Stock]]&gt;0,"Sobrante",IF(Tabla2[[#This Row],[Variación Stock]]&lt;0,"Faltante","Sin novedad"))</f>
        <v>Faltante</v>
      </c>
    </row>
    <row r="5164" spans="1:14" hidden="1" x14ac:dyDescent="0.25">
      <c r="A5164" s="11">
        <v>46053</v>
      </c>
      <c r="B5164" s="5" t="s">
        <v>971</v>
      </c>
      <c r="C5164" s="3" t="s">
        <v>284</v>
      </c>
      <c r="D5164" s="5" t="s">
        <v>396</v>
      </c>
      <c r="E5164" s="5" t="s">
        <v>117</v>
      </c>
      <c r="F5164" s="6" t="s">
        <v>441</v>
      </c>
      <c r="G5164" s="4" t="s">
        <v>1</v>
      </c>
      <c r="H5164" s="25">
        <v>25.38</v>
      </c>
      <c r="I5164" s="8">
        <v>5260</v>
      </c>
      <c r="J5164" s="9">
        <v>7200</v>
      </c>
      <c r="K5164" s="7">
        <v>-1660</v>
      </c>
      <c r="L5164" s="24">
        <f>+Tabla2[[#This Row],[Stock Inventario]]*Tabla2[[#This Row],[Coste LÃ­nea]]</f>
        <v>182736</v>
      </c>
      <c r="M5164" s="24">
        <f>+Tabla2[[#This Row],[Variación Stock]]*Tabla2[[#This Row],[Coste LÃ­nea]]</f>
        <v>-42130.799999999996</v>
      </c>
      <c r="N5164" s="22" t="str">
        <f>+IF(Tabla2[[#This Row],[Variación Stock]]&gt;0,"Sobrante",IF(Tabla2[[#This Row],[Variación Stock]]&lt;0,"Faltante","Sin novedad"))</f>
        <v>Faltante</v>
      </c>
    </row>
    <row r="5165" spans="1:14" hidden="1" x14ac:dyDescent="0.25">
      <c r="A5165" s="11">
        <v>46053</v>
      </c>
      <c r="B5165" s="5" t="s">
        <v>971</v>
      </c>
      <c r="C5165" s="3" t="s">
        <v>284</v>
      </c>
      <c r="D5165" s="5" t="s">
        <v>396</v>
      </c>
      <c r="E5165" s="5" t="s">
        <v>117</v>
      </c>
      <c r="F5165" s="6" t="s">
        <v>442</v>
      </c>
      <c r="G5165" s="4" t="s">
        <v>1</v>
      </c>
      <c r="H5165" s="25">
        <v>22.30079576</v>
      </c>
      <c r="I5165" s="8">
        <v>-940</v>
      </c>
      <c r="J5165" s="9">
        <v>0</v>
      </c>
      <c r="K5165" s="7">
        <v>940</v>
      </c>
      <c r="L5165" s="24">
        <f>+Tabla2[[#This Row],[Stock Inventario]]*Tabla2[[#This Row],[Coste LÃ­nea]]</f>
        <v>0</v>
      </c>
      <c r="M5165" s="24">
        <f>+Tabla2[[#This Row],[Variación Stock]]*Tabla2[[#This Row],[Coste LÃ­nea]]</f>
        <v>20962.7480144</v>
      </c>
      <c r="N5165" s="22" t="str">
        <f>+IF(Tabla2[[#This Row],[Variación Stock]]&gt;0,"Sobrante",IF(Tabla2[[#This Row],[Variación Stock]]&lt;0,"Faltante","Sin novedad"))</f>
        <v>Sobrante</v>
      </c>
    </row>
    <row r="5166" spans="1:14" hidden="1" x14ac:dyDescent="0.25">
      <c r="A5166" s="11">
        <v>46053</v>
      </c>
      <c r="B5166" s="5" t="s">
        <v>971</v>
      </c>
      <c r="C5166" s="3" t="s">
        <v>284</v>
      </c>
      <c r="D5166" s="5" t="s">
        <v>471</v>
      </c>
      <c r="E5166" s="5" t="s">
        <v>117</v>
      </c>
      <c r="F5166" s="6" t="s">
        <v>516</v>
      </c>
      <c r="G5166" s="4" t="s">
        <v>1</v>
      </c>
      <c r="H5166" s="25">
        <v>5.8</v>
      </c>
      <c r="I5166" s="8">
        <v>630</v>
      </c>
      <c r="J5166" s="9">
        <v>962</v>
      </c>
      <c r="K5166" s="7">
        <v>-638</v>
      </c>
      <c r="L5166" s="24">
        <f>+Tabla2[[#This Row],[Stock Inventario]]*Tabla2[[#This Row],[Coste LÃ­nea]]</f>
        <v>5579.5999999999995</v>
      </c>
      <c r="M5166" s="24">
        <f>+Tabla2[[#This Row],[Variación Stock]]*Tabla2[[#This Row],[Coste LÃ­nea]]</f>
        <v>-3700.4</v>
      </c>
      <c r="N5166" s="22" t="str">
        <f>+IF(Tabla2[[#This Row],[Variación Stock]]&gt;0,"Sobrante",IF(Tabla2[[#This Row],[Variación Stock]]&lt;0,"Faltante","Sin novedad"))</f>
        <v>Faltante</v>
      </c>
    </row>
    <row r="5167" spans="1:14" hidden="1" x14ac:dyDescent="0.25">
      <c r="A5167" s="11">
        <v>46053</v>
      </c>
      <c r="B5167" s="5" t="s">
        <v>971</v>
      </c>
      <c r="C5167" s="3" t="s">
        <v>284</v>
      </c>
      <c r="D5167" s="5" t="s">
        <v>119</v>
      </c>
      <c r="E5167" s="5" t="s">
        <v>117</v>
      </c>
      <c r="F5167" s="6" t="s">
        <v>11</v>
      </c>
      <c r="G5167" s="4" t="s">
        <v>2</v>
      </c>
      <c r="H5167" s="25">
        <v>436.01333333000002</v>
      </c>
      <c r="I5167" s="8">
        <v>292</v>
      </c>
      <c r="J5167" s="9">
        <v>376</v>
      </c>
      <c r="K5167" s="7">
        <v>84</v>
      </c>
      <c r="L5167" s="24">
        <f>+Tabla2[[#This Row],[Stock Inventario]]*Tabla2[[#This Row],[Coste LÃ­nea]]</f>
        <v>163941.01333208001</v>
      </c>
      <c r="M5167" s="24">
        <f>+Tabla2[[#This Row],[Variación Stock]]*Tabla2[[#This Row],[Coste LÃ­nea]]</f>
        <v>36625.119999720002</v>
      </c>
      <c r="N5167" s="22" t="str">
        <f>+IF(Tabla2[[#This Row],[Variación Stock]]&gt;0,"Sobrante",IF(Tabla2[[#This Row],[Variación Stock]]&lt;0,"Faltante","Sin novedad"))</f>
        <v>Sobrante</v>
      </c>
    </row>
    <row r="5168" spans="1:14" x14ac:dyDescent="0.25">
      <c r="A5168" s="11">
        <v>46053</v>
      </c>
      <c r="B5168" s="5" t="s">
        <v>971</v>
      </c>
      <c r="C5168" s="3" t="s">
        <v>284</v>
      </c>
      <c r="D5168" s="5" t="s">
        <v>118</v>
      </c>
      <c r="E5168" s="5" t="s">
        <v>112</v>
      </c>
      <c r="F5168" s="6" t="s">
        <v>309</v>
      </c>
      <c r="G5168" s="4" t="s">
        <v>2</v>
      </c>
      <c r="H5168" s="25">
        <v>97200</v>
      </c>
      <c r="I5168" s="8">
        <v>1</v>
      </c>
      <c r="J5168" s="9">
        <v>1</v>
      </c>
      <c r="K5168" s="7">
        <v>0</v>
      </c>
      <c r="L5168" s="24">
        <f>+Tabla2[[#This Row],[Stock Inventario]]*Tabla2[[#This Row],[Coste LÃ­nea]]</f>
        <v>97200</v>
      </c>
      <c r="M5168" s="24">
        <f>+Tabla2[[#This Row],[Variación Stock]]*Tabla2[[#This Row],[Coste LÃ­nea]]</f>
        <v>0</v>
      </c>
      <c r="N5168" s="22" t="str">
        <f>+IF(Tabla2[[#This Row],[Variación Stock]]&gt;0,"Sobrante",IF(Tabla2[[#This Row],[Variación Stock]]&lt;0,"Faltante","Sin novedad"))</f>
        <v>Sin novedad</v>
      </c>
    </row>
    <row r="5169" spans="1:14" x14ac:dyDescent="0.25">
      <c r="A5169" s="11">
        <v>46053</v>
      </c>
      <c r="B5169" s="5" t="s">
        <v>971</v>
      </c>
      <c r="C5169" s="3" t="s">
        <v>284</v>
      </c>
      <c r="D5169" s="5" t="s">
        <v>118</v>
      </c>
      <c r="E5169" s="5" t="s">
        <v>112</v>
      </c>
      <c r="F5169" s="6" t="s">
        <v>310</v>
      </c>
      <c r="G5169" s="4" t="s">
        <v>2</v>
      </c>
      <c r="H5169" s="25">
        <v>73956.022408999997</v>
      </c>
      <c r="I5169" s="8">
        <v>1</v>
      </c>
      <c r="J5169" s="9">
        <v>1</v>
      </c>
      <c r="K5169" s="7">
        <v>0</v>
      </c>
      <c r="L5169" s="24">
        <f>+Tabla2[[#This Row],[Stock Inventario]]*Tabla2[[#This Row],[Coste LÃ­nea]]</f>
        <v>73956.022408999997</v>
      </c>
      <c r="M5169" s="24">
        <f>+Tabla2[[#This Row],[Variación Stock]]*Tabla2[[#This Row],[Coste LÃ­nea]]</f>
        <v>0</v>
      </c>
      <c r="N5169" s="22" t="str">
        <f>+IF(Tabla2[[#This Row],[Variación Stock]]&gt;0,"Sobrante",IF(Tabla2[[#This Row],[Variación Stock]]&lt;0,"Faltante","Sin novedad"))</f>
        <v>Sin novedad</v>
      </c>
    </row>
    <row r="5170" spans="1:14" hidden="1" x14ac:dyDescent="0.25">
      <c r="A5170" s="11">
        <v>46053</v>
      </c>
      <c r="B5170" s="5" t="s">
        <v>971</v>
      </c>
      <c r="C5170" s="3" t="s">
        <v>284</v>
      </c>
      <c r="D5170" s="5" t="s">
        <v>471</v>
      </c>
      <c r="E5170" s="5" t="s">
        <v>117</v>
      </c>
      <c r="F5170" s="6" t="s">
        <v>472</v>
      </c>
      <c r="G5170" s="4" t="s">
        <v>1</v>
      </c>
      <c r="H5170" s="25">
        <v>4.5</v>
      </c>
      <c r="I5170" s="8">
        <v>0</v>
      </c>
      <c r="J5170" s="9">
        <v>0</v>
      </c>
      <c r="K5170" s="7">
        <v>0</v>
      </c>
      <c r="L5170" s="24">
        <f>+Tabla2[[#This Row],[Stock Inventario]]*Tabla2[[#This Row],[Coste LÃ­nea]]</f>
        <v>0</v>
      </c>
      <c r="M5170" s="24">
        <f>+Tabla2[[#This Row],[Variación Stock]]*Tabla2[[#This Row],[Coste LÃ­nea]]</f>
        <v>0</v>
      </c>
      <c r="N5170" s="22" t="str">
        <f>+IF(Tabla2[[#This Row],[Variación Stock]]&gt;0,"Sobrante",IF(Tabla2[[#This Row],[Variación Stock]]&lt;0,"Faltante","Sin novedad"))</f>
        <v>Sin novedad</v>
      </c>
    </row>
    <row r="5171" spans="1:14" hidden="1" x14ac:dyDescent="0.25">
      <c r="A5171" s="11">
        <v>46053</v>
      </c>
      <c r="B5171" s="5" t="s">
        <v>971</v>
      </c>
      <c r="C5171" s="3" t="s">
        <v>284</v>
      </c>
      <c r="D5171" s="5" t="s">
        <v>396</v>
      </c>
      <c r="E5171" s="5" t="s">
        <v>117</v>
      </c>
      <c r="F5171" s="6" t="s">
        <v>443</v>
      </c>
      <c r="G5171" s="4" t="s">
        <v>2</v>
      </c>
      <c r="H5171" s="25">
        <v>171.97888889000001</v>
      </c>
      <c r="I5171" s="8">
        <v>1600</v>
      </c>
      <c r="J5171" s="9">
        <v>0</v>
      </c>
      <c r="K5171" s="7">
        <v>-1600</v>
      </c>
      <c r="L5171" s="24">
        <f>+Tabla2[[#This Row],[Stock Inventario]]*Tabla2[[#This Row],[Coste LÃ­nea]]</f>
        <v>0</v>
      </c>
      <c r="M5171" s="24">
        <f>+Tabla2[[#This Row],[Variación Stock]]*Tabla2[[#This Row],[Coste LÃ­nea]]</f>
        <v>-275166.22222400003</v>
      </c>
      <c r="N5171" s="22" t="str">
        <f>+IF(Tabla2[[#This Row],[Variación Stock]]&gt;0,"Sobrante",IF(Tabla2[[#This Row],[Variación Stock]]&lt;0,"Faltante","Sin novedad"))</f>
        <v>Faltante</v>
      </c>
    </row>
    <row r="5172" spans="1:14" x14ac:dyDescent="0.25">
      <c r="A5172" s="11">
        <v>46053</v>
      </c>
      <c r="B5172" s="5" t="s">
        <v>971</v>
      </c>
      <c r="C5172" s="3" t="s">
        <v>284</v>
      </c>
      <c r="D5172" s="5" t="s">
        <v>111</v>
      </c>
      <c r="E5172" s="5" t="s">
        <v>112</v>
      </c>
      <c r="F5172" s="6" t="s">
        <v>26</v>
      </c>
      <c r="G5172" s="4" t="s">
        <v>0</v>
      </c>
      <c r="H5172" s="25">
        <v>8389.75</v>
      </c>
      <c r="I5172" s="8">
        <v>5</v>
      </c>
      <c r="J5172" s="9">
        <v>5</v>
      </c>
      <c r="K5172" s="7">
        <v>0</v>
      </c>
      <c r="L5172" s="24">
        <f>+Tabla2[[#This Row],[Stock Inventario]]*Tabla2[[#This Row],[Coste LÃ­nea]]</f>
        <v>41948.75</v>
      </c>
      <c r="M5172" s="24">
        <f>+Tabla2[[#This Row],[Variación Stock]]*Tabla2[[#This Row],[Coste LÃ­nea]]</f>
        <v>0</v>
      </c>
      <c r="N5172" s="22" t="str">
        <f>+IF(Tabla2[[#This Row],[Variación Stock]]&gt;0,"Sobrante",IF(Tabla2[[#This Row],[Variación Stock]]&lt;0,"Faltante","Sin novedad"))</f>
        <v>Sin novedad</v>
      </c>
    </row>
    <row r="5173" spans="1:14" x14ac:dyDescent="0.25">
      <c r="A5173" s="11">
        <v>46053</v>
      </c>
      <c r="B5173" s="5" t="s">
        <v>971</v>
      </c>
      <c r="C5173" s="3" t="s">
        <v>284</v>
      </c>
      <c r="D5173" s="5" t="s">
        <v>111</v>
      </c>
      <c r="E5173" s="5" t="s">
        <v>112</v>
      </c>
      <c r="F5173" s="6" t="s">
        <v>27</v>
      </c>
      <c r="G5173" s="4" t="s">
        <v>0</v>
      </c>
      <c r="H5173" s="25">
        <v>7122.4772727299996</v>
      </c>
      <c r="I5173" s="8">
        <v>74</v>
      </c>
      <c r="J5173" s="9">
        <v>79</v>
      </c>
      <c r="K5173" s="7">
        <v>5</v>
      </c>
      <c r="L5173" s="24">
        <f>+Tabla2[[#This Row],[Stock Inventario]]*Tabla2[[#This Row],[Coste LÃ­nea]]</f>
        <v>562675.70454566996</v>
      </c>
      <c r="M5173" s="24">
        <f>+Tabla2[[#This Row],[Variación Stock]]*Tabla2[[#This Row],[Coste LÃ­nea]]</f>
        <v>35612.386363649995</v>
      </c>
      <c r="N5173" s="22" t="str">
        <f>+IF(Tabla2[[#This Row],[Variación Stock]]&gt;0,"Sobrante",IF(Tabla2[[#This Row],[Variación Stock]]&lt;0,"Faltante","Sin novedad"))</f>
        <v>Sobrante</v>
      </c>
    </row>
    <row r="5174" spans="1:14" hidden="1" x14ac:dyDescent="0.25">
      <c r="A5174" s="11">
        <v>46053</v>
      </c>
      <c r="B5174" s="5" t="s">
        <v>971</v>
      </c>
      <c r="C5174" s="3" t="s">
        <v>284</v>
      </c>
      <c r="D5174" s="5" t="s">
        <v>559</v>
      </c>
      <c r="E5174" s="5" t="s">
        <v>1080</v>
      </c>
      <c r="F5174" s="6" t="s">
        <v>579</v>
      </c>
      <c r="G5174" s="4" t="s">
        <v>2</v>
      </c>
      <c r="H5174" s="25">
        <v>155.53399999999999</v>
      </c>
      <c r="I5174" s="8">
        <v>1200</v>
      </c>
      <c r="J5174" s="9">
        <v>350</v>
      </c>
      <c r="K5174" s="7">
        <v>-850</v>
      </c>
      <c r="L5174" s="24">
        <f>+Tabla2[[#This Row],[Stock Inventario]]*Tabla2[[#This Row],[Coste LÃ­nea]]</f>
        <v>54436.899999999994</v>
      </c>
      <c r="M5174" s="24">
        <f>+Tabla2[[#This Row],[Variación Stock]]*Tabla2[[#This Row],[Coste LÃ­nea]]</f>
        <v>-132203.9</v>
      </c>
      <c r="N5174" s="22" t="str">
        <f>+IF(Tabla2[[#This Row],[Variación Stock]]&gt;0,"Sobrante",IF(Tabla2[[#This Row],[Variación Stock]]&lt;0,"Faltante","Sin novedad"))</f>
        <v>Faltante</v>
      </c>
    </row>
    <row r="5175" spans="1:14" hidden="1" x14ac:dyDescent="0.25">
      <c r="A5175" s="11">
        <v>46053</v>
      </c>
      <c r="B5175" s="5" t="s">
        <v>971</v>
      </c>
      <c r="C5175" s="3" t="s">
        <v>284</v>
      </c>
      <c r="D5175" s="5" t="s">
        <v>396</v>
      </c>
      <c r="E5175" s="5" t="s">
        <v>117</v>
      </c>
      <c r="F5175" s="6" t="s">
        <v>418</v>
      </c>
      <c r="G5175" s="4" t="s">
        <v>1</v>
      </c>
      <c r="H5175" s="25">
        <v>40.047916669999999</v>
      </c>
      <c r="I5175" s="8">
        <v>-680</v>
      </c>
      <c r="J5175" s="9">
        <v>750</v>
      </c>
      <c r="K5175" s="7">
        <v>1430</v>
      </c>
      <c r="L5175" s="24">
        <f>+Tabla2[[#This Row],[Stock Inventario]]*Tabla2[[#This Row],[Coste LÃ­nea]]</f>
        <v>30035.937502500001</v>
      </c>
      <c r="M5175" s="24">
        <f>+Tabla2[[#This Row],[Variación Stock]]*Tabla2[[#This Row],[Coste LÃ­nea]]</f>
        <v>57268.520838099997</v>
      </c>
      <c r="N5175" s="22" t="str">
        <f>+IF(Tabla2[[#This Row],[Variación Stock]]&gt;0,"Sobrante",IF(Tabla2[[#This Row],[Variación Stock]]&lt;0,"Faltante","Sin novedad"))</f>
        <v>Sobrante</v>
      </c>
    </row>
    <row r="5176" spans="1:14" hidden="1" x14ac:dyDescent="0.25">
      <c r="A5176" s="11">
        <v>46053</v>
      </c>
      <c r="B5176" s="5" t="s">
        <v>971</v>
      </c>
      <c r="C5176" s="3" t="s">
        <v>284</v>
      </c>
      <c r="D5176" s="5" t="s">
        <v>396</v>
      </c>
      <c r="E5176" s="5" t="s">
        <v>117</v>
      </c>
      <c r="F5176" s="6" t="s">
        <v>460</v>
      </c>
      <c r="G5176" s="4" t="s">
        <v>1</v>
      </c>
      <c r="H5176" s="25">
        <v>18.829166669999999</v>
      </c>
      <c r="I5176" s="8">
        <v>1600</v>
      </c>
      <c r="J5176" s="9">
        <v>0</v>
      </c>
      <c r="K5176" s="7">
        <v>-1600</v>
      </c>
      <c r="L5176" s="24">
        <f>+Tabla2[[#This Row],[Stock Inventario]]*Tabla2[[#This Row],[Coste LÃ­nea]]</f>
        <v>0</v>
      </c>
      <c r="M5176" s="24">
        <f>+Tabla2[[#This Row],[Variación Stock]]*Tabla2[[#This Row],[Coste LÃ­nea]]</f>
        <v>-30126.666671999999</v>
      </c>
      <c r="N5176" s="22" t="str">
        <f>+IF(Tabla2[[#This Row],[Variación Stock]]&gt;0,"Sobrante",IF(Tabla2[[#This Row],[Variación Stock]]&lt;0,"Faltante","Sin novedad"))</f>
        <v>Faltante</v>
      </c>
    </row>
    <row r="5177" spans="1:14" hidden="1" x14ac:dyDescent="0.25">
      <c r="A5177" s="11">
        <v>46053</v>
      </c>
      <c r="B5177" s="5" t="s">
        <v>971</v>
      </c>
      <c r="C5177" s="3" t="s">
        <v>284</v>
      </c>
      <c r="D5177" s="5" t="s">
        <v>396</v>
      </c>
      <c r="E5177" s="5" t="s">
        <v>117</v>
      </c>
      <c r="F5177" s="6" t="s">
        <v>425</v>
      </c>
      <c r="G5177" s="4" t="s">
        <v>1</v>
      </c>
      <c r="H5177" s="25">
        <v>16.5</v>
      </c>
      <c r="I5177" s="8">
        <v>6395</v>
      </c>
      <c r="J5177" s="9">
        <v>0</v>
      </c>
      <c r="K5177" s="7">
        <v>-6395</v>
      </c>
      <c r="L5177" s="24">
        <f>+Tabla2[[#This Row],[Stock Inventario]]*Tabla2[[#This Row],[Coste LÃ­nea]]</f>
        <v>0</v>
      </c>
      <c r="M5177" s="24">
        <f>+Tabla2[[#This Row],[Variación Stock]]*Tabla2[[#This Row],[Coste LÃ­nea]]</f>
        <v>-105517.5</v>
      </c>
      <c r="N5177" s="22" t="str">
        <f>+IF(Tabla2[[#This Row],[Variación Stock]]&gt;0,"Sobrante",IF(Tabla2[[#This Row],[Variación Stock]]&lt;0,"Faltante","Sin novedad"))</f>
        <v>Faltante</v>
      </c>
    </row>
    <row r="5178" spans="1:14" x14ac:dyDescent="0.25">
      <c r="A5178" s="11">
        <v>46053</v>
      </c>
      <c r="B5178" s="5" t="s">
        <v>971</v>
      </c>
      <c r="C5178" s="3" t="s">
        <v>284</v>
      </c>
      <c r="D5178" s="5" t="s">
        <v>118</v>
      </c>
      <c r="E5178" s="5" t="s">
        <v>112</v>
      </c>
      <c r="F5178" s="6" t="s">
        <v>299</v>
      </c>
      <c r="G5178" s="4" t="s">
        <v>2</v>
      </c>
      <c r="H5178" s="25">
        <v>72880</v>
      </c>
      <c r="I5178" s="8">
        <v>3</v>
      </c>
      <c r="J5178" s="9">
        <v>3</v>
      </c>
      <c r="K5178" s="7">
        <v>0</v>
      </c>
      <c r="L5178" s="24">
        <f>+Tabla2[[#This Row],[Stock Inventario]]*Tabla2[[#This Row],[Coste LÃ­nea]]</f>
        <v>218640</v>
      </c>
      <c r="M5178" s="24">
        <f>+Tabla2[[#This Row],[Variación Stock]]*Tabla2[[#This Row],[Coste LÃ­nea]]</f>
        <v>0</v>
      </c>
      <c r="N5178" s="22" t="str">
        <f>+IF(Tabla2[[#This Row],[Variación Stock]]&gt;0,"Sobrante",IF(Tabla2[[#This Row],[Variación Stock]]&lt;0,"Faltante","Sin novedad"))</f>
        <v>Sin novedad</v>
      </c>
    </row>
    <row r="5179" spans="1:14" x14ac:dyDescent="0.25">
      <c r="A5179" s="11">
        <v>46053</v>
      </c>
      <c r="B5179" s="5" t="s">
        <v>971</v>
      </c>
      <c r="C5179" s="3" t="s">
        <v>284</v>
      </c>
      <c r="D5179" s="5" t="s">
        <v>118</v>
      </c>
      <c r="E5179" s="5" t="s">
        <v>112</v>
      </c>
      <c r="F5179" s="6" t="s">
        <v>300</v>
      </c>
      <c r="G5179" s="4" t="s">
        <v>2</v>
      </c>
      <c r="H5179" s="25">
        <v>25109.5</v>
      </c>
      <c r="I5179" s="8">
        <v>0</v>
      </c>
      <c r="J5179" s="9">
        <v>0</v>
      </c>
      <c r="K5179" s="7">
        <v>0</v>
      </c>
      <c r="L5179" s="24">
        <f>+Tabla2[[#This Row],[Stock Inventario]]*Tabla2[[#This Row],[Coste LÃ­nea]]</f>
        <v>0</v>
      </c>
      <c r="M5179" s="24">
        <f>+Tabla2[[#This Row],[Variación Stock]]*Tabla2[[#This Row],[Coste LÃ­nea]]</f>
        <v>0</v>
      </c>
      <c r="N5179" s="22" t="str">
        <f>+IF(Tabla2[[#This Row],[Variación Stock]]&gt;0,"Sobrante",IF(Tabla2[[#This Row],[Variación Stock]]&lt;0,"Faltante","Sin novedad"))</f>
        <v>Sin novedad</v>
      </c>
    </row>
    <row r="5180" spans="1:14" hidden="1" x14ac:dyDescent="0.25">
      <c r="A5180" s="11">
        <v>46053</v>
      </c>
      <c r="B5180" s="5" t="s">
        <v>971</v>
      </c>
      <c r="C5180" s="3" t="s">
        <v>284</v>
      </c>
      <c r="D5180" s="5" t="s">
        <v>396</v>
      </c>
      <c r="E5180" s="5" t="s">
        <v>117</v>
      </c>
      <c r="F5180" s="6" t="s">
        <v>399</v>
      </c>
      <c r="G5180" s="4" t="s">
        <v>1</v>
      </c>
      <c r="H5180" s="25">
        <v>37.000436970000003</v>
      </c>
      <c r="I5180" s="8">
        <v>-591</v>
      </c>
      <c r="J5180" s="9">
        <v>750</v>
      </c>
      <c r="K5180" s="7">
        <v>1341</v>
      </c>
      <c r="L5180" s="24">
        <f>+Tabla2[[#This Row],[Stock Inventario]]*Tabla2[[#This Row],[Coste LÃ­nea]]</f>
        <v>27750.327727500004</v>
      </c>
      <c r="M5180" s="24">
        <f>+Tabla2[[#This Row],[Variación Stock]]*Tabla2[[#This Row],[Coste LÃ­nea]]</f>
        <v>49617.585976770002</v>
      </c>
      <c r="N5180" s="22" t="str">
        <f>+IF(Tabla2[[#This Row],[Variación Stock]]&gt;0,"Sobrante",IF(Tabla2[[#This Row],[Variación Stock]]&lt;0,"Faltante","Sin novedad"))</f>
        <v>Sobrante</v>
      </c>
    </row>
    <row r="5181" spans="1:14" hidden="1" x14ac:dyDescent="0.25">
      <c r="A5181" s="11">
        <v>46053</v>
      </c>
      <c r="B5181" s="5" t="s">
        <v>971</v>
      </c>
      <c r="C5181" s="3" t="s">
        <v>284</v>
      </c>
      <c r="D5181" s="5" t="s">
        <v>396</v>
      </c>
      <c r="E5181" s="5" t="s">
        <v>117</v>
      </c>
      <c r="F5181" s="6" t="s">
        <v>414</v>
      </c>
      <c r="G5181" s="4" t="s">
        <v>1</v>
      </c>
      <c r="H5181" s="25">
        <v>32.000190480000001</v>
      </c>
      <c r="I5181" s="8">
        <v>500</v>
      </c>
      <c r="J5181" s="9">
        <v>500</v>
      </c>
      <c r="K5181" s="7">
        <v>0</v>
      </c>
      <c r="L5181" s="24">
        <f>+Tabla2[[#This Row],[Stock Inventario]]*Tabla2[[#This Row],[Coste LÃ­nea]]</f>
        <v>16000.095240000001</v>
      </c>
      <c r="M5181" s="24">
        <f>+Tabla2[[#This Row],[Variación Stock]]*Tabla2[[#This Row],[Coste LÃ­nea]]</f>
        <v>0</v>
      </c>
      <c r="N5181" s="22" t="str">
        <f>+IF(Tabla2[[#This Row],[Variación Stock]]&gt;0,"Sobrante",IF(Tabla2[[#This Row],[Variación Stock]]&lt;0,"Faltante","Sin novedad"))</f>
        <v>Sin novedad</v>
      </c>
    </row>
    <row r="5182" spans="1:14" hidden="1" x14ac:dyDescent="0.25">
      <c r="A5182" s="11">
        <v>46053</v>
      </c>
      <c r="B5182" s="5" t="s">
        <v>971</v>
      </c>
      <c r="C5182" s="3" t="s">
        <v>284</v>
      </c>
      <c r="D5182" s="5" t="s">
        <v>471</v>
      </c>
      <c r="E5182" s="5" t="s">
        <v>117</v>
      </c>
      <c r="F5182" s="6" t="s">
        <v>517</v>
      </c>
      <c r="G5182" s="4" t="s">
        <v>1</v>
      </c>
      <c r="H5182" s="25">
        <v>9.5</v>
      </c>
      <c r="I5182" s="8">
        <v>13000</v>
      </c>
      <c r="J5182" s="9">
        <v>2000</v>
      </c>
      <c r="K5182" s="7">
        <v>-11000</v>
      </c>
      <c r="L5182" s="24">
        <f>+Tabla2[[#This Row],[Stock Inventario]]*Tabla2[[#This Row],[Coste LÃ­nea]]</f>
        <v>19000</v>
      </c>
      <c r="M5182" s="24">
        <f>+Tabla2[[#This Row],[Variación Stock]]*Tabla2[[#This Row],[Coste LÃ­nea]]</f>
        <v>-104500</v>
      </c>
      <c r="N5182" s="22" t="str">
        <f>+IF(Tabla2[[#This Row],[Variación Stock]]&gt;0,"Sobrante",IF(Tabla2[[#This Row],[Variación Stock]]&lt;0,"Faltante","Sin novedad"))</f>
        <v>Faltante</v>
      </c>
    </row>
    <row r="5183" spans="1:14" hidden="1" x14ac:dyDescent="0.25">
      <c r="A5183" s="11">
        <v>46053</v>
      </c>
      <c r="B5183" s="5" t="s">
        <v>971</v>
      </c>
      <c r="C5183" s="3" t="s">
        <v>284</v>
      </c>
      <c r="D5183" s="5" t="s">
        <v>396</v>
      </c>
      <c r="E5183" s="5" t="s">
        <v>117</v>
      </c>
      <c r="F5183" s="6" t="s">
        <v>444</v>
      </c>
      <c r="G5183" s="4" t="s">
        <v>1</v>
      </c>
      <c r="H5183" s="25">
        <v>22.523250000000001</v>
      </c>
      <c r="I5183" s="8">
        <v>3920</v>
      </c>
      <c r="J5183" s="9">
        <v>4000</v>
      </c>
      <c r="K5183" s="7">
        <v>80</v>
      </c>
      <c r="L5183" s="24">
        <f>+Tabla2[[#This Row],[Stock Inventario]]*Tabla2[[#This Row],[Coste LÃ­nea]]</f>
        <v>90093</v>
      </c>
      <c r="M5183" s="24">
        <f>+Tabla2[[#This Row],[Variación Stock]]*Tabla2[[#This Row],[Coste LÃ­nea]]</f>
        <v>1801.8600000000001</v>
      </c>
      <c r="N5183" s="22" t="str">
        <f>+IF(Tabla2[[#This Row],[Variación Stock]]&gt;0,"Sobrante",IF(Tabla2[[#This Row],[Variación Stock]]&lt;0,"Faltante","Sin novedad"))</f>
        <v>Sobrante</v>
      </c>
    </row>
    <row r="5184" spans="1:14" x14ac:dyDescent="0.25">
      <c r="A5184" s="11">
        <v>46053</v>
      </c>
      <c r="B5184" s="5" t="s">
        <v>971</v>
      </c>
      <c r="C5184" s="3" t="s">
        <v>284</v>
      </c>
      <c r="D5184" s="5" t="s">
        <v>603</v>
      </c>
      <c r="E5184" s="5" t="s">
        <v>112</v>
      </c>
      <c r="F5184" s="6" t="s">
        <v>622</v>
      </c>
      <c r="G5184" s="4" t="s">
        <v>1</v>
      </c>
      <c r="H5184" s="25">
        <v>8.5</v>
      </c>
      <c r="I5184" s="8">
        <v>5922.6666999999998</v>
      </c>
      <c r="J5184" s="9">
        <v>612</v>
      </c>
      <c r="K5184" s="7">
        <v>-5310.6666667999998</v>
      </c>
      <c r="L5184" s="24">
        <f>+Tabla2[[#This Row],[Stock Inventario]]*Tabla2[[#This Row],[Coste LÃ­nea]]</f>
        <v>5202</v>
      </c>
      <c r="M5184" s="24">
        <f>+Tabla2[[#This Row],[Variación Stock]]*Tabla2[[#This Row],[Coste LÃ­nea]]</f>
        <v>-45140.666667799997</v>
      </c>
      <c r="N5184" s="22" t="str">
        <f>+IF(Tabla2[[#This Row],[Variación Stock]]&gt;0,"Sobrante",IF(Tabla2[[#This Row],[Variación Stock]]&lt;0,"Faltante","Sin novedad"))</f>
        <v>Faltante</v>
      </c>
    </row>
    <row r="5185" spans="1:14" hidden="1" x14ac:dyDescent="0.25">
      <c r="A5185" s="11">
        <v>46053</v>
      </c>
      <c r="B5185" s="5" t="s">
        <v>971</v>
      </c>
      <c r="C5185" s="3" t="s">
        <v>284</v>
      </c>
      <c r="D5185" s="5" t="s">
        <v>396</v>
      </c>
      <c r="E5185" s="5" t="s">
        <v>117</v>
      </c>
      <c r="F5185" s="6" t="s">
        <v>216</v>
      </c>
      <c r="G5185" s="4" t="s">
        <v>1</v>
      </c>
      <c r="H5185" s="25">
        <v>7.4612276700000004</v>
      </c>
      <c r="I5185" s="8">
        <v>0</v>
      </c>
      <c r="J5185" s="9">
        <v>2000</v>
      </c>
      <c r="K5185" s="7">
        <v>2000</v>
      </c>
      <c r="L5185" s="24">
        <f>+Tabla2[[#This Row],[Stock Inventario]]*Tabla2[[#This Row],[Coste LÃ­nea]]</f>
        <v>14922.45534</v>
      </c>
      <c r="M5185" s="24">
        <f>+Tabla2[[#This Row],[Variación Stock]]*Tabla2[[#This Row],[Coste LÃ­nea]]</f>
        <v>14922.45534</v>
      </c>
      <c r="N5185" s="22" t="str">
        <f>+IF(Tabla2[[#This Row],[Variación Stock]]&gt;0,"Sobrante",IF(Tabla2[[#This Row],[Variación Stock]]&lt;0,"Faltante","Sin novedad"))</f>
        <v>Sobrante</v>
      </c>
    </row>
    <row r="5186" spans="1:14" x14ac:dyDescent="0.25">
      <c r="A5186" s="11">
        <v>46053</v>
      </c>
      <c r="B5186" s="5" t="s">
        <v>971</v>
      </c>
      <c r="C5186" s="3" t="s">
        <v>284</v>
      </c>
      <c r="D5186" s="5" t="s">
        <v>118</v>
      </c>
      <c r="E5186" s="5" t="s">
        <v>112</v>
      </c>
      <c r="F5186" s="6" t="s">
        <v>152</v>
      </c>
      <c r="G5186" s="4" t="s">
        <v>2</v>
      </c>
      <c r="H5186" s="25">
        <v>7</v>
      </c>
      <c r="I5186" s="8">
        <v>0</v>
      </c>
      <c r="J5186" s="9">
        <v>0</v>
      </c>
      <c r="K5186" s="7">
        <v>0</v>
      </c>
      <c r="L5186" s="24">
        <f>+Tabla2[[#This Row],[Stock Inventario]]*Tabla2[[#This Row],[Coste LÃ­nea]]</f>
        <v>0</v>
      </c>
      <c r="M5186" s="24">
        <f>+Tabla2[[#This Row],[Variación Stock]]*Tabla2[[#This Row],[Coste LÃ­nea]]</f>
        <v>0</v>
      </c>
      <c r="N5186" s="22" t="str">
        <f>+IF(Tabla2[[#This Row],[Variación Stock]]&gt;0,"Sobrante",IF(Tabla2[[#This Row],[Variación Stock]]&lt;0,"Faltante","Sin novedad"))</f>
        <v>Sin novedad</v>
      </c>
    </row>
    <row r="5187" spans="1:14" hidden="1" x14ac:dyDescent="0.25">
      <c r="A5187" s="11">
        <v>46053</v>
      </c>
      <c r="B5187" s="5" t="s">
        <v>971</v>
      </c>
      <c r="C5187" s="3" t="s">
        <v>284</v>
      </c>
      <c r="D5187" s="5" t="s">
        <v>120</v>
      </c>
      <c r="E5187" s="5" t="s">
        <v>117</v>
      </c>
      <c r="F5187" s="6" t="s">
        <v>216</v>
      </c>
      <c r="G5187" s="4" t="s">
        <v>2</v>
      </c>
      <c r="H5187" s="25">
        <v>345.67500000000001</v>
      </c>
      <c r="I5187" s="8">
        <v>0</v>
      </c>
      <c r="J5187" s="9">
        <v>0</v>
      </c>
      <c r="K5187" s="7">
        <v>0</v>
      </c>
      <c r="L5187" s="24">
        <f>+Tabla2[[#This Row],[Stock Inventario]]*Tabla2[[#This Row],[Coste LÃ­nea]]</f>
        <v>0</v>
      </c>
      <c r="M5187" s="24">
        <f>+Tabla2[[#This Row],[Variación Stock]]*Tabla2[[#This Row],[Coste LÃ­nea]]</f>
        <v>0</v>
      </c>
      <c r="N5187" s="22" t="str">
        <f>+IF(Tabla2[[#This Row],[Variación Stock]]&gt;0,"Sobrante",IF(Tabla2[[#This Row],[Variación Stock]]&lt;0,"Faltante","Sin novedad"))</f>
        <v>Sin novedad</v>
      </c>
    </row>
    <row r="5188" spans="1:14" hidden="1" x14ac:dyDescent="0.25">
      <c r="A5188" s="11">
        <v>46053</v>
      </c>
      <c r="B5188" s="5" t="s">
        <v>971</v>
      </c>
      <c r="C5188" s="3" t="s">
        <v>284</v>
      </c>
      <c r="D5188" s="5" t="s">
        <v>120</v>
      </c>
      <c r="E5188" s="5" t="s">
        <v>117</v>
      </c>
      <c r="F5188" s="6" t="s">
        <v>216</v>
      </c>
      <c r="G5188" s="4" t="s">
        <v>0</v>
      </c>
      <c r="H5188" s="25">
        <v>2004.6129487200001</v>
      </c>
      <c r="I5188" s="8">
        <v>40</v>
      </c>
      <c r="J5188" s="9">
        <v>0</v>
      </c>
      <c r="K5188" s="7">
        <v>-40</v>
      </c>
      <c r="L5188" s="24">
        <f>+Tabla2[[#This Row],[Stock Inventario]]*Tabla2[[#This Row],[Coste LÃ­nea]]</f>
        <v>0</v>
      </c>
      <c r="M5188" s="24">
        <f>+Tabla2[[#This Row],[Variación Stock]]*Tabla2[[#This Row],[Coste LÃ­nea]]</f>
        <v>-80184.517948799999</v>
      </c>
      <c r="N5188" s="22" t="str">
        <f>+IF(Tabla2[[#This Row],[Variación Stock]]&gt;0,"Sobrante",IF(Tabla2[[#This Row],[Variación Stock]]&lt;0,"Faltante","Sin novedad"))</f>
        <v>Faltante</v>
      </c>
    </row>
    <row r="5189" spans="1:14" hidden="1" x14ac:dyDescent="0.25">
      <c r="A5189" s="11">
        <v>46053</v>
      </c>
      <c r="B5189" s="5" t="s">
        <v>971</v>
      </c>
      <c r="C5189" s="3" t="s">
        <v>284</v>
      </c>
      <c r="D5189" s="5" t="s">
        <v>120</v>
      </c>
      <c r="E5189" s="5" t="s">
        <v>117</v>
      </c>
      <c r="F5189" s="6" t="s">
        <v>216</v>
      </c>
      <c r="G5189" s="4" t="s">
        <v>1</v>
      </c>
      <c r="H5189" s="25">
        <v>126.77026882</v>
      </c>
      <c r="I5189" s="8">
        <v>0</v>
      </c>
      <c r="J5189" s="9">
        <v>0</v>
      </c>
      <c r="K5189" s="7">
        <v>0</v>
      </c>
      <c r="L5189" s="24">
        <f>+Tabla2[[#This Row],[Stock Inventario]]*Tabla2[[#This Row],[Coste LÃ­nea]]</f>
        <v>0</v>
      </c>
      <c r="M5189" s="24">
        <f>+Tabla2[[#This Row],[Variación Stock]]*Tabla2[[#This Row],[Coste LÃ­nea]]</f>
        <v>0</v>
      </c>
      <c r="N5189" s="22" t="str">
        <f>+IF(Tabla2[[#This Row],[Variación Stock]]&gt;0,"Sobrante",IF(Tabla2[[#This Row],[Variación Stock]]&lt;0,"Faltante","Sin novedad"))</f>
        <v>Sin novedad</v>
      </c>
    </row>
    <row r="5190" spans="1:14" hidden="1" x14ac:dyDescent="0.25">
      <c r="A5190" s="11">
        <v>46053</v>
      </c>
      <c r="B5190" s="5" t="s">
        <v>971</v>
      </c>
      <c r="C5190" s="3" t="s">
        <v>284</v>
      </c>
      <c r="D5190" s="5" t="s">
        <v>120</v>
      </c>
      <c r="E5190" s="5" t="s">
        <v>117</v>
      </c>
      <c r="F5190" s="6" t="s">
        <v>216</v>
      </c>
      <c r="G5190" s="4" t="s">
        <v>1</v>
      </c>
      <c r="H5190" s="25">
        <v>2.0401540699999998</v>
      </c>
      <c r="I5190" s="8">
        <v>0</v>
      </c>
      <c r="J5190" s="9">
        <v>0</v>
      </c>
      <c r="K5190" s="7">
        <v>0</v>
      </c>
      <c r="L5190" s="24">
        <f>+Tabla2[[#This Row],[Stock Inventario]]*Tabla2[[#This Row],[Coste LÃ­nea]]</f>
        <v>0</v>
      </c>
      <c r="M5190" s="24">
        <f>+Tabla2[[#This Row],[Variación Stock]]*Tabla2[[#This Row],[Coste LÃ­nea]]</f>
        <v>0</v>
      </c>
      <c r="N5190" s="22" t="str">
        <f>+IF(Tabla2[[#This Row],[Variación Stock]]&gt;0,"Sobrante",IF(Tabla2[[#This Row],[Variación Stock]]&lt;0,"Faltante","Sin novedad"))</f>
        <v>Sin novedad</v>
      </c>
    </row>
    <row r="5191" spans="1:14" hidden="1" x14ac:dyDescent="0.25">
      <c r="A5191" s="11">
        <v>46053</v>
      </c>
      <c r="B5191" s="5" t="s">
        <v>971</v>
      </c>
      <c r="C5191" s="3" t="s">
        <v>284</v>
      </c>
      <c r="D5191" s="5" t="s">
        <v>323</v>
      </c>
      <c r="E5191" s="5" t="s">
        <v>117</v>
      </c>
      <c r="F5191" s="6" t="s">
        <v>216</v>
      </c>
      <c r="G5191" s="4" t="s">
        <v>2</v>
      </c>
      <c r="H5191" s="25">
        <v>4</v>
      </c>
      <c r="I5191" s="8">
        <v>0</v>
      </c>
      <c r="J5191" s="9">
        <v>0</v>
      </c>
      <c r="K5191" s="7">
        <v>0</v>
      </c>
      <c r="L5191" s="24">
        <f>+Tabla2[[#This Row],[Stock Inventario]]*Tabla2[[#This Row],[Coste LÃ­nea]]</f>
        <v>0</v>
      </c>
      <c r="M5191" s="24">
        <f>+Tabla2[[#This Row],[Variación Stock]]*Tabla2[[#This Row],[Coste LÃ­nea]]</f>
        <v>0</v>
      </c>
      <c r="N5191" s="22" t="str">
        <f>+IF(Tabla2[[#This Row],[Variación Stock]]&gt;0,"Sobrante",IF(Tabla2[[#This Row],[Variación Stock]]&lt;0,"Faltante","Sin novedad"))</f>
        <v>Sin novedad</v>
      </c>
    </row>
    <row r="5192" spans="1:14" hidden="1" x14ac:dyDescent="0.25">
      <c r="A5192" s="11">
        <v>46053</v>
      </c>
      <c r="B5192" s="5" t="s">
        <v>971</v>
      </c>
      <c r="C5192" s="3" t="s">
        <v>284</v>
      </c>
      <c r="D5192" s="5" t="s">
        <v>323</v>
      </c>
      <c r="E5192" s="5" t="s">
        <v>117</v>
      </c>
      <c r="F5192" s="6" t="s">
        <v>216</v>
      </c>
      <c r="G5192" s="4" t="s">
        <v>1</v>
      </c>
      <c r="H5192" s="25">
        <v>0.21032166999999999</v>
      </c>
      <c r="I5192" s="8">
        <v>0</v>
      </c>
      <c r="J5192" s="9">
        <v>0</v>
      </c>
      <c r="K5192" s="7">
        <v>0</v>
      </c>
      <c r="L5192" s="24">
        <f>+Tabla2[[#This Row],[Stock Inventario]]*Tabla2[[#This Row],[Coste LÃ­nea]]</f>
        <v>0</v>
      </c>
      <c r="M5192" s="24">
        <f>+Tabla2[[#This Row],[Variación Stock]]*Tabla2[[#This Row],[Coste LÃ­nea]]</f>
        <v>0</v>
      </c>
      <c r="N5192" s="22" t="str">
        <f>+IF(Tabla2[[#This Row],[Variación Stock]]&gt;0,"Sobrante",IF(Tabla2[[#This Row],[Variación Stock]]&lt;0,"Faltante","Sin novedad"))</f>
        <v>Sin novedad</v>
      </c>
    </row>
    <row r="5193" spans="1:14" x14ac:dyDescent="0.25">
      <c r="A5193" s="11">
        <v>46053</v>
      </c>
      <c r="B5193" s="5" t="s">
        <v>971</v>
      </c>
      <c r="C5193" s="3" t="s">
        <v>284</v>
      </c>
      <c r="D5193" s="5" t="s">
        <v>121</v>
      </c>
      <c r="E5193" s="5" t="s">
        <v>112</v>
      </c>
      <c r="F5193" s="6" t="s">
        <v>152</v>
      </c>
      <c r="G5193" s="4" t="s">
        <v>1</v>
      </c>
      <c r="H5193" s="25">
        <v>41.52380952</v>
      </c>
      <c r="I5193" s="8">
        <v>1000</v>
      </c>
      <c r="J5193" s="9">
        <v>850</v>
      </c>
      <c r="K5193" s="7">
        <v>-150</v>
      </c>
      <c r="L5193" s="24">
        <f>+Tabla2[[#This Row],[Stock Inventario]]*Tabla2[[#This Row],[Coste LÃ­nea]]</f>
        <v>35295.238092</v>
      </c>
      <c r="M5193" s="24">
        <f>+Tabla2[[#This Row],[Variación Stock]]*Tabla2[[#This Row],[Coste LÃ­nea]]</f>
        <v>-6228.5714280000002</v>
      </c>
      <c r="N5193" s="22" t="str">
        <f>+IF(Tabla2[[#This Row],[Variación Stock]]&gt;0,"Sobrante",IF(Tabla2[[#This Row],[Variación Stock]]&lt;0,"Faltante","Sin novedad"))</f>
        <v>Faltante</v>
      </c>
    </row>
    <row r="5194" spans="1:14" hidden="1" x14ac:dyDescent="0.25">
      <c r="A5194" s="11">
        <v>46053</v>
      </c>
      <c r="B5194" s="5" t="s">
        <v>971</v>
      </c>
      <c r="C5194" s="3" t="s">
        <v>284</v>
      </c>
      <c r="D5194" s="5" t="s">
        <v>396</v>
      </c>
      <c r="E5194" s="5" t="s">
        <v>117</v>
      </c>
      <c r="F5194" s="6" t="s">
        <v>461</v>
      </c>
      <c r="G5194" s="4" t="s">
        <v>1</v>
      </c>
      <c r="H5194" s="25">
        <v>114.62</v>
      </c>
      <c r="I5194" s="8">
        <v>-37</v>
      </c>
      <c r="J5194" s="9">
        <v>0</v>
      </c>
      <c r="K5194" s="7">
        <v>37</v>
      </c>
      <c r="L5194" s="24">
        <f>+Tabla2[[#This Row],[Stock Inventario]]*Tabla2[[#This Row],[Coste LÃ­nea]]</f>
        <v>0</v>
      </c>
      <c r="M5194" s="24">
        <f>+Tabla2[[#This Row],[Variación Stock]]*Tabla2[[#This Row],[Coste LÃ­nea]]</f>
        <v>4240.9400000000005</v>
      </c>
      <c r="N5194" s="22" t="str">
        <f>+IF(Tabla2[[#This Row],[Variación Stock]]&gt;0,"Sobrante",IF(Tabla2[[#This Row],[Variación Stock]]&lt;0,"Faltante","Sin novedad"))</f>
        <v>Sobrante</v>
      </c>
    </row>
    <row r="5195" spans="1:14" hidden="1" x14ac:dyDescent="0.25">
      <c r="A5195" s="11">
        <v>46053</v>
      </c>
      <c r="B5195" s="5" t="s">
        <v>971</v>
      </c>
      <c r="C5195" s="3" t="s">
        <v>284</v>
      </c>
      <c r="D5195" s="5" t="s">
        <v>396</v>
      </c>
      <c r="E5195" s="5" t="s">
        <v>117</v>
      </c>
      <c r="F5195" s="6" t="s">
        <v>415</v>
      </c>
      <c r="G5195" s="4" t="s">
        <v>1</v>
      </c>
      <c r="H5195" s="25">
        <v>123.75920000000001</v>
      </c>
      <c r="I5195" s="8">
        <v>1963</v>
      </c>
      <c r="J5195" s="9">
        <v>714</v>
      </c>
      <c r="K5195" s="7">
        <v>-1249</v>
      </c>
      <c r="L5195" s="24">
        <f>+Tabla2[[#This Row],[Stock Inventario]]*Tabla2[[#This Row],[Coste LÃ­nea]]</f>
        <v>88364.068800000008</v>
      </c>
      <c r="M5195" s="24">
        <f>+Tabla2[[#This Row],[Variación Stock]]*Tabla2[[#This Row],[Coste LÃ­nea]]</f>
        <v>-154575.2408</v>
      </c>
      <c r="N5195" s="22" t="str">
        <f>+IF(Tabla2[[#This Row],[Variación Stock]]&gt;0,"Sobrante",IF(Tabla2[[#This Row],[Variación Stock]]&lt;0,"Faltante","Sin novedad"))</f>
        <v>Faltante</v>
      </c>
    </row>
    <row r="5196" spans="1:14" hidden="1" x14ac:dyDescent="0.25">
      <c r="A5196" s="11">
        <v>46053</v>
      </c>
      <c r="B5196" s="5" t="s">
        <v>971</v>
      </c>
      <c r="C5196" s="3" t="s">
        <v>284</v>
      </c>
      <c r="D5196" s="5" t="s">
        <v>471</v>
      </c>
      <c r="E5196" s="5" t="s">
        <v>117</v>
      </c>
      <c r="F5196" s="6" t="s">
        <v>518</v>
      </c>
      <c r="G5196" s="4" t="s">
        <v>1</v>
      </c>
      <c r="H5196" s="25">
        <v>10</v>
      </c>
      <c r="I5196" s="8">
        <v>0</v>
      </c>
      <c r="J5196" s="9">
        <v>0</v>
      </c>
      <c r="K5196" s="7">
        <v>0</v>
      </c>
      <c r="L5196" s="24">
        <f>+Tabla2[[#This Row],[Stock Inventario]]*Tabla2[[#This Row],[Coste LÃ­nea]]</f>
        <v>0</v>
      </c>
      <c r="M5196" s="24">
        <f>+Tabla2[[#This Row],[Variación Stock]]*Tabla2[[#This Row],[Coste LÃ­nea]]</f>
        <v>0</v>
      </c>
      <c r="N5196" s="22" t="str">
        <f>+IF(Tabla2[[#This Row],[Variación Stock]]&gt;0,"Sobrante",IF(Tabla2[[#This Row],[Variación Stock]]&lt;0,"Faltante","Sin novedad"))</f>
        <v>Sin novedad</v>
      </c>
    </row>
    <row r="5197" spans="1:14" x14ac:dyDescent="0.25">
      <c r="A5197" s="11">
        <v>46053</v>
      </c>
      <c r="B5197" s="5" t="s">
        <v>971</v>
      </c>
      <c r="C5197" s="3" t="s">
        <v>284</v>
      </c>
      <c r="D5197" s="5" t="s">
        <v>111</v>
      </c>
      <c r="E5197" s="5" t="s">
        <v>112</v>
      </c>
      <c r="F5197" s="6" t="s">
        <v>28</v>
      </c>
      <c r="G5197" s="4" t="s">
        <v>2</v>
      </c>
      <c r="H5197" s="25">
        <v>93956</v>
      </c>
      <c r="I5197" s="8">
        <v>1</v>
      </c>
      <c r="J5197" s="9">
        <v>1</v>
      </c>
      <c r="K5197" s="7">
        <v>0</v>
      </c>
      <c r="L5197" s="24">
        <f>+Tabla2[[#This Row],[Stock Inventario]]*Tabla2[[#This Row],[Coste LÃ­nea]]</f>
        <v>93956</v>
      </c>
      <c r="M5197" s="24">
        <f>+Tabla2[[#This Row],[Variación Stock]]*Tabla2[[#This Row],[Coste LÃ­nea]]</f>
        <v>0</v>
      </c>
      <c r="N5197" s="22" t="str">
        <f>+IF(Tabla2[[#This Row],[Variación Stock]]&gt;0,"Sobrante",IF(Tabla2[[#This Row],[Variación Stock]]&lt;0,"Faltante","Sin novedad"))</f>
        <v>Sin novedad</v>
      </c>
    </row>
    <row r="5198" spans="1:14" hidden="1" x14ac:dyDescent="0.25">
      <c r="A5198" s="11">
        <v>46053</v>
      </c>
      <c r="B5198" s="5" t="s">
        <v>971</v>
      </c>
      <c r="C5198" s="3" t="s">
        <v>284</v>
      </c>
      <c r="D5198" s="5" t="s">
        <v>471</v>
      </c>
      <c r="E5198" s="5" t="s">
        <v>117</v>
      </c>
      <c r="F5198" s="6" t="s">
        <v>477</v>
      </c>
      <c r="G5198" s="4" t="s">
        <v>1</v>
      </c>
      <c r="H5198" s="25">
        <v>12</v>
      </c>
      <c r="I5198" s="8">
        <v>1277</v>
      </c>
      <c r="J5198" s="9">
        <v>1700</v>
      </c>
      <c r="K5198" s="7">
        <v>423</v>
      </c>
      <c r="L5198" s="24">
        <f>+Tabla2[[#This Row],[Stock Inventario]]*Tabla2[[#This Row],[Coste LÃ­nea]]</f>
        <v>20400</v>
      </c>
      <c r="M5198" s="24">
        <f>+Tabla2[[#This Row],[Variación Stock]]*Tabla2[[#This Row],[Coste LÃ­nea]]</f>
        <v>5076</v>
      </c>
      <c r="N5198" s="22" t="str">
        <f>+IF(Tabla2[[#This Row],[Variación Stock]]&gt;0,"Sobrante",IF(Tabla2[[#This Row],[Variación Stock]]&lt;0,"Faltante","Sin novedad"))</f>
        <v>Sobrante</v>
      </c>
    </row>
    <row r="5199" spans="1:14" hidden="1" x14ac:dyDescent="0.25">
      <c r="A5199" s="11">
        <v>46053</v>
      </c>
      <c r="B5199" s="5" t="s">
        <v>971</v>
      </c>
      <c r="C5199" s="3" t="s">
        <v>284</v>
      </c>
      <c r="D5199" s="5" t="s">
        <v>559</v>
      </c>
      <c r="E5199" s="5" t="s">
        <v>1080</v>
      </c>
      <c r="F5199" s="6" t="s">
        <v>591</v>
      </c>
      <c r="G5199" s="4" t="s">
        <v>2</v>
      </c>
      <c r="H5199" s="25">
        <v>12.108333330000001</v>
      </c>
      <c r="I5199" s="8">
        <v>120</v>
      </c>
      <c r="J5199" s="9">
        <v>200</v>
      </c>
      <c r="K5199" s="7">
        <v>80</v>
      </c>
      <c r="L5199" s="24">
        <f>+Tabla2[[#This Row],[Stock Inventario]]*Tabla2[[#This Row],[Coste LÃ­nea]]</f>
        <v>2421.6666660000001</v>
      </c>
      <c r="M5199" s="24">
        <f>+Tabla2[[#This Row],[Variación Stock]]*Tabla2[[#This Row],[Coste LÃ­nea]]</f>
        <v>968.66666640000005</v>
      </c>
      <c r="N5199" s="22" t="str">
        <f>+IF(Tabla2[[#This Row],[Variación Stock]]&gt;0,"Sobrante",IF(Tabla2[[#This Row],[Variación Stock]]&lt;0,"Faltante","Sin novedad"))</f>
        <v>Sobrante</v>
      </c>
    </row>
    <row r="5200" spans="1:14" hidden="1" x14ac:dyDescent="0.25">
      <c r="A5200" s="11">
        <v>46053</v>
      </c>
      <c r="B5200" s="5" t="s">
        <v>971</v>
      </c>
      <c r="C5200" s="3" t="s">
        <v>284</v>
      </c>
      <c r="D5200" s="5" t="s">
        <v>119</v>
      </c>
      <c r="E5200" s="5" t="s">
        <v>117</v>
      </c>
      <c r="F5200" s="6" t="s">
        <v>12</v>
      </c>
      <c r="G5200" s="4" t="s">
        <v>2</v>
      </c>
      <c r="H5200" s="25">
        <v>773.5</v>
      </c>
      <c r="I5200" s="8">
        <v>0</v>
      </c>
      <c r="J5200" s="9">
        <v>0</v>
      </c>
      <c r="K5200" s="7">
        <v>0</v>
      </c>
      <c r="L5200" s="24">
        <f>+Tabla2[[#This Row],[Stock Inventario]]*Tabla2[[#This Row],[Coste LÃ­nea]]</f>
        <v>0</v>
      </c>
      <c r="M5200" s="24">
        <f>+Tabla2[[#This Row],[Variación Stock]]*Tabla2[[#This Row],[Coste LÃ­nea]]</f>
        <v>0</v>
      </c>
      <c r="N5200" s="22" t="str">
        <f>+IF(Tabla2[[#This Row],[Variación Stock]]&gt;0,"Sobrante",IF(Tabla2[[#This Row],[Variación Stock]]&lt;0,"Faltante","Sin novedad"))</f>
        <v>Sin novedad</v>
      </c>
    </row>
    <row r="5201" spans="1:14" hidden="1" x14ac:dyDescent="0.25">
      <c r="A5201" s="11">
        <v>46053</v>
      </c>
      <c r="B5201" s="5" t="s">
        <v>971</v>
      </c>
      <c r="C5201" s="3" t="s">
        <v>284</v>
      </c>
      <c r="D5201" s="5" t="s">
        <v>815</v>
      </c>
      <c r="E5201" s="5" t="s">
        <v>117</v>
      </c>
      <c r="F5201" s="6" t="s">
        <v>816</v>
      </c>
      <c r="G5201" s="4" t="s">
        <v>1</v>
      </c>
      <c r="H5201" s="25">
        <v>5.4166666699999997</v>
      </c>
      <c r="I5201" s="8">
        <v>0</v>
      </c>
      <c r="J5201" s="9">
        <v>0</v>
      </c>
      <c r="K5201" s="7">
        <v>0</v>
      </c>
      <c r="L5201" s="24">
        <f>+Tabla2[[#This Row],[Stock Inventario]]*Tabla2[[#This Row],[Coste LÃ­nea]]</f>
        <v>0</v>
      </c>
      <c r="M5201" s="24">
        <f>+Tabla2[[#This Row],[Variación Stock]]*Tabla2[[#This Row],[Coste LÃ­nea]]</f>
        <v>0</v>
      </c>
      <c r="N5201" s="22" t="str">
        <f>+IF(Tabla2[[#This Row],[Variación Stock]]&gt;0,"Sobrante",IF(Tabla2[[#This Row],[Variación Stock]]&lt;0,"Faltante","Sin novedad"))</f>
        <v>Sin novedad</v>
      </c>
    </row>
    <row r="5202" spans="1:14" x14ac:dyDescent="0.25">
      <c r="A5202" s="11">
        <v>46053</v>
      </c>
      <c r="B5202" s="5" t="s">
        <v>971</v>
      </c>
      <c r="C5202" s="3" t="s">
        <v>284</v>
      </c>
      <c r="D5202" s="5" t="s">
        <v>603</v>
      </c>
      <c r="E5202" s="5" t="s">
        <v>112</v>
      </c>
      <c r="F5202" s="6" t="s">
        <v>614</v>
      </c>
      <c r="G5202" s="4" t="s">
        <v>2</v>
      </c>
      <c r="H5202" s="25">
        <v>90.245000000000005</v>
      </c>
      <c r="I5202" s="8">
        <v>0</v>
      </c>
      <c r="J5202" s="9">
        <v>0</v>
      </c>
      <c r="K5202" s="7">
        <v>0</v>
      </c>
      <c r="L5202" s="24">
        <f>+Tabla2[[#This Row],[Stock Inventario]]*Tabla2[[#This Row],[Coste LÃ­nea]]</f>
        <v>0</v>
      </c>
      <c r="M5202" s="24">
        <f>+Tabla2[[#This Row],[Variación Stock]]*Tabla2[[#This Row],[Coste LÃ­nea]]</f>
        <v>0</v>
      </c>
      <c r="N5202" s="22" t="str">
        <f>+IF(Tabla2[[#This Row],[Variación Stock]]&gt;0,"Sobrante",IF(Tabla2[[#This Row],[Variación Stock]]&lt;0,"Faltante","Sin novedad"))</f>
        <v>Sin novedad</v>
      </c>
    </row>
    <row r="5203" spans="1:14" hidden="1" x14ac:dyDescent="0.25">
      <c r="A5203" s="11">
        <v>46053</v>
      </c>
      <c r="B5203" s="5" t="s">
        <v>971</v>
      </c>
      <c r="C5203" s="3" t="s">
        <v>284</v>
      </c>
      <c r="D5203" s="5" t="s">
        <v>396</v>
      </c>
      <c r="E5203" s="5" t="s">
        <v>117</v>
      </c>
      <c r="F5203" s="6" t="s">
        <v>445</v>
      </c>
      <c r="G5203" s="4" t="s">
        <v>1</v>
      </c>
      <c r="H5203" s="25">
        <v>18.048999999999999</v>
      </c>
      <c r="I5203" s="8">
        <v>0</v>
      </c>
      <c r="J5203" s="9">
        <v>0</v>
      </c>
      <c r="K5203" s="7">
        <v>0</v>
      </c>
      <c r="L5203" s="24">
        <f>+Tabla2[[#This Row],[Stock Inventario]]*Tabla2[[#This Row],[Coste LÃ­nea]]</f>
        <v>0</v>
      </c>
      <c r="M5203" s="24">
        <f>+Tabla2[[#This Row],[Variación Stock]]*Tabla2[[#This Row],[Coste LÃ­nea]]</f>
        <v>0</v>
      </c>
      <c r="N5203" s="22" t="str">
        <f>+IF(Tabla2[[#This Row],[Variación Stock]]&gt;0,"Sobrante",IF(Tabla2[[#This Row],[Variación Stock]]&lt;0,"Faltante","Sin novedad"))</f>
        <v>Sin novedad</v>
      </c>
    </row>
    <row r="5204" spans="1:14" hidden="1" x14ac:dyDescent="0.25">
      <c r="A5204" s="11">
        <v>46053</v>
      </c>
      <c r="B5204" s="5" t="s">
        <v>971</v>
      </c>
      <c r="C5204" s="3" t="s">
        <v>284</v>
      </c>
      <c r="D5204" s="5" t="s">
        <v>471</v>
      </c>
      <c r="E5204" s="5" t="s">
        <v>117</v>
      </c>
      <c r="F5204" s="6" t="s">
        <v>519</v>
      </c>
      <c r="G5204" s="4" t="s">
        <v>1</v>
      </c>
      <c r="H5204" s="25">
        <v>6.6</v>
      </c>
      <c r="I5204" s="8">
        <v>0</v>
      </c>
      <c r="J5204" s="9">
        <v>0</v>
      </c>
      <c r="K5204" s="7">
        <v>0</v>
      </c>
      <c r="L5204" s="24">
        <f>+Tabla2[[#This Row],[Stock Inventario]]*Tabla2[[#This Row],[Coste LÃ­nea]]</f>
        <v>0</v>
      </c>
      <c r="M5204" s="24">
        <f>+Tabla2[[#This Row],[Variación Stock]]*Tabla2[[#This Row],[Coste LÃ­nea]]</f>
        <v>0</v>
      </c>
      <c r="N5204" s="22" t="str">
        <f>+IF(Tabla2[[#This Row],[Variación Stock]]&gt;0,"Sobrante",IF(Tabla2[[#This Row],[Variación Stock]]&lt;0,"Faltante","Sin novedad"))</f>
        <v>Sin novedad</v>
      </c>
    </row>
    <row r="5205" spans="1:14" hidden="1" x14ac:dyDescent="0.25">
      <c r="A5205" s="11">
        <v>46053</v>
      </c>
      <c r="B5205" s="5" t="s">
        <v>971</v>
      </c>
      <c r="C5205" s="3" t="s">
        <v>284</v>
      </c>
      <c r="D5205" s="5" t="s">
        <v>471</v>
      </c>
      <c r="E5205" s="5" t="s">
        <v>117</v>
      </c>
      <c r="F5205" s="6" t="s">
        <v>520</v>
      </c>
      <c r="G5205" s="4" t="s">
        <v>1</v>
      </c>
      <c r="H5205" s="25">
        <v>4.5</v>
      </c>
      <c r="I5205" s="8">
        <v>47712.1633</v>
      </c>
      <c r="J5205" s="9">
        <v>0</v>
      </c>
      <c r="K5205" s="7">
        <v>-62712.163249999998</v>
      </c>
      <c r="L5205" s="24">
        <f>+Tabla2[[#This Row],[Stock Inventario]]*Tabla2[[#This Row],[Coste LÃ­nea]]</f>
        <v>0</v>
      </c>
      <c r="M5205" s="24">
        <f>+Tabla2[[#This Row],[Variación Stock]]*Tabla2[[#This Row],[Coste LÃ­nea]]</f>
        <v>-282204.73462499998</v>
      </c>
      <c r="N5205" s="22" t="str">
        <f>+IF(Tabla2[[#This Row],[Variación Stock]]&gt;0,"Sobrante",IF(Tabla2[[#This Row],[Variación Stock]]&lt;0,"Faltante","Sin novedad"))</f>
        <v>Faltante</v>
      </c>
    </row>
    <row r="5206" spans="1:14" hidden="1" x14ac:dyDescent="0.25">
      <c r="A5206" s="11">
        <v>46053</v>
      </c>
      <c r="B5206" s="5" t="s">
        <v>971</v>
      </c>
      <c r="C5206" s="3" t="s">
        <v>284</v>
      </c>
      <c r="D5206" s="5" t="s">
        <v>396</v>
      </c>
      <c r="E5206" s="5" t="s">
        <v>117</v>
      </c>
      <c r="F5206" s="6" t="s">
        <v>446</v>
      </c>
      <c r="G5206" s="4" t="s">
        <v>1</v>
      </c>
      <c r="H5206" s="25">
        <v>15.50333333</v>
      </c>
      <c r="I5206" s="8">
        <v>13614</v>
      </c>
      <c r="J5206" s="9">
        <v>3122</v>
      </c>
      <c r="K5206" s="7">
        <v>-34492</v>
      </c>
      <c r="L5206" s="24">
        <f>+Tabla2[[#This Row],[Stock Inventario]]*Tabla2[[#This Row],[Coste LÃ­nea]]</f>
        <v>48401.406656259998</v>
      </c>
      <c r="M5206" s="24">
        <f>+Tabla2[[#This Row],[Variación Stock]]*Tabla2[[#This Row],[Coste LÃ­nea]]</f>
        <v>-534740.97321835998</v>
      </c>
      <c r="N5206" s="22" t="str">
        <f>+IF(Tabla2[[#This Row],[Variación Stock]]&gt;0,"Sobrante",IF(Tabla2[[#This Row],[Variación Stock]]&lt;0,"Faltante","Sin novedad"))</f>
        <v>Faltante</v>
      </c>
    </row>
    <row r="5207" spans="1:14" hidden="1" x14ac:dyDescent="0.25">
      <c r="A5207" s="11">
        <v>46053</v>
      </c>
      <c r="B5207" s="5" t="s">
        <v>971</v>
      </c>
      <c r="C5207" s="3" t="s">
        <v>284</v>
      </c>
      <c r="D5207" s="5" t="s">
        <v>471</v>
      </c>
      <c r="E5207" s="5" t="s">
        <v>117</v>
      </c>
      <c r="F5207" s="6" t="s">
        <v>521</v>
      </c>
      <c r="G5207" s="4" t="s">
        <v>1</v>
      </c>
      <c r="H5207" s="25">
        <v>6.5</v>
      </c>
      <c r="I5207" s="8">
        <v>7832</v>
      </c>
      <c r="J5207" s="9">
        <v>1674</v>
      </c>
      <c r="K5207" s="7">
        <v>-7158.0000399999999</v>
      </c>
      <c r="L5207" s="24">
        <f>+Tabla2[[#This Row],[Stock Inventario]]*Tabla2[[#This Row],[Coste LÃ­nea]]</f>
        <v>10881</v>
      </c>
      <c r="M5207" s="24">
        <f>+Tabla2[[#This Row],[Variación Stock]]*Tabla2[[#This Row],[Coste LÃ­nea]]</f>
        <v>-46527.000260000001</v>
      </c>
      <c r="N5207" s="22" t="str">
        <f>+IF(Tabla2[[#This Row],[Variación Stock]]&gt;0,"Sobrante",IF(Tabla2[[#This Row],[Variación Stock]]&lt;0,"Faltante","Sin novedad"))</f>
        <v>Faltante</v>
      </c>
    </row>
    <row r="5208" spans="1:14" hidden="1" x14ac:dyDescent="0.25">
      <c r="A5208" s="11">
        <v>46053</v>
      </c>
      <c r="B5208" s="5" t="s">
        <v>971</v>
      </c>
      <c r="C5208" s="3" t="s">
        <v>284</v>
      </c>
      <c r="D5208" s="5" t="s">
        <v>803</v>
      </c>
      <c r="E5208" s="5" t="s">
        <v>117</v>
      </c>
      <c r="F5208" s="6" t="s">
        <v>810</v>
      </c>
      <c r="G5208" s="4" t="s">
        <v>1</v>
      </c>
      <c r="H5208" s="25">
        <v>17.410252100000001</v>
      </c>
      <c r="I5208" s="8">
        <v>0</v>
      </c>
      <c r="J5208" s="9">
        <v>0</v>
      </c>
      <c r="K5208" s="7">
        <v>0</v>
      </c>
      <c r="L5208" s="24">
        <f>+Tabla2[[#This Row],[Stock Inventario]]*Tabla2[[#This Row],[Coste LÃ­nea]]</f>
        <v>0</v>
      </c>
      <c r="M5208" s="24">
        <f>+Tabla2[[#This Row],[Variación Stock]]*Tabla2[[#This Row],[Coste LÃ­nea]]</f>
        <v>0</v>
      </c>
      <c r="N5208" s="22" t="str">
        <f>+IF(Tabla2[[#This Row],[Variación Stock]]&gt;0,"Sobrante",IF(Tabla2[[#This Row],[Variación Stock]]&lt;0,"Faltante","Sin novedad"))</f>
        <v>Sin novedad</v>
      </c>
    </row>
    <row r="5209" spans="1:14" hidden="1" x14ac:dyDescent="0.25">
      <c r="A5209" s="11">
        <v>46053</v>
      </c>
      <c r="B5209" s="5" t="s">
        <v>971</v>
      </c>
      <c r="C5209" s="3" t="s">
        <v>284</v>
      </c>
      <c r="D5209" s="5" t="s">
        <v>396</v>
      </c>
      <c r="E5209" s="5" t="s">
        <v>117</v>
      </c>
      <c r="F5209" s="6" t="s">
        <v>447</v>
      </c>
      <c r="G5209" s="4" t="s">
        <v>1</v>
      </c>
      <c r="H5209" s="25">
        <v>26.683</v>
      </c>
      <c r="I5209" s="8">
        <v>0</v>
      </c>
      <c r="J5209" s="9">
        <v>0</v>
      </c>
      <c r="K5209" s="7">
        <v>0</v>
      </c>
      <c r="L5209" s="24">
        <f>+Tabla2[[#This Row],[Stock Inventario]]*Tabla2[[#This Row],[Coste LÃ­nea]]</f>
        <v>0</v>
      </c>
      <c r="M5209" s="24">
        <f>+Tabla2[[#This Row],[Variación Stock]]*Tabla2[[#This Row],[Coste LÃ­nea]]</f>
        <v>0</v>
      </c>
      <c r="N5209" s="22" t="str">
        <f>+IF(Tabla2[[#This Row],[Variación Stock]]&gt;0,"Sobrante",IF(Tabla2[[#This Row],[Variación Stock]]&lt;0,"Faltante","Sin novedad"))</f>
        <v>Sin novedad</v>
      </c>
    </row>
    <row r="5210" spans="1:14" hidden="1" x14ac:dyDescent="0.25">
      <c r="A5210" s="11">
        <v>46053</v>
      </c>
      <c r="B5210" s="5" t="s">
        <v>971</v>
      </c>
      <c r="C5210" s="3" t="s">
        <v>284</v>
      </c>
      <c r="D5210" s="5" t="s">
        <v>396</v>
      </c>
      <c r="E5210" s="5" t="s">
        <v>117</v>
      </c>
      <c r="F5210" s="6" t="s">
        <v>408</v>
      </c>
      <c r="G5210" s="4" t="s">
        <v>1</v>
      </c>
      <c r="H5210" s="25">
        <v>2150</v>
      </c>
      <c r="I5210" s="8">
        <v>0</v>
      </c>
      <c r="J5210" s="9">
        <v>0</v>
      </c>
      <c r="K5210" s="7">
        <v>0</v>
      </c>
      <c r="L5210" s="24">
        <f>+Tabla2[[#This Row],[Stock Inventario]]*Tabla2[[#This Row],[Coste LÃ­nea]]</f>
        <v>0</v>
      </c>
      <c r="M5210" s="24">
        <f>+Tabla2[[#This Row],[Variación Stock]]*Tabla2[[#This Row],[Coste LÃ­nea]]</f>
        <v>0</v>
      </c>
      <c r="N5210" s="22" t="str">
        <f>+IF(Tabla2[[#This Row],[Variación Stock]]&gt;0,"Sobrante",IF(Tabla2[[#This Row],[Variación Stock]]&lt;0,"Faltante","Sin novedad"))</f>
        <v>Sin novedad</v>
      </c>
    </row>
    <row r="5211" spans="1:14" hidden="1" x14ac:dyDescent="0.25">
      <c r="A5211" s="11">
        <v>46053</v>
      </c>
      <c r="B5211" s="5" t="s">
        <v>971</v>
      </c>
      <c r="C5211" s="3" t="s">
        <v>284</v>
      </c>
      <c r="D5211" s="5" t="s">
        <v>116</v>
      </c>
      <c r="E5211" s="5" t="s">
        <v>117</v>
      </c>
      <c r="F5211" s="6" t="s">
        <v>255</v>
      </c>
      <c r="G5211" s="4" t="s">
        <v>1</v>
      </c>
      <c r="H5211" s="25">
        <v>32</v>
      </c>
      <c r="I5211" s="8">
        <v>0</v>
      </c>
      <c r="J5211" s="9">
        <v>0</v>
      </c>
      <c r="K5211" s="7">
        <v>0</v>
      </c>
      <c r="L5211" s="24">
        <f>+Tabla2[[#This Row],[Stock Inventario]]*Tabla2[[#This Row],[Coste LÃ­nea]]</f>
        <v>0</v>
      </c>
      <c r="M5211" s="24">
        <f>+Tabla2[[#This Row],[Variación Stock]]*Tabla2[[#This Row],[Coste LÃ­nea]]</f>
        <v>0</v>
      </c>
      <c r="N5211" s="22" t="str">
        <f>+IF(Tabla2[[#This Row],[Variación Stock]]&gt;0,"Sobrante",IF(Tabla2[[#This Row],[Variación Stock]]&lt;0,"Faltante","Sin novedad"))</f>
        <v>Sin novedad</v>
      </c>
    </row>
    <row r="5212" spans="1:14" hidden="1" x14ac:dyDescent="0.25">
      <c r="A5212" s="11">
        <v>46053</v>
      </c>
      <c r="B5212" s="5" t="s">
        <v>971</v>
      </c>
      <c r="C5212" s="3" t="s">
        <v>284</v>
      </c>
      <c r="D5212" s="5" t="s">
        <v>116</v>
      </c>
      <c r="E5212" s="5" t="s">
        <v>117</v>
      </c>
      <c r="F5212" s="6" t="s">
        <v>5</v>
      </c>
      <c r="G5212" s="4" t="s">
        <v>1</v>
      </c>
      <c r="H5212" s="25">
        <v>23</v>
      </c>
      <c r="I5212" s="8">
        <v>8516.6666999999998</v>
      </c>
      <c r="J5212" s="9">
        <v>8000</v>
      </c>
      <c r="K5212" s="7">
        <v>-516.66666999999995</v>
      </c>
      <c r="L5212" s="24">
        <f>+Tabla2[[#This Row],[Stock Inventario]]*Tabla2[[#This Row],[Coste LÃ­nea]]</f>
        <v>184000</v>
      </c>
      <c r="M5212" s="24">
        <f>+Tabla2[[#This Row],[Variación Stock]]*Tabla2[[#This Row],[Coste LÃ­nea]]</f>
        <v>-11883.333409999999</v>
      </c>
      <c r="N5212" s="22" t="str">
        <f>+IF(Tabla2[[#This Row],[Variación Stock]]&gt;0,"Sobrante",IF(Tabla2[[#This Row],[Variación Stock]]&lt;0,"Faltante","Sin novedad"))</f>
        <v>Faltante</v>
      </c>
    </row>
    <row r="5213" spans="1:14" hidden="1" x14ac:dyDescent="0.25">
      <c r="A5213" s="11">
        <v>46053</v>
      </c>
      <c r="B5213" s="5" t="s">
        <v>971</v>
      </c>
      <c r="C5213" s="3" t="s">
        <v>284</v>
      </c>
      <c r="D5213" s="5" t="s">
        <v>559</v>
      </c>
      <c r="E5213" s="5" t="s">
        <v>1080</v>
      </c>
      <c r="F5213" s="6" t="s">
        <v>592</v>
      </c>
      <c r="G5213" s="4" t="s">
        <v>2</v>
      </c>
      <c r="H5213" s="25">
        <v>105046</v>
      </c>
      <c r="I5213" s="8">
        <v>4</v>
      </c>
      <c r="J5213" s="9">
        <v>200</v>
      </c>
      <c r="K5213" s="7">
        <v>196</v>
      </c>
      <c r="L5213" s="24">
        <f>+Tabla2[[#This Row],[Stock Inventario]]*Tabla2[[#This Row],[Coste LÃ­nea]]</f>
        <v>21009200</v>
      </c>
      <c r="M5213" s="24">
        <f>+Tabla2[[#This Row],[Variación Stock]]*Tabla2[[#This Row],[Coste LÃ­nea]]</f>
        <v>20589016</v>
      </c>
      <c r="N5213" s="22" t="str">
        <f>+IF(Tabla2[[#This Row],[Variación Stock]]&gt;0,"Sobrante",IF(Tabla2[[#This Row],[Variación Stock]]&lt;0,"Faltante","Sin novedad"))</f>
        <v>Sobrante</v>
      </c>
    </row>
    <row r="5214" spans="1:14" hidden="1" x14ac:dyDescent="0.25">
      <c r="A5214" s="11">
        <v>46053</v>
      </c>
      <c r="B5214" s="5" t="s">
        <v>971</v>
      </c>
      <c r="C5214" s="3" t="s">
        <v>284</v>
      </c>
      <c r="D5214" s="5" t="s">
        <v>471</v>
      </c>
      <c r="E5214" s="5" t="s">
        <v>117</v>
      </c>
      <c r="F5214" s="6" t="s">
        <v>522</v>
      </c>
      <c r="G5214" s="4" t="s">
        <v>1</v>
      </c>
      <c r="H5214" s="25">
        <v>5.5</v>
      </c>
      <c r="I5214" s="8">
        <v>1960</v>
      </c>
      <c r="J5214" s="9">
        <v>0</v>
      </c>
      <c r="K5214" s="7">
        <v>-1960</v>
      </c>
      <c r="L5214" s="24">
        <f>+Tabla2[[#This Row],[Stock Inventario]]*Tabla2[[#This Row],[Coste LÃ­nea]]</f>
        <v>0</v>
      </c>
      <c r="M5214" s="24">
        <f>+Tabla2[[#This Row],[Variación Stock]]*Tabla2[[#This Row],[Coste LÃ­nea]]</f>
        <v>-10780</v>
      </c>
      <c r="N5214" s="22" t="str">
        <f>+IF(Tabla2[[#This Row],[Variación Stock]]&gt;0,"Sobrante",IF(Tabla2[[#This Row],[Variación Stock]]&lt;0,"Faltante","Sin novedad"))</f>
        <v>Faltante</v>
      </c>
    </row>
    <row r="5215" spans="1:14" hidden="1" x14ac:dyDescent="0.25">
      <c r="A5215" s="11">
        <v>46053</v>
      </c>
      <c r="B5215" s="5" t="s">
        <v>971</v>
      </c>
      <c r="C5215" s="3" t="s">
        <v>284</v>
      </c>
      <c r="D5215" s="5" t="s">
        <v>471</v>
      </c>
      <c r="E5215" s="5" t="s">
        <v>117</v>
      </c>
      <c r="F5215" s="6" t="s">
        <v>523</v>
      </c>
      <c r="G5215" s="4" t="s">
        <v>1</v>
      </c>
      <c r="H5215" s="25">
        <v>8</v>
      </c>
      <c r="I5215" s="8">
        <v>-1160</v>
      </c>
      <c r="J5215" s="9">
        <v>0</v>
      </c>
      <c r="K5215" s="7">
        <v>1160</v>
      </c>
      <c r="L5215" s="24">
        <f>+Tabla2[[#This Row],[Stock Inventario]]*Tabla2[[#This Row],[Coste LÃ­nea]]</f>
        <v>0</v>
      </c>
      <c r="M5215" s="24">
        <f>+Tabla2[[#This Row],[Variación Stock]]*Tabla2[[#This Row],[Coste LÃ­nea]]</f>
        <v>9280</v>
      </c>
      <c r="N5215" s="22" t="str">
        <f>+IF(Tabla2[[#This Row],[Variación Stock]]&gt;0,"Sobrante",IF(Tabla2[[#This Row],[Variación Stock]]&lt;0,"Faltante","Sin novedad"))</f>
        <v>Sobrante</v>
      </c>
    </row>
    <row r="5216" spans="1:14" x14ac:dyDescent="0.25">
      <c r="A5216" s="11">
        <v>46053</v>
      </c>
      <c r="B5216" s="5" t="s">
        <v>971</v>
      </c>
      <c r="C5216" s="3" t="s">
        <v>284</v>
      </c>
      <c r="D5216" s="5" t="s">
        <v>603</v>
      </c>
      <c r="E5216" s="5" t="s">
        <v>112</v>
      </c>
      <c r="F5216" s="6" t="s">
        <v>604</v>
      </c>
      <c r="G5216" s="4" t="s">
        <v>1</v>
      </c>
      <c r="H5216" s="25">
        <v>350</v>
      </c>
      <c r="I5216" s="8">
        <v>-98</v>
      </c>
      <c r="J5216" s="9">
        <v>0</v>
      </c>
      <c r="K5216" s="7">
        <v>98</v>
      </c>
      <c r="L5216" s="24">
        <f>+Tabla2[[#This Row],[Stock Inventario]]*Tabla2[[#This Row],[Coste LÃ­nea]]</f>
        <v>0</v>
      </c>
      <c r="M5216" s="24">
        <f>+Tabla2[[#This Row],[Variación Stock]]*Tabla2[[#This Row],[Coste LÃ­nea]]</f>
        <v>34300</v>
      </c>
      <c r="N5216" s="22" t="str">
        <f>+IF(Tabla2[[#This Row],[Variación Stock]]&gt;0,"Sobrante",IF(Tabla2[[#This Row],[Variación Stock]]&lt;0,"Faltante","Sin novedad"))</f>
        <v>Sobrante</v>
      </c>
    </row>
    <row r="5217" spans="1:14" hidden="1" x14ac:dyDescent="0.25">
      <c r="A5217" s="11">
        <v>46053</v>
      </c>
      <c r="B5217" s="5" t="s">
        <v>971</v>
      </c>
      <c r="C5217" s="3" t="s">
        <v>284</v>
      </c>
      <c r="D5217" s="5" t="s">
        <v>626</v>
      </c>
      <c r="E5217" s="5" t="s">
        <v>1079</v>
      </c>
      <c r="F5217" s="6" t="s">
        <v>674</v>
      </c>
      <c r="G5217" s="4" t="s">
        <v>2</v>
      </c>
      <c r="H5217" s="25">
        <v>59619</v>
      </c>
      <c r="I5217" s="8">
        <v>1</v>
      </c>
      <c r="J5217" s="9">
        <v>1</v>
      </c>
      <c r="K5217" s="7">
        <v>0</v>
      </c>
      <c r="L5217" s="24">
        <f>+Tabla2[[#This Row],[Stock Inventario]]*Tabla2[[#This Row],[Coste LÃ­nea]]</f>
        <v>59619</v>
      </c>
      <c r="M5217" s="24">
        <f>+Tabla2[[#This Row],[Variación Stock]]*Tabla2[[#This Row],[Coste LÃ­nea]]</f>
        <v>0</v>
      </c>
      <c r="N5217" s="22" t="str">
        <f>+IF(Tabla2[[#This Row],[Variación Stock]]&gt;0,"Sobrante",IF(Tabla2[[#This Row],[Variación Stock]]&lt;0,"Faltante","Sin novedad"))</f>
        <v>Sin novedad</v>
      </c>
    </row>
    <row r="5218" spans="1:14" hidden="1" x14ac:dyDescent="0.25">
      <c r="A5218" s="11">
        <v>46053</v>
      </c>
      <c r="B5218" s="5" t="s">
        <v>971</v>
      </c>
      <c r="C5218" s="3" t="s">
        <v>284</v>
      </c>
      <c r="D5218" s="5" t="s">
        <v>626</v>
      </c>
      <c r="E5218" s="5" t="s">
        <v>1079</v>
      </c>
      <c r="F5218" s="6" t="s">
        <v>662</v>
      </c>
      <c r="G5218" s="4" t="s">
        <v>2</v>
      </c>
      <c r="H5218" s="25">
        <v>88060</v>
      </c>
      <c r="I5218" s="8">
        <v>10</v>
      </c>
      <c r="J5218" s="9">
        <v>7</v>
      </c>
      <c r="K5218" s="7">
        <v>-3</v>
      </c>
      <c r="L5218" s="24">
        <f>+Tabla2[[#This Row],[Stock Inventario]]*Tabla2[[#This Row],[Coste LÃ­nea]]</f>
        <v>616420</v>
      </c>
      <c r="M5218" s="24">
        <f>+Tabla2[[#This Row],[Variación Stock]]*Tabla2[[#This Row],[Coste LÃ­nea]]</f>
        <v>-264180</v>
      </c>
      <c r="N5218" s="22" t="str">
        <f>+IF(Tabla2[[#This Row],[Variación Stock]]&gt;0,"Sobrante",IF(Tabla2[[#This Row],[Variación Stock]]&lt;0,"Faltante","Sin novedad"))</f>
        <v>Faltante</v>
      </c>
    </row>
    <row r="5219" spans="1:14" hidden="1" x14ac:dyDescent="0.25">
      <c r="A5219" s="11">
        <v>46053</v>
      </c>
      <c r="B5219" s="5" t="s">
        <v>971</v>
      </c>
      <c r="C5219" s="3" t="s">
        <v>284</v>
      </c>
      <c r="D5219" s="5" t="s">
        <v>471</v>
      </c>
      <c r="E5219" s="5" t="s">
        <v>117</v>
      </c>
      <c r="F5219" s="6" t="s">
        <v>525</v>
      </c>
      <c r="G5219" s="4" t="s">
        <v>1</v>
      </c>
      <c r="H5219" s="25">
        <v>5.2</v>
      </c>
      <c r="I5219" s="8">
        <v>8257.4194000000007</v>
      </c>
      <c r="J5219" s="9">
        <v>735</v>
      </c>
      <c r="K5219" s="7">
        <v>-7522.4193500000001</v>
      </c>
      <c r="L5219" s="24">
        <f>+Tabla2[[#This Row],[Stock Inventario]]*Tabla2[[#This Row],[Coste LÃ­nea]]</f>
        <v>3822</v>
      </c>
      <c r="M5219" s="24">
        <f>+Tabla2[[#This Row],[Variación Stock]]*Tabla2[[#This Row],[Coste LÃ­nea]]</f>
        <v>-39116.580620000001</v>
      </c>
      <c r="N5219" s="22" t="str">
        <f>+IF(Tabla2[[#This Row],[Variación Stock]]&gt;0,"Sobrante",IF(Tabla2[[#This Row],[Variación Stock]]&lt;0,"Faltante","Sin novedad"))</f>
        <v>Faltante</v>
      </c>
    </row>
    <row r="5220" spans="1:14" hidden="1" x14ac:dyDescent="0.25">
      <c r="A5220" s="11">
        <v>46053</v>
      </c>
      <c r="B5220" s="5" t="s">
        <v>971</v>
      </c>
      <c r="C5220" s="3" t="s">
        <v>284</v>
      </c>
      <c r="D5220" s="5" t="s">
        <v>471</v>
      </c>
      <c r="E5220" s="5" t="s">
        <v>117</v>
      </c>
      <c r="F5220" s="6" t="s">
        <v>524</v>
      </c>
      <c r="G5220" s="4" t="s">
        <v>1</v>
      </c>
      <c r="H5220" s="25">
        <v>5.8</v>
      </c>
      <c r="I5220" s="8">
        <v>320</v>
      </c>
      <c r="J5220" s="9">
        <v>0</v>
      </c>
      <c r="K5220" s="7">
        <v>-320</v>
      </c>
      <c r="L5220" s="24">
        <f>+Tabla2[[#This Row],[Stock Inventario]]*Tabla2[[#This Row],[Coste LÃ­nea]]</f>
        <v>0</v>
      </c>
      <c r="M5220" s="24">
        <f>+Tabla2[[#This Row],[Variación Stock]]*Tabla2[[#This Row],[Coste LÃ­nea]]</f>
        <v>-1856</v>
      </c>
      <c r="N5220" s="22" t="str">
        <f>+IF(Tabla2[[#This Row],[Variación Stock]]&gt;0,"Sobrante",IF(Tabla2[[#This Row],[Variación Stock]]&lt;0,"Faltante","Sin novedad"))</f>
        <v>Faltante</v>
      </c>
    </row>
    <row r="5221" spans="1:14" hidden="1" x14ac:dyDescent="0.25">
      <c r="A5221" s="11">
        <v>46053</v>
      </c>
      <c r="B5221" s="5" t="s">
        <v>971</v>
      </c>
      <c r="C5221" s="3" t="s">
        <v>284</v>
      </c>
      <c r="D5221" s="5" t="s">
        <v>396</v>
      </c>
      <c r="E5221" s="5" t="s">
        <v>117</v>
      </c>
      <c r="F5221" s="6" t="s">
        <v>416</v>
      </c>
      <c r="G5221" s="4" t="s">
        <v>1</v>
      </c>
      <c r="H5221" s="25">
        <v>101.6566</v>
      </c>
      <c r="I5221" s="8">
        <v>0</v>
      </c>
      <c r="J5221" s="9">
        <v>0</v>
      </c>
      <c r="K5221" s="7">
        <v>0</v>
      </c>
      <c r="L5221" s="24">
        <f>+Tabla2[[#This Row],[Stock Inventario]]*Tabla2[[#This Row],[Coste LÃ­nea]]</f>
        <v>0</v>
      </c>
      <c r="M5221" s="24">
        <f>+Tabla2[[#This Row],[Variación Stock]]*Tabla2[[#This Row],[Coste LÃ­nea]]</f>
        <v>0</v>
      </c>
      <c r="N5221" s="22" t="str">
        <f>+IF(Tabla2[[#This Row],[Variación Stock]]&gt;0,"Sobrante",IF(Tabla2[[#This Row],[Variación Stock]]&lt;0,"Faltante","Sin novedad"))</f>
        <v>Sin novedad</v>
      </c>
    </row>
    <row r="5222" spans="1:14" hidden="1" x14ac:dyDescent="0.25">
      <c r="A5222" s="11">
        <v>46053</v>
      </c>
      <c r="B5222" s="5" t="s">
        <v>971</v>
      </c>
      <c r="C5222" s="3" t="s">
        <v>284</v>
      </c>
      <c r="D5222" s="5" t="s">
        <v>396</v>
      </c>
      <c r="E5222" s="5" t="s">
        <v>117</v>
      </c>
      <c r="F5222" s="6" t="s">
        <v>448</v>
      </c>
      <c r="G5222" s="4" t="s">
        <v>1</v>
      </c>
      <c r="H5222" s="25">
        <v>94.618942730000001</v>
      </c>
      <c r="I5222" s="8">
        <v>1104.1532999999999</v>
      </c>
      <c r="J5222" s="9">
        <v>1359</v>
      </c>
      <c r="K5222" s="7">
        <v>254.846732</v>
      </c>
      <c r="L5222" s="24">
        <f>+Tabla2[[#This Row],[Stock Inventario]]*Tabla2[[#This Row],[Coste LÃ­nea]]</f>
        <v>128587.14317007</v>
      </c>
      <c r="M5222" s="24">
        <f>+Tabla2[[#This Row],[Variación Stock]]*Tabla2[[#This Row],[Coste LÃ­nea]]</f>
        <v>24113.328340035659</v>
      </c>
      <c r="N5222" s="22" t="str">
        <f>+IF(Tabla2[[#This Row],[Variación Stock]]&gt;0,"Sobrante",IF(Tabla2[[#This Row],[Variación Stock]]&lt;0,"Faltante","Sin novedad"))</f>
        <v>Sobrante</v>
      </c>
    </row>
    <row r="5223" spans="1:14" hidden="1" x14ac:dyDescent="0.25">
      <c r="A5223" s="11">
        <v>46053</v>
      </c>
      <c r="B5223" s="5" t="s">
        <v>971</v>
      </c>
      <c r="C5223" s="3" t="s">
        <v>284</v>
      </c>
      <c r="D5223" s="5" t="s">
        <v>396</v>
      </c>
      <c r="E5223" s="5" t="s">
        <v>117</v>
      </c>
      <c r="F5223" s="6" t="s">
        <v>419</v>
      </c>
      <c r="G5223" s="4" t="s">
        <v>1</v>
      </c>
      <c r="H5223" s="25">
        <v>416.51208402999998</v>
      </c>
      <c r="I5223" s="8">
        <v>-210</v>
      </c>
      <c r="J5223" s="9">
        <v>0</v>
      </c>
      <c r="K5223" s="7">
        <v>210</v>
      </c>
      <c r="L5223" s="24">
        <f>+Tabla2[[#This Row],[Stock Inventario]]*Tabla2[[#This Row],[Coste LÃ­nea]]</f>
        <v>0</v>
      </c>
      <c r="M5223" s="24">
        <f>+Tabla2[[#This Row],[Variación Stock]]*Tabla2[[#This Row],[Coste LÃ­nea]]</f>
        <v>87467.537646299999</v>
      </c>
      <c r="N5223" s="22" t="str">
        <f>+IF(Tabla2[[#This Row],[Variación Stock]]&gt;0,"Sobrante",IF(Tabla2[[#This Row],[Variación Stock]]&lt;0,"Faltante","Sin novedad"))</f>
        <v>Sobrante</v>
      </c>
    </row>
    <row r="5224" spans="1:14" hidden="1" x14ac:dyDescent="0.25">
      <c r="A5224" s="11">
        <v>46053</v>
      </c>
      <c r="B5224" s="5" t="s">
        <v>971</v>
      </c>
      <c r="C5224" s="3" t="s">
        <v>284</v>
      </c>
      <c r="D5224" s="5" t="s">
        <v>559</v>
      </c>
      <c r="E5224" s="5" t="s">
        <v>1080</v>
      </c>
      <c r="F5224" s="6" t="s">
        <v>568</v>
      </c>
      <c r="G5224" s="4" t="s">
        <v>2</v>
      </c>
      <c r="H5224" s="25">
        <v>146.71799999999999</v>
      </c>
      <c r="I5224" s="8">
        <v>0</v>
      </c>
      <c r="J5224" s="9">
        <v>0</v>
      </c>
      <c r="K5224" s="7">
        <v>0</v>
      </c>
      <c r="L5224" s="24">
        <f>+Tabla2[[#This Row],[Stock Inventario]]*Tabla2[[#This Row],[Coste LÃ­nea]]</f>
        <v>0</v>
      </c>
      <c r="M5224" s="24">
        <f>+Tabla2[[#This Row],[Variación Stock]]*Tabla2[[#This Row],[Coste LÃ­nea]]</f>
        <v>0</v>
      </c>
      <c r="N5224" s="22" t="str">
        <f>+IF(Tabla2[[#This Row],[Variación Stock]]&gt;0,"Sobrante",IF(Tabla2[[#This Row],[Variación Stock]]&lt;0,"Faltante","Sin novedad"))</f>
        <v>Sin novedad</v>
      </c>
    </row>
    <row r="5225" spans="1:14" x14ac:dyDescent="0.25">
      <c r="A5225" s="11">
        <v>46053</v>
      </c>
      <c r="B5225" s="5" t="s">
        <v>971</v>
      </c>
      <c r="C5225" s="3" t="s">
        <v>284</v>
      </c>
      <c r="D5225" s="5" t="s">
        <v>111</v>
      </c>
      <c r="E5225" s="5" t="s">
        <v>112</v>
      </c>
      <c r="F5225" s="6" t="s">
        <v>288</v>
      </c>
      <c r="G5225" s="4" t="s">
        <v>0</v>
      </c>
      <c r="H5225" s="25">
        <v>4721.625</v>
      </c>
      <c r="I5225" s="8">
        <v>16.04</v>
      </c>
      <c r="J5225" s="9">
        <v>29</v>
      </c>
      <c r="K5225" s="7">
        <v>12.96</v>
      </c>
      <c r="L5225" s="24">
        <f>+Tabla2[[#This Row],[Stock Inventario]]*Tabla2[[#This Row],[Coste LÃ­nea]]</f>
        <v>136927.125</v>
      </c>
      <c r="M5225" s="24">
        <f>+Tabla2[[#This Row],[Variación Stock]]*Tabla2[[#This Row],[Coste LÃ­nea]]</f>
        <v>61192.26</v>
      </c>
      <c r="N5225" s="22" t="str">
        <f>+IF(Tabla2[[#This Row],[Variación Stock]]&gt;0,"Sobrante",IF(Tabla2[[#This Row],[Variación Stock]]&lt;0,"Faltante","Sin novedad"))</f>
        <v>Sobrante</v>
      </c>
    </row>
    <row r="5226" spans="1:14" x14ac:dyDescent="0.25">
      <c r="A5226" s="11">
        <v>46053</v>
      </c>
      <c r="B5226" s="5" t="s">
        <v>971</v>
      </c>
      <c r="C5226" s="3" t="s">
        <v>284</v>
      </c>
      <c r="D5226" s="5" t="s">
        <v>111</v>
      </c>
      <c r="E5226" s="5" t="s">
        <v>112</v>
      </c>
      <c r="F5226" s="6" t="s">
        <v>58</v>
      </c>
      <c r="G5226" s="4" t="s">
        <v>0</v>
      </c>
      <c r="H5226" s="25">
        <v>6303.25</v>
      </c>
      <c r="I5226" s="8">
        <v>13</v>
      </c>
      <c r="J5226" s="9">
        <v>29</v>
      </c>
      <c r="K5226" s="7">
        <v>16</v>
      </c>
      <c r="L5226" s="24">
        <f>+Tabla2[[#This Row],[Stock Inventario]]*Tabla2[[#This Row],[Coste LÃ­nea]]</f>
        <v>182794.25</v>
      </c>
      <c r="M5226" s="24">
        <f>+Tabla2[[#This Row],[Variación Stock]]*Tabla2[[#This Row],[Coste LÃ­nea]]</f>
        <v>100852</v>
      </c>
      <c r="N5226" s="22" t="str">
        <f>+IF(Tabla2[[#This Row],[Variación Stock]]&gt;0,"Sobrante",IF(Tabla2[[#This Row],[Variación Stock]]&lt;0,"Faltante","Sin novedad"))</f>
        <v>Sobrante</v>
      </c>
    </row>
    <row r="5227" spans="1:14" x14ac:dyDescent="0.25">
      <c r="A5227" s="11">
        <v>46053</v>
      </c>
      <c r="B5227" s="5" t="s">
        <v>971</v>
      </c>
      <c r="C5227" s="3" t="s">
        <v>284</v>
      </c>
      <c r="D5227" s="5" t="s">
        <v>111</v>
      </c>
      <c r="E5227" s="5" t="s">
        <v>112</v>
      </c>
      <c r="F5227" s="6" t="s">
        <v>59</v>
      </c>
      <c r="G5227" s="4" t="s">
        <v>0</v>
      </c>
      <c r="H5227" s="25">
        <v>3390.1034482800001</v>
      </c>
      <c r="I5227" s="8">
        <v>113</v>
      </c>
      <c r="J5227" s="9">
        <v>157</v>
      </c>
      <c r="K5227" s="7">
        <v>44</v>
      </c>
      <c r="L5227" s="24">
        <f>+Tabla2[[#This Row],[Stock Inventario]]*Tabla2[[#This Row],[Coste LÃ­nea]]</f>
        <v>532246.24137995997</v>
      </c>
      <c r="M5227" s="24">
        <f>+Tabla2[[#This Row],[Variación Stock]]*Tabla2[[#This Row],[Coste LÃ­nea]]</f>
        <v>149164.55172432002</v>
      </c>
      <c r="N5227" s="22" t="str">
        <f>+IF(Tabla2[[#This Row],[Variación Stock]]&gt;0,"Sobrante",IF(Tabla2[[#This Row],[Variación Stock]]&lt;0,"Faltante","Sin novedad"))</f>
        <v>Sobrante</v>
      </c>
    </row>
    <row r="5228" spans="1:14" hidden="1" x14ac:dyDescent="0.25">
      <c r="A5228" s="11">
        <v>46053</v>
      </c>
      <c r="B5228" s="5" t="s">
        <v>971</v>
      </c>
      <c r="C5228" s="3" t="s">
        <v>284</v>
      </c>
      <c r="D5228" s="5" t="s">
        <v>396</v>
      </c>
      <c r="E5228" s="5" t="s">
        <v>117</v>
      </c>
      <c r="F5228" s="6" t="s">
        <v>462</v>
      </c>
      <c r="G5228" s="4" t="s">
        <v>1</v>
      </c>
      <c r="H5228" s="25">
        <v>90</v>
      </c>
      <c r="I5228" s="8">
        <v>0</v>
      </c>
      <c r="J5228" s="9">
        <v>0</v>
      </c>
      <c r="K5228" s="7">
        <v>0</v>
      </c>
      <c r="L5228" s="24">
        <f>+Tabla2[[#This Row],[Stock Inventario]]*Tabla2[[#This Row],[Coste LÃ­nea]]</f>
        <v>0</v>
      </c>
      <c r="M5228" s="24">
        <f>+Tabla2[[#This Row],[Variación Stock]]*Tabla2[[#This Row],[Coste LÃ­nea]]</f>
        <v>0</v>
      </c>
      <c r="N5228" s="22" t="str">
        <f>+IF(Tabla2[[#This Row],[Variación Stock]]&gt;0,"Sobrante",IF(Tabla2[[#This Row],[Variación Stock]]&lt;0,"Faltante","Sin novedad"))</f>
        <v>Sin novedad</v>
      </c>
    </row>
    <row r="5229" spans="1:14" hidden="1" x14ac:dyDescent="0.25">
      <c r="A5229" s="11">
        <v>46053</v>
      </c>
      <c r="B5229" s="5" t="s">
        <v>971</v>
      </c>
      <c r="C5229" s="3" t="s">
        <v>284</v>
      </c>
      <c r="D5229" s="5" t="s">
        <v>559</v>
      </c>
      <c r="E5229" s="5" t="s">
        <v>1080</v>
      </c>
      <c r="F5229" s="6" t="s">
        <v>580</v>
      </c>
      <c r="G5229" s="4" t="s">
        <v>2</v>
      </c>
      <c r="H5229" s="25">
        <v>71.420168070000003</v>
      </c>
      <c r="I5229" s="8">
        <v>1603</v>
      </c>
      <c r="J5229" s="9">
        <v>400</v>
      </c>
      <c r="K5229" s="7">
        <v>-1203</v>
      </c>
      <c r="L5229" s="24">
        <f>+Tabla2[[#This Row],[Stock Inventario]]*Tabla2[[#This Row],[Coste LÃ­nea]]</f>
        <v>28568.067228</v>
      </c>
      <c r="M5229" s="24">
        <f>+Tabla2[[#This Row],[Variación Stock]]*Tabla2[[#This Row],[Coste LÃ­nea]]</f>
        <v>-85918.462188210004</v>
      </c>
      <c r="N5229" s="22" t="str">
        <f>+IF(Tabla2[[#This Row],[Variación Stock]]&gt;0,"Sobrante",IF(Tabla2[[#This Row],[Variación Stock]]&lt;0,"Faltante","Sin novedad"))</f>
        <v>Faltante</v>
      </c>
    </row>
    <row r="5230" spans="1:14" hidden="1" x14ac:dyDescent="0.25">
      <c r="A5230" s="11">
        <v>46053</v>
      </c>
      <c r="B5230" s="5" t="s">
        <v>971</v>
      </c>
      <c r="C5230" s="3" t="s">
        <v>284</v>
      </c>
      <c r="D5230" s="5" t="s">
        <v>471</v>
      </c>
      <c r="E5230" s="5" t="s">
        <v>117</v>
      </c>
      <c r="F5230" s="6" t="s">
        <v>526</v>
      </c>
      <c r="G5230" s="4" t="s">
        <v>1</v>
      </c>
      <c r="H5230" s="25">
        <v>3.5</v>
      </c>
      <c r="I5230" s="8">
        <v>10170</v>
      </c>
      <c r="J5230" s="9">
        <v>3040</v>
      </c>
      <c r="K5230" s="7">
        <v>-10129.999968</v>
      </c>
      <c r="L5230" s="24">
        <f>+Tabla2[[#This Row],[Stock Inventario]]*Tabla2[[#This Row],[Coste LÃ­nea]]</f>
        <v>10640</v>
      </c>
      <c r="M5230" s="24">
        <f>+Tabla2[[#This Row],[Variación Stock]]*Tabla2[[#This Row],[Coste LÃ­nea]]</f>
        <v>-35454.999887999998</v>
      </c>
      <c r="N5230" s="22" t="str">
        <f>+IF(Tabla2[[#This Row],[Variación Stock]]&gt;0,"Sobrante",IF(Tabla2[[#This Row],[Variación Stock]]&lt;0,"Faltante","Sin novedad"))</f>
        <v>Faltante</v>
      </c>
    </row>
    <row r="5231" spans="1:14" hidden="1" x14ac:dyDescent="0.25">
      <c r="A5231" s="11">
        <v>46053</v>
      </c>
      <c r="B5231" s="5" t="s">
        <v>971</v>
      </c>
      <c r="C5231" s="3" t="s">
        <v>284</v>
      </c>
      <c r="D5231" s="5" t="s">
        <v>471</v>
      </c>
      <c r="E5231" s="5" t="s">
        <v>117</v>
      </c>
      <c r="F5231" s="6" t="s">
        <v>527</v>
      </c>
      <c r="G5231" s="4" t="s">
        <v>1</v>
      </c>
      <c r="H5231" s="25">
        <v>3.3</v>
      </c>
      <c r="I5231" s="8">
        <v>26730</v>
      </c>
      <c r="J5231" s="9">
        <v>0</v>
      </c>
      <c r="K5231" s="7">
        <v>-46730</v>
      </c>
      <c r="L5231" s="24">
        <f>+Tabla2[[#This Row],[Stock Inventario]]*Tabla2[[#This Row],[Coste LÃ­nea]]</f>
        <v>0</v>
      </c>
      <c r="M5231" s="24">
        <f>+Tabla2[[#This Row],[Variación Stock]]*Tabla2[[#This Row],[Coste LÃ­nea]]</f>
        <v>-154209</v>
      </c>
      <c r="N5231" s="22" t="str">
        <f>+IF(Tabla2[[#This Row],[Variación Stock]]&gt;0,"Sobrante",IF(Tabla2[[#This Row],[Variación Stock]]&lt;0,"Faltante","Sin novedad"))</f>
        <v>Faltante</v>
      </c>
    </row>
    <row r="5232" spans="1:14" hidden="1" x14ac:dyDescent="0.25">
      <c r="A5232" s="11">
        <v>46053</v>
      </c>
      <c r="B5232" s="5" t="s">
        <v>971</v>
      </c>
      <c r="C5232" s="3" t="s">
        <v>284</v>
      </c>
      <c r="D5232" s="5" t="s">
        <v>559</v>
      </c>
      <c r="E5232" s="5" t="s">
        <v>1080</v>
      </c>
      <c r="F5232" s="6" t="s">
        <v>581</v>
      </c>
      <c r="G5232" s="4" t="s">
        <v>2</v>
      </c>
      <c r="H5232" s="25">
        <v>876.05042015000004</v>
      </c>
      <c r="I5232" s="8">
        <v>202</v>
      </c>
      <c r="J5232" s="9">
        <v>200</v>
      </c>
      <c r="K5232" s="7">
        <v>-2</v>
      </c>
      <c r="L5232" s="24">
        <f>+Tabla2[[#This Row],[Stock Inventario]]*Tabla2[[#This Row],[Coste LÃ­nea]]</f>
        <v>175210.08403</v>
      </c>
      <c r="M5232" s="24">
        <f>+Tabla2[[#This Row],[Variación Stock]]*Tabla2[[#This Row],[Coste LÃ­nea]]</f>
        <v>-1752.1008403000001</v>
      </c>
      <c r="N5232" s="22" t="str">
        <f>+IF(Tabla2[[#This Row],[Variación Stock]]&gt;0,"Sobrante",IF(Tabla2[[#This Row],[Variación Stock]]&lt;0,"Faltante","Sin novedad"))</f>
        <v>Faltante</v>
      </c>
    </row>
    <row r="5233" spans="1:14" x14ac:dyDescent="0.25">
      <c r="A5233" s="11">
        <v>46053</v>
      </c>
      <c r="B5233" s="5" t="s">
        <v>971</v>
      </c>
      <c r="C5233" s="3" t="s">
        <v>284</v>
      </c>
      <c r="D5233" s="5" t="s">
        <v>603</v>
      </c>
      <c r="E5233" s="5" t="s">
        <v>112</v>
      </c>
      <c r="F5233" s="6" t="s">
        <v>607</v>
      </c>
      <c r="G5233" s="4" t="s">
        <v>2</v>
      </c>
      <c r="H5233" s="25">
        <v>3500</v>
      </c>
      <c r="I5233" s="8">
        <v>14</v>
      </c>
      <c r="J5233" s="9">
        <v>16</v>
      </c>
      <c r="K5233" s="7">
        <v>2</v>
      </c>
      <c r="L5233" s="24">
        <f>+Tabla2[[#This Row],[Stock Inventario]]*Tabla2[[#This Row],[Coste LÃ­nea]]</f>
        <v>56000</v>
      </c>
      <c r="M5233" s="24">
        <f>+Tabla2[[#This Row],[Variación Stock]]*Tabla2[[#This Row],[Coste LÃ­nea]]</f>
        <v>7000</v>
      </c>
      <c r="N5233" s="22" t="str">
        <f>+IF(Tabla2[[#This Row],[Variación Stock]]&gt;0,"Sobrante",IF(Tabla2[[#This Row],[Variación Stock]]&lt;0,"Faltante","Sin novedad"))</f>
        <v>Sobrante</v>
      </c>
    </row>
    <row r="5234" spans="1:14" hidden="1" x14ac:dyDescent="0.25">
      <c r="A5234" s="11">
        <v>46053</v>
      </c>
      <c r="B5234" s="5" t="s">
        <v>971</v>
      </c>
      <c r="C5234" s="3" t="s">
        <v>284</v>
      </c>
      <c r="D5234" s="5" t="s">
        <v>396</v>
      </c>
      <c r="E5234" s="5" t="s">
        <v>117</v>
      </c>
      <c r="F5234" s="6" t="s">
        <v>457</v>
      </c>
      <c r="G5234" s="4" t="s">
        <v>1</v>
      </c>
      <c r="H5234" s="25">
        <v>15</v>
      </c>
      <c r="I5234" s="8">
        <v>500</v>
      </c>
      <c r="J5234" s="9">
        <v>0</v>
      </c>
      <c r="K5234" s="7">
        <v>-500</v>
      </c>
      <c r="L5234" s="24">
        <f>+Tabla2[[#This Row],[Stock Inventario]]*Tabla2[[#This Row],[Coste LÃ­nea]]</f>
        <v>0</v>
      </c>
      <c r="M5234" s="24">
        <f>+Tabla2[[#This Row],[Variación Stock]]*Tabla2[[#This Row],[Coste LÃ­nea]]</f>
        <v>-7500</v>
      </c>
      <c r="N5234" s="22" t="str">
        <f>+IF(Tabla2[[#This Row],[Variación Stock]]&gt;0,"Sobrante",IF(Tabla2[[#This Row],[Variación Stock]]&lt;0,"Faltante","Sin novedad"))</f>
        <v>Faltante</v>
      </c>
    </row>
    <row r="5235" spans="1:14" hidden="1" x14ac:dyDescent="0.25">
      <c r="A5235" s="11">
        <v>46053</v>
      </c>
      <c r="B5235" s="5" t="s">
        <v>971</v>
      </c>
      <c r="C5235" s="3" t="s">
        <v>284</v>
      </c>
      <c r="D5235" s="5" t="s">
        <v>119</v>
      </c>
      <c r="E5235" s="5" t="s">
        <v>117</v>
      </c>
      <c r="F5235" s="6" t="s">
        <v>200</v>
      </c>
      <c r="G5235" s="4" t="s">
        <v>1</v>
      </c>
      <c r="H5235" s="25">
        <v>58.31</v>
      </c>
      <c r="I5235" s="8">
        <v>0</v>
      </c>
      <c r="J5235" s="9">
        <v>0</v>
      </c>
      <c r="K5235" s="7">
        <v>0</v>
      </c>
      <c r="L5235" s="24">
        <f>+Tabla2[[#This Row],[Stock Inventario]]*Tabla2[[#This Row],[Coste LÃ­nea]]</f>
        <v>0</v>
      </c>
      <c r="M5235" s="24">
        <f>+Tabla2[[#This Row],[Variación Stock]]*Tabla2[[#This Row],[Coste LÃ­nea]]</f>
        <v>0</v>
      </c>
      <c r="N5235" s="22" t="str">
        <f>+IF(Tabla2[[#This Row],[Variación Stock]]&gt;0,"Sobrante",IF(Tabla2[[#This Row],[Variación Stock]]&lt;0,"Faltante","Sin novedad"))</f>
        <v>Sin novedad</v>
      </c>
    </row>
    <row r="5236" spans="1:14" hidden="1" x14ac:dyDescent="0.25">
      <c r="A5236" s="11">
        <v>46053</v>
      </c>
      <c r="B5236" s="5" t="s">
        <v>971</v>
      </c>
      <c r="C5236" s="3" t="s">
        <v>284</v>
      </c>
      <c r="D5236" s="5" t="s">
        <v>396</v>
      </c>
      <c r="E5236" s="5" t="s">
        <v>117</v>
      </c>
      <c r="F5236" s="6" t="s">
        <v>449</v>
      </c>
      <c r="G5236" s="4" t="s">
        <v>1</v>
      </c>
      <c r="H5236" s="25">
        <v>50.166874999999997</v>
      </c>
      <c r="I5236" s="8">
        <v>2800</v>
      </c>
      <c r="J5236" s="9">
        <v>16000</v>
      </c>
      <c r="K5236" s="7">
        <v>12400</v>
      </c>
      <c r="L5236" s="24">
        <f>+Tabla2[[#This Row],[Stock Inventario]]*Tabla2[[#This Row],[Coste LÃ­nea]]</f>
        <v>802670</v>
      </c>
      <c r="M5236" s="24">
        <f>+Tabla2[[#This Row],[Variación Stock]]*Tabla2[[#This Row],[Coste LÃ­nea]]</f>
        <v>622069.25</v>
      </c>
      <c r="N5236" s="22" t="str">
        <f>+IF(Tabla2[[#This Row],[Variación Stock]]&gt;0,"Sobrante",IF(Tabla2[[#This Row],[Variación Stock]]&lt;0,"Faltante","Sin novedad"))</f>
        <v>Sobrante</v>
      </c>
    </row>
    <row r="5237" spans="1:14" hidden="1" x14ac:dyDescent="0.25">
      <c r="A5237" s="11">
        <v>46053</v>
      </c>
      <c r="B5237" s="5" t="s">
        <v>971</v>
      </c>
      <c r="C5237" s="3" t="s">
        <v>284</v>
      </c>
      <c r="D5237" s="5" t="s">
        <v>626</v>
      </c>
      <c r="E5237" s="5" t="s">
        <v>1079</v>
      </c>
      <c r="F5237" s="6" t="s">
        <v>675</v>
      </c>
      <c r="G5237" s="4" t="s">
        <v>2</v>
      </c>
      <c r="H5237" s="25">
        <v>59619</v>
      </c>
      <c r="I5237" s="8">
        <v>1</v>
      </c>
      <c r="J5237" s="9">
        <v>1</v>
      </c>
      <c r="K5237" s="7">
        <v>0</v>
      </c>
      <c r="L5237" s="24">
        <f>+Tabla2[[#This Row],[Stock Inventario]]*Tabla2[[#This Row],[Coste LÃ­nea]]</f>
        <v>59619</v>
      </c>
      <c r="M5237" s="24">
        <f>+Tabla2[[#This Row],[Variación Stock]]*Tabla2[[#This Row],[Coste LÃ­nea]]</f>
        <v>0</v>
      </c>
      <c r="N5237" s="22" t="str">
        <f>+IF(Tabla2[[#This Row],[Variación Stock]]&gt;0,"Sobrante",IF(Tabla2[[#This Row],[Variación Stock]]&lt;0,"Faltante","Sin novedad"))</f>
        <v>Sin novedad</v>
      </c>
    </row>
    <row r="5238" spans="1:14" hidden="1" x14ac:dyDescent="0.25">
      <c r="A5238" s="11">
        <v>46053</v>
      </c>
      <c r="B5238" s="5" t="s">
        <v>971</v>
      </c>
      <c r="C5238" s="3" t="s">
        <v>284</v>
      </c>
      <c r="D5238" s="5" t="s">
        <v>547</v>
      </c>
      <c r="E5238" s="5" t="s">
        <v>117</v>
      </c>
      <c r="F5238" s="6" t="s">
        <v>549</v>
      </c>
      <c r="G5238" s="4" t="s">
        <v>1</v>
      </c>
      <c r="H5238" s="25">
        <v>67.9405</v>
      </c>
      <c r="I5238" s="8">
        <v>-30483</v>
      </c>
      <c r="J5238" s="9">
        <v>2970</v>
      </c>
      <c r="K5238" s="7">
        <v>33453</v>
      </c>
      <c r="L5238" s="24">
        <f>+Tabla2[[#This Row],[Stock Inventario]]*Tabla2[[#This Row],[Coste LÃ­nea]]</f>
        <v>201783.285</v>
      </c>
      <c r="M5238" s="24">
        <f>+Tabla2[[#This Row],[Variación Stock]]*Tabla2[[#This Row],[Coste LÃ­nea]]</f>
        <v>2272813.5465000002</v>
      </c>
      <c r="N5238" s="22" t="str">
        <f>+IF(Tabla2[[#This Row],[Variación Stock]]&gt;0,"Sobrante",IF(Tabla2[[#This Row],[Variación Stock]]&lt;0,"Faltante","Sin novedad"))</f>
        <v>Sobrante</v>
      </c>
    </row>
    <row r="5239" spans="1:14" hidden="1" x14ac:dyDescent="0.25">
      <c r="A5239" s="11">
        <v>46053</v>
      </c>
      <c r="B5239" s="5" t="s">
        <v>971</v>
      </c>
      <c r="C5239" s="3" t="s">
        <v>284</v>
      </c>
      <c r="D5239" s="5" t="s">
        <v>547</v>
      </c>
      <c r="E5239" s="5" t="s">
        <v>117</v>
      </c>
      <c r="F5239" s="6" t="s">
        <v>557</v>
      </c>
      <c r="G5239" s="4" t="s">
        <v>1</v>
      </c>
      <c r="H5239" s="25">
        <v>22.35</v>
      </c>
      <c r="I5239" s="8">
        <v>4380</v>
      </c>
      <c r="J5239" s="9">
        <v>2000</v>
      </c>
      <c r="K5239" s="7">
        <v>-2380</v>
      </c>
      <c r="L5239" s="24">
        <f>+Tabla2[[#This Row],[Stock Inventario]]*Tabla2[[#This Row],[Coste LÃ­nea]]</f>
        <v>44700</v>
      </c>
      <c r="M5239" s="24">
        <f>+Tabla2[[#This Row],[Variación Stock]]*Tabla2[[#This Row],[Coste LÃ­nea]]</f>
        <v>-53193</v>
      </c>
      <c r="N5239" s="22" t="str">
        <f>+IF(Tabla2[[#This Row],[Variación Stock]]&gt;0,"Sobrante",IF(Tabla2[[#This Row],[Variación Stock]]&lt;0,"Faltante","Sin novedad"))</f>
        <v>Faltante</v>
      </c>
    </row>
    <row r="5240" spans="1:14" hidden="1" x14ac:dyDescent="0.25">
      <c r="A5240" s="11">
        <v>46053</v>
      </c>
      <c r="B5240" s="5" t="s">
        <v>971</v>
      </c>
      <c r="C5240" s="3" t="s">
        <v>284</v>
      </c>
      <c r="D5240" s="5" t="s">
        <v>547</v>
      </c>
      <c r="E5240" s="5" t="s">
        <v>117</v>
      </c>
      <c r="F5240" s="6" t="s">
        <v>550</v>
      </c>
      <c r="G5240" s="4" t="s">
        <v>1</v>
      </c>
      <c r="H5240" s="25">
        <v>133.01733333000001</v>
      </c>
      <c r="I5240" s="8">
        <v>14976</v>
      </c>
      <c r="J5240" s="9">
        <v>9450</v>
      </c>
      <c r="K5240" s="7">
        <v>-5526</v>
      </c>
      <c r="L5240" s="24">
        <f>+Tabla2[[#This Row],[Stock Inventario]]*Tabla2[[#This Row],[Coste LÃ­nea]]</f>
        <v>1257013.7999685002</v>
      </c>
      <c r="M5240" s="24">
        <f>+Tabla2[[#This Row],[Variación Stock]]*Tabla2[[#This Row],[Coste LÃ­nea]]</f>
        <v>-735053.78398158005</v>
      </c>
      <c r="N5240" s="22" t="str">
        <f>+IF(Tabla2[[#This Row],[Variación Stock]]&gt;0,"Sobrante",IF(Tabla2[[#This Row],[Variación Stock]]&lt;0,"Faltante","Sin novedad"))</f>
        <v>Faltante</v>
      </c>
    </row>
    <row r="5241" spans="1:14" hidden="1" x14ac:dyDescent="0.25">
      <c r="A5241" s="11">
        <v>46053</v>
      </c>
      <c r="B5241" s="5" t="s">
        <v>971</v>
      </c>
      <c r="C5241" s="3" t="s">
        <v>284</v>
      </c>
      <c r="D5241" s="5" t="s">
        <v>547</v>
      </c>
      <c r="E5241" s="5" t="s">
        <v>117</v>
      </c>
      <c r="F5241" s="6" t="s">
        <v>551</v>
      </c>
      <c r="G5241" s="4" t="s">
        <v>1</v>
      </c>
      <c r="H5241" s="25">
        <v>38.370370370000003</v>
      </c>
      <c r="I5241" s="8">
        <v>1510</v>
      </c>
      <c r="J5241" s="9">
        <v>1184</v>
      </c>
      <c r="K5241" s="7">
        <v>-326</v>
      </c>
      <c r="L5241" s="24">
        <f>+Tabla2[[#This Row],[Stock Inventario]]*Tabla2[[#This Row],[Coste LÃ­nea]]</f>
        <v>45430.518518080004</v>
      </c>
      <c r="M5241" s="24">
        <f>+Tabla2[[#This Row],[Variación Stock]]*Tabla2[[#This Row],[Coste LÃ­nea]]</f>
        <v>-12508.740740620002</v>
      </c>
      <c r="N5241" s="22" t="str">
        <f>+IF(Tabla2[[#This Row],[Variación Stock]]&gt;0,"Sobrante",IF(Tabla2[[#This Row],[Variación Stock]]&lt;0,"Faltante","Sin novedad"))</f>
        <v>Faltante</v>
      </c>
    </row>
    <row r="5242" spans="1:14" x14ac:dyDescent="0.25">
      <c r="A5242" s="11">
        <v>46053</v>
      </c>
      <c r="B5242" s="5" t="s">
        <v>971</v>
      </c>
      <c r="C5242" s="3" t="s">
        <v>284</v>
      </c>
      <c r="D5242" s="5" t="s">
        <v>118</v>
      </c>
      <c r="E5242" s="5" t="s">
        <v>112</v>
      </c>
      <c r="F5242" s="6" t="s">
        <v>301</v>
      </c>
      <c r="G5242" s="4" t="s">
        <v>81</v>
      </c>
      <c r="H5242" s="25">
        <v>15151.2</v>
      </c>
      <c r="I5242" s="8">
        <v>17</v>
      </c>
      <c r="J5242" s="9">
        <v>16</v>
      </c>
      <c r="K5242" s="7">
        <v>-1</v>
      </c>
      <c r="L5242" s="24">
        <f>+Tabla2[[#This Row],[Stock Inventario]]*Tabla2[[#This Row],[Coste LÃ­nea]]</f>
        <v>242419.20000000001</v>
      </c>
      <c r="M5242" s="24">
        <f>+Tabla2[[#This Row],[Variación Stock]]*Tabla2[[#This Row],[Coste LÃ­nea]]</f>
        <v>-15151.2</v>
      </c>
      <c r="N5242" s="22" t="str">
        <f>+IF(Tabla2[[#This Row],[Variación Stock]]&gt;0,"Sobrante",IF(Tabla2[[#This Row],[Variación Stock]]&lt;0,"Faltante","Sin novedad"))</f>
        <v>Faltante</v>
      </c>
    </row>
    <row r="5243" spans="1:14" x14ac:dyDescent="0.25">
      <c r="A5243" s="11">
        <v>46053</v>
      </c>
      <c r="B5243" s="5" t="s">
        <v>971</v>
      </c>
      <c r="C5243" s="3" t="s">
        <v>284</v>
      </c>
      <c r="D5243" s="5" t="s">
        <v>114</v>
      </c>
      <c r="E5243" s="5" t="s">
        <v>112</v>
      </c>
      <c r="F5243" s="6" t="s">
        <v>289</v>
      </c>
      <c r="G5243" s="4" t="s">
        <v>2</v>
      </c>
      <c r="H5243" s="25">
        <v>6387.35</v>
      </c>
      <c r="I5243" s="8">
        <v>2</v>
      </c>
      <c r="J5243" s="9">
        <v>2</v>
      </c>
      <c r="K5243" s="7">
        <v>0</v>
      </c>
      <c r="L5243" s="24">
        <f>+Tabla2[[#This Row],[Stock Inventario]]*Tabla2[[#This Row],[Coste LÃ­nea]]</f>
        <v>12774.7</v>
      </c>
      <c r="M5243" s="24">
        <f>+Tabla2[[#This Row],[Variación Stock]]*Tabla2[[#This Row],[Coste LÃ­nea]]</f>
        <v>0</v>
      </c>
      <c r="N5243" s="22" t="str">
        <f>+IF(Tabla2[[#This Row],[Variación Stock]]&gt;0,"Sobrante",IF(Tabla2[[#This Row],[Variación Stock]]&lt;0,"Faltante","Sin novedad"))</f>
        <v>Sin novedad</v>
      </c>
    </row>
    <row r="5244" spans="1:14" hidden="1" x14ac:dyDescent="0.25">
      <c r="A5244" s="11">
        <v>46053</v>
      </c>
      <c r="B5244" s="5" t="s">
        <v>971</v>
      </c>
      <c r="C5244" s="3" t="s">
        <v>284</v>
      </c>
      <c r="D5244" s="5" t="s">
        <v>471</v>
      </c>
      <c r="E5244" s="5" t="s">
        <v>117</v>
      </c>
      <c r="F5244" s="6" t="s">
        <v>528</v>
      </c>
      <c r="G5244" s="4" t="s">
        <v>1</v>
      </c>
      <c r="H5244" s="25">
        <v>2.8</v>
      </c>
      <c r="I5244" s="8">
        <v>470</v>
      </c>
      <c r="J5244" s="9">
        <v>0</v>
      </c>
      <c r="K5244" s="7">
        <v>-470</v>
      </c>
      <c r="L5244" s="24">
        <f>+Tabla2[[#This Row],[Stock Inventario]]*Tabla2[[#This Row],[Coste LÃ­nea]]</f>
        <v>0</v>
      </c>
      <c r="M5244" s="24">
        <f>+Tabla2[[#This Row],[Variación Stock]]*Tabla2[[#This Row],[Coste LÃ­nea]]</f>
        <v>-1316</v>
      </c>
      <c r="N5244" s="22" t="str">
        <f>+IF(Tabla2[[#This Row],[Variación Stock]]&gt;0,"Sobrante",IF(Tabla2[[#This Row],[Variación Stock]]&lt;0,"Faltante","Sin novedad"))</f>
        <v>Faltante</v>
      </c>
    </row>
    <row r="5245" spans="1:14" hidden="1" x14ac:dyDescent="0.25">
      <c r="A5245" s="11">
        <v>46053</v>
      </c>
      <c r="B5245" s="5" t="s">
        <v>971</v>
      </c>
      <c r="C5245" s="3" t="s">
        <v>284</v>
      </c>
      <c r="D5245" s="5" t="s">
        <v>471</v>
      </c>
      <c r="E5245" s="5" t="s">
        <v>117</v>
      </c>
      <c r="F5245" s="6" t="s">
        <v>529</v>
      </c>
      <c r="G5245" s="4" t="s">
        <v>1</v>
      </c>
      <c r="H5245" s="25">
        <v>4</v>
      </c>
      <c r="I5245" s="8">
        <v>-47.058799999999998</v>
      </c>
      <c r="J5245" s="9">
        <v>0</v>
      </c>
      <c r="K5245" s="7">
        <v>47.058824999999999</v>
      </c>
      <c r="L5245" s="24">
        <f>+Tabla2[[#This Row],[Stock Inventario]]*Tabla2[[#This Row],[Coste LÃ­nea]]</f>
        <v>0</v>
      </c>
      <c r="M5245" s="24">
        <f>+Tabla2[[#This Row],[Variación Stock]]*Tabla2[[#This Row],[Coste LÃ­nea]]</f>
        <v>188.2353</v>
      </c>
      <c r="N5245" s="22" t="str">
        <f>+IF(Tabla2[[#This Row],[Variación Stock]]&gt;0,"Sobrante",IF(Tabla2[[#This Row],[Variación Stock]]&lt;0,"Faltante","Sin novedad"))</f>
        <v>Sobrante</v>
      </c>
    </row>
    <row r="5246" spans="1:14" hidden="1" x14ac:dyDescent="0.25">
      <c r="A5246" s="11">
        <v>46053</v>
      </c>
      <c r="B5246" s="5" t="s">
        <v>971</v>
      </c>
      <c r="C5246" s="3" t="s">
        <v>284</v>
      </c>
      <c r="D5246" s="5" t="s">
        <v>626</v>
      </c>
      <c r="E5246" s="5" t="s">
        <v>1079</v>
      </c>
      <c r="F5246" s="6" t="s">
        <v>634</v>
      </c>
      <c r="G5246" s="4" t="s">
        <v>1</v>
      </c>
      <c r="H5246" s="25">
        <v>169.75</v>
      </c>
      <c r="I5246" s="8">
        <v>15500</v>
      </c>
      <c r="J5246" s="9">
        <v>0</v>
      </c>
      <c r="K5246" s="7">
        <v>-15500</v>
      </c>
      <c r="L5246" s="24">
        <f>+Tabla2[[#This Row],[Stock Inventario]]*Tabla2[[#This Row],[Coste LÃ­nea]]</f>
        <v>0</v>
      </c>
      <c r="M5246" s="24">
        <f>+Tabla2[[#This Row],[Variación Stock]]*Tabla2[[#This Row],[Coste LÃ­nea]]</f>
        <v>-2631125</v>
      </c>
      <c r="N5246" s="22" t="str">
        <f>+IF(Tabla2[[#This Row],[Variación Stock]]&gt;0,"Sobrante",IF(Tabla2[[#This Row],[Variación Stock]]&lt;0,"Faltante","Sin novedad"))</f>
        <v>Faltante</v>
      </c>
    </row>
    <row r="5247" spans="1:14" hidden="1" x14ac:dyDescent="0.25">
      <c r="A5247" s="11">
        <v>46053</v>
      </c>
      <c r="B5247" s="5" t="s">
        <v>971</v>
      </c>
      <c r="C5247" s="3" t="s">
        <v>284</v>
      </c>
      <c r="D5247" s="5" t="s">
        <v>559</v>
      </c>
      <c r="E5247" s="5" t="s">
        <v>1080</v>
      </c>
      <c r="F5247" s="6" t="s">
        <v>564</v>
      </c>
      <c r="G5247" s="4" t="s">
        <v>2</v>
      </c>
      <c r="H5247" s="25">
        <v>59.5</v>
      </c>
      <c r="I5247" s="8">
        <v>3000</v>
      </c>
      <c r="J5247" s="9">
        <v>0</v>
      </c>
      <c r="K5247" s="7">
        <v>-3000</v>
      </c>
      <c r="L5247" s="24">
        <f>+Tabla2[[#This Row],[Stock Inventario]]*Tabla2[[#This Row],[Coste LÃ­nea]]</f>
        <v>0</v>
      </c>
      <c r="M5247" s="24">
        <f>+Tabla2[[#This Row],[Variación Stock]]*Tabla2[[#This Row],[Coste LÃ­nea]]</f>
        <v>-178500</v>
      </c>
      <c r="N5247" s="22" t="str">
        <f>+IF(Tabla2[[#This Row],[Variación Stock]]&gt;0,"Sobrante",IF(Tabla2[[#This Row],[Variación Stock]]&lt;0,"Faltante","Sin novedad"))</f>
        <v>Faltante</v>
      </c>
    </row>
    <row r="5248" spans="1:14" hidden="1" x14ac:dyDescent="0.25">
      <c r="A5248" s="11">
        <v>46053</v>
      </c>
      <c r="B5248" s="5" t="s">
        <v>971</v>
      </c>
      <c r="C5248" s="3" t="s">
        <v>284</v>
      </c>
      <c r="D5248" s="5" t="s">
        <v>559</v>
      </c>
      <c r="E5248" s="5" t="s">
        <v>1080</v>
      </c>
      <c r="F5248" s="6" t="s">
        <v>593</v>
      </c>
      <c r="G5248" s="4" t="s">
        <v>2</v>
      </c>
      <c r="H5248" s="25">
        <v>77631</v>
      </c>
      <c r="I5248" s="8">
        <v>1</v>
      </c>
      <c r="J5248" s="9">
        <v>1</v>
      </c>
      <c r="K5248" s="7">
        <v>0</v>
      </c>
      <c r="L5248" s="24">
        <f>+Tabla2[[#This Row],[Stock Inventario]]*Tabla2[[#This Row],[Coste LÃ­nea]]</f>
        <v>77631</v>
      </c>
      <c r="M5248" s="24">
        <f>+Tabla2[[#This Row],[Variación Stock]]*Tabla2[[#This Row],[Coste LÃ­nea]]</f>
        <v>0</v>
      </c>
      <c r="N5248" s="22" t="str">
        <f>+IF(Tabla2[[#This Row],[Variación Stock]]&gt;0,"Sobrante",IF(Tabla2[[#This Row],[Variación Stock]]&lt;0,"Faltante","Sin novedad"))</f>
        <v>Sin novedad</v>
      </c>
    </row>
    <row r="5249" spans="1:14" hidden="1" x14ac:dyDescent="0.25">
      <c r="A5249" s="11">
        <v>46053</v>
      </c>
      <c r="B5249" s="5" t="s">
        <v>971</v>
      </c>
      <c r="C5249" s="3" t="s">
        <v>284</v>
      </c>
      <c r="D5249" s="5" t="s">
        <v>559</v>
      </c>
      <c r="E5249" s="5" t="s">
        <v>1080</v>
      </c>
      <c r="F5249" s="6" t="s">
        <v>594</v>
      </c>
      <c r="G5249" s="4" t="s">
        <v>2</v>
      </c>
      <c r="H5249" s="25">
        <v>4498.8055555600004</v>
      </c>
      <c r="I5249" s="8">
        <v>60</v>
      </c>
      <c r="J5249" s="9">
        <v>44</v>
      </c>
      <c r="K5249" s="7">
        <v>-16</v>
      </c>
      <c r="L5249" s="24">
        <f>+Tabla2[[#This Row],[Stock Inventario]]*Tabla2[[#This Row],[Coste LÃ­nea]]</f>
        <v>197947.44444464002</v>
      </c>
      <c r="M5249" s="24">
        <f>+Tabla2[[#This Row],[Variación Stock]]*Tabla2[[#This Row],[Coste LÃ­nea]]</f>
        <v>-71980.888888960006</v>
      </c>
      <c r="N5249" s="22" t="str">
        <f>+IF(Tabla2[[#This Row],[Variación Stock]]&gt;0,"Sobrante",IF(Tabla2[[#This Row],[Variación Stock]]&lt;0,"Faltante","Sin novedad"))</f>
        <v>Faltante</v>
      </c>
    </row>
    <row r="5250" spans="1:14" hidden="1" x14ac:dyDescent="0.25">
      <c r="A5250" s="11">
        <v>46053</v>
      </c>
      <c r="B5250" s="5" t="s">
        <v>971</v>
      </c>
      <c r="C5250" s="3" t="s">
        <v>284</v>
      </c>
      <c r="D5250" s="5" t="s">
        <v>471</v>
      </c>
      <c r="E5250" s="5" t="s">
        <v>117</v>
      </c>
      <c r="F5250" s="6" t="s">
        <v>530</v>
      </c>
      <c r="G5250" s="4" t="s">
        <v>1</v>
      </c>
      <c r="H5250" s="25">
        <v>9.5</v>
      </c>
      <c r="I5250" s="8">
        <v>334.31580000000002</v>
      </c>
      <c r="J5250" s="9">
        <v>0</v>
      </c>
      <c r="K5250" s="7">
        <v>-334.315788</v>
      </c>
      <c r="L5250" s="24">
        <f>+Tabla2[[#This Row],[Stock Inventario]]*Tabla2[[#This Row],[Coste LÃ­nea]]</f>
        <v>0</v>
      </c>
      <c r="M5250" s="24">
        <f>+Tabla2[[#This Row],[Variación Stock]]*Tabla2[[#This Row],[Coste LÃ­nea]]</f>
        <v>-3175.9999859999998</v>
      </c>
      <c r="N5250" s="22" t="str">
        <f>+IF(Tabla2[[#This Row],[Variación Stock]]&gt;0,"Sobrante",IF(Tabla2[[#This Row],[Variación Stock]]&lt;0,"Faltante","Sin novedad"))</f>
        <v>Faltante</v>
      </c>
    </row>
    <row r="5251" spans="1:14" x14ac:dyDescent="0.25">
      <c r="A5251" s="11">
        <v>46053</v>
      </c>
      <c r="B5251" s="5" t="s">
        <v>971</v>
      </c>
      <c r="C5251" s="3" t="s">
        <v>284</v>
      </c>
      <c r="D5251" s="5" t="s">
        <v>111</v>
      </c>
      <c r="E5251" s="5" t="s">
        <v>112</v>
      </c>
      <c r="F5251" s="6" t="s">
        <v>40</v>
      </c>
      <c r="G5251" s="4" t="s">
        <v>0</v>
      </c>
      <c r="H5251" s="25">
        <v>1988.9655172400001</v>
      </c>
      <c r="I5251" s="8">
        <v>47</v>
      </c>
      <c r="J5251" s="9">
        <v>65</v>
      </c>
      <c r="K5251" s="7">
        <v>18</v>
      </c>
      <c r="L5251" s="24">
        <f>+Tabla2[[#This Row],[Stock Inventario]]*Tabla2[[#This Row],[Coste LÃ­nea]]</f>
        <v>129282.7586206</v>
      </c>
      <c r="M5251" s="24">
        <f>+Tabla2[[#This Row],[Variación Stock]]*Tabla2[[#This Row],[Coste LÃ­nea]]</f>
        <v>35801.379310320001</v>
      </c>
      <c r="N5251" s="22" t="str">
        <f>+IF(Tabla2[[#This Row],[Variación Stock]]&gt;0,"Sobrante",IF(Tabla2[[#This Row],[Variación Stock]]&lt;0,"Faltante","Sin novedad"))</f>
        <v>Sobrante</v>
      </c>
    </row>
    <row r="5252" spans="1:14" x14ac:dyDescent="0.25">
      <c r="A5252" s="11">
        <v>46053</v>
      </c>
      <c r="B5252" s="5" t="s">
        <v>971</v>
      </c>
      <c r="C5252" s="3" t="s">
        <v>284</v>
      </c>
      <c r="D5252" s="5" t="s">
        <v>111</v>
      </c>
      <c r="E5252" s="5" t="s">
        <v>112</v>
      </c>
      <c r="F5252" s="6" t="s">
        <v>53</v>
      </c>
      <c r="G5252" s="4" t="s">
        <v>2</v>
      </c>
      <c r="H5252" s="25">
        <v>45099.74</v>
      </c>
      <c r="I5252" s="8">
        <v>0</v>
      </c>
      <c r="J5252" s="9">
        <v>0</v>
      </c>
      <c r="K5252" s="7">
        <v>0</v>
      </c>
      <c r="L5252" s="24">
        <f>+Tabla2[[#This Row],[Stock Inventario]]*Tabla2[[#This Row],[Coste LÃ­nea]]</f>
        <v>0</v>
      </c>
      <c r="M5252" s="24">
        <f>+Tabla2[[#This Row],[Variación Stock]]*Tabla2[[#This Row],[Coste LÃ­nea]]</f>
        <v>0</v>
      </c>
      <c r="N5252" s="22" t="str">
        <f>+IF(Tabla2[[#This Row],[Variación Stock]]&gt;0,"Sobrante",IF(Tabla2[[#This Row],[Variación Stock]]&lt;0,"Faltante","Sin novedad"))</f>
        <v>Sin novedad</v>
      </c>
    </row>
    <row r="5253" spans="1:14" x14ac:dyDescent="0.25">
      <c r="A5253" s="11">
        <v>46053</v>
      </c>
      <c r="B5253" s="5" t="s">
        <v>971</v>
      </c>
      <c r="C5253" s="3" t="s">
        <v>284</v>
      </c>
      <c r="D5253" s="5" t="s">
        <v>111</v>
      </c>
      <c r="E5253" s="5" t="s">
        <v>112</v>
      </c>
      <c r="F5253" s="6" t="s">
        <v>54</v>
      </c>
      <c r="G5253" s="4" t="s">
        <v>0</v>
      </c>
      <c r="H5253" s="25">
        <v>2134.5416666699998</v>
      </c>
      <c r="I5253" s="8">
        <v>2</v>
      </c>
      <c r="J5253" s="9">
        <v>3</v>
      </c>
      <c r="K5253" s="7">
        <v>1</v>
      </c>
      <c r="L5253" s="24">
        <f>+Tabla2[[#This Row],[Stock Inventario]]*Tabla2[[#This Row],[Coste LÃ­nea]]</f>
        <v>6403.625000009999</v>
      </c>
      <c r="M5253" s="24">
        <f>+Tabla2[[#This Row],[Variación Stock]]*Tabla2[[#This Row],[Coste LÃ­nea]]</f>
        <v>2134.5416666699998</v>
      </c>
      <c r="N5253" s="22" t="str">
        <f>+IF(Tabla2[[#This Row],[Variación Stock]]&gt;0,"Sobrante",IF(Tabla2[[#This Row],[Variación Stock]]&lt;0,"Faltante","Sin novedad"))</f>
        <v>Sobrante</v>
      </c>
    </row>
    <row r="5254" spans="1:14" x14ac:dyDescent="0.25">
      <c r="A5254" s="11">
        <v>46053</v>
      </c>
      <c r="B5254" s="5" t="s">
        <v>971</v>
      </c>
      <c r="C5254" s="3" t="s">
        <v>284</v>
      </c>
      <c r="D5254" s="5" t="s">
        <v>111</v>
      </c>
      <c r="E5254" s="5" t="s">
        <v>112</v>
      </c>
      <c r="F5254" s="6" t="s">
        <v>55</v>
      </c>
      <c r="G5254" s="4" t="s">
        <v>0</v>
      </c>
      <c r="H5254" s="25">
        <v>3171.7162499999999</v>
      </c>
      <c r="I5254" s="8">
        <v>0</v>
      </c>
      <c r="J5254" s="9">
        <v>0</v>
      </c>
      <c r="K5254" s="7">
        <v>0</v>
      </c>
      <c r="L5254" s="24">
        <f>+Tabla2[[#This Row],[Stock Inventario]]*Tabla2[[#This Row],[Coste LÃ­nea]]</f>
        <v>0</v>
      </c>
      <c r="M5254" s="24">
        <f>+Tabla2[[#This Row],[Variación Stock]]*Tabla2[[#This Row],[Coste LÃ­nea]]</f>
        <v>0</v>
      </c>
      <c r="N5254" s="22" t="str">
        <f>+IF(Tabla2[[#This Row],[Variación Stock]]&gt;0,"Sobrante",IF(Tabla2[[#This Row],[Variación Stock]]&lt;0,"Faltante","Sin novedad"))</f>
        <v>Sin novedad</v>
      </c>
    </row>
    <row r="5255" spans="1:14" x14ac:dyDescent="0.25">
      <c r="A5255" s="11">
        <v>46053</v>
      </c>
      <c r="B5255" s="5" t="s">
        <v>971</v>
      </c>
      <c r="C5255" s="3" t="s">
        <v>284</v>
      </c>
      <c r="D5255" s="5" t="s">
        <v>111</v>
      </c>
      <c r="E5255" s="5" t="s">
        <v>112</v>
      </c>
      <c r="F5255" s="6" t="s">
        <v>362</v>
      </c>
      <c r="G5255" s="4" t="s">
        <v>0</v>
      </c>
      <c r="H5255" s="25">
        <v>8500</v>
      </c>
      <c r="I5255" s="8">
        <v>0</v>
      </c>
      <c r="J5255" s="9">
        <v>0</v>
      </c>
      <c r="K5255" s="7">
        <v>0</v>
      </c>
      <c r="L5255" s="24">
        <f>+Tabla2[[#This Row],[Stock Inventario]]*Tabla2[[#This Row],[Coste LÃ­nea]]</f>
        <v>0</v>
      </c>
      <c r="M5255" s="24">
        <f>+Tabla2[[#This Row],[Variación Stock]]*Tabla2[[#This Row],[Coste LÃ­nea]]</f>
        <v>0</v>
      </c>
      <c r="N5255" s="22" t="str">
        <f>+IF(Tabla2[[#This Row],[Variación Stock]]&gt;0,"Sobrante",IF(Tabla2[[#This Row],[Variación Stock]]&lt;0,"Faltante","Sin novedad"))</f>
        <v>Sin novedad</v>
      </c>
    </row>
    <row r="5256" spans="1:14" x14ac:dyDescent="0.25">
      <c r="A5256" s="11">
        <v>46053</v>
      </c>
      <c r="B5256" s="5" t="s">
        <v>971</v>
      </c>
      <c r="C5256" s="3" t="s">
        <v>284</v>
      </c>
      <c r="D5256" s="5" t="s">
        <v>111</v>
      </c>
      <c r="E5256" s="5" t="s">
        <v>112</v>
      </c>
      <c r="F5256" s="6" t="s">
        <v>144</v>
      </c>
      <c r="G5256" s="4" t="s">
        <v>0</v>
      </c>
      <c r="H5256" s="25">
        <v>2120.6896551700002</v>
      </c>
      <c r="I5256" s="8">
        <v>0</v>
      </c>
      <c r="J5256" s="9">
        <v>0</v>
      </c>
      <c r="K5256" s="7">
        <v>0</v>
      </c>
      <c r="L5256" s="24">
        <f>+Tabla2[[#This Row],[Stock Inventario]]*Tabla2[[#This Row],[Coste LÃ­nea]]</f>
        <v>0</v>
      </c>
      <c r="M5256" s="24">
        <f>+Tabla2[[#This Row],[Variación Stock]]*Tabla2[[#This Row],[Coste LÃ­nea]]</f>
        <v>0</v>
      </c>
      <c r="N5256" s="22" t="str">
        <f>+IF(Tabla2[[#This Row],[Variación Stock]]&gt;0,"Sobrante",IF(Tabla2[[#This Row],[Variación Stock]]&lt;0,"Faltante","Sin novedad"))</f>
        <v>Sin novedad</v>
      </c>
    </row>
    <row r="5257" spans="1:14" x14ac:dyDescent="0.25">
      <c r="A5257" s="11">
        <v>46053</v>
      </c>
      <c r="B5257" s="5" t="s">
        <v>971</v>
      </c>
      <c r="C5257" s="3" t="s">
        <v>284</v>
      </c>
      <c r="D5257" s="5" t="s">
        <v>111</v>
      </c>
      <c r="E5257" s="5" t="s">
        <v>112</v>
      </c>
      <c r="F5257" s="6" t="s">
        <v>29</v>
      </c>
      <c r="G5257" s="4" t="s">
        <v>0</v>
      </c>
      <c r="H5257" s="25">
        <v>12951.25</v>
      </c>
      <c r="I5257" s="8">
        <v>7</v>
      </c>
      <c r="J5257" s="9">
        <v>7</v>
      </c>
      <c r="K5257" s="7">
        <v>0</v>
      </c>
      <c r="L5257" s="24">
        <f>+Tabla2[[#This Row],[Stock Inventario]]*Tabla2[[#This Row],[Coste LÃ­nea]]</f>
        <v>90658.75</v>
      </c>
      <c r="M5257" s="24">
        <f>+Tabla2[[#This Row],[Variación Stock]]*Tabla2[[#This Row],[Coste LÃ­nea]]</f>
        <v>0</v>
      </c>
      <c r="N5257" s="22" t="str">
        <f>+IF(Tabla2[[#This Row],[Variación Stock]]&gt;0,"Sobrante",IF(Tabla2[[#This Row],[Variación Stock]]&lt;0,"Faltante","Sin novedad"))</f>
        <v>Sin novedad</v>
      </c>
    </row>
    <row r="5258" spans="1:14" x14ac:dyDescent="0.25">
      <c r="A5258" s="11">
        <v>46053</v>
      </c>
      <c r="B5258" s="5" t="s">
        <v>971</v>
      </c>
      <c r="C5258" s="3" t="s">
        <v>284</v>
      </c>
      <c r="D5258" s="5" t="s">
        <v>111</v>
      </c>
      <c r="E5258" s="5" t="s">
        <v>112</v>
      </c>
      <c r="F5258" s="6" t="s">
        <v>56</v>
      </c>
      <c r="G5258" s="4" t="s">
        <v>0</v>
      </c>
      <c r="H5258" s="25">
        <v>5291.6666666700003</v>
      </c>
      <c r="I5258" s="8">
        <v>1</v>
      </c>
      <c r="J5258" s="9">
        <v>1</v>
      </c>
      <c r="K5258" s="7">
        <v>0</v>
      </c>
      <c r="L5258" s="24">
        <f>+Tabla2[[#This Row],[Stock Inventario]]*Tabla2[[#This Row],[Coste LÃ­nea]]</f>
        <v>5291.6666666700003</v>
      </c>
      <c r="M5258" s="24">
        <f>+Tabla2[[#This Row],[Variación Stock]]*Tabla2[[#This Row],[Coste LÃ­nea]]</f>
        <v>0</v>
      </c>
      <c r="N5258" s="22" t="str">
        <f>+IF(Tabla2[[#This Row],[Variación Stock]]&gt;0,"Sobrante",IF(Tabla2[[#This Row],[Variación Stock]]&lt;0,"Faltante","Sin novedad"))</f>
        <v>Sin novedad</v>
      </c>
    </row>
    <row r="5259" spans="1:14" hidden="1" x14ac:dyDescent="0.25">
      <c r="A5259" s="11">
        <v>46053</v>
      </c>
      <c r="B5259" s="5" t="s">
        <v>971</v>
      </c>
      <c r="C5259" s="3" t="s">
        <v>284</v>
      </c>
      <c r="D5259" s="5" t="s">
        <v>396</v>
      </c>
      <c r="E5259" s="5" t="s">
        <v>117</v>
      </c>
      <c r="F5259" s="6" t="s">
        <v>450</v>
      </c>
      <c r="G5259" s="4" t="s">
        <v>1</v>
      </c>
      <c r="H5259" s="25">
        <v>2.4009999999999998</v>
      </c>
      <c r="I5259" s="8">
        <v>7916.9106000000002</v>
      </c>
      <c r="J5259" s="9">
        <v>5000</v>
      </c>
      <c r="K5259" s="7">
        <v>-5916.9106160000001</v>
      </c>
      <c r="L5259" s="24">
        <f>+Tabla2[[#This Row],[Stock Inventario]]*Tabla2[[#This Row],[Coste LÃ­nea]]</f>
        <v>12004.999999999998</v>
      </c>
      <c r="M5259" s="24">
        <f>+Tabla2[[#This Row],[Variación Stock]]*Tabla2[[#This Row],[Coste LÃ­nea]]</f>
        <v>-14206.502389015999</v>
      </c>
      <c r="N5259" s="22" t="str">
        <f>+IF(Tabla2[[#This Row],[Variación Stock]]&gt;0,"Sobrante",IF(Tabla2[[#This Row],[Variación Stock]]&lt;0,"Faltante","Sin novedad"))</f>
        <v>Faltante</v>
      </c>
    </row>
    <row r="5260" spans="1:14" hidden="1" x14ac:dyDescent="0.25">
      <c r="A5260" s="11">
        <v>46053</v>
      </c>
      <c r="B5260" s="5" t="s">
        <v>971</v>
      </c>
      <c r="C5260" s="3" t="s">
        <v>284</v>
      </c>
      <c r="D5260" s="5" t="s">
        <v>396</v>
      </c>
      <c r="E5260" s="5" t="s">
        <v>117</v>
      </c>
      <c r="F5260" s="6" t="s">
        <v>420</v>
      </c>
      <c r="G5260" s="4" t="s">
        <v>1</v>
      </c>
      <c r="H5260" s="25">
        <v>24.8</v>
      </c>
      <c r="I5260" s="8">
        <v>0</v>
      </c>
      <c r="J5260" s="9">
        <v>0</v>
      </c>
      <c r="K5260" s="7">
        <v>0</v>
      </c>
      <c r="L5260" s="24">
        <f>+Tabla2[[#This Row],[Stock Inventario]]*Tabla2[[#This Row],[Coste LÃ­nea]]</f>
        <v>0</v>
      </c>
      <c r="M5260" s="24">
        <f>+Tabla2[[#This Row],[Variación Stock]]*Tabla2[[#This Row],[Coste LÃ­nea]]</f>
        <v>0</v>
      </c>
      <c r="N5260" s="22" t="str">
        <f>+IF(Tabla2[[#This Row],[Variación Stock]]&gt;0,"Sobrante",IF(Tabla2[[#This Row],[Variación Stock]]&lt;0,"Faltante","Sin novedad"))</f>
        <v>Sin novedad</v>
      </c>
    </row>
    <row r="5261" spans="1:14" hidden="1" x14ac:dyDescent="0.25">
      <c r="A5261" s="11">
        <v>46053</v>
      </c>
      <c r="B5261" s="5" t="s">
        <v>971</v>
      </c>
      <c r="C5261" s="3" t="s">
        <v>284</v>
      </c>
      <c r="D5261" s="5" t="s">
        <v>119</v>
      </c>
      <c r="E5261" s="5" t="s">
        <v>117</v>
      </c>
      <c r="F5261" s="6" t="s">
        <v>93</v>
      </c>
      <c r="G5261" s="4" t="s">
        <v>1</v>
      </c>
      <c r="H5261" s="25">
        <v>60</v>
      </c>
      <c r="I5261" s="8">
        <v>5304.4444000000003</v>
      </c>
      <c r="J5261" s="9">
        <v>3780</v>
      </c>
      <c r="K5261" s="7">
        <v>-1524.444391</v>
      </c>
      <c r="L5261" s="24">
        <f>+Tabla2[[#This Row],[Stock Inventario]]*Tabla2[[#This Row],[Coste LÃ­nea]]</f>
        <v>226800</v>
      </c>
      <c r="M5261" s="24">
        <f>+Tabla2[[#This Row],[Variación Stock]]*Tabla2[[#This Row],[Coste LÃ­nea]]</f>
        <v>-91466.663459999996</v>
      </c>
      <c r="N5261" s="22" t="str">
        <f>+IF(Tabla2[[#This Row],[Variación Stock]]&gt;0,"Sobrante",IF(Tabla2[[#This Row],[Variación Stock]]&lt;0,"Faltante","Sin novedad"))</f>
        <v>Faltante</v>
      </c>
    </row>
    <row r="5262" spans="1:14" x14ac:dyDescent="0.25">
      <c r="A5262" s="11">
        <v>46053</v>
      </c>
      <c r="B5262" s="5" t="s">
        <v>971</v>
      </c>
      <c r="C5262" s="3" t="s">
        <v>284</v>
      </c>
      <c r="D5262" s="5" t="s">
        <v>603</v>
      </c>
      <c r="E5262" s="5" t="s">
        <v>112</v>
      </c>
      <c r="F5262" s="6" t="s">
        <v>609</v>
      </c>
      <c r="G5262" s="4" t="s">
        <v>1</v>
      </c>
      <c r="H5262" s="25">
        <v>43.459558819999998</v>
      </c>
      <c r="I5262" s="8">
        <v>2099</v>
      </c>
      <c r="J5262" s="9">
        <v>0</v>
      </c>
      <c r="K5262" s="7">
        <v>-2099</v>
      </c>
      <c r="L5262" s="24">
        <f>+Tabla2[[#This Row],[Stock Inventario]]*Tabla2[[#This Row],[Coste LÃ­nea]]</f>
        <v>0</v>
      </c>
      <c r="M5262" s="24">
        <f>+Tabla2[[#This Row],[Variación Stock]]*Tabla2[[#This Row],[Coste LÃ­nea]]</f>
        <v>-91221.613963179989</v>
      </c>
      <c r="N5262" s="22" t="str">
        <f>+IF(Tabla2[[#This Row],[Variación Stock]]&gt;0,"Sobrante",IF(Tabla2[[#This Row],[Variación Stock]]&lt;0,"Faltante","Sin novedad"))</f>
        <v>Faltante</v>
      </c>
    </row>
    <row r="5263" spans="1:14" hidden="1" x14ac:dyDescent="0.25">
      <c r="A5263" s="11">
        <v>46053</v>
      </c>
      <c r="B5263" s="5" t="s">
        <v>971</v>
      </c>
      <c r="C5263" s="3" t="s">
        <v>284</v>
      </c>
      <c r="D5263" s="5" t="s">
        <v>396</v>
      </c>
      <c r="E5263" s="5" t="s">
        <v>117</v>
      </c>
      <c r="F5263" s="6" t="s">
        <v>463</v>
      </c>
      <c r="G5263" s="4" t="s">
        <v>1</v>
      </c>
      <c r="H5263" s="25">
        <v>10.749943330000001</v>
      </c>
      <c r="I5263" s="8">
        <v>0</v>
      </c>
      <c r="J5263" s="9">
        <v>0</v>
      </c>
      <c r="K5263" s="7">
        <v>0</v>
      </c>
      <c r="L5263" s="24">
        <f>+Tabla2[[#This Row],[Stock Inventario]]*Tabla2[[#This Row],[Coste LÃ­nea]]</f>
        <v>0</v>
      </c>
      <c r="M5263" s="24">
        <f>+Tabla2[[#This Row],[Variación Stock]]*Tabla2[[#This Row],[Coste LÃ­nea]]</f>
        <v>0</v>
      </c>
      <c r="N5263" s="22" t="str">
        <f>+IF(Tabla2[[#This Row],[Variación Stock]]&gt;0,"Sobrante",IF(Tabla2[[#This Row],[Variación Stock]]&lt;0,"Faltante","Sin novedad"))</f>
        <v>Sin novedad</v>
      </c>
    </row>
    <row r="5264" spans="1:14" hidden="1" x14ac:dyDescent="0.25">
      <c r="A5264" s="11">
        <v>46053</v>
      </c>
      <c r="B5264" s="5" t="s">
        <v>971</v>
      </c>
      <c r="C5264" s="3" t="s">
        <v>284</v>
      </c>
      <c r="D5264" s="5" t="s">
        <v>803</v>
      </c>
      <c r="E5264" s="5" t="s">
        <v>117</v>
      </c>
      <c r="F5264" s="6" t="s">
        <v>812</v>
      </c>
      <c r="G5264" s="4" t="s">
        <v>1</v>
      </c>
      <c r="H5264" s="25">
        <v>26.269315670000001</v>
      </c>
      <c r="I5264" s="8">
        <v>20080</v>
      </c>
      <c r="J5264" s="9">
        <v>374</v>
      </c>
      <c r="K5264" s="7">
        <v>-31031</v>
      </c>
      <c r="L5264" s="24">
        <f>+Tabla2[[#This Row],[Stock Inventario]]*Tabla2[[#This Row],[Coste LÃ­nea]]</f>
        <v>9824.7240605799998</v>
      </c>
      <c r="M5264" s="24">
        <f>+Tabla2[[#This Row],[Variación Stock]]*Tabla2[[#This Row],[Coste LÃ­nea]]</f>
        <v>-815163.13455577008</v>
      </c>
      <c r="N5264" s="22" t="str">
        <f>+IF(Tabla2[[#This Row],[Variación Stock]]&gt;0,"Sobrante",IF(Tabla2[[#This Row],[Variación Stock]]&lt;0,"Faltante","Sin novedad"))</f>
        <v>Faltante</v>
      </c>
    </row>
    <row r="5265" spans="1:14" hidden="1" x14ac:dyDescent="0.25">
      <c r="A5265" s="11">
        <v>46053</v>
      </c>
      <c r="B5265" s="5" t="s">
        <v>971</v>
      </c>
      <c r="C5265" s="3" t="s">
        <v>284</v>
      </c>
      <c r="D5265" s="5" t="s">
        <v>396</v>
      </c>
      <c r="E5265" s="5" t="s">
        <v>117</v>
      </c>
      <c r="F5265" s="6" t="s">
        <v>468</v>
      </c>
      <c r="G5265" s="4" t="s">
        <v>1</v>
      </c>
      <c r="H5265" s="25">
        <v>8.9250000000000007</v>
      </c>
      <c r="I5265" s="8">
        <v>-40366</v>
      </c>
      <c r="J5265" s="9">
        <v>8000</v>
      </c>
      <c r="K5265" s="7">
        <v>48365.999997999999</v>
      </c>
      <c r="L5265" s="24">
        <f>+Tabla2[[#This Row],[Stock Inventario]]*Tabla2[[#This Row],[Coste LÃ­nea]]</f>
        <v>71400</v>
      </c>
      <c r="M5265" s="24">
        <f>+Tabla2[[#This Row],[Variación Stock]]*Tabla2[[#This Row],[Coste LÃ­nea]]</f>
        <v>431666.54998215003</v>
      </c>
      <c r="N5265" s="22" t="str">
        <f>+IF(Tabla2[[#This Row],[Variación Stock]]&gt;0,"Sobrante",IF(Tabla2[[#This Row],[Variación Stock]]&lt;0,"Faltante","Sin novedad"))</f>
        <v>Sobrante</v>
      </c>
    </row>
    <row r="5266" spans="1:14" hidden="1" x14ac:dyDescent="0.25">
      <c r="A5266" s="11">
        <v>46053</v>
      </c>
      <c r="B5266" s="5" t="s">
        <v>971</v>
      </c>
      <c r="C5266" s="3" t="s">
        <v>284</v>
      </c>
      <c r="D5266" s="5" t="s">
        <v>396</v>
      </c>
      <c r="E5266" s="5" t="s">
        <v>117</v>
      </c>
      <c r="F5266" s="6" t="s">
        <v>451</v>
      </c>
      <c r="G5266" s="4" t="s">
        <v>1</v>
      </c>
      <c r="H5266" s="25">
        <v>18.828045979999999</v>
      </c>
      <c r="I5266" s="8">
        <v>10910</v>
      </c>
      <c r="J5266" s="9">
        <v>6035</v>
      </c>
      <c r="K5266" s="7">
        <v>-4875</v>
      </c>
      <c r="L5266" s="24">
        <f>+Tabla2[[#This Row],[Stock Inventario]]*Tabla2[[#This Row],[Coste LÃ­nea]]</f>
        <v>113627.2574893</v>
      </c>
      <c r="M5266" s="24">
        <f>+Tabla2[[#This Row],[Variación Stock]]*Tabla2[[#This Row],[Coste LÃ­nea]]</f>
        <v>-91786.724152499999</v>
      </c>
      <c r="N5266" s="22" t="str">
        <f>+IF(Tabla2[[#This Row],[Variación Stock]]&gt;0,"Sobrante",IF(Tabla2[[#This Row],[Variación Stock]]&lt;0,"Faltante","Sin novedad"))</f>
        <v>Faltante</v>
      </c>
    </row>
    <row r="5267" spans="1:14" hidden="1" x14ac:dyDescent="0.25">
      <c r="A5267" s="11">
        <v>46053</v>
      </c>
      <c r="B5267" s="5" t="s">
        <v>971</v>
      </c>
      <c r="C5267" s="3" t="s">
        <v>284</v>
      </c>
      <c r="D5267" s="5" t="s">
        <v>396</v>
      </c>
      <c r="E5267" s="5" t="s">
        <v>117</v>
      </c>
      <c r="F5267" s="6" t="s">
        <v>409</v>
      </c>
      <c r="G5267" s="4" t="s">
        <v>1</v>
      </c>
      <c r="H5267" s="25">
        <v>89.0625</v>
      </c>
      <c r="I5267" s="8">
        <v>-64</v>
      </c>
      <c r="J5267" s="9">
        <v>250</v>
      </c>
      <c r="K5267" s="7">
        <v>314</v>
      </c>
      <c r="L5267" s="24">
        <f>+Tabla2[[#This Row],[Stock Inventario]]*Tabla2[[#This Row],[Coste LÃ­nea]]</f>
        <v>22265.625</v>
      </c>
      <c r="M5267" s="24">
        <f>+Tabla2[[#This Row],[Variación Stock]]*Tabla2[[#This Row],[Coste LÃ­nea]]</f>
        <v>27965.625</v>
      </c>
      <c r="N5267" s="22" t="str">
        <f>+IF(Tabla2[[#This Row],[Variación Stock]]&gt;0,"Sobrante",IF(Tabla2[[#This Row],[Variación Stock]]&lt;0,"Faltante","Sin novedad"))</f>
        <v>Sobrante</v>
      </c>
    </row>
    <row r="5268" spans="1:14" hidden="1" x14ac:dyDescent="0.25">
      <c r="A5268" s="11">
        <v>46053</v>
      </c>
      <c r="B5268" s="5" t="s">
        <v>971</v>
      </c>
      <c r="C5268" s="3" t="s">
        <v>284</v>
      </c>
      <c r="D5268" s="5" t="s">
        <v>559</v>
      </c>
      <c r="E5268" s="5" t="s">
        <v>1080</v>
      </c>
      <c r="F5268" s="6" t="s">
        <v>595</v>
      </c>
      <c r="G5268" s="4" t="s">
        <v>2</v>
      </c>
      <c r="H5268" s="25">
        <v>81.81</v>
      </c>
      <c r="I5268" s="8">
        <v>0</v>
      </c>
      <c r="J5268" s="9">
        <v>150</v>
      </c>
      <c r="K5268" s="7">
        <v>150</v>
      </c>
      <c r="L5268" s="24">
        <f>+Tabla2[[#This Row],[Stock Inventario]]*Tabla2[[#This Row],[Coste LÃ­nea]]</f>
        <v>12271.5</v>
      </c>
      <c r="M5268" s="24">
        <f>+Tabla2[[#This Row],[Variación Stock]]*Tabla2[[#This Row],[Coste LÃ­nea]]</f>
        <v>12271.5</v>
      </c>
      <c r="N5268" s="22" t="str">
        <f>+IF(Tabla2[[#This Row],[Variación Stock]]&gt;0,"Sobrante",IF(Tabla2[[#This Row],[Variación Stock]]&lt;0,"Faltante","Sin novedad"))</f>
        <v>Sobrante</v>
      </c>
    </row>
    <row r="5269" spans="1:14" hidden="1" x14ac:dyDescent="0.25">
      <c r="A5269" s="11">
        <v>46053</v>
      </c>
      <c r="B5269" s="5" t="s">
        <v>971</v>
      </c>
      <c r="C5269" s="3" t="s">
        <v>284</v>
      </c>
      <c r="D5269" s="5" t="s">
        <v>471</v>
      </c>
      <c r="E5269" s="5" t="s">
        <v>117</v>
      </c>
      <c r="F5269" s="6" t="s">
        <v>531</v>
      </c>
      <c r="G5269" s="4" t="s">
        <v>1</v>
      </c>
      <c r="H5269" s="25">
        <v>2</v>
      </c>
      <c r="I5269" s="8">
        <v>0</v>
      </c>
      <c r="J5269" s="9">
        <v>0</v>
      </c>
      <c r="K5269" s="7">
        <v>0</v>
      </c>
      <c r="L5269" s="24">
        <f>+Tabla2[[#This Row],[Stock Inventario]]*Tabla2[[#This Row],[Coste LÃ­nea]]</f>
        <v>0</v>
      </c>
      <c r="M5269" s="24">
        <f>+Tabla2[[#This Row],[Variación Stock]]*Tabla2[[#This Row],[Coste LÃ­nea]]</f>
        <v>0</v>
      </c>
      <c r="N5269" s="22" t="str">
        <f>+IF(Tabla2[[#This Row],[Variación Stock]]&gt;0,"Sobrante",IF(Tabla2[[#This Row],[Variación Stock]]&lt;0,"Faltante","Sin novedad"))</f>
        <v>Sin novedad</v>
      </c>
    </row>
    <row r="5270" spans="1:14" x14ac:dyDescent="0.25">
      <c r="A5270" s="11">
        <v>46053</v>
      </c>
      <c r="B5270" s="5" t="s">
        <v>971</v>
      </c>
      <c r="C5270" s="3" t="s">
        <v>284</v>
      </c>
      <c r="D5270" s="5" t="s">
        <v>114</v>
      </c>
      <c r="E5270" s="5" t="s">
        <v>112</v>
      </c>
      <c r="F5270" s="6" t="s">
        <v>3</v>
      </c>
      <c r="G5270" s="4" t="s">
        <v>2</v>
      </c>
      <c r="H5270" s="25">
        <v>2000</v>
      </c>
      <c r="I5270" s="8">
        <v>28.3</v>
      </c>
      <c r="J5270" s="9">
        <v>26</v>
      </c>
      <c r="K5270" s="7">
        <v>-2.2999999999999998</v>
      </c>
      <c r="L5270" s="24">
        <f>+Tabla2[[#This Row],[Stock Inventario]]*Tabla2[[#This Row],[Coste LÃ­nea]]</f>
        <v>52000</v>
      </c>
      <c r="M5270" s="24">
        <f>+Tabla2[[#This Row],[Variación Stock]]*Tabla2[[#This Row],[Coste LÃ­nea]]</f>
        <v>-4600</v>
      </c>
      <c r="N5270" s="22" t="str">
        <f>+IF(Tabla2[[#This Row],[Variación Stock]]&gt;0,"Sobrante",IF(Tabla2[[#This Row],[Variación Stock]]&lt;0,"Faltante","Sin novedad"))</f>
        <v>Faltante</v>
      </c>
    </row>
    <row r="5271" spans="1:14" hidden="1" x14ac:dyDescent="0.25">
      <c r="A5271" s="11">
        <v>46053</v>
      </c>
      <c r="B5271" s="5" t="s">
        <v>971</v>
      </c>
      <c r="C5271" s="3" t="s">
        <v>284</v>
      </c>
      <c r="D5271" s="5" t="s">
        <v>396</v>
      </c>
      <c r="E5271" s="5" t="s">
        <v>117</v>
      </c>
      <c r="F5271" s="6" t="s">
        <v>404</v>
      </c>
      <c r="G5271" s="4" t="s">
        <v>1</v>
      </c>
      <c r="H5271" s="25">
        <v>44.212727270000002</v>
      </c>
      <c r="I5271" s="8">
        <v>-390</v>
      </c>
      <c r="J5271" s="9">
        <v>0</v>
      </c>
      <c r="K5271" s="7">
        <v>390</v>
      </c>
      <c r="L5271" s="24">
        <f>+Tabla2[[#This Row],[Stock Inventario]]*Tabla2[[#This Row],[Coste LÃ­nea]]</f>
        <v>0</v>
      </c>
      <c r="M5271" s="24">
        <f>+Tabla2[[#This Row],[Variación Stock]]*Tabla2[[#This Row],[Coste LÃ­nea]]</f>
        <v>17242.963635300002</v>
      </c>
      <c r="N5271" s="22" t="str">
        <f>+IF(Tabla2[[#This Row],[Variación Stock]]&gt;0,"Sobrante",IF(Tabla2[[#This Row],[Variación Stock]]&lt;0,"Faltante","Sin novedad"))</f>
        <v>Sobrante</v>
      </c>
    </row>
    <row r="5272" spans="1:14" hidden="1" x14ac:dyDescent="0.25">
      <c r="A5272" s="11">
        <v>46053</v>
      </c>
      <c r="B5272" s="5" t="s">
        <v>971</v>
      </c>
      <c r="C5272" s="3" t="s">
        <v>284</v>
      </c>
      <c r="D5272" s="5" t="s">
        <v>396</v>
      </c>
      <c r="E5272" s="5" t="s">
        <v>117</v>
      </c>
      <c r="F5272" s="6" t="s">
        <v>421</v>
      </c>
      <c r="G5272" s="4" t="s">
        <v>1</v>
      </c>
      <c r="H5272" s="25">
        <v>77.43726667</v>
      </c>
      <c r="I5272" s="8">
        <v>0</v>
      </c>
      <c r="J5272" s="9">
        <v>0</v>
      </c>
      <c r="K5272" s="7">
        <v>0</v>
      </c>
      <c r="L5272" s="24">
        <f>+Tabla2[[#This Row],[Stock Inventario]]*Tabla2[[#This Row],[Coste LÃ­nea]]</f>
        <v>0</v>
      </c>
      <c r="M5272" s="24">
        <f>+Tabla2[[#This Row],[Variación Stock]]*Tabla2[[#This Row],[Coste LÃ­nea]]</f>
        <v>0</v>
      </c>
      <c r="N5272" s="22" t="str">
        <f>+IF(Tabla2[[#This Row],[Variación Stock]]&gt;0,"Sobrante",IF(Tabla2[[#This Row],[Variación Stock]]&lt;0,"Faltante","Sin novedad"))</f>
        <v>Sin novedad</v>
      </c>
    </row>
    <row r="5273" spans="1:14" hidden="1" x14ac:dyDescent="0.25">
      <c r="A5273" s="11">
        <v>46053</v>
      </c>
      <c r="B5273" s="5" t="s">
        <v>971</v>
      </c>
      <c r="C5273" s="3" t="s">
        <v>284</v>
      </c>
      <c r="D5273" s="5" t="s">
        <v>396</v>
      </c>
      <c r="E5273" s="5" t="s">
        <v>117</v>
      </c>
      <c r="F5273" s="6" t="s">
        <v>411</v>
      </c>
      <c r="G5273" s="4" t="s">
        <v>1</v>
      </c>
      <c r="H5273" s="25">
        <v>152.13461538000001</v>
      </c>
      <c r="I5273" s="8">
        <v>0</v>
      </c>
      <c r="J5273" s="9">
        <v>0</v>
      </c>
      <c r="K5273" s="7">
        <v>0</v>
      </c>
      <c r="L5273" s="24">
        <f>+Tabla2[[#This Row],[Stock Inventario]]*Tabla2[[#This Row],[Coste LÃ­nea]]</f>
        <v>0</v>
      </c>
      <c r="M5273" s="24">
        <f>+Tabla2[[#This Row],[Variación Stock]]*Tabla2[[#This Row],[Coste LÃ­nea]]</f>
        <v>0</v>
      </c>
      <c r="N5273" s="22" t="str">
        <f>+IF(Tabla2[[#This Row],[Variación Stock]]&gt;0,"Sobrante",IF(Tabla2[[#This Row],[Variación Stock]]&lt;0,"Faltante","Sin novedad"))</f>
        <v>Sin novedad</v>
      </c>
    </row>
    <row r="5274" spans="1:14" hidden="1" x14ac:dyDescent="0.25">
      <c r="A5274" s="11">
        <v>46053</v>
      </c>
      <c r="B5274" s="5" t="s">
        <v>971</v>
      </c>
      <c r="C5274" s="3" t="s">
        <v>284</v>
      </c>
      <c r="D5274" s="5" t="s">
        <v>559</v>
      </c>
      <c r="E5274" s="5" t="s">
        <v>1080</v>
      </c>
      <c r="F5274" s="6" t="s">
        <v>596</v>
      </c>
      <c r="G5274" s="4" t="s">
        <v>2</v>
      </c>
      <c r="H5274" s="25">
        <v>52.875555560000002</v>
      </c>
      <c r="I5274" s="8">
        <v>7800</v>
      </c>
      <c r="J5274" s="9">
        <v>1500</v>
      </c>
      <c r="K5274" s="7">
        <v>-6300</v>
      </c>
      <c r="L5274" s="24">
        <f>+Tabla2[[#This Row],[Stock Inventario]]*Tabla2[[#This Row],[Coste LÃ­nea]]</f>
        <v>79313.333339999997</v>
      </c>
      <c r="M5274" s="24">
        <f>+Tabla2[[#This Row],[Variación Stock]]*Tabla2[[#This Row],[Coste LÃ­nea]]</f>
        <v>-333116.00002800004</v>
      </c>
      <c r="N5274" s="22" t="str">
        <f>+IF(Tabla2[[#This Row],[Variación Stock]]&gt;0,"Sobrante",IF(Tabla2[[#This Row],[Variación Stock]]&lt;0,"Faltante","Sin novedad"))</f>
        <v>Faltante</v>
      </c>
    </row>
    <row r="5275" spans="1:14" hidden="1" x14ac:dyDescent="0.25">
      <c r="A5275" s="11">
        <v>46053</v>
      </c>
      <c r="B5275" s="5" t="s">
        <v>971</v>
      </c>
      <c r="C5275" s="3" t="s">
        <v>284</v>
      </c>
      <c r="D5275" s="5" t="s">
        <v>559</v>
      </c>
      <c r="E5275" s="5" t="s">
        <v>1080</v>
      </c>
      <c r="F5275" s="6" t="s">
        <v>597</v>
      </c>
      <c r="G5275" s="4" t="s">
        <v>2</v>
      </c>
      <c r="H5275" s="25">
        <v>377.23</v>
      </c>
      <c r="I5275" s="8">
        <v>0</v>
      </c>
      <c r="J5275" s="9">
        <v>0</v>
      </c>
      <c r="K5275" s="7">
        <v>0</v>
      </c>
      <c r="L5275" s="24">
        <f>+Tabla2[[#This Row],[Stock Inventario]]*Tabla2[[#This Row],[Coste LÃ­nea]]</f>
        <v>0</v>
      </c>
      <c r="M5275" s="24">
        <f>+Tabla2[[#This Row],[Variación Stock]]*Tabla2[[#This Row],[Coste LÃ­nea]]</f>
        <v>0</v>
      </c>
      <c r="N5275" s="22" t="str">
        <f>+IF(Tabla2[[#This Row],[Variación Stock]]&gt;0,"Sobrante",IF(Tabla2[[#This Row],[Variación Stock]]&lt;0,"Faltante","Sin novedad"))</f>
        <v>Sin novedad</v>
      </c>
    </row>
    <row r="5276" spans="1:14" hidden="1" x14ac:dyDescent="0.25">
      <c r="A5276" s="11">
        <v>46053</v>
      </c>
      <c r="B5276" s="5" t="s">
        <v>971</v>
      </c>
      <c r="C5276" s="3" t="s">
        <v>284</v>
      </c>
      <c r="D5276" s="5" t="s">
        <v>396</v>
      </c>
      <c r="E5276" s="5" t="s">
        <v>117</v>
      </c>
      <c r="F5276" s="6" t="s">
        <v>405</v>
      </c>
      <c r="G5276" s="4" t="s">
        <v>2</v>
      </c>
      <c r="H5276" s="25">
        <v>450</v>
      </c>
      <c r="I5276" s="8">
        <v>-15</v>
      </c>
      <c r="J5276" s="9">
        <v>0</v>
      </c>
      <c r="K5276" s="7">
        <v>15</v>
      </c>
      <c r="L5276" s="24">
        <f>+Tabla2[[#This Row],[Stock Inventario]]*Tabla2[[#This Row],[Coste LÃ­nea]]</f>
        <v>0</v>
      </c>
      <c r="M5276" s="24">
        <f>+Tabla2[[#This Row],[Variación Stock]]*Tabla2[[#This Row],[Coste LÃ­nea]]</f>
        <v>6750</v>
      </c>
      <c r="N5276" s="22" t="str">
        <f>+IF(Tabla2[[#This Row],[Variación Stock]]&gt;0,"Sobrante",IF(Tabla2[[#This Row],[Variación Stock]]&lt;0,"Faltante","Sin novedad"))</f>
        <v>Sobrante</v>
      </c>
    </row>
    <row r="5277" spans="1:14" x14ac:dyDescent="0.25">
      <c r="A5277" s="11">
        <v>46053</v>
      </c>
      <c r="B5277" s="5" t="s">
        <v>971</v>
      </c>
      <c r="C5277" s="3" t="s">
        <v>284</v>
      </c>
      <c r="D5277" s="5" t="s">
        <v>111</v>
      </c>
      <c r="E5277" s="5" t="s">
        <v>112</v>
      </c>
      <c r="F5277" s="6" t="s">
        <v>30</v>
      </c>
      <c r="G5277" s="4" t="s">
        <v>0</v>
      </c>
      <c r="H5277" s="25">
        <v>3673.5</v>
      </c>
      <c r="I5277" s="8">
        <v>22</v>
      </c>
      <c r="J5277" s="9">
        <v>22.5</v>
      </c>
      <c r="K5277" s="7">
        <v>0.5</v>
      </c>
      <c r="L5277" s="24">
        <f>+Tabla2[[#This Row],[Stock Inventario]]*Tabla2[[#This Row],[Coste LÃ­nea]]</f>
        <v>82653.75</v>
      </c>
      <c r="M5277" s="24">
        <f>+Tabla2[[#This Row],[Variación Stock]]*Tabla2[[#This Row],[Coste LÃ­nea]]</f>
        <v>1836.75</v>
      </c>
      <c r="N5277" s="22" t="str">
        <f>+IF(Tabla2[[#This Row],[Variación Stock]]&gt;0,"Sobrante",IF(Tabla2[[#This Row],[Variación Stock]]&lt;0,"Faltante","Sin novedad"))</f>
        <v>Sobrante</v>
      </c>
    </row>
    <row r="5278" spans="1:14" x14ac:dyDescent="0.25">
      <c r="A5278" s="11">
        <v>46053</v>
      </c>
      <c r="B5278" s="5" t="s">
        <v>971</v>
      </c>
      <c r="C5278" s="3" t="s">
        <v>284</v>
      </c>
      <c r="D5278" s="5" t="s">
        <v>114</v>
      </c>
      <c r="E5278" s="5" t="s">
        <v>112</v>
      </c>
      <c r="F5278" s="6" t="s">
        <v>147</v>
      </c>
      <c r="G5278" s="4" t="s">
        <v>2</v>
      </c>
      <c r="H5278" s="25">
        <v>1944.4444444000001</v>
      </c>
      <c r="I5278" s="8">
        <v>0</v>
      </c>
      <c r="J5278" s="9">
        <v>0</v>
      </c>
      <c r="K5278" s="7">
        <v>0</v>
      </c>
      <c r="L5278" s="24">
        <f>+Tabla2[[#This Row],[Stock Inventario]]*Tabla2[[#This Row],[Coste LÃ­nea]]</f>
        <v>0</v>
      </c>
      <c r="M5278" s="24">
        <f>+Tabla2[[#This Row],[Variación Stock]]*Tabla2[[#This Row],[Coste LÃ­nea]]</f>
        <v>0</v>
      </c>
      <c r="N5278" s="22" t="str">
        <f>+IF(Tabla2[[#This Row],[Variación Stock]]&gt;0,"Sobrante",IF(Tabla2[[#This Row],[Variación Stock]]&lt;0,"Faltante","Sin novedad"))</f>
        <v>Sin novedad</v>
      </c>
    </row>
    <row r="5279" spans="1:14" x14ac:dyDescent="0.25">
      <c r="A5279" s="11">
        <v>46053</v>
      </c>
      <c r="B5279" s="5" t="s">
        <v>971</v>
      </c>
      <c r="C5279" s="3" t="s">
        <v>284</v>
      </c>
      <c r="D5279" s="5" t="s">
        <v>114</v>
      </c>
      <c r="E5279" s="5" t="s">
        <v>112</v>
      </c>
      <c r="F5279" s="6" t="s">
        <v>70</v>
      </c>
      <c r="G5279" s="4" t="s">
        <v>2</v>
      </c>
      <c r="H5279" s="25">
        <v>1835.41666667</v>
      </c>
      <c r="I5279" s="8">
        <v>30</v>
      </c>
      <c r="J5279" s="9">
        <v>30</v>
      </c>
      <c r="K5279" s="7">
        <v>0</v>
      </c>
      <c r="L5279" s="24">
        <f>+Tabla2[[#This Row],[Stock Inventario]]*Tabla2[[#This Row],[Coste LÃ­nea]]</f>
        <v>55062.500000100001</v>
      </c>
      <c r="M5279" s="24">
        <f>+Tabla2[[#This Row],[Variación Stock]]*Tabla2[[#This Row],[Coste LÃ­nea]]</f>
        <v>0</v>
      </c>
      <c r="N5279" s="22" t="str">
        <f>+IF(Tabla2[[#This Row],[Variación Stock]]&gt;0,"Sobrante",IF(Tabla2[[#This Row],[Variación Stock]]&lt;0,"Faltante","Sin novedad"))</f>
        <v>Sin novedad</v>
      </c>
    </row>
    <row r="5280" spans="1:14" hidden="1" x14ac:dyDescent="0.25">
      <c r="A5280" s="11">
        <v>46053</v>
      </c>
      <c r="B5280" s="5" t="s">
        <v>971</v>
      </c>
      <c r="C5280" s="3" t="s">
        <v>284</v>
      </c>
      <c r="D5280" s="5" t="s">
        <v>116</v>
      </c>
      <c r="E5280" s="5" t="s">
        <v>117</v>
      </c>
      <c r="F5280" s="6" t="s">
        <v>7</v>
      </c>
      <c r="G5280" s="4" t="s">
        <v>2</v>
      </c>
      <c r="H5280" s="25">
        <v>13082.95454545</v>
      </c>
      <c r="I5280" s="8">
        <v>47.5</v>
      </c>
      <c r="J5280" s="9">
        <v>114</v>
      </c>
      <c r="K5280" s="7">
        <v>66.5</v>
      </c>
      <c r="L5280" s="24">
        <f>+Tabla2[[#This Row],[Stock Inventario]]*Tabla2[[#This Row],[Coste LÃ­nea]]</f>
        <v>1491456.8181813001</v>
      </c>
      <c r="M5280" s="24">
        <f>+Tabla2[[#This Row],[Variación Stock]]*Tabla2[[#This Row],[Coste LÃ­nea]]</f>
        <v>870016.47727242496</v>
      </c>
      <c r="N5280" s="22" t="str">
        <f>+IF(Tabla2[[#This Row],[Variación Stock]]&gt;0,"Sobrante",IF(Tabla2[[#This Row],[Variación Stock]]&lt;0,"Faltante","Sin novedad"))</f>
        <v>Sobrante</v>
      </c>
    </row>
    <row r="5281" spans="1:14" hidden="1" x14ac:dyDescent="0.25">
      <c r="A5281" s="11">
        <v>46053</v>
      </c>
      <c r="B5281" s="5" t="s">
        <v>971</v>
      </c>
      <c r="C5281" s="3" t="s">
        <v>284</v>
      </c>
      <c r="D5281" s="5" t="s">
        <v>396</v>
      </c>
      <c r="E5281" s="5" t="s">
        <v>117</v>
      </c>
      <c r="F5281" s="6" t="s">
        <v>422</v>
      </c>
      <c r="G5281" s="4" t="s">
        <v>1</v>
      </c>
      <c r="H5281" s="25">
        <v>24</v>
      </c>
      <c r="I5281" s="8">
        <v>0</v>
      </c>
      <c r="J5281" s="9">
        <v>0</v>
      </c>
      <c r="K5281" s="7">
        <v>0</v>
      </c>
      <c r="L5281" s="24">
        <f>+Tabla2[[#This Row],[Stock Inventario]]*Tabla2[[#This Row],[Coste LÃ­nea]]</f>
        <v>0</v>
      </c>
      <c r="M5281" s="24">
        <f>+Tabla2[[#This Row],[Variación Stock]]*Tabla2[[#This Row],[Coste LÃ­nea]]</f>
        <v>0</v>
      </c>
      <c r="N5281" s="22" t="str">
        <f>+IF(Tabla2[[#This Row],[Variación Stock]]&gt;0,"Sobrante",IF(Tabla2[[#This Row],[Variación Stock]]&lt;0,"Faltante","Sin novedad"))</f>
        <v>Sin novedad</v>
      </c>
    </row>
    <row r="5282" spans="1:14" hidden="1" x14ac:dyDescent="0.25">
      <c r="A5282" s="11">
        <v>46053</v>
      </c>
      <c r="B5282" s="5" t="s">
        <v>971</v>
      </c>
      <c r="C5282" s="3" t="s">
        <v>284</v>
      </c>
      <c r="D5282" s="5" t="s">
        <v>396</v>
      </c>
      <c r="E5282" s="5" t="s">
        <v>117</v>
      </c>
      <c r="F5282" s="6" t="s">
        <v>452</v>
      </c>
      <c r="G5282" s="4" t="s">
        <v>1</v>
      </c>
      <c r="H5282" s="25">
        <v>37.777775699999999</v>
      </c>
      <c r="I5282" s="8">
        <v>8000</v>
      </c>
      <c r="J5282" s="9">
        <v>6500</v>
      </c>
      <c r="K5282" s="7">
        <v>-1500</v>
      </c>
      <c r="L5282" s="24">
        <f>+Tabla2[[#This Row],[Stock Inventario]]*Tabla2[[#This Row],[Coste LÃ­nea]]</f>
        <v>245555.54204999999</v>
      </c>
      <c r="M5282" s="24">
        <f>+Tabla2[[#This Row],[Variación Stock]]*Tabla2[[#This Row],[Coste LÃ­nea]]</f>
        <v>-56666.663549999997</v>
      </c>
      <c r="N5282" s="22" t="str">
        <f>+IF(Tabla2[[#This Row],[Variación Stock]]&gt;0,"Sobrante",IF(Tabla2[[#This Row],[Variación Stock]]&lt;0,"Faltante","Sin novedad"))</f>
        <v>Faltante</v>
      </c>
    </row>
    <row r="5283" spans="1:14" hidden="1" x14ac:dyDescent="0.25">
      <c r="A5283" s="11">
        <v>46053</v>
      </c>
      <c r="B5283" s="5" t="s">
        <v>971</v>
      </c>
      <c r="C5283" s="3" t="s">
        <v>284</v>
      </c>
      <c r="D5283" s="5" t="s">
        <v>396</v>
      </c>
      <c r="E5283" s="5" t="s">
        <v>117</v>
      </c>
      <c r="F5283" s="6" t="s">
        <v>453</v>
      </c>
      <c r="G5283" s="4" t="s">
        <v>2</v>
      </c>
      <c r="H5283" s="25">
        <v>54.34</v>
      </c>
      <c r="I5283" s="8">
        <v>0</v>
      </c>
      <c r="J5283" s="9">
        <v>150</v>
      </c>
      <c r="K5283" s="7">
        <v>150</v>
      </c>
      <c r="L5283" s="24">
        <f>+Tabla2[[#This Row],[Stock Inventario]]*Tabla2[[#This Row],[Coste LÃ­nea]]</f>
        <v>8151.0000000000009</v>
      </c>
      <c r="M5283" s="24">
        <f>+Tabla2[[#This Row],[Variación Stock]]*Tabla2[[#This Row],[Coste LÃ­nea]]</f>
        <v>8151.0000000000009</v>
      </c>
      <c r="N5283" s="22" t="str">
        <f>+IF(Tabla2[[#This Row],[Variación Stock]]&gt;0,"Sobrante",IF(Tabla2[[#This Row],[Variación Stock]]&lt;0,"Faltante","Sin novedad"))</f>
        <v>Sobrante</v>
      </c>
    </row>
    <row r="5284" spans="1:14" hidden="1" x14ac:dyDescent="0.25">
      <c r="A5284" s="11">
        <v>46053</v>
      </c>
      <c r="B5284" s="5" t="s">
        <v>971</v>
      </c>
      <c r="C5284" s="3" t="s">
        <v>284</v>
      </c>
      <c r="D5284" s="5" t="s">
        <v>396</v>
      </c>
      <c r="E5284" s="5" t="s">
        <v>117</v>
      </c>
      <c r="F5284" s="6" t="s">
        <v>406</v>
      </c>
      <c r="G5284" s="4" t="s">
        <v>2</v>
      </c>
      <c r="H5284" s="25">
        <v>709.24</v>
      </c>
      <c r="I5284" s="8">
        <v>345</v>
      </c>
      <c r="J5284" s="9">
        <v>229</v>
      </c>
      <c r="K5284" s="7">
        <v>-116</v>
      </c>
      <c r="L5284" s="24">
        <f>+Tabla2[[#This Row],[Stock Inventario]]*Tabla2[[#This Row],[Coste LÃ­nea]]</f>
        <v>162415.96</v>
      </c>
      <c r="M5284" s="24">
        <f>+Tabla2[[#This Row],[Variación Stock]]*Tabla2[[#This Row],[Coste LÃ­nea]]</f>
        <v>-82271.839999999997</v>
      </c>
      <c r="N5284" s="22" t="str">
        <f>+IF(Tabla2[[#This Row],[Variación Stock]]&gt;0,"Sobrante",IF(Tabla2[[#This Row],[Variación Stock]]&lt;0,"Faltante","Sin novedad"))</f>
        <v>Faltante</v>
      </c>
    </row>
    <row r="5285" spans="1:14" x14ac:dyDescent="0.25">
      <c r="A5285" s="11">
        <v>46053</v>
      </c>
      <c r="B5285" s="5" t="s">
        <v>971</v>
      </c>
      <c r="C5285" s="3" t="s">
        <v>284</v>
      </c>
      <c r="D5285" s="5" t="s">
        <v>114</v>
      </c>
      <c r="E5285" s="5" t="s">
        <v>112</v>
      </c>
      <c r="F5285" s="6" t="s">
        <v>63</v>
      </c>
      <c r="G5285" s="4" t="s">
        <v>2</v>
      </c>
      <c r="H5285" s="25">
        <v>1395.79166667</v>
      </c>
      <c r="I5285" s="8">
        <v>18</v>
      </c>
      <c r="J5285" s="9">
        <v>19</v>
      </c>
      <c r="K5285" s="7">
        <v>1</v>
      </c>
      <c r="L5285" s="24">
        <f>+Tabla2[[#This Row],[Stock Inventario]]*Tabla2[[#This Row],[Coste LÃ­nea]]</f>
        <v>26520.041666730001</v>
      </c>
      <c r="M5285" s="24">
        <f>+Tabla2[[#This Row],[Variación Stock]]*Tabla2[[#This Row],[Coste LÃ­nea]]</f>
        <v>1395.79166667</v>
      </c>
      <c r="N5285" s="22" t="str">
        <f>+IF(Tabla2[[#This Row],[Variación Stock]]&gt;0,"Sobrante",IF(Tabla2[[#This Row],[Variación Stock]]&lt;0,"Faltante","Sin novedad"))</f>
        <v>Sobrante</v>
      </c>
    </row>
    <row r="5286" spans="1:14" hidden="1" x14ac:dyDescent="0.25">
      <c r="A5286" s="11">
        <v>46053</v>
      </c>
      <c r="B5286" s="5" t="s">
        <v>971</v>
      </c>
      <c r="C5286" s="3" t="s">
        <v>284</v>
      </c>
      <c r="D5286" s="5" t="s">
        <v>396</v>
      </c>
      <c r="E5286" s="5" t="s">
        <v>117</v>
      </c>
      <c r="F5286" s="6" t="s">
        <v>407</v>
      </c>
      <c r="G5286" s="4" t="s">
        <v>1</v>
      </c>
      <c r="H5286" s="25">
        <v>33.08368067</v>
      </c>
      <c r="I5286" s="8">
        <v>-287</v>
      </c>
      <c r="J5286" s="9">
        <v>470</v>
      </c>
      <c r="K5286" s="7">
        <v>757</v>
      </c>
      <c r="L5286" s="24">
        <f>+Tabla2[[#This Row],[Stock Inventario]]*Tabla2[[#This Row],[Coste LÃ­nea]]</f>
        <v>15549.329914899999</v>
      </c>
      <c r="M5286" s="24">
        <f>+Tabla2[[#This Row],[Variación Stock]]*Tabla2[[#This Row],[Coste LÃ­nea]]</f>
        <v>25044.346267190002</v>
      </c>
      <c r="N5286" s="22" t="str">
        <f>+IF(Tabla2[[#This Row],[Variación Stock]]&gt;0,"Sobrante",IF(Tabla2[[#This Row],[Variación Stock]]&lt;0,"Faltante","Sin novedad"))</f>
        <v>Sobrante</v>
      </c>
    </row>
    <row r="5287" spans="1:14" hidden="1" x14ac:dyDescent="0.25">
      <c r="A5287" s="11">
        <v>46053</v>
      </c>
      <c r="B5287" s="5" t="s">
        <v>971</v>
      </c>
      <c r="C5287" s="3" t="s">
        <v>284</v>
      </c>
      <c r="D5287" s="5" t="s">
        <v>396</v>
      </c>
      <c r="E5287" s="5" t="s">
        <v>117</v>
      </c>
      <c r="F5287" s="6" t="s">
        <v>417</v>
      </c>
      <c r="G5287" s="4" t="s">
        <v>1</v>
      </c>
      <c r="H5287" s="25">
        <v>14.19373109</v>
      </c>
      <c r="I5287" s="8">
        <v>500</v>
      </c>
      <c r="J5287" s="9">
        <v>0</v>
      </c>
      <c r="K5287" s="7">
        <v>-500</v>
      </c>
      <c r="L5287" s="24">
        <f>+Tabla2[[#This Row],[Stock Inventario]]*Tabla2[[#This Row],[Coste LÃ­nea]]</f>
        <v>0</v>
      </c>
      <c r="M5287" s="24">
        <f>+Tabla2[[#This Row],[Variación Stock]]*Tabla2[[#This Row],[Coste LÃ­nea]]</f>
        <v>-7096.8655449999997</v>
      </c>
      <c r="N5287" s="22" t="str">
        <f>+IF(Tabla2[[#This Row],[Variación Stock]]&gt;0,"Sobrante",IF(Tabla2[[#This Row],[Variación Stock]]&lt;0,"Faltante","Sin novedad"))</f>
        <v>Faltante</v>
      </c>
    </row>
    <row r="5288" spans="1:14" hidden="1" x14ac:dyDescent="0.25">
      <c r="A5288" s="11">
        <v>46053</v>
      </c>
      <c r="B5288" s="5" t="s">
        <v>971</v>
      </c>
      <c r="C5288" s="3" t="s">
        <v>284</v>
      </c>
      <c r="D5288" s="5" t="s">
        <v>120</v>
      </c>
      <c r="E5288" s="5" t="s">
        <v>117</v>
      </c>
      <c r="F5288" s="6" t="s">
        <v>678</v>
      </c>
      <c r="G5288" s="4" t="s">
        <v>1</v>
      </c>
      <c r="H5288" s="25">
        <v>18.46795453</v>
      </c>
      <c r="I5288" s="8">
        <v>0</v>
      </c>
      <c r="J5288" s="9">
        <v>0</v>
      </c>
      <c r="K5288" s="7">
        <v>0</v>
      </c>
      <c r="L5288" s="24">
        <f>+Tabla2[[#This Row],[Stock Inventario]]*Tabla2[[#This Row],[Coste LÃ­nea]]</f>
        <v>0</v>
      </c>
      <c r="M5288" s="24">
        <f>+Tabla2[[#This Row],[Variación Stock]]*Tabla2[[#This Row],[Coste LÃ­nea]]</f>
        <v>0</v>
      </c>
      <c r="N5288" s="22" t="str">
        <f>+IF(Tabla2[[#This Row],[Variación Stock]]&gt;0,"Sobrante",IF(Tabla2[[#This Row],[Variación Stock]]&lt;0,"Faltante","Sin novedad"))</f>
        <v>Sin novedad</v>
      </c>
    </row>
    <row r="5289" spans="1:14" hidden="1" x14ac:dyDescent="0.25">
      <c r="A5289" s="11">
        <v>46053</v>
      </c>
      <c r="B5289" s="5" t="s">
        <v>971</v>
      </c>
      <c r="C5289" s="3" t="s">
        <v>284</v>
      </c>
      <c r="D5289" s="5" t="s">
        <v>323</v>
      </c>
      <c r="E5289" s="5" t="s">
        <v>117</v>
      </c>
      <c r="F5289" s="6" t="s">
        <v>769</v>
      </c>
      <c r="G5289" s="4" t="s">
        <v>1</v>
      </c>
      <c r="H5289" s="25">
        <v>72.601667000000006</v>
      </c>
      <c r="I5289" s="8">
        <v>-850</v>
      </c>
      <c r="J5289" s="9">
        <v>0</v>
      </c>
      <c r="K5289" s="7">
        <v>850</v>
      </c>
      <c r="L5289" s="24">
        <f>+Tabla2[[#This Row],[Stock Inventario]]*Tabla2[[#This Row],[Coste LÃ­nea]]</f>
        <v>0</v>
      </c>
      <c r="M5289" s="24">
        <f>+Tabla2[[#This Row],[Variación Stock]]*Tabla2[[#This Row],[Coste LÃ­nea]]</f>
        <v>61711.416950000006</v>
      </c>
      <c r="N5289" s="22" t="str">
        <f>+IF(Tabla2[[#This Row],[Variación Stock]]&gt;0,"Sobrante",IF(Tabla2[[#This Row],[Variación Stock]]&lt;0,"Faltante","Sin novedad"))</f>
        <v>Sobrante</v>
      </c>
    </row>
    <row r="5290" spans="1:14" hidden="1" x14ac:dyDescent="0.25">
      <c r="A5290" s="11">
        <v>46053</v>
      </c>
      <c r="B5290" s="5" t="s">
        <v>971</v>
      </c>
      <c r="C5290" s="3" t="s">
        <v>284</v>
      </c>
      <c r="D5290" s="5" t="s">
        <v>120</v>
      </c>
      <c r="E5290" s="5" t="s">
        <v>117</v>
      </c>
      <c r="F5290" s="6" t="s">
        <v>679</v>
      </c>
      <c r="G5290" s="4" t="s">
        <v>1</v>
      </c>
      <c r="H5290" s="25">
        <v>30.109111110000001</v>
      </c>
      <c r="I5290" s="8">
        <v>396</v>
      </c>
      <c r="J5290" s="9">
        <v>158</v>
      </c>
      <c r="K5290" s="7">
        <v>-238</v>
      </c>
      <c r="L5290" s="24">
        <f>+Tabla2[[#This Row],[Stock Inventario]]*Tabla2[[#This Row],[Coste LÃ­nea]]</f>
        <v>4757.2395553799997</v>
      </c>
      <c r="M5290" s="24">
        <f>+Tabla2[[#This Row],[Variación Stock]]*Tabla2[[#This Row],[Coste LÃ­nea]]</f>
        <v>-7165.96844418</v>
      </c>
      <c r="N5290" s="22" t="str">
        <f>+IF(Tabla2[[#This Row],[Variación Stock]]&gt;0,"Sobrante",IF(Tabla2[[#This Row],[Variación Stock]]&lt;0,"Faltante","Sin novedad"))</f>
        <v>Faltante</v>
      </c>
    </row>
    <row r="5291" spans="1:14" hidden="1" x14ac:dyDescent="0.25">
      <c r="A5291" s="11">
        <v>46053</v>
      </c>
      <c r="B5291" s="5" t="s">
        <v>971</v>
      </c>
      <c r="C5291" s="3" t="s">
        <v>284</v>
      </c>
      <c r="D5291" s="5" t="s">
        <v>120</v>
      </c>
      <c r="E5291" s="5" t="s">
        <v>117</v>
      </c>
      <c r="F5291" s="6" t="s">
        <v>680</v>
      </c>
      <c r="G5291" s="4" t="s">
        <v>1</v>
      </c>
      <c r="H5291" s="25">
        <v>30.36706689</v>
      </c>
      <c r="I5291" s="8">
        <v>0</v>
      </c>
      <c r="J5291" s="9">
        <v>0</v>
      </c>
      <c r="K5291" s="7">
        <v>0</v>
      </c>
      <c r="L5291" s="24">
        <f>+Tabla2[[#This Row],[Stock Inventario]]*Tabla2[[#This Row],[Coste LÃ­nea]]</f>
        <v>0</v>
      </c>
      <c r="M5291" s="24">
        <f>+Tabla2[[#This Row],[Variación Stock]]*Tabla2[[#This Row],[Coste LÃ­nea]]</f>
        <v>0</v>
      </c>
      <c r="N5291" s="22" t="str">
        <f>+IF(Tabla2[[#This Row],[Variación Stock]]&gt;0,"Sobrante",IF(Tabla2[[#This Row],[Variación Stock]]&lt;0,"Faltante","Sin novedad"))</f>
        <v>Sin novedad</v>
      </c>
    </row>
    <row r="5292" spans="1:14" hidden="1" x14ac:dyDescent="0.25">
      <c r="A5292" s="11">
        <v>46053</v>
      </c>
      <c r="B5292" s="5" t="s">
        <v>971</v>
      </c>
      <c r="C5292" s="3" t="s">
        <v>284</v>
      </c>
      <c r="D5292" s="5" t="s">
        <v>120</v>
      </c>
      <c r="E5292" s="5" t="s">
        <v>117</v>
      </c>
      <c r="F5292" s="6" t="s">
        <v>681</v>
      </c>
      <c r="G5292" s="4" t="s">
        <v>1</v>
      </c>
      <c r="H5292" s="25">
        <v>25.010719009999999</v>
      </c>
      <c r="I5292" s="8">
        <v>3316</v>
      </c>
      <c r="J5292" s="9">
        <v>1184</v>
      </c>
      <c r="K5292" s="7">
        <v>-2132</v>
      </c>
      <c r="L5292" s="24">
        <f>+Tabla2[[#This Row],[Stock Inventario]]*Tabla2[[#This Row],[Coste LÃ­nea]]</f>
        <v>29612.691307839999</v>
      </c>
      <c r="M5292" s="24">
        <f>+Tabla2[[#This Row],[Variación Stock]]*Tabla2[[#This Row],[Coste LÃ­nea]]</f>
        <v>-53322.852929319997</v>
      </c>
      <c r="N5292" s="22" t="str">
        <f>+IF(Tabla2[[#This Row],[Variación Stock]]&gt;0,"Sobrante",IF(Tabla2[[#This Row],[Variación Stock]]&lt;0,"Faltante","Sin novedad"))</f>
        <v>Faltante</v>
      </c>
    </row>
    <row r="5293" spans="1:14" hidden="1" x14ac:dyDescent="0.25">
      <c r="A5293" s="11">
        <v>46053</v>
      </c>
      <c r="B5293" s="5" t="s">
        <v>971</v>
      </c>
      <c r="C5293" s="3" t="s">
        <v>284</v>
      </c>
      <c r="D5293" s="5" t="s">
        <v>120</v>
      </c>
      <c r="E5293" s="5" t="s">
        <v>117</v>
      </c>
      <c r="F5293" s="6" t="s">
        <v>682</v>
      </c>
      <c r="G5293" s="4" t="s">
        <v>1</v>
      </c>
      <c r="H5293" s="25">
        <v>27.358149999999998</v>
      </c>
      <c r="I5293" s="8">
        <v>0</v>
      </c>
      <c r="J5293" s="9">
        <v>0</v>
      </c>
      <c r="K5293" s="7">
        <v>0</v>
      </c>
      <c r="L5293" s="24">
        <f>+Tabla2[[#This Row],[Stock Inventario]]*Tabla2[[#This Row],[Coste LÃ­nea]]</f>
        <v>0</v>
      </c>
      <c r="M5293" s="24">
        <f>+Tabla2[[#This Row],[Variación Stock]]*Tabla2[[#This Row],[Coste LÃ­nea]]</f>
        <v>0</v>
      </c>
      <c r="N5293" s="22" t="str">
        <f>+IF(Tabla2[[#This Row],[Variación Stock]]&gt;0,"Sobrante",IF(Tabla2[[#This Row],[Variación Stock]]&lt;0,"Faltante","Sin novedad"))</f>
        <v>Sin novedad</v>
      </c>
    </row>
    <row r="5294" spans="1:14" hidden="1" x14ac:dyDescent="0.25">
      <c r="A5294" s="11">
        <v>46053</v>
      </c>
      <c r="B5294" s="5" t="s">
        <v>971</v>
      </c>
      <c r="C5294" s="3" t="s">
        <v>284</v>
      </c>
      <c r="D5294" s="5" t="s">
        <v>120</v>
      </c>
      <c r="E5294" s="5" t="s">
        <v>117</v>
      </c>
      <c r="F5294" s="6" t="s">
        <v>683</v>
      </c>
      <c r="G5294" s="4" t="s">
        <v>1</v>
      </c>
      <c r="H5294" s="25">
        <v>32.015888930000003</v>
      </c>
      <c r="I5294" s="8">
        <v>394</v>
      </c>
      <c r="J5294" s="9">
        <v>0</v>
      </c>
      <c r="K5294" s="7">
        <v>-394</v>
      </c>
      <c r="L5294" s="24">
        <f>+Tabla2[[#This Row],[Stock Inventario]]*Tabla2[[#This Row],[Coste LÃ­nea]]</f>
        <v>0</v>
      </c>
      <c r="M5294" s="24">
        <f>+Tabla2[[#This Row],[Variación Stock]]*Tabla2[[#This Row],[Coste LÃ­nea]]</f>
        <v>-12614.260238420002</v>
      </c>
      <c r="N5294" s="22" t="str">
        <f>+IF(Tabla2[[#This Row],[Variación Stock]]&gt;0,"Sobrante",IF(Tabla2[[#This Row],[Variación Stock]]&lt;0,"Faltante","Sin novedad"))</f>
        <v>Faltante</v>
      </c>
    </row>
    <row r="5295" spans="1:14" hidden="1" x14ac:dyDescent="0.25">
      <c r="A5295" s="11">
        <v>46053</v>
      </c>
      <c r="B5295" s="5" t="s">
        <v>971</v>
      </c>
      <c r="C5295" s="3" t="s">
        <v>284</v>
      </c>
      <c r="D5295" s="5" t="s">
        <v>323</v>
      </c>
      <c r="E5295" s="5" t="s">
        <v>117</v>
      </c>
      <c r="F5295" s="6" t="s">
        <v>347</v>
      </c>
      <c r="G5295" s="4" t="s">
        <v>1</v>
      </c>
      <c r="H5295" s="25">
        <v>12.51466177</v>
      </c>
      <c r="I5295" s="8">
        <v>23600</v>
      </c>
      <c r="J5295" s="9">
        <v>5000</v>
      </c>
      <c r="K5295" s="7">
        <v>-18600</v>
      </c>
      <c r="L5295" s="24">
        <f>+Tabla2[[#This Row],[Stock Inventario]]*Tabla2[[#This Row],[Coste LÃ­nea]]</f>
        <v>62573.308850000001</v>
      </c>
      <c r="M5295" s="24">
        <f>+Tabla2[[#This Row],[Variación Stock]]*Tabla2[[#This Row],[Coste LÃ­nea]]</f>
        <v>-232772.70892199999</v>
      </c>
      <c r="N5295" s="22" t="str">
        <f>+IF(Tabla2[[#This Row],[Variación Stock]]&gt;0,"Sobrante",IF(Tabla2[[#This Row],[Variación Stock]]&lt;0,"Faltante","Sin novedad"))</f>
        <v>Faltante</v>
      </c>
    </row>
    <row r="5296" spans="1:14" x14ac:dyDescent="0.25">
      <c r="A5296" s="11">
        <v>46053</v>
      </c>
      <c r="B5296" s="5" t="s">
        <v>971</v>
      </c>
      <c r="C5296" s="3" t="s">
        <v>284</v>
      </c>
      <c r="D5296" s="5" t="s">
        <v>121</v>
      </c>
      <c r="E5296" s="5" t="s">
        <v>112</v>
      </c>
      <c r="F5296" s="6" t="s">
        <v>783</v>
      </c>
      <c r="G5296" s="4" t="s">
        <v>1</v>
      </c>
      <c r="H5296" s="25">
        <v>4.0679999999999996</v>
      </c>
      <c r="I5296" s="8">
        <v>-22534</v>
      </c>
      <c r="J5296" s="9">
        <v>4750</v>
      </c>
      <c r="K5296" s="7">
        <v>27284</v>
      </c>
      <c r="L5296" s="24">
        <f>+Tabla2[[#This Row],[Stock Inventario]]*Tabla2[[#This Row],[Coste LÃ­nea]]</f>
        <v>19322.999999999996</v>
      </c>
      <c r="M5296" s="24">
        <f>+Tabla2[[#This Row],[Variación Stock]]*Tabla2[[#This Row],[Coste LÃ­nea]]</f>
        <v>110991.31199999999</v>
      </c>
      <c r="N5296" s="22" t="str">
        <f>+IF(Tabla2[[#This Row],[Variación Stock]]&gt;0,"Sobrante",IF(Tabla2[[#This Row],[Variación Stock]]&lt;0,"Faltante","Sin novedad"))</f>
        <v>Sobrante</v>
      </c>
    </row>
    <row r="5297" spans="1:14" x14ac:dyDescent="0.25">
      <c r="A5297" s="11">
        <v>46053</v>
      </c>
      <c r="B5297" s="5" t="s">
        <v>971</v>
      </c>
      <c r="C5297" s="3" t="s">
        <v>284</v>
      </c>
      <c r="D5297" s="5" t="s">
        <v>121</v>
      </c>
      <c r="E5297" s="5" t="s">
        <v>112</v>
      </c>
      <c r="F5297" s="6" t="s">
        <v>835</v>
      </c>
      <c r="G5297" s="4" t="s">
        <v>1</v>
      </c>
      <c r="H5297" s="25">
        <v>6.9158522400000004</v>
      </c>
      <c r="I5297" s="8">
        <v>-5000</v>
      </c>
      <c r="J5297" s="9">
        <v>0</v>
      </c>
      <c r="K5297" s="7">
        <v>5000</v>
      </c>
      <c r="L5297" s="24">
        <f>+Tabla2[[#This Row],[Stock Inventario]]*Tabla2[[#This Row],[Coste LÃ­nea]]</f>
        <v>0</v>
      </c>
      <c r="M5297" s="24">
        <f>+Tabla2[[#This Row],[Variación Stock]]*Tabla2[[#This Row],[Coste LÃ­nea]]</f>
        <v>34579.261200000001</v>
      </c>
      <c r="N5297" s="22" t="str">
        <f>+IF(Tabla2[[#This Row],[Variación Stock]]&gt;0,"Sobrante",IF(Tabla2[[#This Row],[Variación Stock]]&lt;0,"Faltante","Sin novedad"))</f>
        <v>Sobrante</v>
      </c>
    </row>
    <row r="5298" spans="1:14" x14ac:dyDescent="0.25">
      <c r="A5298" s="11">
        <v>46053</v>
      </c>
      <c r="B5298" s="5" t="s">
        <v>971</v>
      </c>
      <c r="C5298" s="3" t="s">
        <v>284</v>
      </c>
      <c r="D5298" s="5" t="s">
        <v>121</v>
      </c>
      <c r="E5298" s="5" t="s">
        <v>112</v>
      </c>
      <c r="F5298" s="6" t="s">
        <v>784</v>
      </c>
      <c r="G5298" s="4" t="s">
        <v>1</v>
      </c>
      <c r="H5298" s="25">
        <v>5.3544533300000001</v>
      </c>
      <c r="I5298" s="8">
        <v>-231</v>
      </c>
      <c r="J5298" s="9">
        <v>600</v>
      </c>
      <c r="K5298" s="7">
        <v>831</v>
      </c>
      <c r="L5298" s="24">
        <f>+Tabla2[[#This Row],[Stock Inventario]]*Tabla2[[#This Row],[Coste LÃ­nea]]</f>
        <v>3212.6719980000003</v>
      </c>
      <c r="M5298" s="24">
        <f>+Tabla2[[#This Row],[Variación Stock]]*Tabla2[[#This Row],[Coste LÃ­nea]]</f>
        <v>4449.5507172300004</v>
      </c>
      <c r="N5298" s="22" t="str">
        <f>+IF(Tabla2[[#This Row],[Variación Stock]]&gt;0,"Sobrante",IF(Tabla2[[#This Row],[Variación Stock]]&lt;0,"Faltante","Sin novedad"))</f>
        <v>Sobrante</v>
      </c>
    </row>
    <row r="5299" spans="1:14" x14ac:dyDescent="0.25">
      <c r="A5299" s="11">
        <v>46053</v>
      </c>
      <c r="B5299" s="5" t="s">
        <v>971</v>
      </c>
      <c r="C5299" s="3" t="s">
        <v>284</v>
      </c>
      <c r="D5299" s="5" t="s">
        <v>121</v>
      </c>
      <c r="E5299" s="5" t="s">
        <v>112</v>
      </c>
      <c r="F5299" s="6" t="s">
        <v>785</v>
      </c>
      <c r="G5299" s="4" t="s">
        <v>1</v>
      </c>
      <c r="H5299" s="25">
        <v>2.9635938500000001</v>
      </c>
      <c r="I5299" s="8">
        <v>-1334</v>
      </c>
      <c r="J5299" s="9">
        <v>750</v>
      </c>
      <c r="K5299" s="7">
        <v>2084</v>
      </c>
      <c r="L5299" s="24">
        <f>+Tabla2[[#This Row],[Stock Inventario]]*Tabla2[[#This Row],[Coste LÃ­nea]]</f>
        <v>2222.6953874999999</v>
      </c>
      <c r="M5299" s="24">
        <f>+Tabla2[[#This Row],[Variación Stock]]*Tabla2[[#This Row],[Coste LÃ­nea]]</f>
        <v>6176.1295834000002</v>
      </c>
      <c r="N5299" s="22" t="str">
        <f>+IF(Tabla2[[#This Row],[Variación Stock]]&gt;0,"Sobrante",IF(Tabla2[[#This Row],[Variación Stock]]&lt;0,"Faltante","Sin novedad"))</f>
        <v>Sobrante</v>
      </c>
    </row>
    <row r="5300" spans="1:14" hidden="1" x14ac:dyDescent="0.25">
      <c r="A5300" s="11">
        <v>46053</v>
      </c>
      <c r="B5300" s="5" t="s">
        <v>971</v>
      </c>
      <c r="C5300" s="3" t="s">
        <v>284</v>
      </c>
      <c r="D5300" s="5" t="s">
        <v>323</v>
      </c>
      <c r="E5300" s="5" t="s">
        <v>117</v>
      </c>
      <c r="F5300" s="6" t="s">
        <v>770</v>
      </c>
      <c r="G5300" s="4" t="s">
        <v>1</v>
      </c>
      <c r="H5300" s="25">
        <v>5.7526719999999996</v>
      </c>
      <c r="I5300" s="8">
        <v>-420</v>
      </c>
      <c r="J5300" s="9">
        <v>0</v>
      </c>
      <c r="K5300" s="7">
        <v>420</v>
      </c>
      <c r="L5300" s="24">
        <f>+Tabla2[[#This Row],[Stock Inventario]]*Tabla2[[#This Row],[Coste LÃ­nea]]</f>
        <v>0</v>
      </c>
      <c r="M5300" s="24">
        <f>+Tabla2[[#This Row],[Variación Stock]]*Tabla2[[#This Row],[Coste LÃ­nea]]</f>
        <v>2416.1222399999997</v>
      </c>
      <c r="N5300" s="22" t="str">
        <f>+IF(Tabla2[[#This Row],[Variación Stock]]&gt;0,"Sobrante",IF(Tabla2[[#This Row],[Variación Stock]]&lt;0,"Faltante","Sin novedad"))</f>
        <v>Sobrante</v>
      </c>
    </row>
    <row r="5301" spans="1:14" x14ac:dyDescent="0.25">
      <c r="A5301" s="11">
        <v>46053</v>
      </c>
      <c r="B5301" s="5" t="s">
        <v>971</v>
      </c>
      <c r="C5301" s="3" t="s">
        <v>284</v>
      </c>
      <c r="D5301" s="5" t="s">
        <v>121</v>
      </c>
      <c r="E5301" s="5" t="s">
        <v>112</v>
      </c>
      <c r="F5301" s="6" t="s">
        <v>786</v>
      </c>
      <c r="G5301" s="4" t="s">
        <v>1</v>
      </c>
      <c r="H5301" s="25">
        <v>12.08168</v>
      </c>
      <c r="I5301" s="8">
        <v>-2205</v>
      </c>
      <c r="J5301" s="9">
        <v>3480</v>
      </c>
      <c r="K5301" s="7">
        <v>5685</v>
      </c>
      <c r="L5301" s="24">
        <f>+Tabla2[[#This Row],[Stock Inventario]]*Tabla2[[#This Row],[Coste LÃ­nea]]</f>
        <v>42044.246400000004</v>
      </c>
      <c r="M5301" s="24">
        <f>+Tabla2[[#This Row],[Variación Stock]]*Tabla2[[#This Row],[Coste LÃ­nea]]</f>
        <v>68684.3508</v>
      </c>
      <c r="N5301" s="22" t="str">
        <f>+IF(Tabla2[[#This Row],[Variación Stock]]&gt;0,"Sobrante",IF(Tabla2[[#This Row],[Variación Stock]]&lt;0,"Faltante","Sin novedad"))</f>
        <v>Sobrante</v>
      </c>
    </row>
    <row r="5302" spans="1:14" x14ac:dyDescent="0.25">
      <c r="A5302" s="11">
        <v>46053</v>
      </c>
      <c r="B5302" s="5" t="s">
        <v>971</v>
      </c>
      <c r="C5302" s="3" t="s">
        <v>284</v>
      </c>
      <c r="D5302" s="5" t="s">
        <v>121</v>
      </c>
      <c r="E5302" s="5" t="s">
        <v>112</v>
      </c>
      <c r="F5302" s="6" t="s">
        <v>787</v>
      </c>
      <c r="G5302" s="4" t="s">
        <v>1</v>
      </c>
      <c r="H5302" s="25">
        <v>20.683798719999999</v>
      </c>
      <c r="I5302" s="8">
        <v>80</v>
      </c>
      <c r="J5302" s="9">
        <v>1090</v>
      </c>
      <c r="K5302" s="7">
        <v>1010</v>
      </c>
      <c r="L5302" s="24">
        <f>+Tabla2[[#This Row],[Stock Inventario]]*Tabla2[[#This Row],[Coste LÃ­nea]]</f>
        <v>22545.3406048</v>
      </c>
      <c r="M5302" s="24">
        <f>+Tabla2[[#This Row],[Variación Stock]]*Tabla2[[#This Row],[Coste LÃ­nea]]</f>
        <v>20890.636707199999</v>
      </c>
      <c r="N5302" s="22" t="str">
        <f>+IF(Tabla2[[#This Row],[Variación Stock]]&gt;0,"Sobrante",IF(Tabla2[[#This Row],[Variación Stock]]&lt;0,"Faltante","Sin novedad"))</f>
        <v>Sobrante</v>
      </c>
    </row>
    <row r="5303" spans="1:14" x14ac:dyDescent="0.25">
      <c r="A5303" s="11">
        <v>46053</v>
      </c>
      <c r="B5303" s="5" t="s">
        <v>971</v>
      </c>
      <c r="C5303" s="3" t="s">
        <v>284</v>
      </c>
      <c r="D5303" s="5" t="s">
        <v>121</v>
      </c>
      <c r="E5303" s="5" t="s">
        <v>112</v>
      </c>
      <c r="F5303" s="6" t="s">
        <v>788</v>
      </c>
      <c r="G5303" s="4" t="s">
        <v>1</v>
      </c>
      <c r="H5303" s="25">
        <v>3.8775692300000002</v>
      </c>
      <c r="I5303" s="8">
        <v>-167</v>
      </c>
      <c r="J5303" s="9">
        <v>3720</v>
      </c>
      <c r="K5303" s="7">
        <v>3887</v>
      </c>
      <c r="L5303" s="24">
        <f>+Tabla2[[#This Row],[Stock Inventario]]*Tabla2[[#This Row],[Coste LÃ­nea]]</f>
        <v>14424.557535600001</v>
      </c>
      <c r="M5303" s="24">
        <f>+Tabla2[[#This Row],[Variación Stock]]*Tabla2[[#This Row],[Coste LÃ­nea]]</f>
        <v>15072.11159701</v>
      </c>
      <c r="N5303" s="22" t="str">
        <f>+IF(Tabla2[[#This Row],[Variación Stock]]&gt;0,"Sobrante",IF(Tabla2[[#This Row],[Variación Stock]]&lt;0,"Faltante","Sin novedad"))</f>
        <v>Sobrante</v>
      </c>
    </row>
    <row r="5304" spans="1:14" x14ac:dyDescent="0.25">
      <c r="A5304" s="11">
        <v>46053</v>
      </c>
      <c r="B5304" s="5" t="s">
        <v>971</v>
      </c>
      <c r="C5304" s="3" t="s">
        <v>284</v>
      </c>
      <c r="D5304" s="5" t="s">
        <v>121</v>
      </c>
      <c r="E5304" s="5" t="s">
        <v>112</v>
      </c>
      <c r="F5304" s="6" t="s">
        <v>789</v>
      </c>
      <c r="G5304" s="4" t="s">
        <v>1</v>
      </c>
      <c r="H5304" s="25">
        <v>28.178271890000001</v>
      </c>
      <c r="I5304" s="8">
        <v>1178</v>
      </c>
      <c r="J5304" s="9">
        <v>930</v>
      </c>
      <c r="K5304" s="7">
        <v>-248</v>
      </c>
      <c r="L5304" s="24">
        <f>+Tabla2[[#This Row],[Stock Inventario]]*Tabla2[[#This Row],[Coste LÃ­nea]]</f>
        <v>26205.792857700002</v>
      </c>
      <c r="M5304" s="24">
        <f>+Tabla2[[#This Row],[Variación Stock]]*Tabla2[[#This Row],[Coste LÃ­nea]]</f>
        <v>-6988.2114287200002</v>
      </c>
      <c r="N5304" s="22" t="str">
        <f>+IF(Tabla2[[#This Row],[Variación Stock]]&gt;0,"Sobrante",IF(Tabla2[[#This Row],[Variación Stock]]&lt;0,"Faltante","Sin novedad"))</f>
        <v>Faltante</v>
      </c>
    </row>
    <row r="5305" spans="1:14" x14ac:dyDescent="0.25">
      <c r="A5305" s="11">
        <v>46053</v>
      </c>
      <c r="B5305" s="5" t="s">
        <v>971</v>
      </c>
      <c r="C5305" s="3" t="s">
        <v>284</v>
      </c>
      <c r="D5305" s="5" t="s">
        <v>121</v>
      </c>
      <c r="E5305" s="5" t="s">
        <v>112</v>
      </c>
      <c r="F5305" s="6" t="s">
        <v>790</v>
      </c>
      <c r="G5305" s="4" t="s">
        <v>1</v>
      </c>
      <c r="H5305" s="25">
        <v>5.64667429</v>
      </c>
      <c r="I5305" s="8">
        <v>-4900</v>
      </c>
      <c r="J5305" s="9">
        <v>540</v>
      </c>
      <c r="K5305" s="7">
        <v>5440</v>
      </c>
      <c r="L5305" s="24">
        <f>+Tabla2[[#This Row],[Stock Inventario]]*Tabla2[[#This Row],[Coste LÃ­nea]]</f>
        <v>3049.2041165999999</v>
      </c>
      <c r="M5305" s="24">
        <f>+Tabla2[[#This Row],[Variación Stock]]*Tabla2[[#This Row],[Coste LÃ­nea]]</f>
        <v>30717.908137599999</v>
      </c>
      <c r="N5305" s="22" t="str">
        <f>+IF(Tabla2[[#This Row],[Variación Stock]]&gt;0,"Sobrante",IF(Tabla2[[#This Row],[Variación Stock]]&lt;0,"Faltante","Sin novedad"))</f>
        <v>Sobrante</v>
      </c>
    </row>
    <row r="5306" spans="1:14" hidden="1" x14ac:dyDescent="0.25">
      <c r="A5306" s="11">
        <v>46053</v>
      </c>
      <c r="B5306" s="5" t="s">
        <v>971</v>
      </c>
      <c r="C5306" s="3" t="s">
        <v>284</v>
      </c>
      <c r="D5306" s="5" t="s">
        <v>120</v>
      </c>
      <c r="E5306" s="5" t="s">
        <v>117</v>
      </c>
      <c r="F5306" s="6" t="s">
        <v>684</v>
      </c>
      <c r="G5306" s="4" t="s">
        <v>2</v>
      </c>
      <c r="H5306" s="25">
        <v>260.61510199000003</v>
      </c>
      <c r="I5306" s="8">
        <v>0</v>
      </c>
      <c r="J5306" s="9">
        <v>0</v>
      </c>
      <c r="K5306" s="7">
        <v>0</v>
      </c>
      <c r="L5306" s="24">
        <f>+Tabla2[[#This Row],[Stock Inventario]]*Tabla2[[#This Row],[Coste LÃ­nea]]</f>
        <v>0</v>
      </c>
      <c r="M5306" s="24">
        <f>+Tabla2[[#This Row],[Variación Stock]]*Tabla2[[#This Row],[Coste LÃ­nea]]</f>
        <v>0</v>
      </c>
      <c r="N5306" s="22" t="str">
        <f>+IF(Tabla2[[#This Row],[Variación Stock]]&gt;0,"Sobrante",IF(Tabla2[[#This Row],[Variación Stock]]&lt;0,"Faltante","Sin novedad"))</f>
        <v>Sin novedad</v>
      </c>
    </row>
    <row r="5307" spans="1:14" hidden="1" x14ac:dyDescent="0.25">
      <c r="A5307" s="11">
        <v>46053</v>
      </c>
      <c r="B5307" s="5" t="s">
        <v>971</v>
      </c>
      <c r="C5307" s="3" t="s">
        <v>284</v>
      </c>
      <c r="D5307" s="5" t="s">
        <v>120</v>
      </c>
      <c r="E5307" s="5" t="s">
        <v>117</v>
      </c>
      <c r="F5307" s="6" t="s">
        <v>685</v>
      </c>
      <c r="G5307" s="4" t="s">
        <v>1</v>
      </c>
      <c r="H5307" s="25">
        <v>4.0698580900000003</v>
      </c>
      <c r="I5307" s="8">
        <v>-196130</v>
      </c>
      <c r="J5307" s="9">
        <v>4068</v>
      </c>
      <c r="K5307" s="7">
        <v>200197.99999700001</v>
      </c>
      <c r="L5307" s="24">
        <f>+Tabla2[[#This Row],[Stock Inventario]]*Tabla2[[#This Row],[Coste LÃ­nea]]</f>
        <v>16556.18271012</v>
      </c>
      <c r="M5307" s="24">
        <f>+Tabla2[[#This Row],[Variación Stock]]*Tabla2[[#This Row],[Coste LÃ­nea]]</f>
        <v>814777.44988961052</v>
      </c>
      <c r="N5307" s="22" t="str">
        <f>+IF(Tabla2[[#This Row],[Variación Stock]]&gt;0,"Sobrante",IF(Tabla2[[#This Row],[Variación Stock]]&lt;0,"Faltante","Sin novedad"))</f>
        <v>Sobrante</v>
      </c>
    </row>
    <row r="5308" spans="1:14" hidden="1" x14ac:dyDescent="0.25">
      <c r="A5308" s="11">
        <v>46053</v>
      </c>
      <c r="B5308" s="5" t="s">
        <v>971</v>
      </c>
      <c r="C5308" s="3" t="s">
        <v>284</v>
      </c>
      <c r="D5308" s="5" t="s">
        <v>120</v>
      </c>
      <c r="E5308" s="5" t="s">
        <v>117</v>
      </c>
      <c r="F5308" s="6" t="s">
        <v>686</v>
      </c>
      <c r="G5308" s="4" t="s">
        <v>1</v>
      </c>
      <c r="H5308" s="25">
        <v>0.80859347000000004</v>
      </c>
      <c r="I5308" s="8">
        <v>-690</v>
      </c>
      <c r="J5308" s="9">
        <v>4288</v>
      </c>
      <c r="K5308" s="7">
        <v>4978</v>
      </c>
      <c r="L5308" s="24">
        <f>+Tabla2[[#This Row],[Stock Inventario]]*Tabla2[[#This Row],[Coste LÃ­nea]]</f>
        <v>3467.2487993600002</v>
      </c>
      <c r="M5308" s="24">
        <f>+Tabla2[[#This Row],[Variación Stock]]*Tabla2[[#This Row],[Coste LÃ­nea]]</f>
        <v>4025.1782936600002</v>
      </c>
      <c r="N5308" s="22" t="str">
        <f>+IF(Tabla2[[#This Row],[Variación Stock]]&gt;0,"Sobrante",IF(Tabla2[[#This Row],[Variación Stock]]&lt;0,"Faltante","Sin novedad"))</f>
        <v>Sobrante</v>
      </c>
    </row>
    <row r="5309" spans="1:14" hidden="1" x14ac:dyDescent="0.25">
      <c r="A5309" s="11">
        <v>46053</v>
      </c>
      <c r="B5309" s="5" t="s">
        <v>971</v>
      </c>
      <c r="C5309" s="3" t="s">
        <v>284</v>
      </c>
      <c r="D5309" s="5" t="s">
        <v>120</v>
      </c>
      <c r="E5309" s="5" t="s">
        <v>117</v>
      </c>
      <c r="F5309" s="6" t="s">
        <v>687</v>
      </c>
      <c r="G5309" s="4" t="s">
        <v>1</v>
      </c>
      <c r="H5309" s="25">
        <v>5.91968519</v>
      </c>
      <c r="I5309" s="8">
        <v>-3142.9996000000001</v>
      </c>
      <c r="J5309" s="9">
        <v>0</v>
      </c>
      <c r="K5309" s="7">
        <v>3142.9996000000001</v>
      </c>
      <c r="L5309" s="24">
        <f>+Tabla2[[#This Row],[Stock Inventario]]*Tabla2[[#This Row],[Coste LÃ­nea]]</f>
        <v>0</v>
      </c>
      <c r="M5309" s="24">
        <f>+Tabla2[[#This Row],[Variación Stock]]*Tabla2[[#This Row],[Coste LÃ­nea]]</f>
        <v>18605.568184295924</v>
      </c>
      <c r="N5309" s="22" t="str">
        <f>+IF(Tabla2[[#This Row],[Variación Stock]]&gt;0,"Sobrante",IF(Tabla2[[#This Row],[Variación Stock]]&lt;0,"Faltante","Sin novedad"))</f>
        <v>Sobrante</v>
      </c>
    </row>
    <row r="5310" spans="1:14" hidden="1" x14ac:dyDescent="0.25">
      <c r="A5310" s="11">
        <v>46053</v>
      </c>
      <c r="B5310" s="5" t="s">
        <v>971</v>
      </c>
      <c r="C5310" s="3" t="s">
        <v>284</v>
      </c>
      <c r="D5310" s="5" t="s">
        <v>120</v>
      </c>
      <c r="E5310" s="5" t="s">
        <v>117</v>
      </c>
      <c r="F5310" s="6" t="s">
        <v>688</v>
      </c>
      <c r="G5310" s="4" t="s">
        <v>1</v>
      </c>
      <c r="H5310" s="25">
        <v>10.55083286</v>
      </c>
      <c r="I5310" s="8">
        <v>-9470</v>
      </c>
      <c r="J5310" s="9">
        <v>616</v>
      </c>
      <c r="K5310" s="7">
        <v>10086</v>
      </c>
      <c r="L5310" s="24">
        <f>+Tabla2[[#This Row],[Stock Inventario]]*Tabla2[[#This Row],[Coste LÃ­nea]]</f>
        <v>6499.3130417599996</v>
      </c>
      <c r="M5310" s="24">
        <f>+Tabla2[[#This Row],[Variación Stock]]*Tabla2[[#This Row],[Coste LÃ­nea]]</f>
        <v>106415.70022596</v>
      </c>
      <c r="N5310" s="22" t="str">
        <f>+IF(Tabla2[[#This Row],[Variación Stock]]&gt;0,"Sobrante",IF(Tabla2[[#This Row],[Variación Stock]]&lt;0,"Faltante","Sin novedad"))</f>
        <v>Sobrante</v>
      </c>
    </row>
    <row r="5311" spans="1:14" hidden="1" x14ac:dyDescent="0.25">
      <c r="A5311" s="11">
        <v>46053</v>
      </c>
      <c r="B5311" s="5" t="s">
        <v>971</v>
      </c>
      <c r="C5311" s="3" t="s">
        <v>284</v>
      </c>
      <c r="D5311" s="5" t="s">
        <v>323</v>
      </c>
      <c r="E5311" s="5" t="s">
        <v>117</v>
      </c>
      <c r="F5311" s="6" t="s">
        <v>771</v>
      </c>
      <c r="G5311" s="4" t="s">
        <v>1</v>
      </c>
      <c r="H5311" s="25">
        <v>14.203966660000001</v>
      </c>
      <c r="I5311" s="8">
        <v>3950</v>
      </c>
      <c r="J5311" s="9">
        <v>0</v>
      </c>
      <c r="K5311" s="7">
        <v>-3950</v>
      </c>
      <c r="L5311" s="24">
        <f>+Tabla2[[#This Row],[Stock Inventario]]*Tabla2[[#This Row],[Coste LÃ­nea]]</f>
        <v>0</v>
      </c>
      <c r="M5311" s="24">
        <f>+Tabla2[[#This Row],[Variación Stock]]*Tabla2[[#This Row],[Coste LÃ­nea]]</f>
        <v>-56105.668307</v>
      </c>
      <c r="N5311" s="22" t="str">
        <f>+IF(Tabla2[[#This Row],[Variación Stock]]&gt;0,"Sobrante",IF(Tabla2[[#This Row],[Variación Stock]]&lt;0,"Faltante","Sin novedad"))</f>
        <v>Faltante</v>
      </c>
    </row>
    <row r="5312" spans="1:14" hidden="1" x14ac:dyDescent="0.25">
      <c r="A5312" s="11">
        <v>46053</v>
      </c>
      <c r="B5312" s="5" t="s">
        <v>971</v>
      </c>
      <c r="C5312" s="3" t="s">
        <v>284</v>
      </c>
      <c r="D5312" s="5" t="s">
        <v>120</v>
      </c>
      <c r="E5312" s="5" t="s">
        <v>117</v>
      </c>
      <c r="F5312" s="6" t="s">
        <v>312</v>
      </c>
      <c r="G5312" s="4" t="s">
        <v>1</v>
      </c>
      <c r="H5312" s="25">
        <v>83.749250000000004</v>
      </c>
      <c r="I5312" s="8">
        <v>-2851</v>
      </c>
      <c r="J5312" s="9">
        <v>1254</v>
      </c>
      <c r="K5312" s="7">
        <v>4105</v>
      </c>
      <c r="L5312" s="24">
        <f>+Tabla2[[#This Row],[Stock Inventario]]*Tabla2[[#This Row],[Coste LÃ­nea]]</f>
        <v>105021.5595</v>
      </c>
      <c r="M5312" s="24">
        <f>+Tabla2[[#This Row],[Variación Stock]]*Tabla2[[#This Row],[Coste LÃ­nea]]</f>
        <v>343790.67125000001</v>
      </c>
      <c r="N5312" s="22" t="str">
        <f>+IF(Tabla2[[#This Row],[Variación Stock]]&gt;0,"Sobrante",IF(Tabla2[[#This Row],[Variación Stock]]&lt;0,"Faltante","Sin novedad"))</f>
        <v>Sobrante</v>
      </c>
    </row>
    <row r="5313" spans="1:14" hidden="1" x14ac:dyDescent="0.25">
      <c r="A5313" s="11">
        <v>46053</v>
      </c>
      <c r="B5313" s="5" t="s">
        <v>971</v>
      </c>
      <c r="C5313" s="3" t="s">
        <v>284</v>
      </c>
      <c r="D5313" s="5" t="s">
        <v>323</v>
      </c>
      <c r="E5313" s="5" t="s">
        <v>117</v>
      </c>
      <c r="F5313" s="6" t="s">
        <v>772</v>
      </c>
      <c r="G5313" s="4" t="s">
        <v>2</v>
      </c>
      <c r="H5313" s="25">
        <v>7.9000060000000003</v>
      </c>
      <c r="I5313" s="8">
        <v>0</v>
      </c>
      <c r="J5313" s="9">
        <v>0</v>
      </c>
      <c r="K5313" s="7">
        <v>0</v>
      </c>
      <c r="L5313" s="24">
        <f>+Tabla2[[#This Row],[Stock Inventario]]*Tabla2[[#This Row],[Coste LÃ­nea]]</f>
        <v>0</v>
      </c>
      <c r="M5313" s="24">
        <f>+Tabla2[[#This Row],[Variación Stock]]*Tabla2[[#This Row],[Coste LÃ­nea]]</f>
        <v>0</v>
      </c>
      <c r="N5313" s="22" t="str">
        <f>+IF(Tabla2[[#This Row],[Variación Stock]]&gt;0,"Sobrante",IF(Tabla2[[#This Row],[Variación Stock]]&lt;0,"Faltante","Sin novedad"))</f>
        <v>Sin novedad</v>
      </c>
    </row>
    <row r="5314" spans="1:14" hidden="1" x14ac:dyDescent="0.25">
      <c r="A5314" s="11">
        <v>46053</v>
      </c>
      <c r="B5314" s="5" t="s">
        <v>971</v>
      </c>
      <c r="C5314" s="3" t="s">
        <v>284</v>
      </c>
      <c r="D5314" s="5" t="s">
        <v>120</v>
      </c>
      <c r="E5314" s="5" t="s">
        <v>117</v>
      </c>
      <c r="F5314" s="6" t="s">
        <v>689</v>
      </c>
      <c r="G5314" s="4" t="s">
        <v>1</v>
      </c>
      <c r="H5314" s="25">
        <v>12.4006852</v>
      </c>
      <c r="I5314" s="8">
        <v>1858</v>
      </c>
      <c r="J5314" s="9">
        <v>838</v>
      </c>
      <c r="K5314" s="7">
        <v>-1020</v>
      </c>
      <c r="L5314" s="24">
        <f>+Tabla2[[#This Row],[Stock Inventario]]*Tabla2[[#This Row],[Coste LÃ­nea]]</f>
        <v>10391.7741976</v>
      </c>
      <c r="M5314" s="24">
        <f>+Tabla2[[#This Row],[Variación Stock]]*Tabla2[[#This Row],[Coste LÃ­nea]]</f>
        <v>-12648.698903999999</v>
      </c>
      <c r="N5314" s="22" t="str">
        <f>+IF(Tabla2[[#This Row],[Variación Stock]]&gt;0,"Sobrante",IF(Tabla2[[#This Row],[Variación Stock]]&lt;0,"Faltante","Sin novedad"))</f>
        <v>Faltante</v>
      </c>
    </row>
    <row r="5315" spans="1:14" hidden="1" x14ac:dyDescent="0.25">
      <c r="A5315" s="11">
        <v>46053</v>
      </c>
      <c r="B5315" s="5" t="s">
        <v>971</v>
      </c>
      <c r="C5315" s="3" t="s">
        <v>284</v>
      </c>
      <c r="D5315" s="5" t="s">
        <v>323</v>
      </c>
      <c r="E5315" s="5" t="s">
        <v>117</v>
      </c>
      <c r="F5315" s="6" t="s">
        <v>780</v>
      </c>
      <c r="G5315" s="4" t="s">
        <v>1</v>
      </c>
      <c r="H5315" s="25">
        <v>16.683164909999999</v>
      </c>
      <c r="I5315" s="8">
        <v>815</v>
      </c>
      <c r="J5315" s="9">
        <v>0</v>
      </c>
      <c r="K5315" s="7">
        <v>-815</v>
      </c>
      <c r="L5315" s="24">
        <f>+Tabla2[[#This Row],[Stock Inventario]]*Tabla2[[#This Row],[Coste LÃ­nea]]</f>
        <v>0</v>
      </c>
      <c r="M5315" s="24">
        <f>+Tabla2[[#This Row],[Variación Stock]]*Tabla2[[#This Row],[Coste LÃ­nea]]</f>
        <v>-13596.779401649999</v>
      </c>
      <c r="N5315" s="22" t="str">
        <f>+IF(Tabla2[[#This Row],[Variación Stock]]&gt;0,"Sobrante",IF(Tabla2[[#This Row],[Variación Stock]]&lt;0,"Faltante","Sin novedad"))</f>
        <v>Faltante</v>
      </c>
    </row>
    <row r="5316" spans="1:14" hidden="1" x14ac:dyDescent="0.25">
      <c r="A5316" s="11">
        <v>46053</v>
      </c>
      <c r="B5316" s="5" t="s">
        <v>971</v>
      </c>
      <c r="C5316" s="3" t="s">
        <v>284</v>
      </c>
      <c r="D5316" s="5" t="s">
        <v>120</v>
      </c>
      <c r="E5316" s="5" t="s">
        <v>117</v>
      </c>
      <c r="F5316" s="6" t="s">
        <v>690</v>
      </c>
      <c r="G5316" s="4" t="s">
        <v>1</v>
      </c>
      <c r="H5316" s="25">
        <v>12.96927698</v>
      </c>
      <c r="I5316" s="8">
        <v>-19884</v>
      </c>
      <c r="J5316" s="9">
        <v>0</v>
      </c>
      <c r="K5316" s="7">
        <v>19884</v>
      </c>
      <c r="L5316" s="24">
        <f>+Tabla2[[#This Row],[Stock Inventario]]*Tabla2[[#This Row],[Coste LÃ­nea]]</f>
        <v>0</v>
      </c>
      <c r="M5316" s="24">
        <f>+Tabla2[[#This Row],[Variación Stock]]*Tabla2[[#This Row],[Coste LÃ­nea]]</f>
        <v>257881.10347032</v>
      </c>
      <c r="N5316" s="22" t="str">
        <f>+IF(Tabla2[[#This Row],[Variación Stock]]&gt;0,"Sobrante",IF(Tabla2[[#This Row],[Variación Stock]]&lt;0,"Faltante","Sin novedad"))</f>
        <v>Sobrante</v>
      </c>
    </row>
    <row r="5317" spans="1:14" hidden="1" x14ac:dyDescent="0.25">
      <c r="A5317" s="11">
        <v>46053</v>
      </c>
      <c r="B5317" s="5" t="s">
        <v>971</v>
      </c>
      <c r="C5317" s="3" t="s">
        <v>284</v>
      </c>
      <c r="D5317" s="5" t="s">
        <v>120</v>
      </c>
      <c r="E5317" s="5" t="s">
        <v>117</v>
      </c>
      <c r="F5317" s="6" t="s">
        <v>691</v>
      </c>
      <c r="G5317" s="4" t="s">
        <v>1</v>
      </c>
      <c r="H5317" s="25">
        <v>13.132463810000001</v>
      </c>
      <c r="I5317" s="8">
        <v>0</v>
      </c>
      <c r="J5317" s="9">
        <v>0</v>
      </c>
      <c r="K5317" s="7">
        <v>0</v>
      </c>
      <c r="L5317" s="24">
        <f>+Tabla2[[#This Row],[Stock Inventario]]*Tabla2[[#This Row],[Coste LÃ­nea]]</f>
        <v>0</v>
      </c>
      <c r="M5317" s="24">
        <f>+Tabla2[[#This Row],[Variación Stock]]*Tabla2[[#This Row],[Coste LÃ­nea]]</f>
        <v>0</v>
      </c>
      <c r="N5317" s="22" t="str">
        <f>+IF(Tabla2[[#This Row],[Variación Stock]]&gt;0,"Sobrante",IF(Tabla2[[#This Row],[Variación Stock]]&lt;0,"Faltante","Sin novedad"))</f>
        <v>Sin novedad</v>
      </c>
    </row>
    <row r="5318" spans="1:14" hidden="1" x14ac:dyDescent="0.25">
      <c r="A5318" s="11">
        <v>46053</v>
      </c>
      <c r="B5318" s="5" t="s">
        <v>971</v>
      </c>
      <c r="C5318" s="3" t="s">
        <v>284</v>
      </c>
      <c r="D5318" s="5" t="s">
        <v>120</v>
      </c>
      <c r="E5318" s="5" t="s">
        <v>117</v>
      </c>
      <c r="F5318" s="6" t="s">
        <v>313</v>
      </c>
      <c r="G5318" s="4" t="s">
        <v>1</v>
      </c>
      <c r="H5318" s="25">
        <v>38.54204695</v>
      </c>
      <c r="I5318" s="8">
        <v>2304</v>
      </c>
      <c r="J5318" s="9">
        <v>644</v>
      </c>
      <c r="K5318" s="7">
        <v>-1660</v>
      </c>
      <c r="L5318" s="24">
        <f>+Tabla2[[#This Row],[Stock Inventario]]*Tabla2[[#This Row],[Coste LÃ­nea]]</f>
        <v>24821.0782358</v>
      </c>
      <c r="M5318" s="24">
        <f>+Tabla2[[#This Row],[Variación Stock]]*Tabla2[[#This Row],[Coste LÃ­nea]]</f>
        <v>-63979.797936999996</v>
      </c>
      <c r="N5318" s="22" t="str">
        <f>+IF(Tabla2[[#This Row],[Variación Stock]]&gt;0,"Sobrante",IF(Tabla2[[#This Row],[Variación Stock]]&lt;0,"Faltante","Sin novedad"))</f>
        <v>Faltante</v>
      </c>
    </row>
    <row r="5319" spans="1:14" hidden="1" x14ac:dyDescent="0.25">
      <c r="A5319" s="11">
        <v>46053</v>
      </c>
      <c r="B5319" s="5" t="s">
        <v>971</v>
      </c>
      <c r="C5319" s="3" t="s">
        <v>284</v>
      </c>
      <c r="D5319" s="5" t="s">
        <v>120</v>
      </c>
      <c r="E5319" s="5" t="s">
        <v>117</v>
      </c>
      <c r="F5319" s="6" t="s">
        <v>692</v>
      </c>
      <c r="G5319" s="4" t="s">
        <v>1</v>
      </c>
      <c r="H5319" s="25">
        <v>12.5218083</v>
      </c>
      <c r="I5319" s="8">
        <v>0</v>
      </c>
      <c r="J5319" s="9">
        <v>0</v>
      </c>
      <c r="K5319" s="7">
        <v>0</v>
      </c>
      <c r="L5319" s="24">
        <f>+Tabla2[[#This Row],[Stock Inventario]]*Tabla2[[#This Row],[Coste LÃ­nea]]</f>
        <v>0</v>
      </c>
      <c r="M5319" s="24">
        <f>+Tabla2[[#This Row],[Variación Stock]]*Tabla2[[#This Row],[Coste LÃ­nea]]</f>
        <v>0</v>
      </c>
      <c r="N5319" s="22" t="str">
        <f>+IF(Tabla2[[#This Row],[Variación Stock]]&gt;0,"Sobrante",IF(Tabla2[[#This Row],[Variación Stock]]&lt;0,"Faltante","Sin novedad"))</f>
        <v>Sin novedad</v>
      </c>
    </row>
    <row r="5320" spans="1:14" hidden="1" x14ac:dyDescent="0.25">
      <c r="A5320" s="11">
        <v>46053</v>
      </c>
      <c r="B5320" s="5" t="s">
        <v>971</v>
      </c>
      <c r="C5320" s="3" t="s">
        <v>284</v>
      </c>
      <c r="D5320" s="5" t="s">
        <v>120</v>
      </c>
      <c r="E5320" s="5" t="s">
        <v>117</v>
      </c>
      <c r="F5320" s="6" t="s">
        <v>693</v>
      </c>
      <c r="G5320" s="4" t="s">
        <v>1</v>
      </c>
      <c r="H5320" s="25">
        <v>9.3004967000000001</v>
      </c>
      <c r="I5320" s="8">
        <v>-3410</v>
      </c>
      <c r="J5320" s="9">
        <v>0</v>
      </c>
      <c r="K5320" s="7">
        <v>3410</v>
      </c>
      <c r="L5320" s="24">
        <f>+Tabla2[[#This Row],[Stock Inventario]]*Tabla2[[#This Row],[Coste LÃ­nea]]</f>
        <v>0</v>
      </c>
      <c r="M5320" s="24">
        <f>+Tabla2[[#This Row],[Variación Stock]]*Tabla2[[#This Row],[Coste LÃ­nea]]</f>
        <v>31714.693747000001</v>
      </c>
      <c r="N5320" s="22" t="str">
        <f>+IF(Tabla2[[#This Row],[Variación Stock]]&gt;0,"Sobrante",IF(Tabla2[[#This Row],[Variación Stock]]&lt;0,"Faltante","Sin novedad"))</f>
        <v>Sobrante</v>
      </c>
    </row>
    <row r="5321" spans="1:14" hidden="1" x14ac:dyDescent="0.25">
      <c r="A5321" s="11">
        <v>46053</v>
      </c>
      <c r="B5321" s="5" t="s">
        <v>971</v>
      </c>
      <c r="C5321" s="3" t="s">
        <v>284</v>
      </c>
      <c r="D5321" s="5" t="s">
        <v>323</v>
      </c>
      <c r="E5321" s="5" t="s">
        <v>117</v>
      </c>
      <c r="F5321" s="6" t="s">
        <v>324</v>
      </c>
      <c r="G5321" s="4" t="s">
        <v>2</v>
      </c>
      <c r="H5321" s="25">
        <v>4832.9288793100004</v>
      </c>
      <c r="I5321" s="8">
        <v>18</v>
      </c>
      <c r="J5321" s="9">
        <v>18</v>
      </c>
      <c r="K5321" s="7">
        <v>0</v>
      </c>
      <c r="L5321" s="24">
        <f>+Tabla2[[#This Row],[Stock Inventario]]*Tabla2[[#This Row],[Coste LÃ­nea]]</f>
        <v>86992.719827580004</v>
      </c>
      <c r="M5321" s="24">
        <f>+Tabla2[[#This Row],[Variación Stock]]*Tabla2[[#This Row],[Coste LÃ­nea]]</f>
        <v>0</v>
      </c>
      <c r="N5321" s="22" t="str">
        <f>+IF(Tabla2[[#This Row],[Variación Stock]]&gt;0,"Sobrante",IF(Tabla2[[#This Row],[Variación Stock]]&lt;0,"Faltante","Sin novedad"))</f>
        <v>Sin novedad</v>
      </c>
    </row>
    <row r="5322" spans="1:14" hidden="1" x14ac:dyDescent="0.25">
      <c r="A5322" s="11">
        <v>46053</v>
      </c>
      <c r="B5322" s="5" t="s">
        <v>971</v>
      </c>
      <c r="C5322" s="3" t="s">
        <v>284</v>
      </c>
      <c r="D5322" s="5" t="s">
        <v>120</v>
      </c>
      <c r="E5322" s="5" t="s">
        <v>117</v>
      </c>
      <c r="F5322" s="6" t="s">
        <v>261</v>
      </c>
      <c r="G5322" s="4" t="s">
        <v>2</v>
      </c>
      <c r="H5322" s="25">
        <v>3795.1097861200001</v>
      </c>
      <c r="I5322" s="8">
        <v>0</v>
      </c>
      <c r="J5322" s="9">
        <v>0</v>
      </c>
      <c r="K5322" s="7">
        <v>0</v>
      </c>
      <c r="L5322" s="24">
        <f>+Tabla2[[#This Row],[Stock Inventario]]*Tabla2[[#This Row],[Coste LÃ­nea]]</f>
        <v>0</v>
      </c>
      <c r="M5322" s="24">
        <f>+Tabla2[[#This Row],[Variación Stock]]*Tabla2[[#This Row],[Coste LÃ­nea]]</f>
        <v>0</v>
      </c>
      <c r="N5322" s="22" t="str">
        <f>+IF(Tabla2[[#This Row],[Variación Stock]]&gt;0,"Sobrante",IF(Tabla2[[#This Row],[Variación Stock]]&lt;0,"Faltante","Sin novedad"))</f>
        <v>Sin novedad</v>
      </c>
    </row>
    <row r="5323" spans="1:14" hidden="1" x14ac:dyDescent="0.25">
      <c r="A5323" s="11">
        <v>46053</v>
      </c>
      <c r="B5323" s="5" t="s">
        <v>971</v>
      </c>
      <c r="C5323" s="3" t="s">
        <v>284</v>
      </c>
      <c r="D5323" s="5" t="s">
        <v>323</v>
      </c>
      <c r="E5323" s="5" t="s">
        <v>117</v>
      </c>
      <c r="F5323" s="6" t="s">
        <v>348</v>
      </c>
      <c r="G5323" s="4" t="s">
        <v>1</v>
      </c>
      <c r="H5323" s="25">
        <v>13.779523259999999</v>
      </c>
      <c r="I5323" s="8">
        <v>10190</v>
      </c>
      <c r="J5323" s="9">
        <v>0</v>
      </c>
      <c r="K5323" s="7">
        <v>-10190</v>
      </c>
      <c r="L5323" s="24">
        <f>+Tabla2[[#This Row],[Stock Inventario]]*Tabla2[[#This Row],[Coste LÃ­nea]]</f>
        <v>0</v>
      </c>
      <c r="M5323" s="24">
        <f>+Tabla2[[#This Row],[Variación Stock]]*Tabla2[[#This Row],[Coste LÃ­nea]]</f>
        <v>-140413.34201940001</v>
      </c>
      <c r="N5323" s="22" t="str">
        <f>+IF(Tabla2[[#This Row],[Variación Stock]]&gt;0,"Sobrante",IF(Tabla2[[#This Row],[Variación Stock]]&lt;0,"Faltante","Sin novedad"))</f>
        <v>Faltante</v>
      </c>
    </row>
    <row r="5324" spans="1:14" hidden="1" x14ac:dyDescent="0.25">
      <c r="A5324" s="11">
        <v>46053</v>
      </c>
      <c r="B5324" s="5" t="s">
        <v>971</v>
      </c>
      <c r="C5324" s="3" t="s">
        <v>284</v>
      </c>
      <c r="D5324" s="5" t="s">
        <v>120</v>
      </c>
      <c r="E5324" s="5" t="s">
        <v>117</v>
      </c>
      <c r="F5324" s="6" t="s">
        <v>694</v>
      </c>
      <c r="G5324" s="4" t="s">
        <v>1</v>
      </c>
      <c r="H5324" s="25">
        <v>10.294228159999999</v>
      </c>
      <c r="I5324" s="8">
        <v>1560</v>
      </c>
      <c r="J5324" s="9">
        <v>1314</v>
      </c>
      <c r="K5324" s="7">
        <v>-246</v>
      </c>
      <c r="L5324" s="24">
        <f>+Tabla2[[#This Row],[Stock Inventario]]*Tabla2[[#This Row],[Coste LÃ­nea]]</f>
        <v>13526.61580224</v>
      </c>
      <c r="M5324" s="24">
        <f>+Tabla2[[#This Row],[Variación Stock]]*Tabla2[[#This Row],[Coste LÃ­nea]]</f>
        <v>-2532.3801273599997</v>
      </c>
      <c r="N5324" s="22" t="str">
        <f>+IF(Tabla2[[#This Row],[Variación Stock]]&gt;0,"Sobrante",IF(Tabla2[[#This Row],[Variación Stock]]&lt;0,"Faltante","Sin novedad"))</f>
        <v>Faltante</v>
      </c>
    </row>
    <row r="5325" spans="1:14" hidden="1" x14ac:dyDescent="0.25">
      <c r="A5325" s="11">
        <v>46053</v>
      </c>
      <c r="B5325" s="5" t="s">
        <v>971</v>
      </c>
      <c r="C5325" s="3" t="s">
        <v>284</v>
      </c>
      <c r="D5325" s="5" t="s">
        <v>120</v>
      </c>
      <c r="E5325" s="5" t="s">
        <v>117</v>
      </c>
      <c r="F5325" s="6" t="s">
        <v>695</v>
      </c>
      <c r="G5325" s="4" t="s">
        <v>1</v>
      </c>
      <c r="H5325" s="25">
        <v>10.878091039999999</v>
      </c>
      <c r="I5325" s="8">
        <v>4193</v>
      </c>
      <c r="J5325" s="9">
        <v>2978</v>
      </c>
      <c r="K5325" s="7">
        <v>-1215</v>
      </c>
      <c r="L5325" s="24">
        <f>+Tabla2[[#This Row],[Stock Inventario]]*Tabla2[[#This Row],[Coste LÃ­nea]]</f>
        <v>32394.955117119996</v>
      </c>
      <c r="M5325" s="24">
        <f>+Tabla2[[#This Row],[Variación Stock]]*Tabla2[[#This Row],[Coste LÃ­nea]]</f>
        <v>-13216.880613599998</v>
      </c>
      <c r="N5325" s="22" t="str">
        <f>+IF(Tabla2[[#This Row],[Variación Stock]]&gt;0,"Sobrante",IF(Tabla2[[#This Row],[Variación Stock]]&lt;0,"Faltante","Sin novedad"))</f>
        <v>Faltante</v>
      </c>
    </row>
    <row r="5326" spans="1:14" hidden="1" x14ac:dyDescent="0.25">
      <c r="A5326" s="11">
        <v>46053</v>
      </c>
      <c r="B5326" s="5" t="s">
        <v>971</v>
      </c>
      <c r="C5326" s="3" t="s">
        <v>284</v>
      </c>
      <c r="D5326" s="5" t="s">
        <v>120</v>
      </c>
      <c r="E5326" s="5" t="s">
        <v>117</v>
      </c>
      <c r="F5326" s="6" t="s">
        <v>696</v>
      </c>
      <c r="G5326" s="4" t="s">
        <v>1</v>
      </c>
      <c r="H5326" s="25">
        <v>13.54967794</v>
      </c>
      <c r="I5326" s="8">
        <v>-4160</v>
      </c>
      <c r="J5326" s="9">
        <v>0</v>
      </c>
      <c r="K5326" s="7">
        <v>4160</v>
      </c>
      <c r="L5326" s="24">
        <f>+Tabla2[[#This Row],[Stock Inventario]]*Tabla2[[#This Row],[Coste LÃ­nea]]</f>
        <v>0</v>
      </c>
      <c r="M5326" s="24">
        <f>+Tabla2[[#This Row],[Variación Stock]]*Tabla2[[#This Row],[Coste LÃ­nea]]</f>
        <v>56366.660230400004</v>
      </c>
      <c r="N5326" s="22" t="str">
        <f>+IF(Tabla2[[#This Row],[Variación Stock]]&gt;0,"Sobrante",IF(Tabla2[[#This Row],[Variación Stock]]&lt;0,"Faltante","Sin novedad"))</f>
        <v>Sobrante</v>
      </c>
    </row>
    <row r="5327" spans="1:14" hidden="1" x14ac:dyDescent="0.25">
      <c r="A5327" s="11">
        <v>46053</v>
      </c>
      <c r="B5327" s="5" t="s">
        <v>971</v>
      </c>
      <c r="C5327" s="3" t="s">
        <v>284</v>
      </c>
      <c r="D5327" s="5" t="s">
        <v>120</v>
      </c>
      <c r="E5327" s="5" t="s">
        <v>117</v>
      </c>
      <c r="F5327" s="6" t="s">
        <v>697</v>
      </c>
      <c r="G5327" s="4" t="s">
        <v>1</v>
      </c>
      <c r="H5327" s="25">
        <v>104.14896632999999</v>
      </c>
      <c r="I5327" s="8">
        <v>0</v>
      </c>
      <c r="J5327" s="9">
        <v>0</v>
      </c>
      <c r="K5327" s="7">
        <v>0</v>
      </c>
      <c r="L5327" s="24">
        <f>+Tabla2[[#This Row],[Stock Inventario]]*Tabla2[[#This Row],[Coste LÃ­nea]]</f>
        <v>0</v>
      </c>
      <c r="M5327" s="24">
        <f>+Tabla2[[#This Row],[Variación Stock]]*Tabla2[[#This Row],[Coste LÃ­nea]]</f>
        <v>0</v>
      </c>
      <c r="N5327" s="22" t="str">
        <f>+IF(Tabla2[[#This Row],[Variación Stock]]&gt;0,"Sobrante",IF(Tabla2[[#This Row],[Variación Stock]]&lt;0,"Faltante","Sin novedad"))</f>
        <v>Sin novedad</v>
      </c>
    </row>
    <row r="5328" spans="1:14" x14ac:dyDescent="0.25">
      <c r="A5328" s="11">
        <v>46053</v>
      </c>
      <c r="B5328" s="5" t="s">
        <v>971</v>
      </c>
      <c r="C5328" s="3" t="s">
        <v>284</v>
      </c>
      <c r="D5328" s="5" t="s">
        <v>121</v>
      </c>
      <c r="E5328" s="5" t="s">
        <v>112</v>
      </c>
      <c r="F5328" s="6" t="s">
        <v>355</v>
      </c>
      <c r="G5328" s="4" t="s">
        <v>1</v>
      </c>
      <c r="H5328" s="25">
        <v>45.040723980000003</v>
      </c>
      <c r="I5328" s="8">
        <v>-2029</v>
      </c>
      <c r="J5328" s="9">
        <v>252</v>
      </c>
      <c r="K5328" s="7">
        <v>2281</v>
      </c>
      <c r="L5328" s="24">
        <f>+Tabla2[[#This Row],[Stock Inventario]]*Tabla2[[#This Row],[Coste LÃ­nea]]</f>
        <v>11350.26244296</v>
      </c>
      <c r="M5328" s="24">
        <f>+Tabla2[[#This Row],[Variación Stock]]*Tabla2[[#This Row],[Coste LÃ­nea]]</f>
        <v>102737.89139838</v>
      </c>
      <c r="N5328" s="22" t="str">
        <f>+IF(Tabla2[[#This Row],[Variación Stock]]&gt;0,"Sobrante",IF(Tabla2[[#This Row],[Variación Stock]]&lt;0,"Faltante","Sin novedad"))</f>
        <v>Sobrante</v>
      </c>
    </row>
    <row r="5329" spans="1:14" hidden="1" x14ac:dyDescent="0.25">
      <c r="A5329" s="11">
        <v>46053</v>
      </c>
      <c r="B5329" s="5" t="s">
        <v>971</v>
      </c>
      <c r="C5329" s="3" t="s">
        <v>284</v>
      </c>
      <c r="D5329" s="5" t="s">
        <v>323</v>
      </c>
      <c r="E5329" s="5" t="s">
        <v>117</v>
      </c>
      <c r="F5329" s="6" t="s">
        <v>773</v>
      </c>
      <c r="G5329" s="4" t="s">
        <v>1</v>
      </c>
      <c r="H5329" s="25">
        <v>8.2292859999999995E-2</v>
      </c>
      <c r="I5329" s="8">
        <v>0</v>
      </c>
      <c r="J5329" s="9">
        <v>0</v>
      </c>
      <c r="K5329" s="7">
        <v>0</v>
      </c>
      <c r="L5329" s="24">
        <f>+Tabla2[[#This Row],[Stock Inventario]]*Tabla2[[#This Row],[Coste LÃ­nea]]</f>
        <v>0</v>
      </c>
      <c r="M5329" s="24">
        <f>+Tabla2[[#This Row],[Variación Stock]]*Tabla2[[#This Row],[Coste LÃ­nea]]</f>
        <v>0</v>
      </c>
      <c r="N5329" s="22" t="str">
        <f>+IF(Tabla2[[#This Row],[Variación Stock]]&gt;0,"Sobrante",IF(Tabla2[[#This Row],[Variación Stock]]&lt;0,"Faltante","Sin novedad"))</f>
        <v>Sin novedad</v>
      </c>
    </row>
    <row r="5330" spans="1:14" x14ac:dyDescent="0.25">
      <c r="A5330" s="11">
        <v>46053</v>
      </c>
      <c r="B5330" s="5" t="s">
        <v>971</v>
      </c>
      <c r="C5330" s="3" t="s">
        <v>284</v>
      </c>
      <c r="D5330" s="5" t="s">
        <v>121</v>
      </c>
      <c r="E5330" s="5" t="s">
        <v>112</v>
      </c>
      <c r="F5330" s="6" t="s">
        <v>791</v>
      </c>
      <c r="G5330" s="4" t="s">
        <v>1</v>
      </c>
      <c r="H5330" s="25">
        <v>16.416571430000001</v>
      </c>
      <c r="I5330" s="8">
        <v>0</v>
      </c>
      <c r="J5330" s="9">
        <v>0</v>
      </c>
      <c r="K5330" s="7">
        <v>0</v>
      </c>
      <c r="L5330" s="24">
        <f>+Tabla2[[#This Row],[Stock Inventario]]*Tabla2[[#This Row],[Coste LÃ­nea]]</f>
        <v>0</v>
      </c>
      <c r="M5330" s="24">
        <f>+Tabla2[[#This Row],[Variación Stock]]*Tabla2[[#This Row],[Coste LÃ­nea]]</f>
        <v>0</v>
      </c>
      <c r="N5330" s="22" t="str">
        <f>+IF(Tabla2[[#This Row],[Variación Stock]]&gt;0,"Sobrante",IF(Tabla2[[#This Row],[Variación Stock]]&lt;0,"Faltante","Sin novedad"))</f>
        <v>Sin novedad</v>
      </c>
    </row>
    <row r="5331" spans="1:14" hidden="1" x14ac:dyDescent="0.25">
      <c r="A5331" s="11">
        <v>46053</v>
      </c>
      <c r="B5331" s="5" t="s">
        <v>971</v>
      </c>
      <c r="C5331" s="3" t="s">
        <v>284</v>
      </c>
      <c r="D5331" s="5" t="s">
        <v>120</v>
      </c>
      <c r="E5331" s="5" t="s">
        <v>117</v>
      </c>
      <c r="F5331" s="6" t="s">
        <v>321</v>
      </c>
      <c r="G5331" s="4" t="s">
        <v>2</v>
      </c>
      <c r="H5331" s="25">
        <v>17671.085396940001</v>
      </c>
      <c r="I5331" s="8">
        <v>18</v>
      </c>
      <c r="J5331" s="9">
        <v>18</v>
      </c>
      <c r="K5331" s="7">
        <v>0</v>
      </c>
      <c r="L5331" s="24">
        <f>+Tabla2[[#This Row],[Stock Inventario]]*Tabla2[[#This Row],[Coste LÃ­nea]]</f>
        <v>318079.53714492003</v>
      </c>
      <c r="M5331" s="24">
        <f>+Tabla2[[#This Row],[Variación Stock]]*Tabla2[[#This Row],[Coste LÃ­nea]]</f>
        <v>0</v>
      </c>
      <c r="N5331" s="22" t="str">
        <f>+IF(Tabla2[[#This Row],[Variación Stock]]&gt;0,"Sobrante",IF(Tabla2[[#This Row],[Variación Stock]]&lt;0,"Faltante","Sin novedad"))</f>
        <v>Sin novedad</v>
      </c>
    </row>
    <row r="5332" spans="1:14" hidden="1" x14ac:dyDescent="0.25">
      <c r="A5332" s="11">
        <v>46053</v>
      </c>
      <c r="B5332" s="5" t="s">
        <v>971</v>
      </c>
      <c r="C5332" s="3" t="s">
        <v>284</v>
      </c>
      <c r="D5332" s="5" t="s">
        <v>120</v>
      </c>
      <c r="E5332" s="5" t="s">
        <v>117</v>
      </c>
      <c r="F5332" s="6" t="s">
        <v>698</v>
      </c>
      <c r="G5332" s="4" t="s">
        <v>1</v>
      </c>
      <c r="H5332" s="25">
        <v>34.6045406</v>
      </c>
      <c r="I5332" s="8">
        <v>-790</v>
      </c>
      <c r="J5332" s="9">
        <v>530</v>
      </c>
      <c r="K5332" s="7">
        <v>1320</v>
      </c>
      <c r="L5332" s="24">
        <f>+Tabla2[[#This Row],[Stock Inventario]]*Tabla2[[#This Row],[Coste LÃ­nea]]</f>
        <v>18340.406518</v>
      </c>
      <c r="M5332" s="24">
        <f>+Tabla2[[#This Row],[Variación Stock]]*Tabla2[[#This Row],[Coste LÃ­nea]]</f>
        <v>45677.993591999999</v>
      </c>
      <c r="N5332" s="22" t="str">
        <f>+IF(Tabla2[[#This Row],[Variación Stock]]&gt;0,"Sobrante",IF(Tabla2[[#This Row],[Variación Stock]]&lt;0,"Faltante","Sin novedad"))</f>
        <v>Sobrante</v>
      </c>
    </row>
    <row r="5333" spans="1:14" hidden="1" x14ac:dyDescent="0.25">
      <c r="A5333" s="11">
        <v>46053</v>
      </c>
      <c r="B5333" s="5" t="s">
        <v>971</v>
      </c>
      <c r="C5333" s="3" t="s">
        <v>284</v>
      </c>
      <c r="D5333" s="5" t="s">
        <v>120</v>
      </c>
      <c r="E5333" s="5" t="s">
        <v>117</v>
      </c>
      <c r="F5333" s="6" t="s">
        <v>314</v>
      </c>
      <c r="G5333" s="4" t="s">
        <v>2</v>
      </c>
      <c r="H5333" s="25">
        <v>648.57965839999997</v>
      </c>
      <c r="I5333" s="8">
        <v>6</v>
      </c>
      <c r="J5333" s="9">
        <v>6</v>
      </c>
      <c r="K5333" s="7">
        <v>0</v>
      </c>
      <c r="L5333" s="24">
        <f>+Tabla2[[#This Row],[Stock Inventario]]*Tabla2[[#This Row],[Coste LÃ­nea]]</f>
        <v>3891.4779503999998</v>
      </c>
      <c r="M5333" s="24">
        <f>+Tabla2[[#This Row],[Variación Stock]]*Tabla2[[#This Row],[Coste LÃ­nea]]</f>
        <v>0</v>
      </c>
      <c r="N5333" s="22" t="str">
        <f>+IF(Tabla2[[#This Row],[Variación Stock]]&gt;0,"Sobrante",IF(Tabla2[[#This Row],[Variación Stock]]&lt;0,"Faltante","Sin novedad"))</f>
        <v>Sin novedad</v>
      </c>
    </row>
    <row r="5334" spans="1:14" hidden="1" x14ac:dyDescent="0.25">
      <c r="A5334" s="11">
        <v>46053</v>
      </c>
      <c r="B5334" s="5" t="s">
        <v>971</v>
      </c>
      <c r="C5334" s="3" t="s">
        <v>284</v>
      </c>
      <c r="D5334" s="5" t="s">
        <v>120</v>
      </c>
      <c r="E5334" s="5" t="s">
        <v>117</v>
      </c>
      <c r="F5334" s="6" t="s">
        <v>699</v>
      </c>
      <c r="G5334" s="4" t="s">
        <v>2</v>
      </c>
      <c r="H5334" s="25">
        <v>5928.1262500000003</v>
      </c>
      <c r="I5334" s="8">
        <v>0</v>
      </c>
      <c r="J5334" s="9">
        <v>6</v>
      </c>
      <c r="K5334" s="7">
        <v>6</v>
      </c>
      <c r="L5334" s="24">
        <f>+Tabla2[[#This Row],[Stock Inventario]]*Tabla2[[#This Row],[Coste LÃ­nea]]</f>
        <v>35568.7575</v>
      </c>
      <c r="M5334" s="24">
        <f>+Tabla2[[#This Row],[Variación Stock]]*Tabla2[[#This Row],[Coste LÃ­nea]]</f>
        <v>35568.7575</v>
      </c>
      <c r="N5334" s="22" t="str">
        <f>+IF(Tabla2[[#This Row],[Variación Stock]]&gt;0,"Sobrante",IF(Tabla2[[#This Row],[Variación Stock]]&lt;0,"Faltante","Sin novedad"))</f>
        <v>Sobrante</v>
      </c>
    </row>
    <row r="5335" spans="1:14" hidden="1" x14ac:dyDescent="0.25">
      <c r="A5335" s="11">
        <v>46053</v>
      </c>
      <c r="B5335" s="5" t="s">
        <v>971</v>
      </c>
      <c r="C5335" s="3" t="s">
        <v>284</v>
      </c>
      <c r="D5335" s="5" t="s">
        <v>120</v>
      </c>
      <c r="E5335" s="5" t="s">
        <v>117</v>
      </c>
      <c r="F5335" s="6" t="s">
        <v>206</v>
      </c>
      <c r="G5335" s="4" t="s">
        <v>2</v>
      </c>
      <c r="H5335" s="25">
        <v>287.72525953000002</v>
      </c>
      <c r="I5335" s="8">
        <v>0</v>
      </c>
      <c r="J5335" s="9">
        <v>0</v>
      </c>
      <c r="K5335" s="7">
        <v>0</v>
      </c>
      <c r="L5335" s="24">
        <f>+Tabla2[[#This Row],[Stock Inventario]]*Tabla2[[#This Row],[Coste LÃ­nea]]</f>
        <v>0</v>
      </c>
      <c r="M5335" s="24">
        <f>+Tabla2[[#This Row],[Variación Stock]]*Tabla2[[#This Row],[Coste LÃ­nea]]</f>
        <v>0</v>
      </c>
      <c r="N5335" s="22" t="str">
        <f>+IF(Tabla2[[#This Row],[Variación Stock]]&gt;0,"Sobrante",IF(Tabla2[[#This Row],[Variación Stock]]&lt;0,"Faltante","Sin novedad"))</f>
        <v>Sin novedad</v>
      </c>
    </row>
    <row r="5336" spans="1:14" hidden="1" x14ac:dyDescent="0.25">
      <c r="A5336" s="11">
        <v>46053</v>
      </c>
      <c r="B5336" s="5" t="s">
        <v>971</v>
      </c>
      <c r="C5336" s="3" t="s">
        <v>284</v>
      </c>
      <c r="D5336" s="5" t="s">
        <v>323</v>
      </c>
      <c r="E5336" s="5" t="s">
        <v>117</v>
      </c>
      <c r="F5336" s="6" t="s">
        <v>325</v>
      </c>
      <c r="G5336" s="4" t="s">
        <v>2</v>
      </c>
      <c r="H5336" s="25">
        <v>1645.2914033699999</v>
      </c>
      <c r="I5336" s="8">
        <v>80</v>
      </c>
      <c r="J5336" s="9">
        <v>80</v>
      </c>
      <c r="K5336" s="7">
        <v>0</v>
      </c>
      <c r="L5336" s="24">
        <f>+Tabla2[[#This Row],[Stock Inventario]]*Tabla2[[#This Row],[Coste LÃ­nea]]</f>
        <v>131623.31226959999</v>
      </c>
      <c r="M5336" s="24">
        <f>+Tabla2[[#This Row],[Variación Stock]]*Tabla2[[#This Row],[Coste LÃ­nea]]</f>
        <v>0</v>
      </c>
      <c r="N5336" s="22" t="str">
        <f>+IF(Tabla2[[#This Row],[Variación Stock]]&gt;0,"Sobrante",IF(Tabla2[[#This Row],[Variación Stock]]&lt;0,"Faltante","Sin novedad"))</f>
        <v>Sin novedad</v>
      </c>
    </row>
    <row r="5337" spans="1:14" hidden="1" x14ac:dyDescent="0.25">
      <c r="A5337" s="11">
        <v>46053</v>
      </c>
      <c r="B5337" s="5" t="s">
        <v>971</v>
      </c>
      <c r="C5337" s="3" t="s">
        <v>284</v>
      </c>
      <c r="D5337" s="5" t="s">
        <v>120</v>
      </c>
      <c r="E5337" s="5" t="s">
        <v>117</v>
      </c>
      <c r="F5337" s="6" t="s">
        <v>315</v>
      </c>
      <c r="G5337" s="4" t="s">
        <v>2</v>
      </c>
      <c r="H5337" s="25">
        <v>2289.3502371</v>
      </c>
      <c r="I5337" s="8">
        <v>6</v>
      </c>
      <c r="J5337" s="9">
        <v>2</v>
      </c>
      <c r="K5337" s="7">
        <v>-4</v>
      </c>
      <c r="L5337" s="24">
        <f>+Tabla2[[#This Row],[Stock Inventario]]*Tabla2[[#This Row],[Coste LÃ­nea]]</f>
        <v>4578.7004741999999</v>
      </c>
      <c r="M5337" s="24">
        <f>+Tabla2[[#This Row],[Variación Stock]]*Tabla2[[#This Row],[Coste LÃ­nea]]</f>
        <v>-9157.4009483999998</v>
      </c>
      <c r="N5337" s="22" t="str">
        <f>+IF(Tabla2[[#This Row],[Variación Stock]]&gt;0,"Sobrante",IF(Tabla2[[#This Row],[Variación Stock]]&lt;0,"Faltante","Sin novedad"))</f>
        <v>Faltante</v>
      </c>
    </row>
    <row r="5338" spans="1:14" hidden="1" x14ac:dyDescent="0.25">
      <c r="A5338" s="11">
        <v>46053</v>
      </c>
      <c r="B5338" s="5" t="s">
        <v>971</v>
      </c>
      <c r="C5338" s="3" t="s">
        <v>284</v>
      </c>
      <c r="D5338" s="5" t="s">
        <v>120</v>
      </c>
      <c r="E5338" s="5" t="s">
        <v>117</v>
      </c>
      <c r="F5338" s="6" t="s">
        <v>700</v>
      </c>
      <c r="G5338" s="4" t="s">
        <v>1</v>
      </c>
      <c r="H5338" s="25">
        <v>1.2377491899999999</v>
      </c>
      <c r="I5338" s="8">
        <v>0</v>
      </c>
      <c r="J5338" s="9">
        <v>0</v>
      </c>
      <c r="K5338" s="7">
        <v>0</v>
      </c>
      <c r="L5338" s="24">
        <f>+Tabla2[[#This Row],[Stock Inventario]]*Tabla2[[#This Row],[Coste LÃ­nea]]</f>
        <v>0</v>
      </c>
      <c r="M5338" s="24">
        <f>+Tabla2[[#This Row],[Variación Stock]]*Tabla2[[#This Row],[Coste LÃ­nea]]</f>
        <v>0</v>
      </c>
      <c r="N5338" s="22" t="str">
        <f>+IF(Tabla2[[#This Row],[Variación Stock]]&gt;0,"Sobrante",IF(Tabla2[[#This Row],[Variación Stock]]&lt;0,"Faltante","Sin novedad"))</f>
        <v>Sin novedad</v>
      </c>
    </row>
    <row r="5339" spans="1:14" hidden="1" x14ac:dyDescent="0.25">
      <c r="A5339" s="11">
        <v>46053</v>
      </c>
      <c r="B5339" s="5" t="s">
        <v>971</v>
      </c>
      <c r="C5339" s="3" t="s">
        <v>284</v>
      </c>
      <c r="D5339" s="5" t="s">
        <v>120</v>
      </c>
      <c r="E5339" s="5" t="s">
        <v>117</v>
      </c>
      <c r="F5339" s="6" t="s">
        <v>701</v>
      </c>
      <c r="G5339" s="4" t="s">
        <v>1</v>
      </c>
      <c r="H5339" s="25">
        <v>31.59727268</v>
      </c>
      <c r="I5339" s="8">
        <v>0</v>
      </c>
      <c r="J5339" s="9">
        <v>0</v>
      </c>
      <c r="K5339" s="7">
        <v>0</v>
      </c>
      <c r="L5339" s="24">
        <f>+Tabla2[[#This Row],[Stock Inventario]]*Tabla2[[#This Row],[Coste LÃ­nea]]</f>
        <v>0</v>
      </c>
      <c r="M5339" s="24">
        <f>+Tabla2[[#This Row],[Variación Stock]]*Tabla2[[#This Row],[Coste LÃ­nea]]</f>
        <v>0</v>
      </c>
      <c r="N5339" s="22" t="str">
        <f>+IF(Tabla2[[#This Row],[Variación Stock]]&gt;0,"Sobrante",IF(Tabla2[[#This Row],[Variación Stock]]&lt;0,"Faltante","Sin novedad"))</f>
        <v>Sin novedad</v>
      </c>
    </row>
    <row r="5340" spans="1:14" hidden="1" x14ac:dyDescent="0.25">
      <c r="A5340" s="11">
        <v>46053</v>
      </c>
      <c r="B5340" s="5" t="s">
        <v>971</v>
      </c>
      <c r="C5340" s="3" t="s">
        <v>284</v>
      </c>
      <c r="D5340" s="5" t="s">
        <v>120</v>
      </c>
      <c r="E5340" s="5" t="s">
        <v>117</v>
      </c>
      <c r="F5340" s="6" t="s">
        <v>702</v>
      </c>
      <c r="G5340" s="4" t="s">
        <v>2</v>
      </c>
      <c r="H5340" s="25">
        <v>1110.3705716899999</v>
      </c>
      <c r="I5340" s="8">
        <v>-22</v>
      </c>
      <c r="J5340" s="9">
        <v>10</v>
      </c>
      <c r="K5340" s="7">
        <v>32</v>
      </c>
      <c r="L5340" s="24">
        <f>+Tabla2[[#This Row],[Stock Inventario]]*Tabla2[[#This Row],[Coste LÃ­nea]]</f>
        <v>11103.7057169</v>
      </c>
      <c r="M5340" s="24">
        <f>+Tabla2[[#This Row],[Variación Stock]]*Tabla2[[#This Row],[Coste LÃ­nea]]</f>
        <v>35531.858294079997</v>
      </c>
      <c r="N5340" s="22" t="str">
        <f>+IF(Tabla2[[#This Row],[Variación Stock]]&gt;0,"Sobrante",IF(Tabla2[[#This Row],[Variación Stock]]&lt;0,"Faltante","Sin novedad"))</f>
        <v>Sobrante</v>
      </c>
    </row>
    <row r="5341" spans="1:14" hidden="1" x14ac:dyDescent="0.25">
      <c r="A5341" s="11">
        <v>46053</v>
      </c>
      <c r="B5341" s="5" t="s">
        <v>971</v>
      </c>
      <c r="C5341" s="3" t="s">
        <v>284</v>
      </c>
      <c r="D5341" s="5" t="s">
        <v>120</v>
      </c>
      <c r="E5341" s="5" t="s">
        <v>117</v>
      </c>
      <c r="F5341" s="6" t="s">
        <v>392</v>
      </c>
      <c r="G5341" s="4" t="s">
        <v>2</v>
      </c>
      <c r="H5341" s="25">
        <v>3833.3333333300002</v>
      </c>
      <c r="I5341" s="8">
        <v>0</v>
      </c>
      <c r="J5341" s="9">
        <v>0</v>
      </c>
      <c r="K5341" s="7">
        <v>0</v>
      </c>
      <c r="L5341" s="24">
        <f>+Tabla2[[#This Row],[Stock Inventario]]*Tabla2[[#This Row],[Coste LÃ­nea]]</f>
        <v>0</v>
      </c>
      <c r="M5341" s="24">
        <f>+Tabla2[[#This Row],[Variación Stock]]*Tabla2[[#This Row],[Coste LÃ­nea]]</f>
        <v>0</v>
      </c>
      <c r="N5341" s="22" t="str">
        <f>+IF(Tabla2[[#This Row],[Variación Stock]]&gt;0,"Sobrante",IF(Tabla2[[#This Row],[Variación Stock]]&lt;0,"Faltante","Sin novedad"))</f>
        <v>Sin novedad</v>
      </c>
    </row>
    <row r="5342" spans="1:14" hidden="1" x14ac:dyDescent="0.25">
      <c r="A5342" s="11">
        <v>46053</v>
      </c>
      <c r="B5342" s="5" t="s">
        <v>971</v>
      </c>
      <c r="C5342" s="3" t="s">
        <v>284</v>
      </c>
      <c r="D5342" s="5" t="s">
        <v>323</v>
      </c>
      <c r="E5342" s="5" t="s">
        <v>117</v>
      </c>
      <c r="F5342" s="6" t="s">
        <v>345</v>
      </c>
      <c r="G5342" s="4" t="s">
        <v>1</v>
      </c>
      <c r="H5342" s="25">
        <v>20.981048869999999</v>
      </c>
      <c r="I5342" s="8">
        <v>0</v>
      </c>
      <c r="J5342" s="9">
        <v>0</v>
      </c>
      <c r="K5342" s="7">
        <v>0</v>
      </c>
      <c r="L5342" s="24">
        <f>+Tabla2[[#This Row],[Stock Inventario]]*Tabla2[[#This Row],[Coste LÃ­nea]]</f>
        <v>0</v>
      </c>
      <c r="M5342" s="24">
        <f>+Tabla2[[#This Row],[Variación Stock]]*Tabla2[[#This Row],[Coste LÃ­nea]]</f>
        <v>0</v>
      </c>
      <c r="N5342" s="22" t="str">
        <f>+IF(Tabla2[[#This Row],[Variación Stock]]&gt;0,"Sobrante",IF(Tabla2[[#This Row],[Variación Stock]]&lt;0,"Faltante","Sin novedad"))</f>
        <v>Sin novedad</v>
      </c>
    </row>
    <row r="5343" spans="1:14" hidden="1" x14ac:dyDescent="0.25">
      <c r="A5343" s="11">
        <v>46053</v>
      </c>
      <c r="B5343" s="5" t="s">
        <v>971</v>
      </c>
      <c r="C5343" s="3" t="s">
        <v>284</v>
      </c>
      <c r="D5343" s="5" t="s">
        <v>120</v>
      </c>
      <c r="E5343" s="5" t="s">
        <v>117</v>
      </c>
      <c r="F5343" s="6" t="s">
        <v>703</v>
      </c>
      <c r="G5343" s="4" t="s">
        <v>1</v>
      </c>
      <c r="H5343" s="25">
        <v>1.8969430899999999</v>
      </c>
      <c r="I5343" s="8">
        <v>0</v>
      </c>
      <c r="J5343" s="9">
        <v>0</v>
      </c>
      <c r="K5343" s="7">
        <v>0</v>
      </c>
      <c r="L5343" s="24">
        <f>+Tabla2[[#This Row],[Stock Inventario]]*Tabla2[[#This Row],[Coste LÃ­nea]]</f>
        <v>0</v>
      </c>
      <c r="M5343" s="24">
        <f>+Tabla2[[#This Row],[Variación Stock]]*Tabla2[[#This Row],[Coste LÃ­nea]]</f>
        <v>0</v>
      </c>
      <c r="N5343" s="22" t="str">
        <f>+IF(Tabla2[[#This Row],[Variación Stock]]&gt;0,"Sobrante",IF(Tabla2[[#This Row],[Variación Stock]]&lt;0,"Faltante","Sin novedad"))</f>
        <v>Sin novedad</v>
      </c>
    </row>
    <row r="5344" spans="1:14" hidden="1" x14ac:dyDescent="0.25">
      <c r="A5344" s="11">
        <v>46053</v>
      </c>
      <c r="B5344" s="5" t="s">
        <v>971</v>
      </c>
      <c r="C5344" s="3" t="s">
        <v>284</v>
      </c>
      <c r="D5344" s="5" t="s">
        <v>120</v>
      </c>
      <c r="E5344" s="5" t="s">
        <v>117</v>
      </c>
      <c r="F5344" s="6" t="s">
        <v>704</v>
      </c>
      <c r="G5344" s="4" t="s">
        <v>1</v>
      </c>
      <c r="H5344" s="25">
        <v>18.415007580000001</v>
      </c>
      <c r="I5344" s="8">
        <v>10023.2042</v>
      </c>
      <c r="J5344" s="9">
        <v>0</v>
      </c>
      <c r="K5344" s="7">
        <v>-10023.204180000001</v>
      </c>
      <c r="L5344" s="24">
        <f>+Tabla2[[#This Row],[Stock Inventario]]*Tabla2[[#This Row],[Coste LÃ­nea]]</f>
        <v>0</v>
      </c>
      <c r="M5344" s="24">
        <f>+Tabla2[[#This Row],[Variación Stock]]*Tabla2[[#This Row],[Coste LÃ­nea]]</f>
        <v>-184577.38095058771</v>
      </c>
      <c r="N5344" s="22" t="str">
        <f>+IF(Tabla2[[#This Row],[Variación Stock]]&gt;0,"Sobrante",IF(Tabla2[[#This Row],[Variación Stock]]&lt;0,"Faltante","Sin novedad"))</f>
        <v>Faltante</v>
      </c>
    </row>
    <row r="5345" spans="1:14" hidden="1" x14ac:dyDescent="0.25">
      <c r="A5345" s="11">
        <v>46053</v>
      </c>
      <c r="B5345" s="5" t="s">
        <v>971</v>
      </c>
      <c r="C5345" s="3" t="s">
        <v>284</v>
      </c>
      <c r="D5345" s="5" t="s">
        <v>120</v>
      </c>
      <c r="E5345" s="5" t="s">
        <v>117</v>
      </c>
      <c r="F5345" s="6" t="s">
        <v>705</v>
      </c>
      <c r="G5345" s="4" t="s">
        <v>1</v>
      </c>
      <c r="H5345" s="25">
        <v>1.88845906</v>
      </c>
      <c r="I5345" s="8">
        <v>0</v>
      </c>
      <c r="J5345" s="9">
        <v>5626</v>
      </c>
      <c r="K5345" s="7">
        <v>5626</v>
      </c>
      <c r="L5345" s="24">
        <f>+Tabla2[[#This Row],[Stock Inventario]]*Tabla2[[#This Row],[Coste LÃ­nea]]</f>
        <v>10624.47067156</v>
      </c>
      <c r="M5345" s="24">
        <f>+Tabla2[[#This Row],[Variación Stock]]*Tabla2[[#This Row],[Coste LÃ­nea]]</f>
        <v>10624.47067156</v>
      </c>
      <c r="N5345" s="22" t="str">
        <f>+IF(Tabla2[[#This Row],[Variación Stock]]&gt;0,"Sobrante",IF(Tabla2[[#This Row],[Variación Stock]]&lt;0,"Faltante","Sin novedad"))</f>
        <v>Sobrante</v>
      </c>
    </row>
    <row r="5346" spans="1:14" hidden="1" x14ac:dyDescent="0.25">
      <c r="A5346" s="11">
        <v>46053</v>
      </c>
      <c r="B5346" s="5" t="s">
        <v>971</v>
      </c>
      <c r="C5346" s="3" t="s">
        <v>284</v>
      </c>
      <c r="D5346" s="5" t="s">
        <v>120</v>
      </c>
      <c r="E5346" s="5" t="s">
        <v>117</v>
      </c>
      <c r="F5346" s="6" t="s">
        <v>343</v>
      </c>
      <c r="G5346" s="4" t="s">
        <v>1</v>
      </c>
      <c r="H5346" s="25">
        <v>240</v>
      </c>
      <c r="I5346" s="8">
        <v>-5</v>
      </c>
      <c r="J5346" s="9">
        <v>0</v>
      </c>
      <c r="K5346" s="7">
        <v>5</v>
      </c>
      <c r="L5346" s="24">
        <f>+Tabla2[[#This Row],[Stock Inventario]]*Tabla2[[#This Row],[Coste LÃ­nea]]</f>
        <v>0</v>
      </c>
      <c r="M5346" s="24">
        <f>+Tabla2[[#This Row],[Variación Stock]]*Tabla2[[#This Row],[Coste LÃ­nea]]</f>
        <v>1200</v>
      </c>
      <c r="N5346" s="22" t="str">
        <f>+IF(Tabla2[[#This Row],[Variación Stock]]&gt;0,"Sobrante",IF(Tabla2[[#This Row],[Variación Stock]]&lt;0,"Faltante","Sin novedad"))</f>
        <v>Sobrante</v>
      </c>
    </row>
    <row r="5347" spans="1:14" hidden="1" x14ac:dyDescent="0.25">
      <c r="A5347" s="11">
        <v>46053</v>
      </c>
      <c r="B5347" s="5" t="s">
        <v>971</v>
      </c>
      <c r="C5347" s="3" t="s">
        <v>284</v>
      </c>
      <c r="D5347" s="5" t="s">
        <v>323</v>
      </c>
      <c r="E5347" s="5" t="s">
        <v>117</v>
      </c>
      <c r="F5347" s="6" t="s">
        <v>349</v>
      </c>
      <c r="G5347" s="4" t="s">
        <v>1</v>
      </c>
      <c r="H5347" s="25">
        <v>11.406611420000001</v>
      </c>
      <c r="I5347" s="8">
        <v>3030</v>
      </c>
      <c r="J5347" s="9">
        <v>0</v>
      </c>
      <c r="K5347" s="7">
        <v>-3030.0000009999999</v>
      </c>
      <c r="L5347" s="24">
        <f>+Tabla2[[#This Row],[Stock Inventario]]*Tabla2[[#This Row],[Coste LÃ­nea]]</f>
        <v>0</v>
      </c>
      <c r="M5347" s="24">
        <f>+Tabla2[[#This Row],[Variación Stock]]*Tabla2[[#This Row],[Coste LÃ­nea]]</f>
        <v>-34562.03261400661</v>
      </c>
      <c r="N5347" s="22" t="str">
        <f>+IF(Tabla2[[#This Row],[Variación Stock]]&gt;0,"Sobrante",IF(Tabla2[[#This Row],[Variación Stock]]&lt;0,"Faltante","Sin novedad"))</f>
        <v>Faltante</v>
      </c>
    </row>
    <row r="5348" spans="1:14" hidden="1" x14ac:dyDescent="0.25">
      <c r="A5348" s="11">
        <v>46053</v>
      </c>
      <c r="B5348" s="5" t="s">
        <v>971</v>
      </c>
      <c r="C5348" s="3" t="s">
        <v>284</v>
      </c>
      <c r="D5348" s="5" t="s">
        <v>120</v>
      </c>
      <c r="E5348" s="5" t="s">
        <v>117</v>
      </c>
      <c r="F5348" s="6" t="s">
        <v>706</v>
      </c>
      <c r="G5348" s="4" t="s">
        <v>1</v>
      </c>
      <c r="H5348" s="25">
        <v>18.58584578</v>
      </c>
      <c r="I5348" s="8">
        <v>-2240</v>
      </c>
      <c r="J5348" s="9">
        <v>0</v>
      </c>
      <c r="K5348" s="7">
        <v>2240</v>
      </c>
      <c r="L5348" s="24">
        <f>+Tabla2[[#This Row],[Stock Inventario]]*Tabla2[[#This Row],[Coste LÃ­nea]]</f>
        <v>0</v>
      </c>
      <c r="M5348" s="24">
        <f>+Tabla2[[#This Row],[Variación Stock]]*Tabla2[[#This Row],[Coste LÃ­nea]]</f>
        <v>41632.294547199999</v>
      </c>
      <c r="N5348" s="22" t="str">
        <f>+IF(Tabla2[[#This Row],[Variación Stock]]&gt;0,"Sobrante",IF(Tabla2[[#This Row],[Variación Stock]]&lt;0,"Faltante","Sin novedad"))</f>
        <v>Sobrante</v>
      </c>
    </row>
    <row r="5349" spans="1:14" x14ac:dyDescent="0.25">
      <c r="A5349" s="11">
        <v>46053</v>
      </c>
      <c r="B5349" s="5" t="s">
        <v>971</v>
      </c>
      <c r="C5349" s="3" t="s">
        <v>284</v>
      </c>
      <c r="D5349" s="5" t="s">
        <v>121</v>
      </c>
      <c r="E5349" s="5" t="s">
        <v>112</v>
      </c>
      <c r="F5349" s="6" t="s">
        <v>792</v>
      </c>
      <c r="G5349" s="4" t="s">
        <v>1</v>
      </c>
      <c r="H5349" s="25">
        <v>16.936054859999999</v>
      </c>
      <c r="I5349" s="8">
        <v>2940</v>
      </c>
      <c r="J5349" s="9">
        <v>750</v>
      </c>
      <c r="K5349" s="7">
        <v>-2190</v>
      </c>
      <c r="L5349" s="24">
        <f>+Tabla2[[#This Row],[Stock Inventario]]*Tabla2[[#This Row],[Coste LÃ­nea]]</f>
        <v>12702.041144999999</v>
      </c>
      <c r="M5349" s="24">
        <f>+Tabla2[[#This Row],[Variación Stock]]*Tabla2[[#This Row],[Coste LÃ­nea]]</f>
        <v>-37089.9601434</v>
      </c>
      <c r="N5349" s="22" t="str">
        <f>+IF(Tabla2[[#This Row],[Variación Stock]]&gt;0,"Sobrante",IF(Tabla2[[#This Row],[Variación Stock]]&lt;0,"Faltante","Sin novedad"))</f>
        <v>Faltante</v>
      </c>
    </row>
    <row r="5350" spans="1:14" hidden="1" x14ac:dyDescent="0.25">
      <c r="A5350" s="11">
        <v>46053</v>
      </c>
      <c r="B5350" s="5" t="s">
        <v>971</v>
      </c>
      <c r="C5350" s="3" t="s">
        <v>284</v>
      </c>
      <c r="D5350" s="5" t="s">
        <v>120</v>
      </c>
      <c r="E5350" s="5" t="s">
        <v>117</v>
      </c>
      <c r="F5350" s="6" t="s">
        <v>766</v>
      </c>
      <c r="G5350" s="4" t="s">
        <v>2</v>
      </c>
      <c r="H5350" s="25">
        <v>83.322999999999993</v>
      </c>
      <c r="I5350" s="8">
        <v>6</v>
      </c>
      <c r="J5350" s="9">
        <v>0</v>
      </c>
      <c r="K5350" s="7">
        <v>-6</v>
      </c>
      <c r="L5350" s="24">
        <f>+Tabla2[[#This Row],[Stock Inventario]]*Tabla2[[#This Row],[Coste LÃ­nea]]</f>
        <v>0</v>
      </c>
      <c r="M5350" s="24">
        <f>+Tabla2[[#This Row],[Variación Stock]]*Tabla2[[#This Row],[Coste LÃ­nea]]</f>
        <v>-499.93799999999999</v>
      </c>
      <c r="N5350" s="22" t="str">
        <f>+IF(Tabla2[[#This Row],[Variación Stock]]&gt;0,"Sobrante",IF(Tabla2[[#This Row],[Variación Stock]]&lt;0,"Faltante","Sin novedad"))</f>
        <v>Faltante</v>
      </c>
    </row>
    <row r="5351" spans="1:14" x14ac:dyDescent="0.25">
      <c r="A5351" s="11">
        <v>46053</v>
      </c>
      <c r="B5351" s="5" t="s">
        <v>971</v>
      </c>
      <c r="C5351" s="3" t="s">
        <v>284</v>
      </c>
      <c r="D5351" s="5" t="s">
        <v>121</v>
      </c>
      <c r="E5351" s="5" t="s">
        <v>112</v>
      </c>
      <c r="F5351" s="6" t="s">
        <v>353</v>
      </c>
      <c r="G5351" s="4" t="s">
        <v>1</v>
      </c>
      <c r="H5351" s="25">
        <v>58.412030450000003</v>
      </c>
      <c r="I5351" s="8">
        <v>-326</v>
      </c>
      <c r="J5351" s="9">
        <v>1020</v>
      </c>
      <c r="K5351" s="7">
        <v>1346</v>
      </c>
      <c r="L5351" s="24">
        <f>+Tabla2[[#This Row],[Stock Inventario]]*Tabla2[[#This Row],[Coste LÃ­nea]]</f>
        <v>59580.271059000006</v>
      </c>
      <c r="M5351" s="24">
        <f>+Tabla2[[#This Row],[Variación Stock]]*Tabla2[[#This Row],[Coste LÃ­nea]]</f>
        <v>78622.592985700001</v>
      </c>
      <c r="N5351" s="22" t="str">
        <f>+IF(Tabla2[[#This Row],[Variación Stock]]&gt;0,"Sobrante",IF(Tabla2[[#This Row],[Variación Stock]]&lt;0,"Faltante","Sin novedad"))</f>
        <v>Sobrante</v>
      </c>
    </row>
    <row r="5352" spans="1:14" hidden="1" x14ac:dyDescent="0.25">
      <c r="A5352" s="11">
        <v>46053</v>
      </c>
      <c r="B5352" s="5" t="s">
        <v>971</v>
      </c>
      <c r="C5352" s="3" t="s">
        <v>284</v>
      </c>
      <c r="D5352" s="5" t="s">
        <v>120</v>
      </c>
      <c r="E5352" s="5" t="s">
        <v>117</v>
      </c>
      <c r="F5352" s="6" t="s">
        <v>707</v>
      </c>
      <c r="G5352" s="4" t="s">
        <v>1</v>
      </c>
      <c r="H5352" s="25">
        <v>15.798591500000001</v>
      </c>
      <c r="I5352" s="8">
        <v>-1510</v>
      </c>
      <c r="J5352" s="9">
        <v>330</v>
      </c>
      <c r="K5352" s="7">
        <v>1840</v>
      </c>
      <c r="L5352" s="24">
        <f>+Tabla2[[#This Row],[Stock Inventario]]*Tabla2[[#This Row],[Coste LÃ­nea]]</f>
        <v>5213.5351950000004</v>
      </c>
      <c r="M5352" s="24">
        <f>+Tabla2[[#This Row],[Variación Stock]]*Tabla2[[#This Row],[Coste LÃ­nea]]</f>
        <v>29069.408360000001</v>
      </c>
      <c r="N5352" s="22" t="str">
        <f>+IF(Tabla2[[#This Row],[Variación Stock]]&gt;0,"Sobrante",IF(Tabla2[[#This Row],[Variación Stock]]&lt;0,"Faltante","Sin novedad"))</f>
        <v>Sobrante</v>
      </c>
    </row>
    <row r="5353" spans="1:14" hidden="1" x14ac:dyDescent="0.25">
      <c r="A5353" s="11">
        <v>46053</v>
      </c>
      <c r="B5353" s="5" t="s">
        <v>971</v>
      </c>
      <c r="C5353" s="3" t="s">
        <v>284</v>
      </c>
      <c r="D5353" s="5" t="s">
        <v>120</v>
      </c>
      <c r="E5353" s="5" t="s">
        <v>117</v>
      </c>
      <c r="F5353" s="6" t="s">
        <v>708</v>
      </c>
      <c r="G5353" s="4" t="s">
        <v>1</v>
      </c>
      <c r="H5353" s="25">
        <v>24.960225869999999</v>
      </c>
      <c r="I5353" s="8">
        <v>1592</v>
      </c>
      <c r="J5353" s="9">
        <v>0</v>
      </c>
      <c r="K5353" s="7">
        <v>-1592</v>
      </c>
      <c r="L5353" s="24">
        <f>+Tabla2[[#This Row],[Stock Inventario]]*Tabla2[[#This Row],[Coste LÃ­nea]]</f>
        <v>0</v>
      </c>
      <c r="M5353" s="24">
        <f>+Tabla2[[#This Row],[Variación Stock]]*Tabla2[[#This Row],[Coste LÃ­nea]]</f>
        <v>-39736.679585040001</v>
      </c>
      <c r="N5353" s="22" t="str">
        <f>+IF(Tabla2[[#This Row],[Variación Stock]]&gt;0,"Sobrante",IF(Tabla2[[#This Row],[Variación Stock]]&lt;0,"Faltante","Sin novedad"))</f>
        <v>Faltante</v>
      </c>
    </row>
    <row r="5354" spans="1:14" hidden="1" x14ac:dyDescent="0.25">
      <c r="A5354" s="11">
        <v>46053</v>
      </c>
      <c r="B5354" s="5" t="s">
        <v>971</v>
      </c>
      <c r="C5354" s="3" t="s">
        <v>284</v>
      </c>
      <c r="D5354" s="5" t="s">
        <v>120</v>
      </c>
      <c r="E5354" s="5" t="s">
        <v>117</v>
      </c>
      <c r="F5354" s="6" t="s">
        <v>709</v>
      </c>
      <c r="G5354" s="4" t="s">
        <v>2</v>
      </c>
      <c r="H5354" s="25">
        <v>53.101138890000001</v>
      </c>
      <c r="I5354" s="8">
        <v>0</v>
      </c>
      <c r="J5354" s="9">
        <v>0</v>
      </c>
      <c r="K5354" s="7">
        <v>0</v>
      </c>
      <c r="L5354" s="24">
        <f>+Tabla2[[#This Row],[Stock Inventario]]*Tabla2[[#This Row],[Coste LÃ­nea]]</f>
        <v>0</v>
      </c>
      <c r="M5354" s="24">
        <f>+Tabla2[[#This Row],[Variación Stock]]*Tabla2[[#This Row],[Coste LÃ­nea]]</f>
        <v>0</v>
      </c>
      <c r="N5354" s="22" t="str">
        <f>+IF(Tabla2[[#This Row],[Variación Stock]]&gt;0,"Sobrante",IF(Tabla2[[#This Row],[Variación Stock]]&lt;0,"Faltante","Sin novedad"))</f>
        <v>Sin novedad</v>
      </c>
    </row>
    <row r="5355" spans="1:14" hidden="1" x14ac:dyDescent="0.25">
      <c r="A5355" s="11">
        <v>46053</v>
      </c>
      <c r="B5355" s="5" t="s">
        <v>971</v>
      </c>
      <c r="C5355" s="3" t="s">
        <v>284</v>
      </c>
      <c r="D5355" s="5" t="s">
        <v>120</v>
      </c>
      <c r="E5355" s="5" t="s">
        <v>117</v>
      </c>
      <c r="F5355" s="6" t="s">
        <v>710</v>
      </c>
      <c r="G5355" s="4" t="s">
        <v>1</v>
      </c>
      <c r="H5355" s="25">
        <v>14.77931856</v>
      </c>
      <c r="I5355" s="8">
        <v>-1295</v>
      </c>
      <c r="J5355" s="9">
        <v>600</v>
      </c>
      <c r="K5355" s="7">
        <v>1895</v>
      </c>
      <c r="L5355" s="24">
        <f>+Tabla2[[#This Row],[Stock Inventario]]*Tabla2[[#This Row],[Coste LÃ­nea]]</f>
        <v>8867.5911360000009</v>
      </c>
      <c r="M5355" s="24">
        <f>+Tabla2[[#This Row],[Variación Stock]]*Tabla2[[#This Row],[Coste LÃ­nea]]</f>
        <v>28006.8086712</v>
      </c>
      <c r="N5355" s="22" t="str">
        <f>+IF(Tabla2[[#This Row],[Variación Stock]]&gt;0,"Sobrante",IF(Tabla2[[#This Row],[Variación Stock]]&lt;0,"Faltante","Sin novedad"))</f>
        <v>Sobrante</v>
      </c>
    </row>
    <row r="5356" spans="1:14" hidden="1" x14ac:dyDescent="0.25">
      <c r="A5356" s="11">
        <v>46053</v>
      </c>
      <c r="B5356" s="5" t="s">
        <v>971</v>
      </c>
      <c r="C5356" s="3" t="s">
        <v>284</v>
      </c>
      <c r="D5356" s="5" t="s">
        <v>120</v>
      </c>
      <c r="E5356" s="5" t="s">
        <v>117</v>
      </c>
      <c r="F5356" s="6" t="s">
        <v>711</v>
      </c>
      <c r="G5356" s="4" t="s">
        <v>1</v>
      </c>
      <c r="H5356" s="25">
        <v>12.823530269999999</v>
      </c>
      <c r="I5356" s="8">
        <v>-5282</v>
      </c>
      <c r="J5356" s="9">
        <v>0</v>
      </c>
      <c r="K5356" s="7">
        <v>5282</v>
      </c>
      <c r="L5356" s="24">
        <f>+Tabla2[[#This Row],[Stock Inventario]]*Tabla2[[#This Row],[Coste LÃ­nea]]</f>
        <v>0</v>
      </c>
      <c r="M5356" s="24">
        <f>+Tabla2[[#This Row],[Variación Stock]]*Tabla2[[#This Row],[Coste LÃ­nea]]</f>
        <v>67733.886886139997</v>
      </c>
      <c r="N5356" s="22" t="str">
        <f>+IF(Tabla2[[#This Row],[Variación Stock]]&gt;0,"Sobrante",IF(Tabla2[[#This Row],[Variación Stock]]&lt;0,"Faltante","Sin novedad"))</f>
        <v>Sobrante</v>
      </c>
    </row>
    <row r="5357" spans="1:14" hidden="1" x14ac:dyDescent="0.25">
      <c r="A5357" s="11">
        <v>46053</v>
      </c>
      <c r="B5357" s="5" t="s">
        <v>971</v>
      </c>
      <c r="C5357" s="3" t="s">
        <v>284</v>
      </c>
      <c r="D5357" s="5" t="s">
        <v>120</v>
      </c>
      <c r="E5357" s="5" t="s">
        <v>117</v>
      </c>
      <c r="F5357" s="6" t="s">
        <v>316</v>
      </c>
      <c r="G5357" s="4" t="s">
        <v>2</v>
      </c>
      <c r="H5357" s="25">
        <v>1756.7813333300001</v>
      </c>
      <c r="I5357" s="8">
        <v>-92</v>
      </c>
      <c r="J5357" s="9">
        <v>17</v>
      </c>
      <c r="K5357" s="7">
        <v>109</v>
      </c>
      <c r="L5357" s="24">
        <f>+Tabla2[[#This Row],[Stock Inventario]]*Tabla2[[#This Row],[Coste LÃ­nea]]</f>
        <v>29865.282666610001</v>
      </c>
      <c r="M5357" s="24">
        <f>+Tabla2[[#This Row],[Variación Stock]]*Tabla2[[#This Row],[Coste LÃ­nea]]</f>
        <v>191489.16533297001</v>
      </c>
      <c r="N5357" s="22" t="str">
        <f>+IF(Tabla2[[#This Row],[Variación Stock]]&gt;0,"Sobrante",IF(Tabla2[[#This Row],[Variación Stock]]&lt;0,"Faltante","Sin novedad"))</f>
        <v>Sobrante</v>
      </c>
    </row>
    <row r="5358" spans="1:14" hidden="1" x14ac:dyDescent="0.25">
      <c r="A5358" s="11">
        <v>46053</v>
      </c>
      <c r="B5358" s="5" t="s">
        <v>971</v>
      </c>
      <c r="C5358" s="3" t="s">
        <v>284</v>
      </c>
      <c r="D5358" s="5" t="s">
        <v>120</v>
      </c>
      <c r="E5358" s="5" t="s">
        <v>117</v>
      </c>
      <c r="F5358" s="6" t="s">
        <v>376</v>
      </c>
      <c r="G5358" s="4" t="s">
        <v>2</v>
      </c>
      <c r="H5358" s="25">
        <v>2900.3227931299998</v>
      </c>
      <c r="I5358" s="8">
        <v>-1</v>
      </c>
      <c r="J5358" s="9">
        <v>2</v>
      </c>
      <c r="K5358" s="7">
        <v>3</v>
      </c>
      <c r="L5358" s="24">
        <f>+Tabla2[[#This Row],[Stock Inventario]]*Tabla2[[#This Row],[Coste LÃ­nea]]</f>
        <v>5800.6455862599996</v>
      </c>
      <c r="M5358" s="24">
        <f>+Tabla2[[#This Row],[Variación Stock]]*Tabla2[[#This Row],[Coste LÃ­nea]]</f>
        <v>8700.9683793900003</v>
      </c>
      <c r="N5358" s="22" t="str">
        <f>+IF(Tabla2[[#This Row],[Variación Stock]]&gt;0,"Sobrante",IF(Tabla2[[#This Row],[Variación Stock]]&lt;0,"Faltante","Sin novedad"))</f>
        <v>Sobrante</v>
      </c>
    </row>
    <row r="5359" spans="1:14" hidden="1" x14ac:dyDescent="0.25">
      <c r="A5359" s="11">
        <v>46053</v>
      </c>
      <c r="B5359" s="5" t="s">
        <v>971</v>
      </c>
      <c r="C5359" s="3" t="s">
        <v>284</v>
      </c>
      <c r="D5359" s="5" t="s">
        <v>120</v>
      </c>
      <c r="E5359" s="5" t="s">
        <v>117</v>
      </c>
      <c r="F5359" s="6" t="s">
        <v>712</v>
      </c>
      <c r="G5359" s="4" t="s">
        <v>1</v>
      </c>
      <c r="H5359" s="25">
        <v>15.157083310000001</v>
      </c>
      <c r="I5359" s="8">
        <v>-1752</v>
      </c>
      <c r="J5359" s="9">
        <v>3420</v>
      </c>
      <c r="K5359" s="7">
        <v>5172</v>
      </c>
      <c r="L5359" s="24">
        <f>+Tabla2[[#This Row],[Stock Inventario]]*Tabla2[[#This Row],[Coste LÃ­nea]]</f>
        <v>51837.224920200002</v>
      </c>
      <c r="M5359" s="24">
        <f>+Tabla2[[#This Row],[Variación Stock]]*Tabla2[[#This Row],[Coste LÃ­nea]]</f>
        <v>78392.434879320004</v>
      </c>
      <c r="N5359" s="22" t="str">
        <f>+IF(Tabla2[[#This Row],[Variación Stock]]&gt;0,"Sobrante",IF(Tabla2[[#This Row],[Variación Stock]]&lt;0,"Faltante","Sin novedad"))</f>
        <v>Sobrante</v>
      </c>
    </row>
    <row r="5360" spans="1:14" hidden="1" x14ac:dyDescent="0.25">
      <c r="A5360" s="11">
        <v>46053</v>
      </c>
      <c r="B5360" s="5" t="s">
        <v>971</v>
      </c>
      <c r="C5360" s="3" t="s">
        <v>284</v>
      </c>
      <c r="D5360" s="5" t="s">
        <v>120</v>
      </c>
      <c r="E5360" s="5" t="s">
        <v>117</v>
      </c>
      <c r="F5360" s="6" t="s">
        <v>713</v>
      </c>
      <c r="G5360" s="4" t="s">
        <v>1</v>
      </c>
      <c r="H5360" s="25">
        <v>30.21137307</v>
      </c>
      <c r="I5360" s="8">
        <v>0</v>
      </c>
      <c r="J5360" s="9">
        <v>5603</v>
      </c>
      <c r="K5360" s="7">
        <v>5603</v>
      </c>
      <c r="L5360" s="24">
        <f>+Tabla2[[#This Row],[Stock Inventario]]*Tabla2[[#This Row],[Coste LÃ­nea]]</f>
        <v>169274.32331121</v>
      </c>
      <c r="M5360" s="24">
        <f>+Tabla2[[#This Row],[Variación Stock]]*Tabla2[[#This Row],[Coste LÃ­nea]]</f>
        <v>169274.32331121</v>
      </c>
      <c r="N5360" s="22" t="str">
        <f>+IF(Tabla2[[#This Row],[Variación Stock]]&gt;0,"Sobrante",IF(Tabla2[[#This Row],[Variación Stock]]&lt;0,"Faltante","Sin novedad"))</f>
        <v>Sobrante</v>
      </c>
    </row>
    <row r="5361" spans="1:14" x14ac:dyDescent="0.25">
      <c r="A5361" s="11">
        <v>46053</v>
      </c>
      <c r="B5361" s="5" t="s">
        <v>971</v>
      </c>
      <c r="C5361" s="3" t="s">
        <v>284</v>
      </c>
      <c r="D5361" s="5" t="s">
        <v>121</v>
      </c>
      <c r="E5361" s="5" t="s">
        <v>112</v>
      </c>
      <c r="F5361" s="6" t="s">
        <v>356</v>
      </c>
      <c r="G5361" s="4" t="s">
        <v>1</v>
      </c>
      <c r="H5361" s="25">
        <v>10.8</v>
      </c>
      <c r="I5361" s="8">
        <v>-665</v>
      </c>
      <c r="J5361" s="9">
        <v>240</v>
      </c>
      <c r="K5361" s="7">
        <v>905</v>
      </c>
      <c r="L5361" s="24">
        <f>+Tabla2[[#This Row],[Stock Inventario]]*Tabla2[[#This Row],[Coste LÃ­nea]]</f>
        <v>2592</v>
      </c>
      <c r="M5361" s="24">
        <f>+Tabla2[[#This Row],[Variación Stock]]*Tabla2[[#This Row],[Coste LÃ­nea]]</f>
        <v>9774</v>
      </c>
      <c r="N5361" s="22" t="str">
        <f>+IF(Tabla2[[#This Row],[Variación Stock]]&gt;0,"Sobrante",IF(Tabla2[[#This Row],[Variación Stock]]&lt;0,"Faltante","Sin novedad"))</f>
        <v>Sobrante</v>
      </c>
    </row>
    <row r="5362" spans="1:14" x14ac:dyDescent="0.25">
      <c r="A5362" s="11">
        <v>46053</v>
      </c>
      <c r="B5362" s="5" t="s">
        <v>971</v>
      </c>
      <c r="C5362" s="3" t="s">
        <v>284</v>
      </c>
      <c r="D5362" s="5" t="s">
        <v>121</v>
      </c>
      <c r="E5362" s="5" t="s">
        <v>112</v>
      </c>
      <c r="F5362" s="6" t="s">
        <v>331</v>
      </c>
      <c r="G5362" s="4" t="s">
        <v>0</v>
      </c>
      <c r="H5362" s="25">
        <v>3676.0409307599998</v>
      </c>
      <c r="I5362" s="8">
        <v>0</v>
      </c>
      <c r="J5362" s="9">
        <v>0</v>
      </c>
      <c r="K5362" s="7">
        <v>0</v>
      </c>
      <c r="L5362" s="24">
        <f>+Tabla2[[#This Row],[Stock Inventario]]*Tabla2[[#This Row],[Coste LÃ­nea]]</f>
        <v>0</v>
      </c>
      <c r="M5362" s="24">
        <f>+Tabla2[[#This Row],[Variación Stock]]*Tabla2[[#This Row],[Coste LÃ­nea]]</f>
        <v>0</v>
      </c>
      <c r="N5362" s="22" t="str">
        <f>+IF(Tabla2[[#This Row],[Variación Stock]]&gt;0,"Sobrante",IF(Tabla2[[#This Row],[Variación Stock]]&lt;0,"Faltante","Sin novedad"))</f>
        <v>Sin novedad</v>
      </c>
    </row>
    <row r="5363" spans="1:14" x14ac:dyDescent="0.25">
      <c r="A5363" s="11">
        <v>46053</v>
      </c>
      <c r="B5363" s="5" t="s">
        <v>971</v>
      </c>
      <c r="C5363" s="3" t="s">
        <v>284</v>
      </c>
      <c r="D5363" s="5" t="s">
        <v>121</v>
      </c>
      <c r="E5363" s="5" t="s">
        <v>112</v>
      </c>
      <c r="F5363" s="6" t="s">
        <v>332</v>
      </c>
      <c r="G5363" s="4" t="s">
        <v>0</v>
      </c>
      <c r="H5363" s="25">
        <v>3183.4720738300002</v>
      </c>
      <c r="I5363" s="8">
        <v>33</v>
      </c>
      <c r="J5363" s="9">
        <v>34</v>
      </c>
      <c r="K5363" s="7">
        <v>1</v>
      </c>
      <c r="L5363" s="24">
        <f>+Tabla2[[#This Row],[Stock Inventario]]*Tabla2[[#This Row],[Coste LÃ­nea]]</f>
        <v>108238.05051022001</v>
      </c>
      <c r="M5363" s="24">
        <f>+Tabla2[[#This Row],[Variación Stock]]*Tabla2[[#This Row],[Coste LÃ­nea]]</f>
        <v>3183.4720738300002</v>
      </c>
      <c r="N5363" s="22" t="str">
        <f>+IF(Tabla2[[#This Row],[Variación Stock]]&gt;0,"Sobrante",IF(Tabla2[[#This Row],[Variación Stock]]&lt;0,"Faltante","Sin novedad"))</f>
        <v>Sobrante</v>
      </c>
    </row>
    <row r="5364" spans="1:14" x14ac:dyDescent="0.25">
      <c r="A5364" s="11">
        <v>46053</v>
      </c>
      <c r="B5364" s="5" t="s">
        <v>971</v>
      </c>
      <c r="C5364" s="3" t="s">
        <v>284</v>
      </c>
      <c r="D5364" s="5" t="s">
        <v>121</v>
      </c>
      <c r="E5364" s="5" t="s">
        <v>112</v>
      </c>
      <c r="F5364" s="6" t="s">
        <v>333</v>
      </c>
      <c r="G5364" s="4" t="s">
        <v>0</v>
      </c>
      <c r="H5364" s="25">
        <v>3620.8961526200001</v>
      </c>
      <c r="I5364" s="8">
        <v>38</v>
      </c>
      <c r="J5364" s="9">
        <v>39</v>
      </c>
      <c r="K5364" s="7">
        <v>1</v>
      </c>
      <c r="L5364" s="24">
        <f>+Tabla2[[#This Row],[Stock Inventario]]*Tabla2[[#This Row],[Coste LÃ­nea]]</f>
        <v>141214.94995218</v>
      </c>
      <c r="M5364" s="24">
        <f>+Tabla2[[#This Row],[Variación Stock]]*Tabla2[[#This Row],[Coste LÃ­nea]]</f>
        <v>3620.8961526200001</v>
      </c>
      <c r="N5364" s="22" t="str">
        <f>+IF(Tabla2[[#This Row],[Variación Stock]]&gt;0,"Sobrante",IF(Tabla2[[#This Row],[Variación Stock]]&lt;0,"Faltante","Sin novedad"))</f>
        <v>Sobrante</v>
      </c>
    </row>
    <row r="5365" spans="1:14" x14ac:dyDescent="0.25">
      <c r="A5365" s="11">
        <v>46053</v>
      </c>
      <c r="B5365" s="5" t="s">
        <v>971</v>
      </c>
      <c r="C5365" s="3" t="s">
        <v>284</v>
      </c>
      <c r="D5365" s="5" t="s">
        <v>121</v>
      </c>
      <c r="E5365" s="5" t="s">
        <v>112</v>
      </c>
      <c r="F5365" s="6" t="s">
        <v>377</v>
      </c>
      <c r="G5365" s="4" t="s">
        <v>0</v>
      </c>
      <c r="H5365" s="25">
        <v>4963.6632860099999</v>
      </c>
      <c r="I5365" s="8">
        <v>35</v>
      </c>
      <c r="J5365" s="9">
        <v>36</v>
      </c>
      <c r="K5365" s="7">
        <v>1</v>
      </c>
      <c r="L5365" s="24">
        <f>+Tabla2[[#This Row],[Stock Inventario]]*Tabla2[[#This Row],[Coste LÃ­nea]]</f>
        <v>178691.87829636</v>
      </c>
      <c r="M5365" s="24">
        <f>+Tabla2[[#This Row],[Variación Stock]]*Tabla2[[#This Row],[Coste LÃ­nea]]</f>
        <v>4963.6632860099999</v>
      </c>
      <c r="N5365" s="22" t="str">
        <f>+IF(Tabla2[[#This Row],[Variación Stock]]&gt;0,"Sobrante",IF(Tabla2[[#This Row],[Variación Stock]]&lt;0,"Faltante","Sin novedad"))</f>
        <v>Sobrante</v>
      </c>
    </row>
    <row r="5366" spans="1:14" x14ac:dyDescent="0.25">
      <c r="A5366" s="11">
        <v>46053</v>
      </c>
      <c r="B5366" s="5" t="s">
        <v>971</v>
      </c>
      <c r="C5366" s="3" t="s">
        <v>284</v>
      </c>
      <c r="D5366" s="5" t="s">
        <v>121</v>
      </c>
      <c r="E5366" s="5" t="s">
        <v>112</v>
      </c>
      <c r="F5366" s="6" t="s">
        <v>334</v>
      </c>
      <c r="G5366" s="4" t="s">
        <v>0</v>
      </c>
      <c r="H5366" s="25">
        <v>2119.8143934300001</v>
      </c>
      <c r="I5366" s="8">
        <v>66</v>
      </c>
      <c r="J5366" s="9">
        <v>66</v>
      </c>
      <c r="K5366" s="7">
        <v>0</v>
      </c>
      <c r="L5366" s="24">
        <f>+Tabla2[[#This Row],[Stock Inventario]]*Tabla2[[#This Row],[Coste LÃ­nea]]</f>
        <v>139907.74996638001</v>
      </c>
      <c r="M5366" s="24">
        <f>+Tabla2[[#This Row],[Variación Stock]]*Tabla2[[#This Row],[Coste LÃ­nea]]</f>
        <v>0</v>
      </c>
      <c r="N5366" s="22" t="str">
        <f>+IF(Tabla2[[#This Row],[Variación Stock]]&gt;0,"Sobrante",IF(Tabla2[[#This Row],[Variación Stock]]&lt;0,"Faltante","Sin novedad"))</f>
        <v>Sin novedad</v>
      </c>
    </row>
    <row r="5367" spans="1:14" hidden="1" x14ac:dyDescent="0.25">
      <c r="A5367" s="11">
        <v>46053</v>
      </c>
      <c r="B5367" s="5" t="s">
        <v>971</v>
      </c>
      <c r="C5367" s="3" t="s">
        <v>284</v>
      </c>
      <c r="D5367" s="5" t="s">
        <v>323</v>
      </c>
      <c r="E5367" s="5" t="s">
        <v>117</v>
      </c>
      <c r="F5367" s="6" t="s">
        <v>774</v>
      </c>
      <c r="G5367" s="4" t="s">
        <v>1</v>
      </c>
      <c r="H5367" s="25">
        <v>25.837315660000002</v>
      </c>
      <c r="I5367" s="8">
        <v>0</v>
      </c>
      <c r="J5367" s="9">
        <v>0</v>
      </c>
      <c r="K5367" s="7">
        <v>0</v>
      </c>
      <c r="L5367" s="24">
        <f>+Tabla2[[#This Row],[Stock Inventario]]*Tabla2[[#This Row],[Coste LÃ­nea]]</f>
        <v>0</v>
      </c>
      <c r="M5367" s="24">
        <f>+Tabla2[[#This Row],[Variación Stock]]*Tabla2[[#This Row],[Coste LÃ­nea]]</f>
        <v>0</v>
      </c>
      <c r="N5367" s="22" t="str">
        <f>+IF(Tabla2[[#This Row],[Variación Stock]]&gt;0,"Sobrante",IF(Tabla2[[#This Row],[Variación Stock]]&lt;0,"Faltante","Sin novedad"))</f>
        <v>Sin novedad</v>
      </c>
    </row>
    <row r="5368" spans="1:14" hidden="1" x14ac:dyDescent="0.25">
      <c r="A5368" s="11">
        <v>46053</v>
      </c>
      <c r="B5368" s="5" t="s">
        <v>971</v>
      </c>
      <c r="C5368" s="3" t="s">
        <v>284</v>
      </c>
      <c r="D5368" s="5" t="s">
        <v>120</v>
      </c>
      <c r="E5368" s="5" t="s">
        <v>117</v>
      </c>
      <c r="F5368" s="6" t="s">
        <v>768</v>
      </c>
      <c r="G5368" s="4" t="s">
        <v>1</v>
      </c>
      <c r="H5368" s="25">
        <v>13.386050259999999</v>
      </c>
      <c r="I5368" s="8">
        <v>526</v>
      </c>
      <c r="J5368" s="9">
        <v>80</v>
      </c>
      <c r="K5368" s="7">
        <v>-446</v>
      </c>
      <c r="L5368" s="24">
        <f>+Tabla2[[#This Row],[Stock Inventario]]*Tabla2[[#This Row],[Coste LÃ­nea]]</f>
        <v>1070.8840207999999</v>
      </c>
      <c r="M5368" s="24">
        <f>+Tabla2[[#This Row],[Variación Stock]]*Tabla2[[#This Row],[Coste LÃ­nea]]</f>
        <v>-5970.1784159599993</v>
      </c>
      <c r="N5368" s="22" t="str">
        <f>+IF(Tabla2[[#This Row],[Variación Stock]]&gt;0,"Sobrante",IF(Tabla2[[#This Row],[Variación Stock]]&lt;0,"Faltante","Sin novedad"))</f>
        <v>Faltante</v>
      </c>
    </row>
    <row r="5369" spans="1:14" hidden="1" x14ac:dyDescent="0.25">
      <c r="A5369" s="11">
        <v>46053</v>
      </c>
      <c r="B5369" s="5" t="s">
        <v>971</v>
      </c>
      <c r="C5369" s="3" t="s">
        <v>284</v>
      </c>
      <c r="D5369" s="5" t="s">
        <v>120</v>
      </c>
      <c r="E5369" s="5" t="s">
        <v>117</v>
      </c>
      <c r="F5369" s="6" t="s">
        <v>714</v>
      </c>
      <c r="G5369" s="4" t="s">
        <v>1</v>
      </c>
      <c r="H5369" s="25">
        <v>21.21158569</v>
      </c>
      <c r="I5369" s="8">
        <v>9163</v>
      </c>
      <c r="J5369" s="9">
        <v>0</v>
      </c>
      <c r="K5369" s="7">
        <v>-9163</v>
      </c>
      <c r="L5369" s="24">
        <f>+Tabla2[[#This Row],[Stock Inventario]]*Tabla2[[#This Row],[Coste LÃ­nea]]</f>
        <v>0</v>
      </c>
      <c r="M5369" s="24">
        <f>+Tabla2[[#This Row],[Variación Stock]]*Tabla2[[#This Row],[Coste LÃ­nea]]</f>
        <v>-194361.75967746999</v>
      </c>
      <c r="N5369" s="22" t="str">
        <f>+IF(Tabla2[[#This Row],[Variación Stock]]&gt;0,"Sobrante",IF(Tabla2[[#This Row],[Variación Stock]]&lt;0,"Faltante","Sin novedad"))</f>
        <v>Faltante</v>
      </c>
    </row>
    <row r="5370" spans="1:14" hidden="1" x14ac:dyDescent="0.25">
      <c r="A5370" s="11">
        <v>46053</v>
      </c>
      <c r="B5370" s="5" t="s">
        <v>971</v>
      </c>
      <c r="C5370" s="3" t="s">
        <v>284</v>
      </c>
      <c r="D5370" s="5" t="s">
        <v>120</v>
      </c>
      <c r="E5370" s="5" t="s">
        <v>117</v>
      </c>
      <c r="F5370" s="6" t="s">
        <v>715</v>
      </c>
      <c r="G5370" s="4" t="s">
        <v>1</v>
      </c>
      <c r="H5370" s="25">
        <v>55.369784940000002</v>
      </c>
      <c r="I5370" s="8">
        <v>-1416</v>
      </c>
      <c r="J5370" s="9">
        <v>414</v>
      </c>
      <c r="K5370" s="7">
        <v>1830</v>
      </c>
      <c r="L5370" s="24">
        <f>+Tabla2[[#This Row],[Stock Inventario]]*Tabla2[[#This Row],[Coste LÃ­nea]]</f>
        <v>22923.090965160001</v>
      </c>
      <c r="M5370" s="24">
        <f>+Tabla2[[#This Row],[Variación Stock]]*Tabla2[[#This Row],[Coste LÃ­nea]]</f>
        <v>101326.70644020001</v>
      </c>
      <c r="N5370" s="22" t="str">
        <f>+IF(Tabla2[[#This Row],[Variación Stock]]&gt;0,"Sobrante",IF(Tabla2[[#This Row],[Variación Stock]]&lt;0,"Faltante","Sin novedad"))</f>
        <v>Sobrante</v>
      </c>
    </row>
    <row r="5371" spans="1:14" hidden="1" x14ac:dyDescent="0.25">
      <c r="A5371" s="11">
        <v>46053</v>
      </c>
      <c r="B5371" s="5" t="s">
        <v>971</v>
      </c>
      <c r="C5371" s="3" t="s">
        <v>284</v>
      </c>
      <c r="D5371" s="5" t="s">
        <v>323</v>
      </c>
      <c r="E5371" s="5" t="s">
        <v>117</v>
      </c>
      <c r="F5371" s="6" t="s">
        <v>775</v>
      </c>
      <c r="G5371" s="4" t="s">
        <v>1</v>
      </c>
      <c r="H5371" s="25">
        <v>22.263002109999999</v>
      </c>
      <c r="I5371" s="8">
        <v>0</v>
      </c>
      <c r="J5371" s="9">
        <v>0</v>
      </c>
      <c r="K5371" s="7">
        <v>0</v>
      </c>
      <c r="L5371" s="24">
        <f>+Tabla2[[#This Row],[Stock Inventario]]*Tabla2[[#This Row],[Coste LÃ­nea]]</f>
        <v>0</v>
      </c>
      <c r="M5371" s="24">
        <f>+Tabla2[[#This Row],[Variación Stock]]*Tabla2[[#This Row],[Coste LÃ­nea]]</f>
        <v>0</v>
      </c>
      <c r="N5371" s="22" t="str">
        <f>+IF(Tabla2[[#This Row],[Variación Stock]]&gt;0,"Sobrante",IF(Tabla2[[#This Row],[Variación Stock]]&lt;0,"Faltante","Sin novedad"))</f>
        <v>Sin novedad</v>
      </c>
    </row>
    <row r="5372" spans="1:14" hidden="1" x14ac:dyDescent="0.25">
      <c r="A5372" s="11">
        <v>46053</v>
      </c>
      <c r="B5372" s="5" t="s">
        <v>971</v>
      </c>
      <c r="C5372" s="3" t="s">
        <v>284</v>
      </c>
      <c r="D5372" s="5" t="s">
        <v>120</v>
      </c>
      <c r="E5372" s="5" t="s">
        <v>117</v>
      </c>
      <c r="F5372" s="6" t="s">
        <v>716</v>
      </c>
      <c r="G5372" s="4" t="s">
        <v>1</v>
      </c>
      <c r="H5372" s="25">
        <v>17.69502954</v>
      </c>
      <c r="I5372" s="8">
        <v>620</v>
      </c>
      <c r="J5372" s="9">
        <v>0</v>
      </c>
      <c r="K5372" s="7">
        <v>-620</v>
      </c>
      <c r="L5372" s="24">
        <f>+Tabla2[[#This Row],[Stock Inventario]]*Tabla2[[#This Row],[Coste LÃ­nea]]</f>
        <v>0</v>
      </c>
      <c r="M5372" s="24">
        <f>+Tabla2[[#This Row],[Variación Stock]]*Tabla2[[#This Row],[Coste LÃ­nea]]</f>
        <v>-10970.918314799999</v>
      </c>
      <c r="N5372" s="22" t="str">
        <f>+IF(Tabla2[[#This Row],[Variación Stock]]&gt;0,"Sobrante",IF(Tabla2[[#This Row],[Variación Stock]]&lt;0,"Faltante","Sin novedad"))</f>
        <v>Faltante</v>
      </c>
    </row>
    <row r="5373" spans="1:14" hidden="1" x14ac:dyDescent="0.25">
      <c r="A5373" s="11">
        <v>46053</v>
      </c>
      <c r="B5373" s="5" t="s">
        <v>971</v>
      </c>
      <c r="C5373" s="3" t="s">
        <v>284</v>
      </c>
      <c r="D5373" s="5" t="s">
        <v>323</v>
      </c>
      <c r="E5373" s="5" t="s">
        <v>117</v>
      </c>
      <c r="F5373" s="6" t="s">
        <v>350</v>
      </c>
      <c r="G5373" s="4" t="s">
        <v>1</v>
      </c>
      <c r="H5373" s="25">
        <v>36.819758819999997</v>
      </c>
      <c r="I5373" s="8">
        <v>-280</v>
      </c>
      <c r="J5373" s="9">
        <v>0</v>
      </c>
      <c r="K5373" s="7">
        <v>280</v>
      </c>
      <c r="L5373" s="24">
        <f>+Tabla2[[#This Row],[Stock Inventario]]*Tabla2[[#This Row],[Coste LÃ­nea]]</f>
        <v>0</v>
      </c>
      <c r="M5373" s="24">
        <f>+Tabla2[[#This Row],[Variación Stock]]*Tabla2[[#This Row],[Coste LÃ­nea]]</f>
        <v>10309.532469599999</v>
      </c>
      <c r="N5373" s="22" t="str">
        <f>+IF(Tabla2[[#This Row],[Variación Stock]]&gt;0,"Sobrante",IF(Tabla2[[#This Row],[Variación Stock]]&lt;0,"Faltante","Sin novedad"))</f>
        <v>Sobrante</v>
      </c>
    </row>
    <row r="5374" spans="1:14" hidden="1" x14ac:dyDescent="0.25">
      <c r="A5374" s="11">
        <v>46053</v>
      </c>
      <c r="B5374" s="5" t="s">
        <v>971</v>
      </c>
      <c r="C5374" s="3" t="s">
        <v>284</v>
      </c>
      <c r="D5374" s="5" t="s">
        <v>120</v>
      </c>
      <c r="E5374" s="5" t="s">
        <v>117</v>
      </c>
      <c r="F5374" s="6" t="s">
        <v>717</v>
      </c>
      <c r="G5374" s="4" t="s">
        <v>1</v>
      </c>
      <c r="H5374" s="25">
        <v>29.053270170000001</v>
      </c>
      <c r="I5374" s="8">
        <v>-300</v>
      </c>
      <c r="J5374" s="9">
        <v>0</v>
      </c>
      <c r="K5374" s="7">
        <v>300</v>
      </c>
      <c r="L5374" s="24">
        <f>+Tabla2[[#This Row],[Stock Inventario]]*Tabla2[[#This Row],[Coste LÃ­nea]]</f>
        <v>0</v>
      </c>
      <c r="M5374" s="24">
        <f>+Tabla2[[#This Row],[Variación Stock]]*Tabla2[[#This Row],[Coste LÃ­nea]]</f>
        <v>8715.9810510000007</v>
      </c>
      <c r="N5374" s="22" t="str">
        <f>+IF(Tabla2[[#This Row],[Variación Stock]]&gt;0,"Sobrante",IF(Tabla2[[#This Row],[Variación Stock]]&lt;0,"Faltante","Sin novedad"))</f>
        <v>Sobrante</v>
      </c>
    </row>
    <row r="5375" spans="1:14" hidden="1" x14ac:dyDescent="0.25">
      <c r="A5375" s="11">
        <v>46053</v>
      </c>
      <c r="B5375" s="5" t="s">
        <v>971</v>
      </c>
      <c r="C5375" s="3" t="s">
        <v>284</v>
      </c>
      <c r="D5375" s="5" t="s">
        <v>120</v>
      </c>
      <c r="E5375" s="5" t="s">
        <v>117</v>
      </c>
      <c r="F5375" s="6" t="s">
        <v>718</v>
      </c>
      <c r="G5375" s="4" t="s">
        <v>1</v>
      </c>
      <c r="H5375" s="25">
        <v>10.464042109999999</v>
      </c>
      <c r="I5375" s="8">
        <v>4136</v>
      </c>
      <c r="J5375" s="9">
        <v>0</v>
      </c>
      <c r="K5375" s="7">
        <v>-4136</v>
      </c>
      <c r="L5375" s="24">
        <f>+Tabla2[[#This Row],[Stock Inventario]]*Tabla2[[#This Row],[Coste LÃ­nea]]</f>
        <v>0</v>
      </c>
      <c r="M5375" s="24">
        <f>+Tabla2[[#This Row],[Variación Stock]]*Tabla2[[#This Row],[Coste LÃ­nea]]</f>
        <v>-43279.278166960001</v>
      </c>
      <c r="N5375" s="22" t="str">
        <f>+IF(Tabla2[[#This Row],[Variación Stock]]&gt;0,"Sobrante",IF(Tabla2[[#This Row],[Variación Stock]]&lt;0,"Faltante","Sin novedad"))</f>
        <v>Faltante</v>
      </c>
    </row>
    <row r="5376" spans="1:14" hidden="1" x14ac:dyDescent="0.25">
      <c r="A5376" s="11">
        <v>46053</v>
      </c>
      <c r="B5376" s="5" t="s">
        <v>971</v>
      </c>
      <c r="C5376" s="3" t="s">
        <v>284</v>
      </c>
      <c r="D5376" s="5" t="s">
        <v>120</v>
      </c>
      <c r="E5376" s="5" t="s">
        <v>117</v>
      </c>
      <c r="F5376" s="6" t="s">
        <v>719</v>
      </c>
      <c r="G5376" s="4" t="s">
        <v>1</v>
      </c>
      <c r="H5376" s="25">
        <v>50.627536280000001</v>
      </c>
      <c r="I5376" s="8">
        <v>3330</v>
      </c>
      <c r="J5376" s="9">
        <v>1716</v>
      </c>
      <c r="K5376" s="7">
        <v>-1614</v>
      </c>
      <c r="L5376" s="24">
        <f>+Tabla2[[#This Row],[Stock Inventario]]*Tabla2[[#This Row],[Coste LÃ­nea]]</f>
        <v>86876.852256480008</v>
      </c>
      <c r="M5376" s="24">
        <f>+Tabla2[[#This Row],[Variación Stock]]*Tabla2[[#This Row],[Coste LÃ­nea]]</f>
        <v>-81712.843555920001</v>
      </c>
      <c r="N5376" s="22" t="str">
        <f>+IF(Tabla2[[#This Row],[Variación Stock]]&gt;0,"Sobrante",IF(Tabla2[[#This Row],[Variación Stock]]&lt;0,"Faltante","Sin novedad"))</f>
        <v>Faltante</v>
      </c>
    </row>
    <row r="5377" spans="1:14" hidden="1" x14ac:dyDescent="0.25">
      <c r="A5377" s="11">
        <v>46053</v>
      </c>
      <c r="B5377" s="5" t="s">
        <v>971</v>
      </c>
      <c r="C5377" s="3" t="s">
        <v>284</v>
      </c>
      <c r="D5377" s="5" t="s">
        <v>120</v>
      </c>
      <c r="E5377" s="5" t="s">
        <v>117</v>
      </c>
      <c r="F5377" s="6" t="s">
        <v>767</v>
      </c>
      <c r="G5377" s="4" t="s">
        <v>2</v>
      </c>
      <c r="H5377" s="25">
        <v>1965.2784650900001</v>
      </c>
      <c r="I5377" s="8">
        <v>11</v>
      </c>
      <c r="J5377" s="9">
        <v>9</v>
      </c>
      <c r="K5377" s="7">
        <v>-2</v>
      </c>
      <c r="L5377" s="24">
        <f>+Tabla2[[#This Row],[Stock Inventario]]*Tabla2[[#This Row],[Coste LÃ­nea]]</f>
        <v>17687.506185810002</v>
      </c>
      <c r="M5377" s="24">
        <f>+Tabla2[[#This Row],[Variación Stock]]*Tabla2[[#This Row],[Coste LÃ­nea]]</f>
        <v>-3930.5569301800001</v>
      </c>
      <c r="N5377" s="22" t="str">
        <f>+IF(Tabla2[[#This Row],[Variación Stock]]&gt;0,"Sobrante",IF(Tabla2[[#This Row],[Variación Stock]]&lt;0,"Faltante","Sin novedad"))</f>
        <v>Faltante</v>
      </c>
    </row>
    <row r="5378" spans="1:14" hidden="1" x14ac:dyDescent="0.25">
      <c r="A5378" s="11">
        <v>46053</v>
      </c>
      <c r="B5378" s="5" t="s">
        <v>971</v>
      </c>
      <c r="C5378" s="3" t="s">
        <v>284</v>
      </c>
      <c r="D5378" s="5" t="s">
        <v>120</v>
      </c>
      <c r="E5378" s="5" t="s">
        <v>117</v>
      </c>
      <c r="F5378" s="6" t="s">
        <v>720</v>
      </c>
      <c r="G5378" s="4" t="s">
        <v>2</v>
      </c>
      <c r="H5378" s="25">
        <v>547.73333338999998</v>
      </c>
      <c r="I5378" s="8">
        <v>-8</v>
      </c>
      <c r="J5378" s="9">
        <v>0</v>
      </c>
      <c r="K5378" s="7">
        <v>8</v>
      </c>
      <c r="L5378" s="24">
        <f>+Tabla2[[#This Row],[Stock Inventario]]*Tabla2[[#This Row],[Coste LÃ­nea]]</f>
        <v>0</v>
      </c>
      <c r="M5378" s="24">
        <f>+Tabla2[[#This Row],[Variación Stock]]*Tabla2[[#This Row],[Coste LÃ­nea]]</f>
        <v>4381.8666671199999</v>
      </c>
      <c r="N5378" s="22" t="str">
        <f>+IF(Tabla2[[#This Row],[Variación Stock]]&gt;0,"Sobrante",IF(Tabla2[[#This Row],[Variación Stock]]&lt;0,"Faltante","Sin novedad"))</f>
        <v>Sobrante</v>
      </c>
    </row>
    <row r="5379" spans="1:14" hidden="1" x14ac:dyDescent="0.25">
      <c r="A5379" s="11">
        <v>46053</v>
      </c>
      <c r="B5379" s="5" t="s">
        <v>971</v>
      </c>
      <c r="C5379" s="3" t="s">
        <v>284</v>
      </c>
      <c r="D5379" s="5" t="s">
        <v>120</v>
      </c>
      <c r="E5379" s="5" t="s">
        <v>117</v>
      </c>
      <c r="F5379" s="6" t="s">
        <v>721</v>
      </c>
      <c r="G5379" s="4" t="s">
        <v>2</v>
      </c>
      <c r="H5379" s="25">
        <v>750.85294122000005</v>
      </c>
      <c r="I5379" s="8">
        <v>0</v>
      </c>
      <c r="J5379" s="9">
        <v>6</v>
      </c>
      <c r="K5379" s="7">
        <v>6</v>
      </c>
      <c r="L5379" s="24">
        <f>+Tabla2[[#This Row],[Stock Inventario]]*Tabla2[[#This Row],[Coste LÃ­nea]]</f>
        <v>4505.1176473200003</v>
      </c>
      <c r="M5379" s="24">
        <f>+Tabla2[[#This Row],[Variación Stock]]*Tabla2[[#This Row],[Coste LÃ­nea]]</f>
        <v>4505.1176473200003</v>
      </c>
      <c r="N5379" s="22" t="str">
        <f>+IF(Tabla2[[#This Row],[Variación Stock]]&gt;0,"Sobrante",IF(Tabla2[[#This Row],[Variación Stock]]&lt;0,"Faltante","Sin novedad"))</f>
        <v>Sobrante</v>
      </c>
    </row>
    <row r="5380" spans="1:14" x14ac:dyDescent="0.25">
      <c r="A5380" s="11">
        <v>46053</v>
      </c>
      <c r="B5380" s="5" t="s">
        <v>971</v>
      </c>
      <c r="C5380" s="3" t="s">
        <v>284</v>
      </c>
      <c r="D5380" s="5" t="s">
        <v>121</v>
      </c>
      <c r="E5380" s="5" t="s">
        <v>112</v>
      </c>
      <c r="F5380" s="6" t="s">
        <v>802</v>
      </c>
      <c r="G5380" s="4" t="s">
        <v>1</v>
      </c>
      <c r="H5380" s="25">
        <v>21.83529412</v>
      </c>
      <c r="I5380" s="8">
        <v>-160</v>
      </c>
      <c r="J5380" s="9">
        <v>0</v>
      </c>
      <c r="K5380" s="7">
        <v>160</v>
      </c>
      <c r="L5380" s="24">
        <f>+Tabla2[[#This Row],[Stock Inventario]]*Tabla2[[#This Row],[Coste LÃ­nea]]</f>
        <v>0</v>
      </c>
      <c r="M5380" s="24">
        <f>+Tabla2[[#This Row],[Variación Stock]]*Tabla2[[#This Row],[Coste LÃ­nea]]</f>
        <v>3493.6470592000001</v>
      </c>
      <c r="N5380" s="22" t="str">
        <f>+IF(Tabla2[[#This Row],[Variación Stock]]&gt;0,"Sobrante",IF(Tabla2[[#This Row],[Variación Stock]]&lt;0,"Faltante","Sin novedad"))</f>
        <v>Sobrante</v>
      </c>
    </row>
    <row r="5381" spans="1:14" hidden="1" x14ac:dyDescent="0.25">
      <c r="A5381" s="11">
        <v>46053</v>
      </c>
      <c r="B5381" s="5" t="s">
        <v>971</v>
      </c>
      <c r="C5381" s="3" t="s">
        <v>284</v>
      </c>
      <c r="D5381" s="5" t="s">
        <v>323</v>
      </c>
      <c r="E5381" s="5" t="s">
        <v>117</v>
      </c>
      <c r="F5381" s="6" t="s">
        <v>351</v>
      </c>
      <c r="G5381" s="4" t="s">
        <v>2</v>
      </c>
      <c r="H5381" s="25">
        <v>1309.5238095499999</v>
      </c>
      <c r="I5381" s="8">
        <v>8331</v>
      </c>
      <c r="J5381" s="9">
        <v>26</v>
      </c>
      <c r="K5381" s="7">
        <v>-8305</v>
      </c>
      <c r="L5381" s="24">
        <f>+Tabla2[[#This Row],[Stock Inventario]]*Tabla2[[#This Row],[Coste LÃ­nea]]</f>
        <v>34047.619048299995</v>
      </c>
      <c r="M5381" s="24">
        <f>+Tabla2[[#This Row],[Variación Stock]]*Tabla2[[#This Row],[Coste LÃ­nea]]</f>
        <v>-10875595.238312749</v>
      </c>
      <c r="N5381" s="22" t="str">
        <f>+IF(Tabla2[[#This Row],[Variación Stock]]&gt;0,"Sobrante",IF(Tabla2[[#This Row],[Variación Stock]]&lt;0,"Faltante","Sin novedad"))</f>
        <v>Faltante</v>
      </c>
    </row>
    <row r="5382" spans="1:14" hidden="1" x14ac:dyDescent="0.25">
      <c r="A5382" s="11">
        <v>46053</v>
      </c>
      <c r="B5382" s="5" t="s">
        <v>971</v>
      </c>
      <c r="C5382" s="3" t="s">
        <v>284</v>
      </c>
      <c r="D5382" s="5" t="s">
        <v>120</v>
      </c>
      <c r="E5382" s="5" t="s">
        <v>117</v>
      </c>
      <c r="F5382" s="6" t="s">
        <v>722</v>
      </c>
      <c r="G5382" s="4" t="s">
        <v>1</v>
      </c>
      <c r="H5382" s="25">
        <v>6.5112592500000002</v>
      </c>
      <c r="I5382" s="8">
        <v>-20245</v>
      </c>
      <c r="J5382" s="9">
        <v>0</v>
      </c>
      <c r="K5382" s="7">
        <v>20245</v>
      </c>
      <c r="L5382" s="24">
        <f>+Tabla2[[#This Row],[Stock Inventario]]*Tabla2[[#This Row],[Coste LÃ­nea]]</f>
        <v>0</v>
      </c>
      <c r="M5382" s="24">
        <f>+Tabla2[[#This Row],[Variación Stock]]*Tabla2[[#This Row],[Coste LÃ­nea]]</f>
        <v>131820.44351625</v>
      </c>
      <c r="N5382" s="22" t="str">
        <f>+IF(Tabla2[[#This Row],[Variación Stock]]&gt;0,"Sobrante",IF(Tabla2[[#This Row],[Variación Stock]]&lt;0,"Faltante","Sin novedad"))</f>
        <v>Sobrante</v>
      </c>
    </row>
    <row r="5383" spans="1:14" hidden="1" x14ac:dyDescent="0.25">
      <c r="A5383" s="11">
        <v>46053</v>
      </c>
      <c r="B5383" s="5" t="s">
        <v>971</v>
      </c>
      <c r="C5383" s="3" t="s">
        <v>284</v>
      </c>
      <c r="D5383" s="5" t="s">
        <v>120</v>
      </c>
      <c r="E5383" s="5" t="s">
        <v>117</v>
      </c>
      <c r="F5383" s="6" t="s">
        <v>723</v>
      </c>
      <c r="G5383" s="4" t="s">
        <v>1</v>
      </c>
      <c r="H5383" s="25">
        <v>28.93669178</v>
      </c>
      <c r="I5383" s="8">
        <v>10370</v>
      </c>
      <c r="J5383" s="9">
        <v>0</v>
      </c>
      <c r="K5383" s="7">
        <v>-10370</v>
      </c>
      <c r="L5383" s="24">
        <f>+Tabla2[[#This Row],[Stock Inventario]]*Tabla2[[#This Row],[Coste LÃ­nea]]</f>
        <v>0</v>
      </c>
      <c r="M5383" s="24">
        <f>+Tabla2[[#This Row],[Variación Stock]]*Tabla2[[#This Row],[Coste LÃ­nea]]</f>
        <v>-300073.49375860003</v>
      </c>
      <c r="N5383" s="22" t="str">
        <f>+IF(Tabla2[[#This Row],[Variación Stock]]&gt;0,"Sobrante",IF(Tabla2[[#This Row],[Variación Stock]]&lt;0,"Faltante","Sin novedad"))</f>
        <v>Faltante</v>
      </c>
    </row>
    <row r="5384" spans="1:14" hidden="1" x14ac:dyDescent="0.25">
      <c r="A5384" s="11">
        <v>46053</v>
      </c>
      <c r="B5384" s="5" t="s">
        <v>971</v>
      </c>
      <c r="C5384" s="3" t="s">
        <v>284</v>
      </c>
      <c r="D5384" s="5" t="s">
        <v>323</v>
      </c>
      <c r="E5384" s="5" t="s">
        <v>117</v>
      </c>
      <c r="F5384" s="6" t="s">
        <v>326</v>
      </c>
      <c r="G5384" s="4" t="s">
        <v>1</v>
      </c>
      <c r="H5384" s="25">
        <v>23.276470440000001</v>
      </c>
      <c r="I5384" s="8">
        <v>27648.319200000002</v>
      </c>
      <c r="J5384" s="9">
        <v>7250</v>
      </c>
      <c r="K5384" s="7">
        <v>-20398.319200000002</v>
      </c>
      <c r="L5384" s="24">
        <f>+Tabla2[[#This Row],[Stock Inventario]]*Tabla2[[#This Row],[Coste LÃ­nea]]</f>
        <v>168754.41069000002</v>
      </c>
      <c r="M5384" s="24">
        <f>+Tabla2[[#This Row],[Variación Stock]]*Tabla2[[#This Row],[Coste LÃ­nea]]</f>
        <v>-474800.87388448452</v>
      </c>
      <c r="N5384" s="22" t="str">
        <f>+IF(Tabla2[[#This Row],[Variación Stock]]&gt;0,"Sobrante",IF(Tabla2[[#This Row],[Variación Stock]]&lt;0,"Faltante","Sin novedad"))</f>
        <v>Faltante</v>
      </c>
    </row>
    <row r="5385" spans="1:14" hidden="1" x14ac:dyDescent="0.25">
      <c r="A5385" s="11">
        <v>46053</v>
      </c>
      <c r="B5385" s="5" t="s">
        <v>971</v>
      </c>
      <c r="C5385" s="3" t="s">
        <v>284</v>
      </c>
      <c r="D5385" s="5" t="s">
        <v>323</v>
      </c>
      <c r="E5385" s="5" t="s">
        <v>117</v>
      </c>
      <c r="F5385" s="6" t="s">
        <v>327</v>
      </c>
      <c r="G5385" s="4" t="s">
        <v>1</v>
      </c>
      <c r="H5385" s="25">
        <v>56.626137929999999</v>
      </c>
      <c r="I5385" s="8">
        <v>5535</v>
      </c>
      <c r="J5385" s="9">
        <v>0</v>
      </c>
      <c r="K5385" s="7">
        <v>-5535</v>
      </c>
      <c r="L5385" s="24">
        <f>+Tabla2[[#This Row],[Stock Inventario]]*Tabla2[[#This Row],[Coste LÃ­nea]]</f>
        <v>0</v>
      </c>
      <c r="M5385" s="24">
        <f>+Tabla2[[#This Row],[Variación Stock]]*Tabla2[[#This Row],[Coste LÃ­nea]]</f>
        <v>-313425.67344255</v>
      </c>
      <c r="N5385" s="22" t="str">
        <f>+IF(Tabla2[[#This Row],[Variación Stock]]&gt;0,"Sobrante",IF(Tabla2[[#This Row],[Variación Stock]]&lt;0,"Faltante","Sin novedad"))</f>
        <v>Faltante</v>
      </c>
    </row>
    <row r="5386" spans="1:14" hidden="1" x14ac:dyDescent="0.25">
      <c r="A5386" s="11">
        <v>46053</v>
      </c>
      <c r="B5386" s="5" t="s">
        <v>971</v>
      </c>
      <c r="C5386" s="3" t="s">
        <v>284</v>
      </c>
      <c r="D5386" s="5" t="s">
        <v>120</v>
      </c>
      <c r="E5386" s="5" t="s">
        <v>117</v>
      </c>
      <c r="F5386" s="6" t="s">
        <v>724</v>
      </c>
      <c r="G5386" s="4" t="s">
        <v>1</v>
      </c>
      <c r="H5386" s="25">
        <v>19.172740739999998</v>
      </c>
      <c r="I5386" s="8">
        <v>6293</v>
      </c>
      <c r="J5386" s="9">
        <v>1004</v>
      </c>
      <c r="K5386" s="7">
        <v>-5289</v>
      </c>
      <c r="L5386" s="24">
        <f>+Tabla2[[#This Row],[Stock Inventario]]*Tabla2[[#This Row],[Coste LÃ­nea]]</f>
        <v>19249.431702959999</v>
      </c>
      <c r="M5386" s="24">
        <f>+Tabla2[[#This Row],[Variación Stock]]*Tabla2[[#This Row],[Coste LÃ­nea]]</f>
        <v>-101404.62577386</v>
      </c>
      <c r="N5386" s="22" t="str">
        <f>+IF(Tabla2[[#This Row],[Variación Stock]]&gt;0,"Sobrante",IF(Tabla2[[#This Row],[Variación Stock]]&lt;0,"Faltante","Sin novedad"))</f>
        <v>Faltante</v>
      </c>
    </row>
    <row r="5387" spans="1:14" hidden="1" x14ac:dyDescent="0.25">
      <c r="A5387" s="11">
        <v>46053</v>
      </c>
      <c r="B5387" s="5" t="s">
        <v>971</v>
      </c>
      <c r="C5387" s="3" t="s">
        <v>284</v>
      </c>
      <c r="D5387" s="5" t="s">
        <v>120</v>
      </c>
      <c r="E5387" s="5" t="s">
        <v>117</v>
      </c>
      <c r="F5387" s="6" t="s">
        <v>725</v>
      </c>
      <c r="G5387" s="4" t="s">
        <v>1</v>
      </c>
      <c r="H5387" s="25">
        <v>9.5113465999999995</v>
      </c>
      <c r="I5387" s="8">
        <v>-1534</v>
      </c>
      <c r="J5387" s="9">
        <v>230</v>
      </c>
      <c r="K5387" s="7">
        <v>1764</v>
      </c>
      <c r="L5387" s="24">
        <f>+Tabla2[[#This Row],[Stock Inventario]]*Tabla2[[#This Row],[Coste LÃ­nea]]</f>
        <v>2187.6097179999997</v>
      </c>
      <c r="M5387" s="24">
        <f>+Tabla2[[#This Row],[Variación Stock]]*Tabla2[[#This Row],[Coste LÃ­nea]]</f>
        <v>16778.0154024</v>
      </c>
      <c r="N5387" s="22" t="str">
        <f>+IF(Tabla2[[#This Row],[Variación Stock]]&gt;0,"Sobrante",IF(Tabla2[[#This Row],[Variación Stock]]&lt;0,"Faltante","Sin novedad"))</f>
        <v>Sobrante</v>
      </c>
    </row>
    <row r="5388" spans="1:14" hidden="1" x14ac:dyDescent="0.25">
      <c r="A5388" s="11">
        <v>46053</v>
      </c>
      <c r="B5388" s="5" t="s">
        <v>971</v>
      </c>
      <c r="C5388" s="3" t="s">
        <v>284</v>
      </c>
      <c r="D5388" s="5" t="s">
        <v>323</v>
      </c>
      <c r="E5388" s="5" t="s">
        <v>117</v>
      </c>
      <c r="F5388" s="6" t="s">
        <v>776</v>
      </c>
      <c r="G5388" s="4" t="s">
        <v>1</v>
      </c>
      <c r="H5388" s="25">
        <v>4.2</v>
      </c>
      <c r="I5388" s="8">
        <v>3600</v>
      </c>
      <c r="J5388" s="9">
        <v>0</v>
      </c>
      <c r="K5388" s="7">
        <v>-3600</v>
      </c>
      <c r="L5388" s="24">
        <f>+Tabla2[[#This Row],[Stock Inventario]]*Tabla2[[#This Row],[Coste LÃ­nea]]</f>
        <v>0</v>
      </c>
      <c r="M5388" s="24">
        <f>+Tabla2[[#This Row],[Variación Stock]]*Tabla2[[#This Row],[Coste LÃ­nea]]</f>
        <v>-15120</v>
      </c>
      <c r="N5388" s="22" t="str">
        <f>+IF(Tabla2[[#This Row],[Variación Stock]]&gt;0,"Sobrante",IF(Tabla2[[#This Row],[Variación Stock]]&lt;0,"Faltante","Sin novedad"))</f>
        <v>Faltante</v>
      </c>
    </row>
    <row r="5389" spans="1:14" hidden="1" x14ac:dyDescent="0.25">
      <c r="A5389" s="11">
        <v>46053</v>
      </c>
      <c r="B5389" s="5" t="s">
        <v>971</v>
      </c>
      <c r="C5389" s="3" t="s">
        <v>284</v>
      </c>
      <c r="D5389" s="5" t="s">
        <v>120</v>
      </c>
      <c r="E5389" s="5" t="s">
        <v>117</v>
      </c>
      <c r="F5389" s="6" t="s">
        <v>726</v>
      </c>
      <c r="G5389" s="4" t="s">
        <v>1</v>
      </c>
      <c r="H5389" s="25">
        <v>15.3146948</v>
      </c>
      <c r="I5389" s="8">
        <v>0</v>
      </c>
      <c r="J5389" s="9">
        <v>0</v>
      </c>
      <c r="K5389" s="7">
        <v>0</v>
      </c>
      <c r="L5389" s="24">
        <f>+Tabla2[[#This Row],[Stock Inventario]]*Tabla2[[#This Row],[Coste LÃ­nea]]</f>
        <v>0</v>
      </c>
      <c r="M5389" s="24">
        <f>+Tabla2[[#This Row],[Variación Stock]]*Tabla2[[#This Row],[Coste LÃ­nea]]</f>
        <v>0</v>
      </c>
      <c r="N5389" s="22" t="str">
        <f>+IF(Tabla2[[#This Row],[Variación Stock]]&gt;0,"Sobrante",IF(Tabla2[[#This Row],[Variación Stock]]&lt;0,"Faltante","Sin novedad"))</f>
        <v>Sin novedad</v>
      </c>
    </row>
    <row r="5390" spans="1:14" hidden="1" x14ac:dyDescent="0.25">
      <c r="A5390" s="11">
        <v>46053</v>
      </c>
      <c r="B5390" s="5" t="s">
        <v>971</v>
      </c>
      <c r="C5390" s="3" t="s">
        <v>284</v>
      </c>
      <c r="D5390" s="5" t="s">
        <v>120</v>
      </c>
      <c r="E5390" s="5" t="s">
        <v>117</v>
      </c>
      <c r="F5390" s="6" t="s">
        <v>727</v>
      </c>
      <c r="G5390" s="4" t="s">
        <v>1</v>
      </c>
      <c r="H5390" s="25">
        <v>15</v>
      </c>
      <c r="I5390" s="8">
        <v>-990</v>
      </c>
      <c r="J5390" s="9">
        <v>1450</v>
      </c>
      <c r="K5390" s="7">
        <v>2440</v>
      </c>
      <c r="L5390" s="24">
        <f>+Tabla2[[#This Row],[Stock Inventario]]*Tabla2[[#This Row],[Coste LÃ­nea]]</f>
        <v>21750</v>
      </c>
      <c r="M5390" s="24">
        <f>+Tabla2[[#This Row],[Variación Stock]]*Tabla2[[#This Row],[Coste LÃ­nea]]</f>
        <v>36600</v>
      </c>
      <c r="N5390" s="22" t="str">
        <f>+IF(Tabla2[[#This Row],[Variación Stock]]&gt;0,"Sobrante",IF(Tabla2[[#This Row],[Variación Stock]]&lt;0,"Faltante","Sin novedad"))</f>
        <v>Sobrante</v>
      </c>
    </row>
    <row r="5391" spans="1:14" hidden="1" x14ac:dyDescent="0.25">
      <c r="A5391" s="11">
        <v>46053</v>
      </c>
      <c r="B5391" s="5" t="s">
        <v>971</v>
      </c>
      <c r="C5391" s="3" t="s">
        <v>284</v>
      </c>
      <c r="D5391" s="5" t="s">
        <v>120</v>
      </c>
      <c r="E5391" s="5" t="s">
        <v>117</v>
      </c>
      <c r="F5391" s="6" t="s">
        <v>728</v>
      </c>
      <c r="G5391" s="4" t="s">
        <v>1</v>
      </c>
      <c r="H5391" s="25">
        <v>60.755781599999999</v>
      </c>
      <c r="I5391" s="8">
        <v>3000</v>
      </c>
      <c r="J5391" s="9">
        <v>2300</v>
      </c>
      <c r="K5391" s="7">
        <v>-700</v>
      </c>
      <c r="L5391" s="24">
        <f>+Tabla2[[#This Row],[Stock Inventario]]*Tabla2[[#This Row],[Coste LÃ­nea]]</f>
        <v>139738.29767999999</v>
      </c>
      <c r="M5391" s="24">
        <f>+Tabla2[[#This Row],[Variación Stock]]*Tabla2[[#This Row],[Coste LÃ­nea]]</f>
        <v>-42529.047119999996</v>
      </c>
      <c r="N5391" s="22" t="str">
        <f>+IF(Tabla2[[#This Row],[Variación Stock]]&gt;0,"Sobrante",IF(Tabla2[[#This Row],[Variación Stock]]&lt;0,"Faltante","Sin novedad"))</f>
        <v>Faltante</v>
      </c>
    </row>
    <row r="5392" spans="1:14" x14ac:dyDescent="0.25">
      <c r="A5392" s="11">
        <v>46053</v>
      </c>
      <c r="B5392" s="5" t="s">
        <v>971</v>
      </c>
      <c r="C5392" s="3" t="s">
        <v>284</v>
      </c>
      <c r="D5392" s="5" t="s">
        <v>121</v>
      </c>
      <c r="E5392" s="5" t="s">
        <v>112</v>
      </c>
      <c r="F5392" s="6" t="s">
        <v>793</v>
      </c>
      <c r="G5392" s="4" t="s">
        <v>1</v>
      </c>
      <c r="H5392" s="25">
        <v>54.742867339999997</v>
      </c>
      <c r="I5392" s="8">
        <v>206</v>
      </c>
      <c r="J5392" s="9">
        <v>0</v>
      </c>
      <c r="K5392" s="7">
        <v>-206</v>
      </c>
      <c r="L5392" s="24">
        <f>+Tabla2[[#This Row],[Stock Inventario]]*Tabla2[[#This Row],[Coste LÃ­nea]]</f>
        <v>0</v>
      </c>
      <c r="M5392" s="24">
        <f>+Tabla2[[#This Row],[Variación Stock]]*Tabla2[[#This Row],[Coste LÃ­nea]]</f>
        <v>-11277.030672039999</v>
      </c>
      <c r="N5392" s="22" t="str">
        <f>+IF(Tabla2[[#This Row],[Variación Stock]]&gt;0,"Sobrante",IF(Tabla2[[#This Row],[Variación Stock]]&lt;0,"Faltante","Sin novedad"))</f>
        <v>Faltante</v>
      </c>
    </row>
    <row r="5393" spans="1:14" hidden="1" x14ac:dyDescent="0.25">
      <c r="A5393" s="11">
        <v>46053</v>
      </c>
      <c r="B5393" s="5" t="s">
        <v>971</v>
      </c>
      <c r="C5393" s="3" t="s">
        <v>284</v>
      </c>
      <c r="D5393" s="5" t="s">
        <v>323</v>
      </c>
      <c r="E5393" s="5" t="s">
        <v>117</v>
      </c>
      <c r="F5393" s="6" t="s">
        <v>781</v>
      </c>
      <c r="G5393" s="4" t="s">
        <v>2</v>
      </c>
      <c r="H5393" s="25">
        <v>6070.3696800199996</v>
      </c>
      <c r="I5393" s="8">
        <v>0</v>
      </c>
      <c r="J5393" s="9">
        <v>0</v>
      </c>
      <c r="K5393" s="7">
        <v>0</v>
      </c>
      <c r="L5393" s="24">
        <f>+Tabla2[[#This Row],[Stock Inventario]]*Tabla2[[#This Row],[Coste LÃ­nea]]</f>
        <v>0</v>
      </c>
      <c r="M5393" s="24">
        <f>+Tabla2[[#This Row],[Variación Stock]]*Tabla2[[#This Row],[Coste LÃ­nea]]</f>
        <v>0</v>
      </c>
      <c r="N5393" s="22" t="str">
        <f>+IF(Tabla2[[#This Row],[Variación Stock]]&gt;0,"Sobrante",IF(Tabla2[[#This Row],[Variación Stock]]&lt;0,"Faltante","Sin novedad"))</f>
        <v>Sin novedad</v>
      </c>
    </row>
    <row r="5394" spans="1:14" hidden="1" x14ac:dyDescent="0.25">
      <c r="A5394" s="11">
        <v>46053</v>
      </c>
      <c r="B5394" s="5" t="s">
        <v>971</v>
      </c>
      <c r="C5394" s="3" t="s">
        <v>284</v>
      </c>
      <c r="D5394" s="5" t="s">
        <v>120</v>
      </c>
      <c r="E5394" s="5" t="s">
        <v>117</v>
      </c>
      <c r="F5394" s="6" t="s">
        <v>729</v>
      </c>
      <c r="G5394" s="4" t="s">
        <v>1</v>
      </c>
      <c r="H5394" s="25">
        <v>21.61672257</v>
      </c>
      <c r="I5394" s="8">
        <v>1158</v>
      </c>
      <c r="J5394" s="9">
        <v>2332</v>
      </c>
      <c r="K5394" s="7">
        <v>1174</v>
      </c>
      <c r="L5394" s="24">
        <f>+Tabla2[[#This Row],[Stock Inventario]]*Tabla2[[#This Row],[Coste LÃ­nea]]</f>
        <v>50410.197033240001</v>
      </c>
      <c r="M5394" s="24">
        <f>+Tabla2[[#This Row],[Variación Stock]]*Tabla2[[#This Row],[Coste LÃ­nea]]</f>
        <v>25378.032297180001</v>
      </c>
      <c r="N5394" s="22" t="str">
        <f>+IF(Tabla2[[#This Row],[Variación Stock]]&gt;0,"Sobrante",IF(Tabla2[[#This Row],[Variación Stock]]&lt;0,"Faltante","Sin novedad"))</f>
        <v>Sobrante</v>
      </c>
    </row>
    <row r="5395" spans="1:14" x14ac:dyDescent="0.25">
      <c r="A5395" s="11">
        <v>46053</v>
      </c>
      <c r="B5395" s="5" t="s">
        <v>971</v>
      </c>
      <c r="C5395" s="3" t="s">
        <v>284</v>
      </c>
      <c r="D5395" s="5" t="s">
        <v>121</v>
      </c>
      <c r="E5395" s="5" t="s">
        <v>112</v>
      </c>
      <c r="F5395" s="6" t="s">
        <v>357</v>
      </c>
      <c r="G5395" s="4" t="s">
        <v>1</v>
      </c>
      <c r="H5395" s="25">
        <v>85.424136300000001</v>
      </c>
      <c r="I5395" s="8">
        <v>834</v>
      </c>
      <c r="J5395" s="9">
        <v>238</v>
      </c>
      <c r="K5395" s="7">
        <v>-596</v>
      </c>
      <c r="L5395" s="24">
        <f>+Tabla2[[#This Row],[Stock Inventario]]*Tabla2[[#This Row],[Coste LÃ­nea]]</f>
        <v>20330.944439399998</v>
      </c>
      <c r="M5395" s="24">
        <f>+Tabla2[[#This Row],[Variación Stock]]*Tabla2[[#This Row],[Coste LÃ­nea]]</f>
        <v>-50912.785234800001</v>
      </c>
      <c r="N5395" s="22" t="str">
        <f>+IF(Tabla2[[#This Row],[Variación Stock]]&gt;0,"Sobrante",IF(Tabla2[[#This Row],[Variación Stock]]&lt;0,"Faltante","Sin novedad"))</f>
        <v>Faltante</v>
      </c>
    </row>
    <row r="5396" spans="1:14" hidden="1" x14ac:dyDescent="0.25">
      <c r="A5396" s="11">
        <v>46053</v>
      </c>
      <c r="B5396" s="5" t="s">
        <v>971</v>
      </c>
      <c r="C5396" s="3" t="s">
        <v>284</v>
      </c>
      <c r="D5396" s="5" t="s">
        <v>120</v>
      </c>
      <c r="E5396" s="5" t="s">
        <v>117</v>
      </c>
      <c r="F5396" s="6" t="s">
        <v>730</v>
      </c>
      <c r="G5396" s="4" t="s">
        <v>1</v>
      </c>
      <c r="H5396" s="25">
        <v>50.394806379999999</v>
      </c>
      <c r="I5396" s="8">
        <v>0</v>
      </c>
      <c r="J5396" s="9">
        <v>0</v>
      </c>
      <c r="K5396" s="7">
        <v>0</v>
      </c>
      <c r="L5396" s="24">
        <f>+Tabla2[[#This Row],[Stock Inventario]]*Tabla2[[#This Row],[Coste LÃ­nea]]</f>
        <v>0</v>
      </c>
      <c r="M5396" s="24">
        <f>+Tabla2[[#This Row],[Variación Stock]]*Tabla2[[#This Row],[Coste LÃ­nea]]</f>
        <v>0</v>
      </c>
      <c r="N5396" s="22" t="str">
        <f>+IF(Tabla2[[#This Row],[Variación Stock]]&gt;0,"Sobrante",IF(Tabla2[[#This Row],[Variación Stock]]&lt;0,"Faltante","Sin novedad"))</f>
        <v>Sin novedad</v>
      </c>
    </row>
    <row r="5397" spans="1:14" hidden="1" x14ac:dyDescent="0.25">
      <c r="A5397" s="11">
        <v>46053</v>
      </c>
      <c r="B5397" s="5" t="s">
        <v>971</v>
      </c>
      <c r="C5397" s="3" t="s">
        <v>284</v>
      </c>
      <c r="D5397" s="5" t="s">
        <v>120</v>
      </c>
      <c r="E5397" s="5" t="s">
        <v>117</v>
      </c>
      <c r="F5397" s="6" t="s">
        <v>318</v>
      </c>
      <c r="G5397" s="4" t="s">
        <v>2</v>
      </c>
      <c r="H5397" s="25">
        <v>5928.1262500000003</v>
      </c>
      <c r="I5397" s="8">
        <v>4</v>
      </c>
      <c r="J5397" s="9">
        <v>7.5</v>
      </c>
      <c r="K5397" s="7">
        <v>3.5</v>
      </c>
      <c r="L5397" s="24">
        <f>+Tabla2[[#This Row],[Stock Inventario]]*Tabla2[[#This Row],[Coste LÃ­nea]]</f>
        <v>44460.946875000001</v>
      </c>
      <c r="M5397" s="24">
        <f>+Tabla2[[#This Row],[Variación Stock]]*Tabla2[[#This Row],[Coste LÃ­nea]]</f>
        <v>20748.441875</v>
      </c>
      <c r="N5397" s="22" t="str">
        <f>+IF(Tabla2[[#This Row],[Variación Stock]]&gt;0,"Sobrante",IF(Tabla2[[#This Row],[Variación Stock]]&lt;0,"Faltante","Sin novedad"))</f>
        <v>Sobrante</v>
      </c>
    </row>
    <row r="5398" spans="1:14" hidden="1" x14ac:dyDescent="0.25">
      <c r="A5398" s="11">
        <v>46053</v>
      </c>
      <c r="B5398" s="5" t="s">
        <v>971</v>
      </c>
      <c r="C5398" s="3" t="s">
        <v>284</v>
      </c>
      <c r="D5398" s="5" t="s">
        <v>120</v>
      </c>
      <c r="E5398" s="5" t="s">
        <v>117</v>
      </c>
      <c r="F5398" s="6" t="s">
        <v>319</v>
      </c>
      <c r="G5398" s="4" t="s">
        <v>2</v>
      </c>
      <c r="H5398" s="25">
        <v>3455.3301711399999</v>
      </c>
      <c r="I5398" s="8">
        <v>19</v>
      </c>
      <c r="J5398" s="9">
        <v>10</v>
      </c>
      <c r="K5398" s="7">
        <v>-9</v>
      </c>
      <c r="L5398" s="24">
        <f>+Tabla2[[#This Row],[Stock Inventario]]*Tabla2[[#This Row],[Coste LÃ­nea]]</f>
        <v>34553.301711399996</v>
      </c>
      <c r="M5398" s="24">
        <f>+Tabla2[[#This Row],[Variación Stock]]*Tabla2[[#This Row],[Coste LÃ­nea]]</f>
        <v>-31097.971540259998</v>
      </c>
      <c r="N5398" s="22" t="str">
        <f>+IF(Tabla2[[#This Row],[Variación Stock]]&gt;0,"Sobrante",IF(Tabla2[[#This Row],[Variación Stock]]&lt;0,"Faltante","Sin novedad"))</f>
        <v>Faltante</v>
      </c>
    </row>
    <row r="5399" spans="1:14" hidden="1" x14ac:dyDescent="0.25">
      <c r="A5399" s="11">
        <v>46053</v>
      </c>
      <c r="B5399" s="5" t="s">
        <v>971</v>
      </c>
      <c r="C5399" s="3" t="s">
        <v>284</v>
      </c>
      <c r="D5399" s="5" t="s">
        <v>120</v>
      </c>
      <c r="E5399" s="5" t="s">
        <v>117</v>
      </c>
      <c r="F5399" s="6" t="s">
        <v>731</v>
      </c>
      <c r="G5399" s="4" t="s">
        <v>1</v>
      </c>
      <c r="H5399" s="25">
        <v>9.5823249399999995</v>
      </c>
      <c r="I5399" s="8">
        <v>0</v>
      </c>
      <c r="J5399" s="9">
        <v>0</v>
      </c>
      <c r="K5399" s="7">
        <v>0</v>
      </c>
      <c r="L5399" s="24">
        <f>+Tabla2[[#This Row],[Stock Inventario]]*Tabla2[[#This Row],[Coste LÃ­nea]]</f>
        <v>0</v>
      </c>
      <c r="M5399" s="24">
        <f>+Tabla2[[#This Row],[Variación Stock]]*Tabla2[[#This Row],[Coste LÃ­nea]]</f>
        <v>0</v>
      </c>
      <c r="N5399" s="22" t="str">
        <f>+IF(Tabla2[[#This Row],[Variación Stock]]&gt;0,"Sobrante",IF(Tabla2[[#This Row],[Variación Stock]]&lt;0,"Faltante","Sin novedad"))</f>
        <v>Sin novedad</v>
      </c>
    </row>
    <row r="5400" spans="1:14" hidden="1" x14ac:dyDescent="0.25">
      <c r="A5400" s="11">
        <v>46053</v>
      </c>
      <c r="B5400" s="5" t="s">
        <v>971</v>
      </c>
      <c r="C5400" s="3" t="s">
        <v>284</v>
      </c>
      <c r="D5400" s="5" t="s">
        <v>120</v>
      </c>
      <c r="E5400" s="5" t="s">
        <v>117</v>
      </c>
      <c r="F5400" s="6" t="s">
        <v>732</v>
      </c>
      <c r="G5400" s="4" t="s">
        <v>1</v>
      </c>
      <c r="H5400" s="25">
        <v>18.616711599999999</v>
      </c>
      <c r="I5400" s="8">
        <v>-1800</v>
      </c>
      <c r="J5400" s="9">
        <v>0</v>
      </c>
      <c r="K5400" s="7">
        <v>1800</v>
      </c>
      <c r="L5400" s="24">
        <f>+Tabla2[[#This Row],[Stock Inventario]]*Tabla2[[#This Row],[Coste LÃ­nea]]</f>
        <v>0</v>
      </c>
      <c r="M5400" s="24">
        <f>+Tabla2[[#This Row],[Variación Stock]]*Tabla2[[#This Row],[Coste LÃ­nea]]</f>
        <v>33510.080879999994</v>
      </c>
      <c r="N5400" s="22" t="str">
        <f>+IF(Tabla2[[#This Row],[Variación Stock]]&gt;0,"Sobrante",IF(Tabla2[[#This Row],[Variación Stock]]&lt;0,"Faltante","Sin novedad"))</f>
        <v>Sobrante</v>
      </c>
    </row>
    <row r="5401" spans="1:14" hidden="1" x14ac:dyDescent="0.25">
      <c r="A5401" s="11">
        <v>46053</v>
      </c>
      <c r="B5401" s="5" t="s">
        <v>971</v>
      </c>
      <c r="C5401" s="3" t="s">
        <v>284</v>
      </c>
      <c r="D5401" s="5" t="s">
        <v>323</v>
      </c>
      <c r="E5401" s="5" t="s">
        <v>117</v>
      </c>
      <c r="F5401" s="6" t="s">
        <v>328</v>
      </c>
      <c r="G5401" s="4" t="s">
        <v>2</v>
      </c>
      <c r="H5401" s="25">
        <v>20261.49076923</v>
      </c>
      <c r="I5401" s="8">
        <v>28.12</v>
      </c>
      <c r="J5401" s="9">
        <v>33</v>
      </c>
      <c r="K5401" s="7">
        <v>4.88</v>
      </c>
      <c r="L5401" s="24">
        <f>+Tabla2[[#This Row],[Stock Inventario]]*Tabla2[[#This Row],[Coste LÃ­nea]]</f>
        <v>668629.19538458996</v>
      </c>
      <c r="M5401" s="24">
        <f>+Tabla2[[#This Row],[Variación Stock]]*Tabla2[[#This Row],[Coste LÃ­nea]]</f>
        <v>98876.074953842399</v>
      </c>
      <c r="N5401" s="22" t="str">
        <f>+IF(Tabla2[[#This Row],[Variación Stock]]&gt;0,"Sobrante",IF(Tabla2[[#This Row],[Variación Stock]]&lt;0,"Faltante","Sin novedad"))</f>
        <v>Sobrante</v>
      </c>
    </row>
    <row r="5402" spans="1:14" hidden="1" x14ac:dyDescent="0.25">
      <c r="A5402" s="11">
        <v>46053</v>
      </c>
      <c r="B5402" s="5" t="s">
        <v>971</v>
      </c>
      <c r="C5402" s="3" t="s">
        <v>284</v>
      </c>
      <c r="D5402" s="5" t="s">
        <v>323</v>
      </c>
      <c r="E5402" s="5" t="s">
        <v>117</v>
      </c>
      <c r="F5402" s="6" t="s">
        <v>329</v>
      </c>
      <c r="G5402" s="4" t="s">
        <v>2</v>
      </c>
      <c r="H5402" s="25">
        <v>7153.7631219499999</v>
      </c>
      <c r="I5402" s="8">
        <v>17</v>
      </c>
      <c r="J5402" s="9">
        <v>23</v>
      </c>
      <c r="K5402" s="7">
        <v>6</v>
      </c>
      <c r="L5402" s="24">
        <f>+Tabla2[[#This Row],[Stock Inventario]]*Tabla2[[#This Row],[Coste LÃ­nea]]</f>
        <v>164536.55180484999</v>
      </c>
      <c r="M5402" s="24">
        <f>+Tabla2[[#This Row],[Variación Stock]]*Tabla2[[#This Row],[Coste LÃ­nea]]</f>
        <v>42922.578731699999</v>
      </c>
      <c r="N5402" s="22" t="str">
        <f>+IF(Tabla2[[#This Row],[Variación Stock]]&gt;0,"Sobrante",IF(Tabla2[[#This Row],[Variación Stock]]&lt;0,"Faltante","Sin novedad"))</f>
        <v>Sobrante</v>
      </c>
    </row>
    <row r="5403" spans="1:14" hidden="1" x14ac:dyDescent="0.25">
      <c r="A5403" s="11">
        <v>46053</v>
      </c>
      <c r="B5403" s="5" t="s">
        <v>971</v>
      </c>
      <c r="C5403" s="3" t="s">
        <v>284</v>
      </c>
      <c r="D5403" s="5" t="s">
        <v>120</v>
      </c>
      <c r="E5403" s="5" t="s">
        <v>117</v>
      </c>
      <c r="F5403" s="6" t="s">
        <v>733</v>
      </c>
      <c r="G5403" s="4" t="s">
        <v>1</v>
      </c>
      <c r="H5403" s="25">
        <v>43.594779029999998</v>
      </c>
      <c r="I5403" s="8">
        <v>-60</v>
      </c>
      <c r="J5403" s="9">
        <v>0</v>
      </c>
      <c r="K5403" s="7">
        <v>60</v>
      </c>
      <c r="L5403" s="24">
        <f>+Tabla2[[#This Row],[Stock Inventario]]*Tabla2[[#This Row],[Coste LÃ­nea]]</f>
        <v>0</v>
      </c>
      <c r="M5403" s="24">
        <f>+Tabla2[[#This Row],[Variación Stock]]*Tabla2[[#This Row],[Coste LÃ­nea]]</f>
        <v>2615.6867417999997</v>
      </c>
      <c r="N5403" s="22" t="str">
        <f>+IF(Tabla2[[#This Row],[Variación Stock]]&gt;0,"Sobrante",IF(Tabla2[[#This Row],[Variación Stock]]&lt;0,"Faltante","Sin novedad"))</f>
        <v>Sobrante</v>
      </c>
    </row>
    <row r="5404" spans="1:14" hidden="1" x14ac:dyDescent="0.25">
      <c r="A5404" s="11">
        <v>46053</v>
      </c>
      <c r="B5404" s="5" t="s">
        <v>971</v>
      </c>
      <c r="C5404" s="3" t="s">
        <v>284</v>
      </c>
      <c r="D5404" s="5" t="s">
        <v>120</v>
      </c>
      <c r="E5404" s="5" t="s">
        <v>117</v>
      </c>
      <c r="F5404" s="6" t="s">
        <v>734</v>
      </c>
      <c r="G5404" s="4" t="s">
        <v>1</v>
      </c>
      <c r="H5404" s="25">
        <v>16.654198109999999</v>
      </c>
      <c r="I5404" s="8">
        <v>0</v>
      </c>
      <c r="J5404" s="9">
        <v>0</v>
      </c>
      <c r="K5404" s="7">
        <v>0</v>
      </c>
      <c r="L5404" s="24">
        <f>+Tabla2[[#This Row],[Stock Inventario]]*Tabla2[[#This Row],[Coste LÃ­nea]]</f>
        <v>0</v>
      </c>
      <c r="M5404" s="24">
        <f>+Tabla2[[#This Row],[Variación Stock]]*Tabla2[[#This Row],[Coste LÃ­nea]]</f>
        <v>0</v>
      </c>
      <c r="N5404" s="22" t="str">
        <f>+IF(Tabla2[[#This Row],[Variación Stock]]&gt;0,"Sobrante",IF(Tabla2[[#This Row],[Variación Stock]]&lt;0,"Faltante","Sin novedad"))</f>
        <v>Sin novedad</v>
      </c>
    </row>
    <row r="5405" spans="1:14" hidden="1" x14ac:dyDescent="0.25">
      <c r="A5405" s="11">
        <v>46053</v>
      </c>
      <c r="B5405" s="5" t="s">
        <v>971</v>
      </c>
      <c r="C5405" s="3" t="s">
        <v>284</v>
      </c>
      <c r="D5405" s="5" t="s">
        <v>120</v>
      </c>
      <c r="E5405" s="5" t="s">
        <v>117</v>
      </c>
      <c r="F5405" s="6" t="s">
        <v>735</v>
      </c>
      <c r="G5405" s="4" t="s">
        <v>1</v>
      </c>
      <c r="H5405" s="25">
        <v>10.29076948</v>
      </c>
      <c r="I5405" s="8">
        <v>4750</v>
      </c>
      <c r="J5405" s="9">
        <v>0</v>
      </c>
      <c r="K5405" s="7">
        <v>-4750</v>
      </c>
      <c r="L5405" s="24">
        <f>+Tabla2[[#This Row],[Stock Inventario]]*Tabla2[[#This Row],[Coste LÃ­nea]]</f>
        <v>0</v>
      </c>
      <c r="M5405" s="24">
        <f>+Tabla2[[#This Row],[Variación Stock]]*Tabla2[[#This Row],[Coste LÃ­nea]]</f>
        <v>-48881.155030000002</v>
      </c>
      <c r="N5405" s="22" t="str">
        <f>+IF(Tabla2[[#This Row],[Variación Stock]]&gt;0,"Sobrante",IF(Tabla2[[#This Row],[Variación Stock]]&lt;0,"Faltante","Sin novedad"))</f>
        <v>Faltante</v>
      </c>
    </row>
    <row r="5406" spans="1:14" hidden="1" x14ac:dyDescent="0.25">
      <c r="A5406" s="11">
        <v>46053</v>
      </c>
      <c r="B5406" s="5" t="s">
        <v>971</v>
      </c>
      <c r="C5406" s="3" t="s">
        <v>284</v>
      </c>
      <c r="D5406" s="5" t="s">
        <v>120</v>
      </c>
      <c r="E5406" s="5" t="s">
        <v>117</v>
      </c>
      <c r="F5406" s="6" t="s">
        <v>736</v>
      </c>
      <c r="G5406" s="4" t="s">
        <v>1</v>
      </c>
      <c r="H5406" s="25">
        <v>11.667654199999999</v>
      </c>
      <c r="I5406" s="8">
        <v>99.893500000000003</v>
      </c>
      <c r="J5406" s="9">
        <v>0</v>
      </c>
      <c r="K5406" s="7">
        <v>-99.893544000000006</v>
      </c>
      <c r="L5406" s="24">
        <f>+Tabla2[[#This Row],[Stock Inventario]]*Tabla2[[#This Row],[Coste LÃ­nea]]</f>
        <v>0</v>
      </c>
      <c r="M5406" s="24">
        <f>+Tabla2[[#This Row],[Variación Stock]]*Tabla2[[#This Row],[Coste LÃ­nea]]</f>
        <v>-1165.5233282044849</v>
      </c>
      <c r="N5406" s="22" t="str">
        <f>+IF(Tabla2[[#This Row],[Variación Stock]]&gt;0,"Sobrante",IF(Tabla2[[#This Row],[Variación Stock]]&lt;0,"Faltante","Sin novedad"))</f>
        <v>Faltante</v>
      </c>
    </row>
    <row r="5407" spans="1:14" hidden="1" x14ac:dyDescent="0.25">
      <c r="A5407" s="11">
        <v>46053</v>
      </c>
      <c r="B5407" s="5" t="s">
        <v>971</v>
      </c>
      <c r="C5407" s="3" t="s">
        <v>284</v>
      </c>
      <c r="D5407" s="5" t="s">
        <v>323</v>
      </c>
      <c r="E5407" s="5" t="s">
        <v>117</v>
      </c>
      <c r="F5407" s="6" t="s">
        <v>777</v>
      </c>
      <c r="G5407" s="4" t="s">
        <v>1</v>
      </c>
      <c r="H5407" s="25">
        <v>23.65629702</v>
      </c>
      <c r="I5407" s="8">
        <v>0</v>
      </c>
      <c r="J5407" s="9">
        <v>0</v>
      </c>
      <c r="K5407" s="7">
        <v>0</v>
      </c>
      <c r="L5407" s="24">
        <f>+Tabla2[[#This Row],[Stock Inventario]]*Tabla2[[#This Row],[Coste LÃ­nea]]</f>
        <v>0</v>
      </c>
      <c r="M5407" s="24">
        <f>+Tabla2[[#This Row],[Variación Stock]]*Tabla2[[#This Row],[Coste LÃ­nea]]</f>
        <v>0</v>
      </c>
      <c r="N5407" s="22" t="str">
        <f>+IF(Tabla2[[#This Row],[Variación Stock]]&gt;0,"Sobrante",IF(Tabla2[[#This Row],[Variación Stock]]&lt;0,"Faltante","Sin novedad"))</f>
        <v>Sin novedad</v>
      </c>
    </row>
    <row r="5408" spans="1:14" hidden="1" x14ac:dyDescent="0.25">
      <c r="A5408" s="11">
        <v>46053</v>
      </c>
      <c r="B5408" s="5" t="s">
        <v>971</v>
      </c>
      <c r="C5408" s="3" t="s">
        <v>284</v>
      </c>
      <c r="D5408" s="5" t="s">
        <v>323</v>
      </c>
      <c r="E5408" s="5" t="s">
        <v>117</v>
      </c>
      <c r="F5408" s="6" t="s">
        <v>778</v>
      </c>
      <c r="G5408" s="4" t="s">
        <v>1</v>
      </c>
      <c r="H5408" s="25">
        <v>40.097522099999999</v>
      </c>
      <c r="I5408" s="8">
        <v>0</v>
      </c>
      <c r="J5408" s="9">
        <v>0</v>
      </c>
      <c r="K5408" s="7">
        <v>0</v>
      </c>
      <c r="L5408" s="24">
        <f>+Tabla2[[#This Row],[Stock Inventario]]*Tabla2[[#This Row],[Coste LÃ­nea]]</f>
        <v>0</v>
      </c>
      <c r="M5408" s="24">
        <f>+Tabla2[[#This Row],[Variación Stock]]*Tabla2[[#This Row],[Coste LÃ­nea]]</f>
        <v>0</v>
      </c>
      <c r="N5408" s="22" t="str">
        <f>+IF(Tabla2[[#This Row],[Variación Stock]]&gt;0,"Sobrante",IF(Tabla2[[#This Row],[Variación Stock]]&lt;0,"Faltante","Sin novedad"))</f>
        <v>Sin novedad</v>
      </c>
    </row>
    <row r="5409" spans="1:14" hidden="1" x14ac:dyDescent="0.25">
      <c r="A5409" s="11">
        <v>46053</v>
      </c>
      <c r="B5409" s="5" t="s">
        <v>971</v>
      </c>
      <c r="C5409" s="3" t="s">
        <v>284</v>
      </c>
      <c r="D5409" s="5" t="s">
        <v>120</v>
      </c>
      <c r="E5409" s="5" t="s">
        <v>117</v>
      </c>
      <c r="F5409" s="6" t="s">
        <v>737</v>
      </c>
      <c r="G5409" s="4" t="s">
        <v>1</v>
      </c>
      <c r="H5409" s="25">
        <v>28.271326989999999</v>
      </c>
      <c r="I5409" s="8">
        <v>0</v>
      </c>
      <c r="J5409" s="9">
        <v>0</v>
      </c>
      <c r="K5409" s="7">
        <v>0</v>
      </c>
      <c r="L5409" s="24">
        <f>+Tabla2[[#This Row],[Stock Inventario]]*Tabla2[[#This Row],[Coste LÃ­nea]]</f>
        <v>0</v>
      </c>
      <c r="M5409" s="24">
        <f>+Tabla2[[#This Row],[Variación Stock]]*Tabla2[[#This Row],[Coste LÃ­nea]]</f>
        <v>0</v>
      </c>
      <c r="N5409" s="22" t="str">
        <f>+IF(Tabla2[[#This Row],[Variación Stock]]&gt;0,"Sobrante",IF(Tabla2[[#This Row],[Variación Stock]]&lt;0,"Faltante","Sin novedad"))</f>
        <v>Sin novedad</v>
      </c>
    </row>
    <row r="5410" spans="1:14" hidden="1" x14ac:dyDescent="0.25">
      <c r="A5410" s="11">
        <v>46053</v>
      </c>
      <c r="B5410" s="5" t="s">
        <v>971</v>
      </c>
      <c r="C5410" s="3" t="s">
        <v>284</v>
      </c>
      <c r="D5410" s="5" t="s">
        <v>120</v>
      </c>
      <c r="E5410" s="5" t="s">
        <v>117</v>
      </c>
      <c r="F5410" s="6" t="s">
        <v>738</v>
      </c>
      <c r="G5410" s="4" t="s">
        <v>1</v>
      </c>
      <c r="H5410" s="25">
        <v>39.179842819999998</v>
      </c>
      <c r="I5410" s="8">
        <v>310</v>
      </c>
      <c r="J5410" s="9">
        <v>0</v>
      </c>
      <c r="K5410" s="7">
        <v>-310</v>
      </c>
      <c r="L5410" s="24">
        <f>+Tabla2[[#This Row],[Stock Inventario]]*Tabla2[[#This Row],[Coste LÃ­nea]]</f>
        <v>0</v>
      </c>
      <c r="M5410" s="24">
        <f>+Tabla2[[#This Row],[Variación Stock]]*Tabla2[[#This Row],[Coste LÃ­nea]]</f>
        <v>-12145.7512742</v>
      </c>
      <c r="N5410" s="22" t="str">
        <f>+IF(Tabla2[[#This Row],[Variación Stock]]&gt;0,"Sobrante",IF(Tabla2[[#This Row],[Variación Stock]]&lt;0,"Faltante","Sin novedad"))</f>
        <v>Faltante</v>
      </c>
    </row>
    <row r="5411" spans="1:14" hidden="1" x14ac:dyDescent="0.25">
      <c r="A5411" s="11">
        <v>46053</v>
      </c>
      <c r="B5411" s="5" t="s">
        <v>971</v>
      </c>
      <c r="C5411" s="3" t="s">
        <v>284</v>
      </c>
      <c r="D5411" s="5" t="s">
        <v>120</v>
      </c>
      <c r="E5411" s="5" t="s">
        <v>117</v>
      </c>
      <c r="F5411" s="6" t="s">
        <v>739</v>
      </c>
      <c r="G5411" s="4" t="s">
        <v>1</v>
      </c>
      <c r="H5411" s="25">
        <v>5.5221637000000001</v>
      </c>
      <c r="I5411" s="8">
        <v>120</v>
      </c>
      <c r="J5411" s="9">
        <v>188</v>
      </c>
      <c r="K5411" s="7">
        <v>68</v>
      </c>
      <c r="L5411" s="24">
        <f>+Tabla2[[#This Row],[Stock Inventario]]*Tabla2[[#This Row],[Coste LÃ­nea]]</f>
        <v>1038.1667755999999</v>
      </c>
      <c r="M5411" s="24">
        <f>+Tabla2[[#This Row],[Variación Stock]]*Tabla2[[#This Row],[Coste LÃ­nea]]</f>
        <v>375.50713159999998</v>
      </c>
      <c r="N5411" s="22" t="str">
        <f>+IF(Tabla2[[#This Row],[Variación Stock]]&gt;0,"Sobrante",IF(Tabla2[[#This Row],[Variación Stock]]&lt;0,"Faltante","Sin novedad"))</f>
        <v>Sobrante</v>
      </c>
    </row>
    <row r="5412" spans="1:14" hidden="1" x14ac:dyDescent="0.25">
      <c r="A5412" s="11">
        <v>46053</v>
      </c>
      <c r="B5412" s="5" t="s">
        <v>971</v>
      </c>
      <c r="C5412" s="3" t="s">
        <v>284</v>
      </c>
      <c r="D5412" s="5" t="s">
        <v>120</v>
      </c>
      <c r="E5412" s="5" t="s">
        <v>117</v>
      </c>
      <c r="F5412" s="6" t="s">
        <v>740</v>
      </c>
      <c r="G5412" s="4" t="s">
        <v>1</v>
      </c>
      <c r="H5412" s="25">
        <v>0.48846031000000001</v>
      </c>
      <c r="I5412" s="8">
        <v>0</v>
      </c>
      <c r="J5412" s="9">
        <v>0</v>
      </c>
      <c r="K5412" s="7">
        <v>0</v>
      </c>
      <c r="L5412" s="24">
        <f>+Tabla2[[#This Row],[Stock Inventario]]*Tabla2[[#This Row],[Coste LÃ­nea]]</f>
        <v>0</v>
      </c>
      <c r="M5412" s="24">
        <f>+Tabla2[[#This Row],[Variación Stock]]*Tabla2[[#This Row],[Coste LÃ­nea]]</f>
        <v>0</v>
      </c>
      <c r="N5412" s="22" t="str">
        <f>+IF(Tabla2[[#This Row],[Variación Stock]]&gt;0,"Sobrante",IF(Tabla2[[#This Row],[Variación Stock]]&lt;0,"Faltante","Sin novedad"))</f>
        <v>Sin novedad</v>
      </c>
    </row>
    <row r="5413" spans="1:14" x14ac:dyDescent="0.25">
      <c r="A5413" s="11">
        <v>46053</v>
      </c>
      <c r="B5413" s="5" t="s">
        <v>971</v>
      </c>
      <c r="C5413" s="3" t="s">
        <v>284</v>
      </c>
      <c r="D5413" s="5" t="s">
        <v>121</v>
      </c>
      <c r="E5413" s="5" t="s">
        <v>112</v>
      </c>
      <c r="F5413" s="6" t="s">
        <v>794</v>
      </c>
      <c r="G5413" s="4" t="s">
        <v>1</v>
      </c>
      <c r="H5413" s="25">
        <v>103.4045</v>
      </c>
      <c r="I5413" s="8">
        <v>0</v>
      </c>
      <c r="J5413" s="9">
        <v>48</v>
      </c>
      <c r="K5413" s="7">
        <v>48</v>
      </c>
      <c r="L5413" s="24">
        <f>+Tabla2[[#This Row],[Stock Inventario]]*Tabla2[[#This Row],[Coste LÃ­nea]]</f>
        <v>4963.4160000000002</v>
      </c>
      <c r="M5413" s="24">
        <f>+Tabla2[[#This Row],[Variación Stock]]*Tabla2[[#This Row],[Coste LÃ­nea]]</f>
        <v>4963.4160000000002</v>
      </c>
      <c r="N5413" s="22" t="str">
        <f>+IF(Tabla2[[#This Row],[Variación Stock]]&gt;0,"Sobrante",IF(Tabla2[[#This Row],[Variación Stock]]&lt;0,"Faltante","Sin novedad"))</f>
        <v>Sobrante</v>
      </c>
    </row>
    <row r="5414" spans="1:14" x14ac:dyDescent="0.25">
      <c r="A5414" s="11">
        <v>46053</v>
      </c>
      <c r="B5414" s="5" t="s">
        <v>971</v>
      </c>
      <c r="C5414" s="3" t="s">
        <v>284</v>
      </c>
      <c r="D5414" s="5" t="s">
        <v>121</v>
      </c>
      <c r="E5414" s="5" t="s">
        <v>112</v>
      </c>
      <c r="F5414" s="6" t="s">
        <v>795</v>
      </c>
      <c r="G5414" s="4" t="s">
        <v>1</v>
      </c>
      <c r="H5414" s="25">
        <v>64.225250000000003</v>
      </c>
      <c r="I5414" s="8">
        <v>-172</v>
      </c>
      <c r="J5414" s="9">
        <v>0</v>
      </c>
      <c r="K5414" s="7">
        <v>172</v>
      </c>
      <c r="L5414" s="24">
        <f>+Tabla2[[#This Row],[Stock Inventario]]*Tabla2[[#This Row],[Coste LÃ­nea]]</f>
        <v>0</v>
      </c>
      <c r="M5414" s="24">
        <f>+Tabla2[[#This Row],[Variación Stock]]*Tabla2[[#This Row],[Coste LÃ­nea]]</f>
        <v>11046.743</v>
      </c>
      <c r="N5414" s="22" t="str">
        <f>+IF(Tabla2[[#This Row],[Variación Stock]]&gt;0,"Sobrante",IF(Tabla2[[#This Row],[Variación Stock]]&lt;0,"Faltante","Sin novedad"))</f>
        <v>Sobrante</v>
      </c>
    </row>
    <row r="5415" spans="1:14" x14ac:dyDescent="0.25">
      <c r="A5415" s="11">
        <v>46053</v>
      </c>
      <c r="B5415" s="5" t="s">
        <v>971</v>
      </c>
      <c r="C5415" s="3" t="s">
        <v>284</v>
      </c>
      <c r="D5415" s="5" t="s">
        <v>121</v>
      </c>
      <c r="E5415" s="5" t="s">
        <v>112</v>
      </c>
      <c r="F5415" s="6" t="s">
        <v>796</v>
      </c>
      <c r="G5415" s="4" t="s">
        <v>1</v>
      </c>
      <c r="H5415" s="25">
        <v>97.15130164</v>
      </c>
      <c r="I5415" s="8">
        <v>-19</v>
      </c>
      <c r="J5415" s="9">
        <v>0</v>
      </c>
      <c r="K5415" s="7">
        <v>19</v>
      </c>
      <c r="L5415" s="24">
        <f>+Tabla2[[#This Row],[Stock Inventario]]*Tabla2[[#This Row],[Coste LÃ­nea]]</f>
        <v>0</v>
      </c>
      <c r="M5415" s="24">
        <f>+Tabla2[[#This Row],[Variación Stock]]*Tabla2[[#This Row],[Coste LÃ­nea]]</f>
        <v>1845.87473116</v>
      </c>
      <c r="N5415" s="22" t="str">
        <f>+IF(Tabla2[[#This Row],[Variación Stock]]&gt;0,"Sobrante",IF(Tabla2[[#This Row],[Variación Stock]]&lt;0,"Faltante","Sin novedad"))</f>
        <v>Sobrante</v>
      </c>
    </row>
    <row r="5416" spans="1:14" hidden="1" x14ac:dyDescent="0.25">
      <c r="A5416" s="11">
        <v>46053</v>
      </c>
      <c r="B5416" s="5" t="s">
        <v>971</v>
      </c>
      <c r="C5416" s="3" t="s">
        <v>284</v>
      </c>
      <c r="D5416" s="5" t="s">
        <v>120</v>
      </c>
      <c r="E5416" s="5" t="s">
        <v>117</v>
      </c>
      <c r="F5416" s="6" t="s">
        <v>741</v>
      </c>
      <c r="G5416" s="4" t="s">
        <v>1</v>
      </c>
      <c r="H5416" s="25">
        <v>17.5872606</v>
      </c>
      <c r="I5416" s="8">
        <v>-3659</v>
      </c>
      <c r="J5416" s="9">
        <v>1373</v>
      </c>
      <c r="K5416" s="7">
        <v>5032</v>
      </c>
      <c r="L5416" s="24">
        <f>+Tabla2[[#This Row],[Stock Inventario]]*Tabla2[[#This Row],[Coste LÃ­nea]]</f>
        <v>24147.308803800002</v>
      </c>
      <c r="M5416" s="24">
        <f>+Tabla2[[#This Row],[Variación Stock]]*Tabla2[[#This Row],[Coste LÃ­nea]]</f>
        <v>88499.095339200008</v>
      </c>
      <c r="N5416" s="22" t="str">
        <f>+IF(Tabla2[[#This Row],[Variación Stock]]&gt;0,"Sobrante",IF(Tabla2[[#This Row],[Variación Stock]]&lt;0,"Faltante","Sin novedad"))</f>
        <v>Sobrante</v>
      </c>
    </row>
    <row r="5417" spans="1:14" hidden="1" x14ac:dyDescent="0.25">
      <c r="A5417" s="11">
        <v>46053</v>
      </c>
      <c r="B5417" s="5" t="s">
        <v>971</v>
      </c>
      <c r="C5417" s="3" t="s">
        <v>284</v>
      </c>
      <c r="D5417" s="5" t="s">
        <v>120</v>
      </c>
      <c r="E5417" s="5" t="s">
        <v>117</v>
      </c>
      <c r="F5417" s="6" t="s">
        <v>742</v>
      </c>
      <c r="G5417" s="4" t="s">
        <v>1</v>
      </c>
      <c r="H5417" s="25">
        <v>9.22912979</v>
      </c>
      <c r="I5417" s="8">
        <v>0</v>
      </c>
      <c r="J5417" s="9">
        <v>0</v>
      </c>
      <c r="K5417" s="7">
        <v>0</v>
      </c>
      <c r="L5417" s="24">
        <f>+Tabla2[[#This Row],[Stock Inventario]]*Tabla2[[#This Row],[Coste LÃ­nea]]</f>
        <v>0</v>
      </c>
      <c r="M5417" s="24">
        <f>+Tabla2[[#This Row],[Variación Stock]]*Tabla2[[#This Row],[Coste LÃ­nea]]</f>
        <v>0</v>
      </c>
      <c r="N5417" s="22" t="str">
        <f>+IF(Tabla2[[#This Row],[Variación Stock]]&gt;0,"Sobrante",IF(Tabla2[[#This Row],[Variación Stock]]&lt;0,"Faltante","Sin novedad"))</f>
        <v>Sin novedad</v>
      </c>
    </row>
    <row r="5418" spans="1:14" hidden="1" x14ac:dyDescent="0.25">
      <c r="A5418" s="11">
        <v>46053</v>
      </c>
      <c r="B5418" s="5" t="s">
        <v>971</v>
      </c>
      <c r="C5418" s="3" t="s">
        <v>284</v>
      </c>
      <c r="D5418" s="5" t="s">
        <v>120</v>
      </c>
      <c r="E5418" s="5" t="s">
        <v>117</v>
      </c>
      <c r="F5418" s="6" t="s">
        <v>268</v>
      </c>
      <c r="G5418" s="4" t="s">
        <v>1</v>
      </c>
      <c r="H5418" s="25">
        <v>10.515454200000001</v>
      </c>
      <c r="I5418" s="8">
        <v>0</v>
      </c>
      <c r="J5418" s="9">
        <v>0</v>
      </c>
      <c r="K5418" s="7">
        <v>0</v>
      </c>
      <c r="L5418" s="24">
        <f>+Tabla2[[#This Row],[Stock Inventario]]*Tabla2[[#This Row],[Coste LÃ­nea]]</f>
        <v>0</v>
      </c>
      <c r="M5418" s="24">
        <f>+Tabla2[[#This Row],[Variación Stock]]*Tabla2[[#This Row],[Coste LÃ­nea]]</f>
        <v>0</v>
      </c>
      <c r="N5418" s="22" t="str">
        <f>+IF(Tabla2[[#This Row],[Variación Stock]]&gt;0,"Sobrante",IF(Tabla2[[#This Row],[Variación Stock]]&lt;0,"Faltante","Sin novedad"))</f>
        <v>Sin novedad</v>
      </c>
    </row>
    <row r="5419" spans="1:14" hidden="1" x14ac:dyDescent="0.25">
      <c r="A5419" s="11">
        <v>46053</v>
      </c>
      <c r="B5419" s="5" t="s">
        <v>971</v>
      </c>
      <c r="C5419" s="3" t="s">
        <v>284</v>
      </c>
      <c r="D5419" s="5" t="s">
        <v>120</v>
      </c>
      <c r="E5419" s="5" t="s">
        <v>117</v>
      </c>
      <c r="F5419" s="6" t="s">
        <v>743</v>
      </c>
      <c r="G5419" s="4" t="s">
        <v>1</v>
      </c>
      <c r="H5419" s="25">
        <v>21.345157799999999</v>
      </c>
      <c r="I5419" s="8">
        <v>-330</v>
      </c>
      <c r="J5419" s="9">
        <v>0</v>
      </c>
      <c r="K5419" s="7">
        <v>330</v>
      </c>
      <c r="L5419" s="24">
        <f>+Tabla2[[#This Row],[Stock Inventario]]*Tabla2[[#This Row],[Coste LÃ­nea]]</f>
        <v>0</v>
      </c>
      <c r="M5419" s="24">
        <f>+Tabla2[[#This Row],[Variación Stock]]*Tabla2[[#This Row],[Coste LÃ­nea]]</f>
        <v>7043.9020739999996</v>
      </c>
      <c r="N5419" s="22" t="str">
        <f>+IF(Tabla2[[#This Row],[Variación Stock]]&gt;0,"Sobrante",IF(Tabla2[[#This Row],[Variación Stock]]&lt;0,"Faltante","Sin novedad"))</f>
        <v>Sobrante</v>
      </c>
    </row>
    <row r="5420" spans="1:14" hidden="1" x14ac:dyDescent="0.25">
      <c r="A5420" s="11">
        <v>46053</v>
      </c>
      <c r="B5420" s="5" t="s">
        <v>971</v>
      </c>
      <c r="C5420" s="3" t="s">
        <v>284</v>
      </c>
      <c r="D5420" s="5" t="s">
        <v>120</v>
      </c>
      <c r="E5420" s="5" t="s">
        <v>117</v>
      </c>
      <c r="F5420" s="6" t="s">
        <v>744</v>
      </c>
      <c r="G5420" s="4" t="s">
        <v>1</v>
      </c>
      <c r="H5420" s="25">
        <v>4.6939230800000002</v>
      </c>
      <c r="I5420" s="8">
        <v>-3389</v>
      </c>
      <c r="J5420" s="9">
        <v>0</v>
      </c>
      <c r="K5420" s="7">
        <v>3389</v>
      </c>
      <c r="L5420" s="24">
        <f>+Tabla2[[#This Row],[Stock Inventario]]*Tabla2[[#This Row],[Coste LÃ­nea]]</f>
        <v>0</v>
      </c>
      <c r="M5420" s="24">
        <f>+Tabla2[[#This Row],[Variación Stock]]*Tabla2[[#This Row],[Coste LÃ­nea]]</f>
        <v>15907.705318120001</v>
      </c>
      <c r="N5420" s="22" t="str">
        <f>+IF(Tabla2[[#This Row],[Variación Stock]]&gt;0,"Sobrante",IF(Tabla2[[#This Row],[Variación Stock]]&lt;0,"Faltante","Sin novedad"))</f>
        <v>Sobrante</v>
      </c>
    </row>
    <row r="5421" spans="1:14" hidden="1" x14ac:dyDescent="0.25">
      <c r="A5421" s="11">
        <v>46053</v>
      </c>
      <c r="B5421" s="5" t="s">
        <v>971</v>
      </c>
      <c r="C5421" s="3" t="s">
        <v>284</v>
      </c>
      <c r="D5421" s="5" t="s">
        <v>120</v>
      </c>
      <c r="E5421" s="5" t="s">
        <v>117</v>
      </c>
      <c r="F5421" s="6" t="s">
        <v>745</v>
      </c>
      <c r="G5421" s="4" t="s">
        <v>1</v>
      </c>
      <c r="H5421" s="25">
        <v>18.82540569</v>
      </c>
      <c r="I5421" s="8">
        <v>-3300</v>
      </c>
      <c r="J5421" s="9">
        <v>1014</v>
      </c>
      <c r="K5421" s="7">
        <v>4314</v>
      </c>
      <c r="L5421" s="24">
        <f>+Tabla2[[#This Row],[Stock Inventario]]*Tabla2[[#This Row],[Coste LÃ­nea]]</f>
        <v>19088.961369659999</v>
      </c>
      <c r="M5421" s="24">
        <f>+Tabla2[[#This Row],[Variación Stock]]*Tabla2[[#This Row],[Coste LÃ­nea]]</f>
        <v>81212.800146659996</v>
      </c>
      <c r="N5421" s="22" t="str">
        <f>+IF(Tabla2[[#This Row],[Variación Stock]]&gt;0,"Sobrante",IF(Tabla2[[#This Row],[Variación Stock]]&lt;0,"Faltante","Sin novedad"))</f>
        <v>Sobrante</v>
      </c>
    </row>
    <row r="5422" spans="1:14" hidden="1" x14ac:dyDescent="0.25">
      <c r="A5422" s="11">
        <v>46053</v>
      </c>
      <c r="B5422" s="5" t="s">
        <v>971</v>
      </c>
      <c r="C5422" s="3" t="s">
        <v>284</v>
      </c>
      <c r="D5422" s="5" t="s">
        <v>120</v>
      </c>
      <c r="E5422" s="5" t="s">
        <v>117</v>
      </c>
      <c r="F5422" s="6" t="s">
        <v>746</v>
      </c>
      <c r="G5422" s="4" t="s">
        <v>1</v>
      </c>
      <c r="H5422" s="25">
        <v>18.24759727</v>
      </c>
      <c r="I5422" s="8">
        <v>-10100</v>
      </c>
      <c r="J5422" s="9">
        <v>0</v>
      </c>
      <c r="K5422" s="7">
        <v>10100</v>
      </c>
      <c r="L5422" s="24">
        <f>+Tabla2[[#This Row],[Stock Inventario]]*Tabla2[[#This Row],[Coste LÃ­nea]]</f>
        <v>0</v>
      </c>
      <c r="M5422" s="24">
        <f>+Tabla2[[#This Row],[Variación Stock]]*Tabla2[[#This Row],[Coste LÃ­nea]]</f>
        <v>184300.73242700001</v>
      </c>
      <c r="N5422" s="22" t="str">
        <f>+IF(Tabla2[[#This Row],[Variación Stock]]&gt;0,"Sobrante",IF(Tabla2[[#This Row],[Variación Stock]]&lt;0,"Faltante","Sin novedad"))</f>
        <v>Sobrante</v>
      </c>
    </row>
    <row r="5423" spans="1:14" hidden="1" x14ac:dyDescent="0.25">
      <c r="A5423" s="11">
        <v>46053</v>
      </c>
      <c r="B5423" s="5" t="s">
        <v>971</v>
      </c>
      <c r="C5423" s="3" t="s">
        <v>284</v>
      </c>
      <c r="D5423" s="5" t="s">
        <v>120</v>
      </c>
      <c r="E5423" s="5" t="s">
        <v>117</v>
      </c>
      <c r="F5423" s="6" t="s">
        <v>747</v>
      </c>
      <c r="G5423" s="4" t="s">
        <v>1</v>
      </c>
      <c r="H5423" s="25">
        <v>34.307072980000001</v>
      </c>
      <c r="I5423" s="8">
        <v>-154</v>
      </c>
      <c r="J5423" s="9">
        <v>332</v>
      </c>
      <c r="K5423" s="7">
        <v>486</v>
      </c>
      <c r="L5423" s="24">
        <f>+Tabla2[[#This Row],[Stock Inventario]]*Tabla2[[#This Row],[Coste LÃ­nea]]</f>
        <v>11389.948229359999</v>
      </c>
      <c r="M5423" s="24">
        <f>+Tabla2[[#This Row],[Variación Stock]]*Tabla2[[#This Row],[Coste LÃ­nea]]</f>
        <v>16673.23746828</v>
      </c>
      <c r="N5423" s="22" t="str">
        <f>+IF(Tabla2[[#This Row],[Variación Stock]]&gt;0,"Sobrante",IF(Tabla2[[#This Row],[Variación Stock]]&lt;0,"Faltante","Sin novedad"))</f>
        <v>Sobrante</v>
      </c>
    </row>
    <row r="5424" spans="1:14" hidden="1" x14ac:dyDescent="0.25">
      <c r="A5424" s="11">
        <v>46053</v>
      </c>
      <c r="B5424" s="5" t="s">
        <v>971</v>
      </c>
      <c r="C5424" s="3" t="s">
        <v>284</v>
      </c>
      <c r="D5424" s="5" t="s">
        <v>120</v>
      </c>
      <c r="E5424" s="5" t="s">
        <v>117</v>
      </c>
      <c r="F5424" s="6" t="s">
        <v>748</v>
      </c>
      <c r="G5424" s="4" t="s">
        <v>1</v>
      </c>
      <c r="H5424" s="25">
        <v>19.89036192</v>
      </c>
      <c r="I5424" s="8">
        <v>0</v>
      </c>
      <c r="J5424" s="9">
        <v>0</v>
      </c>
      <c r="K5424" s="7">
        <v>0</v>
      </c>
      <c r="L5424" s="24">
        <f>+Tabla2[[#This Row],[Stock Inventario]]*Tabla2[[#This Row],[Coste LÃ­nea]]</f>
        <v>0</v>
      </c>
      <c r="M5424" s="24">
        <f>+Tabla2[[#This Row],[Variación Stock]]*Tabla2[[#This Row],[Coste LÃ­nea]]</f>
        <v>0</v>
      </c>
      <c r="N5424" s="22" t="str">
        <f>+IF(Tabla2[[#This Row],[Variación Stock]]&gt;0,"Sobrante",IF(Tabla2[[#This Row],[Variación Stock]]&lt;0,"Faltante","Sin novedad"))</f>
        <v>Sin novedad</v>
      </c>
    </row>
    <row r="5425" spans="1:14" hidden="1" x14ac:dyDescent="0.25">
      <c r="A5425" s="11">
        <v>46053</v>
      </c>
      <c r="B5425" s="5" t="s">
        <v>971</v>
      </c>
      <c r="C5425" s="3" t="s">
        <v>284</v>
      </c>
      <c r="D5425" s="5" t="s">
        <v>120</v>
      </c>
      <c r="E5425" s="5" t="s">
        <v>117</v>
      </c>
      <c r="F5425" s="6" t="s">
        <v>749</v>
      </c>
      <c r="G5425" s="4" t="s">
        <v>1</v>
      </c>
      <c r="H5425" s="25">
        <v>23.56623544</v>
      </c>
      <c r="I5425" s="8">
        <v>232</v>
      </c>
      <c r="J5425" s="9">
        <v>576</v>
      </c>
      <c r="K5425" s="7">
        <v>344</v>
      </c>
      <c r="L5425" s="24">
        <f>+Tabla2[[#This Row],[Stock Inventario]]*Tabla2[[#This Row],[Coste LÃ­nea]]</f>
        <v>13574.151613440001</v>
      </c>
      <c r="M5425" s="24">
        <f>+Tabla2[[#This Row],[Variación Stock]]*Tabla2[[#This Row],[Coste LÃ­nea]]</f>
        <v>8106.7849913600003</v>
      </c>
      <c r="N5425" s="22" t="str">
        <f>+IF(Tabla2[[#This Row],[Variación Stock]]&gt;0,"Sobrante",IF(Tabla2[[#This Row],[Variación Stock]]&lt;0,"Faltante","Sin novedad"))</f>
        <v>Sobrante</v>
      </c>
    </row>
    <row r="5426" spans="1:14" hidden="1" x14ac:dyDescent="0.25">
      <c r="A5426" s="11">
        <v>46053</v>
      </c>
      <c r="B5426" s="5" t="s">
        <v>971</v>
      </c>
      <c r="C5426" s="3" t="s">
        <v>284</v>
      </c>
      <c r="D5426" s="5" t="s">
        <v>120</v>
      </c>
      <c r="E5426" s="5" t="s">
        <v>117</v>
      </c>
      <c r="F5426" s="6" t="s">
        <v>750</v>
      </c>
      <c r="G5426" s="4" t="s">
        <v>1</v>
      </c>
      <c r="H5426" s="25">
        <v>28.326653239999999</v>
      </c>
      <c r="I5426" s="8">
        <v>-1314</v>
      </c>
      <c r="J5426" s="9">
        <v>1042</v>
      </c>
      <c r="K5426" s="7">
        <v>2356</v>
      </c>
      <c r="L5426" s="24">
        <f>+Tabla2[[#This Row],[Stock Inventario]]*Tabla2[[#This Row],[Coste LÃ­nea]]</f>
        <v>29516.372676079998</v>
      </c>
      <c r="M5426" s="24">
        <f>+Tabla2[[#This Row],[Variación Stock]]*Tabla2[[#This Row],[Coste LÃ­nea]]</f>
        <v>66737.595033439997</v>
      </c>
      <c r="N5426" s="22" t="str">
        <f>+IF(Tabla2[[#This Row],[Variación Stock]]&gt;0,"Sobrante",IF(Tabla2[[#This Row],[Variación Stock]]&lt;0,"Faltante","Sin novedad"))</f>
        <v>Sobrante</v>
      </c>
    </row>
    <row r="5427" spans="1:14" hidden="1" x14ac:dyDescent="0.25">
      <c r="A5427" s="11">
        <v>46053</v>
      </c>
      <c r="B5427" s="5" t="s">
        <v>971</v>
      </c>
      <c r="C5427" s="3" t="s">
        <v>284</v>
      </c>
      <c r="D5427" s="5" t="s">
        <v>120</v>
      </c>
      <c r="E5427" s="5" t="s">
        <v>117</v>
      </c>
      <c r="F5427" s="6" t="s">
        <v>751</v>
      </c>
      <c r="G5427" s="4" t="s">
        <v>1</v>
      </c>
      <c r="H5427" s="25">
        <v>25.46326681</v>
      </c>
      <c r="I5427" s="8">
        <v>237</v>
      </c>
      <c r="J5427" s="9">
        <v>636</v>
      </c>
      <c r="K5427" s="7">
        <v>399</v>
      </c>
      <c r="L5427" s="24">
        <f>+Tabla2[[#This Row],[Stock Inventario]]*Tabla2[[#This Row],[Coste LÃ­nea]]</f>
        <v>16194.63769116</v>
      </c>
      <c r="M5427" s="24">
        <f>+Tabla2[[#This Row],[Variación Stock]]*Tabla2[[#This Row],[Coste LÃ­nea]]</f>
        <v>10159.84345719</v>
      </c>
      <c r="N5427" s="22" t="str">
        <f>+IF(Tabla2[[#This Row],[Variación Stock]]&gt;0,"Sobrante",IF(Tabla2[[#This Row],[Variación Stock]]&lt;0,"Faltante","Sin novedad"))</f>
        <v>Sobrante</v>
      </c>
    </row>
    <row r="5428" spans="1:14" hidden="1" x14ac:dyDescent="0.25">
      <c r="A5428" s="11">
        <v>46053</v>
      </c>
      <c r="B5428" s="5" t="s">
        <v>971</v>
      </c>
      <c r="C5428" s="3" t="s">
        <v>284</v>
      </c>
      <c r="D5428" s="5" t="s">
        <v>120</v>
      </c>
      <c r="E5428" s="5" t="s">
        <v>117</v>
      </c>
      <c r="F5428" s="6" t="s">
        <v>752</v>
      </c>
      <c r="G5428" s="4" t="s">
        <v>1</v>
      </c>
      <c r="H5428" s="25">
        <v>9.8114576299999996</v>
      </c>
      <c r="I5428" s="8">
        <v>0</v>
      </c>
      <c r="J5428" s="9">
        <v>0</v>
      </c>
      <c r="K5428" s="7">
        <v>0</v>
      </c>
      <c r="L5428" s="24">
        <f>+Tabla2[[#This Row],[Stock Inventario]]*Tabla2[[#This Row],[Coste LÃ­nea]]</f>
        <v>0</v>
      </c>
      <c r="M5428" s="24">
        <f>+Tabla2[[#This Row],[Variación Stock]]*Tabla2[[#This Row],[Coste LÃ­nea]]</f>
        <v>0</v>
      </c>
      <c r="N5428" s="22" t="str">
        <f>+IF(Tabla2[[#This Row],[Variación Stock]]&gt;0,"Sobrante",IF(Tabla2[[#This Row],[Variación Stock]]&lt;0,"Faltante","Sin novedad"))</f>
        <v>Sin novedad</v>
      </c>
    </row>
    <row r="5429" spans="1:14" hidden="1" x14ac:dyDescent="0.25">
      <c r="A5429" s="11">
        <v>46053</v>
      </c>
      <c r="B5429" s="5" t="s">
        <v>971</v>
      </c>
      <c r="C5429" s="3" t="s">
        <v>284</v>
      </c>
      <c r="D5429" s="5" t="s">
        <v>120</v>
      </c>
      <c r="E5429" s="5" t="s">
        <v>117</v>
      </c>
      <c r="F5429" s="6" t="s">
        <v>753</v>
      </c>
      <c r="G5429" s="4" t="s">
        <v>1</v>
      </c>
      <c r="H5429" s="25">
        <v>12.2948936</v>
      </c>
      <c r="I5429" s="8">
        <v>-1220</v>
      </c>
      <c r="J5429" s="9">
        <v>1034</v>
      </c>
      <c r="K5429" s="7">
        <v>2254</v>
      </c>
      <c r="L5429" s="24">
        <f>+Tabla2[[#This Row],[Stock Inventario]]*Tabla2[[#This Row],[Coste LÃ­nea]]</f>
        <v>12712.919982400001</v>
      </c>
      <c r="M5429" s="24">
        <f>+Tabla2[[#This Row],[Variación Stock]]*Tabla2[[#This Row],[Coste LÃ­nea]]</f>
        <v>27712.690174399999</v>
      </c>
      <c r="N5429" s="22" t="str">
        <f>+IF(Tabla2[[#This Row],[Variación Stock]]&gt;0,"Sobrante",IF(Tabla2[[#This Row],[Variación Stock]]&lt;0,"Faltante","Sin novedad"))</f>
        <v>Sobrante</v>
      </c>
    </row>
    <row r="5430" spans="1:14" hidden="1" x14ac:dyDescent="0.25">
      <c r="A5430" s="11">
        <v>46053</v>
      </c>
      <c r="B5430" s="5" t="s">
        <v>971</v>
      </c>
      <c r="C5430" s="3" t="s">
        <v>284</v>
      </c>
      <c r="D5430" s="5" t="s">
        <v>120</v>
      </c>
      <c r="E5430" s="5" t="s">
        <v>117</v>
      </c>
      <c r="F5430" s="6" t="s">
        <v>754</v>
      </c>
      <c r="G5430" s="4" t="s">
        <v>1</v>
      </c>
      <c r="H5430" s="25">
        <v>8.1954436299999998</v>
      </c>
      <c r="I5430" s="8">
        <v>0</v>
      </c>
      <c r="J5430" s="9">
        <v>0</v>
      </c>
      <c r="K5430" s="7">
        <v>0</v>
      </c>
      <c r="L5430" s="24">
        <f>+Tabla2[[#This Row],[Stock Inventario]]*Tabla2[[#This Row],[Coste LÃ­nea]]</f>
        <v>0</v>
      </c>
      <c r="M5430" s="24">
        <f>+Tabla2[[#This Row],[Variación Stock]]*Tabla2[[#This Row],[Coste LÃ­nea]]</f>
        <v>0</v>
      </c>
      <c r="N5430" s="22" t="str">
        <f>+IF(Tabla2[[#This Row],[Variación Stock]]&gt;0,"Sobrante",IF(Tabla2[[#This Row],[Variación Stock]]&lt;0,"Faltante","Sin novedad"))</f>
        <v>Sin novedad</v>
      </c>
    </row>
    <row r="5431" spans="1:14" hidden="1" x14ac:dyDescent="0.25">
      <c r="A5431" s="11">
        <v>46053</v>
      </c>
      <c r="B5431" s="5" t="s">
        <v>971</v>
      </c>
      <c r="C5431" s="3" t="s">
        <v>284</v>
      </c>
      <c r="D5431" s="5" t="s">
        <v>120</v>
      </c>
      <c r="E5431" s="5" t="s">
        <v>117</v>
      </c>
      <c r="F5431" s="6" t="s">
        <v>755</v>
      </c>
      <c r="G5431" s="4" t="s">
        <v>1</v>
      </c>
      <c r="H5431" s="25">
        <v>120.63729954</v>
      </c>
      <c r="I5431" s="8">
        <v>654</v>
      </c>
      <c r="J5431" s="9">
        <v>552</v>
      </c>
      <c r="K5431" s="7">
        <v>-102</v>
      </c>
      <c r="L5431" s="24">
        <f>+Tabla2[[#This Row],[Stock Inventario]]*Tabla2[[#This Row],[Coste LÃ­nea]]</f>
        <v>66591.789346079997</v>
      </c>
      <c r="M5431" s="24">
        <f>+Tabla2[[#This Row],[Variación Stock]]*Tabla2[[#This Row],[Coste LÃ­nea]]</f>
        <v>-12305.00455308</v>
      </c>
      <c r="N5431" s="22" t="str">
        <f>+IF(Tabla2[[#This Row],[Variación Stock]]&gt;0,"Sobrante",IF(Tabla2[[#This Row],[Variación Stock]]&lt;0,"Faltante","Sin novedad"))</f>
        <v>Faltante</v>
      </c>
    </row>
    <row r="5432" spans="1:14" x14ac:dyDescent="0.25">
      <c r="A5432" s="11">
        <v>46053</v>
      </c>
      <c r="B5432" s="5" t="s">
        <v>971</v>
      </c>
      <c r="C5432" s="3" t="s">
        <v>284</v>
      </c>
      <c r="D5432" s="5" t="s">
        <v>121</v>
      </c>
      <c r="E5432" s="5" t="s">
        <v>112</v>
      </c>
      <c r="F5432" s="6" t="s">
        <v>797</v>
      </c>
      <c r="G5432" s="4" t="s">
        <v>1</v>
      </c>
      <c r="H5432" s="25">
        <v>10.224150870000001</v>
      </c>
      <c r="I5432" s="8">
        <v>0</v>
      </c>
      <c r="J5432" s="9">
        <v>0</v>
      </c>
      <c r="K5432" s="7">
        <v>0</v>
      </c>
      <c r="L5432" s="24">
        <f>+Tabla2[[#This Row],[Stock Inventario]]*Tabla2[[#This Row],[Coste LÃ­nea]]</f>
        <v>0</v>
      </c>
      <c r="M5432" s="24">
        <f>+Tabla2[[#This Row],[Variación Stock]]*Tabla2[[#This Row],[Coste LÃ­nea]]</f>
        <v>0</v>
      </c>
      <c r="N5432" s="22" t="str">
        <f>+IF(Tabla2[[#This Row],[Variación Stock]]&gt;0,"Sobrante",IF(Tabla2[[#This Row],[Variación Stock]]&lt;0,"Faltante","Sin novedad"))</f>
        <v>Sin novedad</v>
      </c>
    </row>
    <row r="5433" spans="1:14" hidden="1" x14ac:dyDescent="0.25">
      <c r="A5433" s="11">
        <v>46053</v>
      </c>
      <c r="B5433" s="5" t="s">
        <v>971</v>
      </c>
      <c r="C5433" s="3" t="s">
        <v>284</v>
      </c>
      <c r="D5433" s="5" t="s">
        <v>120</v>
      </c>
      <c r="E5433" s="5" t="s">
        <v>117</v>
      </c>
      <c r="F5433" s="6" t="s">
        <v>756</v>
      </c>
      <c r="G5433" s="4" t="s">
        <v>2</v>
      </c>
      <c r="H5433" s="25">
        <v>2361.1109812499999</v>
      </c>
      <c r="I5433" s="8">
        <v>-2</v>
      </c>
      <c r="J5433" s="9">
        <v>7</v>
      </c>
      <c r="K5433" s="7">
        <v>9</v>
      </c>
      <c r="L5433" s="24">
        <f>+Tabla2[[#This Row],[Stock Inventario]]*Tabla2[[#This Row],[Coste LÃ­nea]]</f>
        <v>16527.776868749999</v>
      </c>
      <c r="M5433" s="24">
        <f>+Tabla2[[#This Row],[Variación Stock]]*Tabla2[[#This Row],[Coste LÃ­nea]]</f>
        <v>21249.998831249999</v>
      </c>
      <c r="N5433" s="22" t="str">
        <f>+IF(Tabla2[[#This Row],[Variación Stock]]&gt;0,"Sobrante",IF(Tabla2[[#This Row],[Variación Stock]]&lt;0,"Faltante","Sin novedad"))</f>
        <v>Sobrante</v>
      </c>
    </row>
    <row r="5434" spans="1:14" hidden="1" x14ac:dyDescent="0.25">
      <c r="A5434" s="11">
        <v>46053</v>
      </c>
      <c r="B5434" s="5" t="s">
        <v>971</v>
      </c>
      <c r="C5434" s="3" t="s">
        <v>284</v>
      </c>
      <c r="D5434" s="5" t="s">
        <v>323</v>
      </c>
      <c r="E5434" s="5" t="s">
        <v>117</v>
      </c>
      <c r="F5434" s="6" t="s">
        <v>330</v>
      </c>
      <c r="G5434" s="4" t="s">
        <v>2</v>
      </c>
      <c r="H5434" s="25">
        <v>1794.7556159000001</v>
      </c>
      <c r="I5434" s="8">
        <v>72</v>
      </c>
      <c r="J5434" s="9">
        <v>75</v>
      </c>
      <c r="K5434" s="7">
        <v>3</v>
      </c>
      <c r="L5434" s="24">
        <f>+Tabla2[[#This Row],[Stock Inventario]]*Tabla2[[#This Row],[Coste LÃ­nea]]</f>
        <v>134606.67119250001</v>
      </c>
      <c r="M5434" s="24">
        <f>+Tabla2[[#This Row],[Variación Stock]]*Tabla2[[#This Row],[Coste LÃ­nea]]</f>
        <v>5384.2668477000007</v>
      </c>
      <c r="N5434" s="22" t="str">
        <f>+IF(Tabla2[[#This Row],[Variación Stock]]&gt;0,"Sobrante",IF(Tabla2[[#This Row],[Variación Stock]]&lt;0,"Faltante","Sin novedad"))</f>
        <v>Sobrante</v>
      </c>
    </row>
    <row r="5435" spans="1:14" hidden="1" x14ac:dyDescent="0.25">
      <c r="A5435" s="11">
        <v>46053</v>
      </c>
      <c r="B5435" s="5" t="s">
        <v>971</v>
      </c>
      <c r="C5435" s="3" t="s">
        <v>284</v>
      </c>
      <c r="D5435" s="5" t="s">
        <v>120</v>
      </c>
      <c r="E5435" s="5" t="s">
        <v>117</v>
      </c>
      <c r="F5435" s="6" t="s">
        <v>322</v>
      </c>
      <c r="G5435" s="4" t="s">
        <v>2</v>
      </c>
      <c r="H5435" s="25">
        <v>2624.3985064200001</v>
      </c>
      <c r="I5435" s="8">
        <v>-20</v>
      </c>
      <c r="J5435" s="9">
        <v>0</v>
      </c>
      <c r="K5435" s="7">
        <v>20</v>
      </c>
      <c r="L5435" s="24">
        <f>+Tabla2[[#This Row],[Stock Inventario]]*Tabla2[[#This Row],[Coste LÃ­nea]]</f>
        <v>0</v>
      </c>
      <c r="M5435" s="24">
        <f>+Tabla2[[#This Row],[Variación Stock]]*Tabla2[[#This Row],[Coste LÃ­nea]]</f>
        <v>52487.970128400004</v>
      </c>
      <c r="N5435" s="22" t="str">
        <f>+IF(Tabla2[[#This Row],[Variación Stock]]&gt;0,"Sobrante",IF(Tabla2[[#This Row],[Variación Stock]]&lt;0,"Faltante","Sin novedad"))</f>
        <v>Sobrante</v>
      </c>
    </row>
    <row r="5436" spans="1:14" hidden="1" x14ac:dyDescent="0.25">
      <c r="A5436" s="11">
        <v>46053</v>
      </c>
      <c r="B5436" s="5" t="s">
        <v>971</v>
      </c>
      <c r="C5436" s="3" t="s">
        <v>284</v>
      </c>
      <c r="D5436" s="5" t="s">
        <v>120</v>
      </c>
      <c r="E5436" s="5" t="s">
        <v>117</v>
      </c>
      <c r="F5436" s="6" t="s">
        <v>757</v>
      </c>
      <c r="G5436" s="4" t="s">
        <v>1</v>
      </c>
      <c r="H5436" s="25">
        <v>18.653928700000002</v>
      </c>
      <c r="I5436" s="8">
        <v>-972</v>
      </c>
      <c r="J5436" s="9">
        <v>0</v>
      </c>
      <c r="K5436" s="7">
        <v>972</v>
      </c>
      <c r="L5436" s="24">
        <f>+Tabla2[[#This Row],[Stock Inventario]]*Tabla2[[#This Row],[Coste LÃ­nea]]</f>
        <v>0</v>
      </c>
      <c r="M5436" s="24">
        <f>+Tabla2[[#This Row],[Variación Stock]]*Tabla2[[#This Row],[Coste LÃ­nea]]</f>
        <v>18131.618696400001</v>
      </c>
      <c r="N5436" s="22" t="str">
        <f>+IF(Tabla2[[#This Row],[Variación Stock]]&gt;0,"Sobrante",IF(Tabla2[[#This Row],[Variación Stock]]&lt;0,"Faltante","Sin novedad"))</f>
        <v>Sobrante</v>
      </c>
    </row>
    <row r="5437" spans="1:14" x14ac:dyDescent="0.25">
      <c r="A5437" s="11">
        <v>46053</v>
      </c>
      <c r="B5437" s="5" t="s">
        <v>971</v>
      </c>
      <c r="C5437" s="3" t="s">
        <v>284</v>
      </c>
      <c r="D5437" s="5" t="s">
        <v>121</v>
      </c>
      <c r="E5437" s="5" t="s">
        <v>112</v>
      </c>
      <c r="F5437" s="6" t="s">
        <v>798</v>
      </c>
      <c r="G5437" s="4" t="s">
        <v>1</v>
      </c>
      <c r="H5437" s="25">
        <v>29.620005989999999</v>
      </c>
      <c r="I5437" s="8">
        <v>912</v>
      </c>
      <c r="J5437" s="9">
        <v>570</v>
      </c>
      <c r="K5437" s="7">
        <v>-342</v>
      </c>
      <c r="L5437" s="24">
        <f>+Tabla2[[#This Row],[Stock Inventario]]*Tabla2[[#This Row],[Coste LÃ­nea]]</f>
        <v>16883.403414299999</v>
      </c>
      <c r="M5437" s="24">
        <f>+Tabla2[[#This Row],[Variación Stock]]*Tabla2[[#This Row],[Coste LÃ­nea]]</f>
        <v>-10130.04204858</v>
      </c>
      <c r="N5437" s="22" t="str">
        <f>+IF(Tabla2[[#This Row],[Variación Stock]]&gt;0,"Sobrante",IF(Tabla2[[#This Row],[Variación Stock]]&lt;0,"Faltante","Sin novedad"))</f>
        <v>Faltante</v>
      </c>
    </row>
    <row r="5438" spans="1:14" x14ac:dyDescent="0.25">
      <c r="A5438" s="11">
        <v>46053</v>
      </c>
      <c r="B5438" s="5" t="s">
        <v>971</v>
      </c>
      <c r="C5438" s="3" t="s">
        <v>284</v>
      </c>
      <c r="D5438" s="5" t="s">
        <v>121</v>
      </c>
      <c r="E5438" s="5" t="s">
        <v>112</v>
      </c>
      <c r="F5438" s="6" t="s">
        <v>799</v>
      </c>
      <c r="G5438" s="4" t="s">
        <v>1</v>
      </c>
      <c r="H5438" s="25">
        <v>46.119862300000001</v>
      </c>
      <c r="I5438" s="8">
        <v>-260</v>
      </c>
      <c r="J5438" s="9">
        <v>0</v>
      </c>
      <c r="K5438" s="7">
        <v>260</v>
      </c>
      <c r="L5438" s="24">
        <f>+Tabla2[[#This Row],[Stock Inventario]]*Tabla2[[#This Row],[Coste LÃ­nea]]</f>
        <v>0</v>
      </c>
      <c r="M5438" s="24">
        <f>+Tabla2[[#This Row],[Variación Stock]]*Tabla2[[#This Row],[Coste LÃ­nea]]</f>
        <v>11991.164198</v>
      </c>
      <c r="N5438" s="22" t="str">
        <f>+IF(Tabla2[[#This Row],[Variación Stock]]&gt;0,"Sobrante",IF(Tabla2[[#This Row],[Variación Stock]]&lt;0,"Faltante","Sin novedad"))</f>
        <v>Sobrante</v>
      </c>
    </row>
    <row r="5439" spans="1:14" x14ac:dyDescent="0.25">
      <c r="A5439" s="11">
        <v>46053</v>
      </c>
      <c r="B5439" s="5" t="s">
        <v>971</v>
      </c>
      <c r="C5439" s="3" t="s">
        <v>284</v>
      </c>
      <c r="D5439" s="5" t="s">
        <v>121</v>
      </c>
      <c r="E5439" s="5" t="s">
        <v>112</v>
      </c>
      <c r="F5439" s="6" t="s">
        <v>800</v>
      </c>
      <c r="G5439" s="4" t="s">
        <v>1</v>
      </c>
      <c r="H5439" s="25">
        <v>46.119862300000001</v>
      </c>
      <c r="I5439" s="8">
        <v>0</v>
      </c>
      <c r="J5439" s="9">
        <v>0</v>
      </c>
      <c r="K5439" s="7">
        <v>0</v>
      </c>
      <c r="L5439" s="24">
        <f>+Tabla2[[#This Row],[Stock Inventario]]*Tabla2[[#This Row],[Coste LÃ­nea]]</f>
        <v>0</v>
      </c>
      <c r="M5439" s="24">
        <f>+Tabla2[[#This Row],[Variación Stock]]*Tabla2[[#This Row],[Coste LÃ­nea]]</f>
        <v>0</v>
      </c>
      <c r="N5439" s="22" t="str">
        <f>+IF(Tabla2[[#This Row],[Variación Stock]]&gt;0,"Sobrante",IF(Tabla2[[#This Row],[Variación Stock]]&lt;0,"Faltante","Sin novedad"))</f>
        <v>Sin novedad</v>
      </c>
    </row>
    <row r="5440" spans="1:14" hidden="1" x14ac:dyDescent="0.25">
      <c r="A5440" s="11">
        <v>46053</v>
      </c>
      <c r="B5440" s="5" t="s">
        <v>971</v>
      </c>
      <c r="C5440" s="3" t="s">
        <v>284</v>
      </c>
      <c r="D5440" s="5" t="s">
        <v>120</v>
      </c>
      <c r="E5440" s="5" t="s">
        <v>117</v>
      </c>
      <c r="F5440" s="6" t="s">
        <v>758</v>
      </c>
      <c r="G5440" s="4" t="s">
        <v>2</v>
      </c>
      <c r="H5440" s="25">
        <v>9148.2894567000003</v>
      </c>
      <c r="I5440" s="8">
        <v>-8.5</v>
      </c>
      <c r="J5440" s="9">
        <v>2</v>
      </c>
      <c r="K5440" s="7">
        <v>10.5</v>
      </c>
      <c r="L5440" s="24">
        <f>+Tabla2[[#This Row],[Stock Inventario]]*Tabla2[[#This Row],[Coste LÃ­nea]]</f>
        <v>18296.578913400001</v>
      </c>
      <c r="M5440" s="24">
        <f>+Tabla2[[#This Row],[Variación Stock]]*Tabla2[[#This Row],[Coste LÃ­nea]]</f>
        <v>96057.039295349998</v>
      </c>
      <c r="N5440" s="22" t="str">
        <f>+IF(Tabla2[[#This Row],[Variación Stock]]&gt;0,"Sobrante",IF(Tabla2[[#This Row],[Variación Stock]]&lt;0,"Faltante","Sin novedad"))</f>
        <v>Sobrante</v>
      </c>
    </row>
    <row r="5441" spans="1:14" hidden="1" x14ac:dyDescent="0.25">
      <c r="A5441" s="11">
        <v>46053</v>
      </c>
      <c r="B5441" s="5" t="s">
        <v>971</v>
      </c>
      <c r="C5441" s="3" t="s">
        <v>284</v>
      </c>
      <c r="D5441" s="5" t="s">
        <v>120</v>
      </c>
      <c r="E5441" s="5" t="s">
        <v>117</v>
      </c>
      <c r="F5441" s="6" t="s">
        <v>759</v>
      </c>
      <c r="G5441" s="4" t="s">
        <v>1</v>
      </c>
      <c r="H5441" s="25">
        <v>27.49856028</v>
      </c>
      <c r="I5441" s="8">
        <v>-245</v>
      </c>
      <c r="J5441" s="9">
        <v>448</v>
      </c>
      <c r="K5441" s="7">
        <v>693</v>
      </c>
      <c r="L5441" s="24">
        <f>+Tabla2[[#This Row],[Stock Inventario]]*Tabla2[[#This Row],[Coste LÃ­nea]]</f>
        <v>12319.35500544</v>
      </c>
      <c r="M5441" s="24">
        <f>+Tabla2[[#This Row],[Variación Stock]]*Tabla2[[#This Row],[Coste LÃ­nea]]</f>
        <v>19056.502274039998</v>
      </c>
      <c r="N5441" s="22" t="str">
        <f>+IF(Tabla2[[#This Row],[Variación Stock]]&gt;0,"Sobrante",IF(Tabla2[[#This Row],[Variación Stock]]&lt;0,"Faltante","Sin novedad"))</f>
        <v>Sobrante</v>
      </c>
    </row>
    <row r="5442" spans="1:14" hidden="1" x14ac:dyDescent="0.25">
      <c r="A5442" s="11">
        <v>46053</v>
      </c>
      <c r="B5442" s="5" t="s">
        <v>971</v>
      </c>
      <c r="C5442" s="3" t="s">
        <v>284</v>
      </c>
      <c r="D5442" s="5" t="s">
        <v>120</v>
      </c>
      <c r="E5442" s="5" t="s">
        <v>117</v>
      </c>
      <c r="F5442" s="6" t="s">
        <v>760</v>
      </c>
      <c r="G5442" s="4" t="s">
        <v>1</v>
      </c>
      <c r="H5442" s="25">
        <v>6.6714090099999996</v>
      </c>
      <c r="I5442" s="8">
        <v>-36</v>
      </c>
      <c r="J5442" s="9">
        <v>0</v>
      </c>
      <c r="K5442" s="7">
        <v>36</v>
      </c>
      <c r="L5442" s="24">
        <f>+Tabla2[[#This Row],[Stock Inventario]]*Tabla2[[#This Row],[Coste LÃ­nea]]</f>
        <v>0</v>
      </c>
      <c r="M5442" s="24">
        <f>+Tabla2[[#This Row],[Variación Stock]]*Tabla2[[#This Row],[Coste LÃ­nea]]</f>
        <v>240.17072435999998</v>
      </c>
      <c r="N5442" s="22" t="str">
        <f>+IF(Tabla2[[#This Row],[Variación Stock]]&gt;0,"Sobrante",IF(Tabla2[[#This Row],[Variación Stock]]&lt;0,"Faltante","Sin novedad"))</f>
        <v>Sobrante</v>
      </c>
    </row>
    <row r="5443" spans="1:14" hidden="1" x14ac:dyDescent="0.25">
      <c r="A5443" s="11">
        <v>46053</v>
      </c>
      <c r="B5443" s="5" t="s">
        <v>971</v>
      </c>
      <c r="C5443" s="3" t="s">
        <v>284</v>
      </c>
      <c r="D5443" s="5" t="s">
        <v>120</v>
      </c>
      <c r="E5443" s="5" t="s">
        <v>117</v>
      </c>
      <c r="F5443" s="6" t="s">
        <v>761</v>
      </c>
      <c r="G5443" s="4" t="s">
        <v>1</v>
      </c>
      <c r="H5443" s="25">
        <v>32.101201889999999</v>
      </c>
      <c r="I5443" s="8">
        <v>160</v>
      </c>
      <c r="J5443" s="9">
        <v>0</v>
      </c>
      <c r="K5443" s="7">
        <v>-160</v>
      </c>
      <c r="L5443" s="24">
        <f>+Tabla2[[#This Row],[Stock Inventario]]*Tabla2[[#This Row],[Coste LÃ­nea]]</f>
        <v>0</v>
      </c>
      <c r="M5443" s="24">
        <f>+Tabla2[[#This Row],[Variación Stock]]*Tabla2[[#This Row],[Coste LÃ­nea]]</f>
        <v>-5136.1923023999998</v>
      </c>
      <c r="N5443" s="22" t="str">
        <f>+IF(Tabla2[[#This Row],[Variación Stock]]&gt;0,"Sobrante",IF(Tabla2[[#This Row],[Variación Stock]]&lt;0,"Faltante","Sin novedad"))</f>
        <v>Faltante</v>
      </c>
    </row>
    <row r="5444" spans="1:14" x14ac:dyDescent="0.25">
      <c r="A5444" s="11">
        <v>46053</v>
      </c>
      <c r="B5444" s="5" t="s">
        <v>971</v>
      </c>
      <c r="C5444" s="3" t="s">
        <v>284</v>
      </c>
      <c r="D5444" s="5" t="s">
        <v>121</v>
      </c>
      <c r="E5444" s="5" t="s">
        <v>112</v>
      </c>
      <c r="F5444" s="6" t="s">
        <v>354</v>
      </c>
      <c r="G5444" s="4" t="s">
        <v>1</v>
      </c>
      <c r="H5444" s="25">
        <v>66.666666669999998</v>
      </c>
      <c r="I5444" s="8">
        <v>741</v>
      </c>
      <c r="J5444" s="9">
        <v>362</v>
      </c>
      <c r="K5444" s="7">
        <v>-379</v>
      </c>
      <c r="L5444" s="24">
        <f>+Tabla2[[#This Row],[Stock Inventario]]*Tabla2[[#This Row],[Coste LÃ­nea]]</f>
        <v>24133.333334539999</v>
      </c>
      <c r="M5444" s="24">
        <f>+Tabla2[[#This Row],[Variación Stock]]*Tabla2[[#This Row],[Coste LÃ­nea]]</f>
        <v>-25266.66666793</v>
      </c>
      <c r="N5444" s="22" t="str">
        <f>+IF(Tabla2[[#This Row],[Variación Stock]]&gt;0,"Sobrante",IF(Tabla2[[#This Row],[Variación Stock]]&lt;0,"Faltante","Sin novedad"))</f>
        <v>Faltante</v>
      </c>
    </row>
    <row r="5445" spans="1:14" hidden="1" x14ac:dyDescent="0.25">
      <c r="A5445" s="11">
        <v>46053</v>
      </c>
      <c r="B5445" s="5" t="s">
        <v>971</v>
      </c>
      <c r="C5445" s="3" t="s">
        <v>284</v>
      </c>
      <c r="D5445" s="5" t="s">
        <v>120</v>
      </c>
      <c r="E5445" s="5" t="s">
        <v>117</v>
      </c>
      <c r="F5445" s="6" t="s">
        <v>320</v>
      </c>
      <c r="G5445" s="4" t="s">
        <v>2</v>
      </c>
      <c r="H5445" s="25">
        <v>6476.7767878900004</v>
      </c>
      <c r="I5445" s="8">
        <v>12</v>
      </c>
      <c r="J5445" s="9">
        <v>12</v>
      </c>
      <c r="K5445" s="7">
        <v>0</v>
      </c>
      <c r="L5445" s="24">
        <f>+Tabla2[[#This Row],[Stock Inventario]]*Tabla2[[#This Row],[Coste LÃ­nea]]</f>
        <v>77721.321454680001</v>
      </c>
      <c r="M5445" s="24">
        <f>+Tabla2[[#This Row],[Variación Stock]]*Tabla2[[#This Row],[Coste LÃ­nea]]</f>
        <v>0</v>
      </c>
      <c r="N5445" s="22" t="str">
        <f>+IF(Tabla2[[#This Row],[Variación Stock]]&gt;0,"Sobrante",IF(Tabla2[[#This Row],[Variación Stock]]&lt;0,"Faltante","Sin novedad"))</f>
        <v>Sin novedad</v>
      </c>
    </row>
    <row r="5446" spans="1:14" hidden="1" x14ac:dyDescent="0.25">
      <c r="A5446" s="11">
        <v>46053</v>
      </c>
      <c r="B5446" s="5" t="s">
        <v>971</v>
      </c>
      <c r="C5446" s="3" t="s">
        <v>284</v>
      </c>
      <c r="D5446" s="5" t="s">
        <v>120</v>
      </c>
      <c r="E5446" s="5" t="s">
        <v>117</v>
      </c>
      <c r="F5446" s="6" t="s">
        <v>762</v>
      </c>
      <c r="G5446" s="4" t="s">
        <v>1</v>
      </c>
      <c r="H5446" s="25">
        <v>35.738049760000003</v>
      </c>
      <c r="I5446" s="8">
        <v>-2913</v>
      </c>
      <c r="J5446" s="9">
        <v>0</v>
      </c>
      <c r="K5446" s="7">
        <v>2913</v>
      </c>
      <c r="L5446" s="24">
        <f>+Tabla2[[#This Row],[Stock Inventario]]*Tabla2[[#This Row],[Coste LÃ­nea]]</f>
        <v>0</v>
      </c>
      <c r="M5446" s="24">
        <f>+Tabla2[[#This Row],[Variación Stock]]*Tabla2[[#This Row],[Coste LÃ­nea]]</f>
        <v>104104.93895088001</v>
      </c>
      <c r="N5446" s="22" t="str">
        <f>+IF(Tabla2[[#This Row],[Variación Stock]]&gt;0,"Sobrante",IF(Tabla2[[#This Row],[Variación Stock]]&lt;0,"Faltante","Sin novedad"))</f>
        <v>Sobrante</v>
      </c>
    </row>
    <row r="5447" spans="1:14" hidden="1" x14ac:dyDescent="0.25">
      <c r="A5447" s="11">
        <v>46053</v>
      </c>
      <c r="B5447" s="5" t="s">
        <v>971</v>
      </c>
      <c r="C5447" s="3" t="s">
        <v>284</v>
      </c>
      <c r="D5447" s="5" t="s">
        <v>120</v>
      </c>
      <c r="E5447" s="5" t="s">
        <v>117</v>
      </c>
      <c r="F5447" s="6" t="s">
        <v>96</v>
      </c>
      <c r="G5447" s="4" t="s">
        <v>2</v>
      </c>
      <c r="H5447" s="25">
        <v>4161.4534161499996</v>
      </c>
      <c r="I5447" s="8">
        <v>91</v>
      </c>
      <c r="J5447" s="9">
        <v>39</v>
      </c>
      <c r="K5447" s="7">
        <v>-52</v>
      </c>
      <c r="L5447" s="24">
        <f>+Tabla2[[#This Row],[Stock Inventario]]*Tabla2[[#This Row],[Coste LÃ­nea]]</f>
        <v>162296.68322984999</v>
      </c>
      <c r="M5447" s="24">
        <f>+Tabla2[[#This Row],[Variación Stock]]*Tabla2[[#This Row],[Coste LÃ­nea]]</f>
        <v>-216395.57763979997</v>
      </c>
      <c r="N5447" s="22" t="str">
        <f>+IF(Tabla2[[#This Row],[Variación Stock]]&gt;0,"Sobrante",IF(Tabla2[[#This Row],[Variación Stock]]&lt;0,"Faltante","Sin novedad"))</f>
        <v>Faltante</v>
      </c>
    </row>
    <row r="5448" spans="1:14" hidden="1" x14ac:dyDescent="0.25">
      <c r="A5448" s="11">
        <v>46053</v>
      </c>
      <c r="B5448" s="5" t="s">
        <v>971</v>
      </c>
      <c r="C5448" s="3" t="s">
        <v>284</v>
      </c>
      <c r="D5448" s="5" t="s">
        <v>323</v>
      </c>
      <c r="E5448" s="5" t="s">
        <v>117</v>
      </c>
      <c r="F5448" s="6" t="s">
        <v>779</v>
      </c>
      <c r="G5448" s="4" t="s">
        <v>1</v>
      </c>
      <c r="H5448" s="25">
        <v>1</v>
      </c>
      <c r="I5448" s="8">
        <v>6546</v>
      </c>
      <c r="J5448" s="9">
        <v>4000</v>
      </c>
      <c r="K5448" s="7">
        <v>-2546</v>
      </c>
      <c r="L5448" s="24">
        <f>+Tabla2[[#This Row],[Stock Inventario]]*Tabla2[[#This Row],[Coste LÃ­nea]]</f>
        <v>4000</v>
      </c>
      <c r="M5448" s="24">
        <f>+Tabla2[[#This Row],[Variación Stock]]*Tabla2[[#This Row],[Coste LÃ­nea]]</f>
        <v>-2546</v>
      </c>
      <c r="N5448" s="22" t="str">
        <f>+IF(Tabla2[[#This Row],[Variación Stock]]&gt;0,"Sobrante",IF(Tabla2[[#This Row],[Variación Stock]]&lt;0,"Faltante","Sin novedad"))</f>
        <v>Faltante</v>
      </c>
    </row>
    <row r="5449" spans="1:14" hidden="1" x14ac:dyDescent="0.25">
      <c r="A5449" s="11">
        <v>46053</v>
      </c>
      <c r="B5449" s="5" t="s">
        <v>971</v>
      </c>
      <c r="C5449" s="3" t="s">
        <v>284</v>
      </c>
      <c r="D5449" s="5" t="s">
        <v>120</v>
      </c>
      <c r="E5449" s="5" t="s">
        <v>117</v>
      </c>
      <c r="F5449" s="6" t="s">
        <v>763</v>
      </c>
      <c r="G5449" s="4" t="s">
        <v>1</v>
      </c>
      <c r="H5449" s="25">
        <v>23.716363470000001</v>
      </c>
      <c r="I5449" s="8">
        <v>-140</v>
      </c>
      <c r="J5449" s="9">
        <v>0</v>
      </c>
      <c r="K5449" s="7">
        <v>140</v>
      </c>
      <c r="L5449" s="24">
        <f>+Tabla2[[#This Row],[Stock Inventario]]*Tabla2[[#This Row],[Coste LÃ­nea]]</f>
        <v>0</v>
      </c>
      <c r="M5449" s="24">
        <f>+Tabla2[[#This Row],[Variación Stock]]*Tabla2[[#This Row],[Coste LÃ­nea]]</f>
        <v>3320.2908858000001</v>
      </c>
      <c r="N5449" s="22" t="str">
        <f>+IF(Tabla2[[#This Row],[Variación Stock]]&gt;0,"Sobrante",IF(Tabla2[[#This Row],[Variación Stock]]&lt;0,"Faltante","Sin novedad"))</f>
        <v>Sobrante</v>
      </c>
    </row>
    <row r="5450" spans="1:14" hidden="1" x14ac:dyDescent="0.25">
      <c r="A5450" s="11">
        <v>46053</v>
      </c>
      <c r="B5450" s="5" t="s">
        <v>971</v>
      </c>
      <c r="C5450" s="3" t="s">
        <v>284</v>
      </c>
      <c r="D5450" s="5" t="s">
        <v>120</v>
      </c>
      <c r="E5450" s="5" t="s">
        <v>117</v>
      </c>
      <c r="F5450" s="6" t="s">
        <v>764</v>
      </c>
      <c r="G5450" s="4" t="s">
        <v>1</v>
      </c>
      <c r="H5450" s="25">
        <v>34.65981884</v>
      </c>
      <c r="I5450" s="8">
        <v>0</v>
      </c>
      <c r="J5450" s="9">
        <v>0</v>
      </c>
      <c r="K5450" s="7">
        <v>0</v>
      </c>
      <c r="L5450" s="24">
        <f>+Tabla2[[#This Row],[Stock Inventario]]*Tabla2[[#This Row],[Coste LÃ­nea]]</f>
        <v>0</v>
      </c>
      <c r="M5450" s="24">
        <f>+Tabla2[[#This Row],[Variación Stock]]*Tabla2[[#This Row],[Coste LÃ­nea]]</f>
        <v>0</v>
      </c>
      <c r="N5450" s="22" t="str">
        <f>+IF(Tabla2[[#This Row],[Variación Stock]]&gt;0,"Sobrante",IF(Tabla2[[#This Row],[Variación Stock]]&lt;0,"Faltante","Sin novedad"))</f>
        <v>Sin novedad</v>
      </c>
    </row>
    <row r="5451" spans="1:14" hidden="1" x14ac:dyDescent="0.25">
      <c r="A5451" s="11">
        <v>46053</v>
      </c>
      <c r="B5451" s="5" t="s">
        <v>971</v>
      </c>
      <c r="C5451" s="3" t="s">
        <v>284</v>
      </c>
      <c r="D5451" s="5" t="s">
        <v>323</v>
      </c>
      <c r="E5451" s="5" t="s">
        <v>117</v>
      </c>
      <c r="F5451" s="6" t="s">
        <v>782</v>
      </c>
      <c r="G5451" s="4" t="s">
        <v>2</v>
      </c>
      <c r="H5451" s="25">
        <v>637.92764901999999</v>
      </c>
      <c r="I5451" s="8">
        <v>0</v>
      </c>
      <c r="J5451" s="9">
        <v>0</v>
      </c>
      <c r="K5451" s="7">
        <v>0</v>
      </c>
      <c r="L5451" s="24">
        <f>+Tabla2[[#This Row],[Stock Inventario]]*Tabla2[[#This Row],[Coste LÃ­nea]]</f>
        <v>0</v>
      </c>
      <c r="M5451" s="24">
        <f>+Tabla2[[#This Row],[Variación Stock]]*Tabla2[[#This Row],[Coste LÃ­nea]]</f>
        <v>0</v>
      </c>
      <c r="N5451" s="22" t="str">
        <f>+IF(Tabla2[[#This Row],[Variación Stock]]&gt;0,"Sobrante",IF(Tabla2[[#This Row],[Variación Stock]]&lt;0,"Faltante","Sin novedad"))</f>
        <v>Sin novedad</v>
      </c>
    </row>
    <row r="5452" spans="1:14" hidden="1" x14ac:dyDescent="0.25">
      <c r="A5452" s="11">
        <v>46053</v>
      </c>
      <c r="B5452" s="5" t="s">
        <v>971</v>
      </c>
      <c r="C5452" s="3" t="s">
        <v>284</v>
      </c>
      <c r="D5452" s="5" t="s">
        <v>120</v>
      </c>
      <c r="E5452" s="5" t="s">
        <v>117</v>
      </c>
      <c r="F5452" s="6" t="s">
        <v>765</v>
      </c>
      <c r="G5452" s="4" t="s">
        <v>2</v>
      </c>
      <c r="H5452" s="25">
        <v>435.94936706999999</v>
      </c>
      <c r="I5452" s="8">
        <v>-47</v>
      </c>
      <c r="J5452" s="9">
        <v>50</v>
      </c>
      <c r="K5452" s="7">
        <v>97</v>
      </c>
      <c r="L5452" s="24">
        <f>+Tabla2[[#This Row],[Stock Inventario]]*Tabla2[[#This Row],[Coste LÃ­nea]]</f>
        <v>21797.4683535</v>
      </c>
      <c r="M5452" s="24">
        <f>+Tabla2[[#This Row],[Variación Stock]]*Tabla2[[#This Row],[Coste LÃ­nea]]</f>
        <v>42287.088605789999</v>
      </c>
      <c r="N5452" s="22" t="str">
        <f>+IF(Tabla2[[#This Row],[Variación Stock]]&gt;0,"Sobrante",IF(Tabla2[[#This Row],[Variación Stock]]&lt;0,"Faltante","Sin novedad"))</f>
        <v>Sobrante</v>
      </c>
    </row>
    <row r="5453" spans="1:14" x14ac:dyDescent="0.25">
      <c r="A5453" s="11">
        <v>46053</v>
      </c>
      <c r="B5453" s="5" t="s">
        <v>971</v>
      </c>
      <c r="C5453" s="3" t="s">
        <v>284</v>
      </c>
      <c r="D5453" s="5" t="s">
        <v>121</v>
      </c>
      <c r="E5453" s="5" t="s">
        <v>112</v>
      </c>
      <c r="F5453" s="6" t="s">
        <v>801</v>
      </c>
      <c r="G5453" s="4" t="s">
        <v>1</v>
      </c>
      <c r="H5453" s="25">
        <v>16.463414660000002</v>
      </c>
      <c r="I5453" s="8">
        <v>-34975</v>
      </c>
      <c r="J5453" s="9">
        <v>3300</v>
      </c>
      <c r="K5453" s="7">
        <v>38275</v>
      </c>
      <c r="L5453" s="24">
        <f>+Tabla2[[#This Row],[Stock Inventario]]*Tabla2[[#This Row],[Coste LÃ­nea]]</f>
        <v>54329.268378000008</v>
      </c>
      <c r="M5453" s="24">
        <f>+Tabla2[[#This Row],[Variación Stock]]*Tabla2[[#This Row],[Coste LÃ­nea]]</f>
        <v>630137.19611150003</v>
      </c>
      <c r="N5453" s="22" t="str">
        <f>+IF(Tabla2[[#This Row],[Variación Stock]]&gt;0,"Sobrante",IF(Tabla2[[#This Row],[Variación Stock]]&lt;0,"Faltante","Sin novedad"))</f>
        <v>Sobrante</v>
      </c>
    </row>
    <row r="5454" spans="1:14" x14ac:dyDescent="0.25">
      <c r="A5454" s="11">
        <v>46053</v>
      </c>
      <c r="B5454" s="5" t="s">
        <v>971</v>
      </c>
      <c r="C5454" s="3" t="s">
        <v>284</v>
      </c>
      <c r="D5454" s="5" t="s">
        <v>603</v>
      </c>
      <c r="E5454" s="5" t="s">
        <v>112</v>
      </c>
      <c r="F5454" s="6" t="s">
        <v>615</v>
      </c>
      <c r="G5454" s="4" t="s">
        <v>0</v>
      </c>
      <c r="H5454" s="25">
        <v>1738.90909091</v>
      </c>
      <c r="I5454" s="8">
        <v>54</v>
      </c>
      <c r="J5454" s="9">
        <v>28</v>
      </c>
      <c r="K5454" s="7">
        <v>-26</v>
      </c>
      <c r="L5454" s="24">
        <f>+Tabla2[[#This Row],[Stock Inventario]]*Tabla2[[#This Row],[Coste LÃ­nea]]</f>
        <v>48689.454545480003</v>
      </c>
      <c r="M5454" s="24">
        <f>+Tabla2[[#This Row],[Variación Stock]]*Tabla2[[#This Row],[Coste LÃ­nea]]</f>
        <v>-45211.63636366</v>
      </c>
      <c r="N5454" s="22" t="str">
        <f>+IF(Tabla2[[#This Row],[Variación Stock]]&gt;0,"Sobrante",IF(Tabla2[[#This Row],[Variación Stock]]&lt;0,"Faltante","Sin novedad"))</f>
        <v>Faltante</v>
      </c>
    </row>
    <row r="5455" spans="1:14" hidden="1" x14ac:dyDescent="0.25">
      <c r="A5455" s="11">
        <v>46053</v>
      </c>
      <c r="B5455" s="5" t="s">
        <v>971</v>
      </c>
      <c r="C5455" s="3" t="s">
        <v>284</v>
      </c>
      <c r="D5455" s="5" t="s">
        <v>396</v>
      </c>
      <c r="E5455" s="5" t="s">
        <v>117</v>
      </c>
      <c r="F5455" s="6" t="s">
        <v>454</v>
      </c>
      <c r="G5455" s="4" t="s">
        <v>0</v>
      </c>
      <c r="H5455" s="25">
        <v>1594</v>
      </c>
      <c r="I5455" s="8">
        <v>6.7</v>
      </c>
      <c r="J5455" s="9">
        <v>3</v>
      </c>
      <c r="K5455" s="7">
        <v>-3.7</v>
      </c>
      <c r="L5455" s="24">
        <f>+Tabla2[[#This Row],[Stock Inventario]]*Tabla2[[#This Row],[Coste LÃ­nea]]</f>
        <v>4782</v>
      </c>
      <c r="M5455" s="24">
        <f>+Tabla2[[#This Row],[Variación Stock]]*Tabla2[[#This Row],[Coste LÃ­nea]]</f>
        <v>-5897.8</v>
      </c>
      <c r="N5455" s="22" t="str">
        <f>+IF(Tabla2[[#This Row],[Variación Stock]]&gt;0,"Sobrante",IF(Tabla2[[#This Row],[Variación Stock]]&lt;0,"Faltante","Sin novedad"))</f>
        <v>Faltante</v>
      </c>
    </row>
    <row r="5456" spans="1:14" hidden="1" x14ac:dyDescent="0.25">
      <c r="A5456" s="11">
        <v>46053</v>
      </c>
      <c r="B5456" s="5" t="s">
        <v>971</v>
      </c>
      <c r="C5456" s="3" t="s">
        <v>284</v>
      </c>
      <c r="D5456" s="5" t="s">
        <v>626</v>
      </c>
      <c r="E5456" s="5" t="s">
        <v>1079</v>
      </c>
      <c r="F5456" s="6" t="s">
        <v>663</v>
      </c>
      <c r="G5456" s="4" t="s">
        <v>1</v>
      </c>
      <c r="H5456" s="25">
        <v>11.7532</v>
      </c>
      <c r="I5456" s="8">
        <v>0</v>
      </c>
      <c r="J5456" s="9">
        <v>0</v>
      </c>
      <c r="K5456" s="7">
        <v>0</v>
      </c>
      <c r="L5456" s="24">
        <f>+Tabla2[[#This Row],[Stock Inventario]]*Tabla2[[#This Row],[Coste LÃ­nea]]</f>
        <v>0</v>
      </c>
      <c r="M5456" s="24">
        <f>+Tabla2[[#This Row],[Variación Stock]]*Tabla2[[#This Row],[Coste LÃ­nea]]</f>
        <v>0</v>
      </c>
      <c r="N5456" s="22" t="str">
        <f>+IF(Tabla2[[#This Row],[Variación Stock]]&gt;0,"Sobrante",IF(Tabla2[[#This Row],[Variación Stock]]&lt;0,"Faltante","Sin novedad"))</f>
        <v>Sin novedad</v>
      </c>
    </row>
    <row r="5457" spans="1:14" hidden="1" x14ac:dyDescent="0.25">
      <c r="A5457" s="11">
        <v>46053</v>
      </c>
      <c r="B5457" s="5" t="s">
        <v>971</v>
      </c>
      <c r="C5457" s="3" t="s">
        <v>284</v>
      </c>
      <c r="D5457" s="5" t="s">
        <v>626</v>
      </c>
      <c r="E5457" s="5" t="s">
        <v>1079</v>
      </c>
      <c r="F5457" s="6" t="s">
        <v>664</v>
      </c>
      <c r="G5457" s="4" t="s">
        <v>1</v>
      </c>
      <c r="H5457" s="25">
        <v>69.447999999999993</v>
      </c>
      <c r="I5457" s="8">
        <v>5000</v>
      </c>
      <c r="J5457" s="9">
        <v>5000</v>
      </c>
      <c r="K5457" s="7">
        <v>0</v>
      </c>
      <c r="L5457" s="24">
        <f>+Tabla2[[#This Row],[Stock Inventario]]*Tabla2[[#This Row],[Coste LÃ­nea]]</f>
        <v>347239.99999999994</v>
      </c>
      <c r="M5457" s="24">
        <f>+Tabla2[[#This Row],[Variación Stock]]*Tabla2[[#This Row],[Coste LÃ­nea]]</f>
        <v>0</v>
      </c>
      <c r="N5457" s="22" t="str">
        <f>+IF(Tabla2[[#This Row],[Variación Stock]]&gt;0,"Sobrante",IF(Tabla2[[#This Row],[Variación Stock]]&lt;0,"Faltante","Sin novedad"))</f>
        <v>Sin novedad</v>
      </c>
    </row>
    <row r="5458" spans="1:14" hidden="1" x14ac:dyDescent="0.25">
      <c r="A5458" s="11">
        <v>46053</v>
      </c>
      <c r="B5458" s="5" t="s">
        <v>971</v>
      </c>
      <c r="C5458" s="3" t="s">
        <v>284</v>
      </c>
      <c r="D5458" s="5" t="s">
        <v>626</v>
      </c>
      <c r="E5458" s="5" t="s">
        <v>1079</v>
      </c>
      <c r="F5458" s="6" t="s">
        <v>665</v>
      </c>
      <c r="G5458" s="4" t="s">
        <v>1</v>
      </c>
      <c r="H5458" s="25">
        <v>22.645399999999999</v>
      </c>
      <c r="I5458" s="8">
        <v>15001</v>
      </c>
      <c r="J5458" s="9">
        <v>0</v>
      </c>
      <c r="K5458" s="7">
        <v>-15001</v>
      </c>
      <c r="L5458" s="24">
        <f>+Tabla2[[#This Row],[Stock Inventario]]*Tabla2[[#This Row],[Coste LÃ­nea]]</f>
        <v>0</v>
      </c>
      <c r="M5458" s="24">
        <f>+Tabla2[[#This Row],[Variación Stock]]*Tabla2[[#This Row],[Coste LÃ­nea]]</f>
        <v>-339703.64539999998</v>
      </c>
      <c r="N5458" s="22" t="str">
        <f>+IF(Tabla2[[#This Row],[Variación Stock]]&gt;0,"Sobrante",IF(Tabla2[[#This Row],[Variación Stock]]&lt;0,"Faltante","Sin novedad"))</f>
        <v>Faltante</v>
      </c>
    </row>
    <row r="5459" spans="1:14" x14ac:dyDescent="0.25">
      <c r="A5459" s="11">
        <v>46053</v>
      </c>
      <c r="B5459" s="5" t="s">
        <v>971</v>
      </c>
      <c r="C5459" s="3" t="s">
        <v>284</v>
      </c>
      <c r="D5459" s="5" t="s">
        <v>111</v>
      </c>
      <c r="E5459" s="5" t="s">
        <v>112</v>
      </c>
      <c r="F5459" s="6" t="s">
        <v>31</v>
      </c>
      <c r="G5459" s="4" t="s">
        <v>0</v>
      </c>
      <c r="H5459" s="25">
        <v>6774.5454545499997</v>
      </c>
      <c r="I5459" s="8">
        <v>1</v>
      </c>
      <c r="J5459" s="9">
        <v>4</v>
      </c>
      <c r="K5459" s="7">
        <v>3</v>
      </c>
      <c r="L5459" s="24">
        <f>+Tabla2[[#This Row],[Stock Inventario]]*Tabla2[[#This Row],[Coste LÃ­nea]]</f>
        <v>27098.181818199999</v>
      </c>
      <c r="M5459" s="24">
        <f>+Tabla2[[#This Row],[Variación Stock]]*Tabla2[[#This Row],[Coste LÃ­nea]]</f>
        <v>20323.636363649999</v>
      </c>
      <c r="N5459" s="22" t="str">
        <f>+IF(Tabla2[[#This Row],[Variación Stock]]&gt;0,"Sobrante",IF(Tabla2[[#This Row],[Variación Stock]]&lt;0,"Faltante","Sin novedad"))</f>
        <v>Sobrante</v>
      </c>
    </row>
    <row r="5460" spans="1:14" hidden="1" x14ac:dyDescent="0.25">
      <c r="A5460" s="11">
        <v>46053</v>
      </c>
      <c r="B5460" s="5" t="s">
        <v>971</v>
      </c>
      <c r="C5460" s="3" t="s">
        <v>284</v>
      </c>
      <c r="D5460" s="5" t="s">
        <v>559</v>
      </c>
      <c r="E5460" s="5" t="s">
        <v>1080</v>
      </c>
      <c r="F5460" s="6" t="s">
        <v>598</v>
      </c>
      <c r="G5460" s="4" t="s">
        <v>2</v>
      </c>
      <c r="H5460" s="25">
        <v>62.83</v>
      </c>
      <c r="I5460" s="8">
        <v>200</v>
      </c>
      <c r="J5460" s="9">
        <v>150</v>
      </c>
      <c r="K5460" s="7">
        <v>-50</v>
      </c>
      <c r="L5460" s="24">
        <f>+Tabla2[[#This Row],[Stock Inventario]]*Tabla2[[#This Row],[Coste LÃ­nea]]</f>
        <v>9424.5</v>
      </c>
      <c r="M5460" s="24">
        <f>+Tabla2[[#This Row],[Variación Stock]]*Tabla2[[#This Row],[Coste LÃ­nea]]</f>
        <v>-3141.5</v>
      </c>
      <c r="N5460" s="22" t="str">
        <f>+IF(Tabla2[[#This Row],[Variación Stock]]&gt;0,"Sobrante",IF(Tabla2[[#This Row],[Variación Stock]]&lt;0,"Faltante","Sin novedad"))</f>
        <v>Faltante</v>
      </c>
    </row>
    <row r="5461" spans="1:14" hidden="1" x14ac:dyDescent="0.25">
      <c r="A5461" s="11">
        <v>46053</v>
      </c>
      <c r="B5461" s="5" t="s">
        <v>971</v>
      </c>
      <c r="C5461" s="3" t="s">
        <v>284</v>
      </c>
      <c r="D5461" s="5" t="s">
        <v>559</v>
      </c>
      <c r="E5461" s="5" t="s">
        <v>1080</v>
      </c>
      <c r="F5461" s="6" t="s">
        <v>599</v>
      </c>
      <c r="G5461" s="4" t="s">
        <v>2</v>
      </c>
      <c r="H5461" s="25">
        <v>76.944999999999993</v>
      </c>
      <c r="I5461" s="8">
        <v>400</v>
      </c>
      <c r="J5461" s="9">
        <v>0</v>
      </c>
      <c r="K5461" s="7">
        <v>-400</v>
      </c>
      <c r="L5461" s="24">
        <f>+Tabla2[[#This Row],[Stock Inventario]]*Tabla2[[#This Row],[Coste LÃ­nea]]</f>
        <v>0</v>
      </c>
      <c r="M5461" s="24">
        <f>+Tabla2[[#This Row],[Variación Stock]]*Tabla2[[#This Row],[Coste LÃ­nea]]</f>
        <v>-30777.999999999996</v>
      </c>
      <c r="N5461" s="22" t="str">
        <f>+IF(Tabla2[[#This Row],[Variación Stock]]&gt;0,"Sobrante",IF(Tabla2[[#This Row],[Variación Stock]]&lt;0,"Faltante","Sin novedad"))</f>
        <v>Faltante</v>
      </c>
    </row>
    <row r="5462" spans="1:14" hidden="1" x14ac:dyDescent="0.25">
      <c r="A5462" s="11">
        <v>46053</v>
      </c>
      <c r="B5462" s="5" t="s">
        <v>971</v>
      </c>
      <c r="C5462" s="3" t="s">
        <v>284</v>
      </c>
      <c r="D5462" s="5" t="s">
        <v>559</v>
      </c>
      <c r="E5462" s="5" t="s">
        <v>1080</v>
      </c>
      <c r="F5462" s="6" t="s">
        <v>600</v>
      </c>
      <c r="G5462" s="4" t="s">
        <v>2</v>
      </c>
      <c r="H5462" s="25">
        <v>3748.5</v>
      </c>
      <c r="I5462" s="8">
        <v>202</v>
      </c>
      <c r="J5462" s="9">
        <v>30</v>
      </c>
      <c r="K5462" s="7">
        <v>-172</v>
      </c>
      <c r="L5462" s="24">
        <f>+Tabla2[[#This Row],[Stock Inventario]]*Tabla2[[#This Row],[Coste LÃ­nea]]</f>
        <v>112455</v>
      </c>
      <c r="M5462" s="24">
        <f>+Tabla2[[#This Row],[Variación Stock]]*Tabla2[[#This Row],[Coste LÃ­nea]]</f>
        <v>-644742</v>
      </c>
      <c r="N5462" s="22" t="str">
        <f>+IF(Tabla2[[#This Row],[Variación Stock]]&gt;0,"Sobrante",IF(Tabla2[[#This Row],[Variación Stock]]&lt;0,"Faltante","Sin novedad"))</f>
        <v>Faltante</v>
      </c>
    </row>
    <row r="5463" spans="1:14" x14ac:dyDescent="0.25">
      <c r="A5463" s="11">
        <v>46053</v>
      </c>
      <c r="B5463" s="5" t="s">
        <v>971</v>
      </c>
      <c r="C5463" s="3" t="s">
        <v>284</v>
      </c>
      <c r="D5463" s="5" t="s">
        <v>122</v>
      </c>
      <c r="E5463" s="5" t="s">
        <v>112</v>
      </c>
      <c r="F5463" s="6" t="s">
        <v>102</v>
      </c>
      <c r="G5463" s="4" t="s">
        <v>2</v>
      </c>
      <c r="H5463" s="25">
        <v>3458.3291316700002</v>
      </c>
      <c r="I5463" s="8">
        <v>5</v>
      </c>
      <c r="J5463" s="9">
        <v>5</v>
      </c>
      <c r="K5463" s="7">
        <v>0</v>
      </c>
      <c r="L5463" s="24">
        <f>+Tabla2[[#This Row],[Stock Inventario]]*Tabla2[[#This Row],[Coste LÃ­nea]]</f>
        <v>17291.64565835</v>
      </c>
      <c r="M5463" s="24">
        <f>+Tabla2[[#This Row],[Variación Stock]]*Tabla2[[#This Row],[Coste LÃ­nea]]</f>
        <v>0</v>
      </c>
      <c r="N5463" s="22" t="str">
        <f>+IF(Tabla2[[#This Row],[Variación Stock]]&gt;0,"Sobrante",IF(Tabla2[[#This Row],[Variación Stock]]&lt;0,"Faltante","Sin novedad"))</f>
        <v>Sin novedad</v>
      </c>
    </row>
    <row r="5464" spans="1:14" x14ac:dyDescent="0.25">
      <c r="A5464" s="11">
        <v>46053</v>
      </c>
      <c r="B5464" s="5" t="s">
        <v>971</v>
      </c>
      <c r="C5464" s="3" t="s">
        <v>284</v>
      </c>
      <c r="D5464" s="5" t="s">
        <v>122</v>
      </c>
      <c r="E5464" s="5" t="s">
        <v>112</v>
      </c>
      <c r="F5464" s="6" t="s">
        <v>103</v>
      </c>
      <c r="G5464" s="4" t="s">
        <v>2</v>
      </c>
      <c r="H5464" s="25">
        <v>3458.3283333300001</v>
      </c>
      <c r="I5464" s="8">
        <v>10</v>
      </c>
      <c r="J5464" s="9">
        <v>10</v>
      </c>
      <c r="K5464" s="7">
        <v>0</v>
      </c>
      <c r="L5464" s="24">
        <f>+Tabla2[[#This Row],[Stock Inventario]]*Tabla2[[#This Row],[Coste LÃ­nea]]</f>
        <v>34583.283333300002</v>
      </c>
      <c r="M5464" s="24">
        <f>+Tabla2[[#This Row],[Variación Stock]]*Tabla2[[#This Row],[Coste LÃ­nea]]</f>
        <v>0</v>
      </c>
      <c r="N5464" s="22" t="str">
        <f>+IF(Tabla2[[#This Row],[Variación Stock]]&gt;0,"Sobrante",IF(Tabla2[[#This Row],[Variación Stock]]&lt;0,"Faltante","Sin novedad"))</f>
        <v>Sin novedad</v>
      </c>
    </row>
    <row r="5465" spans="1:14" x14ac:dyDescent="0.25">
      <c r="A5465" s="11">
        <v>46053</v>
      </c>
      <c r="B5465" s="5" t="s">
        <v>971</v>
      </c>
      <c r="C5465" s="3" t="s">
        <v>284</v>
      </c>
      <c r="D5465" s="5" t="s">
        <v>122</v>
      </c>
      <c r="E5465" s="5" t="s">
        <v>112</v>
      </c>
      <c r="F5465" s="6" t="s">
        <v>104</v>
      </c>
      <c r="G5465" s="4" t="s">
        <v>2</v>
      </c>
      <c r="H5465" s="25">
        <v>3458.25</v>
      </c>
      <c r="I5465" s="8">
        <v>0</v>
      </c>
      <c r="J5465" s="9">
        <v>0</v>
      </c>
      <c r="K5465" s="7">
        <v>0</v>
      </c>
      <c r="L5465" s="24">
        <f>+Tabla2[[#This Row],[Stock Inventario]]*Tabla2[[#This Row],[Coste LÃ­nea]]</f>
        <v>0</v>
      </c>
      <c r="M5465" s="24">
        <f>+Tabla2[[#This Row],[Variación Stock]]*Tabla2[[#This Row],[Coste LÃ­nea]]</f>
        <v>0</v>
      </c>
      <c r="N5465" s="22" t="str">
        <f>+IF(Tabla2[[#This Row],[Variación Stock]]&gt;0,"Sobrante",IF(Tabla2[[#This Row],[Variación Stock]]&lt;0,"Faltante","Sin novedad"))</f>
        <v>Sin novedad</v>
      </c>
    </row>
    <row r="5466" spans="1:14" x14ac:dyDescent="0.25">
      <c r="A5466" s="11">
        <v>46053</v>
      </c>
      <c r="B5466" s="5" t="s">
        <v>971</v>
      </c>
      <c r="C5466" s="3" t="s">
        <v>284</v>
      </c>
      <c r="D5466" s="5" t="s">
        <v>122</v>
      </c>
      <c r="E5466" s="5" t="s">
        <v>112</v>
      </c>
      <c r="F5466" s="6" t="s">
        <v>105</v>
      </c>
      <c r="G5466" s="4" t="s">
        <v>2</v>
      </c>
      <c r="H5466" s="25">
        <v>3458.25</v>
      </c>
      <c r="I5466" s="8">
        <v>5</v>
      </c>
      <c r="J5466" s="9">
        <v>5</v>
      </c>
      <c r="K5466" s="7">
        <v>0</v>
      </c>
      <c r="L5466" s="24">
        <f>+Tabla2[[#This Row],[Stock Inventario]]*Tabla2[[#This Row],[Coste LÃ­nea]]</f>
        <v>17291.25</v>
      </c>
      <c r="M5466" s="24">
        <f>+Tabla2[[#This Row],[Variación Stock]]*Tabla2[[#This Row],[Coste LÃ­nea]]</f>
        <v>0</v>
      </c>
      <c r="N5466" s="22" t="str">
        <f>+IF(Tabla2[[#This Row],[Variación Stock]]&gt;0,"Sobrante",IF(Tabla2[[#This Row],[Variación Stock]]&lt;0,"Faltante","Sin novedad"))</f>
        <v>Sin novedad</v>
      </c>
    </row>
    <row r="5467" spans="1:14" x14ac:dyDescent="0.25">
      <c r="A5467" s="11">
        <v>46053</v>
      </c>
      <c r="B5467" s="5" t="s">
        <v>971</v>
      </c>
      <c r="C5467" s="3" t="s">
        <v>284</v>
      </c>
      <c r="D5467" s="5" t="s">
        <v>122</v>
      </c>
      <c r="E5467" s="5" t="s">
        <v>112</v>
      </c>
      <c r="F5467" s="6" t="s">
        <v>106</v>
      </c>
      <c r="G5467" s="4" t="s">
        <v>2</v>
      </c>
      <c r="H5467" s="25">
        <v>3458.25</v>
      </c>
      <c r="I5467" s="8">
        <v>7</v>
      </c>
      <c r="J5467" s="9">
        <v>7</v>
      </c>
      <c r="K5467" s="7">
        <v>0</v>
      </c>
      <c r="L5467" s="24">
        <f>+Tabla2[[#This Row],[Stock Inventario]]*Tabla2[[#This Row],[Coste LÃ­nea]]</f>
        <v>24207.75</v>
      </c>
      <c r="M5467" s="24">
        <f>+Tabla2[[#This Row],[Variación Stock]]*Tabla2[[#This Row],[Coste LÃ­nea]]</f>
        <v>0</v>
      </c>
      <c r="N5467" s="22" t="str">
        <f>+IF(Tabla2[[#This Row],[Variación Stock]]&gt;0,"Sobrante",IF(Tabla2[[#This Row],[Variación Stock]]&lt;0,"Faltante","Sin novedad"))</f>
        <v>Sin novedad</v>
      </c>
    </row>
    <row r="5468" spans="1:14" x14ac:dyDescent="0.25">
      <c r="A5468" s="11">
        <v>46053</v>
      </c>
      <c r="B5468" s="5" t="s">
        <v>971</v>
      </c>
      <c r="C5468" s="3" t="s">
        <v>284</v>
      </c>
      <c r="D5468" s="5" t="s">
        <v>122</v>
      </c>
      <c r="E5468" s="5" t="s">
        <v>112</v>
      </c>
      <c r="F5468" s="6" t="s">
        <v>107</v>
      </c>
      <c r="G5468" s="4" t="s">
        <v>2</v>
      </c>
      <c r="H5468" s="25">
        <v>3458.25</v>
      </c>
      <c r="I5468" s="8">
        <v>8</v>
      </c>
      <c r="J5468" s="9">
        <v>8</v>
      </c>
      <c r="K5468" s="7">
        <v>0</v>
      </c>
      <c r="L5468" s="24">
        <f>+Tabla2[[#This Row],[Stock Inventario]]*Tabla2[[#This Row],[Coste LÃ­nea]]</f>
        <v>27666</v>
      </c>
      <c r="M5468" s="24">
        <f>+Tabla2[[#This Row],[Variación Stock]]*Tabla2[[#This Row],[Coste LÃ­nea]]</f>
        <v>0</v>
      </c>
      <c r="N5468" s="22" t="str">
        <f>+IF(Tabla2[[#This Row],[Variación Stock]]&gt;0,"Sobrante",IF(Tabla2[[#This Row],[Variación Stock]]&lt;0,"Faltante","Sin novedad"))</f>
        <v>Sin novedad</v>
      </c>
    </row>
    <row r="5469" spans="1:14" x14ac:dyDescent="0.25">
      <c r="A5469" s="11">
        <v>46053</v>
      </c>
      <c r="B5469" s="5" t="s">
        <v>971</v>
      </c>
      <c r="C5469" s="3" t="s">
        <v>284</v>
      </c>
      <c r="D5469" s="5" t="s">
        <v>122</v>
      </c>
      <c r="E5469" s="5" t="s">
        <v>112</v>
      </c>
      <c r="F5469" s="6" t="s">
        <v>108</v>
      </c>
      <c r="G5469" s="4" t="s">
        <v>2</v>
      </c>
      <c r="H5469" s="25">
        <v>3458.25</v>
      </c>
      <c r="I5469" s="8">
        <v>10</v>
      </c>
      <c r="J5469" s="9">
        <v>0</v>
      </c>
      <c r="K5469" s="7">
        <v>-10</v>
      </c>
      <c r="L5469" s="24">
        <f>+Tabla2[[#This Row],[Stock Inventario]]*Tabla2[[#This Row],[Coste LÃ­nea]]</f>
        <v>0</v>
      </c>
      <c r="M5469" s="24">
        <f>+Tabla2[[#This Row],[Variación Stock]]*Tabla2[[#This Row],[Coste LÃ­nea]]</f>
        <v>-34582.5</v>
      </c>
      <c r="N5469" s="22" t="str">
        <f>+IF(Tabla2[[#This Row],[Variación Stock]]&gt;0,"Sobrante",IF(Tabla2[[#This Row],[Variación Stock]]&lt;0,"Faltante","Sin novedad"))</f>
        <v>Faltante</v>
      </c>
    </row>
    <row r="5470" spans="1:14" x14ac:dyDescent="0.25">
      <c r="A5470" s="11">
        <v>46053</v>
      </c>
      <c r="B5470" s="5" t="s">
        <v>971</v>
      </c>
      <c r="C5470" s="3" t="s">
        <v>284</v>
      </c>
      <c r="D5470" s="5" t="s">
        <v>122</v>
      </c>
      <c r="E5470" s="5" t="s">
        <v>112</v>
      </c>
      <c r="F5470" s="6" t="s">
        <v>109</v>
      </c>
      <c r="G5470" s="4" t="s">
        <v>2</v>
      </c>
      <c r="H5470" s="25">
        <v>3458.25</v>
      </c>
      <c r="I5470" s="8">
        <v>0</v>
      </c>
      <c r="J5470" s="9">
        <v>10</v>
      </c>
      <c r="K5470" s="7">
        <v>10</v>
      </c>
      <c r="L5470" s="24">
        <f>+Tabla2[[#This Row],[Stock Inventario]]*Tabla2[[#This Row],[Coste LÃ­nea]]</f>
        <v>34582.5</v>
      </c>
      <c r="M5470" s="24">
        <f>+Tabla2[[#This Row],[Variación Stock]]*Tabla2[[#This Row],[Coste LÃ­nea]]</f>
        <v>34582.5</v>
      </c>
      <c r="N5470" s="22" t="str">
        <f>+IF(Tabla2[[#This Row],[Variación Stock]]&gt;0,"Sobrante",IF(Tabla2[[#This Row],[Variación Stock]]&lt;0,"Faltante","Sin novedad"))</f>
        <v>Sobrante</v>
      </c>
    </row>
    <row r="5471" spans="1:14" hidden="1" x14ac:dyDescent="0.25">
      <c r="A5471" s="11">
        <v>46053</v>
      </c>
      <c r="B5471" s="5" t="s">
        <v>971</v>
      </c>
      <c r="C5471" s="3" t="s">
        <v>284</v>
      </c>
      <c r="D5471" s="5" t="s">
        <v>396</v>
      </c>
      <c r="E5471" s="5" t="s">
        <v>117</v>
      </c>
      <c r="F5471" s="6" t="s">
        <v>426</v>
      </c>
      <c r="G5471" s="4" t="s">
        <v>1</v>
      </c>
      <c r="H5471" s="25">
        <v>17.850000000000001</v>
      </c>
      <c r="I5471" s="8">
        <v>0</v>
      </c>
      <c r="J5471" s="9">
        <v>0</v>
      </c>
      <c r="K5471" s="7">
        <v>0</v>
      </c>
      <c r="L5471" s="24">
        <f>+Tabla2[[#This Row],[Stock Inventario]]*Tabla2[[#This Row],[Coste LÃ­nea]]</f>
        <v>0</v>
      </c>
      <c r="M5471" s="24">
        <f>+Tabla2[[#This Row],[Variación Stock]]*Tabla2[[#This Row],[Coste LÃ­nea]]</f>
        <v>0</v>
      </c>
      <c r="N5471" s="22" t="str">
        <f>+IF(Tabla2[[#This Row],[Variación Stock]]&gt;0,"Sobrante",IF(Tabla2[[#This Row],[Variación Stock]]&lt;0,"Faltante","Sin novedad"))</f>
        <v>Sin novedad</v>
      </c>
    </row>
    <row r="5472" spans="1:14" hidden="1" x14ac:dyDescent="0.25">
      <c r="A5472" s="11">
        <v>46053</v>
      </c>
      <c r="B5472" s="5" t="s">
        <v>971</v>
      </c>
      <c r="C5472" s="3" t="s">
        <v>284</v>
      </c>
      <c r="D5472" s="5" t="s">
        <v>559</v>
      </c>
      <c r="E5472" s="5" t="s">
        <v>1080</v>
      </c>
      <c r="F5472" s="6" t="s">
        <v>601</v>
      </c>
      <c r="G5472" s="4" t="s">
        <v>2</v>
      </c>
      <c r="H5472" s="25">
        <v>135.84</v>
      </c>
      <c r="I5472" s="8">
        <v>300</v>
      </c>
      <c r="J5472" s="9">
        <v>200</v>
      </c>
      <c r="K5472" s="7">
        <v>-100</v>
      </c>
      <c r="L5472" s="24">
        <f>+Tabla2[[#This Row],[Stock Inventario]]*Tabla2[[#This Row],[Coste LÃ­nea]]</f>
        <v>27168</v>
      </c>
      <c r="M5472" s="24">
        <f>+Tabla2[[#This Row],[Variación Stock]]*Tabla2[[#This Row],[Coste LÃ­nea]]</f>
        <v>-13584</v>
      </c>
      <c r="N5472" s="22" t="str">
        <f>+IF(Tabla2[[#This Row],[Variación Stock]]&gt;0,"Sobrante",IF(Tabla2[[#This Row],[Variación Stock]]&lt;0,"Faltante","Sin novedad"))</f>
        <v>Faltante</v>
      </c>
    </row>
    <row r="5473" spans="1:14" x14ac:dyDescent="0.25">
      <c r="A5473" s="11">
        <v>46053</v>
      </c>
      <c r="B5473" s="5" t="s">
        <v>971</v>
      </c>
      <c r="C5473" s="3" t="s">
        <v>284</v>
      </c>
      <c r="D5473" s="5" t="s">
        <v>111</v>
      </c>
      <c r="E5473" s="5" t="s">
        <v>112</v>
      </c>
      <c r="F5473" s="6" t="s">
        <v>286</v>
      </c>
      <c r="G5473" s="4" t="s">
        <v>0</v>
      </c>
      <c r="H5473" s="25">
        <v>8628.9583333299997</v>
      </c>
      <c r="I5473" s="8">
        <v>0</v>
      </c>
      <c r="J5473" s="9">
        <v>0</v>
      </c>
      <c r="K5473" s="7">
        <v>0</v>
      </c>
      <c r="L5473" s="24">
        <f>+Tabla2[[#This Row],[Stock Inventario]]*Tabla2[[#This Row],[Coste LÃ­nea]]</f>
        <v>0</v>
      </c>
      <c r="M5473" s="24">
        <f>+Tabla2[[#This Row],[Variación Stock]]*Tabla2[[#This Row],[Coste LÃ­nea]]</f>
        <v>0</v>
      </c>
      <c r="N5473" s="22" t="str">
        <f>+IF(Tabla2[[#This Row],[Variación Stock]]&gt;0,"Sobrante",IF(Tabla2[[#This Row],[Variación Stock]]&lt;0,"Faltante","Sin novedad"))</f>
        <v>Sin novedad</v>
      </c>
    </row>
    <row r="5474" spans="1:14" x14ac:dyDescent="0.25">
      <c r="A5474" s="11">
        <v>46053</v>
      </c>
      <c r="B5474" s="5" t="s">
        <v>971</v>
      </c>
      <c r="C5474" s="3" t="s">
        <v>284</v>
      </c>
      <c r="D5474" s="5" t="s">
        <v>111</v>
      </c>
      <c r="E5474" s="5" t="s">
        <v>112</v>
      </c>
      <c r="F5474" s="6" t="s">
        <v>32</v>
      </c>
      <c r="G5474" s="4" t="s">
        <v>0</v>
      </c>
      <c r="H5474" s="25">
        <v>8628.9583333299997</v>
      </c>
      <c r="I5474" s="8">
        <v>22</v>
      </c>
      <c r="J5474" s="9">
        <v>19</v>
      </c>
      <c r="K5474" s="7">
        <v>-3</v>
      </c>
      <c r="L5474" s="24">
        <f>+Tabla2[[#This Row],[Stock Inventario]]*Tabla2[[#This Row],[Coste LÃ­nea]]</f>
        <v>163950.20833326998</v>
      </c>
      <c r="M5474" s="24">
        <f>+Tabla2[[#This Row],[Variación Stock]]*Tabla2[[#This Row],[Coste LÃ­nea]]</f>
        <v>-25886.874999989999</v>
      </c>
      <c r="N5474" s="22" t="str">
        <f>+IF(Tabla2[[#This Row],[Variación Stock]]&gt;0,"Sobrante",IF(Tabla2[[#This Row],[Variación Stock]]&lt;0,"Faltante","Sin novedad"))</f>
        <v>Faltante</v>
      </c>
    </row>
    <row r="5475" spans="1:14" x14ac:dyDescent="0.25">
      <c r="A5475" s="11">
        <v>46053</v>
      </c>
      <c r="B5475" s="5" t="s">
        <v>971</v>
      </c>
      <c r="C5475" s="3" t="s">
        <v>284</v>
      </c>
      <c r="D5475" s="5" t="s">
        <v>111</v>
      </c>
      <c r="E5475" s="5" t="s">
        <v>112</v>
      </c>
      <c r="F5475" s="6" t="s">
        <v>33</v>
      </c>
      <c r="G5475" s="4" t="s">
        <v>0</v>
      </c>
      <c r="H5475" s="25">
        <v>4004.4333333300001</v>
      </c>
      <c r="I5475" s="8">
        <v>-3</v>
      </c>
      <c r="J5475" s="9">
        <v>3</v>
      </c>
      <c r="K5475" s="7">
        <v>6</v>
      </c>
      <c r="L5475" s="24">
        <f>+Tabla2[[#This Row],[Stock Inventario]]*Tabla2[[#This Row],[Coste LÃ­nea]]</f>
        <v>12013.29999999</v>
      </c>
      <c r="M5475" s="24">
        <f>+Tabla2[[#This Row],[Variación Stock]]*Tabla2[[#This Row],[Coste LÃ­nea]]</f>
        <v>24026.599999980001</v>
      </c>
      <c r="N5475" s="22" t="str">
        <f>+IF(Tabla2[[#This Row],[Variación Stock]]&gt;0,"Sobrante",IF(Tabla2[[#This Row],[Variación Stock]]&lt;0,"Faltante","Sin novedad"))</f>
        <v>Sobrante</v>
      </c>
    </row>
    <row r="5476" spans="1:14" x14ac:dyDescent="0.25">
      <c r="A5476" s="11">
        <v>46053</v>
      </c>
      <c r="B5476" s="5" t="s">
        <v>971</v>
      </c>
      <c r="C5476" s="3" t="s">
        <v>284</v>
      </c>
      <c r="D5476" s="5" t="s">
        <v>111</v>
      </c>
      <c r="E5476" s="5" t="s">
        <v>112</v>
      </c>
      <c r="F5476" s="6" t="s">
        <v>379</v>
      </c>
      <c r="G5476" s="4" t="s">
        <v>0</v>
      </c>
      <c r="H5476" s="25">
        <v>14293.772727269999</v>
      </c>
      <c r="I5476" s="8">
        <v>22</v>
      </c>
      <c r="J5476" s="9">
        <v>22</v>
      </c>
      <c r="K5476" s="7">
        <v>0</v>
      </c>
      <c r="L5476" s="24">
        <f>+Tabla2[[#This Row],[Stock Inventario]]*Tabla2[[#This Row],[Coste LÃ­nea]]</f>
        <v>314462.99999993999</v>
      </c>
      <c r="M5476" s="24">
        <f>+Tabla2[[#This Row],[Variación Stock]]*Tabla2[[#This Row],[Coste LÃ­nea]]</f>
        <v>0</v>
      </c>
      <c r="N5476" s="22" t="str">
        <f>+IF(Tabla2[[#This Row],[Variación Stock]]&gt;0,"Sobrante",IF(Tabla2[[#This Row],[Variación Stock]]&lt;0,"Faltante","Sin novedad"))</f>
        <v>Sin novedad</v>
      </c>
    </row>
    <row r="5477" spans="1:14" x14ac:dyDescent="0.25">
      <c r="A5477" s="11">
        <v>46053</v>
      </c>
      <c r="B5477" s="5" t="s">
        <v>971</v>
      </c>
      <c r="C5477" s="3" t="s">
        <v>284</v>
      </c>
      <c r="D5477" s="5" t="s">
        <v>111</v>
      </c>
      <c r="E5477" s="5" t="s">
        <v>112</v>
      </c>
      <c r="F5477" s="6" t="s">
        <v>380</v>
      </c>
      <c r="G5477" s="4" t="s">
        <v>0</v>
      </c>
      <c r="H5477" s="25">
        <v>10667.40909091</v>
      </c>
      <c r="I5477" s="8">
        <v>22</v>
      </c>
      <c r="J5477" s="9">
        <v>22</v>
      </c>
      <c r="K5477" s="7">
        <v>0</v>
      </c>
      <c r="L5477" s="24">
        <f>+Tabla2[[#This Row],[Stock Inventario]]*Tabla2[[#This Row],[Coste LÃ­nea]]</f>
        <v>234683.00000001999</v>
      </c>
      <c r="M5477" s="24">
        <f>+Tabla2[[#This Row],[Variación Stock]]*Tabla2[[#This Row],[Coste LÃ­nea]]</f>
        <v>0</v>
      </c>
      <c r="N5477" s="22" t="str">
        <f>+IF(Tabla2[[#This Row],[Variación Stock]]&gt;0,"Sobrante",IF(Tabla2[[#This Row],[Variación Stock]]&lt;0,"Faltante","Sin novedad"))</f>
        <v>Sin novedad</v>
      </c>
    </row>
    <row r="5478" spans="1:14" x14ac:dyDescent="0.25">
      <c r="A5478" s="11">
        <v>46053</v>
      </c>
      <c r="B5478" s="5" t="s">
        <v>971</v>
      </c>
      <c r="C5478" s="3" t="s">
        <v>284</v>
      </c>
      <c r="D5478" s="5" t="s">
        <v>111</v>
      </c>
      <c r="E5478" s="5" t="s">
        <v>112</v>
      </c>
      <c r="F5478" s="6" t="s">
        <v>381</v>
      </c>
      <c r="G5478" s="4" t="s">
        <v>0</v>
      </c>
      <c r="H5478" s="25">
        <v>8874.3181818199992</v>
      </c>
      <c r="I5478" s="8">
        <v>68</v>
      </c>
      <c r="J5478" s="9">
        <v>64</v>
      </c>
      <c r="K5478" s="7">
        <v>-4</v>
      </c>
      <c r="L5478" s="24">
        <f>+Tabla2[[#This Row],[Stock Inventario]]*Tabla2[[#This Row],[Coste LÃ­nea]]</f>
        <v>567956.36363647995</v>
      </c>
      <c r="M5478" s="24">
        <f>+Tabla2[[#This Row],[Variación Stock]]*Tabla2[[#This Row],[Coste LÃ­nea]]</f>
        <v>-35497.272727279997</v>
      </c>
      <c r="N5478" s="22" t="str">
        <f>+IF(Tabla2[[#This Row],[Variación Stock]]&gt;0,"Sobrante",IF(Tabla2[[#This Row],[Variación Stock]]&lt;0,"Faltante","Sin novedad"))</f>
        <v>Faltante</v>
      </c>
    </row>
    <row r="5479" spans="1:14" hidden="1" x14ac:dyDescent="0.25">
      <c r="A5479" s="11">
        <v>46053</v>
      </c>
      <c r="B5479" s="5" t="s">
        <v>971</v>
      </c>
      <c r="C5479" s="3" t="s">
        <v>284</v>
      </c>
      <c r="D5479" s="5" t="s">
        <v>119</v>
      </c>
      <c r="E5479" s="5" t="s">
        <v>117</v>
      </c>
      <c r="F5479" s="6" t="s">
        <v>13</v>
      </c>
      <c r="G5479" s="4" t="s">
        <v>2</v>
      </c>
      <c r="H5479" s="25">
        <v>8166.6666666700003</v>
      </c>
      <c r="I5479" s="8">
        <v>0</v>
      </c>
      <c r="J5479" s="9">
        <v>0</v>
      </c>
      <c r="K5479" s="7">
        <v>0</v>
      </c>
      <c r="L5479" s="24">
        <f>+Tabla2[[#This Row],[Stock Inventario]]*Tabla2[[#This Row],[Coste LÃ­nea]]</f>
        <v>0</v>
      </c>
      <c r="M5479" s="24">
        <f>+Tabla2[[#This Row],[Variación Stock]]*Tabla2[[#This Row],[Coste LÃ­nea]]</f>
        <v>0</v>
      </c>
      <c r="N5479" s="22" t="str">
        <f>+IF(Tabla2[[#This Row],[Variación Stock]]&gt;0,"Sobrante",IF(Tabla2[[#This Row],[Variación Stock]]&lt;0,"Faltante","Sin novedad"))</f>
        <v>Sin novedad</v>
      </c>
    </row>
    <row r="5480" spans="1:14" hidden="1" x14ac:dyDescent="0.25">
      <c r="A5480" s="11">
        <v>46053</v>
      </c>
      <c r="B5480" s="5" t="s">
        <v>971</v>
      </c>
      <c r="C5480" s="3" t="s">
        <v>284</v>
      </c>
      <c r="D5480" s="5" t="s">
        <v>119</v>
      </c>
      <c r="E5480" s="5" t="s">
        <v>117</v>
      </c>
      <c r="F5480" s="6" t="s">
        <v>199</v>
      </c>
      <c r="G5480" s="4" t="s">
        <v>1</v>
      </c>
      <c r="H5480" s="25">
        <v>454.81299999999999</v>
      </c>
      <c r="I5480" s="8">
        <v>0</v>
      </c>
      <c r="J5480" s="9">
        <v>0</v>
      </c>
      <c r="K5480" s="7">
        <v>0</v>
      </c>
      <c r="L5480" s="24">
        <f>+Tabla2[[#This Row],[Stock Inventario]]*Tabla2[[#This Row],[Coste LÃ­nea]]</f>
        <v>0</v>
      </c>
      <c r="M5480" s="24">
        <f>+Tabla2[[#This Row],[Variación Stock]]*Tabla2[[#This Row],[Coste LÃ­nea]]</f>
        <v>0</v>
      </c>
      <c r="N5480" s="22" t="str">
        <f>+IF(Tabla2[[#This Row],[Variación Stock]]&gt;0,"Sobrante",IF(Tabla2[[#This Row],[Variación Stock]]&lt;0,"Faltante","Sin novedad"))</f>
        <v>Sin novedad</v>
      </c>
    </row>
    <row r="5481" spans="1:14" hidden="1" x14ac:dyDescent="0.25">
      <c r="A5481" s="11">
        <v>46053</v>
      </c>
      <c r="B5481" s="5" t="s">
        <v>971</v>
      </c>
      <c r="C5481" s="3" t="s">
        <v>284</v>
      </c>
      <c r="D5481" s="5" t="s">
        <v>626</v>
      </c>
      <c r="E5481" s="5" t="s">
        <v>1079</v>
      </c>
      <c r="F5481" s="6" t="s">
        <v>666</v>
      </c>
      <c r="G5481" s="4" t="s">
        <v>2</v>
      </c>
      <c r="H5481" s="25">
        <v>45452</v>
      </c>
      <c r="I5481" s="8">
        <v>2</v>
      </c>
      <c r="J5481" s="9">
        <v>1</v>
      </c>
      <c r="K5481" s="7">
        <v>-1</v>
      </c>
      <c r="L5481" s="24">
        <f>+Tabla2[[#This Row],[Stock Inventario]]*Tabla2[[#This Row],[Coste LÃ­nea]]</f>
        <v>45452</v>
      </c>
      <c r="M5481" s="24">
        <f>+Tabla2[[#This Row],[Variación Stock]]*Tabla2[[#This Row],[Coste LÃ­nea]]</f>
        <v>-45452</v>
      </c>
      <c r="N5481" s="22" t="str">
        <f>+IF(Tabla2[[#This Row],[Variación Stock]]&gt;0,"Sobrante",IF(Tabla2[[#This Row],[Variación Stock]]&lt;0,"Faltante","Sin novedad"))</f>
        <v>Faltante</v>
      </c>
    </row>
    <row r="5482" spans="1:14" hidden="1" x14ac:dyDescent="0.25">
      <c r="A5482" s="11">
        <v>46053</v>
      </c>
      <c r="B5482" s="5" t="s">
        <v>971</v>
      </c>
      <c r="C5482" s="3" t="s">
        <v>284</v>
      </c>
      <c r="D5482" s="5" t="s">
        <v>626</v>
      </c>
      <c r="E5482" s="5" t="s">
        <v>1079</v>
      </c>
      <c r="F5482" s="6" t="s">
        <v>667</v>
      </c>
      <c r="G5482" s="4" t="s">
        <v>2</v>
      </c>
      <c r="H5482" s="25">
        <v>56142</v>
      </c>
      <c r="I5482" s="8">
        <v>1</v>
      </c>
      <c r="J5482" s="9">
        <v>1</v>
      </c>
      <c r="K5482" s="7">
        <v>0</v>
      </c>
      <c r="L5482" s="24">
        <f>+Tabla2[[#This Row],[Stock Inventario]]*Tabla2[[#This Row],[Coste LÃ­nea]]</f>
        <v>56142</v>
      </c>
      <c r="M5482" s="24">
        <f>+Tabla2[[#This Row],[Variación Stock]]*Tabla2[[#This Row],[Coste LÃ­nea]]</f>
        <v>0</v>
      </c>
      <c r="N5482" s="22" t="str">
        <f>+IF(Tabla2[[#This Row],[Variación Stock]]&gt;0,"Sobrante",IF(Tabla2[[#This Row],[Variación Stock]]&lt;0,"Faltante","Sin novedad"))</f>
        <v>Sin novedad</v>
      </c>
    </row>
    <row r="5483" spans="1:14" hidden="1" x14ac:dyDescent="0.25">
      <c r="A5483" s="11">
        <v>46053</v>
      </c>
      <c r="B5483" s="5" t="s">
        <v>971</v>
      </c>
      <c r="C5483" s="3" t="s">
        <v>284</v>
      </c>
      <c r="D5483" s="5" t="s">
        <v>626</v>
      </c>
      <c r="E5483" s="5" t="s">
        <v>1079</v>
      </c>
      <c r="F5483" s="6" t="s">
        <v>668</v>
      </c>
      <c r="G5483" s="4" t="s">
        <v>2</v>
      </c>
      <c r="H5483" s="25">
        <v>40422</v>
      </c>
      <c r="I5483" s="8">
        <v>1</v>
      </c>
      <c r="J5483" s="9">
        <v>1</v>
      </c>
      <c r="K5483" s="7">
        <v>0</v>
      </c>
      <c r="L5483" s="24">
        <f>+Tabla2[[#This Row],[Stock Inventario]]*Tabla2[[#This Row],[Coste LÃ­nea]]</f>
        <v>40422</v>
      </c>
      <c r="M5483" s="24">
        <f>+Tabla2[[#This Row],[Variación Stock]]*Tabla2[[#This Row],[Coste LÃ­nea]]</f>
        <v>0</v>
      </c>
      <c r="N5483" s="22" t="str">
        <f>+IF(Tabla2[[#This Row],[Variación Stock]]&gt;0,"Sobrante",IF(Tabla2[[#This Row],[Variación Stock]]&lt;0,"Faltante","Sin novedad"))</f>
        <v>Sin novedad</v>
      </c>
    </row>
    <row r="5484" spans="1:14" hidden="1" x14ac:dyDescent="0.25">
      <c r="A5484" s="11">
        <v>46053</v>
      </c>
      <c r="B5484" s="5" t="s">
        <v>971</v>
      </c>
      <c r="C5484" s="3" t="s">
        <v>284</v>
      </c>
      <c r="D5484" s="5" t="s">
        <v>626</v>
      </c>
      <c r="E5484" s="5" t="s">
        <v>1079</v>
      </c>
      <c r="F5484" s="6" t="s">
        <v>669</v>
      </c>
      <c r="G5484" s="4" t="s">
        <v>2</v>
      </c>
      <c r="H5484" s="25">
        <v>8771.4285714300004</v>
      </c>
      <c r="I5484" s="8">
        <v>44</v>
      </c>
      <c r="J5484" s="9">
        <v>5</v>
      </c>
      <c r="K5484" s="7">
        <v>-39</v>
      </c>
      <c r="L5484" s="24">
        <f>+Tabla2[[#This Row],[Stock Inventario]]*Tabla2[[#This Row],[Coste LÃ­nea]]</f>
        <v>43857.14285715</v>
      </c>
      <c r="M5484" s="24">
        <f>+Tabla2[[#This Row],[Variación Stock]]*Tabla2[[#This Row],[Coste LÃ­nea]]</f>
        <v>-342085.71428577002</v>
      </c>
      <c r="N5484" s="22" t="str">
        <f>+IF(Tabla2[[#This Row],[Variación Stock]]&gt;0,"Sobrante",IF(Tabla2[[#This Row],[Variación Stock]]&lt;0,"Faltante","Sin novedad"))</f>
        <v>Faltante</v>
      </c>
    </row>
    <row r="5485" spans="1:14" hidden="1" x14ac:dyDescent="0.25">
      <c r="A5485" s="11">
        <v>46053</v>
      </c>
      <c r="B5485" s="5" t="s">
        <v>971</v>
      </c>
      <c r="C5485" s="3" t="s">
        <v>284</v>
      </c>
      <c r="D5485" s="5" t="s">
        <v>626</v>
      </c>
      <c r="E5485" s="5" t="s">
        <v>1079</v>
      </c>
      <c r="F5485" s="6" t="s">
        <v>670</v>
      </c>
      <c r="G5485" s="4" t="s">
        <v>2</v>
      </c>
      <c r="H5485" s="25">
        <v>24179.127451</v>
      </c>
      <c r="I5485" s="8">
        <v>0</v>
      </c>
      <c r="J5485" s="9">
        <v>0</v>
      </c>
      <c r="K5485" s="7">
        <v>0</v>
      </c>
      <c r="L5485" s="24">
        <f>+Tabla2[[#This Row],[Stock Inventario]]*Tabla2[[#This Row],[Coste LÃ­nea]]</f>
        <v>0</v>
      </c>
      <c r="M5485" s="24">
        <f>+Tabla2[[#This Row],[Variación Stock]]*Tabla2[[#This Row],[Coste LÃ­nea]]</f>
        <v>0</v>
      </c>
      <c r="N5485" s="22" t="str">
        <f>+IF(Tabla2[[#This Row],[Variación Stock]]&gt;0,"Sobrante",IF(Tabla2[[#This Row],[Variación Stock]]&lt;0,"Faltante","Sin novedad"))</f>
        <v>Sin novedad</v>
      </c>
    </row>
    <row r="5486" spans="1:14" hidden="1" x14ac:dyDescent="0.25">
      <c r="A5486" s="11">
        <v>46053</v>
      </c>
      <c r="B5486" s="5" t="s">
        <v>971</v>
      </c>
      <c r="C5486" s="3" t="s">
        <v>284</v>
      </c>
      <c r="D5486" s="5" t="s">
        <v>626</v>
      </c>
      <c r="E5486" s="5" t="s">
        <v>1079</v>
      </c>
      <c r="F5486" s="6" t="s">
        <v>676</v>
      </c>
      <c r="G5486" s="4" t="s">
        <v>2</v>
      </c>
      <c r="H5486" s="25">
        <v>18934.621848800001</v>
      </c>
      <c r="I5486" s="8">
        <v>32</v>
      </c>
      <c r="J5486" s="9">
        <v>0</v>
      </c>
      <c r="K5486" s="7">
        <v>-32</v>
      </c>
      <c r="L5486" s="24">
        <f>+Tabla2[[#This Row],[Stock Inventario]]*Tabla2[[#This Row],[Coste LÃ­nea]]</f>
        <v>0</v>
      </c>
      <c r="M5486" s="24">
        <f>+Tabla2[[#This Row],[Variación Stock]]*Tabla2[[#This Row],[Coste LÃ­nea]]</f>
        <v>-605907.89916160004</v>
      </c>
      <c r="N5486" s="22" t="str">
        <f>+IF(Tabla2[[#This Row],[Variación Stock]]&gt;0,"Sobrante",IF(Tabla2[[#This Row],[Variación Stock]]&lt;0,"Faltante","Sin novedad"))</f>
        <v>Faltante</v>
      </c>
    </row>
    <row r="5487" spans="1:14" hidden="1" x14ac:dyDescent="0.25">
      <c r="A5487" s="11">
        <v>46053</v>
      </c>
      <c r="B5487" s="5" t="s">
        <v>971</v>
      </c>
      <c r="C5487" s="3" t="s">
        <v>284</v>
      </c>
      <c r="D5487" s="5" t="s">
        <v>396</v>
      </c>
      <c r="E5487" s="5" t="s">
        <v>117</v>
      </c>
      <c r="F5487" s="6" t="s">
        <v>427</v>
      </c>
      <c r="G5487" s="4" t="s">
        <v>1</v>
      </c>
      <c r="H5487" s="25">
        <v>99.166666669999998</v>
      </c>
      <c r="I5487" s="8">
        <v>903</v>
      </c>
      <c r="J5487" s="9">
        <v>754</v>
      </c>
      <c r="K5487" s="7">
        <v>-149.00000199999999</v>
      </c>
      <c r="L5487" s="24">
        <f>+Tabla2[[#This Row],[Stock Inventario]]*Tabla2[[#This Row],[Coste LÃ­nea]]</f>
        <v>74771.666669180006</v>
      </c>
      <c r="M5487" s="24">
        <f>+Tabla2[[#This Row],[Variación Stock]]*Tabla2[[#This Row],[Coste LÃ­nea]]</f>
        <v>-14775.833532163333</v>
      </c>
      <c r="N5487" s="22" t="str">
        <f>+IF(Tabla2[[#This Row],[Variación Stock]]&gt;0,"Sobrante",IF(Tabla2[[#This Row],[Variación Stock]]&lt;0,"Faltante","Sin novedad"))</f>
        <v>Faltante</v>
      </c>
    </row>
    <row r="5488" spans="1:14" hidden="1" x14ac:dyDescent="0.25">
      <c r="A5488" s="11">
        <v>46053</v>
      </c>
      <c r="B5488" s="5" t="s">
        <v>971</v>
      </c>
      <c r="C5488" s="3" t="s">
        <v>284</v>
      </c>
      <c r="D5488" s="5" t="s">
        <v>471</v>
      </c>
      <c r="E5488" s="5" t="s">
        <v>117</v>
      </c>
      <c r="F5488" s="6" t="s">
        <v>532</v>
      </c>
      <c r="G5488" s="4" t="s">
        <v>1</v>
      </c>
      <c r="H5488" s="25">
        <v>12</v>
      </c>
      <c r="I5488" s="8">
        <v>-1909.9997000000001</v>
      </c>
      <c r="J5488" s="9">
        <v>0</v>
      </c>
      <c r="K5488" s="7">
        <v>909.99971300000004</v>
      </c>
      <c r="L5488" s="24">
        <f>+Tabla2[[#This Row],[Stock Inventario]]*Tabla2[[#This Row],[Coste LÃ­nea]]</f>
        <v>0</v>
      </c>
      <c r="M5488" s="24">
        <f>+Tabla2[[#This Row],[Variación Stock]]*Tabla2[[#This Row],[Coste LÃ­nea]]</f>
        <v>10919.996556</v>
      </c>
      <c r="N5488" s="22" t="str">
        <f>+IF(Tabla2[[#This Row],[Variación Stock]]&gt;0,"Sobrante",IF(Tabla2[[#This Row],[Variación Stock]]&lt;0,"Faltante","Sin novedad"))</f>
        <v>Sobrante</v>
      </c>
    </row>
    <row r="5489" spans="1:14" hidden="1" x14ac:dyDescent="0.25">
      <c r="A5489" s="11">
        <v>46053</v>
      </c>
      <c r="B5489" s="5" t="s">
        <v>971</v>
      </c>
      <c r="C5489" s="3" t="s">
        <v>284</v>
      </c>
      <c r="D5489" s="5" t="s">
        <v>471</v>
      </c>
      <c r="E5489" s="5" t="s">
        <v>117</v>
      </c>
      <c r="F5489" s="6" t="s">
        <v>533</v>
      </c>
      <c r="G5489" s="4" t="s">
        <v>1</v>
      </c>
      <c r="H5489" s="25">
        <v>5</v>
      </c>
      <c r="I5489" s="8">
        <v>4565.0456000000004</v>
      </c>
      <c r="J5489" s="9">
        <v>6494</v>
      </c>
      <c r="K5489" s="7">
        <v>-6271.0456000000004</v>
      </c>
      <c r="L5489" s="24">
        <f>+Tabla2[[#This Row],[Stock Inventario]]*Tabla2[[#This Row],[Coste LÃ­nea]]</f>
        <v>32470</v>
      </c>
      <c r="M5489" s="24">
        <f>+Tabla2[[#This Row],[Variación Stock]]*Tabla2[[#This Row],[Coste LÃ­nea]]</f>
        <v>-31355.228000000003</v>
      </c>
      <c r="N5489" s="22" t="str">
        <f>+IF(Tabla2[[#This Row],[Variación Stock]]&gt;0,"Sobrante",IF(Tabla2[[#This Row],[Variación Stock]]&lt;0,"Faltante","Sin novedad"))</f>
        <v>Faltante</v>
      </c>
    </row>
    <row r="5490" spans="1:14" hidden="1" x14ac:dyDescent="0.25">
      <c r="A5490" s="11">
        <v>46053</v>
      </c>
      <c r="B5490" s="5" t="s">
        <v>971</v>
      </c>
      <c r="C5490" s="3" t="s">
        <v>284</v>
      </c>
      <c r="D5490" s="5" t="s">
        <v>471</v>
      </c>
      <c r="E5490" s="5" t="s">
        <v>117</v>
      </c>
      <c r="F5490" s="6" t="s">
        <v>534</v>
      </c>
      <c r="G5490" s="4" t="s">
        <v>1</v>
      </c>
      <c r="H5490" s="25">
        <v>37.5</v>
      </c>
      <c r="I5490" s="8">
        <v>3348.2105000000001</v>
      </c>
      <c r="J5490" s="9">
        <v>1860</v>
      </c>
      <c r="K5490" s="7">
        <v>-2088.2105012000002</v>
      </c>
      <c r="L5490" s="24">
        <f>+Tabla2[[#This Row],[Stock Inventario]]*Tabla2[[#This Row],[Coste LÃ­nea]]</f>
        <v>69750</v>
      </c>
      <c r="M5490" s="24">
        <f>+Tabla2[[#This Row],[Variación Stock]]*Tabla2[[#This Row],[Coste LÃ­nea]]</f>
        <v>-78307.893795000011</v>
      </c>
      <c r="N5490" s="22" t="str">
        <f>+IF(Tabla2[[#This Row],[Variación Stock]]&gt;0,"Sobrante",IF(Tabla2[[#This Row],[Variación Stock]]&lt;0,"Faltante","Sin novedad"))</f>
        <v>Faltante</v>
      </c>
    </row>
    <row r="5491" spans="1:14" hidden="1" x14ac:dyDescent="0.25">
      <c r="A5491" s="11">
        <v>46053</v>
      </c>
      <c r="B5491" s="5" t="s">
        <v>971</v>
      </c>
      <c r="C5491" s="3" t="s">
        <v>284</v>
      </c>
      <c r="D5491" s="5" t="s">
        <v>471</v>
      </c>
      <c r="E5491" s="5" t="s">
        <v>117</v>
      </c>
      <c r="F5491" s="6" t="s">
        <v>535</v>
      </c>
      <c r="G5491" s="4" t="s">
        <v>1</v>
      </c>
      <c r="H5491" s="25">
        <v>15.5</v>
      </c>
      <c r="I5491" s="8">
        <v>130</v>
      </c>
      <c r="J5491" s="9">
        <v>0</v>
      </c>
      <c r="K5491" s="7">
        <v>-130</v>
      </c>
      <c r="L5491" s="24">
        <f>+Tabla2[[#This Row],[Stock Inventario]]*Tabla2[[#This Row],[Coste LÃ­nea]]</f>
        <v>0</v>
      </c>
      <c r="M5491" s="24">
        <f>+Tabla2[[#This Row],[Variación Stock]]*Tabla2[[#This Row],[Coste LÃ­nea]]</f>
        <v>-2015</v>
      </c>
      <c r="N5491" s="22" t="str">
        <f>+IF(Tabla2[[#This Row],[Variación Stock]]&gt;0,"Sobrante",IF(Tabla2[[#This Row],[Variación Stock]]&lt;0,"Faltante","Sin novedad"))</f>
        <v>Faltante</v>
      </c>
    </row>
    <row r="5492" spans="1:14" hidden="1" x14ac:dyDescent="0.25">
      <c r="A5492" s="11">
        <v>46053</v>
      </c>
      <c r="B5492" s="5" t="s">
        <v>971</v>
      </c>
      <c r="C5492" s="3" t="s">
        <v>284</v>
      </c>
      <c r="D5492" s="5" t="s">
        <v>471</v>
      </c>
      <c r="E5492" s="5" t="s">
        <v>117</v>
      </c>
      <c r="F5492" s="6" t="s">
        <v>536</v>
      </c>
      <c r="G5492" s="4" t="s">
        <v>1</v>
      </c>
      <c r="H5492" s="25">
        <v>6</v>
      </c>
      <c r="I5492" s="8">
        <v>-1016.6667</v>
      </c>
      <c r="J5492" s="9">
        <v>0</v>
      </c>
      <c r="K5492" s="7">
        <v>1016.666662</v>
      </c>
      <c r="L5492" s="24">
        <f>+Tabla2[[#This Row],[Stock Inventario]]*Tabla2[[#This Row],[Coste LÃ­nea]]</f>
        <v>0</v>
      </c>
      <c r="M5492" s="24">
        <f>+Tabla2[[#This Row],[Variación Stock]]*Tabla2[[#This Row],[Coste LÃ­nea]]</f>
        <v>6099.9999719999996</v>
      </c>
      <c r="N5492" s="22" t="str">
        <f>+IF(Tabla2[[#This Row],[Variación Stock]]&gt;0,"Sobrante",IF(Tabla2[[#This Row],[Variación Stock]]&lt;0,"Faltante","Sin novedad"))</f>
        <v>Sobrante</v>
      </c>
    </row>
    <row r="5493" spans="1:14" hidden="1" x14ac:dyDescent="0.25">
      <c r="A5493" s="11">
        <v>46053</v>
      </c>
      <c r="B5493" s="5" t="s">
        <v>971</v>
      </c>
      <c r="C5493" s="3" t="s">
        <v>284</v>
      </c>
      <c r="D5493" s="5" t="s">
        <v>119</v>
      </c>
      <c r="E5493" s="5" t="s">
        <v>117</v>
      </c>
      <c r="F5493" s="6" t="s">
        <v>14</v>
      </c>
      <c r="G5493" s="4" t="s">
        <v>1</v>
      </c>
      <c r="H5493" s="25">
        <v>33.499699999999997</v>
      </c>
      <c r="I5493" s="8">
        <v>7722</v>
      </c>
      <c r="J5493" s="9">
        <v>11000</v>
      </c>
      <c r="K5493" s="7">
        <v>3278</v>
      </c>
      <c r="L5493" s="24">
        <f>+Tabla2[[#This Row],[Stock Inventario]]*Tabla2[[#This Row],[Coste LÃ­nea]]</f>
        <v>368496.69999999995</v>
      </c>
      <c r="M5493" s="24">
        <f>+Tabla2[[#This Row],[Variación Stock]]*Tabla2[[#This Row],[Coste LÃ­nea]]</f>
        <v>109812.01659999999</v>
      </c>
      <c r="N5493" s="22" t="str">
        <f>+IF(Tabla2[[#This Row],[Variación Stock]]&gt;0,"Sobrante",IF(Tabla2[[#This Row],[Variación Stock]]&lt;0,"Faltante","Sin novedad"))</f>
        <v>Sobrante</v>
      </c>
    </row>
    <row r="5494" spans="1:14" hidden="1" x14ac:dyDescent="0.25">
      <c r="A5494" s="11">
        <v>46053</v>
      </c>
      <c r="B5494" s="5" t="s">
        <v>971</v>
      </c>
      <c r="C5494" s="3" t="s">
        <v>284</v>
      </c>
      <c r="D5494" s="5" t="s">
        <v>626</v>
      </c>
      <c r="E5494" s="5" t="s">
        <v>1079</v>
      </c>
      <c r="F5494" s="6" t="s">
        <v>671</v>
      </c>
      <c r="G5494" s="4" t="s">
        <v>1</v>
      </c>
      <c r="H5494" s="25">
        <v>20.623699999999999</v>
      </c>
      <c r="I5494" s="8">
        <v>50000</v>
      </c>
      <c r="J5494" s="9">
        <v>40000</v>
      </c>
      <c r="K5494" s="7">
        <v>-20000</v>
      </c>
      <c r="L5494" s="24">
        <f>+Tabla2[[#This Row],[Stock Inventario]]*Tabla2[[#This Row],[Coste LÃ­nea]]</f>
        <v>824948</v>
      </c>
      <c r="M5494" s="24">
        <f>+Tabla2[[#This Row],[Variación Stock]]*Tabla2[[#This Row],[Coste LÃ­nea]]</f>
        <v>-412474</v>
      </c>
      <c r="N5494" s="22" t="str">
        <f>+IF(Tabla2[[#This Row],[Variación Stock]]&gt;0,"Sobrante",IF(Tabla2[[#This Row],[Variación Stock]]&lt;0,"Faltante","Sin novedad"))</f>
        <v>Faltante</v>
      </c>
    </row>
    <row r="5495" spans="1:14" hidden="1" x14ac:dyDescent="0.25">
      <c r="A5495" s="11">
        <v>46053</v>
      </c>
      <c r="B5495" s="5" t="s">
        <v>971</v>
      </c>
      <c r="C5495" s="3" t="s">
        <v>284</v>
      </c>
      <c r="D5495" s="5" t="s">
        <v>471</v>
      </c>
      <c r="E5495" s="5" t="s">
        <v>117</v>
      </c>
      <c r="F5495" s="6" t="s">
        <v>537</v>
      </c>
      <c r="G5495" s="4" t="s">
        <v>1</v>
      </c>
      <c r="H5495" s="25">
        <v>30</v>
      </c>
      <c r="I5495" s="8">
        <v>-810</v>
      </c>
      <c r="J5495" s="9">
        <v>0</v>
      </c>
      <c r="K5495" s="7">
        <v>810</v>
      </c>
      <c r="L5495" s="24">
        <f>+Tabla2[[#This Row],[Stock Inventario]]*Tabla2[[#This Row],[Coste LÃ­nea]]</f>
        <v>0</v>
      </c>
      <c r="M5495" s="24">
        <f>+Tabla2[[#This Row],[Variación Stock]]*Tabla2[[#This Row],[Coste LÃ­nea]]</f>
        <v>24300</v>
      </c>
      <c r="N5495" s="22" t="str">
        <f>+IF(Tabla2[[#This Row],[Variación Stock]]&gt;0,"Sobrante",IF(Tabla2[[#This Row],[Variación Stock]]&lt;0,"Faltante","Sin novedad"))</f>
        <v>Sobrante</v>
      </c>
    </row>
    <row r="5496" spans="1:14" hidden="1" x14ac:dyDescent="0.25">
      <c r="A5496" s="11">
        <v>46053</v>
      </c>
      <c r="B5496" s="5" t="s">
        <v>971</v>
      </c>
      <c r="C5496" s="3" t="s">
        <v>284</v>
      </c>
      <c r="D5496" s="5" t="s">
        <v>559</v>
      </c>
      <c r="E5496" s="5" t="s">
        <v>1080</v>
      </c>
      <c r="F5496" s="6" t="s">
        <v>582</v>
      </c>
      <c r="G5496" s="4" t="s">
        <v>2</v>
      </c>
      <c r="H5496" s="25">
        <v>6497</v>
      </c>
      <c r="I5496" s="8">
        <v>40</v>
      </c>
      <c r="J5496" s="9">
        <v>0</v>
      </c>
      <c r="K5496" s="7">
        <v>-40</v>
      </c>
      <c r="L5496" s="24">
        <f>+Tabla2[[#This Row],[Stock Inventario]]*Tabla2[[#This Row],[Coste LÃ­nea]]</f>
        <v>0</v>
      </c>
      <c r="M5496" s="24">
        <f>+Tabla2[[#This Row],[Variación Stock]]*Tabla2[[#This Row],[Coste LÃ­nea]]</f>
        <v>-259880</v>
      </c>
      <c r="N5496" s="22" t="str">
        <f>+IF(Tabla2[[#This Row],[Variación Stock]]&gt;0,"Sobrante",IF(Tabla2[[#This Row],[Variación Stock]]&lt;0,"Faltante","Sin novedad"))</f>
        <v>Faltante</v>
      </c>
    </row>
    <row r="5497" spans="1:14" x14ac:dyDescent="0.25">
      <c r="A5497" s="11">
        <v>46053</v>
      </c>
      <c r="B5497" s="5" t="s">
        <v>971</v>
      </c>
      <c r="C5497" s="3" t="s">
        <v>284</v>
      </c>
      <c r="D5497" s="5" t="s">
        <v>111</v>
      </c>
      <c r="E5497" s="5" t="s">
        <v>112</v>
      </c>
      <c r="F5497" s="6" t="s">
        <v>41</v>
      </c>
      <c r="G5497" s="4" t="s">
        <v>0</v>
      </c>
      <c r="H5497" s="25">
        <v>2904.0416666699998</v>
      </c>
      <c r="I5497" s="8">
        <v>36.06</v>
      </c>
      <c r="J5497" s="9">
        <v>38.5</v>
      </c>
      <c r="K5497" s="7">
        <v>2.44</v>
      </c>
      <c r="L5497" s="24">
        <f>+Tabla2[[#This Row],[Stock Inventario]]*Tabla2[[#This Row],[Coste LÃ­nea]]</f>
        <v>111805.60416679499</v>
      </c>
      <c r="M5497" s="24">
        <f>+Tabla2[[#This Row],[Variación Stock]]*Tabla2[[#This Row],[Coste LÃ­nea]]</f>
        <v>7085.8616666747994</v>
      </c>
      <c r="N5497" s="22" t="str">
        <f>+IF(Tabla2[[#This Row],[Variación Stock]]&gt;0,"Sobrante",IF(Tabla2[[#This Row],[Variación Stock]]&lt;0,"Faltante","Sin novedad"))</f>
        <v>Sobrante</v>
      </c>
    </row>
    <row r="5498" spans="1:14" x14ac:dyDescent="0.25">
      <c r="A5498" s="11">
        <v>46053</v>
      </c>
      <c r="B5498" s="5" t="s">
        <v>971</v>
      </c>
      <c r="C5498" s="3" t="s">
        <v>284</v>
      </c>
      <c r="D5498" s="5" t="s">
        <v>111</v>
      </c>
      <c r="E5498" s="5" t="s">
        <v>112</v>
      </c>
      <c r="F5498" s="6" t="s">
        <v>42</v>
      </c>
      <c r="G5498" s="4" t="s">
        <v>0</v>
      </c>
      <c r="H5498" s="25">
        <v>2906.3333333300002</v>
      </c>
      <c r="I5498" s="8">
        <v>22.02</v>
      </c>
      <c r="J5498" s="9">
        <v>21</v>
      </c>
      <c r="K5498" s="7">
        <v>-1.02</v>
      </c>
      <c r="L5498" s="24">
        <f>+Tabla2[[#This Row],[Stock Inventario]]*Tabla2[[#This Row],[Coste LÃ­nea]]</f>
        <v>61032.999999930005</v>
      </c>
      <c r="M5498" s="24">
        <f>+Tabla2[[#This Row],[Variación Stock]]*Tabla2[[#This Row],[Coste LÃ­nea]]</f>
        <v>-2964.4599999966003</v>
      </c>
      <c r="N5498" s="22" t="str">
        <f>+IF(Tabla2[[#This Row],[Variación Stock]]&gt;0,"Sobrante",IF(Tabla2[[#This Row],[Variación Stock]]&lt;0,"Faltante","Sin novedad"))</f>
        <v>Faltante</v>
      </c>
    </row>
    <row r="5499" spans="1:14" x14ac:dyDescent="0.25">
      <c r="A5499" s="11">
        <v>46053</v>
      </c>
      <c r="B5499" s="5" t="s">
        <v>971</v>
      </c>
      <c r="C5499" s="3" t="s">
        <v>284</v>
      </c>
      <c r="D5499" s="5" t="s">
        <v>118</v>
      </c>
      <c r="E5499" s="5" t="s">
        <v>112</v>
      </c>
      <c r="F5499" s="6" t="s">
        <v>302</v>
      </c>
      <c r="G5499" s="4" t="s">
        <v>2</v>
      </c>
      <c r="H5499" s="25">
        <v>444869</v>
      </c>
      <c r="I5499" s="8">
        <v>1</v>
      </c>
      <c r="J5499" s="9">
        <v>0</v>
      </c>
      <c r="K5499" s="7">
        <v>-1</v>
      </c>
      <c r="L5499" s="24">
        <f>+Tabla2[[#This Row],[Stock Inventario]]*Tabla2[[#This Row],[Coste LÃ­nea]]</f>
        <v>0</v>
      </c>
      <c r="M5499" s="24">
        <f>+Tabla2[[#This Row],[Variación Stock]]*Tabla2[[#This Row],[Coste LÃ­nea]]</f>
        <v>-444869</v>
      </c>
      <c r="N5499" s="22" t="str">
        <f>+IF(Tabla2[[#This Row],[Variación Stock]]&gt;0,"Sobrante",IF(Tabla2[[#This Row],[Variación Stock]]&lt;0,"Faltante","Sin novedad"))</f>
        <v>Faltante</v>
      </c>
    </row>
    <row r="5500" spans="1:14" hidden="1" x14ac:dyDescent="0.25">
      <c r="A5500" s="11">
        <v>46053</v>
      </c>
      <c r="B5500" s="5" t="s">
        <v>971</v>
      </c>
      <c r="C5500" s="3" t="s">
        <v>284</v>
      </c>
      <c r="D5500" s="5" t="s">
        <v>829</v>
      </c>
      <c r="E5500" s="5" t="s">
        <v>117</v>
      </c>
      <c r="F5500" s="6" t="s">
        <v>834</v>
      </c>
      <c r="G5500" s="4" t="s">
        <v>1</v>
      </c>
      <c r="H5500" s="25">
        <v>10.193790849999999</v>
      </c>
      <c r="I5500" s="8">
        <v>0</v>
      </c>
      <c r="J5500" s="9">
        <v>0</v>
      </c>
      <c r="K5500" s="7">
        <v>0</v>
      </c>
      <c r="L5500" s="24">
        <f>+Tabla2[[#This Row],[Stock Inventario]]*Tabla2[[#This Row],[Coste LÃ­nea]]</f>
        <v>0</v>
      </c>
      <c r="M5500" s="24">
        <f>+Tabla2[[#This Row],[Variación Stock]]*Tabla2[[#This Row],[Coste LÃ­nea]]</f>
        <v>0</v>
      </c>
      <c r="N5500" s="22" t="str">
        <f>+IF(Tabla2[[#This Row],[Variación Stock]]&gt;0,"Sobrante",IF(Tabla2[[#This Row],[Variación Stock]]&lt;0,"Faltante","Sin novedad"))</f>
        <v>Sin novedad</v>
      </c>
    </row>
    <row r="5501" spans="1:14" x14ac:dyDescent="0.25">
      <c r="A5501" s="11">
        <v>46053</v>
      </c>
      <c r="B5501" s="5" t="s">
        <v>971</v>
      </c>
      <c r="C5501" s="3" t="s">
        <v>284</v>
      </c>
      <c r="D5501" s="5" t="s">
        <v>118</v>
      </c>
      <c r="E5501" s="5" t="s">
        <v>112</v>
      </c>
      <c r="F5501" s="6" t="s">
        <v>303</v>
      </c>
      <c r="G5501" s="4" t="s">
        <v>81</v>
      </c>
      <c r="H5501" s="25">
        <v>15145.3</v>
      </c>
      <c r="I5501" s="8">
        <v>7</v>
      </c>
      <c r="J5501" s="9">
        <v>9</v>
      </c>
      <c r="K5501" s="7">
        <v>2</v>
      </c>
      <c r="L5501" s="24">
        <f>+Tabla2[[#This Row],[Stock Inventario]]*Tabla2[[#This Row],[Coste LÃ­nea]]</f>
        <v>136307.69999999998</v>
      </c>
      <c r="M5501" s="24">
        <f>+Tabla2[[#This Row],[Variación Stock]]*Tabla2[[#This Row],[Coste LÃ­nea]]</f>
        <v>30290.6</v>
      </c>
      <c r="N5501" s="22" t="str">
        <f>+IF(Tabla2[[#This Row],[Variación Stock]]&gt;0,"Sobrante",IF(Tabla2[[#This Row],[Variación Stock]]&lt;0,"Faltante","Sin novedad"))</f>
        <v>Sobrante</v>
      </c>
    </row>
    <row r="5502" spans="1:14" hidden="1" x14ac:dyDescent="0.25">
      <c r="A5502" s="11">
        <v>46053</v>
      </c>
      <c r="B5502" s="5" t="s">
        <v>971</v>
      </c>
      <c r="C5502" s="3" t="s">
        <v>284</v>
      </c>
      <c r="D5502" s="5" t="s">
        <v>396</v>
      </c>
      <c r="E5502" s="5" t="s">
        <v>117</v>
      </c>
      <c r="F5502" s="6" t="s">
        <v>455</v>
      </c>
      <c r="G5502" s="4" t="s">
        <v>1</v>
      </c>
      <c r="H5502" s="25">
        <v>16.262250000000002</v>
      </c>
      <c r="I5502" s="8">
        <v>5560</v>
      </c>
      <c r="J5502" s="9">
        <v>2000</v>
      </c>
      <c r="K5502" s="7">
        <v>-7560</v>
      </c>
      <c r="L5502" s="24">
        <f>+Tabla2[[#This Row],[Stock Inventario]]*Tabla2[[#This Row],[Coste LÃ­nea]]</f>
        <v>32524.500000000004</v>
      </c>
      <c r="M5502" s="24">
        <f>+Tabla2[[#This Row],[Variación Stock]]*Tabla2[[#This Row],[Coste LÃ­nea]]</f>
        <v>-122942.61000000002</v>
      </c>
      <c r="N5502" s="22" t="str">
        <f>+IF(Tabla2[[#This Row],[Variación Stock]]&gt;0,"Sobrante",IF(Tabla2[[#This Row],[Variación Stock]]&lt;0,"Faltante","Sin novedad"))</f>
        <v>Faltante</v>
      </c>
    </row>
    <row r="5503" spans="1:14" x14ac:dyDescent="0.25">
      <c r="A5503" s="11">
        <v>46053</v>
      </c>
      <c r="B5503" s="5" t="s">
        <v>971</v>
      </c>
      <c r="C5503" s="3" t="s">
        <v>284</v>
      </c>
      <c r="D5503" s="5" t="s">
        <v>118</v>
      </c>
      <c r="E5503" s="5" t="s">
        <v>112</v>
      </c>
      <c r="F5503" s="6" t="s">
        <v>82</v>
      </c>
      <c r="G5503" s="4" t="s">
        <v>2</v>
      </c>
      <c r="H5503" s="25">
        <v>63372.666666669997</v>
      </c>
      <c r="I5503" s="8">
        <v>2</v>
      </c>
      <c r="J5503" s="9">
        <v>2</v>
      </c>
      <c r="K5503" s="7">
        <v>0</v>
      </c>
      <c r="L5503" s="24">
        <f>+Tabla2[[#This Row],[Stock Inventario]]*Tabla2[[#This Row],[Coste LÃ­nea]]</f>
        <v>126745.33333333999</v>
      </c>
      <c r="M5503" s="24">
        <f>+Tabla2[[#This Row],[Variación Stock]]*Tabla2[[#This Row],[Coste LÃ­nea]]</f>
        <v>0</v>
      </c>
      <c r="N5503" s="22" t="str">
        <f>+IF(Tabla2[[#This Row],[Variación Stock]]&gt;0,"Sobrante",IF(Tabla2[[#This Row],[Variación Stock]]&lt;0,"Faltante","Sin novedad"))</f>
        <v>Sin novedad</v>
      </c>
    </row>
    <row r="5504" spans="1:14" x14ac:dyDescent="0.25">
      <c r="A5504" s="11">
        <v>46053</v>
      </c>
      <c r="B5504" s="5" t="s">
        <v>971</v>
      </c>
      <c r="C5504" s="3" t="s">
        <v>284</v>
      </c>
      <c r="D5504" s="5" t="s">
        <v>118</v>
      </c>
      <c r="E5504" s="5" t="s">
        <v>112</v>
      </c>
      <c r="F5504" s="6" t="s">
        <v>304</v>
      </c>
      <c r="G5504" s="4" t="s">
        <v>2</v>
      </c>
      <c r="H5504" s="25">
        <v>37616.5</v>
      </c>
      <c r="I5504" s="8">
        <v>3</v>
      </c>
      <c r="J5504" s="9">
        <v>3</v>
      </c>
      <c r="K5504" s="7">
        <v>0</v>
      </c>
      <c r="L5504" s="24">
        <f>+Tabla2[[#This Row],[Stock Inventario]]*Tabla2[[#This Row],[Coste LÃ­nea]]</f>
        <v>112849.5</v>
      </c>
      <c r="M5504" s="24">
        <f>+Tabla2[[#This Row],[Variación Stock]]*Tabla2[[#This Row],[Coste LÃ­nea]]</f>
        <v>0</v>
      </c>
      <c r="N5504" s="22" t="str">
        <f>+IF(Tabla2[[#This Row],[Variación Stock]]&gt;0,"Sobrante",IF(Tabla2[[#This Row],[Variación Stock]]&lt;0,"Faltante","Sin novedad"))</f>
        <v>Sin novedad</v>
      </c>
    </row>
    <row r="5505" spans="1:14" x14ac:dyDescent="0.25">
      <c r="A5505" s="11">
        <v>46053</v>
      </c>
      <c r="B5505" s="5" t="s">
        <v>971</v>
      </c>
      <c r="C5505" s="3" t="s">
        <v>284</v>
      </c>
      <c r="D5505" s="5" t="s">
        <v>118</v>
      </c>
      <c r="E5505" s="5" t="s">
        <v>112</v>
      </c>
      <c r="F5505" s="6" t="s">
        <v>83</v>
      </c>
      <c r="G5505" s="4" t="s">
        <v>2</v>
      </c>
      <c r="H5505" s="25">
        <v>37607.75</v>
      </c>
      <c r="I5505" s="8">
        <v>4</v>
      </c>
      <c r="J5505" s="9">
        <v>4</v>
      </c>
      <c r="K5505" s="7">
        <v>0</v>
      </c>
      <c r="L5505" s="24">
        <f>+Tabla2[[#This Row],[Stock Inventario]]*Tabla2[[#This Row],[Coste LÃ­nea]]</f>
        <v>150431</v>
      </c>
      <c r="M5505" s="24">
        <f>+Tabla2[[#This Row],[Variación Stock]]*Tabla2[[#This Row],[Coste LÃ­nea]]</f>
        <v>0</v>
      </c>
      <c r="N5505" s="22" t="str">
        <f>+IF(Tabla2[[#This Row],[Variación Stock]]&gt;0,"Sobrante",IF(Tabla2[[#This Row],[Variación Stock]]&lt;0,"Faltante","Sin novedad"))</f>
        <v>Sin novedad</v>
      </c>
    </row>
    <row r="5506" spans="1:14" x14ac:dyDescent="0.25">
      <c r="A5506" s="11">
        <v>46053</v>
      </c>
      <c r="B5506" s="5" t="s">
        <v>971</v>
      </c>
      <c r="C5506" s="3" t="s">
        <v>284</v>
      </c>
      <c r="D5506" s="5" t="s">
        <v>118</v>
      </c>
      <c r="E5506" s="5" t="s">
        <v>112</v>
      </c>
      <c r="F5506" s="6" t="s">
        <v>84</v>
      </c>
      <c r="G5506" s="4" t="s">
        <v>81</v>
      </c>
      <c r="H5506" s="25">
        <v>10879.03333333</v>
      </c>
      <c r="I5506" s="8">
        <v>15</v>
      </c>
      <c r="J5506" s="9">
        <v>15</v>
      </c>
      <c r="K5506" s="7">
        <v>0</v>
      </c>
      <c r="L5506" s="24">
        <f>+Tabla2[[#This Row],[Stock Inventario]]*Tabla2[[#This Row],[Coste LÃ­nea]]</f>
        <v>163185.49999995</v>
      </c>
      <c r="M5506" s="24">
        <f>+Tabla2[[#This Row],[Variación Stock]]*Tabla2[[#This Row],[Coste LÃ­nea]]</f>
        <v>0</v>
      </c>
      <c r="N5506" s="22" t="str">
        <f>+IF(Tabla2[[#This Row],[Variación Stock]]&gt;0,"Sobrante",IF(Tabla2[[#This Row],[Variación Stock]]&lt;0,"Faltante","Sin novedad"))</f>
        <v>Sin novedad</v>
      </c>
    </row>
    <row r="5507" spans="1:14" x14ac:dyDescent="0.25">
      <c r="A5507" s="11">
        <v>46053</v>
      </c>
      <c r="B5507" s="5" t="s">
        <v>971</v>
      </c>
      <c r="C5507" s="3" t="s">
        <v>284</v>
      </c>
      <c r="D5507" s="5" t="s">
        <v>118</v>
      </c>
      <c r="E5507" s="5" t="s">
        <v>112</v>
      </c>
      <c r="F5507" s="6" t="s">
        <v>85</v>
      </c>
      <c r="G5507" s="4" t="s">
        <v>81</v>
      </c>
      <c r="H5507" s="25">
        <v>10875.1</v>
      </c>
      <c r="I5507" s="8">
        <v>20</v>
      </c>
      <c r="J5507" s="9">
        <v>20</v>
      </c>
      <c r="K5507" s="7">
        <v>0</v>
      </c>
      <c r="L5507" s="24">
        <f>+Tabla2[[#This Row],[Stock Inventario]]*Tabla2[[#This Row],[Coste LÃ­nea]]</f>
        <v>217502</v>
      </c>
      <c r="M5507" s="24">
        <f>+Tabla2[[#This Row],[Variación Stock]]*Tabla2[[#This Row],[Coste LÃ­nea]]</f>
        <v>0</v>
      </c>
      <c r="N5507" s="22" t="str">
        <f>+IF(Tabla2[[#This Row],[Variación Stock]]&gt;0,"Sobrante",IF(Tabla2[[#This Row],[Variación Stock]]&lt;0,"Faltante","Sin novedad"))</f>
        <v>Sin novedad</v>
      </c>
    </row>
    <row r="5508" spans="1:14" x14ac:dyDescent="0.25">
      <c r="A5508" s="11">
        <v>46053</v>
      </c>
      <c r="B5508" s="5" t="s">
        <v>971</v>
      </c>
      <c r="C5508" s="3" t="s">
        <v>284</v>
      </c>
      <c r="D5508" s="5" t="s">
        <v>118</v>
      </c>
      <c r="E5508" s="5" t="s">
        <v>112</v>
      </c>
      <c r="F5508" s="6" t="s">
        <v>86</v>
      </c>
      <c r="G5508" s="4" t="s">
        <v>81</v>
      </c>
      <c r="H5508" s="25">
        <v>10889.4</v>
      </c>
      <c r="I5508" s="8">
        <v>10</v>
      </c>
      <c r="J5508" s="9">
        <v>10</v>
      </c>
      <c r="K5508" s="7">
        <v>0</v>
      </c>
      <c r="L5508" s="24">
        <f>+Tabla2[[#This Row],[Stock Inventario]]*Tabla2[[#This Row],[Coste LÃ­nea]]</f>
        <v>108894</v>
      </c>
      <c r="M5508" s="24">
        <f>+Tabla2[[#This Row],[Variación Stock]]*Tabla2[[#This Row],[Coste LÃ­nea]]</f>
        <v>0</v>
      </c>
      <c r="N5508" s="22" t="str">
        <f>+IF(Tabla2[[#This Row],[Variación Stock]]&gt;0,"Sobrante",IF(Tabla2[[#This Row],[Variación Stock]]&lt;0,"Faltante","Sin novedad"))</f>
        <v>Sin novedad</v>
      </c>
    </row>
    <row r="5509" spans="1:14" x14ac:dyDescent="0.25">
      <c r="A5509" s="11">
        <v>46053</v>
      </c>
      <c r="B5509" s="5" t="s">
        <v>971</v>
      </c>
      <c r="C5509" s="3" t="s">
        <v>284</v>
      </c>
      <c r="D5509" s="5" t="s">
        <v>118</v>
      </c>
      <c r="E5509" s="5" t="s">
        <v>112</v>
      </c>
      <c r="F5509" s="6" t="s">
        <v>87</v>
      </c>
      <c r="G5509" s="4" t="s">
        <v>2</v>
      </c>
      <c r="H5509" s="25">
        <v>37612</v>
      </c>
      <c r="I5509" s="8">
        <v>3</v>
      </c>
      <c r="J5509" s="9">
        <v>3</v>
      </c>
      <c r="K5509" s="7">
        <v>0</v>
      </c>
      <c r="L5509" s="24">
        <f>+Tabla2[[#This Row],[Stock Inventario]]*Tabla2[[#This Row],[Coste LÃ­nea]]</f>
        <v>112836</v>
      </c>
      <c r="M5509" s="24">
        <f>+Tabla2[[#This Row],[Variación Stock]]*Tabla2[[#This Row],[Coste LÃ­nea]]</f>
        <v>0</v>
      </c>
      <c r="N5509" s="22" t="str">
        <f>+IF(Tabla2[[#This Row],[Variación Stock]]&gt;0,"Sobrante",IF(Tabla2[[#This Row],[Variación Stock]]&lt;0,"Faltante","Sin novedad"))</f>
        <v>Sin novedad</v>
      </c>
    </row>
    <row r="5510" spans="1:14" x14ac:dyDescent="0.25">
      <c r="A5510" s="11">
        <v>46053</v>
      </c>
      <c r="B5510" s="5" t="s">
        <v>971</v>
      </c>
      <c r="C5510" s="3" t="s">
        <v>284</v>
      </c>
      <c r="D5510" s="5" t="s">
        <v>118</v>
      </c>
      <c r="E5510" s="5" t="s">
        <v>112</v>
      </c>
      <c r="F5510" s="6" t="s">
        <v>88</v>
      </c>
      <c r="G5510" s="4" t="s">
        <v>81</v>
      </c>
      <c r="H5510" s="25">
        <v>4385.6000000000004</v>
      </c>
      <c r="I5510" s="8">
        <v>21</v>
      </c>
      <c r="J5510" s="9">
        <v>21</v>
      </c>
      <c r="K5510" s="7">
        <v>0</v>
      </c>
      <c r="L5510" s="24">
        <f>+Tabla2[[#This Row],[Stock Inventario]]*Tabla2[[#This Row],[Coste LÃ­nea]]</f>
        <v>92097.600000000006</v>
      </c>
      <c r="M5510" s="24">
        <f>+Tabla2[[#This Row],[Variación Stock]]*Tabla2[[#This Row],[Coste LÃ­nea]]</f>
        <v>0</v>
      </c>
      <c r="N5510" s="22" t="str">
        <f>+IF(Tabla2[[#This Row],[Variación Stock]]&gt;0,"Sobrante",IF(Tabla2[[#This Row],[Variación Stock]]&lt;0,"Faltante","Sin novedad"))</f>
        <v>Sin novedad</v>
      </c>
    </row>
    <row r="5511" spans="1:14" x14ac:dyDescent="0.25">
      <c r="A5511" s="11">
        <v>46053</v>
      </c>
      <c r="B5511" s="5" t="s">
        <v>971</v>
      </c>
      <c r="C5511" s="3" t="s">
        <v>284</v>
      </c>
      <c r="D5511" s="5" t="s">
        <v>118</v>
      </c>
      <c r="E5511" s="5" t="s">
        <v>112</v>
      </c>
      <c r="F5511" s="6" t="s">
        <v>89</v>
      </c>
      <c r="G5511" s="4" t="s">
        <v>81</v>
      </c>
      <c r="H5511" s="25">
        <v>4363.6000000000004</v>
      </c>
      <c r="I5511" s="8">
        <v>23</v>
      </c>
      <c r="J5511" s="9">
        <v>24</v>
      </c>
      <c r="K5511" s="7">
        <v>1</v>
      </c>
      <c r="L5511" s="24">
        <f>+Tabla2[[#This Row],[Stock Inventario]]*Tabla2[[#This Row],[Coste LÃ­nea]]</f>
        <v>104726.40000000001</v>
      </c>
      <c r="M5511" s="24">
        <f>+Tabla2[[#This Row],[Variación Stock]]*Tabla2[[#This Row],[Coste LÃ­nea]]</f>
        <v>4363.6000000000004</v>
      </c>
      <c r="N5511" s="22" t="str">
        <f>+IF(Tabla2[[#This Row],[Variación Stock]]&gt;0,"Sobrante",IF(Tabla2[[#This Row],[Variación Stock]]&lt;0,"Faltante","Sin novedad"))</f>
        <v>Sobrante</v>
      </c>
    </row>
    <row r="5512" spans="1:14" x14ac:dyDescent="0.25">
      <c r="A5512" s="11">
        <v>46053</v>
      </c>
      <c r="B5512" s="5" t="s">
        <v>971</v>
      </c>
      <c r="C5512" s="3" t="s">
        <v>284</v>
      </c>
      <c r="D5512" s="5" t="s">
        <v>118</v>
      </c>
      <c r="E5512" s="5" t="s">
        <v>112</v>
      </c>
      <c r="F5512" s="6" t="s">
        <v>90</v>
      </c>
      <c r="G5512" s="4" t="s">
        <v>81</v>
      </c>
      <c r="H5512" s="25">
        <v>4385.1000000000004</v>
      </c>
      <c r="I5512" s="8">
        <v>16</v>
      </c>
      <c r="J5512" s="9">
        <v>16</v>
      </c>
      <c r="K5512" s="7">
        <v>0</v>
      </c>
      <c r="L5512" s="24">
        <f>+Tabla2[[#This Row],[Stock Inventario]]*Tabla2[[#This Row],[Coste LÃ­nea]]</f>
        <v>70161.600000000006</v>
      </c>
      <c r="M5512" s="24">
        <f>+Tabla2[[#This Row],[Variación Stock]]*Tabla2[[#This Row],[Coste LÃ­nea]]</f>
        <v>0</v>
      </c>
      <c r="N5512" s="22" t="str">
        <f>+IF(Tabla2[[#This Row],[Variación Stock]]&gt;0,"Sobrante",IF(Tabla2[[#This Row],[Variación Stock]]&lt;0,"Faltante","Sin novedad"))</f>
        <v>Sin novedad</v>
      </c>
    </row>
    <row r="5513" spans="1:14" x14ac:dyDescent="0.25">
      <c r="A5513" s="11">
        <v>46053</v>
      </c>
      <c r="B5513" s="5" t="s">
        <v>971</v>
      </c>
      <c r="C5513" s="3" t="s">
        <v>284</v>
      </c>
      <c r="D5513" s="5" t="s">
        <v>118</v>
      </c>
      <c r="E5513" s="5" t="s">
        <v>112</v>
      </c>
      <c r="F5513" s="6" t="s">
        <v>375</v>
      </c>
      <c r="G5513" s="4" t="s">
        <v>81</v>
      </c>
      <c r="H5513" s="25">
        <v>10709.9</v>
      </c>
      <c r="I5513" s="8">
        <v>12</v>
      </c>
      <c r="J5513" s="9">
        <v>13</v>
      </c>
      <c r="K5513" s="7">
        <v>1</v>
      </c>
      <c r="L5513" s="24">
        <f>+Tabla2[[#This Row],[Stock Inventario]]*Tabla2[[#This Row],[Coste LÃ­nea]]</f>
        <v>139228.69999999998</v>
      </c>
      <c r="M5513" s="24">
        <f>+Tabla2[[#This Row],[Variación Stock]]*Tabla2[[#This Row],[Coste LÃ­nea]]</f>
        <v>10709.9</v>
      </c>
      <c r="N5513" s="22" t="str">
        <f>+IF(Tabla2[[#This Row],[Variación Stock]]&gt;0,"Sobrante",IF(Tabla2[[#This Row],[Variación Stock]]&lt;0,"Faltante","Sin novedad"))</f>
        <v>Sobrante</v>
      </c>
    </row>
    <row r="5514" spans="1:14" x14ac:dyDescent="0.25">
      <c r="A5514" s="11">
        <v>46053</v>
      </c>
      <c r="B5514" s="5" t="s">
        <v>971</v>
      </c>
      <c r="C5514" s="3" t="s">
        <v>284</v>
      </c>
      <c r="D5514" s="5" t="s">
        <v>118</v>
      </c>
      <c r="E5514" s="5" t="s">
        <v>112</v>
      </c>
      <c r="F5514" s="6" t="s">
        <v>306</v>
      </c>
      <c r="G5514" s="4" t="s">
        <v>81</v>
      </c>
      <c r="H5514" s="25">
        <v>10715.3</v>
      </c>
      <c r="I5514" s="8">
        <v>17</v>
      </c>
      <c r="J5514" s="9">
        <v>17</v>
      </c>
      <c r="K5514" s="7">
        <v>0</v>
      </c>
      <c r="L5514" s="24">
        <f>+Tabla2[[#This Row],[Stock Inventario]]*Tabla2[[#This Row],[Coste LÃ­nea]]</f>
        <v>182160.09999999998</v>
      </c>
      <c r="M5514" s="24">
        <f>+Tabla2[[#This Row],[Variación Stock]]*Tabla2[[#This Row],[Coste LÃ­nea]]</f>
        <v>0</v>
      </c>
      <c r="N5514" s="22" t="str">
        <f>+IF(Tabla2[[#This Row],[Variación Stock]]&gt;0,"Sobrante",IF(Tabla2[[#This Row],[Variación Stock]]&lt;0,"Faltante","Sin novedad"))</f>
        <v>Sin novedad</v>
      </c>
    </row>
    <row r="5515" spans="1:14" x14ac:dyDescent="0.25">
      <c r="A5515" s="11">
        <v>46053</v>
      </c>
      <c r="B5515" s="5" t="s">
        <v>971</v>
      </c>
      <c r="C5515" s="3" t="s">
        <v>284</v>
      </c>
      <c r="D5515" s="5" t="s">
        <v>118</v>
      </c>
      <c r="E5515" s="5" t="s">
        <v>112</v>
      </c>
      <c r="F5515" s="6" t="s">
        <v>307</v>
      </c>
      <c r="G5515" s="4" t="s">
        <v>81</v>
      </c>
      <c r="H5515" s="25">
        <v>10710.6</v>
      </c>
      <c r="I5515" s="8">
        <v>14</v>
      </c>
      <c r="J5515" s="9">
        <v>15</v>
      </c>
      <c r="K5515" s="7">
        <v>1</v>
      </c>
      <c r="L5515" s="24">
        <f>+Tabla2[[#This Row],[Stock Inventario]]*Tabla2[[#This Row],[Coste LÃ­nea]]</f>
        <v>160659</v>
      </c>
      <c r="M5515" s="24">
        <f>+Tabla2[[#This Row],[Variación Stock]]*Tabla2[[#This Row],[Coste LÃ­nea]]</f>
        <v>10710.6</v>
      </c>
      <c r="N5515" s="22" t="str">
        <f>+IF(Tabla2[[#This Row],[Variación Stock]]&gt;0,"Sobrante",IF(Tabla2[[#This Row],[Variación Stock]]&lt;0,"Faltante","Sin novedad"))</f>
        <v>Sobrante</v>
      </c>
    </row>
    <row r="5516" spans="1:14" hidden="1" x14ac:dyDescent="0.25">
      <c r="A5516" s="11">
        <v>46053</v>
      </c>
      <c r="B5516" s="5" t="s">
        <v>971</v>
      </c>
      <c r="C5516" s="3" t="s">
        <v>284</v>
      </c>
      <c r="D5516" s="5" t="s">
        <v>396</v>
      </c>
      <c r="E5516" s="5" t="s">
        <v>117</v>
      </c>
      <c r="F5516" s="6" t="s">
        <v>456</v>
      </c>
      <c r="G5516" s="4" t="s">
        <v>1</v>
      </c>
      <c r="H5516" s="25">
        <v>28.478079170000001</v>
      </c>
      <c r="I5516" s="8">
        <v>-1050</v>
      </c>
      <c r="J5516" s="9">
        <v>0</v>
      </c>
      <c r="K5516" s="7">
        <v>1050</v>
      </c>
      <c r="L5516" s="24">
        <f>+Tabla2[[#This Row],[Stock Inventario]]*Tabla2[[#This Row],[Coste LÃ­nea]]</f>
        <v>0</v>
      </c>
      <c r="M5516" s="24">
        <f>+Tabla2[[#This Row],[Variación Stock]]*Tabla2[[#This Row],[Coste LÃ­nea]]</f>
        <v>29901.9831285</v>
      </c>
      <c r="N5516" s="22" t="str">
        <f>+IF(Tabla2[[#This Row],[Variación Stock]]&gt;0,"Sobrante",IF(Tabla2[[#This Row],[Variación Stock]]&lt;0,"Faltante","Sin novedad"))</f>
        <v>Sobrante</v>
      </c>
    </row>
    <row r="5517" spans="1:14" x14ac:dyDescent="0.25">
      <c r="A5517" s="11">
        <v>46053</v>
      </c>
      <c r="B5517" s="5" t="s">
        <v>971</v>
      </c>
      <c r="C5517" s="3" t="s">
        <v>284</v>
      </c>
      <c r="D5517" s="5" t="s">
        <v>118</v>
      </c>
      <c r="E5517" s="5" t="s">
        <v>112</v>
      </c>
      <c r="F5517" s="6" t="s">
        <v>91</v>
      </c>
      <c r="G5517" s="4" t="s">
        <v>2</v>
      </c>
      <c r="H5517" s="25">
        <v>70600.5</v>
      </c>
      <c r="I5517" s="8">
        <v>2</v>
      </c>
      <c r="J5517" s="9">
        <v>2</v>
      </c>
      <c r="K5517" s="7">
        <v>0</v>
      </c>
      <c r="L5517" s="24">
        <f>+Tabla2[[#This Row],[Stock Inventario]]*Tabla2[[#This Row],[Coste LÃ­nea]]</f>
        <v>141201</v>
      </c>
      <c r="M5517" s="24">
        <f>+Tabla2[[#This Row],[Variación Stock]]*Tabla2[[#This Row],[Coste LÃ­nea]]</f>
        <v>0</v>
      </c>
      <c r="N5517" s="22" t="str">
        <f>+IF(Tabla2[[#This Row],[Variación Stock]]&gt;0,"Sobrante",IF(Tabla2[[#This Row],[Variación Stock]]&lt;0,"Faltante","Sin novedad"))</f>
        <v>Sin novedad</v>
      </c>
    </row>
    <row r="5518" spans="1:14" x14ac:dyDescent="0.25">
      <c r="A5518" s="11">
        <v>46053</v>
      </c>
      <c r="B5518" s="5" t="s">
        <v>971</v>
      </c>
      <c r="C5518" s="3" t="s">
        <v>284</v>
      </c>
      <c r="D5518" s="5" t="s">
        <v>118</v>
      </c>
      <c r="E5518" s="5" t="s">
        <v>112</v>
      </c>
      <c r="F5518" s="6" t="s">
        <v>311</v>
      </c>
      <c r="G5518" s="4" t="s">
        <v>2</v>
      </c>
      <c r="H5518" s="25">
        <v>79652</v>
      </c>
      <c r="I5518" s="8">
        <v>1</v>
      </c>
      <c r="J5518" s="9">
        <v>1</v>
      </c>
      <c r="K5518" s="7">
        <v>0</v>
      </c>
      <c r="L5518" s="24">
        <f>+Tabla2[[#This Row],[Stock Inventario]]*Tabla2[[#This Row],[Coste LÃ­nea]]</f>
        <v>79652</v>
      </c>
      <c r="M5518" s="24">
        <f>+Tabla2[[#This Row],[Variación Stock]]*Tabla2[[#This Row],[Coste LÃ­nea]]</f>
        <v>0</v>
      </c>
      <c r="N5518" s="22" t="str">
        <f>+IF(Tabla2[[#This Row],[Variación Stock]]&gt;0,"Sobrante",IF(Tabla2[[#This Row],[Variación Stock]]&lt;0,"Faltante","Sin novedad"))</f>
        <v>Sin novedad</v>
      </c>
    </row>
    <row r="5519" spans="1:14" x14ac:dyDescent="0.25">
      <c r="A5519" s="11">
        <v>46053</v>
      </c>
      <c r="B5519" s="5" t="s">
        <v>971</v>
      </c>
      <c r="C5519" s="3" t="s">
        <v>284</v>
      </c>
      <c r="D5519" s="5" t="s">
        <v>118</v>
      </c>
      <c r="E5519" s="5" t="s">
        <v>112</v>
      </c>
      <c r="F5519" s="6" t="s">
        <v>308</v>
      </c>
      <c r="G5519" s="4" t="s">
        <v>81</v>
      </c>
      <c r="H5519" s="25">
        <v>15144</v>
      </c>
      <c r="I5519" s="8">
        <v>32</v>
      </c>
      <c r="J5519" s="9">
        <v>33</v>
      </c>
      <c r="K5519" s="7">
        <v>1</v>
      </c>
      <c r="L5519" s="24">
        <f>+Tabla2[[#This Row],[Stock Inventario]]*Tabla2[[#This Row],[Coste LÃ­nea]]</f>
        <v>499752</v>
      </c>
      <c r="M5519" s="24">
        <f>+Tabla2[[#This Row],[Variación Stock]]*Tabla2[[#This Row],[Coste LÃ­nea]]</f>
        <v>15144</v>
      </c>
      <c r="N5519" s="22" t="str">
        <f>+IF(Tabla2[[#This Row],[Variación Stock]]&gt;0,"Sobrante",IF(Tabla2[[#This Row],[Variación Stock]]&lt;0,"Faltante","Sin novedad"))</f>
        <v>Sobrante</v>
      </c>
    </row>
    <row r="5520" spans="1:14" x14ac:dyDescent="0.25">
      <c r="A5520" s="11">
        <v>46053</v>
      </c>
      <c r="B5520" s="5" t="s">
        <v>971</v>
      </c>
      <c r="C5520" s="3" t="s">
        <v>284</v>
      </c>
      <c r="D5520" s="5" t="s">
        <v>118</v>
      </c>
      <c r="E5520" s="5" t="s">
        <v>112</v>
      </c>
      <c r="F5520" s="6" t="s">
        <v>292</v>
      </c>
      <c r="G5520" s="4" t="s">
        <v>81</v>
      </c>
      <c r="H5520" s="25">
        <v>10705</v>
      </c>
      <c r="I5520" s="8">
        <v>0</v>
      </c>
      <c r="J5520" s="9">
        <v>0</v>
      </c>
      <c r="K5520" s="7">
        <v>0</v>
      </c>
      <c r="L5520" s="24">
        <f>+Tabla2[[#This Row],[Stock Inventario]]*Tabla2[[#This Row],[Coste LÃ­nea]]</f>
        <v>0</v>
      </c>
      <c r="M5520" s="24">
        <f>+Tabla2[[#This Row],[Variación Stock]]*Tabla2[[#This Row],[Coste LÃ­nea]]</f>
        <v>0</v>
      </c>
      <c r="N5520" s="22" t="str">
        <f>+IF(Tabla2[[#This Row],[Variación Stock]]&gt;0,"Sobrante",IF(Tabla2[[#This Row],[Variación Stock]]&lt;0,"Faltante","Sin novedad"))</f>
        <v>Sin novedad</v>
      </c>
    </row>
    <row r="5521" spans="1:14" x14ac:dyDescent="0.25">
      <c r="A5521" s="11">
        <v>46053</v>
      </c>
      <c r="B5521" s="5" t="s">
        <v>971</v>
      </c>
      <c r="C5521" s="3" t="s">
        <v>284</v>
      </c>
      <c r="D5521" s="5" t="s">
        <v>118</v>
      </c>
      <c r="E5521" s="5" t="s">
        <v>112</v>
      </c>
      <c r="F5521" s="6" t="s">
        <v>92</v>
      </c>
      <c r="G5521" s="4" t="s">
        <v>81</v>
      </c>
      <c r="H5521" s="25">
        <v>10705</v>
      </c>
      <c r="I5521" s="8">
        <v>37</v>
      </c>
      <c r="J5521" s="9">
        <v>37</v>
      </c>
      <c r="K5521" s="7">
        <v>0</v>
      </c>
      <c r="L5521" s="24">
        <f>+Tabla2[[#This Row],[Stock Inventario]]*Tabla2[[#This Row],[Coste LÃ­nea]]</f>
        <v>396085</v>
      </c>
      <c r="M5521" s="24">
        <f>+Tabla2[[#This Row],[Variación Stock]]*Tabla2[[#This Row],[Coste LÃ­nea]]</f>
        <v>0</v>
      </c>
      <c r="N5521" s="22" t="str">
        <f>+IF(Tabla2[[#This Row],[Variación Stock]]&gt;0,"Sobrante",IF(Tabla2[[#This Row],[Variación Stock]]&lt;0,"Faltante","Sin novedad"))</f>
        <v>Sin novedad</v>
      </c>
    </row>
    <row r="5522" spans="1:14" x14ac:dyDescent="0.25">
      <c r="A5522" s="11">
        <v>46053</v>
      </c>
      <c r="B5522" s="5" t="s">
        <v>971</v>
      </c>
      <c r="C5522" s="3" t="s">
        <v>284</v>
      </c>
      <c r="D5522" s="5" t="s">
        <v>118</v>
      </c>
      <c r="E5522" s="5" t="s">
        <v>112</v>
      </c>
      <c r="F5522" s="6" t="s">
        <v>186</v>
      </c>
      <c r="G5522" s="4" t="s">
        <v>2</v>
      </c>
      <c r="H5522" s="25">
        <v>53140</v>
      </c>
      <c r="I5522" s="8">
        <v>0</v>
      </c>
      <c r="J5522" s="9">
        <v>0</v>
      </c>
      <c r="K5522" s="7">
        <v>0</v>
      </c>
      <c r="L5522" s="24">
        <f>+Tabla2[[#This Row],[Stock Inventario]]*Tabla2[[#This Row],[Coste LÃ­nea]]</f>
        <v>0</v>
      </c>
      <c r="M5522" s="24">
        <f>+Tabla2[[#This Row],[Variación Stock]]*Tabla2[[#This Row],[Coste LÃ­nea]]</f>
        <v>0</v>
      </c>
      <c r="N5522" s="22" t="str">
        <f>+IF(Tabla2[[#This Row],[Variación Stock]]&gt;0,"Sobrante",IF(Tabla2[[#This Row],[Variación Stock]]&lt;0,"Faltante","Sin novedad"))</f>
        <v>Sin novedad</v>
      </c>
    </row>
    <row r="5523" spans="1:14" x14ac:dyDescent="0.25">
      <c r="A5523" s="11">
        <v>46053</v>
      </c>
      <c r="B5523" s="5" t="s">
        <v>971</v>
      </c>
      <c r="C5523" s="3" t="s">
        <v>284</v>
      </c>
      <c r="D5523" s="5" t="s">
        <v>111</v>
      </c>
      <c r="E5523" s="5" t="s">
        <v>112</v>
      </c>
      <c r="F5523" s="6" t="s">
        <v>395</v>
      </c>
      <c r="G5523" s="4" t="s">
        <v>0</v>
      </c>
      <c r="H5523" s="25">
        <v>1794</v>
      </c>
      <c r="I5523" s="8">
        <v>44</v>
      </c>
      <c r="J5523" s="9">
        <v>0</v>
      </c>
      <c r="K5523" s="7">
        <v>-44</v>
      </c>
      <c r="L5523" s="24">
        <f>+Tabla2[[#This Row],[Stock Inventario]]*Tabla2[[#This Row],[Coste LÃ­nea]]</f>
        <v>0</v>
      </c>
      <c r="M5523" s="24">
        <f>+Tabla2[[#This Row],[Variación Stock]]*Tabla2[[#This Row],[Coste LÃ­nea]]</f>
        <v>-78936</v>
      </c>
      <c r="N5523" s="22" t="str">
        <f>+IF(Tabla2[[#This Row],[Variación Stock]]&gt;0,"Sobrante",IF(Tabla2[[#This Row],[Variación Stock]]&lt;0,"Faltante","Sin novedad"))</f>
        <v>Faltante</v>
      </c>
    </row>
    <row r="5524" spans="1:14" x14ac:dyDescent="0.25">
      <c r="A5524" s="11">
        <v>46053</v>
      </c>
      <c r="B5524" s="5" t="s">
        <v>971</v>
      </c>
      <c r="C5524" s="3" t="s">
        <v>284</v>
      </c>
      <c r="D5524" s="5" t="s">
        <v>111</v>
      </c>
      <c r="E5524" s="5" t="s">
        <v>112</v>
      </c>
      <c r="F5524" s="6" t="s">
        <v>43</v>
      </c>
      <c r="G5524" s="4" t="s">
        <v>0</v>
      </c>
      <c r="H5524" s="25">
        <v>3022.8333333300002</v>
      </c>
      <c r="I5524" s="8">
        <v>68.02</v>
      </c>
      <c r="J5524" s="9">
        <v>49</v>
      </c>
      <c r="K5524" s="7">
        <v>-19.02</v>
      </c>
      <c r="L5524" s="24">
        <f>+Tabla2[[#This Row],[Stock Inventario]]*Tabla2[[#This Row],[Coste LÃ­nea]]</f>
        <v>148118.83333317001</v>
      </c>
      <c r="M5524" s="24">
        <f>+Tabla2[[#This Row],[Variación Stock]]*Tabla2[[#This Row],[Coste LÃ­nea]]</f>
        <v>-57494.289999936605</v>
      </c>
      <c r="N5524" s="22" t="str">
        <f>+IF(Tabla2[[#This Row],[Variación Stock]]&gt;0,"Sobrante",IF(Tabla2[[#This Row],[Variación Stock]]&lt;0,"Faltante","Sin novedad"))</f>
        <v>Faltante</v>
      </c>
    </row>
    <row r="5525" spans="1:14" hidden="1" x14ac:dyDescent="0.25">
      <c r="A5525" s="11">
        <v>46053</v>
      </c>
      <c r="B5525" s="5" t="s">
        <v>971</v>
      </c>
      <c r="C5525" s="3" t="s">
        <v>284</v>
      </c>
      <c r="D5525" s="5" t="s">
        <v>396</v>
      </c>
      <c r="E5525" s="5" t="s">
        <v>117</v>
      </c>
      <c r="F5525" s="6" t="s">
        <v>428</v>
      </c>
      <c r="G5525" s="4" t="s">
        <v>1</v>
      </c>
      <c r="H5525" s="25">
        <v>58.31</v>
      </c>
      <c r="I5525" s="8">
        <v>3385</v>
      </c>
      <c r="J5525" s="9">
        <v>2010</v>
      </c>
      <c r="K5525" s="7">
        <v>-1375</v>
      </c>
      <c r="L5525" s="24">
        <f>+Tabla2[[#This Row],[Stock Inventario]]*Tabla2[[#This Row],[Coste LÃ­nea]]</f>
        <v>117203.1</v>
      </c>
      <c r="M5525" s="24">
        <f>+Tabla2[[#This Row],[Variación Stock]]*Tabla2[[#This Row],[Coste LÃ­nea]]</f>
        <v>-80176.25</v>
      </c>
      <c r="N5525" s="22" t="str">
        <f>+IF(Tabla2[[#This Row],[Variación Stock]]&gt;0,"Sobrante",IF(Tabla2[[#This Row],[Variación Stock]]&lt;0,"Faltante","Sin novedad"))</f>
        <v>Faltante</v>
      </c>
    </row>
    <row r="5526" spans="1:14" hidden="1" x14ac:dyDescent="0.25">
      <c r="A5526" s="11">
        <v>46053</v>
      </c>
      <c r="B5526" s="5" t="s">
        <v>971</v>
      </c>
      <c r="C5526" s="3" t="s">
        <v>284</v>
      </c>
      <c r="D5526" s="5" t="s">
        <v>396</v>
      </c>
      <c r="E5526" s="5" t="s">
        <v>117</v>
      </c>
      <c r="F5526" s="6" t="s">
        <v>464</v>
      </c>
      <c r="G5526" s="4" t="s">
        <v>1</v>
      </c>
      <c r="H5526" s="25">
        <v>22.750050000000002</v>
      </c>
      <c r="I5526" s="8">
        <v>0</v>
      </c>
      <c r="J5526" s="9">
        <v>0</v>
      </c>
      <c r="K5526" s="7">
        <v>0</v>
      </c>
      <c r="L5526" s="24">
        <f>+Tabla2[[#This Row],[Stock Inventario]]*Tabla2[[#This Row],[Coste LÃ­nea]]</f>
        <v>0</v>
      </c>
      <c r="M5526" s="24">
        <f>+Tabla2[[#This Row],[Variación Stock]]*Tabla2[[#This Row],[Coste LÃ­nea]]</f>
        <v>0</v>
      </c>
      <c r="N5526" s="22" t="str">
        <f>+IF(Tabla2[[#This Row],[Variación Stock]]&gt;0,"Sobrante",IF(Tabla2[[#This Row],[Variación Stock]]&lt;0,"Faltante","Sin novedad"))</f>
        <v>Sin novedad</v>
      </c>
    </row>
    <row r="5527" spans="1:14" x14ac:dyDescent="0.25">
      <c r="A5527" s="11">
        <v>46053</v>
      </c>
      <c r="B5527" s="5" t="s">
        <v>971</v>
      </c>
      <c r="C5527" s="3" t="s">
        <v>284</v>
      </c>
      <c r="D5527" s="5" t="s">
        <v>111</v>
      </c>
      <c r="E5527" s="5" t="s">
        <v>112</v>
      </c>
      <c r="F5527" s="6" t="s">
        <v>130</v>
      </c>
      <c r="G5527" s="4" t="s">
        <v>0</v>
      </c>
      <c r="H5527" s="25">
        <v>1997.7272727300001</v>
      </c>
      <c r="I5527" s="8">
        <v>0</v>
      </c>
      <c r="J5527" s="9">
        <v>0</v>
      </c>
      <c r="K5527" s="7">
        <v>0</v>
      </c>
      <c r="L5527" s="24">
        <f>+Tabla2[[#This Row],[Stock Inventario]]*Tabla2[[#This Row],[Coste LÃ­nea]]</f>
        <v>0</v>
      </c>
      <c r="M5527" s="24">
        <f>+Tabla2[[#This Row],[Variación Stock]]*Tabla2[[#This Row],[Coste LÃ­nea]]</f>
        <v>0</v>
      </c>
      <c r="N5527" s="22" t="str">
        <f>+IF(Tabla2[[#This Row],[Variación Stock]]&gt;0,"Sobrante",IF(Tabla2[[#This Row],[Variación Stock]]&lt;0,"Faltante","Sin novedad"))</f>
        <v>Sin novedad</v>
      </c>
    </row>
    <row r="5528" spans="1:14" x14ac:dyDescent="0.25">
      <c r="A5528" s="11">
        <v>46053</v>
      </c>
      <c r="B5528" s="5" t="s">
        <v>971</v>
      </c>
      <c r="C5528" s="3" t="s">
        <v>284</v>
      </c>
      <c r="D5528" s="5" t="s">
        <v>111</v>
      </c>
      <c r="E5528" s="5" t="s">
        <v>112</v>
      </c>
      <c r="F5528" s="6" t="s">
        <v>113</v>
      </c>
      <c r="G5528" s="4" t="s">
        <v>0</v>
      </c>
      <c r="H5528" s="25">
        <v>20566.318181819999</v>
      </c>
      <c r="I5528" s="8">
        <v>17</v>
      </c>
      <c r="J5528" s="9">
        <v>17</v>
      </c>
      <c r="K5528" s="7">
        <v>0</v>
      </c>
      <c r="L5528" s="24">
        <f>+Tabla2[[#This Row],[Stock Inventario]]*Tabla2[[#This Row],[Coste LÃ­nea]]</f>
        <v>349627.40909093997</v>
      </c>
      <c r="M5528" s="24">
        <f>+Tabla2[[#This Row],[Variación Stock]]*Tabla2[[#This Row],[Coste LÃ­nea]]</f>
        <v>0</v>
      </c>
      <c r="N5528" s="22" t="str">
        <f>+IF(Tabla2[[#This Row],[Variación Stock]]&gt;0,"Sobrante",IF(Tabla2[[#This Row],[Variación Stock]]&lt;0,"Faltante","Sin novedad"))</f>
        <v>Sin novedad</v>
      </c>
    </row>
    <row r="5529" spans="1:14" x14ac:dyDescent="0.25">
      <c r="A5529" s="11">
        <v>46053</v>
      </c>
      <c r="B5529" s="5" t="s">
        <v>971</v>
      </c>
      <c r="C5529" s="3" t="s">
        <v>284</v>
      </c>
      <c r="D5529" s="5" t="s">
        <v>111</v>
      </c>
      <c r="E5529" s="5" t="s">
        <v>112</v>
      </c>
      <c r="F5529" s="6" t="s">
        <v>34</v>
      </c>
      <c r="G5529" s="4" t="s">
        <v>0</v>
      </c>
      <c r="H5529" s="25">
        <v>6433.0454545499997</v>
      </c>
      <c r="I5529" s="8">
        <v>22</v>
      </c>
      <c r="J5529" s="9">
        <v>30</v>
      </c>
      <c r="K5529" s="7">
        <v>8</v>
      </c>
      <c r="L5529" s="24">
        <f>+Tabla2[[#This Row],[Stock Inventario]]*Tabla2[[#This Row],[Coste LÃ­nea]]</f>
        <v>192991.3636365</v>
      </c>
      <c r="M5529" s="24">
        <f>+Tabla2[[#This Row],[Variación Stock]]*Tabla2[[#This Row],[Coste LÃ­nea]]</f>
        <v>51464.363636399998</v>
      </c>
      <c r="N5529" s="22" t="str">
        <f>+IF(Tabla2[[#This Row],[Variación Stock]]&gt;0,"Sobrante",IF(Tabla2[[#This Row],[Variación Stock]]&lt;0,"Faltante","Sin novedad"))</f>
        <v>Sobrante</v>
      </c>
    </row>
    <row r="5530" spans="1:14" hidden="1" x14ac:dyDescent="0.25">
      <c r="A5530" s="11">
        <v>46053</v>
      </c>
      <c r="B5530" s="5" t="s">
        <v>971</v>
      </c>
      <c r="C5530" s="3" t="s">
        <v>284</v>
      </c>
      <c r="D5530" s="5" t="s">
        <v>626</v>
      </c>
      <c r="E5530" s="5" t="s">
        <v>1079</v>
      </c>
      <c r="F5530" s="6" t="s">
        <v>672</v>
      </c>
      <c r="G5530" s="4" t="s">
        <v>2</v>
      </c>
      <c r="H5530" s="25">
        <v>54021</v>
      </c>
      <c r="I5530" s="8">
        <v>1</v>
      </c>
      <c r="J5530" s="9">
        <v>2</v>
      </c>
      <c r="K5530" s="7">
        <v>0</v>
      </c>
      <c r="L5530" s="24">
        <f>+Tabla2[[#This Row],[Stock Inventario]]*Tabla2[[#This Row],[Coste LÃ­nea]]</f>
        <v>108042</v>
      </c>
      <c r="M5530" s="24">
        <f>+Tabla2[[#This Row],[Variación Stock]]*Tabla2[[#This Row],[Coste LÃ­nea]]</f>
        <v>0</v>
      </c>
      <c r="N5530" s="22" t="str">
        <f>+IF(Tabla2[[#This Row],[Variación Stock]]&gt;0,"Sobrante",IF(Tabla2[[#This Row],[Variación Stock]]&lt;0,"Faltante","Sin novedad"))</f>
        <v>Sin novedad</v>
      </c>
    </row>
    <row r="5531" spans="1:14" hidden="1" x14ac:dyDescent="0.25">
      <c r="A5531" s="11">
        <v>46053</v>
      </c>
      <c r="B5531" s="5" t="s">
        <v>971</v>
      </c>
      <c r="C5531" s="3" t="s">
        <v>284</v>
      </c>
      <c r="D5531" s="5" t="s">
        <v>471</v>
      </c>
      <c r="E5531" s="5" t="s">
        <v>117</v>
      </c>
      <c r="F5531" s="6" t="s">
        <v>538</v>
      </c>
      <c r="G5531" s="4" t="s">
        <v>1</v>
      </c>
      <c r="H5531" s="25">
        <v>4</v>
      </c>
      <c r="I5531" s="8">
        <v>18914.2853</v>
      </c>
      <c r="J5531" s="9">
        <v>0</v>
      </c>
      <c r="K5531" s="7">
        <v>-27314.285309999999</v>
      </c>
      <c r="L5531" s="24">
        <f>+Tabla2[[#This Row],[Stock Inventario]]*Tabla2[[#This Row],[Coste LÃ­nea]]</f>
        <v>0</v>
      </c>
      <c r="M5531" s="24">
        <f>+Tabla2[[#This Row],[Variación Stock]]*Tabla2[[#This Row],[Coste LÃ­nea]]</f>
        <v>-109257.14124</v>
      </c>
      <c r="N5531" s="22" t="str">
        <f>+IF(Tabla2[[#This Row],[Variación Stock]]&gt;0,"Sobrante",IF(Tabla2[[#This Row],[Variación Stock]]&lt;0,"Faltante","Sin novedad"))</f>
        <v>Faltante</v>
      </c>
    </row>
    <row r="5532" spans="1:14" hidden="1" x14ac:dyDescent="0.25">
      <c r="A5532" s="11">
        <v>46053</v>
      </c>
      <c r="B5532" s="5" t="s">
        <v>971</v>
      </c>
      <c r="C5532" s="3" t="s">
        <v>284</v>
      </c>
      <c r="D5532" s="5" t="s">
        <v>471</v>
      </c>
      <c r="E5532" s="5" t="s">
        <v>117</v>
      </c>
      <c r="F5532" s="6" t="s">
        <v>539</v>
      </c>
      <c r="G5532" s="4" t="s">
        <v>1</v>
      </c>
      <c r="H5532" s="25">
        <v>1.6</v>
      </c>
      <c r="I5532" s="8">
        <v>5958.6112000000003</v>
      </c>
      <c r="J5532" s="9">
        <v>4564</v>
      </c>
      <c r="K5532" s="7">
        <v>-1394.6111739999999</v>
      </c>
      <c r="L5532" s="24">
        <f>+Tabla2[[#This Row],[Stock Inventario]]*Tabla2[[#This Row],[Coste LÃ­nea]]</f>
        <v>7302.4000000000005</v>
      </c>
      <c r="M5532" s="24">
        <f>+Tabla2[[#This Row],[Variación Stock]]*Tabla2[[#This Row],[Coste LÃ­nea]]</f>
        <v>-2231.3778784000001</v>
      </c>
      <c r="N5532" s="22" t="str">
        <f>+IF(Tabla2[[#This Row],[Variación Stock]]&gt;0,"Sobrante",IF(Tabla2[[#This Row],[Variación Stock]]&lt;0,"Faltante","Sin novedad"))</f>
        <v>Faltante</v>
      </c>
    </row>
    <row r="5533" spans="1:14" hidden="1" x14ac:dyDescent="0.25">
      <c r="A5533" s="11">
        <v>46065</v>
      </c>
      <c r="B5533" s="5" t="s">
        <v>1095</v>
      </c>
      <c r="C5533" s="3" t="s">
        <v>284</v>
      </c>
      <c r="D5533" s="5" t="s">
        <v>119</v>
      </c>
      <c r="E5533" s="5" t="s">
        <v>117</v>
      </c>
      <c r="F5533" s="6" t="s">
        <v>8</v>
      </c>
      <c r="G5533" s="4" t="s">
        <v>1</v>
      </c>
      <c r="H5533" s="25">
        <v>51.342281880000002</v>
      </c>
      <c r="I5533" s="8">
        <v>3173.6034</v>
      </c>
      <c r="J5533" s="9">
        <v>7762</v>
      </c>
      <c r="K5533" s="7">
        <v>4588.3965639999997</v>
      </c>
      <c r="L5533" s="24">
        <f>+Tabla2[[#This Row],[Stock Inventario]]*Tabla2[[#This Row],[Coste LÃ­nea]]</f>
        <v>398518.79195256002</v>
      </c>
      <c r="M5533" s="24">
        <f>+Tabla2[[#This Row],[Variación Stock]]*Tabla2[[#This Row],[Coste LÃ­nea]]</f>
        <v>235578.74976611146</v>
      </c>
      <c r="N5533" s="22" t="str">
        <f>+IF(Tabla2[[#This Row],[Variación Stock]]&gt;0,"Sobrante",IF(Tabla2[[#This Row],[Variación Stock]]&lt;0,"Faltante","Sin novedad"))</f>
        <v>Sobrante</v>
      </c>
    </row>
    <row r="5534" spans="1:14" hidden="1" x14ac:dyDescent="0.25">
      <c r="A5534" s="11">
        <v>46065</v>
      </c>
      <c r="B5534" s="5" t="s">
        <v>1095</v>
      </c>
      <c r="C5534" s="3" t="s">
        <v>284</v>
      </c>
      <c r="D5534" s="5" t="s">
        <v>120</v>
      </c>
      <c r="E5534" s="5" t="s">
        <v>117</v>
      </c>
      <c r="F5534" s="6" t="s">
        <v>376</v>
      </c>
      <c r="G5534" s="4" t="s">
        <v>2</v>
      </c>
      <c r="H5534" s="25">
        <v>2770.4763510600001</v>
      </c>
      <c r="I5534" s="8">
        <v>-8</v>
      </c>
      <c r="J5534" s="9">
        <v>87</v>
      </c>
      <c r="K5534" s="7">
        <v>95</v>
      </c>
      <c r="L5534" s="24">
        <f>+Tabla2[[#This Row],[Stock Inventario]]*Tabla2[[#This Row],[Coste LÃ­nea]]</f>
        <v>241031.44254222</v>
      </c>
      <c r="M5534" s="24">
        <f>+Tabla2[[#This Row],[Variación Stock]]*Tabla2[[#This Row],[Coste LÃ­nea]]</f>
        <v>263195.25335070002</v>
      </c>
      <c r="N5534" s="22" t="str">
        <f>+IF(Tabla2[[#This Row],[Variación Stock]]&gt;0,"Sobrante",IF(Tabla2[[#This Row],[Variación Stock]]&lt;0,"Faltante","Sin novedad"))</f>
        <v>Sobrante</v>
      </c>
    </row>
    <row r="5535" spans="1:14" hidden="1" x14ac:dyDescent="0.25">
      <c r="A5535" s="11">
        <v>46065</v>
      </c>
      <c r="B5535" s="5" t="s">
        <v>1095</v>
      </c>
      <c r="C5535" s="3" t="s">
        <v>284</v>
      </c>
      <c r="D5535" s="5" t="s">
        <v>120</v>
      </c>
      <c r="E5535" s="5" t="s">
        <v>117</v>
      </c>
      <c r="F5535" s="6" t="s">
        <v>322</v>
      </c>
      <c r="G5535" s="4" t="s">
        <v>2</v>
      </c>
      <c r="H5535" s="25">
        <v>1940.3180376099999</v>
      </c>
      <c r="I5535" s="8">
        <v>4</v>
      </c>
      <c r="J5535" s="9">
        <v>58</v>
      </c>
      <c r="K5535" s="7">
        <v>54</v>
      </c>
      <c r="L5535" s="24">
        <f>+Tabla2[[#This Row],[Stock Inventario]]*Tabla2[[#This Row],[Coste LÃ­nea]]</f>
        <v>112538.44618138</v>
      </c>
      <c r="M5535" s="24">
        <f>+Tabla2[[#This Row],[Variación Stock]]*Tabla2[[#This Row],[Coste LÃ­nea]]</f>
        <v>104777.17403093999</v>
      </c>
      <c r="N5535" s="22" t="str">
        <f>+IF(Tabla2[[#This Row],[Variación Stock]]&gt;0,"Sobrante",IF(Tabla2[[#This Row],[Variación Stock]]&lt;0,"Faltante","Sin novedad"))</f>
        <v>Sobrante</v>
      </c>
    </row>
    <row r="5536" spans="1:14" hidden="1" x14ac:dyDescent="0.25">
      <c r="A5536" s="11">
        <v>46065</v>
      </c>
      <c r="B5536" s="5" t="s">
        <v>1095</v>
      </c>
      <c r="C5536" s="3" t="s">
        <v>284</v>
      </c>
      <c r="D5536" s="5" t="s">
        <v>120</v>
      </c>
      <c r="E5536" s="5" t="s">
        <v>117</v>
      </c>
      <c r="F5536" s="6" t="s">
        <v>96</v>
      </c>
      <c r="G5536" s="4" t="s">
        <v>2</v>
      </c>
      <c r="H5536" s="25">
        <v>6340.5732732699998</v>
      </c>
      <c r="I5536" s="8">
        <v>42</v>
      </c>
      <c r="J5536" s="9">
        <v>91</v>
      </c>
      <c r="K5536" s="7">
        <v>49</v>
      </c>
      <c r="L5536" s="24">
        <f>+Tabla2[[#This Row],[Stock Inventario]]*Tabla2[[#This Row],[Coste LÃ­nea]]</f>
        <v>576992.16786756995</v>
      </c>
      <c r="M5536" s="24">
        <f>+Tabla2[[#This Row],[Variación Stock]]*Tabla2[[#This Row],[Coste LÃ­nea]]</f>
        <v>310688.09039023001</v>
      </c>
      <c r="N5536" s="22" t="str">
        <f>+IF(Tabla2[[#This Row],[Variación Stock]]&gt;0,"Sobrante",IF(Tabla2[[#This Row],[Variación Stock]]&lt;0,"Faltante","Sin novedad"))</f>
        <v>Sobrante</v>
      </c>
    </row>
    <row r="5537" spans="1:14" hidden="1" x14ac:dyDescent="0.25">
      <c r="A5537" s="11">
        <v>46065</v>
      </c>
      <c r="B5537" s="5" t="s">
        <v>1095</v>
      </c>
      <c r="C5537" s="3" t="s">
        <v>284</v>
      </c>
      <c r="D5537" s="5" t="s">
        <v>119</v>
      </c>
      <c r="E5537" s="5" t="s">
        <v>117</v>
      </c>
      <c r="F5537" s="6" t="s">
        <v>11</v>
      </c>
      <c r="G5537" s="4" t="s">
        <v>2</v>
      </c>
      <c r="H5537" s="25">
        <v>436.02</v>
      </c>
      <c r="I5537" s="8">
        <v>264</v>
      </c>
      <c r="J5537" s="9">
        <v>295</v>
      </c>
      <c r="K5537" s="7">
        <v>31</v>
      </c>
      <c r="L5537" s="24">
        <f>+Tabla2[[#This Row],[Stock Inventario]]*Tabla2[[#This Row],[Coste LÃ­nea]]</f>
        <v>128625.9</v>
      </c>
      <c r="M5537" s="24">
        <f>+Tabla2[[#This Row],[Variación Stock]]*Tabla2[[#This Row],[Coste LÃ­nea]]</f>
        <v>13516.619999999999</v>
      </c>
      <c r="N5537" s="22" t="str">
        <f>+IF(Tabla2[[#This Row],[Variación Stock]]&gt;0,"Sobrante",IF(Tabla2[[#This Row],[Variación Stock]]&lt;0,"Faltante","Sin novedad"))</f>
        <v>Sobrante</v>
      </c>
    </row>
    <row r="5538" spans="1:14" hidden="1" x14ac:dyDescent="0.25">
      <c r="A5538" s="11">
        <v>46065</v>
      </c>
      <c r="B5538" s="5" t="s">
        <v>1095</v>
      </c>
      <c r="C5538" s="3" t="s">
        <v>284</v>
      </c>
      <c r="D5538" s="5" t="s">
        <v>120</v>
      </c>
      <c r="E5538" s="5" t="s">
        <v>117</v>
      </c>
      <c r="F5538" s="6" t="s">
        <v>316</v>
      </c>
      <c r="G5538" s="4" t="s">
        <v>2</v>
      </c>
      <c r="H5538" s="25">
        <v>1729.6435177799999</v>
      </c>
      <c r="I5538" s="8">
        <v>-2</v>
      </c>
      <c r="J5538" s="9">
        <v>19</v>
      </c>
      <c r="K5538" s="7">
        <v>21</v>
      </c>
      <c r="L5538" s="24">
        <f>+Tabla2[[#This Row],[Stock Inventario]]*Tabla2[[#This Row],[Coste LÃ­nea]]</f>
        <v>32863.226837819995</v>
      </c>
      <c r="M5538" s="24">
        <f>+Tabla2[[#This Row],[Variación Stock]]*Tabla2[[#This Row],[Coste LÃ­nea]]</f>
        <v>36322.513873379998</v>
      </c>
      <c r="N5538" s="22" t="str">
        <f>+IF(Tabla2[[#This Row],[Variación Stock]]&gt;0,"Sobrante",IF(Tabla2[[#This Row],[Variación Stock]]&lt;0,"Faltante","Sin novedad"))</f>
        <v>Sobrante</v>
      </c>
    </row>
    <row r="5539" spans="1:14" hidden="1" x14ac:dyDescent="0.25">
      <c r="A5539" s="11">
        <v>46065</v>
      </c>
      <c r="B5539" s="5" t="s">
        <v>1095</v>
      </c>
      <c r="C5539" s="3" t="s">
        <v>284</v>
      </c>
      <c r="D5539" s="5" t="s">
        <v>323</v>
      </c>
      <c r="E5539" s="5" t="s">
        <v>117</v>
      </c>
      <c r="F5539" s="6" t="s">
        <v>328</v>
      </c>
      <c r="G5539" s="4" t="s">
        <v>2</v>
      </c>
      <c r="H5539" s="25">
        <v>27045.723563070002</v>
      </c>
      <c r="I5539" s="8">
        <v>15.88</v>
      </c>
      <c r="J5539" s="9">
        <v>29.5</v>
      </c>
      <c r="K5539" s="7">
        <v>13.62</v>
      </c>
      <c r="L5539" s="24">
        <f>+Tabla2[[#This Row],[Stock Inventario]]*Tabla2[[#This Row],[Coste LÃ­nea]]</f>
        <v>797848.84511056507</v>
      </c>
      <c r="M5539" s="24">
        <f>+Tabla2[[#This Row],[Variación Stock]]*Tabla2[[#This Row],[Coste LÃ­nea]]</f>
        <v>368362.75492901338</v>
      </c>
      <c r="N5539" s="22" t="str">
        <f>+IF(Tabla2[[#This Row],[Variación Stock]]&gt;0,"Sobrante",IF(Tabla2[[#This Row],[Variación Stock]]&lt;0,"Faltante","Sin novedad"))</f>
        <v>Sobrante</v>
      </c>
    </row>
    <row r="5540" spans="1:14" hidden="1" x14ac:dyDescent="0.25">
      <c r="A5540" s="11">
        <v>46065</v>
      </c>
      <c r="B5540" s="5" t="s">
        <v>1095</v>
      </c>
      <c r="C5540" s="3" t="s">
        <v>284</v>
      </c>
      <c r="D5540" s="5" t="s">
        <v>120</v>
      </c>
      <c r="E5540" s="5" t="s">
        <v>117</v>
      </c>
      <c r="F5540" s="6" t="s">
        <v>315</v>
      </c>
      <c r="G5540" s="4" t="s">
        <v>2</v>
      </c>
      <c r="H5540" s="25">
        <v>2730.0773662900001</v>
      </c>
      <c r="I5540" s="8">
        <v>9</v>
      </c>
      <c r="J5540" s="9">
        <v>17</v>
      </c>
      <c r="K5540" s="7">
        <v>8</v>
      </c>
      <c r="L5540" s="24">
        <f>+Tabla2[[#This Row],[Stock Inventario]]*Tabla2[[#This Row],[Coste LÃ­nea]]</f>
        <v>46411.315226930004</v>
      </c>
      <c r="M5540" s="24">
        <f>+Tabla2[[#This Row],[Variación Stock]]*Tabla2[[#This Row],[Coste LÃ­nea]]</f>
        <v>21840.618930320001</v>
      </c>
      <c r="N5540" s="22" t="str">
        <f>+IF(Tabla2[[#This Row],[Variación Stock]]&gt;0,"Sobrante",IF(Tabla2[[#This Row],[Variación Stock]]&lt;0,"Faltante","Sin novedad"))</f>
        <v>Sobrante</v>
      </c>
    </row>
    <row r="5541" spans="1:14" hidden="1" x14ac:dyDescent="0.25">
      <c r="A5541" s="11">
        <v>46065</v>
      </c>
      <c r="B5541" s="5" t="s">
        <v>1095</v>
      </c>
      <c r="C5541" s="3" t="s">
        <v>284</v>
      </c>
      <c r="D5541" s="5" t="s">
        <v>116</v>
      </c>
      <c r="E5541" s="5" t="s">
        <v>117</v>
      </c>
      <c r="F5541" s="6" t="s">
        <v>79</v>
      </c>
      <c r="G5541" s="4" t="s">
        <v>2</v>
      </c>
      <c r="H5541" s="25">
        <v>4850</v>
      </c>
      <c r="I5541" s="8">
        <v>10</v>
      </c>
      <c r="J5541" s="9">
        <v>13.5</v>
      </c>
      <c r="K5541" s="7">
        <v>3.5</v>
      </c>
      <c r="L5541" s="24">
        <f>+Tabla2[[#This Row],[Stock Inventario]]*Tabla2[[#This Row],[Coste LÃ­nea]]</f>
        <v>65475</v>
      </c>
      <c r="M5541" s="24">
        <f>+Tabla2[[#This Row],[Variación Stock]]*Tabla2[[#This Row],[Coste LÃ­nea]]</f>
        <v>16975</v>
      </c>
      <c r="N5541" s="22" t="str">
        <f>+IF(Tabla2[[#This Row],[Variación Stock]]&gt;0,"Sobrante",IF(Tabla2[[#This Row],[Variación Stock]]&lt;0,"Faltante","Sin novedad"))</f>
        <v>Sobrante</v>
      </c>
    </row>
    <row r="5542" spans="1:14" hidden="1" x14ac:dyDescent="0.25">
      <c r="A5542" s="11">
        <v>46065</v>
      </c>
      <c r="B5542" s="5" t="s">
        <v>1095</v>
      </c>
      <c r="C5542" s="3" t="s">
        <v>284</v>
      </c>
      <c r="D5542" s="5" t="s">
        <v>120</v>
      </c>
      <c r="E5542" s="5" t="s">
        <v>117</v>
      </c>
      <c r="F5542" s="6" t="s">
        <v>318</v>
      </c>
      <c r="G5542" s="4" t="s">
        <v>2</v>
      </c>
      <c r="H5542" s="25">
        <v>5943.1887500000003</v>
      </c>
      <c r="I5542" s="8">
        <v>6.5</v>
      </c>
      <c r="J5542" s="9">
        <v>6</v>
      </c>
      <c r="K5542" s="7">
        <v>-0.5</v>
      </c>
      <c r="L5542" s="24">
        <f>+Tabla2[[#This Row],[Stock Inventario]]*Tabla2[[#This Row],[Coste LÃ­nea]]</f>
        <v>35659.1325</v>
      </c>
      <c r="M5542" s="24">
        <f>+Tabla2[[#This Row],[Variación Stock]]*Tabla2[[#This Row],[Coste LÃ­nea]]</f>
        <v>-2971.5943750000001</v>
      </c>
      <c r="N5542" s="22" t="str">
        <f>+IF(Tabla2[[#This Row],[Variación Stock]]&gt;0,"Sobrante",IF(Tabla2[[#This Row],[Variación Stock]]&lt;0,"Faltante","Sin novedad"))</f>
        <v>Faltante</v>
      </c>
    </row>
    <row r="5543" spans="1:14" hidden="1" x14ac:dyDescent="0.25">
      <c r="A5543" s="11">
        <v>46065</v>
      </c>
      <c r="B5543" s="5" t="s">
        <v>1095</v>
      </c>
      <c r="C5543" s="3" t="s">
        <v>284</v>
      </c>
      <c r="D5543" s="5" t="s">
        <v>120</v>
      </c>
      <c r="E5543" s="5" t="s">
        <v>117</v>
      </c>
      <c r="F5543" s="6" t="s">
        <v>319</v>
      </c>
      <c r="G5543" s="4" t="s">
        <v>2</v>
      </c>
      <c r="H5543" s="25">
        <v>4091.0326780999999</v>
      </c>
      <c r="I5543" s="8">
        <v>9</v>
      </c>
      <c r="J5543" s="9">
        <v>8</v>
      </c>
      <c r="K5543" s="7">
        <v>-1</v>
      </c>
      <c r="L5543" s="24">
        <f>+Tabla2[[#This Row],[Stock Inventario]]*Tabla2[[#This Row],[Coste LÃ­nea]]</f>
        <v>32728.261424799999</v>
      </c>
      <c r="M5543" s="24">
        <f>+Tabla2[[#This Row],[Variación Stock]]*Tabla2[[#This Row],[Coste LÃ­nea]]</f>
        <v>-4091.0326780999999</v>
      </c>
      <c r="N5543" s="22" t="str">
        <f>+IF(Tabla2[[#This Row],[Variación Stock]]&gt;0,"Sobrante",IF(Tabla2[[#This Row],[Variación Stock]]&lt;0,"Faltante","Sin novedad"))</f>
        <v>Faltante</v>
      </c>
    </row>
    <row r="5544" spans="1:14" hidden="1" x14ac:dyDescent="0.25">
      <c r="A5544" s="11">
        <v>46065</v>
      </c>
      <c r="B5544" s="5" t="s">
        <v>1095</v>
      </c>
      <c r="C5544" s="3" t="s">
        <v>284</v>
      </c>
      <c r="D5544" s="5" t="s">
        <v>116</v>
      </c>
      <c r="E5544" s="5" t="s">
        <v>117</v>
      </c>
      <c r="F5544" s="6" t="s">
        <v>7</v>
      </c>
      <c r="G5544" s="4" t="s">
        <v>2</v>
      </c>
      <c r="H5544" s="25">
        <v>13154.054054050001</v>
      </c>
      <c r="I5544" s="8">
        <v>75.5</v>
      </c>
      <c r="J5544" s="9">
        <v>70.5</v>
      </c>
      <c r="K5544" s="7">
        <v>-5</v>
      </c>
      <c r="L5544" s="24">
        <f>+Tabla2[[#This Row],[Stock Inventario]]*Tabla2[[#This Row],[Coste LÃ­nea]]</f>
        <v>927360.81081052509</v>
      </c>
      <c r="M5544" s="24">
        <f>+Tabla2[[#This Row],[Variación Stock]]*Tabla2[[#This Row],[Coste LÃ­nea]]</f>
        <v>-65770.27027025001</v>
      </c>
      <c r="N5544" s="22" t="str">
        <f>+IF(Tabla2[[#This Row],[Variación Stock]]&gt;0,"Sobrante",IF(Tabla2[[#This Row],[Variación Stock]]&lt;0,"Faltante","Sin novedad"))</f>
        <v>Faltante</v>
      </c>
    </row>
    <row r="5545" spans="1:14" hidden="1" x14ac:dyDescent="0.25">
      <c r="A5545" s="11">
        <v>46065</v>
      </c>
      <c r="B5545" s="5" t="s">
        <v>1095</v>
      </c>
      <c r="C5545" s="3" t="s">
        <v>284</v>
      </c>
      <c r="D5545" s="5" t="s">
        <v>323</v>
      </c>
      <c r="E5545" s="5" t="s">
        <v>117</v>
      </c>
      <c r="F5545" s="6" t="s">
        <v>329</v>
      </c>
      <c r="G5545" s="4" t="s">
        <v>2</v>
      </c>
      <c r="H5545" s="25">
        <v>10614.7325009</v>
      </c>
      <c r="I5545" s="8">
        <v>69</v>
      </c>
      <c r="J5545" s="9">
        <v>62</v>
      </c>
      <c r="K5545" s="7">
        <v>-7</v>
      </c>
      <c r="L5545" s="24">
        <f>+Tabla2[[#This Row],[Stock Inventario]]*Tabla2[[#This Row],[Coste LÃ­nea]]</f>
        <v>658113.4150558</v>
      </c>
      <c r="M5545" s="24">
        <f>+Tabla2[[#This Row],[Variación Stock]]*Tabla2[[#This Row],[Coste LÃ­nea]]</f>
        <v>-74303.127506299992</v>
      </c>
      <c r="N5545" s="22" t="str">
        <f>+IF(Tabla2[[#This Row],[Variación Stock]]&gt;0,"Sobrante",IF(Tabla2[[#This Row],[Variación Stock]]&lt;0,"Faltante","Sin novedad"))</f>
        <v>Faltante</v>
      </c>
    </row>
    <row r="5546" spans="1:14" hidden="1" x14ac:dyDescent="0.25">
      <c r="A5546" s="11">
        <v>46065</v>
      </c>
      <c r="B5546" s="5" t="s">
        <v>1095</v>
      </c>
      <c r="C5546" s="3" t="s">
        <v>284</v>
      </c>
      <c r="D5546" s="5" t="s">
        <v>116</v>
      </c>
      <c r="E5546" s="5" t="s">
        <v>117</v>
      </c>
      <c r="F5546" s="6" t="s">
        <v>4</v>
      </c>
      <c r="G5546" s="4" t="s">
        <v>2</v>
      </c>
      <c r="H5546" s="25">
        <v>3250</v>
      </c>
      <c r="I5546" s="8">
        <v>23</v>
      </c>
      <c r="J5546" s="9">
        <v>15.5</v>
      </c>
      <c r="K5546" s="7">
        <v>-7.5</v>
      </c>
      <c r="L5546" s="24">
        <f>+Tabla2[[#This Row],[Stock Inventario]]*Tabla2[[#This Row],[Coste LÃ­nea]]</f>
        <v>50375</v>
      </c>
      <c r="M5546" s="24">
        <f>+Tabla2[[#This Row],[Variación Stock]]*Tabla2[[#This Row],[Coste LÃ­nea]]</f>
        <v>-24375</v>
      </c>
      <c r="N5546" s="22" t="str">
        <f>+IF(Tabla2[[#This Row],[Variación Stock]]&gt;0,"Sobrante",IF(Tabla2[[#This Row],[Variación Stock]]&lt;0,"Faltante","Sin novedad"))</f>
        <v>Faltante</v>
      </c>
    </row>
    <row r="5547" spans="1:14" hidden="1" x14ac:dyDescent="0.25">
      <c r="A5547" s="11">
        <v>46065</v>
      </c>
      <c r="B5547" s="5" t="s">
        <v>1095</v>
      </c>
      <c r="C5547" s="3" t="s">
        <v>284</v>
      </c>
      <c r="D5547" s="5" t="s">
        <v>119</v>
      </c>
      <c r="E5547" s="5" t="s">
        <v>117</v>
      </c>
      <c r="F5547" s="6" t="s">
        <v>9</v>
      </c>
      <c r="G5547" s="4" t="s">
        <v>2</v>
      </c>
      <c r="H5547" s="25">
        <v>514.28571428999999</v>
      </c>
      <c r="I5547" s="8">
        <v>842</v>
      </c>
      <c r="J5547" s="9">
        <v>770</v>
      </c>
      <c r="K5547" s="7">
        <v>-72</v>
      </c>
      <c r="L5547" s="24">
        <f>+Tabla2[[#This Row],[Stock Inventario]]*Tabla2[[#This Row],[Coste LÃ­nea]]</f>
        <v>396000.00000329997</v>
      </c>
      <c r="M5547" s="24">
        <f>+Tabla2[[#This Row],[Variación Stock]]*Tabla2[[#This Row],[Coste LÃ­nea]]</f>
        <v>-37028.571428880001</v>
      </c>
      <c r="N5547" s="22" t="str">
        <f>+IF(Tabla2[[#This Row],[Variación Stock]]&gt;0,"Sobrante",IF(Tabla2[[#This Row],[Variación Stock]]&lt;0,"Faltante","Sin novedad"))</f>
        <v>Faltante</v>
      </c>
    </row>
    <row r="5548" spans="1:14" hidden="1" x14ac:dyDescent="0.25">
      <c r="A5548" s="11">
        <v>46065</v>
      </c>
      <c r="B5548" s="5" t="s">
        <v>1095</v>
      </c>
      <c r="C5548" s="3" t="s">
        <v>284</v>
      </c>
      <c r="D5548" s="5" t="s">
        <v>323</v>
      </c>
      <c r="E5548" s="5" t="s">
        <v>117</v>
      </c>
      <c r="F5548" s="6" t="s">
        <v>327</v>
      </c>
      <c r="G5548" s="4" t="s">
        <v>1</v>
      </c>
      <c r="H5548" s="25">
        <v>63.986645770000003</v>
      </c>
      <c r="I5548" s="8">
        <v>4116</v>
      </c>
      <c r="J5548" s="9">
        <v>4000</v>
      </c>
      <c r="K5548" s="7">
        <v>-116</v>
      </c>
      <c r="L5548" s="24">
        <f>+Tabla2[[#This Row],[Stock Inventario]]*Tabla2[[#This Row],[Coste LÃ­nea]]</f>
        <v>255946.58308000001</v>
      </c>
      <c r="M5548" s="24">
        <f>+Tabla2[[#This Row],[Variación Stock]]*Tabla2[[#This Row],[Coste LÃ­nea]]</f>
        <v>-7422.4509093200004</v>
      </c>
      <c r="N5548" s="22" t="str">
        <f>+IF(Tabla2[[#This Row],[Variación Stock]]&gt;0,"Sobrante",IF(Tabla2[[#This Row],[Variación Stock]]&lt;0,"Faltante","Sin novedad"))</f>
        <v>Faltante</v>
      </c>
    </row>
    <row r="5549" spans="1:14" hidden="1" x14ac:dyDescent="0.25">
      <c r="A5549" s="11">
        <v>46065</v>
      </c>
      <c r="B5549" s="5" t="s">
        <v>1095</v>
      </c>
      <c r="C5549" s="3" t="s">
        <v>284</v>
      </c>
      <c r="D5549" s="5" t="s">
        <v>119</v>
      </c>
      <c r="E5549" s="5" t="s">
        <v>117</v>
      </c>
      <c r="F5549" s="6" t="s">
        <v>94</v>
      </c>
      <c r="G5549" s="4" t="s">
        <v>2</v>
      </c>
      <c r="H5549" s="25">
        <v>1500</v>
      </c>
      <c r="I5549" s="8">
        <v>188</v>
      </c>
      <c r="J5549" s="9">
        <v>68</v>
      </c>
      <c r="K5549" s="7">
        <v>-120</v>
      </c>
      <c r="L5549" s="24">
        <f>+Tabla2[[#This Row],[Stock Inventario]]*Tabla2[[#This Row],[Coste LÃ­nea]]</f>
        <v>102000</v>
      </c>
      <c r="M5549" s="24">
        <f>+Tabla2[[#This Row],[Variación Stock]]*Tabla2[[#This Row],[Coste LÃ­nea]]</f>
        <v>-180000</v>
      </c>
      <c r="N5549" s="22" t="str">
        <f>+IF(Tabla2[[#This Row],[Variación Stock]]&gt;0,"Sobrante",IF(Tabla2[[#This Row],[Variación Stock]]&lt;0,"Faltante","Sin novedad"))</f>
        <v>Faltante</v>
      </c>
    </row>
    <row r="5550" spans="1:14" x14ac:dyDescent="0.25">
      <c r="A5550" s="11">
        <v>46065</v>
      </c>
      <c r="B5550" s="5" t="s">
        <v>1095</v>
      </c>
      <c r="C5550" s="3" t="s">
        <v>284</v>
      </c>
      <c r="D5550" s="5" t="s">
        <v>118</v>
      </c>
      <c r="E5550" s="5" t="s">
        <v>112</v>
      </c>
      <c r="F5550" s="6" t="s">
        <v>85</v>
      </c>
      <c r="G5550" s="4" t="s">
        <v>81</v>
      </c>
      <c r="H5550" s="25">
        <v>9853.2000000000007</v>
      </c>
      <c r="I5550" s="8">
        <v>20</v>
      </c>
      <c r="J5550" s="9">
        <v>20</v>
      </c>
      <c r="K5550" s="7">
        <v>0</v>
      </c>
      <c r="L5550" s="24">
        <f>+Tabla2[[#This Row],[Stock Inventario]]*Tabla2[[#This Row],[Coste LÃ­nea]]</f>
        <v>197064</v>
      </c>
      <c r="M5550" s="24">
        <f>+Tabla2[[#This Row],[Variación Stock]]*Tabla2[[#This Row],[Coste LÃ­nea]]</f>
        <v>0</v>
      </c>
      <c r="N5550" s="22" t="str">
        <f>+IF(Tabla2[[#This Row],[Variación Stock]]&gt;0,"Sobrante",IF(Tabla2[[#This Row],[Variación Stock]]&lt;0,"Faltante","Sin novedad"))</f>
        <v>Sin novedad</v>
      </c>
    </row>
    <row r="5551" spans="1:14" x14ac:dyDescent="0.25">
      <c r="A5551" s="11">
        <v>46065</v>
      </c>
      <c r="B5551" s="5" t="s">
        <v>1095</v>
      </c>
      <c r="C5551" s="3" t="s">
        <v>284</v>
      </c>
      <c r="D5551" s="5" t="s">
        <v>114</v>
      </c>
      <c r="E5551" s="5" t="s">
        <v>112</v>
      </c>
      <c r="F5551" s="6" t="s">
        <v>60</v>
      </c>
      <c r="G5551" s="4" t="s">
        <v>2</v>
      </c>
      <c r="H5551" s="25">
        <v>2435.27777775</v>
      </c>
      <c r="I5551" s="8">
        <v>101</v>
      </c>
      <c r="J5551" s="9">
        <v>89</v>
      </c>
      <c r="K5551" s="7">
        <v>-12</v>
      </c>
      <c r="L5551" s="24">
        <f>+Tabla2[[#This Row],[Stock Inventario]]*Tabla2[[#This Row],[Coste LÃ­nea]]</f>
        <v>216739.72221974999</v>
      </c>
      <c r="M5551" s="24">
        <f>+Tabla2[[#This Row],[Variación Stock]]*Tabla2[[#This Row],[Coste LÃ­nea]]</f>
        <v>-29223.333333000002</v>
      </c>
      <c r="N5551" s="22" t="str">
        <f>+IF(Tabla2[[#This Row],[Variación Stock]]&gt;0,"Sobrante",IF(Tabla2[[#This Row],[Variación Stock]]&lt;0,"Faltante","Sin novedad"))</f>
        <v>Faltante</v>
      </c>
    </row>
    <row r="5552" spans="1:14" x14ac:dyDescent="0.25">
      <c r="A5552" s="11">
        <v>46065</v>
      </c>
      <c r="B5552" s="5" t="s">
        <v>1095</v>
      </c>
      <c r="C5552" s="3" t="s">
        <v>284</v>
      </c>
      <c r="D5552" s="5" t="s">
        <v>111</v>
      </c>
      <c r="E5552" s="5" t="s">
        <v>112</v>
      </c>
      <c r="F5552" s="6" t="s">
        <v>15</v>
      </c>
      <c r="G5552" s="4" t="s">
        <v>0</v>
      </c>
      <c r="H5552" s="25">
        <v>11819.5</v>
      </c>
      <c r="I5552" s="8">
        <v>26</v>
      </c>
      <c r="J5552" s="9">
        <v>25</v>
      </c>
      <c r="K5552" s="7">
        <v>-1</v>
      </c>
      <c r="L5552" s="24">
        <f>+Tabla2[[#This Row],[Stock Inventario]]*Tabla2[[#This Row],[Coste LÃ­nea]]</f>
        <v>295487.5</v>
      </c>
      <c r="M5552" s="24">
        <f>+Tabla2[[#This Row],[Variación Stock]]*Tabla2[[#This Row],[Coste LÃ­nea]]</f>
        <v>-11819.5</v>
      </c>
      <c r="N5552" s="22" t="str">
        <f>+IF(Tabla2[[#This Row],[Variación Stock]]&gt;0,"Sobrante",IF(Tabla2[[#This Row],[Variación Stock]]&lt;0,"Faltante","Sin novedad"))</f>
        <v>Faltante</v>
      </c>
    </row>
    <row r="5553" spans="1:14" hidden="1" x14ac:dyDescent="0.25">
      <c r="A5553" s="11">
        <v>46065</v>
      </c>
      <c r="B5553" s="5" t="s">
        <v>1095</v>
      </c>
      <c r="C5553" s="3" t="s">
        <v>284</v>
      </c>
      <c r="D5553" s="5" t="s">
        <v>119</v>
      </c>
      <c r="E5553" s="5" t="s">
        <v>117</v>
      </c>
      <c r="F5553" s="6" t="s">
        <v>93</v>
      </c>
      <c r="G5553" s="4" t="s">
        <v>1</v>
      </c>
      <c r="H5553" s="25">
        <v>54.545000000000002</v>
      </c>
      <c r="I5553" s="8">
        <v>22502.2222</v>
      </c>
      <c r="J5553" s="9">
        <v>21106</v>
      </c>
      <c r="K5553" s="7">
        <v>-1396.222176</v>
      </c>
      <c r="L5553" s="24">
        <f>+Tabla2[[#This Row],[Stock Inventario]]*Tabla2[[#This Row],[Coste LÃ­nea]]</f>
        <v>1151226.77</v>
      </c>
      <c r="M5553" s="24">
        <f>+Tabla2[[#This Row],[Variación Stock]]*Tabla2[[#This Row],[Coste LÃ­nea]]</f>
        <v>-76156.938589919999</v>
      </c>
      <c r="N5553" s="22" t="str">
        <f>+IF(Tabla2[[#This Row],[Variación Stock]]&gt;0,"Sobrante",IF(Tabla2[[#This Row],[Variación Stock]]&lt;0,"Faltante","Sin novedad"))</f>
        <v>Faltante</v>
      </c>
    </row>
    <row r="5554" spans="1:14" x14ac:dyDescent="0.25">
      <c r="A5554" s="11">
        <v>46065</v>
      </c>
      <c r="B5554" s="5" t="s">
        <v>1095</v>
      </c>
      <c r="C5554" s="3" t="s">
        <v>284</v>
      </c>
      <c r="D5554" s="5" t="s">
        <v>118</v>
      </c>
      <c r="E5554" s="5" t="s">
        <v>112</v>
      </c>
      <c r="F5554" s="6" t="s">
        <v>174</v>
      </c>
      <c r="G5554" s="4" t="s">
        <v>0</v>
      </c>
      <c r="H5554" s="25">
        <v>2903.3333333300002</v>
      </c>
      <c r="I5554" s="8">
        <v>0</v>
      </c>
      <c r="J5554" s="9">
        <v>0</v>
      </c>
      <c r="K5554" s="7">
        <v>0</v>
      </c>
      <c r="L5554" s="24">
        <f>+Tabla2[[#This Row],[Stock Inventario]]*Tabla2[[#This Row],[Coste LÃ­nea]]</f>
        <v>0</v>
      </c>
      <c r="M5554" s="24">
        <f>+Tabla2[[#This Row],[Variación Stock]]*Tabla2[[#This Row],[Coste LÃ­nea]]</f>
        <v>0</v>
      </c>
      <c r="N5554" s="22" t="str">
        <f>+IF(Tabla2[[#This Row],[Variación Stock]]&gt;0,"Sobrante",IF(Tabla2[[#This Row],[Variación Stock]]&lt;0,"Faltante","Sin novedad"))</f>
        <v>Sin novedad</v>
      </c>
    </row>
    <row r="5555" spans="1:14" x14ac:dyDescent="0.25">
      <c r="A5555" s="11">
        <v>46065</v>
      </c>
      <c r="B5555" s="5" t="s">
        <v>1095</v>
      </c>
      <c r="C5555" s="3" t="s">
        <v>284</v>
      </c>
      <c r="D5555" s="5" t="s">
        <v>115</v>
      </c>
      <c r="E5555" s="5" t="s">
        <v>112</v>
      </c>
      <c r="F5555" s="6" t="s">
        <v>71</v>
      </c>
      <c r="G5555" s="4" t="s">
        <v>2</v>
      </c>
      <c r="H5555" s="25">
        <v>2455.2333333299998</v>
      </c>
      <c r="I5555" s="8">
        <v>38</v>
      </c>
      <c r="J5555" s="9">
        <v>38</v>
      </c>
      <c r="K5555" s="7">
        <v>0</v>
      </c>
      <c r="L5555" s="24">
        <f>+Tabla2[[#This Row],[Stock Inventario]]*Tabla2[[#This Row],[Coste LÃ­nea]]</f>
        <v>93298.866666539994</v>
      </c>
      <c r="M5555" s="24">
        <f>+Tabla2[[#This Row],[Variación Stock]]*Tabla2[[#This Row],[Coste LÃ­nea]]</f>
        <v>0</v>
      </c>
      <c r="N5555" s="22" t="str">
        <f>+IF(Tabla2[[#This Row],[Variación Stock]]&gt;0,"Sobrante",IF(Tabla2[[#This Row],[Variación Stock]]&lt;0,"Faltante","Sin novedad"))</f>
        <v>Sin novedad</v>
      </c>
    </row>
    <row r="5556" spans="1:14" x14ac:dyDescent="0.25">
      <c r="A5556" s="11">
        <v>46065</v>
      </c>
      <c r="B5556" s="5" t="s">
        <v>1095</v>
      </c>
      <c r="C5556" s="3" t="s">
        <v>284</v>
      </c>
      <c r="D5556" s="5" t="s">
        <v>111</v>
      </c>
      <c r="E5556" s="5" t="s">
        <v>112</v>
      </c>
      <c r="F5556" s="6" t="s">
        <v>45</v>
      </c>
      <c r="G5556" s="4" t="s">
        <v>2</v>
      </c>
      <c r="H5556" s="25">
        <v>24403</v>
      </c>
      <c r="I5556" s="8">
        <v>2</v>
      </c>
      <c r="J5556" s="9">
        <v>2</v>
      </c>
      <c r="K5556" s="7">
        <v>0</v>
      </c>
      <c r="L5556" s="24">
        <f>+Tabla2[[#This Row],[Stock Inventario]]*Tabla2[[#This Row],[Coste LÃ­nea]]</f>
        <v>48806</v>
      </c>
      <c r="M5556" s="24">
        <f>+Tabla2[[#This Row],[Variación Stock]]*Tabla2[[#This Row],[Coste LÃ­nea]]</f>
        <v>0</v>
      </c>
      <c r="N5556" s="22" t="str">
        <f>+IF(Tabla2[[#This Row],[Variación Stock]]&gt;0,"Sobrante",IF(Tabla2[[#This Row],[Variación Stock]]&lt;0,"Faltante","Sin novedad"))</f>
        <v>Sin novedad</v>
      </c>
    </row>
    <row r="5557" spans="1:14" x14ac:dyDescent="0.25">
      <c r="A5557" s="11">
        <v>46065</v>
      </c>
      <c r="B5557" s="5" t="s">
        <v>1095</v>
      </c>
      <c r="C5557" s="3" t="s">
        <v>284</v>
      </c>
      <c r="D5557" s="5" t="s">
        <v>121</v>
      </c>
      <c r="E5557" s="5" t="s">
        <v>112</v>
      </c>
      <c r="F5557" s="6" t="s">
        <v>377</v>
      </c>
      <c r="G5557" s="4" t="s">
        <v>0</v>
      </c>
      <c r="H5557" s="25">
        <v>4942.8194726199999</v>
      </c>
      <c r="I5557" s="8">
        <v>28</v>
      </c>
      <c r="J5557" s="9">
        <v>29</v>
      </c>
      <c r="K5557" s="7">
        <v>1</v>
      </c>
      <c r="L5557" s="24">
        <f>+Tabla2[[#This Row],[Stock Inventario]]*Tabla2[[#This Row],[Coste LÃ­nea]]</f>
        <v>143341.76470597999</v>
      </c>
      <c r="M5557" s="24">
        <f>+Tabla2[[#This Row],[Variación Stock]]*Tabla2[[#This Row],[Coste LÃ­nea]]</f>
        <v>4942.8194726199999</v>
      </c>
      <c r="N5557" s="22" t="str">
        <f>+IF(Tabla2[[#This Row],[Variación Stock]]&gt;0,"Sobrante",IF(Tabla2[[#This Row],[Variación Stock]]&lt;0,"Faltante","Sin novedad"))</f>
        <v>Sobrante</v>
      </c>
    </row>
    <row r="5558" spans="1:14" x14ac:dyDescent="0.25">
      <c r="A5558" s="11">
        <v>46065</v>
      </c>
      <c r="B5558" s="5" t="s">
        <v>1095</v>
      </c>
      <c r="C5558" s="3" t="s">
        <v>284</v>
      </c>
      <c r="D5558" s="5" t="s">
        <v>111</v>
      </c>
      <c r="E5558" s="5" t="s">
        <v>112</v>
      </c>
      <c r="F5558" s="6" t="s">
        <v>59</v>
      </c>
      <c r="G5558" s="4" t="s">
        <v>0</v>
      </c>
      <c r="H5558" s="25">
        <v>3426.7241379299999</v>
      </c>
      <c r="I5558" s="8">
        <v>16</v>
      </c>
      <c r="J5558" s="9">
        <v>72</v>
      </c>
      <c r="K5558" s="7">
        <v>56</v>
      </c>
      <c r="L5558" s="24">
        <f>+Tabla2[[#This Row],[Stock Inventario]]*Tabla2[[#This Row],[Coste LÃ­nea]]</f>
        <v>246724.13793095999</v>
      </c>
      <c r="M5558" s="24">
        <f>+Tabla2[[#This Row],[Variación Stock]]*Tabla2[[#This Row],[Coste LÃ­nea]]</f>
        <v>191896.55172408</v>
      </c>
      <c r="N5558" s="22" t="str">
        <f>+IF(Tabla2[[#This Row],[Variación Stock]]&gt;0,"Sobrante",IF(Tabla2[[#This Row],[Variación Stock]]&lt;0,"Faltante","Sin novedad"))</f>
        <v>Sobrante</v>
      </c>
    </row>
    <row r="5559" spans="1:14" x14ac:dyDescent="0.25">
      <c r="A5559" s="11">
        <v>46065</v>
      </c>
      <c r="B5559" s="5" t="s">
        <v>1095</v>
      </c>
      <c r="C5559" s="3" t="s">
        <v>284</v>
      </c>
      <c r="D5559" s="5" t="s">
        <v>111</v>
      </c>
      <c r="E5559" s="5" t="s">
        <v>112</v>
      </c>
      <c r="F5559" s="6" t="s">
        <v>286</v>
      </c>
      <c r="G5559" s="4" t="s">
        <v>0</v>
      </c>
      <c r="H5559" s="25">
        <v>0</v>
      </c>
      <c r="I5559" s="8">
        <v>0</v>
      </c>
      <c r="J5559" s="9">
        <v>0</v>
      </c>
      <c r="K5559" s="7">
        <v>0</v>
      </c>
      <c r="L5559" s="24">
        <f>+Tabla2[[#This Row],[Stock Inventario]]*Tabla2[[#This Row],[Coste LÃ­nea]]</f>
        <v>0</v>
      </c>
      <c r="M5559" s="24">
        <f>+Tabla2[[#This Row],[Variación Stock]]*Tabla2[[#This Row],[Coste LÃ­nea]]</f>
        <v>0</v>
      </c>
      <c r="N5559" s="22" t="str">
        <f>+IF(Tabla2[[#This Row],[Variación Stock]]&gt;0,"Sobrante",IF(Tabla2[[#This Row],[Variación Stock]]&lt;0,"Faltante","Sin novedad"))</f>
        <v>Sin novedad</v>
      </c>
    </row>
    <row r="5560" spans="1:14" x14ac:dyDescent="0.25">
      <c r="A5560" s="11">
        <v>46065</v>
      </c>
      <c r="B5560" s="5" t="s">
        <v>1095</v>
      </c>
      <c r="C5560" s="3" t="s">
        <v>284</v>
      </c>
      <c r="D5560" s="5" t="s">
        <v>111</v>
      </c>
      <c r="E5560" s="5" t="s">
        <v>112</v>
      </c>
      <c r="F5560" s="6" t="s">
        <v>56</v>
      </c>
      <c r="G5560" s="4" t="s">
        <v>0</v>
      </c>
      <c r="H5560" s="25">
        <v>5291.6666666700003</v>
      </c>
      <c r="I5560" s="8">
        <v>1</v>
      </c>
      <c r="J5560" s="9">
        <v>1</v>
      </c>
      <c r="K5560" s="7">
        <v>0</v>
      </c>
      <c r="L5560" s="24">
        <f>+Tabla2[[#This Row],[Stock Inventario]]*Tabla2[[#This Row],[Coste LÃ­nea]]</f>
        <v>5291.6666666700003</v>
      </c>
      <c r="M5560" s="24">
        <f>+Tabla2[[#This Row],[Variación Stock]]*Tabla2[[#This Row],[Coste LÃ­nea]]</f>
        <v>0</v>
      </c>
      <c r="N5560" s="22" t="str">
        <f>+IF(Tabla2[[#This Row],[Variación Stock]]&gt;0,"Sobrante",IF(Tabla2[[#This Row],[Variación Stock]]&lt;0,"Faltante","Sin novedad"))</f>
        <v>Sin novedad</v>
      </c>
    </row>
    <row r="5561" spans="1:14" x14ac:dyDescent="0.25">
      <c r="A5561" s="11">
        <v>46065</v>
      </c>
      <c r="B5561" s="5" t="s">
        <v>1095</v>
      </c>
      <c r="C5561" s="3" t="s">
        <v>284</v>
      </c>
      <c r="D5561" s="5" t="s">
        <v>122</v>
      </c>
      <c r="E5561" s="5" t="s">
        <v>112</v>
      </c>
      <c r="F5561" s="6" t="s">
        <v>98</v>
      </c>
      <c r="G5561" s="4" t="s">
        <v>2</v>
      </c>
      <c r="H5561" s="25">
        <v>1829.625</v>
      </c>
      <c r="I5561" s="8">
        <v>98</v>
      </c>
      <c r="J5561" s="9">
        <v>97</v>
      </c>
      <c r="K5561" s="7">
        <v>-1</v>
      </c>
      <c r="L5561" s="24">
        <f>+Tabla2[[#This Row],[Stock Inventario]]*Tabla2[[#This Row],[Coste LÃ­nea]]</f>
        <v>177473.625</v>
      </c>
      <c r="M5561" s="24">
        <f>+Tabla2[[#This Row],[Variación Stock]]*Tabla2[[#This Row],[Coste LÃ­nea]]</f>
        <v>-1829.625</v>
      </c>
      <c r="N5561" s="22" t="str">
        <f>+IF(Tabla2[[#This Row],[Variación Stock]]&gt;0,"Sobrante",IF(Tabla2[[#This Row],[Variación Stock]]&lt;0,"Faltante","Sin novedad"))</f>
        <v>Faltante</v>
      </c>
    </row>
    <row r="5562" spans="1:14" x14ac:dyDescent="0.25">
      <c r="A5562" s="11">
        <v>46065</v>
      </c>
      <c r="B5562" s="5" t="s">
        <v>1095</v>
      </c>
      <c r="C5562" s="3" t="s">
        <v>284</v>
      </c>
      <c r="D5562" s="5" t="s">
        <v>118</v>
      </c>
      <c r="E5562" s="5" t="s">
        <v>112</v>
      </c>
      <c r="F5562" s="6" t="s">
        <v>306</v>
      </c>
      <c r="G5562" s="4" t="s">
        <v>81</v>
      </c>
      <c r="H5562" s="25">
        <v>9702</v>
      </c>
      <c r="I5562" s="8">
        <v>12</v>
      </c>
      <c r="J5562" s="9">
        <v>12</v>
      </c>
      <c r="K5562" s="7">
        <v>0</v>
      </c>
      <c r="L5562" s="24">
        <f>+Tabla2[[#This Row],[Stock Inventario]]*Tabla2[[#This Row],[Coste LÃ­nea]]</f>
        <v>116424</v>
      </c>
      <c r="M5562" s="24">
        <f>+Tabla2[[#This Row],[Variación Stock]]*Tabla2[[#This Row],[Coste LÃ­nea]]</f>
        <v>0</v>
      </c>
      <c r="N5562" s="22" t="str">
        <f>+IF(Tabla2[[#This Row],[Variación Stock]]&gt;0,"Sobrante",IF(Tabla2[[#This Row],[Variación Stock]]&lt;0,"Faltante","Sin novedad"))</f>
        <v>Sin novedad</v>
      </c>
    </row>
    <row r="5563" spans="1:14" x14ac:dyDescent="0.25">
      <c r="A5563" s="11">
        <v>46065</v>
      </c>
      <c r="B5563" s="5" t="s">
        <v>1095</v>
      </c>
      <c r="C5563" s="3" t="s">
        <v>284</v>
      </c>
      <c r="D5563" s="5" t="s">
        <v>114</v>
      </c>
      <c r="E5563" s="5" t="s">
        <v>112</v>
      </c>
      <c r="F5563" s="6" t="s">
        <v>64</v>
      </c>
      <c r="G5563" s="4" t="s">
        <v>2</v>
      </c>
      <c r="H5563" s="25">
        <v>5132.5</v>
      </c>
      <c r="I5563" s="8">
        <v>11</v>
      </c>
      <c r="J5563" s="9">
        <v>11</v>
      </c>
      <c r="K5563" s="7">
        <v>0</v>
      </c>
      <c r="L5563" s="24">
        <f>+Tabla2[[#This Row],[Stock Inventario]]*Tabla2[[#This Row],[Coste LÃ­nea]]</f>
        <v>56457.5</v>
      </c>
      <c r="M5563" s="24">
        <f>+Tabla2[[#This Row],[Variación Stock]]*Tabla2[[#This Row],[Coste LÃ­nea]]</f>
        <v>0</v>
      </c>
      <c r="N5563" s="22" t="str">
        <f>+IF(Tabla2[[#This Row],[Variación Stock]]&gt;0,"Sobrante",IF(Tabla2[[#This Row],[Variación Stock]]&lt;0,"Faltante","Sin novedad"))</f>
        <v>Sin novedad</v>
      </c>
    </row>
    <row r="5564" spans="1:14" x14ac:dyDescent="0.25">
      <c r="A5564" s="11">
        <v>46065</v>
      </c>
      <c r="B5564" s="5" t="s">
        <v>1095</v>
      </c>
      <c r="C5564" s="3" t="s">
        <v>284</v>
      </c>
      <c r="D5564" s="5" t="s">
        <v>111</v>
      </c>
      <c r="E5564" s="5" t="s">
        <v>112</v>
      </c>
      <c r="F5564" s="6" t="s">
        <v>24</v>
      </c>
      <c r="G5564" s="4" t="s">
        <v>0</v>
      </c>
      <c r="H5564" s="25">
        <v>3359.40909091</v>
      </c>
      <c r="I5564" s="8">
        <v>23.06</v>
      </c>
      <c r="J5564" s="9">
        <v>30</v>
      </c>
      <c r="K5564" s="7">
        <v>6.94</v>
      </c>
      <c r="L5564" s="24">
        <f>+Tabla2[[#This Row],[Stock Inventario]]*Tabla2[[#This Row],[Coste LÃ­nea]]</f>
        <v>100782.27272730001</v>
      </c>
      <c r="M5564" s="24">
        <f>+Tabla2[[#This Row],[Variación Stock]]*Tabla2[[#This Row],[Coste LÃ­nea]]</f>
        <v>23314.299090915403</v>
      </c>
      <c r="N5564" s="22" t="str">
        <f>+IF(Tabla2[[#This Row],[Variación Stock]]&gt;0,"Sobrante",IF(Tabla2[[#This Row],[Variación Stock]]&lt;0,"Faltante","Sin novedad"))</f>
        <v>Sobrante</v>
      </c>
    </row>
    <row r="5565" spans="1:14" hidden="1" x14ac:dyDescent="0.25">
      <c r="A5565" s="11">
        <v>46065</v>
      </c>
      <c r="B5565" s="5" t="s">
        <v>1095</v>
      </c>
      <c r="C5565" s="3" t="s">
        <v>284</v>
      </c>
      <c r="D5565" s="5" t="s">
        <v>119</v>
      </c>
      <c r="E5565" s="5" t="s">
        <v>117</v>
      </c>
      <c r="F5565" s="6" t="s">
        <v>200</v>
      </c>
      <c r="G5565" s="4" t="s">
        <v>1</v>
      </c>
      <c r="H5565" s="25">
        <v>58.31</v>
      </c>
      <c r="I5565" s="8">
        <v>0</v>
      </c>
      <c r="J5565" s="9">
        <v>0</v>
      </c>
      <c r="K5565" s="7">
        <v>0</v>
      </c>
      <c r="L5565" s="24">
        <f>+Tabla2[[#This Row],[Stock Inventario]]*Tabla2[[#This Row],[Coste LÃ­nea]]</f>
        <v>0</v>
      </c>
      <c r="M5565" s="24">
        <f>+Tabla2[[#This Row],[Variación Stock]]*Tabla2[[#This Row],[Coste LÃ­nea]]</f>
        <v>0</v>
      </c>
      <c r="N5565" s="22" t="str">
        <f>+IF(Tabla2[[#This Row],[Variación Stock]]&gt;0,"Sobrante",IF(Tabla2[[#This Row],[Variación Stock]]&lt;0,"Faltante","Sin novedad"))</f>
        <v>Sin novedad</v>
      </c>
    </row>
    <row r="5566" spans="1:14" x14ac:dyDescent="0.25">
      <c r="A5566" s="11">
        <v>46065</v>
      </c>
      <c r="B5566" s="5" t="s">
        <v>1095</v>
      </c>
      <c r="C5566" s="3" t="s">
        <v>284</v>
      </c>
      <c r="D5566" s="5" t="s">
        <v>118</v>
      </c>
      <c r="E5566" s="5" t="s">
        <v>112</v>
      </c>
      <c r="F5566" s="6" t="s">
        <v>299</v>
      </c>
      <c r="G5566" s="4" t="s">
        <v>2</v>
      </c>
      <c r="H5566" s="25">
        <v>25109.5</v>
      </c>
      <c r="I5566" s="8">
        <v>5</v>
      </c>
      <c r="J5566" s="9">
        <v>2</v>
      </c>
      <c r="K5566" s="7">
        <v>-3</v>
      </c>
      <c r="L5566" s="24">
        <f>+Tabla2[[#This Row],[Stock Inventario]]*Tabla2[[#This Row],[Coste LÃ­nea]]</f>
        <v>50219</v>
      </c>
      <c r="M5566" s="24">
        <f>+Tabla2[[#This Row],[Variación Stock]]*Tabla2[[#This Row],[Coste LÃ­nea]]</f>
        <v>-75328.5</v>
      </c>
      <c r="N5566" s="22" t="str">
        <f>+IF(Tabla2[[#This Row],[Variación Stock]]&gt;0,"Sobrante",IF(Tabla2[[#This Row],[Variación Stock]]&lt;0,"Faltante","Sin novedad"))</f>
        <v>Faltante</v>
      </c>
    </row>
    <row r="5567" spans="1:14" x14ac:dyDescent="0.25">
      <c r="A5567" s="11">
        <v>46065</v>
      </c>
      <c r="B5567" s="5" t="s">
        <v>1095</v>
      </c>
      <c r="C5567" s="3" t="s">
        <v>284</v>
      </c>
      <c r="D5567" s="5" t="s">
        <v>115</v>
      </c>
      <c r="E5567" s="5" t="s">
        <v>112</v>
      </c>
      <c r="F5567" s="6" t="s">
        <v>78</v>
      </c>
      <c r="G5567" s="4" t="s">
        <v>2</v>
      </c>
      <c r="H5567" s="25">
        <v>3261.8333333300002</v>
      </c>
      <c r="I5567" s="8">
        <v>18</v>
      </c>
      <c r="J5567" s="9">
        <v>18</v>
      </c>
      <c r="K5567" s="7">
        <v>0</v>
      </c>
      <c r="L5567" s="24">
        <f>+Tabla2[[#This Row],[Stock Inventario]]*Tabla2[[#This Row],[Coste LÃ­nea]]</f>
        <v>58712.999999940002</v>
      </c>
      <c r="M5567" s="24">
        <f>+Tabla2[[#This Row],[Variación Stock]]*Tabla2[[#This Row],[Coste LÃ­nea]]</f>
        <v>0</v>
      </c>
      <c r="N5567" s="22" t="str">
        <f>+IF(Tabla2[[#This Row],[Variación Stock]]&gt;0,"Sobrante",IF(Tabla2[[#This Row],[Variación Stock]]&lt;0,"Faltante","Sin novedad"))</f>
        <v>Sin novedad</v>
      </c>
    </row>
    <row r="5568" spans="1:14" x14ac:dyDescent="0.25">
      <c r="A5568" s="11">
        <v>46065</v>
      </c>
      <c r="B5568" s="5" t="s">
        <v>1095</v>
      </c>
      <c r="C5568" s="3" t="s">
        <v>284</v>
      </c>
      <c r="D5568" s="5" t="s">
        <v>111</v>
      </c>
      <c r="E5568" s="5" t="s">
        <v>112</v>
      </c>
      <c r="F5568" s="6" t="s">
        <v>36</v>
      </c>
      <c r="G5568" s="4" t="s">
        <v>0</v>
      </c>
      <c r="H5568" s="25">
        <v>3951.875</v>
      </c>
      <c r="I5568" s="8">
        <v>17</v>
      </c>
      <c r="J5568" s="9">
        <v>17</v>
      </c>
      <c r="K5568" s="7">
        <v>0</v>
      </c>
      <c r="L5568" s="24">
        <f>+Tabla2[[#This Row],[Stock Inventario]]*Tabla2[[#This Row],[Coste LÃ­nea]]</f>
        <v>67181.875</v>
      </c>
      <c r="M5568" s="24">
        <f>+Tabla2[[#This Row],[Variación Stock]]*Tabla2[[#This Row],[Coste LÃ­nea]]</f>
        <v>0</v>
      </c>
      <c r="N5568" s="22" t="str">
        <f>+IF(Tabla2[[#This Row],[Variación Stock]]&gt;0,"Sobrante",IF(Tabla2[[#This Row],[Variación Stock]]&lt;0,"Faltante","Sin novedad"))</f>
        <v>Sin novedad</v>
      </c>
    </row>
    <row r="5569" spans="1:14" x14ac:dyDescent="0.25">
      <c r="A5569" s="11">
        <v>46065</v>
      </c>
      <c r="B5569" s="5" t="s">
        <v>1095</v>
      </c>
      <c r="C5569" s="3" t="s">
        <v>284</v>
      </c>
      <c r="D5569" s="5" t="s">
        <v>118</v>
      </c>
      <c r="E5569" s="5" t="s">
        <v>112</v>
      </c>
      <c r="F5569" s="6" t="s">
        <v>83</v>
      </c>
      <c r="G5569" s="4" t="s">
        <v>2</v>
      </c>
      <c r="H5569" s="25">
        <v>34226.166666669997</v>
      </c>
      <c r="I5569" s="8">
        <v>2</v>
      </c>
      <c r="J5569" s="9">
        <v>6</v>
      </c>
      <c r="K5569" s="7">
        <v>4</v>
      </c>
      <c r="L5569" s="24">
        <f>+Tabla2[[#This Row],[Stock Inventario]]*Tabla2[[#This Row],[Coste LÃ­nea]]</f>
        <v>205357.00000001997</v>
      </c>
      <c r="M5569" s="24">
        <f>+Tabla2[[#This Row],[Variación Stock]]*Tabla2[[#This Row],[Coste LÃ­nea]]</f>
        <v>136904.66666667999</v>
      </c>
      <c r="N5569" s="22" t="str">
        <f>+IF(Tabla2[[#This Row],[Variación Stock]]&gt;0,"Sobrante",IF(Tabla2[[#This Row],[Variación Stock]]&lt;0,"Faltante","Sin novedad"))</f>
        <v>Sobrante</v>
      </c>
    </row>
    <row r="5570" spans="1:14" x14ac:dyDescent="0.25">
      <c r="A5570" s="11">
        <v>46065</v>
      </c>
      <c r="B5570" s="5" t="s">
        <v>1095</v>
      </c>
      <c r="C5570" s="3" t="s">
        <v>284</v>
      </c>
      <c r="D5570" s="5" t="s">
        <v>114</v>
      </c>
      <c r="E5570" s="5" t="s">
        <v>112</v>
      </c>
      <c r="F5570" s="6" t="s">
        <v>66</v>
      </c>
      <c r="G5570" s="4" t="s">
        <v>2</v>
      </c>
      <c r="H5570" s="25">
        <v>5309.7916666700003</v>
      </c>
      <c r="I5570" s="8">
        <v>53.5</v>
      </c>
      <c r="J5570" s="9">
        <v>53</v>
      </c>
      <c r="K5570" s="7">
        <v>-0.5</v>
      </c>
      <c r="L5570" s="24">
        <f>+Tabla2[[#This Row],[Stock Inventario]]*Tabla2[[#This Row],[Coste LÃ­nea]]</f>
        <v>281418.95833351003</v>
      </c>
      <c r="M5570" s="24">
        <f>+Tabla2[[#This Row],[Variación Stock]]*Tabla2[[#This Row],[Coste LÃ­nea]]</f>
        <v>-2654.8958333350001</v>
      </c>
      <c r="N5570" s="22" t="str">
        <f>+IF(Tabla2[[#This Row],[Variación Stock]]&gt;0,"Sobrante",IF(Tabla2[[#This Row],[Variación Stock]]&lt;0,"Faltante","Sin novedad"))</f>
        <v>Faltante</v>
      </c>
    </row>
    <row r="5571" spans="1:14" x14ac:dyDescent="0.25">
      <c r="A5571" s="11">
        <v>46065</v>
      </c>
      <c r="B5571" s="5" t="s">
        <v>1095</v>
      </c>
      <c r="C5571" s="3" t="s">
        <v>284</v>
      </c>
      <c r="D5571" s="5" t="s">
        <v>111</v>
      </c>
      <c r="E5571" s="5" t="s">
        <v>112</v>
      </c>
      <c r="F5571" s="6" t="s">
        <v>37</v>
      </c>
      <c r="G5571" s="4" t="s">
        <v>0</v>
      </c>
      <c r="H5571" s="25">
        <v>4668.5</v>
      </c>
      <c r="I5571" s="8">
        <v>24</v>
      </c>
      <c r="J5571" s="9">
        <v>26</v>
      </c>
      <c r="K5571" s="7">
        <v>2</v>
      </c>
      <c r="L5571" s="24">
        <f>+Tabla2[[#This Row],[Stock Inventario]]*Tabla2[[#This Row],[Coste LÃ­nea]]</f>
        <v>121381</v>
      </c>
      <c r="M5571" s="24">
        <f>+Tabla2[[#This Row],[Variación Stock]]*Tabla2[[#This Row],[Coste LÃ­nea]]</f>
        <v>9337</v>
      </c>
      <c r="N5571" s="22" t="str">
        <f>+IF(Tabla2[[#This Row],[Variación Stock]]&gt;0,"Sobrante",IF(Tabla2[[#This Row],[Variación Stock]]&lt;0,"Faltante","Sin novedad"))</f>
        <v>Sobrante</v>
      </c>
    </row>
    <row r="5572" spans="1:14" x14ac:dyDescent="0.25">
      <c r="A5572" s="11">
        <v>46065</v>
      </c>
      <c r="B5572" s="5" t="s">
        <v>1095</v>
      </c>
      <c r="C5572" s="3" t="s">
        <v>284</v>
      </c>
      <c r="D5572" s="5" t="s">
        <v>111</v>
      </c>
      <c r="E5572" s="5" t="s">
        <v>112</v>
      </c>
      <c r="F5572" s="6" t="s">
        <v>113</v>
      </c>
      <c r="G5572" s="4" t="s">
        <v>0</v>
      </c>
      <c r="H5572" s="25">
        <v>20566.318181819999</v>
      </c>
      <c r="I5572" s="8">
        <v>17</v>
      </c>
      <c r="J5572" s="9">
        <v>17</v>
      </c>
      <c r="K5572" s="7">
        <v>0</v>
      </c>
      <c r="L5572" s="24">
        <f>+Tabla2[[#This Row],[Stock Inventario]]*Tabla2[[#This Row],[Coste LÃ­nea]]</f>
        <v>349627.40909093997</v>
      </c>
      <c r="M5572" s="24">
        <f>+Tabla2[[#This Row],[Variación Stock]]*Tabla2[[#This Row],[Coste LÃ­nea]]</f>
        <v>0</v>
      </c>
      <c r="N5572" s="22" t="str">
        <f>+IF(Tabla2[[#This Row],[Variación Stock]]&gt;0,"Sobrante",IF(Tabla2[[#This Row],[Variación Stock]]&lt;0,"Faltante","Sin novedad"))</f>
        <v>Sin novedad</v>
      </c>
    </row>
    <row r="5573" spans="1:14" x14ac:dyDescent="0.25">
      <c r="A5573" s="11">
        <v>46065</v>
      </c>
      <c r="B5573" s="5" t="s">
        <v>1095</v>
      </c>
      <c r="C5573" s="3" t="s">
        <v>284</v>
      </c>
      <c r="D5573" s="5" t="s">
        <v>118</v>
      </c>
      <c r="E5573" s="5" t="s">
        <v>112</v>
      </c>
      <c r="F5573" s="6" t="s">
        <v>294</v>
      </c>
      <c r="G5573" s="4" t="s">
        <v>2</v>
      </c>
      <c r="H5573" s="25">
        <v>22425</v>
      </c>
      <c r="I5573" s="8">
        <v>0</v>
      </c>
      <c r="J5573" s="9">
        <v>2</v>
      </c>
      <c r="K5573" s="7">
        <v>2</v>
      </c>
      <c r="L5573" s="24">
        <f>+Tabla2[[#This Row],[Stock Inventario]]*Tabla2[[#This Row],[Coste LÃ­nea]]</f>
        <v>44850</v>
      </c>
      <c r="M5573" s="24">
        <f>+Tabla2[[#This Row],[Variación Stock]]*Tabla2[[#This Row],[Coste LÃ­nea]]</f>
        <v>44850</v>
      </c>
      <c r="N5573" s="22" t="str">
        <f>+IF(Tabla2[[#This Row],[Variación Stock]]&gt;0,"Sobrante",IF(Tabla2[[#This Row],[Variación Stock]]&lt;0,"Faltante","Sin novedad"))</f>
        <v>Sobrante</v>
      </c>
    </row>
    <row r="5574" spans="1:14" x14ac:dyDescent="0.25">
      <c r="A5574" s="11">
        <v>46065</v>
      </c>
      <c r="B5574" s="5" t="s">
        <v>1095</v>
      </c>
      <c r="C5574" s="3" t="s">
        <v>284</v>
      </c>
      <c r="D5574" s="5" t="s">
        <v>122</v>
      </c>
      <c r="E5574" s="5" t="s">
        <v>112</v>
      </c>
      <c r="F5574" s="6" t="s">
        <v>108</v>
      </c>
      <c r="G5574" s="4" t="s">
        <v>2</v>
      </c>
      <c r="H5574" s="25">
        <v>2766.665</v>
      </c>
      <c r="I5574" s="8">
        <v>0</v>
      </c>
      <c r="J5574" s="9">
        <v>0</v>
      </c>
      <c r="K5574" s="7">
        <v>0</v>
      </c>
      <c r="L5574" s="24">
        <f>+Tabla2[[#This Row],[Stock Inventario]]*Tabla2[[#This Row],[Coste LÃ­nea]]</f>
        <v>0</v>
      </c>
      <c r="M5574" s="24">
        <f>+Tabla2[[#This Row],[Variación Stock]]*Tabla2[[#This Row],[Coste LÃ­nea]]</f>
        <v>0</v>
      </c>
      <c r="N5574" s="22" t="str">
        <f>+IF(Tabla2[[#This Row],[Variación Stock]]&gt;0,"Sobrante",IF(Tabla2[[#This Row],[Variación Stock]]&lt;0,"Faltante","Sin novedad"))</f>
        <v>Sin novedad</v>
      </c>
    </row>
    <row r="5575" spans="1:14" x14ac:dyDescent="0.25">
      <c r="A5575" s="11">
        <v>46065</v>
      </c>
      <c r="B5575" s="5" t="s">
        <v>1095</v>
      </c>
      <c r="C5575" s="3" t="s">
        <v>284</v>
      </c>
      <c r="D5575" s="5" t="s">
        <v>111</v>
      </c>
      <c r="E5575" s="5" t="s">
        <v>112</v>
      </c>
      <c r="F5575" s="6" t="s">
        <v>285</v>
      </c>
      <c r="G5575" s="4" t="s">
        <v>2</v>
      </c>
      <c r="H5575" s="25">
        <v>0</v>
      </c>
      <c r="I5575" s="8">
        <v>1</v>
      </c>
      <c r="J5575" s="9">
        <v>1</v>
      </c>
      <c r="K5575" s="7">
        <v>0</v>
      </c>
      <c r="L5575" s="24">
        <f>+Tabla2[[#This Row],[Stock Inventario]]*Tabla2[[#This Row],[Coste LÃ­nea]]</f>
        <v>0</v>
      </c>
      <c r="M5575" s="24">
        <f>+Tabla2[[#This Row],[Variación Stock]]*Tabla2[[#This Row],[Coste LÃ­nea]]</f>
        <v>0</v>
      </c>
      <c r="N5575" s="22" t="str">
        <f>+IF(Tabla2[[#This Row],[Variación Stock]]&gt;0,"Sobrante",IF(Tabla2[[#This Row],[Variación Stock]]&lt;0,"Faltante","Sin novedad"))</f>
        <v>Sin novedad</v>
      </c>
    </row>
    <row r="5576" spans="1:14" x14ac:dyDescent="0.25">
      <c r="A5576" s="11">
        <v>46065</v>
      </c>
      <c r="B5576" s="5" t="s">
        <v>1095</v>
      </c>
      <c r="C5576" s="3" t="s">
        <v>284</v>
      </c>
      <c r="D5576" s="5" t="s">
        <v>121</v>
      </c>
      <c r="E5576" s="5" t="s">
        <v>112</v>
      </c>
      <c r="F5576" s="6" t="s">
        <v>333</v>
      </c>
      <c r="G5576" s="4" t="s">
        <v>0</v>
      </c>
      <c r="H5576" s="25">
        <v>3659.04270434</v>
      </c>
      <c r="I5576" s="8">
        <v>39</v>
      </c>
      <c r="J5576" s="9">
        <v>39</v>
      </c>
      <c r="K5576" s="7">
        <v>0</v>
      </c>
      <c r="L5576" s="24">
        <f>+Tabla2[[#This Row],[Stock Inventario]]*Tabla2[[#This Row],[Coste LÃ­nea]]</f>
        <v>142702.66546926001</v>
      </c>
      <c r="M5576" s="24">
        <f>+Tabla2[[#This Row],[Variación Stock]]*Tabla2[[#This Row],[Coste LÃ­nea]]</f>
        <v>0</v>
      </c>
      <c r="N5576" s="22" t="str">
        <f>+IF(Tabla2[[#This Row],[Variación Stock]]&gt;0,"Sobrante",IF(Tabla2[[#This Row],[Variación Stock]]&lt;0,"Faltante","Sin novedad"))</f>
        <v>Sin novedad</v>
      </c>
    </row>
    <row r="5577" spans="1:14" x14ac:dyDescent="0.25">
      <c r="A5577" s="11">
        <v>46065</v>
      </c>
      <c r="B5577" s="5" t="s">
        <v>1095</v>
      </c>
      <c r="C5577" s="3" t="s">
        <v>284</v>
      </c>
      <c r="D5577" s="5" t="s">
        <v>118</v>
      </c>
      <c r="E5577" s="5" t="s">
        <v>112</v>
      </c>
      <c r="F5577" s="6" t="s">
        <v>186</v>
      </c>
      <c r="G5577" s="4" t="s">
        <v>2</v>
      </c>
      <c r="H5577" s="25">
        <v>48500</v>
      </c>
      <c r="I5577" s="8">
        <v>0</v>
      </c>
      <c r="J5577" s="9">
        <v>0</v>
      </c>
      <c r="K5577" s="7">
        <v>0</v>
      </c>
      <c r="L5577" s="24">
        <f>+Tabla2[[#This Row],[Stock Inventario]]*Tabla2[[#This Row],[Coste LÃ­nea]]</f>
        <v>0</v>
      </c>
      <c r="M5577" s="24">
        <f>+Tabla2[[#This Row],[Variación Stock]]*Tabla2[[#This Row],[Coste LÃ­nea]]</f>
        <v>0</v>
      </c>
      <c r="N5577" s="22" t="str">
        <f>+IF(Tabla2[[#This Row],[Variación Stock]]&gt;0,"Sobrante",IF(Tabla2[[#This Row],[Variación Stock]]&lt;0,"Faltante","Sin novedad"))</f>
        <v>Sin novedad</v>
      </c>
    </row>
    <row r="5578" spans="1:14" x14ac:dyDescent="0.25">
      <c r="A5578" s="11">
        <v>46065</v>
      </c>
      <c r="B5578" s="5" t="s">
        <v>1095</v>
      </c>
      <c r="C5578" s="3" t="s">
        <v>284</v>
      </c>
      <c r="D5578" s="5" t="s">
        <v>111</v>
      </c>
      <c r="E5578" s="5" t="s">
        <v>112</v>
      </c>
      <c r="F5578" s="6" t="s">
        <v>288</v>
      </c>
      <c r="G5578" s="4" t="s">
        <v>0</v>
      </c>
      <c r="H5578" s="25">
        <v>4795.4545454500003</v>
      </c>
      <c r="I5578" s="8">
        <v>19</v>
      </c>
      <c r="J5578" s="9">
        <v>28</v>
      </c>
      <c r="K5578" s="7">
        <v>9</v>
      </c>
      <c r="L5578" s="24">
        <f>+Tabla2[[#This Row],[Stock Inventario]]*Tabla2[[#This Row],[Coste LÃ­nea]]</f>
        <v>134272.72727259999</v>
      </c>
      <c r="M5578" s="24">
        <f>+Tabla2[[#This Row],[Variación Stock]]*Tabla2[[#This Row],[Coste LÃ­nea]]</f>
        <v>43159.090909050006</v>
      </c>
      <c r="N5578" s="22" t="str">
        <f>+IF(Tabla2[[#This Row],[Variación Stock]]&gt;0,"Sobrante",IF(Tabla2[[#This Row],[Variación Stock]]&lt;0,"Faltante","Sin novedad"))</f>
        <v>Sobrante</v>
      </c>
    </row>
    <row r="5579" spans="1:14" hidden="1" x14ac:dyDescent="0.25">
      <c r="A5579" s="11">
        <v>46065</v>
      </c>
      <c r="B5579" s="5" t="s">
        <v>1095</v>
      </c>
      <c r="C5579" s="3" t="s">
        <v>284</v>
      </c>
      <c r="D5579" s="5" t="s">
        <v>120</v>
      </c>
      <c r="E5579" s="5" t="s">
        <v>117</v>
      </c>
      <c r="F5579" s="6" t="s">
        <v>313</v>
      </c>
      <c r="G5579" s="4" t="s">
        <v>1</v>
      </c>
      <c r="H5579" s="25">
        <v>118.89991223</v>
      </c>
      <c r="I5579" s="8">
        <v>1988</v>
      </c>
      <c r="J5579" s="9">
        <v>216</v>
      </c>
      <c r="K5579" s="7">
        <v>-1772</v>
      </c>
      <c r="L5579" s="24">
        <f>+Tabla2[[#This Row],[Stock Inventario]]*Tabla2[[#This Row],[Coste LÃ­nea]]</f>
        <v>25682.381041680001</v>
      </c>
      <c r="M5579" s="24">
        <f>+Tabla2[[#This Row],[Variación Stock]]*Tabla2[[#This Row],[Coste LÃ­nea]]</f>
        <v>-210690.64447155999</v>
      </c>
      <c r="N5579" s="22" t="str">
        <f>+IF(Tabla2[[#This Row],[Variación Stock]]&gt;0,"Sobrante",IF(Tabla2[[#This Row],[Variación Stock]]&lt;0,"Faltante","Sin novedad"))</f>
        <v>Faltante</v>
      </c>
    </row>
    <row r="5580" spans="1:14" x14ac:dyDescent="0.25">
      <c r="A5580" s="11">
        <v>46065</v>
      </c>
      <c r="B5580" s="5" t="s">
        <v>1095</v>
      </c>
      <c r="C5580" s="3" t="s">
        <v>284</v>
      </c>
      <c r="D5580" s="5" t="s">
        <v>111</v>
      </c>
      <c r="E5580" s="5" t="s">
        <v>112</v>
      </c>
      <c r="F5580" s="6" t="s">
        <v>55</v>
      </c>
      <c r="G5580" s="4" t="s">
        <v>0</v>
      </c>
      <c r="H5580" s="25">
        <v>3185.3636363599999</v>
      </c>
      <c r="I5580" s="8">
        <v>16</v>
      </c>
      <c r="J5580" s="9">
        <v>19</v>
      </c>
      <c r="K5580" s="7">
        <v>3</v>
      </c>
      <c r="L5580" s="24">
        <f>+Tabla2[[#This Row],[Stock Inventario]]*Tabla2[[#This Row],[Coste LÃ­nea]]</f>
        <v>60521.909090839996</v>
      </c>
      <c r="M5580" s="24">
        <f>+Tabla2[[#This Row],[Variación Stock]]*Tabla2[[#This Row],[Coste LÃ­nea]]</f>
        <v>9556.0909090799996</v>
      </c>
      <c r="N5580" s="22" t="str">
        <f>+IF(Tabla2[[#This Row],[Variación Stock]]&gt;0,"Sobrante",IF(Tabla2[[#This Row],[Variación Stock]]&lt;0,"Faltante","Sin novedad"))</f>
        <v>Sobrante</v>
      </c>
    </row>
    <row r="5581" spans="1:14" x14ac:dyDescent="0.25">
      <c r="A5581" s="11">
        <v>46065</v>
      </c>
      <c r="B5581" s="5" t="s">
        <v>1095</v>
      </c>
      <c r="C5581" s="3" t="s">
        <v>284</v>
      </c>
      <c r="D5581" s="5" t="s">
        <v>122</v>
      </c>
      <c r="E5581" s="5" t="s">
        <v>112</v>
      </c>
      <c r="F5581" s="6" t="s">
        <v>99</v>
      </c>
      <c r="G5581" s="4" t="s">
        <v>2</v>
      </c>
      <c r="H5581" s="25">
        <v>7330</v>
      </c>
      <c r="I5581" s="8">
        <v>26</v>
      </c>
      <c r="J5581" s="9">
        <v>26</v>
      </c>
      <c r="K5581" s="7">
        <v>0</v>
      </c>
      <c r="L5581" s="24">
        <f>+Tabla2[[#This Row],[Stock Inventario]]*Tabla2[[#This Row],[Coste LÃ­nea]]</f>
        <v>190580</v>
      </c>
      <c r="M5581" s="24">
        <f>+Tabla2[[#This Row],[Variación Stock]]*Tabla2[[#This Row],[Coste LÃ­nea]]</f>
        <v>0</v>
      </c>
      <c r="N5581" s="22" t="str">
        <f>+IF(Tabla2[[#This Row],[Variación Stock]]&gt;0,"Sobrante",IF(Tabla2[[#This Row],[Variación Stock]]&lt;0,"Faltante","Sin novedad"))</f>
        <v>Sin novedad</v>
      </c>
    </row>
    <row r="5582" spans="1:14" x14ac:dyDescent="0.25">
      <c r="A5582" s="11">
        <v>46065</v>
      </c>
      <c r="B5582" s="5" t="s">
        <v>1095</v>
      </c>
      <c r="C5582" s="3" t="s">
        <v>284</v>
      </c>
      <c r="D5582" s="5" t="s">
        <v>118</v>
      </c>
      <c r="E5582" s="5" t="s">
        <v>112</v>
      </c>
      <c r="F5582" s="6" t="s">
        <v>90</v>
      </c>
      <c r="G5582" s="4" t="s">
        <v>81</v>
      </c>
      <c r="H5582" s="25">
        <v>4005</v>
      </c>
      <c r="I5582" s="8">
        <v>10</v>
      </c>
      <c r="J5582" s="9">
        <v>10</v>
      </c>
      <c r="K5582" s="7">
        <v>0</v>
      </c>
      <c r="L5582" s="24">
        <f>+Tabla2[[#This Row],[Stock Inventario]]*Tabla2[[#This Row],[Coste LÃ­nea]]</f>
        <v>40050</v>
      </c>
      <c r="M5582" s="24">
        <f>+Tabla2[[#This Row],[Variación Stock]]*Tabla2[[#This Row],[Coste LÃ­nea]]</f>
        <v>0</v>
      </c>
      <c r="N5582" s="22" t="str">
        <f>+IF(Tabla2[[#This Row],[Variación Stock]]&gt;0,"Sobrante",IF(Tabla2[[#This Row],[Variación Stock]]&lt;0,"Faltante","Sin novedad"))</f>
        <v>Sin novedad</v>
      </c>
    </row>
    <row r="5583" spans="1:14" x14ac:dyDescent="0.25">
      <c r="A5583" s="11">
        <v>46065</v>
      </c>
      <c r="B5583" s="5" t="s">
        <v>1095</v>
      </c>
      <c r="C5583" s="3" t="s">
        <v>284</v>
      </c>
      <c r="D5583" s="5" t="s">
        <v>114</v>
      </c>
      <c r="E5583" s="5" t="s">
        <v>112</v>
      </c>
      <c r="F5583" s="6" t="s">
        <v>69</v>
      </c>
      <c r="G5583" s="4" t="s">
        <v>2</v>
      </c>
      <c r="H5583" s="25">
        <v>5424</v>
      </c>
      <c r="I5583" s="8">
        <v>11.55</v>
      </c>
      <c r="J5583" s="9">
        <v>21</v>
      </c>
      <c r="K5583" s="7">
        <v>9.4499999999999993</v>
      </c>
      <c r="L5583" s="24">
        <f>+Tabla2[[#This Row],[Stock Inventario]]*Tabla2[[#This Row],[Coste LÃ­nea]]</f>
        <v>113904</v>
      </c>
      <c r="M5583" s="24">
        <f>+Tabla2[[#This Row],[Variación Stock]]*Tabla2[[#This Row],[Coste LÃ­nea]]</f>
        <v>51256.799999999996</v>
      </c>
      <c r="N5583" s="22" t="str">
        <f>+IF(Tabla2[[#This Row],[Variación Stock]]&gt;0,"Sobrante",IF(Tabla2[[#This Row],[Variación Stock]]&lt;0,"Faltante","Sin novedad"))</f>
        <v>Sobrante</v>
      </c>
    </row>
    <row r="5584" spans="1:14" x14ac:dyDescent="0.25">
      <c r="A5584" s="11">
        <v>46065</v>
      </c>
      <c r="B5584" s="5" t="s">
        <v>1095</v>
      </c>
      <c r="C5584" s="3" t="s">
        <v>284</v>
      </c>
      <c r="D5584" s="5" t="s">
        <v>111</v>
      </c>
      <c r="E5584" s="5" t="s">
        <v>112</v>
      </c>
      <c r="F5584" s="6" t="s">
        <v>23</v>
      </c>
      <c r="G5584" s="4" t="s">
        <v>0</v>
      </c>
      <c r="H5584" s="25">
        <v>4724.9090909099996</v>
      </c>
      <c r="I5584" s="8">
        <v>-3.66</v>
      </c>
      <c r="J5584" s="9">
        <v>8</v>
      </c>
      <c r="K5584" s="7">
        <v>11.66</v>
      </c>
      <c r="L5584" s="24">
        <f>+Tabla2[[#This Row],[Stock Inventario]]*Tabla2[[#This Row],[Coste LÃ­nea]]</f>
        <v>37799.272727279997</v>
      </c>
      <c r="M5584" s="24">
        <f>+Tabla2[[#This Row],[Variación Stock]]*Tabla2[[#This Row],[Coste LÃ­nea]]</f>
        <v>55092.440000010596</v>
      </c>
      <c r="N5584" s="22" t="str">
        <f>+IF(Tabla2[[#This Row],[Variación Stock]]&gt;0,"Sobrante",IF(Tabla2[[#This Row],[Variación Stock]]&lt;0,"Faltante","Sin novedad"))</f>
        <v>Sobrante</v>
      </c>
    </row>
    <row r="5585" spans="1:14" x14ac:dyDescent="0.25">
      <c r="A5585" s="11">
        <v>46065</v>
      </c>
      <c r="B5585" s="5" t="s">
        <v>1095</v>
      </c>
      <c r="C5585" s="3" t="s">
        <v>284</v>
      </c>
      <c r="D5585" s="5" t="s">
        <v>118</v>
      </c>
      <c r="E5585" s="5" t="s">
        <v>112</v>
      </c>
      <c r="F5585" s="6" t="s">
        <v>309</v>
      </c>
      <c r="G5585" s="4" t="s">
        <v>2</v>
      </c>
      <c r="H5585" s="25">
        <v>97200</v>
      </c>
      <c r="I5585" s="8">
        <v>1</v>
      </c>
      <c r="J5585" s="9">
        <v>1</v>
      </c>
      <c r="K5585" s="7">
        <v>0</v>
      </c>
      <c r="L5585" s="24">
        <f>+Tabla2[[#This Row],[Stock Inventario]]*Tabla2[[#This Row],[Coste LÃ­nea]]</f>
        <v>97200</v>
      </c>
      <c r="M5585" s="24">
        <f>+Tabla2[[#This Row],[Variación Stock]]*Tabla2[[#This Row],[Coste LÃ­nea]]</f>
        <v>0</v>
      </c>
      <c r="N5585" s="22" t="str">
        <f>+IF(Tabla2[[#This Row],[Variación Stock]]&gt;0,"Sobrante",IF(Tabla2[[#This Row],[Variación Stock]]&lt;0,"Faltante","Sin novedad"))</f>
        <v>Sin novedad</v>
      </c>
    </row>
    <row r="5586" spans="1:14" x14ac:dyDescent="0.25">
      <c r="A5586" s="11">
        <v>46065</v>
      </c>
      <c r="B5586" s="5" t="s">
        <v>1095</v>
      </c>
      <c r="C5586" s="3" t="s">
        <v>284</v>
      </c>
      <c r="D5586" s="5" t="s">
        <v>115</v>
      </c>
      <c r="E5586" s="5" t="s">
        <v>112</v>
      </c>
      <c r="F5586" s="6" t="s">
        <v>74</v>
      </c>
      <c r="G5586" s="4" t="s">
        <v>2</v>
      </c>
      <c r="H5586" s="25">
        <v>3603.3333333300002</v>
      </c>
      <c r="I5586" s="8">
        <v>20</v>
      </c>
      <c r="J5586" s="9">
        <v>20</v>
      </c>
      <c r="K5586" s="7">
        <v>0</v>
      </c>
      <c r="L5586" s="24">
        <f>+Tabla2[[#This Row],[Stock Inventario]]*Tabla2[[#This Row],[Coste LÃ­nea]]</f>
        <v>72066.666666600009</v>
      </c>
      <c r="M5586" s="24">
        <f>+Tabla2[[#This Row],[Variación Stock]]*Tabla2[[#This Row],[Coste LÃ­nea]]</f>
        <v>0</v>
      </c>
      <c r="N5586" s="22" t="str">
        <f>+IF(Tabla2[[#This Row],[Variación Stock]]&gt;0,"Sobrante",IF(Tabla2[[#This Row],[Variación Stock]]&lt;0,"Faltante","Sin novedad"))</f>
        <v>Sin novedad</v>
      </c>
    </row>
    <row r="5587" spans="1:14" x14ac:dyDescent="0.25">
      <c r="A5587" s="11">
        <v>46065</v>
      </c>
      <c r="B5587" s="5" t="s">
        <v>1095</v>
      </c>
      <c r="C5587" s="3" t="s">
        <v>284</v>
      </c>
      <c r="D5587" s="5" t="s">
        <v>111</v>
      </c>
      <c r="E5587" s="5" t="s">
        <v>112</v>
      </c>
      <c r="F5587" s="6" t="s">
        <v>50</v>
      </c>
      <c r="G5587" s="4" t="s">
        <v>0</v>
      </c>
      <c r="H5587" s="25">
        <v>1809.40909091</v>
      </c>
      <c r="I5587" s="8">
        <v>28</v>
      </c>
      <c r="J5587" s="9">
        <v>31</v>
      </c>
      <c r="K5587" s="7">
        <v>3</v>
      </c>
      <c r="L5587" s="24">
        <f>+Tabla2[[#This Row],[Stock Inventario]]*Tabla2[[#This Row],[Coste LÃ­nea]]</f>
        <v>56091.681818210003</v>
      </c>
      <c r="M5587" s="24">
        <f>+Tabla2[[#This Row],[Variación Stock]]*Tabla2[[#This Row],[Coste LÃ­nea]]</f>
        <v>5428.2272727300005</v>
      </c>
      <c r="N5587" s="22" t="str">
        <f>+IF(Tabla2[[#This Row],[Variación Stock]]&gt;0,"Sobrante",IF(Tabla2[[#This Row],[Variación Stock]]&lt;0,"Faltante","Sin novedad"))</f>
        <v>Sobrante</v>
      </c>
    </row>
    <row r="5588" spans="1:14" x14ac:dyDescent="0.25">
      <c r="A5588" s="11">
        <v>46065</v>
      </c>
      <c r="B5588" s="5" t="s">
        <v>1095</v>
      </c>
      <c r="C5588" s="3" t="s">
        <v>284</v>
      </c>
      <c r="D5588" s="5" t="s">
        <v>118</v>
      </c>
      <c r="E5588" s="5" t="s">
        <v>112</v>
      </c>
      <c r="F5588" s="6" t="s">
        <v>82</v>
      </c>
      <c r="G5588" s="4" t="s">
        <v>2</v>
      </c>
      <c r="H5588" s="25">
        <v>63372.666666669997</v>
      </c>
      <c r="I5588" s="8">
        <v>2</v>
      </c>
      <c r="J5588" s="9">
        <v>2</v>
      </c>
      <c r="K5588" s="7">
        <v>0</v>
      </c>
      <c r="L5588" s="24">
        <f>+Tabla2[[#This Row],[Stock Inventario]]*Tabla2[[#This Row],[Coste LÃ­nea]]</f>
        <v>126745.33333333999</v>
      </c>
      <c r="M5588" s="24">
        <f>+Tabla2[[#This Row],[Variación Stock]]*Tabla2[[#This Row],[Coste LÃ­nea]]</f>
        <v>0</v>
      </c>
      <c r="N5588" s="22" t="str">
        <f>+IF(Tabla2[[#This Row],[Variación Stock]]&gt;0,"Sobrante",IF(Tabla2[[#This Row],[Variación Stock]]&lt;0,"Faltante","Sin novedad"))</f>
        <v>Sin novedad</v>
      </c>
    </row>
    <row r="5589" spans="1:14" x14ac:dyDescent="0.25">
      <c r="A5589" s="11">
        <v>46065</v>
      </c>
      <c r="B5589" s="5" t="s">
        <v>1095</v>
      </c>
      <c r="C5589" s="3" t="s">
        <v>284</v>
      </c>
      <c r="D5589" s="5" t="s">
        <v>114</v>
      </c>
      <c r="E5589" s="5" t="s">
        <v>112</v>
      </c>
      <c r="F5589" s="6" t="s">
        <v>65</v>
      </c>
      <c r="G5589" s="4" t="s">
        <v>2</v>
      </c>
      <c r="H5589" s="25">
        <v>5132.4583333299997</v>
      </c>
      <c r="I5589" s="8">
        <v>34</v>
      </c>
      <c r="J5589" s="9">
        <v>37</v>
      </c>
      <c r="K5589" s="7">
        <v>3</v>
      </c>
      <c r="L5589" s="24">
        <f>+Tabla2[[#This Row],[Stock Inventario]]*Tabla2[[#This Row],[Coste LÃ­nea]]</f>
        <v>189900.95833321</v>
      </c>
      <c r="M5589" s="24">
        <f>+Tabla2[[#This Row],[Variación Stock]]*Tabla2[[#This Row],[Coste LÃ­nea]]</f>
        <v>15397.374999989999</v>
      </c>
      <c r="N5589" s="22" t="str">
        <f>+IF(Tabla2[[#This Row],[Variación Stock]]&gt;0,"Sobrante",IF(Tabla2[[#This Row],[Variación Stock]]&lt;0,"Faltante","Sin novedad"))</f>
        <v>Sobrante</v>
      </c>
    </row>
    <row r="5590" spans="1:14" x14ac:dyDescent="0.25">
      <c r="A5590" s="11">
        <v>46065</v>
      </c>
      <c r="B5590" s="5" t="s">
        <v>1095</v>
      </c>
      <c r="C5590" s="3" t="s">
        <v>284</v>
      </c>
      <c r="D5590" s="5" t="s">
        <v>111</v>
      </c>
      <c r="E5590" s="5" t="s">
        <v>112</v>
      </c>
      <c r="F5590" s="6" t="s">
        <v>138</v>
      </c>
      <c r="G5590" s="4" t="s">
        <v>0</v>
      </c>
      <c r="H5590" s="25">
        <v>4504.1666666700003</v>
      </c>
      <c r="I5590" s="8">
        <v>0</v>
      </c>
      <c r="J5590" s="9">
        <v>0</v>
      </c>
      <c r="K5590" s="7">
        <v>0</v>
      </c>
      <c r="L5590" s="24">
        <f>+Tabla2[[#This Row],[Stock Inventario]]*Tabla2[[#This Row],[Coste LÃ­nea]]</f>
        <v>0</v>
      </c>
      <c r="M5590" s="24">
        <f>+Tabla2[[#This Row],[Variación Stock]]*Tabla2[[#This Row],[Coste LÃ­nea]]</f>
        <v>0</v>
      </c>
      <c r="N5590" s="22" t="str">
        <f>+IF(Tabla2[[#This Row],[Variación Stock]]&gt;0,"Sobrante",IF(Tabla2[[#This Row],[Variación Stock]]&lt;0,"Faltante","Sin novedad"))</f>
        <v>Sin novedad</v>
      </c>
    </row>
    <row r="5591" spans="1:14" x14ac:dyDescent="0.25">
      <c r="A5591" s="11">
        <v>46065</v>
      </c>
      <c r="B5591" s="5" t="s">
        <v>1095</v>
      </c>
      <c r="C5591" s="3" t="s">
        <v>284</v>
      </c>
      <c r="D5591" s="5" t="s">
        <v>111</v>
      </c>
      <c r="E5591" s="5" t="s">
        <v>112</v>
      </c>
      <c r="F5591" s="6" t="s">
        <v>43</v>
      </c>
      <c r="G5591" s="4" t="s">
        <v>0</v>
      </c>
      <c r="H5591" s="25">
        <v>4404.8863636400001</v>
      </c>
      <c r="I5591" s="8">
        <v>12</v>
      </c>
      <c r="J5591" s="9">
        <v>3</v>
      </c>
      <c r="K5591" s="7">
        <v>-9</v>
      </c>
      <c r="L5591" s="24">
        <f>+Tabla2[[#This Row],[Stock Inventario]]*Tabla2[[#This Row],[Coste LÃ­nea]]</f>
        <v>13214.65909092</v>
      </c>
      <c r="M5591" s="24">
        <f>+Tabla2[[#This Row],[Variación Stock]]*Tabla2[[#This Row],[Coste LÃ­nea]]</f>
        <v>-39643.977272759999</v>
      </c>
      <c r="N5591" s="22" t="str">
        <f>+IF(Tabla2[[#This Row],[Variación Stock]]&gt;0,"Sobrante",IF(Tabla2[[#This Row],[Variación Stock]]&lt;0,"Faltante","Sin novedad"))</f>
        <v>Faltante</v>
      </c>
    </row>
    <row r="5592" spans="1:14" x14ac:dyDescent="0.25">
      <c r="A5592" s="11">
        <v>46065</v>
      </c>
      <c r="B5592" s="5" t="s">
        <v>1095</v>
      </c>
      <c r="C5592" s="3" t="s">
        <v>284</v>
      </c>
      <c r="D5592" s="5" t="s">
        <v>118</v>
      </c>
      <c r="E5592" s="5" t="s">
        <v>112</v>
      </c>
      <c r="F5592" s="6" t="s">
        <v>293</v>
      </c>
      <c r="G5592" s="4" t="s">
        <v>2</v>
      </c>
      <c r="H5592" s="25">
        <v>125043</v>
      </c>
      <c r="I5592" s="8">
        <v>2</v>
      </c>
      <c r="J5592" s="9">
        <v>2</v>
      </c>
      <c r="K5592" s="7">
        <v>0</v>
      </c>
      <c r="L5592" s="24">
        <f>+Tabla2[[#This Row],[Stock Inventario]]*Tabla2[[#This Row],[Coste LÃ­nea]]</f>
        <v>250086</v>
      </c>
      <c r="M5592" s="24">
        <f>+Tabla2[[#This Row],[Variación Stock]]*Tabla2[[#This Row],[Coste LÃ­nea]]</f>
        <v>0</v>
      </c>
      <c r="N5592" s="22" t="str">
        <f>+IF(Tabla2[[#This Row],[Variación Stock]]&gt;0,"Sobrante",IF(Tabla2[[#This Row],[Variación Stock]]&lt;0,"Faltante","Sin novedad"))</f>
        <v>Sin novedad</v>
      </c>
    </row>
    <row r="5593" spans="1:14" x14ac:dyDescent="0.25">
      <c r="A5593" s="11">
        <v>46065</v>
      </c>
      <c r="B5593" s="5" t="s">
        <v>1095</v>
      </c>
      <c r="C5593" s="3" t="s">
        <v>284</v>
      </c>
      <c r="D5593" s="5" t="s">
        <v>122</v>
      </c>
      <c r="E5593" s="5" t="s">
        <v>112</v>
      </c>
      <c r="F5593" s="6" t="s">
        <v>106</v>
      </c>
      <c r="G5593" s="4" t="s">
        <v>2</v>
      </c>
      <c r="H5593" s="25">
        <v>3458.4691876699999</v>
      </c>
      <c r="I5593" s="8">
        <v>4</v>
      </c>
      <c r="J5593" s="9">
        <v>4</v>
      </c>
      <c r="K5593" s="7">
        <v>0</v>
      </c>
      <c r="L5593" s="24">
        <f>+Tabla2[[#This Row],[Stock Inventario]]*Tabla2[[#This Row],[Coste LÃ­nea]]</f>
        <v>13833.87675068</v>
      </c>
      <c r="M5593" s="24">
        <f>+Tabla2[[#This Row],[Variación Stock]]*Tabla2[[#This Row],[Coste LÃ­nea]]</f>
        <v>0</v>
      </c>
      <c r="N5593" s="22" t="str">
        <f>+IF(Tabla2[[#This Row],[Variación Stock]]&gt;0,"Sobrante",IF(Tabla2[[#This Row],[Variación Stock]]&lt;0,"Faltante","Sin novedad"))</f>
        <v>Sin novedad</v>
      </c>
    </row>
    <row r="5594" spans="1:14" x14ac:dyDescent="0.25">
      <c r="A5594" s="11">
        <v>46065</v>
      </c>
      <c r="B5594" s="5" t="s">
        <v>1095</v>
      </c>
      <c r="C5594" s="3" t="s">
        <v>284</v>
      </c>
      <c r="D5594" s="5" t="s">
        <v>114</v>
      </c>
      <c r="E5594" s="5" t="s">
        <v>112</v>
      </c>
      <c r="F5594" s="6" t="s">
        <v>70</v>
      </c>
      <c r="G5594" s="4" t="s">
        <v>2</v>
      </c>
      <c r="H5594" s="25">
        <v>1835.41666667</v>
      </c>
      <c r="I5594" s="8">
        <v>30</v>
      </c>
      <c r="J5594" s="9">
        <v>30</v>
      </c>
      <c r="K5594" s="7">
        <v>0</v>
      </c>
      <c r="L5594" s="24">
        <f>+Tabla2[[#This Row],[Stock Inventario]]*Tabla2[[#This Row],[Coste LÃ­nea]]</f>
        <v>55062.500000100001</v>
      </c>
      <c r="M5594" s="24">
        <f>+Tabla2[[#This Row],[Variación Stock]]*Tabla2[[#This Row],[Coste LÃ­nea]]</f>
        <v>0</v>
      </c>
      <c r="N5594" s="22" t="str">
        <f>+IF(Tabla2[[#This Row],[Variación Stock]]&gt;0,"Sobrante",IF(Tabla2[[#This Row],[Variación Stock]]&lt;0,"Faltante","Sin novedad"))</f>
        <v>Sin novedad</v>
      </c>
    </row>
    <row r="5595" spans="1:14" x14ac:dyDescent="0.25">
      <c r="A5595" s="11">
        <v>46065</v>
      </c>
      <c r="B5595" s="5" t="s">
        <v>1095</v>
      </c>
      <c r="C5595" s="3" t="s">
        <v>284</v>
      </c>
      <c r="D5595" s="5" t="s">
        <v>121</v>
      </c>
      <c r="E5595" s="5" t="s">
        <v>112</v>
      </c>
      <c r="F5595" s="6" t="s">
        <v>331</v>
      </c>
      <c r="G5595" s="4" t="s">
        <v>0</v>
      </c>
      <c r="H5595" s="25">
        <v>3713.5548079599998</v>
      </c>
      <c r="I5595" s="8">
        <v>0</v>
      </c>
      <c r="J5595" s="9">
        <v>0</v>
      </c>
      <c r="K5595" s="7">
        <v>0</v>
      </c>
      <c r="L5595" s="24">
        <f>+Tabla2[[#This Row],[Stock Inventario]]*Tabla2[[#This Row],[Coste LÃ­nea]]</f>
        <v>0</v>
      </c>
      <c r="M5595" s="24">
        <f>+Tabla2[[#This Row],[Variación Stock]]*Tabla2[[#This Row],[Coste LÃ­nea]]</f>
        <v>0</v>
      </c>
      <c r="N5595" s="22" t="str">
        <f>+IF(Tabla2[[#This Row],[Variación Stock]]&gt;0,"Sobrante",IF(Tabla2[[#This Row],[Variación Stock]]&lt;0,"Faltante","Sin novedad"))</f>
        <v>Sin novedad</v>
      </c>
    </row>
    <row r="5596" spans="1:14" x14ac:dyDescent="0.25">
      <c r="A5596" s="11">
        <v>46065</v>
      </c>
      <c r="B5596" s="5" t="s">
        <v>1095</v>
      </c>
      <c r="C5596" s="3" t="s">
        <v>284</v>
      </c>
      <c r="D5596" s="5" t="s">
        <v>118</v>
      </c>
      <c r="E5596" s="5" t="s">
        <v>112</v>
      </c>
      <c r="F5596" s="6" t="s">
        <v>292</v>
      </c>
      <c r="G5596" s="4" t="s">
        <v>81</v>
      </c>
      <c r="H5596" s="25">
        <v>0</v>
      </c>
      <c r="I5596" s="8">
        <v>0</v>
      </c>
      <c r="J5596" s="9">
        <v>0</v>
      </c>
      <c r="K5596" s="7">
        <v>0</v>
      </c>
      <c r="L5596" s="24">
        <f>+Tabla2[[#This Row],[Stock Inventario]]*Tabla2[[#This Row],[Coste LÃ­nea]]</f>
        <v>0</v>
      </c>
      <c r="M5596" s="24">
        <f>+Tabla2[[#This Row],[Variación Stock]]*Tabla2[[#This Row],[Coste LÃ­nea]]</f>
        <v>0</v>
      </c>
      <c r="N5596" s="22" t="str">
        <f>+IF(Tabla2[[#This Row],[Variación Stock]]&gt;0,"Sobrante",IF(Tabla2[[#This Row],[Variación Stock]]&lt;0,"Faltante","Sin novedad"))</f>
        <v>Sin novedad</v>
      </c>
    </row>
    <row r="5597" spans="1:14" x14ac:dyDescent="0.25">
      <c r="A5597" s="11">
        <v>46065</v>
      </c>
      <c r="B5597" s="5" t="s">
        <v>1095</v>
      </c>
      <c r="C5597" s="3" t="s">
        <v>284</v>
      </c>
      <c r="D5597" s="5" t="s">
        <v>111</v>
      </c>
      <c r="E5597" s="5" t="s">
        <v>112</v>
      </c>
      <c r="F5597" s="6" t="s">
        <v>27</v>
      </c>
      <c r="G5597" s="4" t="s">
        <v>0</v>
      </c>
      <c r="H5597" s="25">
        <v>7154.55</v>
      </c>
      <c r="I5597" s="8">
        <v>55</v>
      </c>
      <c r="J5597" s="9">
        <v>56</v>
      </c>
      <c r="K5597" s="7">
        <v>1</v>
      </c>
      <c r="L5597" s="24">
        <f>+Tabla2[[#This Row],[Stock Inventario]]*Tabla2[[#This Row],[Coste LÃ­nea]]</f>
        <v>400654.8</v>
      </c>
      <c r="M5597" s="24">
        <f>+Tabla2[[#This Row],[Variación Stock]]*Tabla2[[#This Row],[Coste LÃ­nea]]</f>
        <v>7154.55</v>
      </c>
      <c r="N5597" s="22" t="str">
        <f>+IF(Tabla2[[#This Row],[Variación Stock]]&gt;0,"Sobrante",IF(Tabla2[[#This Row],[Variación Stock]]&lt;0,"Faltante","Sin novedad"))</f>
        <v>Sobrante</v>
      </c>
    </row>
    <row r="5598" spans="1:14" x14ac:dyDescent="0.25">
      <c r="A5598" s="11">
        <v>46065</v>
      </c>
      <c r="B5598" s="5" t="s">
        <v>1095</v>
      </c>
      <c r="C5598" s="3" t="s">
        <v>284</v>
      </c>
      <c r="D5598" s="5" t="s">
        <v>111</v>
      </c>
      <c r="E5598" s="5" t="s">
        <v>112</v>
      </c>
      <c r="F5598" s="6" t="s">
        <v>53</v>
      </c>
      <c r="G5598" s="4" t="s">
        <v>2</v>
      </c>
      <c r="H5598" s="25">
        <v>41250</v>
      </c>
      <c r="I5598" s="8">
        <v>2</v>
      </c>
      <c r="J5598" s="9">
        <v>2</v>
      </c>
      <c r="K5598" s="7">
        <v>0</v>
      </c>
      <c r="L5598" s="24">
        <f>+Tabla2[[#This Row],[Stock Inventario]]*Tabla2[[#This Row],[Coste LÃ­nea]]</f>
        <v>82500</v>
      </c>
      <c r="M5598" s="24">
        <f>+Tabla2[[#This Row],[Variación Stock]]*Tabla2[[#This Row],[Coste LÃ­nea]]</f>
        <v>0</v>
      </c>
      <c r="N5598" s="22" t="str">
        <f>+IF(Tabla2[[#This Row],[Variación Stock]]&gt;0,"Sobrante",IF(Tabla2[[#This Row],[Variación Stock]]&lt;0,"Faltante","Sin novedad"))</f>
        <v>Sin novedad</v>
      </c>
    </row>
    <row r="5599" spans="1:14" x14ac:dyDescent="0.25">
      <c r="A5599" s="11">
        <v>46065</v>
      </c>
      <c r="B5599" s="5" t="s">
        <v>1095</v>
      </c>
      <c r="C5599" s="3" t="s">
        <v>284</v>
      </c>
      <c r="D5599" s="5" t="s">
        <v>122</v>
      </c>
      <c r="E5599" s="5" t="s">
        <v>112</v>
      </c>
      <c r="F5599" s="6" t="s">
        <v>101</v>
      </c>
      <c r="G5599" s="4" t="s">
        <v>2</v>
      </c>
      <c r="H5599" s="25">
        <v>1408.33333333</v>
      </c>
      <c r="I5599" s="8">
        <v>0</v>
      </c>
      <c r="J5599" s="9">
        <v>0</v>
      </c>
      <c r="K5599" s="7">
        <v>0</v>
      </c>
      <c r="L5599" s="24">
        <f>+Tabla2[[#This Row],[Stock Inventario]]*Tabla2[[#This Row],[Coste LÃ­nea]]</f>
        <v>0</v>
      </c>
      <c r="M5599" s="24">
        <f>+Tabla2[[#This Row],[Variación Stock]]*Tabla2[[#This Row],[Coste LÃ­nea]]</f>
        <v>0</v>
      </c>
      <c r="N5599" s="22" t="str">
        <f>+IF(Tabla2[[#This Row],[Variación Stock]]&gt;0,"Sobrante",IF(Tabla2[[#This Row],[Variación Stock]]&lt;0,"Faltante","Sin novedad"))</f>
        <v>Sin novedad</v>
      </c>
    </row>
    <row r="5600" spans="1:14" hidden="1" x14ac:dyDescent="0.25">
      <c r="A5600" s="11">
        <v>46065</v>
      </c>
      <c r="B5600" s="5" t="s">
        <v>1095</v>
      </c>
      <c r="C5600" s="3" t="s">
        <v>284</v>
      </c>
      <c r="D5600" s="5" t="s">
        <v>120</v>
      </c>
      <c r="E5600" s="5" t="s">
        <v>117</v>
      </c>
      <c r="F5600" s="6" t="s">
        <v>314</v>
      </c>
      <c r="G5600" s="4" t="s">
        <v>2</v>
      </c>
      <c r="H5600" s="25">
        <v>651.05372451999995</v>
      </c>
      <c r="I5600" s="8">
        <v>2</v>
      </c>
      <c r="J5600" s="9">
        <v>2</v>
      </c>
      <c r="K5600" s="7">
        <v>0</v>
      </c>
      <c r="L5600" s="24">
        <f>+Tabla2[[#This Row],[Stock Inventario]]*Tabla2[[#This Row],[Coste LÃ­nea]]</f>
        <v>1302.1074490399999</v>
      </c>
      <c r="M5600" s="24">
        <f>+Tabla2[[#This Row],[Variación Stock]]*Tabla2[[#This Row],[Coste LÃ­nea]]</f>
        <v>0</v>
      </c>
      <c r="N5600" s="22" t="str">
        <f>+IF(Tabla2[[#This Row],[Variación Stock]]&gt;0,"Sobrante",IF(Tabla2[[#This Row],[Variación Stock]]&lt;0,"Faltante","Sin novedad"))</f>
        <v>Sin novedad</v>
      </c>
    </row>
    <row r="5601" spans="1:14" x14ac:dyDescent="0.25">
      <c r="A5601" s="11">
        <v>46065</v>
      </c>
      <c r="B5601" s="5" t="s">
        <v>1095</v>
      </c>
      <c r="C5601" s="3" t="s">
        <v>284</v>
      </c>
      <c r="D5601" s="5" t="s">
        <v>118</v>
      </c>
      <c r="E5601" s="5" t="s">
        <v>112</v>
      </c>
      <c r="F5601" s="6" t="s">
        <v>88</v>
      </c>
      <c r="G5601" s="4" t="s">
        <v>81</v>
      </c>
      <c r="H5601" s="25">
        <v>4005.4</v>
      </c>
      <c r="I5601" s="8">
        <v>18</v>
      </c>
      <c r="J5601" s="9">
        <v>18</v>
      </c>
      <c r="K5601" s="7">
        <v>0</v>
      </c>
      <c r="L5601" s="24">
        <f>+Tabla2[[#This Row],[Stock Inventario]]*Tabla2[[#This Row],[Coste LÃ­nea]]</f>
        <v>72097.2</v>
      </c>
      <c r="M5601" s="24">
        <f>+Tabla2[[#This Row],[Variación Stock]]*Tabla2[[#This Row],[Coste LÃ­nea]]</f>
        <v>0</v>
      </c>
      <c r="N5601" s="22" t="str">
        <f>+IF(Tabla2[[#This Row],[Variación Stock]]&gt;0,"Sobrante",IF(Tabla2[[#This Row],[Variación Stock]]&lt;0,"Faltante","Sin novedad"))</f>
        <v>Sin novedad</v>
      </c>
    </row>
    <row r="5602" spans="1:14" x14ac:dyDescent="0.25">
      <c r="A5602" s="11">
        <v>46065</v>
      </c>
      <c r="B5602" s="5" t="s">
        <v>1095</v>
      </c>
      <c r="C5602" s="3" t="s">
        <v>284</v>
      </c>
      <c r="D5602" s="5" t="s">
        <v>114</v>
      </c>
      <c r="E5602" s="5" t="s">
        <v>112</v>
      </c>
      <c r="F5602" s="6" t="s">
        <v>68</v>
      </c>
      <c r="G5602" s="4" t="s">
        <v>2</v>
      </c>
      <c r="H5602" s="25">
        <v>5313.1666666700003</v>
      </c>
      <c r="I5602" s="8">
        <v>16</v>
      </c>
      <c r="J5602" s="9">
        <v>18</v>
      </c>
      <c r="K5602" s="7">
        <v>2</v>
      </c>
      <c r="L5602" s="24">
        <f>+Tabla2[[#This Row],[Stock Inventario]]*Tabla2[[#This Row],[Coste LÃ­nea]]</f>
        <v>95637.000000060012</v>
      </c>
      <c r="M5602" s="24">
        <f>+Tabla2[[#This Row],[Variación Stock]]*Tabla2[[#This Row],[Coste LÃ­nea]]</f>
        <v>10626.333333340001</v>
      </c>
      <c r="N5602" s="22" t="str">
        <f>+IF(Tabla2[[#This Row],[Variación Stock]]&gt;0,"Sobrante",IF(Tabla2[[#This Row],[Variación Stock]]&lt;0,"Faltante","Sin novedad"))</f>
        <v>Sobrante</v>
      </c>
    </row>
    <row r="5603" spans="1:14" x14ac:dyDescent="0.25">
      <c r="A5603" s="11">
        <v>46065</v>
      </c>
      <c r="B5603" s="5" t="s">
        <v>1095</v>
      </c>
      <c r="C5603" s="3" t="s">
        <v>284</v>
      </c>
      <c r="D5603" s="5" t="s">
        <v>111</v>
      </c>
      <c r="E5603" s="5" t="s">
        <v>112</v>
      </c>
      <c r="F5603" s="6" t="s">
        <v>365</v>
      </c>
      <c r="G5603" s="4" t="s">
        <v>0</v>
      </c>
      <c r="H5603" s="25">
        <v>12698.95454545</v>
      </c>
      <c r="I5603" s="8">
        <v>30</v>
      </c>
      <c r="J5603" s="9">
        <v>30</v>
      </c>
      <c r="K5603" s="7">
        <v>0</v>
      </c>
      <c r="L5603" s="24">
        <f>+Tabla2[[#This Row],[Stock Inventario]]*Tabla2[[#This Row],[Coste LÃ­nea]]</f>
        <v>380968.63636350003</v>
      </c>
      <c r="M5603" s="24">
        <f>+Tabla2[[#This Row],[Variación Stock]]*Tabla2[[#This Row],[Coste LÃ­nea]]</f>
        <v>0</v>
      </c>
      <c r="N5603" s="22" t="str">
        <f>+IF(Tabla2[[#This Row],[Variación Stock]]&gt;0,"Sobrante",IF(Tabla2[[#This Row],[Variación Stock]]&lt;0,"Faltante","Sin novedad"))</f>
        <v>Sin novedad</v>
      </c>
    </row>
    <row r="5604" spans="1:14" hidden="1" x14ac:dyDescent="0.25">
      <c r="A5604" s="11">
        <v>46065</v>
      </c>
      <c r="B5604" s="5" t="s">
        <v>1095</v>
      </c>
      <c r="C5604" s="3" t="s">
        <v>284</v>
      </c>
      <c r="D5604" s="5" t="s">
        <v>116</v>
      </c>
      <c r="E5604" s="5" t="s">
        <v>117</v>
      </c>
      <c r="F5604" s="6" t="s">
        <v>5</v>
      </c>
      <c r="G5604" s="4" t="s">
        <v>1</v>
      </c>
      <c r="H5604" s="25">
        <v>23</v>
      </c>
      <c r="I5604" s="8">
        <v>4866.6666999999998</v>
      </c>
      <c r="J5604" s="9">
        <v>2000</v>
      </c>
      <c r="K5604" s="7">
        <v>-2866.6666700000001</v>
      </c>
      <c r="L5604" s="24">
        <f>+Tabla2[[#This Row],[Stock Inventario]]*Tabla2[[#This Row],[Coste LÃ­nea]]</f>
        <v>46000</v>
      </c>
      <c r="M5604" s="24">
        <f>+Tabla2[[#This Row],[Variación Stock]]*Tabla2[[#This Row],[Coste LÃ­nea]]</f>
        <v>-65933.333410000007</v>
      </c>
      <c r="N5604" s="22" t="str">
        <f>+IF(Tabla2[[#This Row],[Variación Stock]]&gt;0,"Sobrante",IF(Tabla2[[#This Row],[Variación Stock]]&lt;0,"Faltante","Sin novedad"))</f>
        <v>Faltante</v>
      </c>
    </row>
    <row r="5605" spans="1:14" x14ac:dyDescent="0.25">
      <c r="A5605" s="11">
        <v>46065</v>
      </c>
      <c r="B5605" s="5" t="s">
        <v>1095</v>
      </c>
      <c r="C5605" s="3" t="s">
        <v>284</v>
      </c>
      <c r="D5605" s="5" t="s">
        <v>118</v>
      </c>
      <c r="E5605" s="5" t="s">
        <v>112</v>
      </c>
      <c r="F5605" s="6" t="s">
        <v>297</v>
      </c>
      <c r="G5605" s="4" t="s">
        <v>2</v>
      </c>
      <c r="H5605" s="25">
        <v>87241.5</v>
      </c>
      <c r="I5605" s="8">
        <v>2</v>
      </c>
      <c r="J5605" s="9">
        <v>2</v>
      </c>
      <c r="K5605" s="7">
        <v>0</v>
      </c>
      <c r="L5605" s="24">
        <f>+Tabla2[[#This Row],[Stock Inventario]]*Tabla2[[#This Row],[Coste LÃ­nea]]</f>
        <v>174483</v>
      </c>
      <c r="M5605" s="24">
        <f>+Tabla2[[#This Row],[Variación Stock]]*Tabla2[[#This Row],[Coste LÃ­nea]]</f>
        <v>0</v>
      </c>
      <c r="N5605" s="22" t="str">
        <f>+IF(Tabla2[[#This Row],[Variación Stock]]&gt;0,"Sobrante",IF(Tabla2[[#This Row],[Variación Stock]]&lt;0,"Faltante","Sin novedad"))</f>
        <v>Sin novedad</v>
      </c>
    </row>
    <row r="5606" spans="1:14" x14ac:dyDescent="0.25">
      <c r="A5606" s="11">
        <v>46065</v>
      </c>
      <c r="B5606" s="5" t="s">
        <v>1095</v>
      </c>
      <c r="C5606" s="3" t="s">
        <v>284</v>
      </c>
      <c r="D5606" s="5" t="s">
        <v>115</v>
      </c>
      <c r="E5606" s="5" t="s">
        <v>112</v>
      </c>
      <c r="F5606" s="6" t="s">
        <v>153</v>
      </c>
      <c r="G5606" s="4" t="s">
        <v>2</v>
      </c>
      <c r="H5606" s="25">
        <v>3200</v>
      </c>
      <c r="I5606" s="8">
        <v>0</v>
      </c>
      <c r="J5606" s="9">
        <v>0</v>
      </c>
      <c r="K5606" s="7">
        <v>0</v>
      </c>
      <c r="L5606" s="24">
        <f>+Tabla2[[#This Row],[Stock Inventario]]*Tabla2[[#This Row],[Coste LÃ­nea]]</f>
        <v>0</v>
      </c>
      <c r="M5606" s="24">
        <f>+Tabla2[[#This Row],[Variación Stock]]*Tabla2[[#This Row],[Coste LÃ­nea]]</f>
        <v>0</v>
      </c>
      <c r="N5606" s="22" t="str">
        <f>+IF(Tabla2[[#This Row],[Variación Stock]]&gt;0,"Sobrante",IF(Tabla2[[#This Row],[Variación Stock]]&lt;0,"Faltante","Sin novedad"))</f>
        <v>Sin novedad</v>
      </c>
    </row>
    <row r="5607" spans="1:14" x14ac:dyDescent="0.25">
      <c r="A5607" s="11">
        <v>46065</v>
      </c>
      <c r="B5607" s="5" t="s">
        <v>1095</v>
      </c>
      <c r="C5607" s="3" t="s">
        <v>284</v>
      </c>
      <c r="D5607" s="5" t="s">
        <v>111</v>
      </c>
      <c r="E5607" s="5" t="s">
        <v>112</v>
      </c>
      <c r="F5607" s="6" t="s">
        <v>48</v>
      </c>
      <c r="G5607" s="4" t="s">
        <v>0</v>
      </c>
      <c r="H5607" s="25">
        <v>1886.3636363600001</v>
      </c>
      <c r="I5607" s="8">
        <v>42</v>
      </c>
      <c r="J5607" s="9">
        <v>44</v>
      </c>
      <c r="K5607" s="7">
        <v>2</v>
      </c>
      <c r="L5607" s="24">
        <f>+Tabla2[[#This Row],[Stock Inventario]]*Tabla2[[#This Row],[Coste LÃ­nea]]</f>
        <v>82999.999999840002</v>
      </c>
      <c r="M5607" s="24">
        <f>+Tabla2[[#This Row],[Variación Stock]]*Tabla2[[#This Row],[Coste LÃ­nea]]</f>
        <v>3772.7272727200002</v>
      </c>
      <c r="N5607" s="22" t="str">
        <f>+IF(Tabla2[[#This Row],[Variación Stock]]&gt;0,"Sobrante",IF(Tabla2[[#This Row],[Variación Stock]]&lt;0,"Faltante","Sin novedad"))</f>
        <v>Sobrante</v>
      </c>
    </row>
    <row r="5608" spans="1:14" x14ac:dyDescent="0.25">
      <c r="A5608" s="11">
        <v>46065</v>
      </c>
      <c r="B5608" s="5" t="s">
        <v>1095</v>
      </c>
      <c r="C5608" s="3" t="s">
        <v>284</v>
      </c>
      <c r="D5608" s="5" t="s">
        <v>115</v>
      </c>
      <c r="E5608" s="5" t="s">
        <v>112</v>
      </c>
      <c r="F5608" s="6" t="s">
        <v>76</v>
      </c>
      <c r="G5608" s="4" t="s">
        <v>2</v>
      </c>
      <c r="H5608" s="25">
        <v>3338.5</v>
      </c>
      <c r="I5608" s="8">
        <v>31</v>
      </c>
      <c r="J5608" s="9">
        <v>31</v>
      </c>
      <c r="K5608" s="7">
        <v>0</v>
      </c>
      <c r="L5608" s="24">
        <f>+Tabla2[[#This Row],[Stock Inventario]]*Tabla2[[#This Row],[Coste LÃ­nea]]</f>
        <v>103493.5</v>
      </c>
      <c r="M5608" s="24">
        <f>+Tabla2[[#This Row],[Variación Stock]]*Tabla2[[#This Row],[Coste LÃ­nea]]</f>
        <v>0</v>
      </c>
      <c r="N5608" s="22" t="str">
        <f>+IF(Tabla2[[#This Row],[Variación Stock]]&gt;0,"Sobrante",IF(Tabla2[[#This Row],[Variación Stock]]&lt;0,"Faltante","Sin novedad"))</f>
        <v>Sin novedad</v>
      </c>
    </row>
    <row r="5609" spans="1:14" x14ac:dyDescent="0.25">
      <c r="A5609" s="11">
        <v>46065</v>
      </c>
      <c r="B5609" s="5" t="s">
        <v>1095</v>
      </c>
      <c r="C5609" s="3" t="s">
        <v>284</v>
      </c>
      <c r="D5609" s="5" t="s">
        <v>111</v>
      </c>
      <c r="E5609" s="5" t="s">
        <v>112</v>
      </c>
      <c r="F5609" s="6" t="s">
        <v>18</v>
      </c>
      <c r="G5609" s="4" t="s">
        <v>2</v>
      </c>
      <c r="H5609" s="25">
        <v>86743</v>
      </c>
      <c r="I5609" s="8">
        <v>1</v>
      </c>
      <c r="J5609" s="9">
        <v>1</v>
      </c>
      <c r="K5609" s="7">
        <v>0</v>
      </c>
      <c r="L5609" s="24">
        <f>+Tabla2[[#This Row],[Stock Inventario]]*Tabla2[[#This Row],[Coste LÃ­nea]]</f>
        <v>86743</v>
      </c>
      <c r="M5609" s="24">
        <f>+Tabla2[[#This Row],[Variación Stock]]*Tabla2[[#This Row],[Coste LÃ­nea]]</f>
        <v>0</v>
      </c>
      <c r="N5609" s="22" t="str">
        <f>+IF(Tabla2[[#This Row],[Variación Stock]]&gt;0,"Sobrante",IF(Tabla2[[#This Row],[Variación Stock]]&lt;0,"Faltante","Sin novedad"))</f>
        <v>Sin novedad</v>
      </c>
    </row>
    <row r="5610" spans="1:14" x14ac:dyDescent="0.25">
      <c r="A5610" s="11">
        <v>46065</v>
      </c>
      <c r="B5610" s="5" t="s">
        <v>1095</v>
      </c>
      <c r="C5610" s="3" t="s">
        <v>284</v>
      </c>
      <c r="D5610" s="5" t="s">
        <v>111</v>
      </c>
      <c r="E5610" s="5" t="s">
        <v>112</v>
      </c>
      <c r="F5610" s="6" t="s">
        <v>41</v>
      </c>
      <c r="G5610" s="4" t="s">
        <v>0</v>
      </c>
      <c r="H5610" s="25">
        <v>2904.0416666699998</v>
      </c>
      <c r="I5610" s="8">
        <v>33.22</v>
      </c>
      <c r="J5610" s="9">
        <v>35</v>
      </c>
      <c r="K5610" s="7">
        <v>1.78</v>
      </c>
      <c r="L5610" s="24">
        <f>+Tabla2[[#This Row],[Stock Inventario]]*Tabla2[[#This Row],[Coste LÃ­nea]]</f>
        <v>101641.45833344999</v>
      </c>
      <c r="M5610" s="24">
        <f>+Tabla2[[#This Row],[Variación Stock]]*Tabla2[[#This Row],[Coste LÃ­nea]]</f>
        <v>5169.1941666725997</v>
      </c>
      <c r="N5610" s="22" t="str">
        <f>+IF(Tabla2[[#This Row],[Variación Stock]]&gt;0,"Sobrante",IF(Tabla2[[#This Row],[Variación Stock]]&lt;0,"Faltante","Sin novedad"))</f>
        <v>Sobrante</v>
      </c>
    </row>
    <row r="5611" spans="1:14" x14ac:dyDescent="0.25">
      <c r="A5611" s="11">
        <v>46065</v>
      </c>
      <c r="B5611" s="5" t="s">
        <v>1095</v>
      </c>
      <c r="C5611" s="3" t="s">
        <v>284</v>
      </c>
      <c r="D5611" s="5" t="s">
        <v>111</v>
      </c>
      <c r="E5611" s="5" t="s">
        <v>112</v>
      </c>
      <c r="F5611" s="6" t="s">
        <v>395</v>
      </c>
      <c r="G5611" s="4" t="s">
        <v>0</v>
      </c>
      <c r="H5611" s="25">
        <v>1736.1111111099999</v>
      </c>
      <c r="I5611" s="8">
        <v>0</v>
      </c>
      <c r="J5611" s="9">
        <v>48</v>
      </c>
      <c r="K5611" s="7">
        <v>48</v>
      </c>
      <c r="L5611" s="24">
        <f>+Tabla2[[#This Row],[Stock Inventario]]*Tabla2[[#This Row],[Coste LÃ­nea]]</f>
        <v>83333.333333279996</v>
      </c>
      <c r="M5611" s="24">
        <f>+Tabla2[[#This Row],[Variación Stock]]*Tabla2[[#This Row],[Coste LÃ­nea]]</f>
        <v>83333.333333279996</v>
      </c>
      <c r="N5611" s="22" t="str">
        <f>+IF(Tabla2[[#This Row],[Variación Stock]]&gt;0,"Sobrante",IF(Tabla2[[#This Row],[Variación Stock]]&lt;0,"Faltante","Sin novedad"))</f>
        <v>Sobrante</v>
      </c>
    </row>
    <row r="5612" spans="1:14" x14ac:dyDescent="0.25">
      <c r="A5612" s="11">
        <v>46065</v>
      </c>
      <c r="B5612" s="5" t="s">
        <v>1095</v>
      </c>
      <c r="C5612" s="3" t="s">
        <v>284</v>
      </c>
      <c r="D5612" s="5" t="s">
        <v>122</v>
      </c>
      <c r="E5612" s="5" t="s">
        <v>112</v>
      </c>
      <c r="F5612" s="6" t="s">
        <v>104</v>
      </c>
      <c r="G5612" s="4" t="s">
        <v>2</v>
      </c>
      <c r="H5612" s="25">
        <v>3458.25</v>
      </c>
      <c r="I5612" s="8">
        <v>0</v>
      </c>
      <c r="J5612" s="9">
        <v>0</v>
      </c>
      <c r="K5612" s="7">
        <v>0</v>
      </c>
      <c r="L5612" s="24">
        <f>+Tabla2[[#This Row],[Stock Inventario]]*Tabla2[[#This Row],[Coste LÃ­nea]]</f>
        <v>0</v>
      </c>
      <c r="M5612" s="24">
        <f>+Tabla2[[#This Row],[Variación Stock]]*Tabla2[[#This Row],[Coste LÃ­nea]]</f>
        <v>0</v>
      </c>
      <c r="N5612" s="22" t="str">
        <f>+IF(Tabla2[[#This Row],[Variación Stock]]&gt;0,"Sobrante",IF(Tabla2[[#This Row],[Variación Stock]]&lt;0,"Faltante","Sin novedad"))</f>
        <v>Sin novedad</v>
      </c>
    </row>
    <row r="5613" spans="1:14" hidden="1" x14ac:dyDescent="0.25">
      <c r="A5613" s="11">
        <v>46065</v>
      </c>
      <c r="B5613" s="5" t="s">
        <v>1095</v>
      </c>
      <c r="C5613" s="3" t="s">
        <v>284</v>
      </c>
      <c r="D5613" s="5" t="s">
        <v>120</v>
      </c>
      <c r="E5613" s="5" t="s">
        <v>117</v>
      </c>
      <c r="F5613" s="6" t="s">
        <v>320</v>
      </c>
      <c r="G5613" s="4" t="s">
        <v>2</v>
      </c>
      <c r="H5613" s="25">
        <v>6457.8215472000002</v>
      </c>
      <c r="I5613" s="8">
        <v>11</v>
      </c>
      <c r="J5613" s="9">
        <v>11</v>
      </c>
      <c r="K5613" s="7">
        <v>0</v>
      </c>
      <c r="L5613" s="24">
        <f>+Tabla2[[#This Row],[Stock Inventario]]*Tabla2[[#This Row],[Coste LÃ­nea]]</f>
        <v>71036.037019199997</v>
      </c>
      <c r="M5613" s="24">
        <f>+Tabla2[[#This Row],[Variación Stock]]*Tabla2[[#This Row],[Coste LÃ­nea]]</f>
        <v>0</v>
      </c>
      <c r="N5613" s="22" t="str">
        <f>+IF(Tabla2[[#This Row],[Variación Stock]]&gt;0,"Sobrante",IF(Tabla2[[#This Row],[Variación Stock]]&lt;0,"Faltante","Sin novedad"))</f>
        <v>Sin novedad</v>
      </c>
    </row>
    <row r="5614" spans="1:14" x14ac:dyDescent="0.25">
      <c r="A5614" s="11">
        <v>46065</v>
      </c>
      <c r="B5614" s="5" t="s">
        <v>1095</v>
      </c>
      <c r="C5614" s="3" t="s">
        <v>284</v>
      </c>
      <c r="D5614" s="5" t="s">
        <v>118</v>
      </c>
      <c r="E5614" s="5" t="s">
        <v>112</v>
      </c>
      <c r="F5614" s="6" t="s">
        <v>311</v>
      </c>
      <c r="G5614" s="4" t="s">
        <v>2</v>
      </c>
      <c r="H5614" s="25">
        <v>79652</v>
      </c>
      <c r="I5614" s="8">
        <v>1</v>
      </c>
      <c r="J5614" s="9">
        <v>1</v>
      </c>
      <c r="K5614" s="7">
        <v>0</v>
      </c>
      <c r="L5614" s="24">
        <f>+Tabla2[[#This Row],[Stock Inventario]]*Tabla2[[#This Row],[Coste LÃ­nea]]</f>
        <v>79652</v>
      </c>
      <c r="M5614" s="24">
        <f>+Tabla2[[#This Row],[Variación Stock]]*Tabla2[[#This Row],[Coste LÃ­nea]]</f>
        <v>0</v>
      </c>
      <c r="N5614" s="22" t="str">
        <f>+IF(Tabla2[[#This Row],[Variación Stock]]&gt;0,"Sobrante",IF(Tabla2[[#This Row],[Variación Stock]]&lt;0,"Faltante","Sin novedad"))</f>
        <v>Sin novedad</v>
      </c>
    </row>
    <row r="5615" spans="1:14" x14ac:dyDescent="0.25">
      <c r="A5615" s="11">
        <v>46065</v>
      </c>
      <c r="B5615" s="5" t="s">
        <v>1095</v>
      </c>
      <c r="C5615" s="3" t="s">
        <v>284</v>
      </c>
      <c r="D5615" s="5" t="s">
        <v>114</v>
      </c>
      <c r="E5615" s="5" t="s">
        <v>112</v>
      </c>
      <c r="F5615" s="6" t="s">
        <v>3</v>
      </c>
      <c r="G5615" s="4" t="s">
        <v>2</v>
      </c>
      <c r="H5615" s="25">
        <v>1656.3214285700001</v>
      </c>
      <c r="I5615" s="8">
        <v>124.9</v>
      </c>
      <c r="J5615" s="9">
        <v>136</v>
      </c>
      <c r="K5615" s="7">
        <v>11.1</v>
      </c>
      <c r="L5615" s="24">
        <f>+Tabla2[[#This Row],[Stock Inventario]]*Tabla2[[#This Row],[Coste LÃ­nea]]</f>
        <v>225259.71428552002</v>
      </c>
      <c r="M5615" s="24">
        <f>+Tabla2[[#This Row],[Variación Stock]]*Tabla2[[#This Row],[Coste LÃ­nea]]</f>
        <v>18385.167857126999</v>
      </c>
      <c r="N5615" s="22" t="str">
        <f>+IF(Tabla2[[#This Row],[Variación Stock]]&gt;0,"Sobrante",IF(Tabla2[[#This Row],[Variación Stock]]&lt;0,"Faltante","Sin novedad"))</f>
        <v>Sobrante</v>
      </c>
    </row>
    <row r="5616" spans="1:14" x14ac:dyDescent="0.25">
      <c r="A5616" s="11">
        <v>46065</v>
      </c>
      <c r="B5616" s="5" t="s">
        <v>1095</v>
      </c>
      <c r="C5616" s="3" t="s">
        <v>284</v>
      </c>
      <c r="D5616" s="5" t="s">
        <v>111</v>
      </c>
      <c r="E5616" s="5" t="s">
        <v>112</v>
      </c>
      <c r="F5616" s="6" t="s">
        <v>25</v>
      </c>
      <c r="G5616" s="4" t="s">
        <v>0</v>
      </c>
      <c r="H5616" s="25">
        <v>6549</v>
      </c>
      <c r="I5616" s="8">
        <v>14.34</v>
      </c>
      <c r="J5616" s="9">
        <v>14</v>
      </c>
      <c r="K5616" s="7">
        <v>-0.34</v>
      </c>
      <c r="L5616" s="24">
        <f>+Tabla2[[#This Row],[Stock Inventario]]*Tabla2[[#This Row],[Coste LÃ­nea]]</f>
        <v>91686</v>
      </c>
      <c r="M5616" s="24">
        <f>+Tabla2[[#This Row],[Variación Stock]]*Tabla2[[#This Row],[Coste LÃ­nea]]</f>
        <v>-2226.6600000000003</v>
      </c>
      <c r="N5616" s="22" t="str">
        <f>+IF(Tabla2[[#This Row],[Variación Stock]]&gt;0,"Sobrante",IF(Tabla2[[#This Row],[Variación Stock]]&lt;0,"Faltante","Sin novedad"))</f>
        <v>Faltante</v>
      </c>
    </row>
    <row r="5617" spans="1:14" x14ac:dyDescent="0.25">
      <c r="A5617" s="11">
        <v>46065</v>
      </c>
      <c r="B5617" s="5" t="s">
        <v>1095</v>
      </c>
      <c r="C5617" s="3" t="s">
        <v>284</v>
      </c>
      <c r="D5617" s="5" t="s">
        <v>118</v>
      </c>
      <c r="E5617" s="5" t="s">
        <v>112</v>
      </c>
      <c r="F5617" s="6" t="s">
        <v>302</v>
      </c>
      <c r="G5617" s="4" t="s">
        <v>2</v>
      </c>
      <c r="H5617" s="25">
        <v>444869</v>
      </c>
      <c r="I5617" s="8">
        <v>0</v>
      </c>
      <c r="J5617" s="9">
        <v>1</v>
      </c>
      <c r="K5617" s="7">
        <v>1</v>
      </c>
      <c r="L5617" s="24">
        <f>+Tabla2[[#This Row],[Stock Inventario]]*Tabla2[[#This Row],[Coste LÃ­nea]]</f>
        <v>444869</v>
      </c>
      <c r="M5617" s="24">
        <f>+Tabla2[[#This Row],[Variación Stock]]*Tabla2[[#This Row],[Coste LÃ­nea]]</f>
        <v>444869</v>
      </c>
      <c r="N5617" s="22" t="str">
        <f>+IF(Tabla2[[#This Row],[Variación Stock]]&gt;0,"Sobrante",IF(Tabla2[[#This Row],[Variación Stock]]&lt;0,"Faltante","Sin novedad"))</f>
        <v>Sobrante</v>
      </c>
    </row>
    <row r="5618" spans="1:14" x14ac:dyDescent="0.25">
      <c r="A5618" s="11">
        <v>46065</v>
      </c>
      <c r="B5618" s="5" t="s">
        <v>1095</v>
      </c>
      <c r="C5618" s="3" t="s">
        <v>284</v>
      </c>
      <c r="D5618" s="5" t="s">
        <v>118</v>
      </c>
      <c r="E5618" s="5" t="s">
        <v>112</v>
      </c>
      <c r="F5618" s="6" t="s">
        <v>86</v>
      </c>
      <c r="G5618" s="4" t="s">
        <v>81</v>
      </c>
      <c r="H5618" s="25">
        <v>9855</v>
      </c>
      <c r="I5618" s="8">
        <v>10</v>
      </c>
      <c r="J5618" s="9">
        <v>10</v>
      </c>
      <c r="K5618" s="7">
        <v>0</v>
      </c>
      <c r="L5618" s="24">
        <f>+Tabla2[[#This Row],[Stock Inventario]]*Tabla2[[#This Row],[Coste LÃ­nea]]</f>
        <v>98550</v>
      </c>
      <c r="M5618" s="24">
        <f>+Tabla2[[#This Row],[Variación Stock]]*Tabla2[[#This Row],[Coste LÃ­nea]]</f>
        <v>0</v>
      </c>
      <c r="N5618" s="22" t="str">
        <f>+IF(Tabla2[[#This Row],[Variación Stock]]&gt;0,"Sobrante",IF(Tabla2[[#This Row],[Variación Stock]]&lt;0,"Faltante","Sin novedad"))</f>
        <v>Sin novedad</v>
      </c>
    </row>
    <row r="5619" spans="1:14" x14ac:dyDescent="0.25">
      <c r="A5619" s="11">
        <v>46065</v>
      </c>
      <c r="B5619" s="5" t="s">
        <v>1095</v>
      </c>
      <c r="C5619" s="3" t="s">
        <v>284</v>
      </c>
      <c r="D5619" s="5" t="s">
        <v>114</v>
      </c>
      <c r="E5619" s="5" t="s">
        <v>112</v>
      </c>
      <c r="F5619" s="6" t="s">
        <v>61</v>
      </c>
      <c r="G5619" s="4" t="s">
        <v>2</v>
      </c>
      <c r="H5619" s="25">
        <v>2252.8125</v>
      </c>
      <c r="I5619" s="8">
        <v>94</v>
      </c>
      <c r="J5619" s="9">
        <v>93</v>
      </c>
      <c r="K5619" s="7">
        <v>-1</v>
      </c>
      <c r="L5619" s="24">
        <f>+Tabla2[[#This Row],[Stock Inventario]]*Tabla2[[#This Row],[Coste LÃ­nea]]</f>
        <v>209511.5625</v>
      </c>
      <c r="M5619" s="24">
        <f>+Tabla2[[#This Row],[Variación Stock]]*Tabla2[[#This Row],[Coste LÃ­nea]]</f>
        <v>-2252.8125</v>
      </c>
      <c r="N5619" s="22" t="str">
        <f>+IF(Tabla2[[#This Row],[Variación Stock]]&gt;0,"Sobrante",IF(Tabla2[[#This Row],[Variación Stock]]&lt;0,"Faltante","Sin novedad"))</f>
        <v>Faltante</v>
      </c>
    </row>
    <row r="5620" spans="1:14" x14ac:dyDescent="0.25">
      <c r="A5620" s="11">
        <v>46065</v>
      </c>
      <c r="B5620" s="5" t="s">
        <v>1095</v>
      </c>
      <c r="C5620" s="3" t="s">
        <v>284</v>
      </c>
      <c r="D5620" s="5" t="s">
        <v>111</v>
      </c>
      <c r="E5620" s="5" t="s">
        <v>112</v>
      </c>
      <c r="F5620" s="6" t="s">
        <v>21</v>
      </c>
      <c r="G5620" s="4" t="s">
        <v>0</v>
      </c>
      <c r="H5620" s="25">
        <v>17377</v>
      </c>
      <c r="I5620" s="8">
        <v>6</v>
      </c>
      <c r="J5620" s="9">
        <v>7</v>
      </c>
      <c r="K5620" s="7">
        <v>1</v>
      </c>
      <c r="L5620" s="24">
        <f>+Tabla2[[#This Row],[Stock Inventario]]*Tabla2[[#This Row],[Coste LÃ­nea]]</f>
        <v>121639</v>
      </c>
      <c r="M5620" s="24">
        <f>+Tabla2[[#This Row],[Variación Stock]]*Tabla2[[#This Row],[Coste LÃ­nea]]</f>
        <v>17377</v>
      </c>
      <c r="N5620" s="22" t="str">
        <f>+IF(Tabla2[[#This Row],[Variación Stock]]&gt;0,"Sobrante",IF(Tabla2[[#This Row],[Variación Stock]]&lt;0,"Faltante","Sin novedad"))</f>
        <v>Sobrante</v>
      </c>
    </row>
    <row r="5621" spans="1:14" hidden="1" x14ac:dyDescent="0.25">
      <c r="A5621" s="11">
        <v>46065</v>
      </c>
      <c r="B5621" s="5" t="s">
        <v>1095</v>
      </c>
      <c r="C5621" s="3" t="s">
        <v>284</v>
      </c>
      <c r="D5621" s="5" t="s">
        <v>119</v>
      </c>
      <c r="E5621" s="5" t="s">
        <v>117</v>
      </c>
      <c r="F5621" s="6" t="s">
        <v>10</v>
      </c>
      <c r="G5621" s="4" t="s">
        <v>2</v>
      </c>
      <c r="H5621" s="25">
        <v>19000.25</v>
      </c>
      <c r="I5621" s="8">
        <v>4</v>
      </c>
      <c r="J5621" s="9">
        <v>4</v>
      </c>
      <c r="K5621" s="7">
        <v>0</v>
      </c>
      <c r="L5621" s="24">
        <f>+Tabla2[[#This Row],[Stock Inventario]]*Tabla2[[#This Row],[Coste LÃ­nea]]</f>
        <v>76001</v>
      </c>
      <c r="M5621" s="24">
        <f>+Tabla2[[#This Row],[Variación Stock]]*Tabla2[[#This Row],[Coste LÃ­nea]]</f>
        <v>0</v>
      </c>
      <c r="N5621" s="22" t="str">
        <f>+IF(Tabla2[[#This Row],[Variación Stock]]&gt;0,"Sobrante",IF(Tabla2[[#This Row],[Variación Stock]]&lt;0,"Faltante","Sin novedad"))</f>
        <v>Sin novedad</v>
      </c>
    </row>
    <row r="5622" spans="1:14" x14ac:dyDescent="0.25">
      <c r="A5622" s="11">
        <v>46065</v>
      </c>
      <c r="B5622" s="5" t="s">
        <v>1095</v>
      </c>
      <c r="C5622" s="3" t="s">
        <v>284</v>
      </c>
      <c r="D5622" s="5" t="s">
        <v>118</v>
      </c>
      <c r="E5622" s="5" t="s">
        <v>112</v>
      </c>
      <c r="F5622" s="6" t="s">
        <v>80</v>
      </c>
      <c r="G5622" s="4" t="s">
        <v>2</v>
      </c>
      <c r="H5622" s="25">
        <v>108834</v>
      </c>
      <c r="I5622" s="8">
        <v>2</v>
      </c>
      <c r="J5622" s="9">
        <v>2</v>
      </c>
      <c r="K5622" s="7">
        <v>0</v>
      </c>
      <c r="L5622" s="24">
        <f>+Tabla2[[#This Row],[Stock Inventario]]*Tabla2[[#This Row],[Coste LÃ­nea]]</f>
        <v>217668</v>
      </c>
      <c r="M5622" s="24">
        <f>+Tabla2[[#This Row],[Variación Stock]]*Tabla2[[#This Row],[Coste LÃ­nea]]</f>
        <v>0</v>
      </c>
      <c r="N5622" s="22" t="str">
        <f>+IF(Tabla2[[#This Row],[Variación Stock]]&gt;0,"Sobrante",IF(Tabla2[[#This Row],[Variación Stock]]&lt;0,"Faltante","Sin novedad"))</f>
        <v>Sin novedad</v>
      </c>
    </row>
    <row r="5623" spans="1:14" x14ac:dyDescent="0.25">
      <c r="A5623" s="11">
        <v>46065</v>
      </c>
      <c r="B5623" s="5" t="s">
        <v>1095</v>
      </c>
      <c r="C5623" s="3" t="s">
        <v>284</v>
      </c>
      <c r="D5623" s="5" t="s">
        <v>115</v>
      </c>
      <c r="E5623" s="5" t="s">
        <v>112</v>
      </c>
      <c r="F5623" s="6" t="s">
        <v>72</v>
      </c>
      <c r="G5623" s="4" t="s">
        <v>2</v>
      </c>
      <c r="H5623" s="25">
        <v>2359.5666666699999</v>
      </c>
      <c r="I5623" s="8">
        <v>15</v>
      </c>
      <c r="J5623" s="9">
        <v>16</v>
      </c>
      <c r="K5623" s="7">
        <v>1</v>
      </c>
      <c r="L5623" s="24">
        <f>+Tabla2[[#This Row],[Stock Inventario]]*Tabla2[[#This Row],[Coste LÃ­nea]]</f>
        <v>37753.066666719998</v>
      </c>
      <c r="M5623" s="24">
        <f>+Tabla2[[#This Row],[Variación Stock]]*Tabla2[[#This Row],[Coste LÃ­nea]]</f>
        <v>2359.5666666699999</v>
      </c>
      <c r="N5623" s="22" t="str">
        <f>+IF(Tabla2[[#This Row],[Variación Stock]]&gt;0,"Sobrante",IF(Tabla2[[#This Row],[Variación Stock]]&lt;0,"Faltante","Sin novedad"))</f>
        <v>Sobrante</v>
      </c>
    </row>
    <row r="5624" spans="1:14" x14ac:dyDescent="0.25">
      <c r="A5624" s="11">
        <v>46065</v>
      </c>
      <c r="B5624" s="5" t="s">
        <v>1095</v>
      </c>
      <c r="C5624" s="3" t="s">
        <v>284</v>
      </c>
      <c r="D5624" s="5" t="s">
        <v>111</v>
      </c>
      <c r="E5624" s="5" t="s">
        <v>112</v>
      </c>
      <c r="F5624" s="6" t="s">
        <v>46</v>
      </c>
      <c r="G5624" s="4" t="s">
        <v>0</v>
      </c>
      <c r="H5624" s="25">
        <v>2056.3333333300002</v>
      </c>
      <c r="I5624" s="8">
        <v>49</v>
      </c>
      <c r="J5624" s="9">
        <v>52</v>
      </c>
      <c r="K5624" s="7">
        <v>3</v>
      </c>
      <c r="L5624" s="24">
        <f>+Tabla2[[#This Row],[Stock Inventario]]*Tabla2[[#This Row],[Coste LÃ­nea]]</f>
        <v>106929.33333316002</v>
      </c>
      <c r="M5624" s="24">
        <f>+Tabla2[[#This Row],[Variación Stock]]*Tabla2[[#This Row],[Coste LÃ­nea]]</f>
        <v>6168.999999990001</v>
      </c>
      <c r="N5624" s="22" t="str">
        <f>+IF(Tabla2[[#This Row],[Variación Stock]]&gt;0,"Sobrante",IF(Tabla2[[#This Row],[Variación Stock]]&lt;0,"Faltante","Sin novedad"))</f>
        <v>Sobrante</v>
      </c>
    </row>
    <row r="5625" spans="1:14" hidden="1" x14ac:dyDescent="0.25">
      <c r="A5625" s="11">
        <v>46065</v>
      </c>
      <c r="B5625" s="5" t="s">
        <v>1095</v>
      </c>
      <c r="C5625" s="3" t="s">
        <v>284</v>
      </c>
      <c r="D5625" s="5" t="s">
        <v>323</v>
      </c>
      <c r="E5625" s="5" t="s">
        <v>117</v>
      </c>
      <c r="F5625" s="6" t="s">
        <v>324</v>
      </c>
      <c r="G5625" s="4" t="s">
        <v>2</v>
      </c>
      <c r="H5625" s="25">
        <v>4833.0366379300003</v>
      </c>
      <c r="I5625" s="8">
        <v>9</v>
      </c>
      <c r="J5625" s="9">
        <v>9</v>
      </c>
      <c r="K5625" s="7">
        <v>0</v>
      </c>
      <c r="L5625" s="24">
        <f>+Tabla2[[#This Row],[Stock Inventario]]*Tabla2[[#This Row],[Coste LÃ­nea]]</f>
        <v>43497.329741370006</v>
      </c>
      <c r="M5625" s="24">
        <f>+Tabla2[[#This Row],[Variación Stock]]*Tabla2[[#This Row],[Coste LÃ­nea]]</f>
        <v>0</v>
      </c>
      <c r="N5625" s="22" t="str">
        <f>+IF(Tabla2[[#This Row],[Variación Stock]]&gt;0,"Sobrante",IF(Tabla2[[#This Row],[Variación Stock]]&lt;0,"Faltante","Sin novedad"))</f>
        <v>Sin novedad</v>
      </c>
    </row>
    <row r="5626" spans="1:14" x14ac:dyDescent="0.25">
      <c r="A5626" s="11">
        <v>46065</v>
      </c>
      <c r="B5626" s="5" t="s">
        <v>1095</v>
      </c>
      <c r="C5626" s="3" t="s">
        <v>284</v>
      </c>
      <c r="D5626" s="5" t="s">
        <v>111</v>
      </c>
      <c r="E5626" s="5" t="s">
        <v>112</v>
      </c>
      <c r="F5626" s="6" t="s">
        <v>364</v>
      </c>
      <c r="G5626" s="4" t="s">
        <v>0</v>
      </c>
      <c r="H5626" s="25">
        <v>10233.9</v>
      </c>
      <c r="I5626" s="8">
        <v>37</v>
      </c>
      <c r="J5626" s="9">
        <v>40</v>
      </c>
      <c r="K5626" s="7">
        <v>3</v>
      </c>
      <c r="L5626" s="24">
        <f>+Tabla2[[#This Row],[Stock Inventario]]*Tabla2[[#This Row],[Coste LÃ­nea]]</f>
        <v>409356</v>
      </c>
      <c r="M5626" s="24">
        <f>+Tabla2[[#This Row],[Variación Stock]]*Tabla2[[#This Row],[Coste LÃ­nea]]</f>
        <v>30701.699999999997</v>
      </c>
      <c r="N5626" s="22" t="str">
        <f>+IF(Tabla2[[#This Row],[Variación Stock]]&gt;0,"Sobrante",IF(Tabla2[[#This Row],[Variación Stock]]&lt;0,"Faltante","Sin novedad"))</f>
        <v>Sobrante</v>
      </c>
    </row>
    <row r="5627" spans="1:14" x14ac:dyDescent="0.25">
      <c r="A5627" s="11">
        <v>46065</v>
      </c>
      <c r="B5627" s="5" t="s">
        <v>1095</v>
      </c>
      <c r="C5627" s="3" t="s">
        <v>284</v>
      </c>
      <c r="D5627" s="5" t="s">
        <v>111</v>
      </c>
      <c r="E5627" s="5" t="s">
        <v>112</v>
      </c>
      <c r="F5627" s="6" t="s">
        <v>32</v>
      </c>
      <c r="G5627" s="4" t="s">
        <v>0</v>
      </c>
      <c r="H5627" s="25">
        <v>8628.9583333299997</v>
      </c>
      <c r="I5627" s="8">
        <v>19</v>
      </c>
      <c r="J5627" s="9">
        <v>19</v>
      </c>
      <c r="K5627" s="7">
        <v>0</v>
      </c>
      <c r="L5627" s="24">
        <f>+Tabla2[[#This Row],[Stock Inventario]]*Tabla2[[#This Row],[Coste LÃ­nea]]</f>
        <v>163950.20833326998</v>
      </c>
      <c r="M5627" s="24">
        <f>+Tabla2[[#This Row],[Variación Stock]]*Tabla2[[#This Row],[Coste LÃ­nea]]</f>
        <v>0</v>
      </c>
      <c r="N5627" s="22" t="str">
        <f>+IF(Tabla2[[#This Row],[Variación Stock]]&gt;0,"Sobrante",IF(Tabla2[[#This Row],[Variación Stock]]&lt;0,"Faltante","Sin novedad"))</f>
        <v>Sin novedad</v>
      </c>
    </row>
    <row r="5628" spans="1:14" x14ac:dyDescent="0.25">
      <c r="A5628" s="11">
        <v>46065</v>
      </c>
      <c r="B5628" s="5" t="s">
        <v>1095</v>
      </c>
      <c r="C5628" s="3" t="s">
        <v>284</v>
      </c>
      <c r="D5628" s="5" t="s">
        <v>111</v>
      </c>
      <c r="E5628" s="5" t="s">
        <v>112</v>
      </c>
      <c r="F5628" s="6" t="s">
        <v>30</v>
      </c>
      <c r="G5628" s="4" t="s">
        <v>0</v>
      </c>
      <c r="H5628" s="25">
        <v>3673.5</v>
      </c>
      <c r="I5628" s="8">
        <v>22.5</v>
      </c>
      <c r="J5628" s="9">
        <v>23</v>
      </c>
      <c r="K5628" s="7">
        <v>0.5</v>
      </c>
      <c r="L5628" s="24">
        <f>+Tabla2[[#This Row],[Stock Inventario]]*Tabla2[[#This Row],[Coste LÃ­nea]]</f>
        <v>84490.5</v>
      </c>
      <c r="M5628" s="24">
        <f>+Tabla2[[#This Row],[Variación Stock]]*Tabla2[[#This Row],[Coste LÃ­nea]]</f>
        <v>1836.75</v>
      </c>
      <c r="N5628" s="22" t="str">
        <f>+IF(Tabla2[[#This Row],[Variación Stock]]&gt;0,"Sobrante",IF(Tabla2[[#This Row],[Variación Stock]]&lt;0,"Faltante","Sin novedad"))</f>
        <v>Sobrante</v>
      </c>
    </row>
    <row r="5629" spans="1:14" x14ac:dyDescent="0.25">
      <c r="A5629" s="11">
        <v>46065</v>
      </c>
      <c r="B5629" s="5" t="s">
        <v>1095</v>
      </c>
      <c r="C5629" s="3" t="s">
        <v>284</v>
      </c>
      <c r="D5629" s="5" t="s">
        <v>122</v>
      </c>
      <c r="E5629" s="5" t="s">
        <v>112</v>
      </c>
      <c r="F5629" s="6" t="s">
        <v>102</v>
      </c>
      <c r="G5629" s="4" t="s">
        <v>2</v>
      </c>
      <c r="H5629" s="25">
        <v>4166.7338934999998</v>
      </c>
      <c r="I5629" s="8">
        <v>2</v>
      </c>
      <c r="J5629" s="9">
        <v>2</v>
      </c>
      <c r="K5629" s="7">
        <v>0</v>
      </c>
      <c r="L5629" s="24">
        <f>+Tabla2[[#This Row],[Stock Inventario]]*Tabla2[[#This Row],[Coste LÃ­nea]]</f>
        <v>8333.4677869999996</v>
      </c>
      <c r="M5629" s="24">
        <f>+Tabla2[[#This Row],[Variación Stock]]*Tabla2[[#This Row],[Coste LÃ­nea]]</f>
        <v>0</v>
      </c>
      <c r="N5629" s="22" t="str">
        <f>+IF(Tabla2[[#This Row],[Variación Stock]]&gt;0,"Sobrante",IF(Tabla2[[#This Row],[Variación Stock]]&lt;0,"Faltante","Sin novedad"))</f>
        <v>Sin novedad</v>
      </c>
    </row>
    <row r="5630" spans="1:14" x14ac:dyDescent="0.25">
      <c r="A5630" s="11">
        <v>46065</v>
      </c>
      <c r="B5630" s="5" t="s">
        <v>1095</v>
      </c>
      <c r="C5630" s="3" t="s">
        <v>284</v>
      </c>
      <c r="D5630" s="5" t="s">
        <v>118</v>
      </c>
      <c r="E5630" s="5" t="s">
        <v>112</v>
      </c>
      <c r="F5630" s="6" t="s">
        <v>307</v>
      </c>
      <c r="G5630" s="4" t="s">
        <v>81</v>
      </c>
      <c r="H5630" s="25">
        <v>9701.2000000000007</v>
      </c>
      <c r="I5630" s="8">
        <v>20</v>
      </c>
      <c r="J5630" s="9">
        <v>30</v>
      </c>
      <c r="K5630" s="7">
        <v>10</v>
      </c>
      <c r="L5630" s="24">
        <f>+Tabla2[[#This Row],[Stock Inventario]]*Tabla2[[#This Row],[Coste LÃ­nea]]</f>
        <v>291036</v>
      </c>
      <c r="M5630" s="24">
        <f>+Tabla2[[#This Row],[Variación Stock]]*Tabla2[[#This Row],[Coste LÃ­nea]]</f>
        <v>97012</v>
      </c>
      <c r="N5630" s="22" t="str">
        <f>+IF(Tabla2[[#This Row],[Variación Stock]]&gt;0,"Sobrante",IF(Tabla2[[#This Row],[Variación Stock]]&lt;0,"Faltante","Sin novedad"))</f>
        <v>Sobrante</v>
      </c>
    </row>
    <row r="5631" spans="1:14" x14ac:dyDescent="0.25">
      <c r="A5631" s="11">
        <v>46065</v>
      </c>
      <c r="B5631" s="5" t="s">
        <v>1095</v>
      </c>
      <c r="C5631" s="3" t="s">
        <v>284</v>
      </c>
      <c r="D5631" s="5" t="s">
        <v>114</v>
      </c>
      <c r="E5631" s="5" t="s">
        <v>112</v>
      </c>
      <c r="F5631" s="6" t="s">
        <v>146</v>
      </c>
      <c r="G5631" s="4" t="s">
        <v>2</v>
      </c>
      <c r="H5631" s="25">
        <v>0</v>
      </c>
      <c r="I5631" s="8">
        <v>0</v>
      </c>
      <c r="J5631" s="9">
        <v>0</v>
      </c>
      <c r="K5631" s="7">
        <v>0</v>
      </c>
      <c r="L5631" s="24">
        <f>+Tabla2[[#This Row],[Stock Inventario]]*Tabla2[[#This Row],[Coste LÃ­nea]]</f>
        <v>0</v>
      </c>
      <c r="M5631" s="24">
        <f>+Tabla2[[#This Row],[Variación Stock]]*Tabla2[[#This Row],[Coste LÃ­nea]]</f>
        <v>0</v>
      </c>
      <c r="N5631" s="22" t="str">
        <f>+IF(Tabla2[[#This Row],[Variación Stock]]&gt;0,"Sobrante",IF(Tabla2[[#This Row],[Variación Stock]]&lt;0,"Faltante","Sin novedad"))</f>
        <v>Sin novedad</v>
      </c>
    </row>
    <row r="5632" spans="1:14" x14ac:dyDescent="0.25">
      <c r="A5632" s="11">
        <v>46065</v>
      </c>
      <c r="B5632" s="5" t="s">
        <v>1095</v>
      </c>
      <c r="C5632" s="3" t="s">
        <v>284</v>
      </c>
      <c r="D5632" s="5" t="s">
        <v>111</v>
      </c>
      <c r="E5632" s="5" t="s">
        <v>112</v>
      </c>
      <c r="F5632" s="6" t="s">
        <v>39</v>
      </c>
      <c r="G5632" s="4" t="s">
        <v>0</v>
      </c>
      <c r="H5632" s="25">
        <v>9899.25</v>
      </c>
      <c r="I5632" s="8">
        <v>23</v>
      </c>
      <c r="J5632" s="9">
        <v>24</v>
      </c>
      <c r="K5632" s="7">
        <v>1</v>
      </c>
      <c r="L5632" s="24">
        <f>+Tabla2[[#This Row],[Stock Inventario]]*Tabla2[[#This Row],[Coste LÃ­nea]]</f>
        <v>237582</v>
      </c>
      <c r="M5632" s="24">
        <f>+Tabla2[[#This Row],[Variación Stock]]*Tabla2[[#This Row],[Coste LÃ­nea]]</f>
        <v>9899.25</v>
      </c>
      <c r="N5632" s="22" t="str">
        <f>+IF(Tabla2[[#This Row],[Variación Stock]]&gt;0,"Sobrante",IF(Tabla2[[#This Row],[Variación Stock]]&lt;0,"Faltante","Sin novedad"))</f>
        <v>Sobrante</v>
      </c>
    </row>
    <row r="5633" spans="1:14" x14ac:dyDescent="0.25">
      <c r="A5633" s="11">
        <v>46065</v>
      </c>
      <c r="B5633" s="5" t="s">
        <v>1095</v>
      </c>
      <c r="C5633" s="3" t="s">
        <v>284</v>
      </c>
      <c r="D5633" s="5" t="s">
        <v>118</v>
      </c>
      <c r="E5633" s="5" t="s">
        <v>112</v>
      </c>
      <c r="F5633" s="6" t="s">
        <v>300</v>
      </c>
      <c r="G5633" s="4" t="s">
        <v>2</v>
      </c>
      <c r="H5633" s="25">
        <v>25109.5</v>
      </c>
      <c r="I5633" s="8">
        <v>0</v>
      </c>
      <c r="J5633" s="9">
        <v>3</v>
      </c>
      <c r="K5633" s="7">
        <v>3</v>
      </c>
      <c r="L5633" s="24">
        <f>+Tabla2[[#This Row],[Stock Inventario]]*Tabla2[[#This Row],[Coste LÃ­nea]]</f>
        <v>75328.5</v>
      </c>
      <c r="M5633" s="24">
        <f>+Tabla2[[#This Row],[Variación Stock]]*Tabla2[[#This Row],[Coste LÃ­nea]]</f>
        <v>75328.5</v>
      </c>
      <c r="N5633" s="22" t="str">
        <f>+IF(Tabla2[[#This Row],[Variación Stock]]&gt;0,"Sobrante",IF(Tabla2[[#This Row],[Variación Stock]]&lt;0,"Faltante","Sin novedad"))</f>
        <v>Sobrante</v>
      </c>
    </row>
    <row r="5634" spans="1:14" x14ac:dyDescent="0.25">
      <c r="A5634" s="11">
        <v>46065</v>
      </c>
      <c r="B5634" s="5" t="s">
        <v>1095</v>
      </c>
      <c r="C5634" s="3" t="s">
        <v>284</v>
      </c>
      <c r="D5634" s="5" t="s">
        <v>115</v>
      </c>
      <c r="E5634" s="5" t="s">
        <v>112</v>
      </c>
      <c r="F5634" s="6" t="s">
        <v>367</v>
      </c>
      <c r="G5634" s="4" t="s">
        <v>2</v>
      </c>
      <c r="H5634" s="25">
        <v>19546.5</v>
      </c>
      <c r="I5634" s="8">
        <v>5.15</v>
      </c>
      <c r="J5634" s="9">
        <v>5</v>
      </c>
      <c r="K5634" s="7">
        <v>-0.15</v>
      </c>
      <c r="L5634" s="24">
        <f>+Tabla2[[#This Row],[Stock Inventario]]*Tabla2[[#This Row],[Coste LÃ­nea]]</f>
        <v>97732.5</v>
      </c>
      <c r="M5634" s="24">
        <f>+Tabla2[[#This Row],[Variación Stock]]*Tabla2[[#This Row],[Coste LÃ­nea]]</f>
        <v>-2931.9749999999999</v>
      </c>
      <c r="N5634" s="22" t="str">
        <f>+IF(Tabla2[[#This Row],[Variación Stock]]&gt;0,"Sobrante",IF(Tabla2[[#This Row],[Variación Stock]]&lt;0,"Faltante","Sin novedad"))</f>
        <v>Faltante</v>
      </c>
    </row>
    <row r="5635" spans="1:14" x14ac:dyDescent="0.25">
      <c r="A5635" s="11">
        <v>46065</v>
      </c>
      <c r="B5635" s="5" t="s">
        <v>1095</v>
      </c>
      <c r="C5635" s="3" t="s">
        <v>284</v>
      </c>
      <c r="D5635" s="5" t="s">
        <v>111</v>
      </c>
      <c r="E5635" s="5" t="s">
        <v>112</v>
      </c>
      <c r="F5635" s="6" t="s">
        <v>16</v>
      </c>
      <c r="G5635" s="4" t="s">
        <v>0</v>
      </c>
      <c r="H5635" s="25">
        <v>2309.40625</v>
      </c>
      <c r="I5635" s="8">
        <v>32</v>
      </c>
      <c r="J5635" s="9">
        <v>32</v>
      </c>
      <c r="K5635" s="7">
        <v>0</v>
      </c>
      <c r="L5635" s="24">
        <f>+Tabla2[[#This Row],[Stock Inventario]]*Tabla2[[#This Row],[Coste LÃ­nea]]</f>
        <v>73901</v>
      </c>
      <c r="M5635" s="24">
        <f>+Tabla2[[#This Row],[Variación Stock]]*Tabla2[[#This Row],[Coste LÃ­nea]]</f>
        <v>0</v>
      </c>
      <c r="N5635" s="22" t="str">
        <f>+IF(Tabla2[[#This Row],[Variación Stock]]&gt;0,"Sobrante",IF(Tabla2[[#This Row],[Variación Stock]]&lt;0,"Faltante","Sin novedad"))</f>
        <v>Sin novedad</v>
      </c>
    </row>
    <row r="5636" spans="1:14" x14ac:dyDescent="0.25">
      <c r="A5636" s="11">
        <v>46065</v>
      </c>
      <c r="B5636" s="5" t="s">
        <v>1095</v>
      </c>
      <c r="C5636" s="3" t="s">
        <v>284</v>
      </c>
      <c r="D5636" s="5" t="s">
        <v>118</v>
      </c>
      <c r="E5636" s="5" t="s">
        <v>112</v>
      </c>
      <c r="F5636" s="6" t="s">
        <v>84</v>
      </c>
      <c r="G5636" s="4" t="s">
        <v>81</v>
      </c>
      <c r="H5636" s="25">
        <v>9853.7999999999993</v>
      </c>
      <c r="I5636" s="8">
        <v>15</v>
      </c>
      <c r="J5636" s="9">
        <v>15</v>
      </c>
      <c r="K5636" s="7">
        <v>0</v>
      </c>
      <c r="L5636" s="24">
        <f>+Tabla2[[#This Row],[Stock Inventario]]*Tabla2[[#This Row],[Coste LÃ­nea]]</f>
        <v>147807</v>
      </c>
      <c r="M5636" s="24">
        <f>+Tabla2[[#This Row],[Variación Stock]]*Tabla2[[#This Row],[Coste LÃ­nea]]</f>
        <v>0</v>
      </c>
      <c r="N5636" s="22" t="str">
        <f>+IF(Tabla2[[#This Row],[Variación Stock]]&gt;0,"Sobrante",IF(Tabla2[[#This Row],[Variación Stock]]&lt;0,"Faltante","Sin novedad"))</f>
        <v>Sin novedad</v>
      </c>
    </row>
    <row r="5637" spans="1:14" x14ac:dyDescent="0.25">
      <c r="A5637" s="11">
        <v>46065</v>
      </c>
      <c r="B5637" s="5" t="s">
        <v>1095</v>
      </c>
      <c r="C5637" s="3" t="s">
        <v>284</v>
      </c>
      <c r="D5637" s="5" t="s">
        <v>114</v>
      </c>
      <c r="E5637" s="5" t="s">
        <v>112</v>
      </c>
      <c r="F5637" s="6" t="s">
        <v>110</v>
      </c>
      <c r="G5637" s="4" t="s">
        <v>2</v>
      </c>
      <c r="H5637" s="25">
        <v>0</v>
      </c>
      <c r="I5637" s="8">
        <v>11</v>
      </c>
      <c r="J5637" s="9">
        <v>0</v>
      </c>
      <c r="K5637" s="7">
        <v>-11</v>
      </c>
      <c r="L5637" s="24">
        <f>+Tabla2[[#This Row],[Stock Inventario]]*Tabla2[[#This Row],[Coste LÃ­nea]]</f>
        <v>0</v>
      </c>
      <c r="M5637" s="24">
        <f>+Tabla2[[#This Row],[Variación Stock]]*Tabla2[[#This Row],[Coste LÃ­nea]]</f>
        <v>0</v>
      </c>
      <c r="N5637" s="22" t="str">
        <f>+IF(Tabla2[[#This Row],[Variación Stock]]&gt;0,"Sobrante",IF(Tabla2[[#This Row],[Variación Stock]]&lt;0,"Faltante","Sin novedad"))</f>
        <v>Faltante</v>
      </c>
    </row>
    <row r="5638" spans="1:14" x14ac:dyDescent="0.25">
      <c r="A5638" s="11">
        <v>46065</v>
      </c>
      <c r="B5638" s="5" t="s">
        <v>1095</v>
      </c>
      <c r="C5638" s="3" t="s">
        <v>284</v>
      </c>
      <c r="D5638" s="5" t="s">
        <v>111</v>
      </c>
      <c r="E5638" s="5" t="s">
        <v>112</v>
      </c>
      <c r="F5638" s="6" t="s">
        <v>38</v>
      </c>
      <c r="G5638" s="4" t="s">
        <v>0</v>
      </c>
      <c r="H5638" s="25">
        <v>2222.09090909</v>
      </c>
      <c r="I5638" s="8">
        <v>25</v>
      </c>
      <c r="J5638" s="9">
        <v>27</v>
      </c>
      <c r="K5638" s="7">
        <v>2</v>
      </c>
      <c r="L5638" s="24">
        <f>+Tabla2[[#This Row],[Stock Inventario]]*Tabla2[[#This Row],[Coste LÃ­nea]]</f>
        <v>59996.454545430002</v>
      </c>
      <c r="M5638" s="24">
        <f>+Tabla2[[#This Row],[Variación Stock]]*Tabla2[[#This Row],[Coste LÃ­nea]]</f>
        <v>4444.1818181799999</v>
      </c>
      <c r="N5638" s="22" t="str">
        <f>+IF(Tabla2[[#This Row],[Variación Stock]]&gt;0,"Sobrante",IF(Tabla2[[#This Row],[Variación Stock]]&lt;0,"Faltante","Sin novedad"))</f>
        <v>Sobrante</v>
      </c>
    </row>
    <row r="5639" spans="1:14" x14ac:dyDescent="0.25">
      <c r="A5639" s="11">
        <v>46065</v>
      </c>
      <c r="B5639" s="5" t="s">
        <v>1095</v>
      </c>
      <c r="C5639" s="3" t="s">
        <v>284</v>
      </c>
      <c r="D5639" s="5" t="s">
        <v>111</v>
      </c>
      <c r="E5639" s="5" t="s">
        <v>112</v>
      </c>
      <c r="F5639" s="6" t="s">
        <v>34</v>
      </c>
      <c r="G5639" s="4" t="s">
        <v>0</v>
      </c>
      <c r="H5639" s="25">
        <v>5941.2272727299996</v>
      </c>
      <c r="I5639" s="8">
        <v>30</v>
      </c>
      <c r="J5639" s="9">
        <v>30</v>
      </c>
      <c r="K5639" s="7">
        <v>0</v>
      </c>
      <c r="L5639" s="24">
        <f>+Tabla2[[#This Row],[Stock Inventario]]*Tabla2[[#This Row],[Coste LÃ­nea]]</f>
        <v>178236.81818189999</v>
      </c>
      <c r="M5639" s="24">
        <f>+Tabla2[[#This Row],[Variación Stock]]*Tabla2[[#This Row],[Coste LÃ­nea]]</f>
        <v>0</v>
      </c>
      <c r="N5639" s="22" t="str">
        <f>+IF(Tabla2[[#This Row],[Variación Stock]]&gt;0,"Sobrante",IF(Tabla2[[#This Row],[Variación Stock]]&lt;0,"Faltante","Sin novedad"))</f>
        <v>Sin novedad</v>
      </c>
    </row>
    <row r="5640" spans="1:14" x14ac:dyDescent="0.25">
      <c r="A5640" s="11">
        <v>46065</v>
      </c>
      <c r="B5640" s="5" t="s">
        <v>1095</v>
      </c>
      <c r="C5640" s="3" t="s">
        <v>284</v>
      </c>
      <c r="D5640" s="5" t="s">
        <v>118</v>
      </c>
      <c r="E5640" s="5" t="s">
        <v>112</v>
      </c>
      <c r="F5640" s="6" t="s">
        <v>1086</v>
      </c>
      <c r="G5640" s="4" t="s">
        <v>2</v>
      </c>
      <c r="H5640" s="25">
        <v>22425.5</v>
      </c>
      <c r="I5640" s="8">
        <v>2</v>
      </c>
      <c r="J5640" s="9">
        <v>2</v>
      </c>
      <c r="K5640" s="7">
        <v>0</v>
      </c>
      <c r="L5640" s="24">
        <f>+Tabla2[[#This Row],[Stock Inventario]]*Tabla2[[#This Row],[Coste LÃ­nea]]</f>
        <v>44851</v>
      </c>
      <c r="M5640" s="24">
        <f>+Tabla2[[#This Row],[Variación Stock]]*Tabla2[[#This Row],[Coste LÃ­nea]]</f>
        <v>0</v>
      </c>
      <c r="N5640" s="22" t="str">
        <f>+IF(Tabla2[[#This Row],[Variación Stock]]&gt;0,"Sobrante",IF(Tabla2[[#This Row],[Variación Stock]]&lt;0,"Faltante","Sin novedad"))</f>
        <v>Sin novedad</v>
      </c>
    </row>
    <row r="5641" spans="1:14" x14ac:dyDescent="0.25">
      <c r="A5641" s="11">
        <v>46065</v>
      </c>
      <c r="B5641" s="5" t="s">
        <v>1095</v>
      </c>
      <c r="C5641" s="3" t="s">
        <v>284</v>
      </c>
      <c r="D5641" s="5" t="s">
        <v>122</v>
      </c>
      <c r="E5641" s="5" t="s">
        <v>112</v>
      </c>
      <c r="F5641" s="6" t="s">
        <v>109</v>
      </c>
      <c r="G5641" s="4" t="s">
        <v>2</v>
      </c>
      <c r="H5641" s="25">
        <v>4166.5672268300004</v>
      </c>
      <c r="I5641" s="8">
        <v>10</v>
      </c>
      <c r="J5641" s="9">
        <v>10</v>
      </c>
      <c r="K5641" s="7">
        <v>0</v>
      </c>
      <c r="L5641" s="24">
        <f>+Tabla2[[#This Row],[Stock Inventario]]*Tabla2[[#This Row],[Coste LÃ­nea]]</f>
        <v>41665.672268300004</v>
      </c>
      <c r="M5641" s="24">
        <f>+Tabla2[[#This Row],[Variación Stock]]*Tabla2[[#This Row],[Coste LÃ­nea]]</f>
        <v>0</v>
      </c>
      <c r="N5641" s="22" t="str">
        <f>+IF(Tabla2[[#This Row],[Variación Stock]]&gt;0,"Sobrante",IF(Tabla2[[#This Row],[Variación Stock]]&lt;0,"Faltante","Sin novedad"))</f>
        <v>Sin novedad</v>
      </c>
    </row>
    <row r="5642" spans="1:14" x14ac:dyDescent="0.25">
      <c r="A5642" s="11">
        <v>46065</v>
      </c>
      <c r="B5642" s="5" t="s">
        <v>1095</v>
      </c>
      <c r="C5642" s="3" t="s">
        <v>284</v>
      </c>
      <c r="D5642" s="5" t="s">
        <v>111</v>
      </c>
      <c r="E5642" s="5" t="s">
        <v>112</v>
      </c>
      <c r="F5642" s="6" t="s">
        <v>44</v>
      </c>
      <c r="G5642" s="4" t="s">
        <v>0</v>
      </c>
      <c r="H5642" s="25">
        <v>3500</v>
      </c>
      <c r="I5642" s="8">
        <v>7</v>
      </c>
      <c r="J5642" s="9">
        <v>8</v>
      </c>
      <c r="K5642" s="7">
        <v>1</v>
      </c>
      <c r="L5642" s="24">
        <f>+Tabla2[[#This Row],[Stock Inventario]]*Tabla2[[#This Row],[Coste LÃ­nea]]</f>
        <v>28000</v>
      </c>
      <c r="M5642" s="24">
        <f>+Tabla2[[#This Row],[Variación Stock]]*Tabla2[[#This Row],[Coste LÃ­nea]]</f>
        <v>3500</v>
      </c>
      <c r="N5642" s="22" t="str">
        <f>+IF(Tabla2[[#This Row],[Variación Stock]]&gt;0,"Sobrante",IF(Tabla2[[#This Row],[Variación Stock]]&lt;0,"Faltante","Sin novedad"))</f>
        <v>Sobrante</v>
      </c>
    </row>
    <row r="5643" spans="1:14" x14ac:dyDescent="0.25">
      <c r="A5643" s="11">
        <v>46065</v>
      </c>
      <c r="B5643" s="5" t="s">
        <v>1095</v>
      </c>
      <c r="C5643" s="3" t="s">
        <v>284</v>
      </c>
      <c r="D5643" s="5" t="s">
        <v>121</v>
      </c>
      <c r="E5643" s="5" t="s">
        <v>112</v>
      </c>
      <c r="F5643" s="6" t="s">
        <v>334</v>
      </c>
      <c r="G5643" s="4" t="s">
        <v>0</v>
      </c>
      <c r="H5643" s="25">
        <v>2164.9723335899998</v>
      </c>
      <c r="I5643" s="8">
        <v>66</v>
      </c>
      <c r="J5643" s="9">
        <v>66</v>
      </c>
      <c r="K5643" s="7">
        <v>0</v>
      </c>
      <c r="L5643" s="24">
        <f>+Tabla2[[#This Row],[Stock Inventario]]*Tabla2[[#This Row],[Coste LÃ­nea]]</f>
        <v>142888.17401694</v>
      </c>
      <c r="M5643" s="24">
        <f>+Tabla2[[#This Row],[Variación Stock]]*Tabla2[[#This Row],[Coste LÃ­nea]]</f>
        <v>0</v>
      </c>
      <c r="N5643" s="22" t="str">
        <f>+IF(Tabla2[[#This Row],[Variación Stock]]&gt;0,"Sobrante",IF(Tabla2[[#This Row],[Variación Stock]]&lt;0,"Faltante","Sin novedad"))</f>
        <v>Sin novedad</v>
      </c>
    </row>
    <row r="5644" spans="1:14" x14ac:dyDescent="0.25">
      <c r="A5644" s="11">
        <v>46065</v>
      </c>
      <c r="B5644" s="5" t="s">
        <v>1095</v>
      </c>
      <c r="C5644" s="3" t="s">
        <v>284</v>
      </c>
      <c r="D5644" s="5" t="s">
        <v>111</v>
      </c>
      <c r="E5644" s="5" t="s">
        <v>112</v>
      </c>
      <c r="F5644" s="6" t="s">
        <v>58</v>
      </c>
      <c r="G5644" s="4" t="s">
        <v>0</v>
      </c>
      <c r="H5644" s="25">
        <v>6303.25</v>
      </c>
      <c r="I5644" s="8">
        <v>22</v>
      </c>
      <c r="J5644" s="9">
        <v>29</v>
      </c>
      <c r="K5644" s="7">
        <v>7</v>
      </c>
      <c r="L5644" s="24">
        <f>+Tabla2[[#This Row],[Stock Inventario]]*Tabla2[[#This Row],[Coste LÃ­nea]]</f>
        <v>182794.25</v>
      </c>
      <c r="M5644" s="24">
        <f>+Tabla2[[#This Row],[Variación Stock]]*Tabla2[[#This Row],[Coste LÃ­nea]]</f>
        <v>44122.75</v>
      </c>
      <c r="N5644" s="22" t="str">
        <f>+IF(Tabla2[[#This Row],[Variación Stock]]&gt;0,"Sobrante",IF(Tabla2[[#This Row],[Variación Stock]]&lt;0,"Faltante","Sin novedad"))</f>
        <v>Sobrante</v>
      </c>
    </row>
    <row r="5645" spans="1:14" x14ac:dyDescent="0.25">
      <c r="A5645" s="11">
        <v>46065</v>
      </c>
      <c r="B5645" s="5" t="s">
        <v>1095</v>
      </c>
      <c r="C5645" s="3" t="s">
        <v>284</v>
      </c>
      <c r="D5645" s="5" t="s">
        <v>111</v>
      </c>
      <c r="E5645" s="5" t="s">
        <v>112</v>
      </c>
      <c r="F5645" s="6" t="s">
        <v>29</v>
      </c>
      <c r="G5645" s="4" t="s">
        <v>0</v>
      </c>
      <c r="H5645" s="25">
        <v>12951.25</v>
      </c>
      <c r="I5645" s="8">
        <v>7</v>
      </c>
      <c r="J5645" s="9">
        <v>7</v>
      </c>
      <c r="K5645" s="7">
        <v>0</v>
      </c>
      <c r="L5645" s="24">
        <f>+Tabla2[[#This Row],[Stock Inventario]]*Tabla2[[#This Row],[Coste LÃ­nea]]</f>
        <v>90658.75</v>
      </c>
      <c r="M5645" s="24">
        <f>+Tabla2[[#This Row],[Variación Stock]]*Tabla2[[#This Row],[Coste LÃ­nea]]</f>
        <v>0</v>
      </c>
      <c r="N5645" s="22" t="str">
        <f>+IF(Tabla2[[#This Row],[Variación Stock]]&gt;0,"Sobrante",IF(Tabla2[[#This Row],[Variación Stock]]&lt;0,"Faltante","Sin novedad"))</f>
        <v>Sin novedad</v>
      </c>
    </row>
    <row r="5646" spans="1:14" x14ac:dyDescent="0.25">
      <c r="A5646" s="11">
        <v>46065</v>
      </c>
      <c r="B5646" s="5" t="s">
        <v>1095</v>
      </c>
      <c r="C5646" s="3" t="s">
        <v>284</v>
      </c>
      <c r="D5646" s="5" t="s">
        <v>122</v>
      </c>
      <c r="E5646" s="5" t="s">
        <v>112</v>
      </c>
      <c r="F5646" s="6" t="s">
        <v>97</v>
      </c>
      <c r="G5646" s="4" t="s">
        <v>2</v>
      </c>
      <c r="H5646" s="25">
        <v>1234.3916666699999</v>
      </c>
      <c r="I5646" s="8">
        <v>85</v>
      </c>
      <c r="J5646" s="9">
        <v>86</v>
      </c>
      <c r="K5646" s="7">
        <v>1</v>
      </c>
      <c r="L5646" s="24">
        <f>+Tabla2[[#This Row],[Stock Inventario]]*Tabla2[[#This Row],[Coste LÃ­nea]]</f>
        <v>106157.68333361999</v>
      </c>
      <c r="M5646" s="24">
        <f>+Tabla2[[#This Row],[Variación Stock]]*Tabla2[[#This Row],[Coste LÃ­nea]]</f>
        <v>1234.3916666699999</v>
      </c>
      <c r="N5646" s="22" t="str">
        <f>+IF(Tabla2[[#This Row],[Variación Stock]]&gt;0,"Sobrante",IF(Tabla2[[#This Row],[Variación Stock]]&lt;0,"Faltante","Sin novedad"))</f>
        <v>Sobrante</v>
      </c>
    </row>
    <row r="5647" spans="1:14" hidden="1" x14ac:dyDescent="0.25">
      <c r="A5647" s="11">
        <v>46065</v>
      </c>
      <c r="B5647" s="5" t="s">
        <v>1095</v>
      </c>
      <c r="C5647" s="3" t="s">
        <v>284</v>
      </c>
      <c r="D5647" s="5" t="s">
        <v>119</v>
      </c>
      <c r="E5647" s="5" t="s">
        <v>117</v>
      </c>
      <c r="F5647" s="6" t="s">
        <v>14</v>
      </c>
      <c r="G5647" s="4" t="s">
        <v>1</v>
      </c>
      <c r="H5647" s="25">
        <v>33.499666670000003</v>
      </c>
      <c r="I5647" s="8">
        <v>24000</v>
      </c>
      <c r="J5647" s="9">
        <v>17560</v>
      </c>
      <c r="K5647" s="7">
        <v>-6440</v>
      </c>
      <c r="L5647" s="24">
        <f>+Tabla2[[#This Row],[Stock Inventario]]*Tabla2[[#This Row],[Coste LÃ­nea]]</f>
        <v>588254.14672520012</v>
      </c>
      <c r="M5647" s="24">
        <f>+Tabla2[[#This Row],[Variación Stock]]*Tabla2[[#This Row],[Coste LÃ­nea]]</f>
        <v>-215737.85335480003</v>
      </c>
      <c r="N5647" s="22" t="str">
        <f>+IF(Tabla2[[#This Row],[Variación Stock]]&gt;0,"Sobrante",IF(Tabla2[[#This Row],[Variación Stock]]&lt;0,"Faltante","Sin novedad"))</f>
        <v>Faltante</v>
      </c>
    </row>
    <row r="5648" spans="1:14" x14ac:dyDescent="0.25">
      <c r="A5648" s="11">
        <v>46065</v>
      </c>
      <c r="B5648" s="5" t="s">
        <v>1095</v>
      </c>
      <c r="C5648" s="3" t="s">
        <v>284</v>
      </c>
      <c r="D5648" s="5" t="s">
        <v>118</v>
      </c>
      <c r="E5648" s="5" t="s">
        <v>112</v>
      </c>
      <c r="F5648" s="6" t="s">
        <v>375</v>
      </c>
      <c r="G5648" s="4" t="s">
        <v>81</v>
      </c>
      <c r="H5648" s="25">
        <v>9701.1</v>
      </c>
      <c r="I5648" s="8">
        <v>19</v>
      </c>
      <c r="J5648" s="9">
        <v>9</v>
      </c>
      <c r="K5648" s="7">
        <v>-10</v>
      </c>
      <c r="L5648" s="24">
        <f>+Tabla2[[#This Row],[Stock Inventario]]*Tabla2[[#This Row],[Coste LÃ­nea]]</f>
        <v>87309.900000000009</v>
      </c>
      <c r="M5648" s="24">
        <f>+Tabla2[[#This Row],[Variación Stock]]*Tabla2[[#This Row],[Coste LÃ­nea]]</f>
        <v>-97011</v>
      </c>
      <c r="N5648" s="22" t="str">
        <f>+IF(Tabla2[[#This Row],[Variación Stock]]&gt;0,"Sobrante",IF(Tabla2[[#This Row],[Variación Stock]]&lt;0,"Faltante","Sin novedad"))</f>
        <v>Faltante</v>
      </c>
    </row>
    <row r="5649" spans="1:14" x14ac:dyDescent="0.25">
      <c r="A5649" s="11">
        <v>46065</v>
      </c>
      <c r="B5649" s="5" t="s">
        <v>1095</v>
      </c>
      <c r="C5649" s="3" t="s">
        <v>284</v>
      </c>
      <c r="D5649" s="5" t="s">
        <v>114</v>
      </c>
      <c r="E5649" s="5" t="s">
        <v>112</v>
      </c>
      <c r="F5649" s="6" t="s">
        <v>148</v>
      </c>
      <c r="G5649" s="4" t="s">
        <v>2</v>
      </c>
      <c r="H5649" s="25">
        <v>0</v>
      </c>
      <c r="I5649" s="8">
        <v>-1.71</v>
      </c>
      <c r="J5649" s="9">
        <v>0</v>
      </c>
      <c r="K5649" s="7">
        <v>1.71</v>
      </c>
      <c r="L5649" s="24">
        <f>+Tabla2[[#This Row],[Stock Inventario]]*Tabla2[[#This Row],[Coste LÃ­nea]]</f>
        <v>0</v>
      </c>
      <c r="M5649" s="24">
        <f>+Tabla2[[#This Row],[Variación Stock]]*Tabla2[[#This Row],[Coste LÃ­nea]]</f>
        <v>0</v>
      </c>
      <c r="N5649" s="22" t="str">
        <f>+IF(Tabla2[[#This Row],[Variación Stock]]&gt;0,"Sobrante",IF(Tabla2[[#This Row],[Variación Stock]]&lt;0,"Faltante","Sin novedad"))</f>
        <v>Sobrante</v>
      </c>
    </row>
    <row r="5650" spans="1:14" x14ac:dyDescent="0.25">
      <c r="A5650" s="11">
        <v>46065</v>
      </c>
      <c r="B5650" s="5" t="s">
        <v>1095</v>
      </c>
      <c r="C5650" s="3" t="s">
        <v>284</v>
      </c>
      <c r="D5650" s="5" t="s">
        <v>111</v>
      </c>
      <c r="E5650" s="5" t="s">
        <v>112</v>
      </c>
      <c r="F5650" s="6" t="s">
        <v>52</v>
      </c>
      <c r="G5650" s="4" t="s">
        <v>0</v>
      </c>
      <c r="H5650" s="25">
        <v>6850.05</v>
      </c>
      <c r="I5650" s="8">
        <v>6.34</v>
      </c>
      <c r="J5650" s="9">
        <v>6</v>
      </c>
      <c r="K5650" s="7">
        <v>-0.34</v>
      </c>
      <c r="L5650" s="24">
        <f>+Tabla2[[#This Row],[Stock Inventario]]*Tabla2[[#This Row],[Coste LÃ­nea]]</f>
        <v>41100.300000000003</v>
      </c>
      <c r="M5650" s="24">
        <f>+Tabla2[[#This Row],[Variación Stock]]*Tabla2[[#This Row],[Coste LÃ­nea]]</f>
        <v>-2329.0170000000003</v>
      </c>
      <c r="N5650" s="22" t="str">
        <f>+IF(Tabla2[[#This Row],[Variación Stock]]&gt;0,"Sobrante",IF(Tabla2[[#This Row],[Variación Stock]]&lt;0,"Faltante","Sin novedad"))</f>
        <v>Faltante</v>
      </c>
    </row>
    <row r="5651" spans="1:14" hidden="1" x14ac:dyDescent="0.25">
      <c r="A5651" s="11">
        <v>46065</v>
      </c>
      <c r="B5651" s="5" t="s">
        <v>1095</v>
      </c>
      <c r="C5651" s="3" t="s">
        <v>284</v>
      </c>
      <c r="D5651" s="5" t="s">
        <v>119</v>
      </c>
      <c r="E5651" s="5" t="s">
        <v>117</v>
      </c>
      <c r="F5651" s="6" t="s">
        <v>12</v>
      </c>
      <c r="G5651" s="4" t="s">
        <v>2</v>
      </c>
      <c r="H5651" s="25">
        <v>753.66666667000004</v>
      </c>
      <c r="I5651" s="8">
        <v>0</v>
      </c>
      <c r="J5651" s="9">
        <v>0</v>
      </c>
      <c r="K5651" s="7">
        <v>0</v>
      </c>
      <c r="L5651" s="24">
        <f>+Tabla2[[#This Row],[Stock Inventario]]*Tabla2[[#This Row],[Coste LÃ­nea]]</f>
        <v>0</v>
      </c>
      <c r="M5651" s="24">
        <f>+Tabla2[[#This Row],[Variación Stock]]*Tabla2[[#This Row],[Coste LÃ­nea]]</f>
        <v>0</v>
      </c>
      <c r="N5651" s="22" t="str">
        <f>+IF(Tabla2[[#This Row],[Variación Stock]]&gt;0,"Sobrante",IF(Tabla2[[#This Row],[Variación Stock]]&lt;0,"Faltante","Sin novedad"))</f>
        <v>Sin novedad</v>
      </c>
    </row>
    <row r="5652" spans="1:14" x14ac:dyDescent="0.25">
      <c r="A5652" s="11">
        <v>46065</v>
      </c>
      <c r="B5652" s="5" t="s">
        <v>1095</v>
      </c>
      <c r="C5652" s="3" t="s">
        <v>284</v>
      </c>
      <c r="D5652" s="5" t="s">
        <v>118</v>
      </c>
      <c r="E5652" s="5" t="s">
        <v>112</v>
      </c>
      <c r="F5652" s="6" t="s">
        <v>310</v>
      </c>
      <c r="G5652" s="4" t="s">
        <v>2</v>
      </c>
      <c r="H5652" s="25">
        <v>73956.022408999997</v>
      </c>
      <c r="I5652" s="8">
        <v>1</v>
      </c>
      <c r="J5652" s="9">
        <v>1</v>
      </c>
      <c r="K5652" s="7">
        <v>0</v>
      </c>
      <c r="L5652" s="24">
        <f>+Tabla2[[#This Row],[Stock Inventario]]*Tabla2[[#This Row],[Coste LÃ­nea]]</f>
        <v>73956.022408999997</v>
      </c>
      <c r="M5652" s="24">
        <f>+Tabla2[[#This Row],[Variación Stock]]*Tabla2[[#This Row],[Coste LÃ­nea]]</f>
        <v>0</v>
      </c>
      <c r="N5652" s="22" t="str">
        <f>+IF(Tabla2[[#This Row],[Variación Stock]]&gt;0,"Sobrante",IF(Tabla2[[#This Row],[Variación Stock]]&lt;0,"Faltante","Sin novedad"))</f>
        <v>Sin novedad</v>
      </c>
    </row>
    <row r="5653" spans="1:14" x14ac:dyDescent="0.25">
      <c r="A5653" s="11">
        <v>46065</v>
      </c>
      <c r="B5653" s="5" t="s">
        <v>1095</v>
      </c>
      <c r="C5653" s="3" t="s">
        <v>284</v>
      </c>
      <c r="D5653" s="5" t="s">
        <v>115</v>
      </c>
      <c r="E5653" s="5" t="s">
        <v>112</v>
      </c>
      <c r="F5653" s="6" t="s">
        <v>291</v>
      </c>
      <c r="G5653" s="4" t="s">
        <v>2</v>
      </c>
      <c r="H5653" s="25">
        <v>4102.8666666700001</v>
      </c>
      <c r="I5653" s="8">
        <v>29</v>
      </c>
      <c r="J5653" s="9">
        <v>29</v>
      </c>
      <c r="K5653" s="7">
        <v>0</v>
      </c>
      <c r="L5653" s="24">
        <f>+Tabla2[[#This Row],[Stock Inventario]]*Tabla2[[#This Row],[Coste LÃ­nea]]</f>
        <v>118983.13333343</v>
      </c>
      <c r="M5653" s="24">
        <f>+Tabla2[[#This Row],[Variación Stock]]*Tabla2[[#This Row],[Coste LÃ­nea]]</f>
        <v>0</v>
      </c>
      <c r="N5653" s="22" t="str">
        <f>+IF(Tabla2[[#This Row],[Variación Stock]]&gt;0,"Sobrante",IF(Tabla2[[#This Row],[Variación Stock]]&lt;0,"Faltante","Sin novedad"))</f>
        <v>Sin novedad</v>
      </c>
    </row>
    <row r="5654" spans="1:14" x14ac:dyDescent="0.25">
      <c r="A5654" s="11">
        <v>46065</v>
      </c>
      <c r="B5654" s="5" t="s">
        <v>1095</v>
      </c>
      <c r="C5654" s="3" t="s">
        <v>284</v>
      </c>
      <c r="D5654" s="5" t="s">
        <v>111</v>
      </c>
      <c r="E5654" s="5" t="s">
        <v>112</v>
      </c>
      <c r="F5654" s="6" t="s">
        <v>35</v>
      </c>
      <c r="G5654" s="4" t="s">
        <v>0</v>
      </c>
      <c r="H5654" s="25">
        <v>6045.125</v>
      </c>
      <c r="I5654" s="8">
        <v>11</v>
      </c>
      <c r="J5654" s="9">
        <v>12</v>
      </c>
      <c r="K5654" s="7">
        <v>1</v>
      </c>
      <c r="L5654" s="24">
        <f>+Tabla2[[#This Row],[Stock Inventario]]*Tabla2[[#This Row],[Coste LÃ­nea]]</f>
        <v>72541.5</v>
      </c>
      <c r="M5654" s="24">
        <f>+Tabla2[[#This Row],[Variación Stock]]*Tabla2[[#This Row],[Coste LÃ­nea]]</f>
        <v>6045.125</v>
      </c>
      <c r="N5654" s="22" t="str">
        <f>+IF(Tabla2[[#This Row],[Variación Stock]]&gt;0,"Sobrante",IF(Tabla2[[#This Row],[Variación Stock]]&lt;0,"Faltante","Sin novedad"))</f>
        <v>Sobrante</v>
      </c>
    </row>
    <row r="5655" spans="1:14" hidden="1" x14ac:dyDescent="0.25">
      <c r="A5655" s="11">
        <v>46065</v>
      </c>
      <c r="B5655" s="5" t="s">
        <v>1095</v>
      </c>
      <c r="C5655" s="3" t="s">
        <v>284</v>
      </c>
      <c r="D5655" s="5" t="s">
        <v>323</v>
      </c>
      <c r="E5655" s="5" t="s">
        <v>117</v>
      </c>
      <c r="F5655" s="6" t="s">
        <v>326</v>
      </c>
      <c r="G5655" s="4" t="s">
        <v>1</v>
      </c>
      <c r="H5655" s="25">
        <v>23.33687085</v>
      </c>
      <c r="I5655" s="8">
        <v>20767</v>
      </c>
      <c r="J5655" s="9">
        <v>13000</v>
      </c>
      <c r="K5655" s="7">
        <v>-7767</v>
      </c>
      <c r="L5655" s="24">
        <f>+Tabla2[[#This Row],[Stock Inventario]]*Tabla2[[#This Row],[Coste LÃ­nea]]</f>
        <v>303379.32105000003</v>
      </c>
      <c r="M5655" s="24">
        <f>+Tabla2[[#This Row],[Variación Stock]]*Tabla2[[#This Row],[Coste LÃ­nea]]</f>
        <v>-181257.47589195002</v>
      </c>
      <c r="N5655" s="22" t="str">
        <f>+IF(Tabla2[[#This Row],[Variación Stock]]&gt;0,"Sobrante",IF(Tabla2[[#This Row],[Variación Stock]]&lt;0,"Faltante","Sin novedad"))</f>
        <v>Faltante</v>
      </c>
    </row>
    <row r="5656" spans="1:14" x14ac:dyDescent="0.25">
      <c r="A5656" s="11">
        <v>46065</v>
      </c>
      <c r="B5656" s="5" t="s">
        <v>1095</v>
      </c>
      <c r="C5656" s="3" t="s">
        <v>284</v>
      </c>
      <c r="D5656" s="5" t="s">
        <v>118</v>
      </c>
      <c r="E5656" s="5" t="s">
        <v>112</v>
      </c>
      <c r="F5656" s="6" t="s">
        <v>304</v>
      </c>
      <c r="G5656" s="4" t="s">
        <v>2</v>
      </c>
      <c r="H5656" s="25">
        <v>34240.5</v>
      </c>
      <c r="I5656" s="8">
        <v>5</v>
      </c>
      <c r="J5656" s="9">
        <v>5</v>
      </c>
      <c r="K5656" s="7">
        <v>0</v>
      </c>
      <c r="L5656" s="24">
        <f>+Tabla2[[#This Row],[Stock Inventario]]*Tabla2[[#This Row],[Coste LÃ­nea]]</f>
        <v>171202.5</v>
      </c>
      <c r="M5656" s="24">
        <f>+Tabla2[[#This Row],[Variación Stock]]*Tabla2[[#This Row],[Coste LÃ­nea]]</f>
        <v>0</v>
      </c>
      <c r="N5656" s="22" t="str">
        <f>+IF(Tabla2[[#This Row],[Variación Stock]]&gt;0,"Sobrante",IF(Tabla2[[#This Row],[Variación Stock]]&lt;0,"Faltante","Sin novedad"))</f>
        <v>Sin novedad</v>
      </c>
    </row>
    <row r="5657" spans="1:14" x14ac:dyDescent="0.25">
      <c r="A5657" s="11">
        <v>46065</v>
      </c>
      <c r="B5657" s="5" t="s">
        <v>1095</v>
      </c>
      <c r="C5657" s="3" t="s">
        <v>284</v>
      </c>
      <c r="D5657" s="5" t="s">
        <v>114</v>
      </c>
      <c r="E5657" s="5" t="s">
        <v>112</v>
      </c>
      <c r="F5657" s="6" t="s">
        <v>373</v>
      </c>
      <c r="G5657" s="4" t="s">
        <v>2</v>
      </c>
      <c r="H5657" s="25">
        <v>2120.83</v>
      </c>
      <c r="I5657" s="8">
        <v>0</v>
      </c>
      <c r="J5657" s="9">
        <v>0</v>
      </c>
      <c r="K5657" s="7">
        <v>0</v>
      </c>
      <c r="L5657" s="24">
        <f>+Tabla2[[#This Row],[Stock Inventario]]*Tabla2[[#This Row],[Coste LÃ­nea]]</f>
        <v>0</v>
      </c>
      <c r="M5657" s="24">
        <f>+Tabla2[[#This Row],[Variación Stock]]*Tabla2[[#This Row],[Coste LÃ­nea]]</f>
        <v>0</v>
      </c>
      <c r="N5657" s="22" t="str">
        <f>+IF(Tabla2[[#This Row],[Variación Stock]]&gt;0,"Sobrante",IF(Tabla2[[#This Row],[Variación Stock]]&lt;0,"Faltante","Sin novedad"))</f>
        <v>Sin novedad</v>
      </c>
    </row>
    <row r="5658" spans="1:14" x14ac:dyDescent="0.25">
      <c r="A5658" s="11">
        <v>46065</v>
      </c>
      <c r="B5658" s="5" t="s">
        <v>1095</v>
      </c>
      <c r="C5658" s="3" t="s">
        <v>284</v>
      </c>
      <c r="D5658" s="5" t="s">
        <v>111</v>
      </c>
      <c r="E5658" s="5" t="s">
        <v>112</v>
      </c>
      <c r="F5658" s="6" t="s">
        <v>20</v>
      </c>
      <c r="G5658" s="4" t="s">
        <v>0</v>
      </c>
      <c r="H5658" s="25">
        <v>6813.3636363599999</v>
      </c>
      <c r="I5658" s="8">
        <v>5.67</v>
      </c>
      <c r="J5658" s="9">
        <v>9</v>
      </c>
      <c r="K5658" s="7">
        <v>3.33</v>
      </c>
      <c r="L5658" s="24">
        <f>+Tabla2[[#This Row],[Stock Inventario]]*Tabla2[[#This Row],[Coste LÃ­nea]]</f>
        <v>61320.272727240001</v>
      </c>
      <c r="M5658" s="24">
        <f>+Tabla2[[#This Row],[Variación Stock]]*Tabla2[[#This Row],[Coste LÃ­nea]]</f>
        <v>22688.500909078801</v>
      </c>
      <c r="N5658" s="22" t="str">
        <f>+IF(Tabla2[[#This Row],[Variación Stock]]&gt;0,"Sobrante",IF(Tabla2[[#This Row],[Variación Stock]]&lt;0,"Faltante","Sin novedad"))</f>
        <v>Sobrante</v>
      </c>
    </row>
    <row r="5659" spans="1:14" x14ac:dyDescent="0.25">
      <c r="A5659" s="11">
        <v>46065</v>
      </c>
      <c r="B5659" s="5" t="s">
        <v>1095</v>
      </c>
      <c r="C5659" s="3" t="s">
        <v>284</v>
      </c>
      <c r="D5659" s="5" t="s">
        <v>111</v>
      </c>
      <c r="E5659" s="5" t="s">
        <v>112</v>
      </c>
      <c r="F5659" s="6" t="s">
        <v>130</v>
      </c>
      <c r="G5659" s="4" t="s">
        <v>0</v>
      </c>
      <c r="H5659" s="25">
        <v>0</v>
      </c>
      <c r="I5659" s="8">
        <v>0</v>
      </c>
      <c r="J5659" s="9">
        <v>0</v>
      </c>
      <c r="K5659" s="7">
        <v>0</v>
      </c>
      <c r="L5659" s="24">
        <f>+Tabla2[[#This Row],[Stock Inventario]]*Tabla2[[#This Row],[Coste LÃ­nea]]</f>
        <v>0</v>
      </c>
      <c r="M5659" s="24">
        <f>+Tabla2[[#This Row],[Variación Stock]]*Tabla2[[#This Row],[Coste LÃ­nea]]</f>
        <v>0</v>
      </c>
      <c r="N5659" s="22" t="str">
        <f>+IF(Tabla2[[#This Row],[Variación Stock]]&gt;0,"Sobrante",IF(Tabla2[[#This Row],[Variación Stock]]&lt;0,"Faltante","Sin novedad"))</f>
        <v>Sin novedad</v>
      </c>
    </row>
    <row r="5660" spans="1:14" x14ac:dyDescent="0.25">
      <c r="A5660" s="11">
        <v>46065</v>
      </c>
      <c r="B5660" s="5" t="s">
        <v>1095</v>
      </c>
      <c r="C5660" s="3" t="s">
        <v>284</v>
      </c>
      <c r="D5660" s="5" t="s">
        <v>118</v>
      </c>
      <c r="E5660" s="5" t="s">
        <v>112</v>
      </c>
      <c r="F5660" s="6" t="s">
        <v>370</v>
      </c>
      <c r="G5660" s="4" t="s">
        <v>0</v>
      </c>
      <c r="H5660" s="25">
        <v>2902.8333333300002</v>
      </c>
      <c r="I5660" s="8">
        <v>23</v>
      </c>
      <c r="J5660" s="9">
        <v>24</v>
      </c>
      <c r="K5660" s="7">
        <v>1</v>
      </c>
      <c r="L5660" s="24">
        <f>+Tabla2[[#This Row],[Stock Inventario]]*Tabla2[[#This Row],[Coste LÃ­nea]]</f>
        <v>69667.999999920008</v>
      </c>
      <c r="M5660" s="24">
        <f>+Tabla2[[#This Row],[Variación Stock]]*Tabla2[[#This Row],[Coste LÃ­nea]]</f>
        <v>2902.8333333300002</v>
      </c>
      <c r="N5660" s="22" t="str">
        <f>+IF(Tabla2[[#This Row],[Variación Stock]]&gt;0,"Sobrante",IF(Tabla2[[#This Row],[Variación Stock]]&lt;0,"Faltante","Sin novedad"))</f>
        <v>Sobrante</v>
      </c>
    </row>
    <row r="5661" spans="1:14" x14ac:dyDescent="0.25">
      <c r="A5661" s="11">
        <v>46065</v>
      </c>
      <c r="B5661" s="5" t="s">
        <v>1095</v>
      </c>
      <c r="C5661" s="3" t="s">
        <v>284</v>
      </c>
      <c r="D5661" s="5" t="s">
        <v>122</v>
      </c>
      <c r="E5661" s="5" t="s">
        <v>112</v>
      </c>
      <c r="F5661" s="6" t="s">
        <v>107</v>
      </c>
      <c r="G5661" s="4" t="s">
        <v>2</v>
      </c>
      <c r="H5661" s="25">
        <v>3458.3333333300002</v>
      </c>
      <c r="I5661" s="8">
        <v>8</v>
      </c>
      <c r="J5661" s="9">
        <v>8</v>
      </c>
      <c r="K5661" s="7">
        <v>0</v>
      </c>
      <c r="L5661" s="24">
        <f>+Tabla2[[#This Row],[Stock Inventario]]*Tabla2[[#This Row],[Coste LÃ­nea]]</f>
        <v>27666.666666640001</v>
      </c>
      <c r="M5661" s="24">
        <f>+Tabla2[[#This Row],[Variación Stock]]*Tabla2[[#This Row],[Coste LÃ­nea]]</f>
        <v>0</v>
      </c>
      <c r="N5661" s="22" t="str">
        <f>+IF(Tabla2[[#This Row],[Variación Stock]]&gt;0,"Sobrante",IF(Tabla2[[#This Row],[Variación Stock]]&lt;0,"Faltante","Sin novedad"))</f>
        <v>Sin novedad</v>
      </c>
    </row>
    <row r="5662" spans="1:14" x14ac:dyDescent="0.25">
      <c r="A5662" s="11">
        <v>46065</v>
      </c>
      <c r="B5662" s="5" t="s">
        <v>1095</v>
      </c>
      <c r="C5662" s="3" t="s">
        <v>284</v>
      </c>
      <c r="D5662" s="5" t="s">
        <v>114</v>
      </c>
      <c r="E5662" s="5" t="s">
        <v>112</v>
      </c>
      <c r="F5662" s="6" t="s">
        <v>63</v>
      </c>
      <c r="G5662" s="4" t="s">
        <v>2</v>
      </c>
      <c r="H5662" s="25">
        <v>1395.83333333</v>
      </c>
      <c r="I5662" s="8">
        <v>19</v>
      </c>
      <c r="J5662" s="9">
        <v>19</v>
      </c>
      <c r="K5662" s="7">
        <v>0</v>
      </c>
      <c r="L5662" s="24">
        <f>+Tabla2[[#This Row],[Stock Inventario]]*Tabla2[[#This Row],[Coste LÃ­nea]]</f>
        <v>26520.833333269999</v>
      </c>
      <c r="M5662" s="24">
        <f>+Tabla2[[#This Row],[Variación Stock]]*Tabla2[[#This Row],[Coste LÃ­nea]]</f>
        <v>0</v>
      </c>
      <c r="N5662" s="22" t="str">
        <f>+IF(Tabla2[[#This Row],[Variación Stock]]&gt;0,"Sobrante",IF(Tabla2[[#This Row],[Variación Stock]]&lt;0,"Faltante","Sin novedad"))</f>
        <v>Sin novedad</v>
      </c>
    </row>
    <row r="5663" spans="1:14" x14ac:dyDescent="0.25">
      <c r="A5663" s="11">
        <v>46065</v>
      </c>
      <c r="B5663" s="5" t="s">
        <v>1095</v>
      </c>
      <c r="C5663" s="3" t="s">
        <v>284</v>
      </c>
      <c r="D5663" s="5" t="s">
        <v>121</v>
      </c>
      <c r="E5663" s="5" t="s">
        <v>112</v>
      </c>
      <c r="F5663" s="6" t="s">
        <v>332</v>
      </c>
      <c r="G5663" s="4" t="s">
        <v>0</v>
      </c>
      <c r="H5663" s="25">
        <v>3245.5439533700001</v>
      </c>
      <c r="I5663" s="8">
        <v>20</v>
      </c>
      <c r="J5663" s="9">
        <v>22</v>
      </c>
      <c r="K5663" s="7">
        <v>2</v>
      </c>
      <c r="L5663" s="24">
        <f>+Tabla2[[#This Row],[Stock Inventario]]*Tabla2[[#This Row],[Coste LÃ­nea]]</f>
        <v>71401.966974139999</v>
      </c>
      <c r="M5663" s="24">
        <f>+Tabla2[[#This Row],[Variación Stock]]*Tabla2[[#This Row],[Coste LÃ­nea]]</f>
        <v>6491.0879067400001</v>
      </c>
      <c r="N5663" s="22" t="str">
        <f>+IF(Tabla2[[#This Row],[Variación Stock]]&gt;0,"Sobrante",IF(Tabla2[[#This Row],[Variación Stock]]&lt;0,"Faltante","Sin novedad"))</f>
        <v>Sobrante</v>
      </c>
    </row>
    <row r="5664" spans="1:14" x14ac:dyDescent="0.25">
      <c r="A5664" s="11">
        <v>46065</v>
      </c>
      <c r="B5664" s="5" t="s">
        <v>1095</v>
      </c>
      <c r="C5664" s="3" t="s">
        <v>284</v>
      </c>
      <c r="D5664" s="5" t="s">
        <v>118</v>
      </c>
      <c r="E5664" s="5" t="s">
        <v>112</v>
      </c>
      <c r="F5664" s="6" t="s">
        <v>92</v>
      </c>
      <c r="G5664" s="4" t="s">
        <v>81</v>
      </c>
      <c r="H5664" s="25">
        <v>9700</v>
      </c>
      <c r="I5664" s="8">
        <v>30</v>
      </c>
      <c r="J5664" s="9">
        <v>30</v>
      </c>
      <c r="K5664" s="7">
        <v>0</v>
      </c>
      <c r="L5664" s="24">
        <f>+Tabla2[[#This Row],[Stock Inventario]]*Tabla2[[#This Row],[Coste LÃ­nea]]</f>
        <v>291000</v>
      </c>
      <c r="M5664" s="24">
        <f>+Tabla2[[#This Row],[Variación Stock]]*Tabla2[[#This Row],[Coste LÃ­nea]]</f>
        <v>0</v>
      </c>
      <c r="N5664" s="22" t="str">
        <f>+IF(Tabla2[[#This Row],[Variación Stock]]&gt;0,"Sobrante",IF(Tabla2[[#This Row],[Variación Stock]]&lt;0,"Faltante","Sin novedad"))</f>
        <v>Sin novedad</v>
      </c>
    </row>
    <row r="5665" spans="1:14" x14ac:dyDescent="0.25">
      <c r="A5665" s="11">
        <v>46065</v>
      </c>
      <c r="B5665" s="5" t="s">
        <v>1095</v>
      </c>
      <c r="C5665" s="3" t="s">
        <v>284</v>
      </c>
      <c r="D5665" s="5" t="s">
        <v>111</v>
      </c>
      <c r="E5665" s="5" t="s">
        <v>112</v>
      </c>
      <c r="F5665" s="6" t="s">
        <v>28</v>
      </c>
      <c r="G5665" s="4" t="s">
        <v>2</v>
      </c>
      <c r="H5665" s="25">
        <v>93956</v>
      </c>
      <c r="I5665" s="8">
        <v>1</v>
      </c>
      <c r="J5665" s="9">
        <v>1</v>
      </c>
      <c r="K5665" s="7">
        <v>0</v>
      </c>
      <c r="L5665" s="24">
        <f>+Tabla2[[#This Row],[Stock Inventario]]*Tabla2[[#This Row],[Coste LÃ­nea]]</f>
        <v>93956</v>
      </c>
      <c r="M5665" s="24">
        <f>+Tabla2[[#This Row],[Variación Stock]]*Tabla2[[#This Row],[Coste LÃ­nea]]</f>
        <v>0</v>
      </c>
      <c r="N5665" s="22" t="str">
        <f>+IF(Tabla2[[#This Row],[Variación Stock]]&gt;0,"Sobrante",IF(Tabla2[[#This Row],[Variación Stock]]&lt;0,"Faltante","Sin novedad"))</f>
        <v>Sin novedad</v>
      </c>
    </row>
    <row r="5666" spans="1:14" x14ac:dyDescent="0.25">
      <c r="A5666" s="11">
        <v>46065</v>
      </c>
      <c r="B5666" s="5" t="s">
        <v>1095</v>
      </c>
      <c r="C5666" s="3" t="s">
        <v>284</v>
      </c>
      <c r="D5666" s="5" t="s">
        <v>111</v>
      </c>
      <c r="E5666" s="5" t="s">
        <v>112</v>
      </c>
      <c r="F5666" s="6" t="s">
        <v>54</v>
      </c>
      <c r="G5666" s="4" t="s">
        <v>0</v>
      </c>
      <c r="H5666" s="25">
        <v>0</v>
      </c>
      <c r="I5666" s="8">
        <v>3</v>
      </c>
      <c r="J5666" s="9">
        <v>3</v>
      </c>
      <c r="K5666" s="7">
        <v>0</v>
      </c>
      <c r="L5666" s="24">
        <f>+Tabla2[[#This Row],[Stock Inventario]]*Tabla2[[#This Row],[Coste LÃ­nea]]</f>
        <v>0</v>
      </c>
      <c r="M5666" s="24">
        <f>+Tabla2[[#This Row],[Variación Stock]]*Tabla2[[#This Row],[Coste LÃ­nea]]</f>
        <v>0</v>
      </c>
      <c r="N5666" s="22" t="str">
        <f>+IF(Tabla2[[#This Row],[Variación Stock]]&gt;0,"Sobrante",IF(Tabla2[[#This Row],[Variación Stock]]&lt;0,"Faltante","Sin novedad"))</f>
        <v>Sin novedad</v>
      </c>
    </row>
    <row r="5667" spans="1:14" x14ac:dyDescent="0.25">
      <c r="A5667" s="11">
        <v>46065</v>
      </c>
      <c r="B5667" s="5" t="s">
        <v>1095</v>
      </c>
      <c r="C5667" s="3" t="s">
        <v>284</v>
      </c>
      <c r="D5667" s="5" t="s">
        <v>122</v>
      </c>
      <c r="E5667" s="5" t="s">
        <v>112</v>
      </c>
      <c r="F5667" s="6" t="s">
        <v>100</v>
      </c>
      <c r="G5667" s="4" t="s">
        <v>2</v>
      </c>
      <c r="H5667" s="25">
        <v>7857</v>
      </c>
      <c r="I5667" s="8">
        <v>21</v>
      </c>
      <c r="J5667" s="9">
        <v>21</v>
      </c>
      <c r="K5667" s="7">
        <v>0</v>
      </c>
      <c r="L5667" s="24">
        <f>+Tabla2[[#This Row],[Stock Inventario]]*Tabla2[[#This Row],[Coste LÃ­nea]]</f>
        <v>164997</v>
      </c>
      <c r="M5667" s="24">
        <f>+Tabla2[[#This Row],[Variación Stock]]*Tabla2[[#This Row],[Coste LÃ­nea]]</f>
        <v>0</v>
      </c>
      <c r="N5667" s="22" t="str">
        <f>+IF(Tabla2[[#This Row],[Variación Stock]]&gt;0,"Sobrante",IF(Tabla2[[#This Row],[Variación Stock]]&lt;0,"Faltante","Sin novedad"))</f>
        <v>Sin novedad</v>
      </c>
    </row>
    <row r="5668" spans="1:14" x14ac:dyDescent="0.25">
      <c r="A5668" s="11">
        <v>46065</v>
      </c>
      <c r="B5668" s="5" t="s">
        <v>1095</v>
      </c>
      <c r="C5668" s="3" t="s">
        <v>284</v>
      </c>
      <c r="D5668" s="5" t="s">
        <v>118</v>
      </c>
      <c r="E5668" s="5" t="s">
        <v>112</v>
      </c>
      <c r="F5668" s="6" t="s">
        <v>89</v>
      </c>
      <c r="G5668" s="4" t="s">
        <v>81</v>
      </c>
      <c r="H5668" s="25">
        <v>4002.6</v>
      </c>
      <c r="I5668" s="8">
        <v>28</v>
      </c>
      <c r="J5668" s="9">
        <v>28</v>
      </c>
      <c r="K5668" s="7">
        <v>0</v>
      </c>
      <c r="L5668" s="24">
        <f>+Tabla2[[#This Row],[Stock Inventario]]*Tabla2[[#This Row],[Coste LÃ­nea]]</f>
        <v>112072.8</v>
      </c>
      <c r="M5668" s="24">
        <f>+Tabla2[[#This Row],[Variación Stock]]*Tabla2[[#This Row],[Coste LÃ­nea]]</f>
        <v>0</v>
      </c>
      <c r="N5668" s="22" t="str">
        <f>+IF(Tabla2[[#This Row],[Variación Stock]]&gt;0,"Sobrante",IF(Tabla2[[#This Row],[Variación Stock]]&lt;0,"Faltante","Sin novedad"))</f>
        <v>Sin novedad</v>
      </c>
    </row>
    <row r="5669" spans="1:14" x14ac:dyDescent="0.25">
      <c r="A5669" s="11">
        <v>46065</v>
      </c>
      <c r="B5669" s="5" t="s">
        <v>1095</v>
      </c>
      <c r="C5669" s="3" t="s">
        <v>284</v>
      </c>
      <c r="D5669" s="5" t="s">
        <v>114</v>
      </c>
      <c r="E5669" s="5" t="s">
        <v>112</v>
      </c>
      <c r="F5669" s="6" t="s">
        <v>62</v>
      </c>
      <c r="G5669" s="4" t="s">
        <v>2</v>
      </c>
      <c r="H5669" s="25">
        <v>1816.8243405000001</v>
      </c>
      <c r="I5669" s="8">
        <v>40.96</v>
      </c>
      <c r="J5669" s="9">
        <v>27</v>
      </c>
      <c r="K5669" s="7">
        <v>-13.96</v>
      </c>
      <c r="L5669" s="24">
        <f>+Tabla2[[#This Row],[Stock Inventario]]*Tabla2[[#This Row],[Coste LÃ­nea]]</f>
        <v>49054.257193500001</v>
      </c>
      <c r="M5669" s="24">
        <f>+Tabla2[[#This Row],[Variación Stock]]*Tabla2[[#This Row],[Coste LÃ­nea]]</f>
        <v>-25362.867793380003</v>
      </c>
      <c r="N5669" s="22" t="str">
        <f>+IF(Tabla2[[#This Row],[Variación Stock]]&gt;0,"Sobrante",IF(Tabla2[[#This Row],[Variación Stock]]&lt;0,"Faltante","Sin novedad"))</f>
        <v>Faltante</v>
      </c>
    </row>
    <row r="5670" spans="1:14" x14ac:dyDescent="0.25">
      <c r="A5670" s="11">
        <v>46065</v>
      </c>
      <c r="B5670" s="5" t="s">
        <v>1095</v>
      </c>
      <c r="C5670" s="3" t="s">
        <v>284</v>
      </c>
      <c r="D5670" s="5" t="s">
        <v>111</v>
      </c>
      <c r="E5670" s="5" t="s">
        <v>112</v>
      </c>
      <c r="F5670" s="6" t="s">
        <v>51</v>
      </c>
      <c r="G5670" s="4" t="s">
        <v>0</v>
      </c>
      <c r="H5670" s="25">
        <v>9796.6363636400001</v>
      </c>
      <c r="I5670" s="8">
        <v>18.68</v>
      </c>
      <c r="J5670" s="9">
        <v>31</v>
      </c>
      <c r="K5670" s="7">
        <v>12.32</v>
      </c>
      <c r="L5670" s="24">
        <f>+Tabla2[[#This Row],[Stock Inventario]]*Tabla2[[#This Row],[Coste LÃ­nea]]</f>
        <v>303695.72727283998</v>
      </c>
      <c r="M5670" s="24">
        <f>+Tabla2[[#This Row],[Variación Stock]]*Tabla2[[#This Row],[Coste LÃ­nea]]</f>
        <v>120694.5600000448</v>
      </c>
      <c r="N5670" s="22" t="str">
        <f>+IF(Tabla2[[#This Row],[Variación Stock]]&gt;0,"Sobrante",IF(Tabla2[[#This Row],[Variación Stock]]&lt;0,"Faltante","Sin novedad"))</f>
        <v>Sobrante</v>
      </c>
    </row>
    <row r="5671" spans="1:14" x14ac:dyDescent="0.25">
      <c r="A5671" s="11">
        <v>46065</v>
      </c>
      <c r="B5671" s="5" t="s">
        <v>1095</v>
      </c>
      <c r="C5671" s="3" t="s">
        <v>284</v>
      </c>
      <c r="D5671" s="5" t="s">
        <v>118</v>
      </c>
      <c r="E5671" s="5" t="s">
        <v>112</v>
      </c>
      <c r="F5671" s="6" t="s">
        <v>298</v>
      </c>
      <c r="G5671" s="4" t="s">
        <v>2</v>
      </c>
      <c r="H5671" s="25">
        <v>63897.666666669997</v>
      </c>
      <c r="I5671" s="8">
        <v>1</v>
      </c>
      <c r="J5671" s="9">
        <v>1</v>
      </c>
      <c r="K5671" s="7">
        <v>0</v>
      </c>
      <c r="L5671" s="24">
        <f>+Tabla2[[#This Row],[Stock Inventario]]*Tabla2[[#This Row],[Coste LÃ­nea]]</f>
        <v>63897.666666669997</v>
      </c>
      <c r="M5671" s="24">
        <f>+Tabla2[[#This Row],[Variación Stock]]*Tabla2[[#This Row],[Coste LÃ­nea]]</f>
        <v>0</v>
      </c>
      <c r="N5671" s="22" t="str">
        <f>+IF(Tabla2[[#This Row],[Variación Stock]]&gt;0,"Sobrante",IF(Tabla2[[#This Row],[Variación Stock]]&lt;0,"Faltante","Sin novedad"))</f>
        <v>Sin novedad</v>
      </c>
    </row>
    <row r="5672" spans="1:14" x14ac:dyDescent="0.25">
      <c r="A5672" s="11">
        <v>46065</v>
      </c>
      <c r="B5672" s="5" t="s">
        <v>1095</v>
      </c>
      <c r="C5672" s="3" t="s">
        <v>284</v>
      </c>
      <c r="D5672" s="5" t="s">
        <v>115</v>
      </c>
      <c r="E5672" s="5" t="s">
        <v>112</v>
      </c>
      <c r="F5672" s="6" t="s">
        <v>77</v>
      </c>
      <c r="G5672" s="4" t="s">
        <v>2</v>
      </c>
      <c r="H5672" s="25">
        <v>2773.5</v>
      </c>
      <c r="I5672" s="8">
        <v>16</v>
      </c>
      <c r="J5672" s="9">
        <v>16</v>
      </c>
      <c r="K5672" s="7">
        <v>0</v>
      </c>
      <c r="L5672" s="24">
        <f>+Tabla2[[#This Row],[Stock Inventario]]*Tabla2[[#This Row],[Coste LÃ­nea]]</f>
        <v>44376</v>
      </c>
      <c r="M5672" s="24">
        <f>+Tabla2[[#This Row],[Variación Stock]]*Tabla2[[#This Row],[Coste LÃ­nea]]</f>
        <v>0</v>
      </c>
      <c r="N5672" s="22" t="str">
        <f>+IF(Tabla2[[#This Row],[Variación Stock]]&gt;0,"Sobrante",IF(Tabla2[[#This Row],[Variación Stock]]&lt;0,"Faltante","Sin novedad"))</f>
        <v>Sin novedad</v>
      </c>
    </row>
    <row r="5673" spans="1:14" x14ac:dyDescent="0.25">
      <c r="A5673" s="11">
        <v>46065</v>
      </c>
      <c r="B5673" s="5" t="s">
        <v>1095</v>
      </c>
      <c r="C5673" s="3" t="s">
        <v>284</v>
      </c>
      <c r="D5673" s="5" t="s">
        <v>111</v>
      </c>
      <c r="E5673" s="5" t="s">
        <v>112</v>
      </c>
      <c r="F5673" s="6" t="s">
        <v>49</v>
      </c>
      <c r="G5673" s="4" t="s">
        <v>2</v>
      </c>
      <c r="H5673" s="25">
        <v>21478</v>
      </c>
      <c r="I5673" s="8">
        <v>2</v>
      </c>
      <c r="J5673" s="9">
        <v>2</v>
      </c>
      <c r="K5673" s="7">
        <v>0</v>
      </c>
      <c r="L5673" s="24">
        <f>+Tabla2[[#This Row],[Stock Inventario]]*Tabla2[[#This Row],[Coste LÃ­nea]]</f>
        <v>42956</v>
      </c>
      <c r="M5673" s="24">
        <f>+Tabla2[[#This Row],[Variación Stock]]*Tabla2[[#This Row],[Coste LÃ­nea]]</f>
        <v>0</v>
      </c>
      <c r="N5673" s="22" t="str">
        <f>+IF(Tabla2[[#This Row],[Variación Stock]]&gt;0,"Sobrante",IF(Tabla2[[#This Row],[Variación Stock]]&lt;0,"Faltante","Sin novedad"))</f>
        <v>Sin novedad</v>
      </c>
    </row>
    <row r="5674" spans="1:14" x14ac:dyDescent="0.25">
      <c r="A5674" s="11">
        <v>46065</v>
      </c>
      <c r="B5674" s="5" t="s">
        <v>1095</v>
      </c>
      <c r="C5674" s="3" t="s">
        <v>284</v>
      </c>
      <c r="D5674" s="5" t="s">
        <v>115</v>
      </c>
      <c r="E5674" s="5" t="s">
        <v>112</v>
      </c>
      <c r="F5674" s="6" t="s">
        <v>290</v>
      </c>
      <c r="G5674" s="4" t="s">
        <v>2</v>
      </c>
      <c r="H5674" s="25">
        <v>11900.27777778</v>
      </c>
      <c r="I5674" s="8">
        <v>36</v>
      </c>
      <c r="J5674" s="9">
        <v>35</v>
      </c>
      <c r="K5674" s="7">
        <v>-1</v>
      </c>
      <c r="L5674" s="24">
        <f>+Tabla2[[#This Row],[Stock Inventario]]*Tabla2[[#This Row],[Coste LÃ­nea]]</f>
        <v>416509.72222230001</v>
      </c>
      <c r="M5674" s="24">
        <f>+Tabla2[[#This Row],[Variación Stock]]*Tabla2[[#This Row],[Coste LÃ­nea]]</f>
        <v>-11900.27777778</v>
      </c>
      <c r="N5674" s="22" t="str">
        <f>+IF(Tabla2[[#This Row],[Variación Stock]]&gt;0,"Sobrante",IF(Tabla2[[#This Row],[Variación Stock]]&lt;0,"Faltante","Sin novedad"))</f>
        <v>Faltante</v>
      </c>
    </row>
    <row r="5675" spans="1:14" x14ac:dyDescent="0.25">
      <c r="A5675" s="11">
        <v>46065</v>
      </c>
      <c r="B5675" s="5" t="s">
        <v>1095</v>
      </c>
      <c r="C5675" s="3" t="s">
        <v>284</v>
      </c>
      <c r="D5675" s="5" t="s">
        <v>111</v>
      </c>
      <c r="E5675" s="5" t="s">
        <v>112</v>
      </c>
      <c r="F5675" s="6" t="s">
        <v>19</v>
      </c>
      <c r="G5675" s="4" t="s">
        <v>0</v>
      </c>
      <c r="H5675" s="25">
        <v>6744</v>
      </c>
      <c r="I5675" s="8">
        <v>37</v>
      </c>
      <c r="J5675" s="9">
        <v>37</v>
      </c>
      <c r="K5675" s="7">
        <v>0</v>
      </c>
      <c r="L5675" s="24">
        <f>+Tabla2[[#This Row],[Stock Inventario]]*Tabla2[[#This Row],[Coste LÃ­nea]]</f>
        <v>249528</v>
      </c>
      <c r="M5675" s="24">
        <f>+Tabla2[[#This Row],[Variación Stock]]*Tabla2[[#This Row],[Coste LÃ­nea]]</f>
        <v>0</v>
      </c>
      <c r="N5675" s="22" t="str">
        <f>+IF(Tabla2[[#This Row],[Variación Stock]]&gt;0,"Sobrante",IF(Tabla2[[#This Row],[Variación Stock]]&lt;0,"Faltante","Sin novedad"))</f>
        <v>Sin novedad</v>
      </c>
    </row>
    <row r="5676" spans="1:14" x14ac:dyDescent="0.25">
      <c r="A5676" s="11">
        <v>46065</v>
      </c>
      <c r="B5676" s="5" t="s">
        <v>1095</v>
      </c>
      <c r="C5676" s="3" t="s">
        <v>284</v>
      </c>
      <c r="D5676" s="5" t="s">
        <v>111</v>
      </c>
      <c r="E5676" s="5" t="s">
        <v>112</v>
      </c>
      <c r="F5676" s="6" t="s">
        <v>42</v>
      </c>
      <c r="G5676" s="4" t="s">
        <v>0</v>
      </c>
      <c r="H5676" s="25">
        <v>2906.3333333300002</v>
      </c>
      <c r="I5676" s="8">
        <v>18.36</v>
      </c>
      <c r="J5676" s="9">
        <v>18</v>
      </c>
      <c r="K5676" s="7">
        <v>-0.36</v>
      </c>
      <c r="L5676" s="24">
        <f>+Tabla2[[#This Row],[Stock Inventario]]*Tabla2[[#This Row],[Coste LÃ­nea]]</f>
        <v>52313.999999940002</v>
      </c>
      <c r="M5676" s="24">
        <f>+Tabla2[[#This Row],[Variación Stock]]*Tabla2[[#This Row],[Coste LÃ­nea]]</f>
        <v>-1046.2799999988001</v>
      </c>
      <c r="N5676" s="22" t="str">
        <f>+IF(Tabla2[[#This Row],[Variación Stock]]&gt;0,"Sobrante",IF(Tabla2[[#This Row],[Variación Stock]]&lt;0,"Faltante","Sin novedad"))</f>
        <v>Faltante</v>
      </c>
    </row>
    <row r="5677" spans="1:14" hidden="1" x14ac:dyDescent="0.25">
      <c r="A5677" s="11">
        <v>46065</v>
      </c>
      <c r="B5677" s="5" t="s">
        <v>1095</v>
      </c>
      <c r="C5677" s="3" t="s">
        <v>284</v>
      </c>
      <c r="D5677" s="5" t="s">
        <v>323</v>
      </c>
      <c r="E5677" s="5" t="s">
        <v>117</v>
      </c>
      <c r="F5677" s="6" t="s">
        <v>330</v>
      </c>
      <c r="G5677" s="4" t="s">
        <v>2</v>
      </c>
      <c r="H5677" s="25">
        <v>1530.8871941499999</v>
      </c>
      <c r="I5677" s="8">
        <v>57</v>
      </c>
      <c r="J5677" s="9">
        <v>57</v>
      </c>
      <c r="K5677" s="7">
        <v>0</v>
      </c>
      <c r="L5677" s="24">
        <f>+Tabla2[[#This Row],[Stock Inventario]]*Tabla2[[#This Row],[Coste LÃ­nea]]</f>
        <v>87260.57006654999</v>
      </c>
      <c r="M5677" s="24">
        <f>+Tabla2[[#This Row],[Variación Stock]]*Tabla2[[#This Row],[Coste LÃ­nea]]</f>
        <v>0</v>
      </c>
      <c r="N5677" s="22" t="str">
        <f>+IF(Tabla2[[#This Row],[Variación Stock]]&gt;0,"Sobrante",IF(Tabla2[[#This Row],[Variación Stock]]&lt;0,"Faltante","Sin novedad"))</f>
        <v>Sin novedad</v>
      </c>
    </row>
    <row r="5678" spans="1:14" x14ac:dyDescent="0.25">
      <c r="A5678" s="11">
        <v>46065</v>
      </c>
      <c r="B5678" s="5" t="s">
        <v>1095</v>
      </c>
      <c r="C5678" s="3" t="s">
        <v>284</v>
      </c>
      <c r="D5678" s="5" t="s">
        <v>122</v>
      </c>
      <c r="E5678" s="5" t="s">
        <v>112</v>
      </c>
      <c r="F5678" s="6" t="s">
        <v>105</v>
      </c>
      <c r="G5678" s="4" t="s">
        <v>2</v>
      </c>
      <c r="H5678" s="25">
        <v>4166.7338934999998</v>
      </c>
      <c r="I5678" s="8">
        <v>5</v>
      </c>
      <c r="J5678" s="9">
        <v>5</v>
      </c>
      <c r="K5678" s="7">
        <v>0</v>
      </c>
      <c r="L5678" s="24">
        <f>+Tabla2[[#This Row],[Stock Inventario]]*Tabla2[[#This Row],[Coste LÃ­nea]]</f>
        <v>20833.6694675</v>
      </c>
      <c r="M5678" s="24">
        <f>+Tabla2[[#This Row],[Variación Stock]]*Tabla2[[#This Row],[Coste LÃ­nea]]</f>
        <v>0</v>
      </c>
      <c r="N5678" s="22" t="str">
        <f>+IF(Tabla2[[#This Row],[Variación Stock]]&gt;0,"Sobrante",IF(Tabla2[[#This Row],[Variación Stock]]&lt;0,"Faltante","Sin novedad"))</f>
        <v>Sin novedad</v>
      </c>
    </row>
    <row r="5679" spans="1:14" x14ac:dyDescent="0.25">
      <c r="A5679" s="11">
        <v>46065</v>
      </c>
      <c r="B5679" s="5" t="s">
        <v>1095</v>
      </c>
      <c r="C5679" s="3" t="s">
        <v>284</v>
      </c>
      <c r="D5679" s="5" t="s">
        <v>114</v>
      </c>
      <c r="E5679" s="5" t="s">
        <v>112</v>
      </c>
      <c r="F5679" s="6" t="s">
        <v>147</v>
      </c>
      <c r="G5679" s="4" t="s">
        <v>2</v>
      </c>
      <c r="H5679" s="25">
        <v>3333.3333333300002</v>
      </c>
      <c r="I5679" s="8">
        <v>0</v>
      </c>
      <c r="J5679" s="9">
        <v>0</v>
      </c>
      <c r="K5679" s="7">
        <v>0</v>
      </c>
      <c r="L5679" s="24">
        <f>+Tabla2[[#This Row],[Stock Inventario]]*Tabla2[[#This Row],[Coste LÃ­nea]]</f>
        <v>0</v>
      </c>
      <c r="M5679" s="24">
        <f>+Tabla2[[#This Row],[Variación Stock]]*Tabla2[[#This Row],[Coste LÃ­nea]]</f>
        <v>0</v>
      </c>
      <c r="N5679" s="22" t="str">
        <f>+IF(Tabla2[[#This Row],[Variación Stock]]&gt;0,"Sobrante",IF(Tabla2[[#This Row],[Variación Stock]]&lt;0,"Faltante","Sin novedad"))</f>
        <v>Sin novedad</v>
      </c>
    </row>
    <row r="5680" spans="1:14" x14ac:dyDescent="0.25">
      <c r="A5680" s="11">
        <v>46065</v>
      </c>
      <c r="B5680" s="5" t="s">
        <v>1095</v>
      </c>
      <c r="C5680" s="3" t="s">
        <v>284</v>
      </c>
      <c r="D5680" s="5" t="s">
        <v>118</v>
      </c>
      <c r="E5680" s="5" t="s">
        <v>112</v>
      </c>
      <c r="F5680" s="6" t="s">
        <v>308</v>
      </c>
      <c r="G5680" s="4" t="s">
        <v>81</v>
      </c>
      <c r="H5680" s="25">
        <v>13704.2</v>
      </c>
      <c r="I5680" s="8">
        <v>27</v>
      </c>
      <c r="J5680" s="9">
        <v>27</v>
      </c>
      <c r="K5680" s="7">
        <v>0</v>
      </c>
      <c r="L5680" s="24">
        <f>+Tabla2[[#This Row],[Stock Inventario]]*Tabla2[[#This Row],[Coste LÃ­nea]]</f>
        <v>370013.4</v>
      </c>
      <c r="M5680" s="24">
        <f>+Tabla2[[#This Row],[Variación Stock]]*Tabla2[[#This Row],[Coste LÃ­nea]]</f>
        <v>0</v>
      </c>
      <c r="N5680" s="22" t="str">
        <f>+IF(Tabla2[[#This Row],[Variación Stock]]&gt;0,"Sobrante",IF(Tabla2[[#This Row],[Variación Stock]]&lt;0,"Faltante","Sin novedad"))</f>
        <v>Sin novedad</v>
      </c>
    </row>
    <row r="5681" spans="1:14" x14ac:dyDescent="0.25">
      <c r="A5681" s="11">
        <v>46065</v>
      </c>
      <c r="B5681" s="5" t="s">
        <v>1095</v>
      </c>
      <c r="C5681" s="3" t="s">
        <v>284</v>
      </c>
      <c r="D5681" s="5" t="s">
        <v>111</v>
      </c>
      <c r="E5681" s="5" t="s">
        <v>112</v>
      </c>
      <c r="F5681" s="6" t="s">
        <v>26</v>
      </c>
      <c r="G5681" s="4" t="s">
        <v>0</v>
      </c>
      <c r="H5681" s="25">
        <v>9152.4545454500003</v>
      </c>
      <c r="I5681" s="8">
        <v>15</v>
      </c>
      <c r="J5681" s="9">
        <v>20</v>
      </c>
      <c r="K5681" s="7">
        <v>5</v>
      </c>
      <c r="L5681" s="24">
        <f>+Tabla2[[#This Row],[Stock Inventario]]*Tabla2[[#This Row],[Coste LÃ­nea]]</f>
        <v>183049.09090900002</v>
      </c>
      <c r="M5681" s="24">
        <f>+Tabla2[[#This Row],[Variación Stock]]*Tabla2[[#This Row],[Coste LÃ­nea]]</f>
        <v>45762.272727250005</v>
      </c>
      <c r="N5681" s="22" t="str">
        <f>+IF(Tabla2[[#This Row],[Variación Stock]]&gt;0,"Sobrante",IF(Tabla2[[#This Row],[Variación Stock]]&lt;0,"Faltante","Sin novedad"))</f>
        <v>Sobrante</v>
      </c>
    </row>
    <row r="5682" spans="1:14" hidden="1" x14ac:dyDescent="0.25">
      <c r="A5682" s="11">
        <v>46065</v>
      </c>
      <c r="B5682" s="5" t="s">
        <v>1095</v>
      </c>
      <c r="C5682" s="3" t="s">
        <v>284</v>
      </c>
      <c r="D5682" s="5" t="s">
        <v>116</v>
      </c>
      <c r="E5682" s="5" t="s">
        <v>117</v>
      </c>
      <c r="F5682" s="6" t="s">
        <v>6</v>
      </c>
      <c r="G5682" s="4" t="s">
        <v>2</v>
      </c>
      <c r="H5682" s="25">
        <v>8870</v>
      </c>
      <c r="I5682" s="8">
        <v>31</v>
      </c>
      <c r="J5682" s="9">
        <v>31</v>
      </c>
      <c r="K5682" s="7">
        <v>0</v>
      </c>
      <c r="L5682" s="24">
        <f>+Tabla2[[#This Row],[Stock Inventario]]*Tabla2[[#This Row],[Coste LÃ­nea]]</f>
        <v>274970</v>
      </c>
      <c r="M5682" s="24">
        <f>+Tabla2[[#This Row],[Variación Stock]]*Tabla2[[#This Row],[Coste LÃ­nea]]</f>
        <v>0</v>
      </c>
      <c r="N5682" s="22" t="str">
        <f>+IF(Tabla2[[#This Row],[Variación Stock]]&gt;0,"Sobrante",IF(Tabla2[[#This Row],[Variación Stock]]&lt;0,"Faltante","Sin novedad"))</f>
        <v>Sin novedad</v>
      </c>
    </row>
    <row r="5683" spans="1:14" x14ac:dyDescent="0.25">
      <c r="A5683" s="11">
        <v>46065</v>
      </c>
      <c r="B5683" s="5" t="s">
        <v>1095</v>
      </c>
      <c r="C5683" s="3" t="s">
        <v>284</v>
      </c>
      <c r="D5683" s="5" t="s">
        <v>118</v>
      </c>
      <c r="E5683" s="5" t="s">
        <v>112</v>
      </c>
      <c r="F5683" s="6" t="s">
        <v>303</v>
      </c>
      <c r="G5683" s="4" t="s">
        <v>81</v>
      </c>
      <c r="H5683" s="25">
        <v>13704.6</v>
      </c>
      <c r="I5683" s="8">
        <v>29</v>
      </c>
      <c r="J5683" s="9">
        <v>30</v>
      </c>
      <c r="K5683" s="7">
        <v>1</v>
      </c>
      <c r="L5683" s="24">
        <f>+Tabla2[[#This Row],[Stock Inventario]]*Tabla2[[#This Row],[Coste LÃ­nea]]</f>
        <v>411138</v>
      </c>
      <c r="M5683" s="24">
        <f>+Tabla2[[#This Row],[Variación Stock]]*Tabla2[[#This Row],[Coste LÃ­nea]]</f>
        <v>13704.6</v>
      </c>
      <c r="N5683" s="22" t="str">
        <f>+IF(Tabla2[[#This Row],[Variación Stock]]&gt;0,"Sobrante",IF(Tabla2[[#This Row],[Variación Stock]]&lt;0,"Faltante","Sin novedad"))</f>
        <v>Sobrante</v>
      </c>
    </row>
    <row r="5684" spans="1:14" x14ac:dyDescent="0.25">
      <c r="A5684" s="11">
        <v>46065</v>
      </c>
      <c r="B5684" s="5" t="s">
        <v>1095</v>
      </c>
      <c r="C5684" s="3" t="s">
        <v>284</v>
      </c>
      <c r="D5684" s="5" t="s">
        <v>111</v>
      </c>
      <c r="E5684" s="5" t="s">
        <v>112</v>
      </c>
      <c r="F5684" s="6" t="s">
        <v>40</v>
      </c>
      <c r="G5684" s="4" t="s">
        <v>0</v>
      </c>
      <c r="H5684" s="25">
        <v>2746.1166666700001</v>
      </c>
      <c r="I5684" s="8">
        <v>41</v>
      </c>
      <c r="J5684" s="9">
        <v>39</v>
      </c>
      <c r="K5684" s="7">
        <v>-2</v>
      </c>
      <c r="L5684" s="24">
        <f>+Tabla2[[#This Row],[Stock Inventario]]*Tabla2[[#This Row],[Coste LÃ­nea]]</f>
        <v>107098.55000013001</v>
      </c>
      <c r="M5684" s="24">
        <f>+Tabla2[[#This Row],[Variación Stock]]*Tabla2[[#This Row],[Coste LÃ­nea]]</f>
        <v>-5492.2333333400002</v>
      </c>
      <c r="N5684" s="22" t="str">
        <f>+IF(Tabla2[[#This Row],[Variación Stock]]&gt;0,"Sobrante",IF(Tabla2[[#This Row],[Variación Stock]]&lt;0,"Faltante","Sin novedad"))</f>
        <v>Faltante</v>
      </c>
    </row>
    <row r="5685" spans="1:14" hidden="1" x14ac:dyDescent="0.25">
      <c r="A5685" s="11">
        <v>46065</v>
      </c>
      <c r="B5685" s="5" t="s">
        <v>1095</v>
      </c>
      <c r="C5685" s="3" t="s">
        <v>284</v>
      </c>
      <c r="D5685" s="5" t="s">
        <v>120</v>
      </c>
      <c r="E5685" s="5" t="s">
        <v>117</v>
      </c>
      <c r="F5685" s="6" t="s">
        <v>321</v>
      </c>
      <c r="G5685" s="4" t="s">
        <v>2</v>
      </c>
      <c r="H5685" s="25">
        <v>16188.145044430001</v>
      </c>
      <c r="I5685" s="8">
        <v>13</v>
      </c>
      <c r="J5685" s="9">
        <v>13</v>
      </c>
      <c r="K5685" s="7">
        <v>0</v>
      </c>
      <c r="L5685" s="24">
        <f>+Tabla2[[#This Row],[Stock Inventario]]*Tabla2[[#This Row],[Coste LÃ­nea]]</f>
        <v>210445.88557759</v>
      </c>
      <c r="M5685" s="24">
        <f>+Tabla2[[#This Row],[Variación Stock]]*Tabla2[[#This Row],[Coste LÃ­nea]]</f>
        <v>0</v>
      </c>
      <c r="N5685" s="22" t="str">
        <f>+IF(Tabla2[[#This Row],[Variación Stock]]&gt;0,"Sobrante",IF(Tabla2[[#This Row],[Variación Stock]]&lt;0,"Faltante","Sin novedad"))</f>
        <v>Sin novedad</v>
      </c>
    </row>
    <row r="5686" spans="1:14" x14ac:dyDescent="0.25">
      <c r="A5686" s="11">
        <v>46065</v>
      </c>
      <c r="B5686" s="5" t="s">
        <v>1095</v>
      </c>
      <c r="C5686" s="3" t="s">
        <v>284</v>
      </c>
      <c r="D5686" s="5" t="s">
        <v>118</v>
      </c>
      <c r="E5686" s="5" t="s">
        <v>112</v>
      </c>
      <c r="F5686" s="6" t="s">
        <v>87</v>
      </c>
      <c r="G5686" s="4" t="s">
        <v>2</v>
      </c>
      <c r="H5686" s="25">
        <v>34232.333333330003</v>
      </c>
      <c r="I5686" s="8">
        <v>7</v>
      </c>
      <c r="J5686" s="9">
        <v>3</v>
      </c>
      <c r="K5686" s="7">
        <v>-4</v>
      </c>
      <c r="L5686" s="24">
        <f>+Tabla2[[#This Row],[Stock Inventario]]*Tabla2[[#This Row],[Coste LÃ­nea]]</f>
        <v>102696.99999999002</v>
      </c>
      <c r="M5686" s="24">
        <f>+Tabla2[[#This Row],[Variación Stock]]*Tabla2[[#This Row],[Coste LÃ­nea]]</f>
        <v>-136929.33333332001</v>
      </c>
      <c r="N5686" s="22" t="str">
        <f>+IF(Tabla2[[#This Row],[Variación Stock]]&gt;0,"Sobrante",IF(Tabla2[[#This Row],[Variación Stock]]&lt;0,"Faltante","Sin novedad"))</f>
        <v>Faltante</v>
      </c>
    </row>
    <row r="5687" spans="1:14" x14ac:dyDescent="0.25">
      <c r="A5687" s="11">
        <v>46065</v>
      </c>
      <c r="B5687" s="5" t="s">
        <v>1095</v>
      </c>
      <c r="C5687" s="3" t="s">
        <v>284</v>
      </c>
      <c r="D5687" s="5" t="s">
        <v>114</v>
      </c>
      <c r="E5687" s="5" t="s">
        <v>112</v>
      </c>
      <c r="F5687" s="6" t="s">
        <v>67</v>
      </c>
      <c r="G5687" s="4" t="s">
        <v>2</v>
      </c>
      <c r="H5687" s="25">
        <v>5310.9583333299997</v>
      </c>
      <c r="I5687" s="8">
        <v>56.55</v>
      </c>
      <c r="J5687" s="9">
        <v>51</v>
      </c>
      <c r="K5687" s="7">
        <v>-5.55</v>
      </c>
      <c r="L5687" s="24">
        <f>+Tabla2[[#This Row],[Stock Inventario]]*Tabla2[[#This Row],[Coste LÃ­nea]]</f>
        <v>270858.87499982998</v>
      </c>
      <c r="M5687" s="24">
        <f>+Tabla2[[#This Row],[Variación Stock]]*Tabla2[[#This Row],[Coste LÃ­nea]]</f>
        <v>-29475.818749981496</v>
      </c>
      <c r="N5687" s="22" t="str">
        <f>+IF(Tabla2[[#This Row],[Variación Stock]]&gt;0,"Sobrante",IF(Tabla2[[#This Row],[Variación Stock]]&lt;0,"Faltante","Sin novedad"))</f>
        <v>Faltante</v>
      </c>
    </row>
    <row r="5688" spans="1:14" x14ac:dyDescent="0.25">
      <c r="A5688" s="11">
        <v>46065</v>
      </c>
      <c r="B5688" s="5" t="s">
        <v>1095</v>
      </c>
      <c r="C5688" s="3" t="s">
        <v>284</v>
      </c>
      <c r="D5688" s="5" t="s">
        <v>111</v>
      </c>
      <c r="E5688" s="5" t="s">
        <v>112</v>
      </c>
      <c r="F5688" s="6" t="s">
        <v>22</v>
      </c>
      <c r="G5688" s="4" t="s">
        <v>0</v>
      </c>
      <c r="H5688" s="25">
        <v>13020.86363636</v>
      </c>
      <c r="I5688" s="8">
        <v>36</v>
      </c>
      <c r="J5688" s="9">
        <v>36</v>
      </c>
      <c r="K5688" s="7">
        <v>0</v>
      </c>
      <c r="L5688" s="24">
        <f>+Tabla2[[#This Row],[Stock Inventario]]*Tabla2[[#This Row],[Coste LÃ­nea]]</f>
        <v>468751.09090895997</v>
      </c>
      <c r="M5688" s="24">
        <f>+Tabla2[[#This Row],[Variación Stock]]*Tabla2[[#This Row],[Coste LÃ­nea]]</f>
        <v>0</v>
      </c>
      <c r="N5688" s="22" t="str">
        <f>+IF(Tabla2[[#This Row],[Variación Stock]]&gt;0,"Sobrante",IF(Tabla2[[#This Row],[Variación Stock]]&lt;0,"Faltante","Sin novedad"))</f>
        <v>Sin novedad</v>
      </c>
    </row>
    <row r="5689" spans="1:14" hidden="1" x14ac:dyDescent="0.25">
      <c r="A5689" s="11">
        <v>46065</v>
      </c>
      <c r="B5689" s="5" t="s">
        <v>1095</v>
      </c>
      <c r="C5689" s="3" t="s">
        <v>284</v>
      </c>
      <c r="D5689" s="5" t="s">
        <v>119</v>
      </c>
      <c r="E5689" s="5" t="s">
        <v>117</v>
      </c>
      <c r="F5689" s="6" t="s">
        <v>95</v>
      </c>
      <c r="G5689" s="4" t="s">
        <v>1</v>
      </c>
      <c r="H5689" s="25">
        <v>39</v>
      </c>
      <c r="I5689" s="8">
        <v>27309.999899999999</v>
      </c>
      <c r="J5689" s="9">
        <v>9122</v>
      </c>
      <c r="K5689" s="7">
        <v>-18187.999875000001</v>
      </c>
      <c r="L5689" s="24">
        <f>+Tabla2[[#This Row],[Stock Inventario]]*Tabla2[[#This Row],[Coste LÃ­nea]]</f>
        <v>355758</v>
      </c>
      <c r="M5689" s="24">
        <f>+Tabla2[[#This Row],[Variación Stock]]*Tabla2[[#This Row],[Coste LÃ­nea]]</f>
        <v>-709331.99512500002</v>
      </c>
      <c r="N5689" s="22" t="str">
        <f>+IF(Tabla2[[#This Row],[Variación Stock]]&gt;0,"Sobrante",IF(Tabla2[[#This Row],[Variación Stock]]&lt;0,"Faltante","Sin novedad"))</f>
        <v>Faltante</v>
      </c>
    </row>
    <row r="5690" spans="1:14" x14ac:dyDescent="0.25">
      <c r="A5690" s="11">
        <v>46065</v>
      </c>
      <c r="B5690" s="5" t="s">
        <v>1095</v>
      </c>
      <c r="C5690" s="3" t="s">
        <v>284</v>
      </c>
      <c r="D5690" s="5" t="s">
        <v>118</v>
      </c>
      <c r="E5690" s="5" t="s">
        <v>112</v>
      </c>
      <c r="F5690" s="6" t="s">
        <v>296</v>
      </c>
      <c r="G5690" s="4" t="s">
        <v>2</v>
      </c>
      <c r="H5690" s="25">
        <v>28357</v>
      </c>
      <c r="I5690" s="8">
        <v>2</v>
      </c>
      <c r="J5690" s="9">
        <v>2</v>
      </c>
      <c r="K5690" s="7">
        <v>0</v>
      </c>
      <c r="L5690" s="24">
        <f>+Tabla2[[#This Row],[Stock Inventario]]*Tabla2[[#This Row],[Coste LÃ­nea]]</f>
        <v>56714</v>
      </c>
      <c r="M5690" s="24">
        <f>+Tabla2[[#This Row],[Variación Stock]]*Tabla2[[#This Row],[Coste LÃ­nea]]</f>
        <v>0</v>
      </c>
      <c r="N5690" s="22" t="str">
        <f>+IF(Tabla2[[#This Row],[Variación Stock]]&gt;0,"Sobrante",IF(Tabla2[[#This Row],[Variación Stock]]&lt;0,"Faltante","Sin novedad"))</f>
        <v>Sin novedad</v>
      </c>
    </row>
    <row r="5691" spans="1:14" x14ac:dyDescent="0.25">
      <c r="A5691" s="11">
        <v>46065</v>
      </c>
      <c r="B5691" s="5" t="s">
        <v>1095</v>
      </c>
      <c r="C5691" s="3" t="s">
        <v>284</v>
      </c>
      <c r="D5691" s="5" t="s">
        <v>115</v>
      </c>
      <c r="E5691" s="5" t="s">
        <v>112</v>
      </c>
      <c r="F5691" s="6" t="s">
        <v>73</v>
      </c>
      <c r="G5691" s="4" t="s">
        <v>2</v>
      </c>
      <c r="H5691" s="25">
        <v>2828.2333333299998</v>
      </c>
      <c r="I5691" s="8">
        <v>51</v>
      </c>
      <c r="J5691" s="9">
        <v>51</v>
      </c>
      <c r="K5691" s="7">
        <v>0</v>
      </c>
      <c r="L5691" s="24">
        <f>+Tabla2[[#This Row],[Stock Inventario]]*Tabla2[[#This Row],[Coste LÃ­nea]]</f>
        <v>144239.89999983</v>
      </c>
      <c r="M5691" s="24">
        <f>+Tabla2[[#This Row],[Variación Stock]]*Tabla2[[#This Row],[Coste LÃ­nea]]</f>
        <v>0</v>
      </c>
      <c r="N5691" s="22" t="str">
        <f>+IF(Tabla2[[#This Row],[Variación Stock]]&gt;0,"Sobrante",IF(Tabla2[[#This Row],[Variación Stock]]&lt;0,"Faltante","Sin novedad"))</f>
        <v>Sin novedad</v>
      </c>
    </row>
    <row r="5692" spans="1:14" x14ac:dyDescent="0.25">
      <c r="A5692" s="11">
        <v>46065</v>
      </c>
      <c r="B5692" s="5" t="s">
        <v>1095</v>
      </c>
      <c r="C5692" s="3" t="s">
        <v>284</v>
      </c>
      <c r="D5692" s="5" t="s">
        <v>111</v>
      </c>
      <c r="E5692" s="5" t="s">
        <v>112</v>
      </c>
      <c r="F5692" s="6" t="s">
        <v>47</v>
      </c>
      <c r="G5692" s="4" t="s">
        <v>2</v>
      </c>
      <c r="H5692" s="25">
        <v>22770</v>
      </c>
      <c r="I5692" s="8">
        <v>2</v>
      </c>
      <c r="J5692" s="9">
        <v>2</v>
      </c>
      <c r="K5692" s="7">
        <v>0</v>
      </c>
      <c r="L5692" s="24">
        <f>+Tabla2[[#This Row],[Stock Inventario]]*Tabla2[[#This Row],[Coste LÃ­nea]]</f>
        <v>45540</v>
      </c>
      <c r="M5692" s="24">
        <f>+Tabla2[[#This Row],[Variación Stock]]*Tabla2[[#This Row],[Coste LÃ­nea]]</f>
        <v>0</v>
      </c>
      <c r="N5692" s="22" t="str">
        <f>+IF(Tabla2[[#This Row],[Variación Stock]]&gt;0,"Sobrante",IF(Tabla2[[#This Row],[Variación Stock]]&lt;0,"Faltante","Sin novedad"))</f>
        <v>Sin novedad</v>
      </c>
    </row>
    <row r="5693" spans="1:14" hidden="1" x14ac:dyDescent="0.25">
      <c r="A5693" s="11">
        <v>46065</v>
      </c>
      <c r="B5693" s="5" t="s">
        <v>1095</v>
      </c>
      <c r="C5693" s="3" t="s">
        <v>284</v>
      </c>
      <c r="D5693" s="5" t="s">
        <v>323</v>
      </c>
      <c r="E5693" s="5" t="s">
        <v>117</v>
      </c>
      <c r="F5693" s="6" t="s">
        <v>325</v>
      </c>
      <c r="G5693" s="4" t="s">
        <v>2</v>
      </c>
      <c r="H5693" s="25">
        <v>1977.5824342000001</v>
      </c>
      <c r="I5693" s="8">
        <v>95</v>
      </c>
      <c r="J5693" s="9">
        <v>95</v>
      </c>
      <c r="K5693" s="7">
        <v>0</v>
      </c>
      <c r="L5693" s="24">
        <f>+Tabla2[[#This Row],[Stock Inventario]]*Tabla2[[#This Row],[Coste LÃ­nea]]</f>
        <v>187870.33124900001</v>
      </c>
      <c r="M5693" s="24">
        <f>+Tabla2[[#This Row],[Variación Stock]]*Tabla2[[#This Row],[Coste LÃ­nea]]</f>
        <v>0</v>
      </c>
      <c r="N5693" s="22" t="str">
        <f>+IF(Tabla2[[#This Row],[Variación Stock]]&gt;0,"Sobrante",IF(Tabla2[[#This Row],[Variación Stock]]&lt;0,"Faltante","Sin novedad"))</f>
        <v>Sin novedad</v>
      </c>
    </row>
    <row r="5694" spans="1:14" x14ac:dyDescent="0.25">
      <c r="A5694" s="11">
        <v>46065</v>
      </c>
      <c r="B5694" s="5" t="s">
        <v>1095</v>
      </c>
      <c r="C5694" s="3" t="s">
        <v>284</v>
      </c>
      <c r="D5694" s="5" t="s">
        <v>111</v>
      </c>
      <c r="E5694" s="5" t="s">
        <v>112</v>
      </c>
      <c r="F5694" s="6" t="s">
        <v>17</v>
      </c>
      <c r="G5694" s="4" t="s">
        <v>0</v>
      </c>
      <c r="H5694" s="25">
        <v>14896.95833333</v>
      </c>
      <c r="I5694" s="8">
        <v>16</v>
      </c>
      <c r="J5694" s="9">
        <v>16</v>
      </c>
      <c r="K5694" s="7">
        <v>0</v>
      </c>
      <c r="L5694" s="24">
        <f>+Tabla2[[#This Row],[Stock Inventario]]*Tabla2[[#This Row],[Coste LÃ­nea]]</f>
        <v>238351.33333328</v>
      </c>
      <c r="M5694" s="24">
        <f>+Tabla2[[#This Row],[Variación Stock]]*Tabla2[[#This Row],[Coste LÃ­nea]]</f>
        <v>0</v>
      </c>
      <c r="N5694" s="22" t="str">
        <f>+IF(Tabla2[[#This Row],[Variación Stock]]&gt;0,"Sobrante",IF(Tabla2[[#This Row],[Variación Stock]]&lt;0,"Faltante","Sin novedad"))</f>
        <v>Sin novedad</v>
      </c>
    </row>
    <row r="5695" spans="1:14" x14ac:dyDescent="0.25">
      <c r="A5695" s="11">
        <v>46065</v>
      </c>
      <c r="B5695" s="5" t="s">
        <v>1095</v>
      </c>
      <c r="C5695" s="3" t="s">
        <v>284</v>
      </c>
      <c r="D5695" s="5" t="s">
        <v>111</v>
      </c>
      <c r="E5695" s="5" t="s">
        <v>112</v>
      </c>
      <c r="F5695" s="6" t="s">
        <v>33</v>
      </c>
      <c r="G5695" s="4" t="s">
        <v>0</v>
      </c>
      <c r="H5695" s="25">
        <v>4004.4333333300001</v>
      </c>
      <c r="I5695" s="8">
        <v>-17</v>
      </c>
      <c r="J5695" s="9">
        <v>38</v>
      </c>
      <c r="K5695" s="7">
        <v>55</v>
      </c>
      <c r="L5695" s="24">
        <f>+Tabla2[[#This Row],[Stock Inventario]]*Tabla2[[#This Row],[Coste LÃ­nea]]</f>
        <v>152168.46666654001</v>
      </c>
      <c r="M5695" s="24">
        <f>+Tabla2[[#This Row],[Variación Stock]]*Tabla2[[#This Row],[Coste LÃ­nea]]</f>
        <v>220243.83333315002</v>
      </c>
      <c r="N5695" s="22" t="str">
        <f>+IF(Tabla2[[#This Row],[Variación Stock]]&gt;0,"Sobrante",IF(Tabla2[[#This Row],[Variación Stock]]&lt;0,"Faltante","Sin novedad"))</f>
        <v>Sobrante</v>
      </c>
    </row>
    <row r="5696" spans="1:14" x14ac:dyDescent="0.25">
      <c r="A5696" s="11">
        <v>46065</v>
      </c>
      <c r="B5696" s="5" t="s">
        <v>1095</v>
      </c>
      <c r="C5696" s="3" t="s">
        <v>284</v>
      </c>
      <c r="D5696" s="5" t="s">
        <v>111</v>
      </c>
      <c r="E5696" s="5" t="s">
        <v>112</v>
      </c>
      <c r="F5696" s="6" t="s">
        <v>31</v>
      </c>
      <c r="G5696" s="4" t="s">
        <v>0</v>
      </c>
      <c r="H5696" s="25">
        <v>6806.25</v>
      </c>
      <c r="I5696" s="8">
        <v>10.36</v>
      </c>
      <c r="J5696" s="9">
        <v>13</v>
      </c>
      <c r="K5696" s="7">
        <v>2.64</v>
      </c>
      <c r="L5696" s="24">
        <f>+Tabla2[[#This Row],[Stock Inventario]]*Tabla2[[#This Row],[Coste LÃ­nea]]</f>
        <v>88481.25</v>
      </c>
      <c r="M5696" s="24">
        <f>+Tabla2[[#This Row],[Variación Stock]]*Tabla2[[#This Row],[Coste LÃ­nea]]</f>
        <v>17968.5</v>
      </c>
      <c r="N5696" s="22" t="str">
        <f>+IF(Tabla2[[#This Row],[Variación Stock]]&gt;0,"Sobrante",IF(Tabla2[[#This Row],[Variación Stock]]&lt;0,"Faltante","Sin novedad"))</f>
        <v>Sobrante</v>
      </c>
    </row>
    <row r="5697" spans="1:14" x14ac:dyDescent="0.25">
      <c r="A5697" s="11">
        <v>46065</v>
      </c>
      <c r="B5697" s="5" t="s">
        <v>1095</v>
      </c>
      <c r="C5697" s="3" t="s">
        <v>284</v>
      </c>
      <c r="D5697" s="5" t="s">
        <v>122</v>
      </c>
      <c r="E5697" s="5" t="s">
        <v>112</v>
      </c>
      <c r="F5697" s="6" t="s">
        <v>103</v>
      </c>
      <c r="G5697" s="4" t="s">
        <v>2</v>
      </c>
      <c r="H5697" s="25">
        <v>3458.3283333300001</v>
      </c>
      <c r="I5697" s="8">
        <v>10</v>
      </c>
      <c r="J5697" s="9">
        <v>10</v>
      </c>
      <c r="K5697" s="7">
        <v>0</v>
      </c>
      <c r="L5697" s="24">
        <f>+Tabla2[[#This Row],[Stock Inventario]]*Tabla2[[#This Row],[Coste LÃ­nea]]</f>
        <v>34583.283333300002</v>
      </c>
      <c r="M5697" s="24">
        <f>+Tabla2[[#This Row],[Variación Stock]]*Tabla2[[#This Row],[Coste LÃ­nea]]</f>
        <v>0</v>
      </c>
      <c r="N5697" s="22" t="str">
        <f>+IF(Tabla2[[#This Row],[Variación Stock]]&gt;0,"Sobrante",IF(Tabla2[[#This Row],[Variación Stock]]&lt;0,"Faltante","Sin novedad"))</f>
        <v>Sin novedad</v>
      </c>
    </row>
    <row r="5698" spans="1:14" hidden="1" x14ac:dyDescent="0.25">
      <c r="A5698" s="11">
        <v>46065</v>
      </c>
      <c r="B5698" s="5" t="s">
        <v>1095</v>
      </c>
      <c r="C5698" s="3" t="s">
        <v>284</v>
      </c>
      <c r="D5698" s="5" t="s">
        <v>120</v>
      </c>
      <c r="E5698" s="5" t="s">
        <v>117</v>
      </c>
      <c r="F5698" s="6" t="s">
        <v>312</v>
      </c>
      <c r="G5698" s="4" t="s">
        <v>1</v>
      </c>
      <c r="H5698" s="25">
        <v>4.9264214500000003</v>
      </c>
      <c r="I5698" s="8">
        <v>52284</v>
      </c>
      <c r="J5698" s="9">
        <v>1452</v>
      </c>
      <c r="K5698" s="7">
        <v>-50832</v>
      </c>
      <c r="L5698" s="24">
        <f>+Tabla2[[#This Row],[Stock Inventario]]*Tabla2[[#This Row],[Coste LÃ­nea]]</f>
        <v>7153.1639454000006</v>
      </c>
      <c r="M5698" s="24">
        <f>+Tabla2[[#This Row],[Variación Stock]]*Tabla2[[#This Row],[Coste LÃ­nea]]</f>
        <v>-250419.85514640002</v>
      </c>
      <c r="N5698" s="22" t="str">
        <f>+IF(Tabla2[[#This Row],[Variación Stock]]&gt;0,"Sobrante",IF(Tabla2[[#This Row],[Variación Stock]]&lt;0,"Faltante","Sin novedad"))</f>
        <v>Faltante</v>
      </c>
    </row>
    <row r="5699" spans="1:14" x14ac:dyDescent="0.25">
      <c r="A5699" s="11">
        <v>46065</v>
      </c>
      <c r="B5699" s="5" t="s">
        <v>1095</v>
      </c>
      <c r="C5699" s="3" t="s">
        <v>284</v>
      </c>
      <c r="D5699" s="5" t="s">
        <v>118</v>
      </c>
      <c r="E5699" s="5" t="s">
        <v>112</v>
      </c>
      <c r="F5699" s="6" t="s">
        <v>91</v>
      </c>
      <c r="G5699" s="4" t="s">
        <v>2</v>
      </c>
      <c r="H5699" s="25">
        <v>63887</v>
      </c>
      <c r="I5699" s="8">
        <v>2</v>
      </c>
      <c r="J5699" s="9">
        <v>2</v>
      </c>
      <c r="K5699" s="7">
        <v>0</v>
      </c>
      <c r="L5699" s="24">
        <f>+Tabla2[[#This Row],[Stock Inventario]]*Tabla2[[#This Row],[Coste LÃ­nea]]</f>
        <v>127774</v>
      </c>
      <c r="M5699" s="24">
        <f>+Tabla2[[#This Row],[Variación Stock]]*Tabla2[[#This Row],[Coste LÃ­nea]]</f>
        <v>0</v>
      </c>
      <c r="N5699" s="22" t="str">
        <f>+IF(Tabla2[[#This Row],[Variación Stock]]&gt;0,"Sobrante",IF(Tabla2[[#This Row],[Variación Stock]]&lt;0,"Faltante","Sin novedad"))</f>
        <v>Sin novedad</v>
      </c>
    </row>
    <row r="5700" spans="1:14" x14ac:dyDescent="0.25">
      <c r="A5700" s="11">
        <v>46065</v>
      </c>
      <c r="B5700" s="5" t="s">
        <v>1095</v>
      </c>
      <c r="C5700" s="3" t="s">
        <v>284</v>
      </c>
      <c r="D5700" s="5" t="s">
        <v>114</v>
      </c>
      <c r="E5700" s="5" t="s">
        <v>112</v>
      </c>
      <c r="F5700" s="6" t="s">
        <v>289</v>
      </c>
      <c r="G5700" s="4" t="s">
        <v>2</v>
      </c>
      <c r="H5700" s="25">
        <v>6387</v>
      </c>
      <c r="I5700" s="8">
        <v>1</v>
      </c>
      <c r="J5700" s="9">
        <v>1</v>
      </c>
      <c r="K5700" s="7">
        <v>0</v>
      </c>
      <c r="L5700" s="24">
        <f>+Tabla2[[#This Row],[Stock Inventario]]*Tabla2[[#This Row],[Coste LÃ­nea]]</f>
        <v>6387</v>
      </c>
      <c r="M5700" s="24">
        <f>+Tabla2[[#This Row],[Variación Stock]]*Tabla2[[#This Row],[Coste LÃ­nea]]</f>
        <v>0</v>
      </c>
      <c r="N5700" s="22" t="str">
        <f>+IF(Tabla2[[#This Row],[Variación Stock]]&gt;0,"Sobrante",IF(Tabla2[[#This Row],[Variación Stock]]&lt;0,"Faltante","Sin novedad"))</f>
        <v>Sin novedad</v>
      </c>
    </row>
    <row r="5701" spans="1:14" x14ac:dyDescent="0.25">
      <c r="A5701" s="11">
        <v>46065</v>
      </c>
      <c r="B5701" s="5" t="s">
        <v>1095</v>
      </c>
      <c r="C5701" s="3" t="s">
        <v>284</v>
      </c>
      <c r="D5701" s="5" t="s">
        <v>111</v>
      </c>
      <c r="E5701" s="5" t="s">
        <v>112</v>
      </c>
      <c r="F5701" s="6" t="s">
        <v>57</v>
      </c>
      <c r="G5701" s="4" t="s">
        <v>0</v>
      </c>
      <c r="H5701" s="25">
        <v>1993.59090909</v>
      </c>
      <c r="I5701" s="8">
        <v>11</v>
      </c>
      <c r="J5701" s="9">
        <v>26</v>
      </c>
      <c r="K5701" s="7">
        <v>15</v>
      </c>
      <c r="L5701" s="24">
        <f>+Tabla2[[#This Row],[Stock Inventario]]*Tabla2[[#This Row],[Coste LÃ­nea]]</f>
        <v>51833.36363634</v>
      </c>
      <c r="M5701" s="24">
        <f>+Tabla2[[#This Row],[Variación Stock]]*Tabla2[[#This Row],[Coste LÃ­nea]]</f>
        <v>29903.863636350001</v>
      </c>
      <c r="N5701" s="22" t="str">
        <f>+IF(Tabla2[[#This Row],[Variación Stock]]&gt;0,"Sobrante",IF(Tabla2[[#This Row],[Variación Stock]]&lt;0,"Faltante","Sin novedad"))</f>
        <v>Sobrante</v>
      </c>
    </row>
    <row r="5702" spans="1:14" hidden="1" x14ac:dyDescent="0.25">
      <c r="A5702" s="11">
        <v>46065</v>
      </c>
      <c r="B5702" s="5" t="s">
        <v>1095</v>
      </c>
      <c r="C5702" s="3" t="s">
        <v>284</v>
      </c>
      <c r="D5702" s="5" t="s">
        <v>119</v>
      </c>
      <c r="E5702" s="5" t="s">
        <v>117</v>
      </c>
      <c r="F5702" s="6" t="s">
        <v>13</v>
      </c>
      <c r="G5702" s="4" t="s">
        <v>2</v>
      </c>
      <c r="H5702" s="25">
        <v>13905</v>
      </c>
      <c r="I5702" s="8">
        <v>0</v>
      </c>
      <c r="J5702" s="9">
        <v>0</v>
      </c>
      <c r="K5702" s="7">
        <v>0</v>
      </c>
      <c r="L5702" s="24">
        <f>+Tabla2[[#This Row],[Stock Inventario]]*Tabla2[[#This Row],[Coste LÃ­nea]]</f>
        <v>0</v>
      </c>
      <c r="M5702" s="24">
        <f>+Tabla2[[#This Row],[Variación Stock]]*Tabla2[[#This Row],[Coste LÃ­nea]]</f>
        <v>0</v>
      </c>
      <c r="N5702" s="22" t="str">
        <f>+IF(Tabla2[[#This Row],[Variación Stock]]&gt;0,"Sobrante",IF(Tabla2[[#This Row],[Variación Stock]]&lt;0,"Faltante","Sin novedad"))</f>
        <v>Sin novedad</v>
      </c>
    </row>
    <row r="5703" spans="1:14" x14ac:dyDescent="0.25">
      <c r="A5703" s="11">
        <v>46065</v>
      </c>
      <c r="B5703" s="5" t="s">
        <v>1095</v>
      </c>
      <c r="C5703" s="3" t="s">
        <v>284</v>
      </c>
      <c r="D5703" s="5" t="s">
        <v>118</v>
      </c>
      <c r="E5703" s="5" t="s">
        <v>112</v>
      </c>
      <c r="F5703" s="6" t="s">
        <v>301</v>
      </c>
      <c r="G5703" s="4" t="s">
        <v>81</v>
      </c>
      <c r="H5703" s="25">
        <v>13660</v>
      </c>
      <c r="I5703" s="8">
        <v>16</v>
      </c>
      <c r="J5703" s="9">
        <v>17</v>
      </c>
      <c r="K5703" s="7">
        <v>1</v>
      </c>
      <c r="L5703" s="24">
        <f>+Tabla2[[#This Row],[Stock Inventario]]*Tabla2[[#This Row],[Coste LÃ­nea]]</f>
        <v>232220</v>
      </c>
      <c r="M5703" s="24">
        <f>+Tabla2[[#This Row],[Variación Stock]]*Tabla2[[#This Row],[Coste LÃ­nea]]</f>
        <v>13660</v>
      </c>
      <c r="N5703" s="22" t="str">
        <f>+IF(Tabla2[[#This Row],[Variación Stock]]&gt;0,"Sobrante",IF(Tabla2[[#This Row],[Variación Stock]]&lt;0,"Faltante","Sin novedad"))</f>
        <v>Sobrante</v>
      </c>
    </row>
    <row r="5704" spans="1:14" x14ac:dyDescent="0.25">
      <c r="A5704" s="11">
        <v>46065</v>
      </c>
      <c r="B5704" s="5" t="s">
        <v>1095</v>
      </c>
      <c r="C5704" s="3" t="s">
        <v>284</v>
      </c>
      <c r="D5704" s="5" t="s">
        <v>115</v>
      </c>
      <c r="E5704" s="5" t="s">
        <v>112</v>
      </c>
      <c r="F5704" s="6" t="s">
        <v>368</v>
      </c>
      <c r="G5704" s="4" t="s">
        <v>2</v>
      </c>
      <c r="H5704" s="25">
        <v>3099.6666666699998</v>
      </c>
      <c r="I5704" s="8">
        <v>0</v>
      </c>
      <c r="J5704" s="9">
        <v>0</v>
      </c>
      <c r="K5704" s="7">
        <v>0</v>
      </c>
      <c r="L5704" s="24">
        <f>+Tabla2[[#This Row],[Stock Inventario]]*Tabla2[[#This Row],[Coste LÃ­nea]]</f>
        <v>0</v>
      </c>
      <c r="M5704" s="24">
        <f>+Tabla2[[#This Row],[Variación Stock]]*Tabla2[[#This Row],[Coste LÃ­nea]]</f>
        <v>0</v>
      </c>
      <c r="N5704" s="22" t="str">
        <f>+IF(Tabla2[[#This Row],[Variación Stock]]&gt;0,"Sobrante",IF(Tabla2[[#This Row],[Variación Stock]]&lt;0,"Faltante","Sin novedad"))</f>
        <v>Sin novedad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BASE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Rocoto R</cp:lastModifiedBy>
  <cp:lastPrinted>2025-11-19T16:00:12Z</cp:lastPrinted>
  <dcterms:created xsi:type="dcterms:W3CDTF">2015-06-05T18:19:34Z</dcterms:created>
  <dcterms:modified xsi:type="dcterms:W3CDTF">2026-02-13T22:44:08Z</dcterms:modified>
</cp:coreProperties>
</file>